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A:\PSH 2026\VCM\3. VCM Mac 2026\"/>
    </mc:Choice>
  </mc:AlternateContent>
  <xr:revisionPtr revIDLastSave="0" documentId="13_ncr:1_{1492FE35-1859-4201-9892-60F82834E363}" xr6:coauthVersionLast="47" xr6:coauthVersionMax="47" xr10:uidLastSave="{00000000-0000-0000-0000-000000000000}"/>
  <bookViews>
    <workbookView xWindow="-120" yWindow="-120" windowWidth="29040" windowHeight="15720" firstSheet="5" activeTab="5" xr2:uid="{00000000-000D-0000-FFFF-FFFF00000000}"/>
  </bookViews>
  <sheets>
    <sheet name="MASTERLIST ASSET" sheetId="1" r:id="rId1"/>
    <sheet name="UPTIME" sheetId="2" r:id="rId2"/>
    <sheet name="Public Holiday" sheetId="3" r:id="rId3"/>
    <sheet name="KDI" sheetId="4" state="hidden" r:id="rId4"/>
    <sheet name="KDI 2" sheetId="5" r:id="rId5"/>
    <sheet name="BEMSdar" sheetId="6" r:id="rId6"/>
    <sheet name="B1-RESPONSE &amp; B2-REPAIR" sheetId="7" r:id="rId7"/>
    <sheet name="B3-SCHEDULED" sheetId="8" r:id="rId8"/>
    <sheet name="B4-UPTIME" sheetId="9" r:id="rId9"/>
    <sheet name="B5-T&amp;C" sheetId="10" r:id="rId10"/>
    <sheet name="Sheet2" sheetId="11" state="hidden" r:id="rId11"/>
  </sheets>
  <externalReferences>
    <externalReference r:id="rId12"/>
    <externalReference r:id="rId13"/>
    <externalReference r:id="rId14"/>
    <externalReference r:id="rId15"/>
  </externalReferences>
  <definedNames>
    <definedName name="_05_04_2009" localSheetId="7">#REF!</definedName>
    <definedName name="_05_04_2009" localSheetId="8">#REF!</definedName>
    <definedName name="_05_04_2009" localSheetId="9">#REF!</definedName>
    <definedName name="_05_04_2009" localSheetId="2">#REF!</definedName>
    <definedName name="_05_04_2009">#REF!</definedName>
    <definedName name="_xlnm._FilterDatabase" localSheetId="6" hidden="1">'B1-RESPONSE &amp; B2-REPAIR'!$A$23:$V$227</definedName>
    <definedName name="_xlnm._FilterDatabase" localSheetId="7" hidden="1">'B3-SCHEDULED'!$A$19:$O$501</definedName>
    <definedName name="_xlnm._FilterDatabase" localSheetId="8" hidden="1">'B4-UPTIME'!$A$19:$AE$94</definedName>
    <definedName name="_xlnm._FilterDatabase" localSheetId="0" hidden="1">'MASTERLIST ASSET'!$A$4:$S$2244</definedName>
    <definedName name="_xlnm._FilterDatabase" localSheetId="1" hidden="1">UPTIME!$A$3:$G$84</definedName>
    <definedName name="AA" localSheetId="7">#REF!</definedName>
    <definedName name="AA" localSheetId="8">#REF!</definedName>
    <definedName name="AA" localSheetId="9">#REF!</definedName>
    <definedName name="AA" localSheetId="2">#REF!</definedName>
    <definedName name="AA">#REF!</definedName>
    <definedName name="aaa" localSheetId="7">#REF!</definedName>
    <definedName name="aaa" localSheetId="8">#REF!</definedName>
    <definedName name="aaa" localSheetId="9">#REF!</definedName>
    <definedName name="aaa" localSheetId="2">#REF!</definedName>
    <definedName name="aaa">#REF!</definedName>
    <definedName name="aaaaa" localSheetId="7">#REF!</definedName>
    <definedName name="aaaaa" localSheetId="8">#REF!</definedName>
    <definedName name="aaaaa" localSheetId="9">#REF!</definedName>
    <definedName name="aaaaa" localSheetId="2">#REF!</definedName>
    <definedName name="aaaaa">#REF!</definedName>
    <definedName name="aaaaaaaaaa" localSheetId="7">#REF!</definedName>
    <definedName name="aaaaaaaaaa" localSheetId="8">#REF!</definedName>
    <definedName name="aaaaaaaaaa" localSheetId="9">#REF!</definedName>
    <definedName name="aaaaaaaaaa" localSheetId="2">#REF!</definedName>
    <definedName name="aaaaaaaaaa">#REF!</definedName>
    <definedName name="AAAAAAAAAAAAA" localSheetId="7">#REF!</definedName>
    <definedName name="AAAAAAAAAAAAA" localSheetId="8">#REF!</definedName>
    <definedName name="AAAAAAAAAAAAA" localSheetId="9">#REF!</definedName>
    <definedName name="AAAAAAAAAAAAA" localSheetId="2">#REF!</definedName>
    <definedName name="AAAAAAAAAAAAA">#REF!</definedName>
    <definedName name="AAAAAAAAAAAAAAAAAA" localSheetId="7">#REF!</definedName>
    <definedName name="AAAAAAAAAAAAAAAAAA" localSheetId="8">#REF!</definedName>
    <definedName name="AAAAAAAAAAAAAAAAAA" localSheetId="9">#REF!</definedName>
    <definedName name="AAAAAAAAAAAAAAAAAA" localSheetId="2">#REF!</definedName>
    <definedName name="AAAAAAAAAAAAAAAAAA">#REF!</definedName>
    <definedName name="AAAAAAAAAAAAAAAAAAAAA" localSheetId="7">#REF!</definedName>
    <definedName name="AAAAAAAAAAAAAAAAAAAAA" localSheetId="8">#REF!</definedName>
    <definedName name="AAAAAAAAAAAAAAAAAAAAA" localSheetId="9">#REF!</definedName>
    <definedName name="AAAAAAAAAAAAAAAAAAAAA" localSheetId="2">#REF!</definedName>
    <definedName name="AAAAAAAAAAAAAAAAAAAAA">#REF!</definedName>
    <definedName name="AAAAAAAAAAAAAAAAAAAAAAAAAAA" localSheetId="7">#REF!</definedName>
    <definedName name="AAAAAAAAAAAAAAAAAAAAAAAAAAA" localSheetId="8">#REF!</definedName>
    <definedName name="AAAAAAAAAAAAAAAAAAAAAAAAAAA" localSheetId="9">#REF!</definedName>
    <definedName name="AAAAAAAAAAAAAAAAAAAAAAAAAAA" localSheetId="2">#REF!</definedName>
    <definedName name="AAAAAAAAAAAAAAAAAAAAAAAAAAA">#REF!</definedName>
    <definedName name="AAAAAAAAAAAAAAAAAAAAAAAAAAAA" localSheetId="7">#REF!</definedName>
    <definedName name="AAAAAAAAAAAAAAAAAAAAAAAAAAAA" localSheetId="8">#REF!</definedName>
    <definedName name="AAAAAAAAAAAAAAAAAAAAAAAAAAAA" localSheetId="9">#REF!</definedName>
    <definedName name="AAAAAAAAAAAAAAAAAAAAAAAAAAAA" localSheetId="2">#REF!</definedName>
    <definedName name="AAAAAAAAAAAAAAAAAAAAAAAAAAAA">#REF!</definedName>
    <definedName name="AAAAAAAAAAAAAAAAAAAAAAAAAAAAAA" localSheetId="7">#REF!</definedName>
    <definedName name="AAAAAAAAAAAAAAAAAAAAAAAAAAAAAA" localSheetId="8">#REF!</definedName>
    <definedName name="AAAAAAAAAAAAAAAAAAAAAAAAAAAAAA" localSheetId="9">#REF!</definedName>
    <definedName name="AAAAAAAAAAAAAAAAAAAAAAAAAAAAAA" localSheetId="2">#REF!</definedName>
    <definedName name="AAAAAAAAAAAAAAAAAAAAAAAAAAAAAA">#REF!</definedName>
    <definedName name="AAAAAAAAAAAAAAAAAAAAAAAAAAAAAAA" localSheetId="7">#REF!</definedName>
    <definedName name="AAAAAAAAAAAAAAAAAAAAAAAAAAAAAAA" localSheetId="8">#REF!</definedName>
    <definedName name="AAAAAAAAAAAAAAAAAAAAAAAAAAAAAAA" localSheetId="9">#REF!</definedName>
    <definedName name="AAAAAAAAAAAAAAAAAAAAAAAAAAAAAAA" localSheetId="2">#REF!</definedName>
    <definedName name="AAAAAAAAAAAAAAAAAAAAAAAAAAAAAAA">#REF!</definedName>
    <definedName name="AAAAAAAAAAAAAAAAAAAAAAAAAAAAAAAAA" localSheetId="7">#REF!</definedName>
    <definedName name="AAAAAAAAAAAAAAAAAAAAAAAAAAAAAAAAA" localSheetId="8">#REF!</definedName>
    <definedName name="AAAAAAAAAAAAAAAAAAAAAAAAAAAAAAAAA" localSheetId="9">#REF!</definedName>
    <definedName name="AAAAAAAAAAAAAAAAAAAAAAAAAAAAAAAAA" localSheetId="2">#REF!</definedName>
    <definedName name="AAAAAAAAAAAAAAAAAAAAAAAAAAAAAAAAA">#REF!</definedName>
    <definedName name="AAAAAAAAAAAAAAAAAAAAAAAAAAAAAAAAAA" localSheetId="7">#REF!</definedName>
    <definedName name="AAAAAAAAAAAAAAAAAAAAAAAAAAAAAAAAAA" localSheetId="8">#REF!</definedName>
    <definedName name="AAAAAAAAAAAAAAAAAAAAAAAAAAAAAAAAAA" localSheetId="9">#REF!</definedName>
    <definedName name="AAAAAAAAAAAAAAAAAAAAAAAAAAAAAAAAAA" localSheetId="2">#REF!</definedName>
    <definedName name="AAAAAAAAAAAAAAAAAAAAAAAAAAAAAAAAAA">#REF!</definedName>
    <definedName name="ACHGYJF" localSheetId="7">#REF!</definedName>
    <definedName name="ACHGYJF" localSheetId="8">#REF!</definedName>
    <definedName name="ACHGYJF" localSheetId="9">#REF!</definedName>
    <definedName name="ACHGYJF" localSheetId="2">#REF!</definedName>
    <definedName name="ACHGYJF">#REF!</definedName>
    <definedName name="all" localSheetId="7">#REF!</definedName>
    <definedName name="all" localSheetId="8">#REF!</definedName>
    <definedName name="all" localSheetId="9">#REF!</definedName>
    <definedName name="all" localSheetId="2">#REF!</definedName>
    <definedName name="all">#REF!</definedName>
    <definedName name="AV" localSheetId="7">#REF!</definedName>
    <definedName name="AV" localSheetId="8">#REF!</definedName>
    <definedName name="AV" localSheetId="9">#REF!</definedName>
    <definedName name="AV" localSheetId="2">#REF!</definedName>
    <definedName name="AV">#REF!</definedName>
    <definedName name="AWAL">#REF!</definedName>
    <definedName name="BBBBBBBBBBBB" localSheetId="7">#REF!</definedName>
    <definedName name="BBBBBBBBBBBB" localSheetId="8">#REF!</definedName>
    <definedName name="BBBBBBBBBBBB" localSheetId="9">#REF!</definedName>
    <definedName name="BBBBBBBBBBBB" localSheetId="2">#REF!</definedName>
    <definedName name="BBBBBBBBBBBB">#REF!</definedName>
    <definedName name="BBBBBBBBBBBBB" localSheetId="7">#REF!</definedName>
    <definedName name="BBBBBBBBBBBBB" localSheetId="8">#REF!</definedName>
    <definedName name="BBBBBBBBBBBBB" localSheetId="9">#REF!</definedName>
    <definedName name="BBBBBBBBBBBBB" localSheetId="2">#REF!</definedName>
    <definedName name="BBBBBBBBBBBBB">#REF!</definedName>
    <definedName name="BBBBBBBBBBBBBB" localSheetId="7">#REF!</definedName>
    <definedName name="BBBBBBBBBBBBBB" localSheetId="8">#REF!</definedName>
    <definedName name="BBBBBBBBBBBBBB" localSheetId="9">#REF!</definedName>
    <definedName name="BBBBBBBBBBBBBB" localSheetId="2">#REF!</definedName>
    <definedName name="BBBBBBBBBBBBBB">#REF!</definedName>
    <definedName name="CAAAE" localSheetId="7">#REF!</definedName>
    <definedName name="CAAAE" localSheetId="8">#REF!</definedName>
    <definedName name="CAAAE" localSheetId="9">#REF!</definedName>
    <definedName name="CAAAE" localSheetId="2">#REF!</definedName>
    <definedName name="CAAAE">#REF!</definedName>
    <definedName name="Ce" localSheetId="7">#REF!</definedName>
    <definedName name="Ce" localSheetId="8">#REF!</definedName>
    <definedName name="Ce" localSheetId="9">#REF!</definedName>
    <definedName name="Ce" localSheetId="2">#REF!</definedName>
    <definedName name="Ce">#REF!</definedName>
    <definedName name="CFDSSSSS" localSheetId="7">#REF!</definedName>
    <definedName name="CFDSSSSS" localSheetId="8">#REF!</definedName>
    <definedName name="CFDSSSSS" localSheetId="9">#REF!</definedName>
    <definedName name="CFDSSSSS" localSheetId="2">#REF!</definedName>
    <definedName name="CFDSSSSS">#REF!</definedName>
    <definedName name="CFE" localSheetId="7">#REF!</definedName>
    <definedName name="CFE" localSheetId="8">#REF!</definedName>
    <definedName name="CFE" localSheetId="9">#REF!</definedName>
    <definedName name="CFE" localSheetId="2">#REF!</definedName>
    <definedName name="CFE">#REF!</definedName>
    <definedName name="CRSFD" localSheetId="7">#REF!</definedName>
    <definedName name="CRSFD" localSheetId="8">#REF!</definedName>
    <definedName name="CRSFD" localSheetId="9">#REF!</definedName>
    <definedName name="CRSFD" localSheetId="2">#REF!</definedName>
    <definedName name="CRSFD">#REF!</definedName>
    <definedName name="CTRGSFD" localSheetId="7">#REF!</definedName>
    <definedName name="CTRGSFD" localSheetId="8">#REF!</definedName>
    <definedName name="CTRGSFD" localSheetId="9">#REF!</definedName>
    <definedName name="CTRGSFD" localSheetId="2">#REF!</definedName>
    <definedName name="CTRGSFD">#REF!</definedName>
    <definedName name="DASDSAC" localSheetId="7">#REF!</definedName>
    <definedName name="DASDSAC" localSheetId="8">#REF!</definedName>
    <definedName name="DASDSAC" localSheetId="9">#REF!</definedName>
    <definedName name="DASDSAC" localSheetId="2">#REF!</definedName>
    <definedName name="DASDSAC">#REF!</definedName>
    <definedName name="dcfd" localSheetId="7">#REF!</definedName>
    <definedName name="dcfd" localSheetId="8">#REF!</definedName>
    <definedName name="dcfd" localSheetId="9">#REF!</definedName>
    <definedName name="dcfd" localSheetId="2">#REF!</definedName>
    <definedName name="dcfd">#REF!</definedName>
    <definedName name="DDDDDDDDDDD" localSheetId="7">#REF!</definedName>
    <definedName name="DDDDDDDDDDD" localSheetId="8">#REF!</definedName>
    <definedName name="DDDDDDDDDDD" localSheetId="9">#REF!</definedName>
    <definedName name="DDDDDDDDDDD" localSheetId="2">#REF!</definedName>
    <definedName name="DDDDDDDDDDD">#REF!</definedName>
    <definedName name="DDDDDDDDDDDDD" localSheetId="7">#REF!</definedName>
    <definedName name="DDDDDDDDDDDDD" localSheetId="8">#REF!</definedName>
    <definedName name="DDDDDDDDDDDDD" localSheetId="9">#REF!</definedName>
    <definedName name="DDDDDDDDDDDDD" localSheetId="2">#REF!</definedName>
    <definedName name="DDDDDDDDDDDDD">#REF!</definedName>
    <definedName name="DFBNG" localSheetId="7">#REF!</definedName>
    <definedName name="DFBNG" localSheetId="8">#REF!</definedName>
    <definedName name="DFBNG" localSheetId="9">#REF!</definedName>
    <definedName name="DFBNG" localSheetId="2">#REF!</definedName>
    <definedName name="DFBNG">#REF!</definedName>
    <definedName name="dfd" localSheetId="7">#REF!</definedName>
    <definedName name="dfd" localSheetId="8">#REF!</definedName>
    <definedName name="dfd" localSheetId="9">#REF!</definedName>
    <definedName name="dfd" localSheetId="2">#REF!</definedName>
    <definedName name="dfd">#REF!</definedName>
    <definedName name="dfhbcv" localSheetId="7">#REF!</definedName>
    <definedName name="dfhbcv" localSheetId="8">#REF!</definedName>
    <definedName name="dfhbcv" localSheetId="9">#REF!</definedName>
    <definedName name="dfhbcv" localSheetId="2">#REF!</definedName>
    <definedName name="dfhbcv">#REF!</definedName>
    <definedName name="DFHGB" localSheetId="7">#REF!</definedName>
    <definedName name="DFHGB" localSheetId="8">#REF!</definedName>
    <definedName name="DFHGB" localSheetId="9">#REF!</definedName>
    <definedName name="DFHGB" localSheetId="2">#REF!</definedName>
    <definedName name="DFHGB">#REF!</definedName>
    <definedName name="dfssa" localSheetId="7">#REF!</definedName>
    <definedName name="dfssa" localSheetId="8">#REF!</definedName>
    <definedName name="dfssa" localSheetId="9">#REF!</definedName>
    <definedName name="dfssa" localSheetId="2">#REF!</definedName>
    <definedName name="dfssa">#REF!</definedName>
    <definedName name="dggggggggggggg" localSheetId="7">#REF!</definedName>
    <definedName name="dggggggggggggg" localSheetId="8">#REF!</definedName>
    <definedName name="dggggggggggggg" localSheetId="9">#REF!</definedName>
    <definedName name="dggggggggggggg" localSheetId="2">#REF!</definedName>
    <definedName name="dggggggggggggg">#REF!</definedName>
    <definedName name="dsgsf" localSheetId="7">#REF!</definedName>
    <definedName name="dsgsf" localSheetId="8">#REF!</definedName>
    <definedName name="dsgsf" localSheetId="9">#REF!</definedName>
    <definedName name="dsgsf" localSheetId="2">#REF!</definedName>
    <definedName name="dsgsf">#REF!</definedName>
    <definedName name="DSSSSSSSSSSSSSSSSSF" localSheetId="7">#REF!</definedName>
    <definedName name="DSSSSSSSSSSSSSSSSSF" localSheetId="8">#REF!</definedName>
    <definedName name="DSSSSSSSSSSSSSSSSSF" localSheetId="9">#REF!</definedName>
    <definedName name="DSSSSSSSSSSSSSSSSSF" localSheetId="2">#REF!</definedName>
    <definedName name="DSSSSSSSSSSSSSSSSSF">#REF!</definedName>
    <definedName name="EACFE" localSheetId="7">#REF!</definedName>
    <definedName name="EACFE" localSheetId="8">#REF!</definedName>
    <definedName name="EACFE" localSheetId="9">#REF!</definedName>
    <definedName name="EACFE" localSheetId="2">#REF!</definedName>
    <definedName name="EACFE">#REF!</definedName>
    <definedName name="eec" localSheetId="7">#REF!</definedName>
    <definedName name="eec" localSheetId="8">#REF!</definedName>
    <definedName name="eec" localSheetId="9">#REF!</definedName>
    <definedName name="eec" localSheetId="2">#REF!</definedName>
    <definedName name="eec">#REF!</definedName>
    <definedName name="EERC" localSheetId="7">#REF!</definedName>
    <definedName name="EERC" localSheetId="8">#REF!</definedName>
    <definedName name="EERC" localSheetId="9">#REF!</definedName>
    <definedName name="EERC" localSheetId="2">#REF!</definedName>
    <definedName name="EERC">#REF!</definedName>
    <definedName name="EWA" localSheetId="7">#REF!</definedName>
    <definedName name="EWA" localSheetId="8">#REF!</definedName>
    <definedName name="EWA" localSheetId="9">#REF!</definedName>
    <definedName name="EWA" localSheetId="2">#REF!</definedName>
    <definedName name="EWA">#REF!</definedName>
    <definedName name="EWEC" localSheetId="7">#REF!</definedName>
    <definedName name="EWEC" localSheetId="8">#REF!</definedName>
    <definedName name="EWEC" localSheetId="9">#REF!</definedName>
    <definedName name="EWEC" localSheetId="2">#REF!</definedName>
    <definedName name="EWEC">#REF!</definedName>
    <definedName name="excel" localSheetId="7">#REF!</definedName>
    <definedName name="excel" localSheetId="8">#REF!</definedName>
    <definedName name="excel" localSheetId="9">#REF!</definedName>
    <definedName name="excel" localSheetId="2">#REF!</definedName>
    <definedName name="excel">#REF!</definedName>
    <definedName name="Excel_BuiltIn__FilterDatabase_2" localSheetId="7">#REF!</definedName>
    <definedName name="Excel_BuiltIn__FilterDatabase_2" localSheetId="8">#REF!</definedName>
    <definedName name="Excel_BuiltIn__FilterDatabase_2" localSheetId="9">#REF!</definedName>
    <definedName name="Excel_BuiltIn__FilterDatabase_2" localSheetId="2">#REF!</definedName>
    <definedName name="Excel_BuiltIn__FilterDatabase_2">#REF!</definedName>
    <definedName name="Excel_BuiltIn__FilterDatabase_4" localSheetId="7">#REF!</definedName>
    <definedName name="Excel_BuiltIn__FilterDatabase_4" localSheetId="8">#REF!</definedName>
    <definedName name="Excel_BuiltIn__FilterDatabase_4" localSheetId="9">#REF!</definedName>
    <definedName name="Excel_BuiltIn__FilterDatabase_4" localSheetId="2">#REF!</definedName>
    <definedName name="Excel_BuiltIn__FilterDatabase_4">#REF!</definedName>
    <definedName name="Excel_BuiltIn__FilterDatabase_5" localSheetId="7">#REF!</definedName>
    <definedName name="Excel_BuiltIn__FilterDatabase_5" localSheetId="8">#REF!</definedName>
    <definedName name="Excel_BuiltIn__FilterDatabase_5" localSheetId="9">#REF!</definedName>
    <definedName name="Excel_BuiltIn__FilterDatabase_5" localSheetId="2">#REF!</definedName>
    <definedName name="Excel_BuiltIn__FilterDatabase_5">#REF!</definedName>
    <definedName name="Excel_BuiltIn__FilterDatabase_8" localSheetId="7">#REF!</definedName>
    <definedName name="Excel_BuiltIn__FilterDatabase_8" localSheetId="8">#REF!</definedName>
    <definedName name="Excel_BuiltIn__FilterDatabase_8" localSheetId="9">#REF!</definedName>
    <definedName name="Excel_BuiltIn__FilterDatabase_8" localSheetId="2">#REF!</definedName>
    <definedName name="Excel_BuiltIn__FilterDatabase_8">#REF!</definedName>
    <definedName name="Excel_BuiltIn_Print_Area_1" localSheetId="7">#REF!</definedName>
    <definedName name="Excel_BuiltIn_Print_Area_1" localSheetId="8">#REF!</definedName>
    <definedName name="Excel_BuiltIn_Print_Area_1" localSheetId="9">#REF!</definedName>
    <definedName name="Excel_BuiltIn_Print_Area_1" localSheetId="2">#REF!</definedName>
    <definedName name="Excel_BuiltIn_Print_Area_1">#REF!</definedName>
    <definedName name="Excel_BuiltIn_Print_Area_1_1" localSheetId="7">#REF!</definedName>
    <definedName name="Excel_BuiltIn_Print_Area_1_1" localSheetId="8">#REF!</definedName>
    <definedName name="Excel_BuiltIn_Print_Area_1_1" localSheetId="9">#REF!</definedName>
    <definedName name="Excel_BuiltIn_Print_Area_1_1" localSheetId="2">#REF!</definedName>
    <definedName name="Excel_BuiltIn_Print_Area_1_1">#REF!</definedName>
    <definedName name="Excel_BuiltIn_Print_Area_10_1" localSheetId="7">#REF!</definedName>
    <definedName name="Excel_BuiltIn_Print_Area_10_1" localSheetId="8">#REF!</definedName>
    <definedName name="Excel_BuiltIn_Print_Area_10_1" localSheetId="9">#REF!</definedName>
    <definedName name="Excel_BuiltIn_Print_Area_10_1" localSheetId="2">#REF!</definedName>
    <definedName name="Excel_BuiltIn_Print_Area_10_1">#REF!</definedName>
    <definedName name="Excel_BuiltIn_Print_Area_3_1" localSheetId="7">#REF!</definedName>
    <definedName name="Excel_BuiltIn_Print_Area_3_1" localSheetId="8">#REF!</definedName>
    <definedName name="Excel_BuiltIn_Print_Area_3_1" localSheetId="9">#REF!</definedName>
    <definedName name="Excel_BuiltIn_Print_Area_3_1" localSheetId="2">#REF!</definedName>
    <definedName name="Excel_BuiltIn_Print_Area_3_1">#REF!</definedName>
    <definedName name="Excel_BuiltIn_Print_Area_3_1_1" localSheetId="7">#REF!</definedName>
    <definedName name="Excel_BuiltIn_Print_Area_3_1_1" localSheetId="8">#REF!</definedName>
    <definedName name="Excel_BuiltIn_Print_Area_3_1_1" localSheetId="9">#REF!</definedName>
    <definedName name="Excel_BuiltIn_Print_Area_3_1_1" localSheetId="2">#REF!</definedName>
    <definedName name="Excel_BuiltIn_Print_Area_3_1_1">#REF!</definedName>
    <definedName name="Excel_BuiltIn_Print_Area_3_1_1_1" localSheetId="7">#REF!</definedName>
    <definedName name="Excel_BuiltIn_Print_Area_3_1_1_1" localSheetId="8">#REF!</definedName>
    <definedName name="Excel_BuiltIn_Print_Area_3_1_1_1" localSheetId="9">#REF!</definedName>
    <definedName name="Excel_BuiltIn_Print_Area_3_1_1_1" localSheetId="2">#REF!</definedName>
    <definedName name="Excel_BuiltIn_Print_Area_3_1_1_1">#REF!</definedName>
    <definedName name="Excel_BuiltIn_Print_Area_8_1" localSheetId="7">#REF!</definedName>
    <definedName name="Excel_BuiltIn_Print_Area_8_1" localSheetId="8">#REF!</definedName>
    <definedName name="Excel_BuiltIn_Print_Area_8_1" localSheetId="9">#REF!</definedName>
    <definedName name="Excel_BuiltIn_Print_Area_8_1" localSheetId="2">#REF!</definedName>
    <definedName name="Excel_BuiltIn_Print_Area_8_1">#REF!</definedName>
    <definedName name="Excel_BuiltIn_Print_Area_9_1" localSheetId="7">#REF!</definedName>
    <definedName name="Excel_BuiltIn_Print_Area_9_1" localSheetId="8">#REF!</definedName>
    <definedName name="Excel_BuiltIn_Print_Area_9_1" localSheetId="9">#REF!</definedName>
    <definedName name="Excel_BuiltIn_Print_Area_9_1" localSheetId="2">#REF!</definedName>
    <definedName name="Excel_BuiltIn_Print_Area_9_1">#REF!</definedName>
    <definedName name="Excel_BuiltIn_Print_Area_9_1_1" localSheetId="7">#REF!</definedName>
    <definedName name="Excel_BuiltIn_Print_Area_9_1_1" localSheetId="8">#REF!</definedName>
    <definedName name="Excel_BuiltIn_Print_Area_9_1_1" localSheetId="9">#REF!</definedName>
    <definedName name="Excel_BuiltIn_Print_Area_9_1_1" localSheetId="2">#REF!</definedName>
    <definedName name="Excel_BuiltIn_Print_Area_9_1_1">#REF!</definedName>
    <definedName name="Excel_BuiltIn_Print_JMN_25_9_13" localSheetId="7">#REF!</definedName>
    <definedName name="Excel_BuiltIn_Print_JMN_25_9_13" localSheetId="8">#REF!</definedName>
    <definedName name="Excel_BuiltIn_Print_JMN_25_9_13" localSheetId="9">#REF!</definedName>
    <definedName name="Excel_BuiltIn_Print_JMN_25_9_13" localSheetId="2">#REF!</definedName>
    <definedName name="Excel_BuiltIn_Print_JMN_25_9_13">#REF!</definedName>
    <definedName name="Excel_BuiltIn_Print_Titles_1_1" localSheetId="7">#REF!</definedName>
    <definedName name="Excel_BuiltIn_Print_Titles_1_1" localSheetId="8">#REF!</definedName>
    <definedName name="Excel_BuiltIn_Print_Titles_1_1" localSheetId="9">#REF!</definedName>
    <definedName name="Excel_BuiltIn_Print_Titles_1_1" localSheetId="2">#REF!</definedName>
    <definedName name="Excel_BuiltIn_Print_Titles_1_1">#REF!</definedName>
    <definedName name="Excel_BuiltIn_Print_Titles_8" localSheetId="7">#REF!</definedName>
    <definedName name="Excel_BuiltIn_Print_Titles_8" localSheetId="8">#REF!</definedName>
    <definedName name="Excel_BuiltIn_Print_Titles_8" localSheetId="9">#REF!</definedName>
    <definedName name="Excel_BuiltIn_Print_Titles_8" localSheetId="2">#REF!</definedName>
    <definedName name="Excel_BuiltIn_Print_Titles_8">#REF!</definedName>
    <definedName name="Excel_BuiltIn_Print_Titles_9" localSheetId="7">#REF!</definedName>
    <definedName name="Excel_BuiltIn_Print_Titles_9" localSheetId="8">#REF!</definedName>
    <definedName name="Excel_BuiltIn_Print_Titles_9" localSheetId="9">#REF!</definedName>
    <definedName name="Excel_BuiltIn_Print_Titles_9" localSheetId="2">#REF!</definedName>
    <definedName name="Excel_BuiltIn_Print_Titles_9">#REF!</definedName>
    <definedName name="fasdfasfasfsaf" localSheetId="7">#REF!</definedName>
    <definedName name="fasdfasfasfsaf" localSheetId="8">#REF!</definedName>
    <definedName name="fasdfasfasfsaf" localSheetId="9">#REF!</definedName>
    <definedName name="fasdfasfasfsaf" localSheetId="2">#REF!</definedName>
    <definedName name="fasdfasfasfsaf">#REF!</definedName>
    <definedName name="FCXXF" localSheetId="7">#REF!</definedName>
    <definedName name="FCXXF" localSheetId="8">#REF!</definedName>
    <definedName name="FCXXF" localSheetId="9">#REF!</definedName>
    <definedName name="FCXXF" localSheetId="2">#REF!</definedName>
    <definedName name="FCXXF">#REF!</definedName>
    <definedName name="fdgfdgdfgdg" localSheetId="7">#REF!</definedName>
    <definedName name="fdgfdgdfgdg" localSheetId="8">#REF!</definedName>
    <definedName name="fdgfdgdfgdg" localSheetId="9">#REF!</definedName>
    <definedName name="fdgfdgdfgdg" localSheetId="2">#REF!</definedName>
    <definedName name="fdgfdgdfgdg">#REF!</definedName>
    <definedName name="FFFFFFFFFFFFFFFFF" localSheetId="7">#REF!</definedName>
    <definedName name="FFFFFFFFFFFFFFFFF" localSheetId="8">#REF!</definedName>
    <definedName name="FFFFFFFFFFFFFFFFF" localSheetId="9">#REF!</definedName>
    <definedName name="FFFFFFFFFFFFFFFFF" localSheetId="2">#REF!</definedName>
    <definedName name="FFFFFFFFFFFFFFFFF">#REF!</definedName>
    <definedName name="ffgdsdfg" localSheetId="7">#REF!</definedName>
    <definedName name="ffgdsdfg" localSheetId="8">#REF!</definedName>
    <definedName name="ffgdsdfg" localSheetId="9">#REF!</definedName>
    <definedName name="ffgdsdfg" localSheetId="2">#REF!</definedName>
    <definedName name="ffgdsdfg">#REF!</definedName>
    <definedName name="GAAAAAAAFC" localSheetId="7">#REF!</definedName>
    <definedName name="GAAAAAAAFC" localSheetId="8">#REF!</definedName>
    <definedName name="GAAAAAAAFC" localSheetId="9">#REF!</definedName>
    <definedName name="GAAAAAAAFC" localSheetId="2">#REF!</definedName>
    <definedName name="GAAAAAAAFC">#REF!</definedName>
    <definedName name="GDRGT" localSheetId="7">#REF!</definedName>
    <definedName name="GDRGT" localSheetId="8">#REF!</definedName>
    <definedName name="GDRGT" localSheetId="9">#REF!</definedName>
    <definedName name="GDRGT" localSheetId="2">#REF!</definedName>
    <definedName name="GDRGT">#REF!</definedName>
    <definedName name="GDSF" localSheetId="7">#REF!</definedName>
    <definedName name="GDSF" localSheetId="8">#REF!</definedName>
    <definedName name="GDSF" localSheetId="9">#REF!</definedName>
    <definedName name="GDSF" localSheetId="2">#REF!</definedName>
    <definedName name="GDSF">#REF!</definedName>
    <definedName name="GFHDNHZ" localSheetId="7">#REF!</definedName>
    <definedName name="GFHDNHZ" localSheetId="8">#REF!</definedName>
    <definedName name="GFHDNHZ" localSheetId="9">#REF!</definedName>
    <definedName name="GFHDNHZ" localSheetId="2">#REF!</definedName>
    <definedName name="GFHDNHZ">#REF!</definedName>
    <definedName name="GFNBC" localSheetId="7">#REF!</definedName>
    <definedName name="GFNBC" localSheetId="8">#REF!</definedName>
    <definedName name="GFNBC" localSheetId="9">#REF!</definedName>
    <definedName name="GFNBC" localSheetId="2">#REF!</definedName>
    <definedName name="GFNBC">#REF!</definedName>
    <definedName name="gfre" localSheetId="7">#REF!</definedName>
    <definedName name="gfre" localSheetId="8">#REF!</definedName>
    <definedName name="gfre" localSheetId="9">#REF!</definedName>
    <definedName name="gfre" localSheetId="2">#REF!</definedName>
    <definedName name="gfre">#REF!</definedName>
    <definedName name="ggggg" localSheetId="7">#REF!</definedName>
    <definedName name="ggggg" localSheetId="8">#REF!</definedName>
    <definedName name="ggggg" localSheetId="9">#REF!</definedName>
    <definedName name="ggggg" localSheetId="2">#REF!</definedName>
    <definedName name="ggggg">#REF!</definedName>
    <definedName name="gggggggggggggggggg" localSheetId="7">#REF!</definedName>
    <definedName name="gggggggggggggggggg" localSheetId="8">#REF!</definedName>
    <definedName name="gggggggggggggggggg" localSheetId="9">#REF!</definedName>
    <definedName name="gggggggggggggggggg" localSheetId="2">#REF!</definedName>
    <definedName name="gggggggggggggggggg">#REF!</definedName>
    <definedName name="GGGGGGGGGGGGGGGGGGGGG" localSheetId="7">#REF!</definedName>
    <definedName name="GGGGGGGGGGGGGGGGGGGGG" localSheetId="8">#REF!</definedName>
    <definedName name="GGGGGGGGGGGGGGGGGGGGG" localSheetId="9">#REF!</definedName>
    <definedName name="GGGGGGGGGGGGGGGGGGGGG" localSheetId="2">#REF!</definedName>
    <definedName name="GGGGGGGGGGGGGGGGGGGGG">#REF!</definedName>
    <definedName name="GGGZDG" localSheetId="7">#REF!</definedName>
    <definedName name="GGGZDG" localSheetId="8">#REF!</definedName>
    <definedName name="GGGZDG" localSheetId="9">#REF!</definedName>
    <definedName name="GGGZDG" localSheetId="2">#REF!</definedName>
    <definedName name="GGGZDG">#REF!</definedName>
    <definedName name="GHNVGC" localSheetId="7">#REF!</definedName>
    <definedName name="GHNVGC" localSheetId="8">#REF!</definedName>
    <definedName name="GHNVGC" localSheetId="9">#REF!</definedName>
    <definedName name="GHNVGC" localSheetId="2">#REF!</definedName>
    <definedName name="GHNVGC">#REF!</definedName>
    <definedName name="GRFCEZSX" localSheetId="7">#REF!</definedName>
    <definedName name="GRFCEZSX" localSheetId="8">#REF!</definedName>
    <definedName name="GRFCEZSX" localSheetId="9">#REF!</definedName>
    <definedName name="GRFCEZSX" localSheetId="2">#REF!</definedName>
    <definedName name="GRFCEZSX">#REF!</definedName>
    <definedName name="gsdfgsdgsds" localSheetId="7">#REF!</definedName>
    <definedName name="gsdfgsdgsds" localSheetId="8">#REF!</definedName>
    <definedName name="gsdfgsdgsds" localSheetId="9">#REF!</definedName>
    <definedName name="gsdfgsdgsds" localSheetId="2">#REF!</definedName>
    <definedName name="gsdfgsdgsds">#REF!</definedName>
    <definedName name="GZDFA" localSheetId="7">#REF!</definedName>
    <definedName name="GZDFA" localSheetId="8">#REF!</definedName>
    <definedName name="GZDFA" localSheetId="9">#REF!</definedName>
    <definedName name="GZDFA" localSheetId="2">#REF!</definedName>
    <definedName name="GZDFA">#REF!</definedName>
    <definedName name="holidays">'Public Holiday'!$A$2:$A$25</definedName>
    <definedName name="HSA" localSheetId="7">#REF!</definedName>
    <definedName name="HSA" localSheetId="8">#REF!</definedName>
    <definedName name="HSA" localSheetId="9">#REF!</definedName>
    <definedName name="HSA" localSheetId="2">#REF!</definedName>
    <definedName name="HSA">#REF!</definedName>
    <definedName name="hujung">#REF!</definedName>
    <definedName name="I" localSheetId="7">#REF!</definedName>
    <definedName name="I" localSheetId="8">#REF!</definedName>
    <definedName name="I" localSheetId="9">#REF!</definedName>
    <definedName name="I" localSheetId="2">#REF!</definedName>
    <definedName name="I">#REF!</definedName>
    <definedName name="ILA" localSheetId="7">#REF!</definedName>
    <definedName name="ILA" localSheetId="8">#REF!</definedName>
    <definedName name="ILA" localSheetId="9">#REF!</definedName>
    <definedName name="ILA" localSheetId="2">#REF!</definedName>
    <definedName name="ILA">#REF!</definedName>
    <definedName name="kkk" localSheetId="7">#REF!</definedName>
    <definedName name="kkk" localSheetId="8">#REF!</definedName>
    <definedName name="kkk" localSheetId="9">#REF!</definedName>
    <definedName name="kkk" localSheetId="2">#REF!</definedName>
    <definedName name="kkk">#REF!</definedName>
    <definedName name="kkkkk" localSheetId="7">#REF!</definedName>
    <definedName name="kkkkk" localSheetId="8">#REF!</definedName>
    <definedName name="kkkkk" localSheetId="9">#REF!</definedName>
    <definedName name="kkkkk" localSheetId="2">#REF!</definedName>
    <definedName name="kkkkk">#REF!</definedName>
    <definedName name="LA" localSheetId="7">#REF!</definedName>
    <definedName name="LA" localSheetId="8">#REF!</definedName>
    <definedName name="LA" localSheetId="9">#REF!</definedName>
    <definedName name="LA" localSheetId="2">#REF!</definedName>
    <definedName name="LA">#REF!</definedName>
    <definedName name="LALA" localSheetId="7">#REF!</definedName>
    <definedName name="LALA" localSheetId="8">#REF!</definedName>
    <definedName name="LALA" localSheetId="9">#REF!</definedName>
    <definedName name="LALA" localSheetId="2">#REF!</definedName>
    <definedName name="LALA">#REF!</definedName>
    <definedName name="list" localSheetId="7">#REF!</definedName>
    <definedName name="list" localSheetId="8">#REF!</definedName>
    <definedName name="list" localSheetId="9">#REF!</definedName>
    <definedName name="list" localSheetId="2">#REF!</definedName>
    <definedName name="list">#REF!</definedName>
    <definedName name="ll" localSheetId="7">#REF!</definedName>
    <definedName name="ll" localSheetId="8">#REF!</definedName>
    <definedName name="ll" localSheetId="9">#REF!</definedName>
    <definedName name="ll" localSheetId="2">#REF!</definedName>
    <definedName name="ll">#REF!</definedName>
    <definedName name="LLLLL" localSheetId="7">#REF!</definedName>
    <definedName name="LLLLL" localSheetId="8">#REF!</definedName>
    <definedName name="LLLLL" localSheetId="9">#REF!</definedName>
    <definedName name="LLLLL" localSheetId="2">#REF!</definedName>
    <definedName name="LLLLL">#REF!</definedName>
    <definedName name="mappingMay" localSheetId="7">#REF!</definedName>
    <definedName name="mappingMay" localSheetId="8">#REF!</definedName>
    <definedName name="mappingMay" localSheetId="9">#REF!</definedName>
    <definedName name="mappingMay" localSheetId="2">#REF!</definedName>
    <definedName name="mappingMay">#REF!</definedName>
    <definedName name="MMMMMMMMMMMMMM" localSheetId="7">#REF!</definedName>
    <definedName name="MMMMMMMMMMMMMM" localSheetId="8">#REF!</definedName>
    <definedName name="MMMMMMMMMMMMMM" localSheetId="9">#REF!</definedName>
    <definedName name="MMMMMMMMMMMMMM" localSheetId="2">#REF!</definedName>
    <definedName name="MMMMMMMMMMMMMM">#REF!</definedName>
    <definedName name="my_name" localSheetId="7">#REF!</definedName>
    <definedName name="my_name" localSheetId="8">#REF!</definedName>
    <definedName name="my_name" localSheetId="9">#REF!</definedName>
    <definedName name="my_name" localSheetId="2">#REF!</definedName>
    <definedName name="my_name">#REF!</definedName>
    <definedName name="my_name_Ila" localSheetId="7">#REF!</definedName>
    <definedName name="my_name_Ila" localSheetId="8">#REF!</definedName>
    <definedName name="my_name_Ila" localSheetId="9">#REF!</definedName>
    <definedName name="my_name_Ila" localSheetId="2">#REF!</definedName>
    <definedName name="my_name_Ila">#REF!</definedName>
    <definedName name="nnn" localSheetId="7">#REF!</definedName>
    <definedName name="nnn" localSheetId="8">#REF!</definedName>
    <definedName name="nnn" localSheetId="9">#REF!</definedName>
    <definedName name="nnn" localSheetId="2">#REF!</definedName>
    <definedName name="nnn">#REF!</definedName>
    <definedName name="NNNN" localSheetId="7">#REF!</definedName>
    <definedName name="NNNN" localSheetId="8">#REF!</definedName>
    <definedName name="NNNN" localSheetId="9">#REF!</definedName>
    <definedName name="NNNN" localSheetId="2">#REF!</definedName>
    <definedName name="NNNN">#REF!</definedName>
    <definedName name="NNNNNNNNNNNNNNNN" localSheetId="7">#REF!</definedName>
    <definedName name="NNNNNNNNNNNNNNNN" localSheetId="8">#REF!</definedName>
    <definedName name="NNNNNNNNNNNNNNNN" localSheetId="9">#REF!</definedName>
    <definedName name="NNNNNNNNNNNNNNNN" localSheetId="2">#REF!</definedName>
    <definedName name="NNNNNNNNNNNNNNNN">#REF!</definedName>
    <definedName name="NNNNNNNNNNNNNNNNNNNNNNNNNNNNNNN" localSheetId="7">#REF!</definedName>
    <definedName name="NNNNNNNNNNNNNNNNNNNNNNNNNNNNNNN" localSheetId="8">#REF!</definedName>
    <definedName name="NNNNNNNNNNNNNNNNNNNNNNNNNNNNNNN" localSheetId="9">#REF!</definedName>
    <definedName name="NNNNNNNNNNNNNNNNNNNNNNNNNNNNNNN" localSheetId="2">#REF!</definedName>
    <definedName name="NNNNNNNNNNNNNNNNNNNNNNNNNNNNNNN">#REF!</definedName>
    <definedName name="NNNNNNNNNNNNNNNNNNNNNNNNNNNNNNNNNN" localSheetId="7">#REF!</definedName>
    <definedName name="NNNNNNNNNNNNNNNNNNNNNNNNNNNNNNNNNN" localSheetId="8">#REF!</definedName>
    <definedName name="NNNNNNNNNNNNNNNNNNNNNNNNNNNNNNNNNN" localSheetId="9">#REF!</definedName>
    <definedName name="NNNNNNNNNNNNNNNNNNNNNNNNNNNNNNNNNN" localSheetId="2">#REF!</definedName>
    <definedName name="NNNNNNNNNNNNNNNNNNNNNNNNNNNNNNNNNN">#REF!</definedName>
    <definedName name="NO" localSheetId="7">#REF!</definedName>
    <definedName name="NO" localSheetId="8">#REF!</definedName>
    <definedName name="NO" localSheetId="9">#REF!</definedName>
    <definedName name="NO" localSheetId="2">#REF!</definedName>
    <definedName name="NO">#REF!</definedName>
    <definedName name="OLE_LINK2" localSheetId="1">UPTIME!$G$61</definedName>
    <definedName name="OOO" localSheetId="7">#REF!</definedName>
    <definedName name="OOO" localSheetId="8">#REF!</definedName>
    <definedName name="OOO" localSheetId="9">#REF!</definedName>
    <definedName name="OOO" localSheetId="2">#REF!</definedName>
    <definedName name="OOO">#REF!</definedName>
    <definedName name="OOOOOOOOO" localSheetId="7">#REF!</definedName>
    <definedName name="OOOOOOOOO" localSheetId="8">#REF!</definedName>
    <definedName name="OOOOOOOOO" localSheetId="9">#REF!</definedName>
    <definedName name="OOOOOOOOO" localSheetId="2">#REF!</definedName>
    <definedName name="OOOOOOOOO">#REF!</definedName>
    <definedName name="PP" localSheetId="7">#REF!</definedName>
    <definedName name="PP" localSheetId="8">#REF!</definedName>
    <definedName name="PP" localSheetId="9">#REF!</definedName>
    <definedName name="PP" localSheetId="2">#REF!</definedName>
    <definedName name="PP">#REF!</definedName>
    <definedName name="PPP" localSheetId="7">#REF!</definedName>
    <definedName name="PPP" localSheetId="8">#REF!</definedName>
    <definedName name="PPP" localSheetId="9">#REF!</definedName>
    <definedName name="PPP" localSheetId="2">#REF!</definedName>
    <definedName name="PPP">#REF!</definedName>
    <definedName name="PPPPPPP" localSheetId="7">#REF!</definedName>
    <definedName name="PPPPPPP" localSheetId="8">#REF!</definedName>
    <definedName name="PPPPPPP" localSheetId="9">#REF!</definedName>
    <definedName name="PPPPPPP" localSheetId="2">#REF!</definedName>
    <definedName name="PPPPPPP">#REF!</definedName>
    <definedName name="QQQ" localSheetId="7">#REF!</definedName>
    <definedName name="QQQ" localSheetId="8">#REF!</definedName>
    <definedName name="QQQ" localSheetId="9">#REF!</definedName>
    <definedName name="QQQ" localSheetId="2">#REF!</definedName>
    <definedName name="QQQ">#REF!</definedName>
    <definedName name="REEEEEEEW" localSheetId="7">#REF!</definedName>
    <definedName name="REEEEEEEW" localSheetId="8">#REF!</definedName>
    <definedName name="REEEEEEEW" localSheetId="9">#REF!</definedName>
    <definedName name="REEEEEEEW" localSheetId="2">#REF!</definedName>
    <definedName name="REEEEEEEW">#REF!</definedName>
    <definedName name="REST" localSheetId="7">#REF!</definedName>
    <definedName name="REST" localSheetId="8">#REF!</definedName>
    <definedName name="REST" localSheetId="9">#REF!</definedName>
    <definedName name="REST" localSheetId="2">#REF!</definedName>
    <definedName name="REST">#REF!</definedName>
    <definedName name="rewc" localSheetId="7">#REF!</definedName>
    <definedName name="rewc" localSheetId="8">#REF!</definedName>
    <definedName name="rewc" localSheetId="9">#REF!</definedName>
    <definedName name="rewc" localSheetId="2">#REF!</definedName>
    <definedName name="rewc">#REF!</definedName>
    <definedName name="rfc" localSheetId="7">#REF!</definedName>
    <definedName name="rfc" localSheetId="8">#REF!</definedName>
    <definedName name="rfc" localSheetId="9">#REF!</definedName>
    <definedName name="rfc" localSheetId="2">#REF!</definedName>
    <definedName name="rfc">#REF!</definedName>
    <definedName name="rfdfsd" localSheetId="7">#REF!</definedName>
    <definedName name="rfdfsd" localSheetId="8">#REF!</definedName>
    <definedName name="rfdfsd" localSheetId="9">#REF!</definedName>
    <definedName name="rfdfsd" localSheetId="2">#REF!</definedName>
    <definedName name="rfdfsd">#REF!</definedName>
    <definedName name="RGCCCCCCSX" localSheetId="7">#REF!</definedName>
    <definedName name="RGCCCCCCSX" localSheetId="8">#REF!</definedName>
    <definedName name="RGCCCCCCSX" localSheetId="9">#REF!</definedName>
    <definedName name="RGCCCCCCSX" localSheetId="2">#REF!</definedName>
    <definedName name="RGCCCCCCSX">#REF!</definedName>
    <definedName name="rgfd" localSheetId="7">#REF!</definedName>
    <definedName name="rgfd" localSheetId="8">#REF!</definedName>
    <definedName name="rgfd" localSheetId="9">#REF!</definedName>
    <definedName name="rgfd" localSheetId="2">#REF!</definedName>
    <definedName name="rgfd">#REF!</definedName>
    <definedName name="rrhrdhdr" localSheetId="7">#REF!</definedName>
    <definedName name="rrhrdhdr" localSheetId="8">#REF!</definedName>
    <definedName name="rrhrdhdr" localSheetId="9">#REF!</definedName>
    <definedName name="rrhrdhdr" localSheetId="2">#REF!</definedName>
    <definedName name="rrhrdhdr">#REF!</definedName>
    <definedName name="RRRRRRRRRRRRRRRRRRR" localSheetId="7">#REF!</definedName>
    <definedName name="RRRRRRRRRRRRRRRRRRR" localSheetId="8">#REF!</definedName>
    <definedName name="RRRRRRRRRRRRRRRRRRR" localSheetId="9">#REF!</definedName>
    <definedName name="RRRRRRRRRRRRRRRRRRR" localSheetId="2">#REF!</definedName>
    <definedName name="RRRRRRRRRRRRRRRRRRR">#REF!</definedName>
    <definedName name="rtr" localSheetId="7">#REF!</definedName>
    <definedName name="rtr" localSheetId="8">#REF!</definedName>
    <definedName name="rtr" localSheetId="9">#REF!</definedName>
    <definedName name="rtr" localSheetId="2">#REF!</definedName>
    <definedName name="rtr">#REF!</definedName>
    <definedName name="rtwertert" localSheetId="7">#REF!</definedName>
    <definedName name="rtwertert" localSheetId="8">#REF!</definedName>
    <definedName name="rtwertert" localSheetId="9">#REF!</definedName>
    <definedName name="rtwertert" localSheetId="2">#REF!</definedName>
    <definedName name="rtwertert">#REF!</definedName>
    <definedName name="sdssfsf" localSheetId="7">#REF!</definedName>
    <definedName name="sdssfsf" localSheetId="8">#REF!</definedName>
    <definedName name="sdssfsf" localSheetId="9">#REF!</definedName>
    <definedName name="sdssfsf" localSheetId="2">#REF!</definedName>
    <definedName name="sdssfsf">#REF!</definedName>
    <definedName name="SSSS" localSheetId="7">#REF!</definedName>
    <definedName name="SSSS" localSheetId="8">#REF!</definedName>
    <definedName name="SSSS" localSheetId="9">#REF!</definedName>
    <definedName name="SSSS" localSheetId="2">#REF!</definedName>
    <definedName name="SSSS">#REF!</definedName>
    <definedName name="SSSSSSSSSSS" localSheetId="7">#REF!</definedName>
    <definedName name="SSSSSSSSSSS" localSheetId="8">#REF!</definedName>
    <definedName name="SSSSSSSSSSS" localSheetId="9">#REF!</definedName>
    <definedName name="SSSSSSSSSSS" localSheetId="2">#REF!</definedName>
    <definedName name="SSSSSSSSSSS">#REF!</definedName>
    <definedName name="SSSSSSSSSSSSSS" localSheetId="7">#REF!</definedName>
    <definedName name="SSSSSSSSSSSSSS" localSheetId="8">#REF!</definedName>
    <definedName name="SSSSSSSSSSSSSS" localSheetId="9">#REF!</definedName>
    <definedName name="SSSSSSSSSSSSSS" localSheetId="2">#REF!</definedName>
    <definedName name="SSSSSSSSSSSSSS">#REF!</definedName>
    <definedName name="SSSSSSSSSSSSSSSSSSSSS" localSheetId="7">#REF!</definedName>
    <definedName name="SSSSSSSSSSSSSSSSSSSSS" localSheetId="8">#REF!</definedName>
    <definedName name="SSSSSSSSSSSSSSSSSSSSS" localSheetId="9">#REF!</definedName>
    <definedName name="SSSSSSSSSSSSSSSSSSSSS" localSheetId="2">#REF!</definedName>
    <definedName name="SSSSSSSSSSSSSSSSSSSSS">#REF!</definedName>
    <definedName name="SSSSSSSSSSSSSSSSSSSSSSSSSS" localSheetId="7">#REF!</definedName>
    <definedName name="SSSSSSSSSSSSSSSSSSSSSSSSSS" localSheetId="8">#REF!</definedName>
    <definedName name="SSSSSSSSSSSSSSSSSSSSSSSSSS" localSheetId="9">#REF!</definedName>
    <definedName name="SSSSSSSSSSSSSSSSSSSSSSSSSS" localSheetId="2">#REF!</definedName>
    <definedName name="SSSSSSSSSSSSSSSSSSSSSSSSSS">#REF!</definedName>
    <definedName name="SSSSSSSSSSSSSSSSSSSSSSSSSSSSSSS" localSheetId="7">#REF!</definedName>
    <definedName name="SSSSSSSSSSSSSSSSSSSSSSSSSSSSSSS" localSheetId="8">#REF!</definedName>
    <definedName name="SSSSSSSSSSSSSSSSSSSSSSSSSSSSSSS" localSheetId="9">#REF!</definedName>
    <definedName name="SSSSSSSSSSSSSSSSSSSSSSSSSSSSSSS" localSheetId="2">#REF!</definedName>
    <definedName name="SSSSSSSSSSSSSSSSSSSSSSSSSSSSSSS">#REF!</definedName>
    <definedName name="SUM" localSheetId="7">#REF!</definedName>
    <definedName name="SUM" localSheetId="8">#REF!</definedName>
    <definedName name="SUM" localSheetId="9">#REF!</definedName>
    <definedName name="SUM" localSheetId="2">#REF!</definedName>
    <definedName name="SUM">#REF!</definedName>
    <definedName name="tarikhcuti">'Public Holiday'!$A$4:$A$25</definedName>
    <definedName name="tertertyertert" localSheetId="7">#REF!</definedName>
    <definedName name="tertertyertert" localSheetId="8">#REF!</definedName>
    <definedName name="tertertyertert" localSheetId="9">#REF!</definedName>
    <definedName name="tertertyertert" localSheetId="2">#REF!</definedName>
    <definedName name="tertertyertert">#REF!</definedName>
    <definedName name="TickCell" localSheetId="7">#REF!</definedName>
    <definedName name="TickCell" localSheetId="8">#REF!</definedName>
    <definedName name="TickCell" localSheetId="9">#REF!</definedName>
    <definedName name="TickCell" localSheetId="2">#REF!</definedName>
    <definedName name="TickCell">#REF!</definedName>
    <definedName name="try" localSheetId="7">#REF!</definedName>
    <definedName name="try" localSheetId="8">#REF!</definedName>
    <definedName name="try" localSheetId="9">#REF!</definedName>
    <definedName name="try" localSheetId="2">#REF!</definedName>
    <definedName name="try">#REF!</definedName>
    <definedName name="twewtweewt" localSheetId="7">#REF!</definedName>
    <definedName name="twewtweewt" localSheetId="8">#REF!</definedName>
    <definedName name="twewtweewt" localSheetId="9">#REF!</definedName>
    <definedName name="twewtweewt" localSheetId="2">#REF!</definedName>
    <definedName name="twewtweewt">#REF!</definedName>
    <definedName name="ukjj" localSheetId="7">#REF!</definedName>
    <definedName name="ukjj" localSheetId="8">#REF!</definedName>
    <definedName name="ukjj" localSheetId="9">#REF!</definedName>
    <definedName name="ukjj" localSheetId="2">#REF!</definedName>
    <definedName name="ukjj">#REF!</definedName>
    <definedName name="VEEEEEEEEE" localSheetId="7">#REF!</definedName>
    <definedName name="VEEEEEEEEE" localSheetId="8">#REF!</definedName>
    <definedName name="VEEEEEEEEE" localSheetId="9">#REF!</definedName>
    <definedName name="VEEEEEEEEE" localSheetId="2">#REF!</definedName>
    <definedName name="VEEEEEEEEE">#REF!</definedName>
    <definedName name="vtecax" localSheetId="7">#REF!</definedName>
    <definedName name="vtecax" localSheetId="8">#REF!</definedName>
    <definedName name="vtecax" localSheetId="9">#REF!</definedName>
    <definedName name="vtecax" localSheetId="2">#REF!</definedName>
    <definedName name="vtecax">#REF!</definedName>
    <definedName name="WAE" localSheetId="7">#REF!</definedName>
    <definedName name="WAE" localSheetId="8">#REF!</definedName>
    <definedName name="WAE" localSheetId="9">#REF!</definedName>
    <definedName name="WAE" localSheetId="2">#REF!</definedName>
    <definedName name="WAE">#REF!</definedName>
    <definedName name="WEA" localSheetId="7">#REF!</definedName>
    <definedName name="WEA" localSheetId="8">#REF!</definedName>
    <definedName name="WEA" localSheetId="9">#REF!</definedName>
    <definedName name="WEA" localSheetId="2">#REF!</definedName>
    <definedName name="WEA">#REF!</definedName>
    <definedName name="Yes" localSheetId="7">#REF!</definedName>
    <definedName name="Yes" localSheetId="8">#REF!</definedName>
    <definedName name="Yes" localSheetId="9">#REF!</definedName>
    <definedName name="Yes" localSheetId="2">#REF!</definedName>
    <definedName name="Yes">#REF!</definedName>
    <definedName name="yttyrty" localSheetId="7">#REF!</definedName>
    <definedName name="yttyrty" localSheetId="8">#REF!</definedName>
    <definedName name="yttyrty" localSheetId="9">#REF!</definedName>
    <definedName name="yttyrty" localSheetId="2">#REF!</definedName>
    <definedName name="yttyrty">#REF!</definedName>
    <definedName name="zhGFFFDX" localSheetId="7">#REF!</definedName>
    <definedName name="zhGFFFDX" localSheetId="8">#REF!</definedName>
    <definedName name="zhGFFFDX" localSheetId="9">#REF!</definedName>
    <definedName name="zhGFFFDX" localSheetId="2">#REF!</definedName>
    <definedName name="zhGFFFDX">#REF!</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75" i="9" l="1"/>
  <c r="Y75" i="9"/>
  <c r="Z75" i="9" s="1"/>
  <c r="Y74" i="9"/>
  <c r="S75" i="9"/>
  <c r="X21" i="9"/>
  <c r="X20" i="9"/>
  <c r="X19" i="9"/>
  <c r="S93" i="9" l="1"/>
  <c r="S92" i="9"/>
  <c r="S91" i="9"/>
  <c r="S90" i="9"/>
  <c r="S89" i="9"/>
  <c r="X89" i="9" s="1"/>
  <c r="S88" i="9"/>
  <c r="S87" i="9"/>
  <c r="S86" i="9"/>
  <c r="S85" i="9"/>
  <c r="S84" i="9"/>
  <c r="S83" i="9"/>
  <c r="S82" i="9"/>
  <c r="Y93" i="9"/>
  <c r="X93" i="9"/>
  <c r="Y92" i="9"/>
  <c r="X92" i="9"/>
  <c r="Y91" i="9"/>
  <c r="X91" i="9"/>
  <c r="Y90" i="9"/>
  <c r="X90" i="9"/>
  <c r="Z90" i="9" s="1"/>
  <c r="Y89" i="9"/>
  <c r="Y88" i="9"/>
  <c r="X88" i="9"/>
  <c r="Y87" i="9"/>
  <c r="X87" i="9"/>
  <c r="Y86" i="9"/>
  <c r="X86" i="9"/>
  <c r="Z86" i="9" s="1"/>
  <c r="Y85" i="9"/>
  <c r="X85" i="9"/>
  <c r="Z85" i="9" s="1"/>
  <c r="Y84" i="9"/>
  <c r="X84" i="9"/>
  <c r="Y83" i="9"/>
  <c r="X83" i="9"/>
  <c r="Y82" i="9"/>
  <c r="X82" i="9"/>
  <c r="Z82" i="9" s="1"/>
  <c r="Z87" i="9" l="1"/>
  <c r="Z89" i="9"/>
  <c r="Z93" i="9"/>
  <c r="Z84" i="9"/>
  <c r="Z88" i="9"/>
  <c r="Z83" i="9"/>
  <c r="Z91" i="9"/>
  <c r="Z92" i="9"/>
  <c r="M277" i="8" l="1"/>
  <c r="L277" i="8"/>
  <c r="L104" i="7"/>
  <c r="T104" i="7" s="1"/>
  <c r="N104" i="7"/>
  <c r="Q104" i="7"/>
  <c r="R104" i="7"/>
  <c r="R162" i="7"/>
  <c r="Q162" i="7"/>
  <c r="N162" i="7"/>
  <c r="N132" i="7"/>
  <c r="Q132" i="7"/>
  <c r="R132" i="7"/>
  <c r="N133" i="7"/>
  <c r="Q133" i="7"/>
  <c r="R133" i="7"/>
  <c r="N134" i="7"/>
  <c r="Q134" i="7"/>
  <c r="R134" i="7"/>
  <c r="N135" i="7"/>
  <c r="Q135" i="7"/>
  <c r="R135" i="7"/>
  <c r="N136" i="7"/>
  <c r="Q136" i="7"/>
  <c r="R136" i="7"/>
  <c r="N137" i="7"/>
  <c r="Q137" i="7"/>
  <c r="R137" i="7"/>
  <c r="N138" i="7"/>
  <c r="Q138" i="7"/>
  <c r="R138" i="7"/>
  <c r="N131" i="7"/>
  <c r="Q131" i="7"/>
  <c r="R131" i="7"/>
  <c r="N139" i="7"/>
  <c r="Q139" i="7"/>
  <c r="R139" i="7"/>
  <c r="N140" i="7"/>
  <c r="Q140" i="7"/>
  <c r="R140" i="7"/>
  <c r="N141" i="7"/>
  <c r="Q141" i="7"/>
  <c r="R141" i="7"/>
  <c r="N142" i="7"/>
  <c r="Q142" i="7"/>
  <c r="R142" i="7"/>
  <c r="N143" i="7"/>
  <c r="Q143" i="7"/>
  <c r="R143" i="7"/>
  <c r="N144" i="7"/>
  <c r="Q144" i="7"/>
  <c r="R144" i="7"/>
  <c r="N145" i="7"/>
  <c r="Q145" i="7"/>
  <c r="R145" i="7"/>
  <c r="N146" i="7"/>
  <c r="Q146" i="7"/>
  <c r="R146" i="7"/>
  <c r="N147" i="7"/>
  <c r="Q147" i="7"/>
  <c r="R147" i="7"/>
  <c r="N148" i="7"/>
  <c r="Q148" i="7"/>
  <c r="R148" i="7"/>
  <c r="N149" i="7"/>
  <c r="Q149" i="7"/>
  <c r="R149" i="7"/>
  <c r="N150" i="7"/>
  <c r="Q150" i="7"/>
  <c r="R150" i="7"/>
  <c r="N151" i="7"/>
  <c r="Q151" i="7"/>
  <c r="R151" i="7"/>
  <c r="N152" i="7"/>
  <c r="Q152" i="7"/>
  <c r="R152" i="7"/>
  <c r="N153" i="7"/>
  <c r="Q153" i="7"/>
  <c r="R153" i="7"/>
  <c r="N154" i="7"/>
  <c r="Q154" i="7"/>
  <c r="R154" i="7"/>
  <c r="N155" i="7"/>
  <c r="Q155" i="7"/>
  <c r="R155" i="7"/>
  <c r="N156" i="7"/>
  <c r="Q156" i="7"/>
  <c r="R156" i="7"/>
  <c r="N157" i="7"/>
  <c r="Q157" i="7"/>
  <c r="R157" i="7"/>
  <c r="N127" i="7"/>
  <c r="Q127" i="7"/>
  <c r="R127" i="7"/>
  <c r="N158" i="7"/>
  <c r="Q158" i="7"/>
  <c r="R158" i="7"/>
  <c r="N159" i="7"/>
  <c r="Q159" i="7"/>
  <c r="R159" i="7"/>
  <c r="N160" i="7"/>
  <c r="Q160" i="7"/>
  <c r="R160" i="7"/>
  <c r="N161" i="7"/>
  <c r="Q161" i="7"/>
  <c r="R161" i="7"/>
  <c r="Q129" i="7"/>
  <c r="R129" i="7"/>
  <c r="N129" i="7"/>
  <c r="R128" i="7"/>
  <c r="Q128" i="7"/>
  <c r="N128" i="7"/>
  <c r="R126" i="7"/>
  <c r="Q126" i="7"/>
  <c r="N126" i="7"/>
  <c r="R125" i="7"/>
  <c r="Q125" i="7"/>
  <c r="N125" i="7"/>
  <c r="R124" i="7"/>
  <c r="Q124" i="7"/>
  <c r="N124" i="7"/>
  <c r="R123" i="7"/>
  <c r="Q123" i="7"/>
  <c r="N123" i="7"/>
  <c r="R122" i="7"/>
  <c r="Q122" i="7"/>
  <c r="N122" i="7"/>
  <c r="R121" i="7"/>
  <c r="Q121" i="7"/>
  <c r="N121" i="7"/>
  <c r="R120" i="7"/>
  <c r="Q120" i="7"/>
  <c r="N120" i="7"/>
  <c r="R119" i="7"/>
  <c r="Q119" i="7"/>
  <c r="N119" i="7"/>
  <c r="R118" i="7"/>
  <c r="Q118" i="7"/>
  <c r="N118" i="7"/>
  <c r="R117" i="7"/>
  <c r="Q117" i="7"/>
  <c r="N117" i="7"/>
  <c r="R116" i="7"/>
  <c r="Q116" i="7"/>
  <c r="N116" i="7"/>
  <c r="R115" i="7"/>
  <c r="Q115" i="7"/>
  <c r="N115" i="7"/>
  <c r="R114" i="7"/>
  <c r="Q114" i="7"/>
  <c r="N114" i="7"/>
  <c r="R113" i="7"/>
  <c r="Q113" i="7"/>
  <c r="N113" i="7"/>
  <c r="R112" i="7"/>
  <c r="Q112" i="7"/>
  <c r="N112" i="7"/>
  <c r="R111" i="7"/>
  <c r="Q111" i="7"/>
  <c r="N111" i="7"/>
  <c r="R110" i="7"/>
  <c r="Q110" i="7"/>
  <c r="N110" i="7"/>
  <c r="R109" i="7"/>
  <c r="Q109" i="7"/>
  <c r="N109" i="7"/>
  <c r="R108" i="7"/>
  <c r="Q108" i="7"/>
  <c r="N108" i="7"/>
  <c r="R107" i="7"/>
  <c r="Q107" i="7"/>
  <c r="N107" i="7"/>
  <c r="R106" i="7"/>
  <c r="Q106" i="7"/>
  <c r="N106" i="7"/>
  <c r="M24" i="8"/>
  <c r="L24" i="8"/>
  <c r="M23" i="8"/>
  <c r="L23" i="8"/>
  <c r="M193" i="8"/>
  <c r="L193" i="8"/>
  <c r="M192" i="8"/>
  <c r="L192" i="8"/>
  <c r="M191" i="8"/>
  <c r="L191" i="8"/>
  <c r="M22" i="8"/>
  <c r="L22" i="8"/>
  <c r="M29" i="8"/>
  <c r="L29" i="8"/>
  <c r="M28" i="8"/>
  <c r="L28" i="8"/>
  <c r="M27" i="8"/>
  <c r="L27" i="8"/>
  <c r="M194" i="8"/>
  <c r="L194" i="8"/>
  <c r="M26" i="8"/>
  <c r="L26" i="8"/>
  <c r="M25" i="8"/>
  <c r="L25" i="8"/>
  <c r="M252" i="8"/>
  <c r="L252" i="8"/>
  <c r="M251" i="8"/>
  <c r="L251" i="8"/>
  <c r="M121" i="8"/>
  <c r="L121" i="8"/>
  <c r="M120" i="8"/>
  <c r="L120" i="8"/>
  <c r="M250" i="8"/>
  <c r="L250" i="8"/>
  <c r="M119" i="8"/>
  <c r="L119" i="8"/>
  <c r="M118" i="8"/>
  <c r="L118" i="8"/>
  <c r="M117" i="8"/>
  <c r="L117" i="8"/>
  <c r="M249" i="8"/>
  <c r="L249" i="8"/>
  <c r="M248" i="8"/>
  <c r="L248" i="8"/>
  <c r="M247" i="8"/>
  <c r="L247" i="8"/>
  <c r="M246" i="8"/>
  <c r="L246" i="8"/>
  <c r="M116" i="8"/>
  <c r="L116" i="8"/>
  <c r="M245" i="8"/>
  <c r="L245" i="8"/>
  <c r="M244" i="8"/>
  <c r="L244" i="8"/>
  <c r="M115" i="8"/>
  <c r="L115" i="8"/>
  <c r="M114" i="8"/>
  <c r="L114" i="8"/>
  <c r="M243" i="8"/>
  <c r="L243" i="8"/>
  <c r="M113" i="8"/>
  <c r="L113" i="8"/>
  <c r="M112" i="8"/>
  <c r="L112" i="8"/>
  <c r="M111" i="8"/>
  <c r="L111" i="8"/>
  <c r="M110" i="8"/>
  <c r="L110" i="8"/>
  <c r="M109" i="8"/>
  <c r="L109" i="8"/>
  <c r="M108" i="8"/>
  <c r="L108" i="8"/>
  <c r="M107" i="8"/>
  <c r="L107" i="8"/>
  <c r="M106" i="8"/>
  <c r="L106" i="8"/>
  <c r="M105" i="8"/>
  <c r="L105" i="8"/>
  <c r="M104" i="8"/>
  <c r="L104" i="8"/>
  <c r="M103" i="8"/>
  <c r="L103" i="8"/>
  <c r="M102" i="8"/>
  <c r="L102" i="8"/>
  <c r="M242" i="8"/>
  <c r="L242" i="8"/>
  <c r="M101" i="8"/>
  <c r="L101" i="8"/>
  <c r="M100" i="8"/>
  <c r="L100" i="8"/>
  <c r="M241" i="8"/>
  <c r="L241" i="8"/>
  <c r="M240" i="8"/>
  <c r="L240" i="8"/>
  <c r="M239" i="8"/>
  <c r="L239" i="8"/>
  <c r="M238" i="8"/>
  <c r="L238" i="8"/>
  <c r="M99" i="8"/>
  <c r="L99" i="8"/>
  <c r="M98" i="8"/>
  <c r="L98" i="8"/>
  <c r="M97" i="8"/>
  <c r="L97" i="8"/>
  <c r="M237" i="8"/>
  <c r="L237" i="8"/>
  <c r="M236" i="8"/>
  <c r="L236" i="8"/>
  <c r="M96" i="8"/>
  <c r="L96" i="8"/>
  <c r="M95" i="8"/>
  <c r="L95" i="8"/>
  <c r="M94" i="8"/>
  <c r="L94" i="8"/>
  <c r="M93" i="8"/>
  <c r="L93" i="8"/>
  <c r="M92" i="8"/>
  <c r="L92" i="8"/>
  <c r="M91" i="8"/>
  <c r="L91" i="8"/>
  <c r="M235" i="8"/>
  <c r="L235" i="8"/>
  <c r="M90" i="8"/>
  <c r="L90" i="8"/>
  <c r="M89" i="8"/>
  <c r="L89" i="8"/>
  <c r="M88" i="8"/>
  <c r="L88" i="8"/>
  <c r="M87" i="8"/>
  <c r="L87" i="8"/>
  <c r="M86" i="8"/>
  <c r="L86" i="8"/>
  <c r="M85" i="8"/>
  <c r="L85" i="8"/>
  <c r="M84" i="8"/>
  <c r="L84" i="8"/>
  <c r="M83" i="8"/>
  <c r="L83" i="8"/>
  <c r="M82" i="8"/>
  <c r="L82" i="8"/>
  <c r="M234" i="8"/>
  <c r="L234" i="8"/>
  <c r="M233" i="8"/>
  <c r="L233" i="8"/>
  <c r="M232" i="8"/>
  <c r="L232" i="8"/>
  <c r="M231" i="8"/>
  <c r="L231" i="8"/>
  <c r="M230" i="8"/>
  <c r="L230" i="8"/>
  <c r="M229" i="8"/>
  <c r="L229" i="8"/>
  <c r="M228" i="8"/>
  <c r="L228" i="8"/>
  <c r="M81" i="8"/>
  <c r="L81" i="8"/>
  <c r="M80" i="8"/>
  <c r="L80" i="8"/>
  <c r="M79" i="8"/>
  <c r="L79" i="8"/>
  <c r="M78" i="8"/>
  <c r="L78" i="8"/>
  <c r="M77" i="8"/>
  <c r="L77" i="8"/>
  <c r="M76" i="8"/>
  <c r="L76" i="8"/>
  <c r="M227" i="8"/>
  <c r="L227" i="8"/>
  <c r="M226" i="8"/>
  <c r="L226" i="8"/>
  <c r="M225" i="8"/>
  <c r="L225" i="8"/>
  <c r="M224" i="8"/>
  <c r="L224" i="8"/>
  <c r="M223" i="8"/>
  <c r="L223" i="8"/>
  <c r="M222" i="8"/>
  <c r="L222" i="8"/>
  <c r="M221" i="8"/>
  <c r="L221" i="8"/>
  <c r="M220" i="8"/>
  <c r="L220" i="8"/>
  <c r="M75" i="8"/>
  <c r="L75" i="8"/>
  <c r="M219" i="8"/>
  <c r="L219" i="8"/>
  <c r="M74" i="8"/>
  <c r="L74" i="8"/>
  <c r="M73" i="8"/>
  <c r="L73" i="8"/>
  <c r="M72" i="8"/>
  <c r="L72" i="8"/>
  <c r="M71" i="8"/>
  <c r="L71" i="8"/>
  <c r="M70" i="8"/>
  <c r="L70" i="8"/>
  <c r="M218" i="8"/>
  <c r="L218" i="8"/>
  <c r="M217" i="8"/>
  <c r="L217" i="8"/>
  <c r="M216" i="8"/>
  <c r="L216" i="8"/>
  <c r="M215" i="8"/>
  <c r="L215" i="8"/>
  <c r="M214" i="8"/>
  <c r="L214" i="8"/>
  <c r="M69" i="8"/>
  <c r="L69" i="8"/>
  <c r="M68" i="8"/>
  <c r="L68" i="8"/>
  <c r="M67" i="8"/>
  <c r="L67" i="8"/>
  <c r="M66" i="8"/>
  <c r="L66" i="8"/>
  <c r="M65" i="8"/>
  <c r="L65" i="8"/>
  <c r="M64" i="8"/>
  <c r="L64" i="8"/>
  <c r="M63" i="8"/>
  <c r="L63" i="8"/>
  <c r="M213" i="8"/>
  <c r="L213" i="8"/>
  <c r="M62" i="8"/>
  <c r="L62" i="8"/>
  <c r="M61" i="8"/>
  <c r="L61" i="8"/>
  <c r="M60" i="8"/>
  <c r="L60" i="8"/>
  <c r="M59" i="8"/>
  <c r="L59" i="8"/>
  <c r="M58" i="8"/>
  <c r="L58" i="8"/>
  <c r="M57" i="8"/>
  <c r="L57" i="8"/>
  <c r="M212" i="8"/>
  <c r="L212" i="8"/>
  <c r="M56" i="8"/>
  <c r="L56" i="8"/>
  <c r="M55" i="8"/>
  <c r="L55" i="8"/>
  <c r="M211" i="8"/>
  <c r="L211" i="8"/>
  <c r="M210" i="8"/>
  <c r="L210" i="8"/>
  <c r="M209" i="8"/>
  <c r="L209" i="8"/>
  <c r="M208" i="8"/>
  <c r="L208" i="8"/>
  <c r="M54" i="8"/>
  <c r="L54" i="8"/>
  <c r="M207" i="8"/>
  <c r="L207" i="8"/>
  <c r="M53" i="8"/>
  <c r="L53" i="8"/>
  <c r="M52" i="8"/>
  <c r="L52" i="8"/>
  <c r="M206" i="8"/>
  <c r="L206" i="8"/>
  <c r="M51" i="8"/>
  <c r="L51" i="8"/>
  <c r="M50" i="8"/>
  <c r="L50" i="8"/>
  <c r="M49" i="8"/>
  <c r="L49" i="8"/>
  <c r="M48" i="8"/>
  <c r="L48" i="8"/>
  <c r="M205" i="8"/>
  <c r="L205" i="8"/>
  <c r="M204" i="8"/>
  <c r="L204" i="8"/>
  <c r="M47" i="8"/>
  <c r="L47" i="8"/>
  <c r="M46" i="8"/>
  <c r="L46" i="8"/>
  <c r="M203" i="8"/>
  <c r="L203" i="8"/>
  <c r="M202" i="8"/>
  <c r="L202" i="8"/>
  <c r="M201" i="8"/>
  <c r="L201" i="8"/>
  <c r="M200" i="8"/>
  <c r="L200" i="8"/>
  <c r="M199" i="8"/>
  <c r="L199" i="8"/>
  <c r="M45" i="8"/>
  <c r="L45" i="8"/>
  <c r="M44" i="8"/>
  <c r="L44" i="8"/>
  <c r="M43" i="8"/>
  <c r="L43" i="8"/>
  <c r="M42" i="8"/>
  <c r="L42" i="8"/>
  <c r="M198" i="8"/>
  <c r="L198" i="8"/>
  <c r="M197" i="8"/>
  <c r="L197" i="8"/>
  <c r="M41" i="8"/>
  <c r="L41" i="8"/>
  <c r="M40" i="8"/>
  <c r="L40" i="8"/>
  <c r="M39" i="8"/>
  <c r="L39" i="8"/>
  <c r="M38" i="8"/>
  <c r="L38" i="8"/>
  <c r="M37" i="8"/>
  <c r="L37" i="8"/>
  <c r="M196" i="8"/>
  <c r="L196" i="8"/>
  <c r="M195" i="8"/>
  <c r="L195" i="8"/>
  <c r="M36" i="8"/>
  <c r="L36" i="8"/>
  <c r="M35" i="8"/>
  <c r="L35" i="8"/>
  <c r="M34" i="8"/>
  <c r="L34" i="8"/>
  <c r="M33" i="8"/>
  <c r="L33" i="8"/>
  <c r="M32" i="8"/>
  <c r="L32" i="8"/>
  <c r="M31" i="8"/>
  <c r="L31" i="8"/>
  <c r="M30" i="8"/>
  <c r="L30" i="8"/>
  <c r="R98" i="7"/>
  <c r="Q98" i="7"/>
  <c r="N98" i="7"/>
  <c r="R97" i="7"/>
  <c r="Q97" i="7"/>
  <c r="N97" i="7"/>
  <c r="R96" i="7"/>
  <c r="Q96" i="7"/>
  <c r="N96" i="7"/>
  <c r="R95" i="7"/>
  <c r="Q95" i="7"/>
  <c r="N95" i="7"/>
  <c r="R94" i="7"/>
  <c r="Q94" i="7"/>
  <c r="N94" i="7"/>
  <c r="R93" i="7"/>
  <c r="Q93" i="7"/>
  <c r="N93" i="7"/>
  <c r="R92" i="7"/>
  <c r="Q92" i="7"/>
  <c r="N92" i="7"/>
  <c r="R91" i="7"/>
  <c r="Q91" i="7"/>
  <c r="N91" i="7"/>
  <c r="R90" i="7"/>
  <c r="Q90" i="7"/>
  <c r="N90" i="7"/>
  <c r="R89" i="7"/>
  <c r="Q89" i="7"/>
  <c r="N89" i="7"/>
  <c r="R88" i="7"/>
  <c r="Q88" i="7"/>
  <c r="N88" i="7"/>
  <c r="R87" i="7"/>
  <c r="Q87" i="7"/>
  <c r="N87" i="7"/>
  <c r="R86" i="7"/>
  <c r="Q86" i="7"/>
  <c r="N86" i="7"/>
  <c r="R85" i="7"/>
  <c r="Q85" i="7"/>
  <c r="N85" i="7"/>
  <c r="R84" i="7"/>
  <c r="Q84" i="7"/>
  <c r="N84" i="7"/>
  <c r="R83" i="7"/>
  <c r="Q83" i="7"/>
  <c r="N83" i="7"/>
  <c r="R82" i="7"/>
  <c r="Q82" i="7"/>
  <c r="N82" i="7"/>
  <c r="R81" i="7"/>
  <c r="Q81" i="7"/>
  <c r="N81" i="7"/>
  <c r="R180" i="7"/>
  <c r="Q180" i="7"/>
  <c r="N180" i="7"/>
  <c r="L180" i="7"/>
  <c r="T180" i="7" s="1"/>
  <c r="R212" i="7"/>
  <c r="Q212" i="7"/>
  <c r="N212" i="7"/>
  <c r="L212" i="7"/>
  <c r="T212" i="7" s="1"/>
  <c r="R174" i="7"/>
  <c r="Q174" i="7"/>
  <c r="N174" i="7"/>
  <c r="L174" i="7"/>
  <c r="T174" i="7" s="1"/>
  <c r="R173" i="7"/>
  <c r="Q173" i="7"/>
  <c r="N173" i="7"/>
  <c r="L173" i="7"/>
  <c r="T173" i="7" s="1"/>
  <c r="R211" i="7"/>
  <c r="Q211" i="7"/>
  <c r="N211" i="7"/>
  <c r="L211" i="7"/>
  <c r="T211" i="7" s="1"/>
  <c r="R210" i="7"/>
  <c r="Q210" i="7"/>
  <c r="N210" i="7"/>
  <c r="L210" i="7"/>
  <c r="T210" i="7" s="1"/>
  <c r="R209" i="7"/>
  <c r="Q209" i="7"/>
  <c r="N209" i="7"/>
  <c r="L209" i="7"/>
  <c r="T209" i="7" s="1"/>
  <c r="R179" i="7"/>
  <c r="Q179" i="7"/>
  <c r="N179" i="7"/>
  <c r="L179" i="7"/>
  <c r="T179" i="7" s="1"/>
  <c r="R178" i="7"/>
  <c r="Q178" i="7"/>
  <c r="N178" i="7"/>
  <c r="L178" i="7"/>
  <c r="T178" i="7" s="1"/>
  <c r="R208" i="7"/>
  <c r="Q208" i="7"/>
  <c r="N208" i="7"/>
  <c r="L208" i="7"/>
  <c r="T208" i="7" s="1"/>
  <c r="R207" i="7"/>
  <c r="Q207" i="7"/>
  <c r="N207" i="7"/>
  <c r="L207" i="7"/>
  <c r="T207" i="7" s="1"/>
  <c r="R206" i="7"/>
  <c r="Q206" i="7"/>
  <c r="N206" i="7"/>
  <c r="L206" i="7"/>
  <c r="T206" i="7" s="1"/>
  <c r="R205" i="7"/>
  <c r="Q205" i="7"/>
  <c r="N205" i="7"/>
  <c r="L205" i="7"/>
  <c r="T205" i="7" s="1"/>
  <c r="R204" i="7"/>
  <c r="Q204" i="7"/>
  <c r="N204" i="7"/>
  <c r="L204" i="7"/>
  <c r="T204" i="7" s="1"/>
  <c r="R203" i="7"/>
  <c r="Q203" i="7"/>
  <c r="N203" i="7"/>
  <c r="L203" i="7"/>
  <c r="T203" i="7" s="1"/>
  <c r="R202" i="7"/>
  <c r="Q202" i="7"/>
  <c r="N202" i="7"/>
  <c r="L202" i="7"/>
  <c r="T202" i="7" s="1"/>
  <c r="R177" i="7"/>
  <c r="Q177" i="7"/>
  <c r="N177" i="7"/>
  <c r="L177" i="7"/>
  <c r="T177" i="7" s="1"/>
  <c r="R201" i="7"/>
  <c r="Q201" i="7"/>
  <c r="N201" i="7"/>
  <c r="L201" i="7"/>
  <c r="T201" i="7" s="1"/>
  <c r="R176" i="7"/>
  <c r="Q176" i="7"/>
  <c r="N176" i="7"/>
  <c r="L176" i="7"/>
  <c r="T176" i="7" s="1"/>
  <c r="R189" i="7"/>
  <c r="Q189" i="7"/>
  <c r="N189" i="7"/>
  <c r="L189" i="7"/>
  <c r="T189" i="7" s="1"/>
  <c r="R200" i="7"/>
  <c r="Q200" i="7"/>
  <c r="N200" i="7"/>
  <c r="L200" i="7"/>
  <c r="T200" i="7" s="1"/>
  <c r="R199" i="7"/>
  <c r="Q199" i="7"/>
  <c r="N199" i="7"/>
  <c r="L199" i="7"/>
  <c r="T199" i="7" s="1"/>
  <c r="R198" i="7"/>
  <c r="Q198" i="7"/>
  <c r="N198" i="7"/>
  <c r="L198" i="7"/>
  <c r="T198" i="7" s="1"/>
  <c r="R197" i="7"/>
  <c r="Q197" i="7"/>
  <c r="N197" i="7"/>
  <c r="L197" i="7"/>
  <c r="T197" i="7" s="1"/>
  <c r="R196" i="7"/>
  <c r="Q196" i="7"/>
  <c r="N196" i="7"/>
  <c r="L196" i="7"/>
  <c r="T196" i="7" s="1"/>
  <c r="R175" i="7"/>
  <c r="Q175" i="7"/>
  <c r="N175" i="7"/>
  <c r="L175" i="7"/>
  <c r="T175" i="7" s="1"/>
  <c r="R195" i="7"/>
  <c r="Q195" i="7"/>
  <c r="N195" i="7"/>
  <c r="L195" i="7"/>
  <c r="T195" i="7" s="1"/>
  <c r="R194" i="7"/>
  <c r="Q194" i="7"/>
  <c r="N194" i="7"/>
  <c r="L194" i="7"/>
  <c r="T194" i="7" s="1"/>
  <c r="R193" i="7"/>
  <c r="Q193" i="7"/>
  <c r="N193" i="7"/>
  <c r="L193" i="7"/>
  <c r="T193" i="7" s="1"/>
  <c r="R192" i="7"/>
  <c r="Q192" i="7"/>
  <c r="N192" i="7"/>
  <c r="L192" i="7"/>
  <c r="T192" i="7" s="1"/>
  <c r="R172" i="7"/>
  <c r="Q172" i="7"/>
  <c r="N172" i="7"/>
  <c r="L172" i="7"/>
  <c r="T172" i="7" s="1"/>
  <c r="R191" i="7"/>
  <c r="Q191" i="7"/>
  <c r="N191" i="7"/>
  <c r="L191" i="7"/>
  <c r="T191" i="7" s="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L131" i="7" l="1"/>
  <c r="T131" i="7" s="1"/>
  <c r="L132" i="7"/>
  <c r="T132" i="7" s="1"/>
  <c r="L147" i="7"/>
  <c r="T147" i="7" s="1"/>
  <c r="L149" i="7"/>
  <c r="T149" i="7" s="1"/>
  <c r="L151" i="7"/>
  <c r="T151" i="7" s="1"/>
  <c r="L153" i="7"/>
  <c r="T153" i="7" s="1"/>
  <c r="L156" i="7"/>
  <c r="T156" i="7" s="1"/>
  <c r="L127" i="7"/>
  <c r="T127" i="7" s="1"/>
  <c r="L160" i="7"/>
  <c r="T160" i="7" s="1"/>
  <c r="L162" i="7"/>
  <c r="T162" i="7" s="1"/>
  <c r="L133" i="7"/>
  <c r="T133" i="7" s="1"/>
  <c r="L134" i="7"/>
  <c r="T134" i="7" s="1"/>
  <c r="L135" i="7"/>
  <c r="T135" i="7" s="1"/>
  <c r="L136" i="7"/>
  <c r="T136" i="7" s="1"/>
  <c r="L137" i="7"/>
  <c r="T137" i="7" s="1"/>
  <c r="L138" i="7"/>
  <c r="T138" i="7" s="1"/>
  <c r="L139" i="7"/>
  <c r="T139" i="7" s="1"/>
  <c r="L140" i="7"/>
  <c r="T140" i="7" s="1"/>
  <c r="L141" i="7"/>
  <c r="T141" i="7" s="1"/>
  <c r="L142" i="7"/>
  <c r="T142" i="7" s="1"/>
  <c r="L143" i="7"/>
  <c r="T143" i="7" s="1"/>
  <c r="L144" i="7"/>
  <c r="T144" i="7" s="1"/>
  <c r="L145" i="7"/>
  <c r="T145" i="7" s="1"/>
  <c r="L146" i="7"/>
  <c r="T146" i="7" s="1"/>
  <c r="L148" i="7"/>
  <c r="T148" i="7" s="1"/>
  <c r="L150" i="7"/>
  <c r="T150" i="7" s="1"/>
  <c r="L152" i="7"/>
  <c r="T152" i="7" s="1"/>
  <c r="L154" i="7"/>
  <c r="T154" i="7" s="1"/>
  <c r="L155" i="7"/>
  <c r="T155" i="7" s="1"/>
  <c r="L157" i="7"/>
  <c r="T157" i="7" s="1"/>
  <c r="L158" i="7"/>
  <c r="T158" i="7" s="1"/>
  <c r="L159" i="7"/>
  <c r="T159" i="7" s="1"/>
  <c r="L161" i="7"/>
  <c r="T161" i="7" s="1"/>
  <c r="L23" i="7"/>
  <c r="T23" i="7" s="1"/>
  <c r="L129" i="7"/>
  <c r="T129" i="7" s="1"/>
  <c r="L128" i="7"/>
  <c r="T128" i="7" s="1"/>
  <c r="L126" i="7"/>
  <c r="T126" i="7" s="1"/>
  <c r="L125" i="7"/>
  <c r="T125" i="7" s="1"/>
  <c r="L124" i="7"/>
  <c r="T124" i="7" s="1"/>
  <c r="L123" i="7"/>
  <c r="T123" i="7" s="1"/>
  <c r="L122" i="7"/>
  <c r="T122" i="7" s="1"/>
  <c r="L121" i="7"/>
  <c r="T121" i="7" s="1"/>
  <c r="L120" i="7"/>
  <c r="T120" i="7" s="1"/>
  <c r="L119" i="7"/>
  <c r="T119" i="7" s="1"/>
  <c r="L118" i="7"/>
  <c r="T118" i="7" s="1"/>
  <c r="L117" i="7"/>
  <c r="T117" i="7" s="1"/>
  <c r="L116" i="7"/>
  <c r="T116" i="7" s="1"/>
  <c r="L115" i="7"/>
  <c r="T115" i="7" s="1"/>
  <c r="L114" i="7"/>
  <c r="T114" i="7" s="1"/>
  <c r="L113" i="7"/>
  <c r="T113" i="7" s="1"/>
  <c r="L112" i="7"/>
  <c r="T112" i="7" s="1"/>
  <c r="L111" i="7"/>
  <c r="T111" i="7" s="1"/>
  <c r="L110" i="7"/>
  <c r="T110" i="7" s="1"/>
  <c r="L109" i="7"/>
  <c r="T109" i="7" s="1"/>
  <c r="L108" i="7"/>
  <c r="T108" i="7" s="1"/>
  <c r="L107" i="7"/>
  <c r="T107" i="7" s="1"/>
  <c r="L106" i="7"/>
  <c r="T106" i="7" s="1"/>
  <c r="L98" i="7"/>
  <c r="T98" i="7" s="1"/>
  <c r="L97" i="7"/>
  <c r="T97" i="7" s="1"/>
  <c r="L96" i="7"/>
  <c r="T96" i="7" s="1"/>
  <c r="L95" i="7"/>
  <c r="T95" i="7" s="1"/>
  <c r="L94" i="7"/>
  <c r="T94" i="7" s="1"/>
  <c r="L93" i="7"/>
  <c r="T93" i="7" s="1"/>
  <c r="L92" i="7"/>
  <c r="T92" i="7" s="1"/>
  <c r="L91" i="7"/>
  <c r="T91" i="7" s="1"/>
  <c r="L90" i="7"/>
  <c r="T90" i="7" s="1"/>
  <c r="L89" i="7"/>
  <c r="T89" i="7" s="1"/>
  <c r="L88" i="7"/>
  <c r="T88" i="7" s="1"/>
  <c r="L87" i="7"/>
  <c r="T87" i="7" s="1"/>
  <c r="L86" i="7"/>
  <c r="T86" i="7" s="1"/>
  <c r="L85" i="7"/>
  <c r="T85" i="7" s="1"/>
  <c r="L84" i="7"/>
  <c r="T84" i="7" s="1"/>
  <c r="L83" i="7"/>
  <c r="T83" i="7" s="1"/>
  <c r="L82" i="7"/>
  <c r="T82" i="7" s="1"/>
  <c r="L81" i="7"/>
  <c r="T81" i="7" s="1"/>
  <c r="Y81" i="9"/>
  <c r="Y80" i="9"/>
  <c r="Y79" i="9"/>
  <c r="Y78" i="9"/>
  <c r="Y77" i="9"/>
  <c r="Y76" i="9"/>
  <c r="Y73" i="9"/>
  <c r="Y72" i="9"/>
  <c r="S74" i="9"/>
  <c r="X74" i="9" s="1"/>
  <c r="Z74" i="9" s="1"/>
  <c r="S73" i="9"/>
  <c r="X73" i="9" s="1"/>
  <c r="Z73" i="9" s="1"/>
  <c r="S72" i="9"/>
  <c r="X72" i="9" s="1"/>
  <c r="D28" i="9"/>
  <c r="S81" i="9"/>
  <c r="X81" i="9" s="1"/>
  <c r="S80" i="9"/>
  <c r="X80" i="9" s="1"/>
  <c r="S79" i="9"/>
  <c r="X79" i="9" s="1"/>
  <c r="S78" i="9"/>
  <c r="X78" i="9" s="1"/>
  <c r="S77" i="9"/>
  <c r="X77" i="9" s="1"/>
  <c r="S76" i="9"/>
  <c r="X76" i="9" s="1"/>
  <c r="M501" i="8"/>
  <c r="M500" i="8"/>
  <c r="M499" i="8"/>
  <c r="M498" i="8"/>
  <c r="M327" i="8"/>
  <c r="M497" i="8"/>
  <c r="M326" i="8"/>
  <c r="M496" i="8"/>
  <c r="M325" i="8"/>
  <c r="M324" i="8"/>
  <c r="M323" i="8"/>
  <c r="M495" i="8"/>
  <c r="M322" i="8"/>
  <c r="M494" i="8"/>
  <c r="M493" i="8"/>
  <c r="M492" i="8"/>
  <c r="M491" i="8"/>
  <c r="M490" i="8"/>
  <c r="M489" i="8"/>
  <c r="M488" i="8"/>
  <c r="M487" i="8"/>
  <c r="M486" i="8"/>
  <c r="M485" i="8"/>
  <c r="M484" i="8"/>
  <c r="M483" i="8"/>
  <c r="M482" i="8"/>
  <c r="M481" i="8"/>
  <c r="M480" i="8"/>
  <c r="M479" i="8"/>
  <c r="M321" i="8"/>
  <c r="M478" i="8"/>
  <c r="M320" i="8"/>
  <c r="M477" i="8"/>
  <c r="M476" i="8"/>
  <c r="M475" i="8"/>
  <c r="M319" i="8"/>
  <c r="M474" i="8"/>
  <c r="M318" i="8"/>
  <c r="M473" i="8"/>
  <c r="M317" i="8"/>
  <c r="M472" i="8"/>
  <c r="M316" i="8"/>
  <c r="M471" i="8"/>
  <c r="M470" i="8"/>
  <c r="M469" i="8"/>
  <c r="M468" i="8"/>
  <c r="M467" i="8"/>
  <c r="M466" i="8"/>
  <c r="M465" i="8"/>
  <c r="M464" i="8"/>
  <c r="M463" i="8"/>
  <c r="M462" i="8"/>
  <c r="M461" i="8"/>
  <c r="M460" i="8"/>
  <c r="M459" i="8"/>
  <c r="M458" i="8"/>
  <c r="M457" i="8"/>
  <c r="M456" i="8"/>
  <c r="M315" i="8"/>
  <c r="M314" i="8"/>
  <c r="M455" i="8"/>
  <c r="M313" i="8"/>
  <c r="M454" i="8"/>
  <c r="M453" i="8"/>
  <c r="M452" i="8"/>
  <c r="M451" i="8"/>
  <c r="M450" i="8"/>
  <c r="M449" i="8"/>
  <c r="M448" i="8"/>
  <c r="M447" i="8"/>
  <c r="M446" i="8"/>
  <c r="M312" i="8"/>
  <c r="M311" i="8"/>
  <c r="M445" i="8"/>
  <c r="M444" i="8"/>
  <c r="M443" i="8"/>
  <c r="M442" i="8"/>
  <c r="M441" i="8"/>
  <c r="M440" i="8"/>
  <c r="M439" i="8"/>
  <c r="M438" i="8"/>
  <c r="M437" i="8"/>
  <c r="M436" i="8"/>
  <c r="M435" i="8"/>
  <c r="M434" i="8"/>
  <c r="M433" i="8"/>
  <c r="M432" i="8"/>
  <c r="M431" i="8"/>
  <c r="M430" i="8"/>
  <c r="M429" i="8"/>
  <c r="M428" i="8"/>
  <c r="M427" i="8"/>
  <c r="M426" i="8"/>
  <c r="M425" i="8"/>
  <c r="M424" i="8"/>
  <c r="M423" i="8"/>
  <c r="M422" i="8"/>
  <c r="M421" i="8"/>
  <c r="M420" i="8"/>
  <c r="M419" i="8"/>
  <c r="M418" i="8"/>
  <c r="M417" i="8"/>
  <c r="M416" i="8"/>
  <c r="M415" i="8"/>
  <c r="M414" i="8"/>
  <c r="M413" i="8"/>
  <c r="M412" i="8"/>
  <c r="M411" i="8"/>
  <c r="M410" i="8"/>
  <c r="M409" i="8"/>
  <c r="M408" i="8"/>
  <c r="M407" i="8"/>
  <c r="M406" i="8"/>
  <c r="M405" i="8"/>
  <c r="M404" i="8"/>
  <c r="M403" i="8"/>
  <c r="M402" i="8"/>
  <c r="M401" i="8"/>
  <c r="M400" i="8"/>
  <c r="M399" i="8"/>
  <c r="M310" i="8"/>
  <c r="M398" i="8"/>
  <c r="M309" i="8"/>
  <c r="M308" i="8"/>
  <c r="M307" i="8"/>
  <c r="M397" i="8"/>
  <c r="M396" i="8"/>
  <c r="M395" i="8"/>
  <c r="M394" i="8"/>
  <c r="M393" i="8"/>
  <c r="M392" i="8"/>
  <c r="M391" i="8"/>
  <c r="M390" i="8"/>
  <c r="M389" i="8"/>
  <c r="M388" i="8"/>
  <c r="M387" i="8"/>
  <c r="M386" i="8"/>
  <c r="M385" i="8"/>
  <c r="M384" i="8"/>
  <c r="M383" i="8"/>
  <c r="M189" i="8"/>
  <c r="M188" i="8"/>
  <c r="M187" i="8"/>
  <c r="M305" i="8"/>
  <c r="M186" i="8"/>
  <c r="M185" i="8"/>
  <c r="M184" i="8"/>
  <c r="M183" i="8"/>
  <c r="M182" i="8"/>
  <c r="M181" i="8"/>
  <c r="M180" i="8"/>
  <c r="M179" i="8"/>
  <c r="M304" i="8"/>
  <c r="M178" i="8"/>
  <c r="M177" i="8"/>
  <c r="M303" i="8"/>
  <c r="M302" i="8"/>
  <c r="M301" i="8"/>
  <c r="M300" i="8"/>
  <c r="M299" i="8"/>
  <c r="M298" i="8"/>
  <c r="M297" i="8"/>
  <c r="M296" i="8"/>
  <c r="M295" i="8"/>
  <c r="M294" i="8"/>
  <c r="M293" i="8"/>
  <c r="M292" i="8"/>
  <c r="M291" i="8"/>
  <c r="M290" i="8"/>
  <c r="M289" i="8"/>
  <c r="M288" i="8"/>
  <c r="M287" i="8"/>
  <c r="M286" i="8"/>
  <c r="M176" i="8"/>
  <c r="M175" i="8"/>
  <c r="M285" i="8"/>
  <c r="M284" i="8"/>
  <c r="M283" i="8"/>
  <c r="M282" i="8"/>
  <c r="M281" i="8"/>
  <c r="M280" i="8"/>
  <c r="M279" i="8"/>
  <c r="M278" i="8"/>
  <c r="M174" i="8"/>
  <c r="M173" i="8"/>
  <c r="M172" i="8"/>
  <c r="M171" i="8"/>
  <c r="M170" i="8"/>
  <c r="M169" i="8"/>
  <c r="M168" i="8"/>
  <c r="M167" i="8"/>
  <c r="M166" i="8"/>
  <c r="M165" i="8"/>
  <c r="M164" i="8"/>
  <c r="M163" i="8"/>
  <c r="M162" i="8"/>
  <c r="M161" i="8"/>
  <c r="M160" i="8"/>
  <c r="M159" i="8"/>
  <c r="M158" i="8"/>
  <c r="M276" i="8"/>
  <c r="M275" i="8"/>
  <c r="M157" i="8"/>
  <c r="M156" i="8"/>
  <c r="M155" i="8"/>
  <c r="M274" i="8"/>
  <c r="M273" i="8"/>
  <c r="M154" i="8"/>
  <c r="M153" i="8"/>
  <c r="M152" i="8"/>
  <c r="M151" i="8"/>
  <c r="M150" i="8"/>
  <c r="M272" i="8"/>
  <c r="M271" i="8"/>
  <c r="M149" i="8"/>
  <c r="M148" i="8"/>
  <c r="M147" i="8"/>
  <c r="M146" i="8"/>
  <c r="M145" i="8"/>
  <c r="M144" i="8"/>
  <c r="M143" i="8"/>
  <c r="M142" i="8"/>
  <c r="M141" i="8"/>
  <c r="M140" i="8"/>
  <c r="M270" i="8"/>
  <c r="M269" i="8"/>
  <c r="M139" i="8"/>
  <c r="M268" i="8"/>
  <c r="M138" i="8"/>
  <c r="M137" i="8"/>
  <c r="M136" i="8"/>
  <c r="M267" i="8"/>
  <c r="M266" i="8"/>
  <c r="M265" i="8"/>
  <c r="M264" i="8"/>
  <c r="M263" i="8"/>
  <c r="M135" i="8"/>
  <c r="M262" i="8"/>
  <c r="M134" i="8"/>
  <c r="M133" i="8"/>
  <c r="M132" i="8"/>
  <c r="M131" i="8"/>
  <c r="M130" i="8"/>
  <c r="M129" i="8"/>
  <c r="M128" i="8"/>
  <c r="M127" i="8"/>
  <c r="M126" i="8"/>
  <c r="M125" i="8"/>
  <c r="M124" i="8"/>
  <c r="M123" i="8"/>
  <c r="M261" i="8"/>
  <c r="M260" i="8"/>
  <c r="M122" i="8"/>
  <c r="M259" i="8"/>
  <c r="M258" i="8"/>
  <c r="M257" i="8"/>
  <c r="M256" i="8"/>
  <c r="M255" i="8"/>
  <c r="M254" i="8"/>
  <c r="M253" i="8"/>
  <c r="L501" i="8"/>
  <c r="L500" i="8"/>
  <c r="L499" i="8"/>
  <c r="L498" i="8"/>
  <c r="L327" i="8"/>
  <c r="L497" i="8"/>
  <c r="L326" i="8"/>
  <c r="L496" i="8"/>
  <c r="L325" i="8"/>
  <c r="L324" i="8"/>
  <c r="L323" i="8"/>
  <c r="L495" i="8"/>
  <c r="L322" i="8"/>
  <c r="L494" i="8"/>
  <c r="L493" i="8"/>
  <c r="L492" i="8"/>
  <c r="L491" i="8"/>
  <c r="L490" i="8"/>
  <c r="L489" i="8"/>
  <c r="L488" i="8"/>
  <c r="L487" i="8"/>
  <c r="L486" i="8"/>
  <c r="L485" i="8"/>
  <c r="L484" i="8"/>
  <c r="L483" i="8"/>
  <c r="L482" i="8"/>
  <c r="L481" i="8"/>
  <c r="L480" i="8"/>
  <c r="L479" i="8"/>
  <c r="L321" i="8"/>
  <c r="L478" i="8"/>
  <c r="L320" i="8"/>
  <c r="L477" i="8"/>
  <c r="L476" i="8"/>
  <c r="L475" i="8"/>
  <c r="L319" i="8"/>
  <c r="L474" i="8"/>
  <c r="L318" i="8"/>
  <c r="L473" i="8"/>
  <c r="L317" i="8"/>
  <c r="L472" i="8"/>
  <c r="L316" i="8"/>
  <c r="L471" i="8"/>
  <c r="L470" i="8"/>
  <c r="L469" i="8"/>
  <c r="L468" i="8"/>
  <c r="L467" i="8"/>
  <c r="L466" i="8"/>
  <c r="L465" i="8"/>
  <c r="L464" i="8"/>
  <c r="L463" i="8"/>
  <c r="L462" i="8"/>
  <c r="L461" i="8"/>
  <c r="L460" i="8"/>
  <c r="L459" i="8"/>
  <c r="L458" i="8"/>
  <c r="L457" i="8"/>
  <c r="L456" i="8"/>
  <c r="L315" i="8"/>
  <c r="L314" i="8"/>
  <c r="L455" i="8"/>
  <c r="L313" i="8"/>
  <c r="L454" i="8"/>
  <c r="L453" i="8"/>
  <c r="L452" i="8"/>
  <c r="L451" i="8"/>
  <c r="L450" i="8"/>
  <c r="L449" i="8"/>
  <c r="L448" i="8"/>
  <c r="L447" i="8"/>
  <c r="L446" i="8"/>
  <c r="L312" i="8"/>
  <c r="L311" i="8"/>
  <c r="L445" i="8"/>
  <c r="L444" i="8"/>
  <c r="L443" i="8"/>
  <c r="L442" i="8"/>
  <c r="L441" i="8"/>
  <c r="L440" i="8"/>
  <c r="L439" i="8"/>
  <c r="L438" i="8"/>
  <c r="L437" i="8"/>
  <c r="L436" i="8"/>
  <c r="L435" i="8"/>
  <c r="L434" i="8"/>
  <c r="L433" i="8"/>
  <c r="L432" i="8"/>
  <c r="L431" i="8"/>
  <c r="L430" i="8"/>
  <c r="L429" i="8"/>
  <c r="L428" i="8"/>
  <c r="L427" i="8"/>
  <c r="L426" i="8"/>
  <c r="L425" i="8"/>
  <c r="L424" i="8"/>
  <c r="L423" i="8"/>
  <c r="L422" i="8"/>
  <c r="L421" i="8"/>
  <c r="L420" i="8"/>
  <c r="L419" i="8"/>
  <c r="L418" i="8"/>
  <c r="L417" i="8"/>
  <c r="L416" i="8"/>
  <c r="L415" i="8"/>
  <c r="L414" i="8"/>
  <c r="L413" i="8"/>
  <c r="L412" i="8"/>
  <c r="L411" i="8"/>
  <c r="L410" i="8"/>
  <c r="L409" i="8"/>
  <c r="L408" i="8"/>
  <c r="L407" i="8"/>
  <c r="L406" i="8"/>
  <c r="L405" i="8"/>
  <c r="L404" i="8"/>
  <c r="L403" i="8"/>
  <c r="L402" i="8"/>
  <c r="L401" i="8"/>
  <c r="L400" i="8"/>
  <c r="L399" i="8"/>
  <c r="L310" i="8"/>
  <c r="L398" i="8"/>
  <c r="L309" i="8"/>
  <c r="L308" i="8"/>
  <c r="L307" i="8"/>
  <c r="L397" i="8"/>
  <c r="L396" i="8"/>
  <c r="L395" i="8"/>
  <c r="L394" i="8"/>
  <c r="L393" i="8"/>
  <c r="L392" i="8"/>
  <c r="L391" i="8"/>
  <c r="L390" i="8"/>
  <c r="L389" i="8"/>
  <c r="L388" i="8"/>
  <c r="L387" i="8"/>
  <c r="L386" i="8"/>
  <c r="L385" i="8"/>
  <c r="L384" i="8"/>
  <c r="L383" i="8"/>
  <c r="L189" i="8"/>
  <c r="L188" i="8"/>
  <c r="L187" i="8"/>
  <c r="L305" i="8"/>
  <c r="L186" i="8"/>
  <c r="L185" i="8"/>
  <c r="L184" i="8"/>
  <c r="L183" i="8"/>
  <c r="L182" i="8"/>
  <c r="L181" i="8"/>
  <c r="L180" i="8"/>
  <c r="L179" i="8"/>
  <c r="L304" i="8"/>
  <c r="L178" i="8"/>
  <c r="L177" i="8"/>
  <c r="L303" i="8"/>
  <c r="L302" i="8"/>
  <c r="L301" i="8"/>
  <c r="L300" i="8"/>
  <c r="L299" i="8"/>
  <c r="L298" i="8"/>
  <c r="L297" i="8"/>
  <c r="L296" i="8"/>
  <c r="L295" i="8"/>
  <c r="L294" i="8"/>
  <c r="L293" i="8"/>
  <c r="L292" i="8"/>
  <c r="L291" i="8"/>
  <c r="L290" i="8"/>
  <c r="L289" i="8"/>
  <c r="L288" i="8"/>
  <c r="L287" i="8"/>
  <c r="L286" i="8"/>
  <c r="L176" i="8"/>
  <c r="L175" i="8"/>
  <c r="L285" i="8"/>
  <c r="L284" i="8"/>
  <c r="L283" i="8"/>
  <c r="L282" i="8"/>
  <c r="L281" i="8"/>
  <c r="L280" i="8"/>
  <c r="L279" i="8"/>
  <c r="L278" i="8"/>
  <c r="L174" i="8"/>
  <c r="L173" i="8"/>
  <c r="L172" i="8"/>
  <c r="L171" i="8"/>
  <c r="L170" i="8"/>
  <c r="L169" i="8"/>
  <c r="L168" i="8"/>
  <c r="L167" i="8"/>
  <c r="L166" i="8"/>
  <c r="L165" i="8"/>
  <c r="L164" i="8"/>
  <c r="L163" i="8"/>
  <c r="L162" i="8"/>
  <c r="L161" i="8"/>
  <c r="L160" i="8"/>
  <c r="L159" i="8"/>
  <c r="L158" i="8"/>
  <c r="L276" i="8"/>
  <c r="L275" i="8"/>
  <c r="L157" i="8"/>
  <c r="L156" i="8"/>
  <c r="L155" i="8"/>
  <c r="L274" i="8"/>
  <c r="L273" i="8"/>
  <c r="L154" i="8"/>
  <c r="L153" i="8"/>
  <c r="L152" i="8"/>
  <c r="L151" i="8"/>
  <c r="L150" i="8"/>
  <c r="L272" i="8"/>
  <c r="L271" i="8"/>
  <c r="L149" i="8"/>
  <c r="L148" i="8"/>
  <c r="L147" i="8"/>
  <c r="L146" i="8"/>
  <c r="L145" i="8"/>
  <c r="L144" i="8"/>
  <c r="L143" i="8"/>
  <c r="L142" i="8"/>
  <c r="L141" i="8"/>
  <c r="L140" i="8"/>
  <c r="L270" i="8"/>
  <c r="L269" i="8"/>
  <c r="L139" i="8"/>
  <c r="L268" i="8"/>
  <c r="L138" i="8"/>
  <c r="L137" i="8"/>
  <c r="L136" i="8"/>
  <c r="L267" i="8"/>
  <c r="L266" i="8"/>
  <c r="L265" i="8"/>
  <c r="L264" i="8"/>
  <c r="L263" i="8"/>
  <c r="L135" i="8"/>
  <c r="L262" i="8"/>
  <c r="L134" i="8"/>
  <c r="L133" i="8"/>
  <c r="L132" i="8"/>
  <c r="L131" i="8"/>
  <c r="L130" i="8"/>
  <c r="L129" i="8"/>
  <c r="L128" i="8"/>
  <c r="L127" i="8"/>
  <c r="L126" i="8"/>
  <c r="L125" i="8"/>
  <c r="L124" i="8"/>
  <c r="L123" i="8"/>
  <c r="L261" i="8"/>
  <c r="L260" i="8"/>
  <c r="L122" i="8"/>
  <c r="L259" i="8"/>
  <c r="L258" i="8"/>
  <c r="L257" i="8"/>
  <c r="L256" i="8"/>
  <c r="L255" i="8"/>
  <c r="L254" i="8"/>
  <c r="L253" i="8"/>
  <c r="B169" i="7"/>
  <c r="R105" i="7"/>
  <c r="Q105" i="7"/>
  <c r="N105" i="7"/>
  <c r="R103" i="7"/>
  <c r="Q103" i="7"/>
  <c r="N103" i="7"/>
  <c r="R102" i="7"/>
  <c r="Q102" i="7"/>
  <c r="N102" i="7"/>
  <c r="R101" i="7"/>
  <c r="Q101" i="7"/>
  <c r="N101" i="7"/>
  <c r="R100" i="7"/>
  <c r="Q100" i="7"/>
  <c r="N100" i="7"/>
  <c r="R99" i="7"/>
  <c r="Q99" i="7"/>
  <c r="N99" i="7"/>
  <c r="R80" i="7"/>
  <c r="Q80" i="7"/>
  <c r="N80" i="7"/>
  <c r="R79" i="7"/>
  <c r="Q79" i="7"/>
  <c r="N79" i="7"/>
  <c r="R78" i="7"/>
  <c r="Q78" i="7"/>
  <c r="N78" i="7"/>
  <c r="R77" i="7"/>
  <c r="Q77" i="7"/>
  <c r="N77" i="7"/>
  <c r="R76" i="7"/>
  <c r="Q76" i="7"/>
  <c r="N76" i="7"/>
  <c r="R75" i="7"/>
  <c r="Q75" i="7"/>
  <c r="N75" i="7"/>
  <c r="R74" i="7"/>
  <c r="Q74" i="7"/>
  <c r="N74" i="7"/>
  <c r="R73" i="7"/>
  <c r="Q73" i="7"/>
  <c r="N73" i="7"/>
  <c r="R72" i="7"/>
  <c r="Q72" i="7"/>
  <c r="N72" i="7"/>
  <c r="R71" i="7"/>
  <c r="Q71" i="7"/>
  <c r="N71" i="7"/>
  <c r="R70" i="7"/>
  <c r="Q70" i="7"/>
  <c r="N70" i="7"/>
  <c r="R69" i="7"/>
  <c r="Q69" i="7"/>
  <c r="N69" i="7"/>
  <c r="R68" i="7"/>
  <c r="Q68" i="7"/>
  <c r="N68" i="7"/>
  <c r="R67" i="7"/>
  <c r="Q67" i="7"/>
  <c r="N67" i="7"/>
  <c r="R66" i="7"/>
  <c r="Q66" i="7"/>
  <c r="N66" i="7"/>
  <c r="R65" i="7"/>
  <c r="Q65" i="7"/>
  <c r="N65" i="7"/>
  <c r="R64" i="7"/>
  <c r="Q64" i="7"/>
  <c r="N64" i="7"/>
  <c r="R63" i="7"/>
  <c r="Q63" i="7"/>
  <c r="N63" i="7"/>
  <c r="R62" i="7"/>
  <c r="Q62" i="7"/>
  <c r="N62" i="7"/>
  <c r="R61" i="7"/>
  <c r="Q61" i="7"/>
  <c r="N61" i="7"/>
  <c r="R60" i="7"/>
  <c r="Q60" i="7"/>
  <c r="N60" i="7"/>
  <c r="R59" i="7"/>
  <c r="Q59" i="7"/>
  <c r="N59" i="7"/>
  <c r="R58" i="7"/>
  <c r="Q58" i="7"/>
  <c r="N58" i="7"/>
  <c r="R57" i="7"/>
  <c r="Q57" i="7"/>
  <c r="N57" i="7"/>
  <c r="R56" i="7"/>
  <c r="Q56" i="7"/>
  <c r="N56" i="7"/>
  <c r="R55" i="7"/>
  <c r="Q55" i="7"/>
  <c r="N55" i="7"/>
  <c r="R54" i="7"/>
  <c r="Q54" i="7"/>
  <c r="N54" i="7"/>
  <c r="R53" i="7"/>
  <c r="Q53" i="7"/>
  <c r="N53" i="7"/>
  <c r="R52" i="7"/>
  <c r="Q52" i="7"/>
  <c r="N52" i="7"/>
  <c r="R51" i="7"/>
  <c r="Q51" i="7"/>
  <c r="N51" i="7"/>
  <c r="R50" i="7"/>
  <c r="Q50" i="7"/>
  <c r="N50" i="7"/>
  <c r="R49" i="7"/>
  <c r="Q49" i="7"/>
  <c r="N49" i="7"/>
  <c r="R48" i="7"/>
  <c r="Q48" i="7"/>
  <c r="N48" i="7"/>
  <c r="R47" i="7"/>
  <c r="Q47" i="7"/>
  <c r="N47" i="7"/>
  <c r="R46" i="7"/>
  <c r="Q46" i="7"/>
  <c r="N46" i="7"/>
  <c r="R45" i="7"/>
  <c r="Q45" i="7"/>
  <c r="N45" i="7"/>
  <c r="R44" i="7"/>
  <c r="Q44" i="7"/>
  <c r="N44" i="7"/>
  <c r="R43" i="7"/>
  <c r="Q43" i="7"/>
  <c r="N43" i="7"/>
  <c r="R42" i="7"/>
  <c r="Q42" i="7"/>
  <c r="N42" i="7"/>
  <c r="R41" i="7"/>
  <c r="Q41" i="7"/>
  <c r="N41" i="7"/>
  <c r="R40" i="7"/>
  <c r="Q40" i="7"/>
  <c r="N40" i="7"/>
  <c r="R39" i="7"/>
  <c r="Q39" i="7"/>
  <c r="N39" i="7"/>
  <c r="R38" i="7"/>
  <c r="Q38" i="7"/>
  <c r="N38" i="7"/>
  <c r="R37" i="7"/>
  <c r="Q37" i="7"/>
  <c r="N37" i="7"/>
  <c r="R36" i="7"/>
  <c r="Q36" i="7"/>
  <c r="N36" i="7"/>
  <c r="R35" i="7"/>
  <c r="Q35" i="7"/>
  <c r="N35" i="7"/>
  <c r="R34" i="7"/>
  <c r="Q34" i="7"/>
  <c r="N34" i="7"/>
  <c r="R33" i="7"/>
  <c r="Q33" i="7"/>
  <c r="N33" i="7"/>
  <c r="R32" i="7"/>
  <c r="Q32" i="7"/>
  <c r="N32" i="7"/>
  <c r="R31" i="7"/>
  <c r="Q31" i="7"/>
  <c r="N31" i="7"/>
  <c r="R30" i="7"/>
  <c r="Q30" i="7"/>
  <c r="N30" i="7"/>
  <c r="R29" i="7"/>
  <c r="Q29" i="7"/>
  <c r="N29" i="7"/>
  <c r="R28" i="7"/>
  <c r="Q28" i="7"/>
  <c r="N28" i="7"/>
  <c r="R27" i="7"/>
  <c r="Q27" i="7"/>
  <c r="N27" i="7"/>
  <c r="R26" i="7"/>
  <c r="Q26" i="7"/>
  <c r="N26" i="7"/>
  <c r="R25" i="7"/>
  <c r="Q25" i="7"/>
  <c r="N25" i="7"/>
  <c r="R24" i="7"/>
  <c r="Q24" i="7"/>
  <c r="N24" i="7"/>
  <c r="R23" i="7"/>
  <c r="Q23" i="7"/>
  <c r="N23" i="7"/>
  <c r="L105" i="7"/>
  <c r="T105" i="7" s="1"/>
  <c r="L103" i="7"/>
  <c r="T103" i="7" s="1"/>
  <c r="L102" i="7"/>
  <c r="T102" i="7" s="1"/>
  <c r="L101" i="7"/>
  <c r="T101" i="7" s="1"/>
  <c r="L100" i="7"/>
  <c r="T100" i="7" s="1"/>
  <c r="L99" i="7"/>
  <c r="T99" i="7" s="1"/>
  <c r="L80" i="7"/>
  <c r="T80" i="7" s="1"/>
  <c r="L79" i="7"/>
  <c r="T79" i="7" s="1"/>
  <c r="L78" i="7"/>
  <c r="T78" i="7" s="1"/>
  <c r="L77" i="7"/>
  <c r="T77" i="7" s="1"/>
  <c r="L76" i="7"/>
  <c r="T76" i="7" s="1"/>
  <c r="L75" i="7"/>
  <c r="T75" i="7" s="1"/>
  <c r="L74" i="7"/>
  <c r="T74" i="7" s="1"/>
  <c r="L73" i="7"/>
  <c r="T73" i="7" s="1"/>
  <c r="L72" i="7"/>
  <c r="T72" i="7" s="1"/>
  <c r="L71" i="7"/>
  <c r="T71" i="7" s="1"/>
  <c r="L70" i="7"/>
  <c r="T70" i="7" s="1"/>
  <c r="L69" i="7"/>
  <c r="T69" i="7" s="1"/>
  <c r="L68" i="7"/>
  <c r="T68" i="7" s="1"/>
  <c r="L67" i="7"/>
  <c r="T67" i="7" s="1"/>
  <c r="L66" i="7"/>
  <c r="T66" i="7" s="1"/>
  <c r="L65" i="7"/>
  <c r="T65" i="7" s="1"/>
  <c r="L64" i="7"/>
  <c r="T64" i="7" s="1"/>
  <c r="L63" i="7"/>
  <c r="T63" i="7" s="1"/>
  <c r="L62" i="7"/>
  <c r="T62" i="7" s="1"/>
  <c r="L61" i="7"/>
  <c r="T61" i="7" s="1"/>
  <c r="L60" i="7"/>
  <c r="T60" i="7" s="1"/>
  <c r="L59" i="7"/>
  <c r="T59" i="7" s="1"/>
  <c r="L58" i="7"/>
  <c r="T58" i="7" s="1"/>
  <c r="L57" i="7"/>
  <c r="T57" i="7" s="1"/>
  <c r="L56" i="7"/>
  <c r="T56" i="7" s="1"/>
  <c r="L55" i="7"/>
  <c r="T55" i="7" s="1"/>
  <c r="L54" i="7"/>
  <c r="T54" i="7" s="1"/>
  <c r="L53" i="7"/>
  <c r="T53" i="7" s="1"/>
  <c r="L52" i="7"/>
  <c r="T52" i="7" s="1"/>
  <c r="L51" i="7"/>
  <c r="T51" i="7" s="1"/>
  <c r="L50" i="7"/>
  <c r="T50" i="7" s="1"/>
  <c r="L49" i="7"/>
  <c r="T49" i="7" s="1"/>
  <c r="L48" i="7"/>
  <c r="T48" i="7" s="1"/>
  <c r="L47" i="7"/>
  <c r="T47" i="7" s="1"/>
  <c r="L46" i="7"/>
  <c r="T46" i="7" s="1"/>
  <c r="L45" i="7"/>
  <c r="T45" i="7" s="1"/>
  <c r="L44" i="7"/>
  <c r="T44" i="7" s="1"/>
  <c r="L43" i="7"/>
  <c r="T43" i="7" s="1"/>
  <c r="L42" i="7"/>
  <c r="T42" i="7" s="1"/>
  <c r="L41" i="7"/>
  <c r="T41" i="7" s="1"/>
  <c r="L40" i="7"/>
  <c r="T40" i="7" s="1"/>
  <c r="L39" i="7"/>
  <c r="T39" i="7" s="1"/>
  <c r="L38" i="7"/>
  <c r="T38" i="7" s="1"/>
  <c r="L37" i="7"/>
  <c r="T37" i="7" s="1"/>
  <c r="L36" i="7"/>
  <c r="T36" i="7" s="1"/>
  <c r="L35" i="7"/>
  <c r="T35" i="7" s="1"/>
  <c r="L34" i="7"/>
  <c r="T34" i="7" s="1"/>
  <c r="L33" i="7"/>
  <c r="T33" i="7" s="1"/>
  <c r="L32" i="7"/>
  <c r="T32" i="7" s="1"/>
  <c r="L31" i="7"/>
  <c r="T31" i="7" s="1"/>
  <c r="L30" i="7"/>
  <c r="T30" i="7" s="1"/>
  <c r="L29" i="7"/>
  <c r="T29" i="7" s="1"/>
  <c r="L28" i="7"/>
  <c r="T28" i="7" s="1"/>
  <c r="L27" i="7"/>
  <c r="T27" i="7" s="1"/>
  <c r="L26" i="7"/>
  <c r="T26" i="7" s="1"/>
  <c r="L25" i="7"/>
  <c r="T25" i="7" s="1"/>
  <c r="L24" i="7"/>
  <c r="T24" i="7" s="1"/>
  <c r="C349" i="8"/>
  <c r="C330" i="8"/>
  <c r="C358" i="8"/>
  <c r="C357" i="8"/>
  <c r="C356" i="8"/>
  <c r="C355" i="8"/>
  <c r="C332" i="8"/>
  <c r="C331" i="8"/>
  <c r="C354" i="8"/>
  <c r="C353" i="8"/>
  <c r="C369" i="8"/>
  <c r="C365" i="8"/>
  <c r="C367" i="8"/>
  <c r="C366" i="8"/>
  <c r="C346" i="8"/>
  <c r="C347" i="8"/>
  <c r="Q5" i="9"/>
  <c r="N5" i="7"/>
  <c r="R164" i="7"/>
  <c r="Z81" i="9" l="1"/>
  <c r="Z76" i="9"/>
  <c r="Z79" i="9"/>
  <c r="Z80" i="9"/>
  <c r="Z78" i="9"/>
  <c r="Z72" i="9"/>
  <c r="Z77" i="9"/>
  <c r="D20" i="9"/>
  <c r="D21" i="9"/>
  <c r="D22" i="9"/>
  <c r="D23" i="9"/>
  <c r="D24" i="9"/>
  <c r="D26" i="9"/>
  <c r="D27" i="9"/>
  <c r="D31" i="9"/>
  <c r="D32" i="9"/>
  <c r="D33" i="9"/>
  <c r="D34" i="9"/>
  <c r="D35" i="9"/>
  <c r="D36" i="9"/>
  <c r="D39" i="9"/>
  <c r="D41" i="9"/>
  <c r="D43" i="9"/>
  <c r="D19" i="9"/>
  <c r="Q213" i="7"/>
  <c r="B165" i="7" l="1"/>
  <c r="B187" i="7"/>
  <c r="F225" i="7" l="1"/>
  <c r="R171" i="7"/>
  <c r="Q171" i="7"/>
  <c r="L171" i="7"/>
  <c r="T171" i="7" s="1"/>
  <c r="R224" i="7"/>
  <c r="Q224" i="7"/>
  <c r="L224" i="7"/>
  <c r="T224" i="7" s="1"/>
  <c r="R168" i="7"/>
  <c r="Q168" i="7"/>
  <c r="L168" i="7"/>
  <c r="T168" i="7" s="1"/>
  <c r="R167" i="7"/>
  <c r="Q167" i="7"/>
  <c r="L167" i="7"/>
  <c r="T167" i="7" s="1"/>
  <c r="R222" i="7"/>
  <c r="Q222" i="7"/>
  <c r="N222" i="7"/>
  <c r="L222" i="7"/>
  <c r="T222" i="7" s="1"/>
  <c r="R221" i="7"/>
  <c r="Q221" i="7"/>
  <c r="N221" i="7"/>
  <c r="L221" i="7"/>
  <c r="T221" i="7" s="1"/>
  <c r="R220" i="7"/>
  <c r="Q220" i="7"/>
  <c r="N220" i="7"/>
  <c r="L220" i="7"/>
  <c r="T220" i="7" s="1"/>
  <c r="R219" i="7"/>
  <c r="Q219" i="7"/>
  <c r="L219" i="7"/>
  <c r="T219" i="7" s="1"/>
  <c r="R185" i="7"/>
  <c r="Q185" i="7"/>
  <c r="N185" i="7"/>
  <c r="L185" i="7"/>
  <c r="T185" i="7" s="1"/>
  <c r="R218" i="7"/>
  <c r="Q218" i="7"/>
  <c r="L218" i="7"/>
  <c r="T218" i="7" s="1"/>
  <c r="R217" i="7"/>
  <c r="Q217" i="7"/>
  <c r="N217" i="7"/>
  <c r="L217" i="7"/>
  <c r="T217" i="7" s="1"/>
  <c r="R186" i="7"/>
  <c r="Q186" i="7"/>
  <c r="L186" i="7"/>
  <c r="T186" i="7" s="1"/>
  <c r="R184" i="7"/>
  <c r="Q184" i="7"/>
  <c r="L184" i="7"/>
  <c r="T184" i="7" s="1"/>
  <c r="N184" i="7" l="1"/>
  <c r="N168" i="7"/>
  <c r="N171" i="7"/>
  <c r="N186" i="7"/>
  <c r="N218" i="7"/>
  <c r="N219" i="7"/>
  <c r="N167" i="7"/>
  <c r="N224" i="7"/>
  <c r="R187" i="7"/>
  <c r="Q187" i="7"/>
  <c r="R169" i="7"/>
  <c r="Q169" i="7"/>
  <c r="R227" i="7"/>
  <c r="Q227" i="7"/>
  <c r="R165" i="7"/>
  <c r="Q165" i="7"/>
  <c r="F187" i="7"/>
  <c r="F169" i="7"/>
  <c r="F227" i="7" l="1"/>
  <c r="D227" i="7"/>
  <c r="C169" i="7"/>
  <c r="D169" i="7"/>
  <c r="C227" i="7"/>
  <c r="C187" i="7"/>
  <c r="D165" i="7"/>
  <c r="D187" i="7"/>
  <c r="L227" i="7" l="1"/>
  <c r="T227" i="7" s="1"/>
  <c r="L165" i="7"/>
  <c r="T165" i="7" s="1"/>
  <c r="L187" i="7"/>
  <c r="T187" i="7" s="1"/>
  <c r="L169" i="7"/>
  <c r="T169" i="7" s="1"/>
  <c r="N165" i="7"/>
  <c r="N169" i="7"/>
  <c r="N187" i="7"/>
  <c r="N227" i="7"/>
  <c r="G336" i="8" l="1"/>
  <c r="F336" i="8"/>
  <c r="L336" i="8"/>
  <c r="M336" i="8" s="1"/>
  <c r="C336" i="8"/>
  <c r="G382" i="8"/>
  <c r="F382" i="8"/>
  <c r="D382" i="8"/>
  <c r="L382" i="8" s="1"/>
  <c r="M382" i="8" s="1"/>
  <c r="C382" i="8"/>
  <c r="G381" i="8"/>
  <c r="F381" i="8"/>
  <c r="D381" i="8"/>
  <c r="L381" i="8" s="1"/>
  <c r="M381" i="8" s="1"/>
  <c r="C381" i="8"/>
  <c r="G380" i="8"/>
  <c r="F380" i="8"/>
  <c r="D380" i="8"/>
  <c r="L380" i="8" s="1"/>
  <c r="M380" i="8" s="1"/>
  <c r="C380" i="8"/>
  <c r="G379" i="8"/>
  <c r="F379" i="8"/>
  <c r="D379" i="8"/>
  <c r="L379" i="8" s="1"/>
  <c r="M379" i="8" s="1"/>
  <c r="C379" i="8"/>
  <c r="G335" i="8"/>
  <c r="F335" i="8"/>
  <c r="L335" i="8"/>
  <c r="M335" i="8" s="1"/>
  <c r="C335" i="8"/>
  <c r="G378" i="8"/>
  <c r="F378" i="8"/>
  <c r="D378" i="8"/>
  <c r="L378" i="8" s="1"/>
  <c r="M378" i="8" s="1"/>
  <c r="C378" i="8"/>
  <c r="D377" i="8"/>
  <c r="L377" i="8" s="1"/>
  <c r="M377" i="8" s="1"/>
  <c r="G376" i="8"/>
  <c r="F376" i="8"/>
  <c r="D376" i="8"/>
  <c r="L376" i="8" s="1"/>
  <c r="M376" i="8" s="1"/>
  <c r="C376" i="8"/>
  <c r="G375" i="8"/>
  <c r="F375" i="8"/>
  <c r="D375" i="8"/>
  <c r="L375" i="8" s="1"/>
  <c r="M375" i="8" s="1"/>
  <c r="C375" i="8"/>
  <c r="G374" i="8"/>
  <c r="F374" i="8"/>
  <c r="D374" i="8"/>
  <c r="L374" i="8" s="1"/>
  <c r="M374" i="8" s="1"/>
  <c r="C374" i="8"/>
  <c r="G373" i="8"/>
  <c r="F373" i="8"/>
  <c r="D373" i="8"/>
  <c r="L373" i="8" s="1"/>
  <c r="M373" i="8" s="1"/>
  <c r="C373" i="8"/>
  <c r="G372" i="8"/>
  <c r="F372" i="8"/>
  <c r="D372" i="8"/>
  <c r="L372" i="8" s="1"/>
  <c r="M372" i="8" s="1"/>
  <c r="G371" i="8"/>
  <c r="F371" i="8"/>
  <c r="D371" i="8"/>
  <c r="G370" i="8"/>
  <c r="F370" i="8"/>
  <c r="C370" i="8"/>
  <c r="G334" i="8"/>
  <c r="F334" i="8"/>
  <c r="D334" i="8"/>
  <c r="C334" i="8"/>
  <c r="G369" i="8"/>
  <c r="F369" i="8"/>
  <c r="D369" i="8"/>
  <c r="G368" i="8"/>
  <c r="F368" i="8"/>
  <c r="D368" i="8"/>
  <c r="G367" i="8"/>
  <c r="F367" i="8"/>
  <c r="D367" i="8"/>
  <c r="G366" i="8"/>
  <c r="F366" i="8"/>
  <c r="D366" i="8"/>
  <c r="G333" i="8"/>
  <c r="F333" i="8"/>
  <c r="D333" i="8"/>
  <c r="C333" i="8"/>
  <c r="G365" i="8"/>
  <c r="F365" i="8"/>
  <c r="D365" i="8"/>
  <c r="G364" i="8"/>
  <c r="F364" i="8"/>
  <c r="D364" i="8"/>
  <c r="C364" i="8"/>
  <c r="G363" i="8"/>
  <c r="F363" i="8"/>
  <c r="D363" i="8"/>
  <c r="C363" i="8"/>
  <c r="G362" i="8"/>
  <c r="F362" i="8"/>
  <c r="D362" i="8"/>
  <c r="C362" i="8"/>
  <c r="G361" i="8"/>
  <c r="F361" i="8"/>
  <c r="C361" i="8"/>
  <c r="G360" i="8"/>
  <c r="F360" i="8"/>
  <c r="D360" i="8"/>
  <c r="C360" i="8"/>
  <c r="G359" i="8"/>
  <c r="F359" i="8"/>
  <c r="D359" i="8"/>
  <c r="C359" i="8"/>
  <c r="G358" i="8"/>
  <c r="F358" i="8"/>
  <c r="D358" i="8"/>
  <c r="G357" i="8"/>
  <c r="F357" i="8"/>
  <c r="G356" i="8"/>
  <c r="F356" i="8"/>
  <c r="D356" i="8"/>
  <c r="G355" i="8"/>
  <c r="F355" i="8"/>
  <c r="D355" i="8"/>
  <c r="G332" i="8"/>
  <c r="F332" i="8"/>
  <c r="D332" i="8"/>
  <c r="G331" i="8"/>
  <c r="F331" i="8"/>
  <c r="D331" i="8"/>
  <c r="G354" i="8"/>
  <c r="F354" i="8"/>
  <c r="D354" i="8"/>
  <c r="G353" i="8"/>
  <c r="F353" i="8"/>
  <c r="G352" i="8"/>
  <c r="F352" i="8"/>
  <c r="D352" i="8"/>
  <c r="C352" i="8"/>
  <c r="G351" i="8"/>
  <c r="F351" i="8"/>
  <c r="D351" i="8"/>
  <c r="C351" i="8"/>
  <c r="G350" i="8"/>
  <c r="F350" i="8"/>
  <c r="D350" i="8"/>
  <c r="C350" i="8"/>
  <c r="G349" i="8"/>
  <c r="F349" i="8"/>
  <c r="D349" i="8"/>
  <c r="G330" i="8"/>
  <c r="F330" i="8"/>
  <c r="D330" i="8"/>
  <c r="G348" i="8"/>
  <c r="F348" i="8"/>
  <c r="D348" i="8"/>
  <c r="C348" i="8"/>
  <c r="G347" i="8"/>
  <c r="F347" i="8"/>
  <c r="D347" i="8"/>
  <c r="G346" i="8"/>
  <c r="F346" i="8"/>
  <c r="G345" i="8"/>
  <c r="F345" i="8"/>
  <c r="D345" i="8"/>
  <c r="C345" i="8"/>
  <c r="G344" i="8"/>
  <c r="F344" i="8"/>
  <c r="D344" i="8"/>
  <c r="C344" i="8"/>
  <c r="G343" i="8"/>
  <c r="F343" i="8"/>
  <c r="D343" i="8"/>
  <c r="C343" i="8"/>
  <c r="G342" i="8"/>
  <c r="F342" i="8"/>
  <c r="D342" i="8"/>
  <c r="C342" i="8"/>
  <c r="G329" i="8"/>
  <c r="F329" i="8"/>
  <c r="D329" i="8"/>
  <c r="C329" i="8"/>
  <c r="G328" i="8"/>
  <c r="F328" i="8"/>
  <c r="D328" i="8"/>
  <c r="C328" i="8"/>
  <c r="G341" i="8"/>
  <c r="F341" i="8"/>
  <c r="D341" i="8"/>
  <c r="C341" i="8"/>
  <c r="G340" i="8"/>
  <c r="F340" i="8"/>
  <c r="C340" i="8"/>
  <c r="G339" i="8"/>
  <c r="F339" i="8"/>
  <c r="D339" i="8"/>
  <c r="C339" i="8"/>
  <c r="G338" i="8"/>
  <c r="F338" i="8"/>
  <c r="D338" i="8"/>
  <c r="C338" i="8"/>
  <c r="R16" i="11" l="1"/>
  <c r="O16" i="11"/>
  <c r="M16" i="11"/>
  <c r="R15" i="11"/>
  <c r="T15" i="11" s="1"/>
  <c r="O15" i="11"/>
  <c r="M15" i="11"/>
  <c r="R14" i="11"/>
  <c r="X14" i="11" s="1"/>
  <c r="Z14" i="11" s="1"/>
  <c r="AB14" i="11" s="1"/>
  <c r="AC14" i="11" s="1"/>
  <c r="O14" i="11"/>
  <c r="M14" i="11"/>
  <c r="R13" i="11"/>
  <c r="O13" i="11"/>
  <c r="M13" i="11"/>
  <c r="R12" i="11"/>
  <c r="X12" i="11" s="1"/>
  <c r="Z12" i="11" s="1"/>
  <c r="AB12" i="11" s="1"/>
  <c r="AC12" i="11" s="1"/>
  <c r="O12" i="11"/>
  <c r="M12" i="11"/>
  <c r="R11" i="11"/>
  <c r="T11" i="11" s="1"/>
  <c r="O11" i="11"/>
  <c r="M11" i="11"/>
  <c r="R10" i="11"/>
  <c r="X10" i="11" s="1"/>
  <c r="Z10" i="11" s="1"/>
  <c r="AB10" i="11" s="1"/>
  <c r="AC10" i="11" s="1"/>
  <c r="O10" i="11"/>
  <c r="M10" i="11"/>
  <c r="R9" i="11"/>
  <c r="X9" i="11" s="1"/>
  <c r="Z9" i="11" s="1"/>
  <c r="AB9" i="11" s="1"/>
  <c r="AC9" i="11" s="1"/>
  <c r="O9" i="11"/>
  <c r="M9" i="11"/>
  <c r="R8" i="11"/>
  <c r="X8" i="11" s="1"/>
  <c r="Z8" i="11" s="1"/>
  <c r="AB8" i="11" s="1"/>
  <c r="AC8" i="11" s="1"/>
  <c r="O8" i="11"/>
  <c r="M8" i="11"/>
  <c r="A8" i="11"/>
  <c r="A9" i="11" s="1"/>
  <c r="A10" i="11" s="1"/>
  <c r="A11" i="11" s="1"/>
  <c r="A12" i="11" s="1"/>
  <c r="A13" i="11" s="1"/>
  <c r="A14" i="11" s="1"/>
  <c r="A15" i="11" s="1"/>
  <c r="A16" i="11" s="1"/>
  <c r="S7" i="11"/>
  <c r="T7" i="11" s="1"/>
  <c r="U7" i="11" s="1"/>
  <c r="R7" i="11"/>
  <c r="X7" i="11" s="1"/>
  <c r="Z7" i="11" s="1"/>
  <c r="AB7" i="11" s="1"/>
  <c r="AC7" i="11" s="1"/>
  <c r="O7" i="11"/>
  <c r="M7" i="11"/>
  <c r="S6" i="11"/>
  <c r="T6" i="11" s="1"/>
  <c r="R6" i="11"/>
  <c r="X6" i="11" s="1"/>
  <c r="Z6" i="11" s="1"/>
  <c r="AB6" i="11" s="1"/>
  <c r="AC6" i="11" s="1"/>
  <c r="O6" i="11"/>
  <c r="M6" i="11"/>
  <c r="J5" i="10"/>
  <c r="Y43" i="9"/>
  <c r="X43" i="9"/>
  <c r="S43" i="9"/>
  <c r="Y42" i="9"/>
  <c r="X42" i="9"/>
  <c r="S42" i="9"/>
  <c r="Y41" i="9"/>
  <c r="X41" i="9"/>
  <c r="S41" i="9"/>
  <c r="Y40" i="9"/>
  <c r="X40" i="9"/>
  <c r="S40" i="9"/>
  <c r="Y39" i="9"/>
  <c r="X39" i="9"/>
  <c r="S39" i="9"/>
  <c r="Y38" i="9"/>
  <c r="X38" i="9"/>
  <c r="S38" i="9"/>
  <c r="Y37" i="9"/>
  <c r="X37" i="9"/>
  <c r="S37" i="9"/>
  <c r="Y36" i="9"/>
  <c r="S36" i="9"/>
  <c r="X36" i="9" s="1"/>
  <c r="Y35" i="9"/>
  <c r="S35" i="9"/>
  <c r="X35" i="9" s="1"/>
  <c r="Y34" i="9"/>
  <c r="S34" i="9"/>
  <c r="X34" i="9" s="1"/>
  <c r="Y33" i="9"/>
  <c r="S33" i="9"/>
  <c r="X33" i="9" s="1"/>
  <c r="Y32" i="9"/>
  <c r="S32" i="9"/>
  <c r="X32" i="9" s="1"/>
  <c r="Y31" i="9"/>
  <c r="S31" i="9"/>
  <c r="X31" i="9" s="1"/>
  <c r="Y30" i="9"/>
  <c r="X30" i="9"/>
  <c r="S30" i="9"/>
  <c r="Y29" i="9"/>
  <c r="X29" i="9"/>
  <c r="S29" i="9"/>
  <c r="Y28" i="9"/>
  <c r="S28" i="9"/>
  <c r="X28" i="9" s="1"/>
  <c r="Y27" i="9"/>
  <c r="S27" i="9"/>
  <c r="X27" i="9" s="1"/>
  <c r="Y26" i="9"/>
  <c r="S26" i="9"/>
  <c r="X26" i="9" s="1"/>
  <c r="Y25" i="9"/>
  <c r="X25" i="9"/>
  <c r="S25" i="9"/>
  <c r="S24" i="9"/>
  <c r="X24" i="9" s="1"/>
  <c r="Y23" i="9"/>
  <c r="S23" i="9"/>
  <c r="X23" i="9" s="1"/>
  <c r="S22" i="9"/>
  <c r="X22" i="9" s="1"/>
  <c r="S21" i="9"/>
  <c r="Y21" i="9" s="1"/>
  <c r="S20" i="9"/>
  <c r="Y20" i="9" s="1"/>
  <c r="S19" i="9"/>
  <c r="Y19" i="9" s="1"/>
  <c r="L371" i="8"/>
  <c r="M371" i="8" s="1"/>
  <c r="L370" i="8"/>
  <c r="M370" i="8" s="1"/>
  <c r="L334" i="8"/>
  <c r="M334" i="8" s="1"/>
  <c r="L369" i="8"/>
  <c r="M369" i="8" s="1"/>
  <c r="L368" i="8"/>
  <c r="M368" i="8" s="1"/>
  <c r="L367" i="8"/>
  <c r="M367" i="8" s="1"/>
  <c r="L366" i="8"/>
  <c r="M366" i="8" s="1"/>
  <c r="L333" i="8"/>
  <c r="M333" i="8" s="1"/>
  <c r="L365" i="8"/>
  <c r="M365" i="8" s="1"/>
  <c r="L364" i="8"/>
  <c r="M364" i="8" s="1"/>
  <c r="L363" i="8"/>
  <c r="M363" i="8" s="1"/>
  <c r="L362" i="8"/>
  <c r="M362" i="8" s="1"/>
  <c r="L361" i="8"/>
  <c r="M361" i="8" s="1"/>
  <c r="L360" i="8"/>
  <c r="M360" i="8" s="1"/>
  <c r="L359" i="8"/>
  <c r="M359" i="8" s="1"/>
  <c r="L358" i="8"/>
  <c r="M358" i="8" s="1"/>
  <c r="L357" i="8"/>
  <c r="M357" i="8" s="1"/>
  <c r="L356" i="8"/>
  <c r="M356" i="8" s="1"/>
  <c r="L355" i="8"/>
  <c r="M355" i="8" s="1"/>
  <c r="L332" i="8"/>
  <c r="M332" i="8" s="1"/>
  <c r="L331" i="8"/>
  <c r="M331" i="8" s="1"/>
  <c r="L354" i="8"/>
  <c r="M354" i="8" s="1"/>
  <c r="L353" i="8"/>
  <c r="M353" i="8" s="1"/>
  <c r="L352" i="8"/>
  <c r="M352" i="8" s="1"/>
  <c r="L351" i="8"/>
  <c r="M351" i="8" s="1"/>
  <c r="L350" i="8"/>
  <c r="M350" i="8" s="1"/>
  <c r="L349" i="8"/>
  <c r="M349" i="8" s="1"/>
  <c r="L330" i="8"/>
  <c r="M330" i="8" s="1"/>
  <c r="L348" i="8"/>
  <c r="M348" i="8" s="1"/>
  <c r="L347" i="8"/>
  <c r="M347" i="8" s="1"/>
  <c r="L346" i="8"/>
  <c r="M346" i="8" s="1"/>
  <c r="L345" i="8"/>
  <c r="M345" i="8" s="1"/>
  <c r="L344" i="8"/>
  <c r="M344" i="8" s="1"/>
  <c r="L343" i="8"/>
  <c r="M343" i="8" s="1"/>
  <c r="L342" i="8"/>
  <c r="M342" i="8" s="1"/>
  <c r="L329" i="8"/>
  <c r="M329" i="8" s="1"/>
  <c r="L328" i="8"/>
  <c r="M328" i="8" s="1"/>
  <c r="L341" i="8"/>
  <c r="M341" i="8" s="1"/>
  <c r="L340" i="8"/>
  <c r="M340" i="8" s="1"/>
  <c r="L339" i="8"/>
  <c r="M339" i="8" s="1"/>
  <c r="L338" i="8"/>
  <c r="M338" i="8" s="1"/>
  <c r="J7" i="8"/>
  <c r="R170" i="7"/>
  <c r="Q170" i="7"/>
  <c r="N170" i="7"/>
  <c r="L170" i="7"/>
  <c r="T170" i="7" s="1"/>
  <c r="R226" i="7"/>
  <c r="Q226" i="7"/>
  <c r="N226" i="7"/>
  <c r="L226" i="7"/>
  <c r="T226" i="7" s="1"/>
  <c r="R225" i="7"/>
  <c r="Q225" i="7"/>
  <c r="N225" i="7"/>
  <c r="L225" i="7"/>
  <c r="T225" i="7" s="1"/>
  <c r="R223" i="7"/>
  <c r="Q223" i="7"/>
  <c r="N223" i="7"/>
  <c r="L223" i="7"/>
  <c r="T223" i="7" s="1"/>
  <c r="R188" i="7"/>
  <c r="Q188" i="7"/>
  <c r="N188" i="7"/>
  <c r="L188" i="7"/>
  <c r="T188" i="7" s="1"/>
  <c r="R166" i="7"/>
  <c r="Q166" i="7"/>
  <c r="N166" i="7"/>
  <c r="L166" i="7"/>
  <c r="T166" i="7" s="1"/>
  <c r="R183" i="7"/>
  <c r="Q183" i="7"/>
  <c r="N183" i="7"/>
  <c r="L183" i="7"/>
  <c r="T183" i="7" s="1"/>
  <c r="R182" i="7"/>
  <c r="Q182" i="7"/>
  <c r="N182" i="7"/>
  <c r="L182" i="7"/>
  <c r="T182" i="7" s="1"/>
  <c r="R216" i="7"/>
  <c r="Q216" i="7"/>
  <c r="N216" i="7"/>
  <c r="L216" i="7"/>
  <c r="T216" i="7" s="1"/>
  <c r="R181" i="7"/>
  <c r="Q181" i="7"/>
  <c r="N181" i="7"/>
  <c r="L181" i="7"/>
  <c r="T181" i="7" s="1"/>
  <c r="R215" i="7"/>
  <c r="Q215" i="7"/>
  <c r="N215" i="7"/>
  <c r="L215" i="7"/>
  <c r="T215" i="7" s="1"/>
  <c r="Q164" i="7"/>
  <c r="N164" i="7"/>
  <c r="L164" i="7"/>
  <c r="T164" i="7" s="1"/>
  <c r="R214" i="7"/>
  <c r="Q214" i="7"/>
  <c r="N214" i="7"/>
  <c r="L214" i="7"/>
  <c r="T214" i="7" s="1"/>
  <c r="R213" i="7"/>
  <c r="N213" i="7"/>
  <c r="L213" i="7"/>
  <c r="T213" i="7" s="1"/>
  <c r="C11" i="7"/>
  <c r="L23" i="6"/>
  <c r="E11" i="6"/>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Y22" i="9" l="1"/>
  <c r="Z22" i="9" s="1"/>
  <c r="Y24" i="9"/>
  <c r="Z24" i="9" s="1"/>
  <c r="U6" i="11"/>
  <c r="Q7" i="9"/>
  <c r="T230" i="7"/>
  <c r="L20" i="6" s="1"/>
  <c r="N20" i="6" s="1"/>
  <c r="O20" i="6" s="1"/>
  <c r="U11" i="11"/>
  <c r="X16" i="11"/>
  <c r="Z16" i="11" s="1"/>
  <c r="AB16" i="11" s="1"/>
  <c r="AC16" i="11" s="1"/>
  <c r="T16" i="11"/>
  <c r="U16" i="11" s="1"/>
  <c r="X13" i="11"/>
  <c r="Z13" i="11" s="1"/>
  <c r="AB13" i="11" s="1"/>
  <c r="AC13" i="11" s="1"/>
  <c r="T13" i="11"/>
  <c r="U13" i="11" s="1"/>
  <c r="J7" i="10"/>
  <c r="E13" i="6"/>
  <c r="N9" i="7"/>
  <c r="Z28" i="9"/>
  <c r="Z20" i="9"/>
  <c r="Z36" i="9"/>
  <c r="Z26" i="9"/>
  <c r="Z34" i="9"/>
  <c r="Z42" i="9"/>
  <c r="Z25" i="9"/>
  <c r="Z33" i="9"/>
  <c r="Z41" i="9"/>
  <c r="Z23" i="9"/>
  <c r="Z31" i="9"/>
  <c r="Z39" i="9"/>
  <c r="Z29" i="9"/>
  <c r="Z43" i="9"/>
  <c r="Z38" i="9"/>
  <c r="Z21" i="9"/>
  <c r="Z37" i="9"/>
  <c r="Z27" i="9"/>
  <c r="Z35" i="9"/>
  <c r="Z40" i="9"/>
  <c r="Z19" i="9"/>
  <c r="N23" i="6"/>
  <c r="O23" i="6" s="1"/>
  <c r="N230" i="7"/>
  <c r="L19" i="6" s="1"/>
  <c r="N19" i="6" s="1"/>
  <c r="O19" i="6" s="1"/>
  <c r="M503" i="8"/>
  <c r="L21" i="6" s="1"/>
  <c r="N21" i="6" s="1"/>
  <c r="O21" i="6" s="1"/>
  <c r="Z32" i="9"/>
  <c r="Z30" i="9"/>
  <c r="U8" i="11"/>
  <c r="U15" i="11"/>
  <c r="T8" i="11"/>
  <c r="X11" i="11"/>
  <c r="Z11" i="11" s="1"/>
  <c r="AB11" i="11" s="1"/>
  <c r="AC11" i="11" s="1"/>
  <c r="T12" i="11"/>
  <c r="U12" i="11" s="1"/>
  <c r="X15" i="11"/>
  <c r="Z15" i="11" s="1"/>
  <c r="AB15" i="11" s="1"/>
  <c r="AC15" i="11" s="1"/>
  <c r="J9" i="8"/>
  <c r="T9" i="11"/>
  <c r="U9" i="11" s="1"/>
  <c r="T10" i="11"/>
  <c r="U10" i="11" s="1"/>
  <c r="T14" i="11"/>
  <c r="U14" i="11" s="1"/>
  <c r="J9" i="10" l="1"/>
  <c r="Q9" i="9"/>
  <c r="Z94" i="9"/>
  <c r="L22" i="6" s="1"/>
  <c r="N22" i="6" s="1"/>
  <c r="O22" i="6" s="1"/>
  <c r="N11" i="7"/>
  <c r="J11" i="8"/>
  <c r="U17" i="11"/>
  <c r="L24" i="6" l="1"/>
  <c r="N24" i="6" s="1"/>
  <c r="O24" i="6" s="1"/>
</calcChain>
</file>

<file path=xl/sharedStrings.xml><?xml version="1.0" encoding="utf-8"?>
<sst xmlns="http://schemas.openxmlformats.org/spreadsheetml/2006/main" count="32306" uniqueCount="4914">
  <si>
    <t>APPROVED LIST MASTERLIST ASSET FOR HOSPITAL SHAH ALAM 2022</t>
  </si>
  <si>
    <t>No.</t>
  </si>
  <si>
    <t>Service</t>
  </si>
  <si>
    <t>Period Name</t>
  </si>
  <si>
    <t>Hospital</t>
  </si>
  <si>
    <t xml:space="preserve">Department </t>
  </si>
  <si>
    <t>Asset Description</t>
  </si>
  <si>
    <t>Equipment Group</t>
  </si>
  <si>
    <t>Asset Type Code</t>
  </si>
  <si>
    <t>Qty</t>
  </si>
  <si>
    <t>Asset No.</t>
  </si>
  <si>
    <t xml:space="preserve"> Purchase Cost (RM)</t>
  </si>
  <si>
    <t>Total Purchase Cost (RM)</t>
  </si>
  <si>
    <t>Status</t>
  </si>
  <si>
    <t>Date Start Service</t>
  </si>
  <si>
    <t>Warranty Expiry Date</t>
  </si>
  <si>
    <t>Date Stop Service</t>
  </si>
  <si>
    <t>BEMS</t>
  </si>
  <si>
    <t>P0</t>
  </si>
  <si>
    <t>Hospital Shah Alam, Selangor</t>
  </si>
  <si>
    <t>COMPRESSOR AIR (DENTAL)</t>
  </si>
  <si>
    <t>10-972</t>
  </si>
  <si>
    <t xml:space="preserve">KKM/JKN/HSA/10-05-01/H/15/4893 </t>
  </si>
  <si>
    <t>SUCTION UNIT (DENTAL)</t>
  </si>
  <si>
    <t xml:space="preserve">KKM/JKN/HSA/10-05-01/H/15/466 </t>
  </si>
  <si>
    <t>CENTRAL COMPRESSOR (DENTAL)</t>
  </si>
  <si>
    <t>KKM/JKN/HSA/10-05-01/H/15/4891</t>
  </si>
  <si>
    <t>CENTRAL SUCTION (DENTAL)</t>
  </si>
  <si>
    <t>KKM/JKN/HSA/10-05-01/H/15/4886</t>
  </si>
  <si>
    <t>DENTAL CHAIR, OFFICER</t>
  </si>
  <si>
    <t>10-792</t>
  </si>
  <si>
    <t xml:space="preserve">KKM/JKN/HSA/10-05-01/H/15/4892 </t>
  </si>
  <si>
    <t>KKM/JKN/HSA/10-05-01/H/15/1118</t>
  </si>
  <si>
    <t>KKM/JKN/HSA/10-05-01/H/15/1119</t>
  </si>
  <si>
    <t>KKM/JKN/HSA/10-05-01/H/15/1120</t>
  </si>
  <si>
    <t>KKM/JKN/HSA/10-05-01/H/15/1121</t>
  </si>
  <si>
    <t>KKM/JKN/HSA/10-05-01/H/15/1122</t>
  </si>
  <si>
    <t>KKM/JKN/HSA/10-05-01/H/15/1123</t>
  </si>
  <si>
    <t>KKM/JKN/HSA/10-05-01/H/15/1124</t>
  </si>
  <si>
    <t>DENTAL CHAIR, SPECIALIST</t>
  </si>
  <si>
    <t>KKM/JKN/HSA/10-05-01/H/15/1489</t>
  </si>
  <si>
    <t>KKM/JKN/HSA/10-05-01/H/15/1490</t>
  </si>
  <si>
    <t>KKM/JKN/HSA/10-05-01/H/15/1491</t>
  </si>
  <si>
    <t>DENTAL X-RAY CHAIR</t>
  </si>
  <si>
    <t>16-437</t>
  </si>
  <si>
    <t>KKM/JKN/HSA/10-05-01/H/15/1089</t>
  </si>
  <si>
    <t>KKM/JKN/HSA/10-05-01/H/15/4013</t>
  </si>
  <si>
    <t>HPLC SYSTEM FOR HBA1C C/W UPS</t>
  </si>
  <si>
    <t>17-109</t>
  </si>
  <si>
    <t>KKM/JKN/HSA/10-05-01/H/15/4018</t>
  </si>
  <si>
    <t>COAGULOMETER (AUTOMATIC)</t>
  </si>
  <si>
    <t>15-098</t>
  </si>
  <si>
    <t>KKM/JKN/HSA/10-05-01/H/15/3915</t>
  </si>
  <si>
    <t>KKM/JKN/HSA/10-05-01/H/15/3916</t>
  </si>
  <si>
    <t>HEMATOLOGY ANALYSER / SYSMEX / XP-100</t>
  </si>
  <si>
    <t>17-741</t>
  </si>
  <si>
    <t>KKM/JKN/HSA/10-05-01/H/15/38</t>
  </si>
  <si>
    <t>NOX BOX1 MOBILE</t>
  </si>
  <si>
    <t>18-586</t>
  </si>
  <si>
    <t>KKM/JKN/HSA/10-05-01/H/16/123</t>
  </si>
  <si>
    <t>HEADLAMP FIBEROPTIC</t>
  </si>
  <si>
    <t>12-345</t>
  </si>
  <si>
    <t>KKM/JKN/HSA/10-05-01/H/15/2475</t>
  </si>
  <si>
    <t>KKM/JKN/HSA/10-05-01/H/15/2476</t>
  </si>
  <si>
    <t>KKM/JKN/HSA/10-05-01/H/15/2477</t>
  </si>
  <si>
    <t>KKM/JKN/HSA/10-05-01/H/15/2478</t>
  </si>
  <si>
    <t>HEADLAMP FIBEROPTIC W/XENON LIGHT SOURCE</t>
  </si>
  <si>
    <t>KKM/JKN/HSA/10-05-01/H/15/2480</t>
  </si>
  <si>
    <t>KKM/JKN/HSA/10-05-01/H/15/2481</t>
  </si>
  <si>
    <t>KKM/JKN/HSA/10-05-01/H/15/3574</t>
  </si>
  <si>
    <t>KKM/JKN/HSA/10-05-01/H/15/3575</t>
  </si>
  <si>
    <t>DENTAL MODEL TRIMMERS/POLISHING</t>
  </si>
  <si>
    <t>88-008</t>
  </si>
  <si>
    <t>KKM/JKN/HSA/10-05-01/H/15/4029</t>
  </si>
  <si>
    <t>AMALGAMATOR</t>
  </si>
  <si>
    <t>10-082</t>
  </si>
  <si>
    <t>KKM/JKN/HSA/10-05-01/H/15/3564</t>
  </si>
  <si>
    <t>KKM/JKN/HSA/10-05-01/H/15/3565</t>
  </si>
  <si>
    <t>KKM/JKN/HSA/10-05-01/H/15/3566</t>
  </si>
  <si>
    <t>KKM/JKN/HSA/10-05-01/H/15/3567</t>
  </si>
  <si>
    <t>KKM/JKN/HSA/10-05-01/H/15/3568</t>
  </si>
  <si>
    <t>KKM/JKN/HSA/10-05-01/H/15/3569</t>
  </si>
  <si>
    <t>KKM/JKN/HSA/10-05-01/H/15/3570</t>
  </si>
  <si>
    <t>KKM/JKN/HSA/10-05-01/H/15/3571</t>
  </si>
  <si>
    <t>KKM/JKN/HSA/10-05-01/H/15/3572</t>
  </si>
  <si>
    <t>KKM/JKN/HSA/10-05-01/H/15/3573</t>
  </si>
  <si>
    <t>KKM/JKN/HSA/10-05-01/H/15/3624</t>
  </si>
  <si>
    <t>LIGHT CURING UNIT</t>
  </si>
  <si>
    <t>16-353</t>
  </si>
  <si>
    <t>KKM/JKN/HSA/10-05-01/H/15/1701</t>
  </si>
  <si>
    <t>KKM/JKN/HSA/10-05-01/H/15/1702</t>
  </si>
  <si>
    <t>KKM/JKN/HSA/10-05-01/H/15/1703</t>
  </si>
  <si>
    <t>KKM/JKN/HSA/10-05-01/H/15/1704</t>
  </si>
  <si>
    <t>KKM/JKN/HSA/10-05-01/H/15/1705</t>
  </si>
  <si>
    <t>KKM/JKN/HSA/10-05-01/H/15/1706</t>
  </si>
  <si>
    <t>KKM/JKN/HSA/10-05-01/H/15/1707</t>
  </si>
  <si>
    <t>KKM/JKN/HSA/10-05-01/H/15/1708</t>
  </si>
  <si>
    <t>KKM/JKN/HSA/10-05-01/H/15/1709</t>
  </si>
  <si>
    <t>KKM/JKN/HSA/10-05-01/H/15/1710</t>
  </si>
  <si>
    <t>DENTAL IMPLANT UNITS</t>
  </si>
  <si>
    <t>88-006</t>
  </si>
  <si>
    <t>KKM/JKN/HSA/10-05-01/H/15/1662</t>
  </si>
  <si>
    <t>KKM/JKN/HSA/10-05-01/H/15/1663</t>
  </si>
  <si>
    <t>KKM/JKN/HSA/10-05-01/H/15/1664</t>
  </si>
  <si>
    <t>POLYMERIZATION BATH</t>
  </si>
  <si>
    <t>99-903</t>
  </si>
  <si>
    <t>KKM/JKN/HSA/10-05-01/H/15/4025</t>
  </si>
  <si>
    <t>KKM/JKN/HSA/10-05-01/H/15/4026</t>
  </si>
  <si>
    <t>DENTAL HANDPIECE</t>
  </si>
  <si>
    <t>11-161</t>
  </si>
  <si>
    <t>KKM/JKN/HSA/10-05-01/H/16/35</t>
  </si>
  <si>
    <t>KKM/JKN/HSA/10-05-01/H/16/36</t>
  </si>
  <si>
    <t>KKM/JKN/HSA/10-05-01/H/16/96</t>
  </si>
  <si>
    <t>KKM/JKN/HSA/10-05-01/H/16/97</t>
  </si>
  <si>
    <t>KKM/JKN/HSA/10-05-01/H/16/98</t>
  </si>
  <si>
    <t>KKM/JKN/HSA/10-05-01/H/16/99</t>
  </si>
  <si>
    <t>KKM/JKN/HSA/10-05-01/H/16/100</t>
  </si>
  <si>
    <t>KKM/JKN/HSA/10-05-01/H/18/144</t>
  </si>
  <si>
    <t>LIGHT SOURCE FIBEROPTIC COMPACT</t>
  </si>
  <si>
    <t>12-343</t>
  </si>
  <si>
    <t>KKM/JKN/HSA/10-01-01/R/15/7575</t>
  </si>
  <si>
    <t>LIGHT SOURCE XENON 300 WATTS</t>
  </si>
  <si>
    <t>KKM/JKN/HSA/10-01-01/H/15/1327</t>
  </si>
  <si>
    <t>KKM/JKN/HSA/10-01-01/H/15/1328</t>
  </si>
  <si>
    <t>KKM/JKN/HSA/10-01-01/H/15/1329</t>
  </si>
  <si>
    <t>KKM/JKN/HSA/10-01-01/H/15/1330</t>
  </si>
  <si>
    <t>KKM/JKN/HSA/10-01-01/H/15/1331</t>
  </si>
  <si>
    <t>KKM/JKN/HSA/10-01-01/H/15/1332</t>
  </si>
  <si>
    <t>LIGHT GUIDE 3.5MM</t>
  </si>
  <si>
    <t>KKM/JKN/HSA/10-05-01/R/15/6818</t>
  </si>
  <si>
    <t>KKM/JKN/HSA/10-05-01/R/15/6819</t>
  </si>
  <si>
    <t>KKM/JKN/HSA/10-05-01/R/15/6821</t>
  </si>
  <si>
    <t>VIDEO PRINTER</t>
  </si>
  <si>
    <t>17-508</t>
  </si>
  <si>
    <t>KKM/JKN/HSA/10-05-01/H/15/4086</t>
  </si>
  <si>
    <t>KKM/JKN/HSA/10-05-01/H/15/4087</t>
  </si>
  <si>
    <t>KKM/JKN/HSA/10-05-01/H/15/4088</t>
  </si>
  <si>
    <t>SAW PLASTER ELECTRIC C/W VACUUM</t>
  </si>
  <si>
    <t>16-340</t>
  </si>
  <si>
    <t>KKM/JKN/HSA/10-05-01/H/15/2826</t>
  </si>
  <si>
    <t>KKM/JKN/HSA/10-05-01/H/15/4157</t>
  </si>
  <si>
    <t>KKM/JKN/HSA/10-05-01/H/15/4255</t>
  </si>
  <si>
    <t>KKM/JKN/HSA/10-05-01/H/15/4256</t>
  </si>
  <si>
    <t>KKM/JKN/HSA/10-05-01/H/15/4257</t>
  </si>
  <si>
    <t>HUMAN PATIENT SIMULATOR</t>
  </si>
  <si>
    <t>15-309</t>
  </si>
  <si>
    <t>KKM/JKN/HSA/10-05-01/H/16/124</t>
  </si>
  <si>
    <t>KKM/JKN/HSA/10-05-01/H/16/125</t>
  </si>
  <si>
    <t>KKM/JKN/HSA/10-05-01/H/16/126</t>
  </si>
  <si>
    <t>KOMPUTER TABLET</t>
  </si>
  <si>
    <t>KKM/JKN/HSA/10-05-01/H/16/127</t>
  </si>
  <si>
    <t>ULTRASOUND THERAPEUTIC C/W 2 TRANSDUSERS</t>
  </si>
  <si>
    <t>11-248</t>
  </si>
  <si>
    <t>KKM/JKN/HSA/10-05-01/H/15/955</t>
  </si>
  <si>
    <t>KKM/JKN/HSA/10-05-01/H/15/956</t>
  </si>
  <si>
    <t>COMBINATION ELECTROTHERAPY AND ULTRASOUND</t>
  </si>
  <si>
    <t>KKM/JKN/HSA/10-05-01/H/15/420</t>
  </si>
  <si>
    <t>APEX LOCATOR</t>
  </si>
  <si>
    <t>16-355</t>
  </si>
  <si>
    <t>KKM/JKN/HSA/10-05-01/H/15/2045</t>
  </si>
  <si>
    <t>KKM/JKN/HSA/10-05-01/H/15/2046</t>
  </si>
  <si>
    <t>DENTAL DELIVERY UNIT (VACUUM SYSTEM)</t>
  </si>
  <si>
    <t>11-165</t>
  </si>
  <si>
    <t>KKM/JKN/HSA/10-05-01/H/16/101</t>
  </si>
  <si>
    <t>PICO SMOKERLYZER</t>
  </si>
  <si>
    <t>20-198</t>
  </si>
  <si>
    <t>KKM/JKN/HSA/10-05-01/H/16/44</t>
  </si>
  <si>
    <t>KKM/JKN/HSA/10-05-01/H/16/167</t>
  </si>
  <si>
    <t>ASR SIMULATOR MANNEQUIN WITH MONITOR</t>
  </si>
  <si>
    <t>KKM/JKN/HSA/10-05-01/H/15/4870</t>
  </si>
  <si>
    <t>RESUSCITATION MODEL BABY WITH CASE</t>
  </si>
  <si>
    <t>KKM/JKN/HSA/10-05-01/H/15/3657</t>
  </si>
  <si>
    <t>KKM/JKN/HSA/10-05-01/H/15/3636</t>
  </si>
  <si>
    <t>THERMOFORMING MACHINE/ERKOPRESS</t>
  </si>
  <si>
    <t>KKM/JKN/HSA/10-05-01/H/15/4045</t>
  </si>
  <si>
    <t>LAMP OPERATING MAJOR + SATELLITE C/W UPS</t>
  </si>
  <si>
    <t>12-282</t>
  </si>
  <si>
    <t>KKM/JKN/HSA/10-05-01/H/15/4876</t>
  </si>
  <si>
    <t>KKM/JKN/HSA/10-05-01/H/15/4877</t>
  </si>
  <si>
    <t>KKM/JKN/HSA/10-05-01/H/15/4878</t>
  </si>
  <si>
    <t>KKM/JKN/HSA/10-05-01/H/15/4879</t>
  </si>
  <si>
    <t>KKM/JKN/HSA/10-05-01/H/15/4880</t>
  </si>
  <si>
    <t>KKM/JKN/HSA/10-05-01/H/15/4881</t>
  </si>
  <si>
    <t>KKM/JKN/HSA/10-05-01/H/15/4882</t>
  </si>
  <si>
    <t>KKM/JKN/HSA/10-05-01/H/15/4883</t>
  </si>
  <si>
    <t>KKM/JKN/HSA/10-05-01/H/15/4884</t>
  </si>
  <si>
    <t>KKM/JKN/HSA/10-05-01/H/15/4885</t>
  </si>
  <si>
    <t>LAMP OPERATING MINOR</t>
  </si>
  <si>
    <t xml:space="preserve">KKM/JKN/HSA/10-05-01/H/15/4030 </t>
  </si>
  <si>
    <t xml:space="preserve">KKM/JKN/HSA/10-05-01/H/15/4164 </t>
  </si>
  <si>
    <t>TABLE APPLICATION PLASTER OF PARIS</t>
  </si>
  <si>
    <t>13-961</t>
  </si>
  <si>
    <t>KKM/JKN/HSA/10-05-01/H/15/1272</t>
  </si>
  <si>
    <t>KKM/JKN/HSA/10-05-01/H/15/1273</t>
  </si>
  <si>
    <t>KKM/JKN/HSA/10-05-01/H/15/1274</t>
  </si>
  <si>
    <t>TABLE OPERATING MINOR PL MATTRESS</t>
  </si>
  <si>
    <t xml:space="preserve">KKM/JKN/HSA/10-05-01/H/15/1276 </t>
  </si>
  <si>
    <t>TABLE OPERATING , W/ ACC. ,  ORTHOPAEDIC, ELECTRIC</t>
  </si>
  <si>
    <t xml:space="preserve">KKM/JKN/HSA/10-05-01/H/15/1277 </t>
  </si>
  <si>
    <t xml:space="preserve">KKM/JKN/HSA/10-05-01/H/15/1278 </t>
  </si>
  <si>
    <t>TABLE OPERATING, W/ ACC. , MAJOR GENERAL, ELECTRIC</t>
  </si>
  <si>
    <t xml:space="preserve">KKM/JKN/HSA/10-05-01/H/15/2414 </t>
  </si>
  <si>
    <t xml:space="preserve">KKM/JKN/HSA/10-05-01/H/15/2415 </t>
  </si>
  <si>
    <t xml:space="preserve">KKM/JKN/HSA/10-05-01/H/15/2416 </t>
  </si>
  <si>
    <t xml:space="preserve">KKM/JKN/HSA/10-05-01/H/15/2417 </t>
  </si>
  <si>
    <t>TABLE OPERATING, W/ ACC.  , OPHTHALM., ELECTRIC</t>
  </si>
  <si>
    <t xml:space="preserve">KKM/JKN/HSA/10-05-01/H/15/2413 </t>
  </si>
  <si>
    <t>TABLE OPERATING, W/ ACC.  , ENT., ELECTRIC</t>
  </si>
  <si>
    <t xml:space="preserve">KKM/JKN/HSA/10-05-01/H/15/2418 </t>
  </si>
  <si>
    <t>TABLE, OPERATING, O &amp; G, ELECTRIC</t>
  </si>
  <si>
    <t xml:space="preserve">KKM/JKN/HSA/10-05-01/H/15/2419 </t>
  </si>
  <si>
    <t xml:space="preserve">KKM/JKN/HSA/10-05-01/H/15/2420 </t>
  </si>
  <si>
    <t>ANAESTHETIC MACHINE</t>
  </si>
  <si>
    <t>10-134</t>
  </si>
  <si>
    <t>KKM/JKN/HSA/10-05-01/H/15/328</t>
  </si>
  <si>
    <t xml:space="preserve">KKM/JKN/HSA/10-05-01/H/15/329 </t>
  </si>
  <si>
    <t xml:space="preserve">KKM/JKN/HSA/10-05-01/H/15/330 </t>
  </si>
  <si>
    <t xml:space="preserve">KKM/JKN/HSA/10-05-01/H/15/331 </t>
  </si>
  <si>
    <t xml:space="preserve">KKM/JKN/HSA/10-05-01/H/15/332 </t>
  </si>
  <si>
    <t xml:space="preserve">KKM/JKN/HSA/10-05-01/H/15/333 </t>
  </si>
  <si>
    <t xml:space="preserve">KKM/JKN/HSA/10-05-01/H/15/334 </t>
  </si>
  <si>
    <t xml:space="preserve">KKM/JKN/HSA/10-05-01/H/15/335 </t>
  </si>
  <si>
    <t xml:space="preserve">KKM/JKN/HSA/10-05-01/H/15/336 </t>
  </si>
  <si>
    <t xml:space="preserve">KKM/JKN/HSA/10-05-01/H/15/337 </t>
  </si>
  <si>
    <t>MONITOR ANTE/INTRAPARTUM W/INTEGRAL PRINTER</t>
  </si>
  <si>
    <t>12-610</t>
  </si>
  <si>
    <t>KKM/JKN/HSA/10-05-01/H/15/761</t>
  </si>
  <si>
    <t>KKM/JKN/HSA/10-05-01/H/15/762</t>
  </si>
  <si>
    <t>KKM/JKN/HSA/10-05-01/H/15/764</t>
  </si>
  <si>
    <t>KKM/JKN/HSA/10-05-01/H/15/765</t>
  </si>
  <si>
    <t>KKM/JKN/HSA/10-05-01/H/15/769</t>
  </si>
  <si>
    <t>MONITOR ANTEPARTUM W/INTEGRAL PRINTER</t>
  </si>
  <si>
    <t>KKM/JKN/HSA/10-05-01/H/15/4296</t>
  </si>
  <si>
    <t>KKM/JKN/HSA/10-05-01/H/15/4298</t>
  </si>
  <si>
    <t>KKM/JKN/HSA/10-05-01/H/15/4299</t>
  </si>
  <si>
    <t>KKM/JKN/HSA/10-05-01/H/15/4300</t>
  </si>
  <si>
    <t>KKM/JKN/HSA/10-05-01/H/15/4301</t>
  </si>
  <si>
    <t>KKM/JKN/HSA/10-05-01/H/15/4303</t>
  </si>
  <si>
    <t>KKM/JKN/HSA/10-05-01/H/15/4305</t>
  </si>
  <si>
    <t>MONITOR ANTEPARTUM/TWIN W/INTEGRAL PRINTER</t>
  </si>
  <si>
    <t>KKM/JKN/HSA/10-05-01/H/15/594</t>
  </si>
  <si>
    <t>ELECTROSURGERY UNIT DENTAL</t>
  </si>
  <si>
    <t>18-231</t>
  </si>
  <si>
    <t>KKM/JKN/HSA/10-05-01/H/15/1660</t>
  </si>
  <si>
    <t xml:space="preserve"> ELECTROSURGERY</t>
  </si>
  <si>
    <t>KKM/JKN/HSA/10-05-01/H/16/47</t>
  </si>
  <si>
    <t>DIATHERMY UNIT</t>
  </si>
  <si>
    <t>KKM/JKN/HSA/10-05-01/H/15/560</t>
  </si>
  <si>
    <t>KKM/JKN/HSA/10-05-01/H/15/563</t>
  </si>
  <si>
    <t>17-739</t>
  </si>
  <si>
    <t>KKM/JKN/HSA/10-05-01/H/15/4918</t>
  </si>
  <si>
    <t>ELECTROSURGICAL UNIT</t>
  </si>
  <si>
    <t>KKM/JKN/HSA/10-05-01/R/15/15382</t>
  </si>
  <si>
    <t>DIATHERMY UNIT MONO &amp; BIPOLAR ,MEDIUM POWER RANGE</t>
  </si>
  <si>
    <t>KKM/JKN/HSA/10-05-01/H/15/4121</t>
  </si>
  <si>
    <t>DIATHERMY UNIT MONO &amp; BIPOLAR, HIGH POWER RANGE</t>
  </si>
  <si>
    <t>KKM/JKN/HSA/10-05-01/H/15/4931</t>
  </si>
  <si>
    <t>KKM/JKN/HSA/10-05-01/H/15/4932</t>
  </si>
  <si>
    <t>KKM/JKN/HSA/10-05-01/H/15/4933</t>
  </si>
  <si>
    <t>KKM/JKN/HSA/10-05-01/H/15/4934</t>
  </si>
  <si>
    <t>KKM/JKN/HSA/10-05-01/H/15/4935</t>
  </si>
  <si>
    <t>KKM/JKN/HSA/10-05-01/H/15/4936</t>
  </si>
  <si>
    <t>KKM/JKN/HSA/10-05-01/H/15/4937</t>
  </si>
  <si>
    <t>KKM/JKN/HSA/10-05-01/H/15/4938</t>
  </si>
  <si>
    <t>KKM/JKN/HSA/10-05-01/H/15/5040</t>
  </si>
  <si>
    <t>KKM/JKN/HSA/10-05-01/H/15/5041</t>
  </si>
  <si>
    <t>WASHER/DISINFECTOR ENDOSCOPE</t>
  </si>
  <si>
    <t>15-999</t>
  </si>
  <si>
    <t>PROCESSOR FILM DENTAL</t>
  </si>
  <si>
    <t>15-939</t>
  </si>
  <si>
    <t>KKM/JKN/HSA/10-05-01/H/15/2549</t>
  </si>
  <si>
    <t>COMPUTER RADIOGRAPHY (MULTI LOADER &amp; WORKSTATION)</t>
  </si>
  <si>
    <t>17-904</t>
  </si>
  <si>
    <t xml:space="preserve">KKM/JKN/HSA/10-05-01/H/15/2542 </t>
  </si>
  <si>
    <t xml:space="preserve">KKM/JKN/HSA/10-05-01/H/15/2543 </t>
  </si>
  <si>
    <t>ULTRASOUND DOPPLER COLOUR W/VARIABLE FREQ PROBES (ED)</t>
  </si>
  <si>
    <t>15-657</t>
  </si>
  <si>
    <t xml:space="preserve">KKM/JKN/HSA/10-05-01/H/15/2467 </t>
  </si>
  <si>
    <t>ULTRASOUND UNIT COLOR DOPPLER</t>
  </si>
  <si>
    <t>15-976</t>
  </si>
  <si>
    <t xml:space="preserve">KKM/JKN/HSA/10-05-01/H/15/2466 </t>
  </si>
  <si>
    <t>ULTRASOUND UNIT COLOR CARDIAC</t>
  </si>
  <si>
    <t xml:space="preserve">KKM/JKN/HSA/10-05-01/H/15/2453 </t>
  </si>
  <si>
    <t>ULTRASOUND  DOPPLER FOR NEONATES</t>
  </si>
  <si>
    <t xml:space="preserve">KKM/JKN/HSA/10-05-01/H/15/2464 </t>
  </si>
  <si>
    <t>ULTRASOUND UNIT B/W MEDIUM RANGE, OB</t>
  </si>
  <si>
    <t>KKM/JKN/HSA/10-05-01/H/15/2473</t>
  </si>
  <si>
    <t>KKM/JKN/HSA/10-05-01/H/15/2474</t>
  </si>
  <si>
    <t>KKM/JKN/HSA/10-05-01/H/15/3690</t>
  </si>
  <si>
    <t>KKM/JKN/HSA/10-05-01/H/15/4073</t>
  </si>
  <si>
    <t>ULTRASOUND UNIT COLOR DOPPLER, ABDOMINAL EXAM</t>
  </si>
  <si>
    <t xml:space="preserve">KKM/JKN/HSA/10-05-01/H/15/2469 </t>
  </si>
  <si>
    <t xml:space="preserve">KKM/JKN/HSA/10-05-01/H/15/2470 </t>
  </si>
  <si>
    <t>ULTRASOUND COLOR DOPPLER, HI RES. ,GYNEC.</t>
  </si>
  <si>
    <t xml:space="preserve"> KKM/JKN/HSA/10-05-01/H/15/2465</t>
  </si>
  <si>
    <t>DICOM NETWORK PRINTER</t>
  </si>
  <si>
    <t xml:space="preserve">KKM/JKN/HSA/10-05-01/H/15/2540 </t>
  </si>
  <si>
    <t xml:space="preserve"> KKM/JKN/HSA/10-05-01/H/15/2541</t>
  </si>
  <si>
    <t>ULTRASOUND SCANNER MY LAB TOUCH</t>
  </si>
  <si>
    <t>KKM/JKN/HSA/10-05-01/H/14/1</t>
  </si>
  <si>
    <t>ULTRASOUND SCANNER MY LAB ALPHA</t>
  </si>
  <si>
    <t>KKM/JKN/HSA/10-05-01/H/14/2</t>
  </si>
  <si>
    <t>ULTRASOUND SCANNER</t>
  </si>
  <si>
    <t>KKM/JKN/HSA/10-05-01/H/16/142</t>
  </si>
  <si>
    <t>KKM/JKN/HSA/10-05-01/H/16/71</t>
  </si>
  <si>
    <t>ULTRASOUND SCANNER/MINDRAY M9</t>
  </si>
  <si>
    <t>KKM/JKN/HSA/10-05-01/H/17/4</t>
  </si>
  <si>
    <t>CARESTREAM DIRECTVIEW CLASSIC SYSTEM</t>
  </si>
  <si>
    <t>KKM/JKN/HSA/10-05-01/H/16/192</t>
  </si>
  <si>
    <t>ECG 24 HOUR RECORDER</t>
  </si>
  <si>
    <t>12-388</t>
  </si>
  <si>
    <t>KKM/JKN/HSA/10-05-01/H/15/686</t>
  </si>
  <si>
    <t>KKM/JKN/HSA/10-05-01/H/15/687</t>
  </si>
  <si>
    <t>KKM/JKN/HSA/10-05-01/H/15/688</t>
  </si>
  <si>
    <t>KKM/JKN/HSA/10-05-01/H/15/689</t>
  </si>
  <si>
    <t>KKM/JKN/HSA/10-05-01/H/15/690</t>
  </si>
  <si>
    <t>KKM/JKN/HSA/10-05-01/H/15/691</t>
  </si>
  <si>
    <t>KKM/JKN/HSA/10-05-01/H/15/692</t>
  </si>
  <si>
    <t>KKM/JKN/HSA/10-05-01/H/15/693</t>
  </si>
  <si>
    <t>ELECTROENCEPHALOGRAM (EEG MONITOR)</t>
  </si>
  <si>
    <t>12-602</t>
  </si>
  <si>
    <t>KKM/JKN/HSA/10-05-01/H/16/30</t>
  </si>
  <si>
    <t>KAMERA DIGITAL</t>
  </si>
  <si>
    <t>88-026</t>
  </si>
  <si>
    <t>KKM/JKN/HSA/10-05-01/H/16/34</t>
  </si>
  <si>
    <t>NASOPHARYNGOSCOPE FIBEROPTIC</t>
  </si>
  <si>
    <t>12-709</t>
  </si>
  <si>
    <t>VIDEO SIGMOIDOSCOPE, ADULT</t>
  </si>
  <si>
    <t>17-664</t>
  </si>
  <si>
    <t>KKM/JKN/HSA/10-05-01/H/15/1355</t>
  </si>
  <si>
    <t>VIDEO RECORDER</t>
  </si>
  <si>
    <t>13-274</t>
  </si>
  <si>
    <t>KKM/JKN/HSA/10-05-01/R/15/15383</t>
  </si>
  <si>
    <t>KKM/JKN/HSA/10-05-01/R/15/15384</t>
  </si>
  <si>
    <t>KKM/JKN/HSA/10-05-01/R/15/15385</t>
  </si>
  <si>
    <t>VIDEO PROCESSOR</t>
  </si>
  <si>
    <t>KKM/JKN/HSA/10-05-01/H/15/4089</t>
  </si>
  <si>
    <t>KKM/JKN/HSA/10-05-01/H/15/4090</t>
  </si>
  <si>
    <t>KKM/JKN/HSA/10-05-01/H/15/4091</t>
  </si>
  <si>
    <t>AUDIOMETER DIAGNOSTIC</t>
  </si>
  <si>
    <t>10-228</t>
  </si>
  <si>
    <t>KKM/JKN/HSA/10-05-01/H/15/2457</t>
  </si>
  <si>
    <t>KKM/JKN/HSA/10-05-01/H/15/2458</t>
  </si>
  <si>
    <t>EVOKED OTOACOUSTIC EMISSION SYSTEM</t>
  </si>
  <si>
    <t>KKM/JKN/HSA/10-05-01/H/15/2736</t>
  </si>
  <si>
    <t>AUTOMATED AUDIOTORY BRAINSTEAM RESPONSE C/W LAP TOP</t>
  </si>
  <si>
    <t>17-601</t>
  </si>
  <si>
    <t>KKM/JKN/HSA/10-05-01/H/17/22</t>
  </si>
  <si>
    <t>BLOOD PRESSURE MONITOR NON INVASIVE</t>
  </si>
  <si>
    <t>25-209</t>
  </si>
  <si>
    <t>KKM/JKN/HSA/10-05-01/R/15/7136</t>
  </si>
  <si>
    <t>KKM/JKN/HSA/10-05-01/R/15/7137</t>
  </si>
  <si>
    <t>KKM/JKN/HSA/10-05-01/R/15/7138</t>
  </si>
  <si>
    <t>KKM/JKN/HSA/10-05-01/R/15/7139</t>
  </si>
  <si>
    <t>KKM/JKN/HSA/10-05-01/R/15/7140</t>
  </si>
  <si>
    <t>KKM/JKN/HSA/10-05-01/R/15/7141</t>
  </si>
  <si>
    <t>KKM/JKN/HSA/10-05-01/R/15/7142</t>
  </si>
  <si>
    <t>KKM/JKN/HSA/10-05-01/R/15/7144</t>
  </si>
  <si>
    <t>KKM/JKN/HSA/10-05-01/R/15/7145</t>
  </si>
  <si>
    <t>KKM/JKN/HSA/10-05-01/R/15/7148</t>
  </si>
  <si>
    <t>KKM/JKN/HSA/10-05-01/R/15/7150</t>
  </si>
  <si>
    <t>KKM/JKN/HSA/10-05-01/R/15/7151</t>
  </si>
  <si>
    <t>KKM/JKN/HSA/10-05-01/R/15/7152</t>
  </si>
  <si>
    <t>KKM/JKN/HSA/10-05-01/R/15/7153</t>
  </si>
  <si>
    <t>KKM/JKN/HSA/10-05-01/R/15/7154</t>
  </si>
  <si>
    <t>KKM/JKN/HSA/10-05-01/R/15/7155</t>
  </si>
  <si>
    <t>SPHYGMOMANOMETER DIGITAL BATTERY OP</t>
  </si>
  <si>
    <t>KKM/JKN/HSA/10-05-01/R/15/7143</t>
  </si>
  <si>
    <t>KKM/JKN/HSA/10-05-01/R/15/15296</t>
  </si>
  <si>
    <t>KKM/JKN/HSA/10-05-01/R/15/15914</t>
  </si>
  <si>
    <t>KKM/JKN/HSA/10-05-01/R/15/16386</t>
  </si>
  <si>
    <t xml:space="preserve"> 
KKM/JKN/HSA/10-05-01/R/15/16387</t>
  </si>
  <si>
    <t>KKM/JKN/HSA/10-05-01/R/15/16744</t>
  </si>
  <si>
    <t>KKM/JKN/HSA/10-05-01/R/15/16745</t>
  </si>
  <si>
    <t xml:space="preserve"> 
KKM/JKN/HSA/10-05-01/R/15/16746</t>
  </si>
  <si>
    <t>KKM/JKN/HSA/10-05-01/R/15/16747</t>
  </si>
  <si>
    <t>KKM/JKN/HSA/10-05-01/R/15/16763</t>
  </si>
  <si>
    <t>KKM/JKN/HSA/10-05-01/R/15/16764</t>
  </si>
  <si>
    <t>MONITOR NIBP/TEMP</t>
  </si>
  <si>
    <t>KKM/JKN/HSA/10-05-01/H/15/1569</t>
  </si>
  <si>
    <t>KKM/JKN/HSA/10-05-01/H/15/1570</t>
  </si>
  <si>
    <t>KKM/JKN/HSA/10-05-01/H/15/1571</t>
  </si>
  <si>
    <t>KKM/JKN/HSA/10-05-01/H/15/1572</t>
  </si>
  <si>
    <t>KKM/JKN/HSA/10-05-01/H/15/1573</t>
  </si>
  <si>
    <t>KKM/JKN/HSA/10-05-01/H/15/1574</t>
  </si>
  <si>
    <t>KKM/JKN/HSA/10-05-01/H/15/1575</t>
  </si>
  <si>
    <t>KKM/JKN/HSA/10-05-01/H/15/1576</t>
  </si>
  <si>
    <t>KKM/JKN/HSA/10-05-01/H/15/1577</t>
  </si>
  <si>
    <t>KKM/JKN/HSA/10-05-01/H/15/1578</t>
  </si>
  <si>
    <t>KKM/JKN/HSA/10-05-01/H/15/1579</t>
  </si>
  <si>
    <t>KKM/JKN/HSA/10-05-01/H/15/1588</t>
  </si>
  <si>
    <t>KKM/JKN/HSA/10-05-01/H/15/1591</t>
  </si>
  <si>
    <t>KKM/JKN/HSA/10-05-01/H/15/1595</t>
  </si>
  <si>
    <t>KKM/JKN/HSA/10-05-01/H/15/1596</t>
  </si>
  <si>
    <t>KKM/JKN/HSA/10-05-01/H/15/1597</t>
  </si>
  <si>
    <t>KKM/JKN/HSA/10-05-01/H/15/1598</t>
  </si>
  <si>
    <t>KKM/JKN/HSA/10-05-01/H/15/1599</t>
  </si>
  <si>
    <t>KKM/JKN/HSA/10-05-01/H/15/1601</t>
  </si>
  <si>
    <t>KKM/JKN/HSA/10-05-01/H/15/1603</t>
  </si>
  <si>
    <t>KKM/JKN/HSA/10-05-01/H/15/1604</t>
  </si>
  <si>
    <t>KKM/JKN/HSA/10-05-01/H/15/1605</t>
  </si>
  <si>
    <t>KKM/JKN/HSA/10-05-01/H/15/1606</t>
  </si>
  <si>
    <t>KKM/JKN/HSA/10-05-01/H/15/1607</t>
  </si>
  <si>
    <t>ECG PORTABLE MAINS/BATTERY OP</t>
  </si>
  <si>
    <t>16-231</t>
  </si>
  <si>
    <t>KKM/JKN/HSA/10-05-01/H/15/2802</t>
  </si>
  <si>
    <t>KKM/JKN/HSA/10-05-01/H/15/2803</t>
  </si>
  <si>
    <t>KKM/JKN/HSA/10-05-01/H/15/4032</t>
  </si>
  <si>
    <t>KKM/JKN/HSA/10-05-01/H/15/4068</t>
  </si>
  <si>
    <t>KKM/JKN/HSA/10-05-01/H/15/4070</t>
  </si>
  <si>
    <t>KKM/JKN/HSA/10-05-01/H/15/4159</t>
  </si>
  <si>
    <t>KKM/JKN/HSA/10-05-01/H/15/4165</t>
  </si>
  <si>
    <t>KKM/JKN/HSA/10-05-01/H/15/4245</t>
  </si>
  <si>
    <t>KKM/JKN/HSA/10-05-01/H/15/4258</t>
  </si>
  <si>
    <t>KKM/JKN/HSA/10-05-01/H/15/4324</t>
  </si>
  <si>
    <t>KKM/JKN/HSA/10-05-01/H/15/4951</t>
  </si>
  <si>
    <t>KKM/JKN/HSA/10-05-01/H/15/5042</t>
  </si>
  <si>
    <t>KKM/JKN/HSA/10-05-01/H/15/5043</t>
  </si>
  <si>
    <t>ECG RECORDER</t>
  </si>
  <si>
    <t>KKM/JKN/HSA/10-05-01/H/15/566</t>
  </si>
  <si>
    <t>KKM/JKN/HSA/10-05-01/H/15/567</t>
  </si>
  <si>
    <t>KKM/JKN/HSA/10-05-01/H/15/568</t>
  </si>
  <si>
    <t>KKM/JKN/HSA/10-05-01/H/15/570</t>
  </si>
  <si>
    <t>KKM/JKN/HSA/10-05-01/H/15/571</t>
  </si>
  <si>
    <t>KKM/JKN/HSA/10-05-01/H/15/572</t>
  </si>
  <si>
    <t>KKM/JKN/HSA/10-05-01/H/15/573</t>
  </si>
  <si>
    <t>KKM/JKN/HSA/10-05-01/H/15/574</t>
  </si>
  <si>
    <t>KKM/JKN/HSA/10-05-01/H/15/575</t>
  </si>
  <si>
    <t>MONITOR NIBP/SP02</t>
  </si>
  <si>
    <t>KKM/JKN/HSA/10-05-01/H/15/1013</t>
  </si>
  <si>
    <t>KKM/JKN/HSA/10-05-01/H/15/1014</t>
  </si>
  <si>
    <t>KKM/JKN/HSA/10-05-01/H/15/1015</t>
  </si>
  <si>
    <t>KKM/JKN/HSA/10-05-01/H/15/1016</t>
  </si>
  <si>
    <t>KKM/JKN/HSA/10-05-01/H/15/1018</t>
  </si>
  <si>
    <t>KKM/JKN/HSA/10-05-01/H/15/1019</t>
  </si>
  <si>
    <t>KKM/JKN/HSA/10-05-01/H/15/1021</t>
  </si>
  <si>
    <t>KKM/JKN/HSA/10-05-01/H/15/1022</t>
  </si>
  <si>
    <t>KKM/JKN/HSA/10-05-01/H/15/1023</t>
  </si>
  <si>
    <t>KKM/JKN/HSA/10-05-01/H/15/1024</t>
  </si>
  <si>
    <t>KKM/JKN/HSA/10-05-01/H/15/1025</t>
  </si>
  <si>
    <t>KKM/JKN/HSA/10-05-01/H/15/1026</t>
  </si>
  <si>
    <t>KKM/JKN/HSA/10-05-01/H/15/1027</t>
  </si>
  <si>
    <t>KKM/JKN/HSA/10-05-01/H/15/1028</t>
  </si>
  <si>
    <t>KKM/JKN/HSA/10-05-01/H/15/1029</t>
  </si>
  <si>
    <t>KKM/JKN/HSA/10-05-01/H/15/1031</t>
  </si>
  <si>
    <t>KKM/JKN/HSA/10-05-01/H/15/1032</t>
  </si>
  <si>
    <t>KKM/JKN/HSA/10-05-01/H/15/4177</t>
  </si>
  <si>
    <t>DETECTOR VASCULAR FLOW</t>
  </si>
  <si>
    <t>10-432</t>
  </si>
  <si>
    <t>KKM/JKN/HSA/10-05-01/H/15/4160</t>
  </si>
  <si>
    <t>KKM/JKN/HSA/10-05-01/H/15/4162</t>
  </si>
  <si>
    <t>KKM/JKN/HSA/10-05-01/H/15/4166</t>
  </si>
  <si>
    <t>KKM/JKN/HSA/10-05-01/H/15/4167</t>
  </si>
  <si>
    <t>KKM/JKN/HSA/10-05-01/H/15/4168</t>
  </si>
  <si>
    <t>KKM/JKN/HSA/10-05-01/H/15/4169</t>
  </si>
  <si>
    <t>KKM/JKN/HSA/10-05-01/H/15/4170</t>
  </si>
  <si>
    <t xml:space="preserve">KKM/JKN/HSA/10-05-01/H/15/4841
</t>
  </si>
  <si>
    <t xml:space="preserve">KKM/JKN/HSA/10-05-01/H/15/4871
</t>
  </si>
  <si>
    <t>ECG ANALYSER W/PRINTER</t>
  </si>
  <si>
    <t>11-379</t>
  </si>
  <si>
    <t>KKM/JKN/HSA/10-05-01/H/15/667</t>
  </si>
  <si>
    <t>BODY COMPOSITION ANALYSER</t>
  </si>
  <si>
    <t>17-417</t>
  </si>
  <si>
    <t>KKM/JKN/HSA/10-05-01/H/16/31</t>
  </si>
  <si>
    <t>ECG  (EKG) MACHINE/ECG 1200G</t>
  </si>
  <si>
    <t>KKM/JKN/HSA/10-05-01/H/17/1</t>
  </si>
  <si>
    <t>ECG  (EKG) MACHINE</t>
  </si>
  <si>
    <t>KKM/JKN/HSA/10-05-01/H/18/127</t>
  </si>
  <si>
    <t>KKM/JKN/HSA/10-05-01/H/18/128</t>
  </si>
  <si>
    <t>KKM/JKN/HSA/10-05-01/H/17/37</t>
  </si>
  <si>
    <t>INCUBATOR CO2</t>
  </si>
  <si>
    <t>16-855</t>
  </si>
  <si>
    <t>KKM/JKN/HSA/10-05-01/H/15/3964</t>
  </si>
  <si>
    <t>KKM/JKN/HSA/10-05-01/H/15/3965</t>
  </si>
  <si>
    <t>MICROSCOPE BINO 4X/10X/40X/100X LENS</t>
  </si>
  <si>
    <t>15-156</t>
  </si>
  <si>
    <t>KKM/JKN/HSA/10-05-01/H/15/3953</t>
  </si>
  <si>
    <t>KKM/JKN/HSA/10-05-01/H/15/3954</t>
  </si>
  <si>
    <t>KKM/JKN/HSA/10-05-01/H/15/3955</t>
  </si>
  <si>
    <t>KKM/JKN/HSA/10-05-01/H/15/3956</t>
  </si>
  <si>
    <t>KKM/JKN/HSA/10-05-01/H/15/3957</t>
  </si>
  <si>
    <t>KKM/JKN/HSA/10-05-01/H/15/3958</t>
  </si>
  <si>
    <t>KKM/JKN/HSA/10-05-01/H/15/3959</t>
  </si>
  <si>
    <t>KKM/JKN/HSA/10-05-01/H/15/3960</t>
  </si>
  <si>
    <t>KKM/JKN/HSA/10-05-01/H/15/3961</t>
  </si>
  <si>
    <t>KKM/JKN/HSA/10-05-01/H/15/3962</t>
  </si>
  <si>
    <t>KKM/JKN/HSA/10-05-01/H/15/3963</t>
  </si>
  <si>
    <t>KKM/JKN/HSA/10-05-01/H/15/3952</t>
  </si>
  <si>
    <t>MICROSCOPE BINO 4X/10X/40X/100X LENS W FITTING FOR DIGITAL CAMERA</t>
  </si>
  <si>
    <t>KKM/JKN/HSA/10-05-01/H/15/2835</t>
  </si>
  <si>
    <t>MICROSCOPE BINO 4X/10X/40X/100X LENS W FITTING FOR VIDEO CAMERA</t>
  </si>
  <si>
    <t>KKM/JKN/HSA/10-05-01/H/15/2834</t>
  </si>
  <si>
    <t>MICROSCOPE BINO PATHOLOGIST/CYTOLOGIST</t>
  </si>
  <si>
    <t>KKM/JKN/HSA/10-05-01/H/15/3950</t>
  </si>
  <si>
    <t>KKM/JKN/HSA/10-05-01/H/15/3951</t>
  </si>
  <si>
    <t>MICROSCOPE BINO 2 HEADED EYEPIECE ATTACHMENT W 63X DRY OBJECTIVE</t>
  </si>
  <si>
    <t>KKM/JKN/HSA/10-05-01/H/15/3949</t>
  </si>
  <si>
    <t>MICROSCOPE</t>
  </si>
  <si>
    <t>KKM/JKN/HSA/10-05-01/H/16/92</t>
  </si>
  <si>
    <t>LAMP SLIT/TONOMETER/3 MIRROR/LENSES</t>
  </si>
  <si>
    <t>12-281</t>
  </si>
  <si>
    <t>KKM/JKN/HSA/10-05-01/H/15/2827</t>
  </si>
  <si>
    <t>KKM/JKN/HSA/10-05-01/H/15/2828</t>
  </si>
  <si>
    <t>KKM/JKN/HSA/10-05-01/H/15/2830</t>
  </si>
  <si>
    <t>KKM/JKN/HSA/10-05-01/H/15/2831</t>
  </si>
  <si>
    <t>KKM/JKN/HSA/10-05-01/H/15/2832</t>
  </si>
  <si>
    <t>KKM/JKN/HSA/10-05-01/H/15/2833</t>
  </si>
  <si>
    <t>OPHTHALMOSCOPE/RETINOSCOPE DIRECT</t>
  </si>
  <si>
    <t>18-595</t>
  </si>
  <si>
    <t>KKM/JKN/HSA/10-05-01/H/15/4328</t>
  </si>
  <si>
    <t>KKM/JKN/HSA/10-05-01/H/15/4329</t>
  </si>
  <si>
    <t>KKM/JKN/HSA/10-05-01/H/15/4330</t>
  </si>
  <si>
    <t>KKM/JKN/HSA/10-05-01/H/15/4331</t>
  </si>
  <si>
    <t>KKM/JKN/HSA/10-05-01/H/15/4332</t>
  </si>
  <si>
    <t>KKM/JKN/HSA/10-05-01/H/15/4333</t>
  </si>
  <si>
    <t>LAMP SLIT PHOTOGRAPHIC W/ACCESSORIES</t>
  </si>
  <si>
    <t>KKM/JKN/HSA/10-05-01/H/15/4326</t>
  </si>
  <si>
    <t>ULTRASOUND OPHTHALMIC A &amp; B</t>
  </si>
  <si>
    <t>11-389</t>
  </si>
  <si>
    <t>KKM/JKN/HSA/10-05-01/H/15/4335</t>
  </si>
  <si>
    <t>OPHTHALMOSCOPE</t>
  </si>
  <si>
    <t>12-815</t>
  </si>
  <si>
    <t>KKM/JKN/HSA/10-05-01/H/16/119</t>
  </si>
  <si>
    <t>SLIT LAMP</t>
  </si>
  <si>
    <t>KKM/JKN/HSA/10-05-01/H/16/128</t>
  </si>
  <si>
    <t>16-809</t>
  </si>
  <si>
    <t>BIO-FEEDBACK UNIT (sEMG)</t>
  </si>
  <si>
    <t>10-396</t>
  </si>
  <si>
    <t>KKM/JKN/HSA/10-05-01/H/15/2757</t>
  </si>
  <si>
    <t>KKM/JKN/HSA/10-05-01/H/15/4856</t>
  </si>
  <si>
    <t>SURFACE ELECTRO MIOGRAPH 'sEMG' - DYSPAGIA</t>
  </si>
  <si>
    <t>KKM/JKN/HSA/10-05-01/H/15/880</t>
  </si>
  <si>
    <t>88-038</t>
  </si>
  <si>
    <t>OTOSCOPE WITH RECHARGABLE HANDLE</t>
  </si>
  <si>
    <t>KKM/JKN/HSA/10-05-01/R/15/10322</t>
  </si>
  <si>
    <t>KKM/JKN/HSA/10-05-01/R/15/10323</t>
  </si>
  <si>
    <t>OTOSCOPE WALL MOUNTED</t>
  </si>
  <si>
    <t>KKM/JKN/HSA/10-05-01/R/15/10316</t>
  </si>
  <si>
    <t>KKM/JKN/HSA/10-05-01/R/15/10317</t>
  </si>
  <si>
    <t>KKM/JKN/HSA/10-05-01/R/15/10319</t>
  </si>
  <si>
    <t>KKM/JKN/HSA/10-05-01/R/15/10320</t>
  </si>
  <si>
    <t>KKM/JKN/HSA/10-05-01/R/15/10321</t>
  </si>
  <si>
    <t>DIAGNOSTIC SET PAEDIATRIC</t>
  </si>
  <si>
    <t>KKM/JKN/HSA/10-05-01/R/15/6743</t>
  </si>
  <si>
    <t>KKM/JKN/HSA/10-05-01/R/15/6744</t>
  </si>
  <si>
    <t>KKM/JKN/HSA/10-05-01/R/15/6745</t>
  </si>
  <si>
    <t>KKM/JKN/HSA/10-05-01/R/15/6746</t>
  </si>
  <si>
    <t>KKM/JKN/HSA/10-05-01/R/15/6747</t>
  </si>
  <si>
    <t>KKM/JKN/HSA/10-05-01/R/15/6748</t>
  </si>
  <si>
    <t>KKM/JKN/HSA/10-05-01/R/15/6749</t>
  </si>
  <si>
    <t>KKM/JKN/HSA/10-05-01/R/15/6750</t>
  </si>
  <si>
    <t>KKM/JKN/HSA/10-05-01/R/15/6752</t>
  </si>
  <si>
    <t>KKM/JKN/HSA/10-05-01/R/15/6754</t>
  </si>
  <si>
    <t>KKM/JKN/HSA/10-05-01/R/15/6755</t>
  </si>
  <si>
    <t>KKM/JKN/HSA/10-05-01/R/15/6756</t>
  </si>
  <si>
    <t>KKM/JKN/HSA/10-05-01/R/15/6757</t>
  </si>
  <si>
    <t>KKM/JKN/HSA/10-05-01/R/15/6758</t>
  </si>
  <si>
    <t>KKM/JKN/HSA/10-05-01/R/15/17184</t>
  </si>
  <si>
    <t>DIAGNOSTIC SET NEONATAL</t>
  </si>
  <si>
    <t>KKM/JKN/HSA/10-05-01/H/15/427</t>
  </si>
  <si>
    <t>KKM/JKN/HSA/10-05-01/H/15/428</t>
  </si>
  <si>
    <t>KKM/JKN/HSA/10-05-01/H/15/429</t>
  </si>
  <si>
    <t>KKM/JKN/HSA/10-05-01/H/15/430</t>
  </si>
  <si>
    <t>KKM/JKN/HSA/10-05-01/H/15/431</t>
  </si>
  <si>
    <t>DIAGNOSTIC SET ADULT</t>
  </si>
  <si>
    <t>KKM/JKN/HSA/10-05-01/R/15/7352</t>
  </si>
  <si>
    <t>KKM/JKN/HSA/10-05-01/R/15/7353</t>
  </si>
  <si>
    <t>KKM/JKN/HSA/10-05-01/R/15/7354</t>
  </si>
  <si>
    <t>KKM/JKN/HSA/10-05-01/R/15/7355</t>
  </si>
  <si>
    <t>KKM/JKN/HSA/10-05-01/R/15/7356</t>
  </si>
  <si>
    <t>KKM/JKN/HSA/10-05-01/R/15/7357</t>
  </si>
  <si>
    <t>KKM/JKN/HSA/10-05-01/R/15/7358</t>
  </si>
  <si>
    <t>KKM/JKN/HSA/10-05-01/R/15/7359</t>
  </si>
  <si>
    <t>KKM/JKN/HSA/10-05-01/R/15/7360</t>
  </si>
  <si>
    <t>KKM/JKN/HSA/10-05-01/R/15/7361</t>
  </si>
  <si>
    <t>KKM/JKN/HSA/10-05-01/R/15/7362</t>
  </si>
  <si>
    <t>KKM/JKN/HSA/10-05-01/R/15/7363</t>
  </si>
  <si>
    <t>KKM/JKN/HSA/10-05-01/R/15/7364</t>
  </si>
  <si>
    <t>KKM/JKN/HSA/10-05-01/R/15/7365</t>
  </si>
  <si>
    <t>KKM/JKN/HSA/10-05-01/R/15/7366</t>
  </si>
  <si>
    <t>KKM/JKN/HSA/10-05-01/R/15/7367</t>
  </si>
  <si>
    <t>KKM/JKN/HSA/10-05-01/R/15/7368</t>
  </si>
  <si>
    <t>KKM/JKN/HSA/10-05-01/R/15/7369</t>
  </si>
  <si>
    <t>KKM/JKN/HSA/10-05-01/R/15/7370</t>
  </si>
  <si>
    <t>KKM/JKN/HSA/10-05-01/R/15/7371</t>
  </si>
  <si>
    <t>KKM/JKN/HSA/10-05-01/R/15/7372</t>
  </si>
  <si>
    <t>KKM/JKN/HSA/10-05-01/R/15/7373</t>
  </si>
  <si>
    <t>KKM/JKN/HSA/10-05-01/R/15/7374</t>
  </si>
  <si>
    <t>KKM/JKN/HSA/10-05-01/R/15/7375</t>
  </si>
  <si>
    <t>KKM/JKN/HSA/10-05-01/R/15/7376</t>
  </si>
  <si>
    <t>KKM/JKN/HSA/10-05-01/R/15/7377</t>
  </si>
  <si>
    <t>KKM/JKN/HSA/10-05-01/R/15/7379</t>
  </si>
  <si>
    <t>KKM/JKN/HSA/10-05-01/R/15/7380</t>
  </si>
  <si>
    <t>KKM/JKN/HSA/10-05-01/R/15/7381</t>
  </si>
  <si>
    <t>KKM/JKN/HSA/10-05-01/R/15/7395</t>
  </si>
  <si>
    <t>KKM/JKN/HSA/10-05-01/R/15/7396</t>
  </si>
  <si>
    <t>KKM/JKN/HSA/10-05-01/R/15/7397</t>
  </si>
  <si>
    <t>KKM/JKN/HSA/10-05-01/R/15/7398</t>
  </si>
  <si>
    <t>KKM/JKN/HSA/10-05-01/R/15/7399</t>
  </si>
  <si>
    <t>KKM/JKN/HSA/10-05-01/R/15/7400</t>
  </si>
  <si>
    <t>KKM/JKN/HSA/10-05-01/R/15/7401</t>
  </si>
  <si>
    <t>KKM/JKN/HSA/10-05-01/R/15/7402</t>
  </si>
  <si>
    <t>KKM/JKN/HSA/10-05-01/R/15/7403</t>
  </si>
  <si>
    <t>KKM/JKN/HSA/10-05-01/R/15/7404</t>
  </si>
  <si>
    <t>KKM/JKN/HSA/10-05-01/R/15/7405</t>
  </si>
  <si>
    <t>KKM/JKN/HSA/10-05-01/R/15/7406</t>
  </si>
  <si>
    <t>KKM/JKN/HSA/10-05-01/R/15/17058</t>
  </si>
  <si>
    <t>KKM/JKN/HSA/10-05-01/R/15/17059</t>
  </si>
  <si>
    <t>KKM/JKN/HSA/10-05-01/R/15/17060</t>
  </si>
  <si>
    <t>KKM/JKN/HSA/10-05-01/R/15/17061</t>
  </si>
  <si>
    <t>KKM/JKN/HSA/10-05-01/R/15/17062</t>
  </si>
  <si>
    <t>KKM/JKN/HSA/10-05-01/R/15/17065</t>
  </si>
  <si>
    <t>KKM/JKN/HSA/10-05-01/R/15/17066</t>
  </si>
  <si>
    <t>KKM/JKN/HSA/10-05-01/R/15/17067</t>
  </si>
  <si>
    <t>KKM/JKN/HSA/10-05-01/R/15/17068</t>
  </si>
  <si>
    <t>KKM/JKN/HSA/10-05-01/R/15/17069</t>
  </si>
  <si>
    <t>KKM/JKN/HSA/10-05-01/R/15/17076</t>
  </si>
  <si>
    <t>KKM/JKN/HSA/10-05-01/R/15/17087</t>
  </si>
  <si>
    <t>KKM/JKN/HSA/10-05-01/R/15/17088</t>
  </si>
  <si>
    <t>KKM/JKN/HSA/10-05-01/R/15/17089</t>
  </si>
  <si>
    <t>KKM/JKN/HSA/10-05-01/R/15/17090</t>
  </si>
  <si>
    <t>KKM/JKN/HSA/10-05-01/R/15/17091</t>
  </si>
  <si>
    <t>KKM/JKN/HSA/10-05-01/R/15/17092</t>
  </si>
  <si>
    <t>KKM/JKN/HSA/10-05-01/R/15/17093</t>
  </si>
  <si>
    <t>KKM/JKN/HSA/10-05-01/R/15/17094</t>
  </si>
  <si>
    <t>KKM/JKN/HSA/10-05-01/R/15/17095</t>
  </si>
  <si>
    <t>KKM/JKN/HSA/10-05-01/R/15/17096</t>
  </si>
  <si>
    <t>KKM/JKN/HSA/10-05-01/R/15/17097</t>
  </si>
  <si>
    <t>KKM/JKN/HSA/10-05-01/R/15/17098</t>
  </si>
  <si>
    <t>KKM/JKN/HSA/10-05-01/R/15/17099</t>
  </si>
  <si>
    <t>KKM/JKN/HSA/10-05-01/R/15/17256</t>
  </si>
  <si>
    <t>KKM/JKN/HSA/10-05-01/R/15/17257</t>
  </si>
  <si>
    <t>KKM/JKN/HSA/10-05-01/R/15/17258</t>
  </si>
  <si>
    <t>DIAGNOSTIC SET RECHARGABLE WALL MTD</t>
  </si>
  <si>
    <t>KKM/JKN/HSA/10-05-01/H/15/4908</t>
  </si>
  <si>
    <t>KKM/JKN/HSA/10-05-01/H/15/4909</t>
  </si>
  <si>
    <t>KKM/JKN/HSA/10-05-01/H/15/4910</t>
  </si>
  <si>
    <t>KKM/JKN/HSA/10-05-01/H/15/4911</t>
  </si>
  <si>
    <t>KKM/JKN/HSA/10-05-01/H/15/4912</t>
  </si>
  <si>
    <t>KKM/JKN/HSA/10-05-01/H/15/5002</t>
  </si>
  <si>
    <t>KKM/JKN/HSA/10-05-01/H/15/5003</t>
  </si>
  <si>
    <t>FOCIMETER</t>
  </si>
  <si>
    <t>12-326</t>
  </si>
  <si>
    <t>KKM/JKN/HSA/10-05-01/H/15/4125</t>
  </si>
  <si>
    <t>KKM/JKN/HSA/10-05-01/H/15/4126</t>
  </si>
  <si>
    <t>TONOMETER</t>
  </si>
  <si>
    <t>KKM/JKN/HSA/10-05-01/H/15/4345</t>
  </si>
  <si>
    <t>KERATOMETER</t>
  </si>
  <si>
    <t>13-313</t>
  </si>
  <si>
    <t>KKM/JKN/HSA/10-05-01/H/15/4343</t>
  </si>
  <si>
    <t>KKM/JKN/HSA/10-05-01/H/15/4344</t>
  </si>
  <si>
    <t>LOG MAR CHART FOR DISTANCE IN SET</t>
  </si>
  <si>
    <t>16-800</t>
  </si>
  <si>
    <t>KKM/JKN/HSA/10-05-01/H/15/4142</t>
  </si>
  <si>
    <t>HAND HELD AUTO KERATOMETER</t>
  </si>
  <si>
    <t>KKM/JKN/HSA/10-05-01/H/15/2052</t>
  </si>
  <si>
    <t>KKM/JKN/HSA/10-05-01/H/15/2053</t>
  </si>
  <si>
    <t>PROJECTOR AUTO CHART</t>
  </si>
  <si>
    <t>16-890</t>
  </si>
  <si>
    <t>KKM/JKN/HSA/10-05-01/H/15/2073</t>
  </si>
  <si>
    <t>KKM/JKN/HSA/10-05-01/H/15/2074</t>
  </si>
  <si>
    <t>KKM/JKN/HSA/10-05-01/H/15/2075</t>
  </si>
  <si>
    <t>KKM/JKN/HSA/10-05-01/H/15/2076</t>
  </si>
  <si>
    <t>KKM/JKN/HSA/10-05-01/H/15/2077</t>
  </si>
  <si>
    <t>KKM/JKN/HSA/10-05-01/H/15/2081</t>
  </si>
  <si>
    <t>KKM/JKN/HSA/10-05-01/H/15/2082</t>
  </si>
  <si>
    <t>KKM/JKN/HSA/10-05-01/H/15/2083</t>
  </si>
  <si>
    <t>TESTER PULP</t>
  </si>
  <si>
    <t>13-187</t>
  </si>
  <si>
    <t>KKM/JKN/HSA/10-05-01/R/15/7125</t>
  </si>
  <si>
    <t>KKM/JKN/HSA/10-05-01/R/15/7126</t>
  </si>
  <si>
    <t>KKM/JKN/HSA/10-05-01/R/15/7127</t>
  </si>
  <si>
    <t>KKM/JKN/HSA/10-05-01/R/15/7128</t>
  </si>
  <si>
    <t>KKM/JKN/HSA/10-05-01/R/15/7129</t>
  </si>
  <si>
    <t>KKM/JKN/HSA/10-05-01/R/15/7130</t>
  </si>
  <si>
    <t>KKM/JKN/HSA/10-05-01/R/15/7131</t>
  </si>
  <si>
    <t>KKM/JKN/HSA/10-05-01/R/15/7132</t>
  </si>
  <si>
    <t>KKM/JKN/HSA/10-05-01/R/15/7133</t>
  </si>
  <si>
    <t>KKM/JKN/HSA/10-05-01/R/15/7134</t>
  </si>
  <si>
    <t>KKM/JKN/HSA/10-05-01/R/15/7135</t>
  </si>
  <si>
    <t>DISINFECTOR MANUAL</t>
  </si>
  <si>
    <t>KKM/JKN/HSA/10-05-01/H/15/452</t>
  </si>
  <si>
    <t>KKM/JKN/HSA/10-05-01/H/15/454</t>
  </si>
  <si>
    <t>BOX UV</t>
  </si>
  <si>
    <t>16-281</t>
  </si>
  <si>
    <t>KKM/JKN/HSA/10-05-01/R/15/15051</t>
  </si>
  <si>
    <t>RADIENT HEAT UNIT FREESTANDING</t>
  </si>
  <si>
    <t>17-433</t>
  </si>
  <si>
    <t>KKM/JKN/HSA/10-05-01/H/15/523</t>
  </si>
  <si>
    <t>KKM/JKN/HSA/10-05-01/H/15/524</t>
  </si>
  <si>
    <t>KKM/JKN/HSA/10-05-01/H/15/525</t>
  </si>
  <si>
    <t>KKM/JKN/HSA/10-05-01/H/15/526</t>
  </si>
  <si>
    <t>KKM/JKN/HSA/10-05-01/H/15/527</t>
  </si>
  <si>
    <t>KKM/JKN/HSA/10-05-01/H/15/528</t>
  </si>
  <si>
    <t>KKM/JKN/HSA/10-05-01/H/15/529</t>
  </si>
  <si>
    <t>KKM/JKN/HSA/10-05-01/H/15/530</t>
  </si>
  <si>
    <t>KKM/JKN/HSA/10-05-01/H/15/531</t>
  </si>
  <si>
    <t>KKM/JKN/HSA/10-05-01/H/15/532</t>
  </si>
  <si>
    <t>KKM/JKN/HSA/10-05-01/H/15/533</t>
  </si>
  <si>
    <t>KKM/JKN/HSA/10-05-01/H/15/534</t>
  </si>
  <si>
    <t>KKM/JKN/HSA/10-05-01/H/15/535</t>
  </si>
  <si>
    <t>KKM/JKN/HSA/10-05-01/H/15/536</t>
  </si>
  <si>
    <t>KKM/JKN/HSA/10-05-01/H/15/537</t>
  </si>
  <si>
    <t>KKM/JKN/HSA/10-05-01/H/15/538</t>
  </si>
  <si>
    <t>KKM/JKN/HSA/10-05-01/H/15/539</t>
  </si>
  <si>
    <t>KKM/JKN/HSA/10-05-01/H/15/540</t>
  </si>
  <si>
    <t>KKM/JKN/HSA/10-05-01/H/15/541</t>
  </si>
  <si>
    <t>KKM/JKN/HSA/10-05-01/H/15/542</t>
  </si>
  <si>
    <t>KKM/JKN/HSA/10-05-01/H/15/543</t>
  </si>
  <si>
    <t>KKM/JKN/HSA/10-05-01/H/15/544</t>
  </si>
  <si>
    <t>KKM/JKN/HSA/10-05-01/H/15/545</t>
  </si>
  <si>
    <t>KKM/JKN/HSA/10-05-01/H/15/546</t>
  </si>
  <si>
    <t>KKM/JKN/HSA/10-05-01/H/15/547</t>
  </si>
  <si>
    <t>KKM/JKN/HSA/10-05-01/H/15/548</t>
  </si>
  <si>
    <t>KKM/JKN/HSA/10-05-01/H/15/549</t>
  </si>
  <si>
    <t>KKM/JKN/HSA/10-05-01/H/15/550</t>
  </si>
  <si>
    <t>KKM/JKN/HSA/10-05-01/H/15/551</t>
  </si>
  <si>
    <t>KKM/JKN/HSA/10-05-01/H/15/552</t>
  </si>
  <si>
    <t>KKM/JKN/HSA/10-05-01/H/15/553</t>
  </si>
  <si>
    <t>MICROSCOPE DIAGNOSTIC, (ENT), MOBILE</t>
  </si>
  <si>
    <t>12-539</t>
  </si>
  <si>
    <t>KKM/JKN/HSA/10-05-01/H/15/2740</t>
  </si>
  <si>
    <t>KKM/JKN/HSA/10-05-01/H/15/2741</t>
  </si>
  <si>
    <t>KKM/JKN/HSA/10-05-01/H/15/2742</t>
  </si>
  <si>
    <t>MICROSCOPE OPERATING, (OPHTHALM), CLINIC</t>
  </si>
  <si>
    <t>KKM/JKN/HSA/10-05-01/H/15/1165</t>
  </si>
  <si>
    <t>MICROSCOPE OPERATING, (ENT)</t>
  </si>
  <si>
    <t>KKM/JKN/HSA/10-05-01/H/15/1166</t>
  </si>
  <si>
    <t>MONITOR 4 CH, ECG/RR/NIBP/SPO2/TEMP</t>
  </si>
  <si>
    <t>12-647</t>
  </si>
  <si>
    <t>KKM/JKN/HSA/10-05-01/H/15/2084</t>
  </si>
  <si>
    <t>KKM/JKN/HSA/10-05-01/H/15/2085</t>
  </si>
  <si>
    <t>KKM/JKN/HSA/10-05-01/H/15/2086</t>
  </si>
  <si>
    <t>KKM/JKN/HSA/10-05-01/H/15/2087</t>
  </si>
  <si>
    <t>KKM/JKN/HSA/10-05-01/H/15/2088</t>
  </si>
  <si>
    <t>KKM/JKN/HSA/10-05-01/H/15/2089</t>
  </si>
  <si>
    <t>KKM/JKN/HSA/10-05-01/H/15/2090</t>
  </si>
  <si>
    <t>KKM/JKN/HSA/10-05-01/H/15/2091</t>
  </si>
  <si>
    <t>KKM/JKN/HSA/10-05-01/H/15/2092</t>
  </si>
  <si>
    <t>KKM/JKN/HSA/10-05-01/H/15/2093</t>
  </si>
  <si>
    <t>KKM/JKN/HSA/10-05-01/H/15/2094</t>
  </si>
  <si>
    <t>KKM/JKN/HSA/10-05-01/H/15/2095</t>
  </si>
  <si>
    <t>KKM/JKN/HSA/10-05-01/H/15/2096</t>
  </si>
  <si>
    <t>KKM/JKN/HSA/10-05-01/H/15/2097</t>
  </si>
  <si>
    <t>KKM/JKN/HSA/10-05-01/H/15/2098</t>
  </si>
  <si>
    <t>KKM/JKN/HSA/10-05-01/H/15/2099</t>
  </si>
  <si>
    <t>KKM/JKN/HSA/10-05-01/H/15/2100</t>
  </si>
  <si>
    <t>KKM/JKN/HSA/10-05-01/H/15/2101</t>
  </si>
  <si>
    <t>KKM/JKN/HSA/10-05-01/H/15/2102</t>
  </si>
  <si>
    <t>KKM/JKN/HSA/10-05-01/H/15/2103</t>
  </si>
  <si>
    <t>KKM/JKN/HSA/10-05-01/H/15/2104</t>
  </si>
  <si>
    <t>KKM/JKN/HSA/10-05-01/H/15/2105</t>
  </si>
  <si>
    <t>KKM/JKN/HSA/10-05-01/H/15/2106</t>
  </si>
  <si>
    <t>KKM/JKN/HSA/10-05-01/H/15/2107</t>
  </si>
  <si>
    <t>KKM/JKN/HSA/10-05-01/H/15/2108</t>
  </si>
  <si>
    <t>KKM/JKN/HSA/10-05-01/H/15/2109</t>
  </si>
  <si>
    <t>KKM/JKN/HSA/10-05-01/H/15/2110</t>
  </si>
  <si>
    <t>KKM/JKN/HSA/10-05-01/H/15/2111</t>
  </si>
  <si>
    <t>KKM/JKN/HSA/10-05-01/H/15/2118</t>
  </si>
  <si>
    <t>KKM/JKN/HSA/10-05-01/H/15/2119</t>
  </si>
  <si>
    <t>KKM/JKN/HSA/10-05-01/H/15/2120</t>
  </si>
  <si>
    <t>KKM/JKN/HSA/10-05-01/H/15/2124</t>
  </si>
  <si>
    <t>KKM/JKN/HSA/10-05-01/H/15/2125</t>
  </si>
  <si>
    <t>KKM/JKN/HSA/10-05-01/H/15/2130</t>
  </si>
  <si>
    <t>KKM/JKN/HSA/10-05-01/H/15/2131</t>
  </si>
  <si>
    <t>KKM/JKN/HSA/10-05-01/H/15/2134</t>
  </si>
  <si>
    <t>KKM/JKN/HSA/10-05-01/H/15/2135</t>
  </si>
  <si>
    <t>KKM/JKN/HSA/10-05-01/H/15/2139</t>
  </si>
  <si>
    <t>KKM/JKN/HSA/10-05-01/H/15/2140</t>
  </si>
  <si>
    <t>KKM/JKN/HSA/10-05-01/H/15/2143</t>
  </si>
  <si>
    <t>KKM/JKN/HSA/10-05-01/H/15/2144</t>
  </si>
  <si>
    <t>KKM/JKN/HSA/10-05-01/H/15/2145</t>
  </si>
  <si>
    <t>KKM/JKN/HSA/10-05-01/H/15/2165</t>
  </si>
  <si>
    <t>KKM/JKN/HSA/10-05-01/H/15/2166</t>
  </si>
  <si>
    <t>KKM/JKN/HSA/10-05-01/H/15/2167</t>
  </si>
  <si>
    <t>KKM/JKN/HSA/10-05-01/H/15/2168</t>
  </si>
  <si>
    <t>KKM/JKN/HSA/10-05-01/H/15/2169</t>
  </si>
  <si>
    <t>MONITOR PRE-CONFIG 6-CH ECG/RR/SPO2/NIBP/2TEMP/2IBP/EtCO2/ARRHYTH</t>
  </si>
  <si>
    <t>KKM/JKN/HSA/10-05-01/H/15/4972</t>
  </si>
  <si>
    <t>KKM/JKN/HSA/10-05-01/H/15/4973</t>
  </si>
  <si>
    <t>KKM/JKN/HSA/10-05-01/H/15/4974</t>
  </si>
  <si>
    <t>KKM/JKN/HSA/10-05-01/H/15/4975</t>
  </si>
  <si>
    <t>KKM/JKN/HSA/10-05-01/H/15/4976</t>
  </si>
  <si>
    <t>KKM/JKN/HSA/10-05-01/H/15/4977</t>
  </si>
  <si>
    <t>KKM/JKN/HSA/10-05-01/H/15/4978</t>
  </si>
  <si>
    <t>KKM/JKN/HSA/10-05-01/H/15/4979</t>
  </si>
  <si>
    <t>KKM/JKN/HSA/10-05-01/H/15/4980</t>
  </si>
  <si>
    <t>KKM/JKN/HSA/10-05-01/H/15/4981</t>
  </si>
  <si>
    <t>KKM/JKN/HSA/10-05-01/H/15/4982</t>
  </si>
  <si>
    <t>KKM/JKN/HSA/10-05-01/H/15/4983</t>
  </si>
  <si>
    <t>KKM/JKN/HSA/10-05-01/H/15/4984</t>
  </si>
  <si>
    <t>KKM/JKN/HSA/10-05-01/H/15/4985</t>
  </si>
  <si>
    <t>KKM/JKN/HSA/10-05-01/H/15/4986</t>
  </si>
  <si>
    <t>KKM/JKN/HSA/10-05-01/H/15/4987</t>
  </si>
  <si>
    <t>KKM/JKN/HSA/10-05-01/H/15/4988</t>
  </si>
  <si>
    <t>KKM/JKN/HSA/10-05-01/H/15/4989</t>
  </si>
  <si>
    <t>KKM/JKN/HSA/10-05-01/H/15/4990</t>
  </si>
  <si>
    <t>KKM/JKN/HSA/10-05-01/H/15/4991</t>
  </si>
  <si>
    <t>KKM/JKN/HSA/10-05-01/H/15/4992</t>
  </si>
  <si>
    <t>KKM/JKN/HSA/10-05-01/H/15/4993</t>
  </si>
  <si>
    <t>KKM/JKN/HSA/10-05-01/H/15/4994</t>
  </si>
  <si>
    <t>KKM/JKN/HSA/10-05-01/H/15/4995</t>
  </si>
  <si>
    <t>CARDIAC OUTPUT MODULE</t>
  </si>
  <si>
    <t>MONITOR MODULAR 8-CH ECG/RR/NIBP/SPO2/2TEMP/2IBP</t>
  </si>
  <si>
    <t>KKM/JKN/HSA/10-05-01/H/15/5007</t>
  </si>
  <si>
    <t>KKM/JKN/HSA/10-05-01/H/15/5008</t>
  </si>
  <si>
    <t>KKM/JKN/HSA/10-05-01/H/15/5009</t>
  </si>
  <si>
    <t>KKM/JKN/HSA/10-05-01/H/15/5010</t>
  </si>
  <si>
    <t>KKM/JKN/HSA/10-05-01/H/15/5011</t>
  </si>
  <si>
    <t>KKM/JKN/HSA/10-05-01/H/15/4291</t>
  </si>
  <si>
    <t>KKM/JKN/HSA/10-05-01/H/15/4292</t>
  </si>
  <si>
    <t>KKM/JKN/HSA/10-05-01/H/15/4293</t>
  </si>
  <si>
    <t>KKM/JKN/HSA/10-05-01/H/15/4294</t>
  </si>
  <si>
    <t>KKM/JKN/HSA/10-05-01/H/15/4295</t>
  </si>
  <si>
    <t>KKM/JKN/HSA/10-05-01/H/15/4941</t>
  </si>
  <si>
    <t>KKM/JKN/HSA/10-05-01/H/15/5047</t>
  </si>
  <si>
    <t>KKM/JKN/HSA/10-05-01/H/15/5048</t>
  </si>
  <si>
    <t>KKM/JKN/HSA/10-05-01/H/15/5049</t>
  </si>
  <si>
    <t>KKM/JKN/HSA/10-05-01/H/15/5050</t>
  </si>
  <si>
    <t>MONITOR PRE-CONFIG 6-CH ECG/RR/SPO2/NIBP/2TEMP/2IBP/12L/ARRHYTH</t>
  </si>
  <si>
    <t>KKM/JKN/HSA/10-05-01/H/15/2806</t>
  </si>
  <si>
    <t>KKM/JKN/HSA/10-05-01/H/15/4134</t>
  </si>
  <si>
    <t>KKM/JKN/HSA/10-05-01/H/15/4135</t>
  </si>
  <si>
    <t>KKM/JKN/HSA/10-05-01/H/15/4136</t>
  </si>
  <si>
    <t>KKM/JKN/HSA/10-05-01/H/15/4137</t>
  </si>
  <si>
    <t>KKM/JKN/HSA/10-05-01/H/15/4138</t>
  </si>
  <si>
    <t>KKM/JKN/HSA/10-05-01/H/15/4139</t>
  </si>
  <si>
    <t>KKM/JKN/HSA/10-05-01/H/15/4140</t>
  </si>
  <si>
    <t>KKM/JKN/HSA/10-05-01/H/15/4141</t>
  </si>
  <si>
    <t>BIS/EEG MODULE</t>
  </si>
  <si>
    <t>KKM/JKN/HSA/10-05-01/H/15/964</t>
  </si>
  <si>
    <t>KKM/JKN/HSA/10-05-01/H/15/965</t>
  </si>
  <si>
    <t>EtCO2 MODULE</t>
  </si>
  <si>
    <t>KKM/JKN/HSA/10-05-01/H/15/1038</t>
  </si>
  <si>
    <t>KKM/JKN/HSA/10-05-01/H/15/1039</t>
  </si>
  <si>
    <t>KKM/JKN/HSA/10-05-01/H/15/1040</t>
  </si>
  <si>
    <t>KKM/JKN/HSA/10-05-01/H/15/1041</t>
  </si>
  <si>
    <t>KKM/JKN/HSA/10-05-01/H/15/1042</t>
  </si>
  <si>
    <t>KKM/JKN/HSA/10-05-01/H/15/1043</t>
  </si>
  <si>
    <t>KKM/JKN/HSA/10-05-01/H/15/1044</t>
  </si>
  <si>
    <t>KKM/JKN/HSA/10-05-01/H/15/1046</t>
  </si>
  <si>
    <t>KKM/JKN/HSA/10-05-01/H/15/1047</t>
  </si>
  <si>
    <t>KKM/JKN/HSA/10-05-01/H/15/1048</t>
  </si>
  <si>
    <t>KKM/JKN/HSA/10-05-01/H/15/1049</t>
  </si>
  <si>
    <t>KKM/JKN/HSA/10-05-01/H/15/1050</t>
  </si>
  <si>
    <t>KKM/JKN/HSA/10-05-01/H/15/1051</t>
  </si>
  <si>
    <t>KKM/JKN/HSA/10-05-01/H/15/1057</t>
  </si>
  <si>
    <t>KKM/JKN/HSA/10-05-01/H/15/1058</t>
  </si>
  <si>
    <t>KKM/JKN/HSA/10-05-01/H/15/1059</t>
  </si>
  <si>
    <t>KKM/JKN/HSA/10-05-01/H/15/1060</t>
  </si>
  <si>
    <t>KKM/JKN/HSA/10-05-01/H/15/1061</t>
  </si>
  <si>
    <t>KKM/JKN/HSA/10-05-01/H/15/1062</t>
  </si>
  <si>
    <t>KKM/JKN/HSA/10-05-01/H/15/1063</t>
  </si>
  <si>
    <t>FULL ARRHYTHMIA SOFTWARE MODULE</t>
  </si>
  <si>
    <t>KKM/JKN/HSA/10-05-01/H/15/896</t>
  </si>
  <si>
    <t>KKM/JKN/HSA/10-05-01/H/15/897</t>
  </si>
  <si>
    <t>KKM/JKN/HSA/10-05-01/H/15/898</t>
  </si>
  <si>
    <t>MONITOR PRE-CONFIG 6-CH ECG/RR/SPO2/NIBP/2TEMP/2IBP/LETHAL ARRHYTH</t>
  </si>
  <si>
    <t>KKM/JKN/HSA/10-05-01/H/15/947</t>
  </si>
  <si>
    <t>KKM/JKN/HSA/10-05-01/H/15/948</t>
  </si>
  <si>
    <t>KKM/JKN/HSA/10-05-01/H/15/949</t>
  </si>
  <si>
    <t>MONITOR, TRANSPORT</t>
  </si>
  <si>
    <t>KKM/JKN/HSA/10-05-01/H/15/5012</t>
  </si>
  <si>
    <t>KKM/JKN/HSA/10-05-01/H/15/5013</t>
  </si>
  <si>
    <t>KKM/JKN/HSA/10-05-01/H/15/5014</t>
  </si>
  <si>
    <t>KKM/JKN/HSA/10-05-01/H/15/579</t>
  </si>
  <si>
    <t>KKM/JKN/HSA/10-05-01/H/15/580</t>
  </si>
  <si>
    <t>KKM/JKN/HSA/10-05-01/H/15/581</t>
  </si>
  <si>
    <t>KKM/JKN/HSA/10-05-01/H/15/584</t>
  </si>
  <si>
    <t>KKM/JKN/HSA/10-05-01/H/15/583</t>
  </si>
  <si>
    <t>PRINTER FOR PRE-CONFIGURED MONITOR</t>
  </si>
  <si>
    <t>KKM/JKN/HSA/10-05-01/R/15/7023</t>
  </si>
  <si>
    <t>CENTRAL STATION, RESUSCITATION</t>
  </si>
  <si>
    <t>KKM/JKN/HSA/10-05-01/H/15/879</t>
  </si>
  <si>
    <t>CENTRAL STATION, NICU</t>
  </si>
  <si>
    <t>KKM/JKN/HSA/10-05-01/H/15/881</t>
  </si>
  <si>
    <t>KKM/JKN/HSA/10-05-01/H/15/882</t>
  </si>
  <si>
    <t>CENTRAL STATION, CCU</t>
  </si>
  <si>
    <t>KKM/JKN/HSA/10-05-01/H/15/874</t>
  </si>
  <si>
    <t>CENTRAL STATION, ICU</t>
  </si>
  <si>
    <t>KKM/JKN/HSA/10-05-01/H/15/875</t>
  </si>
  <si>
    <t>CENTRAL STATION, HDU</t>
  </si>
  <si>
    <t>KKM/JKN/HSA/10-05-01/H/15/873</t>
  </si>
  <si>
    <t>DIGITAL WRITER FOR CENTRAL STATION</t>
  </si>
  <si>
    <t>KKM/JKN/HSA/10-05-01/R/15/6987</t>
  </si>
  <si>
    <t>KKM/JKN/HSA/10-05-01/R/15/6988</t>
  </si>
  <si>
    <t>KKM/JKN/HSA/10-05-01/R/15/6989</t>
  </si>
  <si>
    <t>KKM/JKN/HSA/10-05-01/R/15/6990</t>
  </si>
  <si>
    <t>LASER PRINTER FOR CENTRAL STATION</t>
  </si>
  <si>
    <t>KKM/JKN/HSA/10-05-01/H/15/2810</t>
  </si>
  <si>
    <t>COMPUTERISED EXERCISE SYSTEM (STRESS TEST)</t>
  </si>
  <si>
    <t>12-649</t>
  </si>
  <si>
    <t>KKM/JKN/HSA/10-05-01/H/15/884</t>
  </si>
  <si>
    <t>NON INVASIVE CARDIAC OUPUT MONITORING</t>
  </si>
  <si>
    <t>KKM/JKN/HSA/10-05-01/H/16/17</t>
  </si>
  <si>
    <t>KKM/JKN/HSA/10-05-01/H/16/18</t>
  </si>
  <si>
    <t>PATIENT MONITORING EQUIP</t>
  </si>
  <si>
    <t>KKM/JKN/HSA/10-05-01/H/16/65</t>
  </si>
  <si>
    <t>KKM/JKN/HSA/10-05-01/H/16/66</t>
  </si>
  <si>
    <t>KKM/JKN/HSA/10-05-01/H/18/137</t>
  </si>
  <si>
    <t>KKM/JKN/HSA/10-05-01/H/18/138</t>
  </si>
  <si>
    <t>VIDEO LARYNGOSCOPE</t>
  </si>
  <si>
    <t>23-532</t>
  </si>
  <si>
    <t>KKM/JKN/HSA/10-05-01/H/16/64</t>
  </si>
  <si>
    <t>VIDEO GASTROSCOPE, ADULT</t>
  </si>
  <si>
    <t>17-663</t>
  </si>
  <si>
    <t>KKM/JKN/HSA/10-05-01/H/15/1658</t>
  </si>
  <si>
    <t>KKM/JKN/HSA/10-05-01/H/15/4053</t>
  </si>
  <si>
    <t>COLPOSCOPY &amp; HYSTEROSCOPY CAMERA SYSTEM</t>
  </si>
  <si>
    <t>10-960</t>
  </si>
  <si>
    <t>KKM/JKN/HSA/10-05-01/H/15/1345</t>
  </si>
  <si>
    <t>BRONCHOFIBERSCOPE, ADULT</t>
  </si>
  <si>
    <t>17-662</t>
  </si>
  <si>
    <t>KKM/JKN/HSA/10-05-01/H/15/463</t>
  </si>
  <si>
    <t>KKM/JKN/HSA/10-05-01/H/15/464</t>
  </si>
  <si>
    <t>BRONCHOFIBERSCOPE ULTRAFINE, NEONATE</t>
  </si>
  <si>
    <t>KKM/JKN/HSA/10-05-01/H/15/607</t>
  </si>
  <si>
    <t>VIDEO COLONOSCOPE, ADULT</t>
  </si>
  <si>
    <t>KKM/JKN/HSA/10-05-01/H/15/613</t>
  </si>
  <si>
    <t>LAPAROSCOPE/TROCAR</t>
  </si>
  <si>
    <t>12-291</t>
  </si>
  <si>
    <t>KKM/JKN/HSA/10-05-01/H/16/8</t>
  </si>
  <si>
    <t>KKM/JKN/HSA/10-05-01/H/16/9</t>
  </si>
  <si>
    <t>CYSTOSCOPE</t>
  </si>
  <si>
    <t>17-144</t>
  </si>
  <si>
    <t>KKM/JKN/HSA/10-05-01/H/16/41</t>
  </si>
  <si>
    <t>KKM/JKN/HSA/10-05-01/H/16/42</t>
  </si>
  <si>
    <t>CHOLEDOSCHOPE</t>
  </si>
  <si>
    <t>10-831</t>
  </si>
  <si>
    <t>KKM/JKN/HSA/10-05-01/H/16/43</t>
  </si>
  <si>
    <t>SINUSCOPE SET</t>
  </si>
  <si>
    <t>11-858</t>
  </si>
  <si>
    <t>KKM/JKN/HSA/10-05-01/H/16/20</t>
  </si>
  <si>
    <t>KKM/JKN/HSA/10-05-01/H/16/21</t>
  </si>
  <si>
    <t>TRANSPORT VITAL SIGN MONITOR 5 PARAMETER</t>
  </si>
  <si>
    <t>KKM/JKN/HSA/10-05-01/H/17/29</t>
  </si>
  <si>
    <t>BLOOD PRESURE MONITOR MACHINE</t>
  </si>
  <si>
    <t>16-173</t>
  </si>
  <si>
    <t>KKM/JKN/HSA/10-05-01/H/17/44</t>
  </si>
  <si>
    <t>DETECTOR FOETAL HEART PORTABLE</t>
  </si>
  <si>
    <t>11-696</t>
  </si>
  <si>
    <t>KKM/JKN/HSA/10-05-01/R/15/15084</t>
  </si>
  <si>
    <t>KKM/JKN/HSA/10-05-01/R/15/15086</t>
  </si>
  <si>
    <t>KKM/JKN/HSA/10-05-01/R/15/15101</t>
  </si>
  <si>
    <t>KKM/JKN/HSA/10-05-01/R/15/15103</t>
  </si>
  <si>
    <t>KKM/JKN/HSA/10-05-01/R/15/15104</t>
  </si>
  <si>
    <t>KKM/JKN/HSA/10-05-01/R/15/15105</t>
  </si>
  <si>
    <t>OXYGEN BREATH ANALYZER</t>
  </si>
  <si>
    <t>12-863</t>
  </si>
  <si>
    <t>KKM/JKN/HSA/10-05-01/H/16/19</t>
  </si>
  <si>
    <t>LARYNGOSCOPE</t>
  </si>
  <si>
    <t>15-076</t>
  </si>
  <si>
    <t>KKM/JKN/HSA/10-05-01/H/15/189</t>
  </si>
  <si>
    <t>KKM/JKN/HSA/10-05-01/H/15/190</t>
  </si>
  <si>
    <t>KKM/JKN/HSA/10-05-01/H/15/191</t>
  </si>
  <si>
    <t>KKM/JKN/HSA/10-05-01/H/15/192</t>
  </si>
  <si>
    <t>LARYNGOSCOPE C/W 3 BLADES ADULT</t>
  </si>
  <si>
    <t>KKM/JKN/HSA/10-05-01/H/15/2811</t>
  </si>
  <si>
    <t>KKM/JKN/HSA/10-05-01/H/15/2812</t>
  </si>
  <si>
    <t>KKM/JKN/HSA/10-05-01/H/15/2813</t>
  </si>
  <si>
    <t>KKM/JKN/HSA/10-05-01/H/15/2814</t>
  </si>
  <si>
    <t>GLIDESCOPE C/W MONITOR</t>
  </si>
  <si>
    <t>KKM/JKN/HSA/10-05-01/H/16/108</t>
  </si>
  <si>
    <t>INTUBATION SCOPE</t>
  </si>
  <si>
    <t>KKM/JKN/HSA/10-05-01/H/16/70</t>
  </si>
  <si>
    <t>GLIDESCOPE</t>
  </si>
  <si>
    <t>KKM/JKN/HSA/10-05-01/H/18/143</t>
  </si>
  <si>
    <t>SPHYGMOMANOMETER ANEROID DESK MODEL</t>
  </si>
  <si>
    <t>16-156</t>
  </si>
  <si>
    <t>KKM/JKN/HSA/10-05-01/R/15/14842</t>
  </si>
  <si>
    <t>KKM/JKN/HSA/10-05-01/R/15/14843</t>
  </si>
  <si>
    <t>KKM/JKN/HSA/10-05-01/R/15/14844</t>
  </si>
  <si>
    <t>KKM/JKN/HSA/10-05-01/R/15/14846</t>
  </si>
  <si>
    <t>KKM/JKN/HSA/10-05-01/R/15/14847</t>
  </si>
  <si>
    <t>KKM/JKN/HSA/10-05-01/R/15/14848</t>
  </si>
  <si>
    <t>KKM/JKN/HSA/10-05-01/R/15/14849</t>
  </si>
  <si>
    <t>KKM/JKN/HSA/10-05-01/R/15/14850</t>
  </si>
  <si>
    <t>KKM/JKN/HSA/10-05-01/R/15/14851</t>
  </si>
  <si>
    <t>KKM/JKN/HSA/10-05-01/R/15/14852</t>
  </si>
  <si>
    <t>KKM/JKN/HSA/10-05-01/R/15/14853</t>
  </si>
  <si>
    <t>KKM/JKN/HSA/10-05-01/R/15/14854</t>
  </si>
  <si>
    <t>KKM/JKN/HSA/10-05-01/R/15/14855</t>
  </si>
  <si>
    <t>KKM/JKN/HSA/10-05-01/R/15/14856</t>
  </si>
  <si>
    <t>KKM/JKN/HSA/10-05-01/R/15/14857</t>
  </si>
  <si>
    <t>KKM/JKN/HSA/10-05-01/R/15/14858</t>
  </si>
  <si>
    <t>KKM/JKN/HSA/10-05-01/R/15/14859</t>
  </si>
  <si>
    <t>KKM/JKN/HSA/10-05-01/R/15/14860</t>
  </si>
  <si>
    <t>KKM/JKN/HSA/10-05-01/R/15/14861</t>
  </si>
  <si>
    <t>KKM/JKN/HSA/10-05-01/R/15/14862</t>
  </si>
  <si>
    <t>KKM/JKN/HSA/10-05-01/R/15/14863</t>
  </si>
  <si>
    <t>KKM/JKN/HSA/10-05-01/R/15/14864</t>
  </si>
  <si>
    <t>KKM/JKN/HSA/10-05-01/R/15/14865</t>
  </si>
  <si>
    <t>KKM/JKN/HSA/10-05-01/R/15/14866</t>
  </si>
  <si>
    <t>KKM/JKN/HSA/10-05-01/R/15/14867</t>
  </si>
  <si>
    <t>KKM/JKN/HSA/10-05-01/R/15/14868</t>
  </si>
  <si>
    <t>KKM/JKN/HSA/10-05-01/R/15/14869</t>
  </si>
  <si>
    <t>KKM/JKN/HSA/10-05-01/R/15/14870</t>
  </si>
  <si>
    <t>KKM/JKN/HSA/10-05-01/R/15/14871</t>
  </si>
  <si>
    <t>KKM/JKN/HSA/10-05-01/R/15/14872</t>
  </si>
  <si>
    <t>KKM/JKN/HSA/10-05-01/R/15/14873</t>
  </si>
  <si>
    <t>KKM/JKN/HSA/10-05-01/R/15/14874</t>
  </si>
  <si>
    <t>KKM/JKN/HSA/10-05-01/R/15/14876</t>
  </si>
  <si>
    <t>KKM/JKN/HSA/10-05-01/R/15/14877</t>
  </si>
  <si>
    <t>KKM/JKN/HSA/10-05-01/R/15/14879</t>
  </si>
  <si>
    <t>KKM/JKN/HSA/10-05-01/R/15/14880</t>
  </si>
  <si>
    <t>KKM/JKN/HSA/10-05-01/R/15/14881</t>
  </si>
  <si>
    <t>KKM/JKN/HSA/10-05-01/R/15/14882</t>
  </si>
  <si>
    <t>KKM/JKN/HSA/10-05-01/R/15/14883</t>
  </si>
  <si>
    <t>KKM/JKN/HSA/10-05-01/R/15/14884</t>
  </si>
  <si>
    <t>REPROCESSOR  MANAGEMENT SYSTEM (CHAIR WEIGHING SCALE)</t>
  </si>
  <si>
    <t>13-460</t>
  </si>
  <si>
    <t>KKM/JKN/HSA/10-05-01/H/15/4721</t>
  </si>
  <si>
    <t>PORTABLE RO UNIT</t>
  </si>
  <si>
    <t>20-683</t>
  </si>
  <si>
    <t>KKM/JKN/HSA/10-05-01/H/15/2460</t>
  </si>
  <si>
    <t>KKM/JKN/HSA/10-05-01/H/15/2461</t>
  </si>
  <si>
    <t>STAINER SLIDE 28 AUTOMATIC RANDOM ACCESS</t>
  </si>
  <si>
    <t>15-599</t>
  </si>
  <si>
    <t>KKM/JKN/HSA/10-05-01/H/15/3979</t>
  </si>
  <si>
    <t>KKM/JKN/HSA/10-05-01/H/15/3980</t>
  </si>
  <si>
    <t>TISSUE PROCESSOR</t>
  </si>
  <si>
    <t>15-190</t>
  </si>
  <si>
    <t>KKM/JKN/HSA/10-05-01/H/16/51</t>
  </si>
  <si>
    <t>BALANCE ELECTRONIC</t>
  </si>
  <si>
    <t>18-449</t>
  </si>
  <si>
    <t>KKM/JKN/HSA/10-05-01/R/15/16384</t>
  </si>
  <si>
    <t>CENTRIFUGE (SEROFUGE) IMMUNOHAEMATOLOGY</t>
  </si>
  <si>
    <t>10-779</t>
  </si>
  <si>
    <t>KKM/JKN/HSA/10-05-01/H/15/3992</t>
  </si>
  <si>
    <t>KKM/JKN/HSA/10-05-01/H/15/3993</t>
  </si>
  <si>
    <t>KKM/JKN/HSA/10-05-01/H/15/3994</t>
  </si>
  <si>
    <t>KKM/JKN/HSA/10-05-01/H/15/3995</t>
  </si>
  <si>
    <t>KKM/JKN/HSA/10-05-01/H/15/3996</t>
  </si>
  <si>
    <t>CENTRIFUGE BENCH TOP MULTI USE</t>
  </si>
  <si>
    <t>10-780</t>
  </si>
  <si>
    <t>KKM/JKN/HSA/10-05-01/H/15/3899</t>
  </si>
  <si>
    <t>KKM/JKN/HSA/10-05-01/H/15/3900</t>
  </si>
  <si>
    <t>KKM/JKN/HSA/10-05-01/H/15/3901</t>
  </si>
  <si>
    <t>KKM/JKN/HSA/10-05-01/H/15/3902</t>
  </si>
  <si>
    <t>KKM/JKN/HSA/10-05-01/H/15/3903</t>
  </si>
  <si>
    <t>KKM/JKN/HSA/10-05-01/H/15/3904</t>
  </si>
  <si>
    <t>KKM/JKN/HSA/10-05-01/H/15/3905</t>
  </si>
  <si>
    <t>KKM/JKN/HSA/10-05-01/H/15/3906</t>
  </si>
  <si>
    <t>KKM/JKN/HSA/10-05-01/H/15/3907</t>
  </si>
  <si>
    <t>KKM/JKN/HSA/10-05-01/H/15/3908</t>
  </si>
  <si>
    <t>CENTRIFUGE CELL WASHING</t>
  </si>
  <si>
    <t>KKM/JKN/HSA/10-05-01/H/15/4014</t>
  </si>
  <si>
    <t>CENTRIFUGE CYTOLOGY</t>
  </si>
  <si>
    <t>PLATELET AGITATOR WITH INCUBATOR</t>
  </si>
  <si>
    <t>23-431</t>
  </si>
  <si>
    <t>KKM/JKN/HSA/10-05-01/H/15/3984</t>
  </si>
  <si>
    <t>TUBE SEALER - BENCH TOP</t>
  </si>
  <si>
    <t>16-463</t>
  </si>
  <si>
    <t>KKM/JKN/HSA/10-05-01/H/15/3982</t>
  </si>
  <si>
    <t>MICROTOME CRYOSTAT W/ACCESSORIES</t>
  </si>
  <si>
    <t>15-157</t>
  </si>
  <si>
    <t>KKM/JKN/HSA/10-05-01/H/15/3981</t>
  </si>
  <si>
    <t>MICROTOME SEMI THIN</t>
  </si>
  <si>
    <t>KKM/JKN/HSA/10-05-01/H/15/3975</t>
  </si>
  <si>
    <t>INCUBATOR BACTERIOLOGICAL</t>
  </si>
  <si>
    <t>18-013</t>
  </si>
  <si>
    <t>KKM/JKN/HSA/10-05-01/H/15/3966</t>
  </si>
  <si>
    <t>KKM/JKN/HSA/10-05-01/H/15/3967</t>
  </si>
  <si>
    <t>KKM/JKN/HSA/10-05-01/H/15/3968</t>
  </si>
  <si>
    <t>MIXER VORTEX</t>
  </si>
  <si>
    <t>15-161</t>
  </si>
  <si>
    <t>KKM/JKN/HSA/10-05-01/R/15/15032</t>
  </si>
  <si>
    <t>KKM/JKN/HSA/10-05-01/R/15/15033</t>
  </si>
  <si>
    <t>KKM/JKN/HSA/10-05-01/R/15/15034</t>
  </si>
  <si>
    <t>BALANCE ANALYSIS 200 G CAP</t>
  </si>
  <si>
    <t>KKM/JKN/HSA/10-05-01/H/15/2842</t>
  </si>
  <si>
    <t>KKM/JKN/HSA/10-05-01/H/15/3947</t>
  </si>
  <si>
    <t>BALANCE ELECTRONIC 0.01 TO 300G CAP</t>
  </si>
  <si>
    <t>KKM/JKN/HSA/10-05-01/R/15/15057</t>
  </si>
  <si>
    <t>BALANCE TOP LOADING 600G CAP</t>
  </si>
  <si>
    <t>KKM/JKN/HSA/10-05-01/R/15/13485</t>
  </si>
  <si>
    <t>KKM/JKN/HSA/10-05-01/R/15/15056</t>
  </si>
  <si>
    <t>KKM/JKN/HSA/10-05-01/R/15/16383</t>
  </si>
  <si>
    <t>BALANCE TOP LOADING UP TO 3 KG</t>
  </si>
  <si>
    <t>10-263</t>
  </si>
  <si>
    <t>KKM/JKN/HSA/10-05-01/H/15/3093</t>
  </si>
  <si>
    <t>KKM/JKN/HSA/10-05-01/H/15/3941</t>
  </si>
  <si>
    <t>WEIGHING SCALE TOP LOADING</t>
  </si>
  <si>
    <t>KKM/JKN/HSA/10-05-01/R/15/6958</t>
  </si>
  <si>
    <t>MAGNETIC STIRRER WITH HEATING/HOTPLATE STIRRER</t>
  </si>
  <si>
    <t>15-651</t>
  </si>
  <si>
    <t>KKM/JKN/HSA/10-05-01/H/16/3</t>
  </si>
  <si>
    <t>KKM/JKN/HSA/10-05-01/H/16/4</t>
  </si>
  <si>
    <t>KKM/JKN/HSA/10-05-01/H/16/5</t>
  </si>
  <si>
    <t>LAB CENTRIFUGE</t>
  </si>
  <si>
    <t>KKM/JKN/HSA/10-05-01/H/16/13</t>
  </si>
  <si>
    <t>GEL CARD INCUBATOR</t>
  </si>
  <si>
    <t>15-151</t>
  </si>
  <si>
    <t>KKM/JKN/HSA/10-05-01/H/16/12</t>
  </si>
  <si>
    <t>KKM/JKN/HSA/10-05-01/H/16/48</t>
  </si>
  <si>
    <t>UNIVERSAL OVEN</t>
  </si>
  <si>
    <t>14-410</t>
  </si>
  <si>
    <t>KKM/JKN/HSA/10-05-01/H/16/26</t>
  </si>
  <si>
    <t>LAB MIXER</t>
  </si>
  <si>
    <t>KKM/JKN/HSA/10-05-01/H/16/54</t>
  </si>
  <si>
    <t>SCALES BABY DIGITAL/ELECTRONIC W/MEASURE</t>
  </si>
  <si>
    <t>13-462</t>
  </si>
  <si>
    <t>KKM/JKN/HSA/10-05-01/R/15/7024</t>
  </si>
  <si>
    <t>KKM/JKN/HSA/10-05-01/R/15/7025</t>
  </si>
  <si>
    <t>KKM/JKN/HSA/10-05-01/R/15/7026</t>
  </si>
  <si>
    <t>KKM/JKN/HSA/10-05-01/R/15/7027</t>
  </si>
  <si>
    <t>KKM/JKN/HSA/10-05-01/R/15/7028</t>
  </si>
  <si>
    <t>KKM/JKN/HSA/10-05-01/R/15/7029</t>
  </si>
  <si>
    <t>KKM/JKN/HSA/10-05-01/R/15/7030</t>
  </si>
  <si>
    <t>KKM/JKN/HSA/10-05-01/R/15/7031</t>
  </si>
  <si>
    <t>KKM/JKN/HSA/10-05-01/R/15/7032</t>
  </si>
  <si>
    <t>KKM/JKN/HSA/10-05-01/R/15/7033</t>
  </si>
  <si>
    <t>KKM/JKN/HSA/10-05-01/R/15/7034</t>
  </si>
  <si>
    <t>KKM/JKN/HSA/10-05-01/R/15/7035</t>
  </si>
  <si>
    <t>KKM/JKN/HSA/10-05-01/R/15/7036</t>
  </si>
  <si>
    <t>KKM/JKN/HSA/10-05-01/R/15/7037</t>
  </si>
  <si>
    <t>KKM/JKN/HSA/10-05-01/R/15/7038</t>
  </si>
  <si>
    <t>ROLLER MIXER BLOOD SAMPLE</t>
  </si>
  <si>
    <t>16-384</t>
  </si>
  <si>
    <t>KKM/JKN/HSA/10-05-01/H/15/3985</t>
  </si>
  <si>
    <t>KKM/JKN/HSA/10-05-01/H/15/3986</t>
  </si>
  <si>
    <t>KKM/JKN/HSA/10-05-01/H/15/3987</t>
  </si>
  <si>
    <t>KKM/JKN/HSA/10-05-01/H/15/3988</t>
  </si>
  <si>
    <t>KKM/JKN/HSA/10-05-01/H/15/3989</t>
  </si>
  <si>
    <t>INFANT/ BABY SCALER</t>
  </si>
  <si>
    <t>KKM/JKN/HSA/10-05-01/R/16/13</t>
  </si>
  <si>
    <t>INCUBATORS, LABORATORY, THERMOCYCLING</t>
  </si>
  <si>
    <t>HOT AIR OVEN MEMMERT</t>
  </si>
  <si>
    <t>KKM/JKN/HSA/10-05-01/H/15/3969</t>
  </si>
  <si>
    <t>WATER PURIFICATION SYSTEMS, DEIONIZATION</t>
  </si>
  <si>
    <t>14-435</t>
  </si>
  <si>
    <t>KKM/JKN/HSA/10-05-01/H/15/4020</t>
  </si>
  <si>
    <t>WATER DISTILLER</t>
  </si>
  <si>
    <t>KKM/JKN/HSA/10-05-01/H/15/4024</t>
  </si>
  <si>
    <t>KKM/JKN/HSA/10-05-01/H/15/3934</t>
  </si>
  <si>
    <t>MONITOR APNOEA NON INVASIVE</t>
  </si>
  <si>
    <t>17-148</t>
  </si>
  <si>
    <t>KKM/JKN/HSA/10-05-01/H/15/4183</t>
  </si>
  <si>
    <t>KKM/JKN/HSA/10-05-01/H/15/4184</t>
  </si>
  <si>
    <t>KKM/JKN/HSA/10-05-01/H/15/5023</t>
  </si>
  <si>
    <t>KKM/JKN/HSA/10-05-01/H/15/5025</t>
  </si>
  <si>
    <t>KKM/JKN/HSA/10-05-01/H/15/5026</t>
  </si>
  <si>
    <t>KKM/JKN/HSA/10-05-01/H/17/23</t>
  </si>
  <si>
    <t>KKM/JKN/HSA/10-05-01/H/17/24</t>
  </si>
  <si>
    <t>KKM/JKN/HSA/10-05-01/H/17/25</t>
  </si>
  <si>
    <t>KKM/JKN/HSA/10-05-01/H/17/26</t>
  </si>
  <si>
    <t>OXIMETER PULSE</t>
  </si>
  <si>
    <t>KKM/JKN/HSA/10-05-01/H/15/971</t>
  </si>
  <si>
    <t>KKM/JKN/HSA/10-05-01/H/15/972</t>
  </si>
  <si>
    <t>KKM/JKN/HSA/10-05-01/H/15/975</t>
  </si>
  <si>
    <t>KKM/JKN/HSA/10-05-01/H/15/977</t>
  </si>
  <si>
    <t>KKM/JKN/HSA/10-05-01/H/15/978</t>
  </si>
  <si>
    <t>KKM/JKN/HSA/10-05-01/H/15/4058</t>
  </si>
  <si>
    <t>PULSE OXIMETER AND SIMULATOR</t>
  </si>
  <si>
    <t>KKM/JKN/HSA/10-05-01/H/16/84</t>
  </si>
  <si>
    <t>KKM/JKN/HSA/10-05-01/H/16/85</t>
  </si>
  <si>
    <t>KKM/JKN/HSA/10-05-01/H/16/86</t>
  </si>
  <si>
    <t>KKM/JKN/HSA/10-05-01/H/16/87</t>
  </si>
  <si>
    <t>X-RAY UNIT DENTAL WALL MOUNTED</t>
  </si>
  <si>
    <t>13-269</t>
  </si>
  <si>
    <t>KKM/JKN/HSA/10-05-01/H/15/2545</t>
  </si>
  <si>
    <t>X-RAY UNIT MOBILE</t>
  </si>
  <si>
    <t>13-272</t>
  </si>
  <si>
    <t xml:space="preserve">KKM/JKN/HSA/10-05-01/H/15/2534 </t>
  </si>
  <si>
    <t xml:space="preserve">KKM/JKN/HSA/10-05-01/H/15/2535 </t>
  </si>
  <si>
    <t xml:space="preserve">KKM/JKN/HSA/10-05-01/H/15/2537 </t>
  </si>
  <si>
    <t>KKM/JKN/HSA/10-05-01/H/15/4999</t>
  </si>
  <si>
    <t>X-RAY C-ARM 9"</t>
  </si>
  <si>
    <t xml:space="preserve">KKM/JKN/HSA/10-05-01/H/15/2533 </t>
  </si>
  <si>
    <t>RADIOGRAPHY UNIT GENERAL  W/ BUCKY WALL STAND</t>
  </si>
  <si>
    <t>10-822</t>
  </si>
  <si>
    <t>KKM/JKN/HSA/10-05-01/H/15/4873</t>
  </si>
  <si>
    <t>KKM/JKN/HSA/10-05-01/H/15/4874</t>
  </si>
  <si>
    <t>RADIOGRAPHY UNIT (IVU)</t>
  </si>
  <si>
    <t>KKM/JKN/HSA/10-05-01/H/15/4872</t>
  </si>
  <si>
    <t>ANALGESIA UNIT 2 GAS</t>
  </si>
  <si>
    <t>16-953</t>
  </si>
  <si>
    <t xml:space="preserve">KKM/JKN/HSA/10-05-01/H/15/2804 </t>
  </si>
  <si>
    <t>HAEMODIAFILTRATION SYSTEM</t>
  </si>
  <si>
    <t>15-039</t>
  </si>
  <si>
    <t>KKM/JKN/HSA/10-05-01/H/15/1655</t>
  </si>
  <si>
    <t>DIALYZER REPROCESSING SYSTEM</t>
  </si>
  <si>
    <t>16-018</t>
  </si>
  <si>
    <t>KKM/JKN/HSA/10-05-01/H/15/4033</t>
  </si>
  <si>
    <t>KKM/JKN/HSA/10-05-01/H/15/4034</t>
  </si>
  <si>
    <t>KKM/JKN/HSA/10-05-01/H/15/4035</t>
  </si>
  <si>
    <t>KKM/JKN/HSA/10-05-01/H/15/4036</t>
  </si>
  <si>
    <t>KKM/JKN/HSA/10-05-01/H/15/4037</t>
  </si>
  <si>
    <t>KKM/JKN/HSA/10-05-01/H/15/4038</t>
  </si>
  <si>
    <t>WARMING UNITS, PATIENT, RADIANT, INFANT</t>
  </si>
  <si>
    <t>KKM/JKN/HSA/10-05-01/H/15/4971</t>
  </si>
  <si>
    <t>17-956</t>
  </si>
  <si>
    <t>KKM/JKN/HSA/10-05-01/H/15/1580</t>
  </si>
  <si>
    <t>KKM/JKN/HSA/10-05-01/H/15/1581</t>
  </si>
  <si>
    <t>KKM/JKN/HSA/10-05-01/H/15/1582</t>
  </si>
  <si>
    <t>KKM/JKN/HSA/10-05-01/H/15/1583</t>
  </si>
  <si>
    <t>KKM/JKN/HSA/10-05-01/H/15/1584</t>
  </si>
  <si>
    <t>KKM/JKN/HSA/10-05-01/H/15/1585</t>
  </si>
  <si>
    <t>KKM/JKN/HSA/10-05-01/H/15/1586</t>
  </si>
  <si>
    <t>KKM/JKN/HSA/10-05-01/H/15/1587</t>
  </si>
  <si>
    <t>KKM/JKN/HSA/10-05-01/H/15/1589</t>
  </si>
  <si>
    <t>KKM/JKN/HSA/10-05-01/H/15/1590</t>
  </si>
  <si>
    <t>KKM/JKN/HSA/10-05-01/H/15/1592</t>
  </si>
  <si>
    <t>KKM/JKN/HSA/10-05-01/H/15/1593</t>
  </si>
  <si>
    <t>KKM/JKN/HSA/10-05-01/H/15/1594</t>
  </si>
  <si>
    <t>STIMULATOR NERVE PERIPHERAL</t>
  </si>
  <si>
    <t>13-782</t>
  </si>
  <si>
    <t>KKM/JKN/HSA/10-05-01/H/15/338</t>
  </si>
  <si>
    <t>KKM/JKN/HSA/10-05-01/H/15/339</t>
  </si>
  <si>
    <t>KKM/JKN/HSA/10-05-01/H/15/340</t>
  </si>
  <si>
    <t>KKM/JKN/HSA/10-05-01/H/15/341</t>
  </si>
  <si>
    <t>KKM/JKN/HSA/10-05-01/H/15/342</t>
  </si>
  <si>
    <t>INSUFFLATOR CO2/LAPAROSCOPY</t>
  </si>
  <si>
    <t>16-849</t>
  </si>
  <si>
    <t>KKM/JKN/HSA/10-05-01/H/15/1699</t>
  </si>
  <si>
    <t>KKM/JKN/HSA/10-05-01/H/15/1700</t>
  </si>
  <si>
    <t>EXAM UNIT AIR/WATER/SUCTION/CAUTERY</t>
  </si>
  <si>
    <t>11-585</t>
  </si>
  <si>
    <t>KKM/JKN/HSA/10-05-01/H/15/5029</t>
  </si>
  <si>
    <t>KKM/JKN/HSA/10-05-01/H/15/5030</t>
  </si>
  <si>
    <t>KKM/JKN/HSA/10-05-01/H/15/5031</t>
  </si>
  <si>
    <t>KKM/JKN/HSA/10-05-01/H/15/5032</t>
  </si>
  <si>
    <t>KKM/JKN/HSA/10-05-01/H/15/5033</t>
  </si>
  <si>
    <t>WARMER BLOOD DRY HEAT TYPE</t>
  </si>
  <si>
    <t>10-447</t>
  </si>
  <si>
    <t>KKM/JKN/HSA/10-05-01/H/15/4262</t>
  </si>
  <si>
    <t>KKM/JKN/HSA/10-05-01/H/15/4265</t>
  </si>
  <si>
    <t>KKM/JKN/HSA/10-05-01/H/15/4267</t>
  </si>
  <si>
    <t>KKM/JKN/HSA/10-05-01/H/15/4268</t>
  </si>
  <si>
    <t>KKM/JKN/HSA/10-05-01/H/15/4269</t>
  </si>
  <si>
    <t>KKM/JKN/HSA/10-05-01/H/15/4272</t>
  </si>
  <si>
    <t>KKM/JKN/HSA/10-05-01/H/15/4273</t>
  </si>
  <si>
    <t>KKM/JKN/HSA/10-05-01/H/15/4914</t>
  </si>
  <si>
    <t>KKM/JKN/HSA/10-05-01/H/15/5019</t>
  </si>
  <si>
    <t xml:space="preserve">KKM/JKN/HSA/10-05-01/H/15/5021
</t>
  </si>
  <si>
    <t xml:space="preserve">KKM/JKN/HSA/10-05-01/H/15/5022
</t>
  </si>
  <si>
    <t xml:space="preserve">KKM/JKN/HSA/10-05-01/H/15/5039
</t>
  </si>
  <si>
    <t>PUMP BREAST ELECTRIC</t>
  </si>
  <si>
    <t>10-485</t>
  </si>
  <si>
    <t>KKM/JKN/HSA/10-05-01/H/15/4207</t>
  </si>
  <si>
    <t>KKM/JKN/HSA/10-05-01/H/15/4234</t>
  </si>
  <si>
    <t>KKM/JKN/HSA/10-05-01/H/15/4235</t>
  </si>
  <si>
    <t>KKM/JKN/HSA/10-05-01/H/15/4236</t>
  </si>
  <si>
    <t>KKM/JKN/HSA/10-05-01/H/15/4845</t>
  </si>
  <si>
    <t>PUMP ENTERAL FEEDING</t>
  </si>
  <si>
    <t>13-209</t>
  </si>
  <si>
    <t>KKM/JKN/HSA/10-05-01/H/15/1773</t>
  </si>
  <si>
    <t>KKM/JKN/HSA/10-05-01/H/15/1774</t>
  </si>
  <si>
    <t>KKM/JKN/HSA/10-05-01/H/15/1775</t>
  </si>
  <si>
    <t>KKM/JKN/HSA/10-05-01/H/15/1776</t>
  </si>
  <si>
    <t>KKM/JKN/HSA/10-05-01/H/15/1777</t>
  </si>
  <si>
    <t>KKM/JKN/HSA/10-05-01/H/15/1803</t>
  </si>
  <si>
    <t>KKM/JKN/HSA/10-05-01/H/15/1806</t>
  </si>
  <si>
    <t>KKM/JKN/HSA/10-05-01/H/15/1814</t>
  </si>
  <si>
    <t>RIPPLE MATTRESS W/MOTOR</t>
  </si>
  <si>
    <t>18-147</t>
  </si>
  <si>
    <t>KKM/JKN/HSA/10-05-01/H/15/2782</t>
  </si>
  <si>
    <t>KKM/JKN/HSA/10-05-01/H/15/2783</t>
  </si>
  <si>
    <t>KKM/JKN/HSA/10-05-01/H/15/2784</t>
  </si>
  <si>
    <t>KKM/JKN/HSA/10-05-01/H/15/2785</t>
  </si>
  <si>
    <t>KKM/JKN/HSA/10-05-01/H/15/2786</t>
  </si>
  <si>
    <t>KKM/JKN/HSA/10-05-01/H/15/2787</t>
  </si>
  <si>
    <t>KKM/JKN/HSA/10-05-01/H/15/2788</t>
  </si>
  <si>
    <t>KKM/JKN/HSA/10-05-01/H/15/2789</t>
  </si>
  <si>
    <t>KKM/JKN/HSA/10-05-01/H/15/2790</t>
  </si>
  <si>
    <t>KKM/JKN/HSA/10-05-01/H/15/2791</t>
  </si>
  <si>
    <t>KKM/JKN/HSA/10-05-01/H/15/2792</t>
  </si>
  <si>
    <t>KKM/JKN/HSA/10-05-01/H/15/2793</t>
  </si>
  <si>
    <t>KKM/JKN/HSA/10-05-01/H/15/2794</t>
  </si>
  <si>
    <t>KKM/JKN/HSA/10-05-01/H/15/2795</t>
  </si>
  <si>
    <t>KKM/JKN/HSA/10-05-01/H/15/2796</t>
  </si>
  <si>
    <t>KKM/JKN/HSA/10-05-01/H/15/2797</t>
  </si>
  <si>
    <t>KKM/JKN/HSA/10-05-01/H/15/2798</t>
  </si>
  <si>
    <t>KKM/JKN/HSA/10-05-01/H/15/2799</t>
  </si>
  <si>
    <t>KKM/JKN/HSA/10-05-01/H/15/2800</t>
  </si>
  <si>
    <t>KKM/JKN/HSA/10-05-01/H/15/4288</t>
  </si>
  <si>
    <t>SPIROMETER</t>
  </si>
  <si>
    <t>13-680</t>
  </si>
  <si>
    <t>KKM/JKN/HSA/10-05-01/H/15/968</t>
  </si>
  <si>
    <t>KKM/JKN/HSA/10-05-01/H/15/969</t>
  </si>
  <si>
    <t>KKM/JKN/HSA/10-05-01/H/15/970</t>
  </si>
  <si>
    <t>SPIROMETER W/RECORDER</t>
  </si>
  <si>
    <t>KKM/JKN/HSA/10-05-01/H/15/973</t>
  </si>
  <si>
    <t>KKM/JKN/HSA/10-05-01/H/15/976</t>
  </si>
  <si>
    <t>INTERMITTENT PNEUMATIC COMPRESSION SYSTEM/DVT PUMP (KENDALL/SCD EXPRESS) / VESOFLOW/ VF500</t>
  </si>
  <si>
    <t>10-969</t>
  </si>
  <si>
    <t>KKM/JKN/HSA/10-05-01/H/15/188</t>
  </si>
  <si>
    <t>KKM/JKN/HSA/10-05-01/H/15/187</t>
  </si>
  <si>
    <t>VENAFLOW (DVT PUMP)</t>
  </si>
  <si>
    <t>KKM/JKN/HSA/10-05-01/H/16/32</t>
  </si>
  <si>
    <t>KKM/JKN/HSA/10-05-01/H/16/33</t>
  </si>
  <si>
    <t>MACHINE CPM KNEE</t>
  </si>
  <si>
    <t>11-631</t>
  </si>
  <si>
    <t>KKM/JKN/HSA/10-05-01/H/16/111</t>
  </si>
  <si>
    <t>INTERMITTENT PNEUMATIC COMPRESSION SYSTEM/DVT PUMP (KENDALL)</t>
  </si>
  <si>
    <t>KKM/JKN/HSA/10-05-01/H/16/72</t>
  </si>
  <si>
    <t>KKM/JKN/HSA/10-05-01/H/16/73</t>
  </si>
  <si>
    <t>KKM/JKN/HSA/10-05-01/H/16/74</t>
  </si>
  <si>
    <t>KKM/JKN/HSA/10-05-01/H/16/75</t>
  </si>
  <si>
    <t>KKM/JKN/HSA/10-05-01/H/16/76</t>
  </si>
  <si>
    <t>KKM/JKN/HSA/10-05-01/H/16/77</t>
  </si>
  <si>
    <t>KKM/JKN/HSA/10-05-01/H/16/78</t>
  </si>
  <si>
    <t>KKM/JKN/HSA/10-05-01/H/16/79</t>
  </si>
  <si>
    <t>KKM/JKN/HSA/10-05-01/H/16/80</t>
  </si>
  <si>
    <t>KKM/JKN/HSA/10-05-01/H/16/81</t>
  </si>
  <si>
    <t>BATH DRY WITH TEST TUBE BLOCKS</t>
  </si>
  <si>
    <t>15-105</t>
  </si>
  <si>
    <t>KKM/JKN/HSA/10-05-01/H/15/4019</t>
  </si>
  <si>
    <t>BATH PARAFFIN SECTION MOUNTING</t>
  </si>
  <si>
    <t>16-861</t>
  </si>
  <si>
    <t>KKM/JKN/HSA/10-05-01/H/15/4005</t>
  </si>
  <si>
    <t>BATH WATER 14L CAP 0 - 150C</t>
  </si>
  <si>
    <t>KKM/JKN/HSA/10-05-01/H/15/4002</t>
  </si>
  <si>
    <t>KKM/JKN/HSA/10-05-01/H/15/4004</t>
  </si>
  <si>
    <t>THAWING UNIT THERMAL</t>
  </si>
  <si>
    <t>16-795</t>
  </si>
  <si>
    <t>KKM/JKN/HSA/10-05-01/H/15/4007</t>
  </si>
  <si>
    <t>SLIDE WARMER 30 TO 60 C</t>
  </si>
  <si>
    <t>KKM/JKN/HSA/10-05-01/H/15/3942</t>
  </si>
  <si>
    <t>KKM/JKN/HSA/10-05-01/H/15/3943</t>
  </si>
  <si>
    <t>KKM/JKN/HSA/10-05-01/H/15/3944</t>
  </si>
  <si>
    <t>WARMER WAX HISTO</t>
  </si>
  <si>
    <t>88-040</t>
  </si>
  <si>
    <t>KKM/JKN/HSA/10-05-01/H/15/3940</t>
  </si>
  <si>
    <t>HOMOGENIZER</t>
  </si>
  <si>
    <t>15-304</t>
  </si>
  <si>
    <t>KKM/JKN/HSA/10-05-01/H/16/6</t>
  </si>
  <si>
    <t>KKM/JKN/HSA/10-05-01/H/16/7</t>
  </si>
  <si>
    <t>HOT PLATE</t>
  </si>
  <si>
    <t>16-287</t>
  </si>
  <si>
    <t>KKM/JKN/HSA/10-05-01/H/16/25</t>
  </si>
  <si>
    <t>KKM/JKN/HSA/10-05-01/H/16/55</t>
  </si>
  <si>
    <t>KKM/JKN/HSA/10-05-01/H/16/104</t>
  </si>
  <si>
    <t>DIGITAL NITROUS OXIDE SEDATION</t>
  </si>
  <si>
    <t>KKM/JKN/HSA/10-05-01/H/16/52</t>
  </si>
  <si>
    <t>BLOOD WARMER DRY (WARM ON TUBING)</t>
  </si>
  <si>
    <t>KKM/JKN/HSA/10-05-01/H/15/5034</t>
  </si>
  <si>
    <t>KKM/JKN/HSA/10-05-01/H/15/5035</t>
  </si>
  <si>
    <t>KKM/JKN/HSA/10-05-01/H/15/5036</t>
  </si>
  <si>
    <t>WARMER BLOOD WATER TYPE</t>
  </si>
  <si>
    <t>KKM/JKN/HSA/10-05-01/H/15/5027</t>
  </si>
  <si>
    <t>KKM/JKN/HSA/10-05-01/H/15/5028</t>
  </si>
  <si>
    <t>KKM/JKN/HSA/10-05-01/H/15/5037</t>
  </si>
  <si>
    <t>KKM/JKN/HSA/10-05-01/H/15/5038</t>
  </si>
  <si>
    <t>INFUSOR HIGH SPEED (RAPID)</t>
  </si>
  <si>
    <t>KKM/JKN/HSA/10-05-01/H/15/954</t>
  </si>
  <si>
    <t>CRYO UNIT OPHTHALMIC CYLINDER MTD</t>
  </si>
  <si>
    <t>11-068</t>
  </si>
  <si>
    <t>KKM/JKN/HSA/10-05-01/H/15/4122</t>
  </si>
  <si>
    <t>SMOKE EVACUATOR</t>
  </si>
  <si>
    <t>16-262</t>
  </si>
  <si>
    <t>KKM/JKN/HSA/10-05-01/H/15/434</t>
  </si>
  <si>
    <t>VITRECTOMY MICRO UNIT ANT/POST</t>
  </si>
  <si>
    <t>17-596</t>
  </si>
  <si>
    <t>KKM/JKN/HSA/10-05-01/H/15/5058</t>
  </si>
  <si>
    <t>KOMPUTER MEJA (SPECTRALIS VIEWING TERMINAL)</t>
  </si>
  <si>
    <t>18-191</t>
  </si>
  <si>
    <t>KKM/JKN/HSA/10-05-01/H/16/114</t>
  </si>
  <si>
    <t>TREADMILL MOTORISED</t>
  </si>
  <si>
    <t>14-141</t>
  </si>
  <si>
    <t>KKM/JKN/HSA/10-05-01/H/15/1366</t>
  </si>
  <si>
    <t>ACCUPUNCTURE UNIT ELECTRO</t>
  </si>
  <si>
    <t>13-775</t>
  </si>
  <si>
    <t>KKM/JKN/HSA/10-05-01/H/15/2547</t>
  </si>
  <si>
    <t>INTERFERENTIAL THERAPY W/SUCTION</t>
  </si>
  <si>
    <t>KKM/JKN/HSA/10-05-01/H/15/2548</t>
  </si>
  <si>
    <t>STIMULATOR TRANSCUTANEOUS NERVE</t>
  </si>
  <si>
    <t>KKM/JKN/HSA/10-05-01/R/15/16750</t>
  </si>
  <si>
    <t>INFUSOR PRESSURE</t>
  </si>
  <si>
    <t>13-100</t>
  </si>
  <si>
    <t xml:space="preserve"> KKM/JKN/HSA/10-05-01/R/15/17211</t>
  </si>
  <si>
    <t xml:space="preserve"> KKM/JKN/HSA/10-05-01/R/15/17212</t>
  </si>
  <si>
    <t>NEBULISER</t>
  </si>
  <si>
    <t>12-716</t>
  </si>
  <si>
    <t>KKM/JKN/HSA/10-05-01/R/15/15951</t>
  </si>
  <si>
    <t>KKM/JKN/HSA/10-05-01/R/15/16149</t>
  </si>
  <si>
    <t>KKM/JKN/HSA/10-05-01/R/15/16150</t>
  </si>
  <si>
    <t>KKM/JKN/HSA/10-05-01/R/15/16151</t>
  </si>
  <si>
    <t>KKM/JKN/HSA/10-05-01/R/15/16152</t>
  </si>
  <si>
    <t>KKM/JKN/HSA/10-05-01/R/15/16153</t>
  </si>
  <si>
    <t>KKM/JKN/HSA/10-05-01/R/15/16154</t>
  </si>
  <si>
    <t>KKM/JKN/HSA/10-05-01/R/15/16155</t>
  </si>
  <si>
    <t>KKM/JKN/HSA/10-05-01/R/15/16156</t>
  </si>
  <si>
    <t>KKM/JKN/HSA/10-05-01/R/15/16157</t>
  </si>
  <si>
    <t>KKM/JKN/HSA/10-05-01/R/15/16158</t>
  </si>
  <si>
    <t>KKM/JKN/HSA/10-05-01/R/15/16159</t>
  </si>
  <si>
    <t>KKM/JKN/HSA/10-05-01/R/15/16160</t>
  </si>
  <si>
    <t>KKM/JKN/HSA/10-05-01/R/15/16161</t>
  </si>
  <si>
    <t>KKM/JKN/HSA/10-05-01/R/15/16162</t>
  </si>
  <si>
    <t>KKM/JKN/HSA/10-05-01/R/15/16163</t>
  </si>
  <si>
    <t>KKM/JKN/HSA/10-05-01/R/15/16164</t>
  </si>
  <si>
    <t>KKM/JKN/HSA/10-05-01/R/15/16165</t>
  </si>
  <si>
    <t>KKM/JKN/HSA/10-05-01/R/15/16166</t>
  </si>
  <si>
    <t>KKM/JKN/HSA/10-05-01/R/15/16167</t>
  </si>
  <si>
    <t>KKM/JKN/HSA/10-05-01/R/15/16168</t>
  </si>
  <si>
    <t>KKM/JKN/HSA/10-05-01/R/15/16169</t>
  </si>
  <si>
    <t>KKM/JKN/HSA/10-05-01/R/15/16170</t>
  </si>
  <si>
    <t>KKM/JKN/HSA/10-05-01/R/15/16171</t>
  </si>
  <si>
    <t>KKM/JKN/HSA/10-05-01/R/15/16172</t>
  </si>
  <si>
    <t>KKM/JKN/HSA/10-05-01/R/15/16173</t>
  </si>
  <si>
    <t>KKM/JKN/HSA/10-05-01/R/15/16174</t>
  </si>
  <si>
    <t>KKM/JKN/HSA/10-05-01/R/15/16175</t>
  </si>
  <si>
    <t>KKM/JKN/HSA/10-05-01/R/15/16176</t>
  </si>
  <si>
    <t>KKM/JKN/HSA/10-05-01/R/15/16177</t>
  </si>
  <si>
    <t>KKM/JKN/HSA/10-05-01/R/15/16178</t>
  </si>
  <si>
    <t>KKM/JKN/HSA/10-05-01/R/15/16179</t>
  </si>
  <si>
    <t>KKM/JKN/HSA/10-05-01/R/15/16180</t>
  </si>
  <si>
    <t>KKM/JKN/HSA/10-05-01/R/15/16181</t>
  </si>
  <si>
    <t>KKM/JKN/HSA/10-05-01/R/15/16182</t>
  </si>
  <si>
    <t>KKM/JKN/HSA/10-05-01/R/15/16183</t>
  </si>
  <si>
    <t>KKM/JKN/HSA/10-05-01/R/15/16184</t>
  </si>
  <si>
    <t>NEBULISER COMPRESSOR</t>
  </si>
  <si>
    <t>KKM/JKN/HSA/10-05-01/R/15/17037</t>
  </si>
  <si>
    <t>KKM/JKN/HSA/10-05-01/R/15/17038</t>
  </si>
  <si>
    <t>KKM/JKN/HSA/10-05-01/R/15/17039</t>
  </si>
  <si>
    <t>KKM/JKN/HSA/10-05-01/R/15/17040</t>
  </si>
  <si>
    <t>BOTTLE WARMER (GEL WARMER ULTRASOUND)</t>
  </si>
  <si>
    <t>14-263</t>
  </si>
  <si>
    <t>KKM/JKN/HSA/10-05-01/H/16/161</t>
  </si>
  <si>
    <t>KKM/JKN/HSA/10-05-01/H/16/162</t>
  </si>
  <si>
    <t>SPIROMETER VOLUMETRIC INCENTIVE (VITALOGRAPH SPIROMETER)</t>
  </si>
  <si>
    <t>KKM/JKN/HSA/10-05-01/H/15/957</t>
  </si>
  <si>
    <t>KKM/JKN/HSA/10-05-01/H/15/1652</t>
  </si>
  <si>
    <t>KKM/JKN/HSA/10-05-01/H/15/1653</t>
  </si>
  <si>
    <t>KKM/JKN/HSA/10-05-01/H/15/1654</t>
  </si>
  <si>
    <t>NEUROMUSCULAR STIMULATORS</t>
  </si>
  <si>
    <t>KKM/JKN/HSA/10-05-01/R/15/7440</t>
  </si>
  <si>
    <t>HANDPIECE MAINTENANCE EQUIPMENT</t>
  </si>
  <si>
    <t>88-027</t>
  </si>
  <si>
    <t>KKM/JKN/HSA/10-05-01/H/15/4214</t>
  </si>
  <si>
    <t>VENTILATOR INTENSIVE CARE(ICU)</t>
  </si>
  <si>
    <t>17-429</t>
  </si>
  <si>
    <t xml:space="preserve">KKM/JKN/HSA/10-05-01/H/15/321 </t>
  </si>
  <si>
    <t xml:space="preserve">KKM/JKN/HSA/10-05-01/H/15/322 </t>
  </si>
  <si>
    <t xml:space="preserve">KKM/JKN/HSA/10-05-01/H/15/323 </t>
  </si>
  <si>
    <t xml:space="preserve">KKM/JKN/HSA/10-05-01/H/15/324 </t>
  </si>
  <si>
    <t xml:space="preserve">KKM/JKN/HSA/10-05-01/H/15/325 </t>
  </si>
  <si>
    <t xml:space="preserve">KKM/JKN/HSA/10-05-01/H/15/326 </t>
  </si>
  <si>
    <t xml:space="preserve">KKM/JKN/HSA/10-05-01/H/15/327 </t>
  </si>
  <si>
    <t>VENTILATOR INTENSIVE CARE(CCU/HDU/E&amp;T/BURN)</t>
  </si>
  <si>
    <t>KKM/JKN/HSA/10-05-01/H/15/312</t>
  </si>
  <si>
    <t>KKM/JKN/HSA/10-05-01/H/15/313</t>
  </si>
  <si>
    <t>KKM/JKN/HSA/10-05-01/H/15/314</t>
  </si>
  <si>
    <t>KKM/JKN/HSA/10-05-01/H/15/315</t>
  </si>
  <si>
    <t xml:space="preserve"> KKM/JKN/HSA/10-05-01/H/15/316</t>
  </si>
  <si>
    <t>KKM/JKN/HSA/10-05-01/H/15/317</t>
  </si>
  <si>
    <t>KKM/JKN/HSA/10-05-01/H/15/319</t>
  </si>
  <si>
    <t xml:space="preserve">KKM/JKN/HSA/10-05-01/H/15/320 </t>
  </si>
  <si>
    <t>VENTILATOR PORTABLE</t>
  </si>
  <si>
    <t>18-098</t>
  </si>
  <si>
    <t>KKM/JKN/HSA/10-05-01/H/15/308</t>
  </si>
  <si>
    <t>KKM/JKN/HSA/10-05-01/H/15/309</t>
  </si>
  <si>
    <t>KKM/JKN/HSA/10-05-01/H/15/310</t>
  </si>
  <si>
    <t>KKM/JKN/HSA/10-05-01/H/15/311</t>
  </si>
  <si>
    <t>VENTILATOR PORTABLE (ADULT/PAED)</t>
  </si>
  <si>
    <t>KKM/JKN/HSA/10-05-01/H/15/303</t>
  </si>
  <si>
    <t>KKM/JKN/HSA/10-05-01/H/15/304</t>
  </si>
  <si>
    <t>KKM/JKN/HSA/10-05-01/H/15/305</t>
  </si>
  <si>
    <t>KKM/JKN/HSA/10-05-01/H/15/306</t>
  </si>
  <si>
    <t>KKM/JKN/HSA/10-05-01/H/15/307</t>
  </si>
  <si>
    <t>VENTILATOR ASSIST, NON INVASIVE</t>
  </si>
  <si>
    <t>KKM/JKN/HSA/10-05-01/H/15/297</t>
  </si>
  <si>
    <t>KKM/JKN/HSA/10-05-01/H/15/298</t>
  </si>
  <si>
    <t>KKM/JKN/HSA/10-05-01/H/15/299</t>
  </si>
  <si>
    <t>KKM/JKN/HSA/10-05-01/H/15/300</t>
  </si>
  <si>
    <t>KKM/JKN/HSA/10-05-01/H/15/301</t>
  </si>
  <si>
    <t>KKM/JKN/HSA/10-05-01/H/15/302</t>
  </si>
  <si>
    <t>VENTILATOR / PHILIPS RESPIRONICS/V60</t>
  </si>
  <si>
    <t>KKM/JKN/HSA/10-05-01/H/15/37</t>
  </si>
  <si>
    <t>VENTILATOR / WEINMANN/MEDUMAT STANDART 2</t>
  </si>
  <si>
    <t>KKM/JKN/HSA/10-05-01/H/16/180</t>
  </si>
  <si>
    <t>VENTILATOR</t>
  </si>
  <si>
    <t>KKM/JKN/HSA/10-05-01/H/18/136</t>
  </si>
  <si>
    <t>HAEMODIALYSIS UNIT W/ MONITORING AND MANAGEMENT SYSTEM</t>
  </si>
  <si>
    <t>11-218</t>
  </si>
  <si>
    <t>KKM/JKN/HSA/10-05-01/H/15/1626</t>
  </si>
  <si>
    <t>KKM/JKN/HSA/10-05-01/H/15/1627</t>
  </si>
  <si>
    <t>KKM/JKN/HSA/10-05-01/H/15/1628</t>
  </si>
  <si>
    <t>KKM/JKN/HSA/10-05-01/H/15/1629</t>
  </si>
  <si>
    <t>KKM/JKN/HSA/10-05-01/H/15/1630</t>
  </si>
  <si>
    <t>KKM/JKN/HSA/10-05-01/H/15/1631</t>
  </si>
  <si>
    <t>KKM/JKN/HSA/10-05-01/H/15/1632</t>
  </si>
  <si>
    <t>KKM/JKN/HSA/10-05-01/H/15/1633</t>
  </si>
  <si>
    <t>KKM/JKN/HSA/10-05-01/H/15/1634</t>
  </si>
  <si>
    <t>KKM/JKN/HSA/10-05-01/H/15/1635</t>
  </si>
  <si>
    <t>KKM/JKN/HSA/10-05-01/H/15/1636</t>
  </si>
  <si>
    <t>KKM/JKN/HSA/10-05-01/H/15/1637</t>
  </si>
  <si>
    <t>KKM/JKN/HSA/10-05-01/H/15/1638</t>
  </si>
  <si>
    <t>KKM/JKN/HSA/10-05-01/H/15/1639</t>
  </si>
  <si>
    <t>KKM/JKN/HSA/10-05-01/H/15/1640</t>
  </si>
  <si>
    <t>KKM/JKN/HSA/10-05-01/H/15/1641</t>
  </si>
  <si>
    <t>KKM/JKN/HSA/10-05-01/H/15/4248</t>
  </si>
  <si>
    <t>KKM/JKN/HSA/10-05-01/H/15/4249</t>
  </si>
  <si>
    <t>HAEMODIALYSIS UNIT PORTABLE (CRRT)</t>
  </si>
  <si>
    <t>KKM/JKN/HSA/10-05-01/H/15/992</t>
  </si>
  <si>
    <t>INCUBATOR TRANSPORT WITH VENTILATOR</t>
  </si>
  <si>
    <t>12-114</t>
  </si>
  <si>
    <t>KKM/JKN/HSA/10-05-01/H/15/554</t>
  </si>
  <si>
    <t>KKM/JKN/HSA/10-05-01/H/15/555</t>
  </si>
  <si>
    <t>KKM/JKN/HSA/10-05-01/H/15/556</t>
  </si>
  <si>
    <t>KKM/JKN/HSA/10-05-01/H/15/557</t>
  </si>
  <si>
    <t>KKM/JKN/HSA/10-05-01/H/15/558</t>
  </si>
  <si>
    <t>KKM/JKN/HSA/10-05-01/H/15/559</t>
  </si>
  <si>
    <t>INCUBATOR INFANT INTENSIVE CARE</t>
  </si>
  <si>
    <t>12-113</t>
  </si>
  <si>
    <t>KKM/JKN/HSA/10-05-01/H/15/467</t>
  </si>
  <si>
    <t>KKM/JKN/HSA/10-05-01/H/15/468</t>
  </si>
  <si>
    <t>KKM/JKN/HSA/10-05-01/H/15/469</t>
  </si>
  <si>
    <t>KKM/JKN/HSA/10-05-01/H/15/470</t>
  </si>
  <si>
    <t>KKM/JKN/HSA/10-05-01/H/15/471</t>
  </si>
  <si>
    <t>KKM/JKN/HSA/10-05-01/H/15/472</t>
  </si>
  <si>
    <t>KKM/JKN/HSA/10-05-01/H/15/473</t>
  </si>
  <si>
    <t>KKM/JKN/HSA/10-05-01/H/15/474</t>
  </si>
  <si>
    <t>KKM/JKN/HSA/10-05-01/H/15/475</t>
  </si>
  <si>
    <t>KKM/JKN/HSA/10-05-01/H/15/476</t>
  </si>
  <si>
    <t>KKM/JKN/HSA/10-05-01/H/15/477</t>
  </si>
  <si>
    <t>KKM/JKN/HSA/10-05-01/H/15/478</t>
  </si>
  <si>
    <t>KKM/JKN/HSA/10-05-01/H/15/479</t>
  </si>
  <si>
    <t>KKM/JKN/HSA/10-05-01/H/15/480</t>
  </si>
  <si>
    <t>KKM/JKN/HSA/10-05-01/H/15/481</t>
  </si>
  <si>
    <t>KKM/JKN/HSA/10-05-01/H/15/482</t>
  </si>
  <si>
    <t>KKM/JKN/HSA/10-05-01/H/15/483</t>
  </si>
  <si>
    <t>KKM/JKN/HSA/10-05-01/H/15/484</t>
  </si>
  <si>
    <t>VENTILATOR FOR NEONATES &amp; INFANTS</t>
  </si>
  <si>
    <t>14-361</t>
  </si>
  <si>
    <t>KKM/JKN/HSA/10-05-01/H/15/1608</t>
  </si>
  <si>
    <t>KKM/JKN/HSA/10-05-01/H/15/1609</t>
  </si>
  <si>
    <t>KKM/JKN/HSA/10-05-01/H/15/1610</t>
  </si>
  <si>
    <t>KKM/JKN/HSA/10-05-01/H/15/1611</t>
  </si>
  <si>
    <t>KKM/JKN/HSA/10-05-01/H/15/3627</t>
  </si>
  <si>
    <t>KKM/JKN/HSA/10-05-01/H/15/3628</t>
  </si>
  <si>
    <t>KKM/JKN/HSA/10-05-01/H/15/3629</t>
  </si>
  <si>
    <t>KKM/JKN/HSA/10-05-01/H/15/3630</t>
  </si>
  <si>
    <t>KKM/JKN/HSA/10-05-01/H/15/1622</t>
  </si>
  <si>
    <t>VENTILATOR HIGH FREQUENCY NEONATE</t>
  </si>
  <si>
    <t>KKM/JKN/HSA/10-05-01/H/15/1616</t>
  </si>
  <si>
    <t>KKM/JKN/HSA/10-05-01/H/15/1617</t>
  </si>
  <si>
    <t>KKM/JKN/HSA/10-05-01/H/15/1618</t>
  </si>
  <si>
    <t>PHOTOTHERAPY RADIOMETER/NEOBLUE RADIOMETER</t>
  </si>
  <si>
    <t>17-515</t>
  </si>
  <si>
    <t>KKM/JKN/HSA/10-05-01/H/16/11</t>
  </si>
  <si>
    <t>DEFIBRILLATOR W/INTERNAL/EXT PADDLES/PACEMAKER</t>
  </si>
  <si>
    <t>17-116</t>
  </si>
  <si>
    <t>KKM/JKN/HSA/10-05-01/H/15/605</t>
  </si>
  <si>
    <t>KKM/JKN/HSA/10-05-01/H/15/2807</t>
  </si>
  <si>
    <t>KKM/JKN/HSA/10-05-01/H/15/3659</t>
  </si>
  <si>
    <t>KKM/JKN/HSA/10-05-01/H/15/3660</t>
  </si>
  <si>
    <t>KKM/JKN/HSA/10-05-01/H/15/3661</t>
  </si>
  <si>
    <t>KKM/JKN/HSA/10-05-01/H/15/3662</t>
  </si>
  <si>
    <t>KKM/JKN/HSA/10-05-01/H/15/3663</t>
  </si>
  <si>
    <t>KKM/JKN/HSA/10-05-01/H/15/3664</t>
  </si>
  <si>
    <t>KKM/JKN/HSA/10-05-01/H/15/3666</t>
  </si>
  <si>
    <t>KKM/JKN/HSA/10-05-01/H/15/3667</t>
  </si>
  <si>
    <t>KKM/JKN/HSA/10-05-01/H/15/3668</t>
  </si>
  <si>
    <t>KKM/JKN/HSA/10-05-01/H/15/3669</t>
  </si>
  <si>
    <t>KKM/JKN/HSA/10-05-01/H/15/3670</t>
  </si>
  <si>
    <t>KKM/JKN/HSA/10-05-01/H/15/3671</t>
  </si>
  <si>
    <t>KKM/JKN/HSA/10-05-01/H/15/3672</t>
  </si>
  <si>
    <t>KKM/JKN/HSA/10-05-01/H/15/3674</t>
  </si>
  <si>
    <t>KKM/JKN/HSA/10-05-01/H/15/3675</t>
  </si>
  <si>
    <t>KKM/JKN/HSA/10-05-01/H/15/3676</t>
  </si>
  <si>
    <t>KKM/JKN/HSA/10-05-01/H/15/3677</t>
  </si>
  <si>
    <t>KKM/JKN/HSA/10-05-01/H/15/3678</t>
  </si>
  <si>
    <t>KKM/JKN/HSA/10-05-01/H/15/3679</t>
  </si>
  <si>
    <t>KKM/JKN/HSA/10-05-01/H/15/3680</t>
  </si>
  <si>
    <t>KKM/JKN/HSA/10-05-01/H/15/3681</t>
  </si>
  <si>
    <t>KKM/JKN/HSA/10-05-01/H/15/3682</t>
  </si>
  <si>
    <t>KKM/JKN/HSA/10-05-01/H/15/3683</t>
  </si>
  <si>
    <t>KKM/JKN/HSA/10-05-01/H/15/3686</t>
  </si>
  <si>
    <t>KKM/JKN/HSA/10-05-01/H/15/3687</t>
  </si>
  <si>
    <t>DEFIBRILLATOR</t>
  </si>
  <si>
    <t>11-134</t>
  </si>
  <si>
    <t>KKM/JKN/HSA/10-05-01/H/16/122</t>
  </si>
  <si>
    <t>DEFIBRILLATOR/ZOLL/ X SERIES</t>
  </si>
  <si>
    <t>17-882</t>
  </si>
  <si>
    <t>KKM/JKN/HSA/10-05-01/H/17/6</t>
  </si>
  <si>
    <t>AUTOMATIC EXTERNAL DEFIBRILLATOR</t>
  </si>
  <si>
    <t>KKM/JKN/HSA/10-05-01/H/17/41</t>
  </si>
  <si>
    <t>KKM/JKN/HSA/10-05-01/H/17/42</t>
  </si>
  <si>
    <t>KKM/JKN/HSA/10-05-01/H/17/46</t>
  </si>
  <si>
    <t>DENTAL DIODE LASER</t>
  </si>
  <si>
    <t>18-220</t>
  </si>
  <si>
    <t>KKM/JKN/HSA/10-05-01/H/16/82</t>
  </si>
  <si>
    <t>DENTAL SUCTION PUMP</t>
  </si>
  <si>
    <t>KKM/JKN/HSA/10-05-01/H/16/37</t>
  </si>
  <si>
    <t>KKM/JKN/HSA/10-05-01/H/16/38</t>
  </si>
  <si>
    <t>SUCTION UNIT FOR FLEXIBLE SCOPES</t>
  </si>
  <si>
    <t>KKM/JKN/HSA/10-05-01/H/15/1093</t>
  </si>
  <si>
    <t>PCA SYSTEM</t>
  </si>
  <si>
    <t>16-924</t>
  </si>
  <si>
    <t>KKM/JKN/HSA/10-05-01/H/15/4231</t>
  </si>
  <si>
    <t>PUMP SYRINGE</t>
  </si>
  <si>
    <t>13-217</t>
  </si>
  <si>
    <t>KKM/JKN/HSA/10-05-01/H/15/917</t>
  </si>
  <si>
    <t>KKM/JKN/HSA/10-05-01/H/15/918</t>
  </si>
  <si>
    <t>KKM/JKN/HSA/10-05-01/H/15/920</t>
  </si>
  <si>
    <t>KKM/JKN/HSA/10-05-01/H/15/923</t>
  </si>
  <si>
    <t>KKM/JKN/HSA/10-05-01/H/15/925</t>
  </si>
  <si>
    <t>KKM/JKN/HSA/10-05-01/H/15/926</t>
  </si>
  <si>
    <t>KKM/JKN/HSA/10-05-01/H/15/927</t>
  </si>
  <si>
    <t>KKM/JKN/HSA/10-05-01/H/15/928</t>
  </si>
  <si>
    <t>KKM/JKN/HSA/10-05-01/H/15/929</t>
  </si>
  <si>
    <t>KKM/JKN/HSA/10-05-01/H/15/930</t>
  </si>
  <si>
    <t>KKM/JKN/HSA/10-05-01/H/15/931</t>
  </si>
  <si>
    <t>KKM/JKN/HSA/10-05-01/H/15/932</t>
  </si>
  <si>
    <t>KKM/JKN/HSA/10-05-01/H/15/933</t>
  </si>
  <si>
    <t>KKM/JKN/HSA/10-05-01/H/15/938</t>
  </si>
  <si>
    <t>KKM/JKN/HSA/10-05-01/H/15/940</t>
  </si>
  <si>
    <t>PUMP SYRINGE BASIC DOSE RATE (STAND ALONE)</t>
  </si>
  <si>
    <t>KKM/JKN/HSA/10-05-01/H/15/438</t>
  </si>
  <si>
    <t>KKM/JKN/HSA/10-05-01/H/15/439</t>
  </si>
  <si>
    <t>KKM/JKN/HSA/10-05-01/H/15/440</t>
  </si>
  <si>
    <t>KKM/JKN/HSA/10-05-01/H/15/442</t>
  </si>
  <si>
    <t>KKM/JKN/HSA/10-05-01/H/15/443</t>
  </si>
  <si>
    <t>KKM/JKN/HSA/10-05-01/H/15/444</t>
  </si>
  <si>
    <t>KKM/JKN/HSA/10-05-01/H/15/445</t>
  </si>
  <si>
    <t>KKM/JKN/HSA/10-05-01/H/15/446</t>
  </si>
  <si>
    <t>KKM/JKN/HSA/10-05-01/H/15/447</t>
  </si>
  <si>
    <t>KKM/JKN/HSA/10-05-01/H/15/448</t>
  </si>
  <si>
    <t>KKM/JKN/HSA/10-05-01/H/15/450</t>
  </si>
  <si>
    <t>KKM/JKN/HSA/10-05-01/H/15/451</t>
  </si>
  <si>
    <t>KKM/JKN/HSA/10-05-01/H/15/453</t>
  </si>
  <si>
    <t>KKM/JKN/HSA/10-05-01/H/15/461</t>
  </si>
  <si>
    <t>KKM/JKN/HSA/10-05-01/H/15/462</t>
  </si>
  <si>
    <t>KKM/JKN/HSA/10-05-01/H/15/597</t>
  </si>
  <si>
    <t>KKM/JKN/HSA/10-05-01/H/15/598</t>
  </si>
  <si>
    <t>KKM/JKN/HSA/10-05-01/H/15/599</t>
  </si>
  <si>
    <t>KKM/JKN/HSA/10-05-01/H/15/609</t>
  </si>
  <si>
    <t>KKM/JKN/HSA/10-05-01/H/15/610</t>
  </si>
  <si>
    <t>KKM/JKN/HSA/10-05-01/H/15/612</t>
  </si>
  <si>
    <t>KKM/JKN/HSA/10-05-01/H/15/614</t>
  </si>
  <si>
    <t>KKM/JKN/HSA/10-05-01/H/15/615</t>
  </si>
  <si>
    <t>KKM/JKN/HSA/10-05-01/H/15/616</t>
  </si>
  <si>
    <t>KKM/JKN/HSA/10-05-01/H/15/617</t>
  </si>
  <si>
    <t>KKM/JKN/HSA/10-05-01/H/15/654</t>
  </si>
  <si>
    <t>KKM/JKN/HSA/10-05-01/H/15/655</t>
  </si>
  <si>
    <t>KKM/JKN/HSA/10-05-01/H/15/656</t>
  </si>
  <si>
    <t>KKM/JKN/HSA/10-05-01/H/15/658</t>
  </si>
  <si>
    <t>KKM/JKN/HSA/10-05-01/H/15/659</t>
  </si>
  <si>
    <t>KKM/JKN/HSA/10-05-01/H/15/660</t>
  </si>
  <si>
    <t>KKM/JKN/HSA/10-05-01/H/15/661</t>
  </si>
  <si>
    <t>KKM/JKN/HSA/10-05-01/H/15/662</t>
  </si>
  <si>
    <t>KKM/JKN/HSA/10-05-01/H/15/665</t>
  </si>
  <si>
    <t>KKM/JKN/HSA/10-05-01/H/15/666</t>
  </si>
  <si>
    <t>KKM/JKN/HSA/10-05-01/H/15/668</t>
  </si>
  <si>
    <t>KKM/JKN/HSA/10-05-01/H/15/669</t>
  </si>
  <si>
    <t>KKM/JKN/HSA/10-05-01/H/15/670</t>
  </si>
  <si>
    <t>KKM/JKN/HSA/10-05-01/H/15/671</t>
  </si>
  <si>
    <t>KKM/JKN/HSA/10-05-01/H/15/672</t>
  </si>
  <si>
    <t>KKM/JKN/HSA/10-05-01/H/15/673</t>
  </si>
  <si>
    <t>KKM/JKN/HSA/10-05-01/H/15/674</t>
  </si>
  <si>
    <t>KKM/JKN/HSA/10-05-01/H/15/675</t>
  </si>
  <si>
    <t>KKM/JKN/HSA/10-05-01/H/15/676</t>
  </si>
  <si>
    <t>KKM/JKN/HSA/10-05-01/H/15/677</t>
  </si>
  <si>
    <t>KKM/JKN/HSA/10-05-01/H/15/678</t>
  </si>
  <si>
    <t>KKM/JKN/HSA/10-05-01/H/15/679</t>
  </si>
  <si>
    <t>KKM/JKN/HSA/10-05-01/H/15/680</t>
  </si>
  <si>
    <t>KKM/JKN/HSA/10-05-01/H/15/681</t>
  </si>
  <si>
    <t>KKM/JKN/HSA/10-05-01/H/15/682</t>
  </si>
  <si>
    <t>KKM/JKN/HSA/10-05-01/H/15/683</t>
  </si>
  <si>
    <t>KKM/JKN/HSA/10-05-01/H/15/684</t>
  </si>
  <si>
    <t>KKM/JKN/HSA/10-05-01/H/15/694</t>
  </si>
  <si>
    <t>KKM/JKN/HSA/10-05-01/H/15/695</t>
  </si>
  <si>
    <t>KKM/JKN/HSA/10-05-01/H/15/696</t>
  </si>
  <si>
    <t>KKM/JKN/HSA/10-05-01/H/15/697</t>
  </si>
  <si>
    <t>KKM/JKN/HSA/10-05-01/H/15/698</t>
  </si>
  <si>
    <t>KKM/JKN/HSA/10-05-01/H/15/699</t>
  </si>
  <si>
    <t>KKM/JKN/HSA/10-05-01/H/15/700</t>
  </si>
  <si>
    <t>KKM/JKN/HSA/10-05-01/H/15/701</t>
  </si>
  <si>
    <t>KKM/JKN/HSA/10-05-01/H/15/702</t>
  </si>
  <si>
    <t>KKM/JKN/HSA/10-05-01/H/15/703</t>
  </si>
  <si>
    <t>KKM/JKN/HSA/10-05-01/H/15/704</t>
  </si>
  <si>
    <t>KKM/JKN/HSA/10-05-01/H/15/705</t>
  </si>
  <si>
    <t>KKM/JKN/HSA/10-05-01/H/15/706</t>
  </si>
  <si>
    <t>KKM/JKN/HSA/10-05-01/H/15/707</t>
  </si>
  <si>
    <t>KKM/JKN/HSA/10-05-01/H/15/708</t>
  </si>
  <si>
    <t>KKM/JKN/HSA/10-05-01/H/15/709</t>
  </si>
  <si>
    <t>KKM/JKN/HSA/10-05-01/H/15/710</t>
  </si>
  <si>
    <t>KKM/JKN/HSA/10-05-01/H/15/711</t>
  </si>
  <si>
    <t>KKM/JKN/HSA/10-05-01/H/15/712</t>
  </si>
  <si>
    <t>KKM/JKN/HSA/10-05-01/H/15/713</t>
  </si>
  <si>
    <t>KKM/JKN/HSA/10-05-01/H/15/714</t>
  </si>
  <si>
    <t>KKM/JKN/HSA/10-05-01/H/15/715</t>
  </si>
  <si>
    <t>KKM/JKN/HSA/10-05-01/H/15/716</t>
  </si>
  <si>
    <t>KKM/JKN/HSA/10-05-01/H/15/717</t>
  </si>
  <si>
    <t>KKM/JKN/HSA/10-05-01/H/15/718</t>
  </si>
  <si>
    <t>KKM/JKN/HSA/10-05-01/H/15/719</t>
  </si>
  <si>
    <t>KKM/JKN/HSA/10-05-01/H/15/720</t>
  </si>
  <si>
    <t>KKM/JKN/HSA/10-05-01/H/15/721</t>
  </si>
  <si>
    <t>KKM/JKN/HSA/10-05-01/H/15/722</t>
  </si>
  <si>
    <t>KKM/JKN/HSA/10-05-01/H/15/723</t>
  </si>
  <si>
    <t>KKM/JKN/HSA/10-05-01/H/15/724</t>
  </si>
  <si>
    <t>KKM/JKN/HSA/10-05-01/H/15/725</t>
  </si>
  <si>
    <t>KKM/JKN/HSA/10-05-01/H/15/726</t>
  </si>
  <si>
    <t>KKM/JKN/HSA/10-05-01/H/15/727</t>
  </si>
  <si>
    <t>KKM/JKN/HSA/10-05-01/H/15/728</t>
  </si>
  <si>
    <t>KKM/JKN/HSA/10-05-01/H/15/729</t>
  </si>
  <si>
    <t>KKM/JKN/HSA/10-05-01/H/15/730</t>
  </si>
  <si>
    <t>KKM/JKN/HSA/10-05-01/H/15/731</t>
  </si>
  <si>
    <t>KKM/JKN/HSA/10-05-01/H/15/732</t>
  </si>
  <si>
    <t>KKM/JKN/HSA/10-05-01/H/15/755</t>
  </si>
  <si>
    <t>KKM/JKN/HSA/10-05-01/H/15/756</t>
  </si>
  <si>
    <t>KKM/JKN/HSA/10-05-01/H/15/757</t>
  </si>
  <si>
    <t>KKM/JKN/HSA/10-05-01/H/15/758</t>
  </si>
  <si>
    <t>KKM/JKN/HSA/10-05-01/H/15/759</t>
  </si>
  <si>
    <t>KKM/JKN/HSA/10-05-01/H/15/760</t>
  </si>
  <si>
    <t>KKM/JKN/HSA/10-05-01/H/15/763</t>
  </si>
  <si>
    <t>KKM/JKN/HSA/10-05-01/H/15/766</t>
  </si>
  <si>
    <t>KKM/JKN/HSA/10-05-01/H/15/768</t>
  </si>
  <si>
    <t>KKM/JKN/HSA/10-05-01/H/15/770</t>
  </si>
  <si>
    <t>KKM/JKN/HSA/10-05-01/H/15/771</t>
  </si>
  <si>
    <t>KKM/JKN/HSA/10-05-01/H/15/773</t>
  </si>
  <si>
    <t>KKM/JKN/HSA/10-05-01/H/15/774</t>
  </si>
  <si>
    <t>KKM/JKN/HSA/10-05-01/H/15/776</t>
  </si>
  <si>
    <t>KKM/JKN/HSA/10-05-01/H/15/778</t>
  </si>
  <si>
    <t>KKM/JKN/HSA/10-05-01/H/15/780</t>
  </si>
  <si>
    <t>KKM/JKN/HSA/10-05-01/H/15/781</t>
  </si>
  <si>
    <t>KKM/JKN/HSA/10-05-01/H/15/783</t>
  </si>
  <si>
    <t>KKM/JKN/HSA/10-05-01/H/15/785</t>
  </si>
  <si>
    <t>KKM/JKN/HSA/10-05-01/H/15/788</t>
  </si>
  <si>
    <t>KKM/JKN/HSA/10-05-01/H/15/790</t>
  </si>
  <si>
    <t>KKM/JKN/HSA/10-05-01/H/15/792</t>
  </si>
  <si>
    <t>KKM/JKN/HSA/10-05-01/H/15/793</t>
  </si>
  <si>
    <t>KKM/JKN/HSA/10-05-01/H/15/794</t>
  </si>
  <si>
    <t>KKM/JKN/HSA/10-05-01/H/15/795</t>
  </si>
  <si>
    <t>KKM/JKN/HSA/10-05-01/H/15/796</t>
  </si>
  <si>
    <t>KKM/JKN/HSA/10-05-01/H/15/797</t>
  </si>
  <si>
    <t>KKM/JKN/HSA/10-05-01/H/15/798</t>
  </si>
  <si>
    <t>KKM/JKN/HSA/10-05-01/H/15/799</t>
  </si>
  <si>
    <t>KKM/JKN/HSA/10-05-01/H/15/800</t>
  </si>
  <si>
    <t>KKM/JKN/HSA/10-05-01/H/15/801</t>
  </si>
  <si>
    <t>KKM/JKN/HSA/10-05-01/H/15/802</t>
  </si>
  <si>
    <t>KKM/JKN/HSA/10-05-01/H/15/803</t>
  </si>
  <si>
    <t>KKM/JKN/HSA/10-05-01/H/15/804</t>
  </si>
  <si>
    <t>KKM/JKN/HSA/10-05-01/H/15/805</t>
  </si>
  <si>
    <t>KKM/JKN/HSA/10-05-01/H/15/806</t>
  </si>
  <si>
    <t>KKM/JKN/HSA/10-05-01/H/15/807</t>
  </si>
  <si>
    <t>KKM/JKN/HSA/10-05-01/H/15/808</t>
  </si>
  <si>
    <t>KKM/JKN/HSA/10-05-01/H/15/809</t>
  </si>
  <si>
    <t>KKM/JKN/HSA/10-05-01/H/15/810</t>
  </si>
  <si>
    <t>KKM/JKN/HSA/10-05-01/H/15/811</t>
  </si>
  <si>
    <t>KKM/JKN/HSA/10-05-01/H/15/812</t>
  </si>
  <si>
    <t>KKM/JKN/HSA/10-05-01/H/15/813</t>
  </si>
  <si>
    <t>KKM/JKN/HSA/10-05-01/H/15/814</t>
  </si>
  <si>
    <t>KKM/JKN/HSA/10-05-01/H/15/815</t>
  </si>
  <si>
    <t>KKM/JKN/HSA/10-05-01/H/15/816</t>
  </si>
  <si>
    <t>KKM/JKN/HSA/10-05-01/H/15/818</t>
  </si>
  <si>
    <t>KKM/JKN/HSA/10-05-01/H/15/819</t>
  </si>
  <si>
    <t>KKM/JKN/HSA/10-05-01/H/15/821</t>
  </si>
  <si>
    <t>KKM/JKN/HSA/10-05-01/H/15/823</t>
  </si>
  <si>
    <t>KKM/JKN/HSA/10-05-01/H/15/825</t>
  </si>
  <si>
    <t>KKM/JKN/HSA/10-05-01/H/15/827</t>
  </si>
  <si>
    <t>KKM/JKN/HSA/10-05-01/H/15/829</t>
  </si>
  <si>
    <t>KKM/JKN/HSA/10-05-01/H/15/831</t>
  </si>
  <si>
    <t>KKM/JKN/HSA/10-05-01/H/15/833</t>
  </si>
  <si>
    <t>KKM/JKN/HSA/10-05-01/H/15/834</t>
  </si>
  <si>
    <t>KKM/JKN/HSA/10-05-01/H/15/838</t>
  </si>
  <si>
    <t>KKM/JKN/HSA/10-05-01/H/15/843</t>
  </si>
  <si>
    <t>KKM/JKN/HSA/10-05-01/H/15/844</t>
  </si>
  <si>
    <t>KKM/JKN/HSA/10-05-01/H/15/845</t>
  </si>
  <si>
    <t>KKM/JKN/HSA/10-05-01/H/15/846</t>
  </si>
  <si>
    <t>KKM/JKN/HSA/10-05-01/H/15/847</t>
  </si>
  <si>
    <t>KKM/JKN/HSA/10-05-01/H/15/848</t>
  </si>
  <si>
    <t>KKM/JKN/HSA/10-05-01/H/15/849</t>
  </si>
  <si>
    <t>KKM/JKN/HSA/10-05-01/H/15/850</t>
  </si>
  <si>
    <t>KKM/JKN/HSA/10-05-01/H/15/851</t>
  </si>
  <si>
    <t>KKM/JKN/HSA/10-05-01/H/15/852</t>
  </si>
  <si>
    <t>KKM/JKN/HSA/10-05-01/H/15/853</t>
  </si>
  <si>
    <t>KKM/JKN/HSA/10-05-01/H/15/854</t>
  </si>
  <si>
    <t>KKM/JKN/HSA/10-05-01/H/15/855</t>
  </si>
  <si>
    <t>KKM/JKN/HSA/10-05-01/H/15/856</t>
  </si>
  <si>
    <t>KKM/JKN/HSA/10-05-01/H/15/857</t>
  </si>
  <si>
    <t>KKM/JKN/HSA/10-05-01/H/15/859</t>
  </si>
  <si>
    <t>KKM/JKN/HSA/10-05-01/H/15/860</t>
  </si>
  <si>
    <t>KKM/JKN/HSA/10-05-01/H/15/862</t>
  </si>
  <si>
    <t>KKM/JKN/HSA/10-05-01/H/15/864</t>
  </si>
  <si>
    <t>KKM/JKN/HSA/10-05-01/H/15/871</t>
  </si>
  <si>
    <t>KKM/JKN/HSA/10-05-01/H/15/872</t>
  </si>
  <si>
    <t>KKM/JKN/HSA/10-05-01/H/15/3885</t>
  </si>
  <si>
    <t>PUMP VOLUMETRIC INFUSION</t>
  </si>
  <si>
    <t>13-215</t>
  </si>
  <si>
    <t>KKM/JKN/HSA/10-05-01/H/15/2778</t>
  </si>
  <si>
    <t>KKM/JKN/HSA/10-05-01/H/15/2779</t>
  </si>
  <si>
    <t>KKM/JKN/HSA/10-05-01/H/15/2780</t>
  </si>
  <si>
    <t>KKM/JKN/HSA/10-05-01/H/15/2781</t>
  </si>
  <si>
    <t>PUMP VOLUMETRIC INFUSION (STAND ALONE)</t>
  </si>
  <si>
    <t>KKM/JKN/HSA/10-05-01/H/15/1171</t>
  </si>
  <si>
    <t>KKM/JKN/HSA/10-05-01/H/15/1172</t>
  </si>
  <si>
    <t>KKM/JKN/HSA/10-05-01/H/15/1173</t>
  </si>
  <si>
    <t>KKM/JKN/HSA/10-05-01/H/15/1174</t>
  </si>
  <si>
    <t>KKM/JKN/HSA/10-05-01/H/15/1183</t>
  </si>
  <si>
    <t>KKM/JKN/HSA/10-05-01/H/15/1184</t>
  </si>
  <si>
    <t>KKM/JKN/HSA/10-05-01/H/15/1185</t>
  </si>
  <si>
    <t>KKM/JKN/HSA/10-05-01/H/15/1186</t>
  </si>
  <si>
    <t>KKM/JKN/HSA/10-05-01/H/15/1187</t>
  </si>
  <si>
    <t>KKM/JKN/HSA/10-05-01/H/15/1188</t>
  </si>
  <si>
    <t>KKM/JKN/HSA/10-05-01/H/15/1189</t>
  </si>
  <si>
    <t>KKM/JKN/HSA/10-05-01/H/15/1190</t>
  </si>
  <si>
    <t>KKM/JKN/HSA/10-05-01/H/15/1191</t>
  </si>
  <si>
    <t>KKM/JKN/HSA/10-05-01/H/15/1192</t>
  </si>
  <si>
    <t>KKM/JKN/HSA/10-05-01/H/15/1193</t>
  </si>
  <si>
    <t>KKM/JKN/HSA/10-05-01/H/15/1194</t>
  </si>
  <si>
    <t>KKM/JKN/HSA/10-05-01/H/15/1195</t>
  </si>
  <si>
    <t>KKM/JKN/HSA/10-05-01/H/15/1196</t>
  </si>
  <si>
    <t>KKM/JKN/HSA/10-05-01/H/15/1197</t>
  </si>
  <si>
    <t>KKM/JKN/HSA/10-05-01/H/15/1198</t>
  </si>
  <si>
    <t>KKM/JKN/HSA/10-05-01/H/15/1199</t>
  </si>
  <si>
    <t>KKM/JKN/HSA/10-05-01/H/15/1200</t>
  </si>
  <si>
    <t>KKM/JKN/HSA/10-05-01/H/15/1201</t>
  </si>
  <si>
    <t>KKM/JKN/HSA/10-05-01/H/15/1202</t>
  </si>
  <si>
    <t>KKM/JKN/HSA/10-05-01/H/15/1203</t>
  </si>
  <si>
    <t>KKM/JKN/HSA/10-05-01/H/15/1204</t>
  </si>
  <si>
    <t>KKM/JKN/HSA/10-05-01/H/15/1205</t>
  </si>
  <si>
    <t>KKM/JKN/HSA/10-05-01/H/15/1206</t>
  </si>
  <si>
    <t>KKM/JKN/HSA/10-05-01/H/15/1207</t>
  </si>
  <si>
    <t>KKM/JKN/HSA/10-05-01/H/15/1208</t>
  </si>
  <si>
    <t>KKM/JKN/HSA/10-05-01/H/15/1209</t>
  </si>
  <si>
    <t>KKM/JKN/HSA/10-05-01/H/15/1210</t>
  </si>
  <si>
    <t>KKM/JKN/HSA/10-05-01/H/15/1211</t>
  </si>
  <si>
    <t>KKM/JKN/HSA/10-05-01/H/15/1212</t>
  </si>
  <si>
    <t>KKM/JKN/HSA/10-05-01/H/15/1213</t>
  </si>
  <si>
    <t>KKM/JKN/HSA/10-05-01/H/15/1214</t>
  </si>
  <si>
    <t>KKM/JKN/HSA/10-05-01/H/15/1215</t>
  </si>
  <si>
    <t>KKM/JKN/HSA/10-05-01/H/15/1216</t>
  </si>
  <si>
    <t>KKM/JKN/HSA/10-05-01/H/15/1217</t>
  </si>
  <si>
    <t>KKM/JKN/HSA/10-05-01/H/15/1218</t>
  </si>
  <si>
    <t>KKM/JKN/HSA/10-05-01/H/15/1219</t>
  </si>
  <si>
    <t>KKM/JKN/HSA/10-05-01/H/15/1220</t>
  </si>
  <si>
    <t>KKM/JKN/HSA/10-05-01/H/15/1221</t>
  </si>
  <si>
    <t>KKM/JKN/HSA/10-05-01/H/15/1222</t>
  </si>
  <si>
    <t>KKM/JKN/HSA/10-05-01/H/15/1223</t>
  </si>
  <si>
    <t>KKM/JKN/HSA/10-05-01/H/15/1224</t>
  </si>
  <si>
    <t>KKM/JKN/HSA/10-05-01/H/15/1225</t>
  </si>
  <si>
    <t>KKM/JKN/HSA/10-05-01/H/15/1226</t>
  </si>
  <si>
    <t>KKM/JKN/HSA/10-05-01/H/15/1227</t>
  </si>
  <si>
    <t>KKM/JKN/HSA/10-05-01/H/15/1228</t>
  </si>
  <si>
    <t>KKM/JKN/HSA/10-05-01/H/15/1229</t>
  </si>
  <si>
    <t>KKM/JKN/HSA/10-05-01/H/15/1230</t>
  </si>
  <si>
    <t>KKM/JKN/HSA/10-05-01/H/15/1231</t>
  </si>
  <si>
    <t>KKM/JKN/HSA/10-05-01/H/15/1232</t>
  </si>
  <si>
    <t>KKM/JKN/HSA/10-05-01/H/15/1234</t>
  </si>
  <si>
    <t>KKM/JKN/HSA/10-05-01/H/15/1235</t>
  </si>
  <si>
    <t>KKM/JKN/HSA/10-05-01/H/15/1236</t>
  </si>
  <si>
    <t>KKM/JKN/HSA/10-05-01/H/15/1237</t>
  </si>
  <si>
    <t>KKM/JKN/HSA/10-05-01/H/15/1238</t>
  </si>
  <si>
    <t>KKM/JKN/HSA/10-05-01/H/15/1239</t>
  </si>
  <si>
    <t>KKM/JKN/HSA/10-05-01/H/15/1240</t>
  </si>
  <si>
    <t>KKM/JKN/HSA/10-05-01/H/15/1241</t>
  </si>
  <si>
    <t>KKM/JKN/HSA/10-05-01/H/15/1242</t>
  </si>
  <si>
    <t>KKM/JKN/HSA/10-05-01/H/15/1243</t>
  </si>
  <si>
    <t>KKM/JKN/HSA/10-05-01/H/15/1244</t>
  </si>
  <si>
    <t>KKM/JKN/HSA/10-05-01/H/15/1245</t>
  </si>
  <si>
    <t>KKM/JKN/HSA/10-05-01/H/15/1246</t>
  </si>
  <si>
    <t>KKM/JKN/HSA/10-05-01/H/15/1247</t>
  </si>
  <si>
    <t>KKM/JKN/HSA/10-05-01/H/15/1248</t>
  </si>
  <si>
    <t>KKM/JKN/HSA/10-05-01/H/15/1249</t>
  </si>
  <si>
    <t>KKM/JKN/HSA/10-05-01/H/15/1250</t>
  </si>
  <si>
    <t>KKM/JKN/HSA/10-05-01/H/15/1251</t>
  </si>
  <si>
    <t>KKM/JKN/HSA/10-05-01/H/15/1252</t>
  </si>
  <si>
    <t>KKM/JKN/HSA/10-05-01/H/15/1253</t>
  </si>
  <si>
    <t>KKM/JKN/HSA/10-05-01/H/15/1254</t>
  </si>
  <si>
    <t>KKM/JKN/HSA/10-05-01/H/15/1263</t>
  </si>
  <si>
    <t>KKM/JKN/HSA/10-05-01/H/15/1264</t>
  </si>
  <si>
    <t>KKM/JKN/HSA/10-05-01/H/15/1265</t>
  </si>
  <si>
    <t>KKM/JKN/HSA/10-05-01/H/15/1266</t>
  </si>
  <si>
    <t>KKM/JKN/HSA/10-05-01/H/15/1267</t>
  </si>
  <si>
    <t>KKM/JKN/HSA/10-05-01/H/15/1268</t>
  </si>
  <si>
    <t>KKM/JKN/HSA/10-05-01/H/15/4251</t>
  </si>
  <si>
    <t>KKM/JKN/HSA/10-05-01/H/15/4939</t>
  </si>
  <si>
    <t>KKM/JKN/HSA/10-05-01/H/15/4940</t>
  </si>
  <si>
    <t>PCA AMBULATORY</t>
  </si>
  <si>
    <t>KKM/JKN/HSA/10-05-01/H/15/4219</t>
  </si>
  <si>
    <t>KKM/JKN/HSA/10-05-01/H/15/4220</t>
  </si>
  <si>
    <t>KKM/JKN/HSA/10-05-01/H/15/4221</t>
  </si>
  <si>
    <t>KKM/JKN/HSA/10-05-01/H/15/4222</t>
  </si>
  <si>
    <t>KKM/JKN/HSA/10-05-01/H/15/4223</t>
  </si>
  <si>
    <t>ANESTHESIA PUMP SYRINGE (STAND ALONE)</t>
  </si>
  <si>
    <t>KKM/JKN/HSA/10-05-01/H/15/941</t>
  </si>
  <si>
    <t>KKM/JKN/HSA/10-05-01/H/15/942</t>
  </si>
  <si>
    <t>KKM/JKN/HSA/10-05-01/H/15/943</t>
  </si>
  <si>
    <t>KKM/JKN/HSA/10-05-01/H/15/944</t>
  </si>
  <si>
    <t>KKM/JKN/HSA/10-05-01/H/15/945</t>
  </si>
  <si>
    <t>PUMP SYRINGE BASIC (STAND ALONE)</t>
  </si>
  <si>
    <t>KKM/JKN/HSA/10-05-01/H/15/2233</t>
  </si>
  <si>
    <t>KKM/JKN/HSA/10-05-01/H/15/2234</t>
  </si>
  <si>
    <t>KKM/JKN/HSA/10-05-01/H/15/2235</t>
  </si>
  <si>
    <t>KKM/JKN/HSA/10-05-01/H/15/2236</t>
  </si>
  <si>
    <t>KKM/JKN/HSA/10-05-01/H/15/2237</t>
  </si>
  <si>
    <t>KKM/JKN/HSA/10-05-01/H/15/2238</t>
  </si>
  <si>
    <t>KKM/JKN/HSA/10-05-01/H/15/2239</t>
  </si>
  <si>
    <t>KKM/JKN/HSA/10-05-01/H/15/2240</t>
  </si>
  <si>
    <t>KKM/JKN/HSA/10-05-01/H/15/2241</t>
  </si>
  <si>
    <t>KKM/JKN/HSA/10-05-01/H/15/2242</t>
  </si>
  <si>
    <t>KKM/JKN/HSA/10-05-01/H/15/2243</t>
  </si>
  <si>
    <t>KKM/JKN/HSA/10-05-01/H/15/2244</t>
  </si>
  <si>
    <t>KKM/JKN/HSA/10-05-01/H/15/2245</t>
  </si>
  <si>
    <t>KKM/JKN/HSA/10-05-01/H/15/2246</t>
  </si>
  <si>
    <t>KKM/JKN/HSA/10-05-01/H/15/2247</t>
  </si>
  <si>
    <t>KKM/JKN/HSA/10-05-01/H/15/2248</t>
  </si>
  <si>
    <t>KKM/JKN/HSA/10-05-01/H/15/2249</t>
  </si>
  <si>
    <t>KKM/JKN/HSA/10-05-01/H/15/2250</t>
  </si>
  <si>
    <t>KKM/JKN/HSA/10-05-01/H/15/2252</t>
  </si>
  <si>
    <t>KKM/JKN/HSA/10-05-01/H/15/2253</t>
  </si>
  <si>
    <t>KKM/JKN/HSA/10-05-01/H/15/2254</t>
  </si>
  <si>
    <t>KKM/JKN/HSA/10-05-01/H/15/2255</t>
  </si>
  <si>
    <t>KKM/JKN/HSA/10-05-01/H/15/2256</t>
  </si>
  <si>
    <t>KKM/JKN/HSA/10-05-01/H/15/2257</t>
  </si>
  <si>
    <t>KKM/JKN/HSA/10-05-01/H/15/2258</t>
  </si>
  <si>
    <t>KKM/JKN/HSA/10-05-01/H/15/2259</t>
  </si>
  <si>
    <t>KKM/JKN/HSA/10-05-01/H/15/2260</t>
  </si>
  <si>
    <t>KKM/JKN/HSA/10-05-01/H/15/2268</t>
  </si>
  <si>
    <t>KKM/JKN/HSA/10-05-01/H/15/2269</t>
  </si>
  <si>
    <t>KKM/JKN/HSA/10-05-01/H/15/2270</t>
  </si>
  <si>
    <t>KKM/JKN/HSA/10-05-01/H/15/2271</t>
  </si>
  <si>
    <t>KKM/JKN/HSA/10-05-01/H/15/4054</t>
  </si>
  <si>
    <t>KKM/JKN/HSA/10-05-01/H/15/4055</t>
  </si>
  <si>
    <t>SUCTION UNIT 1 X 2L JAR MOBILE</t>
  </si>
  <si>
    <t>10-208</t>
  </si>
  <si>
    <t>KKM/JKN/HSA/10-05-01/H/15/2121</t>
  </si>
  <si>
    <t>KKM/JKN/HSA/10-05-01/H/15/2122</t>
  </si>
  <si>
    <t>KKM/JKN/HSA/10-05-01/H/15/2123</t>
  </si>
  <si>
    <t>KKM/JKN/HSA/10-05-01/H/15/2146</t>
  </si>
  <si>
    <t>KKM/JKN/HSA/10-05-01/H/15/2147</t>
  </si>
  <si>
    <t>KKM/JKN/HSA/10-05-01/H/15/2148</t>
  </si>
  <si>
    <t>KKM/JKN/HSA/10-05-01/H/15/2149</t>
  </si>
  <si>
    <t>KKM/JKN/HSA/10-05-01/H/15/2150</t>
  </si>
  <si>
    <t>KKM/JKN/HSA/10-05-01/H/15/2152</t>
  </si>
  <si>
    <t>KKM/JKN/HSA/10-05-01/H/15/2154</t>
  </si>
  <si>
    <t>KKM/JKN/HSA/10-05-01/H/15/2155</t>
  </si>
  <si>
    <t>KKM/JKN/HSA/10-05-01/H/15/2162</t>
  </si>
  <si>
    <t>KKM/JKN/HSA/10-05-01/H/15/2170</t>
  </si>
  <si>
    <t>KKM/JKN/HSA/10-05-01/H/15/2171</t>
  </si>
  <si>
    <t>KKM/JKN/HSA/10-05-01/H/15/2172</t>
  </si>
  <si>
    <t>KKM/JKN/HSA/10-05-01/H/15/2173</t>
  </si>
  <si>
    <t>KKM/JKN/HSA/10-05-01/H/15/2174</t>
  </si>
  <si>
    <t>KKM/JKN/HSA/10-05-01/H/15/2175</t>
  </si>
  <si>
    <t>KKM/JKN/HSA/10-05-01/H/15/2176</t>
  </si>
  <si>
    <t>KKM/JKN/HSA/10-05-01/H/15/2177</t>
  </si>
  <si>
    <t>KKM/JKN/HSA/10-05-01/H/15/2182</t>
  </si>
  <si>
    <t>KKM/JKN/HSA/10-05-01/H/15/2183</t>
  </si>
  <si>
    <t>KKM/JKN/HSA/10-05-01/H/15/2184</t>
  </si>
  <si>
    <t>SUCTION UNIT 2 X 2L JAR MOBILE</t>
  </si>
  <si>
    <t>KKM/JKN/HSA/10-05-01/H/15/1125</t>
  </si>
  <si>
    <t>KKM/JKN/HSA/10-05-01/H/15/1126</t>
  </si>
  <si>
    <t>KKM/JKN/HSA/10-05-01/H/15/1127</t>
  </si>
  <si>
    <t>KKM/JKN/HSA/10-05-01/H/15/1128</t>
  </si>
  <si>
    <t>KKM/JKN/HSA/10-05-01/H/15/1129</t>
  </si>
  <si>
    <t>KKM/JKN/HSA/10-05-01/H/15/1130</t>
  </si>
  <si>
    <t>KKM/JKN/HSA/10-05-01/H/15/1131</t>
  </si>
  <si>
    <t>KKM/JKN/HSA/10-05-01/H/15/1132</t>
  </si>
  <si>
    <t>KKM/JKN/HSA/10-05-01/H/15/1134</t>
  </si>
  <si>
    <t>KKM/JKN/HSA/10-05-01/H/15/1135</t>
  </si>
  <si>
    <t>KKM/JKN/HSA/10-05-01/H/15/1136</t>
  </si>
  <si>
    <t>KKM/JKN/HSA/10-05-01/H/15/1137</t>
  </si>
  <si>
    <t>KKM/JKN/HSA/10-05-01/H/15/1138</t>
  </si>
  <si>
    <t>KKM/JKN/HSA/10-05-01/H/15/1139</t>
  </si>
  <si>
    <t>METER SUCTION UNDERWATER SEAL</t>
  </si>
  <si>
    <t>KKM/JKN/HSA/10-05-01/H/15/1096</t>
  </si>
  <si>
    <t>KKM/JKN/HSA/10-05-01/H/15/1097</t>
  </si>
  <si>
    <t>KKM/JKN/HSA/10-05-01/H/15/1098</t>
  </si>
  <si>
    <t>KKM/JKN/HSA/10-05-01/H/15/1099</t>
  </si>
  <si>
    <t>KKM/JKN/HSA/10-05-01/H/15/1100</t>
  </si>
  <si>
    <t>KKM/JKN/HSA/10-05-01/H/15/1101</t>
  </si>
  <si>
    <t>EXTERNAL PACEMAKER</t>
  </si>
  <si>
    <t>12-912</t>
  </si>
  <si>
    <t>KKM/JKN/HSA/10-05-01/H/15/652</t>
  </si>
  <si>
    <t>KKM/JKN/HSA/10-05-01/H/15/653</t>
  </si>
  <si>
    <t>WARMER, CONVECTIVE AIR</t>
  </si>
  <si>
    <t>17-950</t>
  </si>
  <si>
    <t>KKM/JKN/HSA/10-05-01/H/15/2436</t>
  </si>
  <si>
    <t>KKM/JKN/HSA/10-05-01/H/15/2437</t>
  </si>
  <si>
    <t>KKM/JKN/HSA/10-05-01/H/15/2438</t>
  </si>
  <si>
    <t>KKM/JKN/HSA/10-05-01/H/15/2439</t>
  </si>
  <si>
    <t>KKM/JKN/HSA/10-05-01/H/15/2440</t>
  </si>
  <si>
    <t>KKM/JKN/HSA/10-05-01/H/15/2441</t>
  </si>
  <si>
    <t>KKM/JKN/HSA/10-05-01/H/15/2442</t>
  </si>
  <si>
    <t>KKM/JKN/HSA/10-05-01/H/15/2443</t>
  </si>
  <si>
    <t>KKM/JKN/HSA/10-05-01/H/15/2444</t>
  </si>
  <si>
    <t>KKM/JKN/HSA/10-05-01/H/15/2445</t>
  </si>
  <si>
    <t>KKM/JKN/HSA/10-05-01/H/15/2446</t>
  </si>
  <si>
    <t>KKM/JKN/HSA/10-05-01/H/15/2447</t>
  </si>
  <si>
    <t>KKM/JKN/HSA/10-05-01/H/15/2448</t>
  </si>
  <si>
    <t>KKM/JKN/HSA/10-05-01/H/15/2449</t>
  </si>
  <si>
    <t>SUCTION UNIT OBSTETRIC</t>
  </si>
  <si>
    <t>KKM/JKN/HSA/10-05-01/H/15/1168</t>
  </si>
  <si>
    <t>KKM/JKN/HSA/10-05-01/H/15/1169</t>
  </si>
  <si>
    <t>KKM/JKN/HSA/10-05-01/H/15/1170</t>
  </si>
  <si>
    <t>SUCTION APPARATUS</t>
  </si>
  <si>
    <t>KKM/JKN/HSA/10-05-01/H/15/2504</t>
  </si>
  <si>
    <t>PATIENT WARMER (BLANKET)</t>
  </si>
  <si>
    <t>10-414</t>
  </si>
  <si>
    <t>KKM/JKN/HSA/10-05-01/H/16/94</t>
  </si>
  <si>
    <t>KKM/JKN/HSA/10-05-01/H/16/95</t>
  </si>
  <si>
    <t>SUCTION APPARATUS/SPENCER</t>
  </si>
  <si>
    <t>KKM/JKN/HSA/10-05-01/H/16/181</t>
  </si>
  <si>
    <t>SYRINGE INFUSION PUMP</t>
  </si>
  <si>
    <t>KKM/JKN/HSA/10-05-01/H/16/182</t>
  </si>
  <si>
    <t>KKM/JKN/HSA/10-05-01/H/16/183</t>
  </si>
  <si>
    <t>INFUSION PUMP</t>
  </si>
  <si>
    <t>KKM/JKN/HSA/10-05-01/H/18/140</t>
  </si>
  <si>
    <t>KKM/JKN/HSA/10-05-01/H/18/141</t>
  </si>
  <si>
    <t>KKM/JKN/HSA/10-05-01/H/18/142</t>
  </si>
  <si>
    <t>AUTOPULSE MECHANICAL CPR SYSTEM</t>
  </si>
  <si>
    <t>13-366</t>
  </si>
  <si>
    <t>KKM/JKN/HSA/10-05-01/H/18/145</t>
  </si>
  <si>
    <t>PHOTOTHERAPY UNIT FREESTANDING</t>
  </si>
  <si>
    <t>KKM/JKN/HSA/10-05-01/H/15/1066</t>
  </si>
  <si>
    <t>KKM/JKN/HSA/10-05-01/H/15/1067</t>
  </si>
  <si>
    <t>KKM/JKN/HSA/10-05-01/H/15/1068</t>
  </si>
  <si>
    <t>KKM/JKN/HSA/10-05-01/H/15/1069</t>
  </si>
  <si>
    <t>KKM/JKN/HSA/10-05-01/H/15/1070</t>
  </si>
  <si>
    <t>KKM/JKN/HSA/10-05-01/H/15/1071</t>
  </si>
  <si>
    <t>KKM/JKN/HSA/10-05-01/H/15/1072</t>
  </si>
  <si>
    <t>KKM/JKN/HSA/10-05-01/H/15/1074</t>
  </si>
  <si>
    <t>KKM/JKN/HSA/10-05-01/H/15/1075</t>
  </si>
  <si>
    <t>KKM/JKN/HSA/10-05-01/H/15/1076</t>
  </si>
  <si>
    <t>KKM/JKN/HSA/10-05-01/H/15/1077</t>
  </si>
  <si>
    <t>KKM/JKN/HSA/10-05-01/H/15/1078</t>
  </si>
  <si>
    <t>KKM/JKN/HSA/10-05-01/H/15/1079</t>
  </si>
  <si>
    <t>KKM/JKN/HSA/10-05-01/H/15/1080</t>
  </si>
  <si>
    <t>KKM/JKN/HSA/10-05-01/H/15/1081</t>
  </si>
  <si>
    <t>KKM/JKN/HSA/10-05-01/H/15/1082</t>
  </si>
  <si>
    <t>KKM/JKN/HSA/10-05-01/H/15/1083</t>
  </si>
  <si>
    <t>KKM/JKN/HSA/10-05-01/H/15/1084</t>
  </si>
  <si>
    <t>KKM/JKN/HSA/10-05-01/H/15/1085</t>
  </si>
  <si>
    <t>KKM/JKN/HSA/10-05-01/H/15/1086</t>
  </si>
  <si>
    <t>KKM/JKN/HSA/10-05-01/H/15/1087</t>
  </si>
  <si>
    <t>KKM/JKN/HSA/10-05-01/H/15/4950</t>
  </si>
  <si>
    <t>RESUSCITATOR</t>
  </si>
  <si>
    <t>KKM/JKN/HSA/10-05-01/H/16/14</t>
  </si>
  <si>
    <t>KKM/JKN/HSA/10-05-01/H/16/15</t>
  </si>
  <si>
    <t>KKM/JKN/HSA/10-05-01/H/16/16</t>
  </si>
  <si>
    <t>THERAPEUTIC HYPOTHERMIA MACHINE SERVO CONTROL</t>
  </si>
  <si>
    <t>12-068</t>
  </si>
  <si>
    <t>KKM/JKN/HSA/10-05-01/H/16/27</t>
  </si>
  <si>
    <t>BIOMED OXYGEN BLENDED COMPLETE SET</t>
  </si>
  <si>
    <t>12-876</t>
  </si>
  <si>
    <t>KKM/JKN/HSA/10-05-01/H/16/49</t>
  </si>
  <si>
    <t>KKM/JKN/HSA/10-05-01/H/16/50</t>
  </si>
  <si>
    <t>PHOTOTHERAPY MACHINE (LAMP)</t>
  </si>
  <si>
    <t>KKM/JKN/HSA/10-05-01/H/16/132</t>
  </si>
  <si>
    <t>KKM/JKN/HSA/10-05-01/H/16/133</t>
  </si>
  <si>
    <t>KKM/JKN/HSA/10-05-01/H/16/134</t>
  </si>
  <si>
    <t>KKM/JKN/HSA/10-05-01/H/16/135</t>
  </si>
  <si>
    <t>KKM/JKN/HSA/10-05-01/H/16/136</t>
  </si>
  <si>
    <t>KKM/JKN/HSA/10-05-01/H/16/137</t>
  </si>
  <si>
    <t>LASER ND YAG</t>
  </si>
  <si>
    <t>16-947</t>
  </si>
  <si>
    <t>KKM/JKN/HSA/10-05-01/H/15/2752</t>
  </si>
  <si>
    <t>LASER DIODE(RED) PHOTOCOAGULATOR</t>
  </si>
  <si>
    <t>18-216</t>
  </si>
  <si>
    <t>KKM/JKN/HSA/10-05-01/H/15/4260</t>
  </si>
  <si>
    <t>KKM/JKN/HSA/10-05-01/H/15/4261</t>
  </si>
  <si>
    <t>DIATHERMY UNIT SHORT WAVE</t>
  </si>
  <si>
    <t>11-246</t>
  </si>
  <si>
    <t>KKM/JKN/HSA/10-05-01/H/15/966</t>
  </si>
  <si>
    <t>KKM/JKN/HSA/10-05-01/H/15/967</t>
  </si>
  <si>
    <t>SHOCKWAVE THERAPHY UNIT/500 PLUS V-ACTOR</t>
  </si>
  <si>
    <t>KKM/JKN/HSA/10-05-01/H/15/36</t>
  </si>
  <si>
    <t>DRILL SURGICAL, ORTHO. BIG BONE, ELECTRIC</t>
  </si>
  <si>
    <t>11-331</t>
  </si>
  <si>
    <t>KKM/JKN/HSA/10-05-01/H/15/3632</t>
  </si>
  <si>
    <t xml:space="preserve">INFANT VENTILATOR </t>
  </si>
  <si>
    <t>KKM/JKN/HSA/10-05-01/H/15/1613</t>
  </si>
  <si>
    <t>RESPIRATORI HUMIDIFIER</t>
  </si>
  <si>
    <t>12-050</t>
  </si>
  <si>
    <t>KKM/JKN/HSA/10-05-01/H/16/45</t>
  </si>
  <si>
    <t>KKM/JKN/HSA/10-05-01/H/16/46</t>
  </si>
  <si>
    <t>TUMESCENT ANESTHESIA</t>
  </si>
  <si>
    <t>17-842</t>
  </si>
  <si>
    <t>KKM/JKN/HSA/10-05-01/H/14/3</t>
  </si>
  <si>
    <t>LUP (LOUPE)/EYEMAG PRO F</t>
  </si>
  <si>
    <t>KKM/JKN/HSA/10-05-01/H/16/174</t>
  </si>
  <si>
    <t>AERO UPPERCYCLE</t>
  </si>
  <si>
    <t>KKM/JKN/HSA/10-05-01/H/16/139</t>
  </si>
  <si>
    <t>IMPRESSION MATERIAL MIXER</t>
  </si>
  <si>
    <t>KKM/JKN/HSA/10-05-01/H/16/102</t>
  </si>
  <si>
    <t>KKM/JKN/HSA/10-05-01/H/16/103</t>
  </si>
  <si>
    <t>LOUPE BINOCULAR</t>
  </si>
  <si>
    <t>KKM/JKN/HSA/10-05-01/R/15/15921</t>
  </si>
  <si>
    <t>KKM/JKN/HSA/10-05-01/R/15/17201</t>
  </si>
  <si>
    <t>KKM/JKN/HSA/10-05-01/R/15/17202</t>
  </si>
  <si>
    <t xml:space="preserve">MACHINE CPM SHOULDER </t>
  </si>
  <si>
    <t>KKM/JKN/HSA/10-05-01/H/15/425</t>
  </si>
  <si>
    <t>VASCULAR DOPPLER</t>
  </si>
  <si>
    <t>KKM/JKN/HSA/10-05-01/H/19/4</t>
  </si>
  <si>
    <t>KKM/JKN/HSA/10-05-01/H/19/5</t>
  </si>
  <si>
    <t>KKM/JKN/HSA/10-05-01/H/19/17</t>
  </si>
  <si>
    <t>KKM/JKN/HSA/10-05-01/H/19/18</t>
  </si>
  <si>
    <t>INFANT WARMER (RADIANT)</t>
  </si>
  <si>
    <t>KKM/JKN/HSA/10-05-01/H/19/20</t>
  </si>
  <si>
    <t>KKM/JKN/HSA/10-05-01/H/19/21</t>
  </si>
  <si>
    <t>SHIMADZU UNIBLOC TOP LOADING BALANCES</t>
  </si>
  <si>
    <t>KKM/JKN/HSA/10-05-01/H/19/22</t>
  </si>
  <si>
    <t>KKM/JKN/HSA/10-05-01/H/19/23</t>
  </si>
  <si>
    <t>KKM/JKN/HSA/10-05-01/H/19/24</t>
  </si>
  <si>
    <t>CUST CUTTER &amp; DUST EXTRACTION SYSTEM</t>
  </si>
  <si>
    <t>10-656</t>
  </si>
  <si>
    <t>KKM/JKN/HSA/10-05-01/H/19/25</t>
  </si>
  <si>
    <t>Microscope</t>
  </si>
  <si>
    <t>12-536</t>
  </si>
  <si>
    <t>KKM/JKN/HSA/10-05-01/H/15/2431</t>
  </si>
  <si>
    <t>KKM/JKN/HSA/10-05-01/H/15/2432</t>
  </si>
  <si>
    <t>KKM/JKN/HSA/10-05-01/H/15/2433</t>
  </si>
  <si>
    <t>KKM/JKN/HSA/10-05-01/H/15/2434</t>
  </si>
  <si>
    <t>KKM/JKN/HSA/10-05-01/H/15/2435</t>
  </si>
  <si>
    <t>KKM/JKN/HSA/10-05-01/H/15/2185</t>
  </si>
  <si>
    <t>KKM/JKN/HSA/10-05-01/H/15/2186</t>
  </si>
  <si>
    <t>KKM/JKN/HSA/10-05-01/H/15/4076</t>
  </si>
  <si>
    <t>KKM/JKN/HSA/10-05-01/H/15/4077</t>
  </si>
  <si>
    <t>KKM/JKN/HSA/10-05-01/H/15/4078</t>
  </si>
  <si>
    <t>KKM/JKN/HSA/10-05-01/H/15/4079</t>
  </si>
  <si>
    <t>KKM/JKN/HSA/10-05-01/H/15/2179</t>
  </si>
  <si>
    <t>KKM/JKN/HSA/10-05-01/H/15/2180</t>
  </si>
  <si>
    <t>KKM/JKN/HSA/10-05-01/H/15/2181</t>
  </si>
  <si>
    <t>KKM/JKN/HSA/10-05-01/H/15/2251</t>
  </si>
  <si>
    <t>KKM/JKN/HSA/10-05-01/H/15/2151</t>
  </si>
  <si>
    <t>KKM/JKN/HSA/10-05-01/H/15/2153</t>
  </si>
  <si>
    <t>KKM/JKN/HSA/10-05-01/H/15/2261</t>
  </si>
  <si>
    <t>KKM/JKN/HSA/10-05-01/H/15/2262</t>
  </si>
  <si>
    <t>KKM/JKN/HSA/10-05-01/H/15/2263</t>
  </si>
  <si>
    <t>KKM/JKN/HSA/10-05-01/H/15/2264</t>
  </si>
  <si>
    <t>KKM/JKN/HSA/10-05-01/H/15/2265</t>
  </si>
  <si>
    <t>KKM/JKN/HSA/10-05-01/H/15/2266</t>
  </si>
  <si>
    <t>KKM/JKN/HSA/10-05-01/H/15/2267</t>
  </si>
  <si>
    <t>KKM/JKN/HSA/10-05-01/H/15/1175</t>
  </si>
  <si>
    <t>KKM/JKN/HSA/10-05-01/H/15/1176</t>
  </si>
  <si>
    <t>KKM/JKN/HSA/10-05-01/H/15/1177</t>
  </si>
  <si>
    <t>KKM/JKN/HSA/10-05-01/H/15/1178</t>
  </si>
  <si>
    <t>KKM/JKN/HSA/10-05-01/H/15/1179</t>
  </si>
  <si>
    <t>KKM/JKN/HSA/10-05-01/H/15/1180</t>
  </si>
  <si>
    <t>KKM/JKN/HSA/10-05-01/H/15/1181</t>
  </si>
  <si>
    <t>KKM/JKN/HSA/10-05-01/H/15/1182</t>
  </si>
  <si>
    <t>KKM/JKN/HSA/10-05-01/H/15/914</t>
  </si>
  <si>
    <t>KKM/JKN/HSA/10-05-01/H/15/915</t>
  </si>
  <si>
    <t>KKM/JKN/HSA/10-05-01/H/15/916</t>
  </si>
  <si>
    <t>KKM/JKN/HSA/10-05-01/H/15/3886</t>
  </si>
  <si>
    <t>KKM/JKN/HSA/10-05-01/H/15/3887</t>
  </si>
  <si>
    <t>KKM/JKN/HSA/10-05-01/H/15/3888</t>
  </si>
  <si>
    <t>KKM/JKN/HSA/10-05-01/H/15/2776</t>
  </si>
  <si>
    <t>KKM/JKN/HSA/10-05-01/H/15/2777</t>
  </si>
  <si>
    <t>KKM/JKN/HSA/10-05-01/H/15/3688</t>
  </si>
  <si>
    <t>KKM/JKN/HSA/10-05-01/H/15/3684</t>
  </si>
  <si>
    <t>KKM/JKN/HSA/10-05-01/H/15/3685</t>
  </si>
  <si>
    <t>KKM/JKN/HSA/10-05-01/H/15/1094</t>
  </si>
  <si>
    <t>KKM/JKN/HSA/10-05-01/H/15/924</t>
  </si>
  <si>
    <t>KKM/JKN/HSA/10-05-01/H/15/441</t>
  </si>
  <si>
    <t>KKM/JKN/HSA/10-05-01/H/15/618</t>
  </si>
  <si>
    <t>KKM/JKN/HSA/10-05-01/H/15/620</t>
  </si>
  <si>
    <t>KKM/JKN/HSA/10-05-01/H/15/621</t>
  </si>
  <si>
    <t>KKM/JKN/HSA/10-05-01/H/15/622</t>
  </si>
  <si>
    <t>KKM/JKN/HSA/10-05-01/H/15/623</t>
  </si>
  <si>
    <t>KKM/JKN/HSA/10-05-01/H/15/624</t>
  </si>
  <si>
    <t>KKM/JKN/HSA/10-05-01/H/15/625</t>
  </si>
  <si>
    <t>KKM/JKN/HSA/10-05-01/H/15/626</t>
  </si>
  <si>
    <t>KKM/JKN/HSA/10-05-01/H/15/627</t>
  </si>
  <si>
    <t>KKM/JKN/HSA/10-05-01/H/15/628</t>
  </si>
  <si>
    <t>KKM/JKN/HSA/10-05-01/H/15/629</t>
  </si>
  <si>
    <t>KKM/JKN/HSA/10-05-01/H/15/630</t>
  </si>
  <si>
    <t>KKM/JKN/HSA/10-05-01/H/15/632</t>
  </si>
  <si>
    <t>KKM/JKN/HSA/10-05-01/H/15/635</t>
  </si>
  <si>
    <t>KKM/JKN/HSA/10-05-01/H/15/636</t>
  </si>
  <si>
    <t>KKM/JKN/HSA/10-05-01/H/15/637</t>
  </si>
  <si>
    <t>KKM/JKN/HSA/10-05-01/H/15/638</t>
  </si>
  <si>
    <t>KKM/JKN/HSA/10-05-01/H/15/639</t>
  </si>
  <si>
    <t>KKM/JKN/HSA/10-05-01/H/15/640</t>
  </si>
  <si>
    <t>KKM/JKN/HSA/10-05-01/H/15/641</t>
  </si>
  <si>
    <t>KKM/JKN/HSA/10-05-01/H/15/642</t>
  </si>
  <si>
    <t>KKM/JKN/HSA/10-05-01/H/15/643</t>
  </si>
  <si>
    <t>KKM/JKN/HSA/10-05-01/H/15/644</t>
  </si>
  <si>
    <t>KKM/JKN/HSA/10-05-01/H/15/645</t>
  </si>
  <si>
    <t>KKM/JKN/HSA/10-05-01/H/15/646</t>
  </si>
  <si>
    <t>KKM/JKN/HSA/10-05-01/H/15/647</t>
  </si>
  <si>
    <t>KKM/JKN/HSA/10-05-01/H/15/648</t>
  </si>
  <si>
    <t>KKM/JKN/HSA/10-05-01/H/15/649</t>
  </si>
  <si>
    <t>KKM/JKN/HSA/10-05-01/H/15/650</t>
  </si>
  <si>
    <t>KKM/JKN/HSA/10-05-01/H/15/651</t>
  </si>
  <si>
    <t>KKM/JKN/HSA/10-05-01/H/15/685</t>
  </si>
  <si>
    <t>KKM/JKN/HSA/10-05-01/H/15/2450</t>
  </si>
  <si>
    <t>KKM/JKN/HSA/10-05-01/H/15/2451</t>
  </si>
  <si>
    <t>KKM/JKN/HSA/10-05-01/H/15/2452</t>
  </si>
  <si>
    <t>SUCTION UNIT MOBILE SINGLE JAR 2L</t>
  </si>
  <si>
    <t>KKM/JKN/HSA/10-05-01/H/15/1167</t>
  </si>
  <si>
    <t>SUCTION UNIT TWIN JAR PIPELINE</t>
  </si>
  <si>
    <t>KKM/JKN/HSA/10-05-01/R/15/7337</t>
  </si>
  <si>
    <t>KKM/JKN/HSA/10-05-01/R/15/7338</t>
  </si>
  <si>
    <t>KKM/JKN/HSA/10-05-01/R/15/7340</t>
  </si>
  <si>
    <t>KKM/JKN/HSA/10-05-01/R/15/7341</t>
  </si>
  <si>
    <t>PRISM LOUPE OPERATING</t>
  </si>
  <si>
    <t>KKM/JKN/HSA/10-05-01/H/15/1161</t>
  </si>
  <si>
    <t>KKM/JKN/HSA/10-05-01/H/15/1162</t>
  </si>
  <si>
    <t>KKM/JKN/HSA/10-05-01/H/15/4218</t>
  </si>
  <si>
    <t>ARTICULATOR W/MAGNET AND FACE BOW</t>
  </si>
  <si>
    <t>KKM/JKN/HSA/10-05-01/H/15/4215</t>
  </si>
  <si>
    <t>KKM/JKN/HSA/10-05-01/H/15/4216</t>
  </si>
  <si>
    <t>MODEL SURVEYOR</t>
  </si>
  <si>
    <t>20-000</t>
  </si>
  <si>
    <t xml:space="preserve"> 
KKM/JKN/HSA/10-05-01/H/15/1661</t>
  </si>
  <si>
    <t>SNELLEN TEST CHART W/4 DOT TEST W/M</t>
  </si>
  <si>
    <t xml:space="preserve"> KKM/JKN/HSA/10-05-01/H/15/4894</t>
  </si>
  <si>
    <t>VIBRATOR UNIT</t>
  </si>
  <si>
    <t>14-369</t>
  </si>
  <si>
    <t>KKM/JKN/HSA/10-05-01/R/15/15058</t>
  </si>
  <si>
    <t>WAX POT</t>
  </si>
  <si>
    <t>17-849</t>
  </si>
  <si>
    <t>KKM/JKN/HSA/10-05-01/R/15/15059</t>
  </si>
  <si>
    <t>KKM/JKN/HSA/10-05-01/H/15/3633</t>
  </si>
  <si>
    <t>KKM/JKN/HSA/10-05-01/H/15/3631</t>
  </si>
  <si>
    <t>Dual color electronic sensitometer</t>
  </si>
  <si>
    <t>16-563</t>
  </si>
  <si>
    <t>Densitometer</t>
  </si>
  <si>
    <t>15-129</t>
  </si>
  <si>
    <t>HARMONIC SCALPEL</t>
  </si>
  <si>
    <t>18-049</t>
  </si>
  <si>
    <t>SHAVER UNIT FOR ARTHROSCOPY</t>
  </si>
  <si>
    <t>17-918</t>
  </si>
  <si>
    <t>TOURNIQUET FOR VENOGRAM</t>
  </si>
  <si>
    <t>14-074</t>
  </si>
  <si>
    <t>TRICYCLE EXERCISE CHILDREN</t>
  </si>
  <si>
    <t>DRILL, SURGICAL, MULTIPURPOSE W/IRRIGATION</t>
  </si>
  <si>
    <t>17-954</t>
  </si>
  <si>
    <t>DRILL, SURGICAL, ORTHO. SMALL BONE, ELECTRIC</t>
  </si>
  <si>
    <t>DRILL, SURGICAL, SMALL BONE, PNEUMATIC</t>
  </si>
  <si>
    <t>POLISHING UNIT</t>
  </si>
  <si>
    <t>MONITOR 20"</t>
  </si>
  <si>
    <t>16-603</t>
  </si>
  <si>
    <t>VIDEO NYSTAGMOGRAPHY</t>
  </si>
  <si>
    <t>15-634</t>
  </si>
  <si>
    <t>TOURNIQUET PNEUMATIC ONE CUFF</t>
  </si>
  <si>
    <t>RO SYSTEM</t>
  </si>
  <si>
    <t>14-437</t>
  </si>
  <si>
    <t>RO Water Storage Tank</t>
  </si>
  <si>
    <t>RO Raw Water Tank</t>
  </si>
  <si>
    <t>CENTRIFUGE BENCHTOP REFRIGERATED</t>
  </si>
  <si>
    <t>KKM/JKN/HSA/10-05-01/H/15/582</t>
  </si>
  <si>
    <t>VIDEO GASTROSCOPE, PAEDIATRIC</t>
  </si>
  <si>
    <t>17-002</t>
  </si>
  <si>
    <t>18-783</t>
  </si>
  <si>
    <t>AUTO REFRACTOMETER</t>
  </si>
  <si>
    <t>CAMERA 35MM FOR USE W/MICROSCOPE</t>
  </si>
  <si>
    <t>THERMOMETER CALIBRATOR TYMPANIC</t>
  </si>
  <si>
    <t>12-818</t>
  </si>
  <si>
    <t>HEARING AID PRESCRIBER SYSTEM</t>
  </si>
  <si>
    <t>HAEMOGLOBINOMETER DIGITAL</t>
  </si>
  <si>
    <t>15-146</t>
  </si>
  <si>
    <t>DENTAL IMPLANT SYSTEM</t>
  </si>
  <si>
    <t>BOOTH SOUND ATTENUATED</t>
  </si>
  <si>
    <t>10-229</t>
  </si>
  <si>
    <t>KKM/JKN/HSA/10-05-01/H/15/595</t>
  </si>
  <si>
    <t>FLUID MANAGEMENT SYSTEM INTENSIVE COMPLETE SYS</t>
  </si>
  <si>
    <t>17-793</t>
  </si>
  <si>
    <t>Dosimeter</t>
  </si>
  <si>
    <t>11-295</t>
  </si>
  <si>
    <t>DOCKING SYSTEM</t>
  </si>
  <si>
    <t>PUMP LIQUID MEDIA, ARTHROSCOPY</t>
  </si>
  <si>
    <t>17-233</t>
  </si>
  <si>
    <t>KKM/JKN/HSA/10-05-01/H/20/56</t>
  </si>
  <si>
    <t>KKM/JKN/HSA/10-05-01/H/20/47</t>
  </si>
  <si>
    <t>KKM/JKN/HSA/10-05-01/H/20/48</t>
  </si>
  <si>
    <t>KKM/JKN/HSA/10-05-01/H/20/49</t>
  </si>
  <si>
    <t>KKM/JKN/HSA/10-05-01/H/20/50</t>
  </si>
  <si>
    <t>KKM/JKN/HSA/10-05-01/H/20/51</t>
  </si>
  <si>
    <t>KKM/JKN/HSA/10-05-01/H/20/46</t>
  </si>
  <si>
    <t>Ortho drill</t>
  </si>
  <si>
    <t>Pengimejan dan Diagnostik</t>
  </si>
  <si>
    <t>16-597</t>
  </si>
  <si>
    <t xml:space="preserve">KKM/JKN/HSA/10-05-01/H/15/2539 </t>
  </si>
  <si>
    <t>12-425</t>
  </si>
  <si>
    <t xml:space="preserve"> KKM/JKN/HSA/10-05-01/H/15/2538 </t>
  </si>
  <si>
    <t>Scanning Systems, Computed Tomography</t>
  </si>
  <si>
    <t>13-469</t>
  </si>
  <si>
    <t xml:space="preserve">KKM/JKN/HSA/10-05-01/H/15/2544 </t>
  </si>
  <si>
    <t>X-ray Film Processors, Automatic, Dental</t>
  </si>
  <si>
    <t>KKM/JKN/HSA/10-05-01/H/15/4875</t>
  </si>
  <si>
    <t>15-973</t>
  </si>
  <si>
    <t>KKM/JKN/HSA/10-05-01/H/15/3948</t>
  </si>
  <si>
    <t>Analyzers, Laboratory, Hematology, Cell Counting, Automated</t>
  </si>
  <si>
    <t>KKM/JKN/HSA/10-05-01/H/15/3990</t>
  </si>
  <si>
    <t>Cameras, Video, Dental, Intraoral/Extraoral</t>
  </si>
  <si>
    <t>KKM/JKN/HSA/10-05-01/H/15/3576</t>
  </si>
  <si>
    <t>KKM/JKN/HSA/10-05-01/H/15/3577</t>
  </si>
  <si>
    <t>KKM/JKN/HSA/10-05-01/H/15/3578</t>
  </si>
  <si>
    <t>16-918</t>
  </si>
  <si>
    <t>KKM/JKN/HSA/10-05-01/H/15/4336</t>
  </si>
  <si>
    <t>10-551</t>
  </si>
  <si>
    <t>KKM/JKN/HSA/10-05-01/H/16/69</t>
  </si>
  <si>
    <t>Slit Lamps</t>
  </si>
  <si>
    <t>KKM/JKN/HSA/10-05-01/H/16/116</t>
  </si>
  <si>
    <t>KKM/JKN/HSA/10-05-01/H/16/68</t>
  </si>
  <si>
    <t>Scanning Systems, Laser, Optical Tomography</t>
  </si>
  <si>
    <t>KKM/JKN/HSA/10-05-01/H/16/120</t>
  </si>
  <si>
    <t>12-222</t>
  </si>
  <si>
    <t>KKM/JKN/HSA/10-05-01/H/16/138</t>
  </si>
  <si>
    <t>18-087</t>
  </si>
  <si>
    <t>KKM/JKN/HSA/10-05-01/H/15/985</t>
  </si>
  <si>
    <t>KKM/JKN/HSA/10-05-01/H/15/987</t>
  </si>
  <si>
    <t>17-681</t>
  </si>
  <si>
    <t>KKM/JKN/HSA/10-05-01/H/15/4998</t>
  </si>
  <si>
    <t>Exercisers, Continuous Passive Motion</t>
  </si>
  <si>
    <t>KKM/JKN/HSA/10-05-01/H/15/1064</t>
  </si>
  <si>
    <t>KKM/JKN/HSA/10-05-01/H/15/1065</t>
  </si>
  <si>
    <t>Shah Alam</t>
  </si>
  <si>
    <t>KKM/JKN/HSA/10-05-01/H/16/89</t>
  </si>
  <si>
    <t>KKM/JKN/HSA/10-05-01/H/16/90</t>
  </si>
  <si>
    <t>OPTION 2 SURGIC XT NON OPTIC</t>
  </si>
  <si>
    <t>KKM/JKN/HSA/10-05-01/H/20/9</t>
  </si>
  <si>
    <t>KKM/JKN/HSA/10-05-01/H/20/54</t>
  </si>
  <si>
    <t>KKM/JKN/HSA/10-05-01/H/20/55</t>
  </si>
  <si>
    <t>KKM/JKN/HSA/10-05-01/H/20/57</t>
  </si>
  <si>
    <t>KKM/JKN/HSA/10-05-01/H/20/63</t>
  </si>
  <si>
    <t>MESIN HEMODIALYSIS</t>
  </si>
  <si>
    <t>KKM/JKN/HSA/10-05-01/H/20/144</t>
  </si>
  <si>
    <t>KKM/JKN/HSA/10-05-01/H/20/117</t>
  </si>
  <si>
    <t>KKM/JKN/HSA/10-05-01/H/20/118</t>
  </si>
  <si>
    <t xml:space="preserve">PORTABLE REVERSE OSMOSIS (RO)WATER SYSTEM </t>
  </si>
  <si>
    <t>KKM/JKN/HSA/10-05-01/H/20/199</t>
  </si>
  <si>
    <t>KKM/JKN/HSA/10-05-01/H/20/125</t>
  </si>
  <si>
    <t>KKM/JKN/HSA/10-05-01/H/20/126</t>
  </si>
  <si>
    <t>KKM/JKN/HSA/10-05-01/H/20/134</t>
  </si>
  <si>
    <t>KKM/JKN/HSA/10-05-01/H/20/135</t>
  </si>
  <si>
    <t>KKM/JKN/HSA/10-05-01/H/20/136</t>
  </si>
  <si>
    <t>KKM/JKN/HSA/10-05-01/H/20/137</t>
  </si>
  <si>
    <t>KKM/JKN/HSA/10-05-01/H/20/149</t>
  </si>
  <si>
    <t>INFANT INCUBATOR</t>
  </si>
  <si>
    <t>KKM/JKN/HSA/10-05-01/H/20/160</t>
  </si>
  <si>
    <t>KKM/JKN/HSA/10-05-01/H/20/161</t>
  </si>
  <si>
    <t>KKM/JKN/HSA/10-05-01/H/20/210</t>
  </si>
  <si>
    <t>KKM/JKN/HSA/10-05-01/H/20/211</t>
  </si>
  <si>
    <t>KKM/JKN/HSA/10-05-01/H/20/212</t>
  </si>
  <si>
    <t>KKM/JKN/HSA/10-05-01/H/20/213</t>
  </si>
  <si>
    <t>AEROSOL SUCTION / VACUUM MACHINE</t>
  </si>
  <si>
    <t>KKM/JKN/HSA/10-05-01/H/20/228</t>
  </si>
  <si>
    <t>KKM/JKN/HSA/10-05-01/H/20/230</t>
  </si>
  <si>
    <t>KKM/JKN/HSA/10-05-01/H/20/231</t>
  </si>
  <si>
    <t>KKM/JKN/HSA/10-05-01/H/20/232</t>
  </si>
  <si>
    <t>KKM/JKN/HSA/10-05-01/H/20/233</t>
  </si>
  <si>
    <t>PATIENT MONITORING EQUIP.(AUTOMATIC MULTIPARAMETER)</t>
  </si>
  <si>
    <t>KKM/JKN/HSA/10-05-01/H/20/236</t>
  </si>
  <si>
    <t>KKM/JKN/HSA/10-05-01/H/20/238</t>
  </si>
  <si>
    <t>KKM/JKN/HSA/10-05-01/H/20/243</t>
  </si>
  <si>
    <t>KKM/JKN/HSA/10-05-01/H/20/244</t>
  </si>
  <si>
    <t>KKM/JKN/HSA/10-05-01/H/20/245</t>
  </si>
  <si>
    <t>KKM/JKN/HSA/10-05-01/H/20/246</t>
  </si>
  <si>
    <t>KEELER VANTAGE PLUS WIRELESS BIO &amp; CHARGER</t>
  </si>
  <si>
    <t>KKM/JKN/HSA/10-05-01/H/20/247</t>
  </si>
  <si>
    <t>KKM/JKN/HSA/10-05-01/H/20/248</t>
  </si>
  <si>
    <t>KKM/JKN/HSA/10-05-01/H/20/249</t>
  </si>
  <si>
    <t>BIPAP MACHINE</t>
  </si>
  <si>
    <t>KKM/JKN/HSA/10-05-01/H/20/254</t>
  </si>
  <si>
    <t>SPOT VITAL SIGN (NIBP)</t>
  </si>
  <si>
    <t>KKM/JKN/HSA/10-05-01/H/20/256</t>
  </si>
  <si>
    <t xml:space="preserve">PORTABLE FETAL DOPPLER </t>
  </si>
  <si>
    <t>KKM/JKN/HSA/10-05-01/H/16/194</t>
  </si>
  <si>
    <t>KKM/JKN/HSA/10-05-01/H/16/195</t>
  </si>
  <si>
    <t>KKM/JKN/HSA/10-05-01/H/20/75</t>
  </si>
  <si>
    <t>KKM/JKN/HSA/10-05-01/H/20/76</t>
  </si>
  <si>
    <t>KKM/JKN/HSA/10-05-01/H/20/77</t>
  </si>
  <si>
    <t>KKM/JKN/HSA/10-05-01/H/20/78</t>
  </si>
  <si>
    <t>KKM/JKN/HSA/10-05-01/H/20/79</t>
  </si>
  <si>
    <t>KKM/JKN/HSA/10-05-01/H/20/80</t>
  </si>
  <si>
    <t>KKM/JKN/HSA/10-05-01/H/20/81</t>
  </si>
  <si>
    <t>KKM/JKN/HSA/10-05-01/H/20/82</t>
  </si>
  <si>
    <t>KKM/JKN/HSA/10-05-01/H/20/83</t>
  </si>
  <si>
    <t>KKM/JKN/HSA/10-05-01/H/20/119</t>
  </si>
  <si>
    <t>KKM/JKN/HSA/10-05-01/H/20/120</t>
  </si>
  <si>
    <t>KKM/JKN/HSA/10-05-01/H/20/178</t>
  </si>
  <si>
    <t>KKM/JKN/HSA/10-05-01/H/20/193</t>
  </si>
  <si>
    <t>KKM/JKN/HSA/10-05-01/H/20/195</t>
  </si>
  <si>
    <t>KKM/JKN/HSA/10-05-01/H/20/257</t>
  </si>
  <si>
    <t>KKM/JKN/HSA/10-05-01/H/20/258</t>
  </si>
  <si>
    <t>KKM/JKN/HSA/10-05-01/H/20/259</t>
  </si>
  <si>
    <t>KKM/JKN/HSA/10-05-01/H/20/129</t>
  </si>
  <si>
    <t>KKM/JKN/HSA/10-05-01/H/20/130</t>
  </si>
  <si>
    <t>KKM/JKN/HSA/10-05-01/H/20/131</t>
  </si>
  <si>
    <t>KKM/JKN/HSA/10-05-01/H/20/132</t>
  </si>
  <si>
    <t>KKM/JKN/HSA/10-05-01/H/20/235</t>
  </si>
  <si>
    <t>KKM/JKN/HSA/10-05-01/H/20/194</t>
  </si>
  <si>
    <t>KKM/JKN/HSA/10-05-01/H/20/250</t>
  </si>
  <si>
    <t>KKM/JKN/HSA/10-05-01/R/20/116</t>
  </si>
  <si>
    <t>KKM/JKN/HSA/10-05-01/R/20/117</t>
  </si>
  <si>
    <t>KKM/JKN/HSA/10-05-01/R/20/118</t>
  </si>
  <si>
    <t>KKM/JKN/HSA/10-05-01/R/20/119</t>
  </si>
  <si>
    <t>KKM/JKN/HSA/10-05-01/R/20/120</t>
  </si>
  <si>
    <t>KKM/JKN/HSA/10-05-01/H/20/145</t>
  </si>
  <si>
    <t>KKM/JKN/HSA/10-05-01/H/20/163</t>
  </si>
  <si>
    <t>JABATAN KECEMASAN &amp; TRAUMA</t>
  </si>
  <si>
    <t>INFANT WARMER</t>
  </si>
  <si>
    <t>KKM/JKN/HSA/10-05-01/H/20/171</t>
  </si>
  <si>
    <t>KKM/JKN/HSA/10-05-01/H/20/175</t>
  </si>
  <si>
    <t>KKM/JKN/HSA/10-05-01/H/20/176</t>
  </si>
  <si>
    <t>KKM/JKN/HSA/10-05-01/H/20/177</t>
  </si>
  <si>
    <t>KKM/JKN/HSA/10-05-01/H/20/179</t>
  </si>
  <si>
    <t>KKM/JKN/HSA/10-05-01/H/20/181</t>
  </si>
  <si>
    <t>KKM/JKN/HSA/10-05-01/H/20/182</t>
  </si>
  <si>
    <t>PATIENT MONITOR</t>
  </si>
  <si>
    <t>KKM/JKN/HSA/10-05-01/H/20/214</t>
  </si>
  <si>
    <t>KKM/JKN/HSA/10-05-01/H/20/215</t>
  </si>
  <si>
    <t>KKM/JKN/HSA/10-05-01/H/20/224</t>
  </si>
  <si>
    <t>KKM/JKN/HSA/10-05-01/H/21/282</t>
  </si>
  <si>
    <t>ECG MACHINE</t>
  </si>
  <si>
    <t>KKM/JKN/HSA/10-05-01/H/21/205</t>
  </si>
  <si>
    <t>KKM/JKN/HSA/10-05-01/H/21/264</t>
  </si>
  <si>
    <t>KKM/JKN/HSA/10-05-01/H/21/207</t>
  </si>
  <si>
    <t>KKM/JKN/HSA/10-05-01/H/21/208</t>
  </si>
  <si>
    <t>KKM/JKN/HSA/10-05-01/H/21/209</t>
  </si>
  <si>
    <t>PATIENT MONITORING EQUIPMENT</t>
  </si>
  <si>
    <t>KKM/JKN/HSA/10-05-01/H/21/180</t>
  </si>
  <si>
    <t>KKM/JKN/HSA/10-05-01/H/21/181</t>
  </si>
  <si>
    <t>KKM/JKN/HSA/10-05-01/H/21/182</t>
  </si>
  <si>
    <t>KKM/JKN/HSA/10-05-01/H/21/188</t>
  </si>
  <si>
    <t>KKM/JKN/HSA/10-05-01/H/21/189</t>
  </si>
  <si>
    <t>FETAL HEART MONITOR</t>
  </si>
  <si>
    <t>KKM/JKN/HSA/10-05-01/R/21/112</t>
  </si>
  <si>
    <t>KKM/JKN/HSA/10-05-01/R/21/106</t>
  </si>
  <si>
    <t>KKM/JKN/HSA/10-05-01/R/21/107</t>
  </si>
  <si>
    <t>KKM/JKN/HSA/10-05-01/H/21/6</t>
  </si>
  <si>
    <t>KKM/JKN/HSA/10-05-01/H/21/7</t>
  </si>
  <si>
    <t>KKM/JKN/HSA/10-05-01/H/21/8</t>
  </si>
  <si>
    <t>KKM/JKN/HSA/10-05-01/H/20/260</t>
  </si>
  <si>
    <t>KKM/JKN/HSA/10-05-01/H/20/261</t>
  </si>
  <si>
    <t>KKM/JKN/HSA/10-05-01/H/20/262</t>
  </si>
  <si>
    <t>KKM/JKN/HSA/10-05-01/H/21/338</t>
  </si>
  <si>
    <t>KKM/JKN/HSA/10-05-01/H/21/94</t>
  </si>
  <si>
    <t>KKM/JKN/HSA/10-05-01/H/21/95</t>
  </si>
  <si>
    <t>KKM/JKN/HSA/10-05-01/H/21/96</t>
  </si>
  <si>
    <t>KKM/JKN/HSA/10-05-01/H/21/97</t>
  </si>
  <si>
    <t>KKM/JKN/HSA/10-05-01/H/21/98</t>
  </si>
  <si>
    <t>KKM/JKN/HSA/10-05-01/H/21/99</t>
  </si>
  <si>
    <t>KKM/JKN/HSA/10-05-01/H/21/100</t>
  </si>
  <si>
    <t>KKM/JKN/HSA/10-05-01/H/21/101</t>
  </si>
  <si>
    <t>KKM/JKN/HSA/10-05-01/H/21/102</t>
  </si>
  <si>
    <t>KKM/JKN/HSA/10-05-01/H/21/103</t>
  </si>
  <si>
    <t>KKM/JKN/HSA/10-05-01/H/21/311</t>
  </si>
  <si>
    <t>KKM/JKN/HSA/10-05-01/H/21/312</t>
  </si>
  <si>
    <t>KKM/JKN/HSA/10-05-01/H/21/313</t>
  </si>
  <si>
    <t>KKM/JKN/HSA/10-05-01/H/21/314</t>
  </si>
  <si>
    <t>KKM/JKN/HSA/10-05-01/H/21/315</t>
  </si>
  <si>
    <t>KKM/JKN/HSA/10-05-01/H/21/316</t>
  </si>
  <si>
    <t>KKM/JKN/HSA/10-05-01/H/21/317</t>
  </si>
  <si>
    <t>KKM/JKN/HSA/10-05-01/H/21/318</t>
  </si>
  <si>
    <t>KKM/JKN/HSA/10-05-01/H/21/319</t>
  </si>
  <si>
    <t>KKM/JKN/HSA/10-05-01/H/21/320</t>
  </si>
  <si>
    <t>KKM/JKN/HSA/10-05-01/H/21/330</t>
  </si>
  <si>
    <t>KKM/JKN/HSA/10-05-01/H/21/331</t>
  </si>
  <si>
    <t>KKM/JKN/HSA/10-05-01/H/21/332</t>
  </si>
  <si>
    <t>KKM/JKN/HSA/10-05-01/H/21/333</t>
  </si>
  <si>
    <t>KKM/JKN/HSA/10-05-01/H/21/334</t>
  </si>
  <si>
    <t>KKM/JKN/HSA/10-05-01/R/21/93</t>
  </si>
  <si>
    <t>KKM/JKN/HSA/10-05-01/R/21/94</t>
  </si>
  <si>
    <t>KKM/JKN/HSA/10-05-01/R/21/95</t>
  </si>
  <si>
    <t>KKM/JKN/HSA/10-05-01/H/21/289</t>
  </si>
  <si>
    <t>JABATAN PATOLOGI</t>
  </si>
  <si>
    <t>CTG MACHINE</t>
  </si>
  <si>
    <t>&gt;5</t>
  </si>
  <si>
    <t>5-10</t>
  </si>
  <si>
    <t>&gt;10</t>
  </si>
  <si>
    <t>Equipments</t>
  </si>
  <si>
    <t>Group</t>
  </si>
  <si>
    <t>Operating Hours</t>
  </si>
  <si>
    <t>Operating Hours/WK (Days)</t>
  </si>
  <si>
    <t xml:space="preserve">Uptime Equipment      </t>
  </si>
  <si>
    <t xml:space="preserve">Uptime Equipment   </t>
  </si>
  <si>
    <t>&lt; 5YRS</t>
  </si>
  <si>
    <t>5-10 YRS</t>
  </si>
  <si>
    <t>&gt;10 YRS</t>
  </si>
  <si>
    <t>Therapeutics</t>
  </si>
  <si>
    <t>Alternating Pressure Mattress</t>
  </si>
  <si>
    <t>P</t>
  </si>
  <si>
    <t>Aneasthesia Units and Vaporizers</t>
  </si>
  <si>
    <t>C</t>
  </si>
  <si>
    <t>Aneasthesia Ventilators</t>
  </si>
  <si>
    <t>Aspirators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</si>
  <si>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</si>
  <si>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</si>
  <si>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</si>
  <si>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</si>
  <si>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</si>
  <si>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</si>
  <si>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</si>
  <si>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</si>
  <si>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</si>
  <si>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</si>
  <si>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</si>
  <si>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</si>
  <si>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</si>
  <si>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</si>
  <si>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</si>
  <si>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</si>
  <si>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</si>
  <si>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</si>
  <si>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</si>
  <si>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</si>
  <si>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</si>
  <si>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</si>
  <si>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</si>
  <si>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</si>
  <si>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</si>
  <si>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</si>
  <si>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</si>
  <si>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</si>
  <si>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</si>
  <si>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Cardiac Output Units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</si>
  <si>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</si>
  <si>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</si>
  <si>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</si>
  <si>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</si>
  <si>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</si>
  <si>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</si>
  <si>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</si>
  <si>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</si>
  <si>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</si>
  <si>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</si>
  <si>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</si>
  <si>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</si>
  <si>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</si>
  <si>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</si>
  <si>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</si>
  <si>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</si>
  <si>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r>
      <rPr>
        <sz val="8"/>
        <rFont val="Arial"/>
        <family val="2"/>
      </rPr>
      <t>Transcutaneous O</t>
    </r>
    <r>
      <rPr>
        <vertAlign val="superscript"/>
        <sz val="8"/>
        <rFont val="Arial"/>
        <family val="2"/>
      </rPr>
      <t>2</t>
    </r>
    <r>
      <rPr>
        <sz val="8"/>
        <rFont val="Arial"/>
        <family val="2"/>
      </rPr>
      <t xml:space="preserve"> and CO</t>
    </r>
    <r>
      <rPr>
        <vertAlign val="superscript"/>
        <sz val="8"/>
        <rFont val="Arial"/>
        <family val="2"/>
      </rPr>
      <t>2</t>
    </r>
    <r>
      <rPr>
        <sz val="8"/>
        <rFont val="Arial"/>
        <family val="2"/>
      </rPr>
      <t xml:space="preserve"> monitors</t>
    </r>
  </si>
  <si>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</si>
  <si>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</si>
  <si>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</si>
  <si>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</si>
  <si>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</si>
  <si>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</si>
  <si>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</si>
  <si>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</si>
  <si>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</si>
  <si>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</si>
  <si>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</si>
  <si>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</si>
  <si>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</si>
  <si>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</si>
  <si>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</si>
  <si>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</si>
  <si>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</si>
  <si>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</si>
  <si>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</si>
  <si>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</si>
  <si>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</si>
  <si>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</si>
  <si>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</si>
  <si>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</si>
  <si>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</si>
  <si>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</si>
  <si>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</si>
  <si>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</si>
  <si>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t>Date</t>
  </si>
  <si>
    <t>Day</t>
  </si>
  <si>
    <t>Holiday</t>
  </si>
  <si>
    <t>Wed</t>
  </si>
  <si>
    <t>New Year's Day</t>
  </si>
  <si>
    <t>Chinese New Year</t>
  </si>
  <si>
    <t>Thu</t>
  </si>
  <si>
    <t>Chinese New Year Holiday</t>
  </si>
  <si>
    <t>Tue</t>
  </si>
  <si>
    <t>Thaipusam</t>
  </si>
  <si>
    <t>Nuzul Al-Quran</t>
  </si>
  <si>
    <t>Mon</t>
  </si>
  <si>
    <t>Hari Raya Aidilfitri</t>
  </si>
  <si>
    <t>Hari Raya Aidilfitri Holiday</t>
  </si>
  <si>
    <t>Labour Day</t>
  </si>
  <si>
    <t>Wesak Day</t>
  </si>
  <si>
    <t>Agong's Birthday</t>
  </si>
  <si>
    <t>Sat</t>
  </si>
  <si>
    <t>Hari Raya Haji</t>
  </si>
  <si>
    <t>Fri</t>
  </si>
  <si>
    <t>Awal Muharram</t>
  </si>
  <si>
    <t>Sun</t>
  </si>
  <si>
    <t>Merdeka Day</t>
  </si>
  <si>
    <t>Prophet Muhammad's Birthday</t>
  </si>
  <si>
    <t>Malaysia Day</t>
  </si>
  <si>
    <t>Deepavali</t>
  </si>
  <si>
    <t>Sultan of Selangor's Birthday</t>
  </si>
  <si>
    <t>Christmas Day</t>
  </si>
  <si>
    <t>Deepavali Holiday</t>
  </si>
  <si>
    <t>New Year</t>
  </si>
  <si>
    <t>Awal Muharram Holiday</t>
  </si>
  <si>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</si>
  <si>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</si>
  <si>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</si>
  <si>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</si>
  <si>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</si>
  <si>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</si>
  <si>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</si>
  <si>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</si>
  <si>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</si>
  <si>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</si>
  <si>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</si>
  <si>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</si>
  <si>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</si>
  <si>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</si>
  <si>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</si>
  <si>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</si>
  <si>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</si>
  <si>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</si>
  <si>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</si>
  <si>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</si>
  <si>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</si>
  <si>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</si>
  <si>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</si>
  <si>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</si>
  <si>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</si>
  <si>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rPr>
        <sz val="11"/>
        <color rgb="FF000000"/>
        <rFont val="Tahoma"/>
        <family val="2"/>
      </rPr>
      <t>1</t>
    </r>
    <r>
      <rPr>
        <vertAlign val="superscript"/>
        <sz val="11"/>
        <color rgb="FF000000"/>
        <rFont val="Tahoma"/>
        <family val="2"/>
      </rPr>
      <t>st</t>
    </r>
    <r>
      <rPr>
        <sz val="11"/>
        <color rgb="FF000000"/>
        <rFont val="Tahoma"/>
        <family val="2"/>
      </rPr>
      <t xml:space="preserve"> level of Uptime Target (TRKPI)</t>
    </r>
  </si>
  <si>
    <r>
      <rPr>
        <sz val="11"/>
        <rFont val="Tahoma"/>
        <family val="2"/>
      </rPr>
      <t>2</t>
    </r>
    <r>
      <rPr>
        <vertAlign val="superscript"/>
        <sz val="11"/>
        <color rgb="FF000000"/>
        <rFont val="Tahoma"/>
        <family val="2"/>
      </rPr>
      <t>nd</t>
    </r>
    <r>
      <rPr>
        <sz val="11"/>
        <color rgb="FF000000"/>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</si>
  <si>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</si>
  <si>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</si>
  <si>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</si>
  <si>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</si>
  <si>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r>
      <rPr>
        <sz val="11"/>
        <color rgb="FF000000"/>
        <rFont val="Tahoma"/>
        <family val="2"/>
      </rPr>
      <t>1</t>
    </r>
    <r>
      <rPr>
        <vertAlign val="superscript"/>
        <sz val="11"/>
        <color rgb="FF000000"/>
        <rFont val="Tahoma"/>
        <family val="2"/>
      </rPr>
      <t>st</t>
    </r>
    <r>
      <rPr>
        <sz val="11"/>
        <color rgb="FF000000"/>
        <rFont val="Tahoma"/>
        <family val="2"/>
      </rPr>
      <t xml:space="preserve"> level of Uptime Target (TRKPI)</t>
    </r>
  </si>
  <si>
    <r>
      <rPr>
        <sz val="11"/>
        <rFont val="Tahoma"/>
        <family val="2"/>
      </rPr>
      <t>2</t>
    </r>
    <r>
      <rPr>
        <vertAlign val="superscript"/>
        <sz val="11"/>
        <color rgb="FF000000"/>
        <rFont val="Tahoma"/>
        <family val="2"/>
      </rPr>
      <t>nd</t>
    </r>
    <r>
      <rPr>
        <sz val="11"/>
        <color rgb="FF000000"/>
        <rFont val="Tahoma"/>
        <family val="2"/>
      </rPr>
      <t xml:space="preserve"> level of Uptime Target (80%)</t>
    </r>
  </si>
  <si>
    <t>MINISTRY OF HEALTH</t>
  </si>
  <si>
    <r>
      <rPr>
        <b/>
        <sz val="14"/>
        <rFont val="Arial"/>
        <family val="2"/>
      </rPr>
      <t>Deduction Mapping Report</t>
    </r>
    <r>
      <rPr>
        <sz val="8"/>
        <rFont val="Calibri"/>
        <family val="2"/>
      </rPr>
      <t xml:space="preserve">
</t>
    </r>
    <r>
      <rPr>
        <sz val="12"/>
        <rFont val="Calibri"/>
        <family val="2"/>
      </rPr>
      <t>Biomedical Engineering Maintenance Services (BEMS)</t>
    </r>
  </si>
  <si>
    <t>HOSPITAL NAME :</t>
  </si>
  <si>
    <t>HOSPITAL SHAH ALAM</t>
  </si>
  <si>
    <t xml:space="preserve">State: </t>
  </si>
  <si>
    <t>SELANGOR</t>
  </si>
  <si>
    <t>MONTH/YEAR :</t>
  </si>
  <si>
    <t xml:space="preserve">Company: </t>
  </si>
  <si>
    <t>Ambang Wira Sdn Bhd</t>
  </si>
  <si>
    <t>Monthly Service Fee (RM):</t>
  </si>
  <si>
    <t>Monthly Service Fee for BEMS (RM) @ 97.5%:</t>
  </si>
  <si>
    <t>Monthly Service Fee for FMS (RM) @ 2.5%:</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</si>
  <si>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</si>
  <si>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</si>
  <si>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</si>
  <si>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</si>
  <si>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</si>
  <si>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</si>
  <si>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</si>
  <si>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</si>
  <si>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</si>
  <si>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</si>
  <si>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</si>
  <si>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</si>
  <si>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</si>
  <si>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</si>
  <si>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NOR JALILAH BINTI JUMAHAT</t>
  </si>
  <si>
    <t>MOHD SALLEH B. MAT SAHAT</t>
  </si>
  <si>
    <t>Head of BEMS</t>
  </si>
  <si>
    <t>Facility Manager</t>
  </si>
  <si>
    <t>Ambang Wira Sdn Bhd- Hospital Shah Alam</t>
  </si>
  <si>
    <t xml:space="preserve">Date: </t>
  </si>
  <si>
    <t>Date:</t>
  </si>
  <si>
    <t>INDICATOR B.1  RESPONSE TIME &amp; B.2 REPAIR TIME</t>
  </si>
  <si>
    <t>FIRST DATE OF THE MONTH :</t>
  </si>
  <si>
    <t>STATE :</t>
  </si>
  <si>
    <t>LAST DATE OF THE MONTH :</t>
  </si>
  <si>
    <t>COMPANY :</t>
  </si>
  <si>
    <t>AMBANG WIRA SDN BHD</t>
  </si>
  <si>
    <t>BEMS MONTHLY FEE (RM)
@ 97.5%   :</t>
  </si>
  <si>
    <t>FMS MONTHLY FEE (RM)
@ 2.5%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</si>
  <si>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</si>
  <si>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</si>
  <si>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</si>
  <si>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</si>
  <si>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</si>
  <si>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</si>
  <si>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 xml:space="preserve">No
</t>
  </si>
  <si>
    <t>Asset No</t>
  </si>
  <si>
    <t>Asset Purchase Price (RM)</t>
  </si>
  <si>
    <t>Work Order No.</t>
  </si>
  <si>
    <t>User Location</t>
  </si>
  <si>
    <t>Work Order/ Complaint Details</t>
  </si>
  <si>
    <t>Response Category
(Emergency/ Normal)</t>
  </si>
  <si>
    <t>Total Response Time
(minutes)</t>
  </si>
  <si>
    <t>Work Request  Date</t>
  </si>
  <si>
    <t>Work Completion Date</t>
  </si>
  <si>
    <t>Deduction Ringgit Equivalent
(RM)</t>
  </si>
  <si>
    <t>Indicator B.1</t>
  </si>
  <si>
    <t>Indicator B.2</t>
  </si>
  <si>
    <t>Validate Status
(Y/N)</t>
  </si>
  <si>
    <t>Deduction Value (RM)</t>
  </si>
  <si>
    <t>Remarks/ Exemption</t>
  </si>
  <si>
    <t>Total Repair Time (day)</t>
  </si>
  <si>
    <t>Last date of 7 working days
(dd/mm/yy)</t>
  </si>
  <si>
    <t>Demerit Point</t>
  </si>
  <si>
    <t>Normal</t>
  </si>
  <si>
    <t>N</t>
  </si>
  <si>
    <t>BD</t>
  </si>
  <si>
    <t>KKM/JKN/HSA/10-05-01/H/22/88</t>
  </si>
  <si>
    <t>CM</t>
  </si>
  <si>
    <t>WAD 8A</t>
  </si>
  <si>
    <t>Previous Month (Workorder Closed)</t>
  </si>
  <si>
    <t>KKM/JKN/HSA/10-05-01/H/21/105</t>
  </si>
  <si>
    <t>INFANT VENTILATOR</t>
  </si>
  <si>
    <t>HSAS10016</t>
  </si>
  <si>
    <t>Y</t>
  </si>
  <si>
    <t>KKM/JKN/HSA/10-05-01/H/21/104</t>
  </si>
  <si>
    <t>KKM/JKN/HSA/10-05-01/H/15/2544</t>
  </si>
  <si>
    <t>KKM/JKN/HSA/10-05-01/H/21/106</t>
  </si>
  <si>
    <t>TOTAL DEDUCTION FOR IND. B.1:</t>
  </si>
  <si>
    <t>TOTAL DEDUCTION FOR IND. B.2:</t>
  </si>
  <si>
    <r>
      <rPr>
        <b/>
        <sz val="14"/>
        <rFont val="Arial"/>
        <family val="2"/>
      </rPr>
      <t xml:space="preserve">Deduction Mapping Report
</t>
    </r>
    <r>
      <rPr>
        <sz val="14"/>
        <rFont val="Arial"/>
        <family val="2"/>
      </rPr>
      <t>Biomedical Engineering Maintenance Services (BEMS)</t>
    </r>
  </si>
  <si>
    <t>INDICATOR B.3 SCHEDULED MAINTENANCE</t>
  </si>
  <si>
    <t xml:space="preserve"> </t>
  </si>
  <si>
    <t>2) Deduction Value for Indicator B.3 is Deduction Ringgit Equivalent (per event)</t>
  </si>
  <si>
    <t>3) Rescheduled Date is the final rescheduled date if there are multiple rescheduling</t>
  </si>
  <si>
    <t>4) Display only asset affected by deduction</t>
  </si>
  <si>
    <t>Scheduled Start Date</t>
  </si>
  <si>
    <t>Scheduled End Date</t>
  </si>
  <si>
    <t>Rescheduled Date</t>
  </si>
  <si>
    <t>Maintenance Date</t>
  </si>
  <si>
    <t>Indicator B.3</t>
  </si>
  <si>
    <t>Current Month (Work order closed)</t>
  </si>
  <si>
    <t>KKM/JKN/HSA/10-05-01/H/21/339</t>
  </si>
  <si>
    <t>VENTILATOR (NEONATAL)</t>
  </si>
  <si>
    <t>Jabatan Kecemasan &amp; Trauma (ED)</t>
  </si>
  <si>
    <t>KKM/JKN/HSA/10-05-01/H/15/1151</t>
  </si>
  <si>
    <t>WAD 8B (Wad Obstetrik &amp; Ginekologi 8B)</t>
  </si>
  <si>
    <t>TOTAL DEDUCTION FOR IND. B.3:</t>
  </si>
  <si>
    <r>
      <rPr>
        <b/>
        <sz val="16"/>
        <rFont val="Calibri"/>
        <family val="2"/>
      </rPr>
      <t>Deduction Mapping Report</t>
    </r>
    <r>
      <rPr>
        <sz val="16"/>
        <rFont val="Calibri"/>
        <family val="2"/>
      </rPr>
      <t xml:space="preserve">
Biomedical Engineering Maintenance Services (BEMS)</t>
    </r>
  </si>
  <si>
    <t>INDICATOR B.4 UPTIME GUARANTEE</t>
  </si>
  <si>
    <t xml:space="preserve">SELANGOR </t>
  </si>
  <si>
    <t>BEMS MONTHLY FEE (RM)@ 97.5%   :</t>
  </si>
  <si>
    <t>2) Deduction Value for 1st cut off is Deduction Ringgit Equivalent (per event)</t>
  </si>
  <si>
    <t>3) Deduction Value for 2nd cut off is Deduction Ringgit Equivalent (per event) multiply by 2</t>
  </si>
  <si>
    <t>Type Description</t>
  </si>
  <si>
    <t>Asset Purchase cost</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</si>
  <si>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</si>
  <si>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</si>
  <si>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</si>
  <si>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</si>
  <si>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</si>
  <si>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</si>
  <si>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</si>
  <si>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</si>
  <si>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</si>
  <si>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</si>
  <si>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</si>
  <si>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</si>
  <si>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</si>
  <si>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</si>
  <si>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</si>
  <si>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</si>
  <si>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</si>
  <si>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</si>
  <si>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</si>
  <si>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</si>
  <si>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</si>
  <si>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</si>
  <si>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KKM/JKN/HSA/10-05-01/H/21/287</t>
  </si>
  <si>
    <t>KKM/JKN/HSA/10-05-01/H/21/455</t>
  </si>
  <si>
    <t>KKM/JKN/HSA/10-05-01/H/20/116</t>
  </si>
  <si>
    <t>KKM/JKN/HSA/10-05-01/H/21/251</t>
  </si>
  <si>
    <t>KKM/JKN/HSA/10-05-01/H/22/40</t>
  </si>
  <si>
    <t>TOTAL DEDUCTION FOR IND. B.4:</t>
  </si>
  <si>
    <r>
      <rPr>
        <b/>
        <sz val="14"/>
        <rFont val="Arial"/>
        <family val="2"/>
      </rPr>
      <t>Deduction Mapping Report</t>
    </r>
    <r>
      <rPr>
        <b/>
        <sz val="8"/>
        <rFont val="Arial"/>
        <family val="2"/>
      </rPr>
      <t xml:space="preserve">
</t>
    </r>
    <r>
      <rPr>
        <sz val="12"/>
        <rFont val="Arial"/>
        <family val="2"/>
      </rPr>
      <t>Biomedical Engineering Maintenance Services (BEMS)</t>
    </r>
  </si>
  <si>
    <t>INDICATOR B.5 TESTING &amp; COMMISSIONING AND WARRANTY MANAGEMENT</t>
  </si>
  <si>
    <t>BEMS MONTHLY FEE (RM)
@ 97.5 %  :</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</si>
  <si>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</si>
  <si>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</si>
  <si>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</si>
  <si>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</si>
  <si>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</si>
  <si>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</si>
  <si>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</si>
  <si>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</si>
  <si>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</si>
  <si>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</si>
  <si>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</si>
  <si>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</si>
  <si>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</si>
  <si>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Work Order Closed</t>
  </si>
  <si>
    <t>Work Order Open</t>
  </si>
  <si>
    <t>TOTAL DEDUCTION FOR IND. B.5:</t>
  </si>
  <si>
    <t>Contract</t>
  </si>
  <si>
    <t>wo</t>
  </si>
  <si>
    <t>Hours</t>
  </si>
  <si>
    <t>Total Hours</t>
  </si>
  <si>
    <t>Total Hours / Year</t>
  </si>
  <si>
    <t>Balance Uptime</t>
  </si>
  <si>
    <t>Uptime Percentage</t>
  </si>
  <si>
    <t>Uptime TRKPI</t>
  </si>
  <si>
    <t>Uptime Deduction Yes / No</t>
  </si>
  <si>
    <t>IKN400966</t>
  </si>
  <si>
    <t>LINEAR ACCELERATOR</t>
  </si>
  <si>
    <t>RT159</t>
  </si>
  <si>
    <t>Lazer Double</t>
  </si>
  <si>
    <t>Response On_Time</t>
  </si>
  <si>
    <t>Strands</t>
  </si>
  <si>
    <t>IKN400292</t>
  </si>
  <si>
    <t>Infusion Pumps, General-Purpose</t>
  </si>
  <si>
    <t>Infucient Pump-Mesin Problem</t>
  </si>
  <si>
    <t>Yes</t>
  </si>
  <si>
    <t>IKN400978</t>
  </si>
  <si>
    <t>RT</t>
  </si>
  <si>
    <t>sendingg image from vsim to mosaiq</t>
  </si>
  <si>
    <t>IKN400973</t>
  </si>
  <si>
    <t>IKN400151</t>
  </si>
  <si>
    <t>Mattress Systems, Alternating-Pressure</t>
  </si>
  <si>
    <t>WAD 7A</t>
  </si>
  <si>
    <t>Motor ripple mattress rosak</t>
  </si>
  <si>
    <t>IKN400967</t>
  </si>
  <si>
    <t>Linear Accelerators</t>
  </si>
  <si>
    <t>Table verticle movement problem</t>
  </si>
  <si>
    <t>NB 355296</t>
  </si>
  <si>
    <t>WAD 7B</t>
  </si>
  <si>
    <t>Ripple Mattress tidak boleh pump</t>
  </si>
  <si>
    <t>IKN400350</t>
  </si>
  <si>
    <t>Sphygmomanometers, Electronic, Automatic</t>
  </si>
  <si>
    <t xml:space="preserve">BP Set warna putih rosak. </t>
  </si>
  <si>
    <t>IKN400775</t>
  </si>
  <si>
    <t>Scanning Systems, Ultrasonic, General-Purpose</t>
  </si>
  <si>
    <t>ID</t>
  </si>
  <si>
    <t>Ultrasound tidak keluar gambar</t>
  </si>
  <si>
    <t>IKN400567</t>
  </si>
  <si>
    <t>Cameras, Gamma</t>
  </si>
  <si>
    <t>NM</t>
  </si>
  <si>
    <t>MEGP detector one collision</t>
  </si>
  <si>
    <t>IKN400786</t>
  </si>
  <si>
    <t>Radiographic/Fluoroscopic Systems, Angiographic/Intervention</t>
  </si>
  <si>
    <t>Request for user training at Radiology Department (Angio) on 23/10/2019.</t>
  </si>
  <si>
    <t>HSASWOBE26002869</t>
  </si>
  <si>
    <t>HSASWOBE26002896</t>
  </si>
  <si>
    <t>HSASWOBE26002904</t>
  </si>
  <si>
    <t>HSASWOBE26002913</t>
  </si>
  <si>
    <t>HSASWOBE26002920</t>
  </si>
  <si>
    <t>HSASWOBE26002924</t>
  </si>
  <si>
    <t>HSASWOBE26002927</t>
  </si>
  <si>
    <t>HSASWOBE26002938</t>
  </si>
  <si>
    <t>HSASWOBE26002950</t>
  </si>
  <si>
    <t>HSASWOBE26002951</t>
  </si>
  <si>
    <t>HSASWOBE26002969</t>
  </si>
  <si>
    <t>HSASWOBE26002978</t>
  </si>
  <si>
    <t>HSASWOBE26002997</t>
  </si>
  <si>
    <t>HSASWOBE26003003</t>
  </si>
  <si>
    <t>HSASWOBE26003006</t>
  </si>
  <si>
    <t>HSASWOBE26003014</t>
  </si>
  <si>
    <t>HSASWOBE26003015</t>
  </si>
  <si>
    <t>HSASWOBE26003018</t>
  </si>
  <si>
    <t>HSASWOBE26003020</t>
  </si>
  <si>
    <t>HSASWOBE26003021</t>
  </si>
  <si>
    <t>HSASWOBE26003022</t>
  </si>
  <si>
    <t>HSASWOBE26003023</t>
  </si>
  <si>
    <t>HSASWOBE26003024</t>
  </si>
  <si>
    <t>HSASWOBE26003025</t>
  </si>
  <si>
    <t>HSASWOBE26003027</t>
  </si>
  <si>
    <t>HSASWOBE26003028</t>
  </si>
  <si>
    <t>HSASWOBE26003037</t>
  </si>
  <si>
    <t>HSASWOBE26003038</t>
  </si>
  <si>
    <t>HSASWOBE26003050</t>
  </si>
  <si>
    <t>HSASWOBE26003064</t>
  </si>
  <si>
    <t>HSASWOBE26003074</t>
  </si>
  <si>
    <t>HSASWOBE26003076</t>
  </si>
  <si>
    <t>HSASWOBE26003084</t>
  </si>
  <si>
    <t>HSASWOBE26003087</t>
  </si>
  <si>
    <t>HSASWOBE26003089</t>
  </si>
  <si>
    <t>HSASWOBE26003097</t>
  </si>
  <si>
    <t>HSASWOBE26003102</t>
  </si>
  <si>
    <t>HSASWOBE26003106</t>
  </si>
  <si>
    <t>HSASWOBE26003114</t>
  </si>
  <si>
    <t>HSASWOBE26003116</t>
  </si>
  <si>
    <t>HSASWOBE26003119</t>
  </si>
  <si>
    <t>HSASWOBE26003121</t>
  </si>
  <si>
    <t>HSASWOBE26003126</t>
  </si>
  <si>
    <t>HSASWOBE26003133</t>
  </si>
  <si>
    <t>HSASWOBE26003134</t>
  </si>
  <si>
    <t>HSASWOBE26003139</t>
  </si>
  <si>
    <t>HSASWOBE26003140</t>
  </si>
  <si>
    <t>HSASWOBE26003148</t>
  </si>
  <si>
    <t>HSASWOBE26003157</t>
  </si>
  <si>
    <t>HSASWOBE26003164</t>
  </si>
  <si>
    <t>HSASWOBE26003165</t>
  </si>
  <si>
    <t>HSASWOBE26003167</t>
  </si>
  <si>
    <t>HSASWOBE26003171</t>
  </si>
  <si>
    <t>HSASWOBE26003176</t>
  </si>
  <si>
    <t>KKM/JKN/HSA/10-05-01/H/21/84</t>
  </si>
  <si>
    <t>KKM/JKN/HSA/10-05-01/H/15/1012</t>
  </si>
  <si>
    <t>KKM/JKN/HSA/10-05-01/R/22/13</t>
  </si>
  <si>
    <t>KKM/JKN/HSA/10-05-01/R/22/14</t>
  </si>
  <si>
    <t>KKM/JKN/HSA/10-05-01/R/22/15</t>
  </si>
  <si>
    <t>KKM/JKN/HSA/10-05-01/H/21/347</t>
  </si>
  <si>
    <t>KKM/JKN/HSA/10-05-01/H/21/345</t>
  </si>
  <si>
    <t>KKM/JKN/HSA/10-05-01/H/21/343</t>
  </si>
  <si>
    <t>KKM/JKN/HSA/10-05-01/H/21/328</t>
  </si>
  <si>
    <t>KKM/JKN/HSA/10-05-01/H/15/4996</t>
  </si>
  <si>
    <t>KKM/JKN/HSA/10-05-01/H/21/107</t>
  </si>
  <si>
    <t>KKM/JKN/HSA/10-05-01/H/21/108</t>
  </si>
  <si>
    <t>KKM/JKN/HSA/10-05-01/H/21/109</t>
  </si>
  <si>
    <t>KKM/JKN/HSA/10-05-01/H/22/19</t>
  </si>
  <si>
    <t>KKM/JKN/HSA/10-05-01/H/22/20</t>
  </si>
  <si>
    <t>KKM/JKN/HSA/10-05-01/H/22/21</t>
  </si>
  <si>
    <t>KKM/JKN/HSA/10-05-01/H/20/216</t>
  </si>
  <si>
    <t>KKM/JKN/HSA/10-05-01/H/22/86</t>
  </si>
  <si>
    <t>KKM/JKN/HSA/10-05-01/H/22/136</t>
  </si>
  <si>
    <t>KKM/JKN/HSA/10-05-01/H/21/306</t>
  </si>
  <si>
    <t>KKM/JKN/HSA/10-05-01/H/21/140</t>
  </si>
  <si>
    <t>KKM/JKN/HSA/10-05-01/H/21/141</t>
  </si>
  <si>
    <t>KKM/JKN/HSA/10-05-01/H/21/142</t>
  </si>
  <si>
    <t>KKM/JKN/HSA/10-05-01/H/21/336</t>
  </si>
  <si>
    <t>KKM/JKN/HSA/10-05-01/H/21/138</t>
  </si>
  <si>
    <t>KKM/JKN/HSA/10-05-01/H/22/328</t>
  </si>
  <si>
    <t>KKM/JKN/HSA/10-05-01/R/22/17</t>
  </si>
  <si>
    <t>KKM/JKN/HSA/10-05-01/R/22/19</t>
  </si>
  <si>
    <t>KKM/JKN/HSA/10-05-01/R/22/16</t>
  </si>
  <si>
    <t>KKM/JKN/HSA/10-05-01/R/22/18</t>
  </si>
  <si>
    <t>KKM/JKN/HSA/10-05-01/H/21/90</t>
  </si>
  <si>
    <t>KKM/JKN/HSA/10-05-01/H/22/112</t>
  </si>
  <si>
    <t>KKM/JKN/HSA/10-05-01/R/15/7575</t>
  </si>
  <si>
    <t>KKM/JKN/HSA/10-05-01/H/21/304</t>
  </si>
  <si>
    <t>KKM/JKN/HSA/10-05-01/H/20/121</t>
  </si>
  <si>
    <t>KKM/JKN/HSA/10-05-01/H/20/122</t>
  </si>
  <si>
    <t>KKM/JKN/HSA/10-05-01/H/20/220</t>
  </si>
  <si>
    <t>KKM/JKN/HSA/10-05-01/H/20/123</t>
  </si>
  <si>
    <t>KKM/JKN/HSA/10-05-01/H/20/124</t>
  </si>
  <si>
    <t>KKM/JKN/HSA/10-05-01/H/21/247</t>
  </si>
  <si>
    <t>KKM/JKN/HSA/10-05-01/H/21/248</t>
  </si>
  <si>
    <t>KKM/JKN/HSA/10-05-01/H/22/96</t>
  </si>
  <si>
    <t>KKM/JKN/HSA/10-05-01/H/21/249</t>
  </si>
  <si>
    <t>KKM/JKN/HSA/10-05-01/H/21/250</t>
  </si>
  <si>
    <t>KKM/JKN/HSA/10-05-01/H/21/286</t>
  </si>
  <si>
    <t>KKM/JKN/HSA/10-05-01/H/21/303</t>
  </si>
  <si>
    <t>KKM/JKN/HSA/10-05-01/H/21/288</t>
  </si>
  <si>
    <t>KKM/JKN/HSA/10-05-01/H/21/454</t>
  </si>
  <si>
    <t>KKM/JKN/HSA/10-05-01/H/20/234</t>
  </si>
  <si>
    <t>KKM/JKN/HSA/10-05-01/H/20/89</t>
  </si>
  <si>
    <t>KKM/JKN/HSA/10-05-01/H/21/252</t>
  </si>
  <si>
    <t>KKM/JKN/HSA/10-05-01/H/21/253</t>
  </si>
  <si>
    <t>KKM/JKN/HSA/10-05-01/H/22/39</t>
  </si>
  <si>
    <t>KKM/JKN/HSA/10-05-01/H/21/254</t>
  </si>
  <si>
    <t>KKM/JKN/HSA/10-05-01/H/21/255</t>
  </si>
  <si>
    <t>KKM/JKN/HSA/10-05-01/H/21/256</t>
  </si>
  <si>
    <t>KKM/JKN/HSA/10-05-01/R/20/254</t>
  </si>
  <si>
    <t>KKM/JKN/HSA/10-05-01/R/20/255</t>
  </si>
  <si>
    <t>KKM/JKN/HSA/10-05-01/R/22/28</t>
  </si>
  <si>
    <t>KKM/JKN/HSA/10-05-01/R/15/16387</t>
  </si>
  <si>
    <t>KKM/JKN/HSA/10-05-01/H/20/229</t>
  </si>
  <si>
    <t>HSASWIBE26006125</t>
  </si>
  <si>
    <t>HSASWIBE26006124</t>
  </si>
  <si>
    <t>HSASWIBE26006123</t>
  </si>
  <si>
    <t>HSASWIBE26006119</t>
  </si>
  <si>
    <t>HSASWIBE26005554</t>
  </si>
  <si>
    <t>HSASWIBE26004641</t>
  </si>
  <si>
    <t>HSASWIBE26004038</t>
  </si>
  <si>
    <t>HSASWIBE26004037</t>
  </si>
  <si>
    <t>HSASWIBE26004034</t>
  </si>
  <si>
    <t>HSASWIBE26004022</t>
  </si>
  <si>
    <t>HSASWIBE26003922</t>
  </si>
  <si>
    <t>HSASWIBE26003906</t>
  </si>
  <si>
    <t>HSASWIBE26003829</t>
  </si>
  <si>
    <t>HSASWIBE26003785</t>
  </si>
  <si>
    <t>HSASWIBE26003767</t>
  </si>
  <si>
    <t>HSASWIBE26003759</t>
  </si>
  <si>
    <t>HSASWIBE26003758</t>
  </si>
  <si>
    <t>HSASWIBE26003743</t>
  </si>
  <si>
    <t>HSASWIBE26003710</t>
  </si>
  <si>
    <t>HSASWIBE26003621</t>
  </si>
  <si>
    <t>HSASWIBE26003468</t>
  </si>
  <si>
    <t>HSASWIBE26002321</t>
  </si>
  <si>
    <t>HSASWIBE26002320</t>
  </si>
  <si>
    <t>HSASWIBE26002286</t>
  </si>
  <si>
    <t>HSASWIBE26001426</t>
  </si>
  <si>
    <t>HSASWIBE26001273</t>
  </si>
  <si>
    <t>HSASWIBE26000165</t>
  </si>
  <si>
    <t>HEADPHONE AUDIOMETER TIDAK BERFUNGSI DI BILIK 11 KLINIK ORL</t>
  </si>
  <si>
    <t>MESIN MAMMOGRAPHY BERBUNYI DI BILIK 5 MAMMOGRAPHY XRAY</t>
  </si>
  <si>
    <t>PINTU MESIN INFUSION PUMP TIDAK BOLEH TUTUP RAPAT DI KAUNTER NURSE WAD 12 (H/20/129)</t>
  </si>
  <si>
    <t>VENTILATOR TIDAK BERFUNGSI DI WAD ICU (H/20/268)</t>
  </si>
  <si>
    <t>LAMPU FOTOLIGHT TIDAK MENYALA DI NICU (H/21/291)</t>
  </si>
  <si>
    <t>LAMPU FOTOLIGHT TIDAK MENYALA DI NICU (H/22/84)</t>
  </si>
  <si>
    <t>PRIMUS PDQ HBA1C (H/15/4018)- PINTU TIDAK BOLEH TUTUP-DOOR ERROR DI LAB BIOCHEM PATOLOGI</t>
  </si>
  <si>
    <t>VENTILATOR NEONATAL (H/21/339) :CABLE FLOW SENSOR ROSAK DI NICU</t>
  </si>
  <si>
    <t>SYRINGE INFUSION PUMP FAULT SENSOR DI NICU (H/15/790)</t>
  </si>
  <si>
    <t>No asset:HSAS10016
Description: surgical drill, small bone
Sn: 34144
Problem: hose drill adapter leaking
Department: GOT</t>
  </si>
  <si>
    <t>MESIN VENTILATOR H/15/312 DI CCU</t>
  </si>
  <si>
    <t>LAPAROSCOPE LAMPU MALAP  DI GOT
H/15/98513</t>
  </si>
  <si>
    <t>SYRINGE PUMP TIDAK BERFUNGSI DI WAD 8A (H/15/2250)</t>
  </si>
  <si>
    <t>CABLE WAYAR PULSE OXIMETER DI NICU</t>
  </si>
  <si>
    <t>SPO2 TIDAK BOLEH ON DI LABOUR ROOM (H/16/85)</t>
  </si>
  <si>
    <t>VENTILATOR DRAGGER FAILURE DI REDZONE ED (H/15/315)</t>
  </si>
  <si>
    <t>PHOTOLIGHT TIDAK MENYALA DI BILIK STOR PERALATAN WAD NICU (H/16/135)</t>
  </si>
  <si>
    <t>PORTABLE FETAL DOPPLER(R/23/8): MESIN SCAN SETTING PROBLEM DI BILIK DOKTOR PAC 3</t>
  </si>
  <si>
    <t>SYRINGE INFUSION PUMP (H/15/249): BATTERY TIDAK MASUK CHARGE DI WAD 8A</t>
  </si>
  <si>
    <t>(H/22/142):MESIN BP TIDAK BERFUNGSI DENGAN BAIK DI KATIL 26 WAD LEVEL 6</t>
  </si>
  <si>
    <t>MESIN HEMODIALISIS (H/15/1639): PUMP ON/OFF, CONDUCTIVITY DAN TIDAK BOLEH DISINFECT DI UNIT HEMO</t>
  </si>
  <si>
    <t>DRAGGER KELUAR ERROR DI LABOUR ROOM (H/15/1583)</t>
  </si>
  <si>
    <t>(R/15/16747):MESIN BP TIDAK BERFUNGSI DENGAN BAIK DI BILIK 19 KLINIK PEDIATRIK</t>
  </si>
  <si>
    <t>MESIN CTG TIDAK BERFUNGSI DENGAN BAIK (WAYAR HAMPIR TERCABUT) DI RUANG PENILAIAN 2 PAC 4</t>
  </si>
  <si>
    <t>DRAGGER TIDAK BERFUNGSI DENGAN BAIK (KELUAR ERROR) DI BILIK PROCEDURE NICU  (AWC00526)</t>
  </si>
  <si>
    <t>VENTILATOR TIDAK BERFUNGSI DENGAN BAIK (KELUAR NO GAS SUPPLY) DI ICU (H/21/84)</t>
  </si>
  <si>
    <t>2 UNIT REVERSE OSMOSIS BED WASHER TIDAK BERFUNGSI DENGAN BAIK DI UNIT HEMODIALISIS (HSAS10256)</t>
  </si>
  <si>
    <t>Unit Rawatan Rapi (ICU)</t>
  </si>
  <si>
    <t>KKM/JKN/HSA/10-05-01/H/15/5291</t>
  </si>
  <si>
    <t>KKM/JKN/HSA/10-05-01/H/15/5293</t>
  </si>
  <si>
    <t>Dewan Bedah Utama (GOT)</t>
  </si>
  <si>
    <t>KKM/JKN/HSA/10-05-01/H/15/5308</t>
  </si>
  <si>
    <t>KKM/JKN/HSA/10-05-01/H/15/5311</t>
  </si>
  <si>
    <t>Unit Rawatan Rapi Neonatal (NICU)</t>
  </si>
  <si>
    <t>Klinik Bedah Mulut &amp; Klinik Pergigian Pediatrik</t>
  </si>
  <si>
    <t>Unit Kesihatan Awam/Pendidikan Kesihatan</t>
  </si>
  <si>
    <t>0 days, 0 hrs, 14 mins</t>
  </si>
  <si>
    <t>0 days, 0 hrs, 18 mins</t>
  </si>
  <si>
    <t>0 days, 0 hrs, 32 mins</t>
  </si>
  <si>
    <t>KKM/JKN/HSA/10-05-01/H/21/202</t>
  </si>
  <si>
    <t>0 days, 0 hrs, 24 mins</t>
  </si>
  <si>
    <t>WAD 12 (Paediatric Ward)</t>
  </si>
  <si>
    <t>0 days, 0 hrs, 25 mins</t>
  </si>
  <si>
    <t>0 days, 0 hrs, 03 mins</t>
  </si>
  <si>
    <t>0 days, 0 hrs, 11 mins</t>
  </si>
  <si>
    <t>0 days, 0 hrs, 06 mins</t>
  </si>
  <si>
    <t>0 days, 0 hrs, 10 mins</t>
  </si>
  <si>
    <t>0 days, 0 hrs, 33 mins</t>
  </si>
  <si>
    <t>0 days, 0 hrs, 30 mins</t>
  </si>
  <si>
    <t>0 days, 0 hrs, 05 mins</t>
  </si>
  <si>
    <t>0 days, 0 hrs, 44 mins</t>
  </si>
  <si>
    <t>0 days, 0 hrs, 28 mins</t>
  </si>
  <si>
    <t>0 days, 0 hrs, 12 mins</t>
  </si>
  <si>
    <t>0 days, 0 hrs, 08 mins</t>
  </si>
  <si>
    <t>0 days, 0 hrs, 04 mins</t>
  </si>
  <si>
    <t>0 days, 0 hrs, 16 mins</t>
  </si>
  <si>
    <t>0 days, 0 hrs, 15 mins</t>
  </si>
  <si>
    <t>0 days, 0 hrs, 17 mins</t>
  </si>
  <si>
    <t>0 days, 1 hrs, 00 mins</t>
  </si>
  <si>
    <t>AUDIOMETER</t>
  </si>
  <si>
    <t>Klinik Otorinolaringologi (ORL) (ENT CLINIC)</t>
  </si>
  <si>
    <t>KKM/JKN/HSA/10-05-01/H/15/2538</t>
  </si>
  <si>
    <t>KKM/JKN/HSA/10-05-01/H/20/268</t>
  </si>
  <si>
    <t>KKM/JKN/HSA/10-05-01/H/21/291</t>
  </si>
  <si>
    <t>KKM/JKN/HSA/10-05-01/H/22/84</t>
  </si>
  <si>
    <t>PHOTOTHERAPY MACHINE</t>
  </si>
  <si>
    <t>HEMOGLOBIN SYSTEM FOR HBA1C</t>
  </si>
  <si>
    <t>PATHOLOGY</t>
  </si>
  <si>
    <t>Klinik Obstetrik Ginekologi (O&amp;G CLINIC)</t>
  </si>
  <si>
    <t>Unit Rawatan Koronari (CCU)</t>
  </si>
  <si>
    <t>Dewan Bersalin (LDU)</t>
  </si>
  <si>
    <t>High Dependency Ward (HDW)</t>
  </si>
  <si>
    <t>WAD 8A (Wad Obstetrik &amp; Ginekologi 8A)</t>
  </si>
  <si>
    <t>KKM/JKN/HSA/10-05-01/R/23/8</t>
  </si>
  <si>
    <t>PORTABLE FETAL DOPPLER</t>
  </si>
  <si>
    <t>Unit Hemodialisis (HDU)</t>
  </si>
  <si>
    <t>Klinik Perubatan AM (GEN MEDICINE CLINIC)</t>
  </si>
  <si>
    <t>WAD 9A (Wad Pembedahan Lelaki 9A)</t>
  </si>
  <si>
    <t>0 days, 0 hrs, 0 mins</t>
  </si>
  <si>
    <t>HSASWIBE26003624</t>
  </si>
  <si>
    <t>warmer di wad 8A.
asset number : H/23/54.
heater road faulty</t>
  </si>
  <si>
    <t>HSASWIBE26003838</t>
  </si>
  <si>
    <t>Asset name: ultrasound
Asset no : HSAS10936
Problem: power supply board faulty 
Location : Klinik O&amp;G</t>
  </si>
  <si>
    <t>HSASWIBE26004351</t>
  </si>
  <si>
    <t>Asset Name: haemodialysis machine 
No asset : H/15/1634
Description: battery error
Location: HDU</t>
  </si>
  <si>
    <t>HSASWIBE26006443</t>
  </si>
  <si>
    <t>Asset: ECG machine
No asset: H/15/5043
Sn: SCT11486306PA
Problem: ECG machine not functioning
Location: Ward 6</t>
  </si>
  <si>
    <t>KKM/JKN/HSA/10-05-01/R/23/6</t>
  </si>
  <si>
    <t>0 days, 0 hrs, 07 mins</t>
  </si>
  <si>
    <t>0 days, 0 hrs, 35 mins</t>
  </si>
  <si>
    <t>Infusion Pumps, Syringe</t>
  </si>
  <si>
    <t>KKM/JKN/HSA/10-05-01/H/15/5382</t>
  </si>
  <si>
    <t>Unit Hemodialisis</t>
  </si>
  <si>
    <t>Water Purification Systems, Reverse Osmosis</t>
  </si>
  <si>
    <t>Wad Obstetrik &amp; Ginekologi 8A</t>
  </si>
  <si>
    <t>0 days, 0 hrs, 47 mins</t>
  </si>
  <si>
    <t>0 days, 0 hrs, 31 mins</t>
  </si>
  <si>
    <t>0 days, 1 hrs, 48 mins</t>
  </si>
  <si>
    <t>Warming Units, Patient, Radiant, Infant</t>
  </si>
  <si>
    <t>0 days, 0 hrs, 2 mins</t>
  </si>
  <si>
    <t>0 days, 1 hrs, 52 mins</t>
  </si>
  <si>
    <t>Current Month (Work order open)</t>
  </si>
  <si>
    <t>Radiographic Units, Mobile</t>
  </si>
  <si>
    <t>Physiologic Monitoring Systems, Acute Care</t>
  </si>
  <si>
    <t>KKM/JKN/HSA/10-05-01/H/22/2</t>
  </si>
  <si>
    <t>Phototherapy Units, Visible Light, Hyperbilirubinemia</t>
  </si>
  <si>
    <t>MAMMOGRAPHY WITH BIOPSY, DIGITAL</t>
  </si>
  <si>
    <r>
      <t xml:space="preserve">Deduction Mapping Report
</t>
    </r>
    <r>
      <rPr>
        <sz val="14"/>
        <rFont val="Arial"/>
        <family val="2"/>
      </rPr>
      <t>Biomedical Engineering Maintenance Services (BEMS)</t>
    </r>
  </si>
  <si>
    <t>FETAL HEART MONITOR (DAPTONE)</t>
  </si>
  <si>
    <t>LEVEL 6 (Wad Multidisiplin Perempuan)</t>
  </si>
  <si>
    <t>Monitors, Physiologic, Vital Signs</t>
  </si>
  <si>
    <t>Ventilators, Intensive Care, Neonatal/Pediatric</t>
  </si>
  <si>
    <t>KKM/JKN/HSA/10-05-01/H/15/5292</t>
  </si>
  <si>
    <t>RESCHEDULE</t>
  </si>
  <si>
    <t>PPM DONE</t>
  </si>
  <si>
    <t>KKM/JKN/HSA/10-05-01/H/22/142</t>
  </si>
  <si>
    <t>BELUM CLOSE</t>
  </si>
  <si>
    <t>RESCHEDULE. ASET IN USE</t>
  </si>
  <si>
    <t>Current Month (Work Order Closed)</t>
  </si>
  <si>
    <t>Current Month (Work Order Open)</t>
  </si>
  <si>
    <t>Previous Month (Work order open)</t>
  </si>
  <si>
    <t>Previous Month (Work order closed)</t>
  </si>
  <si>
    <t>KKM/JKN/HSA/10-05-01/H/22/5</t>
  </si>
  <si>
    <t>KKM/JKN/HSA/10-05-01/H/21/307</t>
  </si>
  <si>
    <t>KKM/JKN/HSA/10-05-01/H/21/308</t>
  </si>
  <si>
    <t>KKM/JKN/HSA/10-05-01/H/22/4</t>
  </si>
  <si>
    <t>KKM/JKN/HSA/10-05-01/H/21/123</t>
  </si>
  <si>
    <t>KKM/JKN/HSA/10-05-01/H/21/125</t>
  </si>
  <si>
    <t>KKM/JKN/HSA/10-05-01/H/21/126</t>
  </si>
  <si>
    <t>KKM/JKN/HSA/10-05-01/H/21/127</t>
  </si>
  <si>
    <t>KKM/JKN/HSA/10-05-01/H/20/174</t>
  </si>
  <si>
    <t>KKM/JKN/HSA/10-05-01/H/21/39</t>
  </si>
  <si>
    <t>KKM/JKN/HSA/10-05-01/H/21/40</t>
  </si>
  <si>
    <t>KKM/JKN/HSA/10-05-01/H/21/41</t>
  </si>
  <si>
    <t>KKM/JKN/HSA/10-05-01/H/21/143</t>
  </si>
  <si>
    <t>KKM/JKN/HSA/10-05-01/H/21/237</t>
  </si>
  <si>
    <t>KKM/JKN/HSA/10-05-01/H/21/238</t>
  </si>
  <si>
    <t>KKM/JKN/HSA/10-05-01/H/21/239</t>
  </si>
  <si>
    <t>KKM/JKN/HSA/10-05-01/H/21/240</t>
  </si>
  <si>
    <t>KKM/JKN/HSA/10-05-01/H/21/241</t>
  </si>
  <si>
    <t>KKM/JKN/HSA/10-05-01/H/22/97</t>
  </si>
  <si>
    <t>KKM/JKN/HSA/10-05-01/H/22/6</t>
  </si>
  <si>
    <t>KKM/JKN/HSA/10-05-01/H/22/7</t>
  </si>
  <si>
    <t>KKM/JKN/HSA/10-05-01/H/22/106</t>
  </si>
  <si>
    <t>KKM/JKN/HSA/10-05-01/H/21/206</t>
  </si>
  <si>
    <t>KKM/JKN/HSA/10-05-01/H/23/1</t>
  </si>
  <si>
    <t>ECG (EKG) MACHINE</t>
  </si>
  <si>
    <t>PATIENT MONITOR EQUIPMENT</t>
  </si>
  <si>
    <t>CARDIOTOCOGRAPH MACHINE</t>
  </si>
  <si>
    <t>VOLUMETRIC PUMP</t>
  </si>
  <si>
    <t>OPERATION LIGHT</t>
  </si>
  <si>
    <t xml:space="preserve">BEMS MONTHLY FEE (RM)@ 97.5%   : </t>
  </si>
  <si>
    <t>PPM NOT DONE, NOT AT LOCATION</t>
  </si>
  <si>
    <t>KKM/JKN/HSA/10-05-01/H/15/5383</t>
  </si>
  <si>
    <t>UNIT HEMODIALISIS</t>
  </si>
  <si>
    <t>KKM/JKN/HSA/10-05-01/H/23/7</t>
  </si>
  <si>
    <t>KKM/JKN/HSA/10-05-01/H/19/26</t>
  </si>
  <si>
    <t>UNIT RAWATAN RAPI NEONATAL (NICU)</t>
  </si>
  <si>
    <t>0 days, 0 hrs, 20 mins</t>
  </si>
  <si>
    <t>DEWAN BEDAH UTAMA (GOT)</t>
  </si>
  <si>
    <t>KKM/JKN/HSA/10-05-01/H/15/2533</t>
  </si>
  <si>
    <t>KLINIK OFTALMOLOGI</t>
  </si>
  <si>
    <t>0 days, 0 hrs, 34 mins</t>
  </si>
  <si>
    <t>UNIT RAWATAN RAPI (ICU)</t>
  </si>
  <si>
    <t>GENERAL X-RAY MACHINE</t>
  </si>
  <si>
    <t>KKM/JKN/HSA/10-05-01/H/15/5116</t>
  </si>
  <si>
    <t>KKM/JKN/HSA/10-05-01/H/15/5384</t>
  </si>
  <si>
    <t xml:space="preserve">DENTAL CHAIR </t>
  </si>
  <si>
    <t>KKM/JKN/HSA/10-05-01/H/15/4290</t>
  </si>
  <si>
    <t>0 days, 0 hrs, 53 mins</t>
  </si>
  <si>
    <t>KKM/JKN/HSA/10-05-01/H/21/32</t>
  </si>
  <si>
    <t>WAD 8A - OBSTETRIK &amp; GINEKOLOGI</t>
  </si>
  <si>
    <t>UNIT RAWATAN KORONARI (CCU)</t>
  </si>
  <si>
    <t>COMPUTED TOMOGRAPHY</t>
  </si>
  <si>
    <t>KKM/JKN/HSA/10-05-01/H/23/33</t>
  </si>
  <si>
    <t>0 days, 1 hrs, 56 mins</t>
  </si>
  <si>
    <t>KKM/JKN/HSA/10-05-01/H/15/2470</t>
  </si>
  <si>
    <t>KKM/JKN/HSA/10-05-01/H/23/19</t>
  </si>
  <si>
    <t>WAD 8B - OBSTETRIK &amp; GINEKOLOGI</t>
  </si>
  <si>
    <t>WAD 9B - PEMBEDAHAN PEREMPUAN</t>
  </si>
  <si>
    <t>KKM/JKN/HSA/10-05-01/H/15/5385</t>
  </si>
  <si>
    <t>KKM/JKN/HSA/10-05-01/H/20/227</t>
  </si>
  <si>
    <t>KKM/JKN/HSA/10-05-01/H/20/239</t>
  </si>
  <si>
    <t>KKM/JKN/HSA/10-05-01/H/20/225</t>
  </si>
  <si>
    <t>KKM/JKN/HSA/10-05-01/H/23/20</t>
  </si>
  <si>
    <t>Unit Rawatan Perubatan Harian (MDC)</t>
  </si>
  <si>
    <t>KKM/JKN/HSA/10-05-01/H/23/43</t>
  </si>
  <si>
    <t>VIDEO HEAD IMPULSE TEST</t>
  </si>
  <si>
    <t>HSASWIBE26006493</t>
  </si>
  <si>
    <t>KLINIK OTORINOLARINGOLOGI (ORL)</t>
  </si>
  <si>
    <t>MESIN VIDEO HEAD TIDAK BERFUNGSI DENGAN BAIK DI BILIK 6 KLINIK ORL (H/23/43)</t>
  </si>
  <si>
    <t>DIALYZER REPROCESSING UNIT</t>
  </si>
  <si>
    <t>HSASWIBE26006579</t>
  </si>
  <si>
    <t>MESIN DIALYZER REPROSESSING UNIT TIDAK BERFUNGSI DI HEMODIALISIS (H/15/4038)</t>
  </si>
  <si>
    <t>HSASWIBE26006580</t>
  </si>
  <si>
    <t>SKRU TELESKOP MELEKAT PADA CABLE LIGHT SOURCE DI OT1 GOT</t>
  </si>
  <si>
    <t>HSASWIBE26006847</t>
  </si>
  <si>
    <t>WAD 10A - PERUBATAN LELAKI</t>
  </si>
  <si>
    <t>VOLUMETRIC PUMP (H/21/251): MESIN DRIP TIDAK BERFUNGSI DENGAN BAIK DI WAD 10A</t>
  </si>
  <si>
    <t>HSASWIBE26006915</t>
  </si>
  <si>
    <t>MESIN INFUSION PUMP TIDAK BERFUNGSI DI WAD CCU (H/15/1178)</t>
  </si>
  <si>
    <t>HSASWIBE26006919</t>
  </si>
  <si>
    <t>PHOTOLIGHT TIDAK MENYALA DI BILIK RHU WAD NICU (H/20/211)</t>
  </si>
  <si>
    <t>HSASWIBE26006920</t>
  </si>
  <si>
    <t>CABLE FLOW SENSOR VENTILATOR TIDAK BERFUNGSI DI BILIK RHU WAD NICU (H/21/104)</t>
  </si>
  <si>
    <t>HSASWIBE26006958</t>
  </si>
  <si>
    <t>SEMUA OT LIGHT TIDAK MENYALA DI OT 4 GOT</t>
  </si>
  <si>
    <t>KKM/JKN/HSA/10-05-01/H/15/5111</t>
  </si>
  <si>
    <t>HSASWIBE26006963</t>
  </si>
  <si>
    <t>TOURNIQUET PNEUMATIC ONE CUFF (H/15/5111): BATTERY NOT DETECTED DI KAUNTER GOT</t>
  </si>
  <si>
    <t>KKM/JKN/HSA/10-05-01/H/15/5114</t>
  </si>
  <si>
    <t>HSASWIBE26006972</t>
  </si>
  <si>
    <t>PUMP ENTERAL FEEDING (H/15/5114): CHARGE TIDAK MASUK DI BED 3 ICU</t>
  </si>
  <si>
    <t>KKM/JKN/HSA/10-05-01/H/23/57</t>
  </si>
  <si>
    <t>HSASWIBE26007020</t>
  </si>
  <si>
    <t>WARMER BABY TIDAK BERFUNGSI DI BILIK STOR PERALATAN WAD 8B (H/23/57)</t>
  </si>
  <si>
    <t>KKM/JKN/HSA/10-05-01/H/15/2464</t>
  </si>
  <si>
    <t>HSASWIBE26007740</t>
  </si>
  <si>
    <t>MESIN ULTRASOUND HANG DI NICU (H/15/2464)</t>
  </si>
  <si>
    <t>HSASWIBE26007757</t>
  </si>
  <si>
    <t>MESIN ECG TIDAK BOLEH BACA DI WAD 9B (H/20/56)</t>
  </si>
  <si>
    <t>HSASWIBE26007765</t>
  </si>
  <si>
    <t>MONITOR PATIENT TIDAK BOLEH LINK DENGAN ECG DI KATIL 6 CCU</t>
  </si>
  <si>
    <t>KKM/JKN/HSA/10-05-01/H/23/50</t>
  </si>
  <si>
    <t>HSASWIBE26007772</t>
  </si>
  <si>
    <t>BABY WARMER TIDAK PANAS DI BILIK STOR WAD 8A (H/23/50)</t>
  </si>
  <si>
    <t>HSASWIBE26008488</t>
  </si>
  <si>
    <t>TISSUE PROCESSOR LEVEL SENSOR ERROR DI MAKMAL HISTO PATOLOGI (H/16/51)</t>
  </si>
  <si>
    <t>HSASWIBE26008497</t>
  </si>
  <si>
    <t>MESIN HEMODIALSIS TIDAK BERFUNGSI DENGAN BAIK DI HEMODIALSIS 
(H/15/1634)</t>
  </si>
  <si>
    <t>HSASWIBE26008525</t>
  </si>
  <si>
    <t>MESIN SPO2 TIDAK BOLEH DIBACA DI KATIL 2 REDZONE ED (H/15/2097)</t>
  </si>
  <si>
    <t>KKM/JKN/HSA/10-05-01/H/21/29</t>
  </si>
  <si>
    <t>HSASWIBE26008557</t>
  </si>
  <si>
    <t>VENTILATOR TIDAK BERFUNGSI DI KATIL 3 WAD ICU (H/21/29)</t>
  </si>
  <si>
    <t>HSASWIBE26008630</t>
  </si>
  <si>
    <t>INFUSION PUMP (H/15/1239): BERBUNYI DAN DISPLAY ERROR DI WAD 8A</t>
  </si>
  <si>
    <t>HSASWIBE26008635</t>
  </si>
  <si>
    <t>HIGH DEPENDENCY WARD (HDW)</t>
  </si>
  <si>
    <t>VENTILATOR (H/15/317): VENTILATOR KELUAR DEVICE FAILURE DI ICU</t>
  </si>
  <si>
    <t>HSASWIBE26008986</t>
  </si>
  <si>
    <t>VENTILATOR (H/15/298) : TEMPERATURE SENSOR DISCONNET DI ICU</t>
  </si>
  <si>
    <t>0 days, 1 hrs, 50 mins</t>
  </si>
  <si>
    <t>HSASWIBE26008996</t>
  </si>
  <si>
    <t>(H/15/301): VENTILATOR MAIN SUIS ROSAK-AUNTO ON OFF DIN ICU</t>
  </si>
  <si>
    <t>HSASWIBE26009013</t>
  </si>
  <si>
    <t>SYRINGE PUMP TIDAK BOLEH INSTALL DI ICU (H/15/684)</t>
  </si>
  <si>
    <t>HSASWIBE26009014</t>
  </si>
  <si>
    <t>SYRINGE PUMP TIDAK BOLEH INSTALL DI ICU (H/15/727)</t>
  </si>
  <si>
    <t>HEMODIALYSIS MACHINE</t>
  </si>
  <si>
    <t>HSASWIBE26010024</t>
  </si>
  <si>
    <t>MESIN HEMODIALSIS TIDAK BERFUNGSI DENGAN BAIK DI ACUTE HEMO  (H/15/4248)</t>
  </si>
  <si>
    <t>HSASWIBE26010363</t>
  </si>
  <si>
    <t>MESIN FOTOTERAPI TIDAK BERFUNGSI DI KAUNTER NURSE WAD 8A (H/15/1082)</t>
  </si>
  <si>
    <t>BP MONITOR</t>
  </si>
  <si>
    <t>HSASWIBE26011044</t>
  </si>
  <si>
    <t>Asset Name: ECG machine 
No asset : H/17/1
Description: Unit tidak berfungsi dengan baik
Location: ED</t>
  </si>
  <si>
    <t>0 days, 0 hrs, 39 mins</t>
  </si>
  <si>
    <t>FUNDUS CAMERA</t>
  </si>
  <si>
    <t>HSASWIBE26006885</t>
  </si>
  <si>
    <t>MESIN FUNDUS CAMERA POWER ERROR  DI BILIK 3 KLINIK OFTAL (H/16/69)</t>
  </si>
  <si>
    <t>HSASWIBE26006899</t>
  </si>
  <si>
    <t>Asset Name: Ventilator
No asset : H/18/136
Description: Expiratory flow sensor and oxygen sensor failure 
Location: ED</t>
  </si>
  <si>
    <t>HSASWIBE26010435</t>
  </si>
  <si>
    <t>1. asset: INFANT INCUBATOR
No asset: H/15/479
SN:FU28869
Problem: Pintu incubator patah
Model: Isolette c2000
Location: NICU</t>
  </si>
  <si>
    <t>HSASWIBE26011740</t>
  </si>
  <si>
    <t>1. asset: ecg
No asset: H/20/56
SN:SK-93017607
Problem: Battery depleated
Model: BENEHEART R3A
Location: wad 9B</t>
  </si>
  <si>
    <t>KKM/JKN/HSA/10-05-01/H/15/1330</t>
  </si>
  <si>
    <t>Electrocardiographs, Multichannel, Interpretative</t>
  </si>
  <si>
    <t>LIGHT SOURCE</t>
  </si>
  <si>
    <t>Previous Month (Workorder Open)</t>
  </si>
  <si>
    <t>Klinik Oftalmologi (OPHTHAL CLINIC)</t>
  </si>
  <si>
    <t>HSASWOBE26006590</t>
  </si>
  <si>
    <t>ASET IN USE</t>
  </si>
  <si>
    <t>HSASWOBE26006591</t>
  </si>
  <si>
    <t>HSASWOBE26006594</t>
  </si>
  <si>
    <t>HSASWOBE26006595</t>
  </si>
  <si>
    <t>HSASWOBE26006600</t>
  </si>
  <si>
    <t>HSASWOBE26006602</t>
  </si>
  <si>
    <t>HSASWOBE26006603</t>
  </si>
  <si>
    <t>HSASWOBE26006604</t>
  </si>
  <si>
    <t>HSASWOBE26006607</t>
  </si>
  <si>
    <t>HSASWOBE26006608</t>
  </si>
  <si>
    <t>HSASWOBE26006609</t>
  </si>
  <si>
    <t>HSASWOBE26006610</t>
  </si>
  <si>
    <t>HSASWOBE26006611</t>
  </si>
  <si>
    <t>HSASWOBE26006612</t>
  </si>
  <si>
    <t>HSASWOBE26006615</t>
  </si>
  <si>
    <t>HSASWOBE26006618</t>
  </si>
  <si>
    <t>PAC</t>
  </si>
  <si>
    <t>HSASWOBE26006621</t>
  </si>
  <si>
    <t>HSASWOBE26006622</t>
  </si>
  <si>
    <t>HSASWOBE26006623</t>
  </si>
  <si>
    <t>HSASWOBE26006624</t>
  </si>
  <si>
    <t>Jabatan Perubatan Rehabilitasi</t>
  </si>
  <si>
    <t>HSASWOBE26006625</t>
  </si>
  <si>
    <t>KKM/JKN/HSA/10-05-01/H/22/85</t>
  </si>
  <si>
    <t>HSASWOBE26006626</t>
  </si>
  <si>
    <t>HSASWOBE26006627</t>
  </si>
  <si>
    <t>KKM/JKN/HSA/10-05-01/H/22/83</t>
  </si>
  <si>
    <t>HSASWOBE26006628</t>
  </si>
  <si>
    <t>HSASWOBE26006629</t>
  </si>
  <si>
    <t>HSASWOBE26006630</t>
  </si>
  <si>
    <t>HSASWOBE26006635</t>
  </si>
  <si>
    <t>HSASWOBE26006636</t>
  </si>
  <si>
    <t>HSASWOBE26006637</t>
  </si>
  <si>
    <t>HSASWOBE26006638</t>
  </si>
  <si>
    <t>INTERMITTENT PNEUMATIC COMPRESSION SYSTEM/DVT PUMP (KENDALL/SCD EXPRESS)</t>
  </si>
  <si>
    <t>HSASWOBE26006640</t>
  </si>
  <si>
    <t>HSASWOBE26006644</t>
  </si>
  <si>
    <t>HSASWOBE26006645</t>
  </si>
  <si>
    <t>HSASWOBE26006646</t>
  </si>
  <si>
    <t>HSASWOBE26006647</t>
  </si>
  <si>
    <t>HSASWOBE26006660</t>
  </si>
  <si>
    <t>HSASWOBE26006661</t>
  </si>
  <si>
    <t>HSASWOBE26006662</t>
  </si>
  <si>
    <t>HSASWOBE26006663</t>
  </si>
  <si>
    <t>HSASWOBE26006664</t>
  </si>
  <si>
    <t>HSASWOBE26006666</t>
  </si>
  <si>
    <t>HSASWOBE26006667</t>
  </si>
  <si>
    <t>HSASWOBE26006670</t>
  </si>
  <si>
    <t>HSASWOBE26006671</t>
  </si>
  <si>
    <t>HSASWOBE26006672</t>
  </si>
  <si>
    <t>HSASWOBE26006673</t>
  </si>
  <si>
    <t>KKM/JKN/HSA/10-05-01/H/21/441</t>
  </si>
  <si>
    <t>HSASWOBE26006675</t>
  </si>
  <si>
    <t>KKM/JKN/HSA/10-05-01/H/21/442</t>
  </si>
  <si>
    <t>HSASWOBE26006676</t>
  </si>
  <si>
    <t>KKM/JKN/HSA/10-05-01/H/21/443</t>
  </si>
  <si>
    <t>HSASWOBE26006677</t>
  </si>
  <si>
    <t>KKM/JKN/HSA/10-05-01/H/21/439</t>
  </si>
  <si>
    <t>HSASWOBE26006678</t>
  </si>
  <si>
    <t>KKM/JKN/HSA/10-05-01/H/21/440</t>
  </si>
  <si>
    <t>HSASWOBE26006679</t>
  </si>
  <si>
    <t>HSASWOBE26006686</t>
  </si>
  <si>
    <t>HSASWOBE26006687</t>
  </si>
  <si>
    <t>HSASWOBE26006688</t>
  </si>
  <si>
    <t>HSASWOBE26006689</t>
  </si>
  <si>
    <t>HSASWOBE26006690</t>
  </si>
  <si>
    <t>BLOOD PRESSURE MONITOR (SPHYGMOMANOMETER)</t>
  </si>
  <si>
    <t>HSASWOBE26006692</t>
  </si>
  <si>
    <t>BREAST PUMP MACHINE/ MILK STERILLIZER</t>
  </si>
  <si>
    <t>HSASWOBE26006693</t>
  </si>
  <si>
    <t>HSASWOBE26006700</t>
  </si>
  <si>
    <t>HSASWOBE26006701</t>
  </si>
  <si>
    <t>HSASWOBE26006702</t>
  </si>
  <si>
    <t>HSASWOBE26006703</t>
  </si>
  <si>
    <t>HSASWOBE26006704</t>
  </si>
  <si>
    <t>KKM/JKN/HSA/10-05-01/H/21/124</t>
  </si>
  <si>
    <t>HSASWOBE26006707</t>
  </si>
  <si>
    <t>HSASWOBE26006711</t>
  </si>
  <si>
    <t>HSASWOBE26006712</t>
  </si>
  <si>
    <t>HSASWOBE26006713</t>
  </si>
  <si>
    <t>BALANCES ELECTRONICS</t>
  </si>
  <si>
    <t>HSASWOBE26006714</t>
  </si>
  <si>
    <t>HSASWOBE26006717</t>
  </si>
  <si>
    <t>HSASWOBE26006721</t>
  </si>
  <si>
    <t>TRANSPORT INCUBATOR</t>
  </si>
  <si>
    <t>HSASWOBE26006722</t>
  </si>
  <si>
    <t>KKM/JKN/HSA/10-05-01/H/22/110</t>
  </si>
  <si>
    <t>HSASWOBE26006723</t>
  </si>
  <si>
    <t>HSASWOBE26006726</t>
  </si>
  <si>
    <t>HSASWOBE26006727</t>
  </si>
  <si>
    <t>HSASWOBE26006728</t>
  </si>
  <si>
    <t>HSASWOBE26006729</t>
  </si>
  <si>
    <t>HSASWOBE26006730</t>
  </si>
  <si>
    <t>HSASWOBE26006740</t>
  </si>
  <si>
    <t>HSASWOBE26006741</t>
  </si>
  <si>
    <t>HSASWOBE26006742</t>
  </si>
  <si>
    <t>DIAGNOSTIC SET</t>
  </si>
  <si>
    <t>HSASWOBE26006748</t>
  </si>
  <si>
    <t>DENTAL DELIVERY UNIT ( VACUUM SYSTEM)</t>
  </si>
  <si>
    <t>HSASWOBE26006750</t>
  </si>
  <si>
    <t>HSASWOBE26006755</t>
  </si>
  <si>
    <t>HSASWOBE26006756</t>
  </si>
  <si>
    <t>HSASWOBE26006757</t>
  </si>
  <si>
    <t>HSASWOBE26006758</t>
  </si>
  <si>
    <t>HSASWOBE26006759</t>
  </si>
  <si>
    <t>HSASWOBE26006760</t>
  </si>
  <si>
    <t>HSASWOBE26006761</t>
  </si>
  <si>
    <t>KKM/JKN/HSA/10-05-01/H/21/42</t>
  </si>
  <si>
    <t>HSASWOBE26006765</t>
  </si>
  <si>
    <t>KKM/JKN/HSA/10-05-01/H/22/3</t>
  </si>
  <si>
    <t>HSASWOBE26006772</t>
  </si>
  <si>
    <t>KKM/JKN/HSA/10-05-01/H/21/242</t>
  </si>
  <si>
    <t>HSASWOBE26006773</t>
  </si>
  <si>
    <t>KKM/JKN/HSA/10-05-01/H/21/243</t>
  </si>
  <si>
    <t>HSASWOBE26006774</t>
  </si>
  <si>
    <t>KKM/JKN/HSA/10-05-01/H/21/244</t>
  </si>
  <si>
    <t>HSASWOBE26006775</t>
  </si>
  <si>
    <t>KKM/JKN/HSA/10-05-01/H/21/245</t>
  </si>
  <si>
    <t>HSASWOBE26006776</t>
  </si>
  <si>
    <t>KKM/JKN/HSA/10-05-01/H/21/246</t>
  </si>
  <si>
    <t>HSASWOBE26006777</t>
  </si>
  <si>
    <t>KKM/JKN/HSA/10-05-01/H/22/52</t>
  </si>
  <si>
    <t>HSASWOBE26006779</t>
  </si>
  <si>
    <t>HSASWOBE26006786</t>
  </si>
  <si>
    <t>HSASWOBE26006787</t>
  </si>
  <si>
    <t>HSASWOBE26006788</t>
  </si>
  <si>
    <t>HSASWOBE26006790</t>
  </si>
  <si>
    <t xml:space="preserve">CARDIOTOCOGRAPH MACHINE </t>
  </si>
  <si>
    <t>HSASWOBE26006791</t>
  </si>
  <si>
    <t>HSASWOBE26006792</t>
  </si>
  <si>
    <t>HSASWOBE26006793</t>
  </si>
  <si>
    <t>HSASWOBE26006799</t>
  </si>
  <si>
    <t>HSASWOBE26006803</t>
  </si>
  <si>
    <t>ECG (EKG) MACHINE/GE HEALTHCARE</t>
  </si>
  <si>
    <t>HSASWOBE26006804</t>
  </si>
  <si>
    <t>HSASWOBE26006805</t>
  </si>
  <si>
    <t>UV BOX</t>
  </si>
  <si>
    <t>HSASWOBE26006807</t>
  </si>
  <si>
    <t>KKM/JKN/HSA/10-05-01/H/21/203</t>
  </si>
  <si>
    <t>HSASWOBE26006816</t>
  </si>
  <si>
    <t>HSASWOBE26006821</t>
  </si>
  <si>
    <t>HSASWOBE26006822</t>
  </si>
  <si>
    <t>HSASWOBE26006823</t>
  </si>
  <si>
    <t>HSASWOBE26006824</t>
  </si>
  <si>
    <t>HSASWOBE26006825</t>
  </si>
  <si>
    <t>HSASWOBE26006827</t>
  </si>
  <si>
    <t>HSASWOBE26006828</t>
  </si>
  <si>
    <t>HSASWOBE26006829</t>
  </si>
  <si>
    <t>HSASWOBE26006830</t>
  </si>
  <si>
    <t>HSASWOBE26006831</t>
  </si>
  <si>
    <t>HSASWOBE26006832</t>
  </si>
  <si>
    <t>HSASWOBE26006833</t>
  </si>
  <si>
    <t>HSASWOBE26006834</t>
  </si>
  <si>
    <t>HSASWOBE26006835</t>
  </si>
  <si>
    <t>HSASWOBE26006836</t>
  </si>
  <si>
    <t>HSASWOBE26006837</t>
  </si>
  <si>
    <t>HSASWOBE26006838</t>
  </si>
  <si>
    <t>KKM/JKN/HSA/10-05-01/H/22/125</t>
  </si>
  <si>
    <t>HSASWOBE26006840</t>
  </si>
  <si>
    <t>HSASWOBE26006842</t>
  </si>
  <si>
    <t>HSASWOBE26006843</t>
  </si>
  <si>
    <t>HSASWOBE26006845</t>
  </si>
  <si>
    <t xml:space="preserve">FETAL HEART MONITOR (DAPTONE)			</t>
  </si>
  <si>
    <t>HSASWOBE26006846</t>
  </si>
  <si>
    <t>HSASWOBE26006851</t>
  </si>
  <si>
    <t>HSASWOBE26006854</t>
  </si>
  <si>
    <t>HSASWOBE26006857</t>
  </si>
  <si>
    <t>HSASWOBE26006860</t>
  </si>
  <si>
    <t>HSASWOBE26006861</t>
  </si>
  <si>
    <t>HSASWOBE26006862</t>
  </si>
  <si>
    <t>HSASWOBE26006863</t>
  </si>
  <si>
    <t>HSASWOBE26006864</t>
  </si>
  <si>
    <t>CLOSE</t>
  </si>
  <si>
    <t>KKM/JKN/HSA/10-05-01/H/23/54</t>
  </si>
  <si>
    <t>BD, WAITING PARTS, SPAREPARTS PAY CASH, VENDOR GETZ</t>
  </si>
  <si>
    <t>Radiographic Units, Chest</t>
  </si>
  <si>
    <t>Cardiotocographs</t>
  </si>
  <si>
    <t>Dialyzer Reprocessing Units</t>
  </si>
  <si>
    <t>Lights, Surgical</t>
  </si>
  <si>
    <t>ENDOSCOPIC FLUSHING PUMP</t>
  </si>
  <si>
    <t xml:space="preserve">INSUFFLATOR CO2/LAPAROSCOPY
Inclusive :
1) MEDICAL EQUIPMENT TROLLEY
LKL CCA0695-2  (KKM/JKN/HSA/10-05-01/H/15/1700-01)
2) Monitor - Sony (KKM/JKN/HSA/10-05-01/H/15/1700-02)
3) RESECTION SYSTEM
CONMED (KKM/JKN/HSA/10-05-01/H/15/1700-03)
</t>
  </si>
  <si>
    <t>STERILE TUBING WELDER</t>
  </si>
  <si>
    <t xml:space="preserve">MONITOR 20" </t>
  </si>
  <si>
    <t>ENDOSCOPY CAMERA</t>
  </si>
  <si>
    <t>PHOTOTHERAPY MACHINE LAMP</t>
  </si>
  <si>
    <t>VENTILATOR/RESMES ASTRAL 150 ASIA PACIFIC</t>
  </si>
  <si>
    <t xml:space="preserve">PHOTOTHERAPY </t>
  </si>
  <si>
    <t xml:space="preserve">RIPPLE MATTRESS </t>
  </si>
  <si>
    <t xml:space="preserve">HAEMODIALYSIS UNIT </t>
  </si>
  <si>
    <t>VENTILATOR INTENSIVE CARE</t>
  </si>
  <si>
    <t>PORTABLE TURBINE VENTILATOR</t>
  </si>
  <si>
    <t>CONTINUOUS RENAL REPLACEMENT THERAPY</t>
  </si>
  <si>
    <t>TRANSCAPSULE (INCUBATOR) TRANSPORT</t>
  </si>
  <si>
    <t>TRANSCUTANEOUS/DEFIBRILLATOR PACER ANALYZER</t>
  </si>
  <si>
    <t xml:space="preserve">DRILL, SURGICAL, </t>
  </si>
  <si>
    <t>OXYGEN CONCENTRATOR</t>
  </si>
  <si>
    <t>SOUND LEVEL METER</t>
  </si>
  <si>
    <t xml:space="preserve">ULTRASOUND OPHTHALMIC </t>
  </si>
  <si>
    <t>CHEST PERCUSSOR / VIBRATOR</t>
  </si>
  <si>
    <t>MICRODEBRIDER ELECTRIC HIGH SPEED DRILL</t>
  </si>
  <si>
    <t>LASER INDIRECT OPTHALMOSCAPE SLIT LAMP LASER (PAN RETINAL PHOTOCOAGULATION (PRP)</t>
  </si>
  <si>
    <t>NEONATAL CPAP WITH BILAVEL PRESSURE</t>
  </si>
  <si>
    <t xml:space="preserve">DEFIBRILLATOR </t>
  </si>
  <si>
    <t>RHINO-LARYNGO FIBERSCOPE DAN VIDEOSCOPE SET</t>
  </si>
  <si>
    <t>BODY FAT ANALYZER</t>
  </si>
  <si>
    <t>X-RAY C-ARM</t>
  </si>
  <si>
    <t xml:space="preserve">CENTRIFUGE </t>
  </si>
  <si>
    <t>DIGITAL BABY WEIGHING SCALE</t>
  </si>
  <si>
    <t>VIDEO GASTROSCOPE</t>
  </si>
  <si>
    <t>AUTOMATIC EXTERNAL DEFIBRILLATOR (AED)</t>
  </si>
  <si>
    <t>OTOREAD SCREENING DPOAE</t>
  </si>
  <si>
    <t>FLINT THERAPY UNIT</t>
  </si>
  <si>
    <t>DIGITAL GONIOMETER</t>
  </si>
  <si>
    <t>SPECTRALIS OPTICAL COHERENCE TOMOGRAPHY</t>
  </si>
  <si>
    <t>LENSOMETER</t>
  </si>
  <si>
    <t>OTOACOUSTIC EMISSION (OAE) SCREENING SYSTEM</t>
  </si>
  <si>
    <t>EAR ANALYSER C/W TYMPANOMETER OTO-ACOUSTIC EMISSION (OAE) AUTOMATIC AUDITORY BRAINSTEM RESPONE (AABR)</t>
  </si>
  <si>
    <t>FLUOROSCOPY SYSTEM  DIGITAL ,W/ ANGIO  FACILITIES AND 2nd TUBE</t>
  </si>
  <si>
    <t xml:space="preserve">CT SCANNER 64 SLICES </t>
  </si>
  <si>
    <t>ORTHOPANTOGRAPHY  UNIT</t>
  </si>
  <si>
    <t>BLOOD CULTURE SYSTEM AUTOMATIC - 50 BOTTLES</t>
  </si>
  <si>
    <t>ANALYSER HAEMATOLOGY 24 PARAMETERS.</t>
  </si>
  <si>
    <t>INTRA-ORAL CAMERA WORKSTATION</t>
  </si>
  <si>
    <t>PERIMETER AUTOMATED</t>
  </si>
  <si>
    <t xml:space="preserve">SLIT LAMP CLINICAL SET </t>
  </si>
  <si>
    <t>SPECTRAL IMAGING SYSTEM</t>
  </si>
  <si>
    <t>LAPAROSCOPE SURGERY SYSTEM</t>
  </si>
  <si>
    <t>B.T.E.WORKSTATION/SIMULATOR</t>
  </si>
  <si>
    <t>UPPER LIMB EXERCISER - COMPUTERISED (E-LINK)</t>
  </si>
  <si>
    <t>Therapeutic</t>
  </si>
  <si>
    <t>Laboratory</t>
  </si>
  <si>
    <t xml:space="preserve">Diagnostic </t>
  </si>
  <si>
    <t>Radiology</t>
  </si>
  <si>
    <t>Diagnostic</t>
  </si>
  <si>
    <t xml:space="preserve">Radiology </t>
  </si>
  <si>
    <t>Basic</t>
  </si>
  <si>
    <t>Intermediate</t>
  </si>
  <si>
    <t>High</t>
  </si>
  <si>
    <t>Package</t>
  </si>
  <si>
    <t>12-306</t>
  </si>
  <si>
    <t>18-037</t>
  </si>
  <si>
    <t>16-303</t>
  </si>
  <si>
    <t>11-474</t>
  </si>
  <si>
    <t>12-537</t>
  </si>
  <si>
    <t>17-665</t>
  </si>
  <si>
    <t>16-815</t>
  </si>
  <si>
    <t>16-765</t>
  </si>
  <si>
    <t>18-792</t>
  </si>
  <si>
    <t>10-212</t>
  </si>
  <si>
    <t>10-217</t>
  </si>
  <si>
    <t>10-218</t>
  </si>
  <si>
    <t>16-666</t>
  </si>
  <si>
    <t>11-160</t>
  </si>
  <si>
    <t>18-265</t>
  </si>
  <si>
    <t>17-887</t>
  </si>
  <si>
    <t>KKM/JKN/HSA/10-01-01/H/15/4083</t>
  </si>
  <si>
    <t>KKM/JKN/HSA/10-01-01/H/15/4084</t>
  </si>
  <si>
    <t>KKM/JKN/HSA/10-01-01/H/15/4085</t>
  </si>
  <si>
    <t>KKM/JKN/HSA/10-05-01/H/15/4337</t>
  </si>
  <si>
    <t>KKM/JKN/HSA/10-05-01/R/15/17358</t>
  </si>
  <si>
    <t>KKM/JKN/HSA/10-05-01/R/15/17365</t>
  </si>
  <si>
    <t>KKM/JKN/HSA/10-05-01/R/15/15915</t>
  </si>
  <si>
    <t>KKM/JKN/HSA/10-05-01/H/15/5085</t>
  </si>
  <si>
    <t>KKM/JKN/HSA/10-05-01/H/15/1141</t>
  </si>
  <si>
    <t>KKM/JKN/HSA/10-05-01/H/15/1142</t>
  </si>
  <si>
    <t>KKM/JKN/HSA/10-05-01/H/15/1143</t>
  </si>
  <si>
    <t>KKM/JKN/HSA/10-05-01/H/15/1144</t>
  </si>
  <si>
    <t>KKM/JKN/HSA/10-05-01/H/15/1145</t>
  </si>
  <si>
    <t>KKM/JKN/HSA/10-05-01/H/15/1146</t>
  </si>
  <si>
    <t>KKM/JKN/HSA/10-05-01/H/15/1147</t>
  </si>
  <si>
    <t>KKM/JKN/HSA/10-05-01/H/15/1148</t>
  </si>
  <si>
    <t>KKM/JKN/HSA/10-05-01/H/15/1149</t>
  </si>
  <si>
    <t>KKM/JKN/HSA/10-05-01/H/15/1150</t>
  </si>
  <si>
    <t>KKM/JKN/HSA/10-05-01/H/15/1056</t>
  </si>
  <si>
    <t>KKM/JKN/HSA/10-05-01/H/15/4205</t>
  </si>
  <si>
    <t>KKM/JKN/HSA/10-05-01/H/15/4206</t>
  </si>
  <si>
    <t>KKM/JKN/HSA/10-05-01/H/15/4289</t>
  </si>
  <si>
    <t>KKM/JKN/HSA/10-05-01/H/15/3970</t>
  </si>
  <si>
    <t>KKM/JKN/HSA/10-05-01/H/15/3971</t>
  </si>
  <si>
    <t>KKM/JKN/HSA/10-05-01/H/15/3917</t>
  </si>
  <si>
    <t>KKM/JKN/HSA/10-05-01/H/15/5352</t>
  </si>
  <si>
    <t>KKM/JKN/HSA/10-05-01/H/15/5391</t>
  </si>
  <si>
    <t>KKM/JKN/HSA/10-05-01/H/16/193</t>
  </si>
  <si>
    <t>KKM/JKN/HSA/10-05-01/H/19/1</t>
  </si>
  <si>
    <t>KKM/JKN/HSA/10-05-01/H/15/5396</t>
  </si>
  <si>
    <t>KKM/JKN/HSA/10-05-01/H/15/5089</t>
  </si>
  <si>
    <t>KKM/JKN/HSA/10-05-01/H/15/5088</t>
  </si>
  <si>
    <t>KKM/JKN/HSA/10-05-01/H/15/5272</t>
  </si>
  <si>
    <t>KKM/JKN/HSA/10-05-01/H/15/5273</t>
  </si>
  <si>
    <t>KKM/JKN/HSA/10-05-01/H/15/1354</t>
  </si>
  <si>
    <t>KKM/JKN/HSA/10-05-01/H/15/5275</t>
  </si>
  <si>
    <t>KKM/JKN/HSA/10-05-01/H/15/5276</t>
  </si>
  <si>
    <t>KKM/JKN/HSA/10-05-01/H/15/5277</t>
  </si>
  <si>
    <t>KKM/JKN/HSA/10-05-01/H/15/5278</t>
  </si>
  <si>
    <t>KKM/JKN/HSA/10-05-01/H/15/5279</t>
  </si>
  <si>
    <t>KKM/JKN/HSA/10-05-01/H/15/5280</t>
  </si>
  <si>
    <t>KKM/JKN/HSA/10-05-01/H/15/5281</t>
  </si>
  <si>
    <t>KKM/JKN/HSA/10-05-01/H/15/5282</t>
  </si>
  <si>
    <t>KKM/JKN/HSA/10-05-01/H/15/5074</t>
  </si>
  <si>
    <t>KKM/JKN/HSA/10-05-01/H/15/1437-1</t>
  </si>
  <si>
    <t>KKM/JKN/HSA/10-05-01/H/15/1452-1</t>
  </si>
  <si>
    <t>KKM/JKN/HSA/10-05-01/H/15/5258</t>
  </si>
  <si>
    <t>KKM/JKN/HSA/10-05-01/H/15/5109</t>
  </si>
  <si>
    <t>KKM/JKN/HSA/10-05-01/H/15/5110</t>
  </si>
  <si>
    <t xml:space="preserve"> 
KKM/JKN/HSA/10-05-01/H/15/5393</t>
  </si>
  <si>
    <t>KKM/JKN/HSA/10-05-01/H/15/5112</t>
  </si>
  <si>
    <t>KKM/JKN/HSA/10-05-01/H/15/5113</t>
  </si>
  <si>
    <t>KKM/JKN/HSA/10-05-01/H/15/5115</t>
  </si>
  <si>
    <t>KKM/JKN/HSA/10-05-01/H/15/5117</t>
  </si>
  <si>
    <t>KKM/JKN/HSA/10-05-01/H/15/5118</t>
  </si>
  <si>
    <t>KKM/JKN/HSA/10-05-01/H/15/5388</t>
  </si>
  <si>
    <t>KKM/JKN/HSA/10-05-01/H/15/5389</t>
  </si>
  <si>
    <t>KKM/JKN/HSA/10-05-01/H/15/5122</t>
  </si>
  <si>
    <t>KKM/JKN/HSA/10-05-01/H/15/5120</t>
  </si>
  <si>
    <t>KKM/JKN/HSA/10-05-01/H/15/1656</t>
  </si>
  <si>
    <t>KKM/JKN/HSA/10-05-01/H/15/2054</t>
  </si>
  <si>
    <t>KKM/JKN/HSA/10-05-01/H/15/2055</t>
  </si>
  <si>
    <t>KKM/JKN/HSA/10-05-01/H/15/2056</t>
  </si>
  <si>
    <t>KKM/JKN/HSA/10-05-01/H/15/2057</t>
  </si>
  <si>
    <t>KKM/JKN/HSA/10-05-01/H/15/5386</t>
  </si>
  <si>
    <t>KKM/JKN/HSA/10-05-01/H/15/5387</t>
  </si>
  <si>
    <t>KKM/JKN/HSA/10-05-01/H/15/5290</t>
  </si>
  <si>
    <t>KKM/JKN/HSA/10-05-01/H/15/5294</t>
  </si>
  <si>
    <t>KKM/JKN/HSA/10-05-01/H/15/5295</t>
  </si>
  <si>
    <t>KKM/JKN/HSA/10-05-01/H/15/5296</t>
  </si>
  <si>
    <t>KKM/JKN/HSA/10-05-01/H/15/5297</t>
  </si>
  <si>
    <t>KKM/JKN/HSA/10-05-01/H/15/5298</t>
  </si>
  <si>
    <t>KKM/JKN/HSA/10-05-01/H/15/5299</t>
  </si>
  <si>
    <t>KKM/JKN/HSA/10-05-01/H/15/5300</t>
  </si>
  <si>
    <t>KKM/JKN/HSA/10-05-01/H/15/5301</t>
  </si>
  <si>
    <t>KKM/JKN/HSA/10-05-01/H/15/5302</t>
  </si>
  <si>
    <t>KKM/JKN/HSA/10-05-01/H/15/5303</t>
  </si>
  <si>
    <t>KKM/JKN/HSA/10-05-01/H/15/5304</t>
  </si>
  <si>
    <t>KKM/JKN/HSA/10-05-01/H/15/5305</t>
  </si>
  <si>
    <t>KKM/JKN/HSA/10-05-01/H/15/5306</t>
  </si>
  <si>
    <t>KKM/JKN/HSA/10-05-01/H/15/5307</t>
  </si>
  <si>
    <t>KKM/JKN/HSA/10-05-01/H/15/5309</t>
  </si>
  <si>
    <t>KKM/JKN/HSA/10-05-01/H/15/5310</t>
  </si>
  <si>
    <t>KKM/JKN/HSA/10-05-01/H/15/5392</t>
  </si>
  <si>
    <t>KKM/JKN/HSA/10-05-01/H/15/5059</t>
  </si>
  <si>
    <t>KKM/JKN/HSA/10-05-01/H/15/5104</t>
  </si>
  <si>
    <t>KKM/JKN/HSA/10-05-01/H/15/5016</t>
  </si>
  <si>
    <t>KKM/JKN/HSA/10-05-01/H/15/5250</t>
  </si>
  <si>
    <t>KKM/JKN/HSA/10-05-01/H/15/5287</t>
  </si>
  <si>
    <t>KKM/JKN/HSA/10-05-01/H/15/5288</t>
  </si>
  <si>
    <t>KKM/JKN/HSA/10-05-01/H/15/5261</t>
  </si>
  <si>
    <t>KKM/JKN/HSA/10-05-01/R/15/17352</t>
  </si>
  <si>
    <t>KKM/JKN/HSA/10-05-01/H/15/5121</t>
  </si>
  <si>
    <t>KKM/JKN/HSA/10-05-01/H/15/5105</t>
  </si>
  <si>
    <t>KKM/JKN/HSA/10-05-01/H/15/5398</t>
  </si>
  <si>
    <t>KKM/JKN/HSA/10-05-01/H/15/5390</t>
  </si>
  <si>
    <t>KKM/JKN/HSA/10-05-01/H/15/5107</t>
  </si>
  <si>
    <t>KKM/JKN/HSA/10-05-01/H/15/5108</t>
  </si>
  <si>
    <t>KKM/JKN/HSA/10-05-01/H/15/4944</t>
  </si>
  <si>
    <t>KKM/JKN/HSA/10-05-01/H/15/5092</t>
  </si>
  <si>
    <t>KKM/JKN/HSA/10-05-01/H/15/5093</t>
  </si>
  <si>
    <t>KKM/JKN/HSA/10-05-01/H/15/5095</t>
  </si>
  <si>
    <t>KKM/JKN/HSA/10-05-01/H/15/5096</t>
  </si>
  <si>
    <t>KKM/JKN/HSA/10-05-01/H/15/5097</t>
  </si>
  <si>
    <t>KKM/JKN/HSA/10-05-01/H/15/5098</t>
  </si>
  <si>
    <t>KKM/JKN/HSA/10-05-01/H/15/5099</t>
  </si>
  <si>
    <t>KKM/JKN/HSA/10-05-01/H/15/5101</t>
  </si>
  <si>
    <t>KKM/JKN/HSA/10-05-01/H/15/5353</t>
  </si>
  <si>
    <t>KKM/JKN/HSA/10-05-01/H/15/5354</t>
  </si>
  <si>
    <t>KKM/JKN/HSA/10-05-01/H/15/5355</t>
  </si>
  <si>
    <t>KKM/JKN/HSA/10-05-01/H/15/5356</t>
  </si>
  <si>
    <t>KKM/JKN/HSA/10-05-01/H/15/5357</t>
  </si>
  <si>
    <t>KKM/JKN/HSA/10-05-01/H/15/5360</t>
  </si>
  <si>
    <t>KKM/JKN/HSA/10-05-01/H/15/5361</t>
  </si>
  <si>
    <t>KKM/JKN/HSA/10-05-01/H/15/5362</t>
  </si>
  <si>
    <t>KKM/JKN/HSA/10-05-01/H/15/5363</t>
  </si>
  <si>
    <t>KKM/JKN/HSA/10-05-01/H/15/5364</t>
  </si>
  <si>
    <t>KKM/JKN/HSA/10-05-01/H/15/5365</t>
  </si>
  <si>
    <t>KKM/JKN/HSA/10-05-01/H/15/5366</t>
  </si>
  <si>
    <t>KKM/JKN/HSA/10-05-01/H/15/5367</t>
  </si>
  <si>
    <t>KKM/JKN/HSA/10-05-01/H/15/5368</t>
  </si>
  <si>
    <t>KKM/JKN/HSA/10-05-01/H/15/5369</t>
  </si>
  <si>
    <t>KKM/JKN/HSA/10-05-01/H/15/5370</t>
  </si>
  <si>
    <t>KKM/JKN/HSA/10-05-01/H/15/5358</t>
  </si>
  <si>
    <t>KKM/JKN/HSA/10-05-01/H/15/5371</t>
  </si>
  <si>
    <t>KKM/JKN/HSA/10-05-01/H/15/5372</t>
  </si>
  <si>
    <t>KKM/JKN/HSA/10-05-01/H/15/5373</t>
  </si>
  <si>
    <t>KKM/JKN/HSA/10-05-01/H/15/5283</t>
  </si>
  <si>
    <t>KKM/JKN/HSA/10-05-01/H/15/5284</t>
  </si>
  <si>
    <t>KKM/JKN/HSA/10-05-01/H/15/5285</t>
  </si>
  <si>
    <t>KKM/JKN/HSA/10-05-01/H/15/5286</t>
  </si>
  <si>
    <t xml:space="preserve">KKM/JKN/HSA/10-05-01/H/20/64 </t>
  </si>
  <si>
    <t>KKM/JKN/HSA/10-05-01/H/20/84</t>
  </si>
  <si>
    <t>KKM/JKN/HSA/10-05-01/H/20/85</t>
  </si>
  <si>
    <t>KKM/JKN/HSA/10-05-01/H/20/146</t>
  </si>
  <si>
    <t>KKM/JKN/HSA/10-05-01/H/20/147</t>
  </si>
  <si>
    <t>KKM/JKN/HSA/10-05-01/H/20/148</t>
  </si>
  <si>
    <t>KKM/JKN/HSA/10-05-01/H/20/150</t>
  </si>
  <si>
    <t>KKM/JKN/HSA/10-05-01/H/21/204</t>
  </si>
  <si>
    <t>KKM/JKN/HSA/10-05-01/H/21/278</t>
  </si>
  <si>
    <t>KKM/JKN/HSA/10-05-01/H/21/279</t>
  </si>
  <si>
    <t>KKM/JKN/HSA/10-05-01/H/21/280</t>
  </si>
  <si>
    <t>KKM/JKN/HSA/10-05-01/H/20/180</t>
  </si>
  <si>
    <t>KKM/JKN/HSA/10-05-01/H/20/226</t>
  </si>
  <si>
    <t>KKM/JKN/HSA/10-05-01/H/20/237</t>
  </si>
  <si>
    <t>KKM/JKN/HSA/10-05-01/H/20/252</t>
  </si>
  <si>
    <t>KKM/JKN/HSA/10-05-01/H/20/253</t>
  </si>
  <si>
    <t>KKM/JKN/HSA/10-05-01/H/20/127</t>
  </si>
  <si>
    <t>KKM/JKN/HSA/10-05-01/H/20/128</t>
  </si>
  <si>
    <t>KKM/JKN/HSA/10-05-01/H/21/9</t>
  </si>
  <si>
    <t>KKM/JKN/HSA/10-05-01/R/20/253</t>
  </si>
  <si>
    <t>KKM/JKN/HSA/10-05-01/H/21/197</t>
  </si>
  <si>
    <t>KKM/JKN/HSA/10-05-01/H/21/198</t>
  </si>
  <si>
    <t>KKM/JKN/HSA/10-05-01/H/21/199</t>
  </si>
  <si>
    <t>KKM/JKN/HSA/10-05-01/H/21/200</t>
  </si>
  <si>
    <t>KKM/JKN/HSA/10-05-01/H/21/201</t>
  </si>
  <si>
    <t>KKM/JKN/HSA/10-05-01/H/21/137</t>
  </si>
  <si>
    <t>KKM/JKN/HSA/10-05-01/H/21/130</t>
  </si>
  <si>
    <t>KKM/JKN/HSA/10-05-01/H/21/131</t>
  </si>
  <si>
    <t>KKM/JKN/HSA/10-05-01/H/21/132</t>
  </si>
  <si>
    <t>KKM/JKN/HSA/10-05-01/H/21/133</t>
  </si>
  <si>
    <t>KKM/JKN/HSA/10-05-01/H/21/134</t>
  </si>
  <si>
    <t>KKM/JKN/HSA/10-05-01/H/21/26</t>
  </si>
  <si>
    <t>KKM/JKN/HSA/10-05-01/H/21/27</t>
  </si>
  <si>
    <t>KKM/JKN/HSA/10-05-01/H/21/28</t>
  </si>
  <si>
    <t>KKM/JKN/HSA/10-05-01/H/21/139</t>
  </si>
  <si>
    <t>KKM/JKN/HSA/10-05-01/H/21/227</t>
  </si>
  <si>
    <t>KKM/JKN/HSA/10-05-01/H/21/228</t>
  </si>
  <si>
    <t>KKM/JKN/HSA/10-05-01/H/21/229</t>
  </si>
  <si>
    <t>KKM/JKN/HSA/10-05-01/H/21/230</t>
  </si>
  <si>
    <t>KKM/JKN/HSA/10-05-01/H/21/231</t>
  </si>
  <si>
    <t>KKM/JKN/HSA/10-05-01/H/21/232</t>
  </si>
  <si>
    <t>KKM/JKN/HSA/10-05-01/H/21/233</t>
  </si>
  <si>
    <t>KKM/JKN/HSA/10-05-01/H/21/234</t>
  </si>
  <si>
    <t>KKM/JKN/HSA/10-05-01/H/21/235</t>
  </si>
  <si>
    <t>KKM/JKN/HSA/10-05-01/H/21/236</t>
  </si>
  <si>
    <t>KKM/JKN/HSA/10-05-01/H/20/114</t>
  </si>
  <si>
    <t>KKM/JKN/HSA/10-05-01/H/20/115</t>
  </si>
  <si>
    <t>KKM/JKN/HSA/10-05-01/H/20/138</t>
  </si>
  <si>
    <t>KKM/JKN/HSA/10-05-01/H/20/162</t>
  </si>
  <si>
    <t>KKM/JKN/HSA/10-05-01/H/20/219</t>
  </si>
  <si>
    <t>KKM/JKN/HSA/10-05-01/H/21/30</t>
  </si>
  <si>
    <t>KKM/JKN/HSA/10-05-01/H/21/31</t>
  </si>
  <si>
    <t>KKM/JKN/HSA/10-05-01/H/21/79</t>
  </si>
  <si>
    <t>KKM/JKN/HSA/10-05-01/H/21/82</t>
  </si>
  <si>
    <t>KKM/JKN/HSA/10-05-01/H/21/83</t>
  </si>
  <si>
    <t>KKM/JKN/HSA/10-05-01/H/21/85</t>
  </si>
  <si>
    <t>KKM/JKN/HSA/10-05-01/H/21/86</t>
  </si>
  <si>
    <t>KKM/JKN/HSA/10-05-01/H/21/321</t>
  </si>
  <si>
    <t>KKM/JKN/HSA/10-05-01/H/21/322</t>
  </si>
  <si>
    <t>KKM/JKN/HSA/10-05-01/H/21/323</t>
  </si>
  <si>
    <t>KKM/JKN/HSA/10-05-01/H/21/341</t>
  </si>
  <si>
    <t>KKM/JKN/HSA/10-05-01/H/21/342</t>
  </si>
  <si>
    <t>KKM/JKN/HSA/10-05-01/H/21/337</t>
  </si>
  <si>
    <t>KKM/JKN/HSA/10-05-01/H/22/87</t>
  </si>
  <si>
    <t>KKM/JKN/HSA/10-05-01/H/21/210</t>
  </si>
  <si>
    <t>KKM/JKN/HSA/10-05-01/H/21/309</t>
  </si>
  <si>
    <t>KKM/JKN/HSA/10-05-01/H/21/310</t>
  </si>
  <si>
    <t>KKM/JKN/HSA/10-05-01/H/21/335</t>
  </si>
  <si>
    <t>KKM/JKN/HSA/10-05-01/H/22/22</t>
  </si>
  <si>
    <t>KKM/JKN/HSA/10-05-01/H/21/43</t>
  </si>
  <si>
    <t>KKM/JKN/HSA/10-05-01/H/21/44</t>
  </si>
  <si>
    <t>KKM/JKN/HSA/10-05-01/H/21/45</t>
  </si>
  <si>
    <t>KKM/JKN/HSA/10-05-01/H/21/46</t>
  </si>
  <si>
    <t>KKM/JKN/HSA/10-05-01/H/21/47</t>
  </si>
  <si>
    <t>KKM/JKN/HSA/10-05-01/H/21/48</t>
  </si>
  <si>
    <t>KKM/JKN/HSA/10-05-01/H/21/49</t>
  </si>
  <si>
    <t>KKM/JKN/HSA/10-05-01/H/21/50</t>
  </si>
  <si>
    <t>KKM/JKN/HSA/10-05-01/H/21/51</t>
  </si>
  <si>
    <t>KKM/JKN/HSA/10-05-01/H/21/52</t>
  </si>
  <si>
    <t>KKM/JKN/HSA/10-05-01/H/21/53</t>
  </si>
  <si>
    <t>KKM/JKN/HSA/10-05-01/H/21/54</t>
  </si>
  <si>
    <t>KKM/JKN/HSA/10-05-01/H/21/55</t>
  </si>
  <si>
    <t>KKM/JKN/HSA/10-05-01/H/21/56</t>
  </si>
  <si>
    <t>KKM/JKN/HSA/10-05-01/H/21/57</t>
  </si>
  <si>
    <t>KKM/JKN/HSA/10-05-01/H/21/58</t>
  </si>
  <si>
    <t>KKM/JKN/HSA/10-05-01/H/21/59</t>
  </si>
  <si>
    <t>KKM/JKN/HSA/10-05-01/H/21/60</t>
  </si>
  <si>
    <t>KKM/JKN/HSA/10-05-01/H/21/61</t>
  </si>
  <si>
    <t>KKM/JKN/HSA/10-05-01/H/21/62</t>
  </si>
  <si>
    <t>KKM/JKN/HSA/10-05-01/H/21/63</t>
  </si>
  <si>
    <t>KKM/JKN/HSA/10-05-01/H/21/64</t>
  </si>
  <si>
    <t>KKM/JKN/HSA/10-05-01/H/21/65</t>
  </si>
  <si>
    <t>KKM/JKN/HSA/10-05-01/H/21/66</t>
  </si>
  <si>
    <t>KKM/JKN/HSA/10-05-01/H/21/67</t>
  </si>
  <si>
    <t>KKM/JKN/HSA/10-05-01/H/21/68</t>
  </si>
  <si>
    <t>KKM/JKN/HSA/10-05-01/H/21/69</t>
  </si>
  <si>
    <t>KKM/JKN/HSA/10-05-01/H/21/70</t>
  </si>
  <si>
    <t>KKM/JKN/HSA/10-05-01/H/21/71</t>
  </si>
  <si>
    <t>KKM/JKN/HSA/10-05-01/H/21/72</t>
  </si>
  <si>
    <t>KKM/JKN/HSA/10-05-01/H/21/73</t>
  </si>
  <si>
    <t>KKM/JKN/HSA/10-05-01/H/21/74</t>
  </si>
  <si>
    <t>KKM/JKN/HSA/10-05-01/H/21/75</t>
  </si>
  <si>
    <t>KKM/JKN/HSA/10-05-01/H/21/76</t>
  </si>
  <si>
    <t>KKM/JKN/HSA/10-05-01/H/21/77</t>
  </si>
  <si>
    <t>KKM/JKN/HSA/10-05-01/H/21/78</t>
  </si>
  <si>
    <t>KKM/JKN/HSA/10-05-01/H/21/268</t>
  </si>
  <si>
    <t>KKM/JKN/HSA/10-05-01/H/21/269</t>
  </si>
  <si>
    <t>KKM/JKN/HSA/10-05-01/H/21/270</t>
  </si>
  <si>
    <t>KKM/JKN/HSA/10-05-01/H/21/271</t>
  </si>
  <si>
    <t>KKM/JKN/HSA/10-05-01/H/21/272</t>
  </si>
  <si>
    <t>KKM/JKN/HSA/10-05-01/H/21/273</t>
  </si>
  <si>
    <t>KKM/JKN/HSA/10-05-01/H/21/274</t>
  </si>
  <si>
    <t>KKM/JKN/HSA/10-05-01/H/21/275</t>
  </si>
  <si>
    <t>KKM/JKN/HSA/10-05-01/H/21/276</t>
  </si>
  <si>
    <t>KKM/JKN/HSA/10-05-01/H/21/277</t>
  </si>
  <si>
    <t>KKM/JKN/HSA/10-05-01/H/21/305</t>
  </si>
  <si>
    <t>KKM/JKN/HSA/10-05-01/H/22/8</t>
  </si>
  <si>
    <t>KKM/JKN/HSA/10-05-01/H/22/9</t>
  </si>
  <si>
    <t>KKM/JKN/HSA/10-05-01/H/22/10</t>
  </si>
  <si>
    <t>KKM/JKN/HSA/10-05-01/H/20/69</t>
  </si>
  <si>
    <t>KKM/JKN/HSA/10-05-01/H/20/70</t>
  </si>
  <si>
    <t>KKM/JKN/HSA/10-05-01/H/20/71</t>
  </si>
  <si>
    <t>KKM/JKN/HSA/10-05-01/H/20/72</t>
  </si>
  <si>
    <t>KKM/JKN/HSA/10-05-01/H/20/73</t>
  </si>
  <si>
    <t>KKM/JKN/HSA/10-05-01/H/20/74</t>
  </si>
  <si>
    <t>KKM/JKN/HSA/10-05-01/H/21/187</t>
  </si>
  <si>
    <t>KKM/JKN/HSA/10-05-01/H/21/87</t>
  </si>
  <si>
    <t>KKM/JKN/HSA/10-05-01/H/21/33</t>
  </si>
  <si>
    <t>KKM/JKN/HSA/10-05-01/H/21/1</t>
  </si>
  <si>
    <t>KKM/JKN/HSA/10-05-01/H/21/34</t>
  </si>
  <si>
    <t>KKM/JKN/HSA/10-05-01/H/21/35</t>
  </si>
  <si>
    <t>KKM/JKN/HSA/10-05-01/H/21/36</t>
  </si>
  <si>
    <t>KKM/JKN/HSA/10-05-01/H/21/37</t>
  </si>
  <si>
    <t>KKM/JKN/HSA/10-05-01/H/21/38</t>
  </si>
  <si>
    <t>KKM/JKN/HSA/10-05-01/H/21/267</t>
  </si>
  <si>
    <t>KKM/JKN/HSA/10-05-01/H/21/329</t>
  </si>
  <si>
    <t>KKM/JKN/HSA/10-05-01/H/23/37</t>
  </si>
  <si>
    <t>KKM/JKN/HSA/10-05-01/H/23/38</t>
  </si>
  <si>
    <t>KKM/JKN/HSA/10-05-01/H/21/290</t>
  </si>
  <si>
    <t>KKM/JKN/HSA/10-05-01/H/22/1</t>
  </si>
  <si>
    <t>KKM/JKN/HSA/10-05-01/H/23/36</t>
  </si>
  <si>
    <t>KKM/JKN/HSA/10-05-01/H/18/153</t>
  </si>
  <si>
    <t>KKM/JKN/HSA/10-05-01/H/23/47</t>
  </si>
  <si>
    <t>KKM/JKN/HSA/10-05-01/H/23/48</t>
  </si>
  <si>
    <t>KKM/JKN/HSA/10-05-01/H/23/49</t>
  </si>
  <si>
    <t>KKM/JKN/HSA/10-05-01/H/23/51</t>
  </si>
  <si>
    <t>KKM/JKN/HSA/10-05-01/H/23/52</t>
  </si>
  <si>
    <t>KKM/JKN/HSA/10-05-01/H/23/53</t>
  </si>
  <si>
    <t>KKM/JKN/HSA/10-05-01/H/23/55</t>
  </si>
  <si>
    <t>KKM/JKN/HSA/10-05-01/H/23/56</t>
  </si>
  <si>
    <t>KKM/JKN/HSA/10-05-01/H/23/58</t>
  </si>
  <si>
    <t>KKM/JKN/HSA/10-05-01/H/21/11</t>
  </si>
  <si>
    <t>KKM/JKN/HSA/10-05-01/H/21/12</t>
  </si>
  <si>
    <t>KKM/JKN/HSA/10-05-01/H/21/13</t>
  </si>
  <si>
    <t>KKM/JKN/HSA/10-05-01/H/21/14</t>
  </si>
  <si>
    <t>KKM/JKN/HSA/10-05-01/H/21/15</t>
  </si>
  <si>
    <t>KKM/JKN/HSA/10-05-01/H/21/16</t>
  </si>
  <si>
    <t>KKM/JKN/HSA/10-05-01/H/21/17</t>
  </si>
  <si>
    <t>KKM/JKN/HSA/10-05-01/H/21/18</t>
  </si>
  <si>
    <t>KKM/JKN/HSA/10-05-01/H/21/190</t>
  </si>
  <si>
    <t>KKM/JKN/HSA/10-05-01/H/21/191</t>
  </si>
  <si>
    <t>KKM/JKN/HSA/10-05-01/H/21/192</t>
  </si>
  <si>
    <t>KKM/JKN/HSA/10-05-01/H/21/193</t>
  </si>
  <si>
    <t>KKM/JKN/HSA/10-05-01/H/21/194</t>
  </si>
  <si>
    <t>KKM/JKN/HSA/10-05-01/H/21/195</t>
  </si>
  <si>
    <t>KKM/JKN/HSA/10-05-01/H/21/196</t>
  </si>
  <si>
    <t>KKM/JKN/HSA/10-05-01/R/22/11</t>
  </si>
  <si>
    <t>KKM/JKN/HSA/10-05-01/R/22/12</t>
  </si>
  <si>
    <t>KKM/JKN/HSA/10-05-01/R/23/36</t>
  </si>
  <si>
    <t>KKM/JKN/HSA/10-05-01/R/23/37</t>
  </si>
  <si>
    <t>KKM/JKN/HSA/10-05-01/H/21/265</t>
  </si>
  <si>
    <t>KKM/JKN/HSA/10-05-01/H/23/9</t>
  </si>
  <si>
    <t>KKM/JKN/HSA/10-05-01/H/23/10</t>
  </si>
  <si>
    <t>KKM/JKN/HSA/10-05-01/H/23/11</t>
  </si>
  <si>
    <t>KKM/JKN/HSA/10-05-01/H/23/12</t>
  </si>
  <si>
    <t>KKM/JKN/HSA/10-05-01/H/23/13</t>
  </si>
  <si>
    <t>KKM/JKN/HSA/10-05-01/H/23/14</t>
  </si>
  <si>
    <t>KKM/JKN/HSA/10-05-01/H/23/15</t>
  </si>
  <si>
    <t>KKM/JKN/HSA/10-05-01/H/23/16</t>
  </si>
  <si>
    <t>KKM/JKN/HSA/10-05-01/H/23/17</t>
  </si>
  <si>
    <t>KKM/JKN/HSA/10-05-01/H/23/18</t>
  </si>
  <si>
    <t>KKM/JKN/HSA/10-05-01/H/22/11</t>
  </si>
  <si>
    <t>KKM/JKN/HSA/10-05-01/H/22/12</t>
  </si>
  <si>
    <t>KKM/JKN/HSA/10-05-01/H/22/13</t>
  </si>
  <si>
    <t>KKM/JKN/HSA/10-05-01/H/22/14</t>
  </si>
  <si>
    <t>KKM/JKN/HSA/10-05-01/H/22/15</t>
  </si>
  <si>
    <t>KKM/JKN/HSA/10-05-01/H/15/5274</t>
  </si>
  <si>
    <t>KKM/JKN/HSA/10-05-01/H/21/452</t>
  </si>
  <si>
    <t>KKM/JKN/HSA/10-05-01/H/22/99</t>
  </si>
  <si>
    <t>KKM/JKN/HSA/10-05-01/H/22/51</t>
  </si>
  <si>
    <t>KKM/JKN/HSA/10-05-01/H/21/81</t>
  </si>
  <si>
    <t>KKM/JKN/HSA/10-05-01/H/22/93</t>
  </si>
  <si>
    <t>KKM/JKN/HSA/10-05-01/H/22/94</t>
  </si>
  <si>
    <t>KKM/JKN/HSA/10-05-01/H/22/95</t>
  </si>
  <si>
    <t>KKM/JKN/HSA/10-05-01/H/22/132</t>
  </si>
  <si>
    <t>KKM/JKN/HSA/10-05-01/H/22/133</t>
  </si>
  <si>
    <t>KKM/JKN/HSA/10-05-01/H/22/134</t>
  </si>
  <si>
    <t>KKM/JKN/HSA/10-05-01/H/22/135</t>
  </si>
  <si>
    <t>KKM/JKN/HSA/10-05-01/H/22/126</t>
  </si>
  <si>
    <t>KKM/JKN/HSA/10-05-01/H/22/127</t>
  </si>
  <si>
    <t>KKM/JKN/HSA/10-05-01/H/22/107</t>
  </si>
  <si>
    <t>KKM/JKN/HSA/10-05-01/H/22/109</t>
  </si>
  <si>
    <t>KKM/JKN/HSA/10-05-01/R/23/1</t>
  </si>
  <si>
    <t>KKM/JKN/HSA/10-05-01/R/23/2</t>
  </si>
  <si>
    <t>KKM/JKN/HSA/10-05-01/R/23/3</t>
  </si>
  <si>
    <t>KKM/JKN/HSA/10-05-01/R/23/4</t>
  </si>
  <si>
    <t>KKM/JKN/HSA/10-05-01/R/23/5</t>
  </si>
  <si>
    <t>KKM/JKN/HSA/10-05-01/R/23/7</t>
  </si>
  <si>
    <t>KKM/JKN/HSA/10-05-01/R/23/9</t>
  </si>
  <si>
    <t>KKM/JKN/HSA/10-05-01/R/23/10</t>
  </si>
  <si>
    <t>KKM/JKN/HSA/10-05-01/H/23/40</t>
  </si>
  <si>
    <t>KKM/JKN/HSA/10-05-01/H/23/39</t>
  </si>
  <si>
    <t>KKM/JKN/HSA/10-05-01/H/22/139</t>
  </si>
  <si>
    <t>KKM/JKN/HSA/10-05-01/H/22/140</t>
  </si>
  <si>
    <t>KKM/JKN/HSA/10-05-01/R/22/31</t>
  </si>
  <si>
    <t>KKM/JKN/HSA/10-05-01/H/23/5</t>
  </si>
  <si>
    <t>KKM/JKN/HSA/10-05-01/H/22/105</t>
  </si>
  <si>
    <t>KKM/JKN/HSA/10-05-01/H/23/28</t>
  </si>
  <si>
    <t>KKM/JKN/HSA/10-05-01/H/23/29</t>
  </si>
  <si>
    <t>KKM/JKN/HSA/10-05-01/H/23/30</t>
  </si>
  <si>
    <t>KKM/JKN/HSA/10-05-01/H/23/31</t>
  </si>
  <si>
    <t>KKM/JKN/HSA/10-05-01/H/23/32</t>
  </si>
  <si>
    <t>KKM/JKN/HSA/10-05-01/H/23/34</t>
  </si>
  <si>
    <t>KKM/JKN/HSA/10-05-01/H/23/35</t>
  </si>
  <si>
    <t>KKM/JKN/HSA/10-05-01/H/22/98</t>
  </si>
  <si>
    <t>KKM/JKN/HSA/10-05-01/H/23/41</t>
  </si>
  <si>
    <t>KKM/JKN/HSA/10-05-01/R/23/24</t>
  </si>
  <si>
    <t>KKM/JKN/HSA/10-05-01/H/23/27</t>
  </si>
  <si>
    <t>KKM/JKN/HSA/10-05-01/H/23/6</t>
  </si>
  <si>
    <t>KKM/JKN/HSA/10-05-01/H/23/8</t>
  </si>
  <si>
    <t>KKM/JKN/HSA/10-05-01/H/23/42</t>
  </si>
  <si>
    <t>KKM/JKN/HSA/10-05-01/H/18/111</t>
  </si>
  <si>
    <t>KKM/JKN/HSA/10-05-01/R/15/11804</t>
  </si>
  <si>
    <t>KKM/JKN/HSA/10-05-01/R/15/11805</t>
  </si>
  <si>
    <t>KKM/JKN/HSA/10-05-01/R/15/11806</t>
  </si>
  <si>
    <t>KKM/JKN/HSA/10-05-01/R/15/11807</t>
  </si>
  <si>
    <t>KKM/JKN/HSA/10-05-01/R/15/11808</t>
  </si>
  <si>
    <t>KKM/JKN/HSA/10-05-01/R/15/11809</t>
  </si>
  <si>
    <t>KKM/JKN/HSA/10-05-01/R/15/11810</t>
  </si>
  <si>
    <t>KKM/JKN/HSA/10-05-01/R/15/11811</t>
  </si>
  <si>
    <t>KKM/JKN/HSA/10-05-01/H/21/344</t>
  </si>
  <si>
    <t>KKM/JKN/HSA/10-05-01/H/21/346</t>
  </si>
  <si>
    <t>KKM/JKN/HSA/10-05-01/H/23/45</t>
  </si>
  <si>
    <t>KKM/JKN/HSA/10-05-01/H/23/46</t>
  </si>
  <si>
    <t>KKM/JKN/HSA/10-05-01/H/23/62</t>
  </si>
  <si>
    <t>KKM/JKN/HSA/10-05-01/H/23/67</t>
  </si>
  <si>
    <t>KKM/JKN/HSA/10-05-01/H/23/77</t>
  </si>
  <si>
    <t>KKM/JKN/HSA/10-05-01/H/23/73</t>
  </si>
  <si>
    <t>KKM/JKN/HSA/10-05-01/H/22/143</t>
  </si>
  <si>
    <t>KKM/JKN/HSA/10-05-01/H/22/144</t>
  </si>
  <si>
    <t>KKM/JKN/HSA/10-05-01/H/22/145</t>
  </si>
  <si>
    <t>KKM/JKN/HSA/10-05-01/H/23/26</t>
  </si>
  <si>
    <t>KKM/JKN/HSA/10-05-01/H/20/269</t>
  </si>
  <si>
    <t>KKM/JKN/HSA/10-05-01/H/20/270</t>
  </si>
  <si>
    <t>KKM/JKN/HSA/10-05-01/H/20/271</t>
  </si>
  <si>
    <t>KKM/JKN/HSA/10-05-01/H/22/146</t>
  </si>
  <si>
    <t>KKM/JKN/HSA/10-05-01/H/22/147</t>
  </si>
  <si>
    <t>KKM/JKN/HSA/10-05-01/H/24/2</t>
  </si>
  <si>
    <t>KKM/JKN/HSA/10-05-01/H/24/3</t>
  </si>
  <si>
    <t>KKM/JKN/HSA/10-05-01/H/24/9</t>
  </si>
  <si>
    <t>KKM/JKN/HSA/10-05-01/H/24/14</t>
  </si>
  <si>
    <t>KKM/JKN/HSA/10-05-01/H/24/21</t>
  </si>
  <si>
    <t>KKM/JKN/HSA/10-05-01/R/20/179</t>
  </si>
  <si>
    <t>KKM/JKN/HSA/10-05-01/R/20/180</t>
  </si>
  <si>
    <t>KKM/JKN/HSA/10-05-01/R/20/181</t>
  </si>
  <si>
    <t>KKM/JKN/HSA/10-05-01/R/20/182</t>
  </si>
  <si>
    <t>KKM/JKN/HSA/10-05-01/R/20/183</t>
  </si>
  <si>
    <t>KKM/JKN/HSA/10-05-01/R/24/106</t>
  </si>
  <si>
    <t>KKM/JKN/HSA/10-05-01/H/24/26</t>
  </si>
  <si>
    <t>KKM/JKN/HSA/10-05-01/H/24/25</t>
  </si>
  <si>
    <t>KKM/JKN/HSA/10-05-01/H/24/15</t>
  </si>
  <si>
    <t>KKM/JKN/HSA/10-05-01/H/24/16</t>
  </si>
  <si>
    <t>KKM/JKN/HSA/10-05-01/H/24/17</t>
  </si>
  <si>
    <t>KKM/JKN/HSA/10-05-01/H/15/1490-04</t>
  </si>
  <si>
    <t>KKM/JKN/HSA/10-05-01/H/22/67</t>
  </si>
  <si>
    <t>Compressors, Medical-Air</t>
  </si>
  <si>
    <t>Chairs, Examination/Treatment, Dentistry</t>
  </si>
  <si>
    <t>Chairs, Examination/Treatment</t>
  </si>
  <si>
    <t>Analyzers, Laboratory, Blood, GlycatedHemoglobin</t>
  </si>
  <si>
    <t>Analyzers, Laboratory, Hematology, Coagulation, Automated</t>
  </si>
  <si>
    <t>Nitric Oxide Delivery Units</t>
  </si>
  <si>
    <t>Light Sources, Fiberoptic</t>
  </si>
  <si>
    <t>Polishing unit, Dental</t>
  </si>
  <si>
    <t>Amalgamators</t>
  </si>
  <si>
    <t>Acrylic Curing Units, Dental</t>
  </si>
  <si>
    <t>Implant Unit,Dental</t>
  </si>
  <si>
    <t>Polymer Applicator, Dental</t>
  </si>
  <si>
    <t>Handpieces, Dental</t>
  </si>
  <si>
    <t>Light Sources, Fiberoptic, Flexible Endoscopic</t>
  </si>
  <si>
    <t>Lavange Unit, Surgical</t>
  </si>
  <si>
    <t>Printers, Video</t>
  </si>
  <si>
    <t>Cast Cutters, Electric</t>
  </si>
  <si>
    <t>Training Manikins, Cardiopulmonary Resuscitation</t>
  </si>
  <si>
    <t>Ultrasound Therapy Systems, Physical Therapy</t>
  </si>
  <si>
    <t>Apex Locators, Endodontic</t>
  </si>
  <si>
    <t>Dental Delivery Units</t>
  </si>
  <si>
    <t>Analyzers, Point of Care, Breath, Carbon Monoxide</t>
  </si>
  <si>
    <t>Tables, Operating</t>
  </si>
  <si>
    <t>Anesthesia Units</t>
  </si>
  <si>
    <t>Electrosurgical Units, Monopolar/Bipolar</t>
  </si>
  <si>
    <t>Electrosurgical Units, Monopolar, Argon-Enhanced Coagulation</t>
  </si>
  <si>
    <t>Washers, Flexible Endoscope</t>
  </si>
  <si>
    <t>Image Digitization Systems, Computed Radiography</t>
  </si>
  <si>
    <t>Scanning Systems, Ultrasonic, Obstetric/Gynecologic</t>
  </si>
  <si>
    <t>Recorders, Tape, Data, Electrocardiography</t>
  </si>
  <si>
    <t>EEG Monitors</t>
  </si>
  <si>
    <t>Sigmoidoscopes, Flexible, Video</t>
  </si>
  <si>
    <t>Recorders, Tape, Video</t>
  </si>
  <si>
    <t>Video Image Processors</t>
  </si>
  <si>
    <t>Audiometers</t>
  </si>
  <si>
    <t>Recorders, Graphic, Evoked Potential, Auditory</t>
  </si>
  <si>
    <t>Auditory Function Screening Devices</t>
  </si>
  <si>
    <t>Flowmeters, Blood, Ultrasonic</t>
  </si>
  <si>
    <t>ECG Monitor Analyzers</t>
  </si>
  <si>
    <t>Analyzers, Physiologic, Body Composition</t>
  </si>
  <si>
    <t>Carbon Dioxide Monitors, Laboratory Incubator</t>
  </si>
  <si>
    <t>Microscopes, Light, Laboratory</t>
  </si>
  <si>
    <t>Ophthalmoscopes/Otoscopes</t>
  </si>
  <si>
    <t>Scanning Systems, Ultrasonic, Ophthalmic</t>
  </si>
  <si>
    <t>Ophthalmoscopes</t>
  </si>
  <si>
    <t>Biofeedback Systems</t>
  </si>
  <si>
    <t>Lensometers</t>
  </si>
  <si>
    <t>Tonometers, Ophthalmic</t>
  </si>
  <si>
    <t>Refractors, Ophthalmologic</t>
  </si>
  <si>
    <t>Charts, Eye, Visual Acuity</t>
  </si>
  <si>
    <t>Projectors, chart eye</t>
  </si>
  <si>
    <t>Testers, Pulp</t>
  </si>
  <si>
    <t>View Boxes, Ultraviolet</t>
  </si>
  <si>
    <t>Warming Units, Patient, Radiant, Infant, Mobile</t>
  </si>
  <si>
    <t>Microscopes, Light, Operating</t>
  </si>
  <si>
    <t>Microscopes, Light, Examination, Ophthalmology</t>
  </si>
  <si>
    <t>Physiologic Monitoring Systems, Stress Exercise</t>
  </si>
  <si>
    <t xml:space="preserve">Laryngoscopes, Rigid, Video </t>
  </si>
  <si>
    <t>Gastroscopes, Flexible, Video</t>
  </si>
  <si>
    <t>Colposcopes</t>
  </si>
  <si>
    <t>Bronchoscopes, Flexible, Video</t>
  </si>
  <si>
    <t>Colonoscopes, Video</t>
  </si>
  <si>
    <t>Laparoscopes</t>
  </si>
  <si>
    <t>Cystoscopes, Flexible</t>
  </si>
  <si>
    <t>Choledochoscopes</t>
  </si>
  <si>
    <t>Gastroscopes, Rigid</t>
  </si>
  <si>
    <t>Fetal Heart Detectors, Ultrasonic</t>
  </si>
  <si>
    <t>Oxygen Monitors</t>
  </si>
  <si>
    <t>Laryngoscopes, Rigid</t>
  </si>
  <si>
    <t>Sphygmomanometers, Aneroid</t>
  </si>
  <si>
    <t>Scales, Patient, Chair</t>
  </si>
  <si>
    <t>Water Purification Systems, Reverse Osmosis, Hemodialysis, Portable</t>
  </si>
  <si>
    <t>Slide Stainers</t>
  </si>
  <si>
    <t>Tissue Processors</t>
  </si>
  <si>
    <t>Balances, Electronic, Analytical</t>
  </si>
  <si>
    <t>Centrifuges, Tabletop, High-Speed, Microhematocrit</t>
  </si>
  <si>
    <t>Centrifuges, Tabletop</t>
  </si>
  <si>
    <t>Centrifuges, Tabletop, Low-Speed, Nonrefrigerated, Cell Washing</t>
  </si>
  <si>
    <t>Centrifuges, Tabletop, Low-Speed, Nonrefrigerated, Cytological</t>
  </si>
  <si>
    <t>Incubators, Laboratory, Shaker/Rotator, Platelet</t>
  </si>
  <si>
    <t>Crimpers</t>
  </si>
  <si>
    <t>Microtomes, Cryostat</t>
  </si>
  <si>
    <t>Incubators, Laboratory, Thermocycling</t>
  </si>
  <si>
    <t>Mixers, Clinical Laboratory</t>
  </si>
  <si>
    <t>Balances, Electronic</t>
  </si>
  <si>
    <t>Stirrers</t>
  </si>
  <si>
    <t>Incubators, Aerobic</t>
  </si>
  <si>
    <t>Ovens, Drying</t>
  </si>
  <si>
    <t>Scales, Infant</t>
  </si>
  <si>
    <t>Mixers, Blood Tube</t>
  </si>
  <si>
    <t>Water Purification Systems, Deionization</t>
  </si>
  <si>
    <t>Oximeters, Pulse</t>
  </si>
  <si>
    <t>Radiographic Units, Dental</t>
  </si>
  <si>
    <t>Analgesia Units, Inhalation</t>
  </si>
  <si>
    <t>Hemofiltration Units</t>
  </si>
  <si>
    <t>Stimulators, Electrical, Peripheral Nerve, Analgesic, Transcutaneous</t>
  </si>
  <si>
    <t>Insufflators, Laparoscopic</t>
  </si>
  <si>
    <t>Ear/Nose/Throat Treatment Units</t>
  </si>
  <si>
    <t>Warming Units, Blood/Solution</t>
  </si>
  <si>
    <t>Pumps, Breast</t>
  </si>
  <si>
    <t>Pumps, Enteral Feeding</t>
  </si>
  <si>
    <t>Spirometers, Diagnostic</t>
  </si>
  <si>
    <t>Compression Units, Intermittent</t>
  </si>
  <si>
    <t>Heating Blocks</t>
  </si>
  <si>
    <t>Baths, Water, Laboratory</t>
  </si>
  <si>
    <t>Bath, Water, Plasma-Thawing</t>
  </si>
  <si>
    <t>Heating Units, Wax Scalding Unit</t>
  </si>
  <si>
    <t>Homogenizers, Tissue</t>
  </si>
  <si>
    <t>Hot Plates</t>
  </si>
  <si>
    <t>Cryosurgical Units, Ophthalmic</t>
  </si>
  <si>
    <t>Smoke evacuation systems, surgical</t>
  </si>
  <si>
    <t>Cataract Extraction Units, Phacoemulsification</t>
  </si>
  <si>
    <t>Stimulators, Electrical, Neuromuscular</t>
  </si>
  <si>
    <t>Pressure Infusors</t>
  </si>
  <si>
    <t>Nebulizers, Heated</t>
  </si>
  <si>
    <t>Ultrasound Cleaning Systems</t>
  </si>
  <si>
    <t>Dental Handpiece Maintenance Unit</t>
  </si>
  <si>
    <t>Ventilators, Intensive Care</t>
  </si>
  <si>
    <t>Ventilators, Intensive Care, Adult</t>
  </si>
  <si>
    <t>Ventilators, Transport</t>
  </si>
  <si>
    <t>Hemodialysis Units</t>
  </si>
  <si>
    <t>Incubators, Infant, Transport</t>
  </si>
  <si>
    <t>Incubators, Infant</t>
  </si>
  <si>
    <t xml:space="preserve">Defibrillators, External, Automated </t>
  </si>
  <si>
    <t>Defibrillators, External, Manual</t>
  </si>
  <si>
    <t>Defibrillator/Pacemakers, External</t>
  </si>
  <si>
    <t>Lasers, Diode</t>
  </si>
  <si>
    <t>Aspirators, Dental</t>
  </si>
  <si>
    <t>Aspirators, Surgical</t>
  </si>
  <si>
    <t>Infusion Pumps, Patient-Controlled Analgesic</t>
  </si>
  <si>
    <t>Aspirators, Thoracic</t>
  </si>
  <si>
    <t>Pacemakers, Cardiac, External, Invasive Electrodes, Transvenous</t>
  </si>
  <si>
    <t>Warming Units, Patient, Forced-Air</t>
  </si>
  <si>
    <t>Warming Units, Blanket</t>
  </si>
  <si>
    <t>Resuscitators, Pulmonary, Pneumatic</t>
  </si>
  <si>
    <t>Warming/Cooling Units, Patient</t>
  </si>
  <si>
    <t>Oxygen-Air Proportioners</t>
  </si>
  <si>
    <t>Lasers, Nd:YAG, Ophthalmic</t>
  </si>
  <si>
    <t>Lasers, Nd:YAG, Frequency-Doubled</t>
  </si>
  <si>
    <t>Radiofrequency Therapy Systems, Diathermy</t>
  </si>
  <si>
    <t>Drills, Bone</t>
  </si>
  <si>
    <t>Humidifiers, Heated</t>
  </si>
  <si>
    <t>Anesthesia Units, Dental</t>
  </si>
  <si>
    <t>Ophthalmoscopes, Indirect</t>
  </si>
  <si>
    <t>Cast Cutter Vacuums</t>
  </si>
  <si>
    <t>Articulators, Dental</t>
  </si>
  <si>
    <t>Trimmers, Model, Dental</t>
  </si>
  <si>
    <t>Vibrators</t>
  </si>
  <si>
    <t>Heating Units</t>
  </si>
  <si>
    <t>Sensitometers, Radiographic</t>
  </si>
  <si>
    <t>Densitometers</t>
  </si>
  <si>
    <t>Ultrasound Surgical Units</t>
  </si>
  <si>
    <t>Arthroscopic Shaver Systems</t>
  </si>
  <si>
    <t>Tourniquets, Pneumatic</t>
  </si>
  <si>
    <t>Hand Drills, Surgical</t>
  </si>
  <si>
    <t>Television Systems</t>
  </si>
  <si>
    <t>Analyzers, Physiologic, Middle Ear</t>
  </si>
  <si>
    <t>Centrifuges, Tabletop, Low-Speed, Refrigerated</t>
  </si>
  <si>
    <t>Cameras, Video, Endoscope</t>
  </si>
  <si>
    <t>Thermometers, Electronic, Infrared, Ear</t>
  </si>
  <si>
    <t>Nasopharyngoscopes</t>
  </si>
  <si>
    <t>Analyzers, Laboratory, Hematology, Hemoglobin</t>
  </si>
  <si>
    <t>Audiometric Booths</t>
  </si>
  <si>
    <t>Dosimeters, Radiation</t>
  </si>
  <si>
    <t>Infusion/ Monitoring Line Organizer System</t>
  </si>
  <si>
    <t>Irrigation/Distention Systems, Arthoscopic</t>
  </si>
  <si>
    <t>Hand drills, surgical</t>
  </si>
  <si>
    <t>Sound Level Meter</t>
  </si>
  <si>
    <t>Analyzers, Physiologic, Middle Ear, Impedance Tympanometry</t>
  </si>
  <si>
    <t>Radiographic/Fluoroscopic Systems, Angiographic/Interventional
Inclusive : 
1) Generator 80kW
2) Undertable Tube Flouroscopy Table
3) 3D Tube
4) Server
5) Control Console
6) LCD Monitor  (Eizo/ HXD/ 3021374)
7) LCD Monitor (Eizo/ HXD/ 3021368)
8) LCD Monitor (Eizo/ HXD/ 3021372)
9) LCD Monitor (Eizo/ HXD/ 3021369)</t>
  </si>
  <si>
    <t>Radiographic Units, Mammographic
Inclusive :
1) Server (Fujitsu/ Celsius)
2) LCD Monitor (Eizo/ HXD/ 31200224)
3) Table c/w Lead (10549892)
4) Chair Mammography Akrus/ AK 50003M/ 2000017
5) UPS 10kVA (8512141100029)</t>
  </si>
  <si>
    <t>Scanning Systems, Computed Tomography
Inclusive :
1) Gantry incl. Tilted Spiral 
2) Patient Table
3) Voltage Stablizer inc.
4) Console
5) Intervention Module
6) LCD Monitor (Intervention Module)
7) LCD Monitor (Syngo Workstation) - DSC1910-D
8) Computer (Syngo Workstation)
9) LCD Monitor (Syngo Server)
10) Computer (Syngo Server) - Fujitsu/ YKJQ007336347647K990V515FS044
11) Injector (Nemoto/ QCB00083)
12) CCTV Monitor (Samsung/ G062HYCF3024248)
13) CCTV DVR (Cynics/ HD3504/ 201403100128)
14) CCTV Kamera (Cynics/ XBC67HD/ C14030071)</t>
  </si>
  <si>
    <t>X-ray Film Processors, Automatic, Dental
Inclusive :
1) Gendex Pan Sensor
2) Computer
3) Monitor
4) UPS
5) Gendex Pan Sensor</t>
  </si>
  <si>
    <t>Analyzers, Laboratory, Microbiology, Blood Culture, Automated
Inclusive :
1) UPS 3KVA
2) Printer
3) Computer
4) Monitor</t>
  </si>
  <si>
    <t>Analyzers, Laboratory, Hematology, Cell Counting, Automated
Inclusive :
1) UPS 
2) UPS
3) Printer
4) Computer</t>
  </si>
  <si>
    <t>Cameras, Video, Dental, Intraoral/Extraoral
Inclusive :
1) Monitor (KKM/JKN/HSA/10-05-01/H/15/3576-01)
2) Laptop
3) Laptop Trolley
4) Laser Printer</t>
  </si>
  <si>
    <t>Cameras, Video, Dental, Intraoral/Extraoral
Inclusive :
1) Monitor (KKM/JKN/HSA/10-05-01/H/15/3577-01)
2) Laptop
3) Laptop Trolley
4) Laser Printer</t>
  </si>
  <si>
    <t>Cameras, Video, Dental, Intraoral/Extraoral
Inclusive :
1) Monitor (KKM/JKN/HSA/10-05-01/H/15/3578-01)
2) Laptop
3) Laptop Trolley
4) Laser Printer</t>
  </si>
  <si>
    <t>Perimeters, Ophthalmic, Automated
Inclusive :
1) Computer (HP/ Pavillion 500-336D/ 4CE4230BK5)
2) Monitor (HP/ W2072a/ CNC317PDTM)
3) Table with Castor
4) Printer (Fujixerox/ DP CP105B/ 303678)
5) 5 Port Switch</t>
  </si>
  <si>
    <t>Cameras, Fundus
Inclusive :
1) Computer (KKM/JKN/HSA/10-05-01/H/16/69-01)
2) Monitor (KKM/JKN/HSA/10-05-01/H/16/69-05)
3) Printer (KKM/JKN/HSA/10-05-01/H/16/69-02)
4) Stool with Castor (KKM/JKN/HSA/10-05-01/H/16/69-03)
5) Pedestal Drawer (KKM/JKN/HSA/10-05-01/H/16/69-04)
6) UPS (KKM/JKN/HSA/10-05-01/H/16/69-06)
7) Meja Komputer (KKM/JKN/HSA/10-05-01/H/16/69-07)</t>
  </si>
  <si>
    <t>Slit Lamps
Inclusive :
1) Stool with Roller Righton (KKM/JKN/HSA/10-05-01/H/16/116-01)
2) Stool without Roller Righton ((KKM/JKN/HSA/10-05-01/H/16/116-02))
3) Motorized Stand Righton  (KKM/JKN/HSA/10-05-01/H/16/116-03)</t>
  </si>
  <si>
    <t>Slit Lamps
Inclusive :
1) Motirized Intrumen Table (KKM/JKN/HSA/10-05-01/H/16/68-01)
2) Aplanation Tonometer (KKM/JKN/HSA/10-05-01/H/16/68-02)
3) Bernell Ncatslvu Cardiff Acuity Test Set (KKM/JKN/HSA/10-05-01/H/16/68-03)
4) Bernell Ncatslvu Cardiff Acuity Test Set (KKM/JKN/HSA/10-05-01/H/16/68-04)</t>
  </si>
  <si>
    <t>Scanning Systems, Laser, Optical Tomography
Inclusive :
1) Laser System (KKM/JKN/HSA/10-05-01/H/16/120-01)
2) Touch Panel (KKM/JKN/HSA/10-05-01/H/16/120-02)
3) Dongle (KKM/JKN/HSA/10-05-01/H/16/120-03)
4) Printer (KKM/JKN/HSA/10-05-01/H/16/120-04)
5) Computer (KKM/JKN/HSA/10-05-01/H/16/120-05)
6) Monitor (KKM/JKN/HSA/10-05-01/H/16/120-06)
7) Computer Table (KKM/JKN/HSA/10-05-01/H/16/120-07)
8) Motorized Table (KKM/JKN/HSA/10-05-01/H/16/120-08)
9) Stool (KKM/JKN/HSA/10-05-01/H/16/120-09)
10) Isolation Transformer (KKM/JKN/HSA/10-05-01/H/16/120-10)
11) 55 Degree Lens (KKM/JKN/HSA/10-05-01/H/16/120-11)
12) Stool (KKM/JKN/HSA/10-05-01/H/16/120-12)</t>
  </si>
  <si>
    <t>Keratomes
Inclusive :
1) Retinomax Station 3 (KKM/JKN/HSA/10-05-01/H/16/138-01)
2) Retinomax Printer (KKM/JKN/HSA/10-05-01/H/16/138-02)</t>
  </si>
  <si>
    <t>Laparoscopes, Video
Inclusive :
1) Monitor - Olympus/ OEV262H (KKM/JKN/HSA/10-05-01/H/15/985-01)
2) Monitor - Olympus/ OEV262H (KKM/JKN/HSA/10-05-01/H/15/985-02)
3) Insufflator - Olympus/ UH-14 (KKM/JKN/HSA/10-05-01/H/15/985-03)
4) Xenon Light Source - Olympus/ CLV190 (KKM/JKN/HSA/10-05-01/H/15/985-04)
5) DVD Recorder - Panasonic/ DMR-EH59 (KKM/JKN/HSA/10-05-01/H/15/985-05)
6) Camera Head - Olympus/ CH-S190-XZ-E (KKM/JKN/HSA/10-05-01/H/15/985-06)
7) Eco Pump Suction Irrigation - Olympus/ A5889 (KKM/JKN/HSA/10-05-01/H/15/985-07)
8) Trolley - KKM/JKN/HSA/10-05-01/H/15/985-08
9) Trolley - KKM/JKN/HSA/10-05-01/H/15/985-09
10) Telescope 10MM-0 Degree - Olympus/ WA53000A (KKM/JKN/HSA/10-05-01/H/15/985-10)</t>
  </si>
  <si>
    <t>Laparoscopes, Video
Inclusive :
1) Monitor - Olympus/ OEV262H (KKM/JKN/HSA/10-05-01/H/15/987-01)
2) Monitor - Olympus/ OEV262H (KKM/JKN/HSA/10-05-01/H/15/987-02)
3) Insufflator - Olympus/ UH-14 (KKM/JKN/HSA/10-05-01/H/15/987-03)
4) Xenon Light Source - Olympus/ CLV190 (KKM/JKN/HSA/10-05-01/H/15/987-04)
5) DVD Recorder - Panasonic/ DMR-EH59 (KKM/JKN/HSA/10-05-01/H/15/987-05)
6) Camera Head - Olympus/ CH-S190-XZ-E (KKM/JKN/HSA/10-05-01/H/15/987-06)
7) Eco Pump Suction Irrigation - Olympus/ A5889 (KKM/JKN/HSA/10-05-01/H/15/987-07)
8) Trolley - KKM/JKN/HSA/10-05-01/H/15/987-08
9) Trolley - KKM/JKN/HSA/10-05-01/H/15/987-10</t>
  </si>
  <si>
    <t>Dynamometer Exercise Systems, Computerized 
Inclusive :
1) Computer (KKM/JKN/HSA/10-05-01/H/15/4998-01)
2) Monitor (KKM/JKN/HSA/10-05-01/H/15/4998-02)
3) Printer (KKM/JKN/HSA/10-05-01/H/15/4998-05)</t>
  </si>
  <si>
    <t>Exercisers, Continuous Passive Motion
Inclusive :
1)Computer (KKM/JKN/HSA/10-05-01/H/15/1064-01)
2) Monitor (KKM/JKN/HSA/10-05-01/H/15/1064-02)
3) Printer (KKM/JKN/HSA/10-05-01/H/15/1064-03)</t>
  </si>
  <si>
    <t>Exercisers, Continuous Passive Motion
Inclusive :
1)Computer (KKM/JKN/HSA/10-05-01/H/15/1065-01)
2) Monitor (KKM/JKN/HSA/10-05-01/H/15/1065-02)
3) Printer (KKM/JKN/HSA/10-05-01/H/15/1065-03)</t>
  </si>
  <si>
    <t>Description UMDNS</t>
  </si>
  <si>
    <t>User Area</t>
  </si>
  <si>
    <t>Jabatan Kecemasan &amp; Trauma</t>
  </si>
  <si>
    <t>Jabatan Bedah Mulut &amp; Pergigian Pediatrik</t>
  </si>
  <si>
    <t>Jabatan Patologi</t>
  </si>
  <si>
    <t>Jabatan Pediatrik</t>
  </si>
  <si>
    <t>Jabatan Otorinolaringologi (ORL)</t>
  </si>
  <si>
    <t>Jabatan Anestesiologi &amp; Rawatan Kritikal</t>
  </si>
  <si>
    <t>Jabatan Pembedahan Am</t>
  </si>
  <si>
    <t>Jabatan Ortopedik</t>
  </si>
  <si>
    <t>Jabatan Obstetrik &amp; Ginekologi</t>
  </si>
  <si>
    <t>Jabatan Oftalmologi</t>
  </si>
  <si>
    <t>Jabatan Radiologi</t>
  </si>
  <si>
    <t>Jabatan Perubatan Am</t>
  </si>
  <si>
    <t>Jabatan Dietetik &amp; Sajian</t>
  </si>
  <si>
    <t>Jabatan Perubatan Forensik</t>
  </si>
  <si>
    <t>Jabatan Farmasi</t>
  </si>
  <si>
    <t>Unit Kualiti &amp; Penyelidikan</t>
  </si>
  <si>
    <t>Klinik Otorinolaringologi (ORL)</t>
  </si>
  <si>
    <t>Unit Rawatan Perubatan Harian</t>
  </si>
  <si>
    <t>Wad Ortopedik</t>
  </si>
  <si>
    <t>Klinik Ortopedik</t>
  </si>
  <si>
    <t>Wad Pediatrik</t>
  </si>
  <si>
    <t>Dewan Bedah Bersalin (MOT)</t>
  </si>
  <si>
    <t>Klinik Pembedahan Am</t>
  </si>
  <si>
    <t>Unit Rawatan Pembedahan Harian</t>
  </si>
  <si>
    <t>Pusat Kemasukan Ibu Bersalin (PAC)</t>
  </si>
  <si>
    <t>Klinik Obstetrik &amp; Ginekologi</t>
  </si>
  <si>
    <t>Wad Obstetrik &amp; Ginekologi 8B</t>
  </si>
  <si>
    <t>Klinik Perubatan</t>
  </si>
  <si>
    <t>Klinik Oftalmologi</t>
  </si>
  <si>
    <t>Klinik Pediatrik</t>
  </si>
  <si>
    <t>Wad Perubatan Perempuan 10B</t>
  </si>
  <si>
    <t>Wad Pembedahan Perempuan 9B</t>
  </si>
  <si>
    <t>Wad Pembedahan Lelaki 9A</t>
  </si>
  <si>
    <t xml:space="preserve">Klinik Pediatrik </t>
  </si>
  <si>
    <t>Wad Eksekutif &amp; VIP</t>
  </si>
  <si>
    <t>Wad Perubatan Lelaki 10A</t>
  </si>
  <si>
    <t>Pendaftaran Klinik Pakar</t>
  </si>
  <si>
    <t>Unit Hemodinamik (RHU)</t>
  </si>
  <si>
    <t>Farmasi Pesakit Dalam</t>
  </si>
  <si>
    <t xml:space="preserve">Jabatan Perubatan Rehabilitasi </t>
  </si>
  <si>
    <t>Wad Pembedahan Lelaki 9B</t>
  </si>
  <si>
    <t>Jabatan Jabatan Kecemasan &amp; Trauma</t>
  </si>
  <si>
    <t>Wad Pembedahan 9A</t>
  </si>
  <si>
    <t>Klinik Obstetrik Ginekologi</t>
  </si>
  <si>
    <t>Wad Perubatan 10A</t>
  </si>
  <si>
    <t>Multidisiplin Ward (MDW)</t>
  </si>
  <si>
    <t>War Ortopedik</t>
  </si>
  <si>
    <t>Wad Pembedahan Perempuan 9A</t>
  </si>
  <si>
    <t>Wad Perubatan Perempuan 10A</t>
  </si>
  <si>
    <t>Wad Perubatan Lelaki 10B</t>
  </si>
  <si>
    <t>Wad Pembedahan Perempuan 10B</t>
  </si>
  <si>
    <t>Wad Pelbagai Disiplin</t>
  </si>
  <si>
    <t>Farmasi Klinik Pakar</t>
  </si>
  <si>
    <t>Wad Multidisiplin (MDW)</t>
  </si>
  <si>
    <t>Klinik Rehabilitasi</t>
  </si>
  <si>
    <t>BD, PENDING QUOTATION UPS (Loaner)</t>
  </si>
  <si>
    <t>X-RAY CARM</t>
  </si>
  <si>
    <t>X-RAY MESIN C ARM</t>
  </si>
  <si>
    <t>KKM/JKN/HSA/10-05-01/H/21/110</t>
  </si>
  <si>
    <t>SECHRIST VENTILATOR</t>
  </si>
  <si>
    <t xml:space="preserve">CONTINUOUS RENAL REPLACEMENT THERAPY </t>
  </si>
  <si>
    <t>AUTOMATED ENDOSCOPIC WASHER</t>
  </si>
  <si>
    <t xml:space="preserve">ECG (EKG) MACHINE </t>
  </si>
  <si>
    <t>KKM/JKN/HAS/10-05-01/H/15/1119</t>
  </si>
  <si>
    <t>HSASWIBE26011777</t>
  </si>
  <si>
    <t>HSASWIBE26011783</t>
  </si>
  <si>
    <t>HSASWIBE26011786</t>
  </si>
  <si>
    <t>HSASWIBE26011787</t>
  </si>
  <si>
    <t>HSASWIBE26011866</t>
  </si>
  <si>
    <t>HSASWIBE26011868</t>
  </si>
  <si>
    <t>HSASWIBE26011974</t>
  </si>
  <si>
    <t>HSASWIBE26011980</t>
  </si>
  <si>
    <t>HSASWIBE26011998</t>
  </si>
  <si>
    <t>HSASWIBE26012023</t>
  </si>
  <si>
    <t>HSASWIBE26012027</t>
  </si>
  <si>
    <t>HSASWIBE26012033</t>
  </si>
  <si>
    <t>HSASWIBE26012070</t>
  </si>
  <si>
    <t>HSASWIBE26012073</t>
  </si>
  <si>
    <t>HSASWIBE26012092</t>
  </si>
  <si>
    <t>HSASWIBE26012093</t>
  </si>
  <si>
    <t>HSASWIBE26012095</t>
  </si>
  <si>
    <t>HSASWIBE26012097</t>
  </si>
  <si>
    <t>HSASWIBE26012110</t>
  </si>
  <si>
    <t>HSASWIBE26012111</t>
  </si>
  <si>
    <t>HSASWIBE26012112</t>
  </si>
  <si>
    <t>HSASWIBE26012117</t>
  </si>
  <si>
    <t>HSASWIBE26012118</t>
  </si>
  <si>
    <t>HSASWIBE26012121</t>
  </si>
  <si>
    <t>HSASWIBE26012126</t>
  </si>
  <si>
    <t>HSASWIBE26012132</t>
  </si>
  <si>
    <t>HSASWIBE26012133</t>
  </si>
  <si>
    <t>HSASWIBE26012134</t>
  </si>
  <si>
    <t>HSASWIBE26012136</t>
  </si>
  <si>
    <t>HSASWIBE26012148</t>
  </si>
  <si>
    <t>HSASWIBE26012149</t>
  </si>
  <si>
    <t>HSASWIBE26012163</t>
  </si>
  <si>
    <t>HSASWIBE26012164</t>
  </si>
  <si>
    <t>HSASWIBE26012172</t>
  </si>
  <si>
    <t>HSASWIBE26012329</t>
  </si>
  <si>
    <t>HSASWIBE26012333</t>
  </si>
  <si>
    <t>HSASWIBE26012337</t>
  </si>
  <si>
    <t>HSASWIBE26012350</t>
  </si>
  <si>
    <t>HSASWIBE26012381</t>
  </si>
  <si>
    <t>HSASWIBE26012691</t>
  </si>
  <si>
    <t>HSASWIBE26012692</t>
  </si>
  <si>
    <t>HSASWIBE26012712</t>
  </si>
  <si>
    <t>HSASWIBE26012721</t>
  </si>
  <si>
    <t>HSASWIBE26012733</t>
  </si>
  <si>
    <t>HSASWIBE26012741</t>
  </si>
  <si>
    <t>HSASWIBE26012750</t>
  </si>
  <si>
    <t>HSASWIBE26012752</t>
  </si>
  <si>
    <t>HSASWIBE26012784</t>
  </si>
  <si>
    <t>HSASWIBE26012799</t>
  </si>
  <si>
    <t>HSASWIBE26012801</t>
  </si>
  <si>
    <t>HSASWIBE26012803</t>
  </si>
  <si>
    <t>HSASWIBE26012814</t>
  </si>
  <si>
    <t>HSASWIBE26012815</t>
  </si>
  <si>
    <t>HSASWIBE26012816</t>
  </si>
  <si>
    <t>HSASWIBE26012872</t>
  </si>
  <si>
    <t>HSASWIBE26012935</t>
  </si>
  <si>
    <t>HSASWIBE26012942</t>
  </si>
  <si>
    <t>HSASWIBE26013496</t>
  </si>
  <si>
    <t>HSASWIBE26013504</t>
  </si>
  <si>
    <t>HSASWIBE26013505</t>
  </si>
  <si>
    <t>HSASWIBE26013510</t>
  </si>
  <si>
    <t>HSASWIBE26013597</t>
  </si>
  <si>
    <t>HSASWIBE26013822</t>
  </si>
  <si>
    <t>HSASWIBE26013823</t>
  </si>
  <si>
    <t>HSASWIBE26013866</t>
  </si>
  <si>
    <t>HSASWIBE26013877</t>
  </si>
  <si>
    <t>HSASWIBE26013880</t>
  </si>
  <si>
    <t>HSASWIBE26013968</t>
  </si>
  <si>
    <t>HSASWIBE26014203</t>
  </si>
  <si>
    <t>HSASWIBE26014207</t>
  </si>
  <si>
    <t>HSASWIBE26014386</t>
  </si>
  <si>
    <t>HSASWIBE26014387</t>
  </si>
  <si>
    <t>HSASWIBE26014389</t>
  </si>
  <si>
    <t>HSASWIBE26014400</t>
  </si>
  <si>
    <t>HSASWIBE26014408</t>
  </si>
  <si>
    <t>HSASWIBE26014410</t>
  </si>
  <si>
    <t>HSASWIBE26014411</t>
  </si>
  <si>
    <t>HSASWIBE26014413</t>
  </si>
  <si>
    <t>HSASWIBE26014416</t>
  </si>
  <si>
    <t>HSASWIBE26014417</t>
  </si>
  <si>
    <t>HSASWIBE26014435</t>
  </si>
  <si>
    <t>HSASWIBE26014436</t>
  </si>
  <si>
    <t>HSASWIBE26014442</t>
  </si>
  <si>
    <t>HSASWIBE26014460</t>
  </si>
  <si>
    <t>HSASWIBE26014462</t>
  </si>
  <si>
    <t>HSASWIBE26014470</t>
  </si>
  <si>
    <t>HSASWIBE26014471</t>
  </si>
  <si>
    <t>HSASWIBE26014472</t>
  </si>
  <si>
    <t>HSASWIBE26014492</t>
  </si>
  <si>
    <t>HSASWIBE26014495</t>
  </si>
  <si>
    <t>HSASWIBE26014496</t>
  </si>
  <si>
    <t>HSASWIBE26014501</t>
  </si>
  <si>
    <t>HSASWIBE26014510</t>
  </si>
  <si>
    <t>HSASWIBE26014513</t>
  </si>
  <si>
    <t>HSASWIBE26014515</t>
  </si>
  <si>
    <t>HSASWIBE26014516</t>
  </si>
  <si>
    <t>HSASWIBE26014520</t>
  </si>
  <si>
    <t>HSASWIBE26014529</t>
  </si>
  <si>
    <t>HSASWIBE26014530</t>
  </si>
  <si>
    <t>HSASWIBE26014845</t>
  </si>
  <si>
    <t>HSASWIBE26014874</t>
  </si>
  <si>
    <t>HSASWIBE26014979</t>
  </si>
  <si>
    <t>HSASWIBE26015193</t>
  </si>
  <si>
    <t>HSASWIBE26015250</t>
  </si>
  <si>
    <t>HSASWIBE26015251</t>
  </si>
  <si>
    <t>HSASWIBE26015407</t>
  </si>
  <si>
    <t>HSASWIBE26015599</t>
  </si>
  <si>
    <t>HSASWIBE26015618</t>
  </si>
  <si>
    <t>HSASWIBE26016109</t>
  </si>
  <si>
    <t>HSASWIBE26016110</t>
  </si>
  <si>
    <t>HSASWIBE26016115</t>
  </si>
  <si>
    <t>HSASWIBE26016118</t>
  </si>
  <si>
    <t>HSASWIFE26012062</t>
  </si>
  <si>
    <t>BABY WARMER ERROR DI BILIK MOT 1 MOT (H/15/1586)</t>
  </si>
  <si>
    <t>DENTAL CHAIR TIDAK BERFUNGSI DENGAN BAIK DI BILIK 4 KLINIK DENTAL (H/15/1121)</t>
  </si>
  <si>
    <t>OKSIGEN SENSOR VENTILATOR TIDAK BERFUNGSI DI WAD NICU (H/15/3621)</t>
  </si>
  <si>
    <t>MESIN ECG TIDAK BERFUNGSI DENGAN BAIK DI BILIK NO.6 GREENZONE ED (H/18/127)</t>
  </si>
  <si>
    <t>INFANT/ BABY SCALER (R/15/7037): PENIMBANG BABY TIDAK BOLEH ON DI BILIK BABY WAD 8A</t>
  </si>
  <si>
    <t>DEFIBRILLATOR (H/22/146): MESIN DEFIB TIDAK BERFUNGSI DENGAN BAIK- GRAF BACAAN ECG TIDAK JELAS DI WAD 10A</t>
  </si>
  <si>
    <t>ULTRASOUND SCANNER (H/22/126)- MESIN SCAN LOOSE DI PAC 4</t>
  </si>
  <si>
    <t>ECG MACHINE (H/21/204)-MONITOR DISPLAY TIDAK KELUAR WAVE DI ICU</t>
  </si>
  <si>
    <t>INFANT VENTILATOR (H/15/1616): OKSIGEN SENSOR ROSAK DI NICU</t>
  </si>
  <si>
    <t>XRAY CARM (H/23/42): MOBILE C ARM HANDSWITCH HOLDER ROSAK DI GOT</t>
  </si>
  <si>
    <t>SPO2 PROB PUTUS DI KATIL 2 RESUS ED</t>
  </si>
  <si>
    <t>Asset Name: Patient Monitor
No asset : H/20/179
Description: Spo2 probe tidak dapat bacaan 
Location: Wad 13</t>
  </si>
  <si>
    <t>LASER DIODE (RED) PHOTOCOAGULATION (H/15/4261): CERMIN MESIN LASER TERCABUT DI KLINIK MATA</t>
  </si>
  <si>
    <t>MESIN ULTRASOUND TIDAK BERFUNGSI DENGAN BAIK DI PAC 3 (H/23/8)</t>
  </si>
  <si>
    <t>LAMPU KOLIMETER TIDAK MENYALA DI BILIK NO.3 JABATAN XRAY (H/15/4874)</t>
  </si>
  <si>
    <t>REQUEST 1 UNIT BP CUFF ADULT &amp; CONNECTION MONITOR (BESI) DI REDZONE ED</t>
  </si>
  <si>
    <t>REQUEST BULB ECG (BIRU) REDZONE ED</t>
  </si>
  <si>
    <t>INFANT VENTILATOR (H/21/109): OKSIGEN SENSOR FAIL DI NICU</t>
  </si>
  <si>
    <t>BUTTON GENTRY TIDAK MENYALA DI JABATAN RADIOLOGI XRAY (H/15/2544)</t>
  </si>
  <si>
    <t>BP PROBE TIDAK BERFUNGSI DENGAN BAIK DI WAD 10A</t>
  </si>
  <si>
    <t>Asset Name: Syringe pump
No asset : 
H/15/440
Description: Unit tidak boleh dicharge
Location: ED</t>
  </si>
  <si>
    <t>Asset Name: Syringe pump
No asset : 
H/15/442
Description: Unit tidak boleh dicharge
Location: ED</t>
  </si>
  <si>
    <t>SPO2 TIDAK BERFUNGSI DENGAN BAIK (H/15/2139) WAD 8A</t>
  </si>
  <si>
    <t>SPO2 TIDAK BERFUNGSI DENGAN BAIK (H/20/180) WAD 8A</t>
  </si>
  <si>
    <t>MESIN BP TIDAK BOLEH TEKAN DI WAD 10A (H/15/2131)</t>
  </si>
  <si>
    <t>CABLE ECG HAMPIR PUTUS DI GOT (H/15/1056)</t>
  </si>
  <si>
    <t>Asset Name: Patient Monitor
No asset : H/22/144
Description: Spo2 tidak dapat bacaan 
Location: Wad 13</t>
  </si>
  <si>
    <t>BABY WARMER TEMPERATURE HIGH DI WAD 8B (H/23/55)</t>
  </si>
  <si>
    <t>DAPTONE BATTERY TIDAK BERFUNGSI DENGAN BAIK DI MOT (R/23/4)</t>
  </si>
  <si>
    <t>WARMER PATIENT TIDAK BERFUNGSI DENGAN BAIK DI RECOVERY GOT</t>
  </si>
  <si>
    <t>INFANT INCUBATOR TIDAK BERFUNGSI DENGAN BAIK (H/15/470) NICU</t>
  </si>
  <si>
    <t>INFANT INCUBATOR LOCK PINTU PATAH (H/15/475) DI NICU</t>
  </si>
  <si>
    <t>MESIN XRAY TIDAK BERFUNGSI DENGAN BAIK DI XRAY (H/15/4872)</t>
  </si>
  <si>
    <t>MESIN BP TIDAK BOLEH SETTING DI WAD ARAS 6</t>
  </si>
  <si>
    <t>VENTILATOR TIDAK BOLEH OFF DI ICU</t>
  </si>
  <si>
    <t>MESIN MOBILE C ARM TIDAK BOLEH ON DI GOT</t>
  </si>
  <si>
    <t>PATIENT WARMER TIDAK PANAS DI MOT (H/15/2449)</t>
  </si>
  <si>
    <t>MESIN ULTRASOUND SCANNER TIDAK BERFUNGSI DENGAN BAIK DI MOPD (H/15/2453)</t>
  </si>
  <si>
    <t>MESIN UTLRASOUND SCANNER TIDAK BERFUNGSI DENGAN BAIK (GAMBAR TIDAK JELAS) DI REDZONE ED</t>
  </si>
  <si>
    <t>Asset Name: Transport Ventilator
No asset : H/15/309
Description: Unit tidak berfungsi dengan baik 
Location: ED</t>
  </si>
  <si>
    <t>MESIN CR2 TIDAK BOLEH EJECT CASSETTE DI JABATAN XRAY (H/15/2542)</t>
  </si>
  <si>
    <t>DR BUTTON MOBILE C-ARM ROSAK DI OT7 GOT (H/15/2533)</t>
  </si>
  <si>
    <t>INCUBATOR BABY TIDAK PANAS DI WAD 8B (H/23/3605)</t>
  </si>
  <si>
    <t>MESIN REPROSSESING TIDAK BOLEH TEST DI HEMODIALYSIS (H/15/4036)</t>
  </si>
  <si>
    <t>MESIN VENTILATOR KELUAR AUTO LOW DI WAD ICU (H/22/87)</t>
  </si>
  <si>
    <t>2 UNIT BP CUFF ADULT ROSAK DI RECOVERY GOT</t>
  </si>
  <si>
    <t>MESIN ULTRASOUND GAMBAR TIDAK KELUAR DI ICU</t>
  </si>
  <si>
    <t>MESIN SECHIRIST VENTILATOR TIDAK BERFUNGSI DENGAN BAIK (KELUAR E74) DI RESAS (H/21/110)</t>
  </si>
  <si>
    <t>DEFIBRILLATOR(H/15/3666): CARDIAC MONITOR TIDAK BOLEH PRINT DI WAD 10B</t>
  </si>
  <si>
    <t>INFANT INCUBATOR (H/15/483) : TERDAPAT BAHAGIAN (PART) YANG  PATAH TEPI PINTU INCUBATOR DI RHU NICU</t>
  </si>
  <si>
    <t>MESIN HSNC-AIR CONNECTED PROBLEM DI RHU NICU</t>
  </si>
  <si>
    <t>MESIN ZOLL-SPO2 PROBE TIDAK DETECT DI BILIK CDC ED</t>
  </si>
  <si>
    <t>Asset Name: Patient Monitor
No asset : H/20/270
Description: Powercord Faulty
Location: GOT
Sn: FH-51016107</t>
  </si>
  <si>
    <t>H/25/115:MESIN CRRT TIDAK BERFUNGSI DENGAN BAIK DI HEMO</t>
  </si>
  <si>
    <t>Asset : Baby scale
No asset : R/15/7025
Problem : adapter rosak
Location : LDU</t>
  </si>
  <si>
    <t>MESIN CRRT (H/21/187): DISLAY SYSTEM ERROR BATTERY DI BILIK PERALATAN HDW</t>
  </si>
  <si>
    <t>Asset : Baby scale
No asset : R/15/7038
Problem : adapter rosak
Location : Ward 8B</t>
  </si>
  <si>
    <t>MESIN MOBILE XRAY: KEPALA TUBE XRAY LOOSE DI NICU (H/15/4003)</t>
  </si>
  <si>
    <t>Asset: CMS
No asset: H/15/874
Sn: V-45109264
Problem: setup new printer
Location: CCU</t>
  </si>
  <si>
    <t>SPO2 PROBE TIDAK BOLEH BACA DI CCU</t>
  </si>
  <si>
    <t>PATIENT MONITOR (H/15/5010): SPO2 PROB TIDAK BERFUNGSI DENGAN BAIK DI KATIL 2 ZONE MERAH ED</t>
  </si>
  <si>
    <t>ECG MACHINE(H/21/264): ECG TIDAK BOLEH PRINT IMAGE DI REDZONE ED</t>
  </si>
  <si>
    <t>Asset Name: Patient Monitor
No asset : H/15/2095
Description: BP tidak dapat bacaan di red zone
Location: ED</t>
  </si>
  <si>
    <t>Asset Name: Patient Monitor
No asset : H/15/2107
Description: BP cuff faulty
Location: wad 9A</t>
  </si>
  <si>
    <t>Asset: ECG machine
No. Asset: H/15/566
Problem: Printer faulty
Location: CCU</t>
  </si>
  <si>
    <t>MESIN ULTRASOUND TIDAK BOLEH ON DI BILIK ULTRASOUND JABATAN XRAY</t>
  </si>
  <si>
    <t>FILTER RO WATER TIDAK FUNCTION DI BILIK RO UNIT HEMODIALISIS</t>
  </si>
  <si>
    <t>MESIN DAPTONE: CHARGE TIDAK MASUK DI KAUNTER WAD 8B</t>
  </si>
  <si>
    <t>MESIN ENDOSCOPIC KELUAR E-14 DI BILIK CUCI DAYCARE (H/15/4337)</t>
  </si>
  <si>
    <t>CABLE FLOW SENSOR ROSAK DI NICU (15/1609)</t>
  </si>
  <si>
    <t>SYRINGE PUMP TIDAK BERFUNGSI DI WAD NICU (H/15/849)</t>
  </si>
  <si>
    <t>SYRINGE PUMP TIDAK BERFUNGSI DI WAD NICU (H/15/831)</t>
  </si>
  <si>
    <t>PRINTER MESIN ECG TIDAK BOLEH PRINT DI WAD CCU (H/15/6988)</t>
  </si>
  <si>
    <t>MESIN STELLAR TIDAK BERFUNGSI DI KAUNTER NURSE WAD 12 (H/21/142)</t>
  </si>
  <si>
    <t>SYRINGE PUMP DISPLAY SYRINGE EMPTY DI ICU (H/21/68)</t>
  </si>
  <si>
    <t>ECG PROBE HAMPIR PUTUS DI KLINIK O&amp;G (H/15/175)</t>
  </si>
  <si>
    <t>1 UNIT RODA C ARM STUCK DI OT 8 GOT</t>
  </si>
  <si>
    <t>GENERAL XRAY TABLE STUCK DI BILIK 3 XRAY</t>
  </si>
  <si>
    <t>LAMPU COLLIMETER TERBAKAR DI BILIK 2 XRAY</t>
  </si>
  <si>
    <t>LAMPU COLLIMETER TERBAKAR DI BILIK 3 XRAY</t>
  </si>
  <si>
    <t>Pacer not functioning di CCU
 H/15/652</t>
  </si>
  <si>
    <t>Pacer not functioning di CCU
H/15/653</t>
  </si>
  <si>
    <t>SPO2 TIDAK BERFUNGSI DI HDW</t>
  </si>
  <si>
    <t>MESIN DIALYSIS KELUAR ALARM DI HEMODIALISIS (H/15/1629)</t>
  </si>
  <si>
    <t>4 PCS HANDPIECE DENTAL CHAIR TIDAK BERFUNGAI DI KLINIK DENTAL (H/15/1119)</t>
  </si>
  <si>
    <t>MESIN GENERAL XRAY TIDAK BERFUNGSI DI BILIK 1 JABATAN XRAY (H/15/4873)</t>
  </si>
  <si>
    <t>BATTERY MESIN HEMODIALISI ERROR DI HDU (H/15/1635)</t>
  </si>
  <si>
    <t>BATTERY MESIN HEMODIALISIS ERROR DI HDU (H/15/1629)</t>
  </si>
  <si>
    <t>CARDIOTOCOGRAPH MACHINE (H/15/4298): TEMPAT TEKAN PAPER KELUAR PATAH DI PAC 4</t>
  </si>
  <si>
    <t>Desc: syringe pump
No asset: H/15/802
Problem: Force sensor error
Location: NICU</t>
  </si>
  <si>
    <t>Desc: syringe pump
No asset: H/15/2250
Problem: carrier kit faulty
Location: ward 8A</t>
  </si>
  <si>
    <t>PENIMBANG BABY BATTERY TIDAK BERFUNGSI DI NICU (R/15/7050)</t>
  </si>
  <si>
    <t>DENTAL CHAIR LEAKING DI BILIK 5 KLINIK DENTAL (H/15/1122)</t>
  </si>
  <si>
    <t>INCUBATOR CO2 BERBUNYI DAN HIGH TEMPERATURE DI MAKMAL MICROBIOLOGY JABATAN PATOLOGI (H/15/3964)</t>
  </si>
  <si>
    <t>BABY WARMER DISPLAY ERROR &amp; TIDAK PANAS DI OT 3 GOT</t>
  </si>
  <si>
    <t>MESIN DROPMATE DISPLAY KEYBOARD DI KAUNTER NURSE WAD CCU (H/15/1181)</t>
  </si>
  <si>
    <t>VENTILATOR LEAKING &amp; VALVE FAILED DI ICU (H/21/83)</t>
  </si>
  <si>
    <t>Asset Name: Patient Monitor
No asset : 
 H/15/5007
Description: replace bp cuff
Location: ED</t>
  </si>
  <si>
    <t>Asset Name: Patient Monitor
No asset : 
H/15/5009
Description: replace bp cuff
Location: ED</t>
  </si>
  <si>
    <t>Asset Name: Ultrasound 
No asset : H/23/6
Description: gambar tidak jelas
Loc : klinik ong</t>
  </si>
  <si>
    <t>REQUEST BATTERY INFANT SCALER DI WAD NICU (R/15/7030)</t>
  </si>
  <si>
    <t>GENERAL XRAY MACHINE (H/15/4873):CASSET XRAY TERSEKAT DI BILIK 1 XRAY</t>
  </si>
  <si>
    <t>INFANT WARMER (H/15/1582): DISPLAY ERROR 5 DI LABOUR ROOM</t>
  </si>
  <si>
    <t>1 UNIT BP CUFF LEAKING DI LDU</t>
  </si>
  <si>
    <t>INFANT INCUBATOR (H/15/475): DISPLAY MOTOR FAILER DI NICU</t>
  </si>
  <si>
    <t>ECG MEASHINE (H/21/264) : ECG LEAD BAHAGIAN V2/C2 TIDAK DAPAT DETECT BACAAN DI REDZONE ED</t>
  </si>
  <si>
    <t>Asset Name: Patient Monitor
No asset : 
1) H/21/287
Description: replace bp cuff
Location: wad 9A</t>
  </si>
  <si>
    <t>SLIT LAMP TIDAK MENYALA DI BILIK 7 KLINIK OFTAL (H/15/2831)</t>
  </si>
  <si>
    <t>MESIN DEFIB: PRINTER TAK KELUAR DI RESAS 1 REDZONE ED (H/15/3629)</t>
  </si>
  <si>
    <t>MESIN DEFIB TIDAK BERFUNGSI DENGAN BAIK DI RESAS 2 REDZONE ED (H/15/11553)</t>
  </si>
  <si>
    <t>REPLACE BP CUFF DI WAD 9B</t>
  </si>
  <si>
    <t>MOBILE C-ARM BERAT APABILA DITOLAK DI OT8 GOT</t>
  </si>
  <si>
    <t>POWER CORD CABEL ROSAK DI OT 5 GOT</t>
  </si>
  <si>
    <t>HSASWOBE26012177</t>
  </si>
  <si>
    <t>HSASWOBE26012178</t>
  </si>
  <si>
    <t>HSASWOBE26012179</t>
  </si>
  <si>
    <t>HSASWOBE26012180</t>
  </si>
  <si>
    <t>HSASWOBE26012181</t>
  </si>
  <si>
    <t>HSASWOBE26012182</t>
  </si>
  <si>
    <t>HSASWOBE26012183</t>
  </si>
  <si>
    <t>HSASWOBE26012184</t>
  </si>
  <si>
    <t>HSASWOBE26012185</t>
  </si>
  <si>
    <t>HSASWOBE26012186</t>
  </si>
  <si>
    <t>HSASWOBE26012187</t>
  </si>
  <si>
    <t>HSASWOBE26012188</t>
  </si>
  <si>
    <t>HSASWOBE26012189</t>
  </si>
  <si>
    <t>HSASWOBE26012190</t>
  </si>
  <si>
    <t>HSASWOBE26012191</t>
  </si>
  <si>
    <t>HSASWOBE26012192</t>
  </si>
  <si>
    <t>HSASWOBE26012193</t>
  </si>
  <si>
    <t>HSASWOBE26012194</t>
  </si>
  <si>
    <t>HSASWOBE26012195</t>
  </si>
  <si>
    <t>HSASWOBE26012196</t>
  </si>
  <si>
    <t>HSASWOBE26012197</t>
  </si>
  <si>
    <t>HSASWOBE26012198</t>
  </si>
  <si>
    <t>HSASWOBE26012199</t>
  </si>
  <si>
    <t>HSASWOBE26012200</t>
  </si>
  <si>
    <t>HSASWOBE26012201</t>
  </si>
  <si>
    <t>HSASWOBE26012202</t>
  </si>
  <si>
    <t>HSASWOBE26012203</t>
  </si>
  <si>
    <t>HSASWOBE26012204</t>
  </si>
  <si>
    <t>HSASWOBE26012205</t>
  </si>
  <si>
    <t>HSASWOBE26012206</t>
  </si>
  <si>
    <t>HSASWOBE26012207</t>
  </si>
  <si>
    <t>HSASWOBE26012208</t>
  </si>
  <si>
    <t>HSASWOBE26012210</t>
  </si>
  <si>
    <t>HSASWOBE26012211</t>
  </si>
  <si>
    <t>HSASWOBE26012212</t>
  </si>
  <si>
    <t>HSASWOBE26012213</t>
  </si>
  <si>
    <t>HSASWOBE26012214</t>
  </si>
  <si>
    <t>HSASWOBE26012215</t>
  </si>
  <si>
    <t>HSASWOBE26012216</t>
  </si>
  <si>
    <t>HSASWOBE26012217</t>
  </si>
  <si>
    <t>HSASWOBE26012218</t>
  </si>
  <si>
    <t>HSASWOBE26012219</t>
  </si>
  <si>
    <t>HSASWOBE26012220</t>
  </si>
  <si>
    <t>HSASWOBE26012221</t>
  </si>
  <si>
    <t>HSASWOBE26012222</t>
  </si>
  <si>
    <t>HSASWOBE26012223</t>
  </si>
  <si>
    <t>HSASWOBE26012224</t>
  </si>
  <si>
    <t>HSASWOBE26012225</t>
  </si>
  <si>
    <t>HSASWOBE26012226</t>
  </si>
  <si>
    <t>HSASWOBE26012227</t>
  </si>
  <si>
    <t>HSASWOBE26012228</t>
  </si>
  <si>
    <t>HSASWOBE26012229</t>
  </si>
  <si>
    <t>HSASWOBE26012230</t>
  </si>
  <si>
    <t>HSASWOBE26012231</t>
  </si>
  <si>
    <t>HSASWOBE26012232</t>
  </si>
  <si>
    <t>HSASWOBE26012233</t>
  </si>
  <si>
    <t>HSASWOBE26012234</t>
  </si>
  <si>
    <t>HSASWOBE26012235</t>
  </si>
  <si>
    <t>HSASWOBE26012236</t>
  </si>
  <si>
    <t>HSASWOBE26012237</t>
  </si>
  <si>
    <t>HSASWOBE26012238</t>
  </si>
  <si>
    <t>HSASWOBE26012239</t>
  </si>
  <si>
    <t>HSASWOBE26012240</t>
  </si>
  <si>
    <t>HSASWOBE26012241</t>
  </si>
  <si>
    <t>HSASWOBE26012242</t>
  </si>
  <si>
    <t>HSASWOBE26012243</t>
  </si>
  <si>
    <t>HSASWOBE26012244</t>
  </si>
  <si>
    <t>HSASWOBE26012245</t>
  </si>
  <si>
    <t>HSASWOBE26012246</t>
  </si>
  <si>
    <t>HSASWOBE26012247</t>
  </si>
  <si>
    <t>HSASWOBE26012248</t>
  </si>
  <si>
    <t>HSASWOBE26012249</t>
  </si>
  <si>
    <t>HSASWOBE26012250</t>
  </si>
  <si>
    <t>HSASWOBE26012251</t>
  </si>
  <si>
    <t>HSASWOBE26012252</t>
  </si>
  <si>
    <t>HSASWOBE26012253</t>
  </si>
  <si>
    <t>HSASWOBE26012254</t>
  </si>
  <si>
    <t>HSASWOBE26012255</t>
  </si>
  <si>
    <t>HSASWOBE26012256</t>
  </si>
  <si>
    <t>HSASWOBE26012257</t>
  </si>
  <si>
    <t>HSASWOBE26012258</t>
  </si>
  <si>
    <t>HSASWOBE26012259</t>
  </si>
  <si>
    <t>HSASWOBE26012263</t>
  </si>
  <si>
    <t>HSASWOBE26012264</t>
  </si>
  <si>
    <t>HSASWOBE26012265</t>
  </si>
  <si>
    <t>HSASWOBE26012266</t>
  </si>
  <si>
    <t>HSASWOBE26012267</t>
  </si>
  <si>
    <t>HSASWOBE26012268</t>
  </si>
  <si>
    <t>HSASWOBE26012269</t>
  </si>
  <si>
    <t>HSASWOBE26012270</t>
  </si>
  <si>
    <t>HSASWOBE26012271</t>
  </si>
  <si>
    <t>HSASWOBE26012272</t>
  </si>
  <si>
    <t>HSASWOBE26012273</t>
  </si>
  <si>
    <t>HSASWOBE26012274</t>
  </si>
  <si>
    <t>HSASWOBE26012275</t>
  </si>
  <si>
    <t>HSASWOBE26012276</t>
  </si>
  <si>
    <t>HSASWOBE26012277</t>
  </si>
  <si>
    <t>HSASWOBE26012278</t>
  </si>
  <si>
    <t>HSASWOBE26012279</t>
  </si>
  <si>
    <t>HSASWOBE26012280</t>
  </si>
  <si>
    <t>HSASWOBE26012281</t>
  </si>
  <si>
    <t>HSASWOBE26012282</t>
  </si>
  <si>
    <t>HSASWOBE26012283</t>
  </si>
  <si>
    <t>HSASWOBE26012284</t>
  </si>
  <si>
    <t>HSASWOBE26012285</t>
  </si>
  <si>
    <t>HSASWOBE26012286</t>
  </si>
  <si>
    <t>HSASWOBE26012287</t>
  </si>
  <si>
    <t>HSASWOBE26012288</t>
  </si>
  <si>
    <t>HSASWOBE26012289</t>
  </si>
  <si>
    <t>HSASWOBE26012290</t>
  </si>
  <si>
    <t>HSASWOBE26012291</t>
  </si>
  <si>
    <t>HSASWOBE26012292</t>
  </si>
  <si>
    <t>HSASWOBE26012293</t>
  </si>
  <si>
    <t>HSASWOBE26012294</t>
  </si>
  <si>
    <t>HSASWOBE26012295</t>
  </si>
  <si>
    <t>HSASWOBE26012296</t>
  </si>
  <si>
    <t>HSASWOBE26012297</t>
  </si>
  <si>
    <t>HSASWOBE26012298</t>
  </si>
  <si>
    <t>HSASWOBE26012299</t>
  </si>
  <si>
    <t>HSASWOBE26012300</t>
  </si>
  <si>
    <t>HSASWOBE26012301</t>
  </si>
  <si>
    <t>HSASWOBE26012302</t>
  </si>
  <si>
    <t>HSASWOBE26012303</t>
  </si>
  <si>
    <t>HSASWOBE26012304</t>
  </si>
  <si>
    <t>HSASWOBE26012305</t>
  </si>
  <si>
    <t>HSASWOBE26012306</t>
  </si>
  <si>
    <t>HSASWOBE26012307</t>
  </si>
  <si>
    <t>HSASWOBE26012308</t>
  </si>
  <si>
    <t>HSASWOBE26012309</t>
  </si>
  <si>
    <t>HSASWOBE26012310</t>
  </si>
  <si>
    <t>HSASWOBE26012313</t>
  </si>
  <si>
    <t>HSASWOBE26012314</t>
  </si>
  <si>
    <t>HSASWOBE26012315</t>
  </si>
  <si>
    <t>HSASWOBE26012316</t>
  </si>
  <si>
    <t>HSASWOBE26012317</t>
  </si>
  <si>
    <t>HSASWOBE26012318</t>
  </si>
  <si>
    <t>HSASWOBE26012319</t>
  </si>
  <si>
    <t>HSASWOBE26012320</t>
  </si>
  <si>
    <t>HSASWOBE26012321</t>
  </si>
  <si>
    <t>HSASWOBE26012322</t>
  </si>
  <si>
    <t>HSASWOBE26012323</t>
  </si>
  <si>
    <t>HSASWOBE26012324</t>
  </si>
  <si>
    <t>HSASWOBE26012338</t>
  </si>
  <si>
    <t>HSASWOBE26012339</t>
  </si>
  <si>
    <t>HSASWOBE26012340</t>
  </si>
  <si>
    <t>HSASWOBE26012341</t>
  </si>
  <si>
    <t>HSASWOBE26012342</t>
  </si>
  <si>
    <t>HSASWOBE26012343</t>
  </si>
  <si>
    <t>HSASWOBE26012344</t>
  </si>
  <si>
    <t>HSASWOBE26012345</t>
  </si>
  <si>
    <t>HSASWOBE26012346</t>
  </si>
  <si>
    <t>HSASWOBE26012347</t>
  </si>
  <si>
    <t>HSASWOBE26012348</t>
  </si>
  <si>
    <t>HSASWOBE26012349</t>
  </si>
  <si>
    <t>HSASWOBE26012351</t>
  </si>
  <si>
    <t>HSASWOBE26012352</t>
  </si>
  <si>
    <t>HSASWOBE26012353</t>
  </si>
  <si>
    <t>HSASWOBE26012354</t>
  </si>
  <si>
    <t>HSASWOBE26012355</t>
  </si>
  <si>
    <t>HSASWOBE26012356</t>
  </si>
  <si>
    <t>HSASWOBE26012357</t>
  </si>
  <si>
    <t>HSASWOBE26012358</t>
  </si>
  <si>
    <t>HSASWOBE26012359</t>
  </si>
  <si>
    <t>HSASWOBE26012360</t>
  </si>
  <si>
    <t>HSASWOBE26012361</t>
  </si>
  <si>
    <t>HSASWOBE26012362</t>
  </si>
  <si>
    <t>HSASWOBE26012363</t>
  </si>
  <si>
    <t>HSASWOBE26012364</t>
  </si>
  <si>
    <t>HSASWOBE26012365</t>
  </si>
  <si>
    <t>HSASWOBE26012366</t>
  </si>
  <si>
    <t>HSASWOBE26012372</t>
  </si>
  <si>
    <t>HSASWOBE26012373</t>
  </si>
  <si>
    <t>HSASWOBE26012374</t>
  </si>
  <si>
    <t>HSASWOBE26012375</t>
  </si>
  <si>
    <t>HSASWOBE26012376</t>
  </si>
  <si>
    <t>HSASWOBE26012377</t>
  </si>
  <si>
    <t>HSASWOBE26012378</t>
  </si>
  <si>
    <t>HSASWOBE26012379</t>
  </si>
  <si>
    <t>HSASWOBE26012380</t>
  </si>
  <si>
    <t>HSASWOBE26012381</t>
  </si>
  <si>
    <t>HSASWOBE26012382</t>
  </si>
  <si>
    <t>HSASWOBE26012383</t>
  </si>
  <si>
    <t>HSASWOBE26012384</t>
  </si>
  <si>
    <t>HSASWOBE26012385</t>
  </si>
  <si>
    <t>HSASWOBE26012386</t>
  </si>
  <si>
    <t>HSASWOBE26012387</t>
  </si>
  <si>
    <t>HSASWOBE26012388</t>
  </si>
  <si>
    <t>HSASWOBE26012389</t>
  </si>
  <si>
    <t>HSASWOBE26012390</t>
  </si>
  <si>
    <t>HSASWOBE26012391</t>
  </si>
  <si>
    <t>HSASWOBE26012392</t>
  </si>
  <si>
    <t>HSASWOBE26012393</t>
  </si>
  <si>
    <t>HSASWOBE26012394</t>
  </si>
  <si>
    <t>HSASWOBE26012395</t>
  </si>
  <si>
    <t>HSASWOBE26012396</t>
  </si>
  <si>
    <t>HSASWOBE26012397</t>
  </si>
  <si>
    <t>HSASWOBE26012398</t>
  </si>
  <si>
    <t>HSASWOBE26012399</t>
  </si>
  <si>
    <t>HSASWOBE26012400</t>
  </si>
  <si>
    <t>HSASWOBE26012401</t>
  </si>
  <si>
    <t>HSASWOBE26012402</t>
  </si>
  <si>
    <t>HSASWOBE26012403</t>
  </si>
  <si>
    <t>HSASWOBE26012404</t>
  </si>
  <si>
    <t>HSASWOBE26012405</t>
  </si>
  <si>
    <t>HSASWOBE26012406</t>
  </si>
  <si>
    <t>HSASWOBE26012407</t>
  </si>
  <si>
    <t>HSASWOBE26012408</t>
  </si>
  <si>
    <t>HSASWOBE26012409</t>
  </si>
  <si>
    <t>HSASWOBE26012410</t>
  </si>
  <si>
    <t>HSASWOBE26012411</t>
  </si>
  <si>
    <t>HSASWOBE26012412</t>
  </si>
  <si>
    <t>HSASWOBE26012413</t>
  </si>
  <si>
    <t>HSASWOBE26012414</t>
  </si>
  <si>
    <t>HSASWOBE26012415</t>
  </si>
  <si>
    <t>HSASWOBE26012416</t>
  </si>
  <si>
    <t>HSASWOBE26012417</t>
  </si>
  <si>
    <t>HSASWOBE26012418</t>
  </si>
  <si>
    <t>HSASWOBE26012419</t>
  </si>
  <si>
    <t>HSASWOBE26012420</t>
  </si>
  <si>
    <t>HSASWOBE26012421</t>
  </si>
  <si>
    <t>HSASWOBE26012422</t>
  </si>
  <si>
    <t>HSASWOBE26012423</t>
  </si>
  <si>
    <t>HSASWOBE26012424</t>
  </si>
  <si>
    <t>HSASWOBE26012425</t>
  </si>
  <si>
    <t>HSASWOBE26012426</t>
  </si>
  <si>
    <t>HSASWOBE26012427</t>
  </si>
  <si>
    <t>HSASWOBE26012428</t>
  </si>
  <si>
    <t>HSASWOBE26012429</t>
  </si>
  <si>
    <t>HSASWOBE26012430</t>
  </si>
  <si>
    <t>HSASWOBE26012431</t>
  </si>
  <si>
    <t>HSASWOBE26012432</t>
  </si>
  <si>
    <t>HSASWOBE26012433</t>
  </si>
  <si>
    <t>HSASWOBE26012434</t>
  </si>
  <si>
    <t>HSASWOBE26012435</t>
  </si>
  <si>
    <t>HSASWOBE26012436</t>
  </si>
  <si>
    <t>HSASWOBE26012437</t>
  </si>
  <si>
    <t>HSASWOBE26012438</t>
  </si>
  <si>
    <t>HSASWOBE26012439</t>
  </si>
  <si>
    <t>HSASWOBE26012440</t>
  </si>
  <si>
    <t>HSASWOBE26012441</t>
  </si>
  <si>
    <t>HSASWOBE26012444</t>
  </si>
  <si>
    <t>HSASWOBE26012445</t>
  </si>
  <si>
    <t>HSASWOBE26012446</t>
  </si>
  <si>
    <t>HSASWOBE26012447</t>
  </si>
  <si>
    <t>HSASWOBE26012448</t>
  </si>
  <si>
    <t>HSASWOBE26012449</t>
  </si>
  <si>
    <t>HSASWOBE26012450</t>
  </si>
  <si>
    <t>HSASWOBE26012451</t>
  </si>
  <si>
    <t>HSASWOBE26012452</t>
  </si>
  <si>
    <t>HSASWOBE26012453</t>
  </si>
  <si>
    <t>HSASWOBE26012454</t>
  </si>
  <si>
    <t>HSASWOBE26012455</t>
  </si>
  <si>
    <t>HSASWOBE26012456</t>
  </si>
  <si>
    <t>HSASWOBE26012457</t>
  </si>
  <si>
    <t>HSASWOBE26012458</t>
  </si>
  <si>
    <t>HSASWOBE26012459</t>
  </si>
  <si>
    <t>HSASWOBE26012460</t>
  </si>
  <si>
    <t>HSASWOBE26012461</t>
  </si>
  <si>
    <t>HSASWOBE26012462</t>
  </si>
  <si>
    <t>HSASWOBE26012463</t>
  </si>
  <si>
    <t>HSASWOBE26012464</t>
  </si>
  <si>
    <t>HSASWOBE26012465</t>
  </si>
  <si>
    <t>HSASWOBE26012466</t>
  </si>
  <si>
    <t>HSASWOBE26012467</t>
  </si>
  <si>
    <t>HSASWOBE26012468</t>
  </si>
  <si>
    <t>HSASWOBE26012469</t>
  </si>
  <si>
    <t>HSASWOBE26012470</t>
  </si>
  <si>
    <t>HSASWOBE26012471</t>
  </si>
  <si>
    <t>HSASWOBE26012472</t>
  </si>
  <si>
    <t>HSASWOBE26012473</t>
  </si>
  <si>
    <t>HSASWOBE26012474</t>
  </si>
  <si>
    <t>HSASWOBE26012475</t>
  </si>
  <si>
    <t>HSASWOBE26012476</t>
  </si>
  <si>
    <t>HSASWOBE26012477</t>
  </si>
  <si>
    <t>HSASWOBE26012478</t>
  </si>
  <si>
    <t>HSASWOBE26012479</t>
  </si>
  <si>
    <t>HSASWOBE26012480</t>
  </si>
  <si>
    <t>HSASWOBE26012481</t>
  </si>
  <si>
    <t>HSASWOBE26012482</t>
  </si>
  <si>
    <t>HSASWOBE26012483</t>
  </si>
  <si>
    <t>HSASWOBE26012484</t>
  </si>
  <si>
    <t>HSASWOBE26012485</t>
  </si>
  <si>
    <t>HSASWOBE26012709</t>
  </si>
  <si>
    <t>DIGITAL BLOOD PRESSURE</t>
  </si>
  <si>
    <t>MOBILE X-RAY MACHINE (H/15/4999)</t>
  </si>
  <si>
    <t>KKM/JKN/HSA/10-05-01/H/15/2535</t>
  </si>
  <si>
    <t>MOBILE X-RAY MACHINE</t>
  </si>
  <si>
    <t>KKM/JKN/HSA/10-05-01/H/15/2537</t>
  </si>
  <si>
    <t>NEBULIZER</t>
  </si>
  <si>
    <t>LASER PRINTER</t>
  </si>
  <si>
    <t>FA004</t>
  </si>
  <si>
    <t>VITALOGRAPH SPIROMETER</t>
  </si>
  <si>
    <t>PHOTOTHERAPY RADIOMETER</t>
  </si>
  <si>
    <t>MACHINE CPM KNEE (P 0045 N)</t>
  </si>
  <si>
    <t>CRYOSTAT</t>
  </si>
  <si>
    <t>PARRAFIN SECTION MOUNTING BATH</t>
  </si>
  <si>
    <t>PATIENT MONITORING EQUIP. (AUTOMATIC MULTIPARAMETER)</t>
  </si>
  <si>
    <t xml:space="preserve">PULSE OXIMETER </t>
  </si>
  <si>
    <t>RESPIRATION HUMIDIFIER</t>
  </si>
  <si>
    <t>PLASMA THAWER</t>
  </si>
  <si>
    <t>NON INVASIVE CARDIAC OUTPUT MONITORING</t>
  </si>
  <si>
    <t>ELECTRICAL NERVE STIMULATOR</t>
  </si>
  <si>
    <t xml:space="preserve">HUMAN PATIENT SIMULATOR </t>
  </si>
  <si>
    <t>DEFIBRILLATOR PACER ANALYZER</t>
  </si>
  <si>
    <t>VORTEX MIXER</t>
  </si>
  <si>
    <t>KKM/JKN/HSA/10-05-01/H/15/2534</t>
  </si>
  <si>
    <t>ANALYTICAL BALANCE</t>
  </si>
  <si>
    <t>KKM/JKN/HSA/10-05-01/H/15/4030</t>
  </si>
  <si>
    <t>KKM/JKN/HSA/10-05-01/H/15/466</t>
  </si>
  <si>
    <t>SUCTION PUMP (ASPIRATOR)</t>
  </si>
  <si>
    <t>ENTERAL FEEDING PUMP</t>
  </si>
  <si>
    <t>PORTABLE  REVERSE OSMOSIS (RO) WATER SYSTEM</t>
  </si>
  <si>
    <t>MESIN PENIMBANG/SCALE</t>
  </si>
  <si>
    <t>MAMMO X-RAY MACHINE</t>
  </si>
  <si>
    <t>KKM/JKN/HSA/10-05-01/H/15/1278</t>
  </si>
  <si>
    <t>OPERATION TABLE</t>
  </si>
  <si>
    <t>ELECTROSURGERY</t>
  </si>
  <si>
    <t>MODULE (PMS)</t>
  </si>
  <si>
    <t>KKM/JKN/HSA/10-05-01/H/15/2413</t>
  </si>
  <si>
    <t>KKM/JKN/HSA/10-05-01/H/15/2414</t>
  </si>
  <si>
    <t>KKM/JKN/HSA/10-05-01/H/15/2415</t>
  </si>
  <si>
    <t>KKM/JKN/HSA/10-05-01/H/15/2416</t>
  </si>
  <si>
    <t>KKM/JKN/HSA/10-05-01/H/15/2417</t>
  </si>
  <si>
    <t>KKM/JKN/HSA/10-05-01/H/15/2418</t>
  </si>
  <si>
    <t>KKM/JKN/HSA/10-05-01/H/15/2539</t>
  </si>
  <si>
    <t>X-RAY MESIN ANGIOGRAFI SYSTEM BIPLANE</t>
  </si>
  <si>
    <t>MEDICAL AIR COMPRESSOR</t>
  </si>
  <si>
    <t>VENAFLOW SYSTEM</t>
  </si>
  <si>
    <t>KKM/JKN/HSA/10-05-01/H/15/1276</t>
  </si>
  <si>
    <t>KKM/JKN/HSA/10-05-01/H/15/1277</t>
  </si>
  <si>
    <t>KKM/JKN/HSA/10-05-01/H/16/117</t>
  </si>
  <si>
    <t>KKM/JKN/HSA/10-05-01/H/16/118</t>
  </si>
  <si>
    <t>KKM/JKN/HSA/10-05-01/R/15/17211</t>
  </si>
  <si>
    <t>KKM/JKN/HSA/10-05-01/R/15/17212</t>
  </si>
  <si>
    <t>KKM/JKN/HSA/10-05-01/H/15/3999</t>
  </si>
  <si>
    <t>OSMOMETERS</t>
  </si>
  <si>
    <t>CELL WASH CENTRIFUGE (SEROFUGE)</t>
  </si>
  <si>
    <t>KKM/JKN/HSA/10-05-01/H/15/4015</t>
  </si>
  <si>
    <t>ASET BER</t>
  </si>
  <si>
    <t>PPM NOT DONE</t>
  </si>
  <si>
    <t>PPM NOT DONE, BER</t>
  </si>
  <si>
    <t>H/21/147</t>
  </si>
  <si>
    <t>H/21/144</t>
  </si>
  <si>
    <t>HSASWIBE26011767</t>
  </si>
  <si>
    <t>HSASWIBE26011768</t>
  </si>
  <si>
    <t>HSASWIBE26011769</t>
  </si>
  <si>
    <t>HSASWIBE26011770</t>
  </si>
  <si>
    <t>HSASWIBE26011856</t>
  </si>
  <si>
    <t>HSASWIBE26011984</t>
  </si>
  <si>
    <t>HSASWIBE26012034</t>
  </si>
  <si>
    <t>HSASWIBE26012035</t>
  </si>
  <si>
    <t>HSASWIBE26012036</t>
  </si>
  <si>
    <t>HSASWIBE26012061</t>
  </si>
  <si>
    <t>HSASWIBE26012146</t>
  </si>
  <si>
    <t>HSASWIBE26012754</t>
  </si>
  <si>
    <t>HSASWIBE26012756</t>
  </si>
  <si>
    <t>HSASWIBE26013508</t>
  </si>
  <si>
    <t>HSASWIBE26014208</t>
  </si>
  <si>
    <t>HSASWIBE26014209</t>
  </si>
  <si>
    <t>HSASWIBE26014210</t>
  </si>
  <si>
    <t>HSASWIBE26014211</t>
  </si>
  <si>
    <t>HSASWIBE26014428</t>
  </si>
  <si>
    <t>HSASWIBE26014429</t>
  </si>
  <si>
    <t>HSASWIBE26014430</t>
  </si>
  <si>
    <t>HSASWIBE26014431</t>
  </si>
  <si>
    <t>HSASWIBE26014840</t>
  </si>
  <si>
    <t>HSASWIBE26014850</t>
  </si>
  <si>
    <t>HSASWIBE26015620</t>
  </si>
  <si>
    <t>Desc asset: (H/15/3629)
INFANT VENTILATOR
Problem: FLOW SENSOR FAULTY
Model: BABYLOG 8000
Location: NICU</t>
  </si>
  <si>
    <t>Desc asset: (H/15/1609) INFANT VENTILATOR
Problem: FLOW SENSOR FAULTY
Model: BABYLOG 8000
Location: NICU</t>
  </si>
  <si>
    <t>Desc asset: INFANT VENTILATOR (H/15/3630)
Problem: FLOW SENSOR FAULTY
Model: BABYLOG 8000
Location: NICU</t>
  </si>
  <si>
    <t>Desc asset: INFANT VENTILATOR (H/15/1611)
Problem: FLOW SENSOR FAULTY
Model: BABYLOG 8000
Location: NICU</t>
  </si>
  <si>
    <t>Asset Name: ECG machine 
No asset : H/15/2802
Description: chest bulb broken
Location: ED</t>
  </si>
  <si>
    <t>REQUEST TUKAR 1 UNIT KLIP SPO2 DI KATIL 3 REDZONE ED</t>
  </si>
  <si>
    <t>Asset Name: Infant Ventilator
No asset : H/21/140
Description: replace inlet filter
Location: Wad 12</t>
  </si>
  <si>
    <t>Asset: Patient monitor
No asset: H/15/2168
Description: NIBP cuff faulty
Location: Ward 6</t>
  </si>
  <si>
    <t>Asset: Vital sign
No asset: H/20/178
Description: NIBP cuff faulty
Location: Ward 6</t>
  </si>
  <si>
    <t>Asset: ultrasound scanner
No asset: H/15/4335
Description: not function
Location: klinik oftal</t>
  </si>
  <si>
    <t>Asset: spot vital sign
No asset: H/20/256
Description: nibp cuff faulty
Location: klinik rehab</t>
  </si>
  <si>
    <t>REQUEST 2 UNIT BP CUFF ADULT DI WAD 9A</t>
  </si>
  <si>
    <t>REQUEST 1 UNIT BP CUFF SAIZ M DI RECOVERY GOT</t>
  </si>
  <si>
    <t>REQUEST 2 UNIT BP CUFF DI RECOVERY GOT</t>
  </si>
  <si>
    <t>REQUEST FLOW SENSOR DI NICU (H/15/1609)</t>
  </si>
  <si>
    <t>REQUEST FLOW SENSOR DI NICU (H/15/3629)</t>
  </si>
  <si>
    <t>REQUEST FLOW SENSOR DI NICU (H/15/3630)</t>
  </si>
  <si>
    <t>REQUEST FLOW SENSOR DI NICU (H/15/1618)</t>
  </si>
  <si>
    <t>Asset: Patient monitor
No asset: H/15/947
Problem: BP cuff faulty</t>
  </si>
  <si>
    <t>Asset: Patient monitor
No asset: H/15/948
Problem: BP cuff faulty</t>
  </si>
  <si>
    <t>Asset: Patient monitor
No asset: H/15/579
Problem: BP cuff faulty</t>
  </si>
  <si>
    <t>Asset: Patient monitor
No asset: H/15/949
Problem: BP cuff faulty</t>
  </si>
  <si>
    <t>Asset Name: Patient Monitor
No asset : HSAS10084
Description: replace ecg leads cable</t>
  </si>
  <si>
    <t>REQUEST 2 UNIT SPO2 PROBE ADULT DI REDZONE ED</t>
  </si>
  <si>
    <t>Asset no: H/24/15
Serial no: GI1010317
Asset description: DPOAE Screening
Problem: replace OAE cable 
Lokasi: Klinik orl</t>
  </si>
  <si>
    <t>BREAKDOWN RIW</t>
  </si>
  <si>
    <t>0 days, 0 hrs, 09 mins</t>
  </si>
  <si>
    <t>0 days, 1 hrs, 08 mins</t>
  </si>
  <si>
    <t>0 days, 1 hrs, 45 mins</t>
  </si>
  <si>
    <t>0 days, 1 hrs, 15 mins</t>
  </si>
  <si>
    <t>0 days, 1 hrs, 28 mins</t>
  </si>
  <si>
    <t>0 days, 0 hrs,  04mins</t>
  </si>
  <si>
    <t>0 days, 0 hrs, 27 mins</t>
  </si>
  <si>
    <t>0 days, 0 hrs,25 mins</t>
  </si>
  <si>
    <t>0 days, 0 hrs, 40 mins</t>
  </si>
  <si>
    <t>0 days, 1  hrs, 20 mins</t>
  </si>
  <si>
    <t>0 days, 1 hrs, 10 mins</t>
  </si>
  <si>
    <t>0 days, 1 hrs, 06 mins</t>
  </si>
  <si>
    <t>0 days, 0 hrs, 58 mins</t>
  </si>
  <si>
    <t>0 days, 0 hrs, 9 mins</t>
  </si>
  <si>
    <t>0 days, 0 hrs, 6 mins</t>
  </si>
  <si>
    <t>0 days, 0 hrs, 22 mins</t>
  </si>
  <si>
    <t>0 days, 0 hrs, 21 mins</t>
  </si>
  <si>
    <t>0 days, 0 hrs, 19 mins</t>
  </si>
  <si>
    <t>0 days, 0 hrs, 52 mins</t>
  </si>
  <si>
    <t>H/15/5382</t>
  </si>
  <si>
    <t>0 days, 1 hrs, 11 mins</t>
  </si>
  <si>
    <t>0 days, 0 hrs, 41 mins</t>
  </si>
  <si>
    <t>0 days, 1 hrs, 36 mins</t>
  </si>
  <si>
    <t>0 days, 0 hrs, 8 mins</t>
  </si>
  <si>
    <t>0 days, 0 hrs, 4 mins</t>
  </si>
  <si>
    <t>0 days, 0 hrs, 59 mins</t>
  </si>
  <si>
    <t>0 days, 1 hrs, 3 mins</t>
  </si>
  <si>
    <t>0 days, 0 hrs, 1 mins</t>
  </si>
  <si>
    <t>0 days, 1 hrs, 40 mins</t>
  </si>
  <si>
    <t>0 days, 1 hrs, 2 mins</t>
  </si>
  <si>
    <t>0 days, 1 hrs, 42 mins</t>
  </si>
  <si>
    <t>0 days, 0 hrs, 29 mins</t>
  </si>
  <si>
    <t>0 days, 0 hrs, 45 mins</t>
  </si>
  <si>
    <t>0 days, 1 hrs, 22 mins</t>
  </si>
  <si>
    <t>0 days, 1 hrs, 14 mins</t>
  </si>
  <si>
    <t>0 days, 0 hrs, 37 mins</t>
  </si>
  <si>
    <t>0 days, 1 hrs, 35 mins</t>
  </si>
  <si>
    <t>0 days, 1 hrs, 26 mins</t>
  </si>
  <si>
    <t>0 days, 1 hrs, 33 mins</t>
  </si>
  <si>
    <t>KKM/JKN/HAS/10-05-01/H/20/180</t>
  </si>
  <si>
    <t>0 days, 1 hrs, 19 mins</t>
  </si>
  <si>
    <t>0 days, 1 hrs, 38 mins</t>
  </si>
  <si>
    <t>0 days, 1 hrs, 9 mins</t>
  </si>
  <si>
    <t>0 days, 0 hrs, 7 mins</t>
  </si>
  <si>
    <t>0 days, 1 hrs, 27 mins</t>
  </si>
  <si>
    <t>0 days, 0 hrs, 3 mins</t>
  </si>
  <si>
    <t>0 days, 0 hrs, 5 mins</t>
  </si>
  <si>
    <t>0 days, 0 hrs, 13 mins</t>
  </si>
  <si>
    <t>0 days,  hrs, 51 mins</t>
  </si>
  <si>
    <t>0 days, 0 hrs, 02 mins</t>
  </si>
  <si>
    <t>ZUWA</t>
  </si>
  <si>
    <t>0 days,1 hrs, 08 mins</t>
  </si>
  <si>
    <t>NORMAL</t>
  </si>
  <si>
    <t>KKM/JKN/HSA/10-05-10/H/21/204</t>
  </si>
  <si>
    <t>KKM/JKN/HSA/10-05-10/H/21/109</t>
  </si>
  <si>
    <t>KKM/JKNS/HSA/10-05-01/H/24/15</t>
  </si>
  <si>
    <t>0 days, 1 hrs, 01 mins</t>
  </si>
  <si>
    <t>0 days, 0 hrs, 01 mins</t>
  </si>
  <si>
    <t>KKM/JKN/HSA/10-05-01/25/115</t>
  </si>
  <si>
    <t>JABATAN PEMBEDAHAN AM</t>
  </si>
  <si>
    <t>JABATAN KECEMASAN DAN TRAUMA</t>
  </si>
  <si>
    <t>HDU</t>
  </si>
  <si>
    <t>Jabatan Pengimejan &amp; Diagnostik</t>
  </si>
  <si>
    <t>0 days, 0 hrs, 36 mins</t>
  </si>
  <si>
    <t>0 days, 0 hrs, 50 mins</t>
  </si>
  <si>
    <t>Wad 13 (VIP)</t>
  </si>
  <si>
    <t>WAD 10A (Wad Perubatan Lelaki 10A)</t>
  </si>
  <si>
    <t>WAD 10B (Wad Perubatan Perempuan 10B)</t>
  </si>
  <si>
    <t>WAD 9B (Wad Pembedahan Lelaki 9B)</t>
  </si>
  <si>
    <t>MONITOR 4 CH, ECG/RR/NIBP/SP02/TEMP</t>
  </si>
  <si>
    <t>MONITOR MODULAR 8-CH ECG/RR/NIBP/SP02/2TEMP/2IBP</t>
  </si>
  <si>
    <t>MONITOR PRE-CONFIG 6-CH ECG/RR/SP02/NIBP/2TEMP/2IBP/LETHAL ARRHYTH</t>
  </si>
  <si>
    <t>ECG P0RTABLE MAINS/BATTERY OP</t>
  </si>
  <si>
    <t>MONITOR PRE-CONFIG 6-CH ECG/RR/SP02/NIBP/2TEMP/2IBP/12L/ARRHYTH</t>
  </si>
  <si>
    <t>MONITOR, TRANSP0RT</t>
  </si>
  <si>
    <t>UR</t>
  </si>
  <si>
    <t>SAZLIN</t>
  </si>
  <si>
    <t>HSASWIBE26006661</t>
  </si>
  <si>
    <t>TNC MESIN OCT DI KLINIK OFTAL</t>
  </si>
  <si>
    <t>H/16/120</t>
  </si>
  <si>
    <t>NA</t>
  </si>
  <si>
    <t>CLOSE, POSTPONE OTHER DATE</t>
  </si>
  <si>
    <t>-</t>
  </si>
  <si>
    <t>Klinik Pediatrik (PAEDIATRIC CLINIC)</t>
  </si>
  <si>
    <t>Klinik Ortopedik (ORTHO CLINIC)</t>
  </si>
  <si>
    <t>WAD 11 (Orthopaedic Ward)</t>
  </si>
  <si>
    <t>(Multidiscipline Ward) MDW</t>
  </si>
  <si>
    <t>IN PATIENT PHARMACY</t>
  </si>
  <si>
    <t>Perubatan Forensik (MORTUARY)</t>
  </si>
  <si>
    <t>Klinik Pembedahan Am (GEN SURGICAL CLINIC)</t>
  </si>
  <si>
    <t>CLOSE 27/3/26</t>
  </si>
  <si>
    <t>BELUM CLOSE, RIW</t>
  </si>
  <si>
    <t>CLOSE 17/3/26</t>
  </si>
  <si>
    <t>CLOSE 30/3/26</t>
  </si>
  <si>
    <t>CLOSE 3/3/26</t>
  </si>
  <si>
    <t>CLOSE 5/3/26</t>
  </si>
  <si>
    <t>BD PO 71818 DRAGER</t>
  </si>
  <si>
    <t>BD, QUOTATION QUO-AFMAL-26068-001  RECEIVE 30/3/26</t>
  </si>
  <si>
    <t>BD, PO 72051 IDS MEDICAL</t>
  </si>
  <si>
    <t>BD, PROBE FAULTY. WAITING INVOICE INFINITY MEDICAL</t>
  </si>
  <si>
    <t>BD, PRAWSB73640 DRAGER</t>
  </si>
  <si>
    <t>BD, WAIITNG MYLAB ALPHA INVOICE</t>
  </si>
  <si>
    <t>BD, PRF-439 RAPHA MEDICAL, UNIT SEND FOR REPAIR</t>
  </si>
  <si>
    <t>RIW, ASET NOT IN CONTRACT</t>
  </si>
  <si>
    <t>BD, CLOSE APRIL DUE BATTERY ISSUE</t>
  </si>
  <si>
    <t>BD, QUOTATION QEM40042 EMSTEC MEDICAL RECEIVE 30/3/26</t>
  </si>
  <si>
    <t>BD, PRF-436 PUREMEDITECH</t>
  </si>
  <si>
    <t>BD, UNDER TROUBLESHOOTING BY OLYMPUS</t>
  </si>
  <si>
    <t>BD, WAITING QUOTATION GLOBAL HEALTHCARE</t>
  </si>
  <si>
    <t>BD, PO 71818 DRAEGER</t>
  </si>
  <si>
    <t>NO UPDATE</t>
  </si>
  <si>
    <t>IZZAH</t>
  </si>
  <si>
    <t>REEN</t>
  </si>
  <si>
    <t>SYAMSUL</t>
  </si>
  <si>
    <t>CLOSE APRIL, PARTS ARRIVE 13/4/26</t>
  </si>
  <si>
    <t>BD,UNIT SEND OUT TO OLYMPUS, WAITING QUOTATION AND REPORT FROM OLYMPUS</t>
  </si>
  <si>
    <t>BD, PENDING INVOICE GETZ HEALTHCARE</t>
  </si>
  <si>
    <t>BD, TA BER 26/010 UNDER REVIEW</t>
  </si>
  <si>
    <t>BD, WAITING PARTS FROM INSAN DAMAI</t>
  </si>
  <si>
    <t>BD, PO 71658 MAGNA, WAITING SOFTWARE DRIVER</t>
  </si>
  <si>
    <t>BD, PENDING QUOTATION VENDOR. BOARD FAULTY UMEDIC</t>
  </si>
  <si>
    <t>BD, SEND OUT TO DRAGER, WAIITNG QUOTATION</t>
  </si>
  <si>
    <t>BD, PO 71816 DRAGER</t>
  </si>
  <si>
    <t>BD,PO 71817 DRAGER</t>
  </si>
  <si>
    <t>BD, TA BER UNDER REVIEW</t>
  </si>
  <si>
    <t>BD, TA BER 26/011 UNDER REVIEW</t>
  </si>
  <si>
    <t>CM, PARTS ARRIVE APRIL</t>
  </si>
  <si>
    <t xml:space="preserve">PO AWSB 71397 GLOBAL PRECISION
ETA MAY </t>
  </si>
  <si>
    <t>TA RIW 26/002</t>
  </si>
  <si>
    <t>PO AWSB 71483 ARAH BME, WAITING PARTS</t>
  </si>
  <si>
    <t>PO AWSB-71322 ARAH BME.WAITING PARTS</t>
  </si>
  <si>
    <t>BD, UNIT AT HOSPIMETRIX FOR FURTHER TROUBLESHOOT</t>
  </si>
  <si>
    <t>BD, PO AWSB 71481  DRAGER, WAITING PARTS (dah bayar) Part sampai 6/4/26, close april</t>
  </si>
  <si>
    <t>BD, TA RIW</t>
  </si>
  <si>
    <t>BD,  PO AWSB-72006 QP MANUFACTURING</t>
  </si>
  <si>
    <t>BD , PO AWSB-72503 DRAGER</t>
  </si>
  <si>
    <t>BD, PO AWSB 71995 WELCH ALYN</t>
  </si>
  <si>
    <t>BD. Unit still function. Accessories only.</t>
  </si>
  <si>
    <t>BD, PO AWSB 72056  ALLCARE</t>
  </si>
  <si>
    <t>BD,PO AWSB 72140 ARAH BME</t>
  </si>
  <si>
    <t>BD, PO AWSB 71479 HADRATECH</t>
  </si>
  <si>
    <t>close</t>
  </si>
  <si>
    <t>TA BER</t>
  </si>
  <si>
    <t>BD, PO AWSB 71617 QP MANUFACTURING. WAITING PARTS Close April</t>
  </si>
  <si>
    <t>PO AWSB 72146, RETURN APRIL close</t>
  </si>
  <si>
    <t>Waiting Heating Rod. Paid. INSAN DAMAI SDN BHD INV NO: SO-18517. close</t>
  </si>
  <si>
    <t>PO AWSB 71659 HADRATECH close</t>
  </si>
  <si>
    <t>UNIT SEND TO OLYMPUS. Transmittal Form.RETURN FROM OLYMPUS 02/04/2026 close</t>
  </si>
  <si>
    <t>ROTARI KNOB FAULTY, UNIT AT DRAEGER FOR FURTHER TROUBLESHOOTING, QUOTATION RECEIVE 5/4/2026. QUO-AFMAL-26078-001 close</t>
  </si>
  <si>
    <t>dah bayar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</si>
</sst>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409]dd\-mmm\-yy"/>
    <numFmt numFmtId="165" formatCode="_-* #,##0.00_-;\-* #,##0.00_-;_-* &quot;-&quot;??_-;_-@"/>
    <numFmt numFmtId="166" formatCode="_(* #,##0.00_);_(* \(#,##0.00\);_(* &quot;-&quot;??_);_(@_)"/>
    <numFmt numFmtId="167" formatCode="0.00_ "/>
    <numFmt numFmtId="168" formatCode="[$-409]mmmm\-yy"/>
    <numFmt numFmtId="169" formatCode="[$-409]d\-mmm\-yy"/>
    <numFmt numFmtId="170" formatCode="[$-14409]dd/mm/yy"/>
    <numFmt numFmtId="171" formatCode="[$-14409]d/m/yyyy"/>
    <numFmt numFmtId="172" formatCode="[$-14409]d\ mmmm\,\ yyyy"/>
    <numFmt numFmtId="173" formatCode="d\ &quot;days&quot;\,\ h\ &quot;hrs&quot;\,\ mm\ &quot;mins&quot;"/>
    <numFmt numFmtId="174" formatCode="dd/mm/yyyy"/>
    <numFmt numFmtId="175" formatCode="[$RM-4409]#,##0.00"/>
    <numFmt numFmtId="176" formatCode="0.0%"/>
    <numFmt numFmtId="177" formatCode="yyyy\-mm\-dd"/>
    <numFmt numFmtId="178" formatCode="[$-14809]d/m/yyyy"/>
    <numFmt numFmtId="179" formatCode="yyyy\-mm\-dd;@"/>
    <numFmt numFmtId="180" formatCode="[$-14409]yyyy\-mm\-dd;@"/>
    <numFmt numFmtId="181" formatCode="[$-14409]dd/mm/yy;@"/>
    <numFmt numFmtId="182" formatCode="[$-14409]d/m/yyyy;@"/>
    <numFmt numFmtId="183" formatCode="&quot;RM&quot;#,##0.00"/>
  </numFmts>
  <fonts count="77" x14ac:knownFonts="1">
    <font>
      <sz val="11"/>
      <color rgb="FF000000"/>
      <name val="Calibri"/>
      <scheme val="minor"/>
    </font>
    <font>
      <sz val="11"/>
      <color theme="1"/>
      <name val="Calibri"/>
      <family val="2"/>
      <scheme val="minor"/>
    </font>
    <font>
      <b/>
      <u/>
      <sz val="11"/>
      <name val="Calibri"/>
      <family val="2"/>
    </font>
    <font>
      <b/>
      <sz val="12"/>
      <name val="Calibri"/>
      <family val="2"/>
    </font>
    <font>
      <sz val="11"/>
      <name val="Calibri"/>
      <family val="2"/>
    </font>
    <font>
      <sz val="8"/>
      <name val="Arial"/>
      <family val="2"/>
    </font>
    <font>
      <sz val="11"/>
      <name val="Calibri"/>
      <family val="2"/>
    </font>
    <font>
      <b/>
      <sz val="10"/>
      <color rgb="FF333333"/>
      <name val="Open Sans"/>
      <family val="2"/>
    </font>
    <font>
      <sz val="10"/>
      <name val="Arial"/>
      <family val="2"/>
    </font>
    <font>
      <sz val="10"/>
      <color rgb="FF333333"/>
      <name val="Open Sans"/>
      <family val="2"/>
    </font>
    <font>
      <u/>
      <sz val="10"/>
      <name val="Calibri"/>
      <family val="2"/>
    </font>
    <font>
      <sz val="12"/>
      <color rgb="FF333333"/>
      <name val="Arial"/>
      <family val="2"/>
    </font>
    <font>
      <u/>
      <sz val="11"/>
      <name val="Calibri"/>
      <family val="2"/>
    </font>
    <font>
      <u/>
      <sz val="10"/>
      <color rgb="FF0000FF"/>
      <name val="Calibri"/>
      <family val="2"/>
    </font>
    <font>
      <u/>
      <sz val="10"/>
      <color rgb="FF0000FF"/>
      <name val="Calibri"/>
      <family val="2"/>
    </font>
    <font>
      <b/>
      <sz val="11"/>
      <name val="Tahoma"/>
      <family val="2"/>
    </font>
    <font>
      <sz val="11"/>
      <name val="Tahoma"/>
      <family val="2"/>
    </font>
    <font>
      <sz val="11"/>
      <color rgb="FF000000"/>
      <name val="Tahoma"/>
      <family val="2"/>
    </font>
    <font>
      <b/>
      <sz val="14"/>
      <name val="Arial"/>
      <family val="2"/>
    </font>
    <font>
      <sz val="9"/>
      <name val="Calibri"/>
      <family val="2"/>
    </font>
    <font>
      <b/>
      <sz val="9"/>
      <name val="Calibri"/>
      <family val="2"/>
    </font>
    <font>
      <i/>
      <sz val="9"/>
      <name val="Calibri"/>
      <family val="2"/>
    </font>
    <font>
      <b/>
      <sz val="9"/>
      <name val="Arial"/>
      <family val="2"/>
    </font>
    <font>
      <sz val="9"/>
      <name val="Arial"/>
      <family val="2"/>
    </font>
    <font>
      <sz val="9"/>
      <color rgb="FF000000"/>
      <name val="Arial"/>
      <family val="2"/>
    </font>
    <font>
      <sz val="14"/>
      <name val="Arial"/>
      <family val="2"/>
    </font>
    <font>
      <sz val="14"/>
      <name val="Calibri"/>
      <family val="2"/>
    </font>
    <font>
      <b/>
      <sz val="14"/>
      <name val="Calibri"/>
      <family val="2"/>
    </font>
    <font>
      <b/>
      <sz val="14"/>
      <name val="Tahoma"/>
      <family val="2"/>
    </font>
    <font>
      <b/>
      <sz val="12"/>
      <name val="Arial"/>
      <family val="2"/>
    </font>
    <font>
      <b/>
      <sz val="16"/>
      <name val="Calibri"/>
      <family val="2"/>
    </font>
    <font>
      <sz val="16"/>
      <name val="Calibri"/>
      <family val="2"/>
    </font>
    <font>
      <sz val="14"/>
      <name val="Tahoma"/>
      <family val="2"/>
    </font>
    <font>
      <i/>
      <sz val="14"/>
      <name val="Tahoma"/>
      <family val="2"/>
    </font>
    <font>
      <b/>
      <i/>
      <sz val="14"/>
      <color rgb="FF0070C0"/>
      <name val="Tahoma"/>
      <family val="2"/>
    </font>
    <font>
      <sz val="12"/>
      <name val="Calibri"/>
      <family val="2"/>
    </font>
    <font>
      <sz val="11"/>
      <name val="Calibri"/>
      <family val="2"/>
    </font>
    <font>
      <sz val="12"/>
      <name val="Calibri"/>
      <family val="2"/>
    </font>
    <font>
      <b/>
      <sz val="11"/>
      <name val="Calibri"/>
      <family val="2"/>
    </font>
    <font>
      <b/>
      <sz val="11"/>
      <name val="Arial"/>
      <family val="2"/>
    </font>
    <font>
      <sz val="11"/>
      <name val="Arial"/>
      <family val="2"/>
    </font>
    <font>
      <sz val="12"/>
      <name val="Arial"/>
      <family val="2"/>
    </font>
    <font>
      <i/>
      <sz val="16"/>
      <name val="Calibri"/>
      <family val="2"/>
    </font>
    <font>
      <b/>
      <i/>
      <sz val="16"/>
      <color rgb="FF0070C0"/>
      <name val="Calibri"/>
      <family val="2"/>
    </font>
    <font>
      <sz val="16"/>
      <color rgb="FF000000"/>
      <name val="Calibri"/>
      <family val="2"/>
    </font>
    <font>
      <u/>
      <sz val="20"/>
      <name val="Calibri"/>
      <family val="2"/>
    </font>
    <font>
      <sz val="16"/>
      <color rgb="FFFF0000"/>
      <name val="Calibri"/>
      <family val="2"/>
    </font>
    <font>
      <sz val="16"/>
      <color rgb="FF0000CC"/>
      <name val="Calibri"/>
      <family val="2"/>
    </font>
    <font>
      <i/>
      <sz val="11"/>
      <name val="Tahoma"/>
      <family val="2"/>
    </font>
    <font>
      <b/>
      <i/>
      <sz val="11"/>
      <color rgb="FF0070C0"/>
      <name val="Tahoma"/>
      <family val="2"/>
    </font>
    <font>
      <sz val="10"/>
      <name val="Calibri"/>
      <family val="2"/>
    </font>
    <font>
      <b/>
      <sz val="10"/>
      <name val="Arial"/>
      <family val="2"/>
    </font>
    <font>
      <vertAlign val="superscript"/>
      <sz val="8"/>
      <name val="Arial"/>
      <family val="2"/>
    </font>
    <font>
      <vertAlign val="superscript"/>
      <sz val="11"/>
      <color rgb="FF000000"/>
      <name val="Tahoma"/>
      <family val="2"/>
    </font>
    <font>
      <sz val="8"/>
      <name val="Calibri"/>
      <family val="2"/>
    </font>
    <font>
      <b/>
      <sz val="8"/>
      <name val="Arial"/>
      <family val="2"/>
    </font>
    <font>
      <sz val="14"/>
      <name val="Arial"/>
      <family val="2"/>
    </font>
    <font>
      <b/>
      <sz val="14"/>
      <name val="Arial"/>
      <family val="2"/>
    </font>
    <font>
      <sz val="14"/>
      <color rgb="FF000000"/>
      <name val="Arial"/>
      <family val="2"/>
    </font>
    <font>
      <sz val="14"/>
      <color theme="1"/>
      <name val="Arial"/>
      <family val="2"/>
    </font>
    <font>
      <sz val="8"/>
      <name val="Calibri"/>
      <family val="2"/>
      <scheme val="minor"/>
    </font>
    <font>
      <sz val="10"/>
      <name val="Arial"/>
      <family val="2"/>
    </font>
    <font>
      <sz val="14"/>
      <color indexed="8"/>
      <name val="Arial"/>
      <family val="2"/>
    </font>
    <font>
      <sz val="14"/>
      <color rgb="FF000000"/>
      <name val="Calibri"/>
      <family val="2"/>
      <scheme val="minor"/>
    </font>
    <font>
      <sz val="14"/>
      <name val="Calibri"/>
      <family val="2"/>
      <scheme val="minor"/>
    </font>
    <font>
      <b/>
      <sz val="14"/>
      <name val="Calibri"/>
      <family val="2"/>
    </font>
    <font>
      <i/>
      <sz val="14"/>
      <name val="Arial"/>
      <family val="2"/>
    </font>
    <font>
      <sz val="11"/>
      <color rgb="FF000000"/>
      <name val="Calibri"/>
      <family val="2"/>
      <scheme val="minor"/>
    </font>
    <font>
      <sz val="16"/>
      <color rgb="FF000000"/>
      <name val="Calibri"/>
      <family val="2"/>
      <scheme val="minor"/>
    </font>
    <font>
      <sz val="16"/>
      <name val="Calibri"/>
      <family val="2"/>
      <scheme val="minor"/>
    </font>
    <font>
      <sz val="16"/>
      <color indexed="8"/>
      <name val="Calibri"/>
      <family val="2"/>
      <scheme val="minor"/>
    </font>
    <font>
      <sz val="14"/>
      <color theme="0"/>
      <name val="Arial"/>
      <family val="2"/>
    </font>
    <font>
      <sz val="12"/>
      <name val="Calibri"/>
      <family val="2"/>
      <scheme val="minor"/>
    </font>
    <font>
      <sz val="11"/>
      <color rgb="FF000000"/>
      <name val="Calibri"/>
      <family val="2"/>
      <scheme val="minor"/>
    </font>
    <font>
      <sz val="11"/>
      <color rgb="FFFF0000"/>
      <name val="Calibri"/>
      <family val="2"/>
      <scheme val="minor"/>
    </font>
    <font>
      <sz val="11"/>
      <name val="Calibri"/>
      <family val="2"/>
      <scheme val="minor"/>
    </font>
    <font>
      <sz val="10"/>
      <name val="Calibri"/>
      <family val="2"/>
      <scheme val="minor"/>
    </font>
  </fonts>
  <fills count="25">
    <fill>
      <patternFill patternType="none"/>
    </fill>
    <fill>
      <patternFill patternType="gray125"/>
    </fill>
    <fill>
      <patternFill patternType="solid">
        <fgColor rgb="FF757070"/>
        <bgColor rgb="FF757070"/>
      </patternFill>
    </fill>
    <fill>
      <patternFill patternType="solid">
        <fgColor rgb="FFD9D9D9"/>
        <bgColor rgb="FFD9D9D9"/>
      </patternFill>
    </fill>
    <fill>
      <patternFill patternType="solid">
        <fgColor rgb="FF7F7F7F"/>
        <bgColor rgb="FF7F7F7F"/>
      </patternFill>
    </fill>
    <fill>
      <patternFill patternType="solid">
        <fgColor rgb="FFFFFFFF"/>
        <bgColor rgb="FFFFFFFF"/>
      </patternFill>
    </fill>
    <fill>
      <patternFill patternType="solid">
        <fgColor rgb="FFCCCC00"/>
        <bgColor rgb="FFCCCC00"/>
      </patternFill>
    </fill>
    <fill>
      <patternFill patternType="solid">
        <fgColor rgb="FF9CC2E5"/>
        <bgColor rgb="FF9CC2E5"/>
      </patternFill>
    </fill>
    <fill>
      <patternFill patternType="solid">
        <fgColor rgb="FF33CCFF"/>
        <bgColor rgb="FF33CCFF"/>
      </patternFill>
    </fill>
    <fill>
      <patternFill patternType="solid">
        <fgColor rgb="FFFFE699"/>
        <bgColor rgb="FFFFE699"/>
      </patternFill>
    </fill>
    <fill>
      <patternFill patternType="solid">
        <fgColor rgb="FFFFE598"/>
        <bgColor rgb="FFFFE598"/>
      </patternFill>
    </fill>
    <fill>
      <patternFill patternType="solid">
        <fgColor rgb="FFBDD6EE"/>
        <bgColor rgb="FFBDD6EE"/>
      </patternFill>
    </fill>
    <fill>
      <patternFill patternType="solid">
        <fgColor rgb="FFF7CAAC"/>
        <bgColor rgb="FFF7CAAC"/>
      </patternFill>
    </fill>
    <fill>
      <patternFill patternType="solid">
        <fgColor rgb="FFFFFF00"/>
        <bgColor rgb="FFFFFF00"/>
      </patternFill>
    </fill>
    <fill>
      <patternFill patternType="solid">
        <fgColor rgb="FF00FFFF"/>
        <bgColor rgb="FF00FFFF"/>
      </patternFill>
    </fill>
    <fill>
      <patternFill patternType="solid">
        <fgColor rgb="FFFFCC99"/>
        <bgColor rgb="FFFFCC99"/>
      </patternFill>
    </fill>
    <fill>
      <patternFill patternType="solid">
        <fgColor rgb="FFFF9999"/>
        <bgColor rgb="FFFF9999"/>
      </patternFill>
    </fill>
    <fill>
      <patternFill patternType="solid">
        <fgColor theme="0"/>
        <bgColor indexed="64"/>
      </patternFill>
    </fill>
    <fill>
      <patternFill patternType="solid">
        <fgColor theme="7" tint="0.59999389629810485"/>
        <bgColor indexed="64"/>
      </patternFill>
    </fill>
    <fill>
      <patternFill patternType="solid">
        <fgColor theme="0"/>
        <bgColor rgb="FF33CCFF"/>
      </patternFill>
    </fill>
    <fill>
      <patternFill patternType="solid">
        <fgColor theme="0"/>
        <bgColor rgb="FFFFE598"/>
      </patternFill>
    </fill>
    <fill>
      <patternFill patternType="solid">
        <fgColor theme="4" tint="0.59999389629810485"/>
        <bgColor indexed="64"/>
      </patternFill>
    </fill>
    <fill>
      <patternFill patternType="solid">
        <fgColor rgb="FFFF0000"/>
        <bgColor indexed="64"/>
      </patternFill>
    </fill>
    <fill>
      <patternFill patternType="solid">
        <fgColor theme="7" tint="0.59999389629810485"/>
        <bgColor rgb="FFFFE699"/>
      </patternFill>
    </fill>
    <fill>
      <patternFill patternType="solid">
        <fgColor theme="7" tint="0.59999389629810485"/>
        <bgColor rgb="FFFFE598"/>
      </patternFill>
    </fill>
  </fills>
  <borders count="67">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style="medium">
        <color rgb="FFDDDDDD"/>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13">
    <xf numFmtId="0" fontId="0" fillId="0" borderId="0"/>
    <xf numFmtId="0" fontId="61" fillId="0" borderId="17"/>
    <xf numFmtId="166" fontId="1" fillId="0" borderId="17" applyFont="0" applyFill="0" applyBorder="0" applyAlignment="0" applyProtection="0"/>
    <xf numFmtId="9" fontId="67" fillId="0" borderId="0" applyFont="0" applyFill="0" applyBorder="0" applyAlignment="0" applyProtection="0"/>
    <xf numFmtId="0" fontId="73" fillId="0" borderId="17"/>
    <xf numFmtId="43" fontId="73" fillId="0" borderId="0"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cellStyleXfs>
  <cellXfs count="688">
    <xf numFmtId="0" fontId="0" fillId="0" borderId="0" xfId="0"/>
    <xf numFmtId="0" fontId="2" fillId="0" borderId="0" xfId="0" applyFont="1"/>
    <xf numFmtId="0" fontId="4" fillId="0" borderId="0" xfId="0" applyFont="1" applyAlignment="1">
      <alignment horizontal="left"/>
    </xf>
    <xf numFmtId="0" fontId="4" fillId="0" borderId="0" xfId="0" quotePrefix="1" applyFont="1"/>
    <xf numFmtId="0" fontId="5" fillId="0" borderId="10" xfId="0" applyFont="1" applyBorder="1" applyAlignment="1">
      <alignment horizontal="left"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left"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9" fontId="5" fillId="0" borderId="13" xfId="0" applyNumberFormat="1" applyFont="1" applyBorder="1" applyAlignment="1">
      <alignment horizontal="center" vertical="center" wrapText="1"/>
    </xf>
    <xf numFmtId="14" fontId="7" fillId="4" borderId="17" xfId="0" applyNumberFormat="1" applyFont="1" applyFill="1" applyBorder="1" applyAlignment="1">
      <alignment horizontal="left" vertical="center" wrapText="1"/>
    </xf>
    <xf numFmtId="0" fontId="7" fillId="4" borderId="17" xfId="0" applyFont="1" applyFill="1" applyBorder="1" applyAlignment="1">
      <alignment horizontal="left" vertical="center" wrapText="1"/>
    </xf>
    <xf numFmtId="0" fontId="8" fillId="0" borderId="0" xfId="0" applyFont="1"/>
    <xf numFmtId="14" fontId="9" fillId="5" borderId="17" xfId="0" applyNumberFormat="1" applyFont="1" applyFill="1" applyBorder="1" applyAlignment="1">
      <alignment horizontal="left" vertical="top" wrapText="1"/>
    </xf>
    <xf numFmtId="0" fontId="9" fillId="5" borderId="17" xfId="0" applyFont="1" applyFill="1" applyBorder="1" applyAlignment="1">
      <alignment horizontal="left" vertical="top" wrapText="1"/>
    </xf>
    <xf numFmtId="0" fontId="10" fillId="5" borderId="17" xfId="0" applyFont="1" applyFill="1" applyBorder="1" applyAlignment="1">
      <alignment horizontal="left" vertical="top" wrapText="1"/>
    </xf>
    <xf numFmtId="16" fontId="11" fillId="5" borderId="18" xfId="0" applyNumberFormat="1" applyFont="1" applyFill="1" applyBorder="1" applyAlignment="1">
      <alignment horizontal="left" vertical="top" wrapText="1"/>
    </xf>
    <xf numFmtId="0" fontId="11" fillId="5" borderId="18" xfId="0" applyFont="1" applyFill="1" applyBorder="1" applyAlignment="1">
      <alignment horizontal="left" vertical="top" wrapText="1"/>
    </xf>
    <xf numFmtId="0" fontId="12" fillId="5" borderId="18" xfId="0" applyFont="1" applyFill="1" applyBorder="1" applyAlignment="1">
      <alignment horizontal="left" vertical="top" wrapText="1"/>
    </xf>
    <xf numFmtId="0" fontId="13" fillId="5" borderId="17" xfId="0" applyFont="1" applyFill="1" applyBorder="1" applyAlignment="1">
      <alignment horizontal="left" vertical="top" wrapText="1"/>
    </xf>
    <xf numFmtId="14" fontId="9" fillId="5" borderId="18" xfId="0" applyNumberFormat="1" applyFont="1" applyFill="1" applyBorder="1" applyAlignment="1">
      <alignment horizontal="left" vertical="top" wrapText="1"/>
    </xf>
    <xf numFmtId="0" fontId="9" fillId="5" borderId="18" xfId="0" applyFont="1" applyFill="1" applyBorder="1" applyAlignment="1">
      <alignment horizontal="left" vertical="top" wrapText="1"/>
    </xf>
    <xf numFmtId="0" fontId="14" fillId="5" borderId="18" xfId="0" applyFont="1" applyFill="1" applyBorder="1" applyAlignment="1">
      <alignment horizontal="left" vertical="top" wrapText="1"/>
    </xf>
    <xf numFmtId="14" fontId="8" fillId="0" borderId="0" xfId="0" applyNumberFormat="1" applyFont="1" applyAlignment="1">
      <alignment horizontal="center"/>
    </xf>
    <xf numFmtId="0" fontId="16" fillId="0" borderId="0" xfId="0" applyFont="1" applyAlignment="1">
      <alignment horizontal="center" vertical="center"/>
    </xf>
    <xf numFmtId="0" fontId="15" fillId="6" borderId="7" xfId="0" applyFont="1" applyFill="1" applyBorder="1" applyAlignment="1">
      <alignment horizontal="center" vertical="center" wrapText="1"/>
    </xf>
    <xf numFmtId="0" fontId="16" fillId="0" borderId="33" xfId="0" applyFont="1" applyBorder="1" applyAlignment="1">
      <alignment horizontal="center" vertical="center"/>
    </xf>
    <xf numFmtId="0" fontId="16" fillId="0" borderId="36" xfId="0" applyFont="1" applyBorder="1" applyAlignment="1">
      <alignment horizontal="center" vertical="center" wrapText="1"/>
    </xf>
    <xf numFmtId="0" fontId="16" fillId="0" borderId="0" xfId="0" applyFont="1"/>
    <xf numFmtId="0" fontId="16" fillId="0" borderId="37" xfId="0" applyFont="1" applyBorder="1" applyAlignment="1">
      <alignment horizontal="center" vertical="center"/>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1"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44" xfId="0" applyFont="1" applyBorder="1" applyAlignment="1">
      <alignment horizontal="center" vertical="center" wrapText="1"/>
    </xf>
    <xf numFmtId="0" fontId="17" fillId="0" borderId="3" xfId="0" applyFont="1" applyBorder="1" applyAlignment="1">
      <alignment horizontal="center" vertical="center" wrapText="1" readingOrder="1"/>
    </xf>
    <xf numFmtId="0" fontId="16" fillId="0" borderId="3" xfId="0" applyFont="1" applyBorder="1" applyAlignment="1">
      <alignment horizontal="center" vertical="center" wrapText="1" readingOrder="1"/>
    </xf>
    <xf numFmtId="0" fontId="16" fillId="0" borderId="40" xfId="0" applyFont="1" applyBorder="1" applyAlignment="1">
      <alignment horizontal="center" vertical="center" wrapText="1"/>
    </xf>
    <xf numFmtId="0" fontId="16" fillId="0" borderId="0" xfId="0" applyFont="1" applyAlignment="1">
      <alignment vertical="center"/>
    </xf>
    <xf numFmtId="9" fontId="16" fillId="0" borderId="0" xfId="0" applyNumberFormat="1" applyFont="1" applyAlignment="1">
      <alignment vertical="center"/>
    </xf>
    <xf numFmtId="0" fontId="16" fillId="0" borderId="8" xfId="0" applyFont="1" applyBorder="1" applyAlignment="1">
      <alignment horizontal="center" vertical="center" wrapText="1"/>
    </xf>
    <xf numFmtId="167" fontId="18" fillId="0" borderId="0" xfId="0" applyNumberFormat="1" applyFont="1" applyAlignment="1">
      <alignment horizontal="center" vertical="center" wrapText="1"/>
    </xf>
    <xf numFmtId="167" fontId="18" fillId="0" borderId="0" xfId="0" applyNumberFormat="1" applyFont="1" applyAlignment="1">
      <alignment vertical="center" wrapText="1"/>
    </xf>
    <xf numFmtId="167" fontId="18" fillId="0" borderId="0" xfId="0" applyNumberFormat="1" applyFont="1" applyAlignment="1">
      <alignment vertical="top" wrapText="1"/>
    </xf>
    <xf numFmtId="0" fontId="8" fillId="0" borderId="0" xfId="0" applyFont="1" applyAlignment="1">
      <alignment wrapText="1"/>
    </xf>
    <xf numFmtId="167" fontId="18" fillId="0" borderId="0" xfId="0" applyNumberFormat="1" applyFont="1" applyAlignment="1">
      <alignment horizontal="right" vertical="center" wrapText="1"/>
    </xf>
    <xf numFmtId="0" fontId="19" fillId="0" borderId="0" xfId="0" applyFont="1" applyAlignment="1">
      <alignment vertical="center"/>
    </xf>
    <xf numFmtId="0" fontId="19" fillId="0" borderId="0" xfId="0" applyFont="1" applyAlignment="1">
      <alignment horizontal="right" vertical="center"/>
    </xf>
    <xf numFmtId="0" fontId="20" fillId="0" borderId="39" xfId="0" applyFont="1" applyBorder="1" applyAlignment="1">
      <alignment vertical="center"/>
    </xf>
    <xf numFmtId="0" fontId="20" fillId="0" borderId="0" xfId="0" applyFont="1" applyAlignment="1">
      <alignment vertical="center"/>
    </xf>
    <xf numFmtId="17" fontId="21" fillId="0" borderId="0" xfId="0" applyNumberFormat="1" applyFont="1" applyAlignment="1">
      <alignment horizontal="right" vertical="center"/>
    </xf>
    <xf numFmtId="0" fontId="19" fillId="0" borderId="0" xfId="0" applyFont="1" applyAlignment="1">
      <alignment vertical="center" wrapText="1"/>
    </xf>
    <xf numFmtId="0" fontId="19" fillId="0" borderId="0" xfId="0" applyFont="1" applyAlignment="1">
      <alignment horizontal="left" vertical="center"/>
    </xf>
    <xf numFmtId="4" fontId="20" fillId="0" borderId="0" xfId="0" applyNumberFormat="1" applyFont="1" applyAlignment="1">
      <alignment horizontal="left" vertical="center"/>
    </xf>
    <xf numFmtId="4" fontId="21" fillId="0" borderId="0" xfId="0" applyNumberFormat="1" applyFont="1" applyAlignment="1">
      <alignment horizontal="right" vertical="center"/>
    </xf>
    <xf numFmtId="169" fontId="20" fillId="0" borderId="0" xfId="0" applyNumberFormat="1" applyFont="1" applyAlignment="1">
      <alignment vertical="center"/>
    </xf>
    <xf numFmtId="4" fontId="20" fillId="0" borderId="0" xfId="0" applyNumberFormat="1" applyFont="1" applyAlignment="1">
      <alignment horizontal="right" vertical="center"/>
    </xf>
    <xf numFmtId="17" fontId="20" fillId="0" borderId="39" xfId="0" applyNumberFormat="1" applyFont="1" applyBorder="1" applyAlignment="1">
      <alignment vertical="center"/>
    </xf>
    <xf numFmtId="17" fontId="20" fillId="0" borderId="0" xfId="0" applyNumberFormat="1" applyFont="1" applyAlignment="1">
      <alignment horizontal="center" vertical="center"/>
    </xf>
    <xf numFmtId="17" fontId="20" fillId="0" borderId="0" xfId="0" applyNumberFormat="1" applyFont="1" applyAlignment="1">
      <alignment horizontal="right" vertical="center"/>
    </xf>
    <xf numFmtId="17" fontId="20" fillId="0" borderId="44" xfId="0" applyNumberFormat="1" applyFont="1" applyBorder="1" applyAlignment="1">
      <alignment horizontal="right" vertical="center"/>
    </xf>
    <xf numFmtId="17" fontId="20" fillId="0" borderId="0" xfId="0" applyNumberFormat="1" applyFont="1" applyAlignment="1">
      <alignment vertical="center"/>
    </xf>
    <xf numFmtId="0" fontId="19" fillId="0" borderId="0" xfId="0" applyFont="1" applyAlignment="1">
      <alignment horizontal="right" vertical="center" wrapText="1"/>
    </xf>
    <xf numFmtId="4" fontId="20" fillId="0" borderId="0" xfId="0" applyNumberFormat="1" applyFont="1" applyAlignment="1">
      <alignment horizontal="center" vertical="center"/>
    </xf>
    <xf numFmtId="167" fontId="5" fillId="0" borderId="0" xfId="0" applyNumberFormat="1" applyFont="1" applyAlignment="1">
      <alignment horizontal="left" vertical="center" wrapText="1"/>
    </xf>
    <xf numFmtId="4" fontId="5" fillId="0" borderId="0" xfId="0" applyNumberFormat="1" applyFont="1" applyAlignment="1">
      <alignment horizontal="center" vertical="center" wrapText="1"/>
    </xf>
    <xf numFmtId="4" fontId="5" fillId="0" borderId="0" xfId="0" applyNumberFormat="1" applyFont="1" applyAlignment="1">
      <alignment horizontal="right" vertical="center" wrapText="1"/>
    </xf>
    <xf numFmtId="0" fontId="8" fillId="0" borderId="0" xfId="0" applyFont="1" applyAlignment="1">
      <alignment vertical="center" wrapText="1"/>
    </xf>
    <xf numFmtId="167" fontId="5" fillId="0" borderId="0" xfId="0" applyNumberFormat="1" applyFont="1" applyAlignment="1">
      <alignment horizontal="center" vertical="center" wrapText="1"/>
    </xf>
    <xf numFmtId="3" fontId="22" fillId="0" borderId="3" xfId="0" applyNumberFormat="1" applyFont="1" applyBorder="1" applyAlignment="1">
      <alignment horizontal="center" vertical="center" wrapText="1"/>
    </xf>
    <xf numFmtId="2" fontId="22" fillId="0" borderId="3" xfId="0" applyNumberFormat="1" applyFont="1" applyBorder="1" applyAlignment="1">
      <alignment horizontal="center" vertical="center"/>
    </xf>
    <xf numFmtId="3" fontId="22" fillId="0" borderId="3" xfId="0" applyNumberFormat="1" applyFont="1" applyBorder="1" applyAlignment="1">
      <alignment horizontal="center" vertical="center"/>
    </xf>
    <xf numFmtId="0" fontId="23" fillId="0" borderId="0" xfId="0" applyFont="1"/>
    <xf numFmtId="0" fontId="23" fillId="0" borderId="46" xfId="0" applyFont="1" applyBorder="1"/>
    <xf numFmtId="0" fontId="22" fillId="0" borderId="0" xfId="0" applyFont="1"/>
    <xf numFmtId="167" fontId="18" fillId="0" borderId="0" xfId="0" applyNumberFormat="1" applyFont="1" applyAlignment="1">
      <alignment horizontal="left" vertical="center" wrapText="1"/>
    </xf>
    <xf numFmtId="15" fontId="18" fillId="0" borderId="0" xfId="0" applyNumberFormat="1" applyFont="1" applyAlignment="1">
      <alignment horizontal="center" vertical="center" wrapText="1"/>
    </xf>
    <xf numFmtId="0" fontId="26" fillId="0" borderId="0" xfId="0" applyFont="1" applyAlignment="1">
      <alignment vertical="center"/>
    </xf>
    <xf numFmtId="0" fontId="26" fillId="0" borderId="0" xfId="0" applyFont="1" applyAlignment="1">
      <alignment horizontal="right" vertical="center" wrapText="1"/>
    </xf>
    <xf numFmtId="0" fontId="26" fillId="0" borderId="0" xfId="0" applyFont="1" applyAlignment="1">
      <alignment vertical="center" wrapText="1"/>
    </xf>
    <xf numFmtId="0" fontId="26" fillId="0" borderId="0" xfId="0" applyFont="1" applyAlignment="1">
      <alignment horizontal="left" vertical="center"/>
    </xf>
    <xf numFmtId="0" fontId="26" fillId="0" borderId="0" xfId="0" applyFont="1" applyAlignment="1">
      <alignment horizontal="center" vertical="center"/>
    </xf>
    <xf numFmtId="0" fontId="26" fillId="0" borderId="0" xfId="0" applyFont="1" applyAlignment="1">
      <alignment horizontal="center" vertical="center" wrapText="1"/>
    </xf>
    <xf numFmtId="15" fontId="26" fillId="0" borderId="0" xfId="0" applyNumberFormat="1" applyFont="1" applyAlignment="1">
      <alignment horizontal="center" vertical="center" wrapText="1"/>
    </xf>
    <xf numFmtId="15" fontId="26" fillId="0" borderId="0" xfId="0" applyNumberFormat="1" applyFont="1" applyAlignment="1">
      <alignment horizontal="center" vertical="center"/>
    </xf>
    <xf numFmtId="0" fontId="18" fillId="0" borderId="0" xfId="0" applyFont="1" applyAlignment="1">
      <alignment horizontal="center" vertical="center" wrapText="1"/>
    </xf>
    <xf numFmtId="15" fontId="28" fillId="0" borderId="0" xfId="0" applyNumberFormat="1" applyFont="1" applyAlignment="1">
      <alignment horizontal="center" vertical="center" wrapText="1"/>
    </xf>
    <xf numFmtId="167" fontId="29" fillId="0" borderId="0" xfId="0" applyNumberFormat="1" applyFont="1" applyAlignment="1">
      <alignment horizontal="center" vertical="center" wrapText="1"/>
    </xf>
    <xf numFmtId="1" fontId="18" fillId="0" borderId="0" xfId="0" applyNumberFormat="1" applyFont="1" applyAlignment="1">
      <alignment horizontal="right" vertical="center" wrapText="1"/>
    </xf>
    <xf numFmtId="14" fontId="18" fillId="0" borderId="0" xfId="0" applyNumberFormat="1" applyFont="1" applyAlignment="1">
      <alignment horizontal="center" vertical="center" wrapText="1"/>
    </xf>
    <xf numFmtId="167" fontId="27" fillId="0" borderId="0" xfId="0" applyNumberFormat="1" applyFont="1" applyAlignment="1">
      <alignment horizontal="center" vertical="center" wrapText="1"/>
    </xf>
    <xf numFmtId="0" fontId="25" fillId="0" borderId="0" xfId="0" applyFont="1" applyAlignment="1">
      <alignment vertical="center" wrapText="1"/>
    </xf>
    <xf numFmtId="0" fontId="27" fillId="0" borderId="0" xfId="0" applyFont="1" applyAlignment="1">
      <alignment vertical="center" wrapText="1"/>
    </xf>
    <xf numFmtId="14" fontId="27" fillId="0" borderId="0" xfId="0" applyNumberFormat="1" applyFont="1" applyAlignment="1">
      <alignment vertical="center" wrapText="1"/>
    </xf>
    <xf numFmtId="0" fontId="3" fillId="0" borderId="0" xfId="0" applyFont="1" applyAlignment="1">
      <alignment horizontal="left" vertical="center" wrapText="1"/>
    </xf>
    <xf numFmtId="1" fontId="27" fillId="0" borderId="0" xfId="0" applyNumberFormat="1" applyFont="1" applyAlignment="1">
      <alignment horizontal="right" vertical="center" wrapText="1"/>
    </xf>
    <xf numFmtId="0" fontId="27" fillId="0" borderId="0" xfId="0" applyFont="1" applyAlignment="1">
      <alignment horizontal="center" vertical="center" wrapText="1"/>
    </xf>
    <xf numFmtId="14" fontId="27" fillId="0" borderId="0" xfId="0" applyNumberFormat="1" applyFont="1" applyAlignment="1">
      <alignment horizontal="center" vertical="center" wrapText="1"/>
    </xf>
    <xf numFmtId="15" fontId="26" fillId="0" borderId="0" xfId="0" applyNumberFormat="1" applyFont="1" applyAlignment="1">
      <alignment vertical="center" wrapText="1"/>
    </xf>
    <xf numFmtId="0" fontId="27" fillId="0" borderId="0" xfId="0" applyFont="1" applyAlignment="1">
      <alignment horizontal="left" vertical="center" wrapText="1"/>
    </xf>
    <xf numFmtId="169" fontId="30" fillId="0" borderId="0" xfId="0" applyNumberFormat="1" applyFont="1" applyAlignment="1">
      <alignment horizontal="center" vertical="center" wrapText="1"/>
    </xf>
    <xf numFmtId="0" fontId="31" fillId="0" borderId="0" xfId="0" applyFont="1" applyAlignment="1">
      <alignment vertical="center" wrapText="1"/>
    </xf>
    <xf numFmtId="169" fontId="26" fillId="0" borderId="0" xfId="0" applyNumberFormat="1" applyFont="1" applyAlignment="1">
      <alignment horizontal="center" vertical="center" wrapText="1"/>
    </xf>
    <xf numFmtId="0" fontId="32" fillId="0" borderId="0" xfId="0" applyFont="1" applyAlignment="1">
      <alignment vertical="center" wrapText="1"/>
    </xf>
    <xf numFmtId="15" fontId="27" fillId="0" borderId="0" xfId="0" applyNumberFormat="1" applyFont="1" applyAlignment="1">
      <alignment horizontal="center" vertical="center" wrapText="1"/>
    </xf>
    <xf numFmtId="15" fontId="33" fillId="0" borderId="0" xfId="0" applyNumberFormat="1" applyFont="1" applyAlignment="1">
      <alignment vertical="center" wrapText="1"/>
    </xf>
    <xf numFmtId="15" fontId="34" fillId="0" borderId="0" xfId="0" applyNumberFormat="1" applyFont="1" applyAlignment="1">
      <alignment horizontal="center" vertical="center" wrapText="1"/>
    </xf>
    <xf numFmtId="0" fontId="35" fillId="0" borderId="0" xfId="0" applyFont="1" applyAlignment="1">
      <alignment vertical="center" wrapText="1"/>
    </xf>
    <xf numFmtId="1" fontId="26" fillId="0" borderId="0" xfId="0" applyNumberFormat="1" applyFont="1" applyAlignment="1">
      <alignment horizontal="right" vertical="center" wrapText="1"/>
    </xf>
    <xf numFmtId="14" fontId="26" fillId="0" borderId="0" xfId="0" applyNumberFormat="1" applyFont="1" applyAlignment="1">
      <alignment horizontal="center" vertical="center"/>
    </xf>
    <xf numFmtId="15" fontId="26" fillId="0" borderId="0" xfId="0" applyNumberFormat="1" applyFont="1" applyAlignment="1">
      <alignment vertical="center"/>
    </xf>
    <xf numFmtId="169" fontId="28" fillId="0" borderId="0" xfId="0" applyNumberFormat="1" applyFont="1" applyAlignment="1">
      <alignment horizontal="center" vertical="center" wrapText="1"/>
    </xf>
    <xf numFmtId="14" fontId="28" fillId="0" borderId="0" xfId="0" applyNumberFormat="1" applyFont="1" applyAlignment="1">
      <alignment horizontal="center" vertical="center" wrapText="1"/>
    </xf>
    <xf numFmtId="0" fontId="38" fillId="0" borderId="0" xfId="0" applyFont="1" applyAlignment="1">
      <alignment horizontal="center" vertical="center" wrapText="1"/>
    </xf>
    <xf numFmtId="0" fontId="36" fillId="11" borderId="3" xfId="0" applyFont="1" applyFill="1" applyBorder="1" applyAlignment="1">
      <alignment horizontal="center" vertical="center" wrapText="1"/>
    </xf>
    <xf numFmtId="0" fontId="4" fillId="0" borderId="0" xfId="0" applyFont="1" applyAlignment="1">
      <alignment vertical="center" wrapText="1"/>
    </xf>
    <xf numFmtId="167" fontId="30" fillId="0" borderId="0" xfId="0" applyNumberFormat="1" applyFont="1" applyAlignment="1">
      <alignment horizontal="center" vertical="center" wrapText="1"/>
    </xf>
    <xf numFmtId="0" fontId="31" fillId="0" borderId="0" xfId="0" applyFont="1" applyAlignment="1">
      <alignment vertical="center"/>
    </xf>
    <xf numFmtId="0" fontId="31" fillId="0" borderId="0" xfId="0" applyFont="1" applyAlignment="1">
      <alignment wrapText="1"/>
    </xf>
    <xf numFmtId="167" fontId="30" fillId="0" borderId="0" xfId="0" applyNumberFormat="1" applyFont="1" applyAlignment="1">
      <alignment horizontal="right" vertical="center" wrapText="1"/>
    </xf>
    <xf numFmtId="10" fontId="30" fillId="0" borderId="0" xfId="0" applyNumberFormat="1" applyFont="1" applyAlignment="1">
      <alignment horizontal="center" vertical="center" wrapText="1"/>
    </xf>
    <xf numFmtId="9" fontId="30" fillId="0" borderId="0" xfId="0" applyNumberFormat="1" applyFont="1" applyAlignment="1">
      <alignment horizontal="center" vertical="center" wrapText="1"/>
    </xf>
    <xf numFmtId="0" fontId="31" fillId="0" borderId="0" xfId="0" applyFont="1" applyAlignment="1">
      <alignment horizontal="center" vertical="center"/>
    </xf>
    <xf numFmtId="0" fontId="31" fillId="0" borderId="0" xfId="0" applyFont="1" applyAlignment="1">
      <alignment horizontal="right" vertical="center"/>
    </xf>
    <xf numFmtId="10" fontId="31" fillId="0" borderId="0" xfId="0" applyNumberFormat="1" applyFont="1" applyAlignment="1">
      <alignment horizontal="center" vertical="center"/>
    </xf>
    <xf numFmtId="9" fontId="31" fillId="0" borderId="0" xfId="0" applyNumberFormat="1" applyFont="1" applyAlignment="1">
      <alignment horizontal="center" vertical="center"/>
    </xf>
    <xf numFmtId="10" fontId="31" fillId="0" borderId="0" xfId="0" applyNumberFormat="1" applyFont="1" applyAlignment="1">
      <alignment horizontal="right" vertical="center"/>
    </xf>
    <xf numFmtId="0" fontId="30" fillId="0" borderId="0" xfId="0" applyFont="1" applyAlignment="1">
      <alignment horizontal="left" vertical="center"/>
    </xf>
    <xf numFmtId="0" fontId="30" fillId="0" borderId="0" xfId="0" applyFont="1" applyAlignment="1">
      <alignment horizontal="right" vertical="center"/>
    </xf>
    <xf numFmtId="0" fontId="30" fillId="0" borderId="0" xfId="0" applyFont="1" applyAlignment="1">
      <alignment horizontal="center" vertical="center"/>
    </xf>
    <xf numFmtId="4" fontId="31" fillId="0" borderId="0" xfId="0" applyNumberFormat="1" applyFont="1" applyAlignment="1">
      <alignment horizontal="center" vertical="center"/>
    </xf>
    <xf numFmtId="0" fontId="30" fillId="0" borderId="0" xfId="0" applyFont="1" applyAlignment="1">
      <alignment horizontal="left" vertical="center" wrapText="1"/>
    </xf>
    <xf numFmtId="4" fontId="30" fillId="0" borderId="0" xfId="0" applyNumberFormat="1" applyFont="1" applyAlignment="1">
      <alignment horizontal="right" vertical="center"/>
    </xf>
    <xf numFmtId="0" fontId="42" fillId="0" borderId="0" xfId="0" applyFont="1" applyAlignment="1">
      <alignment horizontal="left" vertical="center"/>
    </xf>
    <xf numFmtId="0" fontId="42" fillId="0" borderId="0" xfId="0" applyFont="1" applyAlignment="1">
      <alignment horizontal="center" vertical="center"/>
    </xf>
    <xf numFmtId="4" fontId="43" fillId="0" borderId="0" xfId="0" applyNumberFormat="1" applyFont="1" applyAlignment="1">
      <alignment horizontal="center" vertical="center"/>
    </xf>
    <xf numFmtId="10" fontId="31" fillId="0" borderId="0" xfId="0" applyNumberFormat="1" applyFont="1" applyAlignment="1">
      <alignment horizontal="center" vertical="center" wrapText="1"/>
    </xf>
    <xf numFmtId="0" fontId="31" fillId="0" borderId="0" xfId="0" applyFont="1"/>
    <xf numFmtId="0" fontId="31" fillId="0" borderId="0" xfId="0" applyFont="1" applyAlignment="1">
      <alignment horizontal="right"/>
    </xf>
    <xf numFmtId="0" fontId="31" fillId="0" borderId="0" xfId="0" applyFont="1" applyAlignment="1">
      <alignment horizontal="center"/>
    </xf>
    <xf numFmtId="10" fontId="31" fillId="0" borderId="0" xfId="0" applyNumberFormat="1" applyFont="1" applyAlignment="1">
      <alignment horizontal="center"/>
    </xf>
    <xf numFmtId="9" fontId="31" fillId="0" borderId="0" xfId="0" applyNumberFormat="1" applyFont="1" applyAlignment="1">
      <alignment horizontal="center"/>
    </xf>
    <xf numFmtId="166" fontId="31" fillId="0" borderId="0" xfId="0" applyNumberFormat="1" applyFont="1" applyAlignment="1">
      <alignment horizontal="center"/>
    </xf>
    <xf numFmtId="4" fontId="31" fillId="11" borderId="3" xfId="0" applyNumberFormat="1" applyFont="1" applyFill="1" applyBorder="1" applyAlignment="1">
      <alignment horizontal="center" vertical="center" wrapText="1"/>
    </xf>
    <xf numFmtId="10" fontId="31" fillId="11" borderId="3" xfId="0" applyNumberFormat="1" applyFont="1" applyFill="1" applyBorder="1" applyAlignment="1">
      <alignment horizontal="center" vertical="center" wrapText="1"/>
    </xf>
    <xf numFmtId="9" fontId="31" fillId="11" borderId="3" xfId="0" applyNumberFormat="1" applyFont="1" applyFill="1" applyBorder="1" applyAlignment="1">
      <alignment horizontal="center" vertical="center" wrapText="1"/>
    </xf>
    <xf numFmtId="0" fontId="31" fillId="11" borderId="3" xfId="0" applyFont="1" applyFill="1" applyBorder="1" applyAlignment="1">
      <alignment horizontal="center" vertical="center" wrapText="1"/>
    </xf>
    <xf numFmtId="166" fontId="31" fillId="11" borderId="3" xfId="0" applyNumberFormat="1" applyFont="1" applyFill="1" applyBorder="1" applyAlignment="1">
      <alignment horizontal="center" vertical="center" wrapText="1"/>
    </xf>
    <xf numFmtId="0" fontId="31" fillId="0" borderId="0" xfId="0" applyFont="1" applyAlignment="1">
      <alignment horizontal="center" wrapText="1"/>
    </xf>
    <xf numFmtId="0" fontId="31" fillId="0" borderId="3" xfId="0" applyFont="1" applyBorder="1" applyAlignment="1">
      <alignment horizontal="center" vertical="center"/>
    </xf>
    <xf numFmtId="0" fontId="31" fillId="0" borderId="6" xfId="0" applyFont="1" applyBorder="1" applyAlignment="1">
      <alignment vertical="center" wrapText="1"/>
    </xf>
    <xf numFmtId="175" fontId="31" fillId="0" borderId="3" xfId="0" applyNumberFormat="1" applyFont="1" applyBorder="1" applyAlignment="1">
      <alignment horizontal="right" vertical="center" wrapText="1"/>
    </xf>
    <xf numFmtId="10" fontId="31" fillId="0" borderId="8" xfId="0" applyNumberFormat="1" applyFont="1" applyBorder="1" applyAlignment="1">
      <alignment horizontal="center" vertical="center" wrapText="1"/>
    </xf>
    <xf numFmtId="10" fontId="31" fillId="0" borderId="6" xfId="0" applyNumberFormat="1" applyFont="1" applyBorder="1" applyAlignment="1">
      <alignment horizontal="center" vertical="center"/>
    </xf>
    <xf numFmtId="9" fontId="31" fillId="0" borderId="6" xfId="0" applyNumberFormat="1" applyFont="1" applyBorder="1" applyAlignment="1">
      <alignment horizontal="center" vertical="center"/>
    </xf>
    <xf numFmtId="4" fontId="31" fillId="0" borderId="6" xfId="0" applyNumberFormat="1" applyFont="1" applyBorder="1" applyAlignment="1">
      <alignment horizontal="center" vertical="center"/>
    </xf>
    <xf numFmtId="2" fontId="31" fillId="10" borderId="3" xfId="0" applyNumberFormat="1" applyFont="1" applyFill="1" applyBorder="1" applyAlignment="1">
      <alignment horizontal="center" vertical="center"/>
    </xf>
    <xf numFmtId="0" fontId="31" fillId="0" borderId="6" xfId="0" applyFont="1" applyBorder="1" applyAlignment="1">
      <alignment horizontal="center" vertical="center"/>
    </xf>
    <xf numFmtId="3" fontId="31" fillId="0" borderId="6" xfId="0" applyNumberFormat="1" applyFont="1" applyBorder="1" applyAlignment="1">
      <alignment horizontal="center" vertical="center"/>
    </xf>
    <xf numFmtId="166" fontId="31" fillId="0" borderId="6" xfId="0" applyNumberFormat="1" applyFont="1" applyBorder="1" applyAlignment="1">
      <alignment horizontal="center" vertical="center"/>
    </xf>
    <xf numFmtId="166" fontId="31" fillId="10" borderId="3" xfId="0" applyNumberFormat="1" applyFont="1" applyFill="1" applyBorder="1" applyAlignment="1">
      <alignment horizontal="center" vertical="center"/>
    </xf>
    <xf numFmtId="0" fontId="31" fillId="0" borderId="3" xfId="0" applyFont="1" applyBorder="1" applyAlignment="1">
      <alignment vertical="center" wrapText="1"/>
    </xf>
    <xf numFmtId="176" fontId="31" fillId="0" borderId="8" xfId="0" applyNumberFormat="1" applyFont="1" applyBorder="1" applyAlignment="1">
      <alignment horizontal="center" vertical="center" wrapText="1"/>
    </xf>
    <xf numFmtId="0" fontId="45" fillId="0" borderId="0" xfId="0" applyFont="1" applyAlignment="1">
      <alignment vertical="center"/>
    </xf>
    <xf numFmtId="166" fontId="31" fillId="0" borderId="0" xfId="0" applyNumberFormat="1" applyFont="1" applyAlignment="1">
      <alignment horizontal="center" vertical="center"/>
    </xf>
    <xf numFmtId="49" fontId="31" fillId="0" borderId="0" xfId="0" applyNumberFormat="1" applyFont="1" applyAlignment="1">
      <alignment vertical="center"/>
    </xf>
    <xf numFmtId="166" fontId="31" fillId="0" borderId="0" xfId="0" applyNumberFormat="1" applyFont="1" applyAlignment="1">
      <alignment horizontal="right" vertical="center"/>
    </xf>
    <xf numFmtId="4" fontId="31" fillId="0" borderId="0" xfId="0" applyNumberFormat="1" applyFont="1" applyAlignment="1">
      <alignment vertical="center"/>
    </xf>
    <xf numFmtId="166" fontId="46" fillId="0" borderId="0" xfId="0" applyNumberFormat="1" applyFont="1" applyAlignment="1">
      <alignment horizontal="center" vertical="center"/>
    </xf>
    <xf numFmtId="10" fontId="47" fillId="0" borderId="0" xfId="0" applyNumberFormat="1" applyFont="1" applyAlignment="1">
      <alignment horizontal="center"/>
    </xf>
    <xf numFmtId="0" fontId="47" fillId="0" borderId="0" xfId="0" applyFont="1" applyAlignment="1">
      <alignment horizontal="center"/>
    </xf>
    <xf numFmtId="177" fontId="18" fillId="0" borderId="0" xfId="0" applyNumberFormat="1" applyFont="1" applyAlignment="1">
      <alignment horizontal="center" vertical="center" wrapText="1"/>
    </xf>
    <xf numFmtId="0" fontId="4" fillId="0" borderId="0" xfId="0" applyFont="1" applyAlignment="1">
      <alignment vertical="center"/>
    </xf>
    <xf numFmtId="0" fontId="26" fillId="0" borderId="0" xfId="0" applyFont="1" applyAlignment="1">
      <alignment horizontal="right" vertical="center"/>
    </xf>
    <xf numFmtId="17" fontId="38" fillId="0" borderId="9" xfId="0" applyNumberFormat="1" applyFont="1" applyBorder="1" applyAlignment="1">
      <alignment vertical="center"/>
    </xf>
    <xf numFmtId="17" fontId="38" fillId="0" borderId="48" xfId="0" applyNumberFormat="1" applyFont="1" applyBorder="1" applyAlignment="1">
      <alignment vertical="center"/>
    </xf>
    <xf numFmtId="17" fontId="38" fillId="0" borderId="1" xfId="0" applyNumberFormat="1" applyFont="1" applyBorder="1" applyAlignment="1">
      <alignment vertical="center"/>
    </xf>
    <xf numFmtId="177" fontId="38" fillId="0" borderId="0" xfId="0" applyNumberFormat="1" applyFont="1" applyAlignment="1">
      <alignment horizontal="center" vertical="center"/>
    </xf>
    <xf numFmtId="0" fontId="38" fillId="0" borderId="0" xfId="0" applyFont="1" applyAlignment="1">
      <alignment horizontal="left" vertical="center"/>
    </xf>
    <xf numFmtId="0" fontId="4" fillId="0" borderId="0" xfId="0" applyFont="1" applyAlignment="1">
      <alignment horizontal="left" vertical="center"/>
    </xf>
    <xf numFmtId="166" fontId="38" fillId="0" borderId="9" xfId="0" applyNumberFormat="1" applyFont="1" applyBorder="1" applyAlignment="1">
      <alignment vertical="center"/>
    </xf>
    <xf numFmtId="166" fontId="38" fillId="0" borderId="48" xfId="0" applyNumberFormat="1" applyFont="1" applyBorder="1" applyAlignment="1">
      <alignment vertical="center"/>
    </xf>
    <xf numFmtId="166" fontId="38" fillId="0" borderId="1" xfId="0" applyNumberFormat="1" applyFont="1" applyBorder="1" applyAlignment="1">
      <alignment vertical="center"/>
    </xf>
    <xf numFmtId="177" fontId="26" fillId="0" borderId="0" xfId="0" applyNumberFormat="1" applyFont="1" applyAlignment="1">
      <alignment horizontal="center" vertical="center"/>
    </xf>
    <xf numFmtId="166" fontId="38" fillId="0" borderId="9" xfId="0" applyNumberFormat="1" applyFont="1" applyBorder="1" applyAlignment="1">
      <alignment horizontal="center" vertical="center"/>
    </xf>
    <xf numFmtId="166" fontId="38" fillId="0" borderId="48" xfId="0" applyNumberFormat="1" applyFont="1" applyBorder="1" applyAlignment="1">
      <alignment vertical="top"/>
    </xf>
    <xf numFmtId="166" fontId="38" fillId="0" borderId="1" xfId="0" applyNumberFormat="1" applyFont="1" applyBorder="1" applyAlignment="1">
      <alignment vertical="top"/>
    </xf>
    <xf numFmtId="177" fontId="15" fillId="0" borderId="44" xfId="0" applyNumberFormat="1" applyFont="1" applyBorder="1" applyAlignment="1">
      <alignment horizontal="center" vertical="center" wrapText="1"/>
    </xf>
    <xf numFmtId="4" fontId="15" fillId="0" borderId="0" xfId="0" applyNumberFormat="1" applyFont="1" applyAlignment="1">
      <alignment horizontal="left" vertical="center"/>
    </xf>
    <xf numFmtId="0" fontId="48" fillId="0" borderId="0" xfId="0" applyFont="1" applyAlignment="1">
      <alignment horizontal="left" vertical="center"/>
    </xf>
    <xf numFmtId="4" fontId="49" fillId="0" borderId="0" xfId="0" applyNumberFormat="1" applyFont="1" applyAlignment="1">
      <alignment horizontal="left" vertical="center"/>
    </xf>
    <xf numFmtId="4" fontId="16" fillId="0" borderId="0" xfId="0" applyNumberFormat="1" applyFont="1" applyAlignment="1">
      <alignment vertical="center"/>
    </xf>
    <xf numFmtId="177" fontId="4" fillId="0" borderId="0" xfId="0" applyNumberFormat="1" applyFont="1" applyAlignment="1">
      <alignment horizontal="center" vertical="center"/>
    </xf>
    <xf numFmtId="0" fontId="40" fillId="7" borderId="3" xfId="0" applyFont="1" applyFill="1" applyBorder="1" applyAlignment="1">
      <alignment horizontal="center" vertical="center"/>
    </xf>
    <xf numFmtId="0" fontId="40" fillId="7" borderId="3" xfId="0" applyFont="1" applyFill="1" applyBorder="1" applyAlignment="1">
      <alignment horizontal="center" vertical="center" wrapText="1"/>
    </xf>
    <xf numFmtId="177" fontId="40" fillId="7" borderId="3" xfId="0" applyNumberFormat="1" applyFont="1" applyFill="1" applyBorder="1" applyAlignment="1">
      <alignment horizontal="center" vertical="center" wrapText="1"/>
    </xf>
    <xf numFmtId="49" fontId="40" fillId="7" borderId="3" xfId="0" applyNumberFormat="1" applyFont="1" applyFill="1" applyBorder="1" applyAlignment="1">
      <alignment horizontal="center" vertical="center" wrapText="1"/>
    </xf>
    <xf numFmtId="0" fontId="40" fillId="7" borderId="3" xfId="0" applyFont="1" applyFill="1" applyBorder="1" applyAlignment="1">
      <alignment horizontal="left" vertical="center" wrapText="1"/>
    </xf>
    <xf numFmtId="15" fontId="40" fillId="7" borderId="3" xfId="0" applyNumberFormat="1" applyFont="1" applyFill="1" applyBorder="1" applyAlignment="1">
      <alignment horizontal="center" vertical="center" wrapText="1"/>
    </xf>
    <xf numFmtId="1" fontId="40" fillId="7" borderId="3" xfId="0" applyNumberFormat="1" applyFont="1" applyFill="1" applyBorder="1" applyAlignment="1">
      <alignment horizontal="center" vertical="center" wrapText="1"/>
    </xf>
    <xf numFmtId="0" fontId="40" fillId="0" borderId="0" xfId="0" applyFont="1" applyAlignment="1">
      <alignment horizontal="center" vertical="center" wrapText="1"/>
    </xf>
    <xf numFmtId="0" fontId="41" fillId="0" borderId="6" xfId="0" applyFont="1" applyBorder="1" applyAlignment="1">
      <alignment horizontal="center" vertical="center" wrapText="1"/>
    </xf>
    <xf numFmtId="0" fontId="41" fillId="0" borderId="3" xfId="0" quotePrefix="1" applyFont="1" applyBorder="1" applyAlignment="1">
      <alignment vertical="center" wrapText="1"/>
    </xf>
    <xf numFmtId="177" fontId="41" fillId="0" borderId="3" xfId="0" applyNumberFormat="1" applyFont="1" applyBorder="1" applyAlignment="1">
      <alignment vertical="center" wrapText="1"/>
    </xf>
    <xf numFmtId="0" fontId="41" fillId="0" borderId="3" xfId="0" quotePrefix="1" applyFont="1" applyBorder="1" applyAlignment="1">
      <alignment horizontal="right" vertical="center" wrapText="1"/>
    </xf>
    <xf numFmtId="166" fontId="41" fillId="10" borderId="7" xfId="0" applyNumberFormat="1" applyFont="1" applyFill="1" applyBorder="1" applyAlignment="1">
      <alignment vertical="center"/>
    </xf>
    <xf numFmtId="0" fontId="41" fillId="0" borderId="6" xfId="0" quotePrefix="1" applyFont="1" applyBorder="1" applyAlignment="1">
      <alignment horizontal="center" vertical="center" wrapText="1"/>
    </xf>
    <xf numFmtId="166" fontId="41" fillId="10" borderId="7" xfId="0" quotePrefix="1" applyNumberFormat="1" applyFont="1" applyFill="1" applyBorder="1" applyAlignment="1">
      <alignment vertical="center" wrapText="1"/>
    </xf>
    <xf numFmtId="4" fontId="41" fillId="0" borderId="3" xfId="0" applyNumberFormat="1" applyFont="1" applyBorder="1" applyAlignment="1">
      <alignment vertical="center" wrapText="1"/>
    </xf>
    <xf numFmtId="0" fontId="39" fillId="12" borderId="53" xfId="0" applyFont="1" applyFill="1" applyBorder="1" applyAlignment="1">
      <alignment horizontal="left" vertical="center"/>
    </xf>
    <xf numFmtId="0" fontId="39" fillId="12" borderId="54" xfId="0" applyFont="1" applyFill="1" applyBorder="1" applyAlignment="1">
      <alignment horizontal="left" vertical="center"/>
    </xf>
    <xf numFmtId="177" fontId="39" fillId="12" borderId="54" xfId="0" applyNumberFormat="1" applyFont="1" applyFill="1" applyBorder="1" applyAlignment="1">
      <alignment horizontal="left" vertical="center"/>
    </xf>
    <xf numFmtId="0" fontId="41" fillId="0" borderId="3" xfId="0" applyFont="1" applyBorder="1" applyAlignment="1">
      <alignment horizontal="center" vertical="center" wrapText="1"/>
    </xf>
    <xf numFmtId="177" fontId="41" fillId="0" borderId="3" xfId="0" quotePrefix="1" applyNumberFormat="1" applyFont="1" applyBorder="1" applyAlignment="1">
      <alignment vertical="center" wrapText="1"/>
    </xf>
    <xf numFmtId="166" fontId="41" fillId="10" borderId="3" xfId="0" applyNumberFormat="1" applyFont="1" applyFill="1" applyBorder="1" applyAlignment="1">
      <alignment vertical="center"/>
    </xf>
    <xf numFmtId="0" fontId="41" fillId="0" borderId="3" xfId="0" quotePrefix="1" applyFont="1" applyBorder="1" applyAlignment="1">
      <alignment horizontal="center" vertical="center" wrapText="1"/>
    </xf>
    <xf numFmtId="166" fontId="41" fillId="10" borderId="3" xfId="0" quotePrefix="1" applyNumberFormat="1" applyFont="1" applyFill="1" applyBorder="1" applyAlignment="1">
      <alignment vertical="center" wrapText="1"/>
    </xf>
    <xf numFmtId="0" fontId="41" fillId="0" borderId="0" xfId="0" applyFont="1" applyAlignment="1">
      <alignment vertical="center" wrapText="1"/>
    </xf>
    <xf numFmtId="166" fontId="27" fillId="10" borderId="3" xfId="0" applyNumberFormat="1" applyFont="1" applyFill="1" applyBorder="1" applyAlignment="1">
      <alignment vertical="center"/>
    </xf>
    <xf numFmtId="166" fontId="27" fillId="0" borderId="3" xfId="0" applyNumberFormat="1" applyFont="1" applyBorder="1" applyAlignment="1">
      <alignment vertical="center"/>
    </xf>
    <xf numFmtId="0" fontId="50" fillId="0" borderId="0" xfId="0" applyFont="1"/>
    <xf numFmtId="0" fontId="50" fillId="0" borderId="0" xfId="0" applyFont="1" applyAlignment="1">
      <alignment horizontal="center" vertical="center"/>
    </xf>
    <xf numFmtId="10" fontId="50" fillId="0" borderId="0" xfId="0" applyNumberFormat="1" applyFont="1" applyAlignment="1">
      <alignment horizontal="center" vertical="center"/>
    </xf>
    <xf numFmtId="9" fontId="50" fillId="0" borderId="0" xfId="0" applyNumberFormat="1" applyFont="1" applyAlignment="1">
      <alignment horizontal="center" vertical="center"/>
    </xf>
    <xf numFmtId="49" fontId="23" fillId="7" borderId="3" xfId="0" applyNumberFormat="1" applyFont="1" applyFill="1" applyBorder="1" applyAlignment="1">
      <alignment horizontal="center" vertical="center" wrapText="1"/>
    </xf>
    <xf numFmtId="0" fontId="22" fillId="13" borderId="17" xfId="0" applyFont="1" applyFill="1" applyBorder="1" applyAlignment="1">
      <alignment horizontal="center" vertical="center" wrapText="1"/>
    </xf>
    <xf numFmtId="10" fontId="22" fillId="13" borderId="17" xfId="0" applyNumberFormat="1" applyFont="1" applyFill="1" applyBorder="1" applyAlignment="1">
      <alignment horizontal="center" vertical="center" wrapText="1"/>
    </xf>
    <xf numFmtId="9" fontId="22" fillId="13" borderId="17" xfId="0" applyNumberFormat="1" applyFont="1" applyFill="1" applyBorder="1" applyAlignment="1">
      <alignment horizontal="center" vertical="center" wrapText="1"/>
    </xf>
    <xf numFmtId="0" fontId="23" fillId="7" borderId="3" xfId="0" applyFont="1" applyFill="1" applyBorder="1" applyAlignment="1">
      <alignment horizontal="center" vertical="center" wrapText="1"/>
    </xf>
    <xf numFmtId="0" fontId="23" fillId="7" borderId="3" xfId="0" applyFont="1" applyFill="1" applyBorder="1" applyAlignment="1">
      <alignment vertical="center" wrapText="1"/>
    </xf>
    <xf numFmtId="171" fontId="23" fillId="7" borderId="3" xfId="0" applyNumberFormat="1" applyFont="1" applyFill="1" applyBorder="1" applyAlignment="1">
      <alignment horizontal="center" vertical="center" wrapText="1"/>
    </xf>
    <xf numFmtId="1" fontId="23" fillId="7" borderId="3" xfId="0" applyNumberFormat="1" applyFont="1" applyFill="1" applyBorder="1" applyAlignment="1">
      <alignment horizontal="center" vertical="center" wrapText="1"/>
    </xf>
    <xf numFmtId="0" fontId="23" fillId="7" borderId="49" xfId="0" applyFont="1" applyFill="1" applyBorder="1" applyAlignment="1">
      <alignment horizontal="left" vertical="center" wrapText="1"/>
    </xf>
    <xf numFmtId="0" fontId="23" fillId="13"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3" xfId="0" applyFont="1" applyBorder="1" applyAlignment="1">
      <alignment horizontal="left" vertical="center"/>
    </xf>
    <xf numFmtId="0" fontId="8" fillId="0" borderId="3" xfId="0" applyFont="1" applyBorder="1" applyAlignment="1">
      <alignment horizontal="left" vertical="center" wrapText="1"/>
    </xf>
    <xf numFmtId="166" fontId="8" fillId="0" borderId="3" xfId="0" applyNumberFormat="1" applyFont="1" applyBorder="1" applyAlignment="1">
      <alignment horizontal="left" vertical="center" wrapText="1"/>
    </xf>
    <xf numFmtId="49" fontId="8" fillId="14" borderId="3" xfId="0" applyNumberFormat="1" applyFont="1" applyFill="1" applyBorder="1" applyAlignment="1">
      <alignment horizontal="center" vertical="center"/>
    </xf>
    <xf numFmtId="0" fontId="8" fillId="0" borderId="9" xfId="0" applyFont="1" applyBorder="1" applyAlignment="1">
      <alignment vertical="center" wrapText="1"/>
    </xf>
    <xf numFmtId="20" fontId="8" fillId="15" borderId="3" xfId="0" applyNumberFormat="1" applyFont="1" applyFill="1" applyBorder="1" applyAlignment="1">
      <alignment horizontal="center" vertical="center" wrapText="1"/>
    </xf>
    <xf numFmtId="178" fontId="8" fillId="0" borderId="3" xfId="0" applyNumberFormat="1" applyFont="1" applyBorder="1" applyAlignment="1">
      <alignment horizontal="center" vertical="center" wrapText="1"/>
    </xf>
    <xf numFmtId="166" fontId="8" fillId="0" borderId="3" xfId="0" applyNumberFormat="1" applyFont="1" applyBorder="1" applyAlignment="1">
      <alignment horizontal="center" vertical="center" wrapText="1"/>
    </xf>
    <xf numFmtId="166" fontId="51" fillId="0" borderId="3" xfId="0" applyNumberFormat="1" applyFont="1" applyBorder="1" applyAlignment="1">
      <alignment horizontal="left" vertical="center" wrapText="1"/>
    </xf>
    <xf numFmtId="1" fontId="8" fillId="0" borderId="3" xfId="0" applyNumberFormat="1" applyFont="1" applyBorder="1" applyAlignment="1">
      <alignment horizontal="center" vertical="center" shrinkToFit="1"/>
    </xf>
    <xf numFmtId="171" fontId="8" fillId="0" borderId="3" xfId="0" applyNumberFormat="1" applyFont="1" applyBorder="1" applyAlignment="1">
      <alignment horizontal="left" vertical="center" shrinkToFit="1"/>
    </xf>
    <xf numFmtId="0" fontId="8" fillId="0" borderId="9" xfId="0" applyFont="1" applyBorder="1" applyAlignment="1">
      <alignment horizontal="left" vertical="center" wrapText="1"/>
    </xf>
    <xf numFmtId="0" fontId="51" fillId="0" borderId="0" xfId="0" applyFont="1" applyAlignment="1">
      <alignment horizontal="center" vertical="center" wrapText="1"/>
    </xf>
    <xf numFmtId="10" fontId="51" fillId="0" borderId="0" xfId="0" applyNumberFormat="1" applyFont="1" applyAlignment="1">
      <alignment horizontal="center" vertical="center" wrapText="1"/>
    </xf>
    <xf numFmtId="9" fontId="51" fillId="13" borderId="17" xfId="0" applyNumberFormat="1" applyFont="1" applyFill="1" applyBorder="1" applyAlignment="1">
      <alignment horizontal="center" vertical="center" wrapText="1"/>
    </xf>
    <xf numFmtId="1" fontId="8" fillId="16" borderId="3" xfId="0" applyNumberFormat="1" applyFont="1" applyFill="1" applyBorder="1" applyAlignment="1">
      <alignment horizontal="center" vertical="center" wrapText="1"/>
    </xf>
    <xf numFmtId="0" fontId="8" fillId="0" borderId="9" xfId="0" applyFont="1" applyBorder="1" applyAlignment="1">
      <alignment horizontal="center" vertical="center" wrapText="1"/>
    </xf>
    <xf numFmtId="171" fontId="8" fillId="0" borderId="3" xfId="0" applyNumberFormat="1" applyFont="1" applyBorder="1" applyAlignment="1">
      <alignment horizontal="center" vertical="center" shrinkToFit="1"/>
    </xf>
    <xf numFmtId="0" fontId="8" fillId="0" borderId="0" xfId="0" applyFont="1" applyAlignment="1">
      <alignment horizontal="center" vertical="center" wrapText="1"/>
    </xf>
    <xf numFmtId="0" fontId="8" fillId="0" borderId="3" xfId="0" applyFont="1" applyBorder="1" applyAlignment="1">
      <alignment vertical="center" wrapText="1"/>
    </xf>
    <xf numFmtId="14" fontId="8" fillId="0" borderId="3" xfId="0" applyNumberFormat="1" applyFont="1" applyBorder="1" applyAlignment="1">
      <alignment vertical="center" wrapText="1"/>
    </xf>
    <xf numFmtId="20" fontId="8" fillId="10" borderId="3" xfId="0" applyNumberFormat="1" applyFont="1" applyFill="1" applyBorder="1" applyAlignment="1">
      <alignment horizontal="center" vertical="center" wrapText="1"/>
    </xf>
    <xf numFmtId="166" fontId="51" fillId="0" borderId="3" xfId="0" applyNumberFormat="1" applyFont="1" applyBorder="1" applyAlignment="1">
      <alignment vertical="center" wrapText="1"/>
    </xf>
    <xf numFmtId="166" fontId="50" fillId="0" borderId="0" xfId="0" applyNumberFormat="1" applyFont="1"/>
    <xf numFmtId="0" fontId="56" fillId="0" borderId="3" xfId="0" applyFont="1" applyBorder="1" applyAlignment="1">
      <alignment horizontal="center" vertical="center" wrapText="1"/>
    </xf>
    <xf numFmtId="166" fontId="56" fillId="10" borderId="3" xfId="0" applyNumberFormat="1" applyFont="1" applyFill="1" applyBorder="1" applyAlignment="1">
      <alignment horizontal="center" vertical="center" wrapText="1"/>
    </xf>
    <xf numFmtId="166" fontId="57" fillId="10" borderId="3" xfId="0" applyNumberFormat="1" applyFont="1" applyFill="1" applyBorder="1" applyAlignment="1">
      <alignment horizontal="center" vertical="center" wrapText="1"/>
    </xf>
    <xf numFmtId="0" fontId="58" fillId="0" borderId="0" xfId="0" applyFont="1" applyAlignment="1">
      <alignment horizontal="center" vertical="center"/>
    </xf>
    <xf numFmtId="0" fontId="58" fillId="0" borderId="0" xfId="0" applyFont="1" applyAlignment="1">
      <alignment horizontal="center" vertical="center" wrapText="1"/>
    </xf>
    <xf numFmtId="14" fontId="59" fillId="0" borderId="56" xfId="0" applyNumberFormat="1" applyFont="1" applyBorder="1" applyAlignment="1">
      <alignment horizontal="center" vertical="center" wrapText="1"/>
    </xf>
    <xf numFmtId="0" fontId="56" fillId="0" borderId="56" xfId="0" applyFont="1" applyBorder="1" applyAlignment="1">
      <alignment horizontal="center" vertical="center" wrapText="1"/>
    </xf>
    <xf numFmtId="0" fontId="59" fillId="0" borderId="56" xfId="0" applyFont="1" applyBorder="1" applyAlignment="1">
      <alignment horizontal="center" vertical="center" wrapText="1"/>
    </xf>
    <xf numFmtId="0" fontId="58" fillId="0" borderId="56" xfId="0" applyFont="1" applyBorder="1" applyAlignment="1">
      <alignment horizontal="center" vertical="center" wrapText="1"/>
    </xf>
    <xf numFmtId="2" fontId="58" fillId="0" borderId="56" xfId="0" applyNumberFormat="1" applyFont="1" applyBorder="1" applyAlignment="1">
      <alignment horizontal="center" vertical="center" wrapText="1"/>
    </xf>
    <xf numFmtId="179" fontId="58" fillId="0" borderId="56" xfId="0" applyNumberFormat="1" applyFont="1" applyBorder="1" applyAlignment="1">
      <alignment horizontal="center" vertical="center" wrapText="1"/>
    </xf>
    <xf numFmtId="180" fontId="56" fillId="0" borderId="56" xfId="0" applyNumberFormat="1" applyFont="1" applyBorder="1" applyAlignment="1">
      <alignment horizontal="center" vertical="center" wrapText="1"/>
    </xf>
    <xf numFmtId="14" fontId="56" fillId="0" borderId="56" xfId="0" applyNumberFormat="1" applyFont="1" applyBorder="1" applyAlignment="1">
      <alignment horizontal="center" vertical="center" wrapText="1"/>
    </xf>
    <xf numFmtId="166" fontId="56" fillId="10" borderId="56" xfId="0" applyNumberFormat="1" applyFont="1" applyFill="1" applyBorder="1" applyAlignment="1">
      <alignment horizontal="center" vertical="center" wrapText="1"/>
    </xf>
    <xf numFmtId="0" fontId="63" fillId="0" borderId="0" xfId="0" applyFont="1"/>
    <xf numFmtId="165" fontId="56" fillId="10" borderId="56" xfId="0" applyNumberFormat="1" applyFont="1" applyFill="1" applyBorder="1" applyAlignment="1">
      <alignment horizontal="center" vertical="center" wrapText="1"/>
    </xf>
    <xf numFmtId="174" fontId="56" fillId="0" borderId="56" xfId="0" applyNumberFormat="1" applyFont="1" applyBorder="1" applyAlignment="1">
      <alignment horizontal="center" vertical="center" wrapText="1"/>
    </xf>
    <xf numFmtId="0" fontId="64" fillId="17" borderId="56" xfId="0" applyFont="1" applyFill="1" applyBorder="1" applyAlignment="1">
      <alignment horizontal="center" vertical="center" wrapText="1"/>
    </xf>
    <xf numFmtId="14" fontId="58" fillId="0" borderId="56" xfId="0" applyNumberFormat="1" applyFont="1" applyBorder="1" applyAlignment="1">
      <alignment horizontal="center" vertical="center" wrapText="1"/>
    </xf>
    <xf numFmtId="4" fontId="65" fillId="10" borderId="56" xfId="0" applyNumberFormat="1" applyFont="1" applyFill="1" applyBorder="1" applyAlignment="1">
      <alignment vertical="center" wrapText="1"/>
    </xf>
    <xf numFmtId="0" fontId="56" fillId="0" borderId="56" xfId="0" applyFont="1" applyBorder="1" applyAlignment="1">
      <alignment horizontal="left" vertical="center" wrapText="1"/>
    </xf>
    <xf numFmtId="0" fontId="56" fillId="0" borderId="56" xfId="0" applyFont="1" applyBorder="1" applyAlignment="1">
      <alignment vertical="center" wrapText="1"/>
    </xf>
    <xf numFmtId="15" fontId="26" fillId="0" borderId="0" xfId="0" applyNumberFormat="1" applyFont="1" applyAlignment="1">
      <alignment horizontal="right" vertical="center" wrapText="1"/>
    </xf>
    <xf numFmtId="167" fontId="57" fillId="0" borderId="0" xfId="0" applyNumberFormat="1" applyFont="1" applyAlignment="1">
      <alignment horizontal="center" vertical="center" wrapText="1"/>
    </xf>
    <xf numFmtId="0" fontId="56" fillId="0" borderId="0" xfId="0" applyFont="1" applyAlignment="1">
      <alignment horizontal="center" vertical="center" wrapText="1"/>
    </xf>
    <xf numFmtId="170" fontId="57" fillId="0" borderId="0" xfId="0" applyNumberFormat="1" applyFont="1" applyAlignment="1">
      <alignment horizontal="center" vertical="center" wrapText="1"/>
    </xf>
    <xf numFmtId="15" fontId="57" fillId="0" borderId="0" xfId="0" applyNumberFormat="1" applyFont="1" applyAlignment="1">
      <alignment horizontal="center" vertical="center" wrapText="1"/>
    </xf>
    <xf numFmtId="171" fontId="57" fillId="0" borderId="0" xfId="0" applyNumberFormat="1" applyFont="1" applyAlignment="1">
      <alignment horizontal="center" vertical="center" wrapText="1"/>
    </xf>
    <xf numFmtId="1" fontId="57" fillId="0" borderId="0" xfId="0" applyNumberFormat="1" applyFont="1" applyAlignment="1">
      <alignment horizontal="center" vertical="center" wrapText="1"/>
    </xf>
    <xf numFmtId="170" fontId="56" fillId="0" borderId="0" xfId="0" applyNumberFormat="1" applyFont="1" applyAlignment="1">
      <alignment horizontal="center" vertical="center"/>
    </xf>
    <xf numFmtId="0" fontId="56" fillId="0" borderId="0" xfId="0" applyFont="1" applyAlignment="1">
      <alignment horizontal="center" vertical="center"/>
    </xf>
    <xf numFmtId="15" fontId="56" fillId="0" borderId="0" xfId="0" applyNumberFormat="1" applyFont="1" applyAlignment="1">
      <alignment horizontal="center" vertical="center" wrapText="1"/>
    </xf>
    <xf numFmtId="4" fontId="57" fillId="0" borderId="0" xfId="0" applyNumberFormat="1" applyFont="1" applyAlignment="1">
      <alignment horizontal="center" vertical="center"/>
    </xf>
    <xf numFmtId="170" fontId="56" fillId="0" borderId="0" xfId="0" applyNumberFormat="1" applyFont="1" applyAlignment="1">
      <alignment horizontal="center" vertical="center" wrapText="1"/>
    </xf>
    <xf numFmtId="15" fontId="56" fillId="0" borderId="0" xfId="0" applyNumberFormat="1" applyFont="1" applyAlignment="1">
      <alignment horizontal="center" vertical="center"/>
    </xf>
    <xf numFmtId="169" fontId="57" fillId="0" borderId="0" xfId="0" applyNumberFormat="1" applyFont="1" applyAlignment="1">
      <alignment horizontal="center" vertical="center"/>
    </xf>
    <xf numFmtId="0" fontId="57" fillId="0" borderId="0" xfId="0" applyFont="1" applyAlignment="1">
      <alignment horizontal="center" vertical="center" wrapText="1"/>
    </xf>
    <xf numFmtId="170" fontId="57" fillId="0" borderId="0" xfId="0" applyNumberFormat="1" applyFont="1" applyAlignment="1">
      <alignment horizontal="center" vertical="center"/>
    </xf>
    <xf numFmtId="0" fontId="56" fillId="7" borderId="7" xfId="0" applyFont="1" applyFill="1" applyBorder="1" applyAlignment="1">
      <alignment horizontal="center" vertical="center" wrapText="1"/>
    </xf>
    <xf numFmtId="49" fontId="56" fillId="7" borderId="7" xfId="0" applyNumberFormat="1" applyFont="1" applyFill="1" applyBorder="1" applyAlignment="1">
      <alignment horizontal="center" vertical="center" wrapText="1"/>
    </xf>
    <xf numFmtId="169" fontId="56" fillId="7" borderId="7" xfId="0" applyNumberFormat="1" applyFont="1" applyFill="1" applyBorder="1" applyAlignment="1">
      <alignment horizontal="center" vertical="center" wrapText="1"/>
    </xf>
    <xf numFmtId="173" fontId="56" fillId="7" borderId="7" xfId="0" applyNumberFormat="1" applyFont="1" applyFill="1" applyBorder="1" applyAlignment="1">
      <alignment horizontal="center" vertical="center" wrapText="1"/>
    </xf>
    <xf numFmtId="170" fontId="56" fillId="7" borderId="7" xfId="0" applyNumberFormat="1" applyFont="1" applyFill="1" applyBorder="1" applyAlignment="1">
      <alignment horizontal="center" vertical="center" wrapText="1"/>
    </xf>
    <xf numFmtId="1" fontId="56" fillId="7" borderId="7" xfId="0" applyNumberFormat="1" applyFont="1" applyFill="1" applyBorder="1" applyAlignment="1">
      <alignment horizontal="center" vertical="center" wrapText="1"/>
    </xf>
    <xf numFmtId="0" fontId="56" fillId="7" borderId="5" xfId="0" applyFont="1" applyFill="1" applyBorder="1" applyAlignment="1">
      <alignment horizontal="center" vertical="center" wrapText="1"/>
    </xf>
    <xf numFmtId="49" fontId="56" fillId="7" borderId="5" xfId="0" applyNumberFormat="1" applyFont="1" applyFill="1" applyBorder="1" applyAlignment="1">
      <alignment horizontal="center" vertical="center" wrapText="1"/>
    </xf>
    <xf numFmtId="169" fontId="56" fillId="7" borderId="5" xfId="0" applyNumberFormat="1" applyFont="1" applyFill="1" applyBorder="1" applyAlignment="1">
      <alignment horizontal="center" vertical="center" wrapText="1"/>
    </xf>
    <xf numFmtId="173" fontId="56" fillId="7" borderId="5" xfId="0" applyNumberFormat="1" applyFont="1" applyFill="1" applyBorder="1" applyAlignment="1">
      <alignment horizontal="center" vertical="center" wrapText="1"/>
    </xf>
    <xf numFmtId="170" fontId="56" fillId="7" borderId="5" xfId="0" applyNumberFormat="1" applyFont="1" applyFill="1" applyBorder="1" applyAlignment="1">
      <alignment horizontal="center" vertical="center" wrapText="1"/>
    </xf>
    <xf numFmtId="1" fontId="56" fillId="7" borderId="5" xfId="0" applyNumberFormat="1" applyFont="1" applyFill="1" applyBorder="1" applyAlignment="1">
      <alignment horizontal="center" vertical="center" wrapText="1"/>
    </xf>
    <xf numFmtId="0" fontId="56" fillId="7" borderId="3" xfId="0" applyFont="1" applyFill="1" applyBorder="1" applyAlignment="1">
      <alignment horizontal="center" vertical="center" wrapText="1"/>
    </xf>
    <xf numFmtId="169" fontId="56" fillId="7" borderId="3" xfId="0" applyNumberFormat="1" applyFont="1" applyFill="1" applyBorder="1" applyAlignment="1">
      <alignment horizontal="center" vertical="center" wrapText="1"/>
    </xf>
    <xf numFmtId="1" fontId="56" fillId="7" borderId="3" xfId="0" applyNumberFormat="1" applyFont="1" applyFill="1" applyBorder="1" applyAlignment="1">
      <alignment horizontal="center" vertical="center" wrapText="1"/>
    </xf>
    <xf numFmtId="0" fontId="56" fillId="7" borderId="49" xfId="0" applyFont="1" applyFill="1" applyBorder="1" applyAlignment="1">
      <alignment horizontal="center" vertical="center" wrapText="1"/>
    </xf>
    <xf numFmtId="170" fontId="56" fillId="0" borderId="3" xfId="0" applyNumberFormat="1" applyFont="1" applyBorder="1" applyAlignment="1">
      <alignment horizontal="center" vertical="center" wrapText="1"/>
    </xf>
    <xf numFmtId="1" fontId="56" fillId="10" borderId="3" xfId="0" applyNumberFormat="1" applyFont="1" applyFill="1" applyBorder="1" applyAlignment="1">
      <alignment horizontal="center" vertical="center" shrinkToFit="1"/>
    </xf>
    <xf numFmtId="171" fontId="56" fillId="10" borderId="3" xfId="0" applyNumberFormat="1" applyFont="1" applyFill="1" applyBorder="1" applyAlignment="1">
      <alignment horizontal="center" vertical="center" shrinkToFit="1"/>
    </xf>
    <xf numFmtId="1" fontId="56" fillId="0" borderId="3" xfId="0" applyNumberFormat="1" applyFont="1" applyBorder="1" applyAlignment="1">
      <alignment horizontal="center" vertical="center" shrinkToFit="1"/>
    </xf>
    <xf numFmtId="0" fontId="56" fillId="0" borderId="3" xfId="0" quotePrefix="1" applyFont="1" applyBorder="1" applyAlignment="1">
      <alignment horizontal="center" vertical="center" wrapText="1"/>
    </xf>
    <xf numFmtId="166" fontId="56" fillId="0" borderId="3" xfId="0" applyNumberFormat="1" applyFont="1" applyBorder="1" applyAlignment="1">
      <alignment horizontal="center" vertical="center" wrapText="1"/>
    </xf>
    <xf numFmtId="173" fontId="56" fillId="9" borderId="3" xfId="0" applyNumberFormat="1" applyFont="1" applyFill="1" applyBorder="1" applyAlignment="1">
      <alignment horizontal="center" vertical="center" wrapText="1"/>
    </xf>
    <xf numFmtId="166" fontId="57" fillId="0" borderId="3" xfId="0" applyNumberFormat="1" applyFont="1" applyBorder="1" applyAlignment="1">
      <alignment horizontal="center" vertical="center" wrapText="1"/>
    </xf>
    <xf numFmtId="171" fontId="56" fillId="0" borderId="0" xfId="0" applyNumberFormat="1" applyFont="1" applyAlignment="1">
      <alignment horizontal="center" vertical="center" shrinkToFit="1"/>
    </xf>
    <xf numFmtId="171" fontId="56" fillId="0" borderId="0" xfId="0" applyNumberFormat="1" applyFont="1" applyAlignment="1">
      <alignment horizontal="center" vertical="center"/>
    </xf>
    <xf numFmtId="1" fontId="56" fillId="0" borderId="0" xfId="0" applyNumberFormat="1" applyFont="1" applyAlignment="1">
      <alignment horizontal="center" vertical="center"/>
    </xf>
    <xf numFmtId="4" fontId="66" fillId="0" borderId="0" xfId="0" applyNumberFormat="1" applyFont="1" applyAlignment="1">
      <alignment horizontal="center" vertical="center"/>
    </xf>
    <xf numFmtId="0" fontId="56" fillId="0" borderId="39" xfId="0" applyFont="1" applyBorder="1" applyAlignment="1">
      <alignment horizontal="center" vertical="center" wrapText="1"/>
    </xf>
    <xf numFmtId="3" fontId="62" fillId="0" borderId="56" xfId="0" applyNumberFormat="1" applyFont="1" applyBorder="1" applyAlignment="1">
      <alignment horizontal="center" vertical="center" wrapText="1"/>
    </xf>
    <xf numFmtId="0" fontId="62" fillId="0" borderId="56" xfId="0" applyFont="1" applyBorder="1" applyAlignment="1">
      <alignment horizontal="center" vertical="center" wrapText="1"/>
    </xf>
    <xf numFmtId="4" fontId="25" fillId="0" borderId="56" xfId="0" applyNumberFormat="1" applyFont="1" applyBorder="1" applyAlignment="1">
      <alignment horizontal="left" vertical="center" wrapText="1"/>
    </xf>
    <xf numFmtId="0" fontId="25" fillId="0" borderId="56" xfId="0" applyFont="1" applyBorder="1" applyAlignment="1">
      <alignment horizontal="left" vertical="center" wrapText="1"/>
    </xf>
    <xf numFmtId="1" fontId="56" fillId="0" borderId="3" xfId="0" applyNumberFormat="1" applyFont="1" applyBorder="1" applyAlignment="1">
      <alignment horizontal="left" vertical="center"/>
    </xf>
    <xf numFmtId="1" fontId="56" fillId="0" borderId="0" xfId="0" applyNumberFormat="1" applyFont="1" applyAlignment="1">
      <alignment horizontal="left" vertical="center"/>
    </xf>
    <xf numFmtId="0" fontId="58" fillId="0" borderId="0" xfId="0" applyFont="1" applyAlignment="1">
      <alignment horizontal="left" vertical="center"/>
    </xf>
    <xf numFmtId="0" fontId="25" fillId="0" borderId="56" xfId="0" quotePrefix="1" applyFont="1" applyBorder="1" applyAlignment="1">
      <alignment horizontal="center" vertical="center" wrapText="1"/>
    </xf>
    <xf numFmtId="4" fontId="25" fillId="0" borderId="56" xfId="0" applyNumberFormat="1" applyFont="1" applyBorder="1" applyAlignment="1">
      <alignment horizontal="center" vertical="center" wrapText="1"/>
    </xf>
    <xf numFmtId="0" fontId="40" fillId="0" borderId="56" xfId="0" applyFont="1" applyBorder="1" applyAlignment="1">
      <alignment horizontal="center" vertical="center" wrapText="1"/>
    </xf>
    <xf numFmtId="0" fontId="25" fillId="0" borderId="56" xfId="0" applyFont="1" applyBorder="1" applyAlignment="1">
      <alignment horizontal="center" vertical="center" wrapText="1"/>
    </xf>
    <xf numFmtId="0" fontId="58" fillId="0" borderId="0" xfId="0" applyFont="1" applyAlignment="1">
      <alignment vertical="center" wrapText="1"/>
    </xf>
    <xf numFmtId="173" fontId="56" fillId="9" borderId="56" xfId="0" applyNumberFormat="1" applyFont="1" applyFill="1" applyBorder="1" applyAlignment="1">
      <alignment horizontal="center" vertical="center" wrapText="1"/>
    </xf>
    <xf numFmtId="166" fontId="57" fillId="10" borderId="56" xfId="0" applyNumberFormat="1" applyFont="1" applyFill="1" applyBorder="1" applyAlignment="1">
      <alignment horizontal="center" vertical="center" wrapText="1"/>
    </xf>
    <xf numFmtId="1" fontId="56" fillId="10" borderId="56" xfId="0" applyNumberFormat="1" applyFont="1" applyFill="1" applyBorder="1" applyAlignment="1">
      <alignment horizontal="center" vertical="center" wrapText="1" shrinkToFit="1"/>
    </xf>
    <xf numFmtId="171" fontId="56" fillId="10" borderId="56" xfId="0" applyNumberFormat="1" applyFont="1" applyFill="1" applyBorder="1" applyAlignment="1">
      <alignment horizontal="center" vertical="center" wrapText="1" shrinkToFit="1"/>
    </xf>
    <xf numFmtId="1" fontId="56" fillId="0" borderId="56" xfId="0" applyNumberFormat="1" applyFont="1" applyBorder="1" applyAlignment="1">
      <alignment horizontal="center" vertical="center" wrapText="1" shrinkToFit="1"/>
    </xf>
    <xf numFmtId="1" fontId="56" fillId="10" borderId="56" xfId="0" applyNumberFormat="1" applyFont="1" applyFill="1" applyBorder="1" applyAlignment="1">
      <alignment horizontal="center" vertical="center" shrinkToFit="1"/>
    </xf>
    <xf numFmtId="171" fontId="56" fillId="10" borderId="56" xfId="0" applyNumberFormat="1" applyFont="1" applyFill="1" applyBorder="1" applyAlignment="1">
      <alignment horizontal="center" vertical="center" shrinkToFit="1"/>
    </xf>
    <xf numFmtId="1" fontId="56" fillId="0" borderId="56" xfId="0" applyNumberFormat="1" applyFont="1" applyBorder="1" applyAlignment="1">
      <alignment horizontal="center" vertical="center" shrinkToFit="1"/>
    </xf>
    <xf numFmtId="181" fontId="59" fillId="0" borderId="56" xfId="0" applyNumberFormat="1" applyFont="1" applyBorder="1" applyAlignment="1">
      <alignment horizontal="center" vertical="center" wrapText="1"/>
    </xf>
    <xf numFmtId="166" fontId="56" fillId="18" borderId="56" xfId="0" applyNumberFormat="1" applyFont="1" applyFill="1" applyBorder="1" applyAlignment="1">
      <alignment horizontal="center" vertical="center" wrapText="1"/>
    </xf>
    <xf numFmtId="166" fontId="57" fillId="18" borderId="56" xfId="0" applyNumberFormat="1" applyFont="1" applyFill="1" applyBorder="1" applyAlignment="1">
      <alignment horizontal="center" vertical="center" wrapText="1"/>
    </xf>
    <xf numFmtId="173" fontId="25" fillId="9" borderId="56" xfId="0" applyNumberFormat="1" applyFont="1" applyFill="1" applyBorder="1" applyAlignment="1">
      <alignment horizontal="center" vertical="center" wrapText="1"/>
    </xf>
    <xf numFmtId="166" fontId="25" fillId="10" borderId="56" xfId="0" applyNumberFormat="1" applyFont="1" applyFill="1" applyBorder="1" applyAlignment="1">
      <alignment horizontal="center" vertical="center" wrapText="1"/>
    </xf>
    <xf numFmtId="166" fontId="18" fillId="10" borderId="56" xfId="0" applyNumberFormat="1" applyFont="1" applyFill="1" applyBorder="1" applyAlignment="1">
      <alignment horizontal="center" vertical="center" wrapText="1"/>
    </xf>
    <xf numFmtId="1" fontId="25" fillId="10" borderId="56" xfId="0" applyNumberFormat="1" applyFont="1" applyFill="1" applyBorder="1" applyAlignment="1">
      <alignment horizontal="center" vertical="center" shrinkToFit="1"/>
    </xf>
    <xf numFmtId="171" fontId="25" fillId="10" borderId="56" xfId="0" applyNumberFormat="1" applyFont="1" applyFill="1" applyBorder="1" applyAlignment="1">
      <alignment horizontal="center" vertical="center" shrinkToFit="1"/>
    </xf>
    <xf numFmtId="1" fontId="25" fillId="0" borderId="56" xfId="0" applyNumberFormat="1" applyFont="1" applyBorder="1" applyAlignment="1">
      <alignment horizontal="center" vertical="center" shrinkToFit="1"/>
    </xf>
    <xf numFmtId="15" fontId="26" fillId="0" borderId="0" xfId="0" applyNumberFormat="1" applyFont="1" applyAlignment="1">
      <alignment horizontal="right" vertical="center"/>
    </xf>
    <xf numFmtId="4" fontId="27" fillId="0" borderId="0" xfId="0" applyNumberFormat="1" applyFont="1" applyAlignment="1">
      <alignment horizontal="left" vertical="center"/>
    </xf>
    <xf numFmtId="4" fontId="27" fillId="0" borderId="0" xfId="0" applyNumberFormat="1" applyFont="1" applyAlignment="1">
      <alignment vertical="center"/>
    </xf>
    <xf numFmtId="4" fontId="27" fillId="0" borderId="0" xfId="0" applyNumberFormat="1" applyFont="1" applyAlignment="1">
      <alignment horizontal="center" vertical="center"/>
    </xf>
    <xf numFmtId="1" fontId="56" fillId="18" borderId="56" xfId="0" applyNumberFormat="1" applyFont="1" applyFill="1" applyBorder="1" applyAlignment="1">
      <alignment horizontal="center" vertical="center" wrapText="1" shrinkToFit="1"/>
    </xf>
    <xf numFmtId="171" fontId="56" fillId="18" borderId="56" xfId="0" applyNumberFormat="1" applyFont="1" applyFill="1" applyBorder="1" applyAlignment="1">
      <alignment horizontal="center" vertical="center" wrapText="1" shrinkToFit="1"/>
    </xf>
    <xf numFmtId="0" fontId="68" fillId="0" borderId="56" xfId="0" applyFont="1" applyBorder="1" applyAlignment="1">
      <alignment horizontal="center" vertical="center" wrapText="1"/>
    </xf>
    <xf numFmtId="0" fontId="69" fillId="0" borderId="56" xfId="0" quotePrefix="1" applyFont="1" applyBorder="1" applyAlignment="1">
      <alignment horizontal="center" vertical="center" wrapText="1"/>
    </xf>
    <xf numFmtId="4" fontId="31" fillId="11" borderId="7" xfId="0" applyNumberFormat="1" applyFont="1" applyFill="1" applyBorder="1" applyAlignment="1">
      <alignment horizontal="center" vertical="center" wrapText="1"/>
    </xf>
    <xf numFmtId="10" fontId="31" fillId="0" borderId="56" xfId="0" applyNumberFormat="1" applyFont="1" applyBorder="1" applyAlignment="1">
      <alignment vertical="center"/>
    </xf>
    <xf numFmtId="2" fontId="31" fillId="18" borderId="3" xfId="0" applyNumberFormat="1" applyFont="1" applyFill="1" applyBorder="1" applyAlignment="1">
      <alignment horizontal="center" vertical="center"/>
    </xf>
    <xf numFmtId="166" fontId="31" fillId="18" borderId="3" xfId="0" applyNumberFormat="1" applyFont="1" applyFill="1" applyBorder="1" applyAlignment="1">
      <alignment horizontal="center" vertical="center"/>
    </xf>
    <xf numFmtId="0" fontId="40" fillId="0" borderId="56" xfId="0" quotePrefix="1" applyFont="1" applyBorder="1" applyAlignment="1">
      <alignment horizontal="left" vertical="top" wrapText="1"/>
    </xf>
    <xf numFmtId="167" fontId="57" fillId="0" borderId="0" xfId="0" applyNumberFormat="1" applyFont="1" applyAlignment="1">
      <alignment horizontal="left" vertical="center" wrapText="1"/>
    </xf>
    <xf numFmtId="0" fontId="56" fillId="0" borderId="0" xfId="0" applyFont="1" applyAlignment="1">
      <alignment horizontal="left" vertical="center" wrapText="1"/>
    </xf>
    <xf numFmtId="0" fontId="57" fillId="0" borderId="0" xfId="0" applyFont="1" applyAlignment="1">
      <alignment horizontal="left" vertical="center" wrapText="1"/>
    </xf>
    <xf numFmtId="0" fontId="56" fillId="7" borderId="7" xfId="0" applyFont="1" applyFill="1" applyBorder="1" applyAlignment="1">
      <alignment horizontal="left" vertical="center" wrapText="1"/>
    </xf>
    <xf numFmtId="0" fontId="56" fillId="7" borderId="5" xfId="0" applyFont="1" applyFill="1" applyBorder="1" applyAlignment="1">
      <alignment horizontal="left" vertical="center" wrapText="1"/>
    </xf>
    <xf numFmtId="0" fontId="59" fillId="0" borderId="56" xfId="0" applyFont="1" applyBorder="1" applyAlignment="1">
      <alignment horizontal="left" vertical="center" wrapText="1"/>
    </xf>
    <xf numFmtId="0" fontId="56" fillId="0" borderId="3" xfId="0" applyFont="1" applyBorder="1" applyAlignment="1">
      <alignment horizontal="left" vertical="center" wrapText="1"/>
    </xf>
    <xf numFmtId="15" fontId="56" fillId="0" borderId="0" xfId="0" applyNumberFormat="1" applyFont="1" applyAlignment="1">
      <alignment horizontal="left" vertical="center"/>
    </xf>
    <xf numFmtId="15" fontId="56" fillId="0" borderId="0" xfId="0" applyNumberFormat="1" applyFont="1" applyAlignment="1">
      <alignment horizontal="left" vertical="center" wrapText="1"/>
    </xf>
    <xf numFmtId="167" fontId="30" fillId="0" borderId="0" xfId="0" applyNumberFormat="1" applyFont="1" applyAlignment="1">
      <alignment horizontal="left" vertical="center" wrapText="1"/>
    </xf>
    <xf numFmtId="0" fontId="31" fillId="0" borderId="0" xfId="0" applyFont="1" applyAlignment="1">
      <alignment horizontal="left" vertical="center"/>
    </xf>
    <xf numFmtId="0" fontId="68" fillId="0" borderId="56" xfId="0" applyFont="1" applyBorder="1" applyAlignment="1">
      <alignment horizontal="left" vertical="center" wrapText="1"/>
    </xf>
    <xf numFmtId="0" fontId="70" fillId="0" borderId="56" xfId="0" applyFont="1" applyBorder="1" applyAlignment="1">
      <alignment horizontal="left" vertical="center" wrapText="1"/>
    </xf>
    <xf numFmtId="0" fontId="69" fillId="0" borderId="56" xfId="0" applyFont="1" applyBorder="1" applyAlignment="1">
      <alignment horizontal="left" vertical="center"/>
    </xf>
    <xf numFmtId="4" fontId="69" fillId="0" borderId="56" xfId="0" applyNumberFormat="1" applyFont="1" applyBorder="1" applyAlignment="1">
      <alignment horizontal="left" vertical="center" wrapText="1"/>
    </xf>
    <xf numFmtId="0" fontId="68" fillId="0" borderId="56" xfId="0" applyFont="1" applyBorder="1" applyAlignment="1">
      <alignment horizontal="left" vertical="center"/>
    </xf>
    <xf numFmtId="0" fontId="31" fillId="0" borderId="6" xfId="0" applyFont="1" applyBorder="1" applyAlignment="1">
      <alignment horizontal="left" vertical="center" wrapText="1"/>
    </xf>
    <xf numFmtId="0" fontId="0" fillId="0" borderId="0" xfId="0" applyAlignment="1">
      <alignment horizontal="left" vertical="center"/>
    </xf>
    <xf numFmtId="0" fontId="39" fillId="0" borderId="59" xfId="0" applyFont="1" applyBorder="1" applyAlignment="1">
      <alignment vertical="center" wrapText="1"/>
    </xf>
    <xf numFmtId="0" fontId="0" fillId="0" borderId="0" xfId="0" applyAlignment="1">
      <alignment wrapText="1"/>
    </xf>
    <xf numFmtId="14" fontId="25" fillId="0" borderId="56" xfId="0" applyNumberFormat="1" applyFont="1" applyBorder="1" applyAlignment="1">
      <alignment horizontal="center" vertical="center" wrapText="1"/>
    </xf>
    <xf numFmtId="174" fontId="25" fillId="0" borderId="56" xfId="0" applyNumberFormat="1" applyFont="1" applyBorder="1" applyAlignment="1">
      <alignment horizontal="center" vertical="center" wrapText="1"/>
    </xf>
    <xf numFmtId="0" fontId="58" fillId="0" borderId="56" xfId="0" applyFont="1" applyBorder="1" applyAlignment="1">
      <alignment horizontal="center" vertical="center"/>
    </xf>
    <xf numFmtId="14" fontId="58" fillId="0" borderId="56" xfId="0" applyNumberFormat="1" applyFont="1" applyBorder="1" applyAlignment="1">
      <alignment horizontal="center" vertical="center"/>
    </xf>
    <xf numFmtId="170" fontId="25" fillId="0" borderId="56" xfId="0" applyNumberFormat="1" applyFont="1" applyBorder="1" applyAlignment="1">
      <alignment horizontal="center" vertical="center" wrapText="1"/>
    </xf>
    <xf numFmtId="169" fontId="57" fillId="0" borderId="0" xfId="0" applyNumberFormat="1" applyFont="1" applyAlignment="1">
      <alignment horizontal="center" vertical="center" wrapText="1"/>
    </xf>
    <xf numFmtId="0" fontId="72" fillId="17" borderId="56" xfId="0" applyFont="1" applyFill="1" applyBorder="1" applyAlignment="1">
      <alignment horizontal="left" vertical="center" wrapText="1"/>
    </xf>
    <xf numFmtId="0" fontId="25" fillId="19" borderId="56" xfId="0" applyFont="1" applyFill="1" applyBorder="1" applyAlignment="1">
      <alignment horizontal="center" vertical="center" wrapText="1"/>
    </xf>
    <xf numFmtId="0" fontId="58" fillId="18" borderId="56" xfId="0" applyFont="1" applyFill="1" applyBorder="1" applyAlignment="1">
      <alignment horizontal="center" vertical="center" wrapText="1"/>
    </xf>
    <xf numFmtId="14" fontId="71" fillId="0" borderId="56" xfId="0" applyNumberFormat="1" applyFont="1" applyBorder="1" applyAlignment="1">
      <alignment horizontal="center" vertical="center"/>
    </xf>
    <xf numFmtId="182" fontId="58" fillId="0" borderId="56" xfId="0" applyNumberFormat="1" applyFont="1" applyBorder="1" applyAlignment="1">
      <alignment horizontal="center" vertical="center"/>
    </xf>
    <xf numFmtId="0" fontId="40" fillId="0" borderId="56" xfId="0" applyFont="1" applyBorder="1" applyAlignment="1">
      <alignment horizontal="left" vertical="top" wrapText="1"/>
    </xf>
    <xf numFmtId="0" fontId="58" fillId="17" borderId="56" xfId="0" applyFont="1" applyFill="1" applyBorder="1" applyAlignment="1">
      <alignment horizontal="center" vertical="center" wrapText="1"/>
    </xf>
    <xf numFmtId="176" fontId="31" fillId="0" borderId="52" xfId="0" applyNumberFormat="1" applyFont="1" applyBorder="1" applyAlignment="1">
      <alignment horizontal="center" vertical="center" wrapText="1"/>
    </xf>
    <xf numFmtId="10" fontId="31" fillId="0" borderId="7" xfId="0" applyNumberFormat="1" applyFont="1" applyBorder="1" applyAlignment="1">
      <alignment horizontal="center" vertical="center"/>
    </xf>
    <xf numFmtId="4" fontId="31" fillId="0" borderId="7" xfId="0" applyNumberFormat="1" applyFont="1" applyBorder="1" applyAlignment="1">
      <alignment horizontal="center" vertical="center"/>
    </xf>
    <xf numFmtId="2" fontId="31" fillId="10" borderId="7" xfId="0" applyNumberFormat="1" applyFont="1" applyFill="1" applyBorder="1" applyAlignment="1">
      <alignment horizontal="center" vertical="center"/>
    </xf>
    <xf numFmtId="166" fontId="31" fillId="0" borderId="7" xfId="0" applyNumberFormat="1" applyFont="1" applyBorder="1" applyAlignment="1">
      <alignment horizontal="center" vertical="center"/>
    </xf>
    <xf numFmtId="3" fontId="31" fillId="0" borderId="7" xfId="0" applyNumberFormat="1" applyFont="1" applyBorder="1" applyAlignment="1">
      <alignment horizontal="center" vertical="center"/>
    </xf>
    <xf numFmtId="166" fontId="31" fillId="10" borderId="7" xfId="0" applyNumberFormat="1" applyFont="1" applyFill="1" applyBorder="1" applyAlignment="1">
      <alignment horizontal="center" vertical="center"/>
    </xf>
    <xf numFmtId="0" fontId="31" fillId="0" borderId="7" xfId="0" applyFont="1" applyBorder="1" applyAlignment="1">
      <alignment vertical="center" wrapText="1"/>
    </xf>
    <xf numFmtId="166" fontId="30" fillId="10" borderId="5" xfId="0" applyNumberFormat="1" applyFont="1" applyFill="1" applyBorder="1" applyAlignment="1">
      <alignment horizontal="center" vertical="center"/>
    </xf>
    <xf numFmtId="0" fontId="31" fillId="0" borderId="5" xfId="0" applyFont="1" applyBorder="1" applyAlignment="1">
      <alignment vertical="center" wrapText="1"/>
    </xf>
    <xf numFmtId="9" fontId="44" fillId="0" borderId="56" xfId="0" applyNumberFormat="1" applyFont="1" applyBorder="1" applyAlignment="1">
      <alignment horizontal="center" vertical="center"/>
    </xf>
    <xf numFmtId="176" fontId="31" fillId="0" borderId="56" xfId="0" applyNumberFormat="1" applyFont="1" applyBorder="1" applyAlignment="1">
      <alignment horizontal="center" vertical="center" wrapText="1"/>
    </xf>
    <xf numFmtId="10" fontId="31" fillId="0" borderId="56" xfId="0" applyNumberFormat="1" applyFont="1" applyBorder="1" applyAlignment="1">
      <alignment horizontal="center" vertical="center"/>
    </xf>
    <xf numFmtId="4" fontId="31" fillId="0" borderId="56" xfId="0" applyNumberFormat="1" applyFont="1" applyBorder="1" applyAlignment="1">
      <alignment horizontal="center" vertical="center"/>
    </xf>
    <xf numFmtId="2" fontId="31" fillId="10" borderId="56" xfId="0" applyNumberFormat="1" applyFont="1" applyFill="1" applyBorder="1" applyAlignment="1">
      <alignment horizontal="center" vertical="center"/>
    </xf>
    <xf numFmtId="166" fontId="31" fillId="0" borderId="56" xfId="0" applyNumberFormat="1" applyFont="1" applyBorder="1" applyAlignment="1">
      <alignment horizontal="center" vertical="center"/>
    </xf>
    <xf numFmtId="3" fontId="31" fillId="0" borderId="56" xfId="0" applyNumberFormat="1" applyFont="1" applyBorder="1" applyAlignment="1">
      <alignment horizontal="center" vertical="center"/>
    </xf>
    <xf numFmtId="0" fontId="31" fillId="0" borderId="56" xfId="0" applyFont="1" applyBorder="1" applyAlignment="1">
      <alignment vertical="center" wrapText="1"/>
    </xf>
    <xf numFmtId="0" fontId="0" fillId="17" borderId="0" xfId="0" applyFill="1"/>
    <xf numFmtId="9" fontId="44" fillId="17" borderId="56" xfId="0" applyNumberFormat="1" applyFont="1" applyFill="1" applyBorder="1" applyAlignment="1">
      <alignment horizontal="center" vertical="center"/>
    </xf>
    <xf numFmtId="176" fontId="31" fillId="17" borderId="56" xfId="0" applyNumberFormat="1" applyFont="1" applyFill="1" applyBorder="1" applyAlignment="1">
      <alignment horizontal="center" vertical="center" wrapText="1"/>
    </xf>
    <xf numFmtId="10" fontId="31" fillId="17" borderId="56" xfId="0" applyNumberFormat="1" applyFont="1" applyFill="1" applyBorder="1" applyAlignment="1">
      <alignment horizontal="center" vertical="center"/>
    </xf>
    <xf numFmtId="4" fontId="31" fillId="17" borderId="56" xfId="0" applyNumberFormat="1" applyFont="1" applyFill="1" applyBorder="1" applyAlignment="1">
      <alignment horizontal="center" vertical="center"/>
    </xf>
    <xf numFmtId="166" fontId="31" fillId="17" borderId="56" xfId="0" applyNumberFormat="1" applyFont="1" applyFill="1" applyBorder="1" applyAlignment="1">
      <alignment horizontal="center" vertical="center"/>
    </xf>
    <xf numFmtId="3" fontId="31" fillId="17" borderId="56" xfId="0" applyNumberFormat="1" applyFont="1" applyFill="1" applyBorder="1" applyAlignment="1">
      <alignment horizontal="center" vertical="center"/>
    </xf>
    <xf numFmtId="0" fontId="31" fillId="17" borderId="0" xfId="0" applyFont="1" applyFill="1" applyAlignment="1">
      <alignment vertical="center"/>
    </xf>
    <xf numFmtId="0" fontId="31" fillId="17" borderId="56" xfId="0" applyFont="1" applyFill="1" applyBorder="1" applyAlignment="1">
      <alignment vertical="center" wrapText="1"/>
    </xf>
    <xf numFmtId="0" fontId="31" fillId="0" borderId="7" xfId="0" applyFont="1" applyBorder="1" applyAlignment="1">
      <alignment horizontal="left" vertical="center" wrapText="1"/>
    </xf>
    <xf numFmtId="175" fontId="31" fillId="0" borderId="7" xfId="0" applyNumberFormat="1" applyFont="1" applyBorder="1" applyAlignment="1">
      <alignment horizontal="right" vertical="center" wrapText="1"/>
    </xf>
    <xf numFmtId="0" fontId="31" fillId="0" borderId="56" xfId="0" applyFont="1" applyBorder="1" applyAlignment="1">
      <alignment horizontal="left" vertical="center" wrapText="1"/>
    </xf>
    <xf numFmtId="183" fontId="68" fillId="0" borderId="56" xfId="4" applyNumberFormat="1" applyFont="1" applyBorder="1" applyAlignment="1">
      <alignment horizontal="right" vertical="center" wrapText="1"/>
    </xf>
    <xf numFmtId="0" fontId="68" fillId="0" borderId="56" xfId="4" applyFont="1" applyBorder="1" applyAlignment="1">
      <alignment horizontal="center" vertical="center" wrapText="1"/>
    </xf>
    <xf numFmtId="0" fontId="68" fillId="0" borderId="56" xfId="4" applyFont="1" applyBorder="1" applyAlignment="1">
      <alignment horizontal="right" vertical="center" wrapText="1"/>
    </xf>
    <xf numFmtId="0" fontId="0" fillId="0" borderId="56" xfId="0" applyBorder="1"/>
    <xf numFmtId="0" fontId="69" fillId="0" borderId="56" xfId="4" quotePrefix="1" applyFont="1" applyBorder="1" applyAlignment="1">
      <alignment horizontal="center" vertical="center" wrapText="1"/>
    </xf>
    <xf numFmtId="0" fontId="44" fillId="0" borderId="56" xfId="4" applyFont="1" applyBorder="1" applyAlignment="1">
      <alignment vertical="center" wrapText="1"/>
    </xf>
    <xf numFmtId="0" fontId="75" fillId="0" borderId="56" xfId="0" applyFont="1" applyBorder="1" applyAlignment="1">
      <alignment horizontal="left" vertical="top"/>
    </xf>
    <xf numFmtId="0" fontId="75" fillId="21" borderId="56" xfId="1" applyFont="1" applyFill="1" applyBorder="1" applyAlignment="1">
      <alignment horizontal="left" vertical="top" wrapText="1"/>
    </xf>
    <xf numFmtId="0" fontId="75" fillId="21" borderId="56" xfId="1" quotePrefix="1" applyFont="1" applyFill="1" applyBorder="1" applyAlignment="1">
      <alignment horizontal="left" vertical="top" wrapText="1"/>
    </xf>
    <xf numFmtId="0" fontId="75" fillId="21" borderId="56" xfId="0" applyFont="1" applyFill="1" applyBorder="1" applyAlignment="1">
      <alignment vertical="top" wrapText="1"/>
    </xf>
    <xf numFmtId="0" fontId="75" fillId="21" borderId="56" xfId="0" applyFont="1" applyFill="1" applyBorder="1" applyAlignment="1">
      <alignment wrapText="1"/>
    </xf>
    <xf numFmtId="0" fontId="75" fillId="21" borderId="56" xfId="1" applyFont="1" applyFill="1" applyBorder="1" applyAlignment="1">
      <alignment horizontal="left" vertical="top"/>
    </xf>
    <xf numFmtId="0" fontId="75" fillId="21" borderId="56" xfId="1" quotePrefix="1" applyFont="1" applyFill="1" applyBorder="1" applyAlignment="1">
      <alignment horizontal="left" vertical="top"/>
    </xf>
    <xf numFmtId="0" fontId="75" fillId="21" borderId="56" xfId="1" applyFont="1" applyFill="1" applyBorder="1" applyAlignment="1">
      <alignment horizontal="left" vertical="center"/>
    </xf>
    <xf numFmtId="0" fontId="75" fillId="21" borderId="56" xfId="1" quotePrefix="1" applyFont="1" applyFill="1" applyBorder="1" applyAlignment="1">
      <alignment horizontal="left" vertical="center" wrapText="1"/>
    </xf>
    <xf numFmtId="0" fontId="75" fillId="0" borderId="56" xfId="0" quotePrefix="1" applyFont="1" applyBorder="1" applyAlignment="1">
      <alignment horizontal="left" vertical="top" wrapText="1"/>
    </xf>
    <xf numFmtId="0" fontId="75" fillId="0" borderId="56" xfId="0" applyFont="1" applyBorder="1" applyAlignment="1">
      <alignment horizontal="left" vertical="top" wrapText="1"/>
    </xf>
    <xf numFmtId="0" fontId="75" fillId="0" borderId="56" xfId="1" quotePrefix="1" applyFont="1" applyBorder="1" applyAlignment="1">
      <alignment horizontal="left" vertical="top" wrapText="1"/>
    </xf>
    <xf numFmtId="0" fontId="75" fillId="0" borderId="56" xfId="0" applyFont="1" applyBorder="1" applyAlignment="1">
      <alignment wrapText="1"/>
    </xf>
    <xf numFmtId="0" fontId="74" fillId="0" borderId="56" xfId="0" applyFont="1" applyBorder="1" applyAlignment="1">
      <alignment vertical="top" wrapText="1"/>
    </xf>
    <xf numFmtId="0" fontId="75" fillId="0" borderId="56" xfId="0" applyFont="1" applyBorder="1" applyAlignment="1">
      <alignment vertical="top" wrapText="1"/>
    </xf>
    <xf numFmtId="166" fontId="75" fillId="21" borderId="56" xfId="6" applyFont="1" applyFill="1" applyBorder="1" applyAlignment="1">
      <alignment horizontal="left" vertical="top"/>
    </xf>
    <xf numFmtId="166" fontId="75" fillId="21" borderId="56" xfId="6" applyFont="1" applyFill="1" applyBorder="1" applyAlignment="1">
      <alignment horizontal="left" vertical="top" wrapText="1"/>
    </xf>
    <xf numFmtId="166" fontId="75" fillId="21" borderId="56" xfId="7" applyFont="1" applyFill="1" applyBorder="1" applyAlignment="1">
      <alignment horizontal="left" vertical="top"/>
    </xf>
    <xf numFmtId="43" fontId="75" fillId="21" borderId="56" xfId="5" applyFont="1" applyFill="1" applyBorder="1" applyAlignment="1">
      <alignment horizontal="left" vertical="top"/>
    </xf>
    <xf numFmtId="166" fontId="75" fillId="21" borderId="56" xfId="8" applyFont="1" applyFill="1" applyBorder="1" applyAlignment="1">
      <alignment horizontal="left" vertical="top"/>
    </xf>
    <xf numFmtId="166" fontId="75" fillId="21" borderId="56" xfId="9" applyFont="1" applyFill="1" applyBorder="1" applyAlignment="1">
      <alignment horizontal="left" vertical="top"/>
    </xf>
    <xf numFmtId="166" fontId="75" fillId="21" borderId="56" xfId="10" applyFont="1" applyFill="1" applyBorder="1" applyAlignment="1">
      <alignment horizontal="left" vertical="top"/>
    </xf>
    <xf numFmtId="166" fontId="75" fillId="21" borderId="56" xfId="11" applyFont="1" applyFill="1" applyBorder="1" applyAlignment="1">
      <alignment horizontal="left" vertical="top"/>
    </xf>
    <xf numFmtId="43" fontId="75" fillId="21" borderId="56" xfId="5" applyFont="1" applyFill="1" applyBorder="1" applyAlignment="1">
      <alignment horizontal="right" vertical="top"/>
    </xf>
    <xf numFmtId="166" fontId="75" fillId="21" borderId="56" xfId="12" applyFont="1" applyFill="1" applyBorder="1" applyAlignment="1">
      <alignment horizontal="left" vertical="top"/>
    </xf>
    <xf numFmtId="4" fontId="75" fillId="21" borderId="56" xfId="0" applyNumberFormat="1" applyFont="1" applyFill="1" applyBorder="1" applyAlignment="1">
      <alignment vertical="top" wrapText="1"/>
    </xf>
    <xf numFmtId="0" fontId="75" fillId="0" borderId="56" xfId="0" applyFont="1" applyBorder="1" applyAlignment="1">
      <alignment vertical="top"/>
    </xf>
    <xf numFmtId="0" fontId="76" fillId="0" borderId="56" xfId="0" applyFont="1" applyBorder="1" applyAlignment="1">
      <alignment horizontal="left" vertical="top" wrapText="1"/>
    </xf>
    <xf numFmtId="4" fontId="3" fillId="2" borderId="56" xfId="0" applyNumberFormat="1" applyFont="1" applyFill="1" applyBorder="1" applyAlignment="1">
      <alignment horizontal="center" vertical="top" wrapText="1"/>
    </xf>
    <xf numFmtId="164" fontId="3" fillId="2" borderId="56" xfId="0" applyNumberFormat="1" applyFont="1" applyFill="1" applyBorder="1" applyAlignment="1">
      <alignment horizontal="center" vertical="top" wrapText="1"/>
    </xf>
    <xf numFmtId="165" fontId="3" fillId="2" borderId="56" xfId="0" applyNumberFormat="1" applyFont="1" applyFill="1" applyBorder="1" applyAlignment="1">
      <alignment horizontal="center" vertical="top" wrapText="1"/>
    </xf>
    <xf numFmtId="0" fontId="3" fillId="2" borderId="56" xfId="0" applyFont="1" applyFill="1" applyBorder="1" applyAlignment="1">
      <alignment horizontal="center" vertical="top" wrapText="1"/>
    </xf>
    <xf numFmtId="0" fontId="4" fillId="0" borderId="56" xfId="0" applyFont="1" applyBorder="1" applyAlignment="1">
      <alignment horizontal="left" vertical="top"/>
    </xf>
    <xf numFmtId="0" fontId="4" fillId="0" borderId="56" xfId="0" applyFont="1" applyBorder="1" applyAlignment="1">
      <alignment horizontal="center" vertical="top"/>
    </xf>
    <xf numFmtId="0" fontId="4" fillId="0" borderId="56" xfId="0" applyFont="1" applyBorder="1" applyAlignment="1">
      <alignment horizontal="left" vertical="top" wrapText="1"/>
    </xf>
    <xf numFmtId="4" fontId="75" fillId="0" borderId="56" xfId="0" applyNumberFormat="1" applyFont="1" applyBorder="1" applyAlignment="1">
      <alignment vertical="top" wrapText="1"/>
    </xf>
    <xf numFmtId="4" fontId="75" fillId="0" borderId="56" xfId="0" applyNumberFormat="1" applyFont="1" applyBorder="1" applyAlignment="1">
      <alignment horizontal="left" vertical="top" wrapText="1"/>
    </xf>
    <xf numFmtId="165" fontId="4" fillId="0" borderId="56" xfId="0" applyNumberFormat="1" applyFont="1" applyBorder="1" applyAlignment="1">
      <alignment vertical="top"/>
    </xf>
    <xf numFmtId="0" fontId="4" fillId="0" borderId="56" xfId="0" applyFont="1" applyBorder="1" applyAlignment="1">
      <alignment vertical="top"/>
    </xf>
    <xf numFmtId="14" fontId="4" fillId="0" borderId="56" xfId="0" applyNumberFormat="1" applyFont="1" applyBorder="1" applyAlignment="1">
      <alignment vertical="top"/>
    </xf>
    <xf numFmtId="4" fontId="75" fillId="17" borderId="56" xfId="0" applyNumberFormat="1" applyFont="1" applyFill="1" applyBorder="1" applyAlignment="1">
      <alignment horizontal="left" vertical="top" wrapText="1"/>
    </xf>
    <xf numFmtId="0" fontId="4" fillId="0" borderId="56" xfId="0" applyFont="1" applyBorder="1" applyAlignment="1">
      <alignment horizontal="center" vertical="center" wrapText="1"/>
    </xf>
    <xf numFmtId="0" fontId="4" fillId="0" borderId="56" xfId="0" applyFont="1" applyBorder="1" applyAlignment="1">
      <alignment vertical="center" wrapText="1"/>
    </xf>
    <xf numFmtId="165" fontId="4" fillId="0" borderId="56" xfId="0" applyNumberFormat="1" applyFont="1" applyBorder="1" applyAlignment="1">
      <alignment horizontal="center" vertical="center"/>
    </xf>
    <xf numFmtId="0" fontId="4" fillId="0" borderId="56" xfId="0" applyFont="1" applyBorder="1" applyAlignment="1">
      <alignment horizontal="center" vertical="center"/>
    </xf>
    <xf numFmtId="14" fontId="4" fillId="0" borderId="56" xfId="0" applyNumberFormat="1" applyFont="1" applyBorder="1" applyAlignment="1">
      <alignment horizontal="center" vertical="center"/>
    </xf>
    <xf numFmtId="0" fontId="4" fillId="0" borderId="56" xfId="0" applyFont="1" applyBorder="1" applyAlignment="1">
      <alignment vertical="center"/>
    </xf>
    <xf numFmtId="14" fontId="4" fillId="0" borderId="56" xfId="0" applyNumberFormat="1" applyFont="1" applyBorder="1" applyAlignment="1">
      <alignment vertical="center" wrapText="1"/>
    </xf>
    <xf numFmtId="14" fontId="4" fillId="0" borderId="56" xfId="0" applyNumberFormat="1" applyFont="1" applyBorder="1" applyAlignment="1">
      <alignment horizontal="center" vertical="center" wrapText="1"/>
    </xf>
    <xf numFmtId="4" fontId="4" fillId="0" borderId="56" xfId="0" applyNumberFormat="1" applyFont="1" applyBorder="1" applyAlignment="1">
      <alignment horizontal="center" vertical="center" wrapText="1"/>
    </xf>
    <xf numFmtId="14" fontId="25" fillId="0" borderId="56" xfId="0" applyNumberFormat="1" applyFont="1" applyBorder="1" applyAlignment="1">
      <alignment horizontal="center" vertical="center"/>
    </xf>
    <xf numFmtId="173" fontId="25" fillId="18" borderId="56" xfId="0" applyNumberFormat="1" applyFont="1" applyFill="1" applyBorder="1" applyAlignment="1">
      <alignment horizontal="center" vertical="center" wrapText="1"/>
    </xf>
    <xf numFmtId="0" fontId="25" fillId="17" borderId="56" xfId="0" applyFont="1" applyFill="1" applyBorder="1" applyAlignment="1">
      <alignment horizontal="center" vertical="center" wrapText="1"/>
    </xf>
    <xf numFmtId="14" fontId="71" fillId="17" borderId="56" xfId="0" applyNumberFormat="1" applyFont="1" applyFill="1" applyBorder="1" applyAlignment="1">
      <alignment horizontal="center" vertical="center"/>
    </xf>
    <xf numFmtId="14" fontId="59" fillId="0" borderId="56" xfId="0" applyNumberFormat="1" applyFont="1" applyBorder="1" applyAlignment="1">
      <alignment horizontal="center" vertical="center"/>
    </xf>
    <xf numFmtId="170" fontId="59" fillId="0" borderId="56" xfId="0" applyNumberFormat="1" applyFont="1" applyBorder="1" applyAlignment="1">
      <alignment horizontal="center" vertical="center" wrapText="1"/>
    </xf>
    <xf numFmtId="0" fontId="25" fillId="17" borderId="56" xfId="0" applyFont="1" applyFill="1" applyBorder="1" applyAlignment="1">
      <alignment horizontal="left" vertical="center" wrapText="1"/>
    </xf>
    <xf numFmtId="0" fontId="58" fillId="22" borderId="56" xfId="0" applyFont="1" applyFill="1" applyBorder="1" applyAlignment="1">
      <alignment horizontal="center" vertical="center" wrapText="1"/>
    </xf>
    <xf numFmtId="2" fontId="58" fillId="17" borderId="56" xfId="0" applyNumberFormat="1" applyFont="1" applyFill="1" applyBorder="1" applyAlignment="1">
      <alignment horizontal="center" vertical="center" wrapText="1"/>
    </xf>
    <xf numFmtId="0" fontId="32" fillId="0" borderId="0" xfId="0" applyFont="1" applyAlignment="1">
      <alignment horizontal="center" vertical="center" wrapText="1"/>
    </xf>
    <xf numFmtId="0" fontId="0" fillId="0" borderId="0" xfId="0" applyAlignment="1">
      <alignment horizontal="center" vertical="center" wrapText="1"/>
    </xf>
    <xf numFmtId="0" fontId="56" fillId="17" borderId="56" xfId="0" applyFont="1" applyFill="1" applyBorder="1" applyAlignment="1">
      <alignment horizontal="center" vertical="center" wrapText="1"/>
    </xf>
    <xf numFmtId="0" fontId="59" fillId="17" borderId="56" xfId="0" applyFont="1" applyFill="1" applyBorder="1" applyAlignment="1">
      <alignment horizontal="center" vertical="center" wrapText="1"/>
    </xf>
    <xf numFmtId="0" fontId="59" fillId="17" borderId="56" xfId="0" applyFont="1" applyFill="1" applyBorder="1" applyAlignment="1">
      <alignment horizontal="left" vertical="center" wrapText="1"/>
    </xf>
    <xf numFmtId="14" fontId="59" fillId="17" borderId="56" xfId="0" applyNumberFormat="1" applyFont="1" applyFill="1" applyBorder="1" applyAlignment="1">
      <alignment horizontal="center" vertical="center" wrapText="1"/>
    </xf>
    <xf numFmtId="166" fontId="57" fillId="20" borderId="56" xfId="0" applyNumberFormat="1" applyFont="1" applyFill="1" applyBorder="1" applyAlignment="1">
      <alignment horizontal="center" vertical="center" wrapText="1"/>
    </xf>
    <xf numFmtId="1" fontId="56" fillId="17" borderId="56" xfId="0" applyNumberFormat="1" applyFont="1" applyFill="1" applyBorder="1" applyAlignment="1">
      <alignment horizontal="center" vertical="center" shrinkToFit="1"/>
    </xf>
    <xf numFmtId="0" fontId="58" fillId="17" borderId="0" xfId="0" applyFont="1" applyFill="1" applyAlignment="1">
      <alignment horizontal="center" vertical="center"/>
    </xf>
    <xf numFmtId="173" fontId="56" fillId="23" borderId="56" xfId="0" applyNumberFormat="1" applyFont="1" applyFill="1" applyBorder="1" applyAlignment="1">
      <alignment horizontal="center" vertical="center" wrapText="1"/>
    </xf>
    <xf numFmtId="166" fontId="56" fillId="24" borderId="56" xfId="0" applyNumberFormat="1" applyFont="1" applyFill="1" applyBorder="1" applyAlignment="1">
      <alignment horizontal="center" vertical="center" wrapText="1"/>
    </xf>
    <xf numFmtId="1" fontId="56" fillId="24" borderId="56" xfId="0" applyNumberFormat="1" applyFont="1" applyFill="1" applyBorder="1" applyAlignment="1">
      <alignment horizontal="center" vertical="center" shrinkToFit="1"/>
    </xf>
    <xf numFmtId="171" fontId="56" fillId="24" borderId="56" xfId="0" applyNumberFormat="1" applyFont="1" applyFill="1" applyBorder="1" applyAlignment="1">
      <alignment horizontal="center" vertical="center" shrinkToFit="1"/>
    </xf>
    <xf numFmtId="0" fontId="68" fillId="0" borderId="62" xfId="4" applyFont="1" applyBorder="1" applyAlignment="1">
      <alignment horizontal="center" vertical="center" wrapText="1"/>
    </xf>
    <xf numFmtId="0" fontId="44" fillId="0" borderId="62" xfId="4" applyFont="1" applyBorder="1" applyAlignment="1">
      <alignment vertical="center" wrapText="1"/>
    </xf>
    <xf numFmtId="0" fontId="68" fillId="0" borderId="62" xfId="4" applyFont="1" applyBorder="1" applyAlignment="1">
      <alignment horizontal="right" vertical="center" wrapText="1"/>
    </xf>
    <xf numFmtId="0" fontId="68" fillId="0" borderId="56" xfId="0" applyFont="1" applyBorder="1" applyAlignment="1">
      <alignment horizontal="right" vertical="center" wrapText="1"/>
    </xf>
    <xf numFmtId="2" fontId="68" fillId="0" borderId="56" xfId="0" applyNumberFormat="1" applyFont="1" applyBorder="1" applyAlignment="1">
      <alignment horizontal="right" vertical="center" wrapText="1"/>
    </xf>
    <xf numFmtId="176" fontId="31" fillId="17" borderId="56" xfId="0" applyNumberFormat="1" applyFont="1" applyFill="1" applyBorder="1" applyAlignment="1">
      <alignment horizontal="center" vertical="center"/>
    </xf>
    <xf numFmtId="0" fontId="31" fillId="0" borderId="49" xfId="0" applyFont="1" applyBorder="1" applyAlignment="1">
      <alignment horizontal="center" vertical="center" wrapText="1"/>
    </xf>
    <xf numFmtId="10" fontId="31" fillId="0" borderId="62" xfId="0" applyNumberFormat="1" applyFont="1" applyBorder="1" applyAlignment="1">
      <alignment vertical="center"/>
    </xf>
    <xf numFmtId="0" fontId="31" fillId="17" borderId="3" xfId="0" applyFont="1" applyFill="1" applyBorder="1" applyAlignment="1">
      <alignment horizontal="center" vertical="center"/>
    </xf>
    <xf numFmtId="0" fontId="68" fillId="17" borderId="56" xfId="4" applyFont="1" applyFill="1" applyBorder="1" applyAlignment="1">
      <alignment horizontal="center" vertical="center" wrapText="1"/>
    </xf>
    <xf numFmtId="0" fontId="44" fillId="17" borderId="56" xfId="4" applyFont="1" applyFill="1" applyBorder="1" applyAlignment="1">
      <alignment vertical="center" wrapText="1"/>
    </xf>
    <xf numFmtId="0" fontId="68" fillId="17" borderId="56" xfId="4" applyFont="1" applyFill="1" applyBorder="1" applyAlignment="1">
      <alignment horizontal="right" vertical="center" wrapText="1"/>
    </xf>
    <xf numFmtId="0" fontId="44" fillId="0" borderId="0" xfId="0" applyFont="1"/>
    <xf numFmtId="0" fontId="31" fillId="0" borderId="50" xfId="0" applyFont="1" applyBorder="1" applyAlignment="1">
      <alignment horizontal="center" vertical="center" wrapText="1"/>
    </xf>
    <xf numFmtId="0" fontId="31" fillId="0" borderId="60" xfId="0" applyFont="1" applyBorder="1" applyAlignment="1">
      <alignment horizontal="center" vertical="center" wrapText="1"/>
    </xf>
    <xf numFmtId="1" fontId="31" fillId="17" borderId="60" xfId="4" applyNumberFormat="1" applyFont="1" applyFill="1" applyBorder="1" applyAlignment="1">
      <alignment horizontal="center" vertical="center" wrapText="1" shrinkToFit="1"/>
    </xf>
    <xf numFmtId="1" fontId="31" fillId="0" borderId="60" xfId="4" applyNumberFormat="1" applyFont="1" applyBorder="1" applyAlignment="1">
      <alignment horizontal="center" vertical="center" wrapText="1" shrinkToFit="1"/>
    </xf>
    <xf numFmtId="1" fontId="31" fillId="0" borderId="63" xfId="4" applyNumberFormat="1" applyFont="1" applyBorder="1" applyAlignment="1">
      <alignment horizontal="center" vertical="center" wrapText="1" shrinkToFit="1"/>
    </xf>
    <xf numFmtId="1" fontId="31" fillId="17" borderId="64" xfId="4" applyNumberFormat="1" applyFont="1" applyFill="1" applyBorder="1" applyAlignment="1">
      <alignment horizontal="center" vertical="center" wrapText="1" shrinkToFit="1"/>
    </xf>
    <xf numFmtId="10" fontId="68" fillId="0" borderId="59" xfId="3" applyNumberFormat="1" applyFont="1" applyFill="1" applyBorder="1" applyAlignment="1">
      <alignment horizontal="center" vertical="center"/>
    </xf>
    <xf numFmtId="10" fontId="31" fillId="0" borderId="59" xfId="0" applyNumberFormat="1" applyFont="1" applyBorder="1" applyAlignment="1">
      <alignment vertical="center"/>
    </xf>
    <xf numFmtId="10" fontId="31" fillId="0" borderId="65" xfId="0" applyNumberFormat="1" applyFont="1" applyBorder="1" applyAlignment="1">
      <alignment vertical="center"/>
    </xf>
    <xf numFmtId="0" fontId="0" fillId="0" borderId="59" xfId="0" applyBorder="1"/>
    <xf numFmtId="10" fontId="31" fillId="0" borderId="66" xfId="0" applyNumberFormat="1" applyFont="1" applyBorder="1" applyAlignment="1">
      <alignment vertical="center"/>
    </xf>
    <xf numFmtId="10" fontId="31" fillId="0" borderId="40" xfId="0" applyNumberFormat="1" applyFont="1" applyBorder="1" applyAlignment="1">
      <alignment vertical="center"/>
    </xf>
    <xf numFmtId="10" fontId="31" fillId="0" borderId="52" xfId="0" applyNumberFormat="1" applyFont="1" applyBorder="1" applyAlignment="1">
      <alignment vertical="center"/>
    </xf>
    <xf numFmtId="176" fontId="31" fillId="0" borderId="59" xfId="0" applyNumberFormat="1" applyFont="1" applyBorder="1" applyAlignment="1">
      <alignment horizontal="center" vertical="center" wrapText="1"/>
    </xf>
    <xf numFmtId="10" fontId="31" fillId="17" borderId="59" xfId="0" applyNumberFormat="1" applyFont="1" applyFill="1" applyBorder="1" applyAlignment="1">
      <alignment vertical="center"/>
    </xf>
    <xf numFmtId="0" fontId="56" fillId="0" borderId="0" xfId="0" applyFont="1" applyAlignment="1">
      <alignment horizontal="left" vertical="top"/>
    </xf>
    <xf numFmtId="0" fontId="5" fillId="3" borderId="14" xfId="0" applyFont="1" applyFill="1" applyBorder="1" applyAlignment="1">
      <alignment vertical="center" wrapText="1"/>
    </xf>
    <xf numFmtId="0" fontId="6" fillId="0" borderId="15" xfId="0" applyFont="1" applyBorder="1"/>
    <xf numFmtId="0" fontId="6" fillId="0" borderId="16" xfId="0" applyFont="1" applyBorder="1"/>
    <xf numFmtId="0" fontId="16" fillId="0" borderId="6" xfId="0" applyFont="1" applyBorder="1" applyAlignment="1">
      <alignment horizontal="center" vertical="center" wrapText="1"/>
    </xf>
    <xf numFmtId="0" fontId="6" fillId="0" borderId="2" xfId="0" applyFont="1" applyBorder="1"/>
    <xf numFmtId="0" fontId="16" fillId="0" borderId="9" xfId="0" applyFont="1" applyBorder="1" applyAlignment="1">
      <alignment horizontal="center" vertical="center" wrapText="1"/>
    </xf>
    <xf numFmtId="0" fontId="6" fillId="0" borderId="48" xfId="0" applyFont="1" applyBorder="1"/>
    <xf numFmtId="0" fontId="6" fillId="0" borderId="1" xfId="0" applyFont="1" applyBorder="1"/>
    <xf numFmtId="0" fontId="6" fillId="0" borderId="38" xfId="0" applyFont="1" applyBorder="1"/>
    <xf numFmtId="0" fontId="16" fillId="0" borderId="23" xfId="0" applyFont="1" applyBorder="1" applyAlignment="1">
      <alignment horizontal="center" vertical="center" wrapText="1"/>
    </xf>
    <xf numFmtId="0" fontId="16" fillId="0" borderId="43" xfId="0" applyFont="1" applyBorder="1" applyAlignment="1">
      <alignment horizontal="center" vertical="center" wrapText="1"/>
    </xf>
    <xf numFmtId="0" fontId="6" fillId="0" borderId="8" xfId="0" applyFont="1" applyBorder="1"/>
    <xf numFmtId="0" fontId="16" fillId="0" borderId="6" xfId="0" applyFont="1" applyBorder="1" applyAlignment="1">
      <alignment horizontal="center" vertical="center"/>
    </xf>
    <xf numFmtId="0" fontId="16" fillId="0" borderId="43" xfId="0" applyFont="1" applyBorder="1" applyAlignment="1">
      <alignment horizontal="left" vertical="center" wrapText="1"/>
    </xf>
    <xf numFmtId="0" fontId="6" fillId="0" borderId="44" xfId="0" applyFont="1" applyBorder="1"/>
    <xf numFmtId="0" fontId="6" fillId="0" borderId="39" xfId="0" applyFont="1" applyBorder="1"/>
    <xf numFmtId="0" fontId="0" fillId="0" borderId="0" xfId="0"/>
    <xf numFmtId="0" fontId="6" fillId="0" borderId="40" xfId="0" applyFont="1" applyBorder="1"/>
    <xf numFmtId="0" fontId="6" fillId="0" borderId="45" xfId="0" applyFont="1" applyBorder="1"/>
    <xf numFmtId="0" fontId="6" fillId="0" borderId="46" xfId="0" applyFont="1" applyBorder="1"/>
    <xf numFmtId="0" fontId="6" fillId="0" borderId="47" xfId="0" applyFont="1" applyBorder="1"/>
    <xf numFmtId="0" fontId="16" fillId="0" borderId="34" xfId="0" applyFont="1" applyBorder="1" applyAlignment="1">
      <alignment horizontal="left" vertical="center" wrapText="1"/>
    </xf>
    <xf numFmtId="0" fontId="6" fillId="0" borderId="35" xfId="0" applyFont="1" applyBorder="1"/>
    <xf numFmtId="0" fontId="15" fillId="6" borderId="23" xfId="0" applyFont="1" applyFill="1" applyBorder="1" applyAlignment="1">
      <alignment horizontal="center" vertical="center" wrapText="1"/>
    </xf>
    <xf numFmtId="0" fontId="6" fillId="0" borderId="30" xfId="0" applyFont="1" applyBorder="1"/>
    <xf numFmtId="0" fontId="15" fillId="6" borderId="19" xfId="0" applyFont="1" applyFill="1" applyBorder="1" applyAlignment="1">
      <alignment horizontal="center" vertical="center" wrapText="1"/>
    </xf>
    <xf numFmtId="0" fontId="6" fillId="0" borderId="26" xfId="0" applyFont="1" applyBorder="1"/>
    <xf numFmtId="0" fontId="15" fillId="6" borderId="20" xfId="0" applyFont="1" applyFill="1" applyBorder="1" applyAlignment="1">
      <alignment horizontal="center" vertical="center" wrapText="1"/>
    </xf>
    <xf numFmtId="0" fontId="6" fillId="0" borderId="21" xfId="0" applyFont="1" applyBorder="1"/>
    <xf numFmtId="0" fontId="6" fillId="0" borderId="22" xfId="0" applyFont="1" applyBorder="1"/>
    <xf numFmtId="0" fontId="6" fillId="0" borderId="27" xfId="0" applyFont="1" applyBorder="1"/>
    <xf numFmtId="0" fontId="6" fillId="0" borderId="28" xfId="0" applyFont="1" applyBorder="1"/>
    <xf numFmtId="0" fontId="6" fillId="0" borderId="29" xfId="0" applyFont="1" applyBorder="1"/>
    <xf numFmtId="0" fontId="16" fillId="0" borderId="20" xfId="0" applyFont="1" applyBorder="1" applyAlignment="1">
      <alignment horizontal="left" vertical="center" wrapText="1"/>
    </xf>
    <xf numFmtId="0" fontId="16" fillId="0" borderId="19" xfId="0" applyFont="1" applyBorder="1" applyAlignment="1">
      <alignment horizontal="center" vertical="center"/>
    </xf>
    <xf numFmtId="0" fontId="6" fillId="0" borderId="42" xfId="0" applyFont="1" applyBorder="1"/>
    <xf numFmtId="0" fontId="6" fillId="0" borderId="31" xfId="0" applyFont="1" applyBorder="1"/>
    <xf numFmtId="0" fontId="6" fillId="0" borderId="32" xfId="0" applyFont="1" applyBorder="1"/>
    <xf numFmtId="0" fontId="16" fillId="0" borderId="24" xfId="0" applyFont="1" applyBorder="1" applyAlignment="1">
      <alignment horizontal="center" vertical="center" wrapText="1"/>
    </xf>
    <xf numFmtId="0" fontId="6" fillId="0" borderId="25" xfId="0" applyFont="1" applyBorder="1"/>
    <xf numFmtId="0" fontId="15" fillId="6" borderId="24" xfId="0" applyFont="1" applyFill="1" applyBorder="1" applyAlignment="1">
      <alignment horizontal="center" vertical="center" wrapText="1"/>
    </xf>
    <xf numFmtId="0" fontId="16" fillId="0" borderId="34" xfId="0" applyFont="1" applyBorder="1" applyAlignment="1">
      <alignment horizontal="center" vertical="center" wrapText="1"/>
    </xf>
    <xf numFmtId="0" fontId="16" fillId="0" borderId="39" xfId="0" applyFont="1" applyBorder="1" applyAlignment="1">
      <alignment horizontal="center" vertical="center" wrapText="1"/>
    </xf>
    <xf numFmtId="4" fontId="22" fillId="0" borderId="9" xfId="0" applyNumberFormat="1" applyFont="1" applyBorder="1" applyAlignment="1">
      <alignment horizontal="center" vertical="center"/>
    </xf>
    <xf numFmtId="167" fontId="22" fillId="0" borderId="43" xfId="0" applyNumberFormat="1" applyFont="1" applyBorder="1" applyAlignment="1">
      <alignment horizontal="center" vertical="center" wrapText="1"/>
    </xf>
    <xf numFmtId="166" fontId="20" fillId="0" borderId="9" xfId="0" applyNumberFormat="1" applyFont="1" applyBorder="1" applyAlignment="1">
      <alignment horizontal="right" vertical="center"/>
    </xf>
    <xf numFmtId="167" fontId="22" fillId="0" borderId="6" xfId="0" applyNumberFormat="1" applyFont="1" applyBorder="1" applyAlignment="1">
      <alignment horizontal="center" vertical="center" wrapText="1"/>
    </xf>
    <xf numFmtId="0" fontId="24" fillId="0" borderId="9" xfId="0" applyFont="1" applyBorder="1" applyAlignment="1">
      <alignment horizontal="center" vertical="center" wrapText="1"/>
    </xf>
    <xf numFmtId="4" fontId="22" fillId="0" borderId="9" xfId="0" applyNumberFormat="1" applyFont="1" applyBorder="1" applyAlignment="1">
      <alignment horizontal="center" vertical="center" wrapText="1"/>
    </xf>
    <xf numFmtId="0" fontId="22" fillId="0" borderId="6" xfId="0" applyFont="1" applyBorder="1" applyAlignment="1">
      <alignment horizontal="center" vertical="center" wrapText="1"/>
    </xf>
    <xf numFmtId="0" fontId="24" fillId="0" borderId="9" xfId="0" applyFont="1" applyBorder="1" applyAlignment="1">
      <alignment horizontal="left" vertical="center" wrapText="1"/>
    </xf>
    <xf numFmtId="167" fontId="22" fillId="0" borderId="9" xfId="0" applyNumberFormat="1" applyFont="1" applyBorder="1" applyAlignment="1">
      <alignment horizontal="center" vertical="center" wrapText="1"/>
    </xf>
    <xf numFmtId="167" fontId="18" fillId="0" borderId="0" xfId="0" applyNumberFormat="1" applyFont="1" applyAlignment="1">
      <alignment horizontal="center" vertical="top" wrapText="1"/>
    </xf>
    <xf numFmtId="166" fontId="20" fillId="0" borderId="49" xfId="0" applyNumberFormat="1" applyFont="1" applyBorder="1" applyAlignment="1">
      <alignment horizontal="right" vertical="center"/>
    </xf>
    <xf numFmtId="166" fontId="20" fillId="0" borderId="4" xfId="0" applyNumberFormat="1" applyFont="1" applyBorder="1" applyAlignment="1">
      <alignment horizontal="right" vertical="center"/>
    </xf>
    <xf numFmtId="0" fontId="23" fillId="0" borderId="9" xfId="0" applyFont="1" applyBorder="1" applyAlignment="1">
      <alignment horizontal="left" vertical="center" wrapText="1"/>
    </xf>
    <xf numFmtId="167" fontId="18" fillId="0" borderId="0" xfId="0" applyNumberFormat="1" applyFont="1" applyAlignment="1">
      <alignment horizontal="center" vertical="center" wrapText="1"/>
    </xf>
    <xf numFmtId="0" fontId="20" fillId="0" borderId="9" xfId="0" applyFont="1" applyBorder="1" applyAlignment="1">
      <alignment horizontal="right" vertical="center"/>
    </xf>
    <xf numFmtId="168" fontId="20" fillId="0" borderId="9" xfId="0" applyNumberFormat="1" applyFont="1" applyBorder="1" applyAlignment="1">
      <alignment horizontal="right" vertical="center"/>
    </xf>
    <xf numFmtId="0" fontId="18" fillId="0" borderId="51" xfId="0" applyFont="1" applyBorder="1" applyAlignment="1">
      <alignment horizontal="right" vertical="center" wrapText="1"/>
    </xf>
    <xf numFmtId="0" fontId="18" fillId="0" borderId="52" xfId="0" applyFont="1" applyBorder="1" applyAlignment="1">
      <alignment horizontal="right" vertical="center" wrapText="1"/>
    </xf>
    <xf numFmtId="167" fontId="57" fillId="0" borderId="0" xfId="0" applyNumberFormat="1" applyFont="1" applyAlignment="1">
      <alignment horizontal="center" vertical="center" wrapText="1"/>
    </xf>
    <xf numFmtId="0" fontId="58" fillId="0" borderId="0" xfId="0" applyFont="1" applyAlignment="1">
      <alignment horizontal="center" vertical="center"/>
    </xf>
    <xf numFmtId="0" fontId="58" fillId="0" borderId="0" xfId="0" applyFont="1" applyAlignment="1">
      <alignment horizontal="left" vertical="center"/>
    </xf>
    <xf numFmtId="0" fontId="57" fillId="0" borderId="9" xfId="0" applyFont="1" applyBorder="1" applyAlignment="1">
      <alignment horizontal="right" vertical="center"/>
    </xf>
    <xf numFmtId="0" fontId="56" fillId="0" borderId="48" xfId="0" applyFont="1" applyBorder="1" applyAlignment="1">
      <alignment horizontal="right" vertical="center"/>
    </xf>
    <xf numFmtId="0" fontId="56" fillId="0" borderId="1" xfId="0" applyFont="1" applyBorder="1" applyAlignment="1">
      <alignment horizontal="right" vertical="center"/>
    </xf>
    <xf numFmtId="15" fontId="26" fillId="0" borderId="0" xfId="0" applyNumberFormat="1" applyFont="1" applyAlignment="1">
      <alignment horizontal="right" vertical="center" wrapText="1"/>
    </xf>
    <xf numFmtId="0" fontId="4" fillId="0" borderId="40" xfId="0" applyFont="1" applyBorder="1" applyAlignment="1">
      <alignment vertical="center"/>
    </xf>
    <xf numFmtId="0" fontId="18" fillId="8" borderId="50" xfId="0" applyFont="1" applyFill="1" applyBorder="1" applyAlignment="1">
      <alignment horizontal="left" vertical="top" wrapText="1"/>
    </xf>
    <xf numFmtId="0" fontId="56" fillId="0" borderId="51" xfId="0" applyFont="1" applyBorder="1" applyAlignment="1">
      <alignment horizontal="left" vertical="top"/>
    </xf>
    <xf numFmtId="0" fontId="56" fillId="0" borderId="52" xfId="0" applyFont="1" applyBorder="1" applyAlignment="1">
      <alignment horizontal="left" vertical="top"/>
    </xf>
    <xf numFmtId="172" fontId="57" fillId="0" borderId="9" xfId="0" applyNumberFormat="1" applyFont="1" applyBorder="1" applyAlignment="1">
      <alignment horizontal="center" vertical="center"/>
    </xf>
    <xf numFmtId="0" fontId="56" fillId="0" borderId="48" xfId="0" applyFont="1" applyBorder="1" applyAlignment="1">
      <alignment horizontal="center" vertical="center"/>
    </xf>
    <xf numFmtId="0" fontId="56" fillId="0" borderId="1" xfId="0" applyFont="1" applyBorder="1" applyAlignment="1">
      <alignment horizontal="center" vertical="center"/>
    </xf>
    <xf numFmtId="0" fontId="57" fillId="0" borderId="9" xfId="0" applyFont="1" applyBorder="1" applyAlignment="1">
      <alignment horizontal="center" vertical="center" wrapText="1"/>
    </xf>
    <xf numFmtId="0" fontId="57" fillId="0" borderId="9" xfId="0" applyFont="1" applyBorder="1" applyAlignment="1">
      <alignment horizontal="center" vertical="center"/>
    </xf>
    <xf numFmtId="15" fontId="26" fillId="0" borderId="0" xfId="0" applyNumberFormat="1" applyFont="1" applyAlignment="1">
      <alignment horizontal="center" vertical="center" wrapText="1"/>
    </xf>
    <xf numFmtId="0" fontId="4" fillId="0" borderId="40" xfId="0" applyFont="1" applyBorder="1" applyAlignment="1">
      <alignment horizontal="center" vertical="center"/>
    </xf>
    <xf numFmtId="0" fontId="56" fillId="7" borderId="9" xfId="0" applyFont="1" applyFill="1" applyBorder="1" applyAlignment="1">
      <alignment horizontal="center" vertical="center" wrapText="1"/>
    </xf>
    <xf numFmtId="0" fontId="56" fillId="0" borderId="1" xfId="0" applyFont="1" applyBorder="1" applyAlignment="1">
      <alignment horizontal="left" vertical="center"/>
    </xf>
    <xf numFmtId="0" fontId="18" fillId="8" borderId="60" xfId="0" applyFont="1" applyFill="1" applyBorder="1" applyAlignment="1">
      <alignment horizontal="left" vertical="center" wrapText="1"/>
    </xf>
    <xf numFmtId="0" fontId="18" fillId="8" borderId="58" xfId="0" applyFont="1" applyFill="1" applyBorder="1" applyAlignment="1">
      <alignment horizontal="left" vertical="center" wrapText="1"/>
    </xf>
    <xf numFmtId="0" fontId="18" fillId="8" borderId="59" xfId="0" applyFont="1" applyFill="1" applyBorder="1" applyAlignment="1">
      <alignment horizontal="left" vertical="center" wrapText="1"/>
    </xf>
    <xf numFmtId="0" fontId="57" fillId="8" borderId="60" xfId="0" applyFont="1" applyFill="1" applyBorder="1" applyAlignment="1">
      <alignment horizontal="left" vertical="center" wrapText="1"/>
    </xf>
    <xf numFmtId="0" fontId="57" fillId="8" borderId="58" xfId="0" applyFont="1" applyFill="1" applyBorder="1" applyAlignment="1">
      <alignment horizontal="left" vertical="center" wrapText="1"/>
    </xf>
    <xf numFmtId="0" fontId="57" fillId="8" borderId="59" xfId="0" applyFont="1" applyFill="1" applyBorder="1" applyAlignment="1">
      <alignment horizontal="left" vertical="center" wrapText="1"/>
    </xf>
    <xf numFmtId="168" fontId="57" fillId="0" borderId="9" xfId="0" applyNumberFormat="1" applyFont="1" applyBorder="1" applyAlignment="1">
      <alignment horizontal="center" vertical="center"/>
    </xf>
    <xf numFmtId="15" fontId="56" fillId="0" borderId="0" xfId="0" applyNumberFormat="1" applyFont="1" applyAlignment="1">
      <alignment horizontal="left" vertical="center"/>
    </xf>
    <xf numFmtId="0" fontId="56" fillId="0" borderId="40" xfId="0" applyFont="1" applyBorder="1" applyAlignment="1">
      <alignment horizontal="left" vertical="center"/>
    </xf>
    <xf numFmtId="4" fontId="27" fillId="0" borderId="49" xfId="0" applyNumberFormat="1" applyFont="1" applyBorder="1" applyAlignment="1">
      <alignment horizontal="center" vertical="center"/>
    </xf>
    <xf numFmtId="4" fontId="27" fillId="0" borderId="55" xfId="0" applyNumberFormat="1" applyFont="1" applyBorder="1" applyAlignment="1">
      <alignment horizontal="center" vertical="center"/>
    </xf>
    <xf numFmtId="4" fontId="27" fillId="0" borderId="4" xfId="0" applyNumberFormat="1" applyFont="1" applyBorder="1" applyAlignment="1">
      <alignment horizontal="center" vertical="center"/>
    </xf>
    <xf numFmtId="0" fontId="65" fillId="0" borderId="60" xfId="0" applyFont="1" applyBorder="1" applyAlignment="1">
      <alignment horizontal="right" vertical="center"/>
    </xf>
    <xf numFmtId="0" fontId="65" fillId="0" borderId="58" xfId="0" applyFont="1" applyBorder="1" applyAlignment="1">
      <alignment horizontal="right" vertical="center"/>
    </xf>
    <xf numFmtId="0" fontId="65" fillId="0" borderId="59" xfId="0" applyFont="1" applyBorder="1" applyAlignment="1">
      <alignment horizontal="right" vertical="center"/>
    </xf>
    <xf numFmtId="0" fontId="36" fillId="11" borderId="9" xfId="0" applyFont="1" applyFill="1" applyBorder="1" applyAlignment="1">
      <alignment horizontal="center" vertical="center" wrapText="1"/>
    </xf>
    <xf numFmtId="0" fontId="27" fillId="0" borderId="9" xfId="0" applyFont="1" applyBorder="1" applyAlignment="1">
      <alignment horizontal="left" vertical="center" wrapText="1"/>
    </xf>
    <xf numFmtId="14" fontId="36" fillId="11" borderId="6" xfId="0" applyNumberFormat="1" applyFont="1" applyFill="1" applyBorder="1" applyAlignment="1">
      <alignment horizontal="center" vertical="center" wrapText="1"/>
    </xf>
    <xf numFmtId="0" fontId="39" fillId="8" borderId="57" xfId="0" applyFont="1" applyFill="1" applyBorder="1" applyAlignment="1">
      <alignment horizontal="left" vertical="center" wrapText="1"/>
    </xf>
    <xf numFmtId="0" fontId="39" fillId="8" borderId="58" xfId="0" applyFont="1" applyFill="1" applyBorder="1" applyAlignment="1">
      <alignment horizontal="left" vertical="center" wrapText="1"/>
    </xf>
    <xf numFmtId="0" fontId="39" fillId="8" borderId="61" xfId="0" applyFont="1" applyFill="1" applyBorder="1" applyAlignment="1">
      <alignment horizontal="left" vertical="center" wrapText="1"/>
    </xf>
    <xf numFmtId="0" fontId="36" fillId="11" borderId="6" xfId="0" applyFont="1" applyFill="1" applyBorder="1" applyAlignment="1">
      <alignment horizontal="center" vertical="center" wrapText="1"/>
    </xf>
    <xf numFmtId="49" fontId="36" fillId="11" borderId="6" xfId="0" applyNumberFormat="1" applyFont="1" applyFill="1" applyBorder="1" applyAlignment="1">
      <alignment horizontal="center" vertical="center" wrapText="1"/>
    </xf>
    <xf numFmtId="0" fontId="6" fillId="0" borderId="2" xfId="0" applyFont="1" applyBorder="1" applyAlignment="1">
      <alignment wrapText="1"/>
    </xf>
    <xf numFmtId="169" fontId="36" fillId="11" borderId="6" xfId="0" applyNumberFormat="1" applyFont="1" applyFill="1" applyBorder="1" applyAlignment="1">
      <alignment horizontal="center" vertical="center" wrapText="1"/>
    </xf>
    <xf numFmtId="1" fontId="36" fillId="11" borderId="6" xfId="0" applyNumberFormat="1" applyFont="1" applyFill="1" applyBorder="1" applyAlignment="1">
      <alignment horizontal="center" vertical="center" wrapText="1"/>
    </xf>
    <xf numFmtId="0" fontId="37" fillId="11" borderId="6" xfId="0" applyFont="1" applyFill="1" applyBorder="1" applyAlignment="1">
      <alignment horizontal="center" vertical="center" wrapText="1"/>
    </xf>
    <xf numFmtId="0" fontId="6" fillId="0" borderId="2" xfId="0" applyFont="1" applyBorder="1" applyAlignment="1">
      <alignment horizontal="center" vertical="center" wrapText="1"/>
    </xf>
    <xf numFmtId="169" fontId="4" fillId="11" borderId="6" xfId="0" applyNumberFormat="1" applyFont="1" applyFill="1" applyBorder="1" applyAlignment="1">
      <alignment horizontal="center" vertical="center" wrapText="1"/>
    </xf>
    <xf numFmtId="0" fontId="26" fillId="0" borderId="0" xfId="0" applyFont="1" applyAlignment="1">
      <alignment horizontal="right" vertical="center" wrapText="1"/>
    </xf>
    <xf numFmtId="17" fontId="27" fillId="0" borderId="9" xfId="0" applyNumberFormat="1" applyFont="1" applyBorder="1" applyAlignment="1">
      <alignment horizontal="left" vertical="center" wrapText="1"/>
    </xf>
    <xf numFmtId="4" fontId="27" fillId="0" borderId="9" xfId="0" applyNumberFormat="1" applyFont="1" applyBorder="1" applyAlignment="1">
      <alignment horizontal="left" vertical="center" wrapText="1"/>
    </xf>
    <xf numFmtId="0" fontId="39" fillId="8" borderId="50" xfId="0" applyFont="1" applyFill="1" applyBorder="1" applyAlignment="1">
      <alignment horizontal="left" vertical="center" wrapText="1"/>
    </xf>
    <xf numFmtId="0" fontId="6" fillId="0" borderId="51" xfId="0" applyFont="1" applyBorder="1"/>
    <xf numFmtId="0" fontId="6" fillId="0" borderId="52" xfId="0" applyFont="1" applyBorder="1"/>
    <xf numFmtId="9" fontId="30" fillId="0" borderId="53" xfId="0" applyNumberFormat="1" applyFont="1" applyBorder="1" applyAlignment="1">
      <alignment horizontal="right" vertical="center"/>
    </xf>
    <xf numFmtId="9" fontId="30" fillId="0" borderId="54" xfId="0" applyNumberFormat="1" applyFont="1" applyBorder="1" applyAlignment="1">
      <alignment horizontal="right" vertical="center"/>
    </xf>
    <xf numFmtId="9" fontId="30" fillId="0" borderId="47" xfId="0" applyNumberFormat="1" applyFont="1" applyBorder="1" applyAlignment="1">
      <alignment horizontal="right" vertical="center"/>
    </xf>
    <xf numFmtId="49" fontId="31" fillId="11" borderId="6" xfId="0" applyNumberFormat="1" applyFont="1" applyFill="1" applyBorder="1" applyAlignment="1">
      <alignment horizontal="center" vertical="center" wrapText="1"/>
    </xf>
    <xf numFmtId="0" fontId="31" fillId="11" borderId="6" xfId="0" applyFont="1" applyFill="1" applyBorder="1" applyAlignment="1">
      <alignment horizontal="center" vertical="center" wrapText="1"/>
    </xf>
    <xf numFmtId="166" fontId="31" fillId="11" borderId="6" xfId="0" applyNumberFormat="1" applyFont="1" applyFill="1" applyBorder="1" applyAlignment="1">
      <alignment horizontal="center" vertical="center" wrapText="1"/>
    </xf>
    <xf numFmtId="4" fontId="31" fillId="11" borderId="6" xfId="0" applyNumberFormat="1" applyFont="1" applyFill="1" applyBorder="1" applyAlignment="1">
      <alignment horizontal="center" vertical="center" wrapText="1"/>
    </xf>
    <xf numFmtId="0" fontId="31" fillId="0" borderId="2" xfId="0" applyFont="1" applyBorder="1"/>
    <xf numFmtId="4" fontId="31" fillId="11" borderId="9" xfId="0" applyNumberFormat="1" applyFont="1" applyFill="1" applyBorder="1" applyAlignment="1">
      <alignment horizontal="center" vertical="center"/>
    </xf>
    <xf numFmtId="0" fontId="31" fillId="11" borderId="9" xfId="0" applyFont="1" applyFill="1" applyBorder="1" applyAlignment="1">
      <alignment horizontal="center" vertical="center" wrapText="1"/>
    </xf>
    <xf numFmtId="4" fontId="31" fillId="11" borderId="9" xfId="0" applyNumberFormat="1" applyFont="1" applyFill="1" applyBorder="1" applyAlignment="1">
      <alignment horizontal="center" vertical="center" wrapText="1"/>
    </xf>
    <xf numFmtId="49" fontId="31" fillId="11" borderId="6" xfId="0" applyNumberFormat="1" applyFont="1" applyFill="1" applyBorder="1" applyAlignment="1">
      <alignment horizontal="left" vertical="center" wrapText="1"/>
    </xf>
    <xf numFmtId="0" fontId="6" fillId="0" borderId="2" xfId="0" applyFont="1" applyBorder="1" applyAlignment="1">
      <alignment horizontal="left" vertical="center"/>
    </xf>
    <xf numFmtId="166" fontId="31" fillId="11" borderId="6" xfId="0" applyNumberFormat="1" applyFont="1" applyFill="1" applyBorder="1" applyAlignment="1">
      <alignment horizontal="right" vertical="center" wrapText="1"/>
    </xf>
    <xf numFmtId="0" fontId="30" fillId="0" borderId="9" xfId="0" applyFont="1" applyBorder="1" applyAlignment="1">
      <alignment horizontal="left" vertical="center"/>
    </xf>
    <xf numFmtId="0" fontId="31" fillId="0" borderId="0" xfId="0" applyFont="1" applyAlignment="1">
      <alignment horizontal="right" vertical="center" wrapText="1"/>
    </xf>
    <xf numFmtId="4" fontId="31" fillId="0" borderId="9" xfId="0" applyNumberFormat="1" applyFont="1" applyBorder="1" applyAlignment="1">
      <alignment horizontal="center" vertical="center"/>
    </xf>
    <xf numFmtId="167" fontId="30" fillId="0" borderId="0" xfId="0" applyNumberFormat="1" applyFont="1" applyAlignment="1">
      <alignment horizontal="center" vertical="center" wrapText="1"/>
    </xf>
    <xf numFmtId="167" fontId="30" fillId="0" borderId="0" xfId="0" applyNumberFormat="1" applyFont="1" applyAlignment="1">
      <alignment horizontal="center" vertical="top" wrapText="1"/>
    </xf>
    <xf numFmtId="17" fontId="31" fillId="0" borderId="9" xfId="0" applyNumberFormat="1" applyFont="1" applyBorder="1" applyAlignment="1">
      <alignment horizontal="center" vertical="center"/>
    </xf>
    <xf numFmtId="0" fontId="38" fillId="0" borderId="9" xfId="0" applyFont="1" applyBorder="1" applyAlignment="1">
      <alignment horizontal="left" vertical="center"/>
    </xf>
    <xf numFmtId="0" fontId="27" fillId="0" borderId="9" xfId="0" applyFont="1" applyBorder="1" applyAlignment="1">
      <alignment horizontal="right" vertical="center"/>
    </xf>
    <xf numFmtId="167" fontId="18" fillId="0" borderId="0" xfId="0" applyNumberFormat="1" applyFont="1" applyAlignment="1">
      <alignment horizontal="center" wrapText="1"/>
    </xf>
    <xf numFmtId="0" fontId="39" fillId="12" borderId="9" xfId="0" applyFont="1" applyFill="1" applyBorder="1" applyAlignment="1">
      <alignment horizontal="left" vertical="center"/>
    </xf>
    <xf numFmtId="0" fontId="22" fillId="7" borderId="6" xfId="0" applyFont="1" applyFill="1" applyBorder="1" applyAlignment="1">
      <alignment horizontal="left" vertical="center" wrapText="1"/>
    </xf>
    <xf numFmtId="1" fontId="23" fillId="7" borderId="6" xfId="0" applyNumberFormat="1" applyFont="1" applyFill="1" applyBorder="1" applyAlignment="1">
      <alignment horizontal="center" vertical="center" wrapText="1"/>
    </xf>
    <xf numFmtId="178" fontId="23" fillId="7" borderId="6" xfId="0" applyNumberFormat="1" applyFont="1" applyFill="1" applyBorder="1" applyAlignment="1">
      <alignment horizontal="center" vertical="center" wrapText="1"/>
    </xf>
    <xf numFmtId="0" fontId="23" fillId="7" borderId="9" xfId="0" applyFont="1" applyFill="1" applyBorder="1" applyAlignment="1">
      <alignment horizontal="center" vertical="center" wrapText="1"/>
    </xf>
    <xf numFmtId="0" fontId="6" fillId="0" borderId="55" xfId="0" applyFont="1" applyBorder="1"/>
    <xf numFmtId="0" fontId="23" fillId="7" borderId="6" xfId="0" applyFont="1" applyFill="1" applyBorder="1" applyAlignment="1">
      <alignment horizontal="center" vertical="center" wrapText="1"/>
    </xf>
    <xf numFmtId="49" fontId="23" fillId="7" borderId="6" xfId="0" applyNumberFormat="1" applyFont="1" applyFill="1" applyBorder="1" applyAlignment="1">
      <alignment horizontal="center" vertical="center" wrapText="1"/>
    </xf>
    <xf numFmtId="169" fontId="23" fillId="7" borderId="6" xfId="0" applyNumberFormat="1" applyFont="1" applyFill="1" applyBorder="1" applyAlignment="1">
      <alignment horizontal="center" vertical="center" wrapText="1"/>
    </xf>
    <xf numFmtId="20" fontId="23" fillId="7" borderId="6" xfId="0" applyNumberFormat="1" applyFont="1" applyFill="1" applyBorder="1" applyAlignment="1">
      <alignment horizontal="center" vertical="center" wrapText="1"/>
    </xf>
  </cellXfs>
  <cellStyles count="13">
    <cellStyle name="Comma" xfId="5" builtinId="3"/>
    <cellStyle name="Comma 17" xfId="9" xr:uid="{9B73EE11-C0BC-40CD-8E5A-49F1BCB6B579}"/>
    <cellStyle name="Comma 2 5" xfId="2" xr:uid="{84E87D45-9BCD-4476-BACA-53AE07E5AFDA}"/>
    <cellStyle name="Comma 20" xfId="6" xr:uid="{04EC4FB8-25AA-4A71-8ABD-6AD7D07D1BB5}"/>
    <cellStyle name="Comma 30" xfId="10" xr:uid="{209FE2B7-D5B9-4357-B0AB-42B588D38638}"/>
    <cellStyle name="Comma 34" xfId="11" xr:uid="{24D04023-65EC-447F-8BCF-48BB86486584}"/>
    <cellStyle name="Comma 36" xfId="12" xr:uid="{496B9B87-0311-43AF-9DB0-7C23DEDE5DE7}"/>
    <cellStyle name="Comma 37" xfId="7" xr:uid="{A5F060BB-51C7-48EB-B538-654A58C47764}"/>
    <cellStyle name="Comma 39" xfId="8" xr:uid="{D36034FC-1CEA-4ED4-8CB7-AF8BE9CE9A3D}"/>
    <cellStyle name="Normal" xfId="0" builtinId="0"/>
    <cellStyle name="Normal 2" xfId="4" xr:uid="{C6B72311-98C5-4700-B489-2F00C6487B02}"/>
    <cellStyle name="Normal 2 4" xfId="1" xr:uid="{D868173E-AB1A-480B-BC1A-0521A2DC6CB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0</xdr:rowOff>
    </xdr:from>
    <xdr:ext cx="1885950" cy="0"/>
    <xdr:sp macro="" textlink="">
      <xdr:nvSpPr>
        <xdr:cNvPr id="1025" name="Object 1" hidden="1">
          <a:extLs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0</xdr:rowOff>
    </xdr:from>
    <xdr:ext cx="1885950" cy="0"/>
    <xdr:sp macro="" textlink="">
      <xdr:nvSpPr>
        <xdr:cNvPr id="16385" name="Object 1" hidden="1">
          <a:extLst>
            <a:ext uri="{FF2B5EF4-FFF2-40B4-BE49-F238E27FC236}">
              <a16:creationId xmlns:a16="http://schemas.microsoft.com/office/drawing/2014/main" id="{00000000-0008-0000-0400-00000140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1016001</xdr:colOff>
      <xdr:row>0</xdr:row>
      <xdr:rowOff>148166</xdr:rowOff>
    </xdr:from>
    <xdr:ext cx="828675" cy="628650"/>
    <xdr:pic>
      <xdr:nvPicPr>
        <xdr:cNvPr id="2" name="image1.png">
          <a:extLst>
            <a:ext uri="{FF2B5EF4-FFF2-40B4-BE49-F238E27FC236}">
              <a16:creationId xmlns:a16="http://schemas.microsoft.com/office/drawing/2014/main" id="{A3476A40-A175-4A84-87F7-2876BB4BF61F}"/>
            </a:ext>
          </a:extLst>
        </xdr:cNvPr>
        <xdr:cNvPicPr preferRelativeResize="0"/>
      </xdr:nvPicPr>
      <xdr:blipFill>
        <a:blip xmlns:r="http://schemas.openxmlformats.org/officeDocument/2006/relationships" r:embed="rId1" cstate="print"/>
        <a:stretch>
          <a:fillRect/>
        </a:stretch>
      </xdr:blipFill>
      <xdr:spPr>
        <a:xfrm>
          <a:off x="3566584" y="148166"/>
          <a:ext cx="828675" cy="6286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0</xdr:row>
      <xdr:rowOff>0</xdr:rowOff>
    </xdr:from>
    <xdr:ext cx="0" cy="0"/>
    <xdr:sp macro="" textlink="">
      <xdr:nvSpPr>
        <xdr:cNvPr id="10241" name="Object 1" hidden="1">
          <a:extLst>
            <a:ext uri="{FF2B5EF4-FFF2-40B4-BE49-F238E27FC236}">
              <a16:creationId xmlns:a16="http://schemas.microsoft.com/office/drawing/2014/main" id="{00000000-0008-0000-0600-00000128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NERGY%20MANAGER\Desktop\HSA\MAPPING\JAN%202026\WO%20BEMS%20JAN%202026.xlsx" TargetMode="External"/><Relationship Id="rId1" Type="http://schemas.openxmlformats.org/officeDocument/2006/relationships/externalLinkPath" Target="file:///C:\Users\ENERGY%20MANAGER\Desktop\HSA\MAPPING\JAN%202026\WO%20BEMS%20JAN%20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ENERGY%20MANAGER\Desktop\HSA\ASET%20MASTERLIST\HSAS%20BEMS%20MASTERLIST%2009092025.xlsx" TargetMode="External"/><Relationship Id="rId1" Type="http://schemas.openxmlformats.org/officeDocument/2006/relationships/externalLinkPath" Target="file:///C:\Users\ENERGY%20MANAGER\Desktop\HSA\ASET%20MASTERLIST\HSAS%20BEMS%20MASTERLIST%200909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ENERGY%20MANAGER\Desktop\HSA\MAPPING\JAN%202026\PPM%20JAN%202026.xlsx" TargetMode="External"/><Relationship Id="rId1" Type="http://schemas.openxmlformats.org/officeDocument/2006/relationships/externalLinkPath" Target="file:///C:\Users\Admin\Downloads\PPM%20JAN%20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ENERGY%20MANAGER\Desktop\HSA\SCHEDULE\PPM%20FEB%202026.xlsx" TargetMode="External"/><Relationship Id="rId1" Type="http://schemas.openxmlformats.org/officeDocument/2006/relationships/externalLinkPath" Target="file:///C:\Users\ENERGY%20MANAGER\Desktop\HSA\SCHEDULE\PPM%20FEB%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
      <sheetName val="UR"/>
      <sheetName val="CM"/>
      <sheetName val="PPM"/>
      <sheetName val="B3"/>
      <sheetName val="B1-B2"/>
    </sheetNames>
    <sheetDataSet>
      <sheetData sheetId="0">
        <row r="1">
          <cell r="B1" t="str">
            <v>WI No.</v>
          </cell>
        </row>
      </sheetData>
      <sheetData sheetId="1">
        <row r="1">
          <cell r="B1" t="str">
            <v>WI No.</v>
          </cell>
        </row>
      </sheetData>
      <sheetData sheetId="2">
        <row r="1">
          <cell r="B1" t="str">
            <v>WI No.</v>
          </cell>
          <cell r="C1" t="str">
            <v>WI Status</v>
          </cell>
          <cell r="D1" t="str">
            <v>Problem Description</v>
          </cell>
          <cell r="E1" t="str">
            <v>Work Services</v>
          </cell>
          <cell r="F1" t="str">
            <v>Work Trade</v>
          </cell>
          <cell r="G1" t="str">
            <v>Work Type</v>
          </cell>
          <cell r="H1" t="str">
            <v>Date/Time Received</v>
          </cell>
          <cell r="I1" t="str">
            <v>Response Date</v>
          </cell>
          <cell r="J1" t="str">
            <v>Response Time</v>
          </cell>
          <cell r="K1" t="str">
            <v>PPM Start Date/Time</v>
          </cell>
          <cell r="L1" t="str">
            <v>Work Priority</v>
          </cell>
          <cell r="M1" t="str">
            <v>Asset Code</v>
          </cell>
        </row>
        <row r="2">
          <cell r="B2" t="str">
            <v>HSASWIBE26000335</v>
          </cell>
          <cell r="C2" t="str">
            <v>Open</v>
          </cell>
          <cell r="D2" t="str">
            <v>Asset: Light source
No asset: H/15/1329
Problem: Xenon lamp faulty
Location: MDC</v>
          </cell>
          <cell r="E2" t="str">
            <v>BEMS</v>
          </cell>
          <cell r="F2" t="str">
            <v>Biomedical</v>
          </cell>
          <cell r="G2" t="str">
            <v>Corrective</v>
          </cell>
          <cell r="H2" t="str">
            <v>07-Jan-2026 18:37:00</v>
          </cell>
          <cell r="I2"/>
          <cell r="J2"/>
          <cell r="K2"/>
          <cell r="L2" t="str">
            <v>Normal</v>
          </cell>
          <cell r="M2" t="str">
            <v>KKM/JKN/HSA/10-01-01/H/15/1329</v>
          </cell>
        </row>
        <row r="3">
          <cell r="B3" t="str">
            <v>HSASWIBE26002300</v>
          </cell>
          <cell r="C3" t="str">
            <v>Open</v>
          </cell>
          <cell r="D3" t="str">
            <v>Asset: Ultrasound
No asset: H/21/81
Problem: Battery depleated
Location: ICU</v>
          </cell>
          <cell r="E3" t="str">
            <v>BEMS</v>
          </cell>
          <cell r="F3" t="str">
            <v>Biomedical</v>
          </cell>
          <cell r="G3" t="str">
            <v>Corrective</v>
          </cell>
          <cell r="H3" t="str">
            <v>11-Jan-2026 21:48:00</v>
          </cell>
          <cell r="I3"/>
          <cell r="J3"/>
          <cell r="K3"/>
          <cell r="L3" t="str">
            <v>Normal</v>
          </cell>
          <cell r="M3" t="str">
            <v>KKM/JKN/HSA/10-05-01/H/21/81</v>
          </cell>
        </row>
        <row r="4">
          <cell r="B4" t="str">
            <v>HSASWIBE26003624</v>
          </cell>
          <cell r="C4" t="str">
            <v>Open</v>
          </cell>
          <cell r="D4" t="str">
            <v>warmer di wad 8A.
asset number : H/23/54.
heater road faulty</v>
          </cell>
          <cell r="E4" t="str">
            <v>BEMS</v>
          </cell>
          <cell r="F4" t="str">
            <v>Biomedical</v>
          </cell>
          <cell r="G4" t="str">
            <v>Corrective</v>
          </cell>
          <cell r="H4" t="str">
            <v>15-Jan-2026 13:27:00</v>
          </cell>
          <cell r="I4"/>
          <cell r="J4"/>
          <cell r="K4"/>
          <cell r="L4" t="str">
            <v>Normal</v>
          </cell>
          <cell r="M4" t="str">
            <v>KKM/JKN/HSA/10-05-01/H/23/54</v>
          </cell>
        </row>
        <row r="5">
          <cell r="B5" t="str">
            <v>HSASWIBE26003774</v>
          </cell>
          <cell r="C5" t="str">
            <v>Open</v>
          </cell>
          <cell r="D5" t="str">
            <v>1. Desc: Patient Monitor
No asset: H/20/89
Serial number: 360124-M20214490003
Model: Edan m3
Problem: Spo2 probe faulty</v>
          </cell>
          <cell r="E5" t="str">
            <v>BEMS</v>
          </cell>
          <cell r="F5" t="str">
            <v>Biomedical</v>
          </cell>
          <cell r="G5" t="str">
            <v>Corrective</v>
          </cell>
          <cell r="H5" t="str">
            <v>19-Jan-2026 18:50:00</v>
          </cell>
          <cell r="I5"/>
          <cell r="J5"/>
          <cell r="K5"/>
          <cell r="L5" t="str">
            <v>Normal</v>
          </cell>
          <cell r="M5" t="str">
            <v>KKM/JKN/HSA/10-05-01/H/20/89</v>
          </cell>
        </row>
        <row r="6">
          <cell r="B6" t="str">
            <v>HSASWIBE26003775</v>
          </cell>
          <cell r="C6" t="str">
            <v>Open</v>
          </cell>
          <cell r="D6" t="str">
            <v>2. Desc: Patient Monitor
No asset: H/20/89
Serial number: 360124-M20214490003
Model: Edan m3
Problem: Bp cuff faulty</v>
          </cell>
          <cell r="E6" t="str">
            <v>BEMS</v>
          </cell>
          <cell r="F6" t="str">
            <v>Biomedical</v>
          </cell>
          <cell r="G6" t="str">
            <v>Corrective</v>
          </cell>
          <cell r="H6" t="str">
            <v>19-Jan-2026 18:51:00</v>
          </cell>
          <cell r="I6"/>
          <cell r="J6"/>
          <cell r="K6"/>
          <cell r="L6" t="str">
            <v>Normal</v>
          </cell>
          <cell r="M6" t="str">
            <v>KKM/JKN/HSA/10-05-01/H/20/89</v>
          </cell>
        </row>
        <row r="7">
          <cell r="B7" t="str">
            <v>HSASWIBE26003795</v>
          </cell>
          <cell r="C7" t="str">
            <v>Open</v>
          </cell>
          <cell r="D7" t="str">
            <v>Asset name: RO water system
Asset no : H/15/5382
Problem : conductivity tinggi
Location : HDU</v>
          </cell>
          <cell r="E7" t="str">
            <v>BEMS</v>
          </cell>
          <cell r="F7" t="str">
            <v>Biomedical</v>
          </cell>
          <cell r="G7" t="str">
            <v>Corrective</v>
          </cell>
          <cell r="H7" t="str">
            <v>20-Jan-2026 17:03:00</v>
          </cell>
          <cell r="I7"/>
          <cell r="J7"/>
          <cell r="K7"/>
          <cell r="L7" t="str">
            <v>Normal</v>
          </cell>
          <cell r="M7"/>
        </row>
        <row r="8">
          <cell r="B8" t="str">
            <v>HSASWIBE26003838</v>
          </cell>
          <cell r="C8" t="str">
            <v>Closed</v>
          </cell>
          <cell r="D8" t="str">
            <v>Asset name: ultrasound
Asset no : HSAS10936
Problem: power supply board faulty 
Location : Klinik O&amp;G</v>
          </cell>
          <cell r="E8" t="str">
            <v>BEMS</v>
          </cell>
          <cell r="F8" t="str">
            <v>Biomedical</v>
          </cell>
          <cell r="G8" t="str">
            <v>Corrective</v>
          </cell>
          <cell r="H8" t="str">
            <v>21-Jan-2026 10:59:00</v>
          </cell>
          <cell r="I8"/>
          <cell r="J8"/>
          <cell r="K8"/>
          <cell r="L8" t="str">
            <v>Normal</v>
          </cell>
          <cell r="M8"/>
        </row>
        <row r="9">
          <cell r="B9" t="str">
            <v>HSASWIBE26003849</v>
          </cell>
          <cell r="C9" t="str">
            <v>Open</v>
          </cell>
          <cell r="D9" t="str">
            <v>Asset Name: Vascular Doppler 
No asset : H/15/4160
Description: Replace battery
Location: SOPD</v>
          </cell>
          <cell r="E9" t="str">
            <v>BEMS</v>
          </cell>
          <cell r="F9" t="str">
            <v>Biomedical</v>
          </cell>
          <cell r="G9" t="str">
            <v>Corrective</v>
          </cell>
          <cell r="H9" t="str">
            <v>21-Jan-2026 14:30:00</v>
          </cell>
          <cell r="I9"/>
          <cell r="J9"/>
          <cell r="K9"/>
          <cell r="L9" t="str">
            <v>Normal</v>
          </cell>
          <cell r="M9" t="str">
            <v>KKM/JKN/HSA/10-05-01/H/15/4160</v>
          </cell>
        </row>
        <row r="10">
          <cell r="B10" t="str">
            <v>HSASWIBE26003866</v>
          </cell>
          <cell r="C10" t="str">
            <v>Open</v>
          </cell>
          <cell r="D10" t="str">
            <v>Asset Name: Retinascope 
No asset : H/15/4328
Description: bulb faulty 
Location: klinik oftal</v>
          </cell>
          <cell r="E10" t="str">
            <v>BEMS</v>
          </cell>
          <cell r="F10" t="str">
            <v>Biomedical</v>
          </cell>
          <cell r="G10" t="str">
            <v>Corrective</v>
          </cell>
          <cell r="H10" t="str">
            <v>21-Jan-2026 16:34:00</v>
          </cell>
          <cell r="I10"/>
          <cell r="J10"/>
          <cell r="K10"/>
          <cell r="L10" t="str">
            <v>Normal</v>
          </cell>
          <cell r="M10" t="str">
            <v>KKM/JKN/HSA/10-05-01/H/15/4328</v>
          </cell>
        </row>
        <row r="11">
          <cell r="B11" t="str">
            <v>HSASWIBE26003933</v>
          </cell>
          <cell r="C11" t="str">
            <v>Open</v>
          </cell>
          <cell r="D11" t="str">
            <v>asset: Patient monitor
No asset: H/20/225
Sn: KQ-04039882
Problem: spo2 probe faulty 
Model: umec12
Location: wad 9B</v>
          </cell>
          <cell r="E11" t="str">
            <v>BEMS</v>
          </cell>
          <cell r="F11" t="str">
            <v>Biomedical</v>
          </cell>
          <cell r="G11" t="str">
            <v>Corrective</v>
          </cell>
          <cell r="H11" t="str">
            <v>22-Jan-2026 17:54:00</v>
          </cell>
          <cell r="I11"/>
          <cell r="J11"/>
          <cell r="K11"/>
          <cell r="L11" t="str">
            <v>Normal</v>
          </cell>
          <cell r="M11" t="str">
            <v>KKM/JKN/HSA/10-05-01/H/20/225</v>
          </cell>
        </row>
        <row r="12">
          <cell r="B12" t="str">
            <v>HSASWIBE26003934</v>
          </cell>
          <cell r="C12" t="str">
            <v>Open</v>
          </cell>
          <cell r="D12" t="str">
            <v>Asset Name: Defibrillator 
No asset : H/15/3659
Description: battery defective
Location: ED</v>
          </cell>
          <cell r="E12" t="str">
            <v>BEMS</v>
          </cell>
          <cell r="F12" t="str">
            <v>Biomedical</v>
          </cell>
          <cell r="G12" t="str">
            <v>Corrective</v>
          </cell>
          <cell r="H12" t="str">
            <v>22-Jan-2026 17:55:00</v>
          </cell>
          <cell r="I12"/>
          <cell r="J12"/>
          <cell r="K12"/>
          <cell r="L12" t="str">
            <v>Normal</v>
          </cell>
          <cell r="M12" t="str">
            <v>KKM/JKN/HSA/10-05-01/H/15/3659</v>
          </cell>
        </row>
        <row r="13">
          <cell r="B13" t="str">
            <v>HSASWIBE26003979</v>
          </cell>
          <cell r="C13" t="str">
            <v>Open</v>
          </cell>
          <cell r="D13" t="str">
            <v>Asset: Patient monitor
No asset: H/20/226
Sn: KQ-04039881
Problem: battery depleted 
Model: umec12</v>
          </cell>
          <cell r="E13" t="str">
            <v>BEMS</v>
          </cell>
          <cell r="F13" t="str">
            <v>Biomedical</v>
          </cell>
          <cell r="G13" t="str">
            <v>Corrective</v>
          </cell>
          <cell r="H13" t="str">
            <v>24-Jan-2026 15:24:00</v>
          </cell>
          <cell r="I13"/>
          <cell r="J13"/>
          <cell r="K13"/>
          <cell r="L13" t="str">
            <v>Normal</v>
          </cell>
          <cell r="M13" t="str">
            <v>KKM/JKN/HSA/10-05-01/H/20/226</v>
          </cell>
        </row>
        <row r="14">
          <cell r="B14" t="str">
            <v>HSASWIBE26003980</v>
          </cell>
          <cell r="C14" t="str">
            <v>Open</v>
          </cell>
          <cell r="D14" t="str">
            <v>asset: Patient monitor
No asset: H/20/225
Sn: KQ-04039882
Problem: battery depleted 
Model: umec12</v>
          </cell>
          <cell r="E14" t="str">
            <v>BEMS</v>
          </cell>
          <cell r="F14" t="str">
            <v>Biomedical</v>
          </cell>
          <cell r="G14" t="str">
            <v>Corrective</v>
          </cell>
          <cell r="H14" t="str">
            <v>24-Jan-2026 15:25:00</v>
          </cell>
          <cell r="I14"/>
          <cell r="J14"/>
          <cell r="K14"/>
          <cell r="L14" t="str">
            <v>Normal</v>
          </cell>
          <cell r="M14" t="str">
            <v>KKM/JKN/HSA/10-05-01/H/20/225</v>
          </cell>
        </row>
        <row r="15">
          <cell r="B15" t="str">
            <v>HSASWIBE26003995</v>
          </cell>
          <cell r="C15" t="str">
            <v>Open</v>
          </cell>
          <cell r="D15" t="str">
            <v>1. Asset: Patient monitor
No asset: H/20/226
Sn: KQ-04039881
Problem: ecg cable faulty
Model: umec1</v>
          </cell>
          <cell r="E15" t="str">
            <v>BEMS</v>
          </cell>
          <cell r="F15" t="str">
            <v>Biomedical</v>
          </cell>
          <cell r="G15" t="str">
            <v>Corrective</v>
          </cell>
          <cell r="H15" t="str">
            <v>25-Jan-2026 15:30:00</v>
          </cell>
          <cell r="I15"/>
          <cell r="J15"/>
          <cell r="K15"/>
          <cell r="L15" t="str">
            <v>Normal</v>
          </cell>
          <cell r="M15" t="str">
            <v>KKM/JKN/HSA/10-05-01/H/20/226</v>
          </cell>
        </row>
        <row r="16">
          <cell r="B16" t="str">
            <v>HSASWIBE26003996</v>
          </cell>
          <cell r="C16" t="str">
            <v>Open</v>
          </cell>
          <cell r="D16" t="str">
            <v>2. asset: Patient monitor
No asset: H/20/225
Sn: KQ-04039882
Problem: cable ecg putus 
Model: umec12</v>
          </cell>
          <cell r="E16" t="str">
            <v>BEMS</v>
          </cell>
          <cell r="F16" t="str">
            <v>Biomedical</v>
          </cell>
          <cell r="G16" t="str">
            <v>Corrective</v>
          </cell>
          <cell r="H16" t="str">
            <v>25-Jan-2026 15:31:00</v>
          </cell>
          <cell r="I16"/>
          <cell r="J16"/>
          <cell r="K16"/>
          <cell r="L16" t="str">
            <v>Normal</v>
          </cell>
          <cell r="M16" t="str">
            <v>KKM/JKN/HSA/10-05-01/H/20/225</v>
          </cell>
        </row>
        <row r="17">
          <cell r="B17" t="str">
            <v>HSASWIBE26004351</v>
          </cell>
          <cell r="C17" t="str">
            <v>Open</v>
          </cell>
          <cell r="D17" t="str">
            <v>Asset Name: haemodialysis machine 
No asset : H/15/1634
Description: battery error
Location: HDU</v>
          </cell>
          <cell r="E17" t="str">
            <v>BEMS</v>
          </cell>
          <cell r="F17" t="str">
            <v>Biomedical</v>
          </cell>
          <cell r="G17" t="str">
            <v>Corrective</v>
          </cell>
          <cell r="H17" t="str">
            <v>27-Jan-2026 13:58:00</v>
          </cell>
          <cell r="I17"/>
          <cell r="J17"/>
          <cell r="K17"/>
          <cell r="L17" t="str">
            <v>Normal</v>
          </cell>
          <cell r="M17" t="str">
            <v>KKM/JKN/HSA/10-05-01/H/15/1634</v>
          </cell>
        </row>
        <row r="18">
          <cell r="B18" t="str">
            <v>HSASWIBE26006443</v>
          </cell>
          <cell r="C18" t="str">
            <v>Open</v>
          </cell>
          <cell r="D18" t="str">
            <v>Asset: ECG machine
No asset: H/15/5043
Sn: SCT11486306PA
Problem: ECG machine not functioning
Location: Ward 6</v>
          </cell>
          <cell r="E18" t="str">
            <v>BEMS</v>
          </cell>
          <cell r="F18" t="str">
            <v>Biomedical</v>
          </cell>
          <cell r="G18" t="str">
            <v>Corrective</v>
          </cell>
          <cell r="H18" t="str">
            <v>30-Jan-2026 21:20:00</v>
          </cell>
          <cell r="I18"/>
          <cell r="J18"/>
          <cell r="K18"/>
          <cell r="L18" t="str">
            <v>Normal</v>
          </cell>
          <cell r="M18" t="str">
            <v>KKM/JKN/HSA/10-05-01/H/15/5043</v>
          </cell>
        </row>
      </sheetData>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EMS EQUIPMENT "/>
      <sheetName val="PACKAGE BEMS EQUIPMENT"/>
      <sheetName val="V4"/>
    </sheetNames>
    <sheetDataSet>
      <sheetData sheetId="0">
        <row r="1">
          <cell r="E1" t="str">
            <v>Asset No.</v>
          </cell>
          <cell r="F1" t="str">
            <v>Category of Equipment</v>
          </cell>
          <cell r="G1" t="str">
            <v>Classification of Equipment</v>
          </cell>
          <cell r="H1" t="str">
            <v>Description UMDNS</v>
          </cell>
          <cell r="I1" t="str">
            <v>Asset Description</v>
          </cell>
          <cell r="J1" t="str">
            <v>Asset Type Code</v>
          </cell>
          <cell r="K1" t="str">
            <v>Brand</v>
          </cell>
          <cell r="L1" t="str">
            <v>Model</v>
          </cell>
          <cell r="M1" t="str">
            <v>Serial Number</v>
          </cell>
          <cell r="N1" t="str">
            <v xml:space="preserve">Department </v>
          </cell>
          <cell r="O1" t="str">
            <v>User Area</v>
          </cell>
          <cell r="P1" t="str">
            <v>HM / ABR</v>
          </cell>
          <cell r="Q1" t="str">
            <v xml:space="preserve"> Purchase Cost (RM)</v>
          </cell>
        </row>
        <row r="2">
          <cell r="E2" t="str">
            <v>KKM/JKN/HSA/10-05-01/H/15/2170</v>
          </cell>
          <cell r="F2" t="str">
            <v>Therapeutic</v>
          </cell>
          <cell r="G2" t="str">
            <v>Basic</v>
          </cell>
          <cell r="H2" t="str">
            <v>Aspirators</v>
          </cell>
          <cell r="I2" t="str">
            <v>SUCTION UNIT 1 X 2L JAR MOBILE</v>
          </cell>
          <cell r="J2" t="str">
            <v>10-208</v>
          </cell>
          <cell r="K2" t="str">
            <v>GIMA</v>
          </cell>
          <cell r="L2" t="str">
            <v>ASKIR C30</v>
          </cell>
          <cell r="M2">
            <v>5910</v>
          </cell>
          <cell r="N2" t="str">
            <v>PERUBATAN AM</v>
          </cell>
          <cell r="O2" t="str">
            <v>Wad Perubatan Perempuan 10B</v>
          </cell>
          <cell r="P2" t="str">
            <v>HM</v>
          </cell>
          <cell r="Q2">
            <v>3386.5</v>
          </cell>
        </row>
        <row r="3">
          <cell r="E3" t="str">
            <v>KKM/JKN/HSA/10-05-01/H/15/2171</v>
          </cell>
          <cell r="F3" t="str">
            <v>Therapeutic</v>
          </cell>
          <cell r="G3" t="str">
            <v>Basic</v>
          </cell>
          <cell r="H3" t="str">
            <v>Aspirators</v>
          </cell>
          <cell r="I3" t="str">
            <v>SUCTION UNIT 1 X 2L JAR MOBILE</v>
          </cell>
          <cell r="J3" t="str">
            <v>10-208</v>
          </cell>
          <cell r="K3" t="str">
            <v>GIMA</v>
          </cell>
          <cell r="L3" t="str">
            <v>ASKIR C30</v>
          </cell>
          <cell r="M3">
            <v>5909</v>
          </cell>
          <cell r="N3" t="str">
            <v>PERUBATAN AM</v>
          </cell>
          <cell r="O3" t="str">
            <v>Wad Perubatan Perempuan 10B</v>
          </cell>
          <cell r="P3" t="str">
            <v>HM</v>
          </cell>
          <cell r="Q3">
            <v>3386.5</v>
          </cell>
        </row>
        <row r="4">
          <cell r="E4" t="str">
            <v>KKM/JKN/HSA/10-05-01/H/15/2172</v>
          </cell>
          <cell r="F4" t="str">
            <v>Therapeutic</v>
          </cell>
          <cell r="G4" t="str">
            <v>Basic</v>
          </cell>
          <cell r="H4" t="str">
            <v>Aspirators</v>
          </cell>
          <cell r="I4" t="str">
            <v>SUCTION UNIT 1 X 2L JAR MOBILE</v>
          </cell>
          <cell r="J4" t="str">
            <v>10-208</v>
          </cell>
          <cell r="K4" t="str">
            <v>GIMA</v>
          </cell>
          <cell r="L4" t="str">
            <v>ASKIR C30</v>
          </cell>
          <cell r="M4">
            <v>5911</v>
          </cell>
          <cell r="N4" t="str">
            <v>PERUBATAN AM</v>
          </cell>
          <cell r="O4" t="str">
            <v>Wad Perubatan Perempuan 10B</v>
          </cell>
          <cell r="P4" t="str">
            <v>HM</v>
          </cell>
          <cell r="Q4">
            <v>3386.5</v>
          </cell>
        </row>
        <row r="5">
          <cell r="E5" t="str">
            <v>KKM/JKN/HSA/10-05-01/H/15/2793</v>
          </cell>
          <cell r="F5" t="str">
            <v>Therapeutic</v>
          </cell>
          <cell r="G5" t="str">
            <v>Basic</v>
          </cell>
          <cell r="H5" t="str">
            <v>Mattress Systems, Alternating-Pressure</v>
          </cell>
          <cell r="I5" t="str">
            <v>RIPPLE MATTRESS W/MOTOR</v>
          </cell>
          <cell r="J5" t="str">
            <v>18-147</v>
          </cell>
          <cell r="K5" t="str">
            <v>BANTEX</v>
          </cell>
          <cell r="L5" t="str">
            <v>APM-5000-G</v>
          </cell>
          <cell r="M5"/>
          <cell r="N5" t="str">
            <v>PERUBATAN AM</v>
          </cell>
          <cell r="O5" t="str">
            <v>Wad Perubatan Perempuan 10B</v>
          </cell>
          <cell r="P5" t="str">
            <v>HM</v>
          </cell>
          <cell r="Q5">
            <v>2800</v>
          </cell>
        </row>
        <row r="6">
          <cell r="E6" t="str">
            <v>KKM/JKN/HSA/10-05-01/H/15/2794</v>
          </cell>
          <cell r="F6" t="str">
            <v>Therapeutic</v>
          </cell>
          <cell r="G6" t="str">
            <v>Basic</v>
          </cell>
          <cell r="H6" t="str">
            <v>Mattress Systems, Alternating-Pressure</v>
          </cell>
          <cell r="I6" t="str">
            <v>RIPPLE MATTRESS W/MOTOR</v>
          </cell>
          <cell r="J6" t="str">
            <v>18-147</v>
          </cell>
          <cell r="K6" t="str">
            <v>BANTEX</v>
          </cell>
          <cell r="L6" t="str">
            <v>APM-5000-G</v>
          </cell>
          <cell r="M6"/>
          <cell r="N6" t="str">
            <v>PERUBATAN AM</v>
          </cell>
          <cell r="O6" t="str">
            <v>Wad Perubatan Perempuan 10B</v>
          </cell>
          <cell r="P6" t="str">
            <v>HM</v>
          </cell>
          <cell r="Q6">
            <v>2800</v>
          </cell>
        </row>
        <row r="7">
          <cell r="E7" t="str">
            <v>KKM/JKN/HSA/10-05-01/H/15/1232</v>
          </cell>
          <cell r="F7" t="str">
            <v>Therapeutic</v>
          </cell>
          <cell r="G7" t="str">
            <v>Intermediate</v>
          </cell>
          <cell r="H7" t="str">
            <v>Infusion Pumps, General-Purpose</v>
          </cell>
          <cell r="I7" t="str">
            <v>PUMP VOLUMETRIC INFUSION (STAND ALONE)</v>
          </cell>
          <cell r="J7" t="str">
            <v>13-215</v>
          </cell>
          <cell r="K7" t="str">
            <v>FRESENIUS KABI</v>
          </cell>
          <cell r="L7" t="str">
            <v>LINK 8+ AGILIA/MOBILE STAND</v>
          </cell>
          <cell r="M7">
            <v>22235296</v>
          </cell>
          <cell r="N7" t="str">
            <v>PERUBATAN AM</v>
          </cell>
          <cell r="O7" t="str">
            <v>Wad Perubatan Perempuan 10B</v>
          </cell>
          <cell r="P7" t="str">
            <v>HM</v>
          </cell>
          <cell r="Q7">
            <v>7245</v>
          </cell>
        </row>
        <row r="8">
          <cell r="E8" t="str">
            <v>KKM/JKN/HSA/10-05-01/H/15/1234</v>
          </cell>
          <cell r="F8" t="str">
            <v>Therapeutic</v>
          </cell>
          <cell r="G8" t="str">
            <v>Intermediate</v>
          </cell>
          <cell r="H8" t="str">
            <v>Infusion Pumps, General-Purpose</v>
          </cell>
          <cell r="I8" t="str">
            <v>PUMP VOLUMETRIC INFUSION (STAND ALONE)</v>
          </cell>
          <cell r="J8" t="str">
            <v>13-215</v>
          </cell>
          <cell r="K8" t="str">
            <v>FRESENIUS KABI</v>
          </cell>
          <cell r="L8" t="str">
            <v>LINK 8+ AGILIA/MOBILE STAND</v>
          </cell>
          <cell r="M8">
            <v>22235937</v>
          </cell>
          <cell r="N8" t="str">
            <v>PERUBATAN AM</v>
          </cell>
          <cell r="O8" t="str">
            <v>Wad Perubatan Perempuan 10B</v>
          </cell>
          <cell r="P8" t="str">
            <v>HM</v>
          </cell>
          <cell r="Q8">
            <v>7245</v>
          </cell>
        </row>
        <row r="9">
          <cell r="E9" t="str">
            <v>KKM/JKN/HSA/10-05-01/H/15/1235</v>
          </cell>
          <cell r="F9" t="str">
            <v>Therapeutic</v>
          </cell>
          <cell r="G9" t="str">
            <v>Intermediate</v>
          </cell>
          <cell r="H9" t="str">
            <v>Infusion Pumps, General-Purpose</v>
          </cell>
          <cell r="I9" t="str">
            <v>PUMP VOLUMETRIC INFUSION (STAND ALONE)</v>
          </cell>
          <cell r="J9" t="str">
            <v>13-215</v>
          </cell>
          <cell r="K9" t="str">
            <v>FRESENIUS KABI</v>
          </cell>
          <cell r="L9" t="str">
            <v>LINK 8+ AGILIA/MOBILE STAND</v>
          </cell>
          <cell r="M9">
            <v>22235929</v>
          </cell>
          <cell r="N9" t="str">
            <v>PERUBATAN AM</v>
          </cell>
          <cell r="O9" t="str">
            <v>Wad Perubatan Perempuan 10B</v>
          </cell>
          <cell r="P9" t="str">
            <v>HM</v>
          </cell>
          <cell r="Q9">
            <v>7245</v>
          </cell>
        </row>
        <row r="10">
          <cell r="E10" t="str">
            <v>KKM/JKN/HSA/10-05-01/H/15/1236</v>
          </cell>
          <cell r="F10" t="str">
            <v>Therapeutic</v>
          </cell>
          <cell r="G10" t="str">
            <v>Intermediate</v>
          </cell>
          <cell r="H10" t="str">
            <v>Infusion Pumps, General-Purpose</v>
          </cell>
          <cell r="I10" t="str">
            <v>PUMP VOLUMETRIC INFUSION (STAND ALONE)</v>
          </cell>
          <cell r="J10" t="str">
            <v>13-215</v>
          </cell>
          <cell r="K10" t="str">
            <v>FRESENIUS KABI</v>
          </cell>
          <cell r="L10" t="str">
            <v>LINK 8+ AGILIA/MOBILE STAND</v>
          </cell>
          <cell r="M10">
            <v>22235301</v>
          </cell>
          <cell r="N10" t="str">
            <v>PERUBATAN AM</v>
          </cell>
          <cell r="O10" t="str">
            <v>Wad Perubatan Perempuan 10B</v>
          </cell>
          <cell r="P10" t="str">
            <v>HM</v>
          </cell>
          <cell r="Q10">
            <v>7245</v>
          </cell>
        </row>
        <row r="11">
          <cell r="E11" t="str">
            <v>KKM/JKN/HSA/10-05-01/H/15/1237</v>
          </cell>
          <cell r="F11" t="str">
            <v>Therapeutic</v>
          </cell>
          <cell r="G11" t="str">
            <v>Intermediate</v>
          </cell>
          <cell r="H11" t="str">
            <v>Infusion Pumps, General-Purpose</v>
          </cell>
          <cell r="I11" t="str">
            <v>PUMP VOLUMETRIC INFUSION (STAND ALONE)</v>
          </cell>
          <cell r="J11" t="str">
            <v>13-215</v>
          </cell>
          <cell r="K11" t="str">
            <v>FRESENIUS KABI</v>
          </cell>
          <cell r="L11" t="str">
            <v>LINK 8+ AGILIA/MOBILE STAND</v>
          </cell>
          <cell r="M11">
            <v>22235302</v>
          </cell>
          <cell r="N11" t="str">
            <v>PERUBATAN AM</v>
          </cell>
          <cell r="O11" t="str">
            <v>Wad Perubatan Perempuan 10B</v>
          </cell>
          <cell r="P11" t="str">
            <v>HM</v>
          </cell>
          <cell r="Q11">
            <v>7245</v>
          </cell>
        </row>
        <row r="12">
          <cell r="E12" t="str">
            <v>KKM/JKN/HSA/10-05-01/H/15/1238</v>
          </cell>
          <cell r="F12" t="str">
            <v>Therapeutic</v>
          </cell>
          <cell r="G12" t="str">
            <v>Intermediate</v>
          </cell>
          <cell r="H12" t="str">
            <v>Infusion Pumps, General-Purpose</v>
          </cell>
          <cell r="I12" t="str">
            <v>PUMP VOLUMETRIC INFUSION (STAND ALONE)</v>
          </cell>
          <cell r="J12" t="str">
            <v>13-215</v>
          </cell>
          <cell r="K12" t="str">
            <v>FRESENIUS KABI</v>
          </cell>
          <cell r="L12" t="str">
            <v>LINK 8+ AGILIA/MOBILE STAND</v>
          </cell>
          <cell r="M12">
            <v>2235297</v>
          </cell>
          <cell r="N12" t="str">
            <v>PERUBATAN AM</v>
          </cell>
          <cell r="O12" t="str">
            <v>Wad Perubatan Perempuan 10B</v>
          </cell>
          <cell r="P12" t="str">
            <v>HM</v>
          </cell>
          <cell r="Q12">
            <v>7245</v>
          </cell>
        </row>
        <row r="13">
          <cell r="E13" t="str">
            <v>KKM/JKN/HSA/10-05-01/H/15/2243</v>
          </cell>
          <cell r="F13" t="str">
            <v>Therapeutic</v>
          </cell>
          <cell r="G13" t="str">
            <v>Intermediate</v>
          </cell>
          <cell r="H13" t="str">
            <v>Infusion Pumps, Syringe</v>
          </cell>
          <cell r="I13" t="str">
            <v>PUMP SYRINGE BASIC (STAND ALONE)</v>
          </cell>
          <cell r="J13" t="str">
            <v>13-217</v>
          </cell>
          <cell r="K13" t="str">
            <v>FRESENIUS KABI</v>
          </cell>
          <cell r="L13" t="str">
            <v>INJECTOMAT AGILIA</v>
          </cell>
          <cell r="M13">
            <v>22233924</v>
          </cell>
          <cell r="N13" t="str">
            <v>PERUBATAN AM</v>
          </cell>
          <cell r="O13" t="str">
            <v>Wad Perubatan Perempuan 10B</v>
          </cell>
          <cell r="P13" t="str">
            <v>HM</v>
          </cell>
          <cell r="Q13">
            <v>2700</v>
          </cell>
        </row>
        <row r="14">
          <cell r="E14" t="str">
            <v>KKM/JKN/HSA/10-05-01/H/15/2244</v>
          </cell>
          <cell r="F14" t="str">
            <v>Therapeutic</v>
          </cell>
          <cell r="G14" t="str">
            <v>Intermediate</v>
          </cell>
          <cell r="H14" t="str">
            <v>Infusion Pumps, Syringe</v>
          </cell>
          <cell r="I14" t="str">
            <v>PUMP SYRINGE BASIC (STAND ALONE)</v>
          </cell>
          <cell r="J14" t="str">
            <v>13-217</v>
          </cell>
          <cell r="K14" t="str">
            <v>FRESENIUS KABI</v>
          </cell>
          <cell r="L14" t="str">
            <v>INJECTOMAT AGILIA</v>
          </cell>
          <cell r="M14">
            <v>22233923</v>
          </cell>
          <cell r="N14" t="str">
            <v>PERUBATAN AM</v>
          </cell>
          <cell r="O14" t="str">
            <v>Wad Perubatan Perempuan 10B</v>
          </cell>
          <cell r="P14" t="str">
            <v>HM</v>
          </cell>
          <cell r="Q14">
            <v>2700</v>
          </cell>
        </row>
        <row r="15">
          <cell r="E15" t="str">
            <v>KKM/JKN/HSA/10-05-01/H/15/2245</v>
          </cell>
          <cell r="F15" t="str">
            <v>Therapeutic</v>
          </cell>
          <cell r="G15" t="str">
            <v>Intermediate</v>
          </cell>
          <cell r="H15" t="str">
            <v>Infusion Pumps, Syringe</v>
          </cell>
          <cell r="I15" t="str">
            <v>PUMP SYRINGE BASIC (STAND ALONE)</v>
          </cell>
          <cell r="J15" t="str">
            <v>13-217</v>
          </cell>
          <cell r="K15" t="str">
            <v>FRESENIUS KABI</v>
          </cell>
          <cell r="L15" t="str">
            <v>INJECTOMAT AGILIA</v>
          </cell>
          <cell r="M15">
            <v>22233925</v>
          </cell>
          <cell r="N15" t="str">
            <v>PERUBATAN AM</v>
          </cell>
          <cell r="O15" t="str">
            <v>Wad Perubatan Perempuan 10B</v>
          </cell>
          <cell r="P15" t="str">
            <v>HM</v>
          </cell>
          <cell r="Q15">
            <v>2700</v>
          </cell>
        </row>
        <row r="16">
          <cell r="E16" t="str">
            <v>KKM/JKN/HSA/10-05-01/H/15/2246</v>
          </cell>
          <cell r="F16" t="str">
            <v>Therapeutic</v>
          </cell>
          <cell r="G16" t="str">
            <v>Intermediate</v>
          </cell>
          <cell r="H16" t="str">
            <v>Infusion Pumps, Syringe</v>
          </cell>
          <cell r="I16" t="str">
            <v>PUMP SYRINGE BASIC (STAND ALONE)</v>
          </cell>
          <cell r="J16" t="str">
            <v>13-217</v>
          </cell>
          <cell r="K16" t="str">
            <v>FRESENIUS KABI</v>
          </cell>
          <cell r="L16" t="str">
            <v>INJECTOMAT AGILIA</v>
          </cell>
          <cell r="M16">
            <v>22233927</v>
          </cell>
          <cell r="N16" t="str">
            <v>PERUBATAN AM</v>
          </cell>
          <cell r="O16" t="str">
            <v>Wad Perubatan Perempuan 10B</v>
          </cell>
          <cell r="P16" t="str">
            <v>HM</v>
          </cell>
          <cell r="Q16">
            <v>2700</v>
          </cell>
        </row>
        <row r="17">
          <cell r="E17" t="str">
            <v>KKM/JKN/HSA/10-05-01/H/15/2247</v>
          </cell>
          <cell r="F17" t="str">
            <v>Therapeutic</v>
          </cell>
          <cell r="G17" t="str">
            <v>Intermediate</v>
          </cell>
          <cell r="H17" t="str">
            <v>Infusion Pumps, Syringe</v>
          </cell>
          <cell r="I17" t="str">
            <v>PUMP SYRINGE BASIC (STAND ALONE)</v>
          </cell>
          <cell r="J17" t="str">
            <v>13-217</v>
          </cell>
          <cell r="K17" t="str">
            <v>FRESENIUS KABI</v>
          </cell>
          <cell r="L17" t="str">
            <v>INJECTOMAT AGILIA</v>
          </cell>
          <cell r="M17">
            <v>22233928</v>
          </cell>
          <cell r="N17" t="str">
            <v>PERUBATAN AM</v>
          </cell>
          <cell r="O17" t="str">
            <v>Wad Perubatan Perempuan 10B</v>
          </cell>
          <cell r="P17" t="str">
            <v>HM</v>
          </cell>
          <cell r="Q17">
            <v>2700</v>
          </cell>
        </row>
        <row r="18">
          <cell r="E18" t="str">
            <v>KKM/JKN/HSA/10-05-01/H/15/977</v>
          </cell>
          <cell r="F18" t="str">
            <v xml:space="preserve">Diagnostic </v>
          </cell>
          <cell r="G18" t="str">
            <v>Intermediate</v>
          </cell>
          <cell r="H18" t="str">
            <v>Oximeters, Pulse</v>
          </cell>
          <cell r="I18" t="str">
            <v>OXIMETER PULSE</v>
          </cell>
          <cell r="J18" t="str">
            <v>17-148</v>
          </cell>
          <cell r="K18" t="str">
            <v>GE HEALTHCARE</v>
          </cell>
          <cell r="L18" t="str">
            <v xml:space="preserve"> TRUST PULSE OXIMETER</v>
          </cell>
          <cell r="M18" t="str">
            <v>SNFCC14250149SA</v>
          </cell>
          <cell r="N18" t="str">
            <v>PERUBATAN AM</v>
          </cell>
          <cell r="O18" t="str">
            <v>Wad Perubatan Perempuan 10B</v>
          </cell>
          <cell r="P18" t="str">
            <v>HM</v>
          </cell>
          <cell r="Q18">
            <v>4000</v>
          </cell>
        </row>
        <row r="19">
          <cell r="E19" t="str">
            <v>KKM/JKN/HSA/10-05-01/R/15/16179</v>
          </cell>
          <cell r="F19" t="str">
            <v>Therapeutic</v>
          </cell>
          <cell r="G19" t="str">
            <v>Basic</v>
          </cell>
          <cell r="H19" t="str">
            <v>Nebulizers, Heated</v>
          </cell>
          <cell r="I19" t="str">
            <v>NEBULISER</v>
          </cell>
          <cell r="J19" t="str">
            <v>12-716</v>
          </cell>
          <cell r="K19" t="str">
            <v>PHILIPS</v>
          </cell>
          <cell r="L19" t="str">
            <v xml:space="preserve"> INNOSPIRE DELUXE</v>
          </cell>
          <cell r="M19"/>
          <cell r="N19" t="str">
            <v>PERUBATAN AM</v>
          </cell>
          <cell r="O19" t="str">
            <v>Wad Perubatan Perempuan 10B</v>
          </cell>
          <cell r="P19" t="str">
            <v>ABR</v>
          </cell>
          <cell r="Q19">
            <v>1950</v>
          </cell>
        </row>
        <row r="20">
          <cell r="E20" t="str">
            <v>KKM/JKN/HSA/10-05-01/R/15/16180</v>
          </cell>
          <cell r="F20" t="str">
            <v>Therapeutic</v>
          </cell>
          <cell r="G20" t="str">
            <v>Basic</v>
          </cell>
          <cell r="H20" t="str">
            <v>Nebulizers, Heated</v>
          </cell>
          <cell r="I20" t="str">
            <v>NEBULISER</v>
          </cell>
          <cell r="J20" t="str">
            <v>12-716</v>
          </cell>
          <cell r="K20" t="str">
            <v>PHILIPS</v>
          </cell>
          <cell r="L20" t="str">
            <v xml:space="preserve"> INNOSPIRE DELUXE</v>
          </cell>
          <cell r="M20"/>
          <cell r="N20" t="str">
            <v>PERUBATAN AM</v>
          </cell>
          <cell r="O20" t="str">
            <v>Wad Perubatan Perempuan 10B</v>
          </cell>
          <cell r="P20" t="str">
            <v>ABR</v>
          </cell>
          <cell r="Q20">
            <v>1950</v>
          </cell>
        </row>
        <row r="21">
          <cell r="E21" t="str">
            <v>KKM/JKN/HSA/10-05-01/R/15/16181</v>
          </cell>
          <cell r="F21" t="str">
            <v>Therapeutic</v>
          </cell>
          <cell r="G21" t="str">
            <v>Basic</v>
          </cell>
          <cell r="H21" t="str">
            <v>Nebulizers, Heated</v>
          </cell>
          <cell r="I21" t="str">
            <v>NEBULISER</v>
          </cell>
          <cell r="J21" t="str">
            <v>12-716</v>
          </cell>
          <cell r="K21" t="str">
            <v>PHILIPS</v>
          </cell>
          <cell r="L21" t="str">
            <v xml:space="preserve"> INNOSPIRE DELUXE</v>
          </cell>
          <cell r="M21"/>
          <cell r="N21" t="str">
            <v>PERUBATAN AM</v>
          </cell>
          <cell r="O21" t="str">
            <v>Wad Perubatan Perempuan 10B</v>
          </cell>
          <cell r="P21" t="str">
            <v>ABR</v>
          </cell>
          <cell r="Q21">
            <v>1950</v>
          </cell>
        </row>
        <row r="22">
          <cell r="E22" t="str">
            <v>KKM/JKN/HSA/10-05-01/R/15/16182</v>
          </cell>
          <cell r="F22" t="str">
            <v>Therapeutic</v>
          </cell>
          <cell r="G22" t="str">
            <v>Basic</v>
          </cell>
          <cell r="H22" t="str">
            <v>Nebulizers, Heated</v>
          </cell>
          <cell r="I22" t="str">
            <v>NEBULISER</v>
          </cell>
          <cell r="J22" t="str">
            <v>12-716</v>
          </cell>
          <cell r="K22" t="str">
            <v>PHILIPS</v>
          </cell>
          <cell r="L22" t="str">
            <v xml:space="preserve"> INNOSPIRE DELUXE</v>
          </cell>
          <cell r="M22"/>
          <cell r="N22" t="str">
            <v>PERUBATAN AM</v>
          </cell>
          <cell r="O22" t="str">
            <v>Wad Perubatan Perempuan 10B</v>
          </cell>
          <cell r="P22" t="str">
            <v>ABR</v>
          </cell>
          <cell r="Q22">
            <v>1950</v>
          </cell>
        </row>
        <row r="23">
          <cell r="E23" t="str">
            <v>KKM/JKN/HSA/10-05-01/R/15/16183</v>
          </cell>
          <cell r="F23" t="str">
            <v>Therapeutic</v>
          </cell>
          <cell r="G23" t="str">
            <v>Basic</v>
          </cell>
          <cell r="H23" t="str">
            <v>Nebulizers, Heated</v>
          </cell>
          <cell r="I23" t="str">
            <v>NEBULISER</v>
          </cell>
          <cell r="J23" t="str">
            <v>12-716</v>
          </cell>
          <cell r="K23" t="str">
            <v>PHILIPS</v>
          </cell>
          <cell r="L23" t="str">
            <v xml:space="preserve"> INNOSPIRE DELUXE</v>
          </cell>
          <cell r="M23"/>
          <cell r="N23" t="str">
            <v>PERUBATAN AM</v>
          </cell>
          <cell r="O23" t="str">
            <v>Wad Perubatan Perempuan 10B</v>
          </cell>
          <cell r="P23" t="str">
            <v>ABR</v>
          </cell>
          <cell r="Q23">
            <v>1950</v>
          </cell>
        </row>
        <row r="24">
          <cell r="E24" t="str">
            <v>KKM/JKN/HSA/10-05-01/H/15/1601</v>
          </cell>
          <cell r="F24" t="str">
            <v xml:space="preserve">Diagnostic </v>
          </cell>
          <cell r="G24" t="str">
            <v>Intermediate</v>
          </cell>
          <cell r="H24" t="str">
            <v>Monitors, Physiologic, Vital Signs</v>
          </cell>
          <cell r="I24" t="str">
            <v>MONITOR NIBP/TEMP</v>
          </cell>
          <cell r="J24" t="str">
            <v>25-209</v>
          </cell>
          <cell r="K24" t="str">
            <v>WELCH ALLYN</v>
          </cell>
          <cell r="L24" t="str">
            <v>WELCH ALLYN VSM 300</v>
          </cell>
          <cell r="M24" t="str">
            <v>JA 123452</v>
          </cell>
          <cell r="N24" t="str">
            <v>PERUBATAN AM</v>
          </cell>
          <cell r="O24" t="str">
            <v>Wad Perubatan Perempuan 10B</v>
          </cell>
          <cell r="P24" t="str">
            <v>HM</v>
          </cell>
          <cell r="Q24">
            <v>4355</v>
          </cell>
        </row>
        <row r="25">
          <cell r="E25" t="str">
            <v>KKM/JKN/HSA/10-05-01/H/15/1028</v>
          </cell>
          <cell r="F25" t="str">
            <v xml:space="preserve">Diagnostic </v>
          </cell>
          <cell r="G25" t="str">
            <v>Intermediate</v>
          </cell>
          <cell r="H25" t="str">
            <v>Monitors, Physiologic, Vital Signs</v>
          </cell>
          <cell r="I25" t="str">
            <v>MONITOR NIBP/SP02</v>
          </cell>
          <cell r="J25" t="str">
            <v>25-209</v>
          </cell>
          <cell r="K25" t="str">
            <v>WELCH ALLYN</v>
          </cell>
          <cell r="L25" t="str">
            <v>WELCH ALLYN VSM 300</v>
          </cell>
          <cell r="M25" t="str">
            <v>JA123475</v>
          </cell>
          <cell r="N25" t="str">
            <v>PERUBATAN AM</v>
          </cell>
          <cell r="O25" t="str">
            <v>Wad Perubatan Perempuan 10B</v>
          </cell>
          <cell r="P25" t="str">
            <v>HM</v>
          </cell>
          <cell r="Q25">
            <v>5185</v>
          </cell>
        </row>
        <row r="26">
          <cell r="E26" t="str">
            <v>KKM/JKN/HSA/10-05-01/H/15/2134</v>
          </cell>
          <cell r="F26" t="str">
            <v xml:space="preserve">Diagnostic </v>
          </cell>
          <cell r="G26" t="str">
            <v>Intermediate</v>
          </cell>
          <cell r="H26" t="str">
            <v>Physiologic Monitoring Systems, Acute Care</v>
          </cell>
          <cell r="I26" t="str">
            <v>MONITOR 4 CH, ECG/RR/NIBP/SP02/TEMP</v>
          </cell>
          <cell r="J26" t="str">
            <v>12-647</v>
          </cell>
          <cell r="K26" t="str">
            <v>MINDRAY</v>
          </cell>
          <cell r="L26" t="str">
            <v>IMEC 12</v>
          </cell>
          <cell r="M26" t="str">
            <v>EV-45011637</v>
          </cell>
          <cell r="N26" t="str">
            <v>PERUBATAN AM</v>
          </cell>
          <cell r="O26" t="str">
            <v>Wad Perubatan Perempuan 10B</v>
          </cell>
          <cell r="P26" t="str">
            <v>HM</v>
          </cell>
          <cell r="Q26">
            <v>9000</v>
          </cell>
        </row>
        <row r="27">
          <cell r="E27" t="str">
            <v>KKM/JKN/HSA/10-05-01/H/15/2135</v>
          </cell>
          <cell r="F27" t="str">
            <v xml:space="preserve">Diagnostic </v>
          </cell>
          <cell r="G27" t="str">
            <v>Intermediate</v>
          </cell>
          <cell r="H27" t="str">
            <v>Physiologic Monitoring Systems, Acute Care</v>
          </cell>
          <cell r="I27" t="str">
            <v>MONITOR 4 CH, ECG/RR/NIBP/SP02/TEMP</v>
          </cell>
          <cell r="J27" t="str">
            <v>12-647</v>
          </cell>
          <cell r="K27" t="str">
            <v>MINDRAY</v>
          </cell>
          <cell r="L27" t="str">
            <v>IMEC 12</v>
          </cell>
          <cell r="M27" t="str">
            <v>EV-45011638</v>
          </cell>
          <cell r="N27" t="str">
            <v>PERUBATAN AM</v>
          </cell>
          <cell r="O27" t="str">
            <v>Wad Perubatan Perempuan 10B</v>
          </cell>
          <cell r="P27" t="str">
            <v>HM</v>
          </cell>
          <cell r="Q27">
            <v>9000</v>
          </cell>
        </row>
        <row r="28">
          <cell r="E28" t="str">
            <v>KKM/JKN/HSA/10-05-01/H/15/573</v>
          </cell>
          <cell r="F28" t="str">
            <v xml:space="preserve">Diagnostic </v>
          </cell>
          <cell r="G28" t="str">
            <v>Intermediate</v>
          </cell>
          <cell r="H28" t="str">
            <v>Electrocardiographs, Multichannel, Interpretative</v>
          </cell>
          <cell r="I28" t="str">
            <v>ECG RECORDER</v>
          </cell>
          <cell r="J28" t="str">
            <v>16-231</v>
          </cell>
          <cell r="K28" t="str">
            <v>GE HEALTHCARE</v>
          </cell>
          <cell r="L28" t="str">
            <v>MAC 1200</v>
          </cell>
          <cell r="M28">
            <v>550061832</v>
          </cell>
          <cell r="N28" t="str">
            <v>PERUBATAN AM</v>
          </cell>
          <cell r="O28" t="str">
            <v>Wad Perubatan Perempuan 10B</v>
          </cell>
          <cell r="P28" t="str">
            <v>HM</v>
          </cell>
          <cell r="Q28">
            <v>10000</v>
          </cell>
        </row>
        <row r="29">
          <cell r="E29" t="str">
            <v>KKM/JKN/HSA/10-05-01/R/15/7395</v>
          </cell>
          <cell r="F29" t="str">
            <v xml:space="preserve">Diagnostic </v>
          </cell>
          <cell r="G29" t="str">
            <v>Basic</v>
          </cell>
          <cell r="H29" t="str">
            <v>Ophthalmoscopes/Otoscopes</v>
          </cell>
          <cell r="I29" t="str">
            <v>DIAGNOSTIC SET ADULT</v>
          </cell>
          <cell r="J29" t="str">
            <v>18-595</v>
          </cell>
          <cell r="K29" t="str">
            <v>RUDOLF RIESTER, GMBH</v>
          </cell>
          <cell r="L29" t="str">
            <v>RI-SCOPE ENT 3761</v>
          </cell>
          <cell r="M29"/>
          <cell r="N29" t="str">
            <v>PERUBATAN AM</v>
          </cell>
          <cell r="O29" t="str">
            <v>Wad Perubatan Perempuan 10B</v>
          </cell>
          <cell r="P29" t="str">
            <v>ABR</v>
          </cell>
          <cell r="Q29">
            <v>1459.33</v>
          </cell>
        </row>
        <row r="30">
          <cell r="E30" t="str">
            <v>KKM/JKN/HSA/10-05-01/R/15/7396</v>
          </cell>
          <cell r="F30" t="str">
            <v xml:space="preserve">Diagnostic </v>
          </cell>
          <cell r="G30" t="str">
            <v>Basic</v>
          </cell>
          <cell r="H30" t="str">
            <v>Ophthalmoscopes/Otoscopes</v>
          </cell>
          <cell r="I30" t="str">
            <v>DIAGNOSTIC SET ADULT</v>
          </cell>
          <cell r="J30" t="str">
            <v>18-595</v>
          </cell>
          <cell r="K30" t="str">
            <v>RUDOLF RIESTER, GMBH</v>
          </cell>
          <cell r="L30" t="str">
            <v>RI-SCOPE ENT 3761</v>
          </cell>
          <cell r="M30"/>
          <cell r="N30" t="str">
            <v>PERUBATAN AM</v>
          </cell>
          <cell r="O30" t="str">
            <v>Wad Perubatan Perempuan 10B</v>
          </cell>
          <cell r="P30" t="str">
            <v>ABR</v>
          </cell>
          <cell r="Q30">
            <v>1459.33</v>
          </cell>
        </row>
        <row r="31">
          <cell r="E31" t="str">
            <v>KKM/JKN/HSA/10-05-01/R/15/7397</v>
          </cell>
          <cell r="F31" t="str">
            <v xml:space="preserve">Diagnostic </v>
          </cell>
          <cell r="G31" t="str">
            <v>Basic</v>
          </cell>
          <cell r="H31" t="str">
            <v>Ophthalmoscopes/Otoscopes</v>
          </cell>
          <cell r="I31" t="str">
            <v>DIAGNOSTIC SET ADULT</v>
          </cell>
          <cell r="J31" t="str">
            <v>18-595</v>
          </cell>
          <cell r="K31" t="str">
            <v>RUDOLF RIESTER, GMBH</v>
          </cell>
          <cell r="L31" t="str">
            <v>RI-SCOPE ENT 3761</v>
          </cell>
          <cell r="M31"/>
          <cell r="N31" t="str">
            <v>PERUBATAN AM</v>
          </cell>
          <cell r="O31" t="str">
            <v>Wad Perubatan Perempuan 10B</v>
          </cell>
          <cell r="P31" t="str">
            <v>ABR</v>
          </cell>
          <cell r="Q31">
            <v>1459.33</v>
          </cell>
        </row>
        <row r="32">
          <cell r="E32" t="str">
            <v>KKM/JKN/HSA/10-05-01/H/15/3666</v>
          </cell>
          <cell r="F32" t="str">
            <v>Therapeutic</v>
          </cell>
          <cell r="G32" t="str">
            <v>Intermediate</v>
          </cell>
          <cell r="H32" t="str">
            <v xml:space="preserve">Defibrillators, External, Automated </v>
          </cell>
          <cell r="I32" t="str">
            <v>DEFIBRILLATOR W/INTERNAL/EXT PADDLES/PACEMAKER</v>
          </cell>
          <cell r="J32" t="str">
            <v>17-116</v>
          </cell>
          <cell r="K32" t="str">
            <v>PHILIPS</v>
          </cell>
          <cell r="L32" t="str">
            <v>EFFICIA DFM100</v>
          </cell>
          <cell r="M32"/>
          <cell r="N32" t="str">
            <v xml:space="preserve">PERUBATAN AM </v>
          </cell>
          <cell r="O32" t="str">
            <v>Wad Perubatan Perempuan 10B</v>
          </cell>
          <cell r="P32" t="str">
            <v>HM</v>
          </cell>
          <cell r="Q32">
            <v>14250</v>
          </cell>
        </row>
        <row r="33">
          <cell r="E33" t="str">
            <v>KKM/JKN/HSA/10-05-01/R/15/7150</v>
          </cell>
          <cell r="F33" t="str">
            <v xml:space="preserve">Diagnostic </v>
          </cell>
          <cell r="G33" t="str">
            <v>Intermediate</v>
          </cell>
          <cell r="H33" t="str">
            <v>Monitors, Physiologic, Vital Signs</v>
          </cell>
          <cell r="I33" t="str">
            <v>BLOOD PRESSURE MONITOR NON INVASIVE</v>
          </cell>
          <cell r="J33" t="str">
            <v>25-209</v>
          </cell>
          <cell r="K33" t="str">
            <v>WELCH ALLYN</v>
          </cell>
          <cell r="L33" t="str">
            <v>VSM 300</v>
          </cell>
          <cell r="M33"/>
          <cell r="N33" t="str">
            <v>PERUBATAN AM</v>
          </cell>
          <cell r="O33" t="str">
            <v>Wad Perubatan Perempuan 10B</v>
          </cell>
          <cell r="P33" t="str">
            <v>ABR</v>
          </cell>
          <cell r="Q33">
            <v>1855</v>
          </cell>
        </row>
        <row r="34">
          <cell r="E34" t="str">
            <v>KKM/JKN/HSA/10-05-01/H/15/2154</v>
          </cell>
          <cell r="F34" t="str">
            <v>Therapeutic</v>
          </cell>
          <cell r="G34" t="str">
            <v>Basic</v>
          </cell>
          <cell r="H34" t="str">
            <v>Aspirators</v>
          </cell>
          <cell r="I34" t="str">
            <v>SUCTION UNIT 1 X 2L JAR MOBILE</v>
          </cell>
          <cell r="J34" t="str">
            <v>10-208</v>
          </cell>
          <cell r="K34" t="str">
            <v>GIMA</v>
          </cell>
          <cell r="L34">
            <v>28212</v>
          </cell>
          <cell r="M34">
            <v>5912</v>
          </cell>
          <cell r="N34" t="str">
            <v>PERUBATAN AM</v>
          </cell>
          <cell r="O34" t="str">
            <v>Wad Perubatan Lelaki 10A</v>
          </cell>
          <cell r="P34" t="str">
            <v>HM</v>
          </cell>
          <cell r="Q34">
            <v>3386.5</v>
          </cell>
        </row>
        <row r="35">
          <cell r="E35" t="str">
            <v>KKM/JKN/HSA/10-05-01/H/15/2155</v>
          </cell>
          <cell r="F35" t="str">
            <v>Therapeutic</v>
          </cell>
          <cell r="G35" t="str">
            <v>Basic</v>
          </cell>
          <cell r="H35" t="str">
            <v>Aspirators</v>
          </cell>
          <cell r="I35" t="str">
            <v>SUCTION UNIT 1 X 2L JAR MOBILE</v>
          </cell>
          <cell r="J35" t="str">
            <v>10-208</v>
          </cell>
          <cell r="K35" t="str">
            <v>GIMA</v>
          </cell>
          <cell r="L35">
            <v>28212</v>
          </cell>
          <cell r="M35">
            <v>5913</v>
          </cell>
          <cell r="N35" t="str">
            <v>PERUBATAN AM</v>
          </cell>
          <cell r="O35" t="str">
            <v>Wad Perubatan Lelaki 10A</v>
          </cell>
          <cell r="P35" t="str">
            <v>HM</v>
          </cell>
          <cell r="Q35">
            <v>3386.5</v>
          </cell>
        </row>
        <row r="36">
          <cell r="E36" t="str">
            <v>KKM/JKN/HSA/10-05-01/H/15/2162</v>
          </cell>
          <cell r="F36" t="str">
            <v>Therapeutic</v>
          </cell>
          <cell r="G36" t="str">
            <v>Basic</v>
          </cell>
          <cell r="H36" t="str">
            <v>Aspirators</v>
          </cell>
          <cell r="I36" t="str">
            <v>SUCTION UNIT 1 X 2L JAR MOBILE</v>
          </cell>
          <cell r="J36" t="str">
            <v>10-208</v>
          </cell>
          <cell r="K36" t="str">
            <v>GIMA</v>
          </cell>
          <cell r="L36">
            <v>28212</v>
          </cell>
          <cell r="M36">
            <v>5914</v>
          </cell>
          <cell r="N36" t="str">
            <v>PERUBATAN AM</v>
          </cell>
          <cell r="O36" t="str">
            <v>Wad Perubatan Lelaki 10A</v>
          </cell>
          <cell r="P36" t="str">
            <v>HM</v>
          </cell>
          <cell r="Q36">
            <v>3386.5</v>
          </cell>
        </row>
        <row r="37">
          <cell r="E37" t="str">
            <v>KKM/JKN/HSA/10-05-01/H/15/2791</v>
          </cell>
          <cell r="F37" t="str">
            <v>Therapeutic</v>
          </cell>
          <cell r="G37" t="str">
            <v>Basic</v>
          </cell>
          <cell r="H37" t="str">
            <v>Mattress Systems, Alternating-Pressure</v>
          </cell>
          <cell r="I37" t="str">
            <v>RIPPLE MATTRESS W/MOTOR</v>
          </cell>
          <cell r="J37" t="str">
            <v>18-147</v>
          </cell>
          <cell r="K37" t="str">
            <v>BANTEX</v>
          </cell>
          <cell r="L37" t="str">
            <v>APM-5000-G</v>
          </cell>
          <cell r="M37" t="str">
            <v>SN E2141104997</v>
          </cell>
          <cell r="N37" t="str">
            <v>ANESTESIOLOGI</v>
          </cell>
          <cell r="O37" t="str">
            <v>Wad Perubatan Lelaki 10A</v>
          </cell>
          <cell r="P37" t="str">
            <v>HM</v>
          </cell>
          <cell r="Q37">
            <v>2800</v>
          </cell>
        </row>
        <row r="38">
          <cell r="E38" t="str">
            <v>KKM/JKN/HSA/10-05-01/H/15/2792</v>
          </cell>
          <cell r="F38" t="str">
            <v>Therapeutic</v>
          </cell>
          <cell r="G38" t="str">
            <v>Basic</v>
          </cell>
          <cell r="H38" t="str">
            <v>Mattress Systems, Alternating-Pressure</v>
          </cell>
          <cell r="I38" t="str">
            <v>RIPPLE MATTRESS W/MOTOR</v>
          </cell>
          <cell r="J38" t="str">
            <v>18-147</v>
          </cell>
          <cell r="K38" t="str">
            <v>BANTEX</v>
          </cell>
          <cell r="L38" t="str">
            <v>APM-5000-G</v>
          </cell>
          <cell r="M38" t="str">
            <v>SN E2141105001</v>
          </cell>
          <cell r="N38" t="str">
            <v>PERUBATAN AM</v>
          </cell>
          <cell r="O38" t="str">
            <v>Wad Perubatan Lelaki 10A</v>
          </cell>
          <cell r="P38" t="str">
            <v>HM</v>
          </cell>
          <cell r="Q38">
            <v>2800</v>
          </cell>
        </row>
        <row r="39">
          <cell r="E39" t="str">
            <v>KKM/JKN/HSA/10-05-01/H/15/1225</v>
          </cell>
          <cell r="F39" t="str">
            <v>Therapeutic</v>
          </cell>
          <cell r="G39" t="str">
            <v>Intermediate</v>
          </cell>
          <cell r="H39" t="str">
            <v>Infusion Pumps, General-Purpose</v>
          </cell>
          <cell r="I39" t="str">
            <v>PUMP VOLUMETRIC INFUSION (STAND ALONE)</v>
          </cell>
          <cell r="J39" t="str">
            <v>13-215</v>
          </cell>
          <cell r="K39" t="str">
            <v>FRESENIUS KABI</v>
          </cell>
          <cell r="L39" t="str">
            <v>LINK 8+ AGILIA/MOBILE STAND</v>
          </cell>
          <cell r="M39" t="str">
            <v>019130/22170854</v>
          </cell>
          <cell r="N39" t="str">
            <v>PERUBATAN AM</v>
          </cell>
          <cell r="O39" t="str">
            <v>Wad Perubatan Lelaki 10A</v>
          </cell>
          <cell r="P39" t="str">
            <v>HM</v>
          </cell>
          <cell r="Q39">
            <v>7245</v>
          </cell>
        </row>
        <row r="40">
          <cell r="E40" t="str">
            <v>KKM/JKN/HSA/10-05-01/H/15/1226</v>
          </cell>
          <cell r="F40" t="str">
            <v>Therapeutic</v>
          </cell>
          <cell r="G40" t="str">
            <v>Intermediate</v>
          </cell>
          <cell r="H40" t="str">
            <v>Infusion Pumps, General-Purpose</v>
          </cell>
          <cell r="I40" t="str">
            <v>PUMP VOLUMETRIC INFUSION (STAND ALONE)</v>
          </cell>
          <cell r="J40" t="str">
            <v>13-215</v>
          </cell>
          <cell r="K40" t="str">
            <v>FRESENIUS KABI</v>
          </cell>
          <cell r="L40" t="str">
            <v>LINK 8+ AGILIA/MOBILE STAND</v>
          </cell>
          <cell r="M40" t="str">
            <v>019130/22170238</v>
          </cell>
          <cell r="N40" t="str">
            <v>PERUBATAN AM</v>
          </cell>
          <cell r="O40" t="str">
            <v>Wad Perubatan Lelaki 10A</v>
          </cell>
          <cell r="P40" t="str">
            <v>HM</v>
          </cell>
          <cell r="Q40">
            <v>7245</v>
          </cell>
        </row>
        <row r="41">
          <cell r="E41" t="str">
            <v>KKM/JKN/HSA/10-05-01/H/15/1227</v>
          </cell>
          <cell r="F41" t="str">
            <v>Therapeutic</v>
          </cell>
          <cell r="G41" t="str">
            <v>Intermediate</v>
          </cell>
          <cell r="H41" t="str">
            <v>Infusion Pumps, General-PurP0se</v>
          </cell>
          <cell r="I41" t="str">
            <v>PUMP VOLUMETRIC INFUSION (STAND ALONE)</v>
          </cell>
          <cell r="J41" t="str">
            <v>13-215</v>
          </cell>
          <cell r="K41" t="str">
            <v>FRESENIUS KABI</v>
          </cell>
          <cell r="L41" t="str">
            <v>LINK 8+ AGILIA/MOBILE STAND</v>
          </cell>
          <cell r="M41" t="str">
            <v>019130/22235950</v>
          </cell>
          <cell r="N41" t="str">
            <v>PERUBATAN AM</v>
          </cell>
          <cell r="O41" t="str">
            <v>Wad Perubatan Lelaki 10A</v>
          </cell>
          <cell r="P41" t="str">
            <v>HM</v>
          </cell>
          <cell r="Q41">
            <v>7245</v>
          </cell>
        </row>
        <row r="42">
          <cell r="E42" t="str">
            <v>KKM/JKN/HSA/10-05-01/H/15/1228</v>
          </cell>
          <cell r="F42" t="str">
            <v>Therapeutic</v>
          </cell>
          <cell r="G42" t="str">
            <v>Intermediate</v>
          </cell>
          <cell r="H42" t="str">
            <v>Infusion Pumps, General-Purpose</v>
          </cell>
          <cell r="I42" t="str">
            <v>PUMP VOLUMETRIC INFUSION (STAND ALONE)</v>
          </cell>
          <cell r="J42" t="str">
            <v>13-215</v>
          </cell>
          <cell r="K42" t="str">
            <v>FRESENIUS KABI</v>
          </cell>
          <cell r="L42" t="str">
            <v>LINK 8+ AGILIA/MOBILE STAND</v>
          </cell>
          <cell r="M42" t="str">
            <v>019130/22235959</v>
          </cell>
          <cell r="N42" t="str">
            <v>PERUBATAN AM</v>
          </cell>
          <cell r="O42" t="str">
            <v>Wad Perubatan Lelaki 10A</v>
          </cell>
          <cell r="P42" t="str">
            <v>HM</v>
          </cell>
          <cell r="Q42">
            <v>7245</v>
          </cell>
        </row>
        <row r="43">
          <cell r="E43" t="str">
            <v>KKM/JKN/HSA/10-05-01/H/15/1229</v>
          </cell>
          <cell r="F43" t="str">
            <v>Therapeutic</v>
          </cell>
          <cell r="G43" t="str">
            <v>Intermediate</v>
          </cell>
          <cell r="H43" t="str">
            <v>Infusion Pumps, General-Purpose</v>
          </cell>
          <cell r="I43" t="str">
            <v>PUMP VOLUMETRIC INFUSION (STAND ALONE)</v>
          </cell>
          <cell r="J43" t="str">
            <v>13-215</v>
          </cell>
          <cell r="K43" t="str">
            <v>FRESENIUS KABI</v>
          </cell>
          <cell r="L43" t="str">
            <v>LINK 8+ AGILIA/MOBILE STAND</v>
          </cell>
          <cell r="M43" t="str">
            <v>019130/22170890</v>
          </cell>
          <cell r="N43" t="str">
            <v>PERUBATAN AM</v>
          </cell>
          <cell r="O43" t="str">
            <v>Wad Perubatan Lelaki 10A</v>
          </cell>
          <cell r="P43" t="str">
            <v>HM</v>
          </cell>
          <cell r="Q43">
            <v>7245</v>
          </cell>
        </row>
        <row r="44">
          <cell r="E44" t="str">
            <v>KKM/JKN/HSA/10-05-01/H/15/1230</v>
          </cell>
          <cell r="F44" t="str">
            <v>Therapeutic</v>
          </cell>
          <cell r="G44" t="str">
            <v>Intermediate</v>
          </cell>
          <cell r="H44" t="str">
            <v>Infusion Pumps, General-Purpose</v>
          </cell>
          <cell r="I44" t="str">
            <v>PUMP VOLUMETRIC INFUSION (STAND ALONE)</v>
          </cell>
          <cell r="J44" t="str">
            <v>13-215</v>
          </cell>
          <cell r="K44" t="str">
            <v>FRESENIUS KABI</v>
          </cell>
          <cell r="L44" t="str">
            <v>LINK 8+ AGILIA/MOBILE STAND</v>
          </cell>
          <cell r="M44" t="str">
            <v>019130/22235943</v>
          </cell>
          <cell r="N44" t="str">
            <v>PERUBATAN AM</v>
          </cell>
          <cell r="O44" t="str">
            <v>Wad Perubatan Lelaki 10A</v>
          </cell>
          <cell r="P44" t="str">
            <v>HM</v>
          </cell>
          <cell r="Q44">
            <v>7245</v>
          </cell>
        </row>
        <row r="45">
          <cell r="E45" t="str">
            <v>KKM/JKN/HSA/10-05-01/H/15/1231</v>
          </cell>
          <cell r="F45" t="str">
            <v>Therapeutic</v>
          </cell>
          <cell r="G45" t="str">
            <v>Intermediate</v>
          </cell>
          <cell r="H45" t="str">
            <v>Infusion Pumps, General-Purpose</v>
          </cell>
          <cell r="I45" t="str">
            <v>PUMP VOLUMETRIC INFUSION (STAND ALONE)</v>
          </cell>
          <cell r="J45" t="str">
            <v>13-215</v>
          </cell>
          <cell r="K45" t="str">
            <v>FRESENIUS KABI</v>
          </cell>
          <cell r="L45" t="str">
            <v>LINK 8+ AGILIA/MOBILE STAND</v>
          </cell>
          <cell r="M45" t="str">
            <v>019130/22235953</v>
          </cell>
          <cell r="N45" t="str">
            <v>PERUBATAN AM</v>
          </cell>
          <cell r="O45" t="str">
            <v>Wad Perubatan Lelaki 10A</v>
          </cell>
          <cell r="P45" t="str">
            <v>HM</v>
          </cell>
          <cell r="Q45">
            <v>7245</v>
          </cell>
        </row>
        <row r="46">
          <cell r="E46" t="str">
            <v>KKM/JKN/HSA/10-05-01/H/15/4251</v>
          </cell>
          <cell r="F46" t="str">
            <v>Therapeutic</v>
          </cell>
          <cell r="G46" t="str">
            <v>Intermediate</v>
          </cell>
          <cell r="H46" t="str">
            <v>Infusion Pumps, General-Purpose</v>
          </cell>
          <cell r="I46" t="str">
            <v>PUMP VOLUMETRIC INFUSION (STAND ALONE)</v>
          </cell>
          <cell r="J46" t="str">
            <v>13-215</v>
          </cell>
          <cell r="K46" t="str">
            <v>FRESENIUS KABI</v>
          </cell>
          <cell r="L46" t="str">
            <v>LINK 8+ AGILIA/MOBILE STAND</v>
          </cell>
          <cell r="M46" t="str">
            <v>019130/2217024</v>
          </cell>
          <cell r="N46" t="str">
            <v>PERUBATAN AM</v>
          </cell>
          <cell r="O46" t="str">
            <v>Wad Perubatan Lelaki 10A</v>
          </cell>
          <cell r="P46" t="str">
            <v>HM</v>
          </cell>
          <cell r="Q46">
            <v>7245</v>
          </cell>
        </row>
        <row r="47">
          <cell r="E47" t="str">
            <v>KKM/JKN/HSA/10-05-01/H/15/2238</v>
          </cell>
          <cell r="F47" t="str">
            <v>Therapeutic</v>
          </cell>
          <cell r="G47" t="str">
            <v>Intermediate</v>
          </cell>
          <cell r="H47" t="str">
            <v>Infusion Pumps, Syringe</v>
          </cell>
          <cell r="I47" t="str">
            <v>PUMP SYRINGE BASIC (STAND ALONE)</v>
          </cell>
          <cell r="J47" t="str">
            <v>13-217</v>
          </cell>
          <cell r="K47" t="str">
            <v>FRESENIUS KABI</v>
          </cell>
          <cell r="L47" t="str">
            <v>INJECTOMAT AGILIA</v>
          </cell>
          <cell r="M47" t="str">
            <v>018030/22233918</v>
          </cell>
          <cell r="N47" t="str">
            <v>PERUBATAN AM</v>
          </cell>
          <cell r="O47" t="str">
            <v>Wad Perubatan Lelaki 10A</v>
          </cell>
          <cell r="P47" t="str">
            <v>HM</v>
          </cell>
          <cell r="Q47">
            <v>2700</v>
          </cell>
        </row>
        <row r="48">
          <cell r="E48" t="str">
            <v>KKM/JKN/HSA/10-05-01/H/15/2239</v>
          </cell>
          <cell r="F48" t="str">
            <v>Therapeutic</v>
          </cell>
          <cell r="G48" t="str">
            <v>Intermediate</v>
          </cell>
          <cell r="H48" t="str">
            <v>Infusion Pumps, Syringe</v>
          </cell>
          <cell r="I48" t="str">
            <v>PUMP SYRINGE BASIC (STAND ALONE)</v>
          </cell>
          <cell r="J48" t="str">
            <v>13-217</v>
          </cell>
          <cell r="K48" t="str">
            <v>FRESENIUS KABI</v>
          </cell>
          <cell r="L48" t="str">
            <v>INJECTOMAT AGILIA</v>
          </cell>
          <cell r="M48" t="str">
            <v>018030/22233919</v>
          </cell>
          <cell r="N48" t="str">
            <v>PERUBATAN AM</v>
          </cell>
          <cell r="O48" t="str">
            <v>Wad Perubatan Lelaki 10A</v>
          </cell>
          <cell r="P48" t="str">
            <v>HM</v>
          </cell>
          <cell r="Q48">
            <v>2700</v>
          </cell>
        </row>
        <row r="49">
          <cell r="E49" t="str">
            <v>KKM/JKN/HSA/10-05-01/H/15/2240</v>
          </cell>
          <cell r="F49" t="str">
            <v>Therapeutic</v>
          </cell>
          <cell r="G49" t="str">
            <v>Intermediate</v>
          </cell>
          <cell r="H49" t="str">
            <v>Infusion Pumps, Syringe</v>
          </cell>
          <cell r="I49" t="str">
            <v>PUMP SYRINGE BASIC (STAND ALONE)</v>
          </cell>
          <cell r="J49" t="str">
            <v>13-217</v>
          </cell>
          <cell r="K49" t="str">
            <v>FRESENIUS KABI</v>
          </cell>
          <cell r="L49" t="str">
            <v>INJECTOMAT AGILIA</v>
          </cell>
          <cell r="M49" t="str">
            <v>018030/22233922</v>
          </cell>
          <cell r="N49" t="str">
            <v>PERUBATAN AM</v>
          </cell>
          <cell r="O49" t="str">
            <v>Wad Perubatan Lelaki 10A</v>
          </cell>
          <cell r="P49" t="str">
            <v>HM</v>
          </cell>
          <cell r="Q49">
            <v>2700</v>
          </cell>
        </row>
        <row r="50">
          <cell r="E50" t="str">
            <v>KKM/JKN/HSA/10-05-01/H/15/2241</v>
          </cell>
          <cell r="F50" t="str">
            <v>Therapeutic</v>
          </cell>
          <cell r="G50" t="str">
            <v>Intermediate</v>
          </cell>
          <cell r="H50" t="str">
            <v>Infusion Pumps, Syringe</v>
          </cell>
          <cell r="I50" t="str">
            <v>PUMP SYRINGE BASIC (STAND ALONE)</v>
          </cell>
          <cell r="J50" t="str">
            <v>13-217</v>
          </cell>
          <cell r="K50" t="str">
            <v>FRESENIUS KABI</v>
          </cell>
          <cell r="L50" t="str">
            <v>INJECTOMAT AGILIA</v>
          </cell>
          <cell r="M50" t="str">
            <v>018030/22233921</v>
          </cell>
          <cell r="N50" t="str">
            <v>PERUBATAN AM</v>
          </cell>
          <cell r="O50" t="str">
            <v>Wad Perubatan Lelaki 10A</v>
          </cell>
          <cell r="P50" t="str">
            <v>HM</v>
          </cell>
          <cell r="Q50">
            <v>2700</v>
          </cell>
        </row>
        <row r="51">
          <cell r="E51" t="str">
            <v>KKM/JKN/HSA/10-05-01/H/15/2242</v>
          </cell>
          <cell r="F51" t="str">
            <v>Therapeutic</v>
          </cell>
          <cell r="G51" t="str">
            <v>Intermediate</v>
          </cell>
          <cell r="H51" t="str">
            <v>Infusion Pumps, Syringe</v>
          </cell>
          <cell r="I51" t="str">
            <v>PUMP SYRINGE BASIC (STAND ALONE)</v>
          </cell>
          <cell r="J51" t="str">
            <v>13-217</v>
          </cell>
          <cell r="K51" t="str">
            <v>FRESENIUS KABI</v>
          </cell>
          <cell r="L51" t="str">
            <v>INJECTOMAT AGILIA</v>
          </cell>
          <cell r="M51" t="str">
            <v>018030/22233920</v>
          </cell>
          <cell r="N51" t="str">
            <v>PERUBATAN AM</v>
          </cell>
          <cell r="O51" t="str">
            <v>Wad Perubatan Lelaki 10A</v>
          </cell>
          <cell r="P51" t="str">
            <v>HM</v>
          </cell>
          <cell r="Q51">
            <v>2700</v>
          </cell>
        </row>
        <row r="52">
          <cell r="E52" t="str">
            <v>KKM/JKN/HSA/10-05-01/H/15/1803</v>
          </cell>
          <cell r="F52" t="str">
            <v>Therapeutic</v>
          </cell>
          <cell r="G52" t="str">
            <v>Basic</v>
          </cell>
          <cell r="H52" t="str">
            <v>Pumps, Enteral Feeding</v>
          </cell>
          <cell r="I52" t="str">
            <v>PUMP ENTERAL FEEDING</v>
          </cell>
          <cell r="J52" t="str">
            <v>13-209</v>
          </cell>
          <cell r="K52" t="str">
            <v>FRESENIUS KABI</v>
          </cell>
          <cell r="L52" t="str">
            <v>APPLIX VISION</v>
          </cell>
          <cell r="M52" t="str">
            <v>7751811/22201172</v>
          </cell>
          <cell r="N52" t="str">
            <v>PERUBATAN AM</v>
          </cell>
          <cell r="O52" t="str">
            <v>Wad Perubatan Lelaki 10A</v>
          </cell>
          <cell r="P52" t="str">
            <v>HM</v>
          </cell>
          <cell r="Q52">
            <v>2975</v>
          </cell>
        </row>
        <row r="53">
          <cell r="E53" t="str">
            <v>KKM/JKN/HSA/10-05-01/H/15/975</v>
          </cell>
          <cell r="F53" t="str">
            <v xml:space="preserve">Diagnostic </v>
          </cell>
          <cell r="G53" t="str">
            <v>Intermediate</v>
          </cell>
          <cell r="H53" t="str">
            <v>Oximeters, Pulse</v>
          </cell>
          <cell r="I53" t="str">
            <v>OXIMETER PULSE</v>
          </cell>
          <cell r="J53" t="str">
            <v>17-148</v>
          </cell>
          <cell r="K53" t="str">
            <v>GE HEALTHCARE</v>
          </cell>
          <cell r="L53" t="str">
            <v xml:space="preserve"> TRUST PULSE OXIMETER</v>
          </cell>
          <cell r="M53" t="str">
            <v>FCC14250154SA</v>
          </cell>
          <cell r="N53" t="str">
            <v>PERUBATAN AM</v>
          </cell>
          <cell r="O53" t="str">
            <v>Wad Perubatan Lelaki 10A</v>
          </cell>
          <cell r="P53" t="str">
            <v>HM</v>
          </cell>
          <cell r="Q53">
            <v>4000</v>
          </cell>
        </row>
        <row r="54">
          <cell r="E54" t="str">
            <v>KKM/JKN/HSA/10-05-01/R/15/16174</v>
          </cell>
          <cell r="F54" t="str">
            <v>Therapeutic</v>
          </cell>
          <cell r="G54" t="str">
            <v>Basic</v>
          </cell>
          <cell r="H54" t="str">
            <v>Nebulizers, Heated</v>
          </cell>
          <cell r="I54" t="str">
            <v>NEBULISER</v>
          </cell>
          <cell r="J54" t="str">
            <v>12-716</v>
          </cell>
          <cell r="K54" t="str">
            <v>PHILIPS</v>
          </cell>
          <cell r="L54" t="str">
            <v xml:space="preserve"> INNOSPIRE DELUXE</v>
          </cell>
          <cell r="M54" t="str">
            <v>022620</v>
          </cell>
          <cell r="N54" t="str">
            <v>PERUBATAN AM</v>
          </cell>
          <cell r="O54" t="str">
            <v>Wad Perubatan Lelaki 10A</v>
          </cell>
          <cell r="P54" t="str">
            <v>ABR</v>
          </cell>
          <cell r="Q54">
            <v>1950</v>
          </cell>
        </row>
        <row r="55">
          <cell r="E55" t="str">
            <v>KKM/JKN/HSA/10-05-01/R/15/16175</v>
          </cell>
          <cell r="F55" t="str">
            <v>Therapeutic</v>
          </cell>
          <cell r="G55" t="str">
            <v>Basic</v>
          </cell>
          <cell r="H55" t="str">
            <v>Nebulizers, Heated</v>
          </cell>
          <cell r="I55" t="str">
            <v>NEBULISER</v>
          </cell>
          <cell r="J55" t="str">
            <v>12-716</v>
          </cell>
          <cell r="K55" t="str">
            <v>PHILIPS</v>
          </cell>
          <cell r="L55" t="str">
            <v xml:space="preserve"> INNOSPIRE DELUXE</v>
          </cell>
          <cell r="M55" t="str">
            <v>022857</v>
          </cell>
          <cell r="N55" t="str">
            <v>PERUBATAN AM</v>
          </cell>
          <cell r="O55" t="str">
            <v>Wad Perubatan Lelaki 10A</v>
          </cell>
          <cell r="P55" t="str">
            <v>ABR</v>
          </cell>
          <cell r="Q55">
            <v>1950</v>
          </cell>
        </row>
        <row r="56">
          <cell r="E56" t="str">
            <v>KKM/JKN/HSA/10-05-01/R/15/16176</v>
          </cell>
          <cell r="F56" t="str">
            <v>Therapeutic</v>
          </cell>
          <cell r="G56" t="str">
            <v>Basic</v>
          </cell>
          <cell r="H56" t="str">
            <v>Nebulizers, Heated</v>
          </cell>
          <cell r="I56" t="str">
            <v>NEBULISER</v>
          </cell>
          <cell r="J56" t="str">
            <v>12-716</v>
          </cell>
          <cell r="K56" t="str">
            <v>PHILIPS</v>
          </cell>
          <cell r="L56" t="str">
            <v xml:space="preserve"> INNOSPIRE DELUXE</v>
          </cell>
          <cell r="M56" t="str">
            <v>022623</v>
          </cell>
          <cell r="N56" t="str">
            <v>PERUBATAN AM</v>
          </cell>
          <cell r="O56" t="str">
            <v>Wad Perubatan Lelaki 10A</v>
          </cell>
          <cell r="P56" t="str">
            <v>ABR</v>
          </cell>
          <cell r="Q56">
            <v>1950</v>
          </cell>
        </row>
        <row r="57">
          <cell r="E57" t="str">
            <v>KKM/JKN/HSA/10-05-01/R/15/16177</v>
          </cell>
          <cell r="F57" t="str">
            <v>Therapeutic</v>
          </cell>
          <cell r="G57" t="str">
            <v>Basic</v>
          </cell>
          <cell r="H57" t="str">
            <v>Nebulizers, Heated</v>
          </cell>
          <cell r="I57" t="str">
            <v>NEBULISER</v>
          </cell>
          <cell r="J57" t="str">
            <v>12-716</v>
          </cell>
          <cell r="K57" t="str">
            <v>PHILIPS</v>
          </cell>
          <cell r="L57" t="str">
            <v xml:space="preserve"> INNOSPIRE DELUXE</v>
          </cell>
          <cell r="M57" t="str">
            <v>022628</v>
          </cell>
          <cell r="N57" t="str">
            <v>PERUBATAN AM</v>
          </cell>
          <cell r="O57" t="str">
            <v>Wad Perubatan Lelaki 10A</v>
          </cell>
          <cell r="P57" t="str">
            <v>ABR</v>
          </cell>
          <cell r="Q57">
            <v>1950</v>
          </cell>
        </row>
        <row r="58">
          <cell r="E58" t="str">
            <v>KKM/JKN/HSA/10-05-01/R/15/16178</v>
          </cell>
          <cell r="F58" t="str">
            <v>Therapeutic</v>
          </cell>
          <cell r="G58" t="str">
            <v>Basic</v>
          </cell>
          <cell r="H58" t="str">
            <v>Nebulizers, Heated</v>
          </cell>
          <cell r="I58" t="str">
            <v>NEBULISER</v>
          </cell>
          <cell r="J58" t="str">
            <v>12-716</v>
          </cell>
          <cell r="K58" t="str">
            <v>PHILIPS</v>
          </cell>
          <cell r="L58" t="str">
            <v xml:space="preserve"> INNOSPIRE DELUXE</v>
          </cell>
          <cell r="M58" t="str">
            <v>022856</v>
          </cell>
          <cell r="N58" t="str">
            <v>PERUBATAN AM</v>
          </cell>
          <cell r="O58" t="str">
            <v>Wad Perubatan Lelaki 10A</v>
          </cell>
          <cell r="P58" t="str">
            <v>ABR</v>
          </cell>
          <cell r="Q58">
            <v>1950</v>
          </cell>
        </row>
        <row r="59">
          <cell r="E59" t="str">
            <v>KKM/JKN/HSA/10-05-01/H/15/1600</v>
          </cell>
          <cell r="F59" t="str">
            <v xml:space="preserve">Diagnostic </v>
          </cell>
          <cell r="G59" t="str">
            <v>Intermediate</v>
          </cell>
          <cell r="H59" t="str">
            <v>Monitors, Physiologic, Vital Signs</v>
          </cell>
          <cell r="I59" t="str">
            <v>MONITOR NIBP/TEMP</v>
          </cell>
          <cell r="J59" t="str">
            <v>25-209</v>
          </cell>
          <cell r="K59" t="str">
            <v>WELCH ALLYN</v>
          </cell>
          <cell r="L59" t="str">
            <v>WELCH ALLYN VSM 300</v>
          </cell>
          <cell r="M59" t="str">
            <v>JA123449</v>
          </cell>
          <cell r="N59" t="str">
            <v>PERUBATAN AM</v>
          </cell>
          <cell r="O59" t="str">
            <v>Wad Perubatan Lelaki 10A</v>
          </cell>
          <cell r="P59" t="str">
            <v>HM</v>
          </cell>
          <cell r="Q59">
            <v>4355</v>
          </cell>
        </row>
        <row r="60">
          <cell r="E60" t="str">
            <v>KKM/JKN/HSA/10-05-01/H/15/1027</v>
          </cell>
          <cell r="F60" t="str">
            <v xml:space="preserve">Diagnostic </v>
          </cell>
          <cell r="G60" t="str">
            <v>Intermediate</v>
          </cell>
          <cell r="H60" t="str">
            <v>Monitors, Physiologic, Vital Signs</v>
          </cell>
          <cell r="I60" t="str">
            <v>MONITOR NIBP/SP02</v>
          </cell>
          <cell r="J60" t="str">
            <v>25-209</v>
          </cell>
          <cell r="K60" t="str">
            <v>WELCH ALLYN</v>
          </cell>
          <cell r="L60" t="str">
            <v>WELCH ALLYN VSM 300</v>
          </cell>
          <cell r="M60" t="str">
            <v>JA 123472</v>
          </cell>
          <cell r="N60" t="str">
            <v>PERUBATAN AM</v>
          </cell>
          <cell r="O60" t="str">
            <v>Wad Perubatan Lelaki 10A</v>
          </cell>
          <cell r="P60" t="str">
            <v>HM</v>
          </cell>
          <cell r="Q60">
            <v>5185</v>
          </cell>
        </row>
        <row r="61">
          <cell r="E61" t="str">
            <v>KKM/JKN/HSA/10-05-01/H/15/2130</v>
          </cell>
          <cell r="F61" t="str">
            <v xml:space="preserve">Diagnostic </v>
          </cell>
          <cell r="G61" t="str">
            <v>Intermediate</v>
          </cell>
          <cell r="H61" t="str">
            <v>Physiologic Monitoring Systems, Acute Care</v>
          </cell>
          <cell r="I61" t="str">
            <v>MONITOR 4 CH, ECG/RR/NIBP/SP02/TEMP</v>
          </cell>
          <cell r="J61" t="str">
            <v>12-647</v>
          </cell>
          <cell r="K61" t="str">
            <v>MINDRAY</v>
          </cell>
          <cell r="L61" t="str">
            <v>IMEC 12</v>
          </cell>
          <cell r="M61" t="str">
            <v>EV 45011635</v>
          </cell>
          <cell r="N61" t="str">
            <v>PERUBATAN AM</v>
          </cell>
          <cell r="O61" t="str">
            <v>Wad Perubatan Lelaki 10A</v>
          </cell>
          <cell r="P61" t="str">
            <v>HM</v>
          </cell>
          <cell r="Q61">
            <v>9000</v>
          </cell>
        </row>
        <row r="62">
          <cell r="E62" t="str">
            <v>KKM/JKN/HSA/10-05-01/H/15/2131</v>
          </cell>
          <cell r="F62" t="str">
            <v xml:space="preserve">Diagnostic </v>
          </cell>
          <cell r="G62" t="str">
            <v>Intermediate</v>
          </cell>
          <cell r="H62" t="str">
            <v>Physiologic Monitoring Systems, Acute Care</v>
          </cell>
          <cell r="I62" t="str">
            <v>MONITOR 4 CH, ECG/RR/NIBP/SP02/TEMP</v>
          </cell>
          <cell r="J62" t="str">
            <v>12-647</v>
          </cell>
          <cell r="K62" t="str">
            <v>MINDRAY</v>
          </cell>
          <cell r="L62" t="str">
            <v>IMEC 12</v>
          </cell>
          <cell r="M62" t="str">
            <v>EV 45011636</v>
          </cell>
          <cell r="N62" t="str">
            <v>PERUBATAN AM</v>
          </cell>
          <cell r="O62" t="str">
            <v>Wad Perubatan Lelaki 10A</v>
          </cell>
          <cell r="P62" t="str">
            <v>HM</v>
          </cell>
          <cell r="Q62">
            <v>9000</v>
          </cell>
        </row>
        <row r="63">
          <cell r="E63" t="str">
            <v>KKM/JKN/HSA/10-05-01/H/15/572</v>
          </cell>
          <cell r="F63" t="str">
            <v xml:space="preserve">Diagnostic </v>
          </cell>
          <cell r="G63" t="str">
            <v>Intermediate</v>
          </cell>
          <cell r="H63" t="str">
            <v>Electrocardiographs, Multichannel, Interpretative</v>
          </cell>
          <cell r="I63" t="str">
            <v>ECG RECORDER</v>
          </cell>
          <cell r="J63" t="str">
            <v>16-231</v>
          </cell>
          <cell r="K63" t="str">
            <v>GE HEALTHCARE</v>
          </cell>
          <cell r="L63" t="str">
            <v>MAC 1200</v>
          </cell>
          <cell r="M63">
            <v>550061836</v>
          </cell>
          <cell r="N63" t="str">
            <v>PERUBATAN AM</v>
          </cell>
          <cell r="O63" t="str">
            <v>Wad Perubatan Lelaki 10A</v>
          </cell>
          <cell r="P63" t="str">
            <v>HM</v>
          </cell>
          <cell r="Q63">
            <v>10000</v>
          </cell>
        </row>
        <row r="64">
          <cell r="E64" t="str">
            <v>KKM/JKN/HSA/10-05-01/R/15/17065</v>
          </cell>
          <cell r="F64" t="str">
            <v xml:space="preserve">Diagnostic </v>
          </cell>
          <cell r="G64" t="str">
            <v>Basic</v>
          </cell>
          <cell r="H64" t="str">
            <v>Ophthalmoscopes/Otoscopes</v>
          </cell>
          <cell r="I64" t="str">
            <v>DIAGNOSTIC SET ADULT</v>
          </cell>
          <cell r="J64" t="str">
            <v>18-595</v>
          </cell>
          <cell r="K64" t="str">
            <v>WELCH ALLYN</v>
          </cell>
          <cell r="L64" t="str">
            <v>97150-BI</v>
          </cell>
          <cell r="M64"/>
          <cell r="N64" t="str">
            <v>PERUBATAN AM</v>
          </cell>
          <cell r="O64" t="str">
            <v>Wad Perubatan Lelaki 10A</v>
          </cell>
          <cell r="P64" t="str">
            <v>ABR</v>
          </cell>
          <cell r="Q64">
            <v>1820</v>
          </cell>
        </row>
        <row r="65">
          <cell r="E65" t="str">
            <v>KKM/JKN/HSA/10-05-01/R/15/17066</v>
          </cell>
          <cell r="F65" t="str">
            <v xml:space="preserve">Diagnostic </v>
          </cell>
          <cell r="G65" t="str">
            <v>Basic</v>
          </cell>
          <cell r="H65" t="str">
            <v>Ophthalmoscopes/Otoscopes</v>
          </cell>
          <cell r="I65" t="str">
            <v>DIAGNOSTIC SET ADULT</v>
          </cell>
          <cell r="J65" t="str">
            <v>18-595</v>
          </cell>
          <cell r="K65" t="str">
            <v>WELCH ALLYN</v>
          </cell>
          <cell r="L65" t="str">
            <v>97150-BI</v>
          </cell>
          <cell r="M65"/>
          <cell r="N65" t="str">
            <v>PERUBATAN AM</v>
          </cell>
          <cell r="O65" t="str">
            <v>Wad Perubatan Lelaki 10A</v>
          </cell>
          <cell r="P65" t="str">
            <v>ABR</v>
          </cell>
          <cell r="Q65">
            <v>1820</v>
          </cell>
        </row>
        <row r="66">
          <cell r="E66" t="str">
            <v>KKM/JKN/HSA/10-05-01/R/15/17067</v>
          </cell>
          <cell r="F66" t="str">
            <v xml:space="preserve">Diagnostic </v>
          </cell>
          <cell r="G66" t="str">
            <v>Basic</v>
          </cell>
          <cell r="H66" t="str">
            <v>Ophthalmoscopes/Otoscopes</v>
          </cell>
          <cell r="I66" t="str">
            <v>DIAGNOSTIC SET ADULT</v>
          </cell>
          <cell r="J66" t="str">
            <v>18-595</v>
          </cell>
          <cell r="K66" t="str">
            <v>WELCH ALLYN</v>
          </cell>
          <cell r="L66" t="str">
            <v>97150-BI</v>
          </cell>
          <cell r="M66"/>
          <cell r="N66" t="str">
            <v>PERUBATAN AM</v>
          </cell>
          <cell r="O66" t="str">
            <v>Wad Perubatan Lelaki 10A</v>
          </cell>
          <cell r="P66" t="str">
            <v>ABR</v>
          </cell>
          <cell r="Q66">
            <v>1820</v>
          </cell>
        </row>
        <row r="67">
          <cell r="E67" t="str">
            <v>KKM/JKN/HSA/10-05-01/H/15/2182</v>
          </cell>
          <cell r="F67" t="str">
            <v>Therapeutic</v>
          </cell>
          <cell r="G67" t="str">
            <v>Basic</v>
          </cell>
          <cell r="H67" t="str">
            <v>Aspirators</v>
          </cell>
          <cell r="I67" t="str">
            <v>SUCTION UNIT 1 X 2L JAR MOBILE</v>
          </cell>
          <cell r="J67" t="str">
            <v>10-208</v>
          </cell>
          <cell r="K67" t="str">
            <v>GIMA</v>
          </cell>
          <cell r="L67">
            <v>28212</v>
          </cell>
          <cell r="M67">
            <v>5904</v>
          </cell>
          <cell r="N67" t="str">
            <v xml:space="preserve">PEMBEDAHAN AM </v>
          </cell>
          <cell r="O67" t="str">
            <v>Wad Pembedahan Perempuan 9B</v>
          </cell>
          <cell r="P67" t="str">
            <v>HM</v>
          </cell>
          <cell r="Q67">
            <v>3386.5</v>
          </cell>
        </row>
        <row r="68">
          <cell r="E68" t="str">
            <v>KKM/JKN/HSA/10-05-01/H/15/2183</v>
          </cell>
          <cell r="F68" t="str">
            <v>Therapeutic</v>
          </cell>
          <cell r="G68" t="str">
            <v>Basic</v>
          </cell>
          <cell r="H68" t="str">
            <v>Aspirators</v>
          </cell>
          <cell r="I68" t="str">
            <v>SUCTION UNIT 1 X 2L JAR MOBILE</v>
          </cell>
          <cell r="J68" t="str">
            <v>10-208</v>
          </cell>
          <cell r="K68" t="str">
            <v>GIMA</v>
          </cell>
          <cell r="L68">
            <v>28212</v>
          </cell>
          <cell r="M68">
            <v>5906</v>
          </cell>
          <cell r="N68" t="str">
            <v xml:space="preserve">PEMBEDAHAN AM </v>
          </cell>
          <cell r="O68" t="str">
            <v>Wad Pembedahan Perempuan 9B</v>
          </cell>
          <cell r="P68" t="str">
            <v>HM</v>
          </cell>
          <cell r="Q68">
            <v>3386.5</v>
          </cell>
        </row>
        <row r="69">
          <cell r="E69" t="str">
            <v>KKM/JKN/HSA/10-05-01/H/15/2184</v>
          </cell>
          <cell r="F69" t="str">
            <v>Therapeutic</v>
          </cell>
          <cell r="G69" t="str">
            <v>Basic</v>
          </cell>
          <cell r="H69" t="str">
            <v>Aspirators</v>
          </cell>
          <cell r="I69" t="str">
            <v>SUCTION UNIT 1 X 2L JAR MOBILE</v>
          </cell>
          <cell r="J69" t="str">
            <v>10-208</v>
          </cell>
          <cell r="K69" t="str">
            <v>GIMA</v>
          </cell>
          <cell r="L69">
            <v>28212</v>
          </cell>
          <cell r="M69">
            <v>5905</v>
          </cell>
          <cell r="N69" t="str">
            <v xml:space="preserve">PEMBEDAHAN AM </v>
          </cell>
          <cell r="O69" t="str">
            <v>Wad Pembedahan Perempuan 9B</v>
          </cell>
          <cell r="P69" t="str">
            <v>HM</v>
          </cell>
          <cell r="Q69">
            <v>3386.5</v>
          </cell>
        </row>
        <row r="70">
          <cell r="E70" t="str">
            <v>KKM/JKN/HSA/10-05-01/H/15/2798</v>
          </cell>
          <cell r="F70" t="str">
            <v>Therapeutic</v>
          </cell>
          <cell r="G70" t="str">
            <v>Basic</v>
          </cell>
          <cell r="H70" t="str">
            <v>Mattress Systems, Alternating-Pressure</v>
          </cell>
          <cell r="I70" t="str">
            <v>RIPPLE MATTRESS W/MOTOR</v>
          </cell>
          <cell r="J70" t="str">
            <v>18-147</v>
          </cell>
          <cell r="K70" t="str">
            <v>BANTEX</v>
          </cell>
          <cell r="L70" t="str">
            <v>APM-5000-G</v>
          </cell>
          <cell r="M70"/>
          <cell r="N70" t="str">
            <v xml:space="preserve">PEMBEDAHAN AM </v>
          </cell>
          <cell r="O70" t="str">
            <v>Wad Pembedahan Perempuan 9B</v>
          </cell>
          <cell r="P70" t="str">
            <v>HM</v>
          </cell>
          <cell r="Q70">
            <v>2800</v>
          </cell>
        </row>
        <row r="71">
          <cell r="E71" t="str">
            <v>KKM/JKN/HSA/10-05-01/H/15/1266</v>
          </cell>
          <cell r="F71" t="str">
            <v>Therapeutic</v>
          </cell>
          <cell r="G71" t="str">
            <v>Intermediate</v>
          </cell>
          <cell r="H71" t="str">
            <v>Infusion Pumps, General-Purpose</v>
          </cell>
          <cell r="I71" t="str">
            <v>PUMP VOLUMETRIC INFUSION (STAND ALONE)</v>
          </cell>
          <cell r="J71" t="str">
            <v>13-215</v>
          </cell>
          <cell r="K71" t="str">
            <v>FRESENIUS KABI</v>
          </cell>
          <cell r="L71" t="str">
            <v>LINK 8+ AGILIA/MOBILE STAND</v>
          </cell>
          <cell r="M71" t="str">
            <v>019130/22235948</v>
          </cell>
          <cell r="N71" t="str">
            <v xml:space="preserve">PEMBEDAHAN AM </v>
          </cell>
          <cell r="O71" t="str">
            <v>Wad Pembedahan Perempuan 9B</v>
          </cell>
          <cell r="P71" t="str">
            <v>HM</v>
          </cell>
          <cell r="Q71">
            <v>7245</v>
          </cell>
        </row>
        <row r="72">
          <cell r="E72" t="str">
            <v>KKM/JKN/HSA/10-05-01/H/15/1267</v>
          </cell>
          <cell r="F72" t="str">
            <v>Therapeutic</v>
          </cell>
          <cell r="G72" t="str">
            <v>Intermediate</v>
          </cell>
          <cell r="H72" t="str">
            <v>Infusion Pumps, General-Purpose</v>
          </cell>
          <cell r="I72" t="str">
            <v>PUMP VOLUMETRIC INFUSION (STAND ALONE)</v>
          </cell>
          <cell r="J72" t="str">
            <v>13-215</v>
          </cell>
          <cell r="K72" t="str">
            <v>FRESENIUS KABI</v>
          </cell>
          <cell r="L72" t="str">
            <v>LINK 8+ AGILIA/MOBILE STAND</v>
          </cell>
          <cell r="M72" t="str">
            <v>019130/22235944</v>
          </cell>
          <cell r="N72" t="str">
            <v xml:space="preserve">PEMBEDAHAN AM </v>
          </cell>
          <cell r="O72" t="str">
            <v>Wad Pembedahan Perempuan 9B</v>
          </cell>
          <cell r="P72" t="str">
            <v>HM</v>
          </cell>
          <cell r="Q72">
            <v>7245</v>
          </cell>
        </row>
        <row r="73">
          <cell r="E73" t="str">
            <v>KKM/JKN/HSA/10-05-01/H/15/1268</v>
          </cell>
          <cell r="F73" t="str">
            <v>Therapeutic</v>
          </cell>
          <cell r="G73" t="str">
            <v>Intermediate</v>
          </cell>
          <cell r="H73" t="str">
            <v>Infusion Pumps, General-Purpose</v>
          </cell>
          <cell r="I73" t="str">
            <v>PUMP VOLUMETRIC INFUSION (STAND ALONE)</v>
          </cell>
          <cell r="J73" t="str">
            <v>13-215</v>
          </cell>
          <cell r="K73" t="str">
            <v>FRESENIUS KABI</v>
          </cell>
          <cell r="L73" t="str">
            <v>LINK 8+ AGILIA/MOBILE STAND</v>
          </cell>
          <cell r="M73" t="str">
            <v>019130/22235958</v>
          </cell>
          <cell r="N73" t="str">
            <v xml:space="preserve">PEMBEDAHAN AM </v>
          </cell>
          <cell r="O73" t="str">
            <v>Wad Pembedahan Perempuan 9B</v>
          </cell>
          <cell r="P73" t="str">
            <v>HM</v>
          </cell>
          <cell r="Q73">
            <v>7245</v>
          </cell>
        </row>
        <row r="74">
          <cell r="E74" t="str">
            <v>KKM/JKN/HSA/10-05-01/H/15/2264</v>
          </cell>
          <cell r="F74" t="str">
            <v>Therapeutic</v>
          </cell>
          <cell r="G74" t="str">
            <v>Intermediate</v>
          </cell>
          <cell r="H74" t="str">
            <v>Infusion Pumps, Syringe</v>
          </cell>
          <cell r="I74" t="str">
            <v>PUMP SYRINGE BASIC (STAND ALONE)</v>
          </cell>
          <cell r="J74" t="str">
            <v>13-217</v>
          </cell>
          <cell r="K74" t="str">
            <v>FRESENIUS KABI</v>
          </cell>
          <cell r="L74" t="str">
            <v>INJECTOMAT AGILIA</v>
          </cell>
          <cell r="M74"/>
          <cell r="N74" t="str">
            <v xml:space="preserve">PEMBEDAHAN AM </v>
          </cell>
          <cell r="O74" t="str">
            <v>Wad Pembedahan Perempuan 9B</v>
          </cell>
          <cell r="P74" t="str">
            <v>HM</v>
          </cell>
          <cell r="Q74">
            <v>2700</v>
          </cell>
        </row>
        <row r="75">
          <cell r="E75" t="str">
            <v>KKM/JKN/HSA/10-05-01/H/15/2265</v>
          </cell>
          <cell r="F75" t="str">
            <v>Therapeutic</v>
          </cell>
          <cell r="G75" t="str">
            <v>Intermediate</v>
          </cell>
          <cell r="H75" t="str">
            <v>Infusion Pumps, Syringe</v>
          </cell>
          <cell r="I75" t="str">
            <v>PUMP SYRINGE BASIC (STAND ALONE)</v>
          </cell>
          <cell r="J75" t="str">
            <v>13-217</v>
          </cell>
          <cell r="K75" t="str">
            <v>FRESENIUS KABI</v>
          </cell>
          <cell r="L75" t="str">
            <v>INJECTOMAT AGILIA</v>
          </cell>
          <cell r="M75"/>
          <cell r="N75" t="str">
            <v xml:space="preserve">PEMBEDAHAN AM </v>
          </cell>
          <cell r="O75" t="str">
            <v>Wad Pembedahan Perempuan 9B</v>
          </cell>
          <cell r="P75" t="str">
            <v>HM</v>
          </cell>
          <cell r="Q75">
            <v>2700</v>
          </cell>
        </row>
        <row r="76">
          <cell r="E76" t="str">
            <v>KKM/JKN/HSA/10-05-01/H/15/2266</v>
          </cell>
          <cell r="F76" t="str">
            <v>Therapeutic</v>
          </cell>
          <cell r="G76" t="str">
            <v>Intermediate</v>
          </cell>
          <cell r="H76" t="str">
            <v>Infusion Pumps, Syringe</v>
          </cell>
          <cell r="I76" t="str">
            <v>PUMP SYRINGE BASIC (STAND ALONE)</v>
          </cell>
          <cell r="J76" t="str">
            <v>13-217</v>
          </cell>
          <cell r="K76" t="str">
            <v>FRESENIUS KABI</v>
          </cell>
          <cell r="L76" t="str">
            <v>INJECTOMAT AGILIA</v>
          </cell>
          <cell r="M76"/>
          <cell r="N76" t="str">
            <v xml:space="preserve">PEMBEDAHAN AM </v>
          </cell>
          <cell r="O76" t="str">
            <v>Wad Pembedahan Perempuan 9B</v>
          </cell>
          <cell r="P76" t="str">
            <v>HM</v>
          </cell>
          <cell r="Q76">
            <v>2700</v>
          </cell>
        </row>
        <row r="77">
          <cell r="E77" t="str">
            <v>KKM/JKN/HSA/10-05-01/H/15/2267</v>
          </cell>
          <cell r="F77" t="str">
            <v>Therapeutic</v>
          </cell>
          <cell r="G77" t="str">
            <v>Intermediate</v>
          </cell>
          <cell r="H77" t="str">
            <v>Infusion Pumps, Syringe</v>
          </cell>
          <cell r="I77" t="str">
            <v>PUMP SYRINGE BASIC (STAND ALONE)</v>
          </cell>
          <cell r="J77" t="str">
            <v>13-217</v>
          </cell>
          <cell r="K77" t="str">
            <v>FRESENIUS KABI</v>
          </cell>
          <cell r="L77" t="str">
            <v>INJECTOMAT AGILIA</v>
          </cell>
          <cell r="M77"/>
          <cell r="N77" t="str">
            <v xml:space="preserve">PEMBEDAHAN AM </v>
          </cell>
          <cell r="O77" t="str">
            <v>Wad Pembedahan Perempuan 9B</v>
          </cell>
          <cell r="P77" t="str">
            <v>HM</v>
          </cell>
          <cell r="Q77">
            <v>2700</v>
          </cell>
        </row>
        <row r="78">
          <cell r="E78" t="str">
            <v>KKM/JKN/HSA/10-05-01/H/15/1814</v>
          </cell>
          <cell r="F78" t="str">
            <v>Therapeutic</v>
          </cell>
          <cell r="G78" t="str">
            <v>Basic</v>
          </cell>
          <cell r="H78" t="str">
            <v>Pumps, Enteral Feeding</v>
          </cell>
          <cell r="I78" t="str">
            <v>PUMP ENTERAL FEEDING</v>
          </cell>
          <cell r="J78" t="str">
            <v>13-209</v>
          </cell>
          <cell r="K78" t="str">
            <v>FRESENIUS KABI</v>
          </cell>
          <cell r="L78" t="str">
            <v>APPLIX VISION</v>
          </cell>
          <cell r="M78"/>
          <cell r="N78" t="str">
            <v xml:space="preserve">PEMBEDAHAN AM </v>
          </cell>
          <cell r="O78" t="str">
            <v>Wad Pembedahan Perempuan 9B</v>
          </cell>
          <cell r="P78" t="str">
            <v>HM</v>
          </cell>
          <cell r="Q78">
            <v>2975</v>
          </cell>
        </row>
        <row r="79">
          <cell r="E79" t="str">
            <v>KKM/JKN/HSA/10-05-01/R/15/16156</v>
          </cell>
          <cell r="F79" t="str">
            <v>Therapeutic</v>
          </cell>
          <cell r="G79" t="str">
            <v>Basic</v>
          </cell>
          <cell r="H79" t="str">
            <v>Nebulizers, Heated</v>
          </cell>
          <cell r="I79" t="str">
            <v>NEBULISER</v>
          </cell>
          <cell r="J79" t="str">
            <v>12-716</v>
          </cell>
          <cell r="K79" t="str">
            <v>PHILIPS</v>
          </cell>
          <cell r="L79" t="str">
            <v xml:space="preserve"> INNOSPIRE DELUXE</v>
          </cell>
          <cell r="M79"/>
          <cell r="N79" t="str">
            <v xml:space="preserve">PEMBEDAHAN AM </v>
          </cell>
          <cell r="O79" t="str">
            <v>Wad Pembedahan Perempuan 9B</v>
          </cell>
          <cell r="P79" t="str">
            <v>ABR</v>
          </cell>
          <cell r="Q79">
            <v>1950</v>
          </cell>
        </row>
        <row r="80">
          <cell r="E80" t="str">
            <v>KKM/JKN/HSA/10-05-01/R/15/16157</v>
          </cell>
          <cell r="F80" t="str">
            <v>Therapeutic</v>
          </cell>
          <cell r="G80" t="str">
            <v>Basic</v>
          </cell>
          <cell r="H80" t="str">
            <v>Nebulizers, Heated</v>
          </cell>
          <cell r="I80" t="str">
            <v>NEBULISER</v>
          </cell>
          <cell r="J80" t="str">
            <v>12-716</v>
          </cell>
          <cell r="K80" t="str">
            <v>PHILIPS</v>
          </cell>
          <cell r="L80" t="str">
            <v xml:space="preserve"> INNOSPIRE DELUXE</v>
          </cell>
          <cell r="M80"/>
          <cell r="N80" t="str">
            <v xml:space="preserve">PEMBEDAHAN AM </v>
          </cell>
          <cell r="O80" t="str">
            <v>Wad Pembedahan Perempuan 9B</v>
          </cell>
          <cell r="P80" t="str">
            <v>ABR</v>
          </cell>
          <cell r="Q80">
            <v>1950</v>
          </cell>
        </row>
        <row r="81">
          <cell r="E81" t="str">
            <v>KKM/JKN/HSA/10-05-01/R/15/16158</v>
          </cell>
          <cell r="F81" t="str">
            <v>Therapeutic</v>
          </cell>
          <cell r="G81" t="str">
            <v>Basic</v>
          </cell>
          <cell r="H81" t="str">
            <v>Nebulizers, Heated</v>
          </cell>
          <cell r="I81" t="str">
            <v>NEBULISER</v>
          </cell>
          <cell r="J81" t="str">
            <v>12-716</v>
          </cell>
          <cell r="K81" t="str">
            <v>PHILIPS</v>
          </cell>
          <cell r="L81" t="str">
            <v xml:space="preserve"> INNOSPIRE DELUXE</v>
          </cell>
          <cell r="M81"/>
          <cell r="N81" t="str">
            <v xml:space="preserve">PEMBEDAHAN AM </v>
          </cell>
          <cell r="O81" t="str">
            <v>Wad Pembedahan Perempuan 9B</v>
          </cell>
          <cell r="P81" t="str">
            <v>ABR</v>
          </cell>
          <cell r="Q81">
            <v>1950</v>
          </cell>
        </row>
        <row r="82">
          <cell r="E82" t="str">
            <v>KKM/JKN/HSA/10-05-01/R/15/16160</v>
          </cell>
          <cell r="F82" t="str">
            <v>Therapeutic</v>
          </cell>
          <cell r="G82" t="str">
            <v>Basic</v>
          </cell>
          <cell r="H82" t="str">
            <v>Nebulizers, Heated</v>
          </cell>
          <cell r="I82" t="str">
            <v>NEBULISER</v>
          </cell>
          <cell r="J82" t="str">
            <v>12-716</v>
          </cell>
          <cell r="K82" t="str">
            <v>PHILIPS</v>
          </cell>
          <cell r="L82" t="str">
            <v xml:space="preserve"> INNOSPIRE DELUXE</v>
          </cell>
          <cell r="M82"/>
          <cell r="N82" t="str">
            <v xml:space="preserve">PEMBEDAHAN AM </v>
          </cell>
          <cell r="O82" t="str">
            <v>Wad Pembedahan Perempuan 9B</v>
          </cell>
          <cell r="P82" t="str">
            <v>ABR</v>
          </cell>
          <cell r="Q82">
            <v>1950</v>
          </cell>
        </row>
        <row r="83">
          <cell r="E83" t="str">
            <v>KKM/JKN/HSA/10-05-01/R/15/16161</v>
          </cell>
          <cell r="F83" t="str">
            <v>Therapeutic</v>
          </cell>
          <cell r="G83" t="str">
            <v>Basic</v>
          </cell>
          <cell r="H83" t="str">
            <v>Nebulizers, Heated</v>
          </cell>
          <cell r="I83" t="str">
            <v>NEBULISER</v>
          </cell>
          <cell r="J83" t="str">
            <v>12-716</v>
          </cell>
          <cell r="K83" t="str">
            <v>PHILIPS</v>
          </cell>
          <cell r="L83" t="str">
            <v xml:space="preserve"> INNOSPIRE DELUXE</v>
          </cell>
          <cell r="M83"/>
          <cell r="N83" t="str">
            <v xml:space="preserve">PEMBEDAHAN AM </v>
          </cell>
          <cell r="O83" t="str">
            <v>Wad Pembedahan Perempuan 9B</v>
          </cell>
          <cell r="P83" t="str">
            <v>ABR</v>
          </cell>
          <cell r="Q83">
            <v>1950</v>
          </cell>
        </row>
        <row r="84">
          <cell r="E84" t="str">
            <v>KKM/JKN/HSA/10-05-01/R/15/16162</v>
          </cell>
          <cell r="F84" t="str">
            <v>Therapeutic</v>
          </cell>
          <cell r="G84" t="str">
            <v>Basic</v>
          </cell>
          <cell r="H84" t="str">
            <v>Nebulizers, Heated</v>
          </cell>
          <cell r="I84" t="str">
            <v>NEBULISER</v>
          </cell>
          <cell r="J84" t="str">
            <v>12-716</v>
          </cell>
          <cell r="K84" t="str">
            <v>PHILIPS</v>
          </cell>
          <cell r="L84" t="str">
            <v xml:space="preserve"> INNOSPIRE DELUXE</v>
          </cell>
          <cell r="M84"/>
          <cell r="N84" t="str">
            <v xml:space="preserve">PEMBEDAHAN AM </v>
          </cell>
          <cell r="O84" t="str">
            <v>Wad Pembedahan Perempuan 9B</v>
          </cell>
          <cell r="P84" t="str">
            <v>ABR</v>
          </cell>
          <cell r="Q84">
            <v>1950</v>
          </cell>
        </row>
        <row r="85">
          <cell r="E85" t="str">
            <v>KKM/JKN/HSA/10-05-01/R/15/16163</v>
          </cell>
          <cell r="F85" t="str">
            <v>Therapeutic</v>
          </cell>
          <cell r="G85" t="str">
            <v>Basic</v>
          </cell>
          <cell r="H85" t="str">
            <v>Nebulizers, Heated</v>
          </cell>
          <cell r="I85" t="str">
            <v>NEBULISER</v>
          </cell>
          <cell r="J85" t="str">
            <v>12-716</v>
          </cell>
          <cell r="K85" t="str">
            <v>PHILIPS</v>
          </cell>
          <cell r="L85" t="str">
            <v xml:space="preserve"> INNOSPIRE DELUXE</v>
          </cell>
          <cell r="M85"/>
          <cell r="N85" t="str">
            <v xml:space="preserve">PEMBEDAHAN AM </v>
          </cell>
          <cell r="O85" t="str">
            <v>Wad Pembedahan Perempuan 9B</v>
          </cell>
          <cell r="P85" t="str">
            <v>ABR</v>
          </cell>
          <cell r="Q85">
            <v>1950</v>
          </cell>
        </row>
        <row r="86">
          <cell r="E86" t="str">
            <v>KKM/JKN/HSA/10-05-01/R/15/16164</v>
          </cell>
          <cell r="F86" t="str">
            <v>Therapeutic</v>
          </cell>
          <cell r="G86" t="str">
            <v>Basic</v>
          </cell>
          <cell r="H86" t="str">
            <v>Nebulizers, Heated</v>
          </cell>
          <cell r="I86" t="str">
            <v>NEBULISER</v>
          </cell>
          <cell r="J86" t="str">
            <v>12-716</v>
          </cell>
          <cell r="K86" t="str">
            <v>PHILIPS</v>
          </cell>
          <cell r="L86" t="str">
            <v xml:space="preserve"> INNOSPIRE DELUXE</v>
          </cell>
          <cell r="M86"/>
          <cell r="N86" t="str">
            <v xml:space="preserve">PEMBEDAHAN AM </v>
          </cell>
          <cell r="O86" t="str">
            <v>Wad Pembedahan Perempuan 9B</v>
          </cell>
          <cell r="P86" t="str">
            <v>ABR</v>
          </cell>
          <cell r="Q86">
            <v>1950</v>
          </cell>
        </row>
        <row r="87">
          <cell r="E87" t="str">
            <v>KKM/JKN/HSA/10-05-01/R/15/16165</v>
          </cell>
          <cell r="F87" t="str">
            <v>Therapeutic</v>
          </cell>
          <cell r="G87" t="str">
            <v>Basic</v>
          </cell>
          <cell r="H87" t="str">
            <v>Nebulizers, Heated</v>
          </cell>
          <cell r="I87" t="str">
            <v>NEBULISER</v>
          </cell>
          <cell r="J87" t="str">
            <v>12-716</v>
          </cell>
          <cell r="K87" t="str">
            <v>PHILIPS</v>
          </cell>
          <cell r="L87" t="str">
            <v xml:space="preserve"> INNOSPIRE DELUXE</v>
          </cell>
          <cell r="M87"/>
          <cell r="N87" t="str">
            <v xml:space="preserve">PEMBEDAHAN AM </v>
          </cell>
          <cell r="O87" t="str">
            <v>Wad Pembedahan Perempuan 9B</v>
          </cell>
          <cell r="P87" t="str">
            <v>ABR</v>
          </cell>
          <cell r="Q87">
            <v>1950</v>
          </cell>
        </row>
        <row r="88">
          <cell r="E88" t="str">
            <v>KKM/JKN/HSA/10-05-01/H/15/1031</v>
          </cell>
          <cell r="F88" t="str">
            <v xml:space="preserve">Diagnostic </v>
          </cell>
          <cell r="G88" t="str">
            <v>Intermediate</v>
          </cell>
          <cell r="H88" t="str">
            <v>Monitors, Physiologic, Vital Signs</v>
          </cell>
          <cell r="I88" t="str">
            <v>MONITOR NIBP/SP02</v>
          </cell>
          <cell r="J88" t="str">
            <v>25-209</v>
          </cell>
          <cell r="K88" t="str">
            <v>WELCH ALLYN</v>
          </cell>
          <cell r="L88" t="str">
            <v>WELCH ALLYN VSM 300</v>
          </cell>
          <cell r="M88"/>
          <cell r="N88" t="str">
            <v xml:space="preserve">PEMBEDAHAN AM </v>
          </cell>
          <cell r="O88" t="str">
            <v>Wad Pembedahan Perempuan 9B</v>
          </cell>
          <cell r="P88" t="str">
            <v>HM</v>
          </cell>
          <cell r="Q88">
            <v>5185</v>
          </cell>
        </row>
        <row r="89">
          <cell r="E89" t="str">
            <v>KKM/JKN/HSA/10-05-01/H/15/2168</v>
          </cell>
          <cell r="F89" t="str">
            <v xml:space="preserve">Diagnostic </v>
          </cell>
          <cell r="G89" t="str">
            <v>Intermediate</v>
          </cell>
          <cell r="H89" t="str">
            <v>Physiologic Monitoring Systems, Acute Care</v>
          </cell>
          <cell r="I89" t="str">
            <v>MONITOR 4 CH, ECG/RR/NIBP/SP02/TEMP</v>
          </cell>
          <cell r="J89" t="str">
            <v>12-647</v>
          </cell>
          <cell r="K89" t="str">
            <v>MINDRAY</v>
          </cell>
          <cell r="L89" t="str">
            <v>IMEC 12</v>
          </cell>
          <cell r="M89"/>
          <cell r="N89" t="str">
            <v xml:space="preserve">PEMBEDAHAN AM </v>
          </cell>
          <cell r="O89" t="str">
            <v>Wad Pembedahan Perempuan 9B</v>
          </cell>
          <cell r="P89" t="str">
            <v>HM</v>
          </cell>
          <cell r="Q89">
            <v>9000</v>
          </cell>
        </row>
        <row r="90">
          <cell r="E90" t="str">
            <v>KKM/JKN/HSA/10-05-01/H/15/5043</v>
          </cell>
          <cell r="F90" t="str">
            <v xml:space="preserve">Diagnostic </v>
          </cell>
          <cell r="G90" t="str">
            <v>Intermediate</v>
          </cell>
          <cell r="H90" t="str">
            <v>Electrocardiographs, Multichannel, Interpretative</v>
          </cell>
          <cell r="I90" t="str">
            <v>ECG P0RTABLE MAINS/BATTERY OP</v>
          </cell>
          <cell r="J90" t="str">
            <v>16-231</v>
          </cell>
          <cell r="K90" t="str">
            <v>GE HEALTHCARE</v>
          </cell>
          <cell r="L90" t="str">
            <v>MAC400</v>
          </cell>
          <cell r="M90" t="str">
            <v>SCT 11486306PA</v>
          </cell>
          <cell r="N90" t="str">
            <v xml:space="preserve">PEMBEDAHAN AM </v>
          </cell>
          <cell r="O90" t="str">
            <v>Wad Pembedahan Perempuan 9B</v>
          </cell>
          <cell r="P90" t="str">
            <v>HM</v>
          </cell>
          <cell r="Q90">
            <v>2750</v>
          </cell>
        </row>
        <row r="91">
          <cell r="E91" t="str">
            <v>KKM/JKN/HSA/10-05-01/R/15/7400</v>
          </cell>
          <cell r="F91" t="str">
            <v xml:space="preserve">Diagnostic </v>
          </cell>
          <cell r="G91" t="str">
            <v>Basic</v>
          </cell>
          <cell r="H91" t="str">
            <v>Ophthalmoscopes/Otoscopes</v>
          </cell>
          <cell r="I91" t="str">
            <v>DIAGNOSTIC SET ADULT</v>
          </cell>
          <cell r="J91" t="str">
            <v>18-595</v>
          </cell>
          <cell r="K91" t="str">
            <v>RUDOLF RIESTER, GMBH</v>
          </cell>
          <cell r="L91" t="str">
            <v>RI-SCOPE ENT 3761</v>
          </cell>
          <cell r="M91"/>
          <cell r="N91" t="str">
            <v xml:space="preserve">PEMBEDAHAN AM </v>
          </cell>
          <cell r="O91" t="str">
            <v>Wad Pembedahan Perempuan 9B</v>
          </cell>
          <cell r="P91" t="str">
            <v>ABR</v>
          </cell>
          <cell r="Q91">
            <v>1459.33</v>
          </cell>
        </row>
        <row r="92">
          <cell r="E92" t="str">
            <v>KKM/JKN/HSA/10-05-01/R/15/7401</v>
          </cell>
          <cell r="F92" t="str">
            <v xml:space="preserve">Diagnostic </v>
          </cell>
          <cell r="G92" t="str">
            <v>Basic</v>
          </cell>
          <cell r="H92" t="str">
            <v>Ophthalmoscopes/Otoscopes</v>
          </cell>
          <cell r="I92" t="str">
            <v>DIAGNOSTIC SET ADULT</v>
          </cell>
          <cell r="J92" t="str">
            <v>18-595</v>
          </cell>
          <cell r="K92" t="str">
            <v>RUDOLF RIESTER, GMBH</v>
          </cell>
          <cell r="L92" t="str">
            <v>RI-SCOPE ENT 3761</v>
          </cell>
          <cell r="M92"/>
          <cell r="N92" t="str">
            <v xml:space="preserve">PEMBEDAHAN AM </v>
          </cell>
          <cell r="O92" t="str">
            <v>Wad Pembedahan Perempuan 9B</v>
          </cell>
          <cell r="P92" t="str">
            <v>ABR</v>
          </cell>
          <cell r="Q92">
            <v>1459.33</v>
          </cell>
        </row>
        <row r="93">
          <cell r="E93" t="str">
            <v>KKM/JKN/HSA/10-05-01/H/15/3685</v>
          </cell>
          <cell r="F93" t="str">
            <v>Therapeutic</v>
          </cell>
          <cell r="G93" t="str">
            <v>Intermediate</v>
          </cell>
          <cell r="H93" t="str">
            <v xml:space="preserve">Defibrillators, External, Automated </v>
          </cell>
          <cell r="I93" t="str">
            <v>DEFIBRILLATOR W/INTERNAL/EXT PADDLES/PACEMAKER</v>
          </cell>
          <cell r="J93" t="str">
            <v>17-116</v>
          </cell>
          <cell r="K93" t="str">
            <v>PHILIPS</v>
          </cell>
          <cell r="L93" t="str">
            <v>EFFICIA DFM100</v>
          </cell>
          <cell r="M93"/>
          <cell r="N93" t="str">
            <v xml:space="preserve">PEMBEDAHAN </v>
          </cell>
          <cell r="O93" t="str">
            <v>Wad Pembedahan Perempuan 9B</v>
          </cell>
          <cell r="P93" t="str">
            <v>HM</v>
          </cell>
          <cell r="Q93">
            <v>14250</v>
          </cell>
        </row>
        <row r="94">
          <cell r="E94" t="str">
            <v>KKM/JKN/HSA/10-05-01/R/15/7153</v>
          </cell>
          <cell r="F94" t="str">
            <v xml:space="preserve">Diagnostic </v>
          </cell>
          <cell r="G94" t="str">
            <v>Intermediate</v>
          </cell>
          <cell r="H94" t="str">
            <v>Monitors, Physiologic, Vital Signs</v>
          </cell>
          <cell r="I94" t="str">
            <v>BLOOD PRESSURE MONITOR NON INVASIVE</v>
          </cell>
          <cell r="J94" t="str">
            <v>25-209</v>
          </cell>
          <cell r="K94" t="str">
            <v>WELCH ALLYN</v>
          </cell>
          <cell r="L94" t="str">
            <v>VSM 300</v>
          </cell>
          <cell r="M94"/>
          <cell r="N94" t="str">
            <v xml:space="preserve">PEMBEDAHAN AM </v>
          </cell>
          <cell r="O94" t="str">
            <v>Wad Pembedahan Perempuan 9B</v>
          </cell>
          <cell r="P94" t="str">
            <v>ABR</v>
          </cell>
          <cell r="Q94">
            <v>1855</v>
          </cell>
        </row>
        <row r="95">
          <cell r="E95" t="str">
            <v>KKM/JKN/HSA/10-05-01/H/20/50</v>
          </cell>
          <cell r="F95" t="str">
            <v>Therapeutic</v>
          </cell>
          <cell r="G95" t="str">
            <v>Intermediate</v>
          </cell>
          <cell r="H95" t="str">
            <v>Infusion Pumps, General-Purpose</v>
          </cell>
          <cell r="I95" t="str">
            <v>PUMP VOLUMETRIC INFUSION (STAND ALONE)</v>
          </cell>
          <cell r="J95" t="str">
            <v>13-215</v>
          </cell>
          <cell r="K95" t="str">
            <v>FRESENIUS KABI</v>
          </cell>
          <cell r="L95" t="str">
            <v>INFUSIA VP7</v>
          </cell>
          <cell r="M95" t="str">
            <v>18800886</v>
          </cell>
          <cell r="N95" t="str">
            <v xml:space="preserve">PEMBEDAHAN AM </v>
          </cell>
          <cell r="O95" t="str">
            <v>Wad Pembedahan Lelaki 9B</v>
          </cell>
          <cell r="P95" t="str">
            <v>HM</v>
          </cell>
          <cell r="Q95">
            <v>3300</v>
          </cell>
        </row>
        <row r="96">
          <cell r="E96" t="str">
            <v>KKM/JKN/HSA/10-05-01/H/20/51</v>
          </cell>
          <cell r="F96" t="str">
            <v>Therapeutic</v>
          </cell>
          <cell r="G96" t="str">
            <v>Intermediate</v>
          </cell>
          <cell r="H96" t="str">
            <v>Infusion Pumps, General-Purpose</v>
          </cell>
          <cell r="I96" t="str">
            <v>PUMP VOLUMETRIC INFUSION (STAND ALONE)</v>
          </cell>
          <cell r="J96" t="str">
            <v>13-215</v>
          </cell>
          <cell r="K96" t="str">
            <v>FRESENIUS KABI</v>
          </cell>
          <cell r="L96" t="str">
            <v>INFUSIA VP7</v>
          </cell>
          <cell r="M96" t="str">
            <v>18800902</v>
          </cell>
          <cell r="N96" t="str">
            <v xml:space="preserve">PEMBEDAHAN AM </v>
          </cell>
          <cell r="O96" t="str">
            <v>Wad Pembedahan Lelaki 9B</v>
          </cell>
          <cell r="P96" t="str">
            <v>HM</v>
          </cell>
          <cell r="Q96">
            <v>3300</v>
          </cell>
        </row>
        <row r="97">
          <cell r="E97" t="str">
            <v>KKM/JKN/HSA/10-05-01/H/20/46</v>
          </cell>
          <cell r="F97" t="str">
            <v>Therapeutic</v>
          </cell>
          <cell r="G97" t="str">
            <v>Intermediate</v>
          </cell>
          <cell r="H97" t="str">
            <v xml:space="preserve">Defibrillators, External, Automated </v>
          </cell>
          <cell r="I97" t="str">
            <v>DEFIBRILLATOR W/INTERNAL/EXT PADDLES/PACEMAKER</v>
          </cell>
          <cell r="J97" t="str">
            <v>17-116</v>
          </cell>
          <cell r="K97" t="str">
            <v>NIHON</v>
          </cell>
          <cell r="L97" t="str">
            <v>TE-C5631K</v>
          </cell>
          <cell r="M97" t="str">
            <v>09152</v>
          </cell>
          <cell r="N97" t="str">
            <v xml:space="preserve">PEMBEDAHAN AM </v>
          </cell>
          <cell r="O97" t="str">
            <v>Wad Pembedahan Lelaki 9B</v>
          </cell>
          <cell r="P97" t="str">
            <v>HM</v>
          </cell>
          <cell r="Q97">
            <v>25000</v>
          </cell>
        </row>
        <row r="98">
          <cell r="E98" t="str">
            <v>KKM/JKN/HSA/10-05-01/H/15/2179</v>
          </cell>
          <cell r="F98" t="str">
            <v>Therapeutic</v>
          </cell>
          <cell r="G98" t="str">
            <v>Basic</v>
          </cell>
          <cell r="H98" t="str">
            <v>Aspirators</v>
          </cell>
          <cell r="I98" t="str">
            <v>SUCTION UNIT 1 X 2L JAR MOBILE</v>
          </cell>
          <cell r="J98" t="str">
            <v>10-208</v>
          </cell>
          <cell r="K98" t="str">
            <v>GIMA</v>
          </cell>
          <cell r="L98">
            <v>28212</v>
          </cell>
          <cell r="M98"/>
          <cell r="N98" t="str">
            <v xml:space="preserve">PEMBEDAHAN AM </v>
          </cell>
          <cell r="O98" t="str">
            <v>Wad Pembedahan Lelaki 9A</v>
          </cell>
          <cell r="P98" t="str">
            <v>HM</v>
          </cell>
          <cell r="Q98">
            <v>3386.5</v>
          </cell>
        </row>
        <row r="99">
          <cell r="E99" t="str">
            <v>KKM/JKN/HSA/10-05-01/H/15/2180</v>
          </cell>
          <cell r="F99" t="str">
            <v>Therapeutic</v>
          </cell>
          <cell r="G99" t="str">
            <v>Basic</v>
          </cell>
          <cell r="H99" t="str">
            <v>Aspirators</v>
          </cell>
          <cell r="I99" t="str">
            <v>SUCTION UNIT 1 X 2L JAR MOBILE</v>
          </cell>
          <cell r="J99" t="str">
            <v>10-208</v>
          </cell>
          <cell r="K99" t="str">
            <v>GIMA</v>
          </cell>
          <cell r="L99">
            <v>28212</v>
          </cell>
          <cell r="M99"/>
          <cell r="N99" t="str">
            <v xml:space="preserve">PEMBEDAHAN AM </v>
          </cell>
          <cell r="O99" t="str">
            <v>Wad Pembedahan Lelaki 9A</v>
          </cell>
          <cell r="P99" t="str">
            <v>HM</v>
          </cell>
          <cell r="Q99">
            <v>3386.5</v>
          </cell>
        </row>
        <row r="100">
          <cell r="E100" t="str">
            <v>KKM/JKN/HSA/10-05-01/H/15/2181</v>
          </cell>
          <cell r="F100" t="str">
            <v>Therapeutic</v>
          </cell>
          <cell r="G100" t="str">
            <v>Basic</v>
          </cell>
          <cell r="H100" t="str">
            <v>Aspirators</v>
          </cell>
          <cell r="I100" t="str">
            <v>SUCTION UNIT 1 X 2L JAR MOBILE</v>
          </cell>
          <cell r="J100" t="str">
            <v>10-208</v>
          </cell>
          <cell r="K100" t="str">
            <v>GIMA</v>
          </cell>
          <cell r="L100">
            <v>28212</v>
          </cell>
          <cell r="M100"/>
          <cell r="N100" t="str">
            <v xml:space="preserve">PEMBEDAHAN AM </v>
          </cell>
          <cell r="O100" t="str">
            <v>Wad Pembedahan Lelaki 9A</v>
          </cell>
          <cell r="P100" t="str">
            <v>HM</v>
          </cell>
          <cell r="Q100">
            <v>3386.5</v>
          </cell>
        </row>
        <row r="101">
          <cell r="E101" t="str">
            <v>KKM/JKN/HSA/10-05-01/H/15/2799</v>
          </cell>
          <cell r="F101" t="str">
            <v>Therapeutic</v>
          </cell>
          <cell r="G101" t="str">
            <v>Basic</v>
          </cell>
          <cell r="H101" t="str">
            <v>Mattress Systems, Alternating-Pressure</v>
          </cell>
          <cell r="I101" t="str">
            <v>RIPPLE MATTRESS W/MOTOR</v>
          </cell>
          <cell r="J101" t="str">
            <v>18-147</v>
          </cell>
          <cell r="K101" t="str">
            <v>BANTEX</v>
          </cell>
          <cell r="L101" t="str">
            <v>APM-5000-G</v>
          </cell>
          <cell r="M101" t="str">
            <v>EZ141105010</v>
          </cell>
          <cell r="N101" t="str">
            <v xml:space="preserve">PEMBEDAHAN AM </v>
          </cell>
          <cell r="O101" t="str">
            <v>Wad Pembedahan Lelaki 9A</v>
          </cell>
          <cell r="P101" t="str">
            <v>HM</v>
          </cell>
          <cell r="Q101">
            <v>2800</v>
          </cell>
        </row>
        <row r="102">
          <cell r="E102" t="str">
            <v>KKM/JKN/HSA/10-05-01/H/15/1263</v>
          </cell>
          <cell r="F102" t="str">
            <v>Therapeutic</v>
          </cell>
          <cell r="G102" t="str">
            <v>Intermediate</v>
          </cell>
          <cell r="H102" t="str">
            <v>Infusion Pumps, General-Purpose</v>
          </cell>
          <cell r="I102" t="str">
            <v>PUMP VOLUMETRIC INFUSION (STAND ALONE)</v>
          </cell>
          <cell r="J102" t="str">
            <v>13-215</v>
          </cell>
          <cell r="K102" t="str">
            <v>FRESENIUS KABI</v>
          </cell>
          <cell r="L102" t="str">
            <v>VOLUMAT MC AGILIA GB</v>
          </cell>
          <cell r="M102" t="str">
            <v>019130/22235932</v>
          </cell>
          <cell r="N102" t="str">
            <v xml:space="preserve">PEMBEDAHAN AM </v>
          </cell>
          <cell r="O102" t="str">
            <v>Wad Pembedahan Lelaki 9A</v>
          </cell>
          <cell r="P102" t="str">
            <v>HM</v>
          </cell>
          <cell r="Q102">
            <v>7245</v>
          </cell>
        </row>
        <row r="103">
          <cell r="E103" t="str">
            <v>KKM/JKN/HSA/10-05-01/H/15/1264</v>
          </cell>
          <cell r="F103" t="str">
            <v>Therapeutic</v>
          </cell>
          <cell r="G103" t="str">
            <v>Intermediate</v>
          </cell>
          <cell r="H103" t="str">
            <v>Infusion Pumps, General-Purpose</v>
          </cell>
          <cell r="I103" t="str">
            <v>PUMP VOLUMETRIC INFUSION (STAND ALONE)</v>
          </cell>
          <cell r="J103" t="str">
            <v>13-215</v>
          </cell>
          <cell r="K103" t="str">
            <v>FRESENIUS KABI</v>
          </cell>
          <cell r="L103" t="str">
            <v>LINK 8+ AGILIA/MOBILE STAND</v>
          </cell>
          <cell r="M103" t="str">
            <v>019130/22235964</v>
          </cell>
          <cell r="N103" t="str">
            <v xml:space="preserve">PEMBEDAHAN AM </v>
          </cell>
          <cell r="O103" t="str">
            <v>Wad Pembedahan Lelaki 9A</v>
          </cell>
          <cell r="P103" t="str">
            <v>HM</v>
          </cell>
          <cell r="Q103">
            <v>7245</v>
          </cell>
        </row>
        <row r="104">
          <cell r="E104" t="str">
            <v>KKM/JKN/HSA/10-05-01/H/15/1265</v>
          </cell>
          <cell r="F104" t="str">
            <v>Therapeutic</v>
          </cell>
          <cell r="G104" t="str">
            <v>Intermediate</v>
          </cell>
          <cell r="H104" t="str">
            <v>Infusion Pumps, General-Purpose</v>
          </cell>
          <cell r="I104" t="str">
            <v>PUMP VOLUMETRIC INFUSION (STAND ALONE)</v>
          </cell>
          <cell r="J104" t="str">
            <v>13-215</v>
          </cell>
          <cell r="K104" t="str">
            <v>FRESENIUS KABI</v>
          </cell>
          <cell r="L104" t="str">
            <v>LINK 8+ AGILIA/MOBILE STAND</v>
          </cell>
          <cell r="M104" t="str">
            <v>019130/22235934</v>
          </cell>
          <cell r="N104" t="str">
            <v xml:space="preserve">PEMBEDAHAN AM </v>
          </cell>
          <cell r="O104" t="str">
            <v>Wad Pembedahan Lelaki 9A</v>
          </cell>
          <cell r="P104" t="str">
            <v>HM</v>
          </cell>
          <cell r="Q104">
            <v>7245</v>
          </cell>
        </row>
        <row r="105">
          <cell r="E105" t="str">
            <v>KKM/JKN/HSA/10-05-01/H/20/47</v>
          </cell>
          <cell r="F105" t="str">
            <v>Therapeutic</v>
          </cell>
          <cell r="G105" t="str">
            <v>Intermediate</v>
          </cell>
          <cell r="H105" t="str">
            <v>Infusion Pumps, General-Purpose</v>
          </cell>
          <cell r="I105" t="str">
            <v>PUMP VOLUMETRIC INFUSION (STAND ALONE)</v>
          </cell>
          <cell r="J105" t="str">
            <v>13-215</v>
          </cell>
          <cell r="K105" t="str">
            <v>FRESENIUS KABI</v>
          </cell>
          <cell r="L105" t="str">
            <v>INFUSIA VP7</v>
          </cell>
          <cell r="M105" t="str">
            <v>18800825</v>
          </cell>
          <cell r="N105" t="str">
            <v xml:space="preserve">PEMBEDAHAN AM </v>
          </cell>
          <cell r="O105" t="str">
            <v>Wad Pembedahan Lelaki 9A</v>
          </cell>
          <cell r="P105" t="str">
            <v>HM</v>
          </cell>
          <cell r="Q105">
            <v>3300</v>
          </cell>
        </row>
        <row r="106">
          <cell r="E106" t="str">
            <v>KKM/JKN/HSA/10-05-01/H/20/48</v>
          </cell>
          <cell r="F106" t="str">
            <v>Therapeutic</v>
          </cell>
          <cell r="G106" t="str">
            <v>Intermediate</v>
          </cell>
          <cell r="H106" t="str">
            <v>Infusion Pumps, General-Purpose</v>
          </cell>
          <cell r="I106" t="str">
            <v>PUMP VOLUMETRIC INFUSION (STAND ALONE)</v>
          </cell>
          <cell r="J106" t="str">
            <v>13-215</v>
          </cell>
          <cell r="K106" t="str">
            <v>FRESENIUS KABI</v>
          </cell>
          <cell r="L106" t="str">
            <v>INFUSIA VP7</v>
          </cell>
          <cell r="M106" t="str">
            <v>18800875</v>
          </cell>
          <cell r="N106" t="str">
            <v xml:space="preserve">PEMBEDAHAN AM </v>
          </cell>
          <cell r="O106" t="str">
            <v>Wad Pembedahan Lelaki 9A</v>
          </cell>
          <cell r="P106" t="str">
            <v>HM</v>
          </cell>
          <cell r="Q106">
            <v>3300</v>
          </cell>
        </row>
        <row r="107">
          <cell r="E107" t="str">
            <v>KKM/JKN/HSA/10-05-01/H/20/49</v>
          </cell>
          <cell r="F107" t="str">
            <v>Therapeutic</v>
          </cell>
          <cell r="G107" t="str">
            <v>Intermediate</v>
          </cell>
          <cell r="H107" t="str">
            <v>Infusion Pumps, General-Purpose</v>
          </cell>
          <cell r="I107" t="str">
            <v>PUMP VOLUMETRIC INFUSION (STAND ALONE)</v>
          </cell>
          <cell r="J107" t="str">
            <v>13-215</v>
          </cell>
          <cell r="K107" t="str">
            <v>FRESENIUS KABI</v>
          </cell>
          <cell r="L107" t="str">
            <v>INFUSIA VP7</v>
          </cell>
          <cell r="M107" t="str">
            <v>18800879</v>
          </cell>
          <cell r="N107" t="str">
            <v xml:space="preserve">PEMBEDAHAN AM </v>
          </cell>
          <cell r="O107" t="str">
            <v>Wad Pembedahan Lelaki 9A</v>
          </cell>
          <cell r="P107" t="str">
            <v>HM</v>
          </cell>
          <cell r="Q107">
            <v>3300</v>
          </cell>
        </row>
        <row r="108">
          <cell r="E108" t="str">
            <v>KKM/JKN/HSA/10-05-01/H/15/2260</v>
          </cell>
          <cell r="F108" t="str">
            <v>Therapeutic</v>
          </cell>
          <cell r="G108" t="str">
            <v>Intermediate</v>
          </cell>
          <cell r="H108" t="str">
            <v>Infusion Pumps, Syringe</v>
          </cell>
          <cell r="I108" t="str">
            <v>PUMP SYRINGE BASIC (STAND ALONE)</v>
          </cell>
          <cell r="J108" t="str">
            <v>13-217</v>
          </cell>
          <cell r="K108" t="str">
            <v>FRESENIUS KABI</v>
          </cell>
          <cell r="L108" t="str">
            <v>INJECTOMAT AGILIA</v>
          </cell>
          <cell r="M108" t="str">
            <v>018030/22233900</v>
          </cell>
          <cell r="N108" t="str">
            <v xml:space="preserve">PEMBEDAHAN AM </v>
          </cell>
          <cell r="O108" t="str">
            <v>Wad Pembedahan Lelaki 9A</v>
          </cell>
          <cell r="P108" t="str">
            <v>HM</v>
          </cell>
          <cell r="Q108">
            <v>2700</v>
          </cell>
        </row>
        <row r="109">
          <cell r="E109" t="str">
            <v>KKM/JKN/HSA/10-05-01/H/15/2261</v>
          </cell>
          <cell r="F109" t="str">
            <v>Therapeutic</v>
          </cell>
          <cell r="G109" t="str">
            <v>Intermediate</v>
          </cell>
          <cell r="H109" t="str">
            <v>Infusion Pumps, Syringe</v>
          </cell>
          <cell r="I109" t="str">
            <v>PUMP SYRINGE BASIC (STAND ALONE)</v>
          </cell>
          <cell r="J109" t="str">
            <v>13-217</v>
          </cell>
          <cell r="K109" t="str">
            <v>FRESENIUS KABI</v>
          </cell>
          <cell r="L109" t="str">
            <v>INJECTOMAT AGILIA</v>
          </cell>
          <cell r="M109"/>
          <cell r="N109" t="str">
            <v xml:space="preserve">PEMBEDAHAN AM </v>
          </cell>
          <cell r="O109" t="str">
            <v>Wad Pembedahan Lelaki 9A</v>
          </cell>
          <cell r="P109" t="str">
            <v>HM</v>
          </cell>
          <cell r="Q109">
            <v>2700</v>
          </cell>
        </row>
        <row r="110">
          <cell r="E110" t="str">
            <v>KKM/JKN/HSA/10-05-01/H/15/2262</v>
          </cell>
          <cell r="F110" t="str">
            <v>Therapeutic</v>
          </cell>
          <cell r="G110" t="str">
            <v>Intermediate</v>
          </cell>
          <cell r="H110" t="str">
            <v>Infusion Pumps, Syringe</v>
          </cell>
          <cell r="I110" t="str">
            <v>PUMP SYRINGE BASIC (STAND ALONE)</v>
          </cell>
          <cell r="J110" t="str">
            <v>13-217</v>
          </cell>
          <cell r="K110" t="str">
            <v>FRESENIUS KABI</v>
          </cell>
          <cell r="L110" t="str">
            <v>INJECTOMAT AGILIA</v>
          </cell>
          <cell r="M110"/>
          <cell r="N110" t="str">
            <v xml:space="preserve">PEMBEDAHAN AM </v>
          </cell>
          <cell r="O110" t="str">
            <v>Wad Pembedahan Lelaki 9A</v>
          </cell>
          <cell r="P110" t="str">
            <v>HM</v>
          </cell>
          <cell r="Q110">
            <v>2700</v>
          </cell>
        </row>
        <row r="111">
          <cell r="E111" t="str">
            <v>KKM/JKN/HSA/10-05-01/H/15/2263</v>
          </cell>
          <cell r="F111" t="str">
            <v>Therapeutic</v>
          </cell>
          <cell r="G111" t="str">
            <v>Intermediate</v>
          </cell>
          <cell r="H111" t="str">
            <v>Infusion Pumps, Syringe</v>
          </cell>
          <cell r="I111" t="str">
            <v>PUMP SYRINGE BASIC (STAND ALONE)</v>
          </cell>
          <cell r="J111" t="str">
            <v>13-217</v>
          </cell>
          <cell r="K111" t="str">
            <v>FRESENIUS KABI</v>
          </cell>
          <cell r="L111" t="str">
            <v>INJECTOMAT AGILIA</v>
          </cell>
          <cell r="M111"/>
          <cell r="N111" t="str">
            <v xml:space="preserve">PEMBEDAHAN AM </v>
          </cell>
          <cell r="O111" t="str">
            <v>Wad Pembedahan Lelaki 9A</v>
          </cell>
          <cell r="P111" t="str">
            <v>HM</v>
          </cell>
          <cell r="Q111">
            <v>2700</v>
          </cell>
        </row>
        <row r="112">
          <cell r="E112" t="str">
            <v>KKM/JKN/HSA/10-05-01/H/15/1808</v>
          </cell>
          <cell r="F112" t="str">
            <v>Therapeutic</v>
          </cell>
          <cell r="G112" t="str">
            <v>Basic</v>
          </cell>
          <cell r="H112" t="str">
            <v>Pumps, Enteral Feeding</v>
          </cell>
          <cell r="I112" t="str">
            <v>PUMP ENTERAL FEEDING</v>
          </cell>
          <cell r="J112" t="str">
            <v>13-209</v>
          </cell>
          <cell r="K112" t="str">
            <v>FRESENIUS KABI</v>
          </cell>
          <cell r="L112" t="str">
            <v>APPLIX VISION</v>
          </cell>
          <cell r="M112"/>
          <cell r="N112" t="str">
            <v xml:space="preserve">PEMBEDAHAN AM </v>
          </cell>
          <cell r="O112" t="str">
            <v>Wad Pembedahan Lelaki 9A</v>
          </cell>
          <cell r="P112" t="str">
            <v>HM</v>
          </cell>
          <cell r="Q112">
            <v>2975</v>
          </cell>
        </row>
        <row r="113">
          <cell r="E113" t="str">
            <v>KKM/JKN/HSA/10-05-01/R/15/16159</v>
          </cell>
          <cell r="F113" t="str">
            <v>Therapeutic</v>
          </cell>
          <cell r="G113" t="str">
            <v>Basic</v>
          </cell>
          <cell r="H113" t="str">
            <v>Nebulizers, Heated</v>
          </cell>
          <cell r="I113" t="str">
            <v>NEBULISER</v>
          </cell>
          <cell r="J113" t="str">
            <v>12-716</v>
          </cell>
          <cell r="K113" t="str">
            <v>PHILIPS</v>
          </cell>
          <cell r="L113" t="str">
            <v xml:space="preserve"> INNOSPIRE DELUXE</v>
          </cell>
          <cell r="M113"/>
          <cell r="N113" t="str">
            <v xml:space="preserve">PEMBEDAHAN AM </v>
          </cell>
          <cell r="O113" t="str">
            <v>Wad Pembedahan Lelaki 9A</v>
          </cell>
          <cell r="P113" t="str">
            <v>ABR</v>
          </cell>
          <cell r="Q113">
            <v>1950</v>
          </cell>
        </row>
        <row r="114">
          <cell r="E114" t="str">
            <v>KKM/JKN/HSA/10-05-01/H/15/2169</v>
          </cell>
          <cell r="F114" t="str">
            <v xml:space="preserve">Diagnostic </v>
          </cell>
          <cell r="G114" t="str">
            <v>Intermediate</v>
          </cell>
          <cell r="H114" t="str">
            <v>Physiologic Monitoring Systems, Acute Care</v>
          </cell>
          <cell r="I114" t="str">
            <v>MONITOR 4 CH, ECG/RR/NIBP/SP02/TEMP</v>
          </cell>
          <cell r="J114" t="str">
            <v>12-647</v>
          </cell>
          <cell r="K114" t="str">
            <v>MINDRAY</v>
          </cell>
          <cell r="L114" t="str">
            <v>IMEC 12</v>
          </cell>
          <cell r="M114"/>
          <cell r="N114" t="str">
            <v xml:space="preserve">PEMBEDAHAN AM </v>
          </cell>
          <cell r="O114" t="str">
            <v>Wad Pembedahan Lelaki 9A</v>
          </cell>
          <cell r="P114" t="str">
            <v>HM</v>
          </cell>
          <cell r="Q114">
            <v>9000</v>
          </cell>
        </row>
        <row r="115">
          <cell r="E115" t="str">
            <v>KKM/JKN/HSA/10-05-01/H/15/5042</v>
          </cell>
          <cell r="F115" t="str">
            <v xml:space="preserve">Diagnostic </v>
          </cell>
          <cell r="G115" t="str">
            <v>Intermediate</v>
          </cell>
          <cell r="H115" t="str">
            <v>Electrocardiographs, Multichannel, Interpretative</v>
          </cell>
          <cell r="I115" t="str">
            <v>ECG P0RTABLE MAINS/BATTERY OP</v>
          </cell>
          <cell r="J115" t="str">
            <v>16-231</v>
          </cell>
          <cell r="K115" t="str">
            <v>GE HEALTHCARE</v>
          </cell>
          <cell r="L115" t="str">
            <v>MAC400</v>
          </cell>
          <cell r="M115" t="str">
            <v>SCT 11486309PA</v>
          </cell>
          <cell r="N115" t="str">
            <v xml:space="preserve">PEMBEDAHAN AM </v>
          </cell>
          <cell r="O115" t="str">
            <v>Wad Pembedahan Lelaki 9A</v>
          </cell>
          <cell r="P115" t="str">
            <v>HM</v>
          </cell>
          <cell r="Q115">
            <v>2750</v>
          </cell>
        </row>
        <row r="116">
          <cell r="E116" t="str">
            <v>KKM/JKN/HSA/10-05-01/H/20/56</v>
          </cell>
          <cell r="F116" t="str">
            <v xml:space="preserve">Diagnostic </v>
          </cell>
          <cell r="G116" t="str">
            <v>Intermediate</v>
          </cell>
          <cell r="H116" t="str">
            <v>Electrocardiographs, Multichannel, Interpretative</v>
          </cell>
          <cell r="I116" t="str">
            <v>ECG  (EKG) MACHINE</v>
          </cell>
          <cell r="J116" t="str">
            <v>16-231</v>
          </cell>
          <cell r="K116" t="str">
            <v>MINDRAY</v>
          </cell>
          <cell r="L116" t="str">
            <v>BENEHEART R3A</v>
          </cell>
          <cell r="M116" t="str">
            <v>SK-93017607</v>
          </cell>
          <cell r="N116" t="str">
            <v xml:space="preserve">PEMBEDAHAN AM </v>
          </cell>
          <cell r="O116" t="str">
            <v>Wad Pembedahan Lelaki 9A</v>
          </cell>
          <cell r="P116" t="str">
            <v>HM</v>
          </cell>
          <cell r="Q116">
            <v>6000</v>
          </cell>
        </row>
        <row r="117">
          <cell r="E117" t="str">
            <v>KKM/JKN/HSA/10-05-01/R/15/7402</v>
          </cell>
          <cell r="F117" t="str">
            <v xml:space="preserve">Diagnostic </v>
          </cell>
          <cell r="G117" t="str">
            <v>Basic</v>
          </cell>
          <cell r="H117" t="str">
            <v>Ophthalmoscopes/Otoscopes</v>
          </cell>
          <cell r="I117" t="str">
            <v>DIAGNOSTIC SET ADULT</v>
          </cell>
          <cell r="J117" t="str">
            <v>18-595</v>
          </cell>
          <cell r="K117" t="str">
            <v>RUDOLF RIESTER, GMBH</v>
          </cell>
          <cell r="L117" t="str">
            <v>RI-SCOPE ENT 3761</v>
          </cell>
          <cell r="M117"/>
          <cell r="N117" t="str">
            <v xml:space="preserve">PEMBEDAHAN AM </v>
          </cell>
          <cell r="O117" t="str">
            <v>Wad Pembedahan Lelaki 9A</v>
          </cell>
          <cell r="P117" t="str">
            <v>ABR</v>
          </cell>
          <cell r="Q117">
            <v>1459.33</v>
          </cell>
        </row>
        <row r="118">
          <cell r="E118" t="str">
            <v>KKM/JKN/HSA/10-05-01/R/15/7403</v>
          </cell>
          <cell r="F118" t="str">
            <v xml:space="preserve">Diagnostic </v>
          </cell>
          <cell r="G118" t="str">
            <v>Basic</v>
          </cell>
          <cell r="H118" t="str">
            <v>Ophthalmoscopes/Otoscopes</v>
          </cell>
          <cell r="I118" t="str">
            <v>DIAGNOSTIC SET ADULT</v>
          </cell>
          <cell r="J118" t="str">
            <v>18-595</v>
          </cell>
          <cell r="K118" t="str">
            <v>RUDOLF RIESTER, GMBH</v>
          </cell>
          <cell r="L118" t="str">
            <v>RI-SCOPE ENT 3761</v>
          </cell>
          <cell r="M118"/>
          <cell r="N118" t="str">
            <v xml:space="preserve">PEMBEDAHAN AM </v>
          </cell>
          <cell r="O118" t="str">
            <v>Wad Pembedahan Lelaki 9A</v>
          </cell>
          <cell r="P118" t="str">
            <v>ABR</v>
          </cell>
          <cell r="Q118">
            <v>1459.33</v>
          </cell>
        </row>
        <row r="119">
          <cell r="E119" t="str">
            <v>KKM/JKN/HSA/10-05-01/H/15/5104</v>
          </cell>
          <cell r="F119" t="str">
            <v>Therapeutic</v>
          </cell>
          <cell r="G119" t="str">
            <v>Intermediate</v>
          </cell>
          <cell r="H119" t="str">
            <v>Flowmeters, Blood, Ultrasonic</v>
          </cell>
          <cell r="I119" t="str">
            <v>DETECTOR VASCULAR FLOW</v>
          </cell>
          <cell r="J119" t="str">
            <v>10-432</v>
          </cell>
          <cell r="K119" t="str">
            <v>HUNTLEIGH</v>
          </cell>
          <cell r="L119" t="str">
            <v>D900</v>
          </cell>
          <cell r="M119" t="str">
            <v>MD2P10527270-13</v>
          </cell>
          <cell r="N119" t="str">
            <v xml:space="preserve">PEMBEDAHAN AM </v>
          </cell>
          <cell r="O119" t="str">
            <v>Wad Pembedahan Lelaki 9A</v>
          </cell>
          <cell r="P119" t="str">
            <v>HM</v>
          </cell>
          <cell r="Q119">
            <v>10595</v>
          </cell>
        </row>
        <row r="120">
          <cell r="E120" t="str">
            <v>KKM/JKN/HSA/10-05-01/H/15/3684</v>
          </cell>
          <cell r="F120" t="str">
            <v>Therapeutic</v>
          </cell>
          <cell r="G120" t="str">
            <v>Intermediate</v>
          </cell>
          <cell r="H120" t="str">
            <v xml:space="preserve">Defibrillators, External, Automated </v>
          </cell>
          <cell r="I120" t="str">
            <v>DEFIBRILLATOR W/INTERNAL/EXT PADDLES/PACEMAKER</v>
          </cell>
          <cell r="J120" t="str">
            <v>17-116</v>
          </cell>
          <cell r="K120" t="str">
            <v>PHILIPS</v>
          </cell>
          <cell r="L120" t="str">
            <v>EFFICIA DFM100</v>
          </cell>
          <cell r="M120"/>
          <cell r="N120" t="str">
            <v xml:space="preserve">PEMBEDAHAN AM </v>
          </cell>
          <cell r="O120" t="str">
            <v>Wad Pembedahan Lelaki 9A</v>
          </cell>
          <cell r="P120" t="str">
            <v>HM</v>
          </cell>
          <cell r="Q120">
            <v>14250</v>
          </cell>
        </row>
        <row r="121">
          <cell r="E121" t="str">
            <v>KKM/JKN/HSA/10-05-01/R/15/7154</v>
          </cell>
          <cell r="F121" t="str">
            <v xml:space="preserve">Diagnostic </v>
          </cell>
          <cell r="G121" t="str">
            <v>Intermediate</v>
          </cell>
          <cell r="H121" t="str">
            <v>Monitors, Physiologic, Vital Signs</v>
          </cell>
          <cell r="I121" t="str">
            <v>BLOOD PRESSURE MONITOR NON INVASIVE</v>
          </cell>
          <cell r="J121" t="str">
            <v>25-209</v>
          </cell>
          <cell r="K121" t="str">
            <v>WELCH ALLYN</v>
          </cell>
          <cell r="L121" t="str">
            <v>VSM 300</v>
          </cell>
          <cell r="M121" t="str">
            <v>JA123427</v>
          </cell>
          <cell r="N121" t="str">
            <v xml:space="preserve">PEMBEDAHAN AM </v>
          </cell>
          <cell r="O121" t="str">
            <v>Wad Pembedahan Lelaki 9A</v>
          </cell>
          <cell r="P121" t="str">
            <v>ABR</v>
          </cell>
          <cell r="Q121">
            <v>1855</v>
          </cell>
        </row>
        <row r="122">
          <cell r="E122" t="str">
            <v>KKM/JKN/HSA/10-05-01/H/15/1247</v>
          </cell>
          <cell r="F122" t="str">
            <v>Therapeutic</v>
          </cell>
          <cell r="G122" t="str">
            <v>Intermediate</v>
          </cell>
          <cell r="H122" t="str">
            <v>Infusion Pumps, General-Purpose</v>
          </cell>
          <cell r="I122" t="str">
            <v>PUMP VOLUMETRIC INFUSION (STAND ALONE)</v>
          </cell>
          <cell r="J122" t="str">
            <v>13-215</v>
          </cell>
          <cell r="K122" t="str">
            <v>FRESENIUS KABI</v>
          </cell>
          <cell r="L122" t="str">
            <v>TPM</v>
          </cell>
          <cell r="M122">
            <v>22235252</v>
          </cell>
          <cell r="N122" t="str">
            <v>PEDIATRIK</v>
          </cell>
          <cell r="O122" t="str">
            <v>Wad Pediatrik</v>
          </cell>
          <cell r="P122" t="str">
            <v>HM</v>
          </cell>
          <cell r="Q122">
            <v>7245</v>
          </cell>
        </row>
        <row r="123">
          <cell r="E123" t="str">
            <v>KKM/JKN/HSA/10-05-01/H/15/1248</v>
          </cell>
          <cell r="F123" t="str">
            <v>Therapeutic</v>
          </cell>
          <cell r="G123" t="str">
            <v>Intermediate</v>
          </cell>
          <cell r="H123" t="str">
            <v>Infusion Pumps, General-Purpose</v>
          </cell>
          <cell r="I123" t="str">
            <v>PUMP VOLUMETRIC INFUSION (STAND ALONE)</v>
          </cell>
          <cell r="J123" t="str">
            <v>13-215</v>
          </cell>
          <cell r="K123" t="str">
            <v>FRESENIUS KABI</v>
          </cell>
          <cell r="L123" t="str">
            <v>TPM</v>
          </cell>
          <cell r="M123">
            <v>22235259</v>
          </cell>
          <cell r="N123" t="str">
            <v>PEDIATRIK</v>
          </cell>
          <cell r="O123" t="str">
            <v>Wad Pediatrik</v>
          </cell>
          <cell r="P123" t="str">
            <v>HM</v>
          </cell>
          <cell r="Q123">
            <v>7245</v>
          </cell>
        </row>
        <row r="124">
          <cell r="E124" t="str">
            <v>KKM/JKN/HSA/10-05-01/H/15/1249</v>
          </cell>
          <cell r="F124" t="str">
            <v>Therapeutic</v>
          </cell>
          <cell r="G124" t="str">
            <v>Intermediate</v>
          </cell>
          <cell r="H124" t="str">
            <v>Infusion Pumps, General-Purpose</v>
          </cell>
          <cell r="I124" t="str">
            <v>PUMP VOLUMETRIC INFUSION (STAND ALONE)</v>
          </cell>
          <cell r="J124" t="str">
            <v>13-215</v>
          </cell>
          <cell r="K124" t="str">
            <v>FRESENIUS KABI</v>
          </cell>
          <cell r="L124" t="str">
            <v>TPM</v>
          </cell>
          <cell r="M124">
            <v>222235250</v>
          </cell>
          <cell r="N124" t="str">
            <v>PEDIATRIK</v>
          </cell>
          <cell r="O124" t="str">
            <v>Wad Pediatrik</v>
          </cell>
          <cell r="P124" t="str">
            <v>HM</v>
          </cell>
          <cell r="Q124">
            <v>7245</v>
          </cell>
        </row>
        <row r="125">
          <cell r="E125" t="str">
            <v>KKM/JKN/HSA/10-05-01/H/15/1250</v>
          </cell>
          <cell r="F125" t="str">
            <v>Therapeutic</v>
          </cell>
          <cell r="G125" t="str">
            <v>Intermediate</v>
          </cell>
          <cell r="H125" t="str">
            <v>Infusion Pumps, General-Purpose</v>
          </cell>
          <cell r="I125" t="str">
            <v>PUMP VOLUMETRIC INFUSION (STAND ALONE)</v>
          </cell>
          <cell r="J125" t="str">
            <v>13-215</v>
          </cell>
          <cell r="K125" t="str">
            <v>FRESENIUS KABI</v>
          </cell>
          <cell r="L125" t="str">
            <v>TPM</v>
          </cell>
          <cell r="M125">
            <v>22235933</v>
          </cell>
          <cell r="N125" t="str">
            <v>PEDIATRIK</v>
          </cell>
          <cell r="O125" t="str">
            <v>Wad Pediatrik</v>
          </cell>
          <cell r="P125" t="str">
            <v>HM</v>
          </cell>
          <cell r="Q125">
            <v>7245</v>
          </cell>
        </row>
        <row r="126">
          <cell r="E126" t="str">
            <v>KKM/JKN/HSA/10-05-01/H/15/1251</v>
          </cell>
          <cell r="F126" t="str">
            <v>Therapeutic</v>
          </cell>
          <cell r="G126" t="str">
            <v>Intermediate</v>
          </cell>
          <cell r="H126" t="str">
            <v>Infusion Pumps, General-Purpose</v>
          </cell>
          <cell r="I126" t="str">
            <v>PUMP VOLUMETRIC INFUSION (STAND ALONE)</v>
          </cell>
          <cell r="J126" t="str">
            <v>13-215</v>
          </cell>
          <cell r="K126" t="str">
            <v>FRESENIUS KABI</v>
          </cell>
          <cell r="L126" t="str">
            <v>TPM</v>
          </cell>
          <cell r="M126">
            <v>22235951</v>
          </cell>
          <cell r="N126" t="str">
            <v>PEDIATRIK</v>
          </cell>
          <cell r="O126" t="str">
            <v>Wad Pediatrik</v>
          </cell>
          <cell r="P126" t="str">
            <v>HM</v>
          </cell>
          <cell r="Q126">
            <v>7245</v>
          </cell>
        </row>
        <row r="127">
          <cell r="E127" t="str">
            <v>KKM/JKN/HSA/10-05-01/H/15/1252</v>
          </cell>
          <cell r="F127" t="str">
            <v>Therapeutic</v>
          </cell>
          <cell r="G127" t="str">
            <v>Intermediate</v>
          </cell>
          <cell r="H127" t="str">
            <v>Infusion Pumps, General-Purpose</v>
          </cell>
          <cell r="I127" t="str">
            <v>PUMP VOLUMETRIC INFUSION (STAND ALONE)</v>
          </cell>
          <cell r="J127" t="str">
            <v>13-215</v>
          </cell>
          <cell r="K127" t="str">
            <v>FRESENIUS KABI</v>
          </cell>
          <cell r="L127" t="str">
            <v>TPM</v>
          </cell>
          <cell r="M127">
            <v>22235923</v>
          </cell>
          <cell r="N127" t="str">
            <v>PEDIATRIK</v>
          </cell>
          <cell r="O127" t="str">
            <v>Wad Pediatrik</v>
          </cell>
          <cell r="P127" t="str">
            <v>HM</v>
          </cell>
          <cell r="Q127">
            <v>7245</v>
          </cell>
        </row>
        <row r="128">
          <cell r="E128" t="str">
            <v>KKM/JKN/HSA/10-05-01/H/15/1253</v>
          </cell>
          <cell r="F128" t="str">
            <v>Therapeutic</v>
          </cell>
          <cell r="G128" t="str">
            <v>Intermediate</v>
          </cell>
          <cell r="H128" t="str">
            <v>Infusion Pumps, General-Purpose</v>
          </cell>
          <cell r="I128" t="str">
            <v>PUMP VOLUMETRIC INFUSION (STAND ALONE)</v>
          </cell>
          <cell r="J128" t="str">
            <v>13-215</v>
          </cell>
          <cell r="K128" t="str">
            <v>FRESENIUS KABI</v>
          </cell>
          <cell r="L128" t="str">
            <v>TPM</v>
          </cell>
          <cell r="M128">
            <v>22170254</v>
          </cell>
          <cell r="N128" t="str">
            <v>PEDIATRIK</v>
          </cell>
          <cell r="O128" t="str">
            <v>Wad Pediatrik</v>
          </cell>
          <cell r="P128" t="str">
            <v>HM</v>
          </cell>
          <cell r="Q128">
            <v>7245</v>
          </cell>
        </row>
        <row r="129">
          <cell r="E129" t="str">
            <v>KKM/JKN/HSA/10-05-01/H/15/1254</v>
          </cell>
          <cell r="F129" t="str">
            <v>Therapeutic</v>
          </cell>
          <cell r="G129" t="str">
            <v>Intermediate</v>
          </cell>
          <cell r="H129" t="str">
            <v>Infusion Pumps, General-Purpose</v>
          </cell>
          <cell r="I129" t="str">
            <v>PUMP VOLUMETRIC INFUSION (STAND ALONE)</v>
          </cell>
          <cell r="J129" t="str">
            <v>13-215</v>
          </cell>
          <cell r="K129" t="str">
            <v>FRESENIUS KABI</v>
          </cell>
          <cell r="L129" t="str">
            <v>TPM</v>
          </cell>
          <cell r="M129">
            <v>22235946</v>
          </cell>
          <cell r="N129" t="str">
            <v>PEDIATRIK</v>
          </cell>
          <cell r="O129" t="str">
            <v>Wad Pediatrik</v>
          </cell>
          <cell r="P129" t="str">
            <v>HM</v>
          </cell>
          <cell r="Q129">
            <v>7245</v>
          </cell>
        </row>
        <row r="130">
          <cell r="E130" t="str">
            <v>KKM/JKN/HSA/10-05-01/H/15/654</v>
          </cell>
          <cell r="F130" t="str">
            <v>Therapeutic</v>
          </cell>
          <cell r="G130" t="str">
            <v>Intermediate</v>
          </cell>
          <cell r="H130" t="str">
            <v>Infusion Pumps, Syringe</v>
          </cell>
          <cell r="I130" t="str">
            <v>PUMP SYRINGE BASIC DOSE RATE (STAND ALONE)</v>
          </cell>
          <cell r="J130" t="str">
            <v>13-217</v>
          </cell>
          <cell r="K130" t="str">
            <v>FRESENIUS KABI</v>
          </cell>
          <cell r="L130" t="str">
            <v>INJECTOMAT MC AGILIA</v>
          </cell>
          <cell r="M130">
            <v>22231837</v>
          </cell>
          <cell r="N130" t="str">
            <v>PEDIATRIK</v>
          </cell>
          <cell r="O130" t="str">
            <v>Wad Pediatrik</v>
          </cell>
          <cell r="P130" t="str">
            <v>HM</v>
          </cell>
          <cell r="Q130">
            <v>4300</v>
          </cell>
        </row>
        <row r="131">
          <cell r="E131" t="str">
            <v>KKM/JKN/HSA/10-05-01/H/15/655</v>
          </cell>
          <cell r="F131" t="str">
            <v>Therapeutic</v>
          </cell>
          <cell r="G131" t="str">
            <v>Intermediate</v>
          </cell>
          <cell r="H131" t="str">
            <v>Infusion Pumps, Syringe</v>
          </cell>
          <cell r="I131" t="str">
            <v>PUMP SYRINGE BASIC DOSE RATE (STAND ALONE)</v>
          </cell>
          <cell r="J131" t="str">
            <v>13-217</v>
          </cell>
          <cell r="K131" t="str">
            <v>FRESENIUS KABI</v>
          </cell>
          <cell r="L131" t="str">
            <v>INJECTOMAT MC AGILIA</v>
          </cell>
          <cell r="M131">
            <v>22231857</v>
          </cell>
          <cell r="N131" t="str">
            <v>PEDIATRIK</v>
          </cell>
          <cell r="O131" t="str">
            <v>Wad Pediatrik</v>
          </cell>
          <cell r="P131" t="str">
            <v>HM</v>
          </cell>
          <cell r="Q131">
            <v>4300</v>
          </cell>
        </row>
        <row r="132">
          <cell r="E132" t="str">
            <v>KKM/JKN/HSA/10-05-01/H/15/656</v>
          </cell>
          <cell r="F132" t="str">
            <v>Therapeutic</v>
          </cell>
          <cell r="G132" t="str">
            <v>Intermediate</v>
          </cell>
          <cell r="H132" t="str">
            <v>Infusion Pumps, Syringe</v>
          </cell>
          <cell r="I132" t="str">
            <v>PUMP SYRINGE BASIC DOSE RATE (STAND ALONE)</v>
          </cell>
          <cell r="J132" t="str">
            <v>13-217</v>
          </cell>
          <cell r="K132" t="str">
            <v>FRESENIUS KABI</v>
          </cell>
          <cell r="L132" t="str">
            <v>INJECTOMAT MC AGILIA</v>
          </cell>
          <cell r="M132">
            <v>22231687</v>
          </cell>
          <cell r="N132" t="str">
            <v>PEDIATRIK</v>
          </cell>
          <cell r="O132" t="str">
            <v>Wad Pediatrik</v>
          </cell>
          <cell r="P132" t="str">
            <v>HM</v>
          </cell>
          <cell r="Q132">
            <v>4300</v>
          </cell>
        </row>
        <row r="133">
          <cell r="E133" t="str">
            <v>KKM/JKN/HSA/10-05-01/H/15/658</v>
          </cell>
          <cell r="F133" t="str">
            <v>Therapeutic</v>
          </cell>
          <cell r="G133" t="str">
            <v>Intermediate</v>
          </cell>
          <cell r="H133" t="str">
            <v>Infusion Pumps, Syringe</v>
          </cell>
          <cell r="I133" t="str">
            <v>PUMP SYRINGE BASIC DOSE RATE (STAND ALONE)</v>
          </cell>
          <cell r="J133" t="str">
            <v>13-217</v>
          </cell>
          <cell r="K133" t="str">
            <v>FRESENIUS KABI</v>
          </cell>
          <cell r="L133" t="str">
            <v>INJECTOMAT MC AGILIA</v>
          </cell>
          <cell r="M133">
            <v>22231858</v>
          </cell>
          <cell r="N133" t="str">
            <v>PEDIATRIK</v>
          </cell>
          <cell r="O133" t="str">
            <v>Wad Pediatrik</v>
          </cell>
          <cell r="P133" t="str">
            <v>HM</v>
          </cell>
          <cell r="Q133">
            <v>4300</v>
          </cell>
        </row>
        <row r="134">
          <cell r="E134" t="str">
            <v>KKM/JKN/HSA/10-05-01/H/15/659</v>
          </cell>
          <cell r="F134" t="str">
            <v>Therapeutic</v>
          </cell>
          <cell r="G134" t="str">
            <v>Intermediate</v>
          </cell>
          <cell r="H134" t="str">
            <v>Infusion Pumps, Syringe</v>
          </cell>
          <cell r="I134" t="str">
            <v>PUMP SYRINGE BASIC DOSE RATE (STAND ALONE)</v>
          </cell>
          <cell r="J134" t="str">
            <v>13-217</v>
          </cell>
          <cell r="K134" t="str">
            <v>FRESENIUS KABI</v>
          </cell>
          <cell r="L134" t="str">
            <v>INJECTOMAT MC AGILIA</v>
          </cell>
          <cell r="M134">
            <v>22231635</v>
          </cell>
          <cell r="N134" t="str">
            <v>PEDIATRIK</v>
          </cell>
          <cell r="O134" t="str">
            <v>Wad Pediatrik</v>
          </cell>
          <cell r="P134" t="str">
            <v>HM</v>
          </cell>
          <cell r="Q134">
            <v>4300</v>
          </cell>
        </row>
        <row r="135">
          <cell r="E135" t="str">
            <v>KKM/JKN/HSA/10-05-01/H/15/660</v>
          </cell>
          <cell r="F135" t="str">
            <v>Therapeutic</v>
          </cell>
          <cell r="G135" t="str">
            <v>Intermediate</v>
          </cell>
          <cell r="H135" t="str">
            <v>Infusion Pumps, Syringe</v>
          </cell>
          <cell r="I135" t="str">
            <v>PUMP SYRINGE BASIC DOSE RATE (STAND ALONE)</v>
          </cell>
          <cell r="J135" t="str">
            <v>13-217</v>
          </cell>
          <cell r="K135" t="str">
            <v>FRESENIUS KABI</v>
          </cell>
          <cell r="L135" t="str">
            <v>INJECTOMAT MC AGILIA</v>
          </cell>
          <cell r="M135">
            <v>22231672</v>
          </cell>
          <cell r="N135" t="str">
            <v>PEDIATRIK</v>
          </cell>
          <cell r="O135" t="str">
            <v>Wad Pediatrik</v>
          </cell>
          <cell r="P135" t="str">
            <v>HM</v>
          </cell>
          <cell r="Q135">
            <v>4300</v>
          </cell>
        </row>
        <row r="136">
          <cell r="E136" t="str">
            <v>KKM/JKN/HSA/10-05-01/H/15/661</v>
          </cell>
          <cell r="F136" t="str">
            <v>Therapeutic</v>
          </cell>
          <cell r="G136" t="str">
            <v>Intermediate</v>
          </cell>
          <cell r="H136" t="str">
            <v>Infusion Pumps, Syringe</v>
          </cell>
          <cell r="I136" t="str">
            <v>PUMP SYRINGE BASIC DOSE RATE (STAND ALONE)</v>
          </cell>
          <cell r="J136" t="str">
            <v>13-217</v>
          </cell>
          <cell r="K136" t="str">
            <v>FRESENIUS KABI</v>
          </cell>
          <cell r="L136" t="str">
            <v>INJECTOMAT MC AGILIA</v>
          </cell>
          <cell r="M136">
            <v>22231843</v>
          </cell>
          <cell r="N136" t="str">
            <v>PEDIATRIK</v>
          </cell>
          <cell r="O136" t="str">
            <v>Wad Pediatrik</v>
          </cell>
          <cell r="P136" t="str">
            <v>HM</v>
          </cell>
          <cell r="Q136">
            <v>4300</v>
          </cell>
        </row>
        <row r="137">
          <cell r="E137" t="str">
            <v>KKM/JKN/HSA/10-05-01/H/15/662</v>
          </cell>
          <cell r="F137" t="str">
            <v>Therapeutic</v>
          </cell>
          <cell r="G137" t="str">
            <v>Intermediate</v>
          </cell>
          <cell r="H137" t="str">
            <v>Infusion Pumps, Syringe</v>
          </cell>
          <cell r="I137" t="str">
            <v>PUMP SYRINGE BASIC DOSE RATE (STAND ALONE)</v>
          </cell>
          <cell r="J137" t="str">
            <v>13-217</v>
          </cell>
          <cell r="K137" t="str">
            <v>FRESENIUS KABI</v>
          </cell>
          <cell r="L137" t="str">
            <v>INJECTOMAT MC AGILIA</v>
          </cell>
          <cell r="M137">
            <v>22231706</v>
          </cell>
          <cell r="N137" t="str">
            <v>PEDIATRIK</v>
          </cell>
          <cell r="O137" t="str">
            <v>Wad Pediatrik</v>
          </cell>
          <cell r="P137" t="str">
            <v>HM</v>
          </cell>
          <cell r="Q137">
            <v>4300</v>
          </cell>
        </row>
        <row r="138">
          <cell r="E138" t="str">
            <v>KKM/JKN/HSA/10-05-01/H/15/1806</v>
          </cell>
          <cell r="F138" t="str">
            <v>Therapeutic</v>
          </cell>
          <cell r="G138" t="str">
            <v>Basic</v>
          </cell>
          <cell r="H138" t="str">
            <v>Pumps, Enteral Feeding</v>
          </cell>
          <cell r="I138" t="str">
            <v>PUMP ENTERAL FEEDING</v>
          </cell>
          <cell r="J138" t="str">
            <v>13-209</v>
          </cell>
          <cell r="K138" t="str">
            <v>FRESENIUS KABI</v>
          </cell>
          <cell r="L138" t="str">
            <v>APPLIX VISION</v>
          </cell>
          <cell r="M138">
            <v>22232624</v>
          </cell>
          <cell r="N138" t="str">
            <v>PEDIATRIK</v>
          </cell>
          <cell r="O138" t="str">
            <v>Wad Pediatrik</v>
          </cell>
          <cell r="P138" t="str">
            <v>HM</v>
          </cell>
          <cell r="Q138">
            <v>2975</v>
          </cell>
        </row>
        <row r="139">
          <cell r="E139" t="str">
            <v>KKM/JKN/HSA/10-05-01/H/15/978</v>
          </cell>
          <cell r="F139" t="str">
            <v xml:space="preserve">Diagnostic </v>
          </cell>
          <cell r="G139" t="str">
            <v>Intermediate</v>
          </cell>
          <cell r="H139" t="str">
            <v>Oximeters, Pulse</v>
          </cell>
          <cell r="I139" t="str">
            <v>OXIMETER PULSE</v>
          </cell>
          <cell r="J139" t="str">
            <v>17-148</v>
          </cell>
          <cell r="K139" t="str">
            <v>GE HEALTHCARE</v>
          </cell>
          <cell r="L139"/>
          <cell r="M139" t="str">
            <v>FCC14250150SA</v>
          </cell>
          <cell r="N139" t="str">
            <v>PEDIATRIK</v>
          </cell>
          <cell r="O139" t="str">
            <v>Wad Pediatrik</v>
          </cell>
          <cell r="P139" t="str">
            <v>HM</v>
          </cell>
          <cell r="Q139">
            <v>4000</v>
          </cell>
        </row>
        <row r="140">
          <cell r="E140" t="str">
            <v>KKM/JKN/HSA/10-05-01/R/15/16155</v>
          </cell>
          <cell r="F140" t="str">
            <v>Therapeutic</v>
          </cell>
          <cell r="G140" t="str">
            <v>Basic</v>
          </cell>
          <cell r="H140" t="str">
            <v>Nebulizers, Heated</v>
          </cell>
          <cell r="I140" t="str">
            <v>NEBULISER</v>
          </cell>
          <cell r="J140" t="str">
            <v>12-716</v>
          </cell>
          <cell r="K140" t="str">
            <v>PHILIPS</v>
          </cell>
          <cell r="L140" t="str">
            <v xml:space="preserve"> INNOSPIRE DELUXE</v>
          </cell>
          <cell r="M140" t="str">
            <v>022627</v>
          </cell>
          <cell r="N140" t="str">
            <v>PEDIATRIK</v>
          </cell>
          <cell r="O140" t="str">
            <v>Wad Pediatrik</v>
          </cell>
          <cell r="P140" t="str">
            <v>ABR</v>
          </cell>
          <cell r="Q140">
            <v>1950</v>
          </cell>
        </row>
        <row r="141">
          <cell r="E141" t="str">
            <v>KKM/JKN/HSA/10-05-01/H/15/2165</v>
          </cell>
          <cell r="F141" t="str">
            <v xml:space="preserve">Diagnostic </v>
          </cell>
          <cell r="G141" t="str">
            <v>Intermediate</v>
          </cell>
          <cell r="H141" t="str">
            <v>Physiologic Monitoring Systems, Acute Care</v>
          </cell>
          <cell r="I141" t="str">
            <v>MONITOR 4 CH, ECG/RR/NIBP/SP02/TEMP</v>
          </cell>
          <cell r="J141" t="str">
            <v>12-647</v>
          </cell>
          <cell r="K141" t="str">
            <v>MINDRAY</v>
          </cell>
          <cell r="L141" t="str">
            <v>IMEC 12</v>
          </cell>
          <cell r="M141" t="str">
            <v>EV45011642</v>
          </cell>
          <cell r="N141" t="str">
            <v>PEDIATRIK</v>
          </cell>
          <cell r="O141" t="str">
            <v>Wad Pediatrik</v>
          </cell>
          <cell r="P141" t="str">
            <v>HM</v>
          </cell>
          <cell r="Q141">
            <v>9000</v>
          </cell>
        </row>
        <row r="142">
          <cell r="E142" t="str">
            <v>KKM/JKN/HSA/10-05-01/H/15/2166</v>
          </cell>
          <cell r="F142" t="str">
            <v xml:space="preserve">Diagnostic </v>
          </cell>
          <cell r="G142" t="str">
            <v>Intermediate</v>
          </cell>
          <cell r="H142" t="str">
            <v>Physiologic Monitoring Systems, Acute Care</v>
          </cell>
          <cell r="I142" t="str">
            <v>MONITOR 4 CH, ECG/RR/NIBP/SP02/TEMP</v>
          </cell>
          <cell r="J142" t="str">
            <v>12-647</v>
          </cell>
          <cell r="K142" t="str">
            <v>MINDRAY</v>
          </cell>
          <cell r="L142" t="str">
            <v>IMEC 12</v>
          </cell>
          <cell r="M142" t="str">
            <v>EV45011643</v>
          </cell>
          <cell r="N142" t="str">
            <v>PEDIATRIK</v>
          </cell>
          <cell r="O142" t="str">
            <v>Wad Pediatrik</v>
          </cell>
          <cell r="P142" t="str">
            <v>HM</v>
          </cell>
          <cell r="Q142">
            <v>9000</v>
          </cell>
        </row>
        <row r="143">
          <cell r="E143" t="str">
            <v>KKM/JKN/HSA/10-05-01/H/15/2167</v>
          </cell>
          <cell r="F143" t="str">
            <v xml:space="preserve">Diagnostic </v>
          </cell>
          <cell r="G143" t="str">
            <v>Intermediate</v>
          </cell>
          <cell r="H143" t="str">
            <v>Physiologic Monitoring Systems, Acute Care</v>
          </cell>
          <cell r="I143" t="str">
            <v>MONITOR 4 CH, ECG/RR/NIBP/SP02/TEMP</v>
          </cell>
          <cell r="J143" t="str">
            <v>12-647</v>
          </cell>
          <cell r="K143" t="str">
            <v>MINDRAY</v>
          </cell>
          <cell r="L143" t="str">
            <v>IMEC 12</v>
          </cell>
          <cell r="M143" t="str">
            <v>EV45011644</v>
          </cell>
          <cell r="N143" t="str">
            <v>PEDIATRIK</v>
          </cell>
          <cell r="O143" t="str">
            <v>Wad Pediatrik</v>
          </cell>
          <cell r="P143" t="str">
            <v>HM</v>
          </cell>
          <cell r="Q143">
            <v>9000</v>
          </cell>
        </row>
        <row r="144">
          <cell r="E144" t="str">
            <v>KKM/JKN/HSA/10-05-01/H/16/127</v>
          </cell>
          <cell r="F144" t="str">
            <v>Therapeutic</v>
          </cell>
          <cell r="G144" t="str">
            <v>Basic</v>
          </cell>
          <cell r="H144" t="str">
            <v>Training Manikins, Cardiopulmonary Resuscitation</v>
          </cell>
          <cell r="I144" t="str">
            <v>KOMPUTER TABLET</v>
          </cell>
          <cell r="J144" t="str">
            <v>15-309</v>
          </cell>
          <cell r="K144" t="str">
            <v>LAERDAL / 204-30003</v>
          </cell>
          <cell r="L144" t="str">
            <v>TPM</v>
          </cell>
          <cell r="M144" t="str">
            <v>TSBG07013337</v>
          </cell>
          <cell r="N144" t="str">
            <v>PEDIATRIK</v>
          </cell>
          <cell r="O144" t="str">
            <v>Wad Pediatrik</v>
          </cell>
          <cell r="P144" t="str">
            <v>HM</v>
          </cell>
          <cell r="Q144">
            <v>6337.5</v>
          </cell>
        </row>
        <row r="145">
          <cell r="E145" t="str">
            <v>KKM/JKN/HSA/10-05-01/H/16/124</v>
          </cell>
          <cell r="F145" t="str">
            <v>Therapeutic</v>
          </cell>
          <cell r="G145" t="str">
            <v>Basic</v>
          </cell>
          <cell r="H145" t="str">
            <v>Training Manikins, Cardiopulmonary Resuscitation</v>
          </cell>
          <cell r="I145" t="str">
            <v>HUMAN PATIENT SIMULATOR</v>
          </cell>
          <cell r="J145" t="str">
            <v>15-309</v>
          </cell>
          <cell r="K145" t="str">
            <v>LAERDAL / 231-05050</v>
          </cell>
          <cell r="L145" t="str">
            <v>TPM</v>
          </cell>
          <cell r="M145" t="str">
            <v>231UMS3816001</v>
          </cell>
          <cell r="N145" t="str">
            <v>PEDIATRIK</v>
          </cell>
          <cell r="O145" t="str">
            <v>Wad Pediatrik</v>
          </cell>
          <cell r="P145" t="str">
            <v>HM</v>
          </cell>
          <cell r="Q145">
            <v>21488.7</v>
          </cell>
        </row>
        <row r="146">
          <cell r="E146" t="str">
            <v>KKM/JKN/HSA/10-05-01/H/16/125</v>
          </cell>
          <cell r="F146" t="str">
            <v>Therapeutic</v>
          </cell>
          <cell r="G146" t="str">
            <v>Basic</v>
          </cell>
          <cell r="H146" t="str">
            <v>Training Manikins, Cardiopulmonary Resuscitation</v>
          </cell>
          <cell r="I146" t="str">
            <v>HUMAN PATIENT SIMULATOR</v>
          </cell>
          <cell r="J146" t="str">
            <v>15-309</v>
          </cell>
          <cell r="K146" t="str">
            <v>LAERDAL / 18002240</v>
          </cell>
          <cell r="L146" t="str">
            <v>TPM</v>
          </cell>
          <cell r="M146">
            <v>4914</v>
          </cell>
          <cell r="N146" t="str">
            <v>PEDIATRIK</v>
          </cell>
          <cell r="O146" t="str">
            <v>Wad Pediatrik</v>
          </cell>
          <cell r="P146" t="str">
            <v>HM</v>
          </cell>
          <cell r="Q146">
            <v>3339.65</v>
          </cell>
        </row>
        <row r="147">
          <cell r="E147" t="str">
            <v>KKM/JKN/HSA/10-05-01/H/16/126</v>
          </cell>
          <cell r="F147" t="str">
            <v>Therapeutic</v>
          </cell>
          <cell r="G147" t="str">
            <v>Basic</v>
          </cell>
          <cell r="H147" t="str">
            <v>Training Manikins, Cardiopulmonary Resuscitation</v>
          </cell>
          <cell r="I147" t="str">
            <v>HUMAN PATIENT SIMULATOR</v>
          </cell>
          <cell r="J147" t="str">
            <v>15-309</v>
          </cell>
          <cell r="K147" t="str">
            <v>LAERDAL / 220-25050</v>
          </cell>
          <cell r="L147" t="str">
            <v>TPM</v>
          </cell>
          <cell r="M147" t="str">
            <v>220UMS2715010</v>
          </cell>
          <cell r="N147" t="str">
            <v>PEDIATRIK</v>
          </cell>
          <cell r="O147" t="str">
            <v>Wad Pediatrik</v>
          </cell>
          <cell r="P147" t="str">
            <v>HM</v>
          </cell>
          <cell r="Q147">
            <v>8562.0499999999993</v>
          </cell>
        </row>
        <row r="148">
          <cell r="E148" t="str">
            <v>KKM/JKN/HSA/10-05-01/H/15/574</v>
          </cell>
          <cell r="F148" t="str">
            <v xml:space="preserve">Diagnostic </v>
          </cell>
          <cell r="G148" t="str">
            <v>Intermediate</v>
          </cell>
          <cell r="H148" t="str">
            <v>Electrocardiographs, Multichannel, Interpretative</v>
          </cell>
          <cell r="I148" t="str">
            <v>ECG RECORDER</v>
          </cell>
          <cell r="J148" t="str">
            <v>16-231</v>
          </cell>
          <cell r="K148" t="str">
            <v>GE HEALTHCARE</v>
          </cell>
          <cell r="L148" t="str">
            <v>MAC 1200</v>
          </cell>
          <cell r="M148">
            <v>550061831</v>
          </cell>
          <cell r="N148" t="str">
            <v>PEDIATRIK</v>
          </cell>
          <cell r="O148" t="str">
            <v>Wad Pediatrik</v>
          </cell>
          <cell r="P148" t="str">
            <v>HM</v>
          </cell>
          <cell r="Q148">
            <v>10000</v>
          </cell>
        </row>
        <row r="149">
          <cell r="E149" t="str">
            <v>KKM/JKN/HSA/10-05-01/R/15/6756</v>
          </cell>
          <cell r="F149" t="str">
            <v xml:space="preserve">Diagnostic </v>
          </cell>
          <cell r="G149" t="str">
            <v>Basic</v>
          </cell>
          <cell r="H149" t="str">
            <v>Ophthalmoscopes/Otoscopes</v>
          </cell>
          <cell r="I149" t="str">
            <v>DIAGNOSTIC SET PAEDIATRIC</v>
          </cell>
          <cell r="J149" t="str">
            <v>18-595</v>
          </cell>
          <cell r="K149" t="str">
            <v>RUDOLF RIESTER, GMBH</v>
          </cell>
          <cell r="L149" t="str">
            <v>ECONOM XL 3.5V 2053-213</v>
          </cell>
          <cell r="M149" t="str">
            <v>020301</v>
          </cell>
          <cell r="N149" t="str">
            <v>PEDIATRIK</v>
          </cell>
          <cell r="O149" t="str">
            <v>Wad Pediatrik</v>
          </cell>
          <cell r="P149" t="str">
            <v>ABR</v>
          </cell>
          <cell r="Q149">
            <v>1035.6500000000001</v>
          </cell>
        </row>
        <row r="150">
          <cell r="E150" t="str">
            <v>KKM/JKN/HSA/10-05-01/R/15/6757</v>
          </cell>
          <cell r="F150" t="str">
            <v xml:space="preserve">Diagnostic </v>
          </cell>
          <cell r="G150" t="str">
            <v>Basic</v>
          </cell>
          <cell r="H150" t="str">
            <v>Ophthalmoscopes/Otoscopes</v>
          </cell>
          <cell r="I150" t="str">
            <v>DIAGNOSTIC SET PAEDIATRIC</v>
          </cell>
          <cell r="J150" t="str">
            <v>18-595</v>
          </cell>
          <cell r="K150" t="str">
            <v>RUDOLF RIESTER, GMBH</v>
          </cell>
          <cell r="L150" t="str">
            <v>ECONOM XL 3.5V 2053-214</v>
          </cell>
          <cell r="M150" t="str">
            <v>020296</v>
          </cell>
          <cell r="N150" t="str">
            <v>PEDIATRIK</v>
          </cell>
          <cell r="O150" t="str">
            <v>Wad Pediatrik</v>
          </cell>
          <cell r="P150" t="str">
            <v>ABR</v>
          </cell>
          <cell r="Q150">
            <v>1035.6500000000001</v>
          </cell>
        </row>
        <row r="151">
          <cell r="E151" t="str">
            <v>KKM/JKN/HSA/10-05-01/R/15/6758</v>
          </cell>
          <cell r="F151" t="str">
            <v xml:space="preserve">Diagnostic </v>
          </cell>
          <cell r="G151" t="str">
            <v>Basic</v>
          </cell>
          <cell r="H151" t="str">
            <v>Ophthalmoscopes/Otoscopes</v>
          </cell>
          <cell r="I151" t="str">
            <v>DIAGNOSTIC SET PAEDIATRIC</v>
          </cell>
          <cell r="J151" t="str">
            <v>18-595</v>
          </cell>
          <cell r="K151" t="str">
            <v>RUDOLF RIESTER, GMBH</v>
          </cell>
          <cell r="L151" t="str">
            <v>ECONOM XL 3.5V 2053-215</v>
          </cell>
          <cell r="M151" t="str">
            <v>020306</v>
          </cell>
          <cell r="N151" t="str">
            <v>PEDIATRIK</v>
          </cell>
          <cell r="O151" t="str">
            <v>Wad Pediatrik</v>
          </cell>
          <cell r="P151" t="str">
            <v>ABR</v>
          </cell>
          <cell r="Q151">
            <v>1035.6500000000001</v>
          </cell>
        </row>
        <row r="152">
          <cell r="E152" t="str">
            <v>KKM/JKN/HSA/10-05-01/H/15/3687</v>
          </cell>
          <cell r="F152" t="str">
            <v>Therapeutic</v>
          </cell>
          <cell r="G152" t="str">
            <v>Intermediate</v>
          </cell>
          <cell r="H152" t="str">
            <v xml:space="preserve">Defibrillators, External, Automated </v>
          </cell>
          <cell r="I152" t="str">
            <v>DEFIBRILLATOR W/INTERNAL/EXT PADDLES/PACEMAKER</v>
          </cell>
          <cell r="J152" t="str">
            <v>17-116</v>
          </cell>
          <cell r="K152" t="str">
            <v>PHILIPS</v>
          </cell>
          <cell r="L152" t="str">
            <v>EFFICIA DFM100</v>
          </cell>
          <cell r="M152" t="str">
            <v>CN32601438</v>
          </cell>
          <cell r="N152" t="str">
            <v>PEDIATRIK</v>
          </cell>
          <cell r="O152" t="str">
            <v>Wad Pediatrik</v>
          </cell>
          <cell r="P152" t="str">
            <v>HM</v>
          </cell>
          <cell r="Q152">
            <v>14250</v>
          </cell>
        </row>
        <row r="153">
          <cell r="E153" t="str">
            <v>KKM/JKN/HSA/10-05-01/R/15/7152</v>
          </cell>
          <cell r="F153" t="str">
            <v xml:space="preserve">Diagnostic </v>
          </cell>
          <cell r="G153" t="str">
            <v>Intermediate</v>
          </cell>
          <cell r="H153" t="str">
            <v>Monitors, Physiologic, Vital Signs</v>
          </cell>
          <cell r="I153" t="str">
            <v>BLOOD PRESSURE MONITOR NON INVASIVE</v>
          </cell>
          <cell r="J153" t="str">
            <v>25-209</v>
          </cell>
          <cell r="K153" t="str">
            <v>WELCH ALLYN</v>
          </cell>
          <cell r="L153" t="str">
            <v>VSM 300</v>
          </cell>
          <cell r="M153" t="str">
            <v>JA123422</v>
          </cell>
          <cell r="N153" t="str">
            <v>PEDIATRIK</v>
          </cell>
          <cell r="O153" t="str">
            <v>Wad Pediatrik</v>
          </cell>
          <cell r="P153" t="str">
            <v>ABR</v>
          </cell>
          <cell r="Q153">
            <v>1855</v>
          </cell>
        </row>
        <row r="154">
          <cell r="E154" t="str">
            <v>KKM/JKN/HSA/10-05-01/H/16/32</v>
          </cell>
          <cell r="F154" t="str">
            <v>Therapeutic</v>
          </cell>
          <cell r="G154" t="str">
            <v>Basic</v>
          </cell>
          <cell r="H154" t="str">
            <v>Compression Units, Intermittent</v>
          </cell>
          <cell r="I154" t="str">
            <v>VENAFLOW (DVT PUMP)</v>
          </cell>
          <cell r="J154" t="str">
            <v xml:space="preserve">
10-969</v>
          </cell>
          <cell r="K154" t="str">
            <v xml:space="preserve">DJO GLOBAL </v>
          </cell>
          <cell r="L154" t="str">
            <v> 30B1-B</v>
          </cell>
          <cell r="M154" t="str">
            <v>E53482</v>
          </cell>
          <cell r="N154" t="str">
            <v>ORTHOPEDIK</v>
          </cell>
          <cell r="O154" t="str">
            <v>Wad Ortopedik</v>
          </cell>
          <cell r="P154" t="str">
            <v>HM</v>
          </cell>
          <cell r="Q154">
            <v>3800</v>
          </cell>
        </row>
        <row r="155">
          <cell r="E155" t="str">
            <v>KKM/JKN/HSA/10-05-01/H/16/33</v>
          </cell>
          <cell r="F155" t="str">
            <v>Therapeutic</v>
          </cell>
          <cell r="G155" t="str">
            <v>Basic</v>
          </cell>
          <cell r="H155" t="str">
            <v>Compression Units, Intermittent</v>
          </cell>
          <cell r="I155" t="str">
            <v>VENAFLOW (DVT PUMP)</v>
          </cell>
          <cell r="J155" t="str">
            <v xml:space="preserve">
10-969</v>
          </cell>
          <cell r="K155" t="str">
            <v xml:space="preserve">DJO GLOBAL </v>
          </cell>
          <cell r="L155" t="str">
            <v> 30B1-B</v>
          </cell>
          <cell r="M155" t="str">
            <v>E53486</v>
          </cell>
          <cell r="N155" t="str">
            <v>ORTHOPEDIK</v>
          </cell>
          <cell r="O155" t="str">
            <v>Wad Ortopedik</v>
          </cell>
          <cell r="P155" t="str">
            <v>HM</v>
          </cell>
          <cell r="Q155">
            <v>3800</v>
          </cell>
        </row>
        <row r="156">
          <cell r="E156" t="str">
            <v>KKM/JKN/HSA/10-05-01/H/15/2175</v>
          </cell>
          <cell r="F156" t="str">
            <v>Therapeutic</v>
          </cell>
          <cell r="G156" t="str">
            <v>Basic</v>
          </cell>
          <cell r="H156" t="str">
            <v>Aspirators</v>
          </cell>
          <cell r="I156" t="str">
            <v>SUCTION UNIT 1 X 2L JAR MOBILE</v>
          </cell>
          <cell r="J156" t="str">
            <v>10-208</v>
          </cell>
          <cell r="K156" t="str">
            <v>GIMA</v>
          </cell>
          <cell r="L156">
            <v>28212</v>
          </cell>
          <cell r="M156">
            <v>5915</v>
          </cell>
          <cell r="N156" t="str">
            <v>ORTHOPEDIK</v>
          </cell>
          <cell r="O156" t="str">
            <v>Wad Ortopedik</v>
          </cell>
          <cell r="P156" t="str">
            <v>HM</v>
          </cell>
          <cell r="Q156">
            <v>3386.5</v>
          </cell>
        </row>
        <row r="157">
          <cell r="E157" t="str">
            <v>KKM/JKN/HSA/10-05-01/H/15/2176</v>
          </cell>
          <cell r="F157" t="str">
            <v>Therapeutic</v>
          </cell>
          <cell r="G157" t="str">
            <v>Basic</v>
          </cell>
          <cell r="H157" t="str">
            <v>Aspirators</v>
          </cell>
          <cell r="I157" t="str">
            <v>SUCTION UNIT 1 X 2L JAR MOBILE</v>
          </cell>
          <cell r="J157" t="str">
            <v>10-208</v>
          </cell>
          <cell r="K157" t="str">
            <v>GIMA</v>
          </cell>
          <cell r="L157">
            <v>28212</v>
          </cell>
          <cell r="M157">
            <v>5907</v>
          </cell>
          <cell r="N157" t="str">
            <v>ORTHOPEDIK</v>
          </cell>
          <cell r="O157" t="str">
            <v>Wad Ortopedik</v>
          </cell>
          <cell r="P157" t="str">
            <v>HM</v>
          </cell>
          <cell r="Q157">
            <v>3386.5</v>
          </cell>
        </row>
        <row r="158">
          <cell r="E158" t="str">
            <v>KKM/JKN/HSA/10-05-01/H/15/2177</v>
          </cell>
          <cell r="F158" t="str">
            <v>Therapeutic</v>
          </cell>
          <cell r="G158" t="str">
            <v>Basic</v>
          </cell>
          <cell r="H158" t="str">
            <v>Aspirators</v>
          </cell>
          <cell r="I158" t="str">
            <v>SUCTION UNIT 1 X 2L JAR MOBILE</v>
          </cell>
          <cell r="J158" t="str">
            <v>10-208</v>
          </cell>
          <cell r="K158" t="str">
            <v>GIMA</v>
          </cell>
          <cell r="L158">
            <v>28212</v>
          </cell>
          <cell r="M158">
            <v>5908</v>
          </cell>
          <cell r="N158" t="str">
            <v>ORTHOPEDIK</v>
          </cell>
          <cell r="O158" t="str">
            <v>Wad Ortopedik</v>
          </cell>
          <cell r="P158" t="str">
            <v>HM</v>
          </cell>
          <cell r="Q158">
            <v>3386.5</v>
          </cell>
        </row>
        <row r="159">
          <cell r="E159" t="str">
            <v>KKM/JKN/HSA/10-05-01/H/15/4157</v>
          </cell>
          <cell r="F159" t="str">
            <v>Therapeutic</v>
          </cell>
          <cell r="G159" t="str">
            <v>Basic</v>
          </cell>
          <cell r="H159" t="str">
            <v>Cast Cutters, Electric</v>
          </cell>
          <cell r="I159" t="str">
            <v>SAW PLASTER ELECTRIC C/W VACUUM</v>
          </cell>
          <cell r="J159" t="str">
            <v>16-340</v>
          </cell>
          <cell r="K159" t="str">
            <v>OSCIMED</v>
          </cell>
          <cell r="L159" t="str">
            <v xml:space="preserve"> PSV/SC 206-V90</v>
          </cell>
          <cell r="M159"/>
          <cell r="N159" t="str">
            <v>ORTHOPEDIK</v>
          </cell>
          <cell r="O159" t="str">
            <v>Wad Ortopedik</v>
          </cell>
          <cell r="P159" t="str">
            <v>HM</v>
          </cell>
          <cell r="Q159">
            <v>11050</v>
          </cell>
        </row>
        <row r="160">
          <cell r="E160" t="str">
            <v>KKM/JKN/HSA/10-05-01/H/15/2797</v>
          </cell>
          <cell r="F160" t="str">
            <v>Therapeutic</v>
          </cell>
          <cell r="G160" t="str">
            <v>Basic</v>
          </cell>
          <cell r="H160" t="str">
            <v>Mattress Systems, Alternating-Pressure</v>
          </cell>
          <cell r="I160" t="str">
            <v>RIPPLE MATTRESS W/MOTOR</v>
          </cell>
          <cell r="J160" t="str">
            <v>18-147</v>
          </cell>
          <cell r="K160" t="str">
            <v>BANTEX</v>
          </cell>
          <cell r="L160" t="str">
            <v>APM-5000-G</v>
          </cell>
          <cell r="M160" t="str">
            <v>EZ141105004</v>
          </cell>
          <cell r="N160" t="str">
            <v>ORTHOPEDIK</v>
          </cell>
          <cell r="O160" t="str">
            <v>Wad Ortopedik</v>
          </cell>
          <cell r="P160" t="str">
            <v>HM</v>
          </cell>
          <cell r="Q160">
            <v>2800</v>
          </cell>
        </row>
        <row r="161">
          <cell r="E161" t="str">
            <v>KKM/JKN/HSA/10-05-01/H/15/1245</v>
          </cell>
          <cell r="F161" t="str">
            <v>Therapeutic</v>
          </cell>
          <cell r="G161" t="str">
            <v>Intermediate</v>
          </cell>
          <cell r="H161" t="str">
            <v>Infusion Pumps, General-Purpose</v>
          </cell>
          <cell r="I161" t="str">
            <v>PUMP VOLUMETRIC INFUSION (STAND ALONE)</v>
          </cell>
          <cell r="J161" t="str">
            <v>13-215</v>
          </cell>
          <cell r="K161" t="str">
            <v>FRESENIUS KABI</v>
          </cell>
          <cell r="L161" t="str">
            <v>LINK 8+ AGILIA/MOBILE STAND</v>
          </cell>
          <cell r="M161">
            <v>22235260</v>
          </cell>
          <cell r="N161" t="str">
            <v>ORTHOPEDIK</v>
          </cell>
          <cell r="O161" t="str">
            <v>Wad Ortopedik</v>
          </cell>
          <cell r="P161" t="str">
            <v>HM</v>
          </cell>
          <cell r="Q161">
            <v>7245</v>
          </cell>
        </row>
        <row r="162">
          <cell r="E162" t="str">
            <v>KKM/JKN/HSA/10-05-01/H/15/1246</v>
          </cell>
          <cell r="F162" t="str">
            <v>Therapeutic</v>
          </cell>
          <cell r="G162" t="str">
            <v>Intermediate</v>
          </cell>
          <cell r="H162" t="str">
            <v>Infusion Pumps, General-Purpose</v>
          </cell>
          <cell r="I162" t="str">
            <v>PUMP VOLUMETRIC INFUSION (STAND ALONE)</v>
          </cell>
          <cell r="J162" t="str">
            <v>13-215</v>
          </cell>
          <cell r="K162" t="str">
            <v>FRESENIUS KABI</v>
          </cell>
          <cell r="L162" t="str">
            <v>LINK 8+ AGILIA/MOBILE STAND</v>
          </cell>
          <cell r="M162">
            <v>22235269</v>
          </cell>
          <cell r="N162" t="str">
            <v>ORTHOPEDIK</v>
          </cell>
          <cell r="O162" t="str">
            <v>Wad Ortopedik</v>
          </cell>
          <cell r="P162" t="str">
            <v>HM</v>
          </cell>
          <cell r="Q162">
            <v>7245</v>
          </cell>
        </row>
        <row r="163">
          <cell r="E163" t="str">
            <v>KKM/JKN/HSA/10-05-01/H/15/2256</v>
          </cell>
          <cell r="F163" t="str">
            <v>Therapeutic</v>
          </cell>
          <cell r="G163" t="str">
            <v>Intermediate</v>
          </cell>
          <cell r="H163" t="str">
            <v>Infusion Pumps, Syringe</v>
          </cell>
          <cell r="I163" t="str">
            <v>PUMP SYRINGE BASIC (STAND ALONE)</v>
          </cell>
          <cell r="J163" t="str">
            <v>13-217</v>
          </cell>
          <cell r="K163" t="str">
            <v>FRESENIUS KABI</v>
          </cell>
          <cell r="L163" t="str">
            <v>INJECTOMAT AGILIA</v>
          </cell>
          <cell r="M163">
            <v>22233929</v>
          </cell>
          <cell r="N163" t="str">
            <v>ORTHOPEDIK</v>
          </cell>
          <cell r="O163" t="str">
            <v>Wad Ortopedik</v>
          </cell>
          <cell r="P163" t="str">
            <v>HM</v>
          </cell>
          <cell r="Q163">
            <v>2700</v>
          </cell>
        </row>
        <row r="164">
          <cell r="E164" t="str">
            <v>KKM/JKN/HSA/10-05-01/H/15/2257</v>
          </cell>
          <cell r="F164" t="str">
            <v>Therapeutic</v>
          </cell>
          <cell r="G164" t="str">
            <v>Intermediate</v>
          </cell>
          <cell r="H164" t="str">
            <v>Infusion Pumps, Syringe</v>
          </cell>
          <cell r="I164" t="str">
            <v>PUMP SYRINGE BASIC (STAND ALONE)</v>
          </cell>
          <cell r="J164" t="str">
            <v>13-217</v>
          </cell>
          <cell r="K164" t="str">
            <v>FRESENIUS KABI</v>
          </cell>
          <cell r="L164" t="str">
            <v>INJECTOMAT AGILIA</v>
          </cell>
          <cell r="M164">
            <v>22233932</v>
          </cell>
          <cell r="N164" t="str">
            <v>ORTHOPEDIK</v>
          </cell>
          <cell r="O164" t="str">
            <v>Wad Ortopedik</v>
          </cell>
          <cell r="P164" t="str">
            <v>HM</v>
          </cell>
          <cell r="Q164">
            <v>2700</v>
          </cell>
        </row>
        <row r="165">
          <cell r="E165" t="str">
            <v>KKM/JKN/HSA/10-05-01/H/15/2258</v>
          </cell>
          <cell r="F165" t="str">
            <v>Therapeutic</v>
          </cell>
          <cell r="G165" t="str">
            <v>Intermediate</v>
          </cell>
          <cell r="H165" t="str">
            <v>Infusion Pumps, Syringe</v>
          </cell>
          <cell r="I165" t="str">
            <v>PUMP SYRINGE BASIC (STAND ALONE)</v>
          </cell>
          <cell r="J165" t="str">
            <v>13-217</v>
          </cell>
          <cell r="K165" t="str">
            <v>FRESENIUS KABI</v>
          </cell>
          <cell r="L165" t="str">
            <v>INJECTOMAT AGILIA</v>
          </cell>
          <cell r="M165">
            <v>2223930</v>
          </cell>
          <cell r="N165" t="str">
            <v>ORTHOPEDIK</v>
          </cell>
          <cell r="O165" t="str">
            <v>Wad Ortopedik</v>
          </cell>
          <cell r="P165" t="str">
            <v>HM</v>
          </cell>
          <cell r="Q165">
            <v>2700</v>
          </cell>
        </row>
        <row r="166">
          <cell r="E166" t="str">
            <v>KKM/JKN/HSA/10-05-01/H/15/2259</v>
          </cell>
          <cell r="F166" t="str">
            <v>Therapeutic</v>
          </cell>
          <cell r="G166" t="str">
            <v>Intermediate</v>
          </cell>
          <cell r="H166" t="str">
            <v>Infusion Pumps, Syringe</v>
          </cell>
          <cell r="I166" t="str">
            <v>PUMP SYRINGE BASIC (STAND ALONE)</v>
          </cell>
          <cell r="J166" t="str">
            <v>13-217</v>
          </cell>
          <cell r="K166" t="str">
            <v>FRESENIUS KABI</v>
          </cell>
          <cell r="L166" t="str">
            <v>INJECTOMAT AGILIA</v>
          </cell>
          <cell r="M166">
            <v>22233931</v>
          </cell>
          <cell r="N166" t="str">
            <v>ORTHOPEDIK</v>
          </cell>
          <cell r="O166" t="str">
            <v>Wad Ortopedik</v>
          </cell>
          <cell r="P166" t="str">
            <v>HM</v>
          </cell>
          <cell r="Q166">
            <v>2700</v>
          </cell>
        </row>
        <row r="167">
          <cell r="E167" t="str">
            <v>KKM/JKN/HSA/10-05-01/R/15/15951</v>
          </cell>
          <cell r="F167" t="str">
            <v>Therapeutic</v>
          </cell>
          <cell r="G167" t="str">
            <v>Basic</v>
          </cell>
          <cell r="H167" t="str">
            <v>Nebulizers, Heated</v>
          </cell>
          <cell r="I167" t="str">
            <v>NEBULISER</v>
          </cell>
          <cell r="J167" t="str">
            <v>12-716</v>
          </cell>
          <cell r="K167" t="str">
            <v>PHILIPS</v>
          </cell>
          <cell r="L167" t="str">
            <v xml:space="preserve"> INNOSPIRE DELUXE</v>
          </cell>
          <cell r="M167"/>
          <cell r="N167" t="str">
            <v>ORTHOPEDIK</v>
          </cell>
          <cell r="O167" t="str">
            <v>Wad Ortopedik</v>
          </cell>
          <cell r="P167" t="str">
            <v>ABR</v>
          </cell>
          <cell r="Q167">
            <v>1950</v>
          </cell>
        </row>
        <row r="168">
          <cell r="E168" t="str">
            <v>KKM/JKN/HSA/10-05-01/H/15/1029</v>
          </cell>
          <cell r="F168" t="str">
            <v xml:space="preserve">Diagnostic </v>
          </cell>
          <cell r="G168" t="str">
            <v>Intermediate</v>
          </cell>
          <cell r="H168" t="str">
            <v>Monitors, Physiologic, Vital Signs</v>
          </cell>
          <cell r="I168" t="str">
            <v>MONITOR NIBP/SP02</v>
          </cell>
          <cell r="J168" t="str">
            <v>25-209</v>
          </cell>
          <cell r="K168" t="str">
            <v>WELCH ALLYN</v>
          </cell>
          <cell r="L168" t="str">
            <v>WELCH ALLYN VSM 300</v>
          </cell>
          <cell r="M168" t="str">
            <v>JA123445</v>
          </cell>
          <cell r="N168" t="str">
            <v>ORTHOPEDIK</v>
          </cell>
          <cell r="O168" t="str">
            <v>Wad Ortopedik</v>
          </cell>
          <cell r="P168" t="str">
            <v>HM</v>
          </cell>
          <cell r="Q168">
            <v>5185</v>
          </cell>
        </row>
        <row r="169">
          <cell r="E169" t="str">
            <v>KKM/JKN/HSA/10-05-01/H/15/4177</v>
          </cell>
          <cell r="F169" t="str">
            <v xml:space="preserve">Diagnostic </v>
          </cell>
          <cell r="G169" t="str">
            <v>Intermediate</v>
          </cell>
          <cell r="H169" t="str">
            <v>Monitors, Physiologic, Vital Signs</v>
          </cell>
          <cell r="I169" t="str">
            <v>MONITOR NIBP/SP02</v>
          </cell>
          <cell r="J169" t="str">
            <v>25-209</v>
          </cell>
          <cell r="K169" t="str">
            <v>WELCH ALLYN</v>
          </cell>
          <cell r="L169" t="str">
            <v>WELCH ALLYN VSM 300</v>
          </cell>
          <cell r="M169" t="str">
            <v>JA123429</v>
          </cell>
          <cell r="N169" t="str">
            <v>ORTHOPEDIK</v>
          </cell>
          <cell r="O169" t="str">
            <v>Wad Ortopedik</v>
          </cell>
          <cell r="P169" t="str">
            <v>HM</v>
          </cell>
          <cell r="Q169">
            <v>5185</v>
          </cell>
        </row>
        <row r="170">
          <cell r="E170" t="str">
            <v>KKM/JKN/HSA/10-05-01/H/15/2145</v>
          </cell>
          <cell r="F170" t="str">
            <v xml:space="preserve">Diagnostic </v>
          </cell>
          <cell r="G170" t="str">
            <v>Intermediate</v>
          </cell>
          <cell r="H170" t="str">
            <v>Physiologic Monitoring Systems, Acute Care</v>
          </cell>
          <cell r="I170" t="str">
            <v>MONITOR 4 CH, ECG/RR/NIBP/SP02/TEMP</v>
          </cell>
          <cell r="J170" t="str">
            <v>12-647</v>
          </cell>
          <cell r="K170" t="str">
            <v>MINDRAY</v>
          </cell>
          <cell r="L170" t="str">
            <v>IMEC 12</v>
          </cell>
          <cell r="M170" t="str">
            <v>EV45011641</v>
          </cell>
          <cell r="N170" t="str">
            <v>ORTHOPEDIK</v>
          </cell>
          <cell r="O170" t="str">
            <v>Wad Ortopedik</v>
          </cell>
          <cell r="P170" t="str">
            <v>HM</v>
          </cell>
          <cell r="Q170">
            <v>9000</v>
          </cell>
        </row>
        <row r="171">
          <cell r="E171" t="str">
            <v>KKM/JKN/HSA/10-05-01/H/16/111</v>
          </cell>
          <cell r="F171" t="str">
            <v>Therapeutic</v>
          </cell>
          <cell r="G171" t="str">
            <v>Basic</v>
          </cell>
          <cell r="H171" t="str">
            <v>Exercisers, Continuous Passive Motion</v>
          </cell>
          <cell r="I171" t="str">
            <v>MACHINE CPM KNEE</v>
          </cell>
          <cell r="J171" t="str">
            <v>11-631</v>
          </cell>
          <cell r="K171" t="str">
            <v>KLC FLEX / K500</v>
          </cell>
          <cell r="L171" t="str">
            <v>K500</v>
          </cell>
          <cell r="M171">
            <v>6500</v>
          </cell>
          <cell r="N171" t="str">
            <v>ORTHOPEDIK</v>
          </cell>
          <cell r="O171" t="str">
            <v>Wad Ortopedik</v>
          </cell>
          <cell r="P171" t="str">
            <v>HM</v>
          </cell>
          <cell r="Q171">
            <v>18620</v>
          </cell>
        </row>
        <row r="172">
          <cell r="E172" t="str">
            <v>KKM/JKN/HSA/10-05-01/H/15/4159</v>
          </cell>
          <cell r="F172" t="str">
            <v xml:space="preserve">Diagnostic </v>
          </cell>
          <cell r="G172" t="str">
            <v>Intermediate</v>
          </cell>
          <cell r="H172" t="str">
            <v>Electrocardiographs, Multichannel, Interpretative</v>
          </cell>
          <cell r="I172" t="str">
            <v>ECG P0RTABLE MAINS/BATTERY OP</v>
          </cell>
          <cell r="J172" t="str">
            <v>16-231</v>
          </cell>
          <cell r="K172" t="str">
            <v>GE HEALTHCARE</v>
          </cell>
          <cell r="L172" t="str">
            <v>MAC400</v>
          </cell>
          <cell r="M172"/>
          <cell r="N172" t="str">
            <v>ORTHOPEDIK</v>
          </cell>
          <cell r="O172" t="str">
            <v>Wad Ortopedik</v>
          </cell>
          <cell r="P172" t="str">
            <v>HM</v>
          </cell>
          <cell r="Q172">
            <v>2750</v>
          </cell>
        </row>
        <row r="173">
          <cell r="E173" t="str">
            <v>KKM/JKN/HSA/10-05-01/R/15/7398</v>
          </cell>
          <cell r="F173" t="str">
            <v xml:space="preserve">Diagnostic </v>
          </cell>
          <cell r="G173" t="str">
            <v>Basic</v>
          </cell>
          <cell r="H173" t="str">
            <v>Ophthalmoscopes/Otoscopes</v>
          </cell>
          <cell r="I173" t="str">
            <v>DIAGNOSTIC SET ADULT</v>
          </cell>
          <cell r="J173" t="str">
            <v>18-595</v>
          </cell>
          <cell r="K173" t="str">
            <v>RUDOLF RIESTER, GMBH</v>
          </cell>
          <cell r="L173" t="str">
            <v>RI-SCOPE ENT 3761</v>
          </cell>
          <cell r="M173"/>
          <cell r="N173" t="str">
            <v>ORTOPEDIK</v>
          </cell>
          <cell r="O173" t="str">
            <v>Wad Ortopedik</v>
          </cell>
          <cell r="P173" t="str">
            <v>ABR</v>
          </cell>
          <cell r="Q173">
            <v>1459.33</v>
          </cell>
        </row>
        <row r="174">
          <cell r="E174" t="str">
            <v>KKM/JKN/HSA/10-05-01/R/15/7399</v>
          </cell>
          <cell r="F174" t="str">
            <v xml:space="preserve">Diagnostic </v>
          </cell>
          <cell r="G174" t="str">
            <v>Basic</v>
          </cell>
          <cell r="H174" t="str">
            <v>Ophthalmoscopes/Otoscopes</v>
          </cell>
          <cell r="I174" t="str">
            <v>DIAGNOSTIC SET ADULT</v>
          </cell>
          <cell r="J174" t="str">
            <v>18-595</v>
          </cell>
          <cell r="K174" t="str">
            <v>RUDOLF RIESTER, GMBH</v>
          </cell>
          <cell r="L174" t="str">
            <v>RI-SCOPE ENT 3761</v>
          </cell>
          <cell r="M174"/>
          <cell r="N174" t="str">
            <v>ORTOPEDIK</v>
          </cell>
          <cell r="O174" t="str">
            <v>Wad Ortopedik</v>
          </cell>
          <cell r="P174" t="str">
            <v>ABR</v>
          </cell>
          <cell r="Q174">
            <v>1459.33</v>
          </cell>
        </row>
        <row r="175">
          <cell r="E175" t="str">
            <v>KKM/JKN/HSA/10-05-01/R/15/17098</v>
          </cell>
          <cell r="F175" t="str">
            <v xml:space="preserve">Diagnostic </v>
          </cell>
          <cell r="G175" t="str">
            <v>Basic</v>
          </cell>
          <cell r="H175" t="str">
            <v>Ophthalmoscopes/Otoscopes</v>
          </cell>
          <cell r="I175" t="str">
            <v>DIAGNOSTIC SET ADULT</v>
          </cell>
          <cell r="J175" t="str">
            <v>18-595</v>
          </cell>
          <cell r="K175" t="str">
            <v>WELCH ALLYN</v>
          </cell>
          <cell r="L175" t="str">
            <v>97150-BI</v>
          </cell>
          <cell r="M175"/>
          <cell r="N175" t="str">
            <v>ORTOPEDIK</v>
          </cell>
          <cell r="O175" t="str">
            <v>Wad Ortopedik</v>
          </cell>
          <cell r="P175" t="str">
            <v>ABR</v>
          </cell>
          <cell r="Q175">
            <v>1820</v>
          </cell>
        </row>
        <row r="176">
          <cell r="E176" t="str">
            <v>KKM/JKN/HSA/10-05-01/R/15/17099</v>
          </cell>
          <cell r="F176" t="str">
            <v xml:space="preserve">Diagnostic </v>
          </cell>
          <cell r="G176" t="str">
            <v>Basic</v>
          </cell>
          <cell r="H176" t="str">
            <v>Ophthalmoscopes/Otoscopes</v>
          </cell>
          <cell r="I176" t="str">
            <v>DIAGNOSTIC SET ADULT</v>
          </cell>
          <cell r="J176" t="str">
            <v>18-595</v>
          </cell>
          <cell r="K176" t="str">
            <v>WELCH ALLYN</v>
          </cell>
          <cell r="L176" t="str">
            <v>97150-BI</v>
          </cell>
          <cell r="M176"/>
          <cell r="N176" t="str">
            <v>ORTOPEDIK</v>
          </cell>
          <cell r="O176" t="str">
            <v>Wad Ortopedik</v>
          </cell>
          <cell r="P176" t="str">
            <v>ABR</v>
          </cell>
          <cell r="Q176">
            <v>1820</v>
          </cell>
        </row>
        <row r="177">
          <cell r="E177" t="str">
            <v xml:space="preserve">KKM/JKN/HSA/10-05-01/H/15/4841
</v>
          </cell>
          <cell r="F177" t="str">
            <v>Therapeutic</v>
          </cell>
          <cell r="G177" t="str">
            <v>Intermediate</v>
          </cell>
          <cell r="H177" t="str">
            <v>Flowmeters, Blood, Ultrasonic</v>
          </cell>
          <cell r="I177" t="str">
            <v>DETECTOR VASCULAR FLOW</v>
          </cell>
          <cell r="J177" t="str">
            <v>10-432</v>
          </cell>
          <cell r="K177" t="str">
            <v>HUNTLEIGH</v>
          </cell>
          <cell r="L177" t="str">
            <v>D900</v>
          </cell>
          <cell r="M177"/>
          <cell r="N177" t="str">
            <v>ORTHOPEDIK</v>
          </cell>
          <cell r="O177" t="str">
            <v>Wad Ortopedik</v>
          </cell>
          <cell r="P177" t="str">
            <v>HM</v>
          </cell>
          <cell r="Q177">
            <v>10595</v>
          </cell>
        </row>
        <row r="178">
          <cell r="E178" t="str">
            <v>KKM/JKN/HSA/10-05-01/H/15/3688</v>
          </cell>
          <cell r="F178" t="str">
            <v>Therapeutic</v>
          </cell>
          <cell r="G178" t="str">
            <v>Intermediate</v>
          </cell>
          <cell r="H178" t="str">
            <v xml:space="preserve">Defibrillators, External, Automated </v>
          </cell>
          <cell r="I178" t="str">
            <v>DEFIBRILLATOR W/INTERNAL/EXT PADDLES/PACEMAKER</v>
          </cell>
          <cell r="J178" t="str">
            <v>17-116</v>
          </cell>
          <cell r="K178" t="str">
            <v>PHILIPS</v>
          </cell>
          <cell r="L178" t="str">
            <v>EFFICIA DFM100</v>
          </cell>
          <cell r="M178"/>
          <cell r="N178" t="str">
            <v>ORTHOPEDIK</v>
          </cell>
          <cell r="O178" t="str">
            <v>Wad Ortopedik</v>
          </cell>
          <cell r="P178" t="str">
            <v>HM</v>
          </cell>
          <cell r="Q178">
            <v>14250</v>
          </cell>
        </row>
        <row r="179">
          <cell r="E179" t="str">
            <v>KKM/JKN/HSA/10-05-01/R/15/7151</v>
          </cell>
          <cell r="F179" t="str">
            <v xml:space="preserve">Diagnostic </v>
          </cell>
          <cell r="G179" t="str">
            <v>Intermediate</v>
          </cell>
          <cell r="H179" t="str">
            <v>Monitors, Physiologic, Vital Signs</v>
          </cell>
          <cell r="I179" t="str">
            <v>BLOOD PRESSURE MONITOR NON INVASIVE</v>
          </cell>
          <cell r="J179" t="str">
            <v>25-209</v>
          </cell>
          <cell r="K179" t="str">
            <v>WELCH ALLYN</v>
          </cell>
          <cell r="L179" t="str">
            <v>VSM 300</v>
          </cell>
          <cell r="M179"/>
          <cell r="N179" t="str">
            <v>ORTHOPEDIK</v>
          </cell>
          <cell r="O179" t="str">
            <v>Wad Ortopedik</v>
          </cell>
          <cell r="P179" t="str">
            <v>ABR</v>
          </cell>
          <cell r="Q179">
            <v>1855</v>
          </cell>
        </row>
        <row r="180">
          <cell r="E180" t="str">
            <v>KKM/JKN/HSA/10-05-01/H/15/2174</v>
          </cell>
          <cell r="F180" t="str">
            <v>Therapeutic</v>
          </cell>
          <cell r="G180" t="str">
            <v>Basic</v>
          </cell>
          <cell r="H180" t="str">
            <v>Aspirators</v>
          </cell>
          <cell r="I180" t="str">
            <v>SUCTION UNIT 1 X 2L JAR MOBILE</v>
          </cell>
          <cell r="J180" t="str">
            <v>10-208</v>
          </cell>
          <cell r="K180" t="str">
            <v>GIMA</v>
          </cell>
          <cell r="L180">
            <v>28212</v>
          </cell>
          <cell r="M180">
            <v>5928</v>
          </cell>
          <cell r="N180" t="str">
            <v>OBSTETRIK &amp; GINEKOLOGI</v>
          </cell>
          <cell r="O180" t="str">
            <v>Wad Obstetrik &amp; Ginekologi 8B</v>
          </cell>
          <cell r="P180" t="str">
            <v>HM</v>
          </cell>
          <cell r="Q180">
            <v>3386.5</v>
          </cell>
        </row>
        <row r="181">
          <cell r="E181" t="str">
            <v>KKM/JKN/HSA/10-05-01/R/15/14879</v>
          </cell>
          <cell r="F181" t="str">
            <v xml:space="preserve">Diagnostic </v>
          </cell>
          <cell r="G181" t="str">
            <v>Basic</v>
          </cell>
          <cell r="H181" t="str">
            <v>Sphygmomanometers, Aneroid</v>
          </cell>
          <cell r="I181" t="str">
            <v>SPHYGMOMANOMETER ANEROID DESK MODEL</v>
          </cell>
          <cell r="J181" t="str">
            <v>16-156</v>
          </cell>
          <cell r="K181" t="str">
            <v>RIESTER</v>
          </cell>
          <cell r="L181">
            <v>1453</v>
          </cell>
          <cell r="M181"/>
          <cell r="N181" t="str">
            <v>OBSTETRIK &amp; GINEKOLOGI</v>
          </cell>
          <cell r="O181" t="str">
            <v>Wad Obstetrik &amp; Ginekologi 8B</v>
          </cell>
          <cell r="P181" t="str">
            <v>ABR</v>
          </cell>
          <cell r="Q181">
            <v>452.81</v>
          </cell>
        </row>
        <row r="182">
          <cell r="E182" t="str">
            <v>KKM/JKN/HSA/10-05-01/R/15/14880</v>
          </cell>
          <cell r="F182" t="str">
            <v xml:space="preserve">Diagnostic </v>
          </cell>
          <cell r="G182" t="str">
            <v>Basic</v>
          </cell>
          <cell r="H182" t="str">
            <v>Sphygmomanometers, Aneroid</v>
          </cell>
          <cell r="I182" t="str">
            <v>SPHYGMOMANOMETER ANEROID DESK MODEL</v>
          </cell>
          <cell r="J182" t="str">
            <v>16-156</v>
          </cell>
          <cell r="K182" t="str">
            <v>RIESTER</v>
          </cell>
          <cell r="L182">
            <v>1453</v>
          </cell>
          <cell r="M182"/>
          <cell r="N182" t="str">
            <v>OBSTETRIK &amp; GINEKOLOGI</v>
          </cell>
          <cell r="O182" t="str">
            <v>Wad Obstetrik &amp; Ginekologi 8B</v>
          </cell>
          <cell r="P182" t="str">
            <v>ABR</v>
          </cell>
          <cell r="Q182">
            <v>452.81</v>
          </cell>
        </row>
        <row r="183">
          <cell r="E183" t="str">
            <v>KKM/JKN/HSA/10-05-01/R/15/7038</v>
          </cell>
          <cell r="F183" t="str">
            <v xml:space="preserve">Diagnostic </v>
          </cell>
          <cell r="G183" t="str">
            <v>Basic</v>
          </cell>
          <cell r="H183" t="str">
            <v>Scales, Infant</v>
          </cell>
          <cell r="I183" t="str">
            <v>SCALES BABY DIGITAL/ELECTRONIC W/MEASURE</v>
          </cell>
          <cell r="J183" t="str">
            <v>13-462</v>
          </cell>
          <cell r="K183" t="str">
            <v>DETECTO</v>
          </cell>
          <cell r="L183" t="str">
            <v>MB130 &amp; DLM</v>
          </cell>
          <cell r="M183"/>
          <cell r="N183" t="str">
            <v>OBSTETRIK &amp; GINEKOLOGI</v>
          </cell>
          <cell r="O183" t="str">
            <v>Wad Obstetrik &amp; Ginekologi 8B</v>
          </cell>
          <cell r="P183" t="str">
            <v>ABR</v>
          </cell>
          <cell r="Q183">
            <v>1500</v>
          </cell>
        </row>
        <row r="184">
          <cell r="E184" t="str">
            <v>KKM/JKN/HSA/10-05-01/H/15/2796</v>
          </cell>
          <cell r="F184" t="str">
            <v>Therapeutic</v>
          </cell>
          <cell r="G184" t="str">
            <v>Basic</v>
          </cell>
          <cell r="H184" t="str">
            <v>Mattress Systems, Alternating-Pressure</v>
          </cell>
          <cell r="I184" t="str">
            <v>RIPPLE MATTRESS W/MOTOR</v>
          </cell>
          <cell r="J184" t="str">
            <v>18-147</v>
          </cell>
          <cell r="K184" t="str">
            <v>BANTEX</v>
          </cell>
          <cell r="L184" t="str">
            <v>APM-5000-G</v>
          </cell>
          <cell r="M184" t="str">
            <v>EZ141104998</v>
          </cell>
          <cell r="N184" t="str">
            <v>OBSTETRIK &amp; GINEKOLOGI</v>
          </cell>
          <cell r="O184" t="str">
            <v>Wad Obstetrik &amp; Ginekologi 8B</v>
          </cell>
          <cell r="P184" t="str">
            <v>HM</v>
          </cell>
          <cell r="Q184">
            <v>2800</v>
          </cell>
        </row>
        <row r="185">
          <cell r="E185" t="str">
            <v>KKM/JKN/HSA/10-05-01/H/15/550</v>
          </cell>
          <cell r="F185" t="str">
            <v>Therapeutic</v>
          </cell>
          <cell r="G185" t="str">
            <v>Basic</v>
          </cell>
          <cell r="H185" t="str">
            <v>Warming Units, Patient, Radiant, Infant, Mobile</v>
          </cell>
          <cell r="I185" t="str">
            <v>RADIENT HEAT UNIT FREESTANDING</v>
          </cell>
          <cell r="J185" t="str">
            <v>17-433</v>
          </cell>
          <cell r="K185" t="str">
            <v>FISHER &amp; PAYKEL</v>
          </cell>
          <cell r="L185" t="str">
            <v xml:space="preserve"> IW910</v>
          </cell>
          <cell r="M185">
            <v>130918000827</v>
          </cell>
          <cell r="N185" t="str">
            <v>OBSTETRIK &amp; GINEKOLOGI</v>
          </cell>
          <cell r="O185" t="str">
            <v>Wad Obstetrik &amp; Ginekologi 8B</v>
          </cell>
          <cell r="P185" t="str">
            <v>HM</v>
          </cell>
          <cell r="Q185">
            <v>10000</v>
          </cell>
        </row>
        <row r="186">
          <cell r="E186" t="str">
            <v>KKM/JKN/HSA/10-05-01/H/15/551</v>
          </cell>
          <cell r="F186" t="str">
            <v>Therapeutic</v>
          </cell>
          <cell r="G186" t="str">
            <v>Basic</v>
          </cell>
          <cell r="H186" t="str">
            <v>Warming Units, Patient, Radiant, Infant, Mobile</v>
          </cell>
          <cell r="I186" t="str">
            <v>RADIENT HEAT UNIT FREESTANDING</v>
          </cell>
          <cell r="J186" t="str">
            <v>17-433</v>
          </cell>
          <cell r="K186" t="str">
            <v>FISHER &amp; PAYKEL</v>
          </cell>
          <cell r="L186" t="str">
            <v xml:space="preserve"> IW910</v>
          </cell>
          <cell r="M186">
            <v>130918000821</v>
          </cell>
          <cell r="N186" t="str">
            <v>OBSTETRIK &amp; GINEKOLOGI</v>
          </cell>
          <cell r="O186" t="str">
            <v>Wad Obstetrik &amp; Ginekologi 8B</v>
          </cell>
          <cell r="P186" t="str">
            <v>HM</v>
          </cell>
          <cell r="Q186">
            <v>10000</v>
          </cell>
        </row>
        <row r="187">
          <cell r="E187" t="str">
            <v>KKM/JKN/HSA/10-05-01/H/15/1242</v>
          </cell>
          <cell r="F187" t="str">
            <v>Therapeutic</v>
          </cell>
          <cell r="G187" t="str">
            <v>Intermediate</v>
          </cell>
          <cell r="H187" t="str">
            <v>Infusion Pumps, General-Purpose</v>
          </cell>
          <cell r="I187" t="str">
            <v>PUMP VOLUMETRIC INFUSION (STAND ALONE)</v>
          </cell>
          <cell r="J187" t="str">
            <v>13-215</v>
          </cell>
          <cell r="K187" t="str">
            <v>FRESENIUS KABI</v>
          </cell>
          <cell r="L187" t="str">
            <v>LINK 8+ AGILIA/MOBILE STAND</v>
          </cell>
          <cell r="M187">
            <v>22235924</v>
          </cell>
          <cell r="N187" t="str">
            <v>OBSTETRIK &amp; GINEKOLOGI</v>
          </cell>
          <cell r="O187" t="str">
            <v>Wad Obstetrik &amp; Ginekologi 8B</v>
          </cell>
          <cell r="P187" t="str">
            <v>HM</v>
          </cell>
          <cell r="Q187">
            <v>7245</v>
          </cell>
        </row>
        <row r="188">
          <cell r="E188" t="str">
            <v>KKM/JKN/HSA/10-05-01/H/15/1243</v>
          </cell>
          <cell r="F188" t="str">
            <v>Therapeutic</v>
          </cell>
          <cell r="G188" t="str">
            <v>Intermediate</v>
          </cell>
          <cell r="H188" t="str">
            <v>Infusion Pumps, General-Purpose</v>
          </cell>
          <cell r="I188" t="str">
            <v>PUMP VOLUMETRIC INFUSION (STAND ALONE)</v>
          </cell>
          <cell r="J188" t="str">
            <v>13-215</v>
          </cell>
          <cell r="K188" t="str">
            <v>FRESENIUS KABI</v>
          </cell>
          <cell r="L188" t="str">
            <v>LINK 8+ AGILIA/MOBILE STAND</v>
          </cell>
          <cell r="M188">
            <v>222335918</v>
          </cell>
          <cell r="N188" t="str">
            <v>OBSTETRIK &amp; GINEKOLOGI</v>
          </cell>
          <cell r="O188" t="str">
            <v>Wad Obstetrik &amp; Ginekologi 8B</v>
          </cell>
          <cell r="P188" t="str">
            <v>HM</v>
          </cell>
          <cell r="Q188">
            <v>7245</v>
          </cell>
        </row>
        <row r="189">
          <cell r="E189" t="str">
            <v>KKM/JKN/HSA/10-05-01/H/15/1244</v>
          </cell>
          <cell r="F189" t="str">
            <v>Therapeutic</v>
          </cell>
          <cell r="G189" t="str">
            <v>Intermediate</v>
          </cell>
          <cell r="H189" t="str">
            <v>Infusion Pumps, General-Purpose</v>
          </cell>
          <cell r="I189" t="str">
            <v>PUMP VOLUMETRIC INFUSION (STAND ALONE)</v>
          </cell>
          <cell r="J189" t="str">
            <v>13-215</v>
          </cell>
          <cell r="K189" t="str">
            <v>FRESENIUS KABI</v>
          </cell>
          <cell r="L189" t="str">
            <v>LINK 8+ AGILIA/MOBILE STAND</v>
          </cell>
          <cell r="M189">
            <v>22235920</v>
          </cell>
          <cell r="N189" t="str">
            <v>OBSTETRIK &amp; GINEKOLOGI</v>
          </cell>
          <cell r="O189" t="str">
            <v>Wad Obstetrik &amp; Ginekologi 8B</v>
          </cell>
          <cell r="P189" t="str">
            <v>HM</v>
          </cell>
          <cell r="Q189">
            <v>7245</v>
          </cell>
        </row>
        <row r="190">
          <cell r="E190" t="str">
            <v>KKM/JKN/HSA/10-05-01/H/15/2252</v>
          </cell>
          <cell r="F190" t="str">
            <v>Therapeutic</v>
          </cell>
          <cell r="G190" t="str">
            <v>Intermediate</v>
          </cell>
          <cell r="H190" t="str">
            <v>Infusion Pumps, Syringe</v>
          </cell>
          <cell r="I190" t="str">
            <v>PUMP SYRINGE BASIC (STAND ALONE)</v>
          </cell>
          <cell r="J190" t="str">
            <v>13-217</v>
          </cell>
          <cell r="K190" t="str">
            <v>FRESENIUS KABI</v>
          </cell>
          <cell r="L190" t="str">
            <v>INJECTOMAT AGILIA</v>
          </cell>
          <cell r="M190">
            <v>22233889</v>
          </cell>
          <cell r="N190" t="str">
            <v>OBSTETRIK &amp; GINEKOLOGI</v>
          </cell>
          <cell r="O190" t="str">
            <v>Wad Obstetrik &amp; Ginekologi 8B</v>
          </cell>
          <cell r="P190" t="str">
            <v>HM</v>
          </cell>
          <cell r="Q190">
            <v>2700</v>
          </cell>
        </row>
        <row r="191">
          <cell r="E191" t="str">
            <v>KKM/JKN/HSA/10-05-01/H/15/2253</v>
          </cell>
          <cell r="F191" t="str">
            <v>Therapeutic</v>
          </cell>
          <cell r="G191" t="str">
            <v>Intermediate</v>
          </cell>
          <cell r="H191" t="str">
            <v>Infusion Pumps, Syringe</v>
          </cell>
          <cell r="I191" t="str">
            <v>PUMP SYRINGE BASIC (STAND ALONE)</v>
          </cell>
          <cell r="J191" t="str">
            <v>13-217</v>
          </cell>
          <cell r="K191" t="str">
            <v>FRESENIUS KABI</v>
          </cell>
          <cell r="L191" t="str">
            <v>INJECTOMAT AGILIA</v>
          </cell>
          <cell r="M191">
            <v>22233892</v>
          </cell>
          <cell r="N191" t="str">
            <v>OBSTETRIK &amp; GINEKOLOGI</v>
          </cell>
          <cell r="O191" t="str">
            <v>Wad Obstetrik &amp; Ginekologi 8B</v>
          </cell>
          <cell r="P191" t="str">
            <v>HM</v>
          </cell>
          <cell r="Q191">
            <v>2700</v>
          </cell>
        </row>
        <row r="192">
          <cell r="E192" t="str">
            <v>KKM/JKN/HSA/10-05-01/H/15/2254</v>
          </cell>
          <cell r="F192" t="str">
            <v>Therapeutic</v>
          </cell>
          <cell r="G192" t="str">
            <v>Intermediate</v>
          </cell>
          <cell r="H192" t="str">
            <v>Infusion Pumps, Syringe</v>
          </cell>
          <cell r="I192" t="str">
            <v>PUMP SYRINGE BASIC (STAND ALONE)</v>
          </cell>
          <cell r="J192" t="str">
            <v>13-217</v>
          </cell>
          <cell r="K192" t="str">
            <v>FRESENIUS KABI</v>
          </cell>
          <cell r="L192" t="str">
            <v>INJECTOMAT AGILIA</v>
          </cell>
          <cell r="M192">
            <v>22233890</v>
          </cell>
          <cell r="N192" t="str">
            <v>OBSTETRIK &amp; GINEKOLOGI</v>
          </cell>
          <cell r="O192" t="str">
            <v>Wad Obstetrik &amp; Ginekologi 8B</v>
          </cell>
          <cell r="P192" t="str">
            <v>HM</v>
          </cell>
          <cell r="Q192">
            <v>2700</v>
          </cell>
        </row>
        <row r="193">
          <cell r="E193" t="str">
            <v>KKM/JKN/HSA/10-05-01/H/15/2255</v>
          </cell>
          <cell r="F193" t="str">
            <v>Therapeutic</v>
          </cell>
          <cell r="G193" t="str">
            <v>Intermediate</v>
          </cell>
          <cell r="H193" t="str">
            <v>Infusion Pumps, Syringe</v>
          </cell>
          <cell r="I193" t="str">
            <v>PUMP SYRINGE BASIC (STAND ALONE)</v>
          </cell>
          <cell r="J193" t="str">
            <v>13-217</v>
          </cell>
          <cell r="K193" t="str">
            <v>FRESENIUS KABI</v>
          </cell>
          <cell r="L193" t="str">
            <v>INJECTOMAT AGILIA</v>
          </cell>
          <cell r="M193">
            <v>22233544</v>
          </cell>
          <cell r="N193" t="str">
            <v>OBSTETRIK &amp; GINEKOLOGI</v>
          </cell>
          <cell r="O193" t="str">
            <v>Wad Obstetrik &amp; Ginekologi 8B</v>
          </cell>
          <cell r="P193" t="str">
            <v>HM</v>
          </cell>
          <cell r="Q193">
            <v>2700</v>
          </cell>
        </row>
        <row r="194">
          <cell r="E194" t="str">
            <v>KKM/JKN/HSA/10-05-01/H/15/4845</v>
          </cell>
          <cell r="F194" t="str">
            <v>Therapeutic</v>
          </cell>
          <cell r="G194" t="str">
            <v>Basic</v>
          </cell>
          <cell r="H194" t="str">
            <v>Pumps, Breast</v>
          </cell>
          <cell r="I194" t="str">
            <v>PUMP BREAST ELECTRIC</v>
          </cell>
          <cell r="J194" t="str">
            <v>10-485</v>
          </cell>
          <cell r="K194" t="str">
            <v>MEDELA</v>
          </cell>
          <cell r="L194" t="str">
            <v xml:space="preserve"> 016-2017</v>
          </cell>
          <cell r="M194">
            <v>667094</v>
          </cell>
          <cell r="N194" t="str">
            <v>OBSTETRIK &amp; GINEKOLOGI</v>
          </cell>
          <cell r="O194" t="str">
            <v>Wad Obstetrik &amp; Ginekologi 8B</v>
          </cell>
          <cell r="P194" t="str">
            <v>HM</v>
          </cell>
          <cell r="Q194">
            <v>12740</v>
          </cell>
        </row>
        <row r="195">
          <cell r="E195" t="str">
            <v>KKM/JKN/HSA/10-05-01/H/15/1083</v>
          </cell>
          <cell r="F195" t="str">
            <v>Therapeutic</v>
          </cell>
          <cell r="G195" t="str">
            <v>Basic</v>
          </cell>
          <cell r="H195" t="str">
            <v>Phototherapy Units, Visible Light, Hyperbilirubinemia</v>
          </cell>
          <cell r="I195" t="str">
            <v>PHOTOTHERAPY UNIT FREESTANDING</v>
          </cell>
          <cell r="J195" t="str">
            <v>17-515</v>
          </cell>
          <cell r="K195" t="str">
            <v>BISTOS</v>
          </cell>
          <cell r="L195" t="str">
            <v xml:space="preserve"> BT -400</v>
          </cell>
          <cell r="M195" t="str">
            <v>EAE 50036</v>
          </cell>
          <cell r="N195" t="str">
            <v>OBSTETRIK &amp; GINEKOLOGI</v>
          </cell>
          <cell r="O195" t="str">
            <v>Wad Obstetrik &amp; Ginekologi 8B</v>
          </cell>
          <cell r="P195" t="str">
            <v>HM</v>
          </cell>
          <cell r="Q195">
            <v>6000</v>
          </cell>
        </row>
        <row r="196">
          <cell r="E196" t="str">
            <v>KKM/JKN/HSA/10-05-01/H/15/1084</v>
          </cell>
          <cell r="F196" t="str">
            <v>Therapeutic</v>
          </cell>
          <cell r="G196" t="str">
            <v>Basic</v>
          </cell>
          <cell r="H196" t="str">
            <v>Phototherapy Units, Visible Light, Hyperbilirubinemia</v>
          </cell>
          <cell r="I196" t="str">
            <v>PHOTOTHERAPY UNIT FREESTANDING</v>
          </cell>
          <cell r="J196" t="str">
            <v>17-515</v>
          </cell>
          <cell r="K196" t="str">
            <v>BISTOS</v>
          </cell>
          <cell r="L196" t="str">
            <v xml:space="preserve"> BT -400</v>
          </cell>
          <cell r="M196" t="str">
            <v>EAE 40132</v>
          </cell>
          <cell r="N196" t="str">
            <v>OBSTETRIK &amp; GINEKOLOGI</v>
          </cell>
          <cell r="O196" t="str">
            <v>Wad Obstetrik &amp; Ginekologi 8B</v>
          </cell>
          <cell r="P196" t="str">
            <v>HM</v>
          </cell>
          <cell r="Q196">
            <v>6000</v>
          </cell>
        </row>
        <row r="197">
          <cell r="E197" t="str">
            <v>KKM/JKN/HSA/10-05-01/H/15/1085</v>
          </cell>
          <cell r="F197" t="str">
            <v>Therapeutic</v>
          </cell>
          <cell r="G197" t="str">
            <v>Basic</v>
          </cell>
          <cell r="H197" t="str">
            <v>Phototherapy Units, Visible Light, Hyperbilirubinemia</v>
          </cell>
          <cell r="I197" t="str">
            <v>PHOTOTHERAPY UNIT FREESTANDING</v>
          </cell>
          <cell r="J197" t="str">
            <v>17-515</v>
          </cell>
          <cell r="K197" t="str">
            <v>BISTOS</v>
          </cell>
          <cell r="L197" t="str">
            <v xml:space="preserve"> BT -400</v>
          </cell>
          <cell r="M197" t="str">
            <v>EAE 40129</v>
          </cell>
          <cell r="N197" t="str">
            <v>OBSTETRIK &amp; GINEKOLOGI</v>
          </cell>
          <cell r="O197" t="str">
            <v>Wad Obstetrik &amp; Ginekologi 8B</v>
          </cell>
          <cell r="P197" t="str">
            <v>HM</v>
          </cell>
          <cell r="Q197">
            <v>6000</v>
          </cell>
        </row>
        <row r="198">
          <cell r="E198" t="str">
            <v>KKM/JKN/HSA/10-05-01/H/15/1086</v>
          </cell>
          <cell r="F198" t="str">
            <v>Therapeutic</v>
          </cell>
          <cell r="G198" t="str">
            <v>Basic</v>
          </cell>
          <cell r="H198" t="str">
            <v>Phototherapy Units, Visible Light, Hyperbilirubinemia</v>
          </cell>
          <cell r="I198" t="str">
            <v>PHOTOTHERAPY UNIT FREESTANDING</v>
          </cell>
          <cell r="J198" t="str">
            <v>17-515</v>
          </cell>
          <cell r="K198" t="str">
            <v>BISTOS</v>
          </cell>
          <cell r="L198" t="str">
            <v xml:space="preserve"> BT -400</v>
          </cell>
          <cell r="M198" t="str">
            <v>EAE40135</v>
          </cell>
          <cell r="N198" t="str">
            <v>OBSTETRIK &amp; GINEKOLOGI</v>
          </cell>
          <cell r="O198" t="str">
            <v>Wad Obstetrik &amp; Ginekologi 8B</v>
          </cell>
          <cell r="P198" t="str">
            <v>HM</v>
          </cell>
          <cell r="Q198">
            <v>6000</v>
          </cell>
        </row>
        <row r="199">
          <cell r="E199" t="str">
            <v>KKM/JKN/HSA/10-05-01/H/15/1087</v>
          </cell>
          <cell r="F199" t="str">
            <v>Therapeutic</v>
          </cell>
          <cell r="G199" t="str">
            <v>Basic</v>
          </cell>
          <cell r="H199" t="str">
            <v>Phototherapy Units, Visible Light, Hyperbilirubinemia</v>
          </cell>
          <cell r="I199" t="str">
            <v>PHOTOTHERAPY UNIT FREESTANDING</v>
          </cell>
          <cell r="J199" t="str">
            <v>17-515</v>
          </cell>
          <cell r="K199" t="str">
            <v>BISTOS</v>
          </cell>
          <cell r="L199" t="str">
            <v xml:space="preserve"> BT -400</v>
          </cell>
          <cell r="M199" t="str">
            <v>EAE50026</v>
          </cell>
          <cell r="N199" t="str">
            <v>OBSTETRIK &amp; GINEKOLOGI</v>
          </cell>
          <cell r="O199" t="str">
            <v>Wad Obstetrik &amp; Ginekologi 8B</v>
          </cell>
          <cell r="P199" t="str">
            <v>HM</v>
          </cell>
          <cell r="Q199">
            <v>6000</v>
          </cell>
        </row>
        <row r="200">
          <cell r="E200" t="str">
            <v>KKM/JKN/HSA/10-05-01/H/15/1605</v>
          </cell>
          <cell r="F200" t="str">
            <v xml:space="preserve">Diagnostic </v>
          </cell>
          <cell r="G200" t="str">
            <v>Intermediate</v>
          </cell>
          <cell r="H200" t="str">
            <v>Monitors, Physiologic, Vital Signs</v>
          </cell>
          <cell r="I200" t="str">
            <v>MONITOR NIBP/TEMP</v>
          </cell>
          <cell r="J200" t="str">
            <v>25-209</v>
          </cell>
          <cell r="K200" t="str">
            <v>WELCH ALLYN</v>
          </cell>
          <cell r="L200" t="str">
            <v>WELCH ALLYN VSM 300</v>
          </cell>
          <cell r="M200" t="str">
            <v>JA 123451</v>
          </cell>
          <cell r="N200" t="str">
            <v>OBSTETRIK &amp; GINEKOLOGI</v>
          </cell>
          <cell r="O200" t="str">
            <v>Wad Obstetrik &amp; Ginekologi 8B</v>
          </cell>
          <cell r="P200" t="str">
            <v>HM</v>
          </cell>
          <cell r="Q200">
            <v>4355</v>
          </cell>
        </row>
        <row r="201">
          <cell r="E201" t="str">
            <v>KKM/JKN/HSA/10-05-01/H/15/1606</v>
          </cell>
          <cell r="F201" t="str">
            <v xml:space="preserve">Diagnostic </v>
          </cell>
          <cell r="G201" t="str">
            <v>Intermediate</v>
          </cell>
          <cell r="H201" t="str">
            <v>Monitors, Physiologic, Vital Signs</v>
          </cell>
          <cell r="I201" t="str">
            <v>MONITOR NIBP/TEMP</v>
          </cell>
          <cell r="J201" t="str">
            <v>25-209</v>
          </cell>
          <cell r="K201" t="str">
            <v>WELCH ALLYN</v>
          </cell>
          <cell r="L201" t="str">
            <v>WELCH ALLYN VSM 300</v>
          </cell>
          <cell r="M201" t="str">
            <v>JA 123457</v>
          </cell>
          <cell r="N201" t="str">
            <v>OBSTETRIK &amp; GINEKOLOGI</v>
          </cell>
          <cell r="O201" t="str">
            <v>Wad Obstetrik &amp; Ginekologi 8B</v>
          </cell>
          <cell r="P201" t="str">
            <v>HM</v>
          </cell>
          <cell r="Q201">
            <v>4355</v>
          </cell>
        </row>
        <row r="202">
          <cell r="E202" t="str">
            <v>KKM/JKN/HSA/10-05-01/H/15/1607</v>
          </cell>
          <cell r="F202" t="str">
            <v xml:space="preserve">Diagnostic </v>
          </cell>
          <cell r="G202" t="str">
            <v>Intermediate</v>
          </cell>
          <cell r="H202" t="str">
            <v>Monitors, Physiologic, Vital Signs</v>
          </cell>
          <cell r="I202" t="str">
            <v>MONITOR NIBP/TEMP</v>
          </cell>
          <cell r="J202" t="str">
            <v>25-209</v>
          </cell>
          <cell r="K202" t="str">
            <v>WELCH ALLYN</v>
          </cell>
          <cell r="L202" t="str">
            <v>WELCH ALLYN VSM 300</v>
          </cell>
          <cell r="M202" t="str">
            <v>JA 123443</v>
          </cell>
          <cell r="N202" t="str">
            <v>OBSTETRIK &amp; GINEKOLOGI</v>
          </cell>
          <cell r="O202" t="str">
            <v>Wad Obstetrik &amp; Ginekologi 8B</v>
          </cell>
          <cell r="P202" t="str">
            <v>HM</v>
          </cell>
          <cell r="Q202">
            <v>4355</v>
          </cell>
        </row>
        <row r="203">
          <cell r="E203" t="str">
            <v>KKM/JKN/HSA/10-05-01/H/15/4184</v>
          </cell>
          <cell r="F203" t="str">
            <v xml:space="preserve">Diagnostic </v>
          </cell>
          <cell r="G203" t="str">
            <v>Intermediate</v>
          </cell>
          <cell r="H203" t="str">
            <v>Oximeters, Pulse</v>
          </cell>
          <cell r="I203" t="str">
            <v>MONITOR APNOEA NON INVASIVE</v>
          </cell>
          <cell r="J203" t="str">
            <v>17-148</v>
          </cell>
          <cell r="K203" t="str">
            <v>MASIMO</v>
          </cell>
          <cell r="L203" t="str">
            <v>RADICAL-8</v>
          </cell>
          <cell r="M203"/>
          <cell r="N203" t="str">
            <v>OBSTETRIK &amp; GINEKOLOGI</v>
          </cell>
          <cell r="O203" t="str">
            <v>Wad Obstetrik &amp; Ginekologi 8B</v>
          </cell>
          <cell r="P203" t="str">
            <v>HM</v>
          </cell>
          <cell r="Q203">
            <v>6957.6</v>
          </cell>
        </row>
        <row r="204">
          <cell r="E204" t="str">
            <v>KKM/JKN/HSA/10-05-01/H/15/4305</v>
          </cell>
          <cell r="F204" t="str">
            <v xml:space="preserve">Diagnostic </v>
          </cell>
          <cell r="G204" t="str">
            <v>Intermediate</v>
          </cell>
          <cell r="H204" t="str">
            <v>Cardiotocographs</v>
          </cell>
          <cell r="I204" t="str">
            <v>MONITOR ANTEPARTUM W/INTEGRAL PRINTER</v>
          </cell>
          <cell r="J204" t="str">
            <v>12-610</v>
          </cell>
          <cell r="K204" t="str">
            <v>GE HEALTHCARE</v>
          </cell>
          <cell r="L204" t="str">
            <v>COROMETRICS 172</v>
          </cell>
          <cell r="M204" t="str">
            <v>SAS13360943PA</v>
          </cell>
          <cell r="N204" t="str">
            <v>OBSTETRIK &amp; GINEKOLOGI</v>
          </cell>
          <cell r="O204" t="str">
            <v>Wad Obstetrik &amp; Ginekologi 8B</v>
          </cell>
          <cell r="P204" t="str">
            <v>HM</v>
          </cell>
          <cell r="Q204">
            <v>10200</v>
          </cell>
        </row>
        <row r="205">
          <cell r="E205" t="str">
            <v>KKM/JKN/HSA/10-05-01/H/15/2143</v>
          </cell>
          <cell r="F205" t="str">
            <v xml:space="preserve">Diagnostic </v>
          </cell>
          <cell r="G205" t="str">
            <v>Intermediate</v>
          </cell>
          <cell r="H205" t="str">
            <v>Physiologic Monitoring Systems, Acute Care</v>
          </cell>
          <cell r="I205" t="str">
            <v>MONITOR 4 CH, ECG/RR/NIBP/SP02/TEMP</v>
          </cell>
          <cell r="J205" t="str">
            <v>12-647</v>
          </cell>
          <cell r="K205" t="str">
            <v>MINDRAY</v>
          </cell>
          <cell r="L205" t="str">
            <v>IMEC 12</v>
          </cell>
          <cell r="M205" t="str">
            <v>EV 45011648</v>
          </cell>
          <cell r="N205" t="str">
            <v>OBSTETRIK &amp; GINELOKOGI</v>
          </cell>
          <cell r="O205" t="str">
            <v>Wad Obstetrik &amp; Ginekologi 8B</v>
          </cell>
          <cell r="P205" t="str">
            <v>HM</v>
          </cell>
          <cell r="Q205">
            <v>9000</v>
          </cell>
        </row>
        <row r="206">
          <cell r="E206" t="str">
            <v>KKM/JKN/HSA/10-05-01/H/15/2144</v>
          </cell>
          <cell r="F206" t="str">
            <v xml:space="preserve">Diagnostic </v>
          </cell>
          <cell r="G206" t="str">
            <v>Intermediate</v>
          </cell>
          <cell r="H206" t="str">
            <v>Physiologic Monitoring Systems, Acute Care</v>
          </cell>
          <cell r="I206" t="str">
            <v>MONITOR 4 CH, ECG/RR/NIBP/SP02/TEMP</v>
          </cell>
          <cell r="J206" t="str">
            <v>12-647</v>
          </cell>
          <cell r="K206" t="str">
            <v>MINDRAY</v>
          </cell>
          <cell r="L206" t="str">
            <v>IMEC 12</v>
          </cell>
          <cell r="M206" t="str">
            <v>EV 45011633</v>
          </cell>
          <cell r="N206" t="str">
            <v>OBSTETRIK &amp; GINELOKOGI</v>
          </cell>
          <cell r="O206" t="str">
            <v>Wad Obstetrik &amp; Ginekologi 8B</v>
          </cell>
          <cell r="P206" t="str">
            <v>HM</v>
          </cell>
          <cell r="Q206">
            <v>9000</v>
          </cell>
        </row>
        <row r="207">
          <cell r="E207" t="str">
            <v>KKM/JKN/HSA/10-05-01/H/15/3680</v>
          </cell>
          <cell r="F207" t="str">
            <v>Therapeutic</v>
          </cell>
          <cell r="G207" t="str">
            <v>Intermediate</v>
          </cell>
          <cell r="H207" t="str">
            <v xml:space="preserve">Defibrillators, External, Automated </v>
          </cell>
          <cell r="I207" t="str">
            <v>DEFIBRILLATOR W/INTERNAL/EXT PADDLES/PACEMAKER</v>
          </cell>
          <cell r="J207" t="str">
            <v>17-116</v>
          </cell>
          <cell r="K207" t="str">
            <v>PHILIPS</v>
          </cell>
          <cell r="L207" t="str">
            <v>EFFICIA DFM100</v>
          </cell>
          <cell r="M207"/>
          <cell r="N207" t="str">
            <v>OBSTETRIK &amp; GINEKOLOGI</v>
          </cell>
          <cell r="O207" t="str">
            <v>Wad Obstetrik &amp; Ginekologi 8B</v>
          </cell>
          <cell r="P207" t="str">
            <v>HM</v>
          </cell>
          <cell r="Q207">
            <v>14250</v>
          </cell>
        </row>
        <row r="208">
          <cell r="E208" t="str">
            <v>KKM/JKN/HSA/10-05-01/H/15/4073</v>
          </cell>
          <cell r="F208" t="str">
            <v>Radiology</v>
          </cell>
          <cell r="G208" t="str">
            <v>Intermediate</v>
          </cell>
          <cell r="H208" t="str">
            <v>Scanning Systems, Ultrasonic, Obstetric/Gynecologic</v>
          </cell>
          <cell r="I208" t="str">
            <v>ULTRASOUND UNIT B/W MEDIUM RANGE, OB</v>
          </cell>
          <cell r="J208" t="str">
            <v>15-657</v>
          </cell>
          <cell r="K208" t="str">
            <v>SIEMENS</v>
          </cell>
          <cell r="L208" t="str">
            <v>ACUSON X150</v>
          </cell>
          <cell r="M208">
            <v>336229</v>
          </cell>
          <cell r="N208" t="str">
            <v>OBSTETRIK &amp; GINEKOLOGI</v>
          </cell>
          <cell r="O208" t="str">
            <v>Wad Obstetrik &amp; Ginekologi 8A</v>
          </cell>
          <cell r="P208" t="str">
            <v>HM</v>
          </cell>
          <cell r="Q208">
            <v>42000</v>
          </cell>
        </row>
        <row r="209">
          <cell r="E209" t="str">
            <v>KKM/JKN/HSA/10-05-01/H/15/2173</v>
          </cell>
          <cell r="F209" t="str">
            <v>Therapeutic</v>
          </cell>
          <cell r="G209" t="str">
            <v>Basic</v>
          </cell>
          <cell r="H209" t="str">
            <v>Aspirators</v>
          </cell>
          <cell r="I209" t="str">
            <v>SUCTION UNIT 1 X 2L JAR MOBILE</v>
          </cell>
          <cell r="J209" t="str">
            <v>10-208</v>
          </cell>
          <cell r="K209" t="str">
            <v>GIMA</v>
          </cell>
          <cell r="L209">
            <v>28212</v>
          </cell>
          <cell r="M209">
            <v>927</v>
          </cell>
          <cell r="N209" t="str">
            <v>OBSTETRIK &amp; GINEKOLOGI</v>
          </cell>
          <cell r="O209" t="str">
            <v>Wad Obstetrik &amp; Ginekologi 8A</v>
          </cell>
          <cell r="P209" t="str">
            <v>HM</v>
          </cell>
          <cell r="Q209">
            <v>3386.5</v>
          </cell>
        </row>
        <row r="210">
          <cell r="E210" t="str">
            <v>KKM/JKN/HSA/10-05-01/R/15/14877</v>
          </cell>
          <cell r="F210" t="str">
            <v xml:space="preserve">Diagnostic </v>
          </cell>
          <cell r="G210" t="str">
            <v>Basic</v>
          </cell>
          <cell r="H210" t="str">
            <v>Sphygmomanometers, Aneroid</v>
          </cell>
          <cell r="I210" t="str">
            <v>SPHYGMOMANOMETER ANEROID DESK MODEL</v>
          </cell>
          <cell r="J210" t="str">
            <v>16-156</v>
          </cell>
          <cell r="K210" t="str">
            <v>RIESTER</v>
          </cell>
          <cell r="L210">
            <v>1453</v>
          </cell>
          <cell r="M210"/>
          <cell r="N210" t="str">
            <v>OBSTETRIK &amp; GINEKOLOGI</v>
          </cell>
          <cell r="O210" t="str">
            <v>Wad Obstetrik &amp; Ginekologi 8A</v>
          </cell>
          <cell r="P210" t="str">
            <v>ABR</v>
          </cell>
          <cell r="Q210">
            <v>452.81</v>
          </cell>
        </row>
        <row r="211">
          <cell r="E211" t="str">
            <v>KKM/JKN/HSA/10-05-01/R/15/14878</v>
          </cell>
          <cell r="F211" t="str">
            <v xml:space="preserve">Diagnostic </v>
          </cell>
          <cell r="G211" t="str">
            <v>Basic</v>
          </cell>
          <cell r="H211" t="str">
            <v>Sphygmomanometers, Aneroid</v>
          </cell>
          <cell r="I211" t="str">
            <v>SPHYGMOMANOMETER ANEROID DESK MODEL</v>
          </cell>
          <cell r="J211" t="str">
            <v>16-156</v>
          </cell>
          <cell r="K211" t="str">
            <v>RIESTER</v>
          </cell>
          <cell r="L211">
            <v>1453</v>
          </cell>
          <cell r="M211"/>
          <cell r="N211" t="str">
            <v>OBSTETRIK &amp; GINEKOLOGI</v>
          </cell>
          <cell r="O211" t="str">
            <v>Wad Obstetrik &amp; Ginekologi 8A</v>
          </cell>
          <cell r="P211" t="str">
            <v>ABR</v>
          </cell>
          <cell r="Q211">
            <v>452.81</v>
          </cell>
        </row>
        <row r="212">
          <cell r="E212" t="str">
            <v>KKM/JKN/HSA/10-05-01/R/15/7037</v>
          </cell>
          <cell r="F212" t="str">
            <v xml:space="preserve">Diagnostic </v>
          </cell>
          <cell r="G212" t="str">
            <v>Basic</v>
          </cell>
          <cell r="H212" t="str">
            <v>Scales, Infant</v>
          </cell>
          <cell r="I212" t="str">
            <v>SCALES BABY DIGITAL/ELECTRONIC W/MEASURE</v>
          </cell>
          <cell r="J212" t="str">
            <v>13-462</v>
          </cell>
          <cell r="K212" t="str">
            <v>DETECTO</v>
          </cell>
          <cell r="L212" t="str">
            <v>MB130 &amp; DLM</v>
          </cell>
          <cell r="M212" t="str">
            <v>C12025865</v>
          </cell>
          <cell r="N212" t="str">
            <v>OBSTETRIK &amp; GINEKOLOGI</v>
          </cell>
          <cell r="O212" t="str">
            <v>Wad Obstetrik &amp; Ginekologi 8A</v>
          </cell>
          <cell r="P212" t="str">
            <v>ABR</v>
          </cell>
          <cell r="Q212">
            <v>1500</v>
          </cell>
        </row>
        <row r="213">
          <cell r="E213" t="str">
            <v>KKM/JKN/HSA/10-05-01/H/15/2795</v>
          </cell>
          <cell r="F213" t="str">
            <v>Therapeutic</v>
          </cell>
          <cell r="G213" t="str">
            <v>Basic</v>
          </cell>
          <cell r="H213" t="str">
            <v>Mattress Systems, Alternating-Pressure</v>
          </cell>
          <cell r="I213" t="str">
            <v>RIPPLE MATTRESS W/MOTOR</v>
          </cell>
          <cell r="J213" t="str">
            <v>18-147</v>
          </cell>
          <cell r="K213" t="str">
            <v>BANTEX</v>
          </cell>
          <cell r="L213" t="str">
            <v>APM-5000-G</v>
          </cell>
          <cell r="M213" t="str">
            <v>EZ141105005</v>
          </cell>
          <cell r="N213" t="str">
            <v>OBSTETRIK &amp; GINEKOLOGI</v>
          </cell>
          <cell r="O213" t="str">
            <v>Wad Obstetrik &amp; Ginekologi 8A</v>
          </cell>
          <cell r="P213" t="str">
            <v>HM</v>
          </cell>
          <cell r="Q213">
            <v>2800</v>
          </cell>
        </row>
        <row r="214">
          <cell r="E214" t="str">
            <v>KKM/JKN/HSA/10-05-01/H/15/552</v>
          </cell>
          <cell r="F214" t="str">
            <v>Therapeutic</v>
          </cell>
          <cell r="G214" t="str">
            <v>Basic</v>
          </cell>
          <cell r="H214" t="str">
            <v>Warming Units, Patient, Radiant, Infant, Mobile</v>
          </cell>
          <cell r="I214" t="str">
            <v>RADIENT HEAT UNIT FREESTANDING</v>
          </cell>
          <cell r="J214" t="str">
            <v>17-433</v>
          </cell>
          <cell r="K214" t="str">
            <v>FISHER &amp; PAYKEL</v>
          </cell>
          <cell r="L214" t="str">
            <v xml:space="preserve"> IW910</v>
          </cell>
          <cell r="M214">
            <v>130920000834</v>
          </cell>
          <cell r="N214" t="str">
            <v>OBSTETRIK &amp; GINEKOLOGI</v>
          </cell>
          <cell r="O214" t="str">
            <v>Wad Obstetrik &amp; Ginekologi 8A</v>
          </cell>
          <cell r="P214" t="str">
            <v>HM</v>
          </cell>
          <cell r="Q214">
            <v>10000</v>
          </cell>
        </row>
        <row r="215">
          <cell r="E215" t="str">
            <v>KKM/JKN/HSA/10-05-01/H/15/553</v>
          </cell>
          <cell r="F215" t="str">
            <v>Therapeutic</v>
          </cell>
          <cell r="G215" t="str">
            <v>Basic</v>
          </cell>
          <cell r="H215" t="str">
            <v>Warming Units, Patient, Radiant, Infant, Mobile</v>
          </cell>
          <cell r="I215" t="str">
            <v>RADIENT HEAT UNIT FREESTANDING</v>
          </cell>
          <cell r="J215" t="str">
            <v>17-433</v>
          </cell>
          <cell r="K215" t="str">
            <v>FISHER &amp; PAYKEL</v>
          </cell>
          <cell r="L215" t="str">
            <v xml:space="preserve"> IW910</v>
          </cell>
          <cell r="M215">
            <v>130916000813</v>
          </cell>
          <cell r="N215" t="str">
            <v>OBSTETRIK &amp; GINEKOLOGI</v>
          </cell>
          <cell r="O215" t="str">
            <v>Wad Obstetrik &amp; Ginekologi 8A</v>
          </cell>
          <cell r="P215" t="str">
            <v>HM</v>
          </cell>
          <cell r="Q215">
            <v>10000</v>
          </cell>
        </row>
        <row r="216">
          <cell r="E216" t="str">
            <v>KKM/JKN/HSA/10-05-01/H/15/1239</v>
          </cell>
          <cell r="F216" t="str">
            <v>Therapeutic</v>
          </cell>
          <cell r="G216" t="str">
            <v>Intermediate</v>
          </cell>
          <cell r="H216" t="str">
            <v>Infusion Pumps, General-Purpose</v>
          </cell>
          <cell r="I216" t="str">
            <v>PUMP VOLUMETRIC INFUSION (STAND ALONE)</v>
          </cell>
          <cell r="J216" t="str">
            <v>13-215</v>
          </cell>
          <cell r="K216" t="str">
            <v>FRESENIUS KABI</v>
          </cell>
          <cell r="L216" t="str">
            <v>LINK 8+ AGILIA/MOBILE STAND</v>
          </cell>
          <cell r="M216" t="str">
            <v>019130/22235915</v>
          </cell>
          <cell r="N216" t="str">
            <v>OBSTETRIK &amp; GINEKOLOGI</v>
          </cell>
          <cell r="O216" t="str">
            <v>Wad Obstetrik &amp; Ginekologi 8A</v>
          </cell>
          <cell r="P216" t="str">
            <v>HM</v>
          </cell>
          <cell r="Q216">
            <v>7245</v>
          </cell>
        </row>
        <row r="217">
          <cell r="E217" t="str">
            <v>KKM/JKN/HSA/10-05-01/H/15/1240</v>
          </cell>
          <cell r="F217" t="str">
            <v>Therapeutic</v>
          </cell>
          <cell r="G217" t="str">
            <v>Intermediate</v>
          </cell>
          <cell r="H217" t="str">
            <v>Infusion Pumps, General-Purpose</v>
          </cell>
          <cell r="I217" t="str">
            <v>PUMP VOLUMETRIC INFUSION (STAND ALONE)</v>
          </cell>
          <cell r="J217" t="str">
            <v>13-215</v>
          </cell>
          <cell r="K217" t="str">
            <v>FRESENIUS KABI</v>
          </cell>
          <cell r="L217" t="str">
            <v>LINK 8+ AGILIA/MOBILE STAND</v>
          </cell>
          <cell r="M217" t="str">
            <v xml:space="preserve">019130/22235298
</v>
          </cell>
          <cell r="N217" t="str">
            <v>OBSTETRIK &amp; GINEKOLOGI</v>
          </cell>
          <cell r="O217" t="str">
            <v>Wad Obstetrik &amp; Ginekologi 8A</v>
          </cell>
          <cell r="P217" t="str">
            <v>HM</v>
          </cell>
          <cell r="Q217">
            <v>7245</v>
          </cell>
        </row>
        <row r="218">
          <cell r="E218" t="str">
            <v>KKM/JKN/HSA/10-05-01/H/15/1241</v>
          </cell>
          <cell r="F218" t="str">
            <v>Therapeutic</v>
          </cell>
          <cell r="G218" t="str">
            <v>Intermediate</v>
          </cell>
          <cell r="H218" t="str">
            <v>Infusion Pumps, General-Purpose</v>
          </cell>
          <cell r="I218" t="str">
            <v>PUMP VOLUMETRIC INFUSION (STAND ALONE)</v>
          </cell>
          <cell r="J218" t="str">
            <v>13-215</v>
          </cell>
          <cell r="K218" t="str">
            <v>FRESENIUS KABI</v>
          </cell>
          <cell r="L218" t="str">
            <v>LINK 8+ AGILIA/MOBILE STAND</v>
          </cell>
          <cell r="M218" t="str">
            <v>018030/22233882</v>
          </cell>
          <cell r="N218" t="str">
            <v>OBSTETRIK &amp; GINEKOLOGI</v>
          </cell>
          <cell r="O218" t="str">
            <v>Wad Obstetrik &amp; Ginekologi 8A</v>
          </cell>
          <cell r="P218" t="str">
            <v>HM</v>
          </cell>
          <cell r="Q218">
            <v>7245</v>
          </cell>
        </row>
        <row r="219">
          <cell r="E219" t="str">
            <v>KKM/JKN/HSA/10-05-01/H/15/2248</v>
          </cell>
          <cell r="F219" t="str">
            <v>Therapeutic</v>
          </cell>
          <cell r="G219" t="str">
            <v>Intermediate</v>
          </cell>
          <cell r="H219" t="str">
            <v>Infusion Pumps, Syringe</v>
          </cell>
          <cell r="I219" t="str">
            <v>PUMP SYRINGE BASIC (STAND ALONE)</v>
          </cell>
          <cell r="J219" t="str">
            <v>13-217</v>
          </cell>
          <cell r="K219" t="str">
            <v>FRESENIUS KABI</v>
          </cell>
          <cell r="L219" t="str">
            <v>INJECTOMAT AGILIA</v>
          </cell>
          <cell r="M219" t="str">
            <v>018020/22233883</v>
          </cell>
          <cell r="N219" t="str">
            <v>OBSTETRIK &amp; GINEKOLOGI</v>
          </cell>
          <cell r="O219" t="str">
            <v>Wad Obstetrik &amp; Ginekologi 8A</v>
          </cell>
          <cell r="P219" t="str">
            <v>HM</v>
          </cell>
          <cell r="Q219">
            <v>2700</v>
          </cell>
        </row>
        <row r="220">
          <cell r="E220" t="str">
            <v>KKM/JKN/HSA/10-05-01/H/15/2249</v>
          </cell>
          <cell r="F220" t="str">
            <v>Therapeutic</v>
          </cell>
          <cell r="G220" t="str">
            <v>Intermediate</v>
          </cell>
          <cell r="H220" t="str">
            <v>Infusion Pumps, Syringe</v>
          </cell>
          <cell r="I220" t="str">
            <v>PUMP SYRINGE BASIC (STAND ALONE)</v>
          </cell>
          <cell r="J220" t="str">
            <v>13-217</v>
          </cell>
          <cell r="K220" t="str">
            <v>FRESENIUS KABI</v>
          </cell>
          <cell r="L220" t="str">
            <v>INJECTOMAT AGILIA</v>
          </cell>
          <cell r="M220" t="str">
            <v xml:space="preserve">018030/22233884
</v>
          </cell>
          <cell r="N220" t="str">
            <v>OBSTETRIK &amp; GINEKOLOGI</v>
          </cell>
          <cell r="O220" t="str">
            <v>Wad Obstetrik &amp; Ginekologi 8A</v>
          </cell>
          <cell r="P220" t="str">
            <v>HM</v>
          </cell>
          <cell r="Q220">
            <v>2700</v>
          </cell>
        </row>
        <row r="221">
          <cell r="E221" t="str">
            <v>KKM/JKN/HSA/10-05-01/H/15/2250</v>
          </cell>
          <cell r="F221" t="str">
            <v>Therapeutic</v>
          </cell>
          <cell r="G221" t="str">
            <v>Intermediate</v>
          </cell>
          <cell r="H221" t="str">
            <v>Infusion Pumps, Syringe</v>
          </cell>
          <cell r="I221" t="str">
            <v>PUMP SYRINGE BASIC (STAND ALONE)</v>
          </cell>
          <cell r="J221" t="str">
            <v>13-217</v>
          </cell>
          <cell r="K221" t="str">
            <v>FRESENIUS KABI</v>
          </cell>
          <cell r="L221" t="str">
            <v>INJECTOMAT AGILIA</v>
          </cell>
          <cell r="M221" t="str">
            <v>018030/22233886</v>
          </cell>
          <cell r="N221" t="str">
            <v>OBSTETRIK &amp; GINEKOLOGI</v>
          </cell>
          <cell r="O221" t="str">
            <v>Wad Obstetrik &amp; Ginekologi 8A</v>
          </cell>
          <cell r="P221" t="str">
            <v>HM</v>
          </cell>
          <cell r="Q221">
            <v>2700</v>
          </cell>
        </row>
        <row r="222">
          <cell r="E222" t="str">
            <v>KKM/JKN/HSA/10-05-01/H/15/2251</v>
          </cell>
          <cell r="F222" t="str">
            <v>Therapeutic</v>
          </cell>
          <cell r="G222" t="str">
            <v>Intermediate</v>
          </cell>
          <cell r="H222" t="str">
            <v>Infusion Pumps, Syringe</v>
          </cell>
          <cell r="I222" t="str">
            <v>PUMP SYRINGE BASIC (STAND ALONE)</v>
          </cell>
          <cell r="J222" t="str">
            <v>13-217</v>
          </cell>
          <cell r="K222" t="str">
            <v>FRESENIUS KABI</v>
          </cell>
          <cell r="L222" t="str">
            <v>INJECTOMAT AGILIA</v>
          </cell>
          <cell r="M222"/>
          <cell r="N222" t="str">
            <v>OBSTETRIK &amp; GINEKOLOGI</v>
          </cell>
          <cell r="O222" t="str">
            <v>Wad Obstetrik &amp; Ginekologi 8A</v>
          </cell>
          <cell r="P222" t="str">
            <v>HM</v>
          </cell>
          <cell r="Q222">
            <v>2700</v>
          </cell>
        </row>
        <row r="223">
          <cell r="E223" t="str">
            <v>KKM/JKN/HSA/10-05-01/H/15/4207</v>
          </cell>
          <cell r="F223" t="str">
            <v>Therapeutic</v>
          </cell>
          <cell r="G223" t="str">
            <v>Basic</v>
          </cell>
          <cell r="H223" t="str">
            <v>Pumps, Breast</v>
          </cell>
          <cell r="I223" t="str">
            <v>PUMP BREAST ELECTRIC</v>
          </cell>
          <cell r="J223" t="str">
            <v>10-485</v>
          </cell>
          <cell r="K223" t="str">
            <v>MEDELA</v>
          </cell>
          <cell r="L223" t="str">
            <v xml:space="preserve"> 016-2017</v>
          </cell>
          <cell r="M223">
            <v>667095</v>
          </cell>
          <cell r="N223" t="str">
            <v>OBSTETRIK &amp; GINEKOLOGI</v>
          </cell>
          <cell r="O223" t="str">
            <v>Wad Obstetrik &amp; Ginekologi 8A</v>
          </cell>
          <cell r="P223" t="str">
            <v>HM</v>
          </cell>
          <cell r="Q223">
            <v>12740</v>
          </cell>
        </row>
        <row r="224">
          <cell r="E224" t="str">
            <v>KKM/JKN/HSA/10-05-01/H/16/87</v>
          </cell>
          <cell r="F224" t="str">
            <v xml:space="preserve">Diagnostic </v>
          </cell>
          <cell r="G224" t="str">
            <v>Intermediate</v>
          </cell>
          <cell r="H224" t="str">
            <v>Oximeters, Pulse</v>
          </cell>
          <cell r="I224" t="str">
            <v>PULSE OXIMETER AND SIMULATOR</v>
          </cell>
          <cell r="J224" t="str">
            <v>17-148</v>
          </cell>
          <cell r="K224" t="str">
            <v>MASIMO</v>
          </cell>
          <cell r="L224" t="str">
            <v>R2932-RADICAL 7TS</v>
          </cell>
          <cell r="M224" t="str">
            <v xml:space="preserve">DS-243981/HH-1000051459
</v>
          </cell>
          <cell r="N224" t="str">
            <v>OBSTETRIK &amp; GINEKOLOGI</v>
          </cell>
          <cell r="O224" t="str">
            <v>Wad Obstetrik &amp; Ginekologi 8A</v>
          </cell>
          <cell r="P224" t="str">
            <v>HM</v>
          </cell>
          <cell r="Q224">
            <v>7400</v>
          </cell>
        </row>
        <row r="225">
          <cell r="E225" t="str">
            <v>KKM/JKN/HSA/10-05-01/H/15/1078</v>
          </cell>
          <cell r="F225" t="str">
            <v>Therapeutic</v>
          </cell>
          <cell r="G225" t="str">
            <v>Basic</v>
          </cell>
          <cell r="H225" t="str">
            <v>Phototherapy Units, Visible Light, Hyperbilirubinemia</v>
          </cell>
          <cell r="I225" t="str">
            <v>PHOTOTHERAPY UNIT FREESTANDING</v>
          </cell>
          <cell r="J225" t="str">
            <v>17-515</v>
          </cell>
          <cell r="K225" t="str">
            <v>BISTOS</v>
          </cell>
          <cell r="L225" t="str">
            <v xml:space="preserve"> BT -400</v>
          </cell>
          <cell r="M225" t="str">
            <v>EAE 40134</v>
          </cell>
          <cell r="N225" t="str">
            <v>OBSTETRIK &amp; GINEKOLOGI</v>
          </cell>
          <cell r="O225" t="str">
            <v>Wad Obstetrik &amp; Ginekologi 8A</v>
          </cell>
          <cell r="P225" t="str">
            <v>HM</v>
          </cell>
          <cell r="Q225">
            <v>6000</v>
          </cell>
        </row>
        <row r="226">
          <cell r="E226" t="str">
            <v>KKM/JKN/HSA/10-05-01/H/15/1079</v>
          </cell>
          <cell r="F226" t="str">
            <v>Therapeutic</v>
          </cell>
          <cell r="G226" t="str">
            <v>Basic</v>
          </cell>
          <cell r="H226" t="str">
            <v>Phototherapy Units, Visible Light, Hyperbilirubinemia</v>
          </cell>
          <cell r="I226" t="str">
            <v>PHOTOTHERAPY UNIT FREESTANDING</v>
          </cell>
          <cell r="J226" t="str">
            <v>17-515</v>
          </cell>
          <cell r="K226" t="str">
            <v>BISTOS</v>
          </cell>
          <cell r="L226" t="str">
            <v xml:space="preserve"> BT -400</v>
          </cell>
          <cell r="M226" t="str">
            <v>EAE 50020</v>
          </cell>
          <cell r="N226" t="str">
            <v>OBSTETRIK &amp; GINEKOLOGI</v>
          </cell>
          <cell r="O226" t="str">
            <v>Wad Obstetrik &amp; Ginekologi 8A</v>
          </cell>
          <cell r="P226" t="str">
            <v>HM</v>
          </cell>
          <cell r="Q226">
            <v>6000</v>
          </cell>
        </row>
        <row r="227">
          <cell r="E227" t="str">
            <v>KKM/JKN/HSA/10-05-01/H/15/1080</v>
          </cell>
          <cell r="F227" t="str">
            <v>Therapeutic</v>
          </cell>
          <cell r="G227" t="str">
            <v>Basic</v>
          </cell>
          <cell r="H227" t="str">
            <v>Phototherapy Units, Visible Light, Hyperbilirubinemia</v>
          </cell>
          <cell r="I227" t="str">
            <v>PHOTOTHERAPY UNIT FREESTANDING</v>
          </cell>
          <cell r="J227" t="str">
            <v>17-515</v>
          </cell>
          <cell r="K227" t="str">
            <v>BISTOS</v>
          </cell>
          <cell r="L227" t="str">
            <v xml:space="preserve"> BT -400</v>
          </cell>
          <cell r="M227" t="str">
            <v>EAE 50035</v>
          </cell>
          <cell r="N227" t="str">
            <v>OBSTETRIK &amp; GINEKOLOGI</v>
          </cell>
          <cell r="O227" t="str">
            <v>Wad Obstetrik &amp; Ginekologi 8A</v>
          </cell>
          <cell r="P227" t="str">
            <v>HM</v>
          </cell>
          <cell r="Q227">
            <v>6000</v>
          </cell>
        </row>
        <row r="228">
          <cell r="E228" t="str">
            <v>KKM/JKN/HSA/10-05-01/H/15/1081</v>
          </cell>
          <cell r="F228" t="str">
            <v>Therapeutic</v>
          </cell>
          <cell r="G228" t="str">
            <v>Basic</v>
          </cell>
          <cell r="H228" t="str">
            <v>Phototherapy Units, Visible Light, Hyperbilirubinemia</v>
          </cell>
          <cell r="I228" t="str">
            <v>PHOTOTHERAPY UNIT FREESTANDING</v>
          </cell>
          <cell r="J228" t="str">
            <v>17-515</v>
          </cell>
          <cell r="K228" t="str">
            <v>BISTOS</v>
          </cell>
          <cell r="L228" t="str">
            <v xml:space="preserve"> BT -400</v>
          </cell>
          <cell r="M228" t="str">
            <v>EAE 50064</v>
          </cell>
          <cell r="N228" t="str">
            <v>OBSTETRIK &amp; GINEKOLOGI</v>
          </cell>
          <cell r="O228" t="str">
            <v>Wad Obstetrik &amp; Ginekologi 8A</v>
          </cell>
          <cell r="P228" t="str">
            <v>HM</v>
          </cell>
          <cell r="Q228">
            <v>6000</v>
          </cell>
        </row>
        <row r="229">
          <cell r="E229" t="str">
            <v>KKM/JKN/HSA/10-05-01/H/15/1082</v>
          </cell>
          <cell r="F229" t="str">
            <v>Therapeutic</v>
          </cell>
          <cell r="G229" t="str">
            <v>Basic</v>
          </cell>
          <cell r="H229" t="str">
            <v>Phototherapy Units, Visible Light, Hyperbilirubinemia</v>
          </cell>
          <cell r="I229" t="str">
            <v>PHOTOTHERAPY UNIT FREESTANDING</v>
          </cell>
          <cell r="J229" t="str">
            <v>17-515</v>
          </cell>
          <cell r="K229" t="str">
            <v>BISTOS</v>
          </cell>
          <cell r="L229" t="str">
            <v xml:space="preserve"> BT -400</v>
          </cell>
          <cell r="M229" t="str">
            <v>EAE 40124</v>
          </cell>
          <cell r="N229" t="str">
            <v>OBSTETRIK &amp; GINEKOLOGI</v>
          </cell>
          <cell r="O229" t="str">
            <v>Wad Obstetrik &amp; Ginekologi 8A</v>
          </cell>
          <cell r="P229" t="str">
            <v>HM</v>
          </cell>
          <cell r="Q229">
            <v>6000</v>
          </cell>
        </row>
        <row r="230">
          <cell r="E230" t="str">
            <v>KKM/JKN/HSA/10-05-01/H/15/1603</v>
          </cell>
          <cell r="F230" t="str">
            <v xml:space="preserve">Diagnostic </v>
          </cell>
          <cell r="G230" t="str">
            <v>Intermediate</v>
          </cell>
          <cell r="H230" t="str">
            <v>Monitors, Physiologic, Vital Signs</v>
          </cell>
          <cell r="I230" t="str">
            <v>MONITOR NIBP/TEMP</v>
          </cell>
          <cell r="J230" t="str">
            <v>25-209</v>
          </cell>
          <cell r="K230" t="str">
            <v>WELCH ALLYN</v>
          </cell>
          <cell r="L230" t="str">
            <v>WELCH ALLYN VSM 300</v>
          </cell>
          <cell r="M230" t="str">
            <v>JA123483</v>
          </cell>
          <cell r="N230" t="str">
            <v>OBSTETRIK &amp; GINEKOLOGI</v>
          </cell>
          <cell r="O230" t="str">
            <v>Wad Obstetrik &amp; Ginekologi 8A</v>
          </cell>
          <cell r="P230" t="str">
            <v>HM</v>
          </cell>
          <cell r="Q230">
            <v>4355</v>
          </cell>
        </row>
        <row r="231">
          <cell r="E231" t="str">
            <v>KKM/JKN/HSA/10-05-01/H/15/1604</v>
          </cell>
          <cell r="F231" t="str">
            <v xml:space="preserve">Diagnostic </v>
          </cell>
          <cell r="G231" t="str">
            <v>Intermediate</v>
          </cell>
          <cell r="H231" t="str">
            <v>Monitors, Physiologic, Vital Signs</v>
          </cell>
          <cell r="I231" t="str">
            <v>MONITOR NIBP/TEMP</v>
          </cell>
          <cell r="J231" t="str">
            <v>25-209</v>
          </cell>
          <cell r="K231" t="str">
            <v>WELCH ALLYN</v>
          </cell>
          <cell r="L231" t="str">
            <v>WELCH ALLYN VSM 300</v>
          </cell>
          <cell r="M231" t="str">
            <v>JA123484</v>
          </cell>
          <cell r="N231" t="str">
            <v>OBSTETRIK &amp; GINEKOLOGI</v>
          </cell>
          <cell r="O231" t="str">
            <v>Wad Obstetrik &amp; Ginekologi 8A</v>
          </cell>
          <cell r="P231" t="str">
            <v>HM</v>
          </cell>
          <cell r="Q231">
            <v>4355</v>
          </cell>
        </row>
        <row r="232">
          <cell r="E232" t="str">
            <v>KKM/JKN/HSA/10-05-01/H/15/4183</v>
          </cell>
          <cell r="F232" t="str">
            <v xml:space="preserve">Diagnostic </v>
          </cell>
          <cell r="G232" t="str">
            <v>Intermediate</v>
          </cell>
          <cell r="H232" t="str">
            <v>Oximeters, Pulse</v>
          </cell>
          <cell r="I232" t="str">
            <v>MONITOR APNOEA NON INVASIVE</v>
          </cell>
          <cell r="J232" t="str">
            <v>17-148</v>
          </cell>
          <cell r="K232" t="str">
            <v>MASIMO</v>
          </cell>
          <cell r="L232" t="str">
            <v>RADICAL-8</v>
          </cell>
          <cell r="M232" t="str">
            <v>M45291</v>
          </cell>
          <cell r="N232" t="str">
            <v>OBSTETRIK &amp; GINEKOLOGI</v>
          </cell>
          <cell r="O232" t="str">
            <v>Wad Obstetrik &amp; Ginekologi 8A</v>
          </cell>
          <cell r="P232" t="str">
            <v>HM</v>
          </cell>
          <cell r="Q232">
            <v>6957.6</v>
          </cell>
        </row>
        <row r="233">
          <cell r="E233" t="str">
            <v>KKM/JKN/HSA/10-05-01/H/15/4303</v>
          </cell>
          <cell r="F233" t="str">
            <v xml:space="preserve">Diagnostic </v>
          </cell>
          <cell r="G233" t="str">
            <v>Intermediate</v>
          </cell>
          <cell r="H233" t="str">
            <v>Cardiotocographs</v>
          </cell>
          <cell r="I233" t="str">
            <v>MONITOR ANTEPARTUM W/INTEGRAL PRINTER</v>
          </cell>
          <cell r="J233" t="str">
            <v>12-610</v>
          </cell>
          <cell r="K233" t="str">
            <v>GE HEALTHCARE</v>
          </cell>
          <cell r="L233" t="str">
            <v>COROMETRICS 172</v>
          </cell>
          <cell r="M233" t="str">
            <v>SAS13360954PA</v>
          </cell>
          <cell r="N233" t="str">
            <v>OBSTETRIK &amp; GINEKOLOGI</v>
          </cell>
          <cell r="O233" t="str">
            <v>Wad Obstetrik &amp; Ginekologi 8A</v>
          </cell>
          <cell r="P233" t="str">
            <v>HM</v>
          </cell>
          <cell r="Q233">
            <v>10200</v>
          </cell>
        </row>
        <row r="234">
          <cell r="E234" t="str">
            <v>KKM/JKN/HSA/10-05-01/H/15/2139</v>
          </cell>
          <cell r="F234" t="str">
            <v xml:space="preserve">Diagnostic </v>
          </cell>
          <cell r="G234" t="str">
            <v>Intermediate</v>
          </cell>
          <cell r="H234" t="str">
            <v>Physiologic Monitoring Systems, Acute Care</v>
          </cell>
          <cell r="I234" t="str">
            <v>MONITOR 4 CH, ECG/RR/NIBP/SP02/TEMP</v>
          </cell>
          <cell r="J234" t="str">
            <v>12-647</v>
          </cell>
          <cell r="K234" t="str">
            <v>MINDRAY</v>
          </cell>
          <cell r="L234" t="str">
            <v>IMEC 12</v>
          </cell>
          <cell r="M234" t="str">
            <v>EV45011634</v>
          </cell>
          <cell r="N234" t="str">
            <v>OBSTETRIK &amp; GINELOKOGI</v>
          </cell>
          <cell r="O234" t="str">
            <v>Wad Obstetrik &amp; Ginekologi 8A</v>
          </cell>
          <cell r="P234" t="str">
            <v>HM</v>
          </cell>
          <cell r="Q234">
            <v>9000</v>
          </cell>
        </row>
        <row r="235">
          <cell r="E235" t="str">
            <v>KKM/JKN/HSA/10-05-01/H/15/2140</v>
          </cell>
          <cell r="F235" t="str">
            <v xml:space="preserve">Diagnostic </v>
          </cell>
          <cell r="G235" t="str">
            <v>Intermediate</v>
          </cell>
          <cell r="H235" t="str">
            <v>Physiologic Monitoring Systems, Acute Care</v>
          </cell>
          <cell r="I235" t="str">
            <v>MONITOR 4 CH, ECG/RR/NIBP/SP02/TEMP</v>
          </cell>
          <cell r="J235" t="str">
            <v>12-647</v>
          </cell>
          <cell r="K235" t="str">
            <v>MINDRAY</v>
          </cell>
          <cell r="L235" t="str">
            <v>IMEC 12</v>
          </cell>
          <cell r="M235" t="str">
            <v>EV45011647</v>
          </cell>
          <cell r="N235" t="str">
            <v>OBSTETRIK &amp; GINELOKOGI</v>
          </cell>
          <cell r="O235" t="str">
            <v>Wad Obstetrik &amp; Ginekologi 8A</v>
          </cell>
          <cell r="P235" t="str">
            <v>HM</v>
          </cell>
          <cell r="Q235">
            <v>9000</v>
          </cell>
        </row>
        <row r="236">
          <cell r="E236" t="str">
            <v>KKM/JKN/HSA/10-05-01/H/15/559</v>
          </cell>
          <cell r="F236" t="str">
            <v>Therapeutic</v>
          </cell>
          <cell r="G236" t="str">
            <v>Intermediate</v>
          </cell>
          <cell r="H236" t="str">
            <v>Incubators, Infant, TransP0rt</v>
          </cell>
          <cell r="I236" t="str">
            <v>INCUBATOR TRANSP0RT WITH VENTILATOR</v>
          </cell>
          <cell r="J236" t="str">
            <v>12-114</v>
          </cell>
          <cell r="K236" t="str">
            <v>DRAEGER</v>
          </cell>
          <cell r="L236" t="str">
            <v>ISOLETTE TI500 W BABYPAC</v>
          </cell>
          <cell r="M236" t="str">
            <v>AU 09342</v>
          </cell>
          <cell r="N236" t="str">
            <v xml:space="preserve">PEDIATRIK </v>
          </cell>
          <cell r="O236" t="str">
            <v>Wad Obstetrik &amp; Ginekologi 8A</v>
          </cell>
          <cell r="P236" t="str">
            <v>HM</v>
          </cell>
          <cell r="Q236">
            <v>68000</v>
          </cell>
        </row>
        <row r="237">
          <cell r="E237" t="str">
            <v>KKM/JKN/HSA/10-05-01/H/15/4245</v>
          </cell>
          <cell r="F237" t="str">
            <v xml:space="preserve">Diagnostic </v>
          </cell>
          <cell r="G237" t="str">
            <v>Intermediate</v>
          </cell>
          <cell r="H237" t="str">
            <v>Electrocardiographs, Multichannel, Interpretative</v>
          </cell>
          <cell r="I237" t="str">
            <v>ECG P0RTABLE MAINS/BATTERY OP</v>
          </cell>
          <cell r="J237" t="str">
            <v>16-231</v>
          </cell>
          <cell r="K237" t="str">
            <v>GE HEALTHCARE</v>
          </cell>
          <cell r="L237" t="str">
            <v>MAC400</v>
          </cell>
          <cell r="M237" t="str">
            <v>SCT 11486307 PA</v>
          </cell>
          <cell r="N237" t="str">
            <v>OBSTETRIK &amp; GINEKOLOGI</v>
          </cell>
          <cell r="O237" t="str">
            <v>Wad Obstetrik &amp; Ginekologi 8A</v>
          </cell>
          <cell r="P237" t="str">
            <v>HM</v>
          </cell>
          <cell r="Q237">
            <v>2750</v>
          </cell>
        </row>
        <row r="238">
          <cell r="E238" t="str">
            <v>KKM/JKN/HSA/10-05-01/H/15/3679</v>
          </cell>
          <cell r="F238" t="str">
            <v>Therapeutic</v>
          </cell>
          <cell r="G238" t="str">
            <v>Intermediate</v>
          </cell>
          <cell r="H238" t="str">
            <v xml:space="preserve">Defibrillators, External, Automated </v>
          </cell>
          <cell r="I238" t="str">
            <v>DEFIBRILLATOR W/INTERNAL/EXT PADDLES/PACEMAKER</v>
          </cell>
          <cell r="J238" t="str">
            <v>17-116</v>
          </cell>
          <cell r="K238" t="str">
            <v>PHILIPS</v>
          </cell>
          <cell r="L238" t="str">
            <v>EFFICIA DFM100</v>
          </cell>
          <cell r="M238"/>
          <cell r="N238" t="str">
            <v>OBSTETRIK &amp; GINEKOLOGI</v>
          </cell>
          <cell r="O238" t="str">
            <v>Wad Obstetrik &amp; Ginekologi 8A</v>
          </cell>
          <cell r="P238" t="str">
            <v>HM</v>
          </cell>
          <cell r="Q238">
            <v>14250</v>
          </cell>
        </row>
        <row r="239">
          <cell r="E239" t="str">
            <v>KKM/JKN/HSA/10-05-01/H/15/2185</v>
          </cell>
          <cell r="F239" t="str">
            <v>Therapeutic</v>
          </cell>
          <cell r="G239" t="str">
            <v>Basic</v>
          </cell>
          <cell r="H239" t="str">
            <v>Aspirators</v>
          </cell>
          <cell r="I239" t="str">
            <v>SUCTION UNIT 1 X 2L JAR MOBILE</v>
          </cell>
          <cell r="J239" t="str">
            <v>10-208</v>
          </cell>
          <cell r="K239" t="str">
            <v>GIMA</v>
          </cell>
          <cell r="L239">
            <v>28212</v>
          </cell>
          <cell r="M239"/>
          <cell r="N239" t="str">
            <v>PERUBATAN AM</v>
          </cell>
          <cell r="O239" t="str">
            <v>Wad Eksekutif &amp; VIP</v>
          </cell>
          <cell r="P239" t="str">
            <v>HM</v>
          </cell>
          <cell r="Q239">
            <v>3386.5</v>
          </cell>
        </row>
        <row r="240">
          <cell r="E240" t="str">
            <v>KKM/JKN/HSA/10-05-01/H/15/2186</v>
          </cell>
          <cell r="F240" t="str">
            <v>Therapeutic</v>
          </cell>
          <cell r="G240" t="str">
            <v>Basic</v>
          </cell>
          <cell r="H240" t="str">
            <v>Aspirators</v>
          </cell>
          <cell r="I240" t="str">
            <v>SUCTION UNIT 1 X 2L JAR MOBILE</v>
          </cell>
          <cell r="J240" t="str">
            <v>10-208</v>
          </cell>
          <cell r="K240" t="str">
            <v>GIMA</v>
          </cell>
          <cell r="L240">
            <v>28212</v>
          </cell>
          <cell r="M240"/>
          <cell r="N240" t="str">
            <v>PERUBATAN AM</v>
          </cell>
          <cell r="O240" t="str">
            <v>Wad Eksekutif &amp; VIP</v>
          </cell>
          <cell r="P240" t="str">
            <v>HM</v>
          </cell>
          <cell r="Q240">
            <v>3386.5</v>
          </cell>
        </row>
        <row r="241">
          <cell r="E241" t="str">
            <v>KKM/JKN/HSA/10-05-01/H/15/2800</v>
          </cell>
          <cell r="F241" t="str">
            <v>Therapeutic</v>
          </cell>
          <cell r="G241" t="str">
            <v>Basic</v>
          </cell>
          <cell r="H241" t="str">
            <v>Mattress Systems, Alternating-Pressure</v>
          </cell>
          <cell r="I241" t="str">
            <v>RIPPLE MATTRESS W/MOTOR</v>
          </cell>
          <cell r="J241" t="str">
            <v>18-147</v>
          </cell>
          <cell r="K241" t="str">
            <v>BANTEX</v>
          </cell>
          <cell r="L241" t="str">
            <v>APM-5000-G</v>
          </cell>
          <cell r="M241" t="str">
            <v>EZ141105008</v>
          </cell>
          <cell r="N241" t="str">
            <v>PERUBATAN AM</v>
          </cell>
          <cell r="O241" t="str">
            <v>Wad Eksekutif &amp; VIP</v>
          </cell>
          <cell r="P241" t="str">
            <v>HM</v>
          </cell>
          <cell r="Q241">
            <v>2800</v>
          </cell>
        </row>
        <row r="242">
          <cell r="E242" t="str">
            <v>KKM/JKN/HSA/10-05-01/H/15/4939</v>
          </cell>
          <cell r="F242" t="str">
            <v>Therapeutic</v>
          </cell>
          <cell r="G242" t="str">
            <v>Intermediate</v>
          </cell>
          <cell r="H242" t="str">
            <v>Infusion Pumps, General-Purpose</v>
          </cell>
          <cell r="I242" t="str">
            <v>PUMP VOLUMETRIC INFUSION (STAND ALONE)</v>
          </cell>
          <cell r="J242" t="str">
            <v>13-215</v>
          </cell>
          <cell r="K242" t="str">
            <v>FRESENIUS KABI</v>
          </cell>
          <cell r="L242" t="str">
            <v>LINK 8+ AGILIA/MOBILE STAND</v>
          </cell>
          <cell r="M242">
            <v>22235261</v>
          </cell>
          <cell r="N242" t="str">
            <v>PERUBATAN AM</v>
          </cell>
          <cell r="O242" t="str">
            <v>Wad Eksekutif &amp; VIP</v>
          </cell>
          <cell r="P242" t="str">
            <v>HM</v>
          </cell>
          <cell r="Q242">
            <v>7245</v>
          </cell>
        </row>
        <row r="243">
          <cell r="E243" t="str">
            <v>KKM/JKN/HSA/10-05-01/H/15/4940</v>
          </cell>
          <cell r="F243" t="str">
            <v>Therapeutic</v>
          </cell>
          <cell r="G243" t="str">
            <v>Intermediate</v>
          </cell>
          <cell r="H243" t="str">
            <v>Infusion Pumps, General-Purpose</v>
          </cell>
          <cell r="I243" t="str">
            <v>PUMP VOLUMETRIC INFUSION (STAND ALONE)</v>
          </cell>
          <cell r="J243" t="str">
            <v>13-215</v>
          </cell>
          <cell r="K243" t="str">
            <v>FRESENIUS KABI</v>
          </cell>
          <cell r="L243" t="str">
            <v>LINK 8+ AGILIA/MOBILE STAND</v>
          </cell>
          <cell r="M243">
            <v>22235939</v>
          </cell>
          <cell r="N243" t="str">
            <v>PERUBATAN AM</v>
          </cell>
          <cell r="O243" t="str">
            <v>Wad Eksekutif &amp; VIP</v>
          </cell>
          <cell r="P243" t="str">
            <v>HM</v>
          </cell>
          <cell r="Q243">
            <v>7245</v>
          </cell>
        </row>
        <row r="244">
          <cell r="E244" t="str">
            <v>KKM/JKN/HSA/10-05-01/H/15/2268</v>
          </cell>
          <cell r="F244" t="str">
            <v>Therapeutic</v>
          </cell>
          <cell r="G244" t="str">
            <v>Intermediate</v>
          </cell>
          <cell r="H244" t="str">
            <v>Infusion Pumps, Syringe</v>
          </cell>
          <cell r="I244" t="str">
            <v>PUMP SYRINGE BASIC (STAND ALONE)</v>
          </cell>
          <cell r="J244" t="str">
            <v>13-217</v>
          </cell>
          <cell r="K244" t="str">
            <v>FRESENIUS KABI</v>
          </cell>
          <cell r="L244" t="str">
            <v>INJECTOMAT AGILIA</v>
          </cell>
          <cell r="M244" t="str">
            <v>018030 / 22233935</v>
          </cell>
          <cell r="N244" t="str">
            <v>PERUBATAN AM</v>
          </cell>
          <cell r="O244" t="str">
            <v>Wad Eksekutif &amp; VIP</v>
          </cell>
          <cell r="P244" t="str">
            <v>HM</v>
          </cell>
          <cell r="Q244">
            <v>2700</v>
          </cell>
        </row>
        <row r="245">
          <cell r="E245" t="str">
            <v>KKM/JKN/HSA/10-05-01/H/15/2269</v>
          </cell>
          <cell r="F245" t="str">
            <v>Therapeutic</v>
          </cell>
          <cell r="G245" t="str">
            <v>Intermediate</v>
          </cell>
          <cell r="H245" t="str">
            <v>Infusion Pumps, Syringe</v>
          </cell>
          <cell r="I245" t="str">
            <v>PUMP SYRINGE BASIC (STAND ALONE)</v>
          </cell>
          <cell r="J245" t="str">
            <v>13-217</v>
          </cell>
          <cell r="K245" t="str">
            <v>FRESENIUS KABI</v>
          </cell>
          <cell r="L245" t="str">
            <v>INJECTOMAT AGILIA</v>
          </cell>
          <cell r="M245">
            <v>22233934</v>
          </cell>
          <cell r="N245" t="str">
            <v>PERUBATAN AM</v>
          </cell>
          <cell r="O245" t="str">
            <v>Wad Eksekutif &amp; VIP</v>
          </cell>
          <cell r="P245" t="str">
            <v>HM</v>
          </cell>
          <cell r="Q245">
            <v>2700</v>
          </cell>
        </row>
        <row r="246">
          <cell r="E246" t="str">
            <v>KKM/JKN/HSA/10-05-01/H/15/2270</v>
          </cell>
          <cell r="F246" t="str">
            <v>Therapeutic</v>
          </cell>
          <cell r="G246" t="str">
            <v>Intermediate</v>
          </cell>
          <cell r="H246" t="str">
            <v>Infusion Pumps, Syringe</v>
          </cell>
          <cell r="I246" t="str">
            <v>PUMP SYRINGE BASIC (STAND ALONE)</v>
          </cell>
          <cell r="J246" t="str">
            <v>13-217</v>
          </cell>
          <cell r="K246" t="str">
            <v>FRESENIUS KABI</v>
          </cell>
          <cell r="L246" t="str">
            <v>INJECTOMAT AGILIA</v>
          </cell>
          <cell r="M246" t="str">
            <v>018030 / 22233937</v>
          </cell>
          <cell r="N246" t="str">
            <v>PERUBATAN AM</v>
          </cell>
          <cell r="O246" t="str">
            <v>Wad Eksekutif &amp; VIP</v>
          </cell>
          <cell r="P246" t="str">
            <v>HM</v>
          </cell>
          <cell r="Q246">
            <v>2700</v>
          </cell>
        </row>
        <row r="247">
          <cell r="E247" t="str">
            <v>KKM/JKN/HSA/10-05-01/H/15/2271</v>
          </cell>
          <cell r="F247" t="str">
            <v>Therapeutic</v>
          </cell>
          <cell r="G247" t="str">
            <v>Intermediate</v>
          </cell>
          <cell r="H247" t="str">
            <v>Infusion Pumps, Syringe</v>
          </cell>
          <cell r="I247" t="str">
            <v>PUMP SYRINGE BASIC (STAND ALONE)</v>
          </cell>
          <cell r="J247" t="str">
            <v>13-217</v>
          </cell>
          <cell r="K247" t="str">
            <v>FRESENIUS KABI</v>
          </cell>
          <cell r="L247" t="str">
            <v>INJECTOMAT AGILIA</v>
          </cell>
          <cell r="M247" t="str">
            <v>018030 / 22233936</v>
          </cell>
          <cell r="N247" t="str">
            <v>PERUBATAN AM</v>
          </cell>
          <cell r="O247" t="str">
            <v>Wad Eksekutif &amp; VIP</v>
          </cell>
          <cell r="P247" t="str">
            <v>HM</v>
          </cell>
          <cell r="Q247">
            <v>2700</v>
          </cell>
        </row>
        <row r="248">
          <cell r="E248" t="str">
            <v>KKM/JKN/HSA/10-05-01/H/15/4236</v>
          </cell>
          <cell r="F248" t="str">
            <v>Therapeutic</v>
          </cell>
          <cell r="G248" t="str">
            <v>Basic</v>
          </cell>
          <cell r="H248" t="str">
            <v>Pumps, Breast</v>
          </cell>
          <cell r="I248" t="str">
            <v>PUMP BREAST ELECTRIC</v>
          </cell>
          <cell r="J248" t="str">
            <v>10-485</v>
          </cell>
          <cell r="K248" t="str">
            <v>MEDELA</v>
          </cell>
          <cell r="L248" t="str">
            <v xml:space="preserve"> 016-2017</v>
          </cell>
          <cell r="M248">
            <v>668862</v>
          </cell>
          <cell r="N248" t="str">
            <v>PERUBATAN AM</v>
          </cell>
          <cell r="O248" t="str">
            <v>Wad Eksekutif &amp; VIP</v>
          </cell>
          <cell r="P248" t="str">
            <v>HM</v>
          </cell>
          <cell r="Q248">
            <v>12740</v>
          </cell>
        </row>
        <row r="249">
          <cell r="E249" t="str">
            <v>KKM/JKN/HSA/10-05-01/R/15/16184</v>
          </cell>
          <cell r="F249" t="str">
            <v>Therapeutic</v>
          </cell>
          <cell r="G249" t="str">
            <v>Basic</v>
          </cell>
          <cell r="H249" t="str">
            <v>Nebulizers, Heated</v>
          </cell>
          <cell r="I249" t="str">
            <v>NEBULISER</v>
          </cell>
          <cell r="J249" t="str">
            <v>12-716</v>
          </cell>
          <cell r="K249" t="str">
            <v>PHILIPS</v>
          </cell>
          <cell r="L249" t="str">
            <v xml:space="preserve"> INNOSPIRE DELUXE</v>
          </cell>
          <cell r="M249"/>
          <cell r="N249" t="str">
            <v>PERUBATAN AM</v>
          </cell>
          <cell r="O249" t="str">
            <v>Wad Eksekutif &amp; VIP</v>
          </cell>
          <cell r="P249" t="str">
            <v>ABR</v>
          </cell>
          <cell r="Q249">
            <v>1950</v>
          </cell>
        </row>
        <row r="250">
          <cell r="E250" t="str">
            <v>KKM/JKN/HSA/10-05-01/H/15/1032</v>
          </cell>
          <cell r="F250" t="str">
            <v xml:space="preserve">Diagnostic </v>
          </cell>
          <cell r="G250" t="str">
            <v>Intermediate</v>
          </cell>
          <cell r="H250" t="str">
            <v>Monitors, Physiologic, Vital Signs</v>
          </cell>
          <cell r="I250" t="str">
            <v>MONITOR NIBP/SP02</v>
          </cell>
          <cell r="J250" t="str">
            <v>25-209</v>
          </cell>
          <cell r="K250" t="str">
            <v>WELCH ALLYN</v>
          </cell>
          <cell r="L250" t="str">
            <v>WELCH ALLYN VSM 300</v>
          </cell>
          <cell r="M250"/>
          <cell r="N250" t="str">
            <v>PERUBATAN AM</v>
          </cell>
          <cell r="O250" t="str">
            <v>Wad Eksekutif &amp; VIP</v>
          </cell>
          <cell r="P250" t="str">
            <v>HM</v>
          </cell>
          <cell r="Q250">
            <v>5185</v>
          </cell>
        </row>
        <row r="251">
          <cell r="E251" t="str">
            <v>KKM/JKN/HSA/10-05-01/H/15/575</v>
          </cell>
          <cell r="F251" t="str">
            <v xml:space="preserve">Diagnostic </v>
          </cell>
          <cell r="G251" t="str">
            <v>Intermediate</v>
          </cell>
          <cell r="H251" t="str">
            <v>Electrocardiographs, Multichannel, Interpretative</v>
          </cell>
          <cell r="I251" t="str">
            <v>ECG RECORDER</v>
          </cell>
          <cell r="J251" t="str">
            <v>16-231</v>
          </cell>
          <cell r="K251" t="str">
            <v>GE HEALTHCARE</v>
          </cell>
          <cell r="L251" t="str">
            <v>MAC 1200</v>
          </cell>
          <cell r="M251" t="str">
            <v>SMT16127394PA</v>
          </cell>
          <cell r="N251" t="str">
            <v>PERUBATAN AM</v>
          </cell>
          <cell r="O251" t="str">
            <v>Wad Eksekutif &amp; VIP</v>
          </cell>
          <cell r="P251" t="str">
            <v>HM</v>
          </cell>
          <cell r="Q251">
            <v>10000</v>
          </cell>
        </row>
        <row r="252">
          <cell r="E252" t="str">
            <v>KKM/JKN/HSA/10-05-01/H/15/4324</v>
          </cell>
          <cell r="F252" t="str">
            <v xml:space="preserve">Diagnostic </v>
          </cell>
          <cell r="G252" t="str">
            <v>Intermediate</v>
          </cell>
          <cell r="H252" t="str">
            <v>Electrocardiographs, Multichannel, Interpretative</v>
          </cell>
          <cell r="I252" t="str">
            <v>ECG P0RTABLE MAINS/BATTERY OP</v>
          </cell>
          <cell r="J252" t="str">
            <v>16-231</v>
          </cell>
          <cell r="K252" t="str">
            <v>GE HEALTHCARE</v>
          </cell>
          <cell r="L252" t="str">
            <v>MAC400</v>
          </cell>
          <cell r="M252"/>
          <cell r="N252" t="str">
            <v>PERUBATAN AM</v>
          </cell>
          <cell r="O252" t="str">
            <v>Wad Eksekutif &amp; VIP</v>
          </cell>
          <cell r="P252" t="str">
            <v>HM</v>
          </cell>
          <cell r="Q252">
            <v>2750</v>
          </cell>
        </row>
        <row r="253">
          <cell r="E253" t="str">
            <v>KKM/JKN/HSA/10-05-01/R/15/7404</v>
          </cell>
          <cell r="F253" t="str">
            <v xml:space="preserve">Diagnostic </v>
          </cell>
          <cell r="G253" t="str">
            <v>Basic</v>
          </cell>
          <cell r="H253" t="str">
            <v>Ophthalmoscopes/Otoscopes</v>
          </cell>
          <cell r="I253" t="str">
            <v>DIAGNOSTIC SET ADULT</v>
          </cell>
          <cell r="J253" t="str">
            <v>18-595</v>
          </cell>
          <cell r="K253" t="str">
            <v>RUDOLF RIESTER, GMBH</v>
          </cell>
          <cell r="L253" t="str">
            <v>RI-SCOPE ENT 3761</v>
          </cell>
          <cell r="M253"/>
          <cell r="N253" t="str">
            <v>PERUBATAN AM</v>
          </cell>
          <cell r="O253" t="str">
            <v>Wad Eksekutif &amp; VIP</v>
          </cell>
          <cell r="P253" t="str">
            <v>ABR</v>
          </cell>
          <cell r="Q253">
            <v>1459.33</v>
          </cell>
        </row>
        <row r="254">
          <cell r="E254" t="str">
            <v>KKM/JKN/HSA/10-05-01/R/15/7405</v>
          </cell>
          <cell r="F254" t="str">
            <v xml:space="preserve">Diagnostic </v>
          </cell>
          <cell r="G254" t="str">
            <v>Basic</v>
          </cell>
          <cell r="H254" t="str">
            <v>Ophthalmoscopes/Otoscopes</v>
          </cell>
          <cell r="I254" t="str">
            <v>DIAGNOSTIC SET ADULT</v>
          </cell>
          <cell r="J254" t="str">
            <v>18-595</v>
          </cell>
          <cell r="K254" t="str">
            <v>RUDOLF RIESTER, GMBH</v>
          </cell>
          <cell r="L254" t="str">
            <v>RI-SCOPE ENT 3761</v>
          </cell>
          <cell r="M254"/>
          <cell r="N254" t="str">
            <v>PERUBATAN AM</v>
          </cell>
          <cell r="O254" t="str">
            <v>Wad Eksekutif &amp; VIP</v>
          </cell>
          <cell r="P254" t="str">
            <v>ABR</v>
          </cell>
          <cell r="Q254">
            <v>1459.33</v>
          </cell>
        </row>
        <row r="255">
          <cell r="E255" t="str">
            <v>KKM/JKN/HSA/10-05-01/R/15/7406</v>
          </cell>
          <cell r="F255" t="str">
            <v xml:space="preserve">Diagnostic </v>
          </cell>
          <cell r="G255" t="str">
            <v>Basic</v>
          </cell>
          <cell r="H255" t="str">
            <v>Ophthalmoscopes/Otoscopes</v>
          </cell>
          <cell r="I255" t="str">
            <v>DIAGNOSTIC SET ADULT</v>
          </cell>
          <cell r="J255" t="str">
            <v>18-595</v>
          </cell>
          <cell r="K255" t="str">
            <v>RUDOLF RIESTER, GMBH</v>
          </cell>
          <cell r="L255" t="str">
            <v>RI-SCOPE ENT 3761</v>
          </cell>
          <cell r="M255"/>
          <cell r="N255" t="str">
            <v>PERUBATAN AM</v>
          </cell>
          <cell r="O255" t="str">
            <v>Wad Eksekutif &amp; VIP</v>
          </cell>
          <cell r="P255" t="str">
            <v>ABR</v>
          </cell>
          <cell r="Q255">
            <v>1459.33</v>
          </cell>
        </row>
        <row r="256">
          <cell r="E256" t="str">
            <v>KKM/JKN/HSA/10-05-01/R/15/17087</v>
          </cell>
          <cell r="F256" t="str">
            <v xml:space="preserve">Diagnostic </v>
          </cell>
          <cell r="G256" t="str">
            <v>Basic</v>
          </cell>
          <cell r="H256" t="str">
            <v>Ophthalmoscopes/Otoscopes</v>
          </cell>
          <cell r="I256" t="str">
            <v>DIAGNOSTIC SET ADULT</v>
          </cell>
          <cell r="J256" t="str">
            <v>18-595</v>
          </cell>
          <cell r="K256" t="str">
            <v>WELCH ALLYN</v>
          </cell>
          <cell r="L256" t="str">
            <v>97150-BI</v>
          </cell>
          <cell r="M256"/>
          <cell r="N256" t="str">
            <v>PERUBATAN AM</v>
          </cell>
          <cell r="O256" t="str">
            <v>Wad Eksekutif &amp; VIP</v>
          </cell>
          <cell r="P256" t="str">
            <v>ABR</v>
          </cell>
          <cell r="Q256">
            <v>1820</v>
          </cell>
        </row>
        <row r="257">
          <cell r="E257" t="str">
            <v>KKM/JKN/HSA/10-05-01/H/15/3667</v>
          </cell>
          <cell r="F257" t="str">
            <v>Therapeutic</v>
          </cell>
          <cell r="G257" t="str">
            <v>Intermediate</v>
          </cell>
          <cell r="H257" t="str">
            <v xml:space="preserve">Defibrillators, External, Automated </v>
          </cell>
          <cell r="I257" t="str">
            <v>DEFIBRILLATOR W/INTERNAL/EXT PADDLES/PACEMAKER</v>
          </cell>
          <cell r="J257" t="str">
            <v>17-116</v>
          </cell>
          <cell r="K257" t="str">
            <v>PHILIPS</v>
          </cell>
          <cell r="L257" t="str">
            <v>EFFICIA DFM100</v>
          </cell>
          <cell r="M257"/>
          <cell r="N257" t="str">
            <v xml:space="preserve">PERUBATAN AM </v>
          </cell>
          <cell r="O257" t="str">
            <v>Wad Eksekutif &amp; VIP</v>
          </cell>
          <cell r="P257" t="str">
            <v>HM</v>
          </cell>
          <cell r="Q257">
            <v>14250</v>
          </cell>
        </row>
        <row r="258">
          <cell r="E258" t="str">
            <v xml:space="preserve">KKM/JKN/HSA/10-05-01/H/15/2537 </v>
          </cell>
          <cell r="F258" t="str">
            <v>Radiology</v>
          </cell>
          <cell r="G258" t="str">
            <v>Intermediate</v>
          </cell>
          <cell r="H258" t="str">
            <v>Radiographic Units, Mobile</v>
          </cell>
          <cell r="I258" t="str">
            <v>X-RAY UNIT MOBILE</v>
          </cell>
          <cell r="J258" t="str">
            <v>13-272</v>
          </cell>
          <cell r="K258" t="str">
            <v>SIEMENS</v>
          </cell>
          <cell r="L258" t="str">
            <v xml:space="preserve"> MOBILETT XP HYBRID</v>
          </cell>
          <cell r="M258">
            <v>4001</v>
          </cell>
          <cell r="N258" t="str">
            <v>PEDIATRIK</v>
          </cell>
          <cell r="O258" t="str">
            <v>Unit Rawatan Rapi Neonatal (NICU)</v>
          </cell>
          <cell r="P258" t="str">
            <v>HM</v>
          </cell>
          <cell r="Q258">
            <v>105500</v>
          </cell>
        </row>
        <row r="259">
          <cell r="E259" t="str">
            <v>KKM/JKN/HSA/10-05-01/R/15/6958</v>
          </cell>
          <cell r="F259" t="str">
            <v>Laboratory</v>
          </cell>
          <cell r="G259" t="str">
            <v>Intermediate</v>
          </cell>
          <cell r="H259" t="str">
            <v>Balances, Electronic</v>
          </cell>
          <cell r="I259" t="str">
            <v>WEIGHING SCALE TOP LOADING</v>
          </cell>
          <cell r="J259" t="str">
            <v>10-263</v>
          </cell>
          <cell r="K259" t="str">
            <v>DETECTO</v>
          </cell>
          <cell r="L259" t="str">
            <v>D-30</v>
          </cell>
          <cell r="M259" t="str">
            <v>C12025798</v>
          </cell>
          <cell r="N259" t="str">
            <v>PEDIATRIK</v>
          </cell>
          <cell r="O259" t="str">
            <v>Unit Rawatan Rapi Neonatal (NICU)</v>
          </cell>
          <cell r="P259" t="str">
            <v>ABR</v>
          </cell>
          <cell r="Q259">
            <v>540</v>
          </cell>
        </row>
        <row r="260">
          <cell r="E260" t="str">
            <v>KKM/JKN/HSA/10-05-01/H/15/4971</v>
          </cell>
          <cell r="F260" t="str">
            <v>Therapeutic</v>
          </cell>
          <cell r="G260" t="str">
            <v>Basic</v>
          </cell>
          <cell r="H260" t="str">
            <v>Warming Units, Patient, Radiant, Infant</v>
          </cell>
          <cell r="I260" t="str">
            <v>WARMING UNITS, PATIENT, RADIANT, INFANT</v>
          </cell>
          <cell r="J260" t="str">
            <v xml:space="preserve">
17-956</v>
          </cell>
          <cell r="K260" t="str">
            <v>DRAEGER</v>
          </cell>
          <cell r="L260" t="str">
            <v>BABYTHERM 8004</v>
          </cell>
          <cell r="M260" t="str">
            <v>ASEK0002</v>
          </cell>
          <cell r="N260" t="str">
            <v xml:space="preserve">PEDIATRIK </v>
          </cell>
          <cell r="O260" t="str">
            <v>Unit Rawatan Rapi Neonatal (NICU)</v>
          </cell>
          <cell r="P260" t="str">
            <v>HM</v>
          </cell>
          <cell r="Q260">
            <v>23400</v>
          </cell>
        </row>
        <row r="261">
          <cell r="E261" t="str">
            <v>KKM/JKN/HSA/10-05-01/H/15/1589</v>
          </cell>
          <cell r="F261" t="str">
            <v>Therapeutic</v>
          </cell>
          <cell r="G261" t="str">
            <v>Basic</v>
          </cell>
          <cell r="H261" t="str">
            <v>Warming Units, Patient, Radiant, Infant</v>
          </cell>
          <cell r="I261" t="str">
            <v>WARMING UNITS, PATIENT, RADIANT, INFANT</v>
          </cell>
          <cell r="J261" t="str">
            <v>17-956</v>
          </cell>
          <cell r="K261" t="str">
            <v>DRAEGER</v>
          </cell>
          <cell r="L261" t="str">
            <v>RESUSCITAIRE RW-82</v>
          </cell>
          <cell r="M261" t="str">
            <v>AU 01156</v>
          </cell>
          <cell r="N261" t="str">
            <v xml:space="preserve">PEDIATRIK </v>
          </cell>
          <cell r="O261" t="str">
            <v>Unit Rawatan Rapi Neonatal (NICU)</v>
          </cell>
          <cell r="P261" t="str">
            <v>HM</v>
          </cell>
          <cell r="Q261">
            <v>24000</v>
          </cell>
        </row>
        <row r="262">
          <cell r="E262" t="str">
            <v>KKM/JKN/HSA/10-05-01/H/15/1590</v>
          </cell>
          <cell r="F262" t="str">
            <v>Therapeutic</v>
          </cell>
          <cell r="G262" t="str">
            <v>Basic</v>
          </cell>
          <cell r="H262" t="str">
            <v>Warming Units, Patient, Radiant, Infant</v>
          </cell>
          <cell r="I262" t="str">
            <v>WARMING UNITS, PATIENT, RADIANT, INFANT</v>
          </cell>
          <cell r="J262" t="str">
            <v>17-956</v>
          </cell>
          <cell r="K262" t="str">
            <v>DRAEGER</v>
          </cell>
          <cell r="L262" t="str">
            <v>RESUSCITAIRE RW-82</v>
          </cell>
          <cell r="M262" t="str">
            <v>AU 01145</v>
          </cell>
          <cell r="N262" t="str">
            <v xml:space="preserve">PEDIATRIK </v>
          </cell>
          <cell r="O262" t="str">
            <v>Unit Rawatan Rapi Neonatal (NICU)</v>
          </cell>
          <cell r="P262" t="str">
            <v>HM</v>
          </cell>
          <cell r="Q262">
            <v>24000</v>
          </cell>
        </row>
        <row r="263">
          <cell r="E263" t="str">
            <v>KKM/JKN/HSA/10-05-01/H/15/1592</v>
          </cell>
          <cell r="F263" t="str">
            <v>Therapeutic</v>
          </cell>
          <cell r="G263" t="str">
            <v>Basic</v>
          </cell>
          <cell r="H263" t="str">
            <v>Warming Units, Patient, Radiant, Infant</v>
          </cell>
          <cell r="I263" t="str">
            <v>WARMING UNITS, PATIENT, RADIANT, INFANT</v>
          </cell>
          <cell r="J263" t="str">
            <v>17-956</v>
          </cell>
          <cell r="K263" t="str">
            <v>DRAEGER</v>
          </cell>
          <cell r="L263" t="str">
            <v>RESUSCITAIRE RW-82</v>
          </cell>
          <cell r="M263" t="str">
            <v>AU 01157</v>
          </cell>
          <cell r="N263" t="str">
            <v xml:space="preserve">PEDIATRIK </v>
          </cell>
          <cell r="O263" t="str">
            <v>Unit Rawatan Rapi Neonatal (NICU)</v>
          </cell>
          <cell r="P263" t="str">
            <v>HM</v>
          </cell>
          <cell r="Q263">
            <v>24000</v>
          </cell>
        </row>
        <row r="264">
          <cell r="E264" t="str">
            <v>KKM/JKN/HSA/10-05-01/H/15/1593</v>
          </cell>
          <cell r="F264" t="str">
            <v>Therapeutic</v>
          </cell>
          <cell r="G264" t="str">
            <v>Basic</v>
          </cell>
          <cell r="H264" t="str">
            <v>Warming Units, Patient, Radiant, Infant</v>
          </cell>
          <cell r="I264" t="str">
            <v>WARMING UNITS, PATIENT, RADIANT, INFANT</v>
          </cell>
          <cell r="J264" t="str">
            <v>17-956</v>
          </cell>
          <cell r="K264" t="str">
            <v>DRAEGER</v>
          </cell>
          <cell r="L264" t="str">
            <v>RESUSCITAIRE RW-82</v>
          </cell>
          <cell r="M264" t="str">
            <v>AU 01147</v>
          </cell>
          <cell r="N264" t="str">
            <v xml:space="preserve">PEDIATRIK </v>
          </cell>
          <cell r="O264" t="str">
            <v>Unit Rawatan Rapi Neonatal (NICU)</v>
          </cell>
          <cell r="P264" t="str">
            <v>HM</v>
          </cell>
          <cell r="Q264">
            <v>24000</v>
          </cell>
        </row>
        <row r="265">
          <cell r="E265" t="str">
            <v>KKM/JKN/HSA/10-05-01/H/15/1594</v>
          </cell>
          <cell r="F265" t="str">
            <v>Therapeutic</v>
          </cell>
          <cell r="G265" t="str">
            <v>Basic</v>
          </cell>
          <cell r="H265" t="str">
            <v>Warming Units, Patient, Radiant, Infant</v>
          </cell>
          <cell r="I265" t="str">
            <v>WARMING UNITS, PATIENT, RADIANT, INFANT</v>
          </cell>
          <cell r="J265" t="str">
            <v>17-956</v>
          </cell>
          <cell r="K265" t="str">
            <v>DRAEGER</v>
          </cell>
          <cell r="L265" t="str">
            <v>RESUSCITAIRE RW-82</v>
          </cell>
          <cell r="M265" t="str">
            <v>AU 06208</v>
          </cell>
          <cell r="N265" t="str">
            <v xml:space="preserve">PEDIATRIK </v>
          </cell>
          <cell r="O265" t="str">
            <v>Unit Rawatan Rapi Neonatal (NICU)</v>
          </cell>
          <cell r="P265" t="str">
            <v>HM</v>
          </cell>
          <cell r="Q265">
            <v>24000</v>
          </cell>
        </row>
        <row r="266">
          <cell r="E266" t="str">
            <v>KKM/JKN/HSA/10-05-01/H/15/1616</v>
          </cell>
          <cell r="F266" t="str">
            <v>Therapeutic</v>
          </cell>
          <cell r="G266" t="str">
            <v>Intermediate</v>
          </cell>
          <cell r="H266" t="str">
            <v>Ventilators, Intensive Care, Neonatal/Pediatric</v>
          </cell>
          <cell r="I266" t="str">
            <v>VENTILATOR HIGH FREQUENCY NEONATE</v>
          </cell>
          <cell r="J266" t="str">
            <v>14-361</v>
          </cell>
          <cell r="K266" t="str">
            <v>DRAEGER</v>
          </cell>
          <cell r="L266" t="str">
            <v>BABYLOG 800 PLUS PSV/VG/HFV</v>
          </cell>
          <cell r="M266" t="str">
            <v>ASEJ0081</v>
          </cell>
          <cell r="N266" t="str">
            <v xml:space="preserve">PEDIATRIK </v>
          </cell>
          <cell r="O266" t="str">
            <v>Unit Rawatan Rapi Neonatal (NICU)</v>
          </cell>
          <cell r="P266" t="str">
            <v>HM</v>
          </cell>
          <cell r="Q266">
            <v>64000</v>
          </cell>
        </row>
        <row r="267">
          <cell r="E267" t="str">
            <v>KKM/JKN/HSA/10-05-01/H/15/1617</v>
          </cell>
          <cell r="F267" t="str">
            <v>Therapeutic</v>
          </cell>
          <cell r="G267" t="str">
            <v>Intermediate</v>
          </cell>
          <cell r="H267" t="str">
            <v>Ventilators, Intensive Care, Neonatal/Pediatric</v>
          </cell>
          <cell r="I267" t="str">
            <v>VENTILATOR HIGH FREQUENCY NEONATE</v>
          </cell>
          <cell r="J267" t="str">
            <v>14-361</v>
          </cell>
          <cell r="K267" t="str">
            <v>DRAEGER</v>
          </cell>
          <cell r="L267" t="str">
            <v>BABYLOG 800 PLUS PSV/VG/HFV</v>
          </cell>
          <cell r="M267" t="str">
            <v>ASEJ0080</v>
          </cell>
          <cell r="N267" t="str">
            <v xml:space="preserve">PEDIATRIK </v>
          </cell>
          <cell r="O267" t="str">
            <v>Unit Rawatan Rapi Neonatal (NICU)</v>
          </cell>
          <cell r="P267" t="str">
            <v>HM</v>
          </cell>
          <cell r="Q267">
            <v>64000</v>
          </cell>
        </row>
        <row r="268">
          <cell r="E268" t="str">
            <v>KKM/JKN/HSA/10-05-01/H/15/1618</v>
          </cell>
          <cell r="F268" t="str">
            <v>Therapeutic</v>
          </cell>
          <cell r="G268" t="str">
            <v>Intermediate</v>
          </cell>
          <cell r="H268" t="str">
            <v>Ventilators, Intensive Care, Neonatal/Pediatric</v>
          </cell>
          <cell r="I268" t="str">
            <v>VENTILATOR HIGH FREQUENCY NEONATE</v>
          </cell>
          <cell r="J268" t="str">
            <v>14-361</v>
          </cell>
          <cell r="K268" t="str">
            <v>DRAEGER</v>
          </cell>
          <cell r="L268" t="str">
            <v>BABYLOG 800 PLUS PSV/VG/HFV</v>
          </cell>
          <cell r="M268" t="str">
            <v>ASEJ0079</v>
          </cell>
          <cell r="N268" t="str">
            <v xml:space="preserve">PEDIATRIK </v>
          </cell>
          <cell r="O268" t="str">
            <v>Unit Rawatan Rapi Neonatal (NICU)</v>
          </cell>
          <cell r="P268" t="str">
            <v>HM</v>
          </cell>
          <cell r="Q268">
            <v>64000</v>
          </cell>
        </row>
        <row r="269">
          <cell r="E269" t="str">
            <v>KKM/JKN/HSA/10-05-01/H/15/1608</v>
          </cell>
          <cell r="F269" t="str">
            <v>Therapeutic</v>
          </cell>
          <cell r="G269" t="str">
            <v>Intermediate</v>
          </cell>
          <cell r="H269" t="str">
            <v>Ventilators, Intensive Care, Neonatal/Pediatric</v>
          </cell>
          <cell r="I269" t="str">
            <v>VENTILATOR FOR NEONATES &amp; INFANTS</v>
          </cell>
          <cell r="J269" t="str">
            <v>14-361</v>
          </cell>
          <cell r="K269" t="str">
            <v>DRAEGER</v>
          </cell>
          <cell r="L269" t="str">
            <v>BABYLOG 8000 PLUS PSV/VG</v>
          </cell>
          <cell r="M269" t="str">
            <v>ASHC0030</v>
          </cell>
          <cell r="N269" t="str">
            <v xml:space="preserve">PEDIATRIK </v>
          </cell>
          <cell r="O269" t="str">
            <v>Unit Rawatan Rapi Neonatal (NICU)</v>
          </cell>
          <cell r="P269" t="str">
            <v>HM</v>
          </cell>
          <cell r="Q269">
            <v>53000</v>
          </cell>
        </row>
        <row r="270">
          <cell r="E270" t="str">
            <v>KKM/JKN/HSA/10-05-01/H/15/1609</v>
          </cell>
          <cell r="F270" t="str">
            <v>Therapeutic</v>
          </cell>
          <cell r="G270" t="str">
            <v>Intermediate</v>
          </cell>
          <cell r="H270" t="str">
            <v>Ventilators, Intensive Care, Neonatal/Pediatric</v>
          </cell>
          <cell r="I270" t="str">
            <v>VENTILATOR FOR NEONATES &amp; INFANTS</v>
          </cell>
          <cell r="J270" t="str">
            <v>14-361</v>
          </cell>
          <cell r="K270" t="str">
            <v>DRAEGER</v>
          </cell>
          <cell r="L270" t="str">
            <v>BABYLOG 8000 PLUS PSV/VG</v>
          </cell>
          <cell r="M270" t="str">
            <v>ASEJ0077</v>
          </cell>
          <cell r="N270" t="str">
            <v xml:space="preserve">PEDIATRIK </v>
          </cell>
          <cell r="O270" t="str">
            <v>Unit Rawatan Rapi Neonatal (NICU)</v>
          </cell>
          <cell r="P270" t="str">
            <v>HM</v>
          </cell>
          <cell r="Q270">
            <v>53000</v>
          </cell>
        </row>
        <row r="271">
          <cell r="E271" t="str">
            <v>KKM/JKN/HSA/10-05-01/H/15/1610</v>
          </cell>
          <cell r="F271" t="str">
            <v>Therapeutic</v>
          </cell>
          <cell r="G271" t="str">
            <v>Intermediate</v>
          </cell>
          <cell r="H271" t="str">
            <v>Ventilators, Intensive Care, Neonatal/Pediatric</v>
          </cell>
          <cell r="I271" t="str">
            <v>VENTILATOR FOR NEONATES &amp; INFANTS</v>
          </cell>
          <cell r="J271" t="str">
            <v>14-361</v>
          </cell>
          <cell r="K271" t="str">
            <v>DRAEGER</v>
          </cell>
          <cell r="L271" t="str">
            <v>BABYLOG 8000 PLUS PSV/VG</v>
          </cell>
          <cell r="M271" t="str">
            <v>AHSC0031</v>
          </cell>
          <cell r="N271" t="str">
            <v xml:space="preserve">PEDIATRIK </v>
          </cell>
          <cell r="O271" t="str">
            <v>Unit Rawatan Rapi Neonatal (NICU)</v>
          </cell>
          <cell r="P271" t="str">
            <v>HM</v>
          </cell>
          <cell r="Q271">
            <v>53000</v>
          </cell>
        </row>
        <row r="272">
          <cell r="E272" t="str">
            <v>KKM/JKN/HSA/10-05-01/H/15/1611</v>
          </cell>
          <cell r="F272" t="str">
            <v>Therapeutic</v>
          </cell>
          <cell r="G272" t="str">
            <v>Intermediate</v>
          </cell>
          <cell r="H272" t="str">
            <v>Ventilators, Intensive Care, Neonatal/Pediatric</v>
          </cell>
          <cell r="I272" t="str">
            <v>VENTILATOR FOR NEONATES &amp; INFANTS</v>
          </cell>
          <cell r="J272" t="str">
            <v>14-361</v>
          </cell>
          <cell r="K272" t="str">
            <v>DRAEGER</v>
          </cell>
          <cell r="L272" t="str">
            <v>BABYLOG 8000 PLUS PSV/VG</v>
          </cell>
          <cell r="M272" t="str">
            <v>ASHC0028</v>
          </cell>
          <cell r="N272" t="str">
            <v xml:space="preserve">PEDIATRIK </v>
          </cell>
          <cell r="O272" t="str">
            <v>Unit Rawatan Rapi Neonatal (NICU)</v>
          </cell>
          <cell r="P272" t="str">
            <v>HM</v>
          </cell>
          <cell r="Q272">
            <v>53000</v>
          </cell>
        </row>
        <row r="273">
          <cell r="E273" t="str">
            <v>KKM/JKN/HSA/10-05-01/H/15/3627</v>
          </cell>
          <cell r="F273" t="str">
            <v>Therapeutic</v>
          </cell>
          <cell r="G273" t="str">
            <v>Intermediate</v>
          </cell>
          <cell r="H273" t="str">
            <v>Ventilators, Intensive Care, Neonatal/Pediatric</v>
          </cell>
          <cell r="I273" t="str">
            <v>VENTILATOR FOR NEONATES &amp; INFANTS</v>
          </cell>
          <cell r="J273" t="str">
            <v>14-361</v>
          </cell>
          <cell r="K273" t="str">
            <v>DRAEGER</v>
          </cell>
          <cell r="L273" t="str">
            <v>BABYLOG 8000 PLUS PSV/VG</v>
          </cell>
          <cell r="M273" t="str">
            <v>ASEJ0078</v>
          </cell>
          <cell r="N273" t="str">
            <v xml:space="preserve">PEDIATRIK </v>
          </cell>
          <cell r="O273" t="str">
            <v>Unit Rawatan Rapi Neonatal (NICU)</v>
          </cell>
          <cell r="P273" t="str">
            <v>HM</v>
          </cell>
          <cell r="Q273">
            <v>53000</v>
          </cell>
        </row>
        <row r="274">
          <cell r="E274" t="str">
            <v>KKM/JKN/HSA/10-05-01/H/15/3628</v>
          </cell>
          <cell r="F274" t="str">
            <v>Therapeutic</v>
          </cell>
          <cell r="G274" t="str">
            <v>Intermediate</v>
          </cell>
          <cell r="H274" t="str">
            <v>Ventilators, Intensive Care, Neonatal/Pediatric</v>
          </cell>
          <cell r="I274" t="str">
            <v>VENTILATOR FOR NEONATES &amp; INFANTS</v>
          </cell>
          <cell r="J274" t="str">
            <v>14-361</v>
          </cell>
          <cell r="K274" t="str">
            <v>DRAEGER</v>
          </cell>
          <cell r="L274" t="str">
            <v>BABYLOG 8000 PLUS PSV/VG</v>
          </cell>
          <cell r="M274" t="str">
            <v>ASEJ0076</v>
          </cell>
          <cell r="N274" t="str">
            <v xml:space="preserve">PEDIATRIK </v>
          </cell>
          <cell r="O274" t="str">
            <v>Unit Rawatan Rapi Neonatal (NICU)</v>
          </cell>
          <cell r="P274" t="str">
            <v>HM</v>
          </cell>
          <cell r="Q274">
            <v>53000</v>
          </cell>
        </row>
        <row r="275">
          <cell r="E275" t="str">
            <v>KKM/JKN/HSA/10-05-01/H/15/3629</v>
          </cell>
          <cell r="F275" t="str">
            <v>Therapeutic</v>
          </cell>
          <cell r="G275" t="str">
            <v>Intermediate</v>
          </cell>
          <cell r="H275" t="str">
            <v>Ventilators, Intensive Care, Neonatal/Pediatric</v>
          </cell>
          <cell r="I275" t="str">
            <v>VENTILATOR FOR NEONATES &amp; INFANTS</v>
          </cell>
          <cell r="J275" t="str">
            <v>14-361</v>
          </cell>
          <cell r="K275" t="str">
            <v>DRAEGER</v>
          </cell>
          <cell r="L275" t="str">
            <v>BABYLOG 8000 PLUS PSV/VG</v>
          </cell>
          <cell r="M275" t="str">
            <v>ASHC0032</v>
          </cell>
          <cell r="N275" t="str">
            <v xml:space="preserve">PEDIATRIK </v>
          </cell>
          <cell r="O275" t="str">
            <v>Unit Rawatan Rapi Neonatal (NICU)</v>
          </cell>
          <cell r="P275" t="str">
            <v>HM</v>
          </cell>
          <cell r="Q275">
            <v>53000</v>
          </cell>
        </row>
        <row r="276">
          <cell r="E276" t="str">
            <v>KKM/JKN/HSA/10-05-01/H/15/3630</v>
          </cell>
          <cell r="F276" t="str">
            <v>Therapeutic</v>
          </cell>
          <cell r="G276" t="str">
            <v>Intermediate</v>
          </cell>
          <cell r="H276" t="str">
            <v>Ventilators, Intensive Care, Neonatal/Pediatric</v>
          </cell>
          <cell r="I276" t="str">
            <v>VENTILATOR FOR NEONATES &amp; INFANTS</v>
          </cell>
          <cell r="J276" t="str">
            <v>14-361</v>
          </cell>
          <cell r="K276" t="str">
            <v>DRAEGER</v>
          </cell>
          <cell r="L276" t="str">
            <v>BABYLOG 8000 PLUS PSV/VG</v>
          </cell>
          <cell r="M276" t="str">
            <v>ASHC0029</v>
          </cell>
          <cell r="N276" t="str">
            <v xml:space="preserve">PEDIATRIK </v>
          </cell>
          <cell r="O276" t="str">
            <v>Unit Rawatan Rapi Neonatal (NICU)</v>
          </cell>
          <cell r="P276" t="str">
            <v>HM</v>
          </cell>
          <cell r="Q276">
            <v>53000</v>
          </cell>
        </row>
        <row r="277">
          <cell r="E277" t="str">
            <v>KKM/JKN/HSA/10-05-01/H/15/1622</v>
          </cell>
          <cell r="F277" t="str">
            <v>Therapeutic</v>
          </cell>
          <cell r="G277" t="str">
            <v>Intermediate</v>
          </cell>
          <cell r="H277" t="str">
            <v>Ventilators, TransP0rt</v>
          </cell>
          <cell r="I277" t="str">
            <v>VENTILATOR FOR NEONATES &amp; INFANTS</v>
          </cell>
          <cell r="J277" t="str">
            <v>18-098</v>
          </cell>
          <cell r="K277" t="str">
            <v>CAREFUSION</v>
          </cell>
          <cell r="L277" t="str">
            <v>3100A</v>
          </cell>
          <cell r="M277" t="str">
            <v>BEW01524</v>
          </cell>
          <cell r="N277" t="str">
            <v xml:space="preserve">PEDIATRIK </v>
          </cell>
          <cell r="O277" t="str">
            <v>Unit Rawatan Rapi Neonatal (NICU)</v>
          </cell>
          <cell r="P277" t="str">
            <v>HM</v>
          </cell>
          <cell r="Q277">
            <v>325000</v>
          </cell>
        </row>
        <row r="278">
          <cell r="E278" t="str">
            <v xml:space="preserve">KKM/JKN/HSA/10-05-01/H/15/2464 </v>
          </cell>
          <cell r="F278" t="str">
            <v>Radiology</v>
          </cell>
          <cell r="G278" t="str">
            <v>Intermediate</v>
          </cell>
          <cell r="H278" t="str">
            <v>Scanning Systems, Ultrasonic, Obstetric/Gynecologic</v>
          </cell>
          <cell r="I278" t="str">
            <v>ULTRASOUND  DOPPLER FOR NEONATES</v>
          </cell>
          <cell r="J278" t="str">
            <v>15-657</v>
          </cell>
          <cell r="K278" t="str">
            <v>SIEMENS</v>
          </cell>
          <cell r="L278" t="str">
            <v>ACUSON X300 PE</v>
          </cell>
          <cell r="M278">
            <v>348422</v>
          </cell>
          <cell r="N278" t="str">
            <v>PEDIATRIK</v>
          </cell>
          <cell r="O278" t="str">
            <v>Unit Rawatan Rapi Neonatal (NICU)</v>
          </cell>
          <cell r="P278" t="str">
            <v>HM</v>
          </cell>
          <cell r="Q278">
            <v>92700</v>
          </cell>
        </row>
        <row r="279">
          <cell r="E279" t="str">
            <v>KKM/JKN/HSA/10-05-01/H/16/27</v>
          </cell>
          <cell r="F279" t="str">
            <v>Therapeutic</v>
          </cell>
          <cell r="G279" t="str">
            <v>Intermediate</v>
          </cell>
          <cell r="H279" t="str">
            <v>Warming/Cooling Units, Patient</v>
          </cell>
          <cell r="I279" t="str">
            <v>THERAPEUTIC HYP0THERMIA MACHINE SERVO CONTROL</v>
          </cell>
          <cell r="J279" t="str">
            <v>12-068</v>
          </cell>
          <cell r="K279" t="str">
            <v>TECORTHERM NEO</v>
          </cell>
          <cell r="L279" t="str">
            <v>TC-NEO-SK</v>
          </cell>
          <cell r="M279" t="str">
            <v>2015/47/03</v>
          </cell>
          <cell r="N279" t="str">
            <v>PEDIATRIK</v>
          </cell>
          <cell r="O279" t="str">
            <v>Unit Rawatan Rapi Neonatal (NICU)</v>
          </cell>
          <cell r="P279" t="str">
            <v>HM</v>
          </cell>
          <cell r="Q279">
            <v>89800</v>
          </cell>
        </row>
        <row r="280">
          <cell r="E280" t="str">
            <v>KKM/JKN/HSA/10-05-01/H/15/2504</v>
          </cell>
          <cell r="F280" t="str">
            <v>Therapeutic</v>
          </cell>
          <cell r="G280" t="str">
            <v>Basic</v>
          </cell>
          <cell r="H280" t="str">
            <v>Aspirators</v>
          </cell>
          <cell r="I280" t="str">
            <v>SUCTION APPARATUS</v>
          </cell>
          <cell r="J280" t="str">
            <v>10-208</v>
          </cell>
          <cell r="K280" t="str">
            <v>LAERDAL MEDICAL</v>
          </cell>
          <cell r="L280" t="str">
            <v>LAERDAL MEDICAL</v>
          </cell>
          <cell r="M280" t="str">
            <v>S/N 78051576735</v>
          </cell>
          <cell r="N280" t="str">
            <v>PEDIATRIK</v>
          </cell>
          <cell r="O280" t="str">
            <v>Unit Rawatan Rapi Neonatal (NICU)</v>
          </cell>
          <cell r="P280" t="str">
            <v>HM</v>
          </cell>
          <cell r="Q280">
            <v>6500</v>
          </cell>
        </row>
        <row r="281">
          <cell r="E281" t="str">
            <v>KKM/JKN/HSA/10-05-01/R/15/7030</v>
          </cell>
          <cell r="F281" t="str">
            <v xml:space="preserve">Diagnostic </v>
          </cell>
          <cell r="G281" t="str">
            <v>Basic</v>
          </cell>
          <cell r="H281" t="str">
            <v>Scales, Infant</v>
          </cell>
          <cell r="I281" t="str">
            <v>SCALES BABY DIGITAL/ELECTRONIC W/MEASURE</v>
          </cell>
          <cell r="J281" t="str">
            <v>13-462</v>
          </cell>
          <cell r="K281" t="str">
            <v>DETECTO</v>
          </cell>
          <cell r="L281" t="str">
            <v>MB130 &amp; DLM</v>
          </cell>
          <cell r="M281" t="str">
            <v>C10225820</v>
          </cell>
          <cell r="N281" t="str">
            <v>PEDIATRIK</v>
          </cell>
          <cell r="O281" t="str">
            <v>Unit Rawatan Rapi Neonatal (NICU)</v>
          </cell>
          <cell r="P281" t="str">
            <v>ABR</v>
          </cell>
          <cell r="Q281">
            <v>1500</v>
          </cell>
        </row>
        <row r="282">
          <cell r="E282" t="str">
            <v>KKM/JKN/HSA/10-05-01/R/15/7031</v>
          </cell>
          <cell r="F282" t="str">
            <v xml:space="preserve">Diagnostic </v>
          </cell>
          <cell r="G282" t="str">
            <v>Basic</v>
          </cell>
          <cell r="H282" t="str">
            <v>Scales, Infant</v>
          </cell>
          <cell r="I282" t="str">
            <v>SCALES BABY DIGITAL/ELECTRONIC W/MEASURE</v>
          </cell>
          <cell r="J282" t="str">
            <v>13-462</v>
          </cell>
          <cell r="K282" t="str">
            <v>DETECTO</v>
          </cell>
          <cell r="L282" t="str">
            <v>MB130 &amp; DLM</v>
          </cell>
          <cell r="M282" t="str">
            <v>C12025798</v>
          </cell>
          <cell r="N282" t="str">
            <v>PEDIATRIK</v>
          </cell>
          <cell r="O282" t="str">
            <v>Unit Rawatan Rapi Neonatal (NICU)</v>
          </cell>
          <cell r="P282" t="str">
            <v>ABR</v>
          </cell>
          <cell r="Q282">
            <v>1500</v>
          </cell>
        </row>
        <row r="283">
          <cell r="E283" t="str">
            <v>KKM/JKN/HSA/10-05-01/R/15/7032</v>
          </cell>
          <cell r="F283" t="str">
            <v xml:space="preserve">Diagnostic </v>
          </cell>
          <cell r="G283" t="str">
            <v>Basic</v>
          </cell>
          <cell r="H283" t="str">
            <v>Scales, Infant</v>
          </cell>
          <cell r="I283" t="str">
            <v>SCALES BABY DIGITAL/ELECTRONIC W/MEASURE</v>
          </cell>
          <cell r="J283" t="str">
            <v>13-462</v>
          </cell>
          <cell r="K283" t="str">
            <v>DETECTO</v>
          </cell>
          <cell r="L283" t="str">
            <v>MB130 &amp; DLM</v>
          </cell>
          <cell r="M283" t="str">
            <v>C12025453</v>
          </cell>
          <cell r="N283" t="str">
            <v>PEDIATRIK</v>
          </cell>
          <cell r="O283" t="str">
            <v>Unit Rawatan Rapi Neonatal (NICU)</v>
          </cell>
          <cell r="P283" t="str">
            <v>ABR</v>
          </cell>
          <cell r="Q283">
            <v>1500</v>
          </cell>
        </row>
        <row r="284">
          <cell r="E284" t="str">
            <v>KKM/JKN/HSA/10-05-01/R/15/7033</v>
          </cell>
          <cell r="F284" t="str">
            <v xml:space="preserve">Diagnostic </v>
          </cell>
          <cell r="G284" t="str">
            <v>Basic</v>
          </cell>
          <cell r="H284" t="str">
            <v>Scales, Infant</v>
          </cell>
          <cell r="I284" t="str">
            <v>SCALES BABY DIGITAL/ELECTRONIC W/MEASURE</v>
          </cell>
          <cell r="J284" t="str">
            <v>13-462</v>
          </cell>
          <cell r="K284" t="str">
            <v>DETECTO</v>
          </cell>
          <cell r="L284" t="str">
            <v>MB130 &amp; DLM</v>
          </cell>
          <cell r="M284" t="str">
            <v>C12025941</v>
          </cell>
          <cell r="N284" t="str">
            <v>PEDIATRIK</v>
          </cell>
          <cell r="O284" t="str">
            <v>Unit Rawatan Rapi Neonatal (NICU)</v>
          </cell>
          <cell r="P284" t="str">
            <v>ABR</v>
          </cell>
          <cell r="Q284">
            <v>1500</v>
          </cell>
        </row>
        <row r="285">
          <cell r="E285" t="str">
            <v>KKM/JKN/HSA/10-05-01/R/15/7034</v>
          </cell>
          <cell r="F285" t="str">
            <v xml:space="preserve">Diagnostic </v>
          </cell>
          <cell r="G285" t="str">
            <v>Basic</v>
          </cell>
          <cell r="H285" t="str">
            <v>Scales, Infant</v>
          </cell>
          <cell r="I285" t="str">
            <v>SCALES BABY DIGITAL/ELECTRONIC W/MEASURE</v>
          </cell>
          <cell r="J285" t="str">
            <v>13-462</v>
          </cell>
          <cell r="K285" t="str">
            <v>DETECTO</v>
          </cell>
          <cell r="L285" t="str">
            <v>MB130 &amp; DLM</v>
          </cell>
          <cell r="M285" t="str">
            <v>C12025862</v>
          </cell>
          <cell r="N285" t="str">
            <v>PEDIATRIK</v>
          </cell>
          <cell r="O285" t="str">
            <v>Unit Rawatan Rapi Neonatal (NICU)</v>
          </cell>
          <cell r="P285" t="str">
            <v>ABR</v>
          </cell>
          <cell r="Q285">
            <v>1500</v>
          </cell>
        </row>
        <row r="286">
          <cell r="E286" t="str">
            <v>KKM/JKN/HSA/10-05-01/R/15/7035</v>
          </cell>
          <cell r="F286" t="str">
            <v xml:space="preserve">Diagnostic </v>
          </cell>
          <cell r="G286" t="str">
            <v>Basic</v>
          </cell>
          <cell r="H286" t="str">
            <v>Scales, Infant</v>
          </cell>
          <cell r="I286" t="str">
            <v>SCALES BABY DIGITAL/ELECTRONIC W/MEASURE</v>
          </cell>
          <cell r="J286" t="str">
            <v>13-462</v>
          </cell>
          <cell r="K286" t="str">
            <v>DETECTO</v>
          </cell>
          <cell r="L286" t="str">
            <v>MB130 &amp; DLM</v>
          </cell>
          <cell r="M286" t="str">
            <v>C14002633</v>
          </cell>
          <cell r="N286" t="str">
            <v>PEDIATRIK</v>
          </cell>
          <cell r="O286" t="str">
            <v>Unit Rawatan Rapi Neonatal (NICU)</v>
          </cell>
          <cell r="P286" t="str">
            <v>ABR</v>
          </cell>
          <cell r="Q286">
            <v>1500</v>
          </cell>
        </row>
        <row r="287">
          <cell r="E287" t="str">
            <v>KKM/JKN/HSA/10-05-01/H/16/14</v>
          </cell>
          <cell r="F287" t="str">
            <v>Therapeutic</v>
          </cell>
          <cell r="G287" t="str">
            <v>Basic</v>
          </cell>
          <cell r="H287" t="str">
            <v>Resuscitators, Pulmonary, Pneumatic</v>
          </cell>
          <cell r="I287" t="str">
            <v>RESUSCITATOR</v>
          </cell>
          <cell r="J287" t="str">
            <v>13-366</v>
          </cell>
          <cell r="K287" t="str">
            <v>NEOPUFF</v>
          </cell>
          <cell r="L287" t="str">
            <v>RD900</v>
          </cell>
          <cell r="M287">
            <v>160226005348</v>
          </cell>
          <cell r="N287" t="str">
            <v>PEDIATRIK</v>
          </cell>
          <cell r="O287" t="str">
            <v>Unit Rawatan Rapi Neonatal (NICU)</v>
          </cell>
          <cell r="P287" t="str">
            <v>HM</v>
          </cell>
          <cell r="Q287">
            <v>6000</v>
          </cell>
        </row>
        <row r="288">
          <cell r="E288" t="str">
            <v>KKM/JKN/HSA/10-05-01/H/16/15</v>
          </cell>
          <cell r="F288" t="str">
            <v>Therapeutic</v>
          </cell>
          <cell r="G288" t="str">
            <v>Basic</v>
          </cell>
          <cell r="H288" t="str">
            <v>Resuscitators, Pulmonary, Pneumatic</v>
          </cell>
          <cell r="I288" t="str">
            <v>RESUSCITATOR</v>
          </cell>
          <cell r="J288" t="str">
            <v>13-366</v>
          </cell>
          <cell r="K288" t="str">
            <v>NEOPUFF</v>
          </cell>
          <cell r="L288" t="str">
            <v>RD900</v>
          </cell>
          <cell r="M288">
            <v>160226005350</v>
          </cell>
          <cell r="N288" t="str">
            <v>PEDIATRIK</v>
          </cell>
          <cell r="O288" t="str">
            <v>Unit Rawatan Rapi Neonatal (NICU)</v>
          </cell>
          <cell r="P288" t="str">
            <v>HM</v>
          </cell>
          <cell r="Q288">
            <v>6000</v>
          </cell>
        </row>
        <row r="289">
          <cell r="E289" t="str">
            <v>KKM/JKN/HSA/10-05-01/H/16/16</v>
          </cell>
          <cell r="F289" t="str">
            <v>Therapeutic</v>
          </cell>
          <cell r="G289" t="str">
            <v>Basic</v>
          </cell>
          <cell r="H289" t="str">
            <v>Resuscitators, Pulmonary, Pneumatic</v>
          </cell>
          <cell r="I289" t="str">
            <v>RESUSCITATOR</v>
          </cell>
          <cell r="J289" t="str">
            <v>13-366</v>
          </cell>
          <cell r="K289" t="str">
            <v>NEOPUFF</v>
          </cell>
          <cell r="L289" t="str">
            <v>RD900</v>
          </cell>
          <cell r="M289">
            <v>160226005351</v>
          </cell>
          <cell r="N289" t="str">
            <v>PEDIATRIK</v>
          </cell>
          <cell r="O289" t="str">
            <v>Unit Rawatan Rapi Neonatal (NICU)</v>
          </cell>
          <cell r="P289" t="str">
            <v>HM</v>
          </cell>
          <cell r="Q289">
            <v>6000</v>
          </cell>
        </row>
        <row r="290">
          <cell r="E290" t="str">
            <v>KKM/JKN/HSA/10-05-01/H/16/45</v>
          </cell>
          <cell r="F290" t="str">
            <v>Therapeutic</v>
          </cell>
          <cell r="G290" t="str">
            <v>Intermediate</v>
          </cell>
          <cell r="H290" t="str">
            <v>Humidifiers, Heated</v>
          </cell>
          <cell r="I290" t="str">
            <v>RESPIRATORI HUMIDIFIER</v>
          </cell>
          <cell r="J290" t="str">
            <v>12-050</v>
          </cell>
          <cell r="K290" t="str">
            <v>FISHER &amp; PAYKAL</v>
          </cell>
          <cell r="L290" t="str">
            <v>MR850</v>
          </cell>
          <cell r="M290" t="str">
            <v>160629289083</v>
          </cell>
          <cell r="N290" t="str">
            <v>PEDIATRIK</v>
          </cell>
          <cell r="O290" t="str">
            <v>Unit Rawatan Rapi Neonatal (NICU)</v>
          </cell>
          <cell r="P290" t="str">
            <v>HM</v>
          </cell>
          <cell r="Q290">
            <v>7450</v>
          </cell>
        </row>
        <row r="291">
          <cell r="E291" t="str">
            <v>KKM/JKN/HSA/10-05-01/H/16/46</v>
          </cell>
          <cell r="F291" t="str">
            <v>Therapeutic</v>
          </cell>
          <cell r="G291" t="str">
            <v>Intermediate</v>
          </cell>
          <cell r="H291" t="str">
            <v>Humidifiers, Heated</v>
          </cell>
          <cell r="I291" t="str">
            <v>RESPIRATORI HUMIDIFIER</v>
          </cell>
          <cell r="J291" t="str">
            <v>12-050</v>
          </cell>
          <cell r="K291" t="str">
            <v>FISHER &amp; PAYKAL</v>
          </cell>
          <cell r="L291" t="str">
            <v>MR850</v>
          </cell>
          <cell r="M291" t="str">
            <v>160713290114</v>
          </cell>
          <cell r="N291" t="str">
            <v>PEDIATRIK</v>
          </cell>
          <cell r="O291" t="str">
            <v>Unit Rawatan Rapi Neonatal (NICU)</v>
          </cell>
          <cell r="P291" t="str">
            <v>HM</v>
          </cell>
          <cell r="Q291">
            <v>7450</v>
          </cell>
        </row>
        <row r="292">
          <cell r="E292" t="str">
            <v>KKM/JKN/HSA/10-05-01/H/15/543</v>
          </cell>
          <cell r="F292" t="str">
            <v>Therapeutic</v>
          </cell>
          <cell r="G292" t="str">
            <v>Basic</v>
          </cell>
          <cell r="H292" t="str">
            <v>Warming Units, Patient, Radiant, Infant, Mobile</v>
          </cell>
          <cell r="I292" t="str">
            <v>RADIENT HEAT UNIT FREESTANDING</v>
          </cell>
          <cell r="J292" t="str">
            <v>17-433</v>
          </cell>
          <cell r="K292" t="str">
            <v>FISHER &amp; PAYKEL</v>
          </cell>
          <cell r="L292" t="str">
            <v xml:space="preserve"> IW910</v>
          </cell>
          <cell r="M292">
            <v>130916000810</v>
          </cell>
          <cell r="N292" t="str">
            <v>PEDIATRIK</v>
          </cell>
          <cell r="O292" t="str">
            <v>Unit Rawatan Rapi Neonatal (NICU)</v>
          </cell>
          <cell r="P292" t="str">
            <v>HM</v>
          </cell>
          <cell r="Q292">
            <v>10000</v>
          </cell>
        </row>
        <row r="293">
          <cell r="E293" t="str">
            <v>KKM/JKN/HSA/10-05-01/H/15/544</v>
          </cell>
          <cell r="F293" t="str">
            <v>Therapeutic</v>
          </cell>
          <cell r="G293" t="str">
            <v>Basic</v>
          </cell>
          <cell r="H293" t="str">
            <v>Warming Units, Patient, Radiant, Infant, Mobile</v>
          </cell>
          <cell r="I293" t="str">
            <v>RADIENT HEAT UNIT FREESTANDING</v>
          </cell>
          <cell r="J293" t="str">
            <v>17-433</v>
          </cell>
          <cell r="K293" t="str">
            <v>FISHER &amp; PAYKEL</v>
          </cell>
          <cell r="L293" t="str">
            <v xml:space="preserve"> IW910</v>
          </cell>
          <cell r="M293">
            <v>130916000826</v>
          </cell>
          <cell r="N293" t="str">
            <v>PEDIATRIK</v>
          </cell>
          <cell r="O293" t="str">
            <v>Unit Rawatan Rapi Neonatal (NICU)</v>
          </cell>
          <cell r="P293" t="str">
            <v>HM</v>
          </cell>
          <cell r="Q293">
            <v>10000</v>
          </cell>
        </row>
        <row r="294">
          <cell r="E294" t="str">
            <v>KKM/JKN/HSA/10-05-01/H/15/545</v>
          </cell>
          <cell r="F294" t="str">
            <v>Therapeutic</v>
          </cell>
          <cell r="G294" t="str">
            <v>Basic</v>
          </cell>
          <cell r="H294" t="str">
            <v>Warming Units, Patient, Radiant, Infant, Mobile</v>
          </cell>
          <cell r="I294" t="str">
            <v>RADIENT HEAT UNIT FREESTANDING</v>
          </cell>
          <cell r="J294" t="str">
            <v>17-433</v>
          </cell>
          <cell r="K294" t="str">
            <v>FISHER &amp; PAYKEL</v>
          </cell>
          <cell r="L294" t="str">
            <v xml:space="preserve"> IW910</v>
          </cell>
          <cell r="M294">
            <v>130916000804</v>
          </cell>
          <cell r="N294" t="str">
            <v>PEDIATRIK</v>
          </cell>
          <cell r="O294" t="str">
            <v>Unit Rawatan Rapi Neonatal (NICU)</v>
          </cell>
          <cell r="P294" t="str">
            <v>HM</v>
          </cell>
          <cell r="Q294">
            <v>10000</v>
          </cell>
        </row>
        <row r="295">
          <cell r="E295" t="str">
            <v>KKM/JKN/HSA/10-05-01/H/15/546</v>
          </cell>
          <cell r="F295" t="str">
            <v>Therapeutic</v>
          </cell>
          <cell r="G295" t="str">
            <v>Basic</v>
          </cell>
          <cell r="H295" t="str">
            <v>Warming Units, Patient, Radiant, Infant, Mobile</v>
          </cell>
          <cell r="I295" t="str">
            <v>RADIENT HEAT UNIT FREESTANDING</v>
          </cell>
          <cell r="J295" t="str">
            <v>17-433</v>
          </cell>
          <cell r="K295" t="str">
            <v>FISHER &amp; PAYKEL</v>
          </cell>
          <cell r="L295" t="str">
            <v xml:space="preserve"> IW910</v>
          </cell>
          <cell r="M295">
            <v>130916000809</v>
          </cell>
          <cell r="N295" t="str">
            <v>PEDIATRIK</v>
          </cell>
          <cell r="O295" t="str">
            <v>Unit Rawatan Rapi Neonatal (NICU)</v>
          </cell>
          <cell r="P295" t="str">
            <v>HM</v>
          </cell>
          <cell r="Q295">
            <v>10000</v>
          </cell>
        </row>
        <row r="296">
          <cell r="E296" t="str">
            <v>KKM/JKN/HSA/10-05-01/H/15/547</v>
          </cell>
          <cell r="F296" t="str">
            <v>Therapeutic</v>
          </cell>
          <cell r="G296" t="str">
            <v>Basic</v>
          </cell>
          <cell r="H296" t="str">
            <v>Warming Units, Patient, Radiant, Infant, Mobile</v>
          </cell>
          <cell r="I296" t="str">
            <v>RADIENT HEAT UNIT FREESTANDING</v>
          </cell>
          <cell r="J296" t="str">
            <v>17-433</v>
          </cell>
          <cell r="K296" t="str">
            <v>FISHER &amp; PAYKEL</v>
          </cell>
          <cell r="L296" t="str">
            <v xml:space="preserve"> IW910</v>
          </cell>
          <cell r="M296">
            <v>130916000812</v>
          </cell>
          <cell r="N296" t="str">
            <v>PEDIATRIK</v>
          </cell>
          <cell r="O296" t="str">
            <v>Unit Rawatan Rapi Neonatal (NICU)</v>
          </cell>
          <cell r="P296" t="str">
            <v>HM</v>
          </cell>
          <cell r="Q296">
            <v>10000</v>
          </cell>
        </row>
        <row r="297">
          <cell r="E297" t="str">
            <v>KKM/JKN/HSA/10-05-01/H/15/548</v>
          </cell>
          <cell r="F297" t="str">
            <v>Therapeutic</v>
          </cell>
          <cell r="G297" t="str">
            <v>Basic</v>
          </cell>
          <cell r="H297" t="str">
            <v>Warming Units, Patient, Radiant, Infant, Mobile</v>
          </cell>
          <cell r="I297" t="str">
            <v>RADIENT HEAT UNIT FREESTANDING</v>
          </cell>
          <cell r="J297" t="str">
            <v>17-433</v>
          </cell>
          <cell r="K297" t="str">
            <v>FISHER &amp; PAYKEL</v>
          </cell>
          <cell r="L297" t="str">
            <v xml:space="preserve"> IW910</v>
          </cell>
          <cell r="M297">
            <v>130916000832</v>
          </cell>
          <cell r="N297" t="str">
            <v>PEDIATRIK</v>
          </cell>
          <cell r="O297" t="str">
            <v>Unit Rawatan Rapi Neonatal (NICU)</v>
          </cell>
          <cell r="P297" t="str">
            <v>HM</v>
          </cell>
          <cell r="Q297">
            <v>10000</v>
          </cell>
        </row>
        <row r="298">
          <cell r="E298" t="str">
            <v>KKM/JKN/HSA/10-05-01/H/15/549</v>
          </cell>
          <cell r="F298" t="str">
            <v>Therapeutic</v>
          </cell>
          <cell r="G298" t="str">
            <v>Basic</v>
          </cell>
          <cell r="H298" t="str">
            <v>Warming Units, Patient, Radiant, Infant, Mobile</v>
          </cell>
          <cell r="I298" t="str">
            <v>RADIENT HEAT UNIT FREESTANDING</v>
          </cell>
          <cell r="J298" t="str">
            <v>17-433</v>
          </cell>
          <cell r="K298" t="str">
            <v>FISHER &amp; PAYKEL</v>
          </cell>
          <cell r="L298" t="str">
            <v xml:space="preserve"> IW910</v>
          </cell>
          <cell r="M298">
            <v>130916000822</v>
          </cell>
          <cell r="N298" t="str">
            <v>PEDIATRIK</v>
          </cell>
          <cell r="O298" t="str">
            <v>Unit Rawatan Rapi Neonatal (NICU)</v>
          </cell>
          <cell r="P298" t="str">
            <v>HM</v>
          </cell>
          <cell r="Q298">
            <v>10000</v>
          </cell>
        </row>
        <row r="299">
          <cell r="E299" t="str">
            <v>KKM/JKN/HSA/10-05-01/H/15/755</v>
          </cell>
          <cell r="F299" t="str">
            <v>Therapeutic</v>
          </cell>
          <cell r="G299" t="str">
            <v>Intermediate</v>
          </cell>
          <cell r="H299" t="str">
            <v>Infusion Pumps, Syringe</v>
          </cell>
          <cell r="I299" t="str">
            <v>PUMP SYRINGE BASIC DOSE RATE (STAND ALONE)</v>
          </cell>
          <cell r="J299" t="str">
            <v>13-217</v>
          </cell>
          <cell r="K299" t="str">
            <v>FRESENIUS KABI</v>
          </cell>
          <cell r="L299" t="str">
            <v>INJECTOMAT MC AGILIA</v>
          </cell>
          <cell r="M299">
            <v>22233776</v>
          </cell>
          <cell r="N299" t="str">
            <v>PEDIATRIK</v>
          </cell>
          <cell r="O299" t="str">
            <v>Unit Rawatan Rapi Neonatal (NICU)</v>
          </cell>
          <cell r="P299" t="str">
            <v>HM</v>
          </cell>
          <cell r="Q299">
            <v>4300</v>
          </cell>
        </row>
        <row r="300">
          <cell r="E300" t="str">
            <v>KKM/JKN/HSA/10-05-01/H/15/756</v>
          </cell>
          <cell r="F300" t="str">
            <v>Therapeutic</v>
          </cell>
          <cell r="G300" t="str">
            <v>Intermediate</v>
          </cell>
          <cell r="H300" t="str">
            <v>Infusion Pumps, Syringe</v>
          </cell>
          <cell r="I300" t="str">
            <v>PUMP SYRINGE BASIC DOSE RATE (STAND ALONE)</v>
          </cell>
          <cell r="J300" t="str">
            <v>13-217</v>
          </cell>
          <cell r="K300" t="str">
            <v>FRESENIUS KABI</v>
          </cell>
          <cell r="L300" t="str">
            <v>INJECTOMAT MC AGILIA</v>
          </cell>
          <cell r="M300">
            <v>22233779</v>
          </cell>
          <cell r="N300" t="str">
            <v>PEDIATRIK</v>
          </cell>
          <cell r="O300" t="str">
            <v>Unit Rawatan Rapi Neonatal (NICU)</v>
          </cell>
          <cell r="P300" t="str">
            <v>HM</v>
          </cell>
          <cell r="Q300">
            <v>4300</v>
          </cell>
        </row>
        <row r="301">
          <cell r="E301" t="str">
            <v>KKM/JKN/HSA/10-05-01/H/15/757</v>
          </cell>
          <cell r="F301" t="str">
            <v>Therapeutic</v>
          </cell>
          <cell r="G301" t="str">
            <v>Intermediate</v>
          </cell>
          <cell r="H301" t="str">
            <v>Infusion Pumps, Syringe</v>
          </cell>
          <cell r="I301" t="str">
            <v>PUMP SYRINGE BASIC DOSE RATE (STAND ALONE)</v>
          </cell>
          <cell r="J301" t="str">
            <v>13-217</v>
          </cell>
          <cell r="K301" t="str">
            <v>FRESENIUS KABI</v>
          </cell>
          <cell r="L301" t="str">
            <v>INJECTOMAT MC AGILIA</v>
          </cell>
          <cell r="M301">
            <v>22233800</v>
          </cell>
          <cell r="N301" t="str">
            <v>PEDIATRIK</v>
          </cell>
          <cell r="O301" t="str">
            <v>Unit Rawatan Rapi Neonatal (NICU)</v>
          </cell>
          <cell r="P301" t="str">
            <v>HM</v>
          </cell>
          <cell r="Q301">
            <v>4300</v>
          </cell>
        </row>
        <row r="302">
          <cell r="E302" t="str">
            <v>KKM/JKN/HSA/10-05-01/H/15/758</v>
          </cell>
          <cell r="F302" t="str">
            <v>Therapeutic</v>
          </cell>
          <cell r="G302" t="str">
            <v>Intermediate</v>
          </cell>
          <cell r="H302" t="str">
            <v>Infusion Pumps, Syringe</v>
          </cell>
          <cell r="I302" t="str">
            <v>PUMP SYRINGE BASIC DOSE RATE (STAND ALONE)</v>
          </cell>
          <cell r="J302" t="str">
            <v>13-217</v>
          </cell>
          <cell r="K302" t="str">
            <v>FRESENIUS KABI</v>
          </cell>
          <cell r="L302" t="str">
            <v>INJECTOMAT MC AGILIA</v>
          </cell>
          <cell r="M302">
            <v>22231701</v>
          </cell>
          <cell r="N302" t="str">
            <v>PEDIATRIK</v>
          </cell>
          <cell r="O302" t="str">
            <v>Unit Rawatan Rapi Neonatal (NICU)</v>
          </cell>
          <cell r="P302" t="str">
            <v>HM</v>
          </cell>
          <cell r="Q302">
            <v>4300</v>
          </cell>
        </row>
        <row r="303">
          <cell r="E303" t="str">
            <v>KKM/JKN/HSA/10-05-01/H/15/759</v>
          </cell>
          <cell r="F303" t="str">
            <v>Therapeutic</v>
          </cell>
          <cell r="G303" t="str">
            <v>Intermediate</v>
          </cell>
          <cell r="H303" t="str">
            <v>Infusion Pumps, Syringe</v>
          </cell>
          <cell r="I303" t="str">
            <v>PUMP SYRINGE BASIC DOSE RATE (STAND ALONE)</v>
          </cell>
          <cell r="J303" t="str">
            <v>13-217</v>
          </cell>
          <cell r="K303" t="str">
            <v>FRESENIUS KABI</v>
          </cell>
          <cell r="L303" t="str">
            <v>INJECTOMAT MC AGILIA</v>
          </cell>
          <cell r="M303">
            <v>22231692</v>
          </cell>
          <cell r="N303" t="str">
            <v>PEDIATRIK</v>
          </cell>
          <cell r="O303" t="str">
            <v>Unit Rawatan Rapi Neonatal (NICU)</v>
          </cell>
          <cell r="P303" t="str">
            <v>HM</v>
          </cell>
          <cell r="Q303">
            <v>4300</v>
          </cell>
        </row>
        <row r="304">
          <cell r="E304" t="str">
            <v>KKM/JKN/HSA/10-05-01/H/15/760</v>
          </cell>
          <cell r="F304" t="str">
            <v>Therapeutic</v>
          </cell>
          <cell r="G304" t="str">
            <v>Intermediate</v>
          </cell>
          <cell r="H304" t="str">
            <v>Infusion Pumps, Syringe</v>
          </cell>
          <cell r="I304" t="str">
            <v>PUMP SYRINGE BASIC DOSE RATE (STAND ALONE)</v>
          </cell>
          <cell r="J304" t="str">
            <v>13-217</v>
          </cell>
          <cell r="K304" t="str">
            <v>FRESENIUS KABI</v>
          </cell>
          <cell r="L304" t="str">
            <v>INJECTOMAT MC AGILIA</v>
          </cell>
          <cell r="M304">
            <v>22233765</v>
          </cell>
          <cell r="N304" t="str">
            <v>PEDIATRIK</v>
          </cell>
          <cell r="O304" t="str">
            <v>Unit Rawatan Rapi Neonatal (NICU)</v>
          </cell>
          <cell r="P304" t="str">
            <v>HM</v>
          </cell>
          <cell r="Q304">
            <v>4300</v>
          </cell>
        </row>
        <row r="305">
          <cell r="E305" t="str">
            <v>KKM/JKN/HSA/10-05-01/H/15/763</v>
          </cell>
          <cell r="F305" t="str">
            <v>Therapeutic</v>
          </cell>
          <cell r="G305" t="str">
            <v>Intermediate</v>
          </cell>
          <cell r="H305" t="str">
            <v>Infusion Pumps, Syringe</v>
          </cell>
          <cell r="I305" t="str">
            <v>PUMP SYRINGE BASIC DOSE RATE (STAND ALONE)</v>
          </cell>
          <cell r="J305" t="str">
            <v>13-217</v>
          </cell>
          <cell r="K305" t="str">
            <v>FRESENIUS KABI</v>
          </cell>
          <cell r="L305" t="str">
            <v>INJECTOMAT MC AGILIA</v>
          </cell>
          <cell r="M305">
            <v>22233791</v>
          </cell>
          <cell r="N305" t="str">
            <v>PEDIATRIK</v>
          </cell>
          <cell r="O305" t="str">
            <v>Unit Rawatan Rapi Neonatal (NICU)</v>
          </cell>
          <cell r="P305" t="str">
            <v>HM</v>
          </cell>
          <cell r="Q305">
            <v>4300</v>
          </cell>
        </row>
        <row r="306">
          <cell r="E306" t="str">
            <v>KKM/JKN/HSA/10-05-01/H/15/766</v>
          </cell>
          <cell r="F306" t="str">
            <v>Therapeutic</v>
          </cell>
          <cell r="G306" t="str">
            <v>Intermediate</v>
          </cell>
          <cell r="H306" t="str">
            <v>Infusion Pumps, Syringe</v>
          </cell>
          <cell r="I306" t="str">
            <v>PUMP SYRINGE BASIC DOSE RATE (STAND ALONE)</v>
          </cell>
          <cell r="J306" t="str">
            <v>13-217</v>
          </cell>
          <cell r="K306" t="str">
            <v>FRESENIUS KABI</v>
          </cell>
          <cell r="L306" t="str">
            <v>INJECTOMAT MC AGILIA</v>
          </cell>
          <cell r="M306">
            <v>22233769</v>
          </cell>
          <cell r="N306" t="str">
            <v>PEDIATRIK</v>
          </cell>
          <cell r="O306" t="str">
            <v>Unit Rawatan Rapi Neonatal (NICU)</v>
          </cell>
          <cell r="P306" t="str">
            <v>HM</v>
          </cell>
          <cell r="Q306">
            <v>4300</v>
          </cell>
        </row>
        <row r="307">
          <cell r="E307" t="str">
            <v>KKM/JKN/HSA/10-05-01/H/15/768</v>
          </cell>
          <cell r="F307" t="str">
            <v>Therapeutic</v>
          </cell>
          <cell r="G307" t="str">
            <v>Intermediate</v>
          </cell>
          <cell r="H307" t="str">
            <v>Infusion Pumps, Syringe</v>
          </cell>
          <cell r="I307" t="str">
            <v>PUMP SYRINGE BASIC DOSE RATE (STAND ALONE)</v>
          </cell>
          <cell r="J307" t="str">
            <v>13-217</v>
          </cell>
          <cell r="K307" t="str">
            <v>FRESENIUS KABI</v>
          </cell>
          <cell r="L307" t="str">
            <v>INJECTOMAT MC AGILIA</v>
          </cell>
          <cell r="M307">
            <v>22233764</v>
          </cell>
          <cell r="N307" t="str">
            <v>PEDIATRIK</v>
          </cell>
          <cell r="O307" t="str">
            <v>Unit Rawatan Rapi Neonatal (NICU)</v>
          </cell>
          <cell r="P307" t="str">
            <v>HM</v>
          </cell>
          <cell r="Q307">
            <v>4300</v>
          </cell>
        </row>
        <row r="308">
          <cell r="E308" t="str">
            <v>KKM/JKN/HSA/10-05-01/H/15/770</v>
          </cell>
          <cell r="F308" t="str">
            <v>Therapeutic</v>
          </cell>
          <cell r="G308" t="str">
            <v>Intermediate</v>
          </cell>
          <cell r="H308" t="str">
            <v>Infusion Pumps, Syringe</v>
          </cell>
          <cell r="I308" t="str">
            <v>PUMP SYRINGE BASIC DOSE RATE (STAND ALONE)</v>
          </cell>
          <cell r="J308" t="str">
            <v>13-217</v>
          </cell>
          <cell r="K308" t="str">
            <v>FRESENIUS KABI</v>
          </cell>
          <cell r="L308" t="str">
            <v>INJECTOMAT MC AGILIA</v>
          </cell>
          <cell r="M308">
            <v>22231728</v>
          </cell>
          <cell r="N308" t="str">
            <v>PEDIATRIK</v>
          </cell>
          <cell r="O308" t="str">
            <v>Unit Rawatan Rapi Neonatal (NICU)</v>
          </cell>
          <cell r="P308" t="str">
            <v>HM</v>
          </cell>
          <cell r="Q308">
            <v>4300</v>
          </cell>
        </row>
        <row r="309">
          <cell r="E309" t="str">
            <v>KKM/JKN/HSA/10-05-01/H/15/771</v>
          </cell>
          <cell r="F309" t="str">
            <v>Therapeutic</v>
          </cell>
          <cell r="G309" t="str">
            <v>Intermediate</v>
          </cell>
          <cell r="H309" t="str">
            <v>Infusion Pumps, Syringe</v>
          </cell>
          <cell r="I309" t="str">
            <v>PUMP SYRINGE BASIC DOSE RATE (STAND ALONE)</v>
          </cell>
          <cell r="J309" t="str">
            <v>13-217</v>
          </cell>
          <cell r="K309" t="str">
            <v>FRESENIUS KABI</v>
          </cell>
          <cell r="L309" t="str">
            <v>INJECTOMAT MC AGILIA</v>
          </cell>
          <cell r="M309">
            <v>22233777</v>
          </cell>
          <cell r="N309" t="str">
            <v>PEDIATRIK</v>
          </cell>
          <cell r="O309" t="str">
            <v>Unit Rawatan Rapi Neonatal (NICU)</v>
          </cell>
          <cell r="P309" t="str">
            <v>HM</v>
          </cell>
          <cell r="Q309">
            <v>4300</v>
          </cell>
        </row>
        <row r="310">
          <cell r="E310" t="str">
            <v>KKM/JKN/HSA/10-05-01/H/15/773</v>
          </cell>
          <cell r="F310" t="str">
            <v>Therapeutic</v>
          </cell>
          <cell r="G310" t="str">
            <v>Intermediate</v>
          </cell>
          <cell r="H310" t="str">
            <v>Infusion Pumps, Syringe</v>
          </cell>
          <cell r="I310" t="str">
            <v>PUMP SYRINGE BASIC DOSE RATE (STAND ALONE)</v>
          </cell>
          <cell r="J310" t="str">
            <v>13-217</v>
          </cell>
          <cell r="K310" t="str">
            <v>FRESENIUS KABI</v>
          </cell>
          <cell r="L310" t="str">
            <v>INJECTOMAT MC AGILIA</v>
          </cell>
          <cell r="M310">
            <v>22233630</v>
          </cell>
          <cell r="N310" t="str">
            <v>PEDIATRIK</v>
          </cell>
          <cell r="O310" t="str">
            <v>Unit Rawatan Rapi Neonatal (NICU)</v>
          </cell>
          <cell r="P310" t="str">
            <v>HM</v>
          </cell>
          <cell r="Q310">
            <v>4300</v>
          </cell>
        </row>
        <row r="311">
          <cell r="E311" t="str">
            <v>KKM/JKN/HSA/10-05-01/H/15/774</v>
          </cell>
          <cell r="F311" t="str">
            <v>Therapeutic</v>
          </cell>
          <cell r="G311" t="str">
            <v>Intermediate</v>
          </cell>
          <cell r="H311" t="str">
            <v>Infusion Pumps, Syringe</v>
          </cell>
          <cell r="I311" t="str">
            <v>PUMP SYRINGE BASIC DOSE RATE (STAND ALONE)</v>
          </cell>
          <cell r="J311" t="str">
            <v>13-217</v>
          </cell>
          <cell r="K311" t="str">
            <v>FRESENIUS KABI</v>
          </cell>
          <cell r="L311" t="str">
            <v>INJECTOMAT MC AGILIA</v>
          </cell>
          <cell r="M311">
            <v>2233622</v>
          </cell>
          <cell r="N311" t="str">
            <v>PEDIATRIK</v>
          </cell>
          <cell r="O311" t="str">
            <v>Unit Rawatan Rapi Neonatal (NICU)</v>
          </cell>
          <cell r="P311" t="str">
            <v>HM</v>
          </cell>
          <cell r="Q311">
            <v>4300</v>
          </cell>
        </row>
        <row r="312">
          <cell r="E312" t="str">
            <v>KKM/JKN/HSA/10-05-01/H/15/776</v>
          </cell>
          <cell r="F312" t="str">
            <v>Therapeutic</v>
          </cell>
          <cell r="G312" t="str">
            <v>Intermediate</v>
          </cell>
          <cell r="H312" t="str">
            <v>Infusion Pumps, Syringe</v>
          </cell>
          <cell r="I312" t="str">
            <v>PUMP SYRINGE BASIC DOSE RATE (STAND ALONE)</v>
          </cell>
          <cell r="J312" t="str">
            <v>13-217</v>
          </cell>
          <cell r="K312" t="str">
            <v>FRESENIUS KABI</v>
          </cell>
          <cell r="L312" t="str">
            <v>INJECTOMAT MC AGILIA</v>
          </cell>
          <cell r="M312">
            <v>22233797</v>
          </cell>
          <cell r="N312" t="str">
            <v>PEDIATRIK</v>
          </cell>
          <cell r="O312" t="str">
            <v>Unit Rawatan Rapi Neonatal (NICU)</v>
          </cell>
          <cell r="P312" t="str">
            <v>HM</v>
          </cell>
          <cell r="Q312">
            <v>4300</v>
          </cell>
        </row>
        <row r="313">
          <cell r="E313" t="str">
            <v>KKM/JKN/HSA/10-05-01/H/15/778</v>
          </cell>
          <cell r="F313" t="str">
            <v>Therapeutic</v>
          </cell>
          <cell r="G313" t="str">
            <v>Intermediate</v>
          </cell>
          <cell r="H313" t="str">
            <v>Infusion Pumps, Syringe</v>
          </cell>
          <cell r="I313" t="str">
            <v>PUMP SYRINGE BASIC DOSE RATE (STAND ALONE)</v>
          </cell>
          <cell r="J313" t="str">
            <v>13-217</v>
          </cell>
          <cell r="K313" t="str">
            <v>FRESENIUS KABI</v>
          </cell>
          <cell r="L313" t="str">
            <v>INJECTOMAT MC AGILIA</v>
          </cell>
          <cell r="M313">
            <v>22231690</v>
          </cell>
          <cell r="N313" t="str">
            <v>PEDIATRIK</v>
          </cell>
          <cell r="O313" t="str">
            <v>Unit Rawatan Rapi Neonatal (NICU)</v>
          </cell>
          <cell r="P313" t="str">
            <v>HM</v>
          </cell>
          <cell r="Q313">
            <v>4300</v>
          </cell>
        </row>
        <row r="314">
          <cell r="E314" t="str">
            <v>KKM/JKN/HSA/10-05-01/H/15/780</v>
          </cell>
          <cell r="F314" t="str">
            <v>Therapeutic</v>
          </cell>
          <cell r="G314" t="str">
            <v>Intermediate</v>
          </cell>
          <cell r="H314" t="str">
            <v>Infusion Pumps, Syringe</v>
          </cell>
          <cell r="I314" t="str">
            <v>PUMP SYRINGE BASIC DOSE RATE (STAND ALONE)</v>
          </cell>
          <cell r="J314" t="str">
            <v>13-217</v>
          </cell>
          <cell r="K314" t="str">
            <v>FRESENIUS KABI</v>
          </cell>
          <cell r="L314" t="str">
            <v>INJECTOMAT MC AGILIA</v>
          </cell>
          <cell r="M314">
            <v>22231707</v>
          </cell>
          <cell r="N314" t="str">
            <v>PEDIATRIK</v>
          </cell>
          <cell r="O314" t="str">
            <v>Unit Rawatan Rapi Neonatal (NICU)</v>
          </cell>
          <cell r="P314" t="str">
            <v>HM</v>
          </cell>
          <cell r="Q314">
            <v>4300</v>
          </cell>
        </row>
        <row r="315">
          <cell r="E315" t="str">
            <v>KKM/JKN/HSA/10-05-01/H/15/781</v>
          </cell>
          <cell r="F315" t="str">
            <v>Therapeutic</v>
          </cell>
          <cell r="G315" t="str">
            <v>Intermediate</v>
          </cell>
          <cell r="H315" t="str">
            <v>Infusion Pumps, Syringe</v>
          </cell>
          <cell r="I315" t="str">
            <v>PUMP SYRINGE BASIC DOSE RATE (STAND ALONE)</v>
          </cell>
          <cell r="J315" t="str">
            <v>13-217</v>
          </cell>
          <cell r="K315" t="str">
            <v>FRESENIUS KABI</v>
          </cell>
          <cell r="L315" t="str">
            <v>INJECTOMAT MC AGILIA</v>
          </cell>
          <cell r="M315">
            <v>22230693</v>
          </cell>
          <cell r="N315" t="str">
            <v>PEDIATRIK</v>
          </cell>
          <cell r="O315" t="str">
            <v>Unit Rawatan Rapi Neonatal (NICU)</v>
          </cell>
          <cell r="P315" t="str">
            <v>HM</v>
          </cell>
          <cell r="Q315">
            <v>4300</v>
          </cell>
        </row>
        <row r="316">
          <cell r="E316" t="str">
            <v>KKM/JKN/HSA/10-05-01/H/15/783</v>
          </cell>
          <cell r="F316" t="str">
            <v>Therapeutic</v>
          </cell>
          <cell r="G316" t="str">
            <v>Intermediate</v>
          </cell>
          <cell r="H316" t="str">
            <v>Infusion Pumps, Syringe</v>
          </cell>
          <cell r="I316" t="str">
            <v>PUMP SYRINGE BASIC DOSE RATE (STAND ALONE)</v>
          </cell>
          <cell r="J316" t="str">
            <v>13-217</v>
          </cell>
          <cell r="K316" t="str">
            <v>FRESENIUS KABI</v>
          </cell>
          <cell r="L316" t="str">
            <v>INJECTOMAT MC AGILIA</v>
          </cell>
          <cell r="M316">
            <v>22233625</v>
          </cell>
          <cell r="N316" t="str">
            <v>PEDIATRIK</v>
          </cell>
          <cell r="O316" t="str">
            <v>Unit Rawatan Rapi Neonatal (NICU)</v>
          </cell>
          <cell r="P316" t="str">
            <v>HM</v>
          </cell>
          <cell r="Q316">
            <v>4300</v>
          </cell>
        </row>
        <row r="317">
          <cell r="E317" t="str">
            <v>KKM/JKN/HSA/10-05-01/H/15/785</v>
          </cell>
          <cell r="F317" t="str">
            <v>Therapeutic</v>
          </cell>
          <cell r="G317" t="str">
            <v>Intermediate</v>
          </cell>
          <cell r="H317" t="str">
            <v>Infusion Pumps, Syringe</v>
          </cell>
          <cell r="I317" t="str">
            <v>PUMP SYRINGE BASIC DOSE RATE (STAND ALONE)</v>
          </cell>
          <cell r="J317" t="str">
            <v>13-217</v>
          </cell>
          <cell r="K317" t="str">
            <v>FRESENIUS KABI</v>
          </cell>
          <cell r="L317" t="str">
            <v>INJECTOMAT MC AGILIA</v>
          </cell>
          <cell r="M317">
            <v>22231727</v>
          </cell>
          <cell r="N317" t="str">
            <v>PEDIATRIK</v>
          </cell>
          <cell r="O317" t="str">
            <v>Unit Rawatan Rapi Neonatal (NICU)</v>
          </cell>
          <cell r="P317" t="str">
            <v>HM</v>
          </cell>
          <cell r="Q317">
            <v>4300</v>
          </cell>
        </row>
        <row r="318">
          <cell r="E318" t="str">
            <v>KKM/JKN/HSA/10-05-01/H/15/788</v>
          </cell>
          <cell r="F318" t="str">
            <v>Therapeutic</v>
          </cell>
          <cell r="G318" t="str">
            <v>Intermediate</v>
          </cell>
          <cell r="H318" t="str">
            <v>Infusion Pumps, Syringe</v>
          </cell>
          <cell r="I318" t="str">
            <v>PUMP SYRINGE BASIC DOSE RATE (STAND ALONE)</v>
          </cell>
          <cell r="J318" t="str">
            <v>13-217</v>
          </cell>
          <cell r="K318" t="str">
            <v>FRESENIUS KABI</v>
          </cell>
          <cell r="L318" t="str">
            <v>INJECTOMAT MC AGILIA</v>
          </cell>
          <cell r="M318">
            <v>22231729</v>
          </cell>
          <cell r="N318" t="str">
            <v>PEDIATRIK</v>
          </cell>
          <cell r="O318" t="str">
            <v>Unit Rawatan Rapi Neonatal (NICU)</v>
          </cell>
          <cell r="P318" t="str">
            <v>HM</v>
          </cell>
          <cell r="Q318">
            <v>4300</v>
          </cell>
        </row>
        <row r="319">
          <cell r="E319" t="str">
            <v>KKM/JKN/HSA/10-05-01/H/15/790</v>
          </cell>
          <cell r="F319" t="str">
            <v>Therapeutic</v>
          </cell>
          <cell r="G319" t="str">
            <v>Intermediate</v>
          </cell>
          <cell r="H319" t="str">
            <v>Infusion Pumps, Syringe</v>
          </cell>
          <cell r="I319" t="str">
            <v>PUMP SYRINGE BASIC DOSE RATE (STAND ALONE)</v>
          </cell>
          <cell r="J319" t="str">
            <v>13-217</v>
          </cell>
          <cell r="K319" t="str">
            <v>FRESENIUS KABI</v>
          </cell>
          <cell r="L319" t="str">
            <v>INJECTOMAT MC AGILIA</v>
          </cell>
          <cell r="M319">
            <v>22233633</v>
          </cell>
          <cell r="N319" t="str">
            <v>PEDIATRIK</v>
          </cell>
          <cell r="O319" t="str">
            <v>Unit Rawatan Rapi Neonatal (NICU)</v>
          </cell>
          <cell r="P319" t="str">
            <v>HM</v>
          </cell>
          <cell r="Q319">
            <v>4300</v>
          </cell>
        </row>
        <row r="320">
          <cell r="E320" t="str">
            <v>KKM/JKN/HSA/10-05-01/H/15/792</v>
          </cell>
          <cell r="F320" t="str">
            <v>Therapeutic</v>
          </cell>
          <cell r="G320" t="str">
            <v>Intermediate</v>
          </cell>
          <cell r="H320" t="str">
            <v>Infusion Pumps, Syringe</v>
          </cell>
          <cell r="I320" t="str">
            <v>PUMP SYRINGE BASIC DOSE RATE (STAND ALONE)</v>
          </cell>
          <cell r="J320" t="str">
            <v>13-217</v>
          </cell>
          <cell r="K320" t="str">
            <v>FRESENIUS KABI</v>
          </cell>
          <cell r="L320" t="str">
            <v>INJECTOMAT MC AGILIA</v>
          </cell>
          <cell r="M320">
            <v>22231721</v>
          </cell>
          <cell r="N320" t="str">
            <v>PEDIATRIK</v>
          </cell>
          <cell r="O320" t="str">
            <v>Unit Rawatan Rapi Neonatal (NICU)</v>
          </cell>
          <cell r="P320" t="str">
            <v>HM</v>
          </cell>
          <cell r="Q320">
            <v>4300</v>
          </cell>
        </row>
        <row r="321">
          <cell r="E321" t="str">
            <v>KKM/JKN/HSA/10-05-01/H/15/793</v>
          </cell>
          <cell r="F321" t="str">
            <v>Therapeutic</v>
          </cell>
          <cell r="G321" t="str">
            <v>Intermediate</v>
          </cell>
          <cell r="H321" t="str">
            <v>Infusion Pumps, Syringe</v>
          </cell>
          <cell r="I321" t="str">
            <v>PUMP SYRINGE BASIC DOSE RATE (STAND ALONE)</v>
          </cell>
          <cell r="J321" t="str">
            <v>13-217</v>
          </cell>
          <cell r="K321" t="str">
            <v>FRESENIUS KABI</v>
          </cell>
          <cell r="L321" t="str">
            <v>INJECTOMAT MC AGILIA</v>
          </cell>
          <cell r="M321">
            <v>22233763</v>
          </cell>
          <cell r="N321" t="str">
            <v>PEDIATRIK</v>
          </cell>
          <cell r="O321" t="str">
            <v>Unit Rawatan Rapi Neonatal (NICU)</v>
          </cell>
          <cell r="P321" t="str">
            <v>HM</v>
          </cell>
          <cell r="Q321">
            <v>4300</v>
          </cell>
        </row>
        <row r="322">
          <cell r="E322" t="str">
            <v>KKM/JKN/HSA/10-05-01/H/15/794</v>
          </cell>
          <cell r="F322" t="str">
            <v>Therapeutic</v>
          </cell>
          <cell r="G322" t="str">
            <v>Intermediate</v>
          </cell>
          <cell r="H322" t="str">
            <v>Infusion Pumps, Syringe</v>
          </cell>
          <cell r="I322" t="str">
            <v>PUMP SYRINGE BASIC DOSE RATE (STAND ALONE)</v>
          </cell>
          <cell r="J322" t="str">
            <v>13-217</v>
          </cell>
          <cell r="K322" t="str">
            <v>FRESENIUS KABI</v>
          </cell>
          <cell r="L322" t="str">
            <v>INJECTOMAT MC AGILIA</v>
          </cell>
          <cell r="M322">
            <v>22233774</v>
          </cell>
          <cell r="N322" t="str">
            <v>PEDIATRIK</v>
          </cell>
          <cell r="O322" t="str">
            <v>Unit Rawatan Rapi Neonatal (NICU)</v>
          </cell>
          <cell r="P322" t="str">
            <v>HM</v>
          </cell>
          <cell r="Q322">
            <v>4300</v>
          </cell>
        </row>
        <row r="323">
          <cell r="E323" t="str">
            <v>KKM/JKN/HSA/10-05-01/H/15/795</v>
          </cell>
          <cell r="F323" t="str">
            <v>Therapeutic</v>
          </cell>
          <cell r="G323" t="str">
            <v>Intermediate</v>
          </cell>
          <cell r="H323" t="str">
            <v>Infusion Pumps, Syringe</v>
          </cell>
          <cell r="I323" t="str">
            <v>PUMP SYRINGE BASIC DOSE RATE (STAND ALONE)</v>
          </cell>
          <cell r="J323" t="str">
            <v>13-217</v>
          </cell>
          <cell r="K323" t="str">
            <v>FRESENIUS KABI</v>
          </cell>
          <cell r="L323" t="str">
            <v>INJECTOMAT MC AGILIA</v>
          </cell>
          <cell r="M323">
            <v>22231699</v>
          </cell>
          <cell r="N323" t="str">
            <v>PEDIATRIK</v>
          </cell>
          <cell r="O323" t="str">
            <v>Unit Rawatan Rapi Neonatal (NICU)</v>
          </cell>
          <cell r="P323" t="str">
            <v>HM</v>
          </cell>
          <cell r="Q323">
            <v>4300</v>
          </cell>
        </row>
        <row r="324">
          <cell r="E324" t="str">
            <v>KKM/JKN/HSA/10-05-01/H/15/796</v>
          </cell>
          <cell r="F324" t="str">
            <v>Therapeutic</v>
          </cell>
          <cell r="G324" t="str">
            <v>Intermediate</v>
          </cell>
          <cell r="H324" t="str">
            <v>Infusion Pumps, Syringe</v>
          </cell>
          <cell r="I324" t="str">
            <v>PUMP SYRINGE BASIC DOSE RATE (STAND ALONE)</v>
          </cell>
          <cell r="J324" t="str">
            <v>13-217</v>
          </cell>
          <cell r="K324" t="str">
            <v>FRESENIUS KABI</v>
          </cell>
          <cell r="L324" t="str">
            <v>INJECTOMAT MC AGILIA</v>
          </cell>
          <cell r="M324">
            <v>22231719</v>
          </cell>
          <cell r="N324" t="str">
            <v>PEDIATRIK</v>
          </cell>
          <cell r="O324" t="str">
            <v>Unit Rawatan Rapi Neonatal (NICU)</v>
          </cell>
          <cell r="P324" t="str">
            <v>HM</v>
          </cell>
          <cell r="Q324">
            <v>4300</v>
          </cell>
        </row>
        <row r="325">
          <cell r="E325" t="str">
            <v>KKM/JKN/HSA/10-05-01/H/15/797</v>
          </cell>
          <cell r="F325" t="str">
            <v>Therapeutic</v>
          </cell>
          <cell r="G325" t="str">
            <v>Intermediate</v>
          </cell>
          <cell r="H325" t="str">
            <v>Infusion Pumps, Syringe</v>
          </cell>
          <cell r="I325" t="str">
            <v>PUMP SYRINGE BASIC DOSE RATE (STAND ALONE)</v>
          </cell>
          <cell r="J325" t="str">
            <v>13-217</v>
          </cell>
          <cell r="K325" t="str">
            <v>FRESENIUS KABI</v>
          </cell>
          <cell r="L325" t="str">
            <v>INJECTOMAT MC AGILIA</v>
          </cell>
          <cell r="M325">
            <v>22231729</v>
          </cell>
          <cell r="N325" t="str">
            <v>PEDIATRIK</v>
          </cell>
          <cell r="O325" t="str">
            <v>Unit Rawatan Rapi Neonatal (NICU)</v>
          </cell>
          <cell r="P325" t="str">
            <v>HM</v>
          </cell>
          <cell r="Q325">
            <v>4300</v>
          </cell>
        </row>
        <row r="326">
          <cell r="E326" t="str">
            <v>KKM/JKN/HSA/10-05-01/H/15/798</v>
          </cell>
          <cell r="F326" t="str">
            <v>Therapeutic</v>
          </cell>
          <cell r="G326" t="str">
            <v>Intermediate</v>
          </cell>
          <cell r="H326" t="str">
            <v>Infusion Pumps, Syringe</v>
          </cell>
          <cell r="I326" t="str">
            <v>PUMP SYRINGE BASIC DOSE RATE (STAND ALONE)</v>
          </cell>
          <cell r="J326" t="str">
            <v>13-217</v>
          </cell>
          <cell r="K326" t="str">
            <v>FRESENIUS KABI</v>
          </cell>
          <cell r="L326" t="str">
            <v>INJECTOMAT MC AGILIA</v>
          </cell>
          <cell r="M326">
            <v>22231708</v>
          </cell>
          <cell r="N326" t="str">
            <v>PEDIATRIK</v>
          </cell>
          <cell r="O326" t="str">
            <v>Unit Rawatan Rapi Neonatal (NICU)</v>
          </cell>
          <cell r="P326" t="str">
            <v>HM</v>
          </cell>
          <cell r="Q326">
            <v>4300</v>
          </cell>
        </row>
        <row r="327">
          <cell r="E327" t="str">
            <v>KKM/JKN/HSA/10-05-01/H/15/799</v>
          </cell>
          <cell r="F327" t="str">
            <v>Therapeutic</v>
          </cell>
          <cell r="G327" t="str">
            <v>Intermediate</v>
          </cell>
          <cell r="H327" t="str">
            <v>Infusion Pumps, Syringe</v>
          </cell>
          <cell r="I327" t="str">
            <v>PUMP SYRINGE BASIC DOSE RATE (STAND ALONE)</v>
          </cell>
          <cell r="J327" t="str">
            <v>13-217</v>
          </cell>
          <cell r="K327" t="str">
            <v>FRESENIUS KABI</v>
          </cell>
          <cell r="L327" t="str">
            <v>INJECTOMAT MC AGILIA</v>
          </cell>
          <cell r="M327">
            <v>22231571</v>
          </cell>
          <cell r="N327" t="str">
            <v>PEDIATRIK</v>
          </cell>
          <cell r="O327" t="str">
            <v>Unit Rawatan Rapi Neonatal (NICU)</v>
          </cell>
          <cell r="P327" t="str">
            <v>HM</v>
          </cell>
          <cell r="Q327">
            <v>4300</v>
          </cell>
        </row>
        <row r="328">
          <cell r="E328" t="str">
            <v>KKM/JKN/HSA/10-05-01/H/15/800</v>
          </cell>
          <cell r="F328" t="str">
            <v>Therapeutic</v>
          </cell>
          <cell r="G328" t="str">
            <v>Intermediate</v>
          </cell>
          <cell r="H328" t="str">
            <v>Infusion Pumps, Syringe</v>
          </cell>
          <cell r="I328" t="str">
            <v>PUMP SYRINGE BASIC DOSE RATE (STAND ALONE)</v>
          </cell>
          <cell r="J328" t="str">
            <v>13-217</v>
          </cell>
          <cell r="K328" t="str">
            <v>FRESENIUS KABI</v>
          </cell>
          <cell r="L328" t="str">
            <v>INJECTOMAT MC AGILIA</v>
          </cell>
          <cell r="M328">
            <v>22233634</v>
          </cell>
          <cell r="N328" t="str">
            <v>PEDIATRIK</v>
          </cell>
          <cell r="O328" t="str">
            <v>Unit Rawatan Rapi Neonatal (NICU)</v>
          </cell>
          <cell r="P328" t="str">
            <v>HM</v>
          </cell>
          <cell r="Q328">
            <v>4300</v>
          </cell>
        </row>
        <row r="329">
          <cell r="E329" t="str">
            <v>KKM/JKN/HSA/10-05-01/H/15/801</v>
          </cell>
          <cell r="F329" t="str">
            <v>Therapeutic</v>
          </cell>
          <cell r="G329" t="str">
            <v>Intermediate</v>
          </cell>
          <cell r="H329" t="str">
            <v>Infusion Pumps, Syringe</v>
          </cell>
          <cell r="I329" t="str">
            <v>PUMP SYRINGE BASIC DOSE RATE (STAND ALONE)</v>
          </cell>
          <cell r="J329" t="str">
            <v>13-217</v>
          </cell>
          <cell r="K329" t="str">
            <v>FRESENIUS KABI</v>
          </cell>
          <cell r="L329" t="str">
            <v>INJECTOMAT MC AGILIA</v>
          </cell>
          <cell r="M329">
            <v>22231671</v>
          </cell>
          <cell r="N329" t="str">
            <v>PEDIATRIK</v>
          </cell>
          <cell r="O329" t="str">
            <v>Unit Rawatan Rapi Neonatal (NICU)</v>
          </cell>
          <cell r="P329" t="str">
            <v>HM</v>
          </cell>
          <cell r="Q329">
            <v>4300</v>
          </cell>
        </row>
        <row r="330">
          <cell r="E330" t="str">
            <v>KKM/JKN/HSA/10-05-01/H/15/802</v>
          </cell>
          <cell r="F330" t="str">
            <v>Therapeutic</v>
          </cell>
          <cell r="G330" t="str">
            <v>Intermediate</v>
          </cell>
          <cell r="H330" t="str">
            <v>Infusion Pumps, Syringe</v>
          </cell>
          <cell r="I330" t="str">
            <v>PUMP SYRINGE BASIC DOSE RATE (STAND ALONE)</v>
          </cell>
          <cell r="J330" t="str">
            <v>13-217</v>
          </cell>
          <cell r="K330" t="str">
            <v>FRESENIUS KABI</v>
          </cell>
          <cell r="L330" t="str">
            <v>INJECTOMAT MC AGILIA</v>
          </cell>
          <cell r="M330">
            <v>22233626</v>
          </cell>
          <cell r="N330" t="str">
            <v>PEDIATRIK</v>
          </cell>
          <cell r="O330" t="str">
            <v>Unit Rawatan Rapi Neonatal (NICU)</v>
          </cell>
          <cell r="P330" t="str">
            <v>HM</v>
          </cell>
          <cell r="Q330">
            <v>4300</v>
          </cell>
        </row>
        <row r="331">
          <cell r="E331" t="str">
            <v>KKM/JKN/HSA/10-05-01/H/15/803</v>
          </cell>
          <cell r="F331" t="str">
            <v>Therapeutic</v>
          </cell>
          <cell r="G331" t="str">
            <v>Intermediate</v>
          </cell>
          <cell r="H331" t="str">
            <v>Infusion Pumps, Syringe</v>
          </cell>
          <cell r="I331" t="str">
            <v>PUMP SYRINGE BASIC DOSE RATE (STAND ALONE)</v>
          </cell>
          <cell r="J331" t="str">
            <v>13-217</v>
          </cell>
          <cell r="K331" t="str">
            <v>FRESENIUS KABI</v>
          </cell>
          <cell r="L331" t="str">
            <v>INJECTOMAT MC AGILIA</v>
          </cell>
          <cell r="M331">
            <v>22233638</v>
          </cell>
          <cell r="N331" t="str">
            <v>PEDIATRIK</v>
          </cell>
          <cell r="O331" t="str">
            <v>Unit Rawatan Rapi Neonatal (NICU)</v>
          </cell>
          <cell r="P331" t="str">
            <v>HM</v>
          </cell>
          <cell r="Q331">
            <v>4300</v>
          </cell>
        </row>
        <row r="332">
          <cell r="E332" t="str">
            <v>KKM/JKN/HSA/10-05-01/H/15/804</v>
          </cell>
          <cell r="F332" t="str">
            <v>Therapeutic</v>
          </cell>
          <cell r="G332" t="str">
            <v>Intermediate</v>
          </cell>
          <cell r="H332" t="str">
            <v>Infusion Pumps, Syringe</v>
          </cell>
          <cell r="I332" t="str">
            <v>PUMP SYRINGE BASIC DOSE RATE (STAND ALONE)</v>
          </cell>
          <cell r="J332" t="str">
            <v>13-217</v>
          </cell>
          <cell r="K332" t="str">
            <v>FRESENIUS KABI</v>
          </cell>
          <cell r="L332" t="str">
            <v>INJECTOMAT MC AGILIA</v>
          </cell>
          <cell r="M332">
            <v>22231727</v>
          </cell>
          <cell r="N332" t="str">
            <v>PEDIATRIK</v>
          </cell>
          <cell r="O332" t="str">
            <v>Unit Rawatan Rapi Neonatal (NICU)</v>
          </cell>
          <cell r="P332" t="str">
            <v>HM</v>
          </cell>
          <cell r="Q332">
            <v>4300</v>
          </cell>
        </row>
        <row r="333">
          <cell r="E333" t="str">
            <v>KKM/JKN/HSA/10-05-01/H/15/805</v>
          </cell>
          <cell r="F333" t="str">
            <v>Therapeutic</v>
          </cell>
          <cell r="G333" t="str">
            <v>Intermediate</v>
          </cell>
          <cell r="H333" t="str">
            <v>Infusion Pumps, Syringe</v>
          </cell>
          <cell r="I333" t="str">
            <v>PUMP SYRINGE BASIC DOSE RATE (STAND ALONE)</v>
          </cell>
          <cell r="J333" t="str">
            <v>13-217</v>
          </cell>
          <cell r="K333" t="str">
            <v>FRESENIUS KABI</v>
          </cell>
          <cell r="L333" t="str">
            <v>INJECTOMAT MC AGILIA</v>
          </cell>
          <cell r="M333">
            <v>22231709</v>
          </cell>
          <cell r="N333" t="str">
            <v>PEDIATRIK</v>
          </cell>
          <cell r="O333" t="str">
            <v>Unit Rawatan Rapi Neonatal (NICU)</v>
          </cell>
          <cell r="P333" t="str">
            <v>HM</v>
          </cell>
          <cell r="Q333">
            <v>4300</v>
          </cell>
        </row>
        <row r="334">
          <cell r="E334" t="str">
            <v>KKM/JKN/HSA/10-05-01/H/15/806</v>
          </cell>
          <cell r="F334" t="str">
            <v>Therapeutic</v>
          </cell>
          <cell r="G334" t="str">
            <v>Intermediate</v>
          </cell>
          <cell r="H334" t="str">
            <v>Infusion Pumps, Syringe</v>
          </cell>
          <cell r="I334" t="str">
            <v>PUMP SYRINGE BASIC DOSE RATE (STAND ALONE)</v>
          </cell>
          <cell r="J334" t="str">
            <v>13-217</v>
          </cell>
          <cell r="K334" t="str">
            <v>FRESENIUS KABI</v>
          </cell>
          <cell r="L334" t="str">
            <v>INJECTOMAT MC AGILIA</v>
          </cell>
          <cell r="M334">
            <v>22233787</v>
          </cell>
          <cell r="N334" t="str">
            <v>PEDIATRIK</v>
          </cell>
          <cell r="O334" t="str">
            <v>Unit Rawatan Rapi Neonatal (NICU)</v>
          </cell>
          <cell r="P334" t="str">
            <v>HM</v>
          </cell>
          <cell r="Q334">
            <v>4300</v>
          </cell>
        </row>
        <row r="335">
          <cell r="E335" t="str">
            <v>KKM/JKN/HSA/10-05-01/H/15/807</v>
          </cell>
          <cell r="F335" t="str">
            <v>Therapeutic</v>
          </cell>
          <cell r="G335" t="str">
            <v>Intermediate</v>
          </cell>
          <cell r="H335" t="str">
            <v>Infusion Pumps, Syringe</v>
          </cell>
          <cell r="I335" t="str">
            <v>PUMP SYRINGE BASIC DOSE RATE (STAND ALONE)</v>
          </cell>
          <cell r="J335" t="str">
            <v>13-217</v>
          </cell>
          <cell r="K335" t="str">
            <v>FRESENIUS KABI</v>
          </cell>
          <cell r="L335" t="str">
            <v>INJECTOMAT MC AGILIA</v>
          </cell>
          <cell r="M335">
            <v>22233624</v>
          </cell>
          <cell r="N335" t="str">
            <v>PEDIATRIK</v>
          </cell>
          <cell r="O335" t="str">
            <v>Unit Rawatan Rapi Neonatal (NICU)</v>
          </cell>
          <cell r="P335" t="str">
            <v>HM</v>
          </cell>
          <cell r="Q335">
            <v>4300</v>
          </cell>
        </row>
        <row r="336">
          <cell r="E336" t="str">
            <v>KKM/JKN/HSA/10-05-01/H/15/808</v>
          </cell>
          <cell r="F336" t="str">
            <v>Therapeutic</v>
          </cell>
          <cell r="G336" t="str">
            <v>Intermediate</v>
          </cell>
          <cell r="H336" t="str">
            <v>Infusion Pumps, Syringe</v>
          </cell>
          <cell r="I336" t="str">
            <v>PUMP SYRINGE BASIC DOSE RATE (STAND ALONE)</v>
          </cell>
          <cell r="J336" t="str">
            <v>13-217</v>
          </cell>
          <cell r="K336" t="str">
            <v>FRESENIUS KABI</v>
          </cell>
          <cell r="L336" t="str">
            <v>INJECTOMAT MC AGILIA</v>
          </cell>
          <cell r="M336">
            <v>22231710</v>
          </cell>
          <cell r="N336" t="str">
            <v>PEDIATRIK</v>
          </cell>
          <cell r="O336" t="str">
            <v>Unit Rawatan Rapi Neonatal (NICU)</v>
          </cell>
          <cell r="P336" t="str">
            <v>HM</v>
          </cell>
          <cell r="Q336">
            <v>4300</v>
          </cell>
        </row>
        <row r="337">
          <cell r="E337" t="str">
            <v>KKM/JKN/HSA/10-05-01/H/15/809</v>
          </cell>
          <cell r="F337" t="str">
            <v>Therapeutic</v>
          </cell>
          <cell r="G337" t="str">
            <v>Intermediate</v>
          </cell>
          <cell r="H337" t="str">
            <v>Infusion Pumps, Syringe</v>
          </cell>
          <cell r="I337" t="str">
            <v>PUMP SYRINGE BASIC DOSE RATE (STAND ALONE)</v>
          </cell>
          <cell r="J337" t="str">
            <v>13-217</v>
          </cell>
          <cell r="K337" t="str">
            <v>FRESENIUS KABI</v>
          </cell>
          <cell r="L337" t="str">
            <v>INJECTOMAT MC AGILIA</v>
          </cell>
          <cell r="M337">
            <v>22233768</v>
          </cell>
          <cell r="N337" t="str">
            <v>PEDIATRIK</v>
          </cell>
          <cell r="O337" t="str">
            <v>Unit Rawatan Rapi Neonatal (NICU)</v>
          </cell>
          <cell r="P337" t="str">
            <v>HM</v>
          </cell>
          <cell r="Q337">
            <v>4300</v>
          </cell>
        </row>
        <row r="338">
          <cell r="E338" t="str">
            <v>KKM/JKN/HSA/10-05-01/H/15/810</v>
          </cell>
          <cell r="F338" t="str">
            <v>Therapeutic</v>
          </cell>
          <cell r="G338" t="str">
            <v>Intermediate</v>
          </cell>
          <cell r="H338" t="str">
            <v>Infusion Pumps, Syringe</v>
          </cell>
          <cell r="I338" t="str">
            <v>PUMP SYRINGE BASIC DOSE RATE (STAND ALONE)</v>
          </cell>
          <cell r="J338" t="str">
            <v>13-217</v>
          </cell>
          <cell r="K338" t="str">
            <v>FRESENIUS KABI</v>
          </cell>
          <cell r="L338" t="str">
            <v>INJECTOMAT MC AGILIA</v>
          </cell>
          <cell r="M338">
            <v>22231718</v>
          </cell>
          <cell r="N338" t="str">
            <v>PEDIATRIK</v>
          </cell>
          <cell r="O338" t="str">
            <v>Unit Rawatan Rapi Neonatal (NICU)</v>
          </cell>
          <cell r="P338" t="str">
            <v>HM</v>
          </cell>
          <cell r="Q338">
            <v>4300</v>
          </cell>
        </row>
        <row r="339">
          <cell r="E339" t="str">
            <v>KKM/JKN/HSA/10-05-01/H/15/811</v>
          </cell>
          <cell r="F339" t="str">
            <v>Therapeutic</v>
          </cell>
          <cell r="G339" t="str">
            <v>Intermediate</v>
          </cell>
          <cell r="H339" t="str">
            <v>Infusion Pumps, Syringe</v>
          </cell>
          <cell r="I339" t="str">
            <v>PUMP SYRINGE BASIC DOSE RATE (STAND ALONE)</v>
          </cell>
          <cell r="J339" t="str">
            <v>13-217</v>
          </cell>
          <cell r="K339" t="str">
            <v>FRESENIUS KABI</v>
          </cell>
          <cell r="L339" t="str">
            <v>INJECTOMAT MC AGILIA</v>
          </cell>
          <cell r="M339">
            <v>22233671</v>
          </cell>
          <cell r="N339" t="str">
            <v>PEDIATRIK</v>
          </cell>
          <cell r="O339" t="str">
            <v>Unit Rawatan Rapi Neonatal (NICU)</v>
          </cell>
          <cell r="P339" t="str">
            <v>HM</v>
          </cell>
          <cell r="Q339">
            <v>4300</v>
          </cell>
        </row>
        <row r="340">
          <cell r="E340" t="str">
            <v>KKM/JKN/HSA/10-05-01/H/15/812</v>
          </cell>
          <cell r="F340" t="str">
            <v>Therapeutic</v>
          </cell>
          <cell r="G340" t="str">
            <v>Intermediate</v>
          </cell>
          <cell r="H340" t="str">
            <v>Infusion Pumps, Syringe</v>
          </cell>
          <cell r="I340" t="str">
            <v>PUMP SYRINGE BASIC DOSE RATE (STAND ALONE)</v>
          </cell>
          <cell r="J340" t="str">
            <v>13-217</v>
          </cell>
          <cell r="K340" t="str">
            <v>FRESENIUS KABI</v>
          </cell>
          <cell r="L340" t="str">
            <v>INJECTOMAT MC AGILIA</v>
          </cell>
          <cell r="M340">
            <v>22233778</v>
          </cell>
          <cell r="N340" t="str">
            <v>PEDIATRIK</v>
          </cell>
          <cell r="O340" t="str">
            <v>Unit Rawatan Rapi Neonatal (NICU)</v>
          </cell>
          <cell r="P340" t="str">
            <v>HM</v>
          </cell>
          <cell r="Q340">
            <v>4300</v>
          </cell>
        </row>
        <row r="341">
          <cell r="E341" t="str">
            <v>KKM/JKN/HSA/10-05-01/H/15/813</v>
          </cell>
          <cell r="F341" t="str">
            <v>Therapeutic</v>
          </cell>
          <cell r="G341" t="str">
            <v>Intermediate</v>
          </cell>
          <cell r="H341" t="str">
            <v>Infusion Pumps, Syringe</v>
          </cell>
          <cell r="I341" t="str">
            <v>PUMP SYRINGE BASIC DOSE RATE (STAND ALONE)</v>
          </cell>
          <cell r="J341" t="str">
            <v>13-217</v>
          </cell>
          <cell r="K341" t="str">
            <v>FRESENIUS KABI</v>
          </cell>
          <cell r="L341" t="str">
            <v>INJECTOMAT MC AGILIA</v>
          </cell>
          <cell r="M341">
            <v>222337839</v>
          </cell>
          <cell r="N341" t="str">
            <v>PEDIATRIK</v>
          </cell>
          <cell r="O341" t="str">
            <v>Unit Rawatan Rapi Neonatal (NICU)</v>
          </cell>
          <cell r="P341" t="str">
            <v>HM</v>
          </cell>
          <cell r="Q341">
            <v>4300</v>
          </cell>
        </row>
        <row r="342">
          <cell r="E342" t="str">
            <v>KKM/JKN/HSA/10-05-01/H/15/814</v>
          </cell>
          <cell r="F342" t="str">
            <v>Therapeutic</v>
          </cell>
          <cell r="G342" t="str">
            <v>Intermediate</v>
          </cell>
          <cell r="H342" t="str">
            <v>Infusion Pumps, Syringe</v>
          </cell>
          <cell r="I342" t="str">
            <v>PUMP SYRINGE BASIC DOSE RATE (STAND ALONE)</v>
          </cell>
          <cell r="J342" t="str">
            <v>13-217</v>
          </cell>
          <cell r="K342" t="str">
            <v>FRESENIUS KABI</v>
          </cell>
          <cell r="L342" t="str">
            <v>INJECTOMAT MC AGILIA</v>
          </cell>
          <cell r="M342">
            <v>22233627</v>
          </cell>
          <cell r="N342" t="str">
            <v>PEDIATRIK</v>
          </cell>
          <cell r="O342" t="str">
            <v>Unit Rawatan Rapi Neonatal (NICU)</v>
          </cell>
          <cell r="P342" t="str">
            <v>HM</v>
          </cell>
          <cell r="Q342">
            <v>4300</v>
          </cell>
        </row>
        <row r="343">
          <cell r="E343" t="str">
            <v>KKM/JKN/HSA/10-05-01/H/15/815</v>
          </cell>
          <cell r="F343" t="str">
            <v>Therapeutic</v>
          </cell>
          <cell r="G343" t="str">
            <v>Intermediate</v>
          </cell>
          <cell r="H343" t="str">
            <v>Infusion Pumps, Syringe</v>
          </cell>
          <cell r="I343" t="str">
            <v>PUMP SYRINGE BASIC DOSE RATE (STAND ALONE)</v>
          </cell>
          <cell r="J343" t="str">
            <v>13-217</v>
          </cell>
          <cell r="K343" t="str">
            <v>FRESENIUS KABI</v>
          </cell>
          <cell r="L343" t="str">
            <v>INJECTOMAT MC AGILIA</v>
          </cell>
          <cell r="M343">
            <v>22230699</v>
          </cell>
          <cell r="N343" t="str">
            <v>PEDIATRIK</v>
          </cell>
          <cell r="O343" t="str">
            <v>Unit Rawatan Rapi Neonatal (NICU)</v>
          </cell>
          <cell r="P343" t="str">
            <v>HM</v>
          </cell>
          <cell r="Q343">
            <v>4300</v>
          </cell>
        </row>
        <row r="344">
          <cell r="E344" t="str">
            <v>KKM/JKN/HSA/10-05-01/H/15/816</v>
          </cell>
          <cell r="F344" t="str">
            <v>Therapeutic</v>
          </cell>
          <cell r="G344" t="str">
            <v>Intermediate</v>
          </cell>
          <cell r="H344" t="str">
            <v>Infusion Pumps, Syringe</v>
          </cell>
          <cell r="I344" t="str">
            <v>PUMP SYRINGE BASIC DOSE RATE (STAND ALONE)</v>
          </cell>
          <cell r="J344" t="str">
            <v>13-217</v>
          </cell>
          <cell r="K344" t="str">
            <v>FRESENIUS KABI</v>
          </cell>
          <cell r="L344" t="str">
            <v>INJECTOMAT MC AGILIA</v>
          </cell>
          <cell r="M344">
            <v>22233786</v>
          </cell>
          <cell r="N344" t="str">
            <v>PEDIATRIK</v>
          </cell>
          <cell r="O344" t="str">
            <v>Unit Rawatan Rapi Neonatal (NICU)</v>
          </cell>
          <cell r="P344" t="str">
            <v>HM</v>
          </cell>
          <cell r="Q344">
            <v>4300</v>
          </cell>
        </row>
        <row r="345">
          <cell r="E345" t="str">
            <v>KKM/JKN/HSA/10-05-01/H/15/818</v>
          </cell>
          <cell r="F345" t="str">
            <v>Therapeutic</v>
          </cell>
          <cell r="G345" t="str">
            <v>Intermediate</v>
          </cell>
          <cell r="H345" t="str">
            <v>Infusion Pumps, Syringe</v>
          </cell>
          <cell r="I345" t="str">
            <v>PUMP SYRINGE BASIC DOSE RATE (STAND ALONE)</v>
          </cell>
          <cell r="J345" t="str">
            <v>13-217</v>
          </cell>
          <cell r="K345" t="str">
            <v>FRESENIUS KABI</v>
          </cell>
          <cell r="L345" t="str">
            <v>INJECTOMAT MC AGILIA</v>
          </cell>
          <cell r="M345">
            <v>22233635</v>
          </cell>
          <cell r="N345" t="str">
            <v>PEDIATRIK</v>
          </cell>
          <cell r="O345" t="str">
            <v>Unit Rawatan Rapi Neonatal (NICU)</v>
          </cell>
          <cell r="P345" t="str">
            <v>HM</v>
          </cell>
          <cell r="Q345">
            <v>4300</v>
          </cell>
        </row>
        <row r="346">
          <cell r="E346" t="str">
            <v>KKM/JKN/HSA/10-05-01/H/15/819</v>
          </cell>
          <cell r="F346" t="str">
            <v>Therapeutic</v>
          </cell>
          <cell r="G346" t="str">
            <v>Intermediate</v>
          </cell>
          <cell r="H346" t="str">
            <v>Infusion Pumps, Syringe</v>
          </cell>
          <cell r="I346" t="str">
            <v>PUMP SYRINGE BASIC DOSE RATE (STAND ALONE)</v>
          </cell>
          <cell r="J346" t="str">
            <v>13-217</v>
          </cell>
          <cell r="K346" t="str">
            <v>FRESENIUS KABI</v>
          </cell>
          <cell r="L346" t="str">
            <v>INJECTOMAT MC AGILIA</v>
          </cell>
          <cell r="M346">
            <v>22233792</v>
          </cell>
          <cell r="N346" t="str">
            <v>PEDIATRIK</v>
          </cell>
          <cell r="O346" t="str">
            <v>Unit Rawatan Rapi Neonatal (NICU)</v>
          </cell>
          <cell r="P346" t="str">
            <v>HM</v>
          </cell>
          <cell r="Q346">
            <v>4300</v>
          </cell>
        </row>
        <row r="347">
          <cell r="E347" t="str">
            <v>KKM/JKN/HSA/10-05-01/H/15/821</v>
          </cell>
          <cell r="F347" t="str">
            <v>Therapeutic</v>
          </cell>
          <cell r="G347" t="str">
            <v>Intermediate</v>
          </cell>
          <cell r="H347" t="str">
            <v>Infusion Pumps, Syringe</v>
          </cell>
          <cell r="I347" t="str">
            <v>PUMP SYRINGE BASIC DOSE RATE (STAND ALONE)</v>
          </cell>
          <cell r="J347" t="str">
            <v>13-217</v>
          </cell>
          <cell r="K347" t="str">
            <v>FRESENIUS KABI</v>
          </cell>
          <cell r="L347" t="str">
            <v>INJECTOMAT MC AGILIA</v>
          </cell>
          <cell r="M347">
            <v>22233794</v>
          </cell>
          <cell r="N347" t="str">
            <v>PEDIATRIK</v>
          </cell>
          <cell r="O347" t="str">
            <v>Unit Rawatan Rapi Neonatal (NICU)</v>
          </cell>
          <cell r="P347" t="str">
            <v>HM</v>
          </cell>
          <cell r="Q347">
            <v>4300</v>
          </cell>
        </row>
        <row r="348">
          <cell r="E348" t="str">
            <v>KKM/JKN/HSA/10-05-01/H/15/823</v>
          </cell>
          <cell r="F348" t="str">
            <v>Therapeutic</v>
          </cell>
          <cell r="G348" t="str">
            <v>Intermediate</v>
          </cell>
          <cell r="H348" t="str">
            <v>Infusion Pumps, Syringe</v>
          </cell>
          <cell r="I348" t="str">
            <v>PUMP SYRINGE BASIC DOSE RATE (STAND ALONE)</v>
          </cell>
          <cell r="J348" t="str">
            <v>13-217</v>
          </cell>
          <cell r="K348" t="str">
            <v>FRESENIUS KABI</v>
          </cell>
          <cell r="L348" t="str">
            <v>INJECTOMAT MC AGILIA</v>
          </cell>
          <cell r="M348">
            <v>22233762</v>
          </cell>
          <cell r="N348" t="str">
            <v>PEDIATRIK</v>
          </cell>
          <cell r="O348" t="str">
            <v>Unit Rawatan Rapi Neonatal (NICU)</v>
          </cell>
          <cell r="P348" t="str">
            <v>HM</v>
          </cell>
          <cell r="Q348">
            <v>4300</v>
          </cell>
        </row>
        <row r="349">
          <cell r="E349" t="str">
            <v>KKM/JKN/HSA/10-05-01/H/15/825</v>
          </cell>
          <cell r="F349" t="str">
            <v>Therapeutic</v>
          </cell>
          <cell r="G349" t="str">
            <v>Intermediate</v>
          </cell>
          <cell r="H349" t="str">
            <v>Infusion Pumps, Syringe</v>
          </cell>
          <cell r="I349" t="str">
            <v>PUMP SYRINGE BASIC DOSE RATE (STAND ALONE)</v>
          </cell>
          <cell r="J349" t="str">
            <v>13-217</v>
          </cell>
          <cell r="K349" t="str">
            <v>FRESENIUS KABI</v>
          </cell>
          <cell r="L349" t="str">
            <v>INJECTOMAT MC AGILIA</v>
          </cell>
          <cell r="M349">
            <v>22233770</v>
          </cell>
          <cell r="N349" t="str">
            <v>PEDIATRIK</v>
          </cell>
          <cell r="O349" t="str">
            <v>Unit Rawatan Rapi Neonatal (NICU)</v>
          </cell>
          <cell r="P349" t="str">
            <v>HM</v>
          </cell>
          <cell r="Q349">
            <v>4300</v>
          </cell>
        </row>
        <row r="350">
          <cell r="E350" t="str">
            <v>KKM/JKN/HSA/10-05-01/H/15/827</v>
          </cell>
          <cell r="F350" t="str">
            <v>Therapeutic</v>
          </cell>
          <cell r="G350" t="str">
            <v>Intermediate</v>
          </cell>
          <cell r="H350" t="str">
            <v>Infusion Pumps, Syringe</v>
          </cell>
          <cell r="I350" t="str">
            <v>PUMP SYRINGE BASIC DOSE RATE (STAND ALONE)</v>
          </cell>
          <cell r="J350" t="str">
            <v>13-217</v>
          </cell>
          <cell r="K350" t="str">
            <v>FRESENIUS KABI</v>
          </cell>
          <cell r="L350" t="str">
            <v>INJECTOMAT MC AGILIA</v>
          </cell>
          <cell r="M350">
            <v>22231688</v>
          </cell>
          <cell r="N350" t="str">
            <v>PEDIATRIK</v>
          </cell>
          <cell r="O350" t="str">
            <v>Unit Rawatan Rapi Neonatal (NICU)</v>
          </cell>
          <cell r="P350" t="str">
            <v>HM</v>
          </cell>
          <cell r="Q350">
            <v>4300</v>
          </cell>
        </row>
        <row r="351">
          <cell r="E351" t="str">
            <v>KKM/JKN/HSA/10-05-01/H/15/829</v>
          </cell>
          <cell r="F351" t="str">
            <v>Therapeutic</v>
          </cell>
          <cell r="G351" t="str">
            <v>Intermediate</v>
          </cell>
          <cell r="H351" t="str">
            <v>Infusion Pumps, Syringe</v>
          </cell>
          <cell r="I351" t="str">
            <v>PUMP SYRINGE BASIC DOSE RATE (STAND ALONE)</v>
          </cell>
          <cell r="J351" t="str">
            <v>13-217</v>
          </cell>
          <cell r="K351" t="str">
            <v>FRESENIUS KABI</v>
          </cell>
          <cell r="L351" t="str">
            <v>INJECTOMAT MC AGILIA</v>
          </cell>
          <cell r="M351">
            <v>22233632</v>
          </cell>
          <cell r="N351" t="str">
            <v>PEDIATRIK</v>
          </cell>
          <cell r="O351" t="str">
            <v>Unit Rawatan Rapi Neonatal (NICU)</v>
          </cell>
          <cell r="P351" t="str">
            <v>HM</v>
          </cell>
          <cell r="Q351">
            <v>4300</v>
          </cell>
        </row>
        <row r="352">
          <cell r="E352" t="str">
            <v>KKM/JKN/HSA/10-05-01/H/15/831</v>
          </cell>
          <cell r="F352" t="str">
            <v>Therapeutic</v>
          </cell>
          <cell r="G352" t="str">
            <v>Intermediate</v>
          </cell>
          <cell r="H352" t="str">
            <v>Infusion Pumps, Syringe</v>
          </cell>
          <cell r="I352" t="str">
            <v>PUMP SYRINGE BASIC DOSE RATE (STAND ALONE)</v>
          </cell>
          <cell r="J352" t="str">
            <v>13-217</v>
          </cell>
          <cell r="K352" t="str">
            <v>FRESENIUS KABI</v>
          </cell>
          <cell r="L352" t="str">
            <v>INJECTOMAT MC AGILIA</v>
          </cell>
          <cell r="M352">
            <v>22231681</v>
          </cell>
          <cell r="N352" t="str">
            <v>PEDIATRIK</v>
          </cell>
          <cell r="O352" t="str">
            <v>Unit Rawatan Rapi Neonatal (NICU)</v>
          </cell>
          <cell r="P352" t="str">
            <v>HM</v>
          </cell>
          <cell r="Q352">
            <v>4300</v>
          </cell>
        </row>
        <row r="353">
          <cell r="E353" t="str">
            <v>KKM/JKN/HSA/10-05-01/H/15/833</v>
          </cell>
          <cell r="F353" t="str">
            <v>Therapeutic</v>
          </cell>
          <cell r="G353" t="str">
            <v>Intermediate</v>
          </cell>
          <cell r="H353" t="str">
            <v>Infusion Pumps, Syringe</v>
          </cell>
          <cell r="I353" t="str">
            <v>PUMP SYRINGE BASIC DOSE RATE (STAND ALONE)</v>
          </cell>
          <cell r="J353" t="str">
            <v>13-217</v>
          </cell>
          <cell r="K353" t="str">
            <v>FRESENIUS KABI</v>
          </cell>
          <cell r="L353" t="str">
            <v>INJECTOMAT MC AGILIA</v>
          </cell>
          <cell r="M353">
            <v>22231698</v>
          </cell>
          <cell r="N353" t="str">
            <v>PEDIATRIK</v>
          </cell>
          <cell r="O353" t="str">
            <v>Unit Rawatan Rapi Neonatal (NICU)</v>
          </cell>
          <cell r="P353" t="str">
            <v>HM</v>
          </cell>
          <cell r="Q353">
            <v>4300</v>
          </cell>
        </row>
        <row r="354">
          <cell r="E354" t="str">
            <v>KKM/JKN/HSA/10-05-01/H/15/834</v>
          </cell>
          <cell r="F354" t="str">
            <v>Therapeutic</v>
          </cell>
          <cell r="G354" t="str">
            <v>Intermediate</v>
          </cell>
          <cell r="H354" t="str">
            <v>Infusion Pumps, Syringe</v>
          </cell>
          <cell r="I354" t="str">
            <v>PUMP SYRINGE BASIC DOSE RATE (STAND ALONE)</v>
          </cell>
          <cell r="J354" t="str">
            <v>13-217</v>
          </cell>
          <cell r="K354" t="str">
            <v>FRESENIUS KABI</v>
          </cell>
          <cell r="L354" t="str">
            <v>INJECTOMAT MC AGILIA</v>
          </cell>
          <cell r="M354">
            <v>22231677</v>
          </cell>
          <cell r="N354" t="str">
            <v>PEDIATRIK</v>
          </cell>
          <cell r="O354" t="str">
            <v>Unit Rawatan Rapi Neonatal (NICU)</v>
          </cell>
          <cell r="P354" t="str">
            <v>HM</v>
          </cell>
          <cell r="Q354">
            <v>4300</v>
          </cell>
        </row>
        <row r="355">
          <cell r="E355" t="str">
            <v>KKM/JKN/HSA/10-05-01/H/15/838</v>
          </cell>
          <cell r="F355" t="str">
            <v>Therapeutic</v>
          </cell>
          <cell r="G355" t="str">
            <v>Intermediate</v>
          </cell>
          <cell r="H355" t="str">
            <v>Infusion Pumps, Syringe</v>
          </cell>
          <cell r="I355" t="str">
            <v>PUMP SYRINGE BASIC DOSE RATE (STAND ALONE)</v>
          </cell>
          <cell r="J355" t="str">
            <v>13-217</v>
          </cell>
          <cell r="K355" t="str">
            <v>FRESENIUS KABI</v>
          </cell>
          <cell r="L355" t="str">
            <v>INJECTOMAT MC AGILIA</v>
          </cell>
          <cell r="M355">
            <v>22231700</v>
          </cell>
          <cell r="N355" t="str">
            <v>PEDIATRIK</v>
          </cell>
          <cell r="O355" t="str">
            <v>Unit Rawatan Rapi Neonatal (NICU)</v>
          </cell>
          <cell r="P355" t="str">
            <v>HM</v>
          </cell>
          <cell r="Q355">
            <v>4300</v>
          </cell>
        </row>
        <row r="356">
          <cell r="E356" t="str">
            <v>KKM/JKN/HSA/10-05-01/H/15/843</v>
          </cell>
          <cell r="F356" t="str">
            <v>Therapeutic</v>
          </cell>
          <cell r="G356" t="str">
            <v>Intermediate</v>
          </cell>
          <cell r="H356" t="str">
            <v>Infusion Pumps, Syringe</v>
          </cell>
          <cell r="I356" t="str">
            <v>PUMP SYRINGE BASIC DOSE RATE (STAND ALONE)</v>
          </cell>
          <cell r="J356" t="str">
            <v>13-217</v>
          </cell>
          <cell r="K356" t="str">
            <v>FRESENIUS KABI</v>
          </cell>
          <cell r="L356" t="str">
            <v>INJECTOMAT MC AGILIA</v>
          </cell>
          <cell r="M356">
            <v>22233781</v>
          </cell>
          <cell r="N356" t="str">
            <v>PEDIATRIK</v>
          </cell>
          <cell r="O356" t="str">
            <v>Unit Rawatan Rapi Neonatal (NICU)</v>
          </cell>
          <cell r="P356" t="str">
            <v>HM</v>
          </cell>
          <cell r="Q356">
            <v>4300</v>
          </cell>
        </row>
        <row r="357">
          <cell r="E357" t="str">
            <v>KKM/JKN/HSA/10-05-01/H/15/844</v>
          </cell>
          <cell r="F357" t="str">
            <v>Therapeutic</v>
          </cell>
          <cell r="G357" t="str">
            <v>Intermediate</v>
          </cell>
          <cell r="H357" t="str">
            <v>Infusion Pumps, Syringe</v>
          </cell>
          <cell r="I357" t="str">
            <v>PUMP SYRINGE BASIC DOSE RATE (STAND ALONE)</v>
          </cell>
          <cell r="J357" t="str">
            <v>13-217</v>
          </cell>
          <cell r="K357" t="str">
            <v>FRESENIUS KABI</v>
          </cell>
          <cell r="L357" t="str">
            <v>INJECTOMAT MC AGILIA</v>
          </cell>
          <cell r="M357">
            <v>22233621</v>
          </cell>
          <cell r="N357" t="str">
            <v>PEDIATRIK</v>
          </cell>
          <cell r="O357" t="str">
            <v>Unit Rawatan Rapi Neonatal (NICU)</v>
          </cell>
          <cell r="P357" t="str">
            <v>HM</v>
          </cell>
          <cell r="Q357">
            <v>4300</v>
          </cell>
        </row>
        <row r="358">
          <cell r="E358" t="str">
            <v>KKM/JKN/HSA/10-05-01/H/15/845</v>
          </cell>
          <cell r="F358" t="str">
            <v>Therapeutic</v>
          </cell>
          <cell r="G358" t="str">
            <v>Intermediate</v>
          </cell>
          <cell r="H358" t="str">
            <v>Infusion Pumps, Syringe</v>
          </cell>
          <cell r="I358" t="str">
            <v>PUMP SYRINGE BASIC DOSE RATE (STAND ALONE)</v>
          </cell>
          <cell r="J358" t="str">
            <v>13-217</v>
          </cell>
          <cell r="K358" t="str">
            <v>FRESENIUS KABI</v>
          </cell>
          <cell r="L358" t="str">
            <v>INJECTOMAT MC AGILIA</v>
          </cell>
          <cell r="M358">
            <v>22233798</v>
          </cell>
          <cell r="N358" t="str">
            <v>PEDIATRIK</v>
          </cell>
          <cell r="O358" t="str">
            <v>Unit Rawatan Rapi Neonatal (NICU)</v>
          </cell>
          <cell r="P358" t="str">
            <v>HM</v>
          </cell>
          <cell r="Q358">
            <v>4300</v>
          </cell>
        </row>
        <row r="359">
          <cell r="E359" t="str">
            <v>KKM/JKN/HSA/10-05-01/H/15/846</v>
          </cell>
          <cell r="F359" t="str">
            <v>Therapeutic</v>
          </cell>
          <cell r="G359" t="str">
            <v>Intermediate</v>
          </cell>
          <cell r="H359" t="str">
            <v>Infusion Pumps, Syringe</v>
          </cell>
          <cell r="I359" t="str">
            <v>PUMP SYRINGE BASIC DOSE RATE (STAND ALONE)</v>
          </cell>
          <cell r="J359" t="str">
            <v>13-217</v>
          </cell>
          <cell r="K359" t="str">
            <v>FRESENIUS KABI</v>
          </cell>
          <cell r="L359" t="str">
            <v>INJECTOMAT MC AGILIA</v>
          </cell>
          <cell r="M359">
            <v>22231553</v>
          </cell>
          <cell r="N359" t="str">
            <v>PEDIATRIK</v>
          </cell>
          <cell r="O359" t="str">
            <v>Unit Rawatan Rapi Neonatal (NICU)</v>
          </cell>
          <cell r="P359" t="str">
            <v>HM</v>
          </cell>
          <cell r="Q359">
            <v>4300</v>
          </cell>
        </row>
        <row r="360">
          <cell r="E360" t="str">
            <v>KKM/JKN/HSA/10-05-01/H/15/847</v>
          </cell>
          <cell r="F360" t="str">
            <v>Therapeutic</v>
          </cell>
          <cell r="G360" t="str">
            <v>Intermediate</v>
          </cell>
          <cell r="H360" t="str">
            <v>Infusion Pumps, Syringe</v>
          </cell>
          <cell r="I360" t="str">
            <v>PUMP SYRINGE BASIC DOSE RATE (STAND ALONE)</v>
          </cell>
          <cell r="J360" t="str">
            <v>13-217</v>
          </cell>
          <cell r="K360" t="str">
            <v>FRESENIUS KABI</v>
          </cell>
          <cell r="L360" t="str">
            <v>INJECTOMAT MC AGILIA</v>
          </cell>
          <cell r="M360">
            <v>22233636</v>
          </cell>
          <cell r="N360" t="str">
            <v>PEDIATRIK</v>
          </cell>
          <cell r="O360" t="str">
            <v>Unit Rawatan Rapi Neonatal (NICU)</v>
          </cell>
          <cell r="P360" t="str">
            <v>HM</v>
          </cell>
          <cell r="Q360">
            <v>4300</v>
          </cell>
        </row>
        <row r="361">
          <cell r="E361" t="str">
            <v>KKM/JKN/HSA/10-05-01/H/15/848</v>
          </cell>
          <cell r="F361" t="str">
            <v>Therapeutic</v>
          </cell>
          <cell r="G361" t="str">
            <v>Intermediate</v>
          </cell>
          <cell r="H361" t="str">
            <v>Infusion Pumps, Syringe</v>
          </cell>
          <cell r="I361" t="str">
            <v>PUMP SYRINGE BASIC DOSE RATE (STAND ALONE)</v>
          </cell>
          <cell r="J361" t="str">
            <v>13-217</v>
          </cell>
          <cell r="K361" t="str">
            <v>FRESENIUS KABI</v>
          </cell>
          <cell r="L361" t="str">
            <v>INJECTOMAT MC AGILIA</v>
          </cell>
          <cell r="M361">
            <v>22231842</v>
          </cell>
          <cell r="N361" t="str">
            <v>PEDIATRIK</v>
          </cell>
          <cell r="O361" t="str">
            <v>Unit Rawatan Rapi Neonatal (NICU)</v>
          </cell>
          <cell r="P361" t="str">
            <v>HM</v>
          </cell>
          <cell r="Q361">
            <v>4300</v>
          </cell>
        </row>
        <row r="362">
          <cell r="E362" t="str">
            <v>KKM/JKN/HSA/10-05-01/H/15/849</v>
          </cell>
          <cell r="F362" t="str">
            <v>Therapeutic</v>
          </cell>
          <cell r="G362" t="str">
            <v>Intermediate</v>
          </cell>
          <cell r="H362" t="str">
            <v>Infusion Pumps, Syringe</v>
          </cell>
          <cell r="I362" t="str">
            <v>PUMP SYRINGE BASIC DOSE RATE (STAND ALONE)</v>
          </cell>
          <cell r="J362" t="str">
            <v>13-217</v>
          </cell>
          <cell r="K362" t="str">
            <v>FRESENIUS KABI</v>
          </cell>
          <cell r="L362" t="str">
            <v>INJECTOMAT MC AGILIA</v>
          </cell>
          <cell r="M362">
            <v>22233788</v>
          </cell>
          <cell r="N362" t="str">
            <v>PEDIATRIK</v>
          </cell>
          <cell r="O362" t="str">
            <v>Unit Rawatan Rapi Neonatal (NICU)</v>
          </cell>
          <cell r="P362" t="str">
            <v>HM</v>
          </cell>
          <cell r="Q362">
            <v>4300</v>
          </cell>
        </row>
        <row r="363">
          <cell r="E363" t="str">
            <v>KKM/JKN/HSA/10-05-01/H/15/850</v>
          </cell>
          <cell r="F363" t="str">
            <v>Therapeutic</v>
          </cell>
          <cell r="G363" t="str">
            <v>Intermediate</v>
          </cell>
          <cell r="H363" t="str">
            <v>Infusion Pumps, Syringe</v>
          </cell>
          <cell r="I363" t="str">
            <v>PUMP SYRINGE BASIC DOSE RATE (STAND ALONE)</v>
          </cell>
          <cell r="J363" t="str">
            <v>13-217</v>
          </cell>
          <cell r="K363" t="str">
            <v>FRESENIUS KABI</v>
          </cell>
          <cell r="L363" t="str">
            <v>INJECTOMAT MC AGILIA</v>
          </cell>
          <cell r="M363">
            <v>22233780</v>
          </cell>
          <cell r="N363" t="str">
            <v>PEDIATRIK</v>
          </cell>
          <cell r="O363" t="str">
            <v>Unit Rawatan Rapi Neonatal (NICU)</v>
          </cell>
          <cell r="P363" t="str">
            <v>HM</v>
          </cell>
          <cell r="Q363">
            <v>4300</v>
          </cell>
        </row>
        <row r="364">
          <cell r="E364" t="str">
            <v>KKM/JKN/HSA/10-05-01/H/15/851</v>
          </cell>
          <cell r="F364" t="str">
            <v>Therapeutic</v>
          </cell>
          <cell r="G364" t="str">
            <v>Intermediate</v>
          </cell>
          <cell r="H364" t="str">
            <v>Infusion Pumps, Syringe</v>
          </cell>
          <cell r="I364" t="str">
            <v>PUMP SYRINGE BASIC DOSE RATE (STAND ALONE)</v>
          </cell>
          <cell r="J364" t="str">
            <v>13-217</v>
          </cell>
          <cell r="K364" t="str">
            <v>FRESENIUS KABI</v>
          </cell>
          <cell r="L364" t="str">
            <v>INJECTOMAT MC AGILIA</v>
          </cell>
          <cell r="M364">
            <v>22233623</v>
          </cell>
          <cell r="N364" t="str">
            <v>PEDIATRIK</v>
          </cell>
          <cell r="O364" t="str">
            <v>Unit Rawatan Rapi Neonatal (NICU)</v>
          </cell>
          <cell r="P364" t="str">
            <v>HM</v>
          </cell>
          <cell r="Q364">
            <v>4300</v>
          </cell>
        </row>
        <row r="365">
          <cell r="E365" t="str">
            <v>KKM/JKN/HSA/10-05-01/H/15/852</v>
          </cell>
          <cell r="F365" t="str">
            <v>Therapeutic</v>
          </cell>
          <cell r="G365" t="str">
            <v>Intermediate</v>
          </cell>
          <cell r="H365" t="str">
            <v>Infusion Pumps, Syringe</v>
          </cell>
          <cell r="I365" t="str">
            <v>PUMP SYRINGE BASIC DOSE RATE (STAND ALONE)</v>
          </cell>
          <cell r="J365" t="str">
            <v>13-217</v>
          </cell>
          <cell r="K365" t="str">
            <v>FRESENIUS KABI</v>
          </cell>
          <cell r="L365" t="str">
            <v>INJECTOMAT MC AGILIA</v>
          </cell>
          <cell r="M365">
            <v>22231717</v>
          </cell>
          <cell r="N365" t="str">
            <v>PEDIATRIK</v>
          </cell>
          <cell r="O365" t="str">
            <v>Unit Rawatan Rapi Neonatal (NICU)</v>
          </cell>
          <cell r="P365" t="str">
            <v>HM</v>
          </cell>
          <cell r="Q365">
            <v>4300</v>
          </cell>
        </row>
        <row r="366">
          <cell r="E366" t="str">
            <v>KKM/JKN/HSA/10-05-01/H/15/853</v>
          </cell>
          <cell r="F366" t="str">
            <v>Therapeutic</v>
          </cell>
          <cell r="G366" t="str">
            <v>Intermediate</v>
          </cell>
          <cell r="H366" t="str">
            <v>Infusion Pumps, Syringe</v>
          </cell>
          <cell r="I366" t="str">
            <v>PUMP SYRINGE BASIC DOSE RATE (STAND ALONE)</v>
          </cell>
          <cell r="J366" t="str">
            <v>13-217</v>
          </cell>
          <cell r="K366" t="str">
            <v>FRESENIUS KABI</v>
          </cell>
          <cell r="L366" t="str">
            <v>INJECTOMAT MC AGILIA</v>
          </cell>
          <cell r="M366">
            <v>22231720</v>
          </cell>
          <cell r="N366" t="str">
            <v>PEDIATRIK</v>
          </cell>
          <cell r="O366" t="str">
            <v>Unit Rawatan Rapi Neonatal (NICU)</v>
          </cell>
          <cell r="P366" t="str">
            <v>HM</v>
          </cell>
          <cell r="Q366">
            <v>4300</v>
          </cell>
        </row>
        <row r="367">
          <cell r="E367" t="str">
            <v>KKM/JKN/HSA/10-05-01/H/15/854</v>
          </cell>
          <cell r="F367" t="str">
            <v>Therapeutic</v>
          </cell>
          <cell r="G367" t="str">
            <v>Intermediate</v>
          </cell>
          <cell r="H367" t="str">
            <v>Infusion Pumps, Syringe</v>
          </cell>
          <cell r="I367" t="str">
            <v>PUMP SYRINGE BASIC DOSE RATE (STAND ALONE)</v>
          </cell>
          <cell r="J367" t="str">
            <v>13-217</v>
          </cell>
          <cell r="K367" t="str">
            <v>FRESENIUS KABI</v>
          </cell>
          <cell r="L367" t="str">
            <v>INJECTOMAT MC AGILIA</v>
          </cell>
          <cell r="M367">
            <v>22231671</v>
          </cell>
          <cell r="N367" t="str">
            <v>PEDIATRIK</v>
          </cell>
          <cell r="O367" t="str">
            <v>Unit Rawatan Rapi Neonatal (NICU)</v>
          </cell>
          <cell r="P367" t="str">
            <v>HM</v>
          </cell>
          <cell r="Q367">
            <v>4300</v>
          </cell>
        </row>
        <row r="368">
          <cell r="E368" t="str">
            <v>KKM/JKN/HSA/10-05-01/H/15/855</v>
          </cell>
          <cell r="F368" t="str">
            <v>Therapeutic</v>
          </cell>
          <cell r="G368" t="str">
            <v>Intermediate</v>
          </cell>
          <cell r="H368" t="str">
            <v>Infusion Pumps, Syringe</v>
          </cell>
          <cell r="I368" t="str">
            <v>PUMP SYRINGE BASIC DOSE RATE (STAND ALONE)</v>
          </cell>
          <cell r="J368" t="str">
            <v>13-217</v>
          </cell>
          <cell r="K368" t="str">
            <v>FRESENIUS KABI</v>
          </cell>
          <cell r="L368" t="str">
            <v>INJECTOMAT MC AGILIA</v>
          </cell>
          <cell r="M368">
            <v>22231691</v>
          </cell>
          <cell r="N368" t="str">
            <v>PEDIATRIK</v>
          </cell>
          <cell r="O368" t="str">
            <v>Unit Rawatan Rapi Neonatal (NICU)</v>
          </cell>
          <cell r="P368" t="str">
            <v>HM</v>
          </cell>
          <cell r="Q368">
            <v>4300</v>
          </cell>
        </row>
        <row r="369">
          <cell r="E369" t="str">
            <v>KKM/JKN/HSA/10-05-01/H/15/856</v>
          </cell>
          <cell r="F369" t="str">
            <v>Therapeutic</v>
          </cell>
          <cell r="G369" t="str">
            <v>Intermediate</v>
          </cell>
          <cell r="H369" t="str">
            <v>Infusion Pumps, Syringe</v>
          </cell>
          <cell r="I369" t="str">
            <v>PUMP SYRINGE BASIC DOSE RATE (STAND ALONE)</v>
          </cell>
          <cell r="J369" t="str">
            <v>13-217</v>
          </cell>
          <cell r="K369" t="str">
            <v>FRESENIUS KABI</v>
          </cell>
          <cell r="L369" t="str">
            <v>INJECTOMAT MC AGILIA</v>
          </cell>
          <cell r="M369">
            <v>22231711</v>
          </cell>
          <cell r="N369" t="str">
            <v>PEDIATRIK</v>
          </cell>
          <cell r="O369" t="str">
            <v>Unit Rawatan Rapi Neonatal (NICU)</v>
          </cell>
          <cell r="P369" t="str">
            <v>HM</v>
          </cell>
          <cell r="Q369">
            <v>4300</v>
          </cell>
        </row>
        <row r="370">
          <cell r="E370" t="str">
            <v>KKM/JKN/HSA/10-05-01/H/15/857</v>
          </cell>
          <cell r="F370" t="str">
            <v>Therapeutic</v>
          </cell>
          <cell r="G370" t="str">
            <v>Intermediate</v>
          </cell>
          <cell r="H370" t="str">
            <v>Infusion Pumps, Syringe</v>
          </cell>
          <cell r="I370" t="str">
            <v>PUMP SYRINGE BASIC DOSE RATE (STAND ALONE)</v>
          </cell>
          <cell r="J370" t="str">
            <v>13-217</v>
          </cell>
          <cell r="K370" t="str">
            <v>FRESENIUS KABI</v>
          </cell>
          <cell r="L370" t="str">
            <v>INJECTOMAT MC AGILIA</v>
          </cell>
          <cell r="M370">
            <v>22233793</v>
          </cell>
          <cell r="N370" t="str">
            <v>PEDIATRIK</v>
          </cell>
          <cell r="O370" t="str">
            <v>Unit Rawatan Rapi Neonatal (NICU)</v>
          </cell>
          <cell r="P370" t="str">
            <v>HM</v>
          </cell>
          <cell r="Q370">
            <v>4300</v>
          </cell>
        </row>
        <row r="371">
          <cell r="E371" t="str">
            <v>KKM/JKN/HSA/10-05-01/H/15/859</v>
          </cell>
          <cell r="F371" t="str">
            <v>Therapeutic</v>
          </cell>
          <cell r="G371" t="str">
            <v>Intermediate</v>
          </cell>
          <cell r="H371" t="str">
            <v>Infusion Pumps, Syringe</v>
          </cell>
          <cell r="I371" t="str">
            <v>PUMP SYRINGE BASIC DOSE RATE (STAND ALONE)</v>
          </cell>
          <cell r="J371" t="str">
            <v>13-217</v>
          </cell>
          <cell r="K371" t="str">
            <v>FRESENIUS KABI</v>
          </cell>
          <cell r="L371" t="str">
            <v>INJECTOMAT MC AGILIA</v>
          </cell>
          <cell r="M371">
            <v>22230698</v>
          </cell>
          <cell r="N371" t="str">
            <v>PEDIATRIK</v>
          </cell>
          <cell r="O371" t="str">
            <v>Unit Rawatan Rapi Neonatal (NICU)</v>
          </cell>
          <cell r="P371" t="str">
            <v>HM</v>
          </cell>
          <cell r="Q371">
            <v>4300</v>
          </cell>
        </row>
        <row r="372">
          <cell r="E372" t="str">
            <v>KKM/JKN/HSA/10-05-01/H/15/860</v>
          </cell>
          <cell r="F372" t="str">
            <v>Therapeutic</v>
          </cell>
          <cell r="G372" t="str">
            <v>Intermediate</v>
          </cell>
          <cell r="H372" t="str">
            <v>Infusion Pumps, Syringe</v>
          </cell>
          <cell r="I372" t="str">
            <v>PUMP SYRINGE BASIC DOSE RATE (STAND ALONE)</v>
          </cell>
          <cell r="J372" t="str">
            <v>13-217</v>
          </cell>
          <cell r="K372" t="str">
            <v>FRESENIUS KABI</v>
          </cell>
          <cell r="L372" t="str">
            <v>INJECTOMAT MC AGILIA</v>
          </cell>
          <cell r="M372">
            <v>22233796</v>
          </cell>
          <cell r="N372" t="str">
            <v>PEDIATRIK</v>
          </cell>
          <cell r="O372" t="str">
            <v>Unit Rawatan Rapi Neonatal (NICU)</v>
          </cell>
          <cell r="P372" t="str">
            <v>HM</v>
          </cell>
          <cell r="Q372">
            <v>4300</v>
          </cell>
        </row>
        <row r="373">
          <cell r="E373" t="str">
            <v>KKM/JKN/HSA/10-05-01/H/15/862</v>
          </cell>
          <cell r="F373" t="str">
            <v>Therapeutic</v>
          </cell>
          <cell r="G373" t="str">
            <v>Intermediate</v>
          </cell>
          <cell r="H373" t="str">
            <v>Infusion Pumps, Syringe</v>
          </cell>
          <cell r="I373" t="str">
            <v>PUMP SYRINGE BASIC DOSE RATE (STAND ALONE)</v>
          </cell>
          <cell r="J373" t="str">
            <v>13-217</v>
          </cell>
          <cell r="K373" t="str">
            <v>FRESENIUS KABI</v>
          </cell>
          <cell r="L373" t="str">
            <v>INJECTOMAT MC AGILIA</v>
          </cell>
          <cell r="M373">
            <v>22233773</v>
          </cell>
          <cell r="N373" t="str">
            <v>PEDIATRIK</v>
          </cell>
          <cell r="O373" t="str">
            <v>Unit Rawatan Rapi Neonatal (NICU)</v>
          </cell>
          <cell r="P373" t="str">
            <v>HM</v>
          </cell>
          <cell r="Q373">
            <v>4300</v>
          </cell>
        </row>
        <row r="374">
          <cell r="E374" t="str">
            <v>KKM/JKN/HSA/10-05-01/H/15/864</v>
          </cell>
          <cell r="F374" t="str">
            <v>Therapeutic</v>
          </cell>
          <cell r="G374" t="str">
            <v>Intermediate</v>
          </cell>
          <cell r="H374" t="str">
            <v>Infusion Pumps, Syringe</v>
          </cell>
          <cell r="I374" t="str">
            <v>PUMP SYRINGE BASIC DOSE RATE (STAND ALONE)</v>
          </cell>
          <cell r="J374" t="str">
            <v>13-217</v>
          </cell>
          <cell r="K374" t="str">
            <v>FRESENIUS KABI</v>
          </cell>
          <cell r="L374" t="str">
            <v>INJECTOMAT MC AGILIA</v>
          </cell>
          <cell r="M374">
            <v>22233771</v>
          </cell>
          <cell r="N374" t="str">
            <v>PEDIATRIK</v>
          </cell>
          <cell r="O374" t="str">
            <v>Unit Rawatan Rapi Neonatal (NICU)</v>
          </cell>
          <cell r="P374" t="str">
            <v>HM</v>
          </cell>
          <cell r="Q374">
            <v>4300</v>
          </cell>
        </row>
        <row r="375">
          <cell r="E375" t="str">
            <v>KKM/JKN/HSA/10-05-01/H/15/3885</v>
          </cell>
          <cell r="F375" t="str">
            <v>Therapeutic</v>
          </cell>
          <cell r="G375" t="str">
            <v>Intermediate</v>
          </cell>
          <cell r="H375" t="str">
            <v>Infusion Pumps, Syringe</v>
          </cell>
          <cell r="I375" t="str">
            <v>PUMP SYRINGE BASIC DOSE RATE (STAND ALONE)</v>
          </cell>
          <cell r="J375" t="str">
            <v>13-217</v>
          </cell>
          <cell r="K375" t="str">
            <v>FRESENIUS KABI</v>
          </cell>
          <cell r="L375" t="str">
            <v>INJECTOMAT MC AGILIA</v>
          </cell>
          <cell r="M375">
            <v>22233767</v>
          </cell>
          <cell r="N375" t="str">
            <v>PEDIATRIK</v>
          </cell>
          <cell r="O375" t="str">
            <v>Unit Rawatan Rapi Neonatal (NICU)</v>
          </cell>
          <cell r="P375" t="str">
            <v>HM</v>
          </cell>
          <cell r="Q375">
            <v>4300</v>
          </cell>
        </row>
        <row r="376">
          <cell r="E376" t="str">
            <v>KKM/JKN/HSA/10-05-01/H/15/3886</v>
          </cell>
          <cell r="F376" t="str">
            <v>Therapeutic</v>
          </cell>
          <cell r="G376" t="str">
            <v>Intermediate</v>
          </cell>
          <cell r="H376" t="str">
            <v>Infusion Pumps, Syringe</v>
          </cell>
          <cell r="I376" t="str">
            <v>PUMP SYRINGE BASIC DOSE RATE (STAND ALONE)</v>
          </cell>
          <cell r="J376" t="str">
            <v>13-217</v>
          </cell>
          <cell r="K376" t="str">
            <v>FRESENIUS KABI</v>
          </cell>
          <cell r="L376" t="str">
            <v>INJECTOMAT MC AGILIA</v>
          </cell>
          <cell r="M376"/>
          <cell r="N376" t="str">
            <v>PEDIATRIK</v>
          </cell>
          <cell r="O376" t="str">
            <v>Unit Rawatan Rapi Neonatal (NICU)</v>
          </cell>
          <cell r="P376" t="str">
            <v>HM</v>
          </cell>
          <cell r="Q376">
            <v>4300</v>
          </cell>
        </row>
        <row r="377">
          <cell r="E377" t="str">
            <v>KKM/JKN/HSA/10-05-01/H/15/3887</v>
          </cell>
          <cell r="F377" t="str">
            <v>Therapeutic</v>
          </cell>
          <cell r="G377" t="str">
            <v>Intermediate</v>
          </cell>
          <cell r="H377" t="str">
            <v>Infusion Pumps, Syringe</v>
          </cell>
          <cell r="I377" t="str">
            <v>PUMP SYRINGE BASIC DOSE RATE (STAND ALONE)</v>
          </cell>
          <cell r="J377" t="str">
            <v>13-217</v>
          </cell>
          <cell r="K377" t="str">
            <v>FRESENIUS KABI</v>
          </cell>
          <cell r="L377" t="str">
            <v>INJECTOMAT MC AGILIA</v>
          </cell>
          <cell r="M377"/>
          <cell r="N377" t="str">
            <v>PEDIATRIK</v>
          </cell>
          <cell r="O377" t="str">
            <v>Unit Rawatan Rapi Neonatal (NICU)</v>
          </cell>
          <cell r="P377" t="str">
            <v>HM</v>
          </cell>
          <cell r="Q377">
            <v>4300</v>
          </cell>
        </row>
        <row r="378">
          <cell r="E378" t="str">
            <v>KKM/JKN/HSA/10-05-01/H/15/3888</v>
          </cell>
          <cell r="F378" t="str">
            <v>Therapeutic</v>
          </cell>
          <cell r="G378" t="str">
            <v>Intermediate</v>
          </cell>
          <cell r="H378" t="str">
            <v>Infusion Pumps, Syringe</v>
          </cell>
          <cell r="I378" t="str">
            <v>PUMP SYRINGE BASIC DOSE RATE (STAND ALONE)</v>
          </cell>
          <cell r="J378" t="str">
            <v>13-217</v>
          </cell>
          <cell r="K378" t="str">
            <v>FRESENIUS KABI</v>
          </cell>
          <cell r="L378" t="str">
            <v>INJECTOMAT MC AGILIA</v>
          </cell>
          <cell r="M378"/>
          <cell r="N378" t="str">
            <v>PEDIATRIK</v>
          </cell>
          <cell r="O378" t="str">
            <v>Unit Rawatan Rapi Neonatal (NICU)</v>
          </cell>
          <cell r="P378" t="str">
            <v>HM</v>
          </cell>
          <cell r="Q378">
            <v>4300</v>
          </cell>
        </row>
        <row r="379">
          <cell r="E379" t="str">
            <v>KKM/JKN/HSA/10-05-01/H/15/4234</v>
          </cell>
          <cell r="F379" t="str">
            <v>Therapeutic</v>
          </cell>
          <cell r="G379" t="str">
            <v>Basic</v>
          </cell>
          <cell r="H379" t="str">
            <v>Pumps, Breast</v>
          </cell>
          <cell r="I379" t="str">
            <v>PUMP BREAST ELECTRIC</v>
          </cell>
          <cell r="J379" t="str">
            <v>10-485</v>
          </cell>
          <cell r="K379" t="str">
            <v>MEDELA</v>
          </cell>
          <cell r="L379" t="str">
            <v xml:space="preserve"> 016-2017</v>
          </cell>
          <cell r="M379">
            <v>702322</v>
          </cell>
          <cell r="N379" t="str">
            <v>PEDIATRIK</v>
          </cell>
          <cell r="O379" t="str">
            <v>Unit Rawatan Rapi Neonatal (NICU)</v>
          </cell>
          <cell r="P379" t="str">
            <v>HM</v>
          </cell>
          <cell r="Q379">
            <v>12740</v>
          </cell>
        </row>
        <row r="380">
          <cell r="E380" t="str">
            <v>KKM/JKN/HSA/10-05-01/H/15/4235</v>
          </cell>
          <cell r="F380" t="str">
            <v>Therapeutic</v>
          </cell>
          <cell r="G380" t="str">
            <v>Basic</v>
          </cell>
          <cell r="H380" t="str">
            <v>Pumps, Breast</v>
          </cell>
          <cell r="I380" t="str">
            <v>PUMP BREAST ELECTRIC</v>
          </cell>
          <cell r="J380" t="str">
            <v>10-485</v>
          </cell>
          <cell r="K380" t="str">
            <v>MEDELA</v>
          </cell>
          <cell r="L380" t="str">
            <v xml:space="preserve"> 016-2017</v>
          </cell>
          <cell r="M380">
            <v>707254</v>
          </cell>
          <cell r="N380" t="str">
            <v>PEDIATRIK</v>
          </cell>
          <cell r="O380" t="str">
            <v>Unit Rawatan Rapi Neonatal (NICU)</v>
          </cell>
          <cell r="P380" t="str">
            <v>HM</v>
          </cell>
          <cell r="Q380">
            <v>12740</v>
          </cell>
        </row>
        <row r="381">
          <cell r="E381" t="str">
            <v>KKM/JKN/HSA/10-05-01/H/15/1066</v>
          </cell>
          <cell r="F381" t="str">
            <v>Therapeutic</v>
          </cell>
          <cell r="G381" t="str">
            <v>Basic</v>
          </cell>
          <cell r="H381" t="str">
            <v>Phototherapy Units, Visible Light, Hyperbilirubinemia</v>
          </cell>
          <cell r="I381" t="str">
            <v>PHOTOTHERAPY UNIT FREESTANDING</v>
          </cell>
          <cell r="J381" t="str">
            <v>17-515</v>
          </cell>
          <cell r="K381" t="str">
            <v>BISTOS</v>
          </cell>
          <cell r="L381" t="str">
            <v xml:space="preserve"> BT -400</v>
          </cell>
          <cell r="M381" t="str">
            <v>EAE40119</v>
          </cell>
          <cell r="N381" t="str">
            <v>PEDIATRIK</v>
          </cell>
          <cell r="O381" t="str">
            <v>Unit Rawatan Rapi Neonatal (NICU)</v>
          </cell>
          <cell r="P381" t="str">
            <v>HM</v>
          </cell>
          <cell r="Q381">
            <v>6000</v>
          </cell>
        </row>
        <row r="382">
          <cell r="E382" t="str">
            <v>KKM/JKN/HSA/10-05-01/H/15/1067</v>
          </cell>
          <cell r="F382" t="str">
            <v>Therapeutic</v>
          </cell>
          <cell r="G382" t="str">
            <v>Basic</v>
          </cell>
          <cell r="H382" t="str">
            <v>Phototherapy Units, Visible Light, Hyperbilirubinemia</v>
          </cell>
          <cell r="I382" t="str">
            <v>PHOTOTHERAPY UNIT FREESTANDING</v>
          </cell>
          <cell r="J382" t="str">
            <v>17-515</v>
          </cell>
          <cell r="K382" t="str">
            <v>BISTOS</v>
          </cell>
          <cell r="L382" t="str">
            <v xml:space="preserve"> BT -400</v>
          </cell>
          <cell r="M382" t="str">
            <v>EAE40127</v>
          </cell>
          <cell r="N382" t="str">
            <v>PEDIATRIK</v>
          </cell>
          <cell r="O382" t="str">
            <v>Unit Rawatan Rapi Neonatal (NICU)</v>
          </cell>
          <cell r="P382" t="str">
            <v>HM</v>
          </cell>
          <cell r="Q382">
            <v>6000</v>
          </cell>
        </row>
        <row r="383">
          <cell r="E383" t="str">
            <v>KKM/JKN/HSA/10-05-01/H/15/1068</v>
          </cell>
          <cell r="F383" t="str">
            <v>Therapeutic</v>
          </cell>
          <cell r="G383" t="str">
            <v>Basic</v>
          </cell>
          <cell r="H383" t="str">
            <v>Phototherapy Units, Visible Light, Hyperbilirubinemia</v>
          </cell>
          <cell r="I383" t="str">
            <v>PHOTOTHERAPY UNIT FREESTANDING</v>
          </cell>
          <cell r="J383" t="str">
            <v>17-515</v>
          </cell>
          <cell r="K383" t="str">
            <v>BISTOS</v>
          </cell>
          <cell r="L383" t="str">
            <v xml:space="preserve"> BT -400</v>
          </cell>
          <cell r="M383" t="str">
            <v>EAE50025</v>
          </cell>
          <cell r="N383" t="str">
            <v>PEDIATRIK</v>
          </cell>
          <cell r="O383" t="str">
            <v>Unit Rawatan Rapi Neonatal (NICU)</v>
          </cell>
          <cell r="P383" t="str">
            <v>HM</v>
          </cell>
          <cell r="Q383">
            <v>6000</v>
          </cell>
        </row>
        <row r="384">
          <cell r="E384" t="str">
            <v>KKM/JKN/HSA/10-05-01/H/15/1069</v>
          </cell>
          <cell r="F384" t="str">
            <v>Therapeutic</v>
          </cell>
          <cell r="G384" t="str">
            <v>Basic</v>
          </cell>
          <cell r="H384" t="str">
            <v>Phototherapy Units, Visible Light, Hyperbilirubinemia</v>
          </cell>
          <cell r="I384" t="str">
            <v>PHOTOTHERAPY UNIT FREESTANDING</v>
          </cell>
          <cell r="J384" t="str">
            <v>17-515</v>
          </cell>
          <cell r="K384" t="str">
            <v>BISTOS</v>
          </cell>
          <cell r="L384" t="str">
            <v xml:space="preserve"> BT -400</v>
          </cell>
          <cell r="M384" t="str">
            <v>EAE40114</v>
          </cell>
          <cell r="N384" t="str">
            <v>PEDIATRIK</v>
          </cell>
          <cell r="O384" t="str">
            <v>Unit Rawatan Rapi Neonatal (NICU)</v>
          </cell>
          <cell r="P384" t="str">
            <v>HM</v>
          </cell>
          <cell r="Q384">
            <v>6000</v>
          </cell>
        </row>
        <row r="385">
          <cell r="E385" t="str">
            <v>KKM/JKN/HSA/10-05-01/H/15/1070</v>
          </cell>
          <cell r="F385" t="str">
            <v>Therapeutic</v>
          </cell>
          <cell r="G385" t="str">
            <v>Basic</v>
          </cell>
          <cell r="H385" t="str">
            <v>Phototherapy Units, Visible Light, Hyperbilirubinemia</v>
          </cell>
          <cell r="I385" t="str">
            <v>PHOTOTHERAPY UNIT FREESTANDING</v>
          </cell>
          <cell r="J385" t="str">
            <v>17-515</v>
          </cell>
          <cell r="K385" t="str">
            <v>BISTOS</v>
          </cell>
          <cell r="L385" t="str">
            <v xml:space="preserve"> BT -400</v>
          </cell>
          <cell r="M385" t="str">
            <v>EAE50033</v>
          </cell>
          <cell r="N385" t="str">
            <v>PEDIATRIK</v>
          </cell>
          <cell r="O385" t="str">
            <v>Unit Rawatan Rapi Neonatal (NICU)</v>
          </cell>
          <cell r="P385" t="str">
            <v>HM</v>
          </cell>
          <cell r="Q385">
            <v>6000</v>
          </cell>
        </row>
        <row r="386">
          <cell r="E386" t="str">
            <v>KKM/JKN/HSA/10-05-01/H/15/1071</v>
          </cell>
          <cell r="F386" t="str">
            <v>Therapeutic</v>
          </cell>
          <cell r="G386" t="str">
            <v>Basic</v>
          </cell>
          <cell r="H386" t="str">
            <v>Phototherapy Units, Visible Light, Hyperbilirubinemia</v>
          </cell>
          <cell r="I386" t="str">
            <v>PHOTOTHERAPY UNIT FREESTANDING</v>
          </cell>
          <cell r="J386" t="str">
            <v>17-515</v>
          </cell>
          <cell r="K386" t="str">
            <v>BISTOS</v>
          </cell>
          <cell r="L386" t="str">
            <v xml:space="preserve"> BT -400</v>
          </cell>
          <cell r="M386" t="str">
            <v>EAE50065</v>
          </cell>
          <cell r="N386" t="str">
            <v>PEDIATRIK</v>
          </cell>
          <cell r="O386" t="str">
            <v>Unit Rawatan Rapi Neonatal (NICU)</v>
          </cell>
          <cell r="P386" t="str">
            <v>HM</v>
          </cell>
          <cell r="Q386">
            <v>6000</v>
          </cell>
        </row>
        <row r="387">
          <cell r="E387" t="str">
            <v>KKM/JKN/HSA/10-05-01/H/15/1072</v>
          </cell>
          <cell r="F387" t="str">
            <v>Therapeutic</v>
          </cell>
          <cell r="G387" t="str">
            <v>Basic</v>
          </cell>
          <cell r="H387" t="str">
            <v>Phototherapy Units, Visible Light, Hyperbilirubinemia</v>
          </cell>
          <cell r="I387" t="str">
            <v>PHOTOTHERAPY UNIT FREESTANDING</v>
          </cell>
          <cell r="J387" t="str">
            <v>17-515</v>
          </cell>
          <cell r="K387" t="str">
            <v>BISTOS</v>
          </cell>
          <cell r="L387" t="str">
            <v xml:space="preserve"> BT -400</v>
          </cell>
          <cell r="M387" t="str">
            <v>EAE50062</v>
          </cell>
          <cell r="N387" t="str">
            <v>PEDIATRIK</v>
          </cell>
          <cell r="O387" t="str">
            <v>Unit Rawatan Rapi Neonatal (NICU)</v>
          </cell>
          <cell r="P387" t="str">
            <v>HM</v>
          </cell>
          <cell r="Q387">
            <v>6000</v>
          </cell>
        </row>
        <row r="388">
          <cell r="E388" t="str">
            <v>KKM/JKN/HSA/10-05-01/H/15/1074</v>
          </cell>
          <cell r="F388" t="str">
            <v>Therapeutic</v>
          </cell>
          <cell r="G388" t="str">
            <v>Basic</v>
          </cell>
          <cell r="H388" t="str">
            <v>Phototherapy Units, Visible Light, Hyperbilirubinemia</v>
          </cell>
          <cell r="I388" t="str">
            <v>PHOTOTHERAPY UNIT FREESTANDING</v>
          </cell>
          <cell r="J388" t="str">
            <v>17-515</v>
          </cell>
          <cell r="K388" t="str">
            <v>BISTOS</v>
          </cell>
          <cell r="L388" t="str">
            <v xml:space="preserve"> BT -400</v>
          </cell>
          <cell r="M388" t="str">
            <v>EAE40128</v>
          </cell>
          <cell r="N388" t="str">
            <v>PEDIATRIK</v>
          </cell>
          <cell r="O388" t="str">
            <v>Unit Rawatan Rapi Neonatal (NICU)</v>
          </cell>
          <cell r="P388" t="str">
            <v>HM</v>
          </cell>
          <cell r="Q388">
            <v>6000</v>
          </cell>
        </row>
        <row r="389">
          <cell r="E389" t="str">
            <v>KKM/JKN/HSA/10-05-01/H/15/1075</v>
          </cell>
          <cell r="F389" t="str">
            <v>Therapeutic</v>
          </cell>
          <cell r="G389" t="str">
            <v>Basic</v>
          </cell>
          <cell r="H389" t="str">
            <v>Phototherapy Units, Visible Light, Hyperbilirubinemia</v>
          </cell>
          <cell r="I389" t="str">
            <v>PHOTOTHERAPY UNIT FREESTANDING</v>
          </cell>
          <cell r="J389" t="str">
            <v>17-515</v>
          </cell>
          <cell r="K389" t="str">
            <v>BISTOS</v>
          </cell>
          <cell r="L389" t="str">
            <v xml:space="preserve"> BT -400</v>
          </cell>
          <cell r="M389" t="str">
            <v>EAE50031</v>
          </cell>
          <cell r="N389" t="str">
            <v>PEDIATRIK</v>
          </cell>
          <cell r="O389" t="str">
            <v>Unit Rawatan Rapi Neonatal (NICU)</v>
          </cell>
          <cell r="P389" t="str">
            <v>HM</v>
          </cell>
          <cell r="Q389">
            <v>6000</v>
          </cell>
        </row>
        <row r="390">
          <cell r="E390" t="str">
            <v>KKM/JKN/HSA/10-05-01/H/15/1076</v>
          </cell>
          <cell r="F390" t="str">
            <v>Therapeutic</v>
          </cell>
          <cell r="G390" t="str">
            <v>Basic</v>
          </cell>
          <cell r="H390" t="str">
            <v>Phototherapy Units, Visible Light, Hyperbilirubinemia</v>
          </cell>
          <cell r="I390" t="str">
            <v>PHOTOTHERAPY UNIT FREESTANDING</v>
          </cell>
          <cell r="J390" t="str">
            <v>17-515</v>
          </cell>
          <cell r="K390" t="str">
            <v>BISTOS</v>
          </cell>
          <cell r="L390" t="str">
            <v xml:space="preserve"> BT -400</v>
          </cell>
          <cell r="M390" t="str">
            <v>EAE40113</v>
          </cell>
          <cell r="N390" t="str">
            <v>PEDIATRIK</v>
          </cell>
          <cell r="O390" t="str">
            <v>Unit Rawatan Rapi Neonatal (NICU)</v>
          </cell>
          <cell r="P390" t="str">
            <v>HM</v>
          </cell>
          <cell r="Q390">
            <v>6000</v>
          </cell>
        </row>
        <row r="391">
          <cell r="E391" t="str">
            <v>KKM/JKN/HSA/10-05-01/H/15/1077</v>
          </cell>
          <cell r="F391" t="str">
            <v>Therapeutic</v>
          </cell>
          <cell r="G391" t="str">
            <v>Basic</v>
          </cell>
          <cell r="H391" t="str">
            <v>Phototherapy Units, Visible Light, Hyperbilirubinemia</v>
          </cell>
          <cell r="I391" t="str">
            <v>PHOTOTHERAPY UNIT FREESTANDING</v>
          </cell>
          <cell r="J391" t="str">
            <v>17-515</v>
          </cell>
          <cell r="K391" t="str">
            <v>BISTOS</v>
          </cell>
          <cell r="L391" t="str">
            <v xml:space="preserve"> BT -400</v>
          </cell>
          <cell r="M391" t="str">
            <v>EAE50037</v>
          </cell>
          <cell r="N391" t="str">
            <v>PEDIATRIK</v>
          </cell>
          <cell r="O391" t="str">
            <v>Unit Rawatan Rapi Neonatal (NICU)</v>
          </cell>
          <cell r="P391" t="str">
            <v>HM</v>
          </cell>
          <cell r="Q391">
            <v>6000</v>
          </cell>
        </row>
        <row r="392">
          <cell r="E392" t="str">
            <v>KKM/JKN/HSA/10-05-01/H/15/4950</v>
          </cell>
          <cell r="F392" t="str">
            <v>Therapeutic</v>
          </cell>
          <cell r="G392" t="str">
            <v>Basic</v>
          </cell>
          <cell r="H392" t="str">
            <v>Phototherapy Units, Visible Light, Hyperbilirubinemia</v>
          </cell>
          <cell r="I392" t="str">
            <v>PHOTOTHERAPY UNIT FREESTANDING</v>
          </cell>
          <cell r="J392" t="str">
            <v>17-515</v>
          </cell>
          <cell r="K392" t="str">
            <v>BISTOS</v>
          </cell>
          <cell r="L392" t="str">
            <v xml:space="preserve"> BT -400</v>
          </cell>
          <cell r="M392" t="str">
            <v>EAE40126</v>
          </cell>
          <cell r="N392" t="str">
            <v>PEDIATRIK</v>
          </cell>
          <cell r="O392" t="str">
            <v>Unit Rawatan Rapi Neonatal (NICU)</v>
          </cell>
          <cell r="P392" t="str">
            <v>HM</v>
          </cell>
          <cell r="Q392">
            <v>6000</v>
          </cell>
        </row>
        <row r="393">
          <cell r="E393" t="str">
            <v>KKM/JKN/HSA/10-05-01/H/16/11</v>
          </cell>
          <cell r="F393" t="str">
            <v>Therapeutic</v>
          </cell>
          <cell r="G393" t="str">
            <v>Basic</v>
          </cell>
          <cell r="H393" t="str">
            <v>Phototherapy Units, Visible Light, Hyperbilirubinemia</v>
          </cell>
          <cell r="I393" t="str">
            <v>PHOTOTHERAPY RADIOMETER/NEOBLUE RADIOMETER</v>
          </cell>
          <cell r="J393" t="str">
            <v>17-515</v>
          </cell>
          <cell r="K393" t="str">
            <v>NEOBLUE RADIOMETER</v>
          </cell>
          <cell r="L393" t="str">
            <v>TPM</v>
          </cell>
          <cell r="M393">
            <v>13670</v>
          </cell>
          <cell r="N393" t="str">
            <v xml:space="preserve">PEDIATRIK </v>
          </cell>
          <cell r="O393" t="str">
            <v>Unit Rawatan Rapi Neonatal (NICU)</v>
          </cell>
          <cell r="P393" t="str">
            <v>HM</v>
          </cell>
          <cell r="Q393">
            <v>11500</v>
          </cell>
        </row>
        <row r="394">
          <cell r="E394" t="str">
            <v>KKM/JKN/HSA/10-05-01/H/16/132</v>
          </cell>
          <cell r="F394" t="str">
            <v>Therapeutic</v>
          </cell>
          <cell r="G394" t="str">
            <v>Basic</v>
          </cell>
          <cell r="H394" t="str">
            <v>Phototherapy Units, Visible Light, Hyperbilirubinemia</v>
          </cell>
          <cell r="I394" t="str">
            <v>PHOTOTHERAPY MACHINE (LAMP)</v>
          </cell>
          <cell r="J394" t="str">
            <v>17-515</v>
          </cell>
          <cell r="K394" t="str">
            <v>BISTOS</v>
          </cell>
          <cell r="L394" t="str">
            <v xml:space="preserve"> BT -400</v>
          </cell>
          <cell r="M394" t="str">
            <v>EAGA 0087</v>
          </cell>
          <cell r="N394" t="str">
            <v>PEDIATRIK</v>
          </cell>
          <cell r="O394" t="str">
            <v>Unit Rawatan Rapi Neonatal (NICU)</v>
          </cell>
          <cell r="P394" t="str">
            <v>HM</v>
          </cell>
          <cell r="Q394">
            <v>7100</v>
          </cell>
        </row>
        <row r="395">
          <cell r="E395" t="str">
            <v>KKM/JKN/HSA/10-05-01/H/16/133</v>
          </cell>
          <cell r="F395" t="str">
            <v>Therapeutic</v>
          </cell>
          <cell r="G395" t="str">
            <v>Basic</v>
          </cell>
          <cell r="H395" t="str">
            <v>Phototherapy Units, Visible Light, Hyperbilirubinemia</v>
          </cell>
          <cell r="I395" t="str">
            <v>PHOTOTHERAPY MACHINE (LAMP)</v>
          </cell>
          <cell r="J395" t="str">
            <v>17-515</v>
          </cell>
          <cell r="K395" t="str">
            <v>BISTOS</v>
          </cell>
          <cell r="L395" t="str">
            <v xml:space="preserve"> BT -400</v>
          </cell>
          <cell r="M395" t="str">
            <v>EAGA 0088</v>
          </cell>
          <cell r="N395" t="str">
            <v>PEDIATRIK</v>
          </cell>
          <cell r="O395" t="str">
            <v>Unit Rawatan Rapi Neonatal (NICU)</v>
          </cell>
          <cell r="P395" t="str">
            <v>HM</v>
          </cell>
          <cell r="Q395">
            <v>7100</v>
          </cell>
        </row>
        <row r="396">
          <cell r="E396" t="str">
            <v>KKM/JKN/HSA/10-05-01/H/16/134</v>
          </cell>
          <cell r="F396" t="str">
            <v>Therapeutic</v>
          </cell>
          <cell r="G396" t="str">
            <v>Basic</v>
          </cell>
          <cell r="H396" t="str">
            <v>Phototherapy Units, Visible Light, Hyperbilirubinemia</v>
          </cell>
          <cell r="I396" t="str">
            <v>PHOTOTHERAPY MACHINE (LAMP)</v>
          </cell>
          <cell r="J396" t="str">
            <v>17-515</v>
          </cell>
          <cell r="K396" t="str">
            <v>BISTOS</v>
          </cell>
          <cell r="L396" t="str">
            <v xml:space="preserve"> BT -400</v>
          </cell>
          <cell r="M396" t="str">
            <v>EAGA 0089</v>
          </cell>
          <cell r="N396" t="str">
            <v>PEDIATRIK</v>
          </cell>
          <cell r="O396" t="str">
            <v>Unit Rawatan Rapi Neonatal (NICU)</v>
          </cell>
          <cell r="P396" t="str">
            <v>HM</v>
          </cell>
          <cell r="Q396">
            <v>7100</v>
          </cell>
        </row>
        <row r="397">
          <cell r="E397" t="str">
            <v>KKM/JKN/HSA/10-05-01/H/16/135</v>
          </cell>
          <cell r="F397" t="str">
            <v>Therapeutic</v>
          </cell>
          <cell r="G397" t="str">
            <v>Basic</v>
          </cell>
          <cell r="H397" t="str">
            <v>Phototherapy Units, Visible Light, Hyperbilirubinemia</v>
          </cell>
          <cell r="I397" t="str">
            <v>PHOTOTHERAPY MACHINE (LAMP)</v>
          </cell>
          <cell r="J397" t="str">
            <v>17-515</v>
          </cell>
          <cell r="K397" t="str">
            <v>BISTOS</v>
          </cell>
          <cell r="L397" t="str">
            <v xml:space="preserve"> BT -400</v>
          </cell>
          <cell r="M397" t="str">
            <v>EAGA 0090</v>
          </cell>
          <cell r="N397" t="str">
            <v>PEDIATRIK</v>
          </cell>
          <cell r="O397" t="str">
            <v>Unit Rawatan Rapi Neonatal (NICU)</v>
          </cell>
          <cell r="P397" t="str">
            <v>HM</v>
          </cell>
          <cell r="Q397">
            <v>7100</v>
          </cell>
        </row>
        <row r="398">
          <cell r="E398" t="str">
            <v>KKM/JKN/HSA/10-05-01/H/16/136</v>
          </cell>
          <cell r="F398" t="str">
            <v>Therapeutic</v>
          </cell>
          <cell r="G398" t="str">
            <v>Basic</v>
          </cell>
          <cell r="H398" t="str">
            <v>Phototherapy Units, Visible Light, Hyperbilirubinemia</v>
          </cell>
          <cell r="I398" t="str">
            <v>PHOTOTHERAPY MACHINE (LAMP)</v>
          </cell>
          <cell r="J398" t="str">
            <v>17-515</v>
          </cell>
          <cell r="K398" t="str">
            <v>BISTOS</v>
          </cell>
          <cell r="L398" t="str">
            <v xml:space="preserve"> BT -400</v>
          </cell>
          <cell r="M398" t="str">
            <v>EAGA 0091</v>
          </cell>
          <cell r="N398" t="str">
            <v>PEDIATRIK</v>
          </cell>
          <cell r="O398" t="str">
            <v>Unit Rawatan Rapi Neonatal (NICU)</v>
          </cell>
          <cell r="P398" t="str">
            <v>HM</v>
          </cell>
          <cell r="Q398">
            <v>7100</v>
          </cell>
        </row>
        <row r="399">
          <cell r="E399" t="str">
            <v>KKM/JKN/HSA/10-05-01/H/16/137</v>
          </cell>
          <cell r="F399" t="str">
            <v>Therapeutic</v>
          </cell>
          <cell r="G399" t="str">
            <v>Basic</v>
          </cell>
          <cell r="H399" t="str">
            <v>Phototherapy Units, Visible Light, Hyperbilirubinemia</v>
          </cell>
          <cell r="I399" t="str">
            <v>PHOTOTHERAPY MACHINE (LAMP)</v>
          </cell>
          <cell r="J399" t="str">
            <v>17-515</v>
          </cell>
          <cell r="K399" t="str">
            <v>BISTOS</v>
          </cell>
          <cell r="L399" t="str">
            <v xml:space="preserve"> BT -400</v>
          </cell>
          <cell r="M399" t="str">
            <v>EAGA 0092</v>
          </cell>
          <cell r="N399" t="str">
            <v>PEDIATRIK</v>
          </cell>
          <cell r="O399" t="str">
            <v>Unit Rawatan Rapi Neonatal (NICU)</v>
          </cell>
          <cell r="P399" t="str">
            <v>HM</v>
          </cell>
          <cell r="Q399">
            <v>7100</v>
          </cell>
        </row>
        <row r="400">
          <cell r="E400" t="str">
            <v>KKM/JKN/HSA/10-05-01/H/16/19</v>
          </cell>
          <cell r="F400" t="str">
            <v xml:space="preserve">Diagnostic </v>
          </cell>
          <cell r="G400" t="str">
            <v>Intermediate</v>
          </cell>
          <cell r="H400" t="str">
            <v>Oxygen Monitors</v>
          </cell>
          <cell r="I400" t="str">
            <v>OXYGEN BREATH ANALYZER</v>
          </cell>
          <cell r="J400" t="str">
            <v>12-863</v>
          </cell>
          <cell r="K400" t="str">
            <v>TELEDYNE</v>
          </cell>
          <cell r="L400" t="str">
            <v>MX300-I</v>
          </cell>
          <cell r="M400">
            <v>310951</v>
          </cell>
          <cell r="N400" t="str">
            <v>PEDIATRIK</v>
          </cell>
          <cell r="O400" t="str">
            <v>Unit Rawatan Rapi Neonatal (NICU)</v>
          </cell>
          <cell r="P400" t="str">
            <v>HM</v>
          </cell>
          <cell r="Q400">
            <v>3200</v>
          </cell>
        </row>
        <row r="401">
          <cell r="E401" t="str">
            <v>KKM/JKN/HSA/10-05-01/H/15/4058</v>
          </cell>
          <cell r="F401" t="str">
            <v xml:space="preserve">Diagnostic </v>
          </cell>
          <cell r="G401" t="str">
            <v>Intermediate</v>
          </cell>
          <cell r="H401" t="str">
            <v>Oximeters, Pulse</v>
          </cell>
          <cell r="I401" t="str">
            <v>OXIMETER PULSE</v>
          </cell>
          <cell r="J401" t="str">
            <v>17-148</v>
          </cell>
          <cell r="K401" t="str">
            <v>GE</v>
          </cell>
          <cell r="L401" t="str">
            <v>OHMEDA TRUSAT</v>
          </cell>
          <cell r="M401" t="str">
            <v>FCC 14250061 SA</v>
          </cell>
          <cell r="N401" t="str">
            <v>PEDIATRIK</v>
          </cell>
          <cell r="O401" t="str">
            <v>Unit Rawatan Rapi Neonatal (NICU)</v>
          </cell>
          <cell r="P401" t="str">
            <v>HM</v>
          </cell>
          <cell r="Q401">
            <v>4000</v>
          </cell>
        </row>
        <row r="402">
          <cell r="E402" t="str">
            <v>KKM/JKN/HSA/10-05-01/H/16/123</v>
          </cell>
          <cell r="F402" t="str">
            <v>Therapeutic</v>
          </cell>
          <cell r="G402" t="str">
            <v>Basic</v>
          </cell>
          <cell r="H402" t="str">
            <v>Nitric Oxide Delivery Units</v>
          </cell>
          <cell r="I402" t="str">
            <v>NOX BOX1 MOBILE</v>
          </cell>
          <cell r="J402" t="str">
            <v>18-586</v>
          </cell>
          <cell r="K402" t="str">
            <v>NOXBOXi</v>
          </cell>
          <cell r="L402" t="str">
            <v>NOXDC-1</v>
          </cell>
          <cell r="M402" t="str">
            <v>NI100497</v>
          </cell>
          <cell r="N402" t="str">
            <v xml:space="preserve">PEDIATRIK </v>
          </cell>
          <cell r="O402" t="str">
            <v>Unit Rawatan Rapi Neonatal (NICU)</v>
          </cell>
          <cell r="P402" t="str">
            <v>HM</v>
          </cell>
          <cell r="Q402">
            <v>179000</v>
          </cell>
        </row>
        <row r="403">
          <cell r="E403" t="str">
            <v>KKM/JKN/HSA/10-05-01/H/16/17</v>
          </cell>
          <cell r="F403" t="str">
            <v xml:space="preserve">Diagnostic </v>
          </cell>
          <cell r="G403" t="str">
            <v>Intermediate</v>
          </cell>
          <cell r="H403" t="str">
            <v>Physiologic Monitoring Systems, Acute Care</v>
          </cell>
          <cell r="I403" t="str">
            <v>NON INVASIVE CARDIAC OUPUT MONITORING</v>
          </cell>
          <cell r="J403" t="str">
            <v>12-647</v>
          </cell>
          <cell r="K403" t="str">
            <v>GE</v>
          </cell>
          <cell r="L403" t="str">
            <v>B40</v>
          </cell>
          <cell r="M403" t="str">
            <v>SJF15475274WA</v>
          </cell>
          <cell r="N403" t="str">
            <v>PEDIATRIK</v>
          </cell>
          <cell r="O403" t="str">
            <v>Unit Rawatan Rapi Neonatal (NICU)</v>
          </cell>
          <cell r="P403" t="str">
            <v>HM</v>
          </cell>
          <cell r="Q403">
            <v>16000</v>
          </cell>
        </row>
        <row r="404">
          <cell r="E404" t="str">
            <v>KKM/JKN/HSA/10-05-01/H/15/583</v>
          </cell>
          <cell r="F404" t="str">
            <v xml:space="preserve">Diagnostic </v>
          </cell>
          <cell r="G404" t="str">
            <v>Intermediate</v>
          </cell>
          <cell r="H404" t="str">
            <v>Physiologic Monitoring Systems, Acute Care</v>
          </cell>
          <cell r="I404" t="str">
            <v>MONITOR, TRANSP0RT</v>
          </cell>
          <cell r="J404" t="str">
            <v>12-647</v>
          </cell>
          <cell r="K404" t="str">
            <v>MINDRAY</v>
          </cell>
          <cell r="L404" t="str">
            <v xml:space="preserve"> BENEVIEW T1</v>
          </cell>
          <cell r="M404" t="str">
            <v>FB 45005660</v>
          </cell>
          <cell r="N404" t="str">
            <v>PEDIATRIK</v>
          </cell>
          <cell r="O404" t="str">
            <v>Unit Rawatan Rapi Neonatal (NICU)</v>
          </cell>
          <cell r="P404" t="str">
            <v>HM</v>
          </cell>
          <cell r="Q404">
            <v>15500</v>
          </cell>
        </row>
        <row r="405">
          <cell r="E405" t="str">
            <v>KKM/JKN/HSA/10-05-01/H/15/4972</v>
          </cell>
          <cell r="F405" t="str">
            <v xml:space="preserve">Diagnostic </v>
          </cell>
          <cell r="G405" t="str">
            <v>Intermediate</v>
          </cell>
          <cell r="H405" t="str">
            <v>Physiologic Monitoring Systems, Acute Care</v>
          </cell>
          <cell r="I405" t="str">
            <v>MONITOR PRE-CONFIG 6-CH ECG/RR/SP02/NIBP/2TEMP/2IBP/EtCO2/ARRHYTH</v>
          </cell>
          <cell r="J405" t="str">
            <v>12-647</v>
          </cell>
          <cell r="K405" t="str">
            <v>MINDRAY</v>
          </cell>
          <cell r="L405" t="str">
            <v>BENEVIEW T8</v>
          </cell>
          <cell r="M405" t="str">
            <v>CF45122910</v>
          </cell>
          <cell r="N405" t="str">
            <v>PEDIATRIK</v>
          </cell>
          <cell r="O405" t="str">
            <v>Unit Rawatan Rapi Neonatal (NICU)</v>
          </cell>
          <cell r="P405" t="str">
            <v>HM</v>
          </cell>
          <cell r="Q405">
            <v>40560</v>
          </cell>
        </row>
        <row r="406">
          <cell r="E406" t="str">
            <v>KKM/JKN/HSA/10-05-01/H/15/4973</v>
          </cell>
          <cell r="F406" t="str">
            <v xml:space="preserve">Diagnostic </v>
          </cell>
          <cell r="G406" t="str">
            <v>Intermediate</v>
          </cell>
          <cell r="H406" t="str">
            <v>Physiologic Monitoring Systems, Acute Care</v>
          </cell>
          <cell r="I406" t="str">
            <v>MONITOR PRE-CONFIG 6-CH ECG/RR/SP02/NIBP/2TEMP/2IBP/EtCO2/ARRHYTH</v>
          </cell>
          <cell r="J406" t="str">
            <v>12-647</v>
          </cell>
          <cell r="K406" t="str">
            <v>MINDRAY</v>
          </cell>
          <cell r="L406" t="str">
            <v>BENEVIEW T8</v>
          </cell>
          <cell r="M406" t="str">
            <v>CF45122911</v>
          </cell>
          <cell r="N406" t="str">
            <v>PEDIATRIK</v>
          </cell>
          <cell r="O406" t="str">
            <v>Unit Rawatan Rapi Neonatal (NICU)</v>
          </cell>
          <cell r="P406" t="str">
            <v>HM</v>
          </cell>
          <cell r="Q406">
            <v>40560</v>
          </cell>
        </row>
        <row r="407">
          <cell r="E407" t="str">
            <v>KKM/JKN/HSA/10-05-01/H/15/4974</v>
          </cell>
          <cell r="F407" t="str">
            <v xml:space="preserve">Diagnostic </v>
          </cell>
          <cell r="G407" t="str">
            <v>Intermediate</v>
          </cell>
          <cell r="H407" t="str">
            <v>Physiologic Monitoring Systems, Acute Care</v>
          </cell>
          <cell r="I407" t="str">
            <v>MONITOR PRE-CONFIG 6-CH ECG/RR/SP02/NIBP/2TEMP/2IBP/EtCO2/ARRHYTH</v>
          </cell>
          <cell r="J407" t="str">
            <v>12-647</v>
          </cell>
          <cell r="K407" t="str">
            <v>MINDRAY</v>
          </cell>
          <cell r="L407" t="str">
            <v>BENEVIEW T8</v>
          </cell>
          <cell r="M407" t="str">
            <v>CF45122912</v>
          </cell>
          <cell r="N407" t="str">
            <v>PEDIATRIK</v>
          </cell>
          <cell r="O407" t="str">
            <v>Unit Rawatan Rapi Neonatal (NICU)</v>
          </cell>
          <cell r="P407" t="str">
            <v>HM</v>
          </cell>
          <cell r="Q407">
            <v>40560</v>
          </cell>
        </row>
        <row r="408">
          <cell r="E408" t="str">
            <v>KKM/JKN/HSA/10-05-01/H/15/4975</v>
          </cell>
          <cell r="F408" t="str">
            <v xml:space="preserve">Diagnostic </v>
          </cell>
          <cell r="G408" t="str">
            <v>Intermediate</v>
          </cell>
          <cell r="H408" t="str">
            <v>Physiologic Monitoring Systems, Acute Care</v>
          </cell>
          <cell r="I408" t="str">
            <v>MONITOR PRE-CONFIG 6-CH ECG/RR/SP02/NIBP/2TEMP/2IBP/EtCO2/ARRHYTH</v>
          </cell>
          <cell r="J408" t="str">
            <v>12-647</v>
          </cell>
          <cell r="K408" t="str">
            <v>MINDRAY</v>
          </cell>
          <cell r="L408" t="str">
            <v>BENEVIEW T8</v>
          </cell>
          <cell r="M408" t="str">
            <v>CF45122913</v>
          </cell>
          <cell r="N408" t="str">
            <v>PEDIATRIK</v>
          </cell>
          <cell r="O408" t="str">
            <v>Unit Rawatan Rapi Neonatal (NICU)</v>
          </cell>
          <cell r="P408" t="str">
            <v>HM</v>
          </cell>
          <cell r="Q408">
            <v>40560</v>
          </cell>
        </row>
        <row r="409">
          <cell r="E409" t="str">
            <v>KKM/JKN/HSA/10-05-01/H/15/4976</v>
          </cell>
          <cell r="F409" t="str">
            <v xml:space="preserve">Diagnostic </v>
          </cell>
          <cell r="G409" t="str">
            <v>Intermediate</v>
          </cell>
          <cell r="H409" t="str">
            <v>Physiologic Monitoring Systems, Acute Care</v>
          </cell>
          <cell r="I409" t="str">
            <v>MONITOR PRE-CONFIG 6-CH ECG/RR/SP02/NIBP/2TEMP/2IBP/EtCO2/ARRHYTH</v>
          </cell>
          <cell r="J409" t="str">
            <v>12-647</v>
          </cell>
          <cell r="K409" t="str">
            <v>MINDRAY</v>
          </cell>
          <cell r="L409" t="str">
            <v>BENEVIEW T8</v>
          </cell>
          <cell r="M409" t="str">
            <v>CF45122914</v>
          </cell>
          <cell r="N409" t="str">
            <v>PEDIATRIK</v>
          </cell>
          <cell r="O409" t="str">
            <v>Unit Rawatan Rapi Neonatal (NICU)</v>
          </cell>
          <cell r="P409" t="str">
            <v>HM</v>
          </cell>
          <cell r="Q409">
            <v>40560</v>
          </cell>
        </row>
        <row r="410">
          <cell r="E410" t="str">
            <v>KKM/JKN/HSA/10-05-01/H/15/4977</v>
          </cell>
          <cell r="F410" t="str">
            <v xml:space="preserve">Diagnostic </v>
          </cell>
          <cell r="G410" t="str">
            <v>Intermediate</v>
          </cell>
          <cell r="H410" t="str">
            <v>Physiologic Monitoring Systems, Acute Care</v>
          </cell>
          <cell r="I410" t="str">
            <v>MONITOR PRE-CONFIG 6-CH ECG/RR/SP02/NIBP/2TEMP/2IBP/EtCO2/ARRHYTH</v>
          </cell>
          <cell r="J410" t="str">
            <v>12-647</v>
          </cell>
          <cell r="K410" t="str">
            <v>MINDRAY</v>
          </cell>
          <cell r="L410" t="str">
            <v>BENEVIEW T8</v>
          </cell>
          <cell r="M410" t="str">
            <v>CF45122915</v>
          </cell>
          <cell r="N410" t="str">
            <v>PEDIATRIK</v>
          </cell>
          <cell r="O410" t="str">
            <v>Unit Rawatan Rapi Neonatal (NICU)</v>
          </cell>
          <cell r="P410" t="str">
            <v>HM</v>
          </cell>
          <cell r="Q410">
            <v>40560</v>
          </cell>
        </row>
        <row r="411">
          <cell r="E411" t="str">
            <v>KKM/JKN/HSA/10-05-01/H/15/4978</v>
          </cell>
          <cell r="F411" t="str">
            <v xml:space="preserve">Diagnostic </v>
          </cell>
          <cell r="G411" t="str">
            <v>Intermediate</v>
          </cell>
          <cell r="H411" t="str">
            <v>Physiologic Monitoring Systems, Acute Care</v>
          </cell>
          <cell r="I411" t="str">
            <v>MONITOR PRE-CONFIG 6-CH ECG/RR/SP02/NIBP/2TEMP/2IBP/EtCO2/ARRHYTH</v>
          </cell>
          <cell r="J411" t="str">
            <v>12-647</v>
          </cell>
          <cell r="K411" t="str">
            <v>MINDRAY</v>
          </cell>
          <cell r="L411" t="str">
            <v>BENEVIEW T8</v>
          </cell>
          <cell r="M411" t="str">
            <v>CF 45122916</v>
          </cell>
          <cell r="N411" t="str">
            <v>PEDIATRIK</v>
          </cell>
          <cell r="O411" t="str">
            <v>Unit Rawatan Rapi Neonatal (NICU)</v>
          </cell>
          <cell r="P411" t="str">
            <v>HM</v>
          </cell>
          <cell r="Q411">
            <v>40560</v>
          </cell>
        </row>
        <row r="412">
          <cell r="E412" t="str">
            <v>KKM/JKN/HSA/10-05-01/H/15/4979</v>
          </cell>
          <cell r="F412" t="str">
            <v xml:space="preserve">Diagnostic </v>
          </cell>
          <cell r="G412" t="str">
            <v>Intermediate</v>
          </cell>
          <cell r="H412" t="str">
            <v>Physiologic Monitoring Systems, Acute Care</v>
          </cell>
          <cell r="I412" t="str">
            <v>MONITOR PRE-CONFIG 6-CH ECG/RR/SP02/NIBP/2TEMP/2IBP/EtCO2/ARRHYTH</v>
          </cell>
          <cell r="J412" t="str">
            <v>12-647</v>
          </cell>
          <cell r="K412" t="str">
            <v>MINDRAY</v>
          </cell>
          <cell r="L412" t="str">
            <v>BENEVIEW T8</v>
          </cell>
          <cell r="M412" t="str">
            <v>CF41522917</v>
          </cell>
          <cell r="N412" t="str">
            <v>PEDIATRIK</v>
          </cell>
          <cell r="O412" t="str">
            <v>Unit Rawatan Rapi Neonatal (NICU)</v>
          </cell>
          <cell r="P412" t="str">
            <v>HM</v>
          </cell>
          <cell r="Q412">
            <v>40560</v>
          </cell>
        </row>
        <row r="413">
          <cell r="E413" t="str">
            <v>KKM/JKN/HSA/10-05-01/H/15/4980</v>
          </cell>
          <cell r="F413" t="str">
            <v xml:space="preserve">Diagnostic </v>
          </cell>
          <cell r="G413" t="str">
            <v>Intermediate</v>
          </cell>
          <cell r="H413" t="str">
            <v>Physiologic Monitoring Systems, Acute Care</v>
          </cell>
          <cell r="I413" t="str">
            <v>MONITOR PRE-CONFIG 6-CH ECG/RR/SP02/NIBP/2TEMP/2IBP/EtCO2/ARRHYTH</v>
          </cell>
          <cell r="J413" t="str">
            <v>12-647</v>
          </cell>
          <cell r="K413" t="str">
            <v>MINDRAY</v>
          </cell>
          <cell r="L413" t="str">
            <v>BENEVIEW T8</v>
          </cell>
          <cell r="M413" t="str">
            <v>CF41522918</v>
          </cell>
          <cell r="N413" t="str">
            <v>PEDIATRIK</v>
          </cell>
          <cell r="O413" t="str">
            <v>Unit Rawatan Rapi Neonatal (NICU)</v>
          </cell>
          <cell r="P413" t="str">
            <v>HM</v>
          </cell>
          <cell r="Q413">
            <v>40560</v>
          </cell>
        </row>
        <row r="414">
          <cell r="E414" t="str">
            <v>KKM/JKN/HSA/10-05-01/H/15/4981</v>
          </cell>
          <cell r="F414" t="str">
            <v xml:space="preserve">Diagnostic </v>
          </cell>
          <cell r="G414" t="str">
            <v>Intermediate</v>
          </cell>
          <cell r="H414" t="str">
            <v>Physiologic Monitoring Systems, Acute Care</v>
          </cell>
          <cell r="I414" t="str">
            <v>MONITOR PRE-CONFIG 6-CH ECG/RR/SP02/NIBP/2TEMP/2IBP/EtCO2/ARRHYTH</v>
          </cell>
          <cell r="J414" t="str">
            <v>12-647</v>
          </cell>
          <cell r="K414" t="str">
            <v>MINDRAY</v>
          </cell>
          <cell r="L414" t="str">
            <v>BENEVIEW T8</v>
          </cell>
          <cell r="M414" t="str">
            <v>CF41522919</v>
          </cell>
          <cell r="N414" t="str">
            <v>PEDIATRIK</v>
          </cell>
          <cell r="O414" t="str">
            <v>Unit Rawatan Rapi Neonatal (NICU)</v>
          </cell>
          <cell r="P414" t="str">
            <v>HM</v>
          </cell>
          <cell r="Q414">
            <v>40560</v>
          </cell>
        </row>
        <row r="415">
          <cell r="E415" t="str">
            <v>KKM/JKN/HSA/10-05-01/H/15/4982</v>
          </cell>
          <cell r="F415" t="str">
            <v xml:space="preserve">Diagnostic </v>
          </cell>
          <cell r="G415" t="str">
            <v>Intermediate</v>
          </cell>
          <cell r="H415" t="str">
            <v>Physiologic Monitoring Systems, Acute Care</v>
          </cell>
          <cell r="I415" t="str">
            <v>MONITOR PRE-CONFIG 6-CH ECG/RR/SP02/NIBP/2TEMP/2IBP/EtCO2/ARRHYTH</v>
          </cell>
          <cell r="J415" t="str">
            <v>12-647</v>
          </cell>
          <cell r="K415" t="str">
            <v>MINDRAY</v>
          </cell>
          <cell r="L415" t="str">
            <v>BENEVIEW T8</v>
          </cell>
          <cell r="M415" t="str">
            <v>CF45122921</v>
          </cell>
          <cell r="N415" t="str">
            <v>PEDIATRIK</v>
          </cell>
          <cell r="O415" t="str">
            <v>Unit Rawatan Rapi Neonatal (NICU)</v>
          </cell>
          <cell r="P415" t="str">
            <v>HM</v>
          </cell>
          <cell r="Q415">
            <v>40560</v>
          </cell>
        </row>
        <row r="416">
          <cell r="E416" t="str">
            <v>KKM/JKN/HSA/10-05-01/H/15/4983</v>
          </cell>
          <cell r="F416" t="str">
            <v xml:space="preserve">Diagnostic </v>
          </cell>
          <cell r="G416" t="str">
            <v>Intermediate</v>
          </cell>
          <cell r="H416" t="str">
            <v>Physiologic Monitoring Systems, Acute Care</v>
          </cell>
          <cell r="I416" t="str">
            <v>MONITOR PRE-CONFIG 6-CH ECG/RR/SP02/NIBP/2TEMP/2IBP/EtCO2/ARRHYTH</v>
          </cell>
          <cell r="J416" t="str">
            <v>12-647</v>
          </cell>
          <cell r="K416" t="str">
            <v>MINDRAY</v>
          </cell>
          <cell r="L416" t="str">
            <v>BENEVIEW T8</v>
          </cell>
          <cell r="M416" t="str">
            <v>CF45122920</v>
          </cell>
          <cell r="N416" t="str">
            <v>PEDIATRIK</v>
          </cell>
          <cell r="O416" t="str">
            <v>Unit Rawatan Rapi Neonatal (NICU)</v>
          </cell>
          <cell r="P416" t="str">
            <v>HM</v>
          </cell>
          <cell r="Q416">
            <v>40560</v>
          </cell>
        </row>
        <row r="417">
          <cell r="E417" t="str">
            <v>KKM/JKN/HSA/10-05-01/H/15/4984</v>
          </cell>
          <cell r="F417" t="str">
            <v xml:space="preserve">Diagnostic </v>
          </cell>
          <cell r="G417" t="str">
            <v>Intermediate</v>
          </cell>
          <cell r="H417" t="str">
            <v>Physiologic Monitoring Systems, Acute Care</v>
          </cell>
          <cell r="I417" t="str">
            <v>MONITOR PRE-CONFIG 6-CH ECG/RR/SP02/NIBP/2TEMP/2IBP/EtCO2/ARRHYTH</v>
          </cell>
          <cell r="J417" t="str">
            <v>12-647</v>
          </cell>
          <cell r="K417" t="str">
            <v>MINDRAY</v>
          </cell>
          <cell r="L417" t="str">
            <v>BENEVIEW T8</v>
          </cell>
          <cell r="M417" t="str">
            <v>CF45122922</v>
          </cell>
          <cell r="N417" t="str">
            <v>PEDIATRIK</v>
          </cell>
          <cell r="O417" t="str">
            <v>Unit Rawatan Rapi Neonatal (NICU)</v>
          </cell>
          <cell r="P417" t="str">
            <v>HM</v>
          </cell>
          <cell r="Q417">
            <v>40560</v>
          </cell>
        </row>
        <row r="418">
          <cell r="E418" t="str">
            <v>KKM/JKN/HSA/10-05-01/H/15/4985</v>
          </cell>
          <cell r="F418" t="str">
            <v xml:space="preserve">Diagnostic </v>
          </cell>
          <cell r="G418" t="str">
            <v>Intermediate</v>
          </cell>
          <cell r="H418" t="str">
            <v>Physiologic Monitoring Systems, Acute Care</v>
          </cell>
          <cell r="I418" t="str">
            <v>MONITOR PRE-CONFIG 6-CH ECG/RR/SP02/NIBP/2TEMP/2IBP/EtCO2/ARRHYTH</v>
          </cell>
          <cell r="J418" t="str">
            <v>12-647</v>
          </cell>
          <cell r="K418" t="str">
            <v>MINDRAY</v>
          </cell>
          <cell r="L418" t="str">
            <v>BENEVIEW T8</v>
          </cell>
          <cell r="M418" t="str">
            <v>CF45122923</v>
          </cell>
          <cell r="N418" t="str">
            <v>PEDIATRIK</v>
          </cell>
          <cell r="O418" t="str">
            <v>Unit Rawatan Rapi Neonatal (NICU)</v>
          </cell>
          <cell r="P418" t="str">
            <v>HM</v>
          </cell>
          <cell r="Q418">
            <v>40560</v>
          </cell>
        </row>
        <row r="419">
          <cell r="E419" t="str">
            <v>KKM/JKN/HSA/10-05-01/H/15/4986</v>
          </cell>
          <cell r="F419" t="str">
            <v xml:space="preserve">Diagnostic </v>
          </cell>
          <cell r="G419" t="str">
            <v>Intermediate</v>
          </cell>
          <cell r="H419" t="str">
            <v>Physiologic Monitoring Systems, Acute Care</v>
          </cell>
          <cell r="I419" t="str">
            <v>MONITOR PRE-CONFIG 6-CH ECG/RR/SP02/NIBP/2TEMP/2IBP/EtCO2/ARRHYTH</v>
          </cell>
          <cell r="J419" t="str">
            <v>12-647</v>
          </cell>
          <cell r="K419" t="str">
            <v>MINDRAY</v>
          </cell>
          <cell r="L419" t="str">
            <v>BENEVIEW T8</v>
          </cell>
          <cell r="M419" t="str">
            <v>CF45122924</v>
          </cell>
          <cell r="N419" t="str">
            <v>PEDIATRIK</v>
          </cell>
          <cell r="O419" t="str">
            <v>Unit Rawatan Rapi Neonatal (NICU)</v>
          </cell>
          <cell r="P419" t="str">
            <v>HM</v>
          </cell>
          <cell r="Q419">
            <v>40560</v>
          </cell>
        </row>
        <row r="420">
          <cell r="E420" t="str">
            <v>KKM/JKN/HSA/10-05-01/H/15/4987</v>
          </cell>
          <cell r="F420" t="str">
            <v xml:space="preserve">Diagnostic </v>
          </cell>
          <cell r="G420" t="str">
            <v>Intermediate</v>
          </cell>
          <cell r="H420" t="str">
            <v>Physiologic Monitoring Systems, Acute Care</v>
          </cell>
          <cell r="I420" t="str">
            <v>MONITOR PRE-CONFIG 6-CH ECG/RR/SP02/NIBP/2TEMP/2IBP/EtCO2/ARRHYTH</v>
          </cell>
          <cell r="J420" t="str">
            <v>12-647</v>
          </cell>
          <cell r="K420" t="str">
            <v>MINDRAY</v>
          </cell>
          <cell r="L420" t="str">
            <v>BENEVIEW T8</v>
          </cell>
          <cell r="M420" t="str">
            <v>CF45122925</v>
          </cell>
          <cell r="N420" t="str">
            <v>PEDIATRIK</v>
          </cell>
          <cell r="O420" t="str">
            <v>Unit Rawatan Rapi Neonatal (NICU)</v>
          </cell>
          <cell r="P420" t="str">
            <v>HM</v>
          </cell>
          <cell r="Q420">
            <v>40560</v>
          </cell>
        </row>
        <row r="421">
          <cell r="E421" t="str">
            <v>KKM/JKN/HSA/10-05-01/H/15/4988</v>
          </cell>
          <cell r="F421" t="str">
            <v xml:space="preserve">Diagnostic </v>
          </cell>
          <cell r="G421" t="str">
            <v>Intermediate</v>
          </cell>
          <cell r="H421" t="str">
            <v>Physiologic Monitoring Systems, Acute Care</v>
          </cell>
          <cell r="I421" t="str">
            <v>MONITOR PRE-CONFIG 6-CH ECG/RR/SP02/NIBP/2TEMP/2IBP/EtCO2/ARRHYTH</v>
          </cell>
          <cell r="J421" t="str">
            <v>12-647</v>
          </cell>
          <cell r="K421" t="str">
            <v>MINDRAY</v>
          </cell>
          <cell r="L421" t="str">
            <v>BENEVIEW T8</v>
          </cell>
          <cell r="M421" t="str">
            <v>CF45122926</v>
          </cell>
          <cell r="N421" t="str">
            <v>PEDIATRIK</v>
          </cell>
          <cell r="O421" t="str">
            <v>Unit Rawatan Rapi Neonatal (NICU)</v>
          </cell>
          <cell r="P421" t="str">
            <v>HM</v>
          </cell>
          <cell r="Q421">
            <v>40560</v>
          </cell>
        </row>
        <row r="422">
          <cell r="E422" t="str">
            <v>KKM/JKN/HSA/10-05-01/H/15/4989</v>
          </cell>
          <cell r="F422" t="str">
            <v xml:space="preserve">Diagnostic </v>
          </cell>
          <cell r="G422" t="str">
            <v>Intermediate</v>
          </cell>
          <cell r="H422" t="str">
            <v>Physiologic Monitoring Systems, Acute Care</v>
          </cell>
          <cell r="I422" t="str">
            <v>MONITOR PRE-CONFIG 6-CH ECG/RR/SP02/NIBP/2TEMP/2IBP/EtCO2/ARRHYTH</v>
          </cell>
          <cell r="J422" t="str">
            <v>12-647</v>
          </cell>
          <cell r="K422" t="str">
            <v>MINDRAY</v>
          </cell>
          <cell r="L422" t="str">
            <v>BENEVIEW T8</v>
          </cell>
          <cell r="M422" t="str">
            <v>CF45122927</v>
          </cell>
          <cell r="N422" t="str">
            <v>PEDIATRIK</v>
          </cell>
          <cell r="O422" t="str">
            <v>Unit Rawatan Rapi Neonatal (NICU)</v>
          </cell>
          <cell r="P422" t="str">
            <v>HM</v>
          </cell>
          <cell r="Q422">
            <v>40560</v>
          </cell>
        </row>
        <row r="423">
          <cell r="E423" t="str">
            <v>KKM/JKN/HSA/10-05-01/H/15/4990</v>
          </cell>
          <cell r="F423" t="str">
            <v xml:space="preserve">Diagnostic </v>
          </cell>
          <cell r="G423" t="str">
            <v>Intermediate</v>
          </cell>
          <cell r="H423" t="str">
            <v>Physiologic Monitoring Systems, Acute Care</v>
          </cell>
          <cell r="I423" t="str">
            <v>MONITOR PRE-CONFIG 6-CH ECG/RR/SP02/NIBP/2TEMP/2IBP/EtCO2/ARRHYTH</v>
          </cell>
          <cell r="J423" t="str">
            <v>12-647</v>
          </cell>
          <cell r="K423" t="str">
            <v>MINDRAY</v>
          </cell>
          <cell r="L423" t="str">
            <v>BENEVIEW T8</v>
          </cell>
          <cell r="M423" t="str">
            <v>CF45122928</v>
          </cell>
          <cell r="N423" t="str">
            <v>PEDIATRIK</v>
          </cell>
          <cell r="O423" t="str">
            <v>Unit Rawatan Rapi Neonatal (NICU)</v>
          </cell>
          <cell r="P423" t="str">
            <v>HM</v>
          </cell>
          <cell r="Q423">
            <v>40560</v>
          </cell>
        </row>
        <row r="424">
          <cell r="E424" t="str">
            <v>KKM/JKN/HSA/10-05-01/H/15/4991</v>
          </cell>
          <cell r="F424" t="str">
            <v xml:space="preserve">Diagnostic </v>
          </cell>
          <cell r="G424" t="str">
            <v>Intermediate</v>
          </cell>
          <cell r="H424" t="str">
            <v>Physiologic Monitoring Systems, Acute Care</v>
          </cell>
          <cell r="I424" t="str">
            <v>MONITOR PRE-CONFIG 6-CH ECG/RR/SP02/NIBP/2TEMP/2IBP/EtCO2/ARRHYTH</v>
          </cell>
          <cell r="J424" t="str">
            <v>12-647</v>
          </cell>
          <cell r="K424" t="str">
            <v>MINDRAY</v>
          </cell>
          <cell r="L424" t="str">
            <v>BENEVIEW T8</v>
          </cell>
          <cell r="M424" t="str">
            <v>CF45122929</v>
          </cell>
          <cell r="N424" t="str">
            <v>PEDIATRIK</v>
          </cell>
          <cell r="O424" t="str">
            <v>Unit Rawatan Rapi Neonatal (NICU)</v>
          </cell>
          <cell r="P424" t="str">
            <v>HM</v>
          </cell>
          <cell r="Q424">
            <v>40560</v>
          </cell>
        </row>
        <row r="425">
          <cell r="E425" t="str">
            <v>KKM/JKN/HSA/10-05-01/H/15/4992</v>
          </cell>
          <cell r="F425" t="str">
            <v xml:space="preserve">Diagnostic </v>
          </cell>
          <cell r="G425" t="str">
            <v>Intermediate</v>
          </cell>
          <cell r="H425" t="str">
            <v>Physiologic Monitoring Systems, Acute Care</v>
          </cell>
          <cell r="I425" t="str">
            <v>MONITOR PRE-CONFIG 6-CH ECG/RR/SP02/NIBP/2TEMP/2IBP/EtCO2/ARRHYTH</v>
          </cell>
          <cell r="J425" t="str">
            <v>12-647</v>
          </cell>
          <cell r="K425" t="str">
            <v>MINDRAY</v>
          </cell>
          <cell r="L425" t="str">
            <v>BENEVIEW T8</v>
          </cell>
          <cell r="M425" t="str">
            <v>CF45122930</v>
          </cell>
          <cell r="N425" t="str">
            <v>PEDIATRIK</v>
          </cell>
          <cell r="O425" t="str">
            <v>Unit Rawatan Rapi Neonatal (NICU)</v>
          </cell>
          <cell r="P425" t="str">
            <v>HM</v>
          </cell>
          <cell r="Q425">
            <v>40560</v>
          </cell>
        </row>
        <row r="426">
          <cell r="E426" t="str">
            <v>KKM/JKN/HSA/10-05-01/H/15/4993</v>
          </cell>
          <cell r="F426" t="str">
            <v xml:space="preserve">Diagnostic </v>
          </cell>
          <cell r="G426" t="str">
            <v>Intermediate</v>
          </cell>
          <cell r="H426" t="str">
            <v>Physiologic Monitoring Systems, Acute Care</v>
          </cell>
          <cell r="I426" t="str">
            <v>MONITOR PRE-CONFIG 6-CH ECG/RR/SP02/NIBP/2TEMP/2IBP/EtCO2/ARRHYTH</v>
          </cell>
          <cell r="J426" t="str">
            <v>12-647</v>
          </cell>
          <cell r="K426" t="str">
            <v>MINDRAY</v>
          </cell>
          <cell r="L426" t="str">
            <v>BENEVIEW T8</v>
          </cell>
          <cell r="M426" t="str">
            <v>CF45122931</v>
          </cell>
          <cell r="N426" t="str">
            <v>PEDIATRIK</v>
          </cell>
          <cell r="O426" t="str">
            <v>Unit Rawatan Rapi Neonatal (NICU)</v>
          </cell>
          <cell r="P426" t="str">
            <v>HM</v>
          </cell>
          <cell r="Q426">
            <v>40560</v>
          </cell>
        </row>
        <row r="427">
          <cell r="E427" t="str">
            <v>KKM/JKN/HSA/10-05-01/H/15/4994</v>
          </cell>
          <cell r="F427" t="str">
            <v xml:space="preserve">Diagnostic </v>
          </cell>
          <cell r="G427" t="str">
            <v>Intermediate</v>
          </cell>
          <cell r="H427" t="str">
            <v>Physiologic Monitoring Systems, Acute Care</v>
          </cell>
          <cell r="I427" t="str">
            <v>MONITOR PRE-CONFIG 6-CH ECG/RR/SP02/NIBP/2TEMP/2IBP/EtCO2/ARRHYTH</v>
          </cell>
          <cell r="J427" t="str">
            <v>12-647</v>
          </cell>
          <cell r="K427" t="str">
            <v>MINDRAY</v>
          </cell>
          <cell r="L427" t="str">
            <v>BENEVIEW T8</v>
          </cell>
          <cell r="M427" t="str">
            <v>CF45122932</v>
          </cell>
          <cell r="N427" t="str">
            <v>PEDIATRIK</v>
          </cell>
          <cell r="O427" t="str">
            <v>Unit Rawatan Rapi Neonatal (NICU)</v>
          </cell>
          <cell r="P427" t="str">
            <v>HM</v>
          </cell>
          <cell r="Q427">
            <v>40560</v>
          </cell>
        </row>
        <row r="428">
          <cell r="E428" t="str">
            <v>KKM/JKN/HSA/10-05-01/H/15/4995</v>
          </cell>
          <cell r="F428" t="str">
            <v xml:space="preserve">Diagnostic </v>
          </cell>
          <cell r="G428" t="str">
            <v>Intermediate</v>
          </cell>
          <cell r="H428" t="str">
            <v>Physiologic Monitoring Systems, Acute Care</v>
          </cell>
          <cell r="I428" t="str">
            <v>MONITOR PRE-CONFIG 6-CH ECG/RR/SP02/NIBP/2TEMP/2IBP/EtCO2/ARRHYTH</v>
          </cell>
          <cell r="J428" t="str">
            <v>12-647</v>
          </cell>
          <cell r="K428" t="str">
            <v>MINDRAY</v>
          </cell>
          <cell r="L428" t="str">
            <v>BENEVIEW T8</v>
          </cell>
          <cell r="M428" t="str">
            <v>CF45122933</v>
          </cell>
          <cell r="N428" t="str">
            <v>PEDIATRIK</v>
          </cell>
          <cell r="O428" t="str">
            <v>Unit Rawatan Rapi Neonatal (NICU)</v>
          </cell>
          <cell r="P428" t="str">
            <v>HM</v>
          </cell>
          <cell r="Q428">
            <v>40560</v>
          </cell>
        </row>
        <row r="429">
          <cell r="E429" t="str">
            <v>KKM/JKN/HSA/10-05-01/H/15/1019</v>
          </cell>
          <cell r="F429" t="str">
            <v xml:space="preserve">Diagnostic </v>
          </cell>
          <cell r="G429" t="str">
            <v>Intermediate</v>
          </cell>
          <cell r="H429" t="str">
            <v>Monitors, Physiologic, Vital Signs</v>
          </cell>
          <cell r="I429" t="str">
            <v>MONITOR NIBP/SP02</v>
          </cell>
          <cell r="J429" t="str">
            <v>25-209</v>
          </cell>
          <cell r="K429" t="str">
            <v>WELCH ALLYN</v>
          </cell>
          <cell r="L429" t="str">
            <v>WELCH ALLYN VSM 300</v>
          </cell>
          <cell r="M429" t="str">
            <v>JA123470</v>
          </cell>
          <cell r="N429" t="str">
            <v>PEDIATRIK</v>
          </cell>
          <cell r="O429" t="str">
            <v>Unit Rawatan Rapi Neonatal (NICU)</v>
          </cell>
          <cell r="P429" t="str">
            <v>HM</v>
          </cell>
          <cell r="Q429">
            <v>5185</v>
          </cell>
        </row>
        <row r="430">
          <cell r="E430" t="str">
            <v>KKM/JKN/HSA/10-05-01/H/15/1020</v>
          </cell>
          <cell r="F430" t="str">
            <v xml:space="preserve">Diagnostic </v>
          </cell>
          <cell r="G430" t="str">
            <v>Intermediate</v>
          </cell>
          <cell r="H430" t="str">
            <v>Monitors, Physiologic, Vital Signs</v>
          </cell>
          <cell r="I430" t="str">
            <v>MONITOR NIBP/SP02</v>
          </cell>
          <cell r="J430" t="str">
            <v>25-209</v>
          </cell>
          <cell r="K430" t="str">
            <v>WELCH ALLYN</v>
          </cell>
          <cell r="L430" t="str">
            <v>WELCH ALLYN VSM 300</v>
          </cell>
          <cell r="M430" t="str">
            <v>JA123462</v>
          </cell>
          <cell r="N430" t="str">
            <v>PEDIATRIK</v>
          </cell>
          <cell r="O430" t="str">
            <v>Unit Rawatan Rapi Neonatal (NICU)</v>
          </cell>
          <cell r="P430" t="str">
            <v>HM</v>
          </cell>
          <cell r="Q430">
            <v>5185</v>
          </cell>
        </row>
        <row r="431">
          <cell r="E431" t="str">
            <v>KKM/JKN/HSA/10-05-01/H/15/1021</v>
          </cell>
          <cell r="F431" t="str">
            <v xml:space="preserve">Diagnostic </v>
          </cell>
          <cell r="G431" t="str">
            <v>Intermediate</v>
          </cell>
          <cell r="H431" t="str">
            <v>Monitors, Physiologic, Vital Signs</v>
          </cell>
          <cell r="I431" t="str">
            <v>MONITOR NIBP/SP02</v>
          </cell>
          <cell r="J431" t="str">
            <v>25-209</v>
          </cell>
          <cell r="K431" t="str">
            <v>WELCH ALLYN</v>
          </cell>
          <cell r="L431" t="str">
            <v>WELCH ALLYN VSM 300</v>
          </cell>
          <cell r="M431" t="str">
            <v>JA123463</v>
          </cell>
          <cell r="N431" t="str">
            <v>PEDIATRIK</v>
          </cell>
          <cell r="O431" t="str">
            <v>Unit Rawatan Rapi Neonatal (NICU)</v>
          </cell>
          <cell r="P431" t="str">
            <v>HM</v>
          </cell>
          <cell r="Q431">
            <v>5185</v>
          </cell>
        </row>
        <row r="432">
          <cell r="E432" t="str">
            <v>KKM/JKN/HSA/10-05-01/H/15/4205</v>
          </cell>
          <cell r="F432" t="str">
            <v xml:space="preserve">Diagnostic </v>
          </cell>
          <cell r="G432" t="str">
            <v>Intermediate</v>
          </cell>
          <cell r="H432" t="str">
            <v>Physiologic Monitoring Systems, Acute Care</v>
          </cell>
          <cell r="I432" t="str">
            <v>MONITOR MODULAR 8-CH ECG/RR/NIBP/SP02/2TEMP/2IBP</v>
          </cell>
          <cell r="J432" t="str">
            <v>12-647</v>
          </cell>
          <cell r="K432" t="str">
            <v>MINDRAY</v>
          </cell>
          <cell r="L432" t="str">
            <v>BENEVIEW T8/T1</v>
          </cell>
          <cell r="M432" t="str">
            <v>CF-45122769</v>
          </cell>
          <cell r="N432" t="str">
            <v>PEDIATRIK</v>
          </cell>
          <cell r="O432" t="str">
            <v>Unit Rawatan Rapi Neonatal (NICU)</v>
          </cell>
          <cell r="P432" t="str">
            <v>HM</v>
          </cell>
          <cell r="Q432">
            <v>32900</v>
          </cell>
        </row>
        <row r="433">
          <cell r="E433" t="str">
            <v>KKM/JKN/HSA/10-05-01/H/15/4206</v>
          </cell>
          <cell r="F433" t="str">
            <v xml:space="preserve">Diagnostic </v>
          </cell>
          <cell r="G433" t="str">
            <v>Intermediate</v>
          </cell>
          <cell r="H433" t="str">
            <v>Physiologic Monitoring Systems, Acute Care</v>
          </cell>
          <cell r="I433" t="str">
            <v>MONITOR MODULAR 8-CH ECG/RR/NIBP/SP02/2TEMP/2IBP</v>
          </cell>
          <cell r="J433" t="str">
            <v>12-647</v>
          </cell>
          <cell r="K433" t="str">
            <v>MINDRAY</v>
          </cell>
          <cell r="L433" t="str">
            <v>BENEVIEW T8/T1</v>
          </cell>
          <cell r="M433" t="str">
            <v>CF-45122770</v>
          </cell>
          <cell r="N433" t="str">
            <v>PEDIATRIK</v>
          </cell>
          <cell r="O433" t="str">
            <v>Unit Rawatan Rapi Neonatal (NICU)</v>
          </cell>
          <cell r="P433" t="str">
            <v>HM</v>
          </cell>
          <cell r="Q433">
            <v>32900</v>
          </cell>
        </row>
        <row r="434">
          <cell r="E434" t="str">
            <v>KKM/JKN/HSA/10-05-01/H/15/4941</v>
          </cell>
          <cell r="F434" t="str">
            <v xml:space="preserve">Diagnostic </v>
          </cell>
          <cell r="G434" t="str">
            <v>Intermediate</v>
          </cell>
          <cell r="H434" t="str">
            <v>Physiologic Monitoring Systems, Acute Care</v>
          </cell>
          <cell r="I434" t="str">
            <v>MONITOR MODULAR 8-CH ECG/RR/NIBP/SP02/2TEMP/2IBP</v>
          </cell>
          <cell r="J434" t="str">
            <v>12-647</v>
          </cell>
          <cell r="K434" t="str">
            <v>MINDRAY</v>
          </cell>
          <cell r="L434" t="str">
            <v>BENEVIEW T8</v>
          </cell>
          <cell r="M434" t="str">
            <v>CF 45122933</v>
          </cell>
          <cell r="N434" t="str">
            <v>PEDIATRIK</v>
          </cell>
          <cell r="O434" t="str">
            <v>Unit Rawatan Rapi Neonatal (NICU)</v>
          </cell>
          <cell r="P434" t="str">
            <v>HM</v>
          </cell>
          <cell r="Q434">
            <v>32900</v>
          </cell>
        </row>
        <row r="435">
          <cell r="E435" t="str">
            <v>KKM/JKN/HSA/10-05-01/H/15/5023</v>
          </cell>
          <cell r="F435" t="str">
            <v xml:space="preserve">Diagnostic </v>
          </cell>
          <cell r="G435" t="str">
            <v>Intermediate</v>
          </cell>
          <cell r="H435" t="str">
            <v>Oximeters, Pulse</v>
          </cell>
          <cell r="I435" t="str">
            <v>MONITOR APNOEA NON INVASIVE</v>
          </cell>
          <cell r="J435" t="str">
            <v>17-148</v>
          </cell>
          <cell r="K435" t="str">
            <v>MASIMO</v>
          </cell>
          <cell r="L435" t="str">
            <v>RADICAL-8</v>
          </cell>
          <cell r="M435" t="str">
            <v>M40934</v>
          </cell>
          <cell r="N435" t="str">
            <v>PEDIATRIK</v>
          </cell>
          <cell r="O435" t="str">
            <v>Unit Rawatan Rapi Neonatal (NICU)</v>
          </cell>
          <cell r="P435" t="str">
            <v>HM</v>
          </cell>
          <cell r="Q435">
            <v>6957.6</v>
          </cell>
        </row>
        <row r="436">
          <cell r="E436" t="str">
            <v>KKM/JKN/HSA/10-05-01/H/15/5025</v>
          </cell>
          <cell r="F436" t="str">
            <v xml:space="preserve">Diagnostic </v>
          </cell>
          <cell r="G436" t="str">
            <v>Intermediate</v>
          </cell>
          <cell r="H436" t="str">
            <v>Oximeters, Pulse</v>
          </cell>
          <cell r="I436" t="str">
            <v>MONITOR APNOEA NON INVASIVE</v>
          </cell>
          <cell r="J436" t="str">
            <v>17-148</v>
          </cell>
          <cell r="K436" t="str">
            <v>MASIMO</v>
          </cell>
          <cell r="L436" t="str">
            <v>RADICAL-8</v>
          </cell>
          <cell r="M436" t="str">
            <v>M47091</v>
          </cell>
          <cell r="N436" t="str">
            <v>PEDIATRIK</v>
          </cell>
          <cell r="O436" t="str">
            <v>Unit Rawatan Rapi Neonatal (NICU)</v>
          </cell>
          <cell r="P436" t="str">
            <v>HM</v>
          </cell>
          <cell r="Q436">
            <v>6957.6</v>
          </cell>
        </row>
        <row r="437">
          <cell r="E437" t="str">
            <v>KKM/JKN/HSA/10-05-01/H/15/5026</v>
          </cell>
          <cell r="F437" t="str">
            <v xml:space="preserve">Diagnostic </v>
          </cell>
          <cell r="G437" t="str">
            <v>Intermediate</v>
          </cell>
          <cell r="H437" t="str">
            <v>Oximeters, Pulse</v>
          </cell>
          <cell r="I437" t="str">
            <v>MONITOR APNOEA NON INVASIVE</v>
          </cell>
          <cell r="J437" t="str">
            <v>17-148</v>
          </cell>
          <cell r="K437" t="str">
            <v>MASIMO</v>
          </cell>
          <cell r="L437" t="str">
            <v>RADICAL-8</v>
          </cell>
          <cell r="M437" t="str">
            <v>M46929</v>
          </cell>
          <cell r="N437" t="str">
            <v>PEDIATRIK</v>
          </cell>
          <cell r="O437" t="str">
            <v>Unit Rawatan Rapi Neonatal (NICU)</v>
          </cell>
          <cell r="P437" t="str">
            <v>HM</v>
          </cell>
          <cell r="Q437">
            <v>6957.6</v>
          </cell>
        </row>
        <row r="438">
          <cell r="E438" t="str">
            <v>KKM/JKN/HSA/10-05-01/H/17/23</v>
          </cell>
          <cell r="F438" t="str">
            <v xml:space="preserve">Diagnostic </v>
          </cell>
          <cell r="G438" t="str">
            <v>Intermediate</v>
          </cell>
          <cell r="H438" t="str">
            <v>Oximeters, Pulse</v>
          </cell>
          <cell r="I438" t="str">
            <v>MONITOR APNOEA NON INVASIVE</v>
          </cell>
          <cell r="J438" t="str">
            <v>17-148</v>
          </cell>
          <cell r="K438" t="str">
            <v>SISS BABYCONTROL</v>
          </cell>
          <cell r="L438" t="str">
            <v>SISS BABYCONTROL</v>
          </cell>
          <cell r="M438" t="str">
            <v>BC178336</v>
          </cell>
          <cell r="N438" t="str">
            <v>PEDIATRIK</v>
          </cell>
          <cell r="O438" t="str">
            <v>Unit Rawatan Rapi Neonatal (NICU)</v>
          </cell>
          <cell r="P438" t="str">
            <v>HM</v>
          </cell>
          <cell r="Q438">
            <v>8000</v>
          </cell>
        </row>
        <row r="439">
          <cell r="E439" t="str">
            <v>KKM/JKN/HSA/10-05-01/H/17/24</v>
          </cell>
          <cell r="F439" t="str">
            <v xml:space="preserve">Diagnostic </v>
          </cell>
          <cell r="G439" t="str">
            <v>Intermediate</v>
          </cell>
          <cell r="H439" t="str">
            <v>Oximeters, Pulse</v>
          </cell>
          <cell r="I439" t="str">
            <v>MONITOR APNOEA NON INVASIVE</v>
          </cell>
          <cell r="J439" t="str">
            <v>17-148</v>
          </cell>
          <cell r="K439" t="str">
            <v>SISS BABYCONTROL</v>
          </cell>
          <cell r="L439" t="str">
            <v>SISS BABYCONTROL</v>
          </cell>
          <cell r="M439" t="str">
            <v>BC178335</v>
          </cell>
          <cell r="N439" t="str">
            <v>PEDIATRIK</v>
          </cell>
          <cell r="O439" t="str">
            <v>Unit Rawatan Rapi Neonatal (NICU)</v>
          </cell>
          <cell r="P439" t="str">
            <v>HM</v>
          </cell>
          <cell r="Q439">
            <v>8000</v>
          </cell>
        </row>
        <row r="440">
          <cell r="E440" t="str">
            <v>KKM/JKN/HSA/10-05-01/H/17/25</v>
          </cell>
          <cell r="F440" t="str">
            <v xml:space="preserve">Diagnostic </v>
          </cell>
          <cell r="G440" t="str">
            <v>Intermediate</v>
          </cell>
          <cell r="H440" t="str">
            <v>Oximeters, Pulse</v>
          </cell>
          <cell r="I440" t="str">
            <v>MONITOR APNOEA NON INVASIVE</v>
          </cell>
          <cell r="J440" t="str">
            <v>17-148</v>
          </cell>
          <cell r="K440" t="str">
            <v>SISS BABYCONTROL</v>
          </cell>
          <cell r="L440" t="str">
            <v>SISS BABYCONTROL</v>
          </cell>
          <cell r="M440" t="str">
            <v>BC178337</v>
          </cell>
          <cell r="N440" t="str">
            <v>PEDIATRIK</v>
          </cell>
          <cell r="O440" t="str">
            <v>Unit Rawatan Rapi Neonatal (NICU)</v>
          </cell>
          <cell r="P440" t="str">
            <v>HM</v>
          </cell>
          <cell r="Q440">
            <v>8000</v>
          </cell>
        </row>
        <row r="441">
          <cell r="E441" t="str">
            <v>KKM/JKN/HSA/10-05-01/H/17/26</v>
          </cell>
          <cell r="F441" t="str">
            <v xml:space="preserve">Diagnostic </v>
          </cell>
          <cell r="G441" t="str">
            <v>Intermediate</v>
          </cell>
          <cell r="H441" t="str">
            <v>Oximeters, Pulse</v>
          </cell>
          <cell r="I441" t="str">
            <v>MONITOR APNOEA NON INVASIVE</v>
          </cell>
          <cell r="J441" t="str">
            <v>17-148</v>
          </cell>
          <cell r="K441" t="str">
            <v>SISS BABYCONTROL</v>
          </cell>
          <cell r="L441" t="str">
            <v>SISS BABYCONTROL</v>
          </cell>
          <cell r="M441" t="str">
            <v>BC178334</v>
          </cell>
          <cell r="N441" t="str">
            <v>PEDIATRIK</v>
          </cell>
          <cell r="O441" t="str">
            <v>Unit Rawatan Rapi Neonatal (NICU)</v>
          </cell>
          <cell r="P441" t="str">
            <v>HM</v>
          </cell>
          <cell r="Q441">
            <v>8000</v>
          </cell>
        </row>
        <row r="442">
          <cell r="E442"/>
          <cell r="F442" t="str">
            <v xml:space="preserve">Diagnostic </v>
          </cell>
          <cell r="G442" t="str">
            <v>Intermediate</v>
          </cell>
          <cell r="H442" t="str">
            <v>Physiologic Monitoring Systems, Acute Care</v>
          </cell>
          <cell r="I442" t="str">
            <v>LASER PRINTER FOR CENTRAL STATION</v>
          </cell>
          <cell r="J442" t="str">
            <v>12-647</v>
          </cell>
          <cell r="K442" t="str">
            <v>MINDRAY</v>
          </cell>
          <cell r="L442" t="str">
            <v>HP LASERJET PRINTER</v>
          </cell>
          <cell r="M442"/>
          <cell r="N442" t="str">
            <v>PEDIATRIK</v>
          </cell>
          <cell r="O442" t="str">
            <v>Unit Rawatan Rapi Neonatal (NICU)</v>
          </cell>
          <cell r="P442" t="str">
            <v>HM</v>
          </cell>
          <cell r="Q442">
            <v>3499</v>
          </cell>
        </row>
        <row r="443">
          <cell r="E443" t="str">
            <v>KKM/JKN/HSA/10-05-01/H/15/1612</v>
          </cell>
          <cell r="F443" t="str">
            <v>Therapeutic</v>
          </cell>
          <cell r="G443" t="str">
            <v>Intermediate</v>
          </cell>
          <cell r="H443" t="str">
            <v>Ventilators, Intensive Care, Neonatal/Pediatric</v>
          </cell>
          <cell r="I443" t="str">
            <v xml:space="preserve">INFANT VENTILATOR </v>
          </cell>
          <cell r="J443" t="str">
            <v>14-361</v>
          </cell>
          <cell r="K443" t="str">
            <v>HEINEN LOWENSTEIN</v>
          </cell>
          <cell r="L443" t="str">
            <v>LEONI MOBILE</v>
          </cell>
          <cell r="M443" t="str">
            <v>0217510HUL2100052</v>
          </cell>
          <cell r="N443" t="str">
            <v>PEDIATRIK</v>
          </cell>
          <cell r="O443" t="str">
            <v>Unit Rawatan Rapi Neonatal (NICU)</v>
          </cell>
          <cell r="P443" t="str">
            <v>HM</v>
          </cell>
          <cell r="Q443">
            <v>38720</v>
          </cell>
        </row>
        <row r="444">
          <cell r="E444" t="str">
            <v>KKM/JKN/HSA/10-05-01/H/15/1613</v>
          </cell>
          <cell r="F444" t="str">
            <v>Therapeutic</v>
          </cell>
          <cell r="G444" t="str">
            <v>Intermediate</v>
          </cell>
          <cell r="H444" t="str">
            <v>Ventilators, Intensive Care, Neonatal/Pediatric</v>
          </cell>
          <cell r="I444" t="str">
            <v xml:space="preserve">INFANT VENTILATOR </v>
          </cell>
          <cell r="J444" t="str">
            <v>14-361</v>
          </cell>
          <cell r="K444" t="str">
            <v>HEINEN LOWENSTEIN</v>
          </cell>
          <cell r="L444" t="str">
            <v>LEONI MOBILE</v>
          </cell>
          <cell r="M444" t="str">
            <v>0217510HUL2210123</v>
          </cell>
          <cell r="N444" t="str">
            <v>PEDIATRIK</v>
          </cell>
          <cell r="O444" t="str">
            <v>Unit Rawatan Rapi Neonatal (NICU)</v>
          </cell>
          <cell r="P444" t="str">
            <v>HM</v>
          </cell>
          <cell r="Q444">
            <v>38720</v>
          </cell>
        </row>
        <row r="445">
          <cell r="E445" t="str">
            <v>KKM/JKN/HSA/10-05-01/H/15/1615</v>
          </cell>
          <cell r="F445" t="str">
            <v>Therapeutic</v>
          </cell>
          <cell r="G445" t="str">
            <v>Intermediate</v>
          </cell>
          <cell r="H445" t="str">
            <v>Ventilators, Intensive Care, Neonatal/Pediatric</v>
          </cell>
          <cell r="I445" t="str">
            <v xml:space="preserve">INFANT VENTILATOR </v>
          </cell>
          <cell r="J445" t="str">
            <v>14-361</v>
          </cell>
          <cell r="K445" t="str">
            <v>HEINEN LOWENSTEIN</v>
          </cell>
          <cell r="L445" t="str">
            <v>LEONI MOBILE</v>
          </cell>
          <cell r="M445" t="str">
            <v>0217510HUL2210120</v>
          </cell>
          <cell r="N445" t="str">
            <v>PEDIATRIK</v>
          </cell>
          <cell r="O445" t="str">
            <v>Unit Rawatan Rapi Neonatal (NICU)</v>
          </cell>
          <cell r="P445" t="str">
            <v>HM</v>
          </cell>
          <cell r="Q445">
            <v>38720</v>
          </cell>
        </row>
        <row r="446">
          <cell r="E446" t="str">
            <v>KKM/JKN/HSA/10-05-01/H/15/557</v>
          </cell>
          <cell r="F446" t="str">
            <v>Therapeutic</v>
          </cell>
          <cell r="G446" t="str">
            <v>Intermediate</v>
          </cell>
          <cell r="H446" t="str">
            <v>Incubators, Infant, TransP0rt</v>
          </cell>
          <cell r="I446" t="str">
            <v>INCUBATOR TRANSP0RT WITH VENTILATOR</v>
          </cell>
          <cell r="J446" t="str">
            <v>12-114</v>
          </cell>
          <cell r="K446" t="str">
            <v>DRAEGER</v>
          </cell>
          <cell r="L446" t="str">
            <v>ISOLETTE TI500 W BABYPAC</v>
          </cell>
          <cell r="M446" t="str">
            <v xml:space="preserve">AU 09565
</v>
          </cell>
          <cell r="N446" t="str">
            <v xml:space="preserve">PEDIATRIK </v>
          </cell>
          <cell r="O446" t="str">
            <v>Unit Rawatan Rapi Neonatal (NICU)</v>
          </cell>
          <cell r="P446" t="str">
            <v>HM</v>
          </cell>
          <cell r="Q446">
            <v>68000</v>
          </cell>
        </row>
        <row r="447">
          <cell r="E447" t="str">
            <v>KKM/JKN/HSA/10-05-01/H/15/558</v>
          </cell>
          <cell r="F447" t="str">
            <v>Therapeutic</v>
          </cell>
          <cell r="G447" t="str">
            <v>Intermediate</v>
          </cell>
          <cell r="H447" t="str">
            <v>Incubators, Infant, TransP0rt</v>
          </cell>
          <cell r="I447" t="str">
            <v>INCUBATOR TRANSP0RT WITH VENTILATOR</v>
          </cell>
          <cell r="J447" t="str">
            <v>12-114</v>
          </cell>
          <cell r="K447" t="str">
            <v>DRAEGER</v>
          </cell>
          <cell r="L447" t="str">
            <v>ISOLETTE TI500 W BABYPAC</v>
          </cell>
          <cell r="M447" t="str">
            <v>AU 09337</v>
          </cell>
          <cell r="N447" t="str">
            <v xml:space="preserve">PEDIATRIK </v>
          </cell>
          <cell r="O447" t="str">
            <v>Unit Rawatan Rapi Neonatal (NICU)</v>
          </cell>
          <cell r="P447" t="str">
            <v>HM</v>
          </cell>
          <cell r="Q447">
            <v>68000</v>
          </cell>
        </row>
        <row r="448">
          <cell r="E448" t="str">
            <v>KKM/JKN/HSA/10-05-01/H/15/467</v>
          </cell>
          <cell r="F448" t="str">
            <v>Therapeutic</v>
          </cell>
          <cell r="G448" t="str">
            <v>Intermediate</v>
          </cell>
          <cell r="H448" t="str">
            <v>Incubators, Infant</v>
          </cell>
          <cell r="I448" t="str">
            <v>INCUBATOR INFANT INTENSIVE CARE</v>
          </cell>
          <cell r="J448" t="str">
            <v>12-113</v>
          </cell>
          <cell r="K448" t="str">
            <v>DRAEGER</v>
          </cell>
          <cell r="L448" t="str">
            <v>ISOLETTE C2000</v>
          </cell>
          <cell r="M448" t="str">
            <v>FU28873</v>
          </cell>
          <cell r="N448" t="str">
            <v xml:space="preserve">PEDIATRIK </v>
          </cell>
          <cell r="O448" t="str">
            <v>Unit Rawatan Rapi Neonatal (NICU)</v>
          </cell>
          <cell r="P448" t="str">
            <v>HM</v>
          </cell>
          <cell r="Q448">
            <v>24000</v>
          </cell>
        </row>
        <row r="449">
          <cell r="E449" t="str">
            <v>KKM/JKN/HSA/10-05-01/H/15/468</v>
          </cell>
          <cell r="F449" t="str">
            <v>Therapeutic</v>
          </cell>
          <cell r="G449" t="str">
            <v>Intermediate</v>
          </cell>
          <cell r="H449" t="str">
            <v>Incubators, Infant</v>
          </cell>
          <cell r="I449" t="str">
            <v>INCUBATOR INFANT INTENSIVE CARE</v>
          </cell>
          <cell r="J449" t="str">
            <v>12-113</v>
          </cell>
          <cell r="K449" t="str">
            <v>DRAEGER</v>
          </cell>
          <cell r="L449" t="str">
            <v>ISOLETTE C2000</v>
          </cell>
          <cell r="M449" t="str">
            <v>FU28868</v>
          </cell>
          <cell r="N449" t="str">
            <v xml:space="preserve">PEDIATRIK </v>
          </cell>
          <cell r="O449" t="str">
            <v>Unit Rawatan Rapi Neonatal (NICU)</v>
          </cell>
          <cell r="P449" t="str">
            <v>HM</v>
          </cell>
          <cell r="Q449">
            <v>24000</v>
          </cell>
        </row>
        <row r="450">
          <cell r="E450" t="str">
            <v>KKM/JKN/HSA/10-05-01/H/15/469</v>
          </cell>
          <cell r="F450" t="str">
            <v>Therapeutic</v>
          </cell>
          <cell r="G450" t="str">
            <v>Intermediate</v>
          </cell>
          <cell r="H450" t="str">
            <v>Incubators, Infant</v>
          </cell>
          <cell r="I450" t="str">
            <v>INCUBATOR INFANT INTENSIVE CARE</v>
          </cell>
          <cell r="J450" t="str">
            <v>12-113</v>
          </cell>
          <cell r="K450" t="str">
            <v>DRAEGER</v>
          </cell>
          <cell r="L450" t="str">
            <v>ISOLETTE C2000</v>
          </cell>
          <cell r="M450" t="str">
            <v>FU28864</v>
          </cell>
          <cell r="N450" t="str">
            <v xml:space="preserve">PEDIATRIK </v>
          </cell>
          <cell r="O450" t="str">
            <v>Unit Rawatan Rapi Neonatal (NICU)</v>
          </cell>
          <cell r="P450" t="str">
            <v>HM</v>
          </cell>
          <cell r="Q450">
            <v>24000</v>
          </cell>
        </row>
        <row r="451">
          <cell r="E451" t="str">
            <v>KKM/JKN/HSA/10-05-01/H/15/470</v>
          </cell>
          <cell r="F451" t="str">
            <v>Therapeutic</v>
          </cell>
          <cell r="G451" t="str">
            <v>Intermediate</v>
          </cell>
          <cell r="H451" t="str">
            <v>Incubators, Infant</v>
          </cell>
          <cell r="I451" t="str">
            <v>INCUBATOR INFANT INTENSIVE CARE</v>
          </cell>
          <cell r="J451" t="str">
            <v>12-113</v>
          </cell>
          <cell r="K451" t="str">
            <v>DRAEGER</v>
          </cell>
          <cell r="L451" t="str">
            <v>ISOLETTE C2000</v>
          </cell>
          <cell r="M451" t="str">
            <v>FU28872</v>
          </cell>
          <cell r="N451" t="str">
            <v xml:space="preserve">PEDIATRIK </v>
          </cell>
          <cell r="O451" t="str">
            <v>Unit Rawatan Rapi Neonatal (NICU)</v>
          </cell>
          <cell r="P451" t="str">
            <v>HM</v>
          </cell>
          <cell r="Q451">
            <v>24000</v>
          </cell>
        </row>
        <row r="452">
          <cell r="E452" t="str">
            <v>KKM/JKN/HSA/10-05-01/H/15/471</v>
          </cell>
          <cell r="F452" t="str">
            <v>Therapeutic</v>
          </cell>
          <cell r="G452" t="str">
            <v>Intermediate</v>
          </cell>
          <cell r="H452" t="str">
            <v>Incubators, Infant</v>
          </cell>
          <cell r="I452" t="str">
            <v>INCUBATOR INFANT INTENSIVE CARE</v>
          </cell>
          <cell r="J452" t="str">
            <v>12-113</v>
          </cell>
          <cell r="K452" t="str">
            <v>DRAEGER</v>
          </cell>
          <cell r="L452" t="str">
            <v>ISOLETTE C2000</v>
          </cell>
          <cell r="M452" t="str">
            <v>FU28865</v>
          </cell>
          <cell r="N452" t="str">
            <v xml:space="preserve">PEDIATRIK </v>
          </cell>
          <cell r="O452" t="str">
            <v>Unit Rawatan Rapi Neonatal (NICU)</v>
          </cell>
          <cell r="P452" t="str">
            <v>HM</v>
          </cell>
          <cell r="Q452">
            <v>24000</v>
          </cell>
        </row>
        <row r="453">
          <cell r="E453" t="str">
            <v>KKM/JKN/HSA/10-05-01/H/15/472</v>
          </cell>
          <cell r="F453" t="str">
            <v>Therapeutic</v>
          </cell>
          <cell r="G453" t="str">
            <v>Intermediate</v>
          </cell>
          <cell r="H453" t="str">
            <v>Incubators, Infant</v>
          </cell>
          <cell r="I453" t="str">
            <v>INCUBATOR INFANT INTENSIVE CARE</v>
          </cell>
          <cell r="J453" t="str">
            <v>12-113</v>
          </cell>
          <cell r="K453" t="str">
            <v>DRAEGER</v>
          </cell>
          <cell r="L453" t="str">
            <v>ISOLETTE C2000</v>
          </cell>
          <cell r="M453" t="str">
            <v>FU28863</v>
          </cell>
          <cell r="N453" t="str">
            <v xml:space="preserve">PEDIATRIK </v>
          </cell>
          <cell r="O453" t="str">
            <v>Unit Rawatan Rapi Neonatal (NICU)</v>
          </cell>
          <cell r="P453" t="str">
            <v>HM</v>
          </cell>
          <cell r="Q453">
            <v>24000</v>
          </cell>
        </row>
        <row r="454">
          <cell r="E454" t="str">
            <v>KKM/JKN/HSA/10-05-01/H/15/473</v>
          </cell>
          <cell r="F454" t="str">
            <v>Therapeutic</v>
          </cell>
          <cell r="G454" t="str">
            <v>Intermediate</v>
          </cell>
          <cell r="H454" t="str">
            <v>Incubators, Infant</v>
          </cell>
          <cell r="I454" t="str">
            <v>INCUBATOR INFANT INTENSIVE CARE</v>
          </cell>
          <cell r="J454" t="str">
            <v>12-113</v>
          </cell>
          <cell r="K454" t="str">
            <v>DRAEGER</v>
          </cell>
          <cell r="L454" t="str">
            <v>ISOLETTE C2000</v>
          </cell>
          <cell r="M454" t="str">
            <v>FU28856</v>
          </cell>
          <cell r="N454" t="str">
            <v xml:space="preserve">PEDIATRIK </v>
          </cell>
          <cell r="O454" t="str">
            <v>Unit Rawatan Rapi Neonatal (NICU)</v>
          </cell>
          <cell r="P454" t="str">
            <v>HM</v>
          </cell>
          <cell r="Q454">
            <v>24000</v>
          </cell>
        </row>
        <row r="455">
          <cell r="E455" t="str">
            <v>KKM/JKN/HSA/10-05-01/H/15/474</v>
          </cell>
          <cell r="F455" t="str">
            <v>Therapeutic</v>
          </cell>
          <cell r="G455" t="str">
            <v>Intermediate</v>
          </cell>
          <cell r="H455" t="str">
            <v>Incubators, Infant</v>
          </cell>
          <cell r="I455" t="str">
            <v>INCUBATOR INFANT INTENSIVE CARE</v>
          </cell>
          <cell r="J455" t="str">
            <v>12-113</v>
          </cell>
          <cell r="K455" t="str">
            <v>DRAEGER</v>
          </cell>
          <cell r="L455" t="str">
            <v>ISOLETTE C2000</v>
          </cell>
          <cell r="M455" t="str">
            <v>FU28870</v>
          </cell>
          <cell r="N455" t="str">
            <v xml:space="preserve">PEDIATRIK </v>
          </cell>
          <cell r="O455" t="str">
            <v>Unit Rawatan Rapi Neonatal (NICU)</v>
          </cell>
          <cell r="P455" t="str">
            <v>HM</v>
          </cell>
          <cell r="Q455">
            <v>24000</v>
          </cell>
        </row>
        <row r="456">
          <cell r="E456" t="str">
            <v>KKM/JKN/HSA/10-05-01/H/15/475</v>
          </cell>
          <cell r="F456" t="str">
            <v>Therapeutic</v>
          </cell>
          <cell r="G456" t="str">
            <v>Intermediate</v>
          </cell>
          <cell r="H456" t="str">
            <v>Incubators, Infant</v>
          </cell>
          <cell r="I456" t="str">
            <v>INCUBATOR INFANT INTENSIVE CARE</v>
          </cell>
          <cell r="J456" t="str">
            <v>12-113</v>
          </cell>
          <cell r="K456" t="str">
            <v>DRAEGER</v>
          </cell>
          <cell r="L456" t="str">
            <v>ISOLETTE C2000</v>
          </cell>
          <cell r="M456" t="str">
            <v>FU28861</v>
          </cell>
          <cell r="N456" t="str">
            <v xml:space="preserve">PEDIATRIK </v>
          </cell>
          <cell r="O456" t="str">
            <v>Unit Rawatan Rapi Neonatal (NICU)</v>
          </cell>
          <cell r="P456" t="str">
            <v>HM</v>
          </cell>
          <cell r="Q456">
            <v>24000</v>
          </cell>
        </row>
        <row r="457">
          <cell r="E457" t="str">
            <v>KKM/JKN/HSA/10-05-01/H/15/476</v>
          </cell>
          <cell r="F457" t="str">
            <v>Therapeutic</v>
          </cell>
          <cell r="G457" t="str">
            <v>Intermediate</v>
          </cell>
          <cell r="H457" t="str">
            <v>Incubators, Infant</v>
          </cell>
          <cell r="I457" t="str">
            <v>INCUBATOR INFANT INTENSIVE CARE</v>
          </cell>
          <cell r="J457" t="str">
            <v>12-113</v>
          </cell>
          <cell r="K457" t="str">
            <v>DRAEGER</v>
          </cell>
          <cell r="L457" t="str">
            <v>ISOLETTE C2000</v>
          </cell>
          <cell r="M457" t="str">
            <v>FU28859</v>
          </cell>
          <cell r="N457" t="str">
            <v xml:space="preserve">PEDIATRIK </v>
          </cell>
          <cell r="O457" t="str">
            <v>Unit Rawatan Rapi Neonatal (NICU)</v>
          </cell>
          <cell r="P457" t="str">
            <v>HM</v>
          </cell>
          <cell r="Q457">
            <v>24000</v>
          </cell>
        </row>
        <row r="458">
          <cell r="E458" t="str">
            <v>KKM/JKN/HSA/10-05-01/H/15/477</v>
          </cell>
          <cell r="F458" t="str">
            <v>Therapeutic</v>
          </cell>
          <cell r="G458" t="str">
            <v>Intermediate</v>
          </cell>
          <cell r="H458" t="str">
            <v>Incubators, Infant</v>
          </cell>
          <cell r="I458" t="str">
            <v>INCUBATOR INFANT INTENSIVE CARE</v>
          </cell>
          <cell r="J458" t="str">
            <v>12-113</v>
          </cell>
          <cell r="K458" t="str">
            <v>DRAEGER</v>
          </cell>
          <cell r="L458" t="str">
            <v>ISOLETTE C2000</v>
          </cell>
          <cell r="M458" t="str">
            <v>FU28860</v>
          </cell>
          <cell r="N458" t="str">
            <v xml:space="preserve">PEDIATRIK </v>
          </cell>
          <cell r="O458" t="str">
            <v>Unit Rawatan Rapi Neonatal (NICU)</v>
          </cell>
          <cell r="P458" t="str">
            <v>HM</v>
          </cell>
          <cell r="Q458">
            <v>24000</v>
          </cell>
        </row>
        <row r="459">
          <cell r="E459" t="str">
            <v>KKM/JKN/HSA/10-05-01/H/15/478</v>
          </cell>
          <cell r="F459" t="str">
            <v>Therapeutic</v>
          </cell>
          <cell r="G459" t="str">
            <v>Intermediate</v>
          </cell>
          <cell r="H459" t="str">
            <v>Incubators, Infant</v>
          </cell>
          <cell r="I459" t="str">
            <v>INCUBATOR INFANT INTENSIVE CARE</v>
          </cell>
          <cell r="J459" t="str">
            <v>12-113</v>
          </cell>
          <cell r="K459" t="str">
            <v>DRAEGER</v>
          </cell>
          <cell r="L459" t="str">
            <v>ISOLETTE C2000</v>
          </cell>
          <cell r="M459" t="str">
            <v>FU28866</v>
          </cell>
          <cell r="N459" t="str">
            <v xml:space="preserve">PEDIATRIK </v>
          </cell>
          <cell r="O459" t="str">
            <v>Unit Rawatan Rapi Neonatal (NICU)</v>
          </cell>
          <cell r="P459" t="str">
            <v>HM</v>
          </cell>
          <cell r="Q459">
            <v>24000</v>
          </cell>
        </row>
        <row r="460">
          <cell r="E460" t="str">
            <v>KKM/JKN/HSA/10-05-01/H/15/479</v>
          </cell>
          <cell r="F460" t="str">
            <v>Therapeutic</v>
          </cell>
          <cell r="G460" t="str">
            <v>Intermediate</v>
          </cell>
          <cell r="H460" t="str">
            <v>Incubators, Infant</v>
          </cell>
          <cell r="I460" t="str">
            <v>INCUBATOR INFANT INTENSIVE CARE</v>
          </cell>
          <cell r="J460" t="str">
            <v>12-113</v>
          </cell>
          <cell r="K460" t="str">
            <v>DRAEGER</v>
          </cell>
          <cell r="L460" t="str">
            <v>ISOLETTE C2000</v>
          </cell>
          <cell r="M460" t="str">
            <v>FU28869</v>
          </cell>
          <cell r="N460" t="str">
            <v xml:space="preserve">PEDIATRIK </v>
          </cell>
          <cell r="O460" t="str">
            <v>Unit Rawatan Rapi Neonatal (NICU)</v>
          </cell>
          <cell r="P460" t="str">
            <v>HM</v>
          </cell>
          <cell r="Q460">
            <v>24000</v>
          </cell>
        </row>
        <row r="461">
          <cell r="E461" t="str">
            <v>KKM/JKN/HSA/10-05-01/H/15/480</v>
          </cell>
          <cell r="F461" t="str">
            <v>Therapeutic</v>
          </cell>
          <cell r="G461" t="str">
            <v>Intermediate</v>
          </cell>
          <cell r="H461" t="str">
            <v>Incubators, Infant</v>
          </cell>
          <cell r="I461" t="str">
            <v>INCUBATOR INFANT INTENSIVE CARE</v>
          </cell>
          <cell r="J461" t="str">
            <v>12-113</v>
          </cell>
          <cell r="K461" t="str">
            <v>DRAEGER</v>
          </cell>
          <cell r="L461" t="str">
            <v>ISOLETTE C2000</v>
          </cell>
          <cell r="M461" t="str">
            <v>FU28871</v>
          </cell>
          <cell r="N461" t="str">
            <v xml:space="preserve">PEDIATRIK </v>
          </cell>
          <cell r="O461" t="str">
            <v>Unit Rawatan Rapi Neonatal (NICU)</v>
          </cell>
          <cell r="P461" t="str">
            <v>HM</v>
          </cell>
          <cell r="Q461">
            <v>24000</v>
          </cell>
        </row>
        <row r="462">
          <cell r="E462" t="str">
            <v>KKM/JKN/HSA/10-05-01/H/15/481</v>
          </cell>
          <cell r="F462" t="str">
            <v>Therapeutic</v>
          </cell>
          <cell r="G462" t="str">
            <v>Intermediate</v>
          </cell>
          <cell r="H462" t="str">
            <v>Incubators, Infant</v>
          </cell>
          <cell r="I462" t="str">
            <v>INCUBATOR INFANT INTENSIVE CARE</v>
          </cell>
          <cell r="J462" t="str">
            <v>12-113</v>
          </cell>
          <cell r="K462" t="str">
            <v>DRAEGER</v>
          </cell>
          <cell r="L462" t="str">
            <v>ISOLETTE C2000</v>
          </cell>
          <cell r="M462" t="str">
            <v>FU28867</v>
          </cell>
          <cell r="N462" t="str">
            <v xml:space="preserve">PEDIATRIK </v>
          </cell>
          <cell r="O462" t="str">
            <v>Unit Rawatan Rapi Neonatal (NICU)</v>
          </cell>
          <cell r="P462" t="str">
            <v>HM</v>
          </cell>
          <cell r="Q462">
            <v>24000</v>
          </cell>
        </row>
        <row r="463">
          <cell r="E463" t="str">
            <v>KKM/JKN/HSA/10-05-01/H/15/482</v>
          </cell>
          <cell r="F463" t="str">
            <v>Therapeutic</v>
          </cell>
          <cell r="G463" t="str">
            <v>Intermediate</v>
          </cell>
          <cell r="H463" t="str">
            <v>Incubators, Infant</v>
          </cell>
          <cell r="I463" t="str">
            <v>INCUBATOR INFANT INTENSIVE CARE</v>
          </cell>
          <cell r="J463" t="str">
            <v>12-113</v>
          </cell>
          <cell r="K463" t="str">
            <v>DRAEGER</v>
          </cell>
          <cell r="L463" t="str">
            <v>ISOLETTE C2000</v>
          </cell>
          <cell r="M463" t="str">
            <v>FU28862</v>
          </cell>
          <cell r="N463" t="str">
            <v xml:space="preserve">PEDIATRIK </v>
          </cell>
          <cell r="O463" t="str">
            <v>Unit Rawatan Rapi Neonatal (NICU)</v>
          </cell>
          <cell r="P463" t="str">
            <v>HM</v>
          </cell>
          <cell r="Q463">
            <v>24000</v>
          </cell>
        </row>
        <row r="464">
          <cell r="E464" t="str">
            <v>KKM/JKN/HSA/10-05-01/H/15/483</v>
          </cell>
          <cell r="F464" t="str">
            <v>Therapeutic</v>
          </cell>
          <cell r="G464" t="str">
            <v>Intermediate</v>
          </cell>
          <cell r="H464" t="str">
            <v>Incubators, Infant</v>
          </cell>
          <cell r="I464" t="str">
            <v>INCUBATOR INFANT INTENSIVE CARE</v>
          </cell>
          <cell r="J464" t="str">
            <v>12-113</v>
          </cell>
          <cell r="K464" t="str">
            <v>DRAEGER</v>
          </cell>
          <cell r="L464" t="str">
            <v>ISOLETTE C2000</v>
          </cell>
          <cell r="M464" t="str">
            <v>FU28858</v>
          </cell>
          <cell r="N464" t="str">
            <v xml:space="preserve">PEDIATRIK </v>
          </cell>
          <cell r="O464" t="str">
            <v>Unit Rawatan Rapi Neonatal (NICU)</v>
          </cell>
          <cell r="P464" t="str">
            <v>HM</v>
          </cell>
          <cell r="Q464">
            <v>24000</v>
          </cell>
        </row>
        <row r="465">
          <cell r="E465" t="str">
            <v>KKM/JKN/HSA/10-05-01/H/15/484</v>
          </cell>
          <cell r="F465" t="str">
            <v>Therapeutic</v>
          </cell>
          <cell r="G465" t="str">
            <v>Intermediate</v>
          </cell>
          <cell r="H465" t="str">
            <v>Incubators, Infant</v>
          </cell>
          <cell r="I465" t="str">
            <v>INCUBATOR INFANT INTENSIVE CARE</v>
          </cell>
          <cell r="J465" t="str">
            <v>12-113</v>
          </cell>
          <cell r="K465" t="str">
            <v>DRAEGER</v>
          </cell>
          <cell r="L465" t="str">
            <v>ISOLETTE C2000</v>
          </cell>
          <cell r="M465" t="str">
            <v>FU28857</v>
          </cell>
          <cell r="N465" t="str">
            <v xml:space="preserve">PEDIATRIK </v>
          </cell>
          <cell r="O465" t="str">
            <v>Unit Rawatan Rapi Neonatal (NICU)</v>
          </cell>
          <cell r="P465" t="str">
            <v>HM</v>
          </cell>
          <cell r="Q465">
            <v>24000</v>
          </cell>
        </row>
        <row r="466">
          <cell r="E466" t="str">
            <v>KKM/JKN/HSA/10-05-01/H/16/30</v>
          </cell>
          <cell r="F466" t="str">
            <v xml:space="preserve">Diagnostic </v>
          </cell>
          <cell r="G466" t="str">
            <v>Intermediate</v>
          </cell>
          <cell r="H466" t="str">
            <v>EEG Monitors</v>
          </cell>
          <cell r="I466" t="str">
            <v>ELECTROENCEPHALOGRAM (EEG MONITOR)</v>
          </cell>
          <cell r="J466" t="str">
            <v>12-602</v>
          </cell>
          <cell r="K466" t="str">
            <v>GRAEL EEG 40 CHANNELS</v>
          </cell>
          <cell r="L466" t="str">
            <v>TPM</v>
          </cell>
          <cell r="M466">
            <v>141307</v>
          </cell>
          <cell r="N466" t="str">
            <v>PEDIATRIK</v>
          </cell>
          <cell r="O466" t="str">
            <v>Unit Rawatan Rapi Neonatal (NICU)</v>
          </cell>
          <cell r="P466" t="str">
            <v>HM</v>
          </cell>
          <cell r="Q466">
            <v>115000</v>
          </cell>
        </row>
        <row r="467">
          <cell r="E467" t="str">
            <v>KKM/JKN/HSA/10-05-01/H/15/569</v>
          </cell>
          <cell r="F467" t="str">
            <v xml:space="preserve">Diagnostic </v>
          </cell>
          <cell r="G467" t="str">
            <v>Intermediate</v>
          </cell>
          <cell r="H467" t="str">
            <v>Electrocardiographs, Multichannel, Interpretative</v>
          </cell>
          <cell r="I467" t="str">
            <v>ECG RECORDER</v>
          </cell>
          <cell r="J467" t="str">
            <v>16-231</v>
          </cell>
          <cell r="K467" t="str">
            <v>GE HEALTHCARE</v>
          </cell>
          <cell r="L467" t="str">
            <v>MAC 1200</v>
          </cell>
          <cell r="M467">
            <v>550061840</v>
          </cell>
          <cell r="N467" t="str">
            <v>PEDIATRIK</v>
          </cell>
          <cell r="O467" t="str">
            <v>Unit Rawatan Rapi Neonatal (NICU)</v>
          </cell>
          <cell r="P467" t="str">
            <v>HM</v>
          </cell>
          <cell r="Q467">
            <v>10000</v>
          </cell>
        </row>
        <row r="468">
          <cell r="E468" t="str">
            <v>KKM/JKN/HSA/10-05-01/H/15/428</v>
          </cell>
          <cell r="F468" t="str">
            <v xml:space="preserve">Diagnostic </v>
          </cell>
          <cell r="G468" t="str">
            <v>Basic</v>
          </cell>
          <cell r="H468" t="str">
            <v>Ophthalmoscopes/Otoscopes</v>
          </cell>
          <cell r="I468" t="str">
            <v>DIAGNOSTIC SET NEONATAL</v>
          </cell>
          <cell r="J468" t="str">
            <v>18-595</v>
          </cell>
          <cell r="K468" t="str">
            <v>RUDOLF RIESTER, GMBH</v>
          </cell>
          <cell r="L468" t="str">
            <v>RI-SCOPE DE LUXE 3772</v>
          </cell>
          <cell r="M468"/>
          <cell r="N468" t="str">
            <v>PEDIATRIK</v>
          </cell>
          <cell r="O468" t="str">
            <v>Unit Rawatan Rapi Neonatal (NICU)</v>
          </cell>
          <cell r="P468" t="str">
            <v>HM</v>
          </cell>
          <cell r="Q468">
            <v>2024.23</v>
          </cell>
        </row>
        <row r="469">
          <cell r="E469" t="str">
            <v>KKM/JKN/HSA/10-05-01/H/15/429</v>
          </cell>
          <cell r="F469" t="str">
            <v xml:space="preserve">Diagnostic </v>
          </cell>
          <cell r="G469" t="str">
            <v>Basic</v>
          </cell>
          <cell r="H469" t="str">
            <v>Ophthalmoscopes/Otoscopes</v>
          </cell>
          <cell r="I469" t="str">
            <v>DIAGNOSTIC SET NEONATAL</v>
          </cell>
          <cell r="J469" t="str">
            <v>18-595</v>
          </cell>
          <cell r="K469" t="str">
            <v>RUDOLF RIESTER, GMBH</v>
          </cell>
          <cell r="L469" t="str">
            <v>RI-SCOPE DE LUXE 3772</v>
          </cell>
          <cell r="M469"/>
          <cell r="N469" t="str">
            <v>PEDIATRIK</v>
          </cell>
          <cell r="O469" t="str">
            <v>Unit Rawatan Rapi Neonatal (NICU)</v>
          </cell>
          <cell r="P469" t="str">
            <v>HM</v>
          </cell>
          <cell r="Q469">
            <v>2024.23</v>
          </cell>
        </row>
        <row r="470">
          <cell r="E470" t="str">
            <v>KKM/JKN/HSA/10-05-01/H/15/430</v>
          </cell>
          <cell r="F470" t="str">
            <v xml:space="preserve">Diagnostic </v>
          </cell>
          <cell r="G470" t="str">
            <v>Basic</v>
          </cell>
          <cell r="H470" t="str">
            <v>Ophthalmoscopes/Otoscopes</v>
          </cell>
          <cell r="I470" t="str">
            <v>DIAGNOSTIC SET NEONATAL</v>
          </cell>
          <cell r="J470" t="str">
            <v>18-595</v>
          </cell>
          <cell r="K470" t="str">
            <v>RUDOLF RIESTER, GMBH</v>
          </cell>
          <cell r="L470" t="str">
            <v>RI-SCOPE DE LUXE 3772</v>
          </cell>
          <cell r="M470"/>
          <cell r="N470" t="str">
            <v>PEDIATRIK</v>
          </cell>
          <cell r="O470" t="str">
            <v>Unit Rawatan Rapi Neonatal (NICU)</v>
          </cell>
          <cell r="P470" t="str">
            <v>HM</v>
          </cell>
          <cell r="Q470">
            <v>2024.23</v>
          </cell>
        </row>
        <row r="471">
          <cell r="E471" t="str">
            <v>KKM/JKN/HSA/10-05-01/H/15/431</v>
          </cell>
          <cell r="F471" t="str">
            <v xml:space="preserve">Diagnostic </v>
          </cell>
          <cell r="G471" t="str">
            <v>Basic</v>
          </cell>
          <cell r="H471" t="str">
            <v>Ophthalmoscopes/Otoscopes</v>
          </cell>
          <cell r="I471" t="str">
            <v>DIAGNOSTIC SET NEONATAL</v>
          </cell>
          <cell r="J471" t="str">
            <v>18-595</v>
          </cell>
          <cell r="K471" t="str">
            <v>RUDOLF RIESTER, GMBH</v>
          </cell>
          <cell r="L471" t="str">
            <v>RI-SCOPE DE LUXE 3772</v>
          </cell>
          <cell r="M471"/>
          <cell r="N471" t="str">
            <v>PEDIATRIK</v>
          </cell>
          <cell r="O471" t="str">
            <v>Unit Rawatan Rapi Neonatal (NICU)</v>
          </cell>
          <cell r="P471" t="str">
            <v>HM</v>
          </cell>
          <cell r="Q471">
            <v>2024.23</v>
          </cell>
        </row>
        <row r="472">
          <cell r="E472" t="str">
            <v>KKM/JKN/HSA/10-05-01/H/15/881</v>
          </cell>
          <cell r="F472" t="str">
            <v xml:space="preserve">Diagnostic </v>
          </cell>
          <cell r="G472" t="str">
            <v>Intermediate</v>
          </cell>
          <cell r="H472" t="str">
            <v>Physiologic Monitoring Systems, Acute Care</v>
          </cell>
          <cell r="I472" t="str">
            <v>CENTRAL STATION, NICU</v>
          </cell>
          <cell r="J472" t="str">
            <v>12-647</v>
          </cell>
          <cell r="K472" t="str">
            <v>MINDRAY</v>
          </cell>
          <cell r="L472" t="str">
            <v>HYPERVISOR VI</v>
          </cell>
          <cell r="M472" t="str">
            <v>4CV4122V4M</v>
          </cell>
          <cell r="N472" t="str">
            <v>PEDIATRIK</v>
          </cell>
          <cell r="O472" t="str">
            <v>Unit Rawatan Rapi Neonatal (NICU)</v>
          </cell>
          <cell r="P472" t="str">
            <v>HM</v>
          </cell>
          <cell r="Q472">
            <v>73700</v>
          </cell>
        </row>
        <row r="473">
          <cell r="E473" t="str">
            <v>KKM/JKN/HSA/10-05-01/H/15/882</v>
          </cell>
          <cell r="F473" t="str">
            <v xml:space="preserve">Diagnostic </v>
          </cell>
          <cell r="G473" t="str">
            <v>Intermediate</v>
          </cell>
          <cell r="H473" t="str">
            <v>Physiologic Monitoring Systems, Acute Care</v>
          </cell>
          <cell r="I473" t="str">
            <v>CENTRAL STATION, NICU</v>
          </cell>
          <cell r="J473" t="str">
            <v>12-647</v>
          </cell>
          <cell r="K473" t="str">
            <v>MINDRAY</v>
          </cell>
          <cell r="L473" t="str">
            <v>HYPERVISOR VI</v>
          </cell>
          <cell r="M473" t="str">
            <v>4CV4122V3W</v>
          </cell>
          <cell r="N473" t="str">
            <v>PEDIATRIK</v>
          </cell>
          <cell r="O473" t="str">
            <v>Unit Rawatan Rapi Neonatal (NICU)</v>
          </cell>
          <cell r="P473" t="str">
            <v>HM</v>
          </cell>
          <cell r="Q473">
            <v>73700</v>
          </cell>
        </row>
        <row r="474">
          <cell r="E474" t="str">
            <v>KKM/JKN/HSA/10-05-01/H/16/49</v>
          </cell>
          <cell r="F474" t="str">
            <v>Therapeutic</v>
          </cell>
          <cell r="G474" t="str">
            <v>Intermediate</v>
          </cell>
          <cell r="H474" t="str">
            <v>Oxygen-Air Proportioners</v>
          </cell>
          <cell r="I474" t="str">
            <v>BIOMED OXYGEN BLENDED COMPLETE SET</v>
          </cell>
          <cell r="J474" t="str">
            <v>12-876</v>
          </cell>
          <cell r="K474" t="str">
            <v>TPM</v>
          </cell>
          <cell r="L474" t="str">
            <v>TPM</v>
          </cell>
          <cell r="M474" t="str">
            <v>BX1652645</v>
          </cell>
          <cell r="N474" t="str">
            <v>PEDIATRIK</v>
          </cell>
          <cell r="O474" t="str">
            <v>Unit Rawatan Rapi Neonatal (NICU)</v>
          </cell>
          <cell r="P474" t="str">
            <v>HM</v>
          </cell>
          <cell r="Q474">
            <v>5580</v>
          </cell>
        </row>
        <row r="475">
          <cell r="E475" t="str">
            <v>KKM/JKN/HSA/10-05-01/H/16/50</v>
          </cell>
          <cell r="F475" t="str">
            <v>Therapeutic</v>
          </cell>
          <cell r="G475" t="str">
            <v>Intermediate</v>
          </cell>
          <cell r="H475" t="str">
            <v>Oxygen-Air Proportioners</v>
          </cell>
          <cell r="I475" t="str">
            <v>BIOMED OXYGEN BLENDED COMPLETE SET</v>
          </cell>
          <cell r="J475" t="str">
            <v>12-876</v>
          </cell>
          <cell r="K475"/>
          <cell r="L475" t="str">
            <v>TPM</v>
          </cell>
          <cell r="M475" t="str">
            <v>BX1654009</v>
          </cell>
          <cell r="N475" t="str">
            <v>PEDIATRIK</v>
          </cell>
          <cell r="O475" t="str">
            <v>Unit Rawatan Rapi Neonatal (NICU)</v>
          </cell>
          <cell r="P475" t="str">
            <v>HM</v>
          </cell>
          <cell r="Q475">
            <v>5580</v>
          </cell>
        </row>
        <row r="476">
          <cell r="E476" t="str">
            <v>KKM/JKN/HSA/10-05-01/H/15/4009</v>
          </cell>
          <cell r="F476" t="str">
            <v>Laboratory</v>
          </cell>
          <cell r="G476" t="str">
            <v>Intermediate</v>
          </cell>
          <cell r="H476" t="str">
            <v>Analyzers, Laboratory, Blood Gas/pH/Electrolyte</v>
          </cell>
          <cell r="I476" t="str">
            <v>ANALYSER BLOOD GAS + ISE</v>
          </cell>
          <cell r="J476" t="str">
            <v>18-618</v>
          </cell>
          <cell r="K476" t="str">
            <v>NOVA BIOMEDICAL</v>
          </cell>
          <cell r="L476" t="str">
            <v>NOVA PHOX ANALYSER</v>
          </cell>
          <cell r="M476" t="str">
            <v>Z11215080</v>
          </cell>
          <cell r="N476" t="str">
            <v>PEDIATRIK</v>
          </cell>
          <cell r="O476" t="str">
            <v>Unit Rawatan Rapi Neonatal (NICU)</v>
          </cell>
          <cell r="P476" t="str">
            <v>HM</v>
          </cell>
          <cell r="Q476">
            <v>44070</v>
          </cell>
        </row>
        <row r="477">
          <cell r="E477" t="str">
            <v xml:space="preserve">KKM/JKN/HSA/10-05-01/H/15/2535 </v>
          </cell>
          <cell r="F477" t="str">
            <v>Radiology</v>
          </cell>
          <cell r="G477" t="str">
            <v>Intermediate</v>
          </cell>
          <cell r="H477" t="str">
            <v>Radiographic Units, Mobile</v>
          </cell>
          <cell r="I477" t="str">
            <v>X-RAY UNIT MOBILE</v>
          </cell>
          <cell r="J477" t="str">
            <v>13-272</v>
          </cell>
          <cell r="K477" t="str">
            <v>SIEMENS</v>
          </cell>
          <cell r="L477" t="str">
            <v xml:space="preserve"> MOBILETT XP HYBRID</v>
          </cell>
          <cell r="M477">
            <v>4002</v>
          </cell>
          <cell r="N477" t="str">
            <v>PENGIMEJAN DAN DIAGNOSTIK</v>
          </cell>
          <cell r="O477" t="str">
            <v>Unit Rawatan Rapi (ICU)</v>
          </cell>
          <cell r="P477" t="str">
            <v>HM</v>
          </cell>
          <cell r="Q477">
            <v>105500</v>
          </cell>
        </row>
        <row r="478">
          <cell r="E478" t="str">
            <v>KKM/JKN/HSA/10-05-01/H/15/321</v>
          </cell>
          <cell r="F478" t="str">
            <v>Therapeutic</v>
          </cell>
          <cell r="G478" t="str">
            <v>Intermediate</v>
          </cell>
          <cell r="H478" t="str">
            <v>Ventilators, Intensive Care</v>
          </cell>
          <cell r="I478" t="str">
            <v>VENTILATOR INTENSIVE CARE(ICU)</v>
          </cell>
          <cell r="J478" t="str">
            <v>17-429</v>
          </cell>
          <cell r="K478" t="str">
            <v>DRAGER</v>
          </cell>
          <cell r="L478" t="str">
            <v>EVITA XL</v>
          </cell>
          <cell r="M478" t="str">
            <v>ASEJ-0306</v>
          </cell>
          <cell r="N478" t="str">
            <v>ANESTESIOLOGI</v>
          </cell>
          <cell r="O478" t="str">
            <v>Unit Rawatan Rapi (ICU)</v>
          </cell>
          <cell r="P478" t="str">
            <v>HM</v>
          </cell>
          <cell r="Q478">
            <v>70000</v>
          </cell>
        </row>
        <row r="479">
          <cell r="E479" t="str">
            <v>KKM/JKN/HSA/10-05-01/H/15/322</v>
          </cell>
          <cell r="F479" t="str">
            <v>Therapeutic</v>
          </cell>
          <cell r="G479" t="str">
            <v>Intermediate</v>
          </cell>
          <cell r="H479" t="str">
            <v>Ventilators, Intensive Care</v>
          </cell>
          <cell r="I479" t="str">
            <v>VENTILATOR INTENSIVE CARE(ICU)</v>
          </cell>
          <cell r="J479" t="str">
            <v>17-429</v>
          </cell>
          <cell r="K479" t="str">
            <v>DRAGER</v>
          </cell>
          <cell r="L479" t="str">
            <v>EVITA XL</v>
          </cell>
          <cell r="M479" t="str">
            <v>ASEJ-0307</v>
          </cell>
          <cell r="N479" t="str">
            <v>ANESTESIOLOGI</v>
          </cell>
          <cell r="O479" t="str">
            <v>Unit Rawatan Rapi (ICU)</v>
          </cell>
          <cell r="P479" t="str">
            <v>HM</v>
          </cell>
          <cell r="Q479">
            <v>70000</v>
          </cell>
        </row>
        <row r="480">
          <cell r="E480" t="str">
            <v>KKM/JKN/HSA/10-05-01/H/15/323</v>
          </cell>
          <cell r="F480" t="str">
            <v>Therapeutic</v>
          </cell>
          <cell r="G480" t="str">
            <v>Intermediate</v>
          </cell>
          <cell r="H480" t="str">
            <v>Ventilators, Intensive Care</v>
          </cell>
          <cell r="I480" t="str">
            <v>VENTILATOR INTENSIVE CARE(ICU)</v>
          </cell>
          <cell r="J480" t="str">
            <v>17-429</v>
          </cell>
          <cell r="K480" t="str">
            <v>DRAGER</v>
          </cell>
          <cell r="L480" t="str">
            <v>EVITA XL</v>
          </cell>
          <cell r="M480" t="str">
            <v>ASEJ-0308</v>
          </cell>
          <cell r="N480" t="str">
            <v>ANESTESIOLOGI</v>
          </cell>
          <cell r="O480" t="str">
            <v>Unit Rawatan Rapi (ICU)</v>
          </cell>
          <cell r="P480" t="str">
            <v>HM</v>
          </cell>
          <cell r="Q480">
            <v>70000</v>
          </cell>
        </row>
        <row r="481">
          <cell r="E481" t="str">
            <v>KKM/JKN/HSA/10-05-01/H/15/324</v>
          </cell>
          <cell r="F481" t="str">
            <v>Therapeutic</v>
          </cell>
          <cell r="G481" t="str">
            <v>Intermediate</v>
          </cell>
          <cell r="H481" t="str">
            <v>Ventilators, Intensive Care</v>
          </cell>
          <cell r="I481" t="str">
            <v>VENTILATOR INTENSIVE CARE(ICU)</v>
          </cell>
          <cell r="J481" t="str">
            <v>17-429</v>
          </cell>
          <cell r="K481" t="str">
            <v>DRAGER</v>
          </cell>
          <cell r="L481" t="str">
            <v>EVITA XL</v>
          </cell>
          <cell r="M481" t="str">
            <v>ASEJ-0315</v>
          </cell>
          <cell r="N481" t="str">
            <v>ANESTESIOLOGI</v>
          </cell>
          <cell r="O481" t="str">
            <v>Unit Rawatan Rapi (ICU)</v>
          </cell>
          <cell r="P481" t="str">
            <v>HM</v>
          </cell>
          <cell r="Q481">
            <v>70000</v>
          </cell>
        </row>
        <row r="482">
          <cell r="E482" t="str">
            <v>KKM/JKN/HSA/10-05-01/H/15/325</v>
          </cell>
          <cell r="F482" t="str">
            <v>Therapeutic</v>
          </cell>
          <cell r="G482" t="str">
            <v>Intermediate</v>
          </cell>
          <cell r="H482" t="str">
            <v>Ventilators, Intensive Care</v>
          </cell>
          <cell r="I482" t="str">
            <v>VENTILATOR INTENSIVE CARE(ICU)</v>
          </cell>
          <cell r="J482" t="str">
            <v>17-429</v>
          </cell>
          <cell r="K482" t="str">
            <v>DRAGER</v>
          </cell>
          <cell r="L482" t="str">
            <v>EVITA XL</v>
          </cell>
          <cell r="M482" t="str">
            <v>ASEJ-0313</v>
          </cell>
          <cell r="N482" t="str">
            <v>ANESTESIOLOGI</v>
          </cell>
          <cell r="O482" t="str">
            <v>Unit Rawatan Rapi (ICU)</v>
          </cell>
          <cell r="P482" t="str">
            <v>HM</v>
          </cell>
          <cell r="Q482">
            <v>70000</v>
          </cell>
        </row>
        <row r="483">
          <cell r="E483" t="str">
            <v>KKM/JKN/HSA/10-05-01/H/15/326</v>
          </cell>
          <cell r="F483" t="str">
            <v>Therapeutic</v>
          </cell>
          <cell r="G483" t="str">
            <v>Intermediate</v>
          </cell>
          <cell r="H483" t="str">
            <v>Ventilators, Intensive Care</v>
          </cell>
          <cell r="I483" t="str">
            <v>VENTILATOR INTENSIVE CARE(ICU)</v>
          </cell>
          <cell r="J483" t="str">
            <v>17-429</v>
          </cell>
          <cell r="K483" t="str">
            <v>DRAGER</v>
          </cell>
          <cell r="L483" t="str">
            <v>EVITA XL</v>
          </cell>
          <cell r="M483" t="str">
            <v>ASEJ-0305</v>
          </cell>
          <cell r="N483" t="str">
            <v>ANESTESIOLOGI</v>
          </cell>
          <cell r="O483" t="str">
            <v>Unit Rawatan Rapi (ICU)</v>
          </cell>
          <cell r="P483" t="str">
            <v>HM</v>
          </cell>
          <cell r="Q483">
            <v>70000</v>
          </cell>
        </row>
        <row r="484">
          <cell r="E484" t="str">
            <v>KKM/JKN/HSA/10-05-01/H/15/327</v>
          </cell>
          <cell r="F484" t="str">
            <v>Therapeutic</v>
          </cell>
          <cell r="G484" t="str">
            <v>Intermediate</v>
          </cell>
          <cell r="H484" t="str">
            <v>Ventilators, Intensive Care</v>
          </cell>
          <cell r="I484" t="str">
            <v>VENTILATOR INTENSIVE CARE(ICU)</v>
          </cell>
          <cell r="J484" t="str">
            <v>17-429</v>
          </cell>
          <cell r="K484" t="str">
            <v>DRAGER</v>
          </cell>
          <cell r="L484" t="str">
            <v>EVITA XL</v>
          </cell>
          <cell r="M484" t="str">
            <v>ASEJ-0314</v>
          </cell>
          <cell r="N484" t="str">
            <v>ANESTESIOLOGI</v>
          </cell>
          <cell r="O484" t="str">
            <v>Unit Rawatan Rapi (ICU)</v>
          </cell>
          <cell r="P484" t="str">
            <v>HM</v>
          </cell>
          <cell r="Q484">
            <v>70000</v>
          </cell>
        </row>
        <row r="485">
          <cell r="E485" t="str">
            <v>KKM/JKN/HSA/10-05-01/H/14/1</v>
          </cell>
          <cell r="F485" t="str">
            <v>Radiology</v>
          </cell>
          <cell r="G485" t="str">
            <v>Intermediate</v>
          </cell>
          <cell r="H485" t="str">
            <v>Scanning Systems, Ultrasonic, General-PurP0se</v>
          </cell>
          <cell r="I485" t="str">
            <v>ULTRASOUND SCANNER MY LAB TOUCH</v>
          </cell>
          <cell r="J485" t="str">
            <v>15-976</v>
          </cell>
          <cell r="K485" t="str">
            <v>ESAOTE</v>
          </cell>
          <cell r="L485" t="str">
            <v>00787</v>
          </cell>
          <cell r="M485"/>
          <cell r="N485" t="str">
            <v>ANESTESIOLOGI</v>
          </cell>
          <cell r="O485" t="str">
            <v>Unit Rawatan Rapi (ICU)</v>
          </cell>
          <cell r="P485" t="str">
            <v>HM</v>
          </cell>
          <cell r="Q485">
            <v>40000</v>
          </cell>
        </row>
        <row r="486">
          <cell r="E486" t="str">
            <v>KKM/JKN/HSA/10-05-01/H/14/2</v>
          </cell>
          <cell r="F486" t="str">
            <v>Radiology</v>
          </cell>
          <cell r="G486" t="str">
            <v>Intermediate</v>
          </cell>
          <cell r="H486" t="str">
            <v>Scanning Systems, Ultrasonic, General-PurP0se</v>
          </cell>
          <cell r="I486" t="str">
            <v>ULTRASOUND SCANNER MY LAB ALPHA</v>
          </cell>
          <cell r="J486" t="str">
            <v>15-976</v>
          </cell>
          <cell r="K486" t="str">
            <v>ESAOTE</v>
          </cell>
          <cell r="L486">
            <v>91403225</v>
          </cell>
          <cell r="M486"/>
          <cell r="N486" t="str">
            <v>ANESTESIOLOGI</v>
          </cell>
          <cell r="O486" t="str">
            <v>Unit Rawatan Rapi (ICU)</v>
          </cell>
          <cell r="P486" t="str">
            <v>HM</v>
          </cell>
          <cell r="Q486">
            <v>160000</v>
          </cell>
        </row>
        <row r="487">
          <cell r="E487" t="str">
            <v>KKM/JKN/HSA/10-05-01/H/15/2782</v>
          </cell>
          <cell r="F487" t="str">
            <v>Therapeutic</v>
          </cell>
          <cell r="G487" t="str">
            <v>Basic</v>
          </cell>
          <cell r="H487" t="str">
            <v>Mattress Systems, Alternating-Pressure</v>
          </cell>
          <cell r="I487" t="str">
            <v>RIPPLE MATTRESS W/MOTOR</v>
          </cell>
          <cell r="J487" t="str">
            <v>18-147</v>
          </cell>
          <cell r="K487" t="str">
            <v>BANTEX</v>
          </cell>
          <cell r="L487" t="str">
            <v>APM-5000-G</v>
          </cell>
          <cell r="M487" t="str">
            <v>EZ141105011</v>
          </cell>
          <cell r="N487" t="str">
            <v>ANESTESIOLOGI</v>
          </cell>
          <cell r="O487" t="str">
            <v>Unit Rawatan Rapi (ICU)</v>
          </cell>
          <cell r="P487" t="str">
            <v>HM</v>
          </cell>
          <cell r="Q487">
            <v>2800</v>
          </cell>
        </row>
        <row r="488">
          <cell r="E488" t="str">
            <v>KKM/JKN/HSA/10-05-01/H/15/2783</v>
          </cell>
          <cell r="F488" t="str">
            <v>Therapeutic</v>
          </cell>
          <cell r="G488" t="str">
            <v>Basic</v>
          </cell>
          <cell r="H488" t="str">
            <v>Mattress Systems, Alternating-Pressure</v>
          </cell>
          <cell r="I488" t="str">
            <v>RIPPLE MATTRESS W/MOTOR</v>
          </cell>
          <cell r="J488" t="str">
            <v>18-147</v>
          </cell>
          <cell r="K488" t="str">
            <v>BANTEX</v>
          </cell>
          <cell r="L488" t="str">
            <v>APM-5000-G</v>
          </cell>
          <cell r="M488" t="str">
            <v>EZ141105007</v>
          </cell>
          <cell r="N488" t="str">
            <v>ANESTESIOLOGI</v>
          </cell>
          <cell r="O488" t="str">
            <v>Unit Rawatan Rapi (ICU)</v>
          </cell>
          <cell r="P488" t="str">
            <v>HM</v>
          </cell>
          <cell r="Q488">
            <v>2800</v>
          </cell>
        </row>
        <row r="489">
          <cell r="E489" t="str">
            <v>KKM/JKN/HSA/10-05-01/H/15/2784</v>
          </cell>
          <cell r="F489" t="str">
            <v>Therapeutic</v>
          </cell>
          <cell r="G489" t="str">
            <v>Basic</v>
          </cell>
          <cell r="H489" t="str">
            <v>Mattress Systems, Alternating-Pressure</v>
          </cell>
          <cell r="I489" t="str">
            <v>RIPPLE MATTRESS W/MOTOR</v>
          </cell>
          <cell r="J489" t="str">
            <v>18-147</v>
          </cell>
          <cell r="K489" t="str">
            <v>BANTEX</v>
          </cell>
          <cell r="L489" t="str">
            <v>APM-5000-G</v>
          </cell>
          <cell r="M489" t="str">
            <v>EZ141105012</v>
          </cell>
          <cell r="N489" t="str">
            <v>ANESTESIOLOGI</v>
          </cell>
          <cell r="O489" t="str">
            <v>Unit Rawatan Rapi (ICU)</v>
          </cell>
          <cell r="P489" t="str">
            <v>HM</v>
          </cell>
          <cell r="Q489">
            <v>2800</v>
          </cell>
        </row>
        <row r="490">
          <cell r="E490" t="str">
            <v>KKM/JKN/HSA/10-05-01/H/15/2785</v>
          </cell>
          <cell r="F490" t="str">
            <v>Therapeutic</v>
          </cell>
          <cell r="G490" t="str">
            <v>Basic</v>
          </cell>
          <cell r="H490" t="str">
            <v>Mattress Systems, Alternating-Pressure</v>
          </cell>
          <cell r="I490" t="str">
            <v>RIPPLE MATTRESS W/MOTOR</v>
          </cell>
          <cell r="J490" t="str">
            <v>18-147</v>
          </cell>
          <cell r="K490" t="str">
            <v>BANTEX</v>
          </cell>
          <cell r="L490" t="str">
            <v>APM-5000-G</v>
          </cell>
          <cell r="M490" t="str">
            <v>EZ140800749</v>
          </cell>
          <cell r="N490" t="str">
            <v>ANESTESIOLOGI</v>
          </cell>
          <cell r="O490" t="str">
            <v>Unit Rawatan Rapi (ICU)</v>
          </cell>
          <cell r="P490" t="str">
            <v>HM</v>
          </cell>
          <cell r="Q490">
            <v>2800</v>
          </cell>
        </row>
        <row r="491">
          <cell r="E491" t="str">
            <v>KKM/JKN/HSA/10-05-01/H/15/2786</v>
          </cell>
          <cell r="F491" t="str">
            <v>Therapeutic</v>
          </cell>
          <cell r="G491" t="str">
            <v>Basic</v>
          </cell>
          <cell r="H491" t="str">
            <v>Mattress Systems, Alternating-Pressure</v>
          </cell>
          <cell r="I491" t="str">
            <v>RIPPLE MATTRESS W/MOTOR</v>
          </cell>
          <cell r="J491" t="str">
            <v>18-147</v>
          </cell>
          <cell r="K491" t="str">
            <v>BANTEX</v>
          </cell>
          <cell r="L491" t="str">
            <v>APM-5000-G</v>
          </cell>
          <cell r="M491" t="str">
            <v>EZ141104996</v>
          </cell>
          <cell r="N491" t="str">
            <v>ANESTESIOLOGI</v>
          </cell>
          <cell r="O491" t="str">
            <v>Unit Rawatan Rapi (ICU)</v>
          </cell>
          <cell r="P491" t="str">
            <v>HM</v>
          </cell>
          <cell r="Q491">
            <v>2800</v>
          </cell>
        </row>
        <row r="492">
          <cell r="E492" t="str">
            <v>KKM/JKN/HSA/10-05-01/H/15/2787</v>
          </cell>
          <cell r="F492" t="str">
            <v>Therapeutic</v>
          </cell>
          <cell r="G492" t="str">
            <v>Basic</v>
          </cell>
          <cell r="H492" t="str">
            <v>Mattress Systems, Alternating-Pressure</v>
          </cell>
          <cell r="I492" t="str">
            <v>RIPPLE MATTRESS W/MOTOR</v>
          </cell>
          <cell r="J492" t="str">
            <v>18-147</v>
          </cell>
          <cell r="K492" t="str">
            <v>BANTEX</v>
          </cell>
          <cell r="L492" t="str">
            <v>APM-5000-G</v>
          </cell>
          <cell r="M492" t="str">
            <v>EZ141105009</v>
          </cell>
          <cell r="N492" t="str">
            <v>ANESTESIOLOGI</v>
          </cell>
          <cell r="O492" t="str">
            <v>Unit Rawatan Rapi (ICU)</v>
          </cell>
          <cell r="P492" t="str">
            <v>HM</v>
          </cell>
          <cell r="Q492">
            <v>2800</v>
          </cell>
        </row>
        <row r="493">
          <cell r="E493" t="str">
            <v>KKM/JKN/HSA/10-05-01/H/15/2788</v>
          </cell>
          <cell r="F493" t="str">
            <v>Therapeutic</v>
          </cell>
          <cell r="G493" t="str">
            <v>Basic</v>
          </cell>
          <cell r="H493" t="str">
            <v>Mattress Systems, Alternating-Pressure</v>
          </cell>
          <cell r="I493" t="str">
            <v>RIPPLE MATTRESS W/MOTOR</v>
          </cell>
          <cell r="J493" t="str">
            <v>18-147</v>
          </cell>
          <cell r="K493" t="str">
            <v>BANTEX</v>
          </cell>
          <cell r="L493" t="str">
            <v>APM-5000-G</v>
          </cell>
          <cell r="M493" t="str">
            <v>EZ141105013</v>
          </cell>
          <cell r="N493" t="str">
            <v>ANESTESIOLOGI</v>
          </cell>
          <cell r="O493" t="str">
            <v>Unit Rawatan Rapi (ICU)</v>
          </cell>
          <cell r="P493" t="str">
            <v>HM</v>
          </cell>
          <cell r="Q493">
            <v>2800</v>
          </cell>
        </row>
        <row r="494">
          <cell r="E494" t="str">
            <v>KKM/JKN/HSA/10-05-01/H/15/2789</v>
          </cell>
          <cell r="F494" t="str">
            <v>Therapeutic</v>
          </cell>
          <cell r="G494" t="str">
            <v>Basic</v>
          </cell>
          <cell r="H494" t="str">
            <v>Mattress Systems, Alternating-Pressure</v>
          </cell>
          <cell r="I494" t="str">
            <v>RIPPLE MATTRESS W/MOTOR</v>
          </cell>
          <cell r="J494" t="str">
            <v>18-147</v>
          </cell>
          <cell r="K494" t="str">
            <v>BANTEX</v>
          </cell>
          <cell r="L494" t="str">
            <v>APM-5000-G</v>
          </cell>
          <cell r="M494" t="str">
            <v>EZ140800750</v>
          </cell>
          <cell r="N494" t="str">
            <v>ANESTESIOLOGI</v>
          </cell>
          <cell r="O494" t="str">
            <v>Unit Rawatan Rapi (ICU)</v>
          </cell>
          <cell r="P494" t="str">
            <v>HM</v>
          </cell>
          <cell r="Q494">
            <v>2800</v>
          </cell>
        </row>
        <row r="495">
          <cell r="E495" t="str">
            <v>KKM/JKN/HSA/10-05-01/H/15/2790</v>
          </cell>
          <cell r="F495" t="str">
            <v>Therapeutic</v>
          </cell>
          <cell r="G495" t="str">
            <v>Basic</v>
          </cell>
          <cell r="H495" t="str">
            <v>Mattress Systems, Alternating-Pressure</v>
          </cell>
          <cell r="I495" t="str">
            <v>RIPPLE MATTRESS W/MOTOR</v>
          </cell>
          <cell r="J495" t="str">
            <v>18-147</v>
          </cell>
          <cell r="K495" t="str">
            <v>BANTEX</v>
          </cell>
          <cell r="L495" t="str">
            <v>APM-5000-G</v>
          </cell>
          <cell r="M495" t="str">
            <v>EZ141105014</v>
          </cell>
          <cell r="N495" t="str">
            <v>ANESTESIOLOGI</v>
          </cell>
          <cell r="O495" t="str">
            <v>Unit Rawatan Rapi (ICU)</v>
          </cell>
          <cell r="P495" t="str">
            <v>HM</v>
          </cell>
          <cell r="Q495">
            <v>2800</v>
          </cell>
        </row>
        <row r="496">
          <cell r="E496" t="str">
            <v>KKM/JKN/HSA/10-05-01/H/15/4288</v>
          </cell>
          <cell r="F496" t="str">
            <v>Therapeutic</v>
          </cell>
          <cell r="G496" t="str">
            <v>Basic</v>
          </cell>
          <cell r="H496" t="str">
            <v>Mattress Systems, Alternating-Pressure</v>
          </cell>
          <cell r="I496" t="str">
            <v>RIPPLE MATTRESS W/MOTOR</v>
          </cell>
          <cell r="J496" t="str">
            <v>18-147</v>
          </cell>
          <cell r="K496" t="str">
            <v>BANTEX</v>
          </cell>
          <cell r="L496" t="str">
            <v>APM-5000-G</v>
          </cell>
          <cell r="M496" t="str">
            <v>EZ141104999</v>
          </cell>
          <cell r="N496" t="str">
            <v>ANESTESIOLOGI</v>
          </cell>
          <cell r="O496" t="str">
            <v>Unit Rawatan Rapi (ICU)</v>
          </cell>
          <cell r="P496" t="str">
            <v>HM</v>
          </cell>
          <cell r="Q496">
            <v>2800</v>
          </cell>
        </row>
        <row r="497">
          <cell r="E497" t="str">
            <v>KKM/JKN/HSA/10-05-01/H/15/1198</v>
          </cell>
          <cell r="F497" t="str">
            <v>Therapeutic</v>
          </cell>
          <cell r="G497" t="str">
            <v>Intermediate</v>
          </cell>
          <cell r="H497" t="str">
            <v>Infusion Pumps, General-Purpose</v>
          </cell>
          <cell r="I497" t="str">
            <v>PUMP VOLUMETRIC INFUSION (STAND ALONE)</v>
          </cell>
          <cell r="J497" t="str">
            <v>13-215</v>
          </cell>
          <cell r="K497" t="str">
            <v>FRESENIUS KABI</v>
          </cell>
          <cell r="L497" t="str">
            <v>LINK 8+ AGILIA/MOBILE STAND</v>
          </cell>
          <cell r="M497">
            <v>22233479</v>
          </cell>
          <cell r="N497" t="str">
            <v>ANESTESIOLOGI</v>
          </cell>
          <cell r="O497" t="str">
            <v>Unit Rawatan Rapi (ICU)</v>
          </cell>
          <cell r="P497" t="str">
            <v>HM</v>
          </cell>
          <cell r="Q497">
            <v>7245</v>
          </cell>
        </row>
        <row r="498">
          <cell r="E498" t="str">
            <v>KKM/JKN/HSA/10-05-01/H/15/1199</v>
          </cell>
          <cell r="F498" t="str">
            <v>Therapeutic</v>
          </cell>
          <cell r="G498" t="str">
            <v>Intermediate</v>
          </cell>
          <cell r="H498" t="str">
            <v>Infusion Pumps, General-Purpose</v>
          </cell>
          <cell r="I498" t="str">
            <v>PUMP VOLUMETRIC INFUSION (STAND ALONE)</v>
          </cell>
          <cell r="J498" t="str">
            <v>13-215</v>
          </cell>
          <cell r="K498" t="str">
            <v>FRESENIUS KABI</v>
          </cell>
          <cell r="L498" t="str">
            <v>LINK 8+ AGILIA/MOBILE STAND</v>
          </cell>
          <cell r="M498">
            <v>22235945</v>
          </cell>
          <cell r="N498" t="str">
            <v>ANESTESIOLOGI</v>
          </cell>
          <cell r="O498" t="str">
            <v>Unit Rawatan Rapi (ICU)</v>
          </cell>
          <cell r="P498" t="str">
            <v>HM</v>
          </cell>
          <cell r="Q498">
            <v>7245</v>
          </cell>
        </row>
        <row r="499">
          <cell r="E499" t="str">
            <v>KKM/JKN/HSA/10-05-01/H/15/1200</v>
          </cell>
          <cell r="F499" t="str">
            <v>Therapeutic</v>
          </cell>
          <cell r="G499" t="str">
            <v>Intermediate</v>
          </cell>
          <cell r="H499" t="str">
            <v>Infusion Pumps, General-Purpose</v>
          </cell>
          <cell r="I499" t="str">
            <v>PUMP VOLUMETRIC INFUSION (STAND ALONE)</v>
          </cell>
          <cell r="J499" t="str">
            <v>13-215</v>
          </cell>
          <cell r="K499" t="str">
            <v>FRESENIUS KABI</v>
          </cell>
          <cell r="L499" t="str">
            <v>LINK 8+ AGILIA/MOBILE STAND</v>
          </cell>
          <cell r="M499">
            <v>22235265</v>
          </cell>
          <cell r="N499" t="str">
            <v>ANESTESIOLOGI</v>
          </cell>
          <cell r="O499" t="str">
            <v>Unit Rawatan Rapi (ICU)</v>
          </cell>
          <cell r="P499" t="str">
            <v>HM</v>
          </cell>
          <cell r="Q499">
            <v>7245</v>
          </cell>
        </row>
        <row r="500">
          <cell r="E500" t="str">
            <v>KKM/JKN/HSA/10-05-01/H/15/1201</v>
          </cell>
          <cell r="F500" t="str">
            <v>Therapeutic</v>
          </cell>
          <cell r="G500" t="str">
            <v>Intermediate</v>
          </cell>
          <cell r="H500" t="str">
            <v>Infusion Pumps, General-Purpose</v>
          </cell>
          <cell r="I500" t="str">
            <v>PUMP VOLUMETRIC INFUSION (STAND ALONE)</v>
          </cell>
          <cell r="J500" t="str">
            <v>13-215</v>
          </cell>
          <cell r="K500" t="str">
            <v>FRESENIUS KABI</v>
          </cell>
          <cell r="L500" t="str">
            <v>LINK 8+ AGILIA/MOBILE STAND</v>
          </cell>
          <cell r="M500">
            <v>22235258</v>
          </cell>
          <cell r="N500" t="str">
            <v>ANESTESIOLOGI</v>
          </cell>
          <cell r="O500" t="str">
            <v>Unit Rawatan Rapi (ICU)</v>
          </cell>
          <cell r="P500" t="str">
            <v>HM</v>
          </cell>
          <cell r="Q500">
            <v>7245</v>
          </cell>
        </row>
        <row r="501">
          <cell r="E501" t="str">
            <v>KKM/JKN/HSA/10-05-01/H/15/1202</v>
          </cell>
          <cell r="F501" t="str">
            <v>Therapeutic</v>
          </cell>
          <cell r="G501" t="str">
            <v>Intermediate</v>
          </cell>
          <cell r="H501" t="str">
            <v>Infusion Pumps, General-Purpose</v>
          </cell>
          <cell r="I501" t="str">
            <v>PUMP VOLUMETRIC INFUSION (STAND ALONE)</v>
          </cell>
          <cell r="J501" t="str">
            <v>13-215</v>
          </cell>
          <cell r="K501" t="str">
            <v>FRESENIUS KABI</v>
          </cell>
          <cell r="L501" t="str">
            <v>LINK 8+ AGILIA/MOBILE STAND</v>
          </cell>
          <cell r="M501">
            <v>22170874</v>
          </cell>
          <cell r="N501" t="str">
            <v>ANESTESIOLOGI</v>
          </cell>
          <cell r="O501" t="str">
            <v>Unit Rawatan Rapi (ICU)</v>
          </cell>
          <cell r="P501" t="str">
            <v>HM</v>
          </cell>
          <cell r="Q501">
            <v>7245</v>
          </cell>
        </row>
        <row r="502">
          <cell r="E502" t="str">
            <v>KKM/JKN/HSA/10-05-01/H/15/1203</v>
          </cell>
          <cell r="F502" t="str">
            <v>Therapeutic</v>
          </cell>
          <cell r="G502" t="str">
            <v>Intermediate</v>
          </cell>
          <cell r="H502" t="str">
            <v>Infusion Pumps, General-Purpose</v>
          </cell>
          <cell r="I502" t="str">
            <v>PUMP VOLUMETRIC INFUSION (STAND ALONE)</v>
          </cell>
          <cell r="J502" t="str">
            <v>13-215</v>
          </cell>
          <cell r="K502" t="str">
            <v>FRESENIUS KABI</v>
          </cell>
          <cell r="L502" t="str">
            <v>LINK 8+ AGILIA/MOBILE STAND</v>
          </cell>
          <cell r="M502">
            <v>22235294</v>
          </cell>
          <cell r="N502" t="str">
            <v>ANESTESIOLOGI</v>
          </cell>
          <cell r="O502" t="str">
            <v>Unit Rawatan Rapi (ICU)</v>
          </cell>
          <cell r="P502" t="str">
            <v>HM</v>
          </cell>
          <cell r="Q502">
            <v>7245</v>
          </cell>
        </row>
        <row r="503">
          <cell r="E503" t="str">
            <v>KKM/JKN/HSA/10-05-01/H/15/1204</v>
          </cell>
          <cell r="F503" t="str">
            <v>Therapeutic</v>
          </cell>
          <cell r="G503" t="str">
            <v>Intermediate</v>
          </cell>
          <cell r="H503" t="str">
            <v>Infusion Pumps, General-Purpose</v>
          </cell>
          <cell r="I503" t="str">
            <v>PUMP VOLUMETRIC INFUSION (STAND ALONE)</v>
          </cell>
          <cell r="J503" t="str">
            <v>13-215</v>
          </cell>
          <cell r="K503" t="str">
            <v>FRESENIUS KABI</v>
          </cell>
          <cell r="L503" t="str">
            <v>LINK 8+ AGILIA/MOBILE STAND</v>
          </cell>
          <cell r="M503">
            <v>22235244</v>
          </cell>
          <cell r="N503" t="str">
            <v>ANESTESIOLOGI</v>
          </cell>
          <cell r="O503" t="str">
            <v>Unit Rawatan Rapi (ICU)</v>
          </cell>
          <cell r="P503" t="str">
            <v>HM</v>
          </cell>
          <cell r="Q503">
            <v>7245</v>
          </cell>
        </row>
        <row r="504">
          <cell r="E504" t="str">
            <v>KKM/JKN/HSA/10-05-01/H/15/1205</v>
          </cell>
          <cell r="F504" t="str">
            <v>Therapeutic</v>
          </cell>
          <cell r="G504" t="str">
            <v>Intermediate</v>
          </cell>
          <cell r="H504" t="str">
            <v>Infusion Pumps, General-Purpose</v>
          </cell>
          <cell r="I504" t="str">
            <v>PUMP VOLUMETRIC INFUSION (STAND ALONE)</v>
          </cell>
          <cell r="J504" t="str">
            <v>13-215</v>
          </cell>
          <cell r="K504" t="str">
            <v>FRESENIUS KABI</v>
          </cell>
          <cell r="L504" t="str">
            <v>LINK 8+ AGILIA/MOBILE STAND</v>
          </cell>
          <cell r="M504">
            <v>22235270</v>
          </cell>
          <cell r="N504" t="str">
            <v>ANESTESIOLOGI</v>
          </cell>
          <cell r="O504" t="str">
            <v>Unit Rawatan Rapi (ICU)</v>
          </cell>
          <cell r="P504" t="str">
            <v>HM</v>
          </cell>
          <cell r="Q504">
            <v>7245</v>
          </cell>
        </row>
        <row r="505">
          <cell r="E505" t="str">
            <v>KKM/JKN/HSA/10-05-01/H/15/1206</v>
          </cell>
          <cell r="F505" t="str">
            <v>Therapeutic</v>
          </cell>
          <cell r="G505" t="str">
            <v>Intermediate</v>
          </cell>
          <cell r="H505" t="str">
            <v>Infusion Pumps, General-Purpose</v>
          </cell>
          <cell r="I505" t="str">
            <v>PUMP VOLUMETRIC INFUSION (STAND ALONE)</v>
          </cell>
          <cell r="J505" t="str">
            <v>13-215</v>
          </cell>
          <cell r="K505" t="str">
            <v>FRESENIUS KABI</v>
          </cell>
          <cell r="L505" t="str">
            <v>LINK 8+ AGILIA/MOBILE STAND</v>
          </cell>
          <cell r="M505">
            <v>22235960</v>
          </cell>
          <cell r="N505" t="str">
            <v>ANESTESIOLOGI</v>
          </cell>
          <cell r="O505" t="str">
            <v>Unit Rawatan Rapi (ICU)</v>
          </cell>
          <cell r="P505" t="str">
            <v>HM</v>
          </cell>
          <cell r="Q505">
            <v>7245</v>
          </cell>
        </row>
        <row r="506">
          <cell r="E506" t="str">
            <v>KKM/JKN/HSA/10-05-01/H/15/1207</v>
          </cell>
          <cell r="F506" t="str">
            <v>Therapeutic</v>
          </cell>
          <cell r="G506" t="str">
            <v>Intermediate</v>
          </cell>
          <cell r="H506" t="str">
            <v>Infusion Pumps, General-Purpose</v>
          </cell>
          <cell r="I506" t="str">
            <v>PUMP VOLUMETRIC INFUSION (STAND ALONE)</v>
          </cell>
          <cell r="J506" t="str">
            <v>13-215</v>
          </cell>
          <cell r="K506" t="str">
            <v>FRESENIUS KABI</v>
          </cell>
          <cell r="L506" t="str">
            <v>LINK 8+ AGILIA/MOBILE STAND</v>
          </cell>
          <cell r="M506">
            <v>22170857</v>
          </cell>
          <cell r="N506" t="str">
            <v>ANESTESIOLOGI</v>
          </cell>
          <cell r="O506" t="str">
            <v>Unit Rawatan Rapi (ICU)</v>
          </cell>
          <cell r="P506" t="str">
            <v>HM</v>
          </cell>
          <cell r="Q506">
            <v>7245</v>
          </cell>
        </row>
        <row r="507">
          <cell r="E507" t="str">
            <v>KKM/JKN/HSA/10-05-01/H/15/2778</v>
          </cell>
          <cell r="F507" t="str">
            <v>Therapeutic</v>
          </cell>
          <cell r="G507" t="str">
            <v>Intermediate</v>
          </cell>
          <cell r="H507" t="str">
            <v>Infusion Pumps, General-Purpose</v>
          </cell>
          <cell r="I507" t="str">
            <v>PUMP VOLUMETRIC INFUSION</v>
          </cell>
          <cell r="J507" t="str">
            <v>13-215</v>
          </cell>
          <cell r="K507" t="str">
            <v>FRESENIUS KABI</v>
          </cell>
          <cell r="L507" t="str">
            <v xml:space="preserve"> MODULE MPV+MS</v>
          </cell>
          <cell r="M507" t="str">
            <v>083091/22202940</v>
          </cell>
          <cell r="N507" t="str">
            <v>ANESTESIOLOGI</v>
          </cell>
          <cell r="O507" t="str">
            <v>Unit Rawatan Rapi (ICU)</v>
          </cell>
          <cell r="P507" t="str">
            <v>HM</v>
          </cell>
          <cell r="Q507">
            <v>5489</v>
          </cell>
        </row>
        <row r="508">
          <cell r="E508" t="str">
            <v>KKM/JKN/HSA/10-05-01/H/15/2779</v>
          </cell>
          <cell r="F508" t="str">
            <v>Therapeutic</v>
          </cell>
          <cell r="G508" t="str">
            <v>Intermediate</v>
          </cell>
          <cell r="H508" t="str">
            <v>Infusion Pumps, General-Purpose</v>
          </cell>
          <cell r="I508" t="str">
            <v>PUMP VOLUMETRIC INFUSION</v>
          </cell>
          <cell r="J508" t="str">
            <v>13-215</v>
          </cell>
          <cell r="K508" t="str">
            <v>FRESENIUS KABI</v>
          </cell>
          <cell r="L508" t="str">
            <v xml:space="preserve"> MODULE MPV+MS</v>
          </cell>
          <cell r="M508" t="str">
            <v>083091/22202936</v>
          </cell>
          <cell r="N508" t="str">
            <v>ANESTESIOLOGI</v>
          </cell>
          <cell r="O508" t="str">
            <v>Unit Rawatan Rapi (ICU)</v>
          </cell>
          <cell r="P508" t="str">
            <v>HM</v>
          </cell>
          <cell r="Q508">
            <v>5489</v>
          </cell>
        </row>
        <row r="509">
          <cell r="E509" t="str">
            <v>KKM/JKN/HSA/10-05-01/H/15/2780</v>
          </cell>
          <cell r="F509" t="str">
            <v>Therapeutic</v>
          </cell>
          <cell r="G509" t="str">
            <v>Intermediate</v>
          </cell>
          <cell r="H509" t="str">
            <v>Infusion Pumps, General-Purpose</v>
          </cell>
          <cell r="I509" t="str">
            <v>PUMP VOLUMETRIC INFUSION</v>
          </cell>
          <cell r="J509" t="str">
            <v>13-215</v>
          </cell>
          <cell r="K509" t="str">
            <v>FRESENIUS KABI</v>
          </cell>
          <cell r="L509" t="str">
            <v xml:space="preserve"> MODULE MPV+MS</v>
          </cell>
          <cell r="M509" t="str">
            <v>083091/22202939</v>
          </cell>
          <cell r="N509" t="str">
            <v>ANESTESIOLOGI</v>
          </cell>
          <cell r="O509" t="str">
            <v>Unit Rawatan Rapi (ICU)</v>
          </cell>
          <cell r="P509" t="str">
            <v>HM</v>
          </cell>
          <cell r="Q509">
            <v>5489</v>
          </cell>
        </row>
        <row r="510">
          <cell r="E510" t="str">
            <v>KKM/JKN/HSA/10-05-01/H/15/2781</v>
          </cell>
          <cell r="F510" t="str">
            <v>Therapeutic</v>
          </cell>
          <cell r="G510" t="str">
            <v>Intermediate</v>
          </cell>
          <cell r="H510" t="str">
            <v>Infusion Pumps, General-Purpose</v>
          </cell>
          <cell r="I510" t="str">
            <v>PUMP VOLUMETRIC INFUSION</v>
          </cell>
          <cell r="J510" t="str">
            <v>13-215</v>
          </cell>
          <cell r="K510" t="str">
            <v>FRESENIUS KABI</v>
          </cell>
          <cell r="L510" t="str">
            <v xml:space="preserve"> MODULE MPV+MS</v>
          </cell>
          <cell r="M510" t="str">
            <v>083091/22202935</v>
          </cell>
          <cell r="N510" t="str">
            <v>ANESTESIOLOGI</v>
          </cell>
          <cell r="O510" t="str">
            <v>Unit Rawatan Rapi (ICU)</v>
          </cell>
          <cell r="P510" t="str">
            <v>HM</v>
          </cell>
          <cell r="Q510">
            <v>5489</v>
          </cell>
        </row>
        <row r="511">
          <cell r="E511" t="str">
            <v>KKM/JKN/HSA/10-05-01/H/15/694</v>
          </cell>
          <cell r="F511" t="str">
            <v>Therapeutic</v>
          </cell>
          <cell r="G511" t="str">
            <v>Intermediate</v>
          </cell>
          <cell r="H511" t="str">
            <v>Infusion Pumps, Syringe</v>
          </cell>
          <cell r="I511" t="str">
            <v>PUMP SYRINGE BASIC DOSE RATE (STAND ALONE)</v>
          </cell>
          <cell r="J511" t="str">
            <v>13-217</v>
          </cell>
          <cell r="K511" t="str">
            <v>FRESENIUS KABI</v>
          </cell>
          <cell r="L511" t="str">
            <v>INJECTOMAT MC AGILIA</v>
          </cell>
          <cell r="M511" t="str">
            <v>018130/22231627</v>
          </cell>
          <cell r="N511" t="str">
            <v>ANESTESIOLOGI</v>
          </cell>
          <cell r="O511" t="str">
            <v>Unit Rawatan Rapi (ICU)</v>
          </cell>
          <cell r="P511" t="str">
            <v>HM</v>
          </cell>
          <cell r="Q511">
            <v>4300</v>
          </cell>
        </row>
        <row r="512">
          <cell r="E512" t="str">
            <v>KKM/JKN/HSA/10-05-01/H/15/695</v>
          </cell>
          <cell r="F512" t="str">
            <v>Therapeutic</v>
          </cell>
          <cell r="G512" t="str">
            <v>Intermediate</v>
          </cell>
          <cell r="H512" t="str">
            <v>Infusion Pumps, Syringe</v>
          </cell>
          <cell r="I512" t="str">
            <v>PUMP SYRINGE BASIC DOSE RATE (STAND ALONE)</v>
          </cell>
          <cell r="J512" t="str">
            <v>13-217</v>
          </cell>
          <cell r="K512" t="str">
            <v>FRESENIUS KABI</v>
          </cell>
          <cell r="L512" t="str">
            <v>INJECTOMAT MC AGILIA</v>
          </cell>
          <cell r="M512" t="str">
            <v>018130/22231695</v>
          </cell>
          <cell r="N512" t="str">
            <v>ANESTESIOLOGI</v>
          </cell>
          <cell r="O512" t="str">
            <v>Unit Rawatan Rapi (ICU)</v>
          </cell>
          <cell r="P512" t="str">
            <v>HM</v>
          </cell>
          <cell r="Q512">
            <v>4300</v>
          </cell>
        </row>
        <row r="513">
          <cell r="E513" t="str">
            <v>KKM/JKN/HSA/10-05-01/H/15/696</v>
          </cell>
          <cell r="F513" t="str">
            <v>Therapeutic</v>
          </cell>
          <cell r="G513" t="str">
            <v>Intermediate</v>
          </cell>
          <cell r="H513" t="str">
            <v>Infusion Pumps, Syringe</v>
          </cell>
          <cell r="I513" t="str">
            <v>PUMP SYRINGE BASIC DOSE RATE (STAND ALONE)</v>
          </cell>
          <cell r="J513" t="str">
            <v>13-217</v>
          </cell>
          <cell r="K513" t="str">
            <v>FRESENIUS KABI</v>
          </cell>
          <cell r="L513" t="str">
            <v>INJECTOMAT MC AGILIA</v>
          </cell>
          <cell r="M513" t="str">
            <v>018130/22231626</v>
          </cell>
          <cell r="N513" t="str">
            <v>ANESTESIOLOGI</v>
          </cell>
          <cell r="O513" t="str">
            <v>Unit Rawatan Rapi (ICU)</v>
          </cell>
          <cell r="P513" t="str">
            <v>HM</v>
          </cell>
          <cell r="Q513">
            <v>4300</v>
          </cell>
        </row>
        <row r="514">
          <cell r="E514" t="str">
            <v>KKM/JKN/HSA/10-05-01/H/15/697</v>
          </cell>
          <cell r="F514" t="str">
            <v>Therapeutic</v>
          </cell>
          <cell r="G514" t="str">
            <v>Intermediate</v>
          </cell>
          <cell r="H514" t="str">
            <v>Infusion Pumps, Syringe</v>
          </cell>
          <cell r="I514" t="str">
            <v>PUMP SYRINGE BASIC DOSE RATE (STAND ALONE)</v>
          </cell>
          <cell r="J514" t="str">
            <v>13-217</v>
          </cell>
          <cell r="K514" t="str">
            <v>FRESENIUS KABI</v>
          </cell>
          <cell r="L514" t="str">
            <v>INJECTOMAT MC AGILIA</v>
          </cell>
          <cell r="M514" t="str">
            <v>018130/22231697</v>
          </cell>
          <cell r="N514" t="str">
            <v>ANESTESIOLOGI</v>
          </cell>
          <cell r="O514" t="str">
            <v>Unit Rawatan Rapi (ICU)</v>
          </cell>
          <cell r="P514" t="str">
            <v>HM</v>
          </cell>
          <cell r="Q514">
            <v>4300</v>
          </cell>
        </row>
        <row r="515">
          <cell r="E515" t="str">
            <v>KKM/JKN/HSA/10-05-01/H/15/698</v>
          </cell>
          <cell r="F515" t="str">
            <v>Therapeutic</v>
          </cell>
          <cell r="G515" t="str">
            <v>Intermediate</v>
          </cell>
          <cell r="H515" t="str">
            <v>Infusion Pumps, Syringe</v>
          </cell>
          <cell r="I515" t="str">
            <v>PUMP SYRINGE BASIC DOSE RATE (STAND ALONE)</v>
          </cell>
          <cell r="J515" t="str">
            <v>13-217</v>
          </cell>
          <cell r="K515" t="str">
            <v>FRESENIUS KABI</v>
          </cell>
          <cell r="L515" t="str">
            <v>INJECTOMAT MC AGILIA</v>
          </cell>
          <cell r="M515" t="str">
            <v>018130/22231679</v>
          </cell>
          <cell r="N515" t="str">
            <v>ANESTESIOLOGI</v>
          </cell>
          <cell r="O515" t="str">
            <v>Unit Rawatan Rapi (ICU)</v>
          </cell>
          <cell r="P515" t="str">
            <v>HM</v>
          </cell>
          <cell r="Q515">
            <v>4300</v>
          </cell>
        </row>
        <row r="516">
          <cell r="E516" t="str">
            <v>KKM/JKN/HSA/10-05-01/H/15/699</v>
          </cell>
          <cell r="F516" t="str">
            <v>Therapeutic</v>
          </cell>
          <cell r="G516" t="str">
            <v>Intermediate</v>
          </cell>
          <cell r="H516" t="str">
            <v>Infusion Pumps, Syringe</v>
          </cell>
          <cell r="I516" t="str">
            <v>PUMP SYRINGE BASIC DOSE RATE (STAND ALONE)</v>
          </cell>
          <cell r="J516" t="str">
            <v>13-217</v>
          </cell>
          <cell r="K516" t="str">
            <v>FRESENIUS KABI</v>
          </cell>
          <cell r="L516" t="str">
            <v>INJECTOMAT MC AGILIA</v>
          </cell>
          <cell r="M516" t="str">
            <v>018130/22231638</v>
          </cell>
          <cell r="N516" t="str">
            <v>ANESTESIOLOGI</v>
          </cell>
          <cell r="O516" t="str">
            <v>Unit Rawatan Rapi (ICU)</v>
          </cell>
          <cell r="P516" t="str">
            <v>HM</v>
          </cell>
          <cell r="Q516">
            <v>4300</v>
          </cell>
        </row>
        <row r="517">
          <cell r="E517" t="str">
            <v>KKM/JKN/HSA/10-05-01/H/15/700</v>
          </cell>
          <cell r="F517" t="str">
            <v>Therapeutic</v>
          </cell>
          <cell r="G517" t="str">
            <v>Intermediate</v>
          </cell>
          <cell r="H517" t="str">
            <v>Infusion Pumps, Syringe</v>
          </cell>
          <cell r="I517" t="str">
            <v>PUMP SYRINGE BASIC DOSE RATE (STAND ALONE)</v>
          </cell>
          <cell r="J517" t="str">
            <v>13-217</v>
          </cell>
          <cell r="K517" t="str">
            <v>FRESENIUS KABI</v>
          </cell>
          <cell r="L517" t="str">
            <v>INJECTOMAT MC AGILIA</v>
          </cell>
          <cell r="M517" t="str">
            <v>018130/22231673</v>
          </cell>
          <cell r="N517" t="str">
            <v>ANESTESIOLOGI</v>
          </cell>
          <cell r="O517" t="str">
            <v>Unit Rawatan Rapi (ICU)</v>
          </cell>
          <cell r="P517" t="str">
            <v>HM</v>
          </cell>
          <cell r="Q517">
            <v>4300</v>
          </cell>
        </row>
        <row r="518">
          <cell r="E518" t="str">
            <v>KKM/JKN/HSA/10-05-01/H/15/701</v>
          </cell>
          <cell r="F518" t="str">
            <v>Therapeutic</v>
          </cell>
          <cell r="G518" t="str">
            <v>Intermediate</v>
          </cell>
          <cell r="H518" t="str">
            <v>Infusion Pumps, Syringe</v>
          </cell>
          <cell r="I518" t="str">
            <v>PUMP SYRINGE BASIC DOSE RATE (STAND ALONE)</v>
          </cell>
          <cell r="J518" t="str">
            <v>13-217</v>
          </cell>
          <cell r="K518" t="str">
            <v>FRESENIUS KABI</v>
          </cell>
          <cell r="L518" t="str">
            <v>INJECTOMAT MC AGILIA</v>
          </cell>
          <cell r="M518" t="str">
            <v>018130/22231725</v>
          </cell>
          <cell r="N518" t="str">
            <v>ANESTESIOLOGI</v>
          </cell>
          <cell r="O518" t="str">
            <v>Unit Rawatan Rapi (ICU)</v>
          </cell>
          <cell r="P518" t="str">
            <v>HM</v>
          </cell>
          <cell r="Q518">
            <v>4300</v>
          </cell>
        </row>
        <row r="519">
          <cell r="E519" t="str">
            <v>KKM/JKN/HSA/10-05-01/H/15/702</v>
          </cell>
          <cell r="F519" t="str">
            <v>Therapeutic</v>
          </cell>
          <cell r="G519" t="str">
            <v>Intermediate</v>
          </cell>
          <cell r="H519" t="str">
            <v>Infusion Pumps, Syringe</v>
          </cell>
          <cell r="I519" t="str">
            <v>PUMP SYRINGE BASIC DOSE RATE (STAND ALONE)</v>
          </cell>
          <cell r="J519" t="str">
            <v>13-217</v>
          </cell>
          <cell r="K519" t="str">
            <v>FRESENIUS KABI</v>
          </cell>
          <cell r="L519" t="str">
            <v>INJECTOMAT MC AGILIA</v>
          </cell>
          <cell r="M519" t="str">
            <v>018130/22231722</v>
          </cell>
          <cell r="N519" t="str">
            <v>ANESTESIOLOGI</v>
          </cell>
          <cell r="O519" t="str">
            <v>Unit Rawatan Rapi (ICU)</v>
          </cell>
          <cell r="P519" t="str">
            <v>HM</v>
          </cell>
          <cell r="Q519">
            <v>4300</v>
          </cell>
        </row>
        <row r="520">
          <cell r="E520" t="str">
            <v>KKM/JKN/HSA/10-05-01/H/15/703</v>
          </cell>
          <cell r="F520" t="str">
            <v>Therapeutic</v>
          </cell>
          <cell r="G520" t="str">
            <v>Intermediate</v>
          </cell>
          <cell r="H520" t="str">
            <v>Infusion Pumps, Syringe</v>
          </cell>
          <cell r="I520" t="str">
            <v>PUMP SYRINGE BASIC DOSE RATE (STAND ALONE)</v>
          </cell>
          <cell r="J520" t="str">
            <v>13-217</v>
          </cell>
          <cell r="K520" t="str">
            <v>FRESENIUS KABI</v>
          </cell>
          <cell r="L520" t="str">
            <v>INJECTOMAT MC AGILIA</v>
          </cell>
          <cell r="M520" t="str">
            <v>018130/22231617</v>
          </cell>
          <cell r="N520" t="str">
            <v>ANESTESIOLOGI</v>
          </cell>
          <cell r="O520" t="str">
            <v>Unit Rawatan Rapi (ICU)</v>
          </cell>
          <cell r="P520" t="str">
            <v>HM</v>
          </cell>
          <cell r="Q520">
            <v>4300</v>
          </cell>
        </row>
        <row r="521">
          <cell r="E521" t="str">
            <v>KKM/JKN/HSA/10-05-01/H/15/704</v>
          </cell>
          <cell r="F521" t="str">
            <v>Therapeutic</v>
          </cell>
          <cell r="G521" t="str">
            <v>Intermediate</v>
          </cell>
          <cell r="H521" t="str">
            <v>Infusion Pumps, Syringe</v>
          </cell>
          <cell r="I521" t="str">
            <v>PUMP SYRINGE BASIC DOSE RATE (STAND ALONE)</v>
          </cell>
          <cell r="J521" t="str">
            <v>13-217</v>
          </cell>
          <cell r="K521" t="str">
            <v>FRESENIUS KABI</v>
          </cell>
          <cell r="L521" t="str">
            <v>INJECTOMAT MC AGILIA</v>
          </cell>
          <cell r="M521" t="str">
            <v>018130/22231678</v>
          </cell>
          <cell r="N521" t="str">
            <v>ANESTESIOLOGI</v>
          </cell>
          <cell r="O521" t="str">
            <v>Unit Rawatan Rapi (ICU)</v>
          </cell>
          <cell r="P521" t="str">
            <v>HM</v>
          </cell>
          <cell r="Q521">
            <v>4300</v>
          </cell>
        </row>
        <row r="522">
          <cell r="E522" t="str">
            <v>KKM/JKN/HSA/10-05-01/H/15/705</v>
          </cell>
          <cell r="F522" t="str">
            <v>Therapeutic</v>
          </cell>
          <cell r="G522" t="str">
            <v>Intermediate</v>
          </cell>
          <cell r="H522" t="str">
            <v>Infusion Pumps, Syringe</v>
          </cell>
          <cell r="I522" t="str">
            <v>PUMP SYRINGE BASIC DOSE RATE (STAND ALONE)</v>
          </cell>
          <cell r="J522" t="str">
            <v>13-217</v>
          </cell>
          <cell r="K522" t="str">
            <v>FRESENIUS KABI</v>
          </cell>
          <cell r="L522" t="str">
            <v>INJECTOMAT MC AGILIA</v>
          </cell>
          <cell r="M522" t="str">
            <v>018130/22231668</v>
          </cell>
          <cell r="N522" t="str">
            <v>ANESTESIOLOGI</v>
          </cell>
          <cell r="O522" t="str">
            <v>Unit Rawatan Rapi (ICU)</v>
          </cell>
          <cell r="P522" t="str">
            <v>HM</v>
          </cell>
          <cell r="Q522">
            <v>4300</v>
          </cell>
        </row>
        <row r="523">
          <cell r="E523" t="str">
            <v>KKM/JKN/HSA/10-05-01/H/15/706</v>
          </cell>
          <cell r="F523" t="str">
            <v>Therapeutic</v>
          </cell>
          <cell r="G523" t="str">
            <v>Intermediate</v>
          </cell>
          <cell r="H523" t="str">
            <v>Infusion Pumps, Syringe</v>
          </cell>
          <cell r="I523" t="str">
            <v>PUMP SYRINGE BASIC DOSE RATE (STAND ALONE)</v>
          </cell>
          <cell r="J523" t="str">
            <v>13-217</v>
          </cell>
          <cell r="K523" t="str">
            <v>FRESENIUS KABI</v>
          </cell>
          <cell r="L523" t="str">
            <v>INJECTOMAT MC AGILIA</v>
          </cell>
          <cell r="M523" t="str">
            <v>018130/22230700</v>
          </cell>
          <cell r="N523" t="str">
            <v>ANESTESIOLOGI</v>
          </cell>
          <cell r="O523" t="str">
            <v>Unit Rawatan Rapi (ICU)</v>
          </cell>
          <cell r="P523" t="str">
            <v>HM</v>
          </cell>
          <cell r="Q523">
            <v>4300</v>
          </cell>
        </row>
        <row r="524">
          <cell r="E524" t="str">
            <v>KKM/JKN/HSA/10-05-01/H/15/707</v>
          </cell>
          <cell r="F524" t="str">
            <v>Therapeutic</v>
          </cell>
          <cell r="G524" t="str">
            <v>Intermediate</v>
          </cell>
          <cell r="H524" t="str">
            <v>Infusion Pumps, Syringe</v>
          </cell>
          <cell r="I524" t="str">
            <v>PUMP SYRINGE BASIC DOSE RATE (STAND ALONE)</v>
          </cell>
          <cell r="J524" t="str">
            <v>13-217</v>
          </cell>
          <cell r="K524" t="str">
            <v>FRESENIUS KABI</v>
          </cell>
          <cell r="L524" t="str">
            <v>INJECTOMAT MC AGILIA</v>
          </cell>
          <cell r="M524" t="str">
            <v>018130/22231845</v>
          </cell>
          <cell r="N524" t="str">
            <v>ANESTESIOLOGI</v>
          </cell>
          <cell r="O524" t="str">
            <v>Unit Rawatan Rapi (ICU)</v>
          </cell>
          <cell r="P524" t="str">
            <v>HM</v>
          </cell>
          <cell r="Q524">
            <v>4300</v>
          </cell>
        </row>
        <row r="525">
          <cell r="E525" t="str">
            <v>KKM/JKN/HSA/10-05-01/H/15/708</v>
          </cell>
          <cell r="F525" t="str">
            <v>Therapeutic</v>
          </cell>
          <cell r="G525" t="str">
            <v>Intermediate</v>
          </cell>
          <cell r="H525" t="str">
            <v>Infusion Pumps, Syringe</v>
          </cell>
          <cell r="I525" t="str">
            <v>PUMP SYRINGE BASIC DOSE RATE (STAND ALONE)</v>
          </cell>
          <cell r="J525" t="str">
            <v>13-217</v>
          </cell>
          <cell r="K525" t="str">
            <v>FRESENIUS KABI</v>
          </cell>
          <cell r="L525" t="str">
            <v>INJECTOMAT MC AGILIA</v>
          </cell>
          <cell r="M525" t="str">
            <v>018130/22231616</v>
          </cell>
          <cell r="N525" t="str">
            <v>ANESTESIOLOGI</v>
          </cell>
          <cell r="O525" t="str">
            <v>Unit Rawatan Rapi (ICU)</v>
          </cell>
          <cell r="P525" t="str">
            <v>HM</v>
          </cell>
          <cell r="Q525">
            <v>4300</v>
          </cell>
        </row>
        <row r="526">
          <cell r="E526" t="str">
            <v>KKM/JKN/HSA/10-05-01/H/15/709</v>
          </cell>
          <cell r="F526" t="str">
            <v>Therapeutic</v>
          </cell>
          <cell r="G526" t="str">
            <v>Intermediate</v>
          </cell>
          <cell r="H526" t="str">
            <v>Infusion Pumps, Syringe</v>
          </cell>
          <cell r="I526" t="str">
            <v>PUMP SYRINGE BASIC DOSE RATE (STAND ALONE)</v>
          </cell>
          <cell r="J526" t="str">
            <v>13-217</v>
          </cell>
          <cell r="K526" t="str">
            <v>FRESENIUS KABI</v>
          </cell>
          <cell r="L526" t="str">
            <v>INJECTOMAT MC AGILIA</v>
          </cell>
          <cell r="M526" t="str">
            <v>018130/22231828</v>
          </cell>
          <cell r="N526" t="str">
            <v>ANESTESIOLOGI</v>
          </cell>
          <cell r="O526" t="str">
            <v>Unit Rawatan Rapi (ICU)</v>
          </cell>
          <cell r="P526" t="str">
            <v>HM</v>
          </cell>
          <cell r="Q526">
            <v>4300</v>
          </cell>
        </row>
        <row r="527">
          <cell r="E527" t="str">
            <v>KKM/JKN/HSA/10-05-01/H/15/710</v>
          </cell>
          <cell r="F527" t="str">
            <v>Therapeutic</v>
          </cell>
          <cell r="G527" t="str">
            <v>Intermediate</v>
          </cell>
          <cell r="H527" t="str">
            <v>Infusion Pumps, Syringe</v>
          </cell>
          <cell r="I527" t="str">
            <v>PUMP SYRINGE BASIC DOSE RATE (STAND ALONE)</v>
          </cell>
          <cell r="J527" t="str">
            <v>13-217</v>
          </cell>
          <cell r="K527" t="str">
            <v>FRESENIUS KABI</v>
          </cell>
          <cell r="L527" t="str">
            <v>INJECTOMAT MC AGILIA</v>
          </cell>
          <cell r="M527" t="str">
            <v>018130/22230714</v>
          </cell>
          <cell r="N527" t="str">
            <v>ANESTESIOLOGI</v>
          </cell>
          <cell r="O527" t="str">
            <v>Unit Rawatan Rapi (ICU)</v>
          </cell>
          <cell r="P527" t="str">
            <v>HM</v>
          </cell>
          <cell r="Q527">
            <v>4300</v>
          </cell>
        </row>
        <row r="528">
          <cell r="E528" t="str">
            <v>KKM/JKN/HSA/10-05-01/H/15/711</v>
          </cell>
          <cell r="F528" t="str">
            <v>Therapeutic</v>
          </cell>
          <cell r="G528" t="str">
            <v>Intermediate</v>
          </cell>
          <cell r="H528" t="str">
            <v>Infusion Pumps, Syringe</v>
          </cell>
          <cell r="I528" t="str">
            <v>PUMP SYRINGE BASIC DOSE RATE (STAND ALONE)</v>
          </cell>
          <cell r="J528" t="str">
            <v>13-217</v>
          </cell>
          <cell r="K528" t="str">
            <v>FRESENIUS KABI</v>
          </cell>
          <cell r="L528" t="str">
            <v>INJECTOMAT MC AGILIA</v>
          </cell>
          <cell r="M528" t="str">
            <v>018130/22231820</v>
          </cell>
          <cell r="N528" t="str">
            <v>ANESTESIOLOGI</v>
          </cell>
          <cell r="O528" t="str">
            <v>Unit Rawatan Rapi (ICU)</v>
          </cell>
          <cell r="P528" t="str">
            <v>HM</v>
          </cell>
          <cell r="Q528">
            <v>4300</v>
          </cell>
        </row>
        <row r="529">
          <cell r="E529" t="str">
            <v>KKM/JKN/HSA/10-05-01/H/15/712</v>
          </cell>
          <cell r="F529" t="str">
            <v>Therapeutic</v>
          </cell>
          <cell r="G529" t="str">
            <v>Intermediate</v>
          </cell>
          <cell r="H529" t="str">
            <v>Infusion Pumps, Syringe</v>
          </cell>
          <cell r="I529" t="str">
            <v>PUMP SYRINGE BASIC DOSE RATE (STAND ALONE)</v>
          </cell>
          <cell r="J529" t="str">
            <v>13-217</v>
          </cell>
          <cell r="K529" t="str">
            <v>FRESENIUS KABI</v>
          </cell>
          <cell r="L529" t="str">
            <v>INJECTOMAT MC AGILIA</v>
          </cell>
          <cell r="M529" t="str">
            <v>018130/22231835</v>
          </cell>
          <cell r="N529" t="str">
            <v>ANESTESIOLOGI</v>
          </cell>
          <cell r="O529" t="str">
            <v>Unit Rawatan Rapi (ICU)</v>
          </cell>
          <cell r="P529" t="str">
            <v>HM</v>
          </cell>
          <cell r="Q529">
            <v>4300</v>
          </cell>
        </row>
        <row r="530">
          <cell r="E530" t="str">
            <v>KKM/JKN/HSA/10-05-01/H/15/713</v>
          </cell>
          <cell r="F530" t="str">
            <v>Therapeutic</v>
          </cell>
          <cell r="G530" t="str">
            <v>Intermediate</v>
          </cell>
          <cell r="H530" t="str">
            <v>Infusion Pumps, Syringe</v>
          </cell>
          <cell r="I530" t="str">
            <v>PUMP SYRINGE BASIC DOSE RATE (STAND ALONE)</v>
          </cell>
          <cell r="J530" t="str">
            <v>13-217</v>
          </cell>
          <cell r="K530" t="str">
            <v>FRESENIUS KABI</v>
          </cell>
          <cell r="L530" t="str">
            <v>INJECTOMAT MC AGILIA</v>
          </cell>
          <cell r="M530" t="str">
            <v>018130/22231684</v>
          </cell>
          <cell r="N530" t="str">
            <v>ANESTESIOLOGI</v>
          </cell>
          <cell r="O530" t="str">
            <v>Unit Rawatan Rapi (ICU)</v>
          </cell>
          <cell r="P530" t="str">
            <v>HM</v>
          </cell>
          <cell r="Q530">
            <v>4300</v>
          </cell>
        </row>
        <row r="531">
          <cell r="E531" t="str">
            <v>KKM/JKN/HSA/10-05-01/H/15/714</v>
          </cell>
          <cell r="F531" t="str">
            <v>Therapeutic</v>
          </cell>
          <cell r="G531" t="str">
            <v>Intermediate</v>
          </cell>
          <cell r="H531" t="str">
            <v>Infusion Pumps, Syringe</v>
          </cell>
          <cell r="I531" t="str">
            <v>PUMP SYRINGE BASIC DOSE RATE (STAND ALONE)</v>
          </cell>
          <cell r="J531" t="str">
            <v>13-217</v>
          </cell>
          <cell r="K531" t="str">
            <v>FRESENIUS KABI</v>
          </cell>
          <cell r="L531" t="str">
            <v>INJECTOMAT MC AGILIA</v>
          </cell>
          <cell r="M531" t="str">
            <v>018130/22231694</v>
          </cell>
          <cell r="N531" t="str">
            <v>ANESTESIOLOGI</v>
          </cell>
          <cell r="O531" t="str">
            <v>Unit Rawatan Rapi (ICU)</v>
          </cell>
          <cell r="P531" t="str">
            <v>HM</v>
          </cell>
          <cell r="Q531">
            <v>4300</v>
          </cell>
        </row>
        <row r="532">
          <cell r="E532" t="str">
            <v>KKM/JKN/HSA/10-05-01/H/15/715</v>
          </cell>
          <cell r="F532" t="str">
            <v>Therapeutic</v>
          </cell>
          <cell r="G532" t="str">
            <v>Intermediate</v>
          </cell>
          <cell r="H532" t="str">
            <v>Infusion Pumps, Syringe</v>
          </cell>
          <cell r="I532" t="str">
            <v>PUMP SYRINGE BASIC DOSE RATE (STAND ALONE)</v>
          </cell>
          <cell r="J532" t="str">
            <v>13-217</v>
          </cell>
          <cell r="K532" t="str">
            <v>FRESENIUS KABI</v>
          </cell>
          <cell r="L532" t="str">
            <v>INJECTOMAT MC AGILIA</v>
          </cell>
          <cell r="M532" t="str">
            <v>018130/22231847</v>
          </cell>
          <cell r="N532" t="str">
            <v>ANESTESIOLOGI</v>
          </cell>
          <cell r="O532" t="str">
            <v>Unit Rawatan Rapi (ICU)</v>
          </cell>
          <cell r="P532" t="str">
            <v>HM</v>
          </cell>
          <cell r="Q532">
            <v>4300</v>
          </cell>
        </row>
        <row r="533">
          <cell r="E533" t="str">
            <v>KKM/JKN/HSA/10-05-01/H/15/716</v>
          </cell>
          <cell r="F533" t="str">
            <v>Therapeutic</v>
          </cell>
          <cell r="G533" t="str">
            <v>Intermediate</v>
          </cell>
          <cell r="H533" t="str">
            <v>Infusion Pumps, Syringe</v>
          </cell>
          <cell r="I533" t="str">
            <v>PUMP SYRINGE BASIC DOSE RATE (STAND ALONE)</v>
          </cell>
          <cell r="J533" t="str">
            <v>13-217</v>
          </cell>
          <cell r="K533" t="str">
            <v>FRESENIUS KABI</v>
          </cell>
          <cell r="L533" t="str">
            <v>INJECTOMAT MC AGILIA</v>
          </cell>
          <cell r="M533" t="str">
            <v xml:space="preserve">018130/22231840
</v>
          </cell>
          <cell r="N533" t="str">
            <v>ANESTESIOLOGI</v>
          </cell>
          <cell r="O533" t="str">
            <v>Unit Rawatan Rapi (ICU)</v>
          </cell>
          <cell r="P533" t="str">
            <v>HM</v>
          </cell>
          <cell r="Q533">
            <v>4300</v>
          </cell>
        </row>
        <row r="534">
          <cell r="E534" t="str">
            <v>KKM/JKN/HSA/10-05-01/H/15/717</v>
          </cell>
          <cell r="F534" t="str">
            <v>Therapeutic</v>
          </cell>
          <cell r="G534" t="str">
            <v>Intermediate</v>
          </cell>
          <cell r="H534" t="str">
            <v>Infusion Pumps, Syringe</v>
          </cell>
          <cell r="I534" t="str">
            <v>PUMP SYRINGE BASIC DOSE RATE (STAND ALONE)</v>
          </cell>
          <cell r="J534" t="str">
            <v>13-217</v>
          </cell>
          <cell r="K534" t="str">
            <v>FRESENIUS KABI</v>
          </cell>
          <cell r="L534" t="str">
            <v>INJECTOMAT MC AGILIA</v>
          </cell>
          <cell r="M534" t="str">
            <v>018130/22231686</v>
          </cell>
          <cell r="N534" t="str">
            <v>ANESTESIOLOGI</v>
          </cell>
          <cell r="O534" t="str">
            <v>Unit Rawatan Rapi (ICU)</v>
          </cell>
          <cell r="P534" t="str">
            <v>HM</v>
          </cell>
          <cell r="Q534">
            <v>4300</v>
          </cell>
        </row>
        <row r="535">
          <cell r="E535" t="str">
            <v>KKM/JKN/HSA/10-05-01/H/15/718</v>
          </cell>
          <cell r="F535" t="str">
            <v>Therapeutic</v>
          </cell>
          <cell r="G535" t="str">
            <v>Intermediate</v>
          </cell>
          <cell r="H535" t="str">
            <v>Infusion Pumps, Syringe</v>
          </cell>
          <cell r="I535" t="str">
            <v>PUMP SYRINGE BASIC DOSE RATE (STAND ALONE)</v>
          </cell>
          <cell r="J535" t="str">
            <v>13-217</v>
          </cell>
          <cell r="K535" t="str">
            <v>FRESENIUS KABI</v>
          </cell>
          <cell r="L535" t="str">
            <v>INJECTOMAT MC AGILIA</v>
          </cell>
          <cell r="M535" t="str">
            <v>018130/22231629</v>
          </cell>
          <cell r="N535" t="str">
            <v>ANESTESIOLOGI</v>
          </cell>
          <cell r="O535" t="str">
            <v>Unit Rawatan Rapi (ICU)</v>
          </cell>
          <cell r="P535" t="str">
            <v>HM</v>
          </cell>
          <cell r="Q535">
            <v>4300</v>
          </cell>
        </row>
        <row r="536">
          <cell r="E536" t="str">
            <v>KKM/JKN/HSA/10-05-01/H/15/719</v>
          </cell>
          <cell r="F536" t="str">
            <v>Therapeutic</v>
          </cell>
          <cell r="G536" t="str">
            <v>Intermediate</v>
          </cell>
          <cell r="H536" t="str">
            <v>Infusion Pumps, Syringe</v>
          </cell>
          <cell r="I536" t="str">
            <v>PUMP SYRINGE BASIC DOSE RATE (STAND ALONE)</v>
          </cell>
          <cell r="J536" t="str">
            <v>13-217</v>
          </cell>
          <cell r="K536" t="str">
            <v>FRESENIUS KABI</v>
          </cell>
          <cell r="L536" t="str">
            <v>INJECTOMAT MC AGILIA</v>
          </cell>
          <cell r="M536" t="str">
            <v>018130/22231636</v>
          </cell>
          <cell r="N536" t="str">
            <v>ANESTESIOLOGI</v>
          </cell>
          <cell r="O536" t="str">
            <v>Unit Rawatan Rapi (ICU)</v>
          </cell>
          <cell r="P536" t="str">
            <v>HM</v>
          </cell>
          <cell r="Q536">
            <v>4300</v>
          </cell>
        </row>
        <row r="537">
          <cell r="E537" t="str">
            <v>KKM/JKN/HSA/10-05-01/H/15/720</v>
          </cell>
          <cell r="F537" t="str">
            <v>Therapeutic</v>
          </cell>
          <cell r="G537" t="str">
            <v>Intermediate</v>
          </cell>
          <cell r="H537" t="str">
            <v>Infusion Pumps, Syringe</v>
          </cell>
          <cell r="I537" t="str">
            <v>PUMP SYRINGE BASIC DOSE RATE (STAND ALONE)</v>
          </cell>
          <cell r="J537" t="str">
            <v>13-217</v>
          </cell>
          <cell r="K537" t="str">
            <v>FRESENIUS KABI</v>
          </cell>
          <cell r="L537" t="str">
            <v>INJECTOMAT MC AGILIA</v>
          </cell>
          <cell r="M537" t="str">
            <v>018130/22230716</v>
          </cell>
          <cell r="N537" t="str">
            <v>ANESTESIOLOGI</v>
          </cell>
          <cell r="O537" t="str">
            <v>Unit Rawatan Rapi (ICU)</v>
          </cell>
          <cell r="P537" t="str">
            <v>HM</v>
          </cell>
          <cell r="Q537">
            <v>4300</v>
          </cell>
        </row>
        <row r="538">
          <cell r="E538" t="str">
            <v>KKM/JKN/HSA/10-05-01/H/15/721</v>
          </cell>
          <cell r="F538" t="str">
            <v>Therapeutic</v>
          </cell>
          <cell r="G538" t="str">
            <v>Intermediate</v>
          </cell>
          <cell r="H538" t="str">
            <v>Infusion Pumps, Syringe</v>
          </cell>
          <cell r="I538" t="str">
            <v>PUMP SYRINGE BASIC DOSE RATE (STAND ALONE)</v>
          </cell>
          <cell r="J538" t="str">
            <v>13-217</v>
          </cell>
          <cell r="K538" t="str">
            <v>FRESENIUS KABI</v>
          </cell>
          <cell r="L538" t="str">
            <v>INJECTOMAT MC AGILIA</v>
          </cell>
          <cell r="M538" t="str">
            <v>018130/22231846</v>
          </cell>
          <cell r="N538" t="str">
            <v>ANESTESIOLOGI</v>
          </cell>
          <cell r="O538" t="str">
            <v>Unit Rawatan Rapi (ICU)</v>
          </cell>
          <cell r="P538" t="str">
            <v>HM</v>
          </cell>
          <cell r="Q538">
            <v>4300</v>
          </cell>
        </row>
        <row r="539">
          <cell r="E539" t="str">
            <v>KKM/JKN/HSA/10-05-01/H/15/722</v>
          </cell>
          <cell r="F539" t="str">
            <v>Therapeutic</v>
          </cell>
          <cell r="G539" t="str">
            <v>Intermediate</v>
          </cell>
          <cell r="H539" t="str">
            <v>Infusion Pumps, Syringe</v>
          </cell>
          <cell r="I539" t="str">
            <v>PUMP SYRINGE BASIC DOSE RATE (STAND ALONE)</v>
          </cell>
          <cell r="J539" t="str">
            <v>13-217</v>
          </cell>
          <cell r="K539" t="str">
            <v>FRESENIUS KABI</v>
          </cell>
          <cell r="L539" t="str">
            <v>INJECTOMAT MC AGILIA</v>
          </cell>
          <cell r="M539" t="str">
            <v>018130/22231623</v>
          </cell>
          <cell r="N539" t="str">
            <v>ANESTESIOLOGI</v>
          </cell>
          <cell r="O539" t="str">
            <v>Unit Rawatan Rapi (ICU)</v>
          </cell>
          <cell r="P539" t="str">
            <v>HM</v>
          </cell>
          <cell r="Q539">
            <v>4300</v>
          </cell>
        </row>
        <row r="540">
          <cell r="E540" t="str">
            <v>KKM/JKN/HSA/10-05-01/H/15/723</v>
          </cell>
          <cell r="F540" t="str">
            <v>Therapeutic</v>
          </cell>
          <cell r="G540" t="str">
            <v>Intermediate</v>
          </cell>
          <cell r="H540" t="str">
            <v>Infusion Pumps, Syringe</v>
          </cell>
          <cell r="I540" t="str">
            <v>PUMP SYRINGE BASIC DOSE RATE (STAND ALONE)</v>
          </cell>
          <cell r="J540" t="str">
            <v>13-217</v>
          </cell>
          <cell r="K540" t="str">
            <v>FRESENIUS KABI</v>
          </cell>
          <cell r="L540" t="str">
            <v>INJECTOMAT MC AGILIA</v>
          </cell>
          <cell r="M540" t="str">
            <v>018130/22231850</v>
          </cell>
          <cell r="N540" t="str">
            <v>ANESTESIOLOGI</v>
          </cell>
          <cell r="O540" t="str">
            <v>Unit Rawatan Rapi (ICU)</v>
          </cell>
          <cell r="P540" t="str">
            <v>HM</v>
          </cell>
          <cell r="Q540">
            <v>4300</v>
          </cell>
        </row>
        <row r="541">
          <cell r="E541" t="str">
            <v>KKM/JKN/HSA/10-05-01/H/15/724</v>
          </cell>
          <cell r="F541" t="str">
            <v>Therapeutic</v>
          </cell>
          <cell r="G541" t="str">
            <v>Intermediate</v>
          </cell>
          <cell r="H541" t="str">
            <v>Infusion Pumps, Syringe</v>
          </cell>
          <cell r="I541" t="str">
            <v>PUMP SYRINGE BASIC DOSE RATE (STAND ALONE)</v>
          </cell>
          <cell r="J541" t="str">
            <v>13-217</v>
          </cell>
          <cell r="K541" t="str">
            <v>FRESENIUS KABI</v>
          </cell>
          <cell r="L541" t="str">
            <v>INJECTOMAT MC AGILIA</v>
          </cell>
          <cell r="M541" t="str">
            <v>018130/22231705</v>
          </cell>
          <cell r="N541" t="str">
            <v>ANESTESIOLOGI</v>
          </cell>
          <cell r="O541" t="str">
            <v>Unit Rawatan Rapi (ICU)</v>
          </cell>
          <cell r="P541" t="str">
            <v>HM</v>
          </cell>
          <cell r="Q541">
            <v>4300</v>
          </cell>
        </row>
        <row r="542">
          <cell r="E542" t="str">
            <v>KKM/JKN/HSA/10-05-01/H/15/725</v>
          </cell>
          <cell r="F542" t="str">
            <v>Therapeutic</v>
          </cell>
          <cell r="G542" t="str">
            <v>Intermediate</v>
          </cell>
          <cell r="H542" t="str">
            <v>Infusion Pumps, Syringe</v>
          </cell>
          <cell r="I542" t="str">
            <v>PUMP SYRINGE BASIC DOSE RATE (STAND ALONE)</v>
          </cell>
          <cell r="J542" t="str">
            <v>13-217</v>
          </cell>
          <cell r="K542" t="str">
            <v>FRESENIUS KABI</v>
          </cell>
          <cell r="L542" t="str">
            <v>INJECTOMAT MC AGILIA</v>
          </cell>
          <cell r="M542" t="str">
            <v>018130/22231682</v>
          </cell>
          <cell r="N542" t="str">
            <v>ANESTESIOLOGI</v>
          </cell>
          <cell r="O542" t="str">
            <v>Unit Rawatan Rapi (ICU)</v>
          </cell>
          <cell r="P542" t="str">
            <v>HM</v>
          </cell>
          <cell r="Q542">
            <v>4300</v>
          </cell>
        </row>
        <row r="543">
          <cell r="E543" t="str">
            <v>KKM/JKN/HSA/10-05-01/H/15/726</v>
          </cell>
          <cell r="F543" t="str">
            <v>Therapeutic</v>
          </cell>
          <cell r="G543" t="str">
            <v>Intermediate</v>
          </cell>
          <cell r="H543" t="str">
            <v>Infusion Pumps, Syringe</v>
          </cell>
          <cell r="I543" t="str">
            <v>PUMP SYRINGE BASIC DOSE RATE (STAND ALONE)</v>
          </cell>
          <cell r="J543" t="str">
            <v>13-217</v>
          </cell>
          <cell r="K543" t="str">
            <v>FRESENIUS KABI</v>
          </cell>
          <cell r="L543" t="str">
            <v>INJECTOMAT MC AGILIA</v>
          </cell>
          <cell r="M543" t="str">
            <v>018130/22231666</v>
          </cell>
          <cell r="N543" t="str">
            <v>ANESTESIOLOGI</v>
          </cell>
          <cell r="O543" t="str">
            <v>Unit Rawatan Rapi (ICU)</v>
          </cell>
          <cell r="P543" t="str">
            <v>HM</v>
          </cell>
          <cell r="Q543">
            <v>4300</v>
          </cell>
        </row>
        <row r="544">
          <cell r="E544" t="str">
            <v>KKM/JKN/HSA/10-05-01/H/15/727</v>
          </cell>
          <cell r="F544" t="str">
            <v>Therapeutic</v>
          </cell>
          <cell r="G544" t="str">
            <v>Intermediate</v>
          </cell>
          <cell r="H544" t="str">
            <v>Infusion Pumps, Syringe</v>
          </cell>
          <cell r="I544" t="str">
            <v>PUMP SYRINGE BASIC DOSE RATE (STAND ALONE)</v>
          </cell>
          <cell r="J544" t="str">
            <v>13-217</v>
          </cell>
          <cell r="K544" t="str">
            <v>FRESENIUS KABI</v>
          </cell>
          <cell r="L544" t="str">
            <v>INJECTOMAT MC AGILIA</v>
          </cell>
          <cell r="M544" t="str">
            <v>018130/22231630</v>
          </cell>
          <cell r="N544" t="str">
            <v>ANESTESIOLOGI</v>
          </cell>
          <cell r="O544" t="str">
            <v>Unit Rawatan Rapi (ICU)</v>
          </cell>
          <cell r="P544" t="str">
            <v>HM</v>
          </cell>
          <cell r="Q544">
            <v>4300</v>
          </cell>
        </row>
        <row r="545">
          <cell r="E545" t="str">
            <v>KKM/JKN/HSA/10-05-01/H/15/728</v>
          </cell>
          <cell r="F545" t="str">
            <v>Therapeutic</v>
          </cell>
          <cell r="G545" t="str">
            <v>Intermediate</v>
          </cell>
          <cell r="H545" t="str">
            <v>Infusion Pumps, Syringe</v>
          </cell>
          <cell r="I545" t="str">
            <v>PUMP SYRINGE BASIC DOSE RATE (STAND ALONE)</v>
          </cell>
          <cell r="J545" t="str">
            <v>13-217</v>
          </cell>
          <cell r="K545" t="str">
            <v>FRESENIUS KABI</v>
          </cell>
          <cell r="L545" t="str">
            <v>INJECTOMAT MC AGILIA</v>
          </cell>
          <cell r="M545" t="str">
            <v>018130/22231859</v>
          </cell>
          <cell r="N545" t="str">
            <v>ANESTESIOLOGI</v>
          </cell>
          <cell r="O545" t="str">
            <v>Unit Rawatan Rapi (ICU)</v>
          </cell>
          <cell r="P545" t="str">
            <v>HM</v>
          </cell>
          <cell r="Q545">
            <v>4300</v>
          </cell>
        </row>
        <row r="546">
          <cell r="E546" t="str">
            <v>KKM/JKN/HSA/10-05-01/H/15/729</v>
          </cell>
          <cell r="F546" t="str">
            <v>Therapeutic</v>
          </cell>
          <cell r="G546" t="str">
            <v>Intermediate</v>
          </cell>
          <cell r="H546" t="str">
            <v>Infusion Pumps, Syringe</v>
          </cell>
          <cell r="I546" t="str">
            <v>PUMP SYRINGE BASIC DOSE RATE (STAND ALONE)</v>
          </cell>
          <cell r="J546" t="str">
            <v>13-217</v>
          </cell>
          <cell r="K546" t="str">
            <v>FRESENIUS KABI</v>
          </cell>
          <cell r="L546" t="str">
            <v>INJECTOMAT MC AGILIA</v>
          </cell>
          <cell r="M546" t="str">
            <v>018130/22231823</v>
          </cell>
          <cell r="N546" t="str">
            <v>ANESTESIOLOGI</v>
          </cell>
          <cell r="O546" t="str">
            <v>Unit Rawatan Rapi (ICU)</v>
          </cell>
          <cell r="P546" t="str">
            <v>HM</v>
          </cell>
          <cell r="Q546">
            <v>4300</v>
          </cell>
        </row>
        <row r="547">
          <cell r="E547" t="str">
            <v>KKM/JKN/HSA/10-05-01/H/15/730</v>
          </cell>
          <cell r="F547" t="str">
            <v>Therapeutic</v>
          </cell>
          <cell r="G547" t="str">
            <v>Intermediate</v>
          </cell>
          <cell r="H547" t="str">
            <v>Infusion Pumps, Syringe</v>
          </cell>
          <cell r="I547" t="str">
            <v>PUMP SYRINGE BASIC DOSE RATE (STAND ALONE)</v>
          </cell>
          <cell r="J547" t="str">
            <v>13-217</v>
          </cell>
          <cell r="K547" t="str">
            <v>FRESENIUS KABI</v>
          </cell>
          <cell r="L547" t="str">
            <v>INJECTOMAT MC AGILIA</v>
          </cell>
          <cell r="M547" t="str">
            <v>018130/22231832</v>
          </cell>
          <cell r="N547" t="str">
            <v>ANESTESIOLOGI</v>
          </cell>
          <cell r="O547" t="str">
            <v>Unit Rawatan Rapi (ICU)</v>
          </cell>
          <cell r="P547" t="str">
            <v>HM</v>
          </cell>
          <cell r="Q547">
            <v>4300</v>
          </cell>
        </row>
        <row r="548">
          <cell r="E548" t="str">
            <v>KKM/JKN/HSA/10-05-01/H/15/731</v>
          </cell>
          <cell r="F548" t="str">
            <v>Therapeutic</v>
          </cell>
          <cell r="G548" t="str">
            <v>Intermediate</v>
          </cell>
          <cell r="H548" t="str">
            <v>Infusion Pumps, Syringe</v>
          </cell>
          <cell r="I548" t="str">
            <v>PUMP SYRINGE BASIC DOSE RATE (STAND ALONE)</v>
          </cell>
          <cell r="J548" t="str">
            <v>13-217</v>
          </cell>
          <cell r="K548" t="str">
            <v>FRESENIUS KABI</v>
          </cell>
          <cell r="L548" t="str">
            <v>INJECTOMAT MC AGILIA</v>
          </cell>
          <cell r="M548" t="str">
            <v>018130/22231622</v>
          </cell>
          <cell r="N548" t="str">
            <v>ANESTESIOLOGI</v>
          </cell>
          <cell r="O548" t="str">
            <v>Unit Rawatan Rapi (ICU)</v>
          </cell>
          <cell r="P548" t="str">
            <v>HM</v>
          </cell>
          <cell r="Q548">
            <v>4300</v>
          </cell>
        </row>
        <row r="549">
          <cell r="E549" t="str">
            <v>KKM/JKN/HSA/10-05-01/H/15/732</v>
          </cell>
          <cell r="F549" t="str">
            <v>Therapeutic</v>
          </cell>
          <cell r="G549" t="str">
            <v>Intermediate</v>
          </cell>
          <cell r="H549" t="str">
            <v>Infusion Pumps, Syringe</v>
          </cell>
          <cell r="I549" t="str">
            <v>PUMP SYRINGE BASIC DOSE RATE (STAND ALONE)</v>
          </cell>
          <cell r="J549" t="str">
            <v>13-217</v>
          </cell>
          <cell r="K549" t="str">
            <v>FRESENIUS KABI</v>
          </cell>
          <cell r="L549" t="str">
            <v>INJECTOMAT MC AGILIA</v>
          </cell>
          <cell r="M549" t="str">
            <v>018130/22231683</v>
          </cell>
          <cell r="N549" t="str">
            <v>ANESTESIOLOGI</v>
          </cell>
          <cell r="O549" t="str">
            <v>Unit Rawatan Rapi (ICU)</v>
          </cell>
          <cell r="P549" t="str">
            <v>HM</v>
          </cell>
          <cell r="Q549">
            <v>4300</v>
          </cell>
        </row>
        <row r="550">
          <cell r="E550" t="str">
            <v>KKM/JKN/HSA/10-05-01/H/15/925</v>
          </cell>
          <cell r="F550" t="str">
            <v>Therapeutic</v>
          </cell>
          <cell r="G550" t="str">
            <v>Intermediate</v>
          </cell>
          <cell r="H550" t="str">
            <v>Infusion Pumps, Syringe</v>
          </cell>
          <cell r="I550" t="str">
            <v>PUMP SYRINGE</v>
          </cell>
          <cell r="J550" t="str">
            <v>13-217</v>
          </cell>
          <cell r="K550" t="str">
            <v>FRESENIUS KABI</v>
          </cell>
          <cell r="L550" t="str">
            <v>MODULE DPS</v>
          </cell>
          <cell r="M550" t="str">
            <v>082594/22233514</v>
          </cell>
          <cell r="N550" t="str">
            <v>ANESTESIOLOGI</v>
          </cell>
          <cell r="O550" t="str">
            <v>Unit Rawatan Rapi (ICU)</v>
          </cell>
          <cell r="P550" t="str">
            <v>HM</v>
          </cell>
          <cell r="Q550">
            <v>4650</v>
          </cell>
        </row>
        <row r="551">
          <cell r="E551" t="str">
            <v>KKM/JKN/HSA/10-05-01/H/15/926</v>
          </cell>
          <cell r="F551" t="str">
            <v>Therapeutic</v>
          </cell>
          <cell r="G551" t="str">
            <v>Intermediate</v>
          </cell>
          <cell r="H551" t="str">
            <v>Infusion Pumps, Syringe</v>
          </cell>
          <cell r="I551" t="str">
            <v>PUMP SYRINGE</v>
          </cell>
          <cell r="J551" t="str">
            <v>13-217</v>
          </cell>
          <cell r="K551" t="str">
            <v>FRESENIUS KABI</v>
          </cell>
          <cell r="L551" t="str">
            <v>MODULE DPS</v>
          </cell>
          <cell r="M551" t="str">
            <v>082594/22233507</v>
          </cell>
          <cell r="N551" t="str">
            <v>ANESTESIOLOGI</v>
          </cell>
          <cell r="O551" t="str">
            <v>Unit Rawatan Rapi (ICU)</v>
          </cell>
          <cell r="P551" t="str">
            <v>HM</v>
          </cell>
          <cell r="Q551">
            <v>4650</v>
          </cell>
        </row>
        <row r="552">
          <cell r="E552" t="str">
            <v>KKM/JKN/HSA/10-05-01/H/15/927</v>
          </cell>
          <cell r="F552" t="str">
            <v>Therapeutic</v>
          </cell>
          <cell r="G552" t="str">
            <v>Intermediate</v>
          </cell>
          <cell r="H552" t="str">
            <v>Infusion Pumps, Syringe</v>
          </cell>
          <cell r="I552" t="str">
            <v>PUMP SYRINGE</v>
          </cell>
          <cell r="J552" t="str">
            <v>13-217</v>
          </cell>
          <cell r="K552" t="str">
            <v>FRESENIUS KABI</v>
          </cell>
          <cell r="L552" t="str">
            <v>MODULE DPS</v>
          </cell>
          <cell r="M552" t="str">
            <v>082594/21513179</v>
          </cell>
          <cell r="N552" t="str">
            <v>ANESTESIOLOGI</v>
          </cell>
          <cell r="O552" t="str">
            <v>Unit Rawatan Rapi (ICU)</v>
          </cell>
          <cell r="P552" t="str">
            <v>HM</v>
          </cell>
          <cell r="Q552">
            <v>4650</v>
          </cell>
        </row>
        <row r="553">
          <cell r="E553" t="str">
            <v>KKM/JKN/HSA/10-05-01/H/15/928</v>
          </cell>
          <cell r="F553" t="str">
            <v>Therapeutic</v>
          </cell>
          <cell r="G553" t="str">
            <v>Intermediate</v>
          </cell>
          <cell r="H553" t="str">
            <v>Infusion Pumps, Syringe</v>
          </cell>
          <cell r="I553" t="str">
            <v>PUMP SYRINGE</v>
          </cell>
          <cell r="J553" t="str">
            <v>13-217</v>
          </cell>
          <cell r="K553" t="str">
            <v>FRESENIUS KABI</v>
          </cell>
          <cell r="L553" t="str">
            <v>MODULE DPS</v>
          </cell>
          <cell r="M553" t="str">
            <v>082594/22233516</v>
          </cell>
          <cell r="N553" t="str">
            <v>ANESTESIOLOGI</v>
          </cell>
          <cell r="O553" t="str">
            <v>Unit Rawatan Rapi (ICU)</v>
          </cell>
          <cell r="P553" t="str">
            <v>HM</v>
          </cell>
          <cell r="Q553">
            <v>4650</v>
          </cell>
        </row>
        <row r="554">
          <cell r="E554" t="str">
            <v>KKM/JKN/HSA/10-05-01/H/15/929</v>
          </cell>
          <cell r="F554" t="str">
            <v>Therapeutic</v>
          </cell>
          <cell r="G554" t="str">
            <v>Intermediate</v>
          </cell>
          <cell r="H554" t="str">
            <v>Infusion Pumps, Syringe</v>
          </cell>
          <cell r="I554" t="str">
            <v>PUMP SYRINGE</v>
          </cell>
          <cell r="J554" t="str">
            <v>13-217</v>
          </cell>
          <cell r="K554" t="str">
            <v>FRESENIUS KABI</v>
          </cell>
          <cell r="L554" t="str">
            <v>MODULE DPS</v>
          </cell>
          <cell r="M554" t="str">
            <v>082594/22233518</v>
          </cell>
          <cell r="N554" t="str">
            <v>ANESTESIOLOGI</v>
          </cell>
          <cell r="O554" t="str">
            <v>Unit Rawatan Rapi (ICU)</v>
          </cell>
          <cell r="P554" t="str">
            <v>HM</v>
          </cell>
          <cell r="Q554">
            <v>4650</v>
          </cell>
        </row>
        <row r="555">
          <cell r="E555" t="str">
            <v>KKM/JKN/HSA/10-05-01/H/15/930</v>
          </cell>
          <cell r="F555" t="str">
            <v>Therapeutic</v>
          </cell>
          <cell r="G555" t="str">
            <v>Intermediate</v>
          </cell>
          <cell r="H555" t="str">
            <v>Infusion Pumps, Syringe</v>
          </cell>
          <cell r="I555" t="str">
            <v>PUMP SYRINGE</v>
          </cell>
          <cell r="J555" t="str">
            <v>13-217</v>
          </cell>
          <cell r="K555" t="str">
            <v>FRESENIUS KABI</v>
          </cell>
          <cell r="L555" t="str">
            <v>MODULE DPS</v>
          </cell>
          <cell r="M555" t="str">
            <v>082594/20829873</v>
          </cell>
          <cell r="N555" t="str">
            <v>ANESTESIOLOGI</v>
          </cell>
          <cell r="O555" t="str">
            <v>Unit Rawatan Rapi (ICU)</v>
          </cell>
          <cell r="P555" t="str">
            <v>HM</v>
          </cell>
          <cell r="Q555">
            <v>4650</v>
          </cell>
        </row>
        <row r="556">
          <cell r="E556" t="str">
            <v>KKM/JKN/HSA/10-05-01/H/15/931</v>
          </cell>
          <cell r="F556" t="str">
            <v>Therapeutic</v>
          </cell>
          <cell r="G556" t="str">
            <v>Intermediate</v>
          </cell>
          <cell r="H556" t="str">
            <v>Infusion Pumps, Syringe</v>
          </cell>
          <cell r="I556" t="str">
            <v>PUMP SYRINGE</v>
          </cell>
          <cell r="J556" t="str">
            <v>13-217</v>
          </cell>
          <cell r="K556" t="str">
            <v>FRESENIUS KABI</v>
          </cell>
          <cell r="L556" t="str">
            <v>MODULE DPS</v>
          </cell>
          <cell r="M556" t="str">
            <v>082594/21513232</v>
          </cell>
          <cell r="N556" t="str">
            <v>ANESTESIOLOGI</v>
          </cell>
          <cell r="O556" t="str">
            <v>Unit Rawatan Rapi (ICU)</v>
          </cell>
          <cell r="P556" t="str">
            <v>HM</v>
          </cell>
          <cell r="Q556">
            <v>4650</v>
          </cell>
        </row>
        <row r="557">
          <cell r="E557" t="str">
            <v>KKM/JKN/HSA/10-05-01/H/15/932</v>
          </cell>
          <cell r="F557" t="str">
            <v>Therapeutic</v>
          </cell>
          <cell r="G557" t="str">
            <v>Intermediate</v>
          </cell>
          <cell r="H557" t="str">
            <v>Infusion Pumps, Syringe</v>
          </cell>
          <cell r="I557" t="str">
            <v>PUMP SYRINGE</v>
          </cell>
          <cell r="J557" t="str">
            <v>13-217</v>
          </cell>
          <cell r="K557" t="str">
            <v>FRESENIUS KABI</v>
          </cell>
          <cell r="L557" t="str">
            <v>MODULE DPS</v>
          </cell>
          <cell r="M557" t="str">
            <v>082594/22233523</v>
          </cell>
          <cell r="N557" t="str">
            <v>ANESTESIOLOGI</v>
          </cell>
          <cell r="O557" t="str">
            <v>Unit Rawatan Rapi (ICU)</v>
          </cell>
          <cell r="P557" t="str">
            <v>HM</v>
          </cell>
          <cell r="Q557">
            <v>4650</v>
          </cell>
        </row>
        <row r="558">
          <cell r="E558" t="str">
            <v>KKM/JKN/HSA/10-05-01/H/15/933</v>
          </cell>
          <cell r="F558" t="str">
            <v>Therapeutic</v>
          </cell>
          <cell r="G558" t="str">
            <v>Intermediate</v>
          </cell>
          <cell r="H558" t="str">
            <v>Infusion Pumps, Syringe</v>
          </cell>
          <cell r="I558" t="str">
            <v>PUMP SYRINGE</v>
          </cell>
          <cell r="J558" t="str">
            <v>13-217</v>
          </cell>
          <cell r="K558" t="str">
            <v>FRESENIUS KABI</v>
          </cell>
          <cell r="L558" t="str">
            <v>MODULE DPS</v>
          </cell>
          <cell r="M558" t="str">
            <v>082594/22233508</v>
          </cell>
          <cell r="N558" t="str">
            <v>ANESTESIOLOGI</v>
          </cell>
          <cell r="O558" t="str">
            <v>Unit Rawatan Rapi (ICU)</v>
          </cell>
          <cell r="P558" t="str">
            <v>HM</v>
          </cell>
          <cell r="Q558">
            <v>4650</v>
          </cell>
        </row>
        <row r="559">
          <cell r="E559" t="str">
            <v>KKM/JKN/HSA/10-05-01/H/15/934</v>
          </cell>
          <cell r="F559" t="str">
            <v>Therapeutic</v>
          </cell>
          <cell r="G559" t="str">
            <v>Intermediate</v>
          </cell>
          <cell r="H559" t="str">
            <v>Infusion Pumps, Syringe</v>
          </cell>
          <cell r="I559" t="str">
            <v>PUMP SYRINGE</v>
          </cell>
          <cell r="J559" t="str">
            <v>13-217</v>
          </cell>
          <cell r="K559" t="str">
            <v>FRESENIUS KABI</v>
          </cell>
          <cell r="L559" t="str">
            <v>MODULE DPS</v>
          </cell>
          <cell r="M559" t="str">
            <v>082594/22233510</v>
          </cell>
          <cell r="N559" t="str">
            <v>ANESTESIOLOGI</v>
          </cell>
          <cell r="O559" t="str">
            <v>Unit Rawatan Rapi (ICU)</v>
          </cell>
          <cell r="P559" t="str">
            <v>HM</v>
          </cell>
          <cell r="Q559">
            <v>4650</v>
          </cell>
        </row>
        <row r="560">
          <cell r="E560" t="str">
            <v>KKM/JKN/HSA/10-05-01/H/15/935</v>
          </cell>
          <cell r="F560" t="str">
            <v>Therapeutic</v>
          </cell>
          <cell r="G560" t="str">
            <v>Intermediate</v>
          </cell>
          <cell r="H560" t="str">
            <v>Infusion Pumps, Syringe</v>
          </cell>
          <cell r="I560" t="str">
            <v>PUMP SYRINGE</v>
          </cell>
          <cell r="J560" t="str">
            <v>13-217</v>
          </cell>
          <cell r="K560" t="str">
            <v>FRESENIUS KABI</v>
          </cell>
          <cell r="L560" t="str">
            <v>MODULE DPS</v>
          </cell>
          <cell r="M560" t="str">
            <v>082594/22233522</v>
          </cell>
          <cell r="N560" t="str">
            <v>ANESTESIOLOGI</v>
          </cell>
          <cell r="O560" t="str">
            <v>Unit Rawatan Rapi (ICU)</v>
          </cell>
          <cell r="P560" t="str">
            <v>HM</v>
          </cell>
          <cell r="Q560">
            <v>4650</v>
          </cell>
        </row>
        <row r="561">
          <cell r="E561" t="str">
            <v>KKM/JKN/HSA/10-05-01/H/15/936</v>
          </cell>
          <cell r="F561" t="str">
            <v>Therapeutic</v>
          </cell>
          <cell r="G561" t="str">
            <v>Intermediate</v>
          </cell>
          <cell r="H561" t="str">
            <v>Infusion Pumps, Syringe</v>
          </cell>
          <cell r="I561" t="str">
            <v>PUMP SYRINGE</v>
          </cell>
          <cell r="J561" t="str">
            <v>13-217</v>
          </cell>
          <cell r="K561" t="str">
            <v>FRESENIUS KABI</v>
          </cell>
          <cell r="L561" t="str">
            <v>MODULE DPS</v>
          </cell>
          <cell r="M561" t="str">
            <v>082594/22233526</v>
          </cell>
          <cell r="N561" t="str">
            <v>ANESTESIOLOGI</v>
          </cell>
          <cell r="O561" t="str">
            <v>Unit Rawatan Rapi (ICU)</v>
          </cell>
          <cell r="P561" t="str">
            <v>HM</v>
          </cell>
          <cell r="Q561">
            <v>4650</v>
          </cell>
        </row>
        <row r="562">
          <cell r="E562" t="str">
            <v>KKM/JKN/HSA/10-05-01/H/15/937</v>
          </cell>
          <cell r="F562" t="str">
            <v>Therapeutic</v>
          </cell>
          <cell r="G562" t="str">
            <v>Intermediate</v>
          </cell>
          <cell r="H562" t="str">
            <v>Infusion Pumps, Syringe</v>
          </cell>
          <cell r="I562" t="str">
            <v>PUMP SYRINGE</v>
          </cell>
          <cell r="J562" t="str">
            <v>13-217</v>
          </cell>
          <cell r="K562" t="str">
            <v>FRESENIUS KABI</v>
          </cell>
          <cell r="L562" t="str">
            <v>MODULE DPS</v>
          </cell>
          <cell r="M562" t="str">
            <v>082594/22233524</v>
          </cell>
          <cell r="N562" t="str">
            <v>ANESTESIOLOGI</v>
          </cell>
          <cell r="O562" t="str">
            <v>Unit Rawatan Rapi (ICU)</v>
          </cell>
          <cell r="P562" t="str">
            <v>HM</v>
          </cell>
          <cell r="Q562">
            <v>4650</v>
          </cell>
        </row>
        <row r="563">
          <cell r="E563" t="str">
            <v>KKM/JKN/HSA/10-05-01/H/15/938</v>
          </cell>
          <cell r="F563" t="str">
            <v>Therapeutic</v>
          </cell>
          <cell r="G563" t="str">
            <v>Intermediate</v>
          </cell>
          <cell r="H563" t="str">
            <v>Infusion Pumps, Syringe</v>
          </cell>
          <cell r="I563" t="str">
            <v>PUMP SYRINGE</v>
          </cell>
          <cell r="J563" t="str">
            <v>13-217</v>
          </cell>
          <cell r="K563" t="str">
            <v>FRESENIUS KABI</v>
          </cell>
          <cell r="L563" t="str">
            <v>MODULE DPS</v>
          </cell>
          <cell r="M563" t="str">
            <v>082594/22233506</v>
          </cell>
          <cell r="N563" t="str">
            <v>ANESTESIOLOGI</v>
          </cell>
          <cell r="O563" t="str">
            <v>Unit Rawatan Rapi (ICU)</v>
          </cell>
          <cell r="P563" t="str">
            <v>HM</v>
          </cell>
          <cell r="Q563">
            <v>4650</v>
          </cell>
        </row>
        <row r="564">
          <cell r="E564" t="str">
            <v>KKM/JKN/HSA/10-05-01/H/15/939</v>
          </cell>
          <cell r="F564" t="str">
            <v>Therapeutic</v>
          </cell>
          <cell r="G564" t="str">
            <v>Intermediate</v>
          </cell>
          <cell r="H564" t="str">
            <v>Infusion Pumps, Syringe</v>
          </cell>
          <cell r="I564" t="str">
            <v>PUMP SYRINGE</v>
          </cell>
          <cell r="J564" t="str">
            <v>13-217</v>
          </cell>
          <cell r="K564" t="str">
            <v>FRESENIUS KABI</v>
          </cell>
          <cell r="L564" t="str">
            <v>MODULE DPS</v>
          </cell>
          <cell r="M564" t="str">
            <v>082594/22233525</v>
          </cell>
          <cell r="N564" t="str">
            <v>ANESTESIOLOGI</v>
          </cell>
          <cell r="O564" t="str">
            <v>Unit Rawatan Rapi (ICU)</v>
          </cell>
          <cell r="P564" t="str">
            <v>HM</v>
          </cell>
          <cell r="Q564">
            <v>4650</v>
          </cell>
        </row>
        <row r="565">
          <cell r="E565" t="str">
            <v>KKM/JKN/HSA/10-05-01/H/15/940</v>
          </cell>
          <cell r="F565" t="str">
            <v>Therapeutic</v>
          </cell>
          <cell r="G565" t="str">
            <v>Intermediate</v>
          </cell>
          <cell r="H565" t="str">
            <v>Infusion Pumps, Syringe</v>
          </cell>
          <cell r="I565" t="str">
            <v>PUMP SYRINGE</v>
          </cell>
          <cell r="J565" t="str">
            <v>13-217</v>
          </cell>
          <cell r="K565" t="str">
            <v>FRESENIUS KABI</v>
          </cell>
          <cell r="L565" t="str">
            <v>MODULE DPS</v>
          </cell>
          <cell r="M565" t="str">
            <v>082594/22203146</v>
          </cell>
          <cell r="N565" t="str">
            <v>ANESTESIOLOGI</v>
          </cell>
          <cell r="O565" t="str">
            <v>Unit Rawatan Rapi (ICU)</v>
          </cell>
          <cell r="P565" t="str">
            <v>HM</v>
          </cell>
          <cell r="Q565">
            <v>4650</v>
          </cell>
        </row>
        <row r="566">
          <cell r="E566" t="str">
            <v>KKM/JKN/HSA/10-05-01/H/15/5112</v>
          </cell>
          <cell r="F566" t="str">
            <v>Therapeutic</v>
          </cell>
          <cell r="G566" t="str">
            <v>Basic</v>
          </cell>
          <cell r="H566" t="str">
            <v>Pumps, Enteral Feeding</v>
          </cell>
          <cell r="I566" t="str">
            <v>PUMP ENTERAL FEEDING</v>
          </cell>
          <cell r="J566" t="str">
            <v>13-209</v>
          </cell>
          <cell r="K566" t="str">
            <v>FRESENIUS KABI</v>
          </cell>
          <cell r="L566" t="str">
            <v>APPLIX VISION</v>
          </cell>
          <cell r="M566" t="str">
            <v>22232621</v>
          </cell>
          <cell r="N566" t="str">
            <v>ANESTESIOLOGI</v>
          </cell>
          <cell r="O566" t="str">
            <v>Unit Rawatan Rapi (ICU)</v>
          </cell>
          <cell r="P566" t="str">
            <v>HM</v>
          </cell>
          <cell r="Q566">
            <v>2975</v>
          </cell>
        </row>
        <row r="567">
          <cell r="E567" t="str">
            <v>KKM/JKN/HSA/10-05-01/H/15/5113</v>
          </cell>
          <cell r="F567" t="str">
            <v>Therapeutic</v>
          </cell>
          <cell r="G567" t="str">
            <v>Basic</v>
          </cell>
          <cell r="H567" t="str">
            <v>Pumps, Enteral Feeding</v>
          </cell>
          <cell r="I567" t="str">
            <v>PUMP ENTERAL FEEDING</v>
          </cell>
          <cell r="J567" t="str">
            <v>13-209</v>
          </cell>
          <cell r="K567" t="str">
            <v>FRESENIUS KABI</v>
          </cell>
          <cell r="L567" t="str">
            <v>APPLIX VISION</v>
          </cell>
          <cell r="M567" t="str">
            <v>22232614</v>
          </cell>
          <cell r="N567" t="str">
            <v>ANESTESIOLOGI</v>
          </cell>
          <cell r="O567" t="str">
            <v>Unit Rawatan Rapi (ICU)</v>
          </cell>
          <cell r="P567" t="str">
            <v>HM</v>
          </cell>
          <cell r="Q567">
            <v>2975</v>
          </cell>
        </row>
        <row r="568">
          <cell r="E568" t="str">
            <v>KKM/JKN/HSA/10-05-01/H/15/5114</v>
          </cell>
          <cell r="F568" t="str">
            <v>Therapeutic</v>
          </cell>
          <cell r="G568" t="str">
            <v>Basic</v>
          </cell>
          <cell r="H568" t="str">
            <v>Pumps, Enteral Feeding</v>
          </cell>
          <cell r="I568" t="str">
            <v>PUMP ENTERAL FEEDING</v>
          </cell>
          <cell r="J568" t="str">
            <v>13-209</v>
          </cell>
          <cell r="K568" t="str">
            <v>FRESENIUS KABI</v>
          </cell>
          <cell r="L568" t="str">
            <v>APPLIX VISION</v>
          </cell>
          <cell r="M568" t="str">
            <v>22232615</v>
          </cell>
          <cell r="N568" t="str">
            <v>ANESTESIOLOGI</v>
          </cell>
          <cell r="O568" t="str">
            <v>Unit Rawatan Rapi (ICU)</v>
          </cell>
          <cell r="P568" t="str">
            <v>HM</v>
          </cell>
          <cell r="Q568">
            <v>2975</v>
          </cell>
        </row>
        <row r="569">
          <cell r="E569" t="str">
            <v>KKM/JKN/HSA/10-05-01/H/15/5115</v>
          </cell>
          <cell r="F569" t="str">
            <v>Therapeutic</v>
          </cell>
          <cell r="G569" t="str">
            <v>Basic</v>
          </cell>
          <cell r="H569" t="str">
            <v>Pumps, Enteral Feeding</v>
          </cell>
          <cell r="I569" t="str">
            <v>PUMP ENTERAL FEEDING</v>
          </cell>
          <cell r="J569" t="str">
            <v>13-209</v>
          </cell>
          <cell r="K569" t="str">
            <v>FRESENIUS KABI</v>
          </cell>
          <cell r="L569" t="str">
            <v>APPLIX VISION</v>
          </cell>
          <cell r="M569" t="str">
            <v>22232620</v>
          </cell>
          <cell r="N569" t="str">
            <v>ANESTESIOLOGI</v>
          </cell>
          <cell r="O569" t="str">
            <v>Unit Rawatan Rapi (ICU)</v>
          </cell>
          <cell r="P569" t="str">
            <v>HM</v>
          </cell>
          <cell r="Q569">
            <v>2975</v>
          </cell>
        </row>
        <row r="570">
          <cell r="E570" t="str">
            <v>KKM/JKN/HSA/10-05-01/H/15/5116</v>
          </cell>
          <cell r="F570" t="str">
            <v>Therapeutic</v>
          </cell>
          <cell r="G570" t="str">
            <v>Basic</v>
          </cell>
          <cell r="H570" t="str">
            <v>Pumps, Enteral Feeding</v>
          </cell>
          <cell r="I570" t="str">
            <v>PUMP ENTERAL FEEDING</v>
          </cell>
          <cell r="J570" t="str">
            <v>13-209</v>
          </cell>
          <cell r="K570" t="str">
            <v>FRESENIUS KABI</v>
          </cell>
          <cell r="L570" t="str">
            <v>APPLIX VISION</v>
          </cell>
          <cell r="M570" t="str">
            <v>22232617</v>
          </cell>
          <cell r="N570" t="str">
            <v>ANESTESIOLOGI</v>
          </cell>
          <cell r="O570" t="str">
            <v>Unit Rawatan Rapi (ICU)</v>
          </cell>
          <cell r="P570" t="str">
            <v>HM</v>
          </cell>
          <cell r="Q570">
            <v>2975</v>
          </cell>
        </row>
        <row r="571">
          <cell r="E571" t="str">
            <v>KKM/JKN/HSA/10-05-01/H/15/5117</v>
          </cell>
          <cell r="F571" t="str">
            <v>Therapeutic</v>
          </cell>
          <cell r="G571" t="str">
            <v>Basic</v>
          </cell>
          <cell r="H571" t="str">
            <v>Pumps, Enteral Feeding</v>
          </cell>
          <cell r="I571" t="str">
            <v>PUMP ENTERAL FEEDING</v>
          </cell>
          <cell r="J571" t="str">
            <v>13-209</v>
          </cell>
          <cell r="K571" t="str">
            <v>FRESENIUS KABI</v>
          </cell>
          <cell r="L571" t="str">
            <v>APPLIX VISION</v>
          </cell>
          <cell r="M571" t="str">
            <v>22232612</v>
          </cell>
          <cell r="N571" t="str">
            <v>ANESTESIOLOGI</v>
          </cell>
          <cell r="O571" t="str">
            <v>Unit Rawatan Rapi (ICU)</v>
          </cell>
          <cell r="P571" t="str">
            <v>HM</v>
          </cell>
          <cell r="Q571">
            <v>2975</v>
          </cell>
        </row>
        <row r="572">
          <cell r="E572" t="str">
            <v>KKM/JKN/HSA/10-05-01/H/15/5118</v>
          </cell>
          <cell r="F572" t="str">
            <v>Therapeutic</v>
          </cell>
          <cell r="G572" t="str">
            <v>Basic</v>
          </cell>
          <cell r="H572" t="str">
            <v>Pumps, Enteral Feeding</v>
          </cell>
          <cell r="I572" t="str">
            <v>PUMP ENTERAL FEEDING</v>
          </cell>
          <cell r="J572" t="str">
            <v>13-209</v>
          </cell>
          <cell r="K572" t="str">
            <v>FRESENIUS KABI</v>
          </cell>
          <cell r="L572" t="str">
            <v>APPLIX VISION</v>
          </cell>
          <cell r="M572" t="str">
            <v>22232616</v>
          </cell>
          <cell r="N572" t="str">
            <v>ANESTESIOLOGI</v>
          </cell>
          <cell r="O572" t="str">
            <v>Unit Rawatan Rapi (ICU)</v>
          </cell>
          <cell r="P572" t="str">
            <v>HM</v>
          </cell>
          <cell r="Q572">
            <v>2975</v>
          </cell>
        </row>
        <row r="573">
          <cell r="E573" t="str">
            <v>KKM/JKN/HSA/10-05-01/H/15/4224</v>
          </cell>
          <cell r="F573" t="str">
            <v>Therapeutic</v>
          </cell>
          <cell r="G573" t="str">
            <v>Intermediate</v>
          </cell>
          <cell r="H573" t="str">
            <v>Infusion Pumps, Patient-Controlled Analgesic</v>
          </cell>
          <cell r="I573" t="str">
            <v>PCA SYSTEM</v>
          </cell>
          <cell r="J573" t="str">
            <v>16-924</v>
          </cell>
          <cell r="K573" t="str">
            <v xml:space="preserve">FRESENIUS </v>
          </cell>
          <cell r="L573" t="str">
            <v>MASTER PCA</v>
          </cell>
          <cell r="M573">
            <v>22231790</v>
          </cell>
          <cell r="N573" t="str">
            <v>ANESTESIOLOGI</v>
          </cell>
          <cell r="O573" t="str">
            <v>Unit Rawatan Rapi (ICU)</v>
          </cell>
          <cell r="P573" t="str">
            <v>HM</v>
          </cell>
          <cell r="Q573">
            <v>11050</v>
          </cell>
        </row>
        <row r="574">
          <cell r="E574" t="str">
            <v>KKM/JKN/HSA/10-05-01/H/15/4225</v>
          </cell>
          <cell r="F574" t="str">
            <v>Therapeutic</v>
          </cell>
          <cell r="G574" t="str">
            <v>Intermediate</v>
          </cell>
          <cell r="H574" t="str">
            <v>Infusion Pumps, Patient-Controlled Analgesic</v>
          </cell>
          <cell r="I574" t="str">
            <v>PCA SYSTEM</v>
          </cell>
          <cell r="J574" t="str">
            <v>16-924</v>
          </cell>
          <cell r="K574" t="str">
            <v xml:space="preserve">FRESENIUS </v>
          </cell>
          <cell r="L574" t="str">
            <v>MASTER PCA</v>
          </cell>
          <cell r="M574">
            <v>22231791</v>
          </cell>
          <cell r="N574" t="str">
            <v>ANESTESIOLOGI</v>
          </cell>
          <cell r="O574" t="str">
            <v>Unit Rawatan Rapi (ICU)</v>
          </cell>
          <cell r="P574" t="str">
            <v>HM</v>
          </cell>
          <cell r="Q574">
            <v>11050</v>
          </cell>
        </row>
        <row r="575">
          <cell r="E575" t="str">
            <v>KKM/JKN/HSA/10-05-01/H/15/4226</v>
          </cell>
          <cell r="F575" t="str">
            <v>Therapeutic</v>
          </cell>
          <cell r="G575" t="str">
            <v>Intermediate</v>
          </cell>
          <cell r="H575" t="str">
            <v>Infusion Pumps, Patient-Controlled Analgesic</v>
          </cell>
          <cell r="I575" t="str">
            <v>PCA SYSTEM</v>
          </cell>
          <cell r="J575" t="str">
            <v>16-924</v>
          </cell>
          <cell r="K575" t="str">
            <v xml:space="preserve">FRESENIUS </v>
          </cell>
          <cell r="L575" t="str">
            <v>MASTER PCA</v>
          </cell>
          <cell r="M575">
            <v>22231792</v>
          </cell>
          <cell r="N575" t="str">
            <v>ANESTESIOLOGI</v>
          </cell>
          <cell r="O575" t="str">
            <v>Unit Rawatan Rapi (ICU)</v>
          </cell>
          <cell r="P575" t="str">
            <v>HM</v>
          </cell>
          <cell r="Q575">
            <v>11050</v>
          </cell>
        </row>
        <row r="576">
          <cell r="E576" t="str">
            <v>KKM/JKN/HSA/10-05-01/H/15/4228</v>
          </cell>
          <cell r="F576" t="str">
            <v>Therapeutic</v>
          </cell>
          <cell r="G576" t="str">
            <v>Intermediate</v>
          </cell>
          <cell r="H576" t="str">
            <v>Infusion Pumps, Patient-Controlled Analgesic</v>
          </cell>
          <cell r="I576" t="str">
            <v>PCA SYSTEM</v>
          </cell>
          <cell r="J576" t="str">
            <v>16-924</v>
          </cell>
          <cell r="K576" t="str">
            <v xml:space="preserve">FRESENIUS </v>
          </cell>
          <cell r="L576" t="str">
            <v>MASTER PCA</v>
          </cell>
          <cell r="M576">
            <v>22231794</v>
          </cell>
          <cell r="N576" t="str">
            <v>ANESTESIOLOGI</v>
          </cell>
          <cell r="O576" t="str">
            <v>Unit Rawatan Rapi (ICU)</v>
          </cell>
          <cell r="P576" t="str">
            <v>HM</v>
          </cell>
          <cell r="Q576">
            <v>11050</v>
          </cell>
        </row>
        <row r="577">
          <cell r="E577" t="str">
            <v>KKM/JKN/HSA/10-05-01/H/15/4230</v>
          </cell>
          <cell r="F577" t="str">
            <v>Therapeutic</v>
          </cell>
          <cell r="G577" t="str">
            <v>Intermediate</v>
          </cell>
          <cell r="H577" t="str">
            <v>Infusion Pumps, Patient-Controlled Analgesic</v>
          </cell>
          <cell r="I577" t="str">
            <v>PCA SYSTEM</v>
          </cell>
          <cell r="J577" t="str">
            <v>16-924</v>
          </cell>
          <cell r="K577" t="str">
            <v xml:space="preserve">FRESENIUS </v>
          </cell>
          <cell r="L577" t="str">
            <v>MASTER PCA</v>
          </cell>
          <cell r="M577">
            <v>22231796</v>
          </cell>
          <cell r="N577" t="str">
            <v>ANESTESIOLOGI</v>
          </cell>
          <cell r="O577" t="str">
            <v>Unit Rawatan Rapi (ICU)</v>
          </cell>
          <cell r="P577" t="str">
            <v>HM</v>
          </cell>
          <cell r="Q577">
            <v>11050</v>
          </cell>
        </row>
        <row r="578">
          <cell r="E578" t="str">
            <v>KKM/JKN/HSA/10-05-01/H/15/4231</v>
          </cell>
          <cell r="F578" t="str">
            <v>Therapeutic</v>
          </cell>
          <cell r="G578" t="str">
            <v>Intermediate</v>
          </cell>
          <cell r="H578" t="str">
            <v>Infusion Pumps, Patient-Controlled Analgesic</v>
          </cell>
          <cell r="I578" t="str">
            <v>PCA SYSTEM</v>
          </cell>
          <cell r="J578" t="str">
            <v>16-924</v>
          </cell>
          <cell r="K578" t="str">
            <v xml:space="preserve">FRESENIUS </v>
          </cell>
          <cell r="L578" t="str">
            <v>MASTER PCA</v>
          </cell>
          <cell r="M578">
            <v>22231797</v>
          </cell>
          <cell r="N578" t="str">
            <v>ANESTESIOLOGI</v>
          </cell>
          <cell r="O578" t="str">
            <v>Unit Rawatan Rapi (ICU)</v>
          </cell>
          <cell r="P578" t="str">
            <v>HM</v>
          </cell>
          <cell r="Q578">
            <v>11050</v>
          </cell>
        </row>
        <row r="579">
          <cell r="E579" t="str">
            <v>KKM/JKN/HSA/10-05-01/H/15/4232</v>
          </cell>
          <cell r="F579" t="str">
            <v>Therapeutic</v>
          </cell>
          <cell r="G579" t="str">
            <v>Intermediate</v>
          </cell>
          <cell r="H579" t="str">
            <v>Infusion Pumps, Patient-Controlled Analgesic</v>
          </cell>
          <cell r="I579" t="str">
            <v>PCA SYSTEM</v>
          </cell>
          <cell r="J579" t="str">
            <v>16-924</v>
          </cell>
          <cell r="K579" t="str">
            <v xml:space="preserve">FRESENIUS </v>
          </cell>
          <cell r="L579" t="str">
            <v>MASTER PCA</v>
          </cell>
          <cell r="M579">
            <v>22231798</v>
          </cell>
          <cell r="N579" t="str">
            <v>ANESTESIOLOGI</v>
          </cell>
          <cell r="O579" t="str">
            <v>Unit Rawatan Rapi (ICU)</v>
          </cell>
          <cell r="P579" t="str">
            <v>HM</v>
          </cell>
          <cell r="Q579">
            <v>11050</v>
          </cell>
        </row>
        <row r="580">
          <cell r="E580" t="str">
            <v>KKM/JKN/HSA/10-05-01/H/15/4233</v>
          </cell>
          <cell r="F580" t="str">
            <v>Therapeutic</v>
          </cell>
          <cell r="G580" t="str">
            <v>Intermediate</v>
          </cell>
          <cell r="H580" t="str">
            <v>Infusion Pumps, Patient-Controlled Analgesic</v>
          </cell>
          <cell r="I580" t="str">
            <v>PCA SYSTEM</v>
          </cell>
          <cell r="J580" t="str">
            <v>16-924</v>
          </cell>
          <cell r="K580" t="str">
            <v xml:space="preserve">FRESENIUS </v>
          </cell>
          <cell r="L580" t="str">
            <v>MASTER PCA</v>
          </cell>
          <cell r="M580">
            <v>22231799</v>
          </cell>
          <cell r="N580" t="str">
            <v>ANESTESIOLOGI</v>
          </cell>
          <cell r="O580" t="str">
            <v>Unit Rawatan Rapi (ICU)</v>
          </cell>
          <cell r="P580" t="str">
            <v>HM</v>
          </cell>
          <cell r="Q580">
            <v>11050</v>
          </cell>
        </row>
        <row r="581">
          <cell r="E581" t="str">
            <v>KKM/JKN/HSA/10-05-01/H/15/4219</v>
          </cell>
          <cell r="F581" t="str">
            <v>Therapeutic</v>
          </cell>
          <cell r="G581" t="str">
            <v>Intermediate</v>
          </cell>
          <cell r="H581" t="str">
            <v>Infusion Pumps, General-PurP0se</v>
          </cell>
          <cell r="I581" t="str">
            <v>PCA AMBULATORY</v>
          </cell>
          <cell r="J581" t="str">
            <v>13-215</v>
          </cell>
          <cell r="K581" t="str">
            <v>MICREL</v>
          </cell>
          <cell r="L581" t="str">
            <v>RYTMIC PCEA</v>
          </cell>
          <cell r="M581">
            <v>110411028019</v>
          </cell>
          <cell r="N581" t="str">
            <v>ANESTESIOLOGI</v>
          </cell>
          <cell r="O581" t="str">
            <v>Unit Rawatan Rapi (ICU)</v>
          </cell>
          <cell r="P581" t="str">
            <v>HM</v>
          </cell>
          <cell r="Q581">
            <v>6500</v>
          </cell>
        </row>
        <row r="582">
          <cell r="E582" t="str">
            <v>KKM/JKN/HSA/10-05-01/H/15/4220</v>
          </cell>
          <cell r="F582" t="str">
            <v>Therapeutic</v>
          </cell>
          <cell r="G582" t="str">
            <v>Intermediate</v>
          </cell>
          <cell r="H582" t="str">
            <v>Infusion Pumps, General-PurP0se</v>
          </cell>
          <cell r="I582" t="str">
            <v>PCA AMBULATORY</v>
          </cell>
          <cell r="J582" t="str">
            <v>13-215</v>
          </cell>
          <cell r="K582" t="str">
            <v>MICREL</v>
          </cell>
          <cell r="L582" t="str">
            <v>RYTMIC PCEA</v>
          </cell>
          <cell r="M582">
            <v>110411028022</v>
          </cell>
          <cell r="N582" t="str">
            <v>ANESTESIOLOGI</v>
          </cell>
          <cell r="O582" t="str">
            <v>Unit Rawatan Rapi (ICU)</v>
          </cell>
          <cell r="P582" t="str">
            <v>HM</v>
          </cell>
          <cell r="Q582">
            <v>6500</v>
          </cell>
        </row>
        <row r="583">
          <cell r="E583" t="str">
            <v>KKM/JKN/HSA/10-05-01/H/15/4221</v>
          </cell>
          <cell r="F583" t="str">
            <v>Therapeutic</v>
          </cell>
          <cell r="G583" t="str">
            <v>Intermediate</v>
          </cell>
          <cell r="H583" t="str">
            <v>Infusion Pumps, General-PurP0se</v>
          </cell>
          <cell r="I583" t="str">
            <v>PCA AMBULATORY</v>
          </cell>
          <cell r="J583" t="str">
            <v>13-215</v>
          </cell>
          <cell r="K583" t="str">
            <v>MICREL</v>
          </cell>
          <cell r="L583" t="str">
            <v>RYTMIC PCEA</v>
          </cell>
          <cell r="M583">
            <v>110411028023</v>
          </cell>
          <cell r="N583" t="str">
            <v>ANESTESIOLOGI</v>
          </cell>
          <cell r="O583" t="str">
            <v>Unit Rawatan Rapi (ICU)</v>
          </cell>
          <cell r="P583" t="str">
            <v>HM</v>
          </cell>
          <cell r="Q583">
            <v>6500</v>
          </cell>
        </row>
        <row r="584">
          <cell r="E584" t="str">
            <v>KKM/JKN/HSA/10-05-01/H/15/4222</v>
          </cell>
          <cell r="F584" t="str">
            <v>Therapeutic</v>
          </cell>
          <cell r="G584" t="str">
            <v>Intermediate</v>
          </cell>
          <cell r="H584" t="str">
            <v>Infusion Pumps, General-PurP0se</v>
          </cell>
          <cell r="I584" t="str">
            <v>PCA AMBULATORY</v>
          </cell>
          <cell r="J584" t="str">
            <v>13-215</v>
          </cell>
          <cell r="K584" t="str">
            <v>MICREL</v>
          </cell>
          <cell r="L584" t="str">
            <v>RYTMIC PCEA</v>
          </cell>
          <cell r="M584">
            <v>110411028024</v>
          </cell>
          <cell r="N584" t="str">
            <v>ANESTESIOLOGI</v>
          </cell>
          <cell r="O584" t="str">
            <v>Unit Rawatan Rapi (ICU)</v>
          </cell>
          <cell r="P584" t="str">
            <v>HM</v>
          </cell>
          <cell r="Q584">
            <v>6500</v>
          </cell>
        </row>
        <row r="585">
          <cell r="E585" t="str">
            <v>KKM/JKN/HSA/10-05-01/H/15/4223</v>
          </cell>
          <cell r="F585" t="str">
            <v>Therapeutic</v>
          </cell>
          <cell r="G585" t="str">
            <v>Intermediate</v>
          </cell>
          <cell r="H585" t="str">
            <v>Infusion Pumps, General-PurP0se</v>
          </cell>
          <cell r="I585" t="str">
            <v>PCA AMBULATORY</v>
          </cell>
          <cell r="J585" t="str">
            <v>13-215</v>
          </cell>
          <cell r="K585" t="str">
            <v>MICREL</v>
          </cell>
          <cell r="L585" t="str">
            <v>RYTMIC PCEA</v>
          </cell>
          <cell r="M585">
            <v>110411028025</v>
          </cell>
          <cell r="N585" t="str">
            <v>ANESTESIOLOGI</v>
          </cell>
          <cell r="O585" t="str">
            <v>Unit Rawatan Rapi (ICU)</v>
          </cell>
          <cell r="P585" t="str">
            <v>HM</v>
          </cell>
          <cell r="Q585">
            <v>6500</v>
          </cell>
        </row>
        <row r="586">
          <cell r="E586" t="str">
            <v>KKM/JKN/HSA/10-05-01/R/15/16167</v>
          </cell>
          <cell r="F586" t="str">
            <v>Therapeutic</v>
          </cell>
          <cell r="G586" t="str">
            <v>Basic</v>
          </cell>
          <cell r="H586" t="str">
            <v>Nebulizers, Heated</v>
          </cell>
          <cell r="I586" t="str">
            <v>NEBULISER</v>
          </cell>
          <cell r="J586" t="str">
            <v>12-716</v>
          </cell>
          <cell r="K586" t="str">
            <v>PHILIPS</v>
          </cell>
          <cell r="L586" t="str">
            <v xml:space="preserve"> INNOSPIRE DELUXE</v>
          </cell>
          <cell r="M586"/>
          <cell r="N586" t="str">
            <v>ANESTESIOLOGI</v>
          </cell>
          <cell r="O586" t="str">
            <v>Unit Rawatan Rapi (ICU)</v>
          </cell>
          <cell r="P586" t="str">
            <v>ABR</v>
          </cell>
          <cell r="Q586">
            <v>1950</v>
          </cell>
        </row>
        <row r="587">
          <cell r="E587" t="str">
            <v>KKM/JKN/HSA/10-05-01/R/15/16168</v>
          </cell>
          <cell r="F587" t="str">
            <v>Therapeutic</v>
          </cell>
          <cell r="G587" t="str">
            <v>Basic</v>
          </cell>
          <cell r="H587" t="str">
            <v>Nebulizers, Heated</v>
          </cell>
          <cell r="I587" t="str">
            <v>NEBULISER</v>
          </cell>
          <cell r="J587" t="str">
            <v>12-716</v>
          </cell>
          <cell r="K587" t="str">
            <v>PHILIPS</v>
          </cell>
          <cell r="L587" t="str">
            <v xml:space="preserve"> INNOSPIRE DELUXE</v>
          </cell>
          <cell r="M587"/>
          <cell r="N587" t="str">
            <v>ANESTESIOLOGI</v>
          </cell>
          <cell r="O587" t="str">
            <v>Unit Rawatan Rapi (ICU)</v>
          </cell>
          <cell r="P587" t="str">
            <v>ABR</v>
          </cell>
          <cell r="Q587">
            <v>1950</v>
          </cell>
        </row>
        <row r="588">
          <cell r="E588" t="str">
            <v>KKM/JKN/HSA/10-05-01/H/15/4289</v>
          </cell>
          <cell r="F588" t="str">
            <v xml:space="preserve">Diagnostic </v>
          </cell>
          <cell r="G588" t="str">
            <v>Intermediate</v>
          </cell>
          <cell r="H588" t="str">
            <v>Physiologic Monitoring Systems, Acute Care</v>
          </cell>
          <cell r="I588" t="str">
            <v>MONITOR MODULAR 8-CH ECG/RR/NIBP/SP02/2TEMP/2IBP</v>
          </cell>
          <cell r="J588" t="str">
            <v>12-647</v>
          </cell>
          <cell r="K588" t="str">
            <v>MINDRAY</v>
          </cell>
          <cell r="L588" t="str">
            <v>BENEVIEW T8/T1</v>
          </cell>
          <cell r="M588" t="str">
            <v>CF 45122779</v>
          </cell>
          <cell r="N588" t="str">
            <v>ANESTESIOLOGI</v>
          </cell>
          <cell r="O588" t="str">
            <v>Unit Rawatan Rapi (ICU)</v>
          </cell>
          <cell r="P588" t="str">
            <v>HM</v>
          </cell>
          <cell r="Q588">
            <v>32900</v>
          </cell>
        </row>
        <row r="589">
          <cell r="E589" t="str">
            <v>KKM/JKN/HSA/10-05-01/H/15/4290</v>
          </cell>
          <cell r="F589" t="str">
            <v xml:space="preserve">Diagnostic </v>
          </cell>
          <cell r="G589" t="str">
            <v>Intermediate</v>
          </cell>
          <cell r="H589" t="str">
            <v>Physiologic Monitoring Systems, Acute Care</v>
          </cell>
          <cell r="I589" t="str">
            <v>MONITOR MODULAR 8-CH ECG/RR/NIBP/SP02/2TEMP/2IBP</v>
          </cell>
          <cell r="J589" t="str">
            <v>12-647</v>
          </cell>
          <cell r="K589" t="str">
            <v>MINDRAY</v>
          </cell>
          <cell r="L589" t="str">
            <v>BENEVIEW T8/T1</v>
          </cell>
          <cell r="M589" t="str">
            <v>CF 45122778</v>
          </cell>
          <cell r="N589" t="str">
            <v>ANESTESIOLOGI</v>
          </cell>
          <cell r="O589" t="str">
            <v>Unit Rawatan Rapi (ICU)</v>
          </cell>
          <cell r="P589" t="str">
            <v>HM</v>
          </cell>
          <cell r="Q589">
            <v>32900</v>
          </cell>
        </row>
        <row r="590">
          <cell r="E590" t="str">
            <v>KKM/JKN/HSA/10-05-01/H/15/4291</v>
          </cell>
          <cell r="F590" t="str">
            <v xml:space="preserve">Diagnostic </v>
          </cell>
          <cell r="G590" t="str">
            <v>Intermediate</v>
          </cell>
          <cell r="H590" t="str">
            <v>Physiologic Monitoring Systems, Acute Care</v>
          </cell>
          <cell r="I590" t="str">
            <v>MONITOR MODULAR 8-CH ECG/RR/NIBP/SP02/2TEMP/2IBP</v>
          </cell>
          <cell r="J590" t="str">
            <v>12-647</v>
          </cell>
          <cell r="K590" t="str">
            <v>MINDRAY</v>
          </cell>
          <cell r="L590" t="str">
            <v>BENEVIEW T8/T1</v>
          </cell>
          <cell r="M590" t="str">
            <v>CF 45122777</v>
          </cell>
          <cell r="N590" t="str">
            <v>ANESTESIOLOGI</v>
          </cell>
          <cell r="O590" t="str">
            <v>Unit Rawatan Rapi (ICU)</v>
          </cell>
          <cell r="P590" t="str">
            <v>HM</v>
          </cell>
          <cell r="Q590">
            <v>32900</v>
          </cell>
        </row>
        <row r="591">
          <cell r="E591" t="str">
            <v>KKM/JKN/HSA/10-05-01/H/15/4292</v>
          </cell>
          <cell r="F591" t="str">
            <v xml:space="preserve">Diagnostic </v>
          </cell>
          <cell r="G591" t="str">
            <v>Intermediate</v>
          </cell>
          <cell r="H591" t="str">
            <v>Physiologic Monitoring Systems, Acute Care</v>
          </cell>
          <cell r="I591" t="str">
            <v>MONITOR MODULAR 8-CH ECG/RR/NIBP/SP02/2TEMP/2IBP</v>
          </cell>
          <cell r="J591" t="str">
            <v>12-647</v>
          </cell>
          <cell r="K591" t="str">
            <v>MINDRAY</v>
          </cell>
          <cell r="L591" t="str">
            <v>BENEVIEW T8/T1</v>
          </cell>
          <cell r="M591" t="str">
            <v>CF 45122776</v>
          </cell>
          <cell r="N591" t="str">
            <v>ANESTESIOLOGI</v>
          </cell>
          <cell r="O591" t="str">
            <v>Unit Rawatan Rapi (ICU)</v>
          </cell>
          <cell r="P591" t="str">
            <v>HM</v>
          </cell>
          <cell r="Q591">
            <v>32900</v>
          </cell>
        </row>
        <row r="592">
          <cell r="E592" t="str">
            <v>KKM/JKN/HSA/10-05-01/H/15/4293</v>
          </cell>
          <cell r="F592" t="str">
            <v xml:space="preserve">Diagnostic </v>
          </cell>
          <cell r="G592" t="str">
            <v>Intermediate</v>
          </cell>
          <cell r="H592" t="str">
            <v>Physiologic Monitoring Systems, Acute Care</v>
          </cell>
          <cell r="I592" t="str">
            <v>MONITOR MODULAR 8-CH ECG/RR/NIBP/SP02/2TEMP/2IBP</v>
          </cell>
          <cell r="J592" t="str">
            <v>12-647</v>
          </cell>
          <cell r="K592" t="str">
            <v>MINDRAY</v>
          </cell>
          <cell r="L592" t="str">
            <v>BENEVIEW T8/T1</v>
          </cell>
          <cell r="M592" t="str">
            <v>CF 45122774</v>
          </cell>
          <cell r="N592" t="str">
            <v>ANESTESIOLOGI</v>
          </cell>
          <cell r="O592" t="str">
            <v>Unit Rawatan Rapi (ICU)</v>
          </cell>
          <cell r="P592" t="str">
            <v>HM</v>
          </cell>
          <cell r="Q592">
            <v>32900</v>
          </cell>
        </row>
        <row r="593">
          <cell r="E593" t="str">
            <v>KKM/JKN/HSA/10-05-01/H/15/4294</v>
          </cell>
          <cell r="F593" t="str">
            <v xml:space="preserve">Diagnostic </v>
          </cell>
          <cell r="G593" t="str">
            <v>Intermediate</v>
          </cell>
          <cell r="H593" t="str">
            <v>Physiologic Monitoring Systems, Acute Care</v>
          </cell>
          <cell r="I593" t="str">
            <v>MONITOR MODULAR 8-CH ECG/RR/NIBP/SP02/2TEMP/2IBP</v>
          </cell>
          <cell r="J593" t="str">
            <v>12-647</v>
          </cell>
          <cell r="K593" t="str">
            <v>MINDRAY</v>
          </cell>
          <cell r="L593" t="str">
            <v>BENEVIEW T8/T1</v>
          </cell>
          <cell r="M593" t="str">
            <v>CF 45122775</v>
          </cell>
          <cell r="N593" t="str">
            <v>ANESTESIOLOGI</v>
          </cell>
          <cell r="O593" t="str">
            <v>Unit Rawatan Rapi (ICU)</v>
          </cell>
          <cell r="P593" t="str">
            <v>HM</v>
          </cell>
          <cell r="Q593">
            <v>32900</v>
          </cell>
        </row>
        <row r="594">
          <cell r="E594" t="str">
            <v>KKM/JKN/HSA/10-05-01/H/15/4295</v>
          </cell>
          <cell r="F594" t="str">
            <v xml:space="preserve">Diagnostic </v>
          </cell>
          <cell r="G594" t="str">
            <v>Intermediate</v>
          </cell>
          <cell r="H594" t="str">
            <v>Physiologic Monitoring Systems, Acute Care</v>
          </cell>
          <cell r="I594" t="str">
            <v>MONITOR MODULAR 8-CH ECG/RR/NIBP/SP02/2TEMP/2IBP</v>
          </cell>
          <cell r="J594" t="str">
            <v>12-647</v>
          </cell>
          <cell r="K594" t="str">
            <v>MINDRAY</v>
          </cell>
          <cell r="L594" t="str">
            <v>BENEVIEW T8/T1</v>
          </cell>
          <cell r="M594" t="str">
            <v>CF 45122780</v>
          </cell>
          <cell r="N594" t="str">
            <v>ANESTESIOLOGI</v>
          </cell>
          <cell r="O594" t="str">
            <v>Unit Rawatan Rapi (ICU)</v>
          </cell>
          <cell r="P594" t="str">
            <v>HM</v>
          </cell>
          <cell r="Q594">
            <v>32900</v>
          </cell>
        </row>
        <row r="595">
          <cell r="E595"/>
          <cell r="F595" t="str">
            <v xml:space="preserve">Diagnostic </v>
          </cell>
          <cell r="G595" t="str">
            <v>Intermediate</v>
          </cell>
          <cell r="H595" t="str">
            <v>Physiologic Monitoring Systems, Acute Care</v>
          </cell>
          <cell r="I595" t="str">
            <v>LASER PRINTER FOR CENTRAL STATION</v>
          </cell>
          <cell r="J595" t="str">
            <v>12-647</v>
          </cell>
          <cell r="K595" t="str">
            <v>MINDRAY</v>
          </cell>
          <cell r="L595" t="str">
            <v>HP LASERJET PRINTER</v>
          </cell>
          <cell r="M595" t="str">
            <v>VNH4704713</v>
          </cell>
          <cell r="N595" t="str">
            <v>ANESTESIOLOGI</v>
          </cell>
          <cell r="O595" t="str">
            <v>Unit Rawatan Rapi (ICU)</v>
          </cell>
          <cell r="P595" t="str">
            <v>HM</v>
          </cell>
          <cell r="Q595">
            <v>3499</v>
          </cell>
        </row>
        <row r="596">
          <cell r="E596"/>
          <cell r="F596" t="str">
            <v xml:space="preserve">Diagnostic </v>
          </cell>
          <cell r="G596" t="str">
            <v>Basic</v>
          </cell>
          <cell r="H596" t="str">
            <v>Laryngoscopes, Rigid</v>
          </cell>
          <cell r="I596" t="str">
            <v>LARYNGOSCOPE C/W 3 BLADES ADULT</v>
          </cell>
          <cell r="J596" t="str">
            <v>15-076</v>
          </cell>
          <cell r="K596" t="str">
            <v>WELCH ALLYN</v>
          </cell>
          <cell r="L596" t="str">
            <v>WELCH ALLYN</v>
          </cell>
          <cell r="M596"/>
          <cell r="N596" t="str">
            <v>ANESTESIOLOGI</v>
          </cell>
          <cell r="O596" t="str">
            <v>Unit Rawatan Rapi (ICU)</v>
          </cell>
          <cell r="P596" t="str">
            <v>HM</v>
          </cell>
          <cell r="Q596">
            <v>2000</v>
          </cell>
        </row>
        <row r="597">
          <cell r="E597"/>
          <cell r="F597" t="str">
            <v xml:space="preserve">Diagnostic </v>
          </cell>
          <cell r="G597" t="str">
            <v>Basic</v>
          </cell>
          <cell r="H597" t="str">
            <v>Laryngoscopes, Rigid</v>
          </cell>
          <cell r="I597" t="str">
            <v>LARYNGOSCOPE C/W 3 BLADES ADULT</v>
          </cell>
          <cell r="J597" t="str">
            <v>15-076</v>
          </cell>
          <cell r="K597" t="str">
            <v>WELCH ALLYN</v>
          </cell>
          <cell r="L597" t="str">
            <v>WELCH ALLYN</v>
          </cell>
          <cell r="M597"/>
          <cell r="N597" t="str">
            <v>ANESTESIOLOGI</v>
          </cell>
          <cell r="O597" t="str">
            <v>Unit Rawatan Rapi (ICU)</v>
          </cell>
          <cell r="P597" t="str">
            <v>HM</v>
          </cell>
          <cell r="Q597">
            <v>2000</v>
          </cell>
        </row>
        <row r="598">
          <cell r="E598" t="str">
            <v>KKM/JKN/HSA/10-05-01/H/15/189</v>
          </cell>
          <cell r="F598" t="str">
            <v xml:space="preserve">Diagnostic </v>
          </cell>
          <cell r="G598" t="str">
            <v>Basic</v>
          </cell>
          <cell r="H598" t="str">
            <v>Laryngoscopes, Rigid</v>
          </cell>
          <cell r="I598" t="str">
            <v>LARYNGOSCOPE</v>
          </cell>
          <cell r="J598" t="str">
            <v>15-076</v>
          </cell>
          <cell r="K598" t="str">
            <v>WELCH ALLYN</v>
          </cell>
          <cell r="L598" t="str">
            <v>01-6081,01-69214,01-69213 &amp;01-69212</v>
          </cell>
          <cell r="M598"/>
          <cell r="N598" t="str">
            <v>ANESTESIOLOGI</v>
          </cell>
          <cell r="O598" t="str">
            <v>Unit Rawatan Rapi (ICU)</v>
          </cell>
          <cell r="P598" t="str">
            <v>HM</v>
          </cell>
          <cell r="Q598">
            <v>2000</v>
          </cell>
        </row>
        <row r="599">
          <cell r="E599" t="str">
            <v>KKM/JKN/HSA/10-05-01/H/15/190</v>
          </cell>
          <cell r="F599" t="str">
            <v xml:space="preserve">Diagnostic </v>
          </cell>
          <cell r="G599" t="str">
            <v>Basic</v>
          </cell>
          <cell r="H599" t="str">
            <v>Laryngoscopes, Rigid</v>
          </cell>
          <cell r="I599" t="str">
            <v>LARYNGOSCOPE</v>
          </cell>
          <cell r="J599" t="str">
            <v>15-076</v>
          </cell>
          <cell r="K599" t="str">
            <v>WELCH ALLYN</v>
          </cell>
          <cell r="L599" t="str">
            <v>01-6081,01-69214,01-69213 &amp;01-69212</v>
          </cell>
          <cell r="M599"/>
          <cell r="N599" t="str">
            <v>ANESTESIOLOGI</v>
          </cell>
          <cell r="O599" t="str">
            <v>Unit Rawatan Rapi (ICU)</v>
          </cell>
          <cell r="P599" t="str">
            <v>HM</v>
          </cell>
          <cell r="Q599">
            <v>2000</v>
          </cell>
        </row>
        <row r="600">
          <cell r="E600" t="str">
            <v>KKM/JKN/HSA/10-05-01/H/16/70</v>
          </cell>
          <cell r="F600" t="str">
            <v xml:space="preserve">Diagnostic </v>
          </cell>
          <cell r="G600" t="str">
            <v>Intermediate</v>
          </cell>
          <cell r="H600" t="str">
            <v xml:space="preserve">Laryngoscopes, Rigid, Video </v>
          </cell>
          <cell r="I600" t="str">
            <v>INTUBATION SCOPE</v>
          </cell>
          <cell r="J600" t="str">
            <v>23-532</v>
          </cell>
          <cell r="K600" t="str">
            <v>C-MAC</v>
          </cell>
          <cell r="L600"/>
          <cell r="M600"/>
          <cell r="N600" t="str">
            <v>ANESTESIOLOGI</v>
          </cell>
          <cell r="O600" t="str">
            <v>Unit Rawatan Rapi (ICU)</v>
          </cell>
          <cell r="P600"/>
          <cell r="Q600" t="str">
            <v> 150,900.00</v>
          </cell>
        </row>
        <row r="601">
          <cell r="E601" t="str">
            <v>KKM/JKN/HSA/10-05-01/H/15/188</v>
          </cell>
          <cell r="F601" t="str">
            <v>Therapeutic</v>
          </cell>
          <cell r="G601" t="str">
            <v>Basic</v>
          </cell>
          <cell r="H601" t="str">
            <v>Compression Units, Intermittent</v>
          </cell>
          <cell r="I601" t="str">
            <v>INTERMITTENT PNEUMATIC COMPRESSION SYSTEM/DVT PUMP (KENDALL/SCD EXPRESS) / VESOFLOW/ VF500</v>
          </cell>
          <cell r="J601" t="str">
            <v>10-969</v>
          </cell>
          <cell r="K601" t="str">
            <v>KENDALL</v>
          </cell>
          <cell r="L601" t="str">
            <v>VF500</v>
          </cell>
          <cell r="M601" t="str">
            <v>C850019140</v>
          </cell>
          <cell r="N601" t="str">
            <v>ANESTESIOLOGI</v>
          </cell>
          <cell r="O601" t="str">
            <v>Unit Rawatan Rapi (ICU)</v>
          </cell>
          <cell r="P601" t="str">
            <v>HM</v>
          </cell>
          <cell r="Q601">
            <v>10000</v>
          </cell>
        </row>
        <row r="602">
          <cell r="E602" t="str">
            <v>KKM/JKN/HSA/10-05-01/H/15/187</v>
          </cell>
          <cell r="F602" t="str">
            <v>Therapeutic</v>
          </cell>
          <cell r="G602" t="str">
            <v>Basic</v>
          </cell>
          <cell r="H602" t="str">
            <v>Compression Units, Intermittent</v>
          </cell>
          <cell r="I602" t="str">
            <v>INTERMITTENT PNEUMATIC COMPRESSION SYSTEM/DVT PUMP (KENDALL/SCD EXPRESS) / VESOFLOW/ VF500</v>
          </cell>
          <cell r="J602" t="str">
            <v>10-969</v>
          </cell>
          <cell r="K602" t="str">
            <v>KENDALL</v>
          </cell>
          <cell r="L602" t="str">
            <v>VF500</v>
          </cell>
          <cell r="M602" t="str">
            <v>C850019136</v>
          </cell>
          <cell r="N602" t="str">
            <v>ANESTESIOLOGI</v>
          </cell>
          <cell r="O602" t="str">
            <v>Unit Rawatan Rapi (ICU)</v>
          </cell>
          <cell r="P602" t="str">
            <v>HM</v>
          </cell>
          <cell r="Q602">
            <v>10000</v>
          </cell>
        </row>
        <row r="603">
          <cell r="E603" t="str">
            <v>KKM/JKN/HSA/10-05-01/H/16/108</v>
          </cell>
          <cell r="F603" t="str">
            <v xml:space="preserve">Diagnostic </v>
          </cell>
          <cell r="G603" t="str">
            <v>Intermediate</v>
          </cell>
          <cell r="H603" t="str">
            <v xml:space="preserve">Laryngoscopes, Rigid, Video </v>
          </cell>
          <cell r="I603" t="str">
            <v>GLIDESCOPE C/W MONITOR</v>
          </cell>
          <cell r="J603" t="str">
            <v>23-532</v>
          </cell>
          <cell r="K603" t="str">
            <v>GLIDESCOPE</v>
          </cell>
          <cell r="L603" t="str">
            <v>TITANIUM</v>
          </cell>
          <cell r="M603" t="str">
            <v>LA152124</v>
          </cell>
          <cell r="N603" t="str">
            <v>ANESTESIOLOGI</v>
          </cell>
          <cell r="O603" t="str">
            <v>Unit Rawatan Rapi (ICU)</v>
          </cell>
          <cell r="P603"/>
          <cell r="Q603">
            <v>49950</v>
          </cell>
        </row>
        <row r="604">
          <cell r="E604" t="str">
            <v>A1001/A1003</v>
          </cell>
          <cell r="F604" t="str">
            <v>Therapeutic</v>
          </cell>
          <cell r="G604" t="str">
            <v>Intermediate</v>
          </cell>
          <cell r="H604" t="str">
            <v>Infusion/ Monitoring Line Organizer System</v>
          </cell>
          <cell r="I604" t="str">
            <v>FLUID MANAGEMENT SYSTEM INTENSIVE COMPLETE SYS</v>
          </cell>
          <cell r="J604" t="str">
            <v>17-793</v>
          </cell>
          <cell r="K604"/>
          <cell r="L604"/>
          <cell r="M604"/>
          <cell r="N604" t="str">
            <v>ANESTESIOLOGI</v>
          </cell>
          <cell r="O604" t="str">
            <v>Unit Rawatan Rapi (ICU)</v>
          </cell>
          <cell r="P604" t="str">
            <v>HM</v>
          </cell>
          <cell r="Q604">
            <v>38100</v>
          </cell>
        </row>
        <row r="605">
          <cell r="E605" t="str">
            <v>A1002/A1004</v>
          </cell>
          <cell r="F605" t="str">
            <v>Therapeutic</v>
          </cell>
          <cell r="G605" t="str">
            <v>Intermediate</v>
          </cell>
          <cell r="H605" t="str">
            <v>Infusion/ Monitoring Line Organizer System</v>
          </cell>
          <cell r="I605" t="str">
            <v>FLUID MANAGEMENT SYSTEM INTENSIVE COMPLETE SYS</v>
          </cell>
          <cell r="J605" t="str">
            <v>17-793</v>
          </cell>
          <cell r="K605"/>
          <cell r="L605"/>
          <cell r="M605"/>
          <cell r="N605" t="str">
            <v>ANESTESIOLOGI</v>
          </cell>
          <cell r="O605" t="str">
            <v>Unit Rawatan Rapi (ICU)</v>
          </cell>
          <cell r="P605" t="str">
            <v>HM</v>
          </cell>
          <cell r="Q605">
            <v>38100</v>
          </cell>
        </row>
        <row r="606">
          <cell r="E606" t="str">
            <v>KKM/JKN/HSA/10-05-01/H/15/1045</v>
          </cell>
          <cell r="F606" t="str">
            <v xml:space="preserve">Diagnostic </v>
          </cell>
          <cell r="G606" t="str">
            <v>Intermediate</v>
          </cell>
          <cell r="H606" t="str">
            <v>Physiologic Monitoring Systems, Acute Care</v>
          </cell>
          <cell r="I606" t="str">
            <v>EtCO2 MODULE</v>
          </cell>
          <cell r="J606" t="str">
            <v>12-647</v>
          </cell>
          <cell r="K606" t="str">
            <v>MINDRAY</v>
          </cell>
          <cell r="L606" t="str">
            <v>CO2 MODULE</v>
          </cell>
          <cell r="M606" t="str">
            <v>DUD52280076</v>
          </cell>
          <cell r="N606" t="str">
            <v>ANESTESIOLOGI</v>
          </cell>
          <cell r="O606" t="str">
            <v>Unit Rawatan Rapi (ICU)</v>
          </cell>
          <cell r="P606" t="str">
            <v>HM</v>
          </cell>
          <cell r="Q606">
            <v>5900</v>
          </cell>
        </row>
        <row r="607">
          <cell r="E607" t="str">
            <v>KKM/JKN/HSA/10-05-01/H/15/1046</v>
          </cell>
          <cell r="F607" t="str">
            <v xml:space="preserve">Diagnostic </v>
          </cell>
          <cell r="G607" t="str">
            <v>Intermediate</v>
          </cell>
          <cell r="H607" t="str">
            <v>Physiologic Monitoring Systems, Acute Care</v>
          </cell>
          <cell r="I607" t="str">
            <v>EtCO2 MODULE</v>
          </cell>
          <cell r="J607" t="str">
            <v>12-647</v>
          </cell>
          <cell r="K607" t="str">
            <v>MINDRAY</v>
          </cell>
          <cell r="L607" t="str">
            <v>CO2 MODULE</v>
          </cell>
          <cell r="M607" t="str">
            <v>DUD52280074</v>
          </cell>
          <cell r="N607" t="str">
            <v>ANESTESIOLOGI</v>
          </cell>
          <cell r="O607" t="str">
            <v>Unit Rawatan Rapi (ICU)</v>
          </cell>
          <cell r="P607" t="str">
            <v>HM</v>
          </cell>
          <cell r="Q607">
            <v>5900</v>
          </cell>
        </row>
        <row r="608">
          <cell r="E608" t="str">
            <v>KKM/JKN/HSA/10-05-01/H/15/1047</v>
          </cell>
          <cell r="F608" t="str">
            <v xml:space="preserve">Diagnostic </v>
          </cell>
          <cell r="G608" t="str">
            <v>Intermediate</v>
          </cell>
          <cell r="H608" t="str">
            <v>Physiologic Monitoring Systems, Acute Care</v>
          </cell>
          <cell r="I608" t="str">
            <v>EtCO2 MODULE</v>
          </cell>
          <cell r="J608" t="str">
            <v>12-647</v>
          </cell>
          <cell r="K608" t="str">
            <v>MINDRAY</v>
          </cell>
          <cell r="L608" t="str">
            <v>CO2 MODULE</v>
          </cell>
          <cell r="M608"/>
          <cell r="N608" t="str">
            <v>ANESTESIOLOGI</v>
          </cell>
          <cell r="O608" t="str">
            <v>Unit Rawatan Rapi (ICU)</v>
          </cell>
          <cell r="P608" t="str">
            <v>HM</v>
          </cell>
          <cell r="Q608">
            <v>5900</v>
          </cell>
        </row>
        <row r="609">
          <cell r="E609" t="str">
            <v>KKM/JKN/HSA/10-05-01/H/15/1048</v>
          </cell>
          <cell r="F609" t="str">
            <v xml:space="preserve">Diagnostic </v>
          </cell>
          <cell r="G609" t="str">
            <v>Intermediate</v>
          </cell>
          <cell r="H609" t="str">
            <v>Physiologic Monitoring Systems, Acute Care</v>
          </cell>
          <cell r="I609" t="str">
            <v>EtCO2 MODULE</v>
          </cell>
          <cell r="J609" t="str">
            <v>12-647</v>
          </cell>
          <cell r="K609" t="str">
            <v>MINDRAY</v>
          </cell>
          <cell r="L609" t="str">
            <v>CO2 MODULE</v>
          </cell>
          <cell r="M609"/>
          <cell r="N609" t="str">
            <v>ANESTESIOLOGI</v>
          </cell>
          <cell r="O609" t="str">
            <v>Unit Rawatan Rapi (ICU)</v>
          </cell>
          <cell r="P609" t="str">
            <v>HM</v>
          </cell>
          <cell r="Q609">
            <v>5900</v>
          </cell>
        </row>
        <row r="610">
          <cell r="E610" t="str">
            <v>KKM/JKN/HSA/10-05-01/H/15/1049</v>
          </cell>
          <cell r="F610" t="str">
            <v xml:space="preserve">Diagnostic </v>
          </cell>
          <cell r="G610" t="str">
            <v>Intermediate</v>
          </cell>
          <cell r="H610" t="str">
            <v>Physiologic Monitoring Systems, Acute Care</v>
          </cell>
          <cell r="I610" t="str">
            <v>EtCO2 MODULE</v>
          </cell>
          <cell r="J610" t="str">
            <v>12-647</v>
          </cell>
          <cell r="K610" t="str">
            <v>MINDRAY</v>
          </cell>
          <cell r="L610" t="str">
            <v>CO2 MODULE</v>
          </cell>
          <cell r="M610" t="str">
            <v>DUD52280072</v>
          </cell>
          <cell r="N610" t="str">
            <v>ANESTESIOLOGI</v>
          </cell>
          <cell r="O610" t="str">
            <v>Unit Rawatan Rapi (ICU)</v>
          </cell>
          <cell r="P610" t="str">
            <v>HM</v>
          </cell>
          <cell r="Q610">
            <v>5900</v>
          </cell>
        </row>
        <row r="611">
          <cell r="E611" t="str">
            <v>KKM/JKN/HSA/10-05-01/H/15/1050</v>
          </cell>
          <cell r="F611" t="str">
            <v xml:space="preserve">Diagnostic </v>
          </cell>
          <cell r="G611" t="str">
            <v>Intermediate</v>
          </cell>
          <cell r="H611" t="str">
            <v>Physiologic Monitoring Systems, Acute Care</v>
          </cell>
          <cell r="I611" t="str">
            <v>EtCO2 MODULE</v>
          </cell>
          <cell r="J611" t="str">
            <v>12-647</v>
          </cell>
          <cell r="K611" t="str">
            <v>MINDRAY</v>
          </cell>
          <cell r="L611" t="str">
            <v>CO2 MODULE</v>
          </cell>
          <cell r="M611"/>
          <cell r="N611" t="str">
            <v>ANESTESIOLOGI</v>
          </cell>
          <cell r="O611" t="str">
            <v>Unit Rawatan Rapi (ICU)</v>
          </cell>
          <cell r="P611" t="str">
            <v>HM</v>
          </cell>
          <cell r="Q611">
            <v>5900</v>
          </cell>
        </row>
        <row r="612">
          <cell r="E612" t="str">
            <v>KKM/JKN/HSA/10-05-01/H/15/1051</v>
          </cell>
          <cell r="F612" t="str">
            <v xml:space="preserve">Diagnostic </v>
          </cell>
          <cell r="G612" t="str">
            <v>Intermediate</v>
          </cell>
          <cell r="H612" t="str">
            <v>Physiologic Monitoring Systems, Acute Care</v>
          </cell>
          <cell r="I612" t="str">
            <v>EtCO2 MODULE</v>
          </cell>
          <cell r="J612" t="str">
            <v>12-647</v>
          </cell>
          <cell r="K612" t="str">
            <v>MINDRAY</v>
          </cell>
          <cell r="L612" t="str">
            <v>CO2 MODULE</v>
          </cell>
          <cell r="M612"/>
          <cell r="N612" t="str">
            <v>ANESTESIOLOGI</v>
          </cell>
          <cell r="O612" t="str">
            <v>Unit Rawatan Rapi (ICU)</v>
          </cell>
          <cell r="P612" t="str">
            <v>HM</v>
          </cell>
          <cell r="Q612">
            <v>5900</v>
          </cell>
        </row>
        <row r="613">
          <cell r="E613" t="str">
            <v>KKM/JKN/HSA/10-05-01/H/15/568</v>
          </cell>
          <cell r="F613" t="str">
            <v xml:space="preserve">Diagnostic </v>
          </cell>
          <cell r="G613" t="str">
            <v>Intermediate</v>
          </cell>
          <cell r="H613" t="str">
            <v>Electrocardiographs, Multichannel, Interpretative</v>
          </cell>
          <cell r="I613" t="str">
            <v>ECG RECORDER</v>
          </cell>
          <cell r="J613" t="str">
            <v>16-231</v>
          </cell>
          <cell r="K613" t="str">
            <v>GE HEALTHCARE</v>
          </cell>
          <cell r="L613" t="str">
            <v>MAC 1200</v>
          </cell>
          <cell r="M613" t="str">
            <v>SMT16127401PA</v>
          </cell>
          <cell r="N613" t="str">
            <v>ANESTESIOLOGI</v>
          </cell>
          <cell r="O613" t="str">
            <v>Unit Rawatan Rapi (ICU)</v>
          </cell>
          <cell r="P613" t="str">
            <v>HM</v>
          </cell>
          <cell r="Q613">
            <v>10000</v>
          </cell>
        </row>
        <row r="614">
          <cell r="E614" t="str">
            <v>KKM/JKN/HSA/10-05-01/H/15/1186</v>
          </cell>
          <cell r="F614" t="str">
            <v>Therapeutic</v>
          </cell>
          <cell r="G614" t="str">
            <v>Intermediate</v>
          </cell>
          <cell r="H614" t="str">
            <v>Infusion/ Monitoring Line Organizer System</v>
          </cell>
          <cell r="I614" t="str">
            <v>DOCKING SYSTEM</v>
          </cell>
          <cell r="J614" t="str">
            <v>17-793</v>
          </cell>
          <cell r="K614"/>
          <cell r="L614"/>
          <cell r="M614">
            <v>22233478</v>
          </cell>
          <cell r="N614" t="str">
            <v>ANESTESIOLOGI</v>
          </cell>
          <cell r="O614" t="str">
            <v>Unit Rawatan Rapi (ICU)</v>
          </cell>
          <cell r="P614" t="str">
            <v>HM</v>
          </cell>
          <cell r="Q614">
            <v>12194</v>
          </cell>
        </row>
        <row r="615">
          <cell r="E615" t="str">
            <v>KKM/JKN/HSA/10-05-01/H/15/1182</v>
          </cell>
          <cell r="F615" t="str">
            <v>Therapeutic</v>
          </cell>
          <cell r="G615" t="str">
            <v>Intermediate</v>
          </cell>
          <cell r="H615" t="str">
            <v>Infusion/ Monitoring Line Organizer System</v>
          </cell>
          <cell r="I615" t="str">
            <v>DOCKING SYSTEM</v>
          </cell>
          <cell r="J615" t="str">
            <v>17-793</v>
          </cell>
          <cell r="K615"/>
          <cell r="L615"/>
          <cell r="M615">
            <v>22233476</v>
          </cell>
          <cell r="N615" t="str">
            <v>ANESTESIOLOGI</v>
          </cell>
          <cell r="O615" t="str">
            <v>Unit Rawatan Rapi (ICU)</v>
          </cell>
          <cell r="P615" t="str">
            <v>HM</v>
          </cell>
          <cell r="Q615">
            <v>12194</v>
          </cell>
        </row>
        <row r="616">
          <cell r="E616"/>
          <cell r="F616" t="str">
            <v>Therapeutic</v>
          </cell>
          <cell r="G616" t="str">
            <v>Intermediate</v>
          </cell>
          <cell r="H616" t="str">
            <v>Infusion/ Monitoring Line Organizer System</v>
          </cell>
          <cell r="I616" t="str">
            <v>DOCKING SYSTEM</v>
          </cell>
          <cell r="J616" t="str">
            <v>17-793</v>
          </cell>
          <cell r="K616"/>
          <cell r="L616"/>
          <cell r="M616"/>
          <cell r="N616" t="str">
            <v>ANESTESIOLOGI</v>
          </cell>
          <cell r="O616" t="str">
            <v>Unit Rawatan Rapi (ICU)</v>
          </cell>
          <cell r="P616" t="str">
            <v>HM</v>
          </cell>
          <cell r="Q616">
            <v>12194</v>
          </cell>
        </row>
        <row r="617">
          <cell r="E617"/>
          <cell r="F617" t="str">
            <v>Therapeutic</v>
          </cell>
          <cell r="G617" t="str">
            <v>Intermediate</v>
          </cell>
          <cell r="H617" t="str">
            <v>Infusion/ Monitoring Line Organizer System</v>
          </cell>
          <cell r="I617" t="str">
            <v>DOCKING SYSTEM</v>
          </cell>
          <cell r="J617" t="str">
            <v>17-793</v>
          </cell>
          <cell r="K617"/>
          <cell r="L617"/>
          <cell r="M617"/>
          <cell r="N617" t="str">
            <v>ANESTESIOLOGI</v>
          </cell>
          <cell r="O617" t="str">
            <v>Unit Rawatan Rapi (ICU)</v>
          </cell>
          <cell r="P617" t="str">
            <v>HM</v>
          </cell>
          <cell r="Q617">
            <v>12194</v>
          </cell>
        </row>
        <row r="618">
          <cell r="E618"/>
          <cell r="F618" t="str">
            <v>Therapeutic</v>
          </cell>
          <cell r="G618" t="str">
            <v>Intermediate</v>
          </cell>
          <cell r="H618" t="str">
            <v>Infusion/ Monitoring Line Organizer System</v>
          </cell>
          <cell r="I618" t="str">
            <v>DOCKING SYSTEM</v>
          </cell>
          <cell r="J618" t="str">
            <v>17-793</v>
          </cell>
          <cell r="K618"/>
          <cell r="L618"/>
          <cell r="M618"/>
          <cell r="N618" t="str">
            <v>ANESTESIOLOGI</v>
          </cell>
          <cell r="O618" t="str">
            <v>Unit Rawatan Rapi (ICU)</v>
          </cell>
          <cell r="P618" t="str">
            <v>HM</v>
          </cell>
          <cell r="Q618">
            <v>12194</v>
          </cell>
        </row>
        <row r="619">
          <cell r="E619" t="str">
            <v>KKM/JKN/HSA/10-05-01/R/15/6990</v>
          </cell>
          <cell r="F619" t="str">
            <v xml:space="preserve">Diagnostic </v>
          </cell>
          <cell r="G619" t="str">
            <v>Intermediate</v>
          </cell>
          <cell r="H619" t="str">
            <v>Physiologic Monitoring Systems, Acute Care</v>
          </cell>
          <cell r="I619" t="str">
            <v>DIGITAL WRITER FOR CENTRAL STATION</v>
          </cell>
          <cell r="J619" t="str">
            <v>12-647</v>
          </cell>
          <cell r="K619" t="str">
            <v>MINDRAY</v>
          </cell>
          <cell r="L619" t="str">
            <v>TR6B</v>
          </cell>
          <cell r="M619"/>
          <cell r="N619" t="str">
            <v>ANESTESIOLOGI</v>
          </cell>
          <cell r="O619" t="str">
            <v>Unit Rawatan Rapi (ICU)</v>
          </cell>
          <cell r="P619" t="str">
            <v>ABR</v>
          </cell>
          <cell r="Q619">
            <v>1650</v>
          </cell>
        </row>
        <row r="620">
          <cell r="E620" t="str">
            <v>KKM/JKN/HSA/10-05-01/R/15/7358</v>
          </cell>
          <cell r="F620" t="str">
            <v xml:space="preserve">Diagnostic </v>
          </cell>
          <cell r="G620" t="str">
            <v>Basic</v>
          </cell>
          <cell r="H620" t="str">
            <v>Ophthalmoscopes/Otoscopes</v>
          </cell>
          <cell r="I620" t="str">
            <v>DIAGNOSTIC SET ADULT</v>
          </cell>
          <cell r="J620" t="str">
            <v>18-595</v>
          </cell>
          <cell r="K620" t="str">
            <v>RUDOLF RIESTER, GMBH</v>
          </cell>
          <cell r="L620" t="str">
            <v>RI-SCOPE ENT 3761</v>
          </cell>
          <cell r="M620"/>
          <cell r="N620" t="str">
            <v>ANESTESIOLOGI</v>
          </cell>
          <cell r="O620" t="str">
            <v>Unit Rawatan Rapi (ICU)</v>
          </cell>
          <cell r="P620" t="str">
            <v>ABR</v>
          </cell>
          <cell r="Q620">
            <v>1459.33</v>
          </cell>
        </row>
        <row r="621">
          <cell r="E621" t="str">
            <v>KKM/JKN/HSA/10-05-01/R/15/17097</v>
          </cell>
          <cell r="F621" t="str">
            <v xml:space="preserve">Diagnostic </v>
          </cell>
          <cell r="G621" t="str">
            <v>Basic</v>
          </cell>
          <cell r="H621" t="str">
            <v>Ophthalmoscopes/Otoscopes</v>
          </cell>
          <cell r="I621" t="str">
            <v>DIAGNOSTIC SET ADULT</v>
          </cell>
          <cell r="J621" t="str">
            <v>18-595</v>
          </cell>
          <cell r="K621" t="str">
            <v>WELCH ALLYN</v>
          </cell>
          <cell r="L621" t="str">
            <v>97150-BI</v>
          </cell>
          <cell r="M621"/>
          <cell r="N621" t="str">
            <v>ANESTESIOLOGI</v>
          </cell>
          <cell r="O621" t="str">
            <v>Unit Rawatan Rapi (ICU)</v>
          </cell>
          <cell r="P621" t="str">
            <v>ABR</v>
          </cell>
          <cell r="Q621">
            <v>1820</v>
          </cell>
        </row>
        <row r="622">
          <cell r="E622" t="str">
            <v>KKM/JKN/HSA/10-05-01/H/15/4170</v>
          </cell>
          <cell r="F622" t="str">
            <v>Therapeutic</v>
          </cell>
          <cell r="G622" t="str">
            <v>Intermediate</v>
          </cell>
          <cell r="H622" t="str">
            <v>Flowmeters, Blood, Ultrasonic</v>
          </cell>
          <cell r="I622" t="str">
            <v>DETECTOR VASCULAR FLOW</v>
          </cell>
          <cell r="J622" t="str">
            <v>10-432</v>
          </cell>
          <cell r="K622" t="str">
            <v>HUNTLEIGH</v>
          </cell>
          <cell r="L622" t="str">
            <v>D900</v>
          </cell>
          <cell r="M622" t="str">
            <v>MD2D10527695-13</v>
          </cell>
          <cell r="N622" t="str">
            <v>ANESTESIOLOGI</v>
          </cell>
          <cell r="O622" t="str">
            <v>Unit Rawatan Rapi (ICU)</v>
          </cell>
          <cell r="P622" t="str">
            <v>HM</v>
          </cell>
          <cell r="Q622">
            <v>10595</v>
          </cell>
        </row>
        <row r="623">
          <cell r="E623" t="str">
            <v>KKM/JKN/HSA/10-05-01/H/15/3671</v>
          </cell>
          <cell r="F623" t="str">
            <v>Therapeutic</v>
          </cell>
          <cell r="G623" t="str">
            <v>Intermediate</v>
          </cell>
          <cell r="H623" t="str">
            <v xml:space="preserve">Defibrillators, External, Automated </v>
          </cell>
          <cell r="I623" t="str">
            <v>DEFIBRILLATOR W/INTERNAL/EXT PADDLES/PACEMAKER</v>
          </cell>
          <cell r="J623" t="str">
            <v>17-116</v>
          </cell>
          <cell r="K623" t="str">
            <v>PHILIPS</v>
          </cell>
          <cell r="L623" t="str">
            <v>EFFICIA DFM100</v>
          </cell>
          <cell r="M623"/>
          <cell r="N623" t="str">
            <v>ANESTESIOLOGI</v>
          </cell>
          <cell r="O623" t="str">
            <v>Unit Rawatan Rapi (ICU)</v>
          </cell>
          <cell r="P623" t="str">
            <v>HM</v>
          </cell>
          <cell r="Q623">
            <v>14250</v>
          </cell>
        </row>
        <row r="624">
          <cell r="E624" t="str">
            <v>KKM/JKN/HSA/10-05-01/H/15/3672</v>
          </cell>
          <cell r="F624" t="str">
            <v>Therapeutic</v>
          </cell>
          <cell r="G624" t="str">
            <v>Intermediate</v>
          </cell>
          <cell r="H624" t="str">
            <v xml:space="preserve">Defibrillators, External, Automated </v>
          </cell>
          <cell r="I624" t="str">
            <v>DEFIBRILLATOR W/INTERNAL/EXT PADDLES/PACEMAKER</v>
          </cell>
          <cell r="J624" t="str">
            <v>17-116</v>
          </cell>
          <cell r="K624" t="str">
            <v>PHILIPS</v>
          </cell>
          <cell r="L624" t="str">
            <v>EFFICIA DFM100</v>
          </cell>
          <cell r="M624"/>
          <cell r="N624" t="str">
            <v>ANESTESIOLOGI</v>
          </cell>
          <cell r="O624" t="str">
            <v>Unit Rawatan Rapi (ICU)</v>
          </cell>
          <cell r="P624" t="str">
            <v>HM</v>
          </cell>
          <cell r="Q624">
            <v>14250</v>
          </cell>
        </row>
        <row r="625">
          <cell r="E625" t="str">
            <v>KKM/JKN/HSA/10-05-01/H/15/875</v>
          </cell>
          <cell r="F625" t="str">
            <v xml:space="preserve">Diagnostic </v>
          </cell>
          <cell r="G625" t="str">
            <v>Intermediate</v>
          </cell>
          <cell r="H625" t="str">
            <v>Physiologic Monitoring Systems, Acute Care</v>
          </cell>
          <cell r="I625" t="str">
            <v>CENTRAL STATION, ICU</v>
          </cell>
          <cell r="J625" t="str">
            <v>12-647</v>
          </cell>
          <cell r="K625" t="str">
            <v>MINDRAY</v>
          </cell>
          <cell r="L625" t="str">
            <v>HYPERVISOR VI</v>
          </cell>
          <cell r="M625" t="str">
            <v>CNC4280WMH</v>
          </cell>
          <cell r="N625" t="str">
            <v>ANESTESIOLOGI</v>
          </cell>
          <cell r="O625" t="str">
            <v>Unit Rawatan Rapi (ICU)</v>
          </cell>
          <cell r="P625" t="str">
            <v>HM</v>
          </cell>
          <cell r="Q625">
            <v>73700</v>
          </cell>
        </row>
        <row r="626">
          <cell r="E626" t="str">
            <v>KKM/JKN/HSA/10-05-01/H/1147</v>
          </cell>
          <cell r="F626" t="str">
            <v xml:space="preserve">Diagnostic </v>
          </cell>
          <cell r="G626" t="str">
            <v>Intermediate</v>
          </cell>
          <cell r="H626" t="str">
            <v>Physiologic Monitoring Systems, Acute Care</v>
          </cell>
          <cell r="I626" t="str">
            <v>CARDIAC OUTPUT MODULE</v>
          </cell>
          <cell r="J626" t="str">
            <v>12-647</v>
          </cell>
          <cell r="K626" t="str">
            <v>MINDRAY</v>
          </cell>
          <cell r="L626" t="str">
            <v>C.O MODULE</v>
          </cell>
          <cell r="M626" t="str">
            <v>CFS42260129</v>
          </cell>
          <cell r="N626" t="str">
            <v>PERUBATAN AM</v>
          </cell>
          <cell r="O626" t="str">
            <v>Unit Rawatan Rapi (ICU)</v>
          </cell>
          <cell r="P626" t="str">
            <v>HM</v>
          </cell>
          <cell r="Q626">
            <v>6400</v>
          </cell>
        </row>
        <row r="627">
          <cell r="E627" t="str">
            <v>KKM/JKN/HSA/10-05-01/H/1148</v>
          </cell>
          <cell r="F627" t="str">
            <v xml:space="preserve">Diagnostic </v>
          </cell>
          <cell r="G627" t="str">
            <v>Intermediate</v>
          </cell>
          <cell r="H627" t="str">
            <v>Physiologic Monitoring Systems, Acute Care</v>
          </cell>
          <cell r="I627" t="str">
            <v>CARDIAC OUTPUT MODULE</v>
          </cell>
          <cell r="J627" t="str">
            <v>12-647</v>
          </cell>
          <cell r="K627" t="str">
            <v>MINDRAY</v>
          </cell>
          <cell r="L627" t="str">
            <v>C.O MODULE</v>
          </cell>
          <cell r="M627" t="str">
            <v>CFS36256396</v>
          </cell>
          <cell r="N627" t="str">
            <v>PERUBATAN AM</v>
          </cell>
          <cell r="O627" t="str">
            <v>Unit Rawatan Rapi (ICU)</v>
          </cell>
          <cell r="P627" t="str">
            <v>HM</v>
          </cell>
          <cell r="Q627">
            <v>6400</v>
          </cell>
        </row>
        <row r="628">
          <cell r="E628" t="str">
            <v>KKM/JKN/HSA/10-05-01/H/1149</v>
          </cell>
          <cell r="F628" t="str">
            <v xml:space="preserve">Diagnostic </v>
          </cell>
          <cell r="G628" t="str">
            <v>Intermediate</v>
          </cell>
          <cell r="H628" t="str">
            <v>Physiologic Monitoring Systems, Acute Care</v>
          </cell>
          <cell r="I628" t="str">
            <v>CARDIAC OUTPUT MODULE</v>
          </cell>
          <cell r="J628" t="str">
            <v>12-647</v>
          </cell>
          <cell r="K628" t="str">
            <v>MINDRAY</v>
          </cell>
          <cell r="L628" t="str">
            <v>C.O MODULE</v>
          </cell>
          <cell r="M628" t="str">
            <v>CFS4C276649</v>
          </cell>
          <cell r="N628" t="str">
            <v>PERUBATAN AM</v>
          </cell>
          <cell r="O628" t="str">
            <v>Unit Rawatan Rapi (ICU)</v>
          </cell>
          <cell r="P628" t="str">
            <v>HM</v>
          </cell>
          <cell r="Q628">
            <v>6400</v>
          </cell>
        </row>
        <row r="629">
          <cell r="E629" t="str">
            <v>KKM/JKN/HSA/10-05-01/H/15/1150</v>
          </cell>
          <cell r="F629" t="str">
            <v xml:space="preserve">Diagnostic </v>
          </cell>
          <cell r="G629" t="str">
            <v>Intermediate</v>
          </cell>
          <cell r="H629" t="str">
            <v>Physiologic Monitoring Systems, Acute Care</v>
          </cell>
          <cell r="I629" t="str">
            <v>CARDIAC OUTPUT MODULE</v>
          </cell>
          <cell r="J629" t="str">
            <v>12-647</v>
          </cell>
          <cell r="K629" t="str">
            <v>MINDRAY</v>
          </cell>
          <cell r="L629" t="str">
            <v>C.O MODULE</v>
          </cell>
          <cell r="M629" t="str">
            <v>CFS42260099</v>
          </cell>
          <cell r="N629" t="str">
            <v>ANESTESIOLOGI</v>
          </cell>
          <cell r="O629" t="str">
            <v>Unit Rawatan Rapi (ICU)</v>
          </cell>
          <cell r="P629" t="str">
            <v>HM</v>
          </cell>
          <cell r="Q629">
            <v>6400</v>
          </cell>
        </row>
        <row r="630">
          <cell r="E630" t="str">
            <v>KKM/JKN/HSA/10-05-01/H/15/1151</v>
          </cell>
          <cell r="F630" t="str">
            <v xml:space="preserve">Diagnostic </v>
          </cell>
          <cell r="G630" t="str">
            <v>Intermediate</v>
          </cell>
          <cell r="H630" t="str">
            <v>Physiologic Monitoring Systems, Acute Care</v>
          </cell>
          <cell r="I630" t="str">
            <v>CARDIAC OUTPUT MODULE</v>
          </cell>
          <cell r="J630" t="str">
            <v>12-647</v>
          </cell>
          <cell r="K630" t="str">
            <v>MINDRAY</v>
          </cell>
          <cell r="L630" t="str">
            <v>C.O MODULE</v>
          </cell>
          <cell r="M630" t="str">
            <v>CFS42260128</v>
          </cell>
          <cell r="N630" t="str">
            <v>ANESTESIOLOGI</v>
          </cell>
          <cell r="O630" t="str">
            <v>Unit Rawatan Rapi (ICU)</v>
          </cell>
          <cell r="P630" t="str">
            <v>HM</v>
          </cell>
          <cell r="Q630">
            <v>6400</v>
          </cell>
        </row>
        <row r="631">
          <cell r="E631" t="str">
            <v>KKM/JKN/HSA/10-05-01/H/15/464</v>
          </cell>
          <cell r="F631" t="str">
            <v xml:space="preserve">Diagnostic </v>
          </cell>
          <cell r="G631" t="str">
            <v>Intermediate</v>
          </cell>
          <cell r="H631" t="str">
            <v>Bronchoscopes, Flexible, Video</v>
          </cell>
          <cell r="I631" t="str">
            <v>BRONCHOFIBERSCOPE, ADULT</v>
          </cell>
          <cell r="J631" t="str">
            <v>17-662</v>
          </cell>
          <cell r="K631" t="str">
            <v>OLYMPUS</v>
          </cell>
          <cell r="L631" t="str">
            <v>BF-P60</v>
          </cell>
          <cell r="M631">
            <v>2454997</v>
          </cell>
          <cell r="N631" t="str">
            <v>ANESTESIOLOGI</v>
          </cell>
          <cell r="O631" t="str">
            <v>Unit Rawatan Rapi (ICU)</v>
          </cell>
          <cell r="P631" t="str">
            <v>HM</v>
          </cell>
          <cell r="Q631">
            <v>25000</v>
          </cell>
        </row>
        <row r="632">
          <cell r="E632" t="str">
            <v>KKM/JKN/HSA/10-05-01/H/15/4012</v>
          </cell>
          <cell r="F632" t="str">
            <v>Laboratory</v>
          </cell>
          <cell r="G632" t="str">
            <v>Intermediate</v>
          </cell>
          <cell r="H632" t="str">
            <v>Analyzers, Laboratory, Blood Gas/pH/Electrolyte</v>
          </cell>
          <cell r="I632" t="str">
            <v>ANALYSER BLOOD GAS + ISE</v>
          </cell>
          <cell r="J632" t="str">
            <v>18-618</v>
          </cell>
          <cell r="K632" t="str">
            <v>NOVA BIOMEDICAL</v>
          </cell>
          <cell r="L632" t="str">
            <v>NOVA PHOX ANALYSER</v>
          </cell>
          <cell r="M632" t="str">
            <v>Z11315020</v>
          </cell>
          <cell r="N632" t="str">
            <v>ANESTESIOLOGI</v>
          </cell>
          <cell r="O632" t="str">
            <v>Unit Rawatan Rapi (ICU)</v>
          </cell>
          <cell r="P632" t="str">
            <v>HM</v>
          </cell>
          <cell r="Q632">
            <v>44070</v>
          </cell>
        </row>
        <row r="633">
          <cell r="E633" t="str">
            <v xml:space="preserve">KKM/JKN/HSA/10-05-01/H/15/459 </v>
          </cell>
          <cell r="F633" t="str">
            <v>Therapeutic</v>
          </cell>
          <cell r="G633" t="str">
            <v>Intermediate</v>
          </cell>
          <cell r="H633" t="str">
            <v>Washers, Flexible Endoscope</v>
          </cell>
          <cell r="I633" t="str">
            <v>WASHER/DISINFECTOR ENDOSCOPE</v>
          </cell>
          <cell r="J633" t="str">
            <v>15-999</v>
          </cell>
          <cell r="K633" t="str">
            <v>OLYMPUS</v>
          </cell>
          <cell r="L633" t="str">
            <v>OER-AW</v>
          </cell>
          <cell r="M633">
            <v>2421444</v>
          </cell>
          <cell r="N633" t="str">
            <v xml:space="preserve">PERUBATAN AM </v>
          </cell>
          <cell r="O633" t="str">
            <v>Unit Rawatan Perubatan Harian</v>
          </cell>
          <cell r="P633" t="str">
            <v>HM</v>
          </cell>
          <cell r="Q633">
            <v>92000</v>
          </cell>
        </row>
        <row r="634">
          <cell r="E634" t="str">
            <v>KKM/JKN/HSA/10-05-01/H/15/1355</v>
          </cell>
          <cell r="F634" t="str">
            <v xml:space="preserve">Diagnostic </v>
          </cell>
          <cell r="G634" t="str">
            <v>Intermediate</v>
          </cell>
          <cell r="H634" t="str">
            <v>Sigmoidoscopes, Flexible, Video</v>
          </cell>
          <cell r="I634" t="str">
            <v>VIDEO SIGMOIDOSCOPE, ADULT</v>
          </cell>
          <cell r="J634" t="str">
            <v>17-664</v>
          </cell>
          <cell r="K634" t="str">
            <v>OLYMPUS</v>
          </cell>
          <cell r="L634" t="str">
            <v>CF-Q160S</v>
          </cell>
          <cell r="M634"/>
          <cell r="N634" t="str">
            <v>PERUBATAN AM</v>
          </cell>
          <cell r="O634" t="str">
            <v>Unit Rawatan Perubatan Harian</v>
          </cell>
          <cell r="P634" t="str">
            <v>HM</v>
          </cell>
          <cell r="Q634">
            <v>37130</v>
          </cell>
        </row>
        <row r="635">
          <cell r="E635" t="str">
            <v>KKM/JKN/HSA/10-05-01/R/15/15383</v>
          </cell>
          <cell r="F635" t="str">
            <v xml:space="preserve">Diagnostic </v>
          </cell>
          <cell r="G635" t="str">
            <v>Basic</v>
          </cell>
          <cell r="H635" t="str">
            <v>Recorders, Tape, Video</v>
          </cell>
          <cell r="I635" t="str">
            <v>VIDEO RECORDER</v>
          </cell>
          <cell r="J635" t="str">
            <v>13-274</v>
          </cell>
          <cell r="K635" t="str">
            <v>PANASONIC</v>
          </cell>
          <cell r="L635" t="str">
            <v>DMR-EH59</v>
          </cell>
          <cell r="M635" t="str">
            <v>VN4H0001004</v>
          </cell>
          <cell r="N635" t="str">
            <v>PERUBATAN AM</v>
          </cell>
          <cell r="O635" t="str">
            <v>Unit Rawatan Perubatan Harian</v>
          </cell>
          <cell r="P635" t="str">
            <v>ABR</v>
          </cell>
          <cell r="Q635">
            <v>1380</v>
          </cell>
        </row>
        <row r="636">
          <cell r="E636" t="str">
            <v>KKM/JKN/HSA/10-05-01/R/15/15384</v>
          </cell>
          <cell r="F636" t="str">
            <v xml:space="preserve">Diagnostic </v>
          </cell>
          <cell r="G636" t="str">
            <v>Basic</v>
          </cell>
          <cell r="H636" t="str">
            <v>Recorders, Tape, Video</v>
          </cell>
          <cell r="I636" t="str">
            <v>VIDEO RECORDER</v>
          </cell>
          <cell r="J636" t="str">
            <v>13-274</v>
          </cell>
          <cell r="K636" t="str">
            <v>PANASONIC</v>
          </cell>
          <cell r="L636" t="str">
            <v>DMR-EH59</v>
          </cell>
          <cell r="M636" t="str">
            <v>VN4H0001010</v>
          </cell>
          <cell r="N636" t="str">
            <v>PERUBATAN AM</v>
          </cell>
          <cell r="O636" t="str">
            <v>Unit Rawatan Perubatan Harian</v>
          </cell>
          <cell r="P636" t="str">
            <v>ABR</v>
          </cell>
          <cell r="Q636">
            <v>1380</v>
          </cell>
        </row>
        <row r="637">
          <cell r="E637" t="str">
            <v>KKM/JKN/HSA/10-05-01/R/15/15385</v>
          </cell>
          <cell r="F637" t="str">
            <v xml:space="preserve">Diagnostic </v>
          </cell>
          <cell r="G637" t="str">
            <v>Basic</v>
          </cell>
          <cell r="H637" t="str">
            <v>Recorders, Tape, Video</v>
          </cell>
          <cell r="I637" t="str">
            <v>VIDEO RECORDER</v>
          </cell>
          <cell r="J637" t="str">
            <v>13-274</v>
          </cell>
          <cell r="K637" t="str">
            <v>PANASONIC</v>
          </cell>
          <cell r="L637" t="str">
            <v>DMR-EH59</v>
          </cell>
          <cell r="M637" t="str">
            <v>VN4H0001003</v>
          </cell>
          <cell r="N637" t="str">
            <v>PERUBATAN AM</v>
          </cell>
          <cell r="O637" t="str">
            <v>Unit Rawatan Perubatan Harian</v>
          </cell>
          <cell r="P637" t="str">
            <v>ABR</v>
          </cell>
          <cell r="Q637">
            <v>1380</v>
          </cell>
        </row>
        <row r="638">
          <cell r="E638" t="str">
            <v>KKM/JKN/HSA/10-05-01/H/15/4089</v>
          </cell>
          <cell r="F638" t="str">
            <v xml:space="preserve">Diagnostic </v>
          </cell>
          <cell r="G638" t="str">
            <v>Intermediate</v>
          </cell>
          <cell r="H638" t="str">
            <v>Video Image Processors, Endsoscopic</v>
          </cell>
          <cell r="I638" t="str">
            <v>VIDEO PROCESSOR</v>
          </cell>
          <cell r="J638" t="str">
            <v>18-034</v>
          </cell>
          <cell r="K638" t="str">
            <v>OLYMPUS</v>
          </cell>
          <cell r="L638" t="str">
            <v>EVIS EXERA III/ CV 190</v>
          </cell>
          <cell r="M638">
            <v>7408412</v>
          </cell>
          <cell r="N638" t="str">
            <v>PERUBATAN AM</v>
          </cell>
          <cell r="O638" t="str">
            <v>Unit Rawatan Perubatan Harian</v>
          </cell>
          <cell r="P638" t="str">
            <v>HM</v>
          </cell>
          <cell r="Q638">
            <v>51470</v>
          </cell>
        </row>
        <row r="639">
          <cell r="E639" t="str">
            <v>KKM/JKN/HSA/10-05-01/H/15/4090</v>
          </cell>
          <cell r="F639" t="str">
            <v xml:space="preserve">Diagnostic </v>
          </cell>
          <cell r="G639" t="str">
            <v>Intermediate</v>
          </cell>
          <cell r="H639" t="str">
            <v>Video Image Processors, Endsoscopic</v>
          </cell>
          <cell r="I639" t="str">
            <v>VIDEO PROCESSOR</v>
          </cell>
          <cell r="J639" t="str">
            <v>18-034</v>
          </cell>
          <cell r="K639" t="str">
            <v>OLYMPUS</v>
          </cell>
          <cell r="L639" t="str">
            <v>EVIS EXERA III/ CV 190</v>
          </cell>
          <cell r="M639">
            <v>7408414</v>
          </cell>
          <cell r="N639" t="str">
            <v>PERUBATAN AM</v>
          </cell>
          <cell r="O639" t="str">
            <v>Unit Rawatan Perubatan Harian</v>
          </cell>
          <cell r="P639" t="str">
            <v>HM</v>
          </cell>
          <cell r="Q639">
            <v>51470</v>
          </cell>
        </row>
        <row r="640">
          <cell r="E640" t="str">
            <v>KKM/JKN/HSA/10-05-01/H/15/4091</v>
          </cell>
          <cell r="F640" t="str">
            <v xml:space="preserve">Diagnostic </v>
          </cell>
          <cell r="G640" t="str">
            <v>Intermediate</v>
          </cell>
          <cell r="H640" t="str">
            <v>Video Image Processors, Endsoscopic</v>
          </cell>
          <cell r="I640" t="str">
            <v>VIDEO PROCESSOR</v>
          </cell>
          <cell r="J640" t="str">
            <v>18-034</v>
          </cell>
          <cell r="K640" t="str">
            <v>OLYMPUS</v>
          </cell>
          <cell r="L640" t="str">
            <v>EVIS EXERA III/ CV 190</v>
          </cell>
          <cell r="M640">
            <v>7408419</v>
          </cell>
          <cell r="N640" t="str">
            <v>PERUBATAN AM</v>
          </cell>
          <cell r="O640" t="str">
            <v>Unit Rawatan Perubatan Harian</v>
          </cell>
          <cell r="P640" t="str">
            <v>HM</v>
          </cell>
          <cell r="Q640">
            <v>51470</v>
          </cell>
        </row>
        <row r="641">
          <cell r="E641" t="str">
            <v>KKM/JKN/HSA/10-05-01/H/15/4086</v>
          </cell>
          <cell r="F641" t="str">
            <v xml:space="preserve">Diagnostic </v>
          </cell>
          <cell r="G641" t="str">
            <v>Basic</v>
          </cell>
          <cell r="H641" t="str">
            <v>Printers, Video</v>
          </cell>
          <cell r="I641" t="str">
            <v>VIDEO PRINTER</v>
          </cell>
          <cell r="J641" t="str">
            <v>17-508</v>
          </cell>
          <cell r="K641" t="str">
            <v>SONY</v>
          </cell>
          <cell r="L641" t="str">
            <v>UP-25MD</v>
          </cell>
          <cell r="M641">
            <v>720178</v>
          </cell>
          <cell r="N641" t="str">
            <v>PERUBATAN AM</v>
          </cell>
          <cell r="O641" t="str">
            <v>Unit Rawatan Perubatan Harian</v>
          </cell>
          <cell r="P641" t="str">
            <v>HM</v>
          </cell>
          <cell r="Q641">
            <v>4870</v>
          </cell>
        </row>
        <row r="642">
          <cell r="E642" t="str">
            <v>KKM/JKN/HSA/10-05-01/H/15/4087</v>
          </cell>
          <cell r="F642" t="str">
            <v xml:space="preserve">Diagnostic </v>
          </cell>
          <cell r="G642" t="str">
            <v>Basic</v>
          </cell>
          <cell r="H642" t="str">
            <v>Printers, Video</v>
          </cell>
          <cell r="I642" t="str">
            <v>VIDEO PRINTER</v>
          </cell>
          <cell r="J642" t="str">
            <v>17-508</v>
          </cell>
          <cell r="K642" t="str">
            <v>SONY</v>
          </cell>
          <cell r="L642" t="str">
            <v>UP-25MD</v>
          </cell>
          <cell r="M642">
            <v>720156</v>
          </cell>
          <cell r="N642" t="str">
            <v>PERUBATAN AM</v>
          </cell>
          <cell r="O642" t="str">
            <v>Unit Rawatan Perubatan Harian</v>
          </cell>
          <cell r="P642" t="str">
            <v>HM</v>
          </cell>
          <cell r="Q642">
            <v>4870</v>
          </cell>
        </row>
        <row r="643">
          <cell r="E643" t="str">
            <v>KKM/JKN/HSA/10-05-01/H/15/4088</v>
          </cell>
          <cell r="F643" t="str">
            <v xml:space="preserve">Diagnostic </v>
          </cell>
          <cell r="G643" t="str">
            <v>Basic</v>
          </cell>
          <cell r="H643" t="str">
            <v>Printers, Video</v>
          </cell>
          <cell r="I643" t="str">
            <v>VIDEO PRINTER</v>
          </cell>
          <cell r="J643" t="str">
            <v>17-508</v>
          </cell>
          <cell r="K643" t="str">
            <v>SONY</v>
          </cell>
          <cell r="L643" t="str">
            <v>UP-25MD</v>
          </cell>
          <cell r="M643">
            <v>719963</v>
          </cell>
          <cell r="N643" t="str">
            <v>PERUBATAN AM</v>
          </cell>
          <cell r="O643" t="str">
            <v>Unit Rawatan Perubatan Harian</v>
          </cell>
          <cell r="P643" t="str">
            <v>HM</v>
          </cell>
          <cell r="Q643">
            <v>4870</v>
          </cell>
        </row>
        <row r="644">
          <cell r="E644" t="str">
            <v>KKM/JKN/HSA/10-05-01/H/15/1658</v>
          </cell>
          <cell r="F644" t="str">
            <v xml:space="preserve">Diagnostic </v>
          </cell>
          <cell r="G644" t="str">
            <v>Intermediate</v>
          </cell>
          <cell r="H644" t="str">
            <v>Gastroscopes, Flexible, Video</v>
          </cell>
          <cell r="I644" t="str">
            <v>VIDEO GASTROSCOPE, ADULT</v>
          </cell>
          <cell r="J644" t="str">
            <v>17-663</v>
          </cell>
          <cell r="K644" t="str">
            <v>OLYMPUS</v>
          </cell>
          <cell r="L644" t="str">
            <v>GIF-H190</v>
          </cell>
          <cell r="M644">
            <v>2414489</v>
          </cell>
          <cell r="N644" t="str">
            <v>PERUBATAN AM</v>
          </cell>
          <cell r="O644" t="str">
            <v>Unit Rawatan Perubatan Harian</v>
          </cell>
          <cell r="P644" t="str">
            <v>HM</v>
          </cell>
          <cell r="Q644">
            <v>49620</v>
          </cell>
        </row>
        <row r="645">
          <cell r="E645" t="str">
            <v>KKM/JKN/HSA/10-05-01/H/15/4053</v>
          </cell>
          <cell r="F645" t="str">
            <v xml:space="preserve">Diagnostic </v>
          </cell>
          <cell r="G645" t="str">
            <v>Intermediate</v>
          </cell>
          <cell r="H645" t="str">
            <v>Gastroscopes, Flexible, Video</v>
          </cell>
          <cell r="I645" t="str">
            <v>VIDEO GASTROSCOPE, ADULT</v>
          </cell>
          <cell r="J645" t="str">
            <v>17-663</v>
          </cell>
          <cell r="K645" t="str">
            <v>OLYMPUS</v>
          </cell>
          <cell r="L645" t="str">
            <v>GIF-H190</v>
          </cell>
          <cell r="M645">
            <v>2400921</v>
          </cell>
          <cell r="N645" t="str">
            <v>PERUBATAN AM</v>
          </cell>
          <cell r="O645" t="str">
            <v>Unit Rawatan Perubatan Harian</v>
          </cell>
          <cell r="P645" t="str">
            <v>HM</v>
          </cell>
          <cell r="Q645">
            <v>49620</v>
          </cell>
        </row>
        <row r="646">
          <cell r="E646" t="str">
            <v>KKM/JKN/HSA/10-05-01/H/15/611</v>
          </cell>
          <cell r="F646" t="str">
            <v xml:space="preserve">Diagnostic </v>
          </cell>
          <cell r="G646" t="str">
            <v>Intermediate</v>
          </cell>
          <cell r="H646" t="str">
            <v>Colonoscopes, Video</v>
          </cell>
          <cell r="I646" t="str">
            <v>VIDEO COLONOSCOPE, ADULT</v>
          </cell>
          <cell r="J646" t="str">
            <v>17-665</v>
          </cell>
          <cell r="K646" t="str">
            <v>OLYMPUS</v>
          </cell>
          <cell r="L646" t="str">
            <v>CF-H190L</v>
          </cell>
          <cell r="M646">
            <v>2412254</v>
          </cell>
          <cell r="N646" t="str">
            <v xml:space="preserve">PEMBEDAHAN AM </v>
          </cell>
          <cell r="O646" t="str">
            <v>Unit Rawatan Perubatan Harian</v>
          </cell>
          <cell r="P646" t="str">
            <v>HM</v>
          </cell>
          <cell r="Q646">
            <v>60880</v>
          </cell>
        </row>
        <row r="647">
          <cell r="E647" t="str">
            <v>KKM/JKN/HSA/10-05-01/H/15/613</v>
          </cell>
          <cell r="F647" t="str">
            <v xml:space="preserve">Diagnostic </v>
          </cell>
          <cell r="G647" t="str">
            <v>Intermediate</v>
          </cell>
          <cell r="H647" t="str">
            <v>Colonoscopes, Video</v>
          </cell>
          <cell r="I647" t="str">
            <v>VIDEO COLONOSCOPE, ADULT</v>
          </cell>
          <cell r="J647" t="str">
            <v>17-665</v>
          </cell>
          <cell r="K647" t="str">
            <v>OLYMPUS</v>
          </cell>
          <cell r="L647" t="str">
            <v>CF-H190L</v>
          </cell>
          <cell r="M647">
            <v>2400982</v>
          </cell>
          <cell r="N647" t="str">
            <v xml:space="preserve">PEMBEDAHAN AM </v>
          </cell>
          <cell r="O647" t="str">
            <v>Unit Rawatan Perubatan Harian</v>
          </cell>
          <cell r="P647" t="str">
            <v>HM</v>
          </cell>
          <cell r="Q647">
            <v>60880</v>
          </cell>
        </row>
        <row r="648">
          <cell r="E648" t="str">
            <v>KKM/JKN/HSA/10-05-01/H/15/4076</v>
          </cell>
          <cell r="F648" t="str">
            <v>Therapeutic</v>
          </cell>
          <cell r="G648" t="str">
            <v>Basic</v>
          </cell>
          <cell r="H648" t="str">
            <v>Aspirators</v>
          </cell>
          <cell r="I648" t="str">
            <v>SUCTION UNIT 1 X 2L JAR MOBILE</v>
          </cell>
          <cell r="J648" t="str">
            <v>10-208</v>
          </cell>
          <cell r="K648" t="str">
            <v>GIMA</v>
          </cell>
          <cell r="L648" t="str">
            <v>ASKIR C30</v>
          </cell>
          <cell r="M648"/>
          <cell r="N648" t="str">
            <v>PERUBATAN AM</v>
          </cell>
          <cell r="O648" t="str">
            <v>Unit Rawatan Perubatan Harian</v>
          </cell>
          <cell r="P648" t="str">
            <v>HM</v>
          </cell>
          <cell r="Q648">
            <v>3386.5</v>
          </cell>
        </row>
        <row r="649">
          <cell r="E649" t="str">
            <v>KKM/JKN/HSA/10-05-01/H/15/4077</v>
          </cell>
          <cell r="F649" t="str">
            <v>Therapeutic</v>
          </cell>
          <cell r="G649" t="str">
            <v>Basic</v>
          </cell>
          <cell r="H649" t="str">
            <v>Aspirators</v>
          </cell>
          <cell r="I649" t="str">
            <v>SUCTION UNIT 1 X 2L JAR MOBILE</v>
          </cell>
          <cell r="J649" t="str">
            <v>10-208</v>
          </cell>
          <cell r="K649" t="str">
            <v>GIMA</v>
          </cell>
          <cell r="L649" t="str">
            <v>ASKIR C30</v>
          </cell>
          <cell r="M649"/>
          <cell r="N649" t="str">
            <v>PERUBATAN AM</v>
          </cell>
          <cell r="O649" t="str">
            <v>Unit Rawatan Perubatan Harian</v>
          </cell>
          <cell r="P649" t="str">
            <v>HM</v>
          </cell>
          <cell r="Q649">
            <v>3386.5</v>
          </cell>
        </row>
        <row r="650">
          <cell r="E650" t="str">
            <v>KKM/JKN/HSA/10-05-01/H/15/4078</v>
          </cell>
          <cell r="F650" t="str">
            <v>Therapeutic</v>
          </cell>
          <cell r="G650" t="str">
            <v>Basic</v>
          </cell>
          <cell r="H650" t="str">
            <v>Aspirators</v>
          </cell>
          <cell r="I650" t="str">
            <v>SUCTION UNIT 1 X 2L JAR MOBILE</v>
          </cell>
          <cell r="J650" t="str">
            <v>10-208</v>
          </cell>
          <cell r="K650" t="str">
            <v>GIMA</v>
          </cell>
          <cell r="L650" t="str">
            <v>ASKIR C30</v>
          </cell>
          <cell r="M650"/>
          <cell r="N650" t="str">
            <v>PERUBATAN AM</v>
          </cell>
          <cell r="O650" t="str">
            <v>Unit Rawatan Perubatan Harian</v>
          </cell>
          <cell r="P650" t="str">
            <v>HM</v>
          </cell>
          <cell r="Q650">
            <v>3386.5</v>
          </cell>
        </row>
        <row r="651">
          <cell r="E651" t="str">
            <v>KKM/JKN/HSA/10-05-01/H/15/1223</v>
          </cell>
          <cell r="F651" t="str">
            <v>Therapeutic</v>
          </cell>
          <cell r="G651" t="str">
            <v>Intermediate</v>
          </cell>
          <cell r="H651" t="str">
            <v>Infusion Pumps, General-Purpose</v>
          </cell>
          <cell r="I651" t="str">
            <v>PUMP VOLUMETRIC INFUSION (STAND ALONE)</v>
          </cell>
          <cell r="J651" t="str">
            <v>13-215</v>
          </cell>
          <cell r="K651" t="str">
            <v>FRESENIUS KABI</v>
          </cell>
          <cell r="L651" t="str">
            <v>VOLUMAT MC AGILIA</v>
          </cell>
          <cell r="M651">
            <v>1913022235952</v>
          </cell>
          <cell r="N651" t="str">
            <v>PERUBATAN AM</v>
          </cell>
          <cell r="O651" t="str">
            <v>Unit Rawatan Perubatan Harian</v>
          </cell>
          <cell r="P651" t="str">
            <v>HM</v>
          </cell>
          <cell r="Q651">
            <v>7245</v>
          </cell>
        </row>
        <row r="652">
          <cell r="E652" t="str">
            <v>KKM/JKN/HSA/10-05-01/H/15/1224</v>
          </cell>
          <cell r="F652" t="str">
            <v>Therapeutic</v>
          </cell>
          <cell r="G652" t="str">
            <v>Intermediate</v>
          </cell>
          <cell r="H652" t="str">
            <v>Infusion Pumps, General-Purpose</v>
          </cell>
          <cell r="I652" t="str">
            <v>PUMP VOLUMETRIC INFUSION (STAND ALONE)</v>
          </cell>
          <cell r="J652" t="str">
            <v>13-215</v>
          </cell>
          <cell r="K652" t="str">
            <v>FRESENIUS KABI</v>
          </cell>
          <cell r="L652" t="str">
            <v>VOLUMAT MC AGILIA</v>
          </cell>
          <cell r="M652">
            <v>1913022235927</v>
          </cell>
          <cell r="N652" t="str">
            <v>PERUBATAN AM</v>
          </cell>
          <cell r="O652" t="str">
            <v>Unit Rawatan Perubatan Harian</v>
          </cell>
          <cell r="P652" t="str">
            <v>HM</v>
          </cell>
          <cell r="Q652">
            <v>7245</v>
          </cell>
        </row>
        <row r="653">
          <cell r="E653" t="str">
            <v>KKM/JKN/HSA/10-05-01/H/15/4054</v>
          </cell>
          <cell r="F653" t="str">
            <v>Therapeutic</v>
          </cell>
          <cell r="G653" t="str">
            <v>Intermediate</v>
          </cell>
          <cell r="H653" t="str">
            <v>Infusion Pumps, Syringe</v>
          </cell>
          <cell r="I653" t="str">
            <v>PUMP SYRINGE BASIC (STAND ALONE)</v>
          </cell>
          <cell r="J653" t="str">
            <v>13-217</v>
          </cell>
          <cell r="K653" t="str">
            <v>FRESENIUS KABI</v>
          </cell>
          <cell r="L653" t="str">
            <v>INJECTOMAT AGILIA</v>
          </cell>
          <cell r="M653" t="str">
            <v>018130 / 22231669</v>
          </cell>
          <cell r="N653" t="str">
            <v>PERUBATAN AM</v>
          </cell>
          <cell r="O653" t="str">
            <v>Unit Rawatan Perubatan Harian</v>
          </cell>
          <cell r="P653" t="str">
            <v>HM</v>
          </cell>
          <cell r="Q653">
            <v>2700</v>
          </cell>
        </row>
        <row r="654">
          <cell r="E654" t="str">
            <v>KKM/JKN/HSA/10-05-01/H/15/4055</v>
          </cell>
          <cell r="F654" t="str">
            <v>Therapeutic</v>
          </cell>
          <cell r="G654" t="str">
            <v>Intermediate</v>
          </cell>
          <cell r="H654" t="str">
            <v>Infusion Pumps, Syringe</v>
          </cell>
          <cell r="I654" t="str">
            <v>PUMP SYRINGE BASIC (STAND ALONE)</v>
          </cell>
          <cell r="J654" t="str">
            <v>13-217</v>
          </cell>
          <cell r="K654" t="str">
            <v>FRESENIUS KABI</v>
          </cell>
          <cell r="L654" t="str">
            <v>INJECTOMAT AGILIA</v>
          </cell>
          <cell r="M654" t="str">
            <v>018130 / 2221829</v>
          </cell>
          <cell r="N654" t="str">
            <v>PERUBATAN AM</v>
          </cell>
          <cell r="O654" t="str">
            <v>Unit Rawatan Perubatan Harian</v>
          </cell>
          <cell r="P654" t="str">
            <v>HM</v>
          </cell>
          <cell r="Q654">
            <v>2700</v>
          </cell>
        </row>
        <row r="655">
          <cell r="E655" t="str">
            <v>KKM/JKN/HSA/10-05-01/R/15/16172</v>
          </cell>
          <cell r="F655" t="str">
            <v>Therapeutic</v>
          </cell>
          <cell r="G655" t="str">
            <v>Basic</v>
          </cell>
          <cell r="H655" t="str">
            <v>Nebulizers, Heated</v>
          </cell>
          <cell r="I655" t="str">
            <v>NEBULISER</v>
          </cell>
          <cell r="J655" t="str">
            <v>12-716</v>
          </cell>
          <cell r="K655" t="str">
            <v>PHILIPS</v>
          </cell>
          <cell r="L655" t="str">
            <v xml:space="preserve"> INNOSPIRE DELUXE</v>
          </cell>
          <cell r="M655" t="str">
            <v>022831</v>
          </cell>
          <cell r="N655" t="str">
            <v>PERUBATAN AM</v>
          </cell>
          <cell r="O655" t="str">
            <v>Unit Rawatan Perubatan Harian</v>
          </cell>
          <cell r="P655" t="str">
            <v>ABR</v>
          </cell>
          <cell r="Q655">
            <v>1950</v>
          </cell>
        </row>
        <row r="656">
          <cell r="E656" t="str">
            <v>KKM/JKN/HSA/10-05-01/H/15/1569</v>
          </cell>
          <cell r="F656" t="str">
            <v xml:space="preserve">Diagnostic </v>
          </cell>
          <cell r="G656" t="str">
            <v>Intermediate</v>
          </cell>
          <cell r="H656" t="str">
            <v>Monitors, Physiologic, Vital Signs</v>
          </cell>
          <cell r="I656" t="str">
            <v>MONITOR NIBP/TEMP</v>
          </cell>
          <cell r="J656" t="str">
            <v>25-209</v>
          </cell>
          <cell r="K656" t="str">
            <v>WELCH ALLYN</v>
          </cell>
          <cell r="L656" t="str">
            <v>WELCH ALLYN VSM 300</v>
          </cell>
          <cell r="M656" t="str">
            <v>JA123476</v>
          </cell>
          <cell r="N656" t="str">
            <v xml:space="preserve">PEMBEDAHAN AM </v>
          </cell>
          <cell r="O656" t="str">
            <v>Unit Rawatan Perubatan Harian</v>
          </cell>
          <cell r="P656" t="str">
            <v>HM</v>
          </cell>
          <cell r="Q656">
            <v>4355</v>
          </cell>
        </row>
        <row r="657">
          <cell r="E657" t="str">
            <v>KKM/JKN/HSA/10-05-01/H/15/1015</v>
          </cell>
          <cell r="F657" t="str">
            <v xml:space="preserve">Diagnostic </v>
          </cell>
          <cell r="G657" t="str">
            <v>Intermediate</v>
          </cell>
          <cell r="H657" t="str">
            <v>Monitors, Physiologic, Vital Signs</v>
          </cell>
          <cell r="I657" t="str">
            <v>MONITOR NIBP/SP02</v>
          </cell>
          <cell r="J657" t="str">
            <v>25-209</v>
          </cell>
          <cell r="K657" t="str">
            <v>WELCH ALLYN</v>
          </cell>
          <cell r="L657" t="str">
            <v>WELCH ALLYN VSM 300</v>
          </cell>
          <cell r="M657" t="str">
            <v>JA 123448</v>
          </cell>
          <cell r="N657" t="str">
            <v>PERUBATAN AM</v>
          </cell>
          <cell r="O657" t="str">
            <v>Unit Rawatan Perubatan Harian</v>
          </cell>
          <cell r="P657" t="str">
            <v>HM</v>
          </cell>
          <cell r="Q657">
            <v>5185</v>
          </cell>
        </row>
        <row r="658">
          <cell r="E658" t="str">
            <v>KKM/JKN/HSA/10-05-01/H/15/1016</v>
          </cell>
          <cell r="F658" t="str">
            <v xml:space="preserve">Diagnostic </v>
          </cell>
          <cell r="G658" t="str">
            <v>Intermediate</v>
          </cell>
          <cell r="H658" t="str">
            <v>Monitors, Physiologic, Vital Signs</v>
          </cell>
          <cell r="I658" t="str">
            <v>MONITOR NIBP/SP02</v>
          </cell>
          <cell r="J658" t="str">
            <v>25-209</v>
          </cell>
          <cell r="K658" t="str">
            <v>WELCH ALLYN</v>
          </cell>
          <cell r="L658" t="str">
            <v>WELCH ALLYN VSM 300</v>
          </cell>
          <cell r="M658" t="str">
            <v>JA 123467</v>
          </cell>
          <cell r="N658" t="str">
            <v>PERUBATAN AM</v>
          </cell>
          <cell r="O658" t="str">
            <v>Unit Rawatan Perubatan Harian</v>
          </cell>
          <cell r="P658" t="str">
            <v>HM</v>
          </cell>
          <cell r="Q658">
            <v>5185</v>
          </cell>
        </row>
        <row r="659">
          <cell r="E659" t="str">
            <v>KKM/JKN/HSA/10-05-01/H/15/2100</v>
          </cell>
          <cell r="F659" t="str">
            <v xml:space="preserve">Diagnostic </v>
          </cell>
          <cell r="G659" t="str">
            <v>Intermediate</v>
          </cell>
          <cell r="H659" t="str">
            <v>Physiologic Monitoring Systems, Acute Care</v>
          </cell>
          <cell r="I659" t="str">
            <v>MONITOR 4 CH, ECG/RR/NIBP/SP02/TEMP</v>
          </cell>
          <cell r="J659" t="str">
            <v>12-647</v>
          </cell>
          <cell r="K659" t="str">
            <v>MINDRAY</v>
          </cell>
          <cell r="L659" t="str">
            <v>IMEC 12</v>
          </cell>
          <cell r="M659" t="str">
            <v>EV 45011631</v>
          </cell>
          <cell r="N659" t="str">
            <v>PERUBATAN AM</v>
          </cell>
          <cell r="O659" t="str">
            <v>Unit Rawatan Perubatan Harian</v>
          </cell>
          <cell r="P659" t="str">
            <v>HM</v>
          </cell>
          <cell r="Q659">
            <v>9000</v>
          </cell>
        </row>
        <row r="660">
          <cell r="E660" t="str">
            <v>KKM/JKN/HSA/10-05-01/H/15/2101</v>
          </cell>
          <cell r="F660" t="str">
            <v xml:space="preserve">Diagnostic </v>
          </cell>
          <cell r="G660" t="str">
            <v>Intermediate</v>
          </cell>
          <cell r="H660" t="str">
            <v>Physiologic Monitoring Systems, Acute Care</v>
          </cell>
          <cell r="I660" t="str">
            <v>MONITOR 4 CH, ECG/RR/NIBP/SP02/TEMP</v>
          </cell>
          <cell r="J660" t="str">
            <v>12-647</v>
          </cell>
          <cell r="K660" t="str">
            <v>MINDRAY</v>
          </cell>
          <cell r="L660" t="str">
            <v>IMEC 12</v>
          </cell>
          <cell r="M660" t="str">
            <v>EV 45011630</v>
          </cell>
          <cell r="N660" t="str">
            <v>PERUBATAN AM</v>
          </cell>
          <cell r="O660" t="str">
            <v>Unit Rawatan Perubatan Harian</v>
          </cell>
          <cell r="P660" t="str">
            <v>HM</v>
          </cell>
          <cell r="Q660">
            <v>9000</v>
          </cell>
        </row>
        <row r="661">
          <cell r="E661" t="str">
            <v>KKM/JKN/HSA/10-05-01/H/15/2102</v>
          </cell>
          <cell r="F661" t="str">
            <v xml:space="preserve">Diagnostic </v>
          </cell>
          <cell r="G661" t="str">
            <v>Intermediate</v>
          </cell>
          <cell r="H661" t="str">
            <v>Physiologic Monitoring Systems, Acute Care</v>
          </cell>
          <cell r="I661" t="str">
            <v>MONITOR 4 CH, ECG/RR/NIBP/SP02/TEMP</v>
          </cell>
          <cell r="J661" t="str">
            <v>12-647</v>
          </cell>
          <cell r="K661" t="str">
            <v>MINDRAY</v>
          </cell>
          <cell r="L661" t="str">
            <v>IMEC 12</v>
          </cell>
          <cell r="M661" t="str">
            <v>EV 45011629</v>
          </cell>
          <cell r="N661" t="str">
            <v>PERUBATAN AM</v>
          </cell>
          <cell r="O661" t="str">
            <v>Unit Rawatan Perubatan Harian</v>
          </cell>
          <cell r="P661" t="str">
            <v>HM</v>
          </cell>
          <cell r="Q661">
            <v>9000</v>
          </cell>
        </row>
        <row r="662">
          <cell r="E662" t="str">
            <v>KKM/JKN/HSA/10-05-01/H/15/2103</v>
          </cell>
          <cell r="F662" t="str">
            <v xml:space="preserve">Diagnostic </v>
          </cell>
          <cell r="G662" t="str">
            <v>Intermediate</v>
          </cell>
          <cell r="H662" t="str">
            <v>Physiologic Monitoring Systems, Acute Care</v>
          </cell>
          <cell r="I662" t="str">
            <v>MONITOR 4 CH, ECG/RR/NIBP/SP02/TEMP</v>
          </cell>
          <cell r="J662" t="str">
            <v>12-647</v>
          </cell>
          <cell r="K662" t="str">
            <v>MINDRAY</v>
          </cell>
          <cell r="L662" t="str">
            <v>IMEC 12</v>
          </cell>
          <cell r="M662" t="str">
            <v>EV 45011627</v>
          </cell>
          <cell r="N662" t="str">
            <v>PERUBATAN AM</v>
          </cell>
          <cell r="O662" t="str">
            <v>Unit Rawatan Perubatan Harian</v>
          </cell>
          <cell r="P662" t="str">
            <v>HM</v>
          </cell>
          <cell r="Q662">
            <v>9000</v>
          </cell>
        </row>
        <row r="663">
          <cell r="E663" t="str">
            <v>KKM/JKN/HSA/10-05-01/H/15/2104</v>
          </cell>
          <cell r="F663" t="str">
            <v xml:space="preserve">Diagnostic </v>
          </cell>
          <cell r="G663" t="str">
            <v>Intermediate</v>
          </cell>
          <cell r="H663" t="str">
            <v>Physiologic Monitoring Systems, Acute Care</v>
          </cell>
          <cell r="I663" t="str">
            <v>MONITOR 4 CH, ECG/RR/NIBP/SP02/TEMP</v>
          </cell>
          <cell r="J663" t="str">
            <v>12-647</v>
          </cell>
          <cell r="K663" t="str">
            <v>MINDRAY</v>
          </cell>
          <cell r="L663" t="str">
            <v>IMEC 12</v>
          </cell>
          <cell r="M663" t="str">
            <v>EV 45011625</v>
          </cell>
          <cell r="N663" t="str">
            <v>PERUBATAN AM</v>
          </cell>
          <cell r="O663" t="str">
            <v>Unit Rawatan Perubatan Harian</v>
          </cell>
          <cell r="P663" t="str">
            <v>HM</v>
          </cell>
          <cell r="Q663">
            <v>9000</v>
          </cell>
        </row>
        <row r="664">
          <cell r="E664" t="str">
            <v>KKM/JKN/HSA/10-05-01/H/15/2105</v>
          </cell>
          <cell r="F664" t="str">
            <v xml:space="preserve">Diagnostic </v>
          </cell>
          <cell r="G664" t="str">
            <v>Intermediate</v>
          </cell>
          <cell r="H664" t="str">
            <v>Physiologic Monitoring Systems, Acute Care</v>
          </cell>
          <cell r="I664" t="str">
            <v>MONITOR 4 CH, ECG/RR/NIBP/SP02/TEMP</v>
          </cell>
          <cell r="J664" t="str">
            <v>12-647</v>
          </cell>
          <cell r="K664" t="str">
            <v>MINDRAY</v>
          </cell>
          <cell r="L664" t="str">
            <v>IMEC 12</v>
          </cell>
          <cell r="M664" t="str">
            <v>EV 45011626</v>
          </cell>
          <cell r="N664" t="str">
            <v>PERUBATAN AM</v>
          </cell>
          <cell r="O664" t="str">
            <v>Unit Rawatan Perubatan Harian</v>
          </cell>
          <cell r="P664" t="str">
            <v>HM</v>
          </cell>
          <cell r="Q664">
            <v>9000</v>
          </cell>
        </row>
        <row r="665">
          <cell r="E665" t="str">
            <v>KKM/JKN/HSA/10-05-01/H/15/2106</v>
          </cell>
          <cell r="F665" t="str">
            <v xml:space="preserve">Diagnostic </v>
          </cell>
          <cell r="G665" t="str">
            <v>Intermediate</v>
          </cell>
          <cell r="H665" t="str">
            <v>Physiologic Monitoring Systems, Acute Care</v>
          </cell>
          <cell r="I665" t="str">
            <v>MONITOR 4 CH, ECG/RR/NIBP/SP02/TEMP</v>
          </cell>
          <cell r="J665" t="str">
            <v>12-647</v>
          </cell>
          <cell r="K665" t="str">
            <v>MINDRAY</v>
          </cell>
          <cell r="L665" t="str">
            <v>IMEC 12</v>
          </cell>
          <cell r="M665" t="str">
            <v>EV 45011628</v>
          </cell>
          <cell r="N665" t="str">
            <v>PERUBATAN AM</v>
          </cell>
          <cell r="O665" t="str">
            <v>Unit Rawatan Perubatan Harian</v>
          </cell>
          <cell r="P665" t="str">
            <v>HM</v>
          </cell>
          <cell r="Q665">
            <v>9000</v>
          </cell>
        </row>
        <row r="666">
          <cell r="E666" t="str">
            <v>KKM/JKN/HSA/10-01-05/R/15/1438-01</v>
          </cell>
          <cell r="F666" t="str">
            <v xml:space="preserve">Diagnostic </v>
          </cell>
          <cell r="G666" t="str">
            <v>Intermediate</v>
          </cell>
          <cell r="H666" t="str">
            <v>Television Systems</v>
          </cell>
          <cell r="I666" t="str">
            <v>MONITOR 20"</v>
          </cell>
          <cell r="J666" t="str">
            <v>16-603</v>
          </cell>
          <cell r="K666" t="str">
            <v>SONY</v>
          </cell>
          <cell r="L666" t="str">
            <v>LMD-2110MD</v>
          </cell>
          <cell r="M666">
            <v>3203931</v>
          </cell>
          <cell r="N666" t="str">
            <v>PERUBATAN AM</v>
          </cell>
          <cell r="O666" t="str">
            <v>Unit Rawatan Perubatan Harian</v>
          </cell>
          <cell r="P666" t="str">
            <v>HM</v>
          </cell>
          <cell r="Q666">
            <v>3080</v>
          </cell>
        </row>
        <row r="667">
          <cell r="E667" t="str">
            <v>KKM/JKN/HSA/10-05-01/R/1439-01</v>
          </cell>
          <cell r="F667" t="str">
            <v xml:space="preserve">Diagnostic </v>
          </cell>
          <cell r="G667" t="str">
            <v>Intermediate</v>
          </cell>
          <cell r="H667" t="str">
            <v>Television Systems</v>
          </cell>
          <cell r="I667" t="str">
            <v>MONITOR 20"</v>
          </cell>
          <cell r="J667" t="str">
            <v>16-603</v>
          </cell>
          <cell r="K667" t="str">
            <v>SONY</v>
          </cell>
          <cell r="L667" t="str">
            <v>LMD-2110MD</v>
          </cell>
          <cell r="M667" t="str">
            <v>3203926S</v>
          </cell>
          <cell r="N667" t="str">
            <v>PERUBATAN AM</v>
          </cell>
          <cell r="O667" t="str">
            <v>Unit Rawatan Perubatan Harian</v>
          </cell>
          <cell r="P667" t="str">
            <v>HM</v>
          </cell>
          <cell r="Q667">
            <v>3080</v>
          </cell>
        </row>
        <row r="668">
          <cell r="E668" t="str">
            <v>KKM/JKN/HAS/10-05-01/H/15/1437-01</v>
          </cell>
          <cell r="F668" t="str">
            <v xml:space="preserve">Diagnostic </v>
          </cell>
          <cell r="G668" t="str">
            <v>Intermediate</v>
          </cell>
          <cell r="H668" t="str">
            <v>Television Systems</v>
          </cell>
          <cell r="I668" t="str">
            <v>MONITOR 20"</v>
          </cell>
          <cell r="J668" t="str">
            <v>16-603</v>
          </cell>
          <cell r="K668" t="str">
            <v>SONY</v>
          </cell>
          <cell r="L668" t="str">
            <v>LMD-2110MD</v>
          </cell>
          <cell r="M668" t="str">
            <v>3203943S</v>
          </cell>
          <cell r="N668" t="str">
            <v>PERUBATAN AM</v>
          </cell>
          <cell r="O668" t="str">
            <v>Unit Rawatan Perubatan Harian</v>
          </cell>
          <cell r="P668" t="str">
            <v>HM</v>
          </cell>
          <cell r="Q668">
            <v>3080</v>
          </cell>
        </row>
        <row r="669">
          <cell r="E669" t="str">
            <v>KKM/JKN/HSA/10-01-01/H/15/1327</v>
          </cell>
          <cell r="F669" t="str">
            <v xml:space="preserve">Diagnostic </v>
          </cell>
          <cell r="G669" t="str">
            <v>Basic</v>
          </cell>
          <cell r="H669" t="str">
            <v>Light Sources, Fiberoptic, Flexible Endoscopic</v>
          </cell>
          <cell r="I669" t="str">
            <v>LIGHT SOURCE XENON 300 WATTS</v>
          </cell>
          <cell r="J669" t="str">
            <v>12-343</v>
          </cell>
          <cell r="K669" t="str">
            <v>OLYMPUS</v>
          </cell>
          <cell r="L669" t="str">
            <v>CLV-190</v>
          </cell>
          <cell r="M669">
            <v>7457072</v>
          </cell>
          <cell r="N669" t="str">
            <v>PERUBATAN AM</v>
          </cell>
          <cell r="O669" t="str">
            <v>Unit Rawatan Perubatan Harian</v>
          </cell>
          <cell r="P669" t="str">
            <v>HM</v>
          </cell>
          <cell r="Q669">
            <v>24700</v>
          </cell>
        </row>
        <row r="670">
          <cell r="E670" t="str">
            <v>KKM/JKN/HSA/10-01-01/H/15/1328</v>
          </cell>
          <cell r="F670" t="str">
            <v xml:space="preserve">Diagnostic </v>
          </cell>
          <cell r="G670" t="str">
            <v>Basic</v>
          </cell>
          <cell r="H670" t="str">
            <v>Light Sources, Fiberoptic, Flexible Endoscopic</v>
          </cell>
          <cell r="I670" t="str">
            <v>LIGHT SOURCE XENON 300 WATTS</v>
          </cell>
          <cell r="J670" t="str">
            <v>12-343</v>
          </cell>
          <cell r="K670" t="str">
            <v>OLYMPUS</v>
          </cell>
          <cell r="L670" t="str">
            <v>CLV-190</v>
          </cell>
          <cell r="M670">
            <v>7456971</v>
          </cell>
          <cell r="N670" t="str">
            <v>PERUBATAN AM</v>
          </cell>
          <cell r="O670" t="str">
            <v>Unit Rawatan Perubatan Harian</v>
          </cell>
          <cell r="P670" t="str">
            <v>HM</v>
          </cell>
          <cell r="Q670">
            <v>24700</v>
          </cell>
        </row>
        <row r="671">
          <cell r="E671" t="str">
            <v>KKM/JKN/HSA/10-01-01/H/15/1329</v>
          </cell>
          <cell r="F671" t="str">
            <v xml:space="preserve">Diagnostic </v>
          </cell>
          <cell r="G671" t="str">
            <v>Basic</v>
          </cell>
          <cell r="H671" t="str">
            <v>Light Sources, Fiberoptic, Flexible Endoscopic</v>
          </cell>
          <cell r="I671" t="str">
            <v>LIGHT SOURCE XENON 300 WATTS</v>
          </cell>
          <cell r="J671" t="str">
            <v>12-343</v>
          </cell>
          <cell r="K671" t="str">
            <v>OLYMPUS</v>
          </cell>
          <cell r="L671" t="str">
            <v>CLV-190</v>
          </cell>
          <cell r="M671">
            <v>7457073</v>
          </cell>
          <cell r="N671" t="str">
            <v>PERUBATAN AM</v>
          </cell>
          <cell r="O671" t="str">
            <v>Unit Rawatan Perubatan Harian</v>
          </cell>
          <cell r="P671" t="str">
            <v>HM</v>
          </cell>
          <cell r="Q671">
            <v>24700</v>
          </cell>
        </row>
        <row r="672">
          <cell r="E672" t="str">
            <v>KKM/JKN/HAS/10-05-01/H/15/1656</v>
          </cell>
          <cell r="F672" t="str">
            <v xml:space="preserve">Diagnostic </v>
          </cell>
          <cell r="G672" t="str">
            <v>Intermediate</v>
          </cell>
          <cell r="H672" t="str">
            <v>Gastroscopes, Flexible, Video</v>
          </cell>
          <cell r="I672" t="str">
            <v>GASTROINTESTINAL VIDEOSCOPE / GASTROSCOPE</v>
          </cell>
          <cell r="J672" t="str">
            <v>17-663</v>
          </cell>
          <cell r="K672" t="str">
            <v>OLYMPUS</v>
          </cell>
          <cell r="L672" t="str">
            <v>GIF-XP190N</v>
          </cell>
          <cell r="M672">
            <v>2400923</v>
          </cell>
          <cell r="N672" t="str">
            <v>PERUBATAN AM</v>
          </cell>
          <cell r="O672" t="str">
            <v>Unit Rawatan Perubatan Harian</v>
          </cell>
          <cell r="P672" t="str">
            <v>HM</v>
          </cell>
          <cell r="Q672">
            <v>45860</v>
          </cell>
        </row>
        <row r="673">
          <cell r="E673" t="str">
            <v>KKM/JKN/HSA/10-05-01/R/15/15382</v>
          </cell>
          <cell r="F673" t="str">
            <v>Therapeutic</v>
          </cell>
          <cell r="G673" t="str">
            <v>Intermediate</v>
          </cell>
          <cell r="H673" t="str">
            <v>Electrosurgical Units, MonoP0lar, Argon-Enhanced Coagulation</v>
          </cell>
          <cell r="I673" t="str">
            <v>ELECTROSURGICAL UNIT</v>
          </cell>
          <cell r="J673" t="str">
            <v>17-739</v>
          </cell>
          <cell r="K673" t="str">
            <v> ERBE</v>
          </cell>
          <cell r="L673" t="str">
            <v>V10200D</v>
          </cell>
          <cell r="M673">
            <v>11385435</v>
          </cell>
          <cell r="N673" t="str">
            <v>PERUBATAN AM</v>
          </cell>
          <cell r="O673" t="str">
            <v>Unit Rawatan Perubatan Harian</v>
          </cell>
          <cell r="P673" t="str">
            <v>ABR</v>
          </cell>
          <cell r="Q673">
            <v>1110</v>
          </cell>
        </row>
        <row r="674">
          <cell r="E674" t="str">
            <v>KKM/JKN/HSA/10-05-01/H/15/4068</v>
          </cell>
          <cell r="F674" t="str">
            <v xml:space="preserve">Diagnostic </v>
          </cell>
          <cell r="G674" t="str">
            <v>Intermediate</v>
          </cell>
          <cell r="H674" t="str">
            <v>Electrocardiographs, Multichannel, Interpretative</v>
          </cell>
          <cell r="I674" t="str">
            <v>ECG P0RTABLE MAINS/BATTERY OP</v>
          </cell>
          <cell r="J674" t="str">
            <v>16-231</v>
          </cell>
          <cell r="K674" t="str">
            <v>GE HEALTHCARE</v>
          </cell>
          <cell r="L674" t="str">
            <v>MAC400</v>
          </cell>
          <cell r="M674" t="str">
            <v>SCT 11496317 PA</v>
          </cell>
          <cell r="N674" t="str">
            <v>PERUBATAN AM</v>
          </cell>
          <cell r="O674" t="str">
            <v>Unit Rawatan Perubatan Harian</v>
          </cell>
          <cell r="P674" t="str">
            <v>HM</v>
          </cell>
          <cell r="Q674">
            <v>2750</v>
          </cell>
        </row>
        <row r="675">
          <cell r="E675" t="str">
            <v>KKM/JKN/HSA/10-05-01/H/15/452</v>
          </cell>
          <cell r="F675" t="str">
            <v>Therapeutic</v>
          </cell>
          <cell r="G675" t="str">
            <v>Intermediate</v>
          </cell>
          <cell r="H675" t="str">
            <v>Washers, Flexible Endoscope</v>
          </cell>
          <cell r="I675" t="str">
            <v>DISINFECTOR MANUAL</v>
          </cell>
          <cell r="J675" t="str">
            <v>15-999</v>
          </cell>
          <cell r="K675" t="str">
            <v>OLYMPUS</v>
          </cell>
          <cell r="L675" t="str">
            <v>TD-20</v>
          </cell>
          <cell r="M675">
            <v>21412183</v>
          </cell>
          <cell r="N675" t="str">
            <v xml:space="preserve">PERUBATAN AM </v>
          </cell>
          <cell r="O675" t="str">
            <v>Unit Rawatan Perubatan Harian</v>
          </cell>
          <cell r="P675" t="str">
            <v>HM</v>
          </cell>
          <cell r="Q675">
            <v>6620</v>
          </cell>
        </row>
        <row r="676">
          <cell r="E676" t="str">
            <v>KKM/JKN/HSA/10-05-01/H/15/454</v>
          </cell>
          <cell r="F676" t="str">
            <v>Therapeutic</v>
          </cell>
          <cell r="G676" t="str">
            <v>Intermediate</v>
          </cell>
          <cell r="H676" t="str">
            <v>Washers, Flexible Endoscope</v>
          </cell>
          <cell r="I676" t="str">
            <v>DISINFECTOR MANUAL</v>
          </cell>
          <cell r="J676" t="str">
            <v>15-999</v>
          </cell>
          <cell r="K676" t="str">
            <v>OLYMPUS</v>
          </cell>
          <cell r="L676" t="str">
            <v>TD-20</v>
          </cell>
          <cell r="M676">
            <v>21412182</v>
          </cell>
          <cell r="N676" t="str">
            <v xml:space="preserve">PERUBATAN AM </v>
          </cell>
          <cell r="O676" t="str">
            <v>Unit Rawatan Perubatan Harian</v>
          </cell>
          <cell r="P676" t="str">
            <v>HM</v>
          </cell>
          <cell r="Q676">
            <v>6620</v>
          </cell>
        </row>
        <row r="677">
          <cell r="E677" t="str">
            <v>KKM/JKN/HSA/10-05-01/H/15/4918</v>
          </cell>
          <cell r="F677" t="str">
            <v>Therapeutic</v>
          </cell>
          <cell r="G677" t="str">
            <v>Intermediate</v>
          </cell>
          <cell r="H677" t="str">
            <v>Electrosurgical Units, Monopolar, Argon-Enhanced Coagulation</v>
          </cell>
          <cell r="I677" t="str">
            <v>DIATHERMY UNIT</v>
          </cell>
          <cell r="J677" t="str">
            <v>17-739</v>
          </cell>
          <cell r="K677" t="str">
            <v>ERBE</v>
          </cell>
          <cell r="L677" t="str">
            <v>APC2</v>
          </cell>
          <cell r="M677" t="str">
            <v xml:space="preserve">11373311
</v>
          </cell>
          <cell r="N677" t="str">
            <v>PERUBATAN AM</v>
          </cell>
          <cell r="O677" t="str">
            <v>Unit Rawatan Perubatan Harian</v>
          </cell>
          <cell r="P677" t="str">
            <v>HM</v>
          </cell>
          <cell r="Q677">
            <v>11160</v>
          </cell>
        </row>
        <row r="678">
          <cell r="E678" t="str">
            <v>KKM/JKN/HSA/10-05-01/H/15/560</v>
          </cell>
          <cell r="F678" t="str">
            <v>Therapeutic</v>
          </cell>
          <cell r="G678" t="str">
            <v>Intermediate</v>
          </cell>
          <cell r="H678" t="str">
            <v>Electrosurgical Units, Monopolar/Bipolar</v>
          </cell>
          <cell r="I678" t="str">
            <v>DIATHERMY UNIT</v>
          </cell>
          <cell r="J678" t="str">
            <v>18-231</v>
          </cell>
          <cell r="K678" t="str">
            <v>OLYMPUS</v>
          </cell>
          <cell r="L678" t="str">
            <v xml:space="preserve"> ESG-100</v>
          </cell>
          <cell r="M678" t="str">
            <v>14294P500001</v>
          </cell>
          <cell r="N678" t="str">
            <v>PERUBATAN AM</v>
          </cell>
          <cell r="O678" t="str">
            <v>Unit Rawatan Perubatan Harian</v>
          </cell>
          <cell r="P678" t="str">
            <v>HM</v>
          </cell>
          <cell r="Q678">
            <v>11160</v>
          </cell>
        </row>
        <row r="679">
          <cell r="E679" t="str">
            <v>KKM/JKN/HSA/10-05-01/R/15/7352</v>
          </cell>
          <cell r="F679" t="str">
            <v xml:space="preserve">Diagnostic </v>
          </cell>
          <cell r="G679" t="str">
            <v>Basic</v>
          </cell>
          <cell r="H679" t="str">
            <v>Ophthalmoscopes/Otoscopes</v>
          </cell>
          <cell r="I679" t="str">
            <v>DIAGNOSTIC SET ADULT</v>
          </cell>
          <cell r="J679" t="str">
            <v>18-595</v>
          </cell>
          <cell r="K679" t="str">
            <v>RUDOLF RIESTER, GMBH</v>
          </cell>
          <cell r="L679" t="str">
            <v>RI-SCOPE ENT 3761</v>
          </cell>
          <cell r="M679" t="str">
            <v>WELCH ALLYN 901026</v>
          </cell>
          <cell r="N679" t="str">
            <v>PERUBATAN AM</v>
          </cell>
          <cell r="O679" t="str">
            <v>Unit Rawatan Perubatan Harian</v>
          </cell>
          <cell r="P679" t="str">
            <v>ABR</v>
          </cell>
          <cell r="Q679">
            <v>1459.33</v>
          </cell>
        </row>
        <row r="680">
          <cell r="E680" t="str">
            <v>KKM/JKN/HSA/10-05-01/R/15/7353</v>
          </cell>
          <cell r="F680" t="str">
            <v xml:space="preserve">Diagnostic </v>
          </cell>
          <cell r="G680" t="str">
            <v>Basic</v>
          </cell>
          <cell r="H680" t="str">
            <v>Ophthalmoscopes/Otoscopes</v>
          </cell>
          <cell r="I680" t="str">
            <v>DIAGNOSTIC SET ADULT</v>
          </cell>
          <cell r="J680" t="str">
            <v>18-595</v>
          </cell>
          <cell r="K680" t="str">
            <v>RUDOLF RIESTER, GMBH</v>
          </cell>
          <cell r="L680" t="str">
            <v>RI-SCOPE ENT 3761</v>
          </cell>
          <cell r="M680"/>
          <cell r="N680" t="str">
            <v>PERUBATAN AM</v>
          </cell>
          <cell r="O680" t="str">
            <v>Unit Rawatan Perubatan Harian</v>
          </cell>
          <cell r="P680" t="str">
            <v>ABR</v>
          </cell>
          <cell r="Q680">
            <v>1459.33</v>
          </cell>
        </row>
        <row r="681">
          <cell r="E681" t="str">
            <v>KKM/JKN/HSA/10-05-01/R/15/17068</v>
          </cell>
          <cell r="F681" t="str">
            <v xml:space="preserve">Diagnostic </v>
          </cell>
          <cell r="G681" t="str">
            <v>Basic</v>
          </cell>
          <cell r="H681" t="str">
            <v>Ophthalmoscopes/Otoscopes</v>
          </cell>
          <cell r="I681" t="str">
            <v>DIAGNOSTIC SET ADULT</v>
          </cell>
          <cell r="J681" t="str">
            <v>18-595</v>
          </cell>
          <cell r="K681" t="str">
            <v>WELCH ALLYN</v>
          </cell>
          <cell r="L681" t="str">
            <v>97150-BI</v>
          </cell>
          <cell r="M681"/>
          <cell r="N681" t="str">
            <v>PERUBATAN AM</v>
          </cell>
          <cell r="O681" t="str">
            <v>Unit Rawatan Perubatan Harian</v>
          </cell>
          <cell r="P681" t="str">
            <v>ABR</v>
          </cell>
          <cell r="Q681">
            <v>1820</v>
          </cell>
        </row>
        <row r="682">
          <cell r="E682" t="str">
            <v>KKM/JKN/HSA/10-05-01/R/15/17069</v>
          </cell>
          <cell r="F682" t="str">
            <v xml:space="preserve">Diagnostic </v>
          </cell>
          <cell r="G682" t="str">
            <v>Basic</v>
          </cell>
          <cell r="H682" t="str">
            <v>Ophthalmoscopes/Otoscopes</v>
          </cell>
          <cell r="I682" t="str">
            <v>DIAGNOSTIC SET ADULT</v>
          </cell>
          <cell r="J682" t="str">
            <v>18-595</v>
          </cell>
          <cell r="K682" t="str">
            <v>WELCH ALLYN</v>
          </cell>
          <cell r="L682" t="str">
            <v>97150-BI</v>
          </cell>
          <cell r="M682"/>
          <cell r="N682" t="str">
            <v>PERUBATAN AM</v>
          </cell>
          <cell r="O682" t="str">
            <v>Unit Rawatan Perubatan Harian</v>
          </cell>
          <cell r="P682" t="str">
            <v>ABR</v>
          </cell>
          <cell r="Q682">
            <v>1820</v>
          </cell>
        </row>
        <row r="683">
          <cell r="E683" t="str">
            <v>KKM/JKN/HSA/10-05-01/H/15/607</v>
          </cell>
          <cell r="F683" t="str">
            <v xml:space="preserve">Diagnostic </v>
          </cell>
          <cell r="G683" t="str">
            <v>Intermediate</v>
          </cell>
          <cell r="H683" t="str">
            <v>Bronchoscopes, Flexible, Video</v>
          </cell>
          <cell r="I683" t="str">
            <v>BRONCHOFIBERSCOPE ULTRAFINE, NEONATE</v>
          </cell>
          <cell r="J683" t="str">
            <v>17-662</v>
          </cell>
          <cell r="K683" t="str">
            <v>OLYMPUS</v>
          </cell>
          <cell r="L683" t="str">
            <v>BF-XP60</v>
          </cell>
          <cell r="M683">
            <v>2441126</v>
          </cell>
          <cell r="N683" t="str">
            <v xml:space="preserve">PEMBEDAHAN AM </v>
          </cell>
          <cell r="O683" t="str">
            <v>Unit Rawatan Perubatan Harian</v>
          </cell>
          <cell r="P683" t="str">
            <v>HM</v>
          </cell>
          <cell r="Q683">
            <v>28460</v>
          </cell>
        </row>
        <row r="684">
          <cell r="E684" t="str">
            <v>KKM/JKN/HSA/10-05-01/H/15/2107</v>
          </cell>
          <cell r="F684" t="str">
            <v xml:space="preserve">Diagnostic </v>
          </cell>
          <cell r="G684" t="str">
            <v>Intermediate</v>
          </cell>
          <cell r="H684" t="str">
            <v>Physiologic Monitoring Systems, Acute Care</v>
          </cell>
          <cell r="I684" t="str">
            <v>MONITOR 4 CH, ECG/RR/NIBP/SP02/TEMP</v>
          </cell>
          <cell r="J684" t="str">
            <v>12-647</v>
          </cell>
          <cell r="K684" t="str">
            <v>MINDRAY</v>
          </cell>
          <cell r="L684" t="str">
            <v>IMEC 12</v>
          </cell>
          <cell r="M684" t="str">
            <v>EV-45011646</v>
          </cell>
          <cell r="N684" t="str">
            <v xml:space="preserve">PEMBEDAHAN AM </v>
          </cell>
          <cell r="O684" t="str">
            <v>Unit Rawatan Pembedahan Harian</v>
          </cell>
          <cell r="P684" t="str">
            <v>HM</v>
          </cell>
          <cell r="Q684">
            <v>9000</v>
          </cell>
        </row>
        <row r="685">
          <cell r="E685" t="str">
            <v>KKM/JKN/HSA/10-05-01/H/15/2108</v>
          </cell>
          <cell r="F685" t="str">
            <v xml:space="preserve">Diagnostic </v>
          </cell>
          <cell r="G685" t="str">
            <v>Intermediate</v>
          </cell>
          <cell r="H685" t="str">
            <v>Physiologic Monitoring Systems, Acute Care</v>
          </cell>
          <cell r="I685" t="str">
            <v>MONITOR 4 CH, ECG/RR/NIBP/SP02/TEMP</v>
          </cell>
          <cell r="J685" t="str">
            <v>12-647</v>
          </cell>
          <cell r="K685" t="str">
            <v>MINDRAY</v>
          </cell>
          <cell r="L685" t="str">
            <v>IMEC 12</v>
          </cell>
          <cell r="M685" t="str">
            <v>EV-45011632</v>
          </cell>
          <cell r="N685" t="str">
            <v xml:space="preserve">PEMBEDAHAN AM </v>
          </cell>
          <cell r="O685" t="str">
            <v>Unit Rawatan Pembedahan Harian</v>
          </cell>
          <cell r="P685" t="str">
            <v>HM</v>
          </cell>
          <cell r="Q685">
            <v>9000</v>
          </cell>
        </row>
        <row r="686">
          <cell r="E686" t="str">
            <v>KKM/JKN/HSA/10-05-01/R/15/17088</v>
          </cell>
          <cell r="F686" t="str">
            <v xml:space="preserve">Diagnostic </v>
          </cell>
          <cell r="G686" t="str">
            <v>Basic</v>
          </cell>
          <cell r="H686" t="str">
            <v>Ophthalmoscopes/Otoscopes</v>
          </cell>
          <cell r="I686" t="str">
            <v>DIAGNOSTIC SET ADULT</v>
          </cell>
          <cell r="J686" t="str">
            <v>18-595</v>
          </cell>
          <cell r="K686" t="str">
            <v>WELCH ALLYN</v>
          </cell>
          <cell r="L686" t="str">
            <v>97150-BI</v>
          </cell>
          <cell r="M686"/>
          <cell r="N686" t="str">
            <v xml:space="preserve">PEMBEDAHAN AM </v>
          </cell>
          <cell r="O686" t="str">
            <v>Unit Rawatan Pembedahan Harian</v>
          </cell>
          <cell r="P686" t="str">
            <v>ABR</v>
          </cell>
          <cell r="Q686">
            <v>1820</v>
          </cell>
        </row>
        <row r="687">
          <cell r="E687" t="str">
            <v>KKM/JKN/HSA/10-05-01/R/15/17089</v>
          </cell>
          <cell r="F687" t="str">
            <v xml:space="preserve">Diagnostic </v>
          </cell>
          <cell r="G687" t="str">
            <v>Basic</v>
          </cell>
          <cell r="H687" t="str">
            <v>Ophthalmoscopes/Otoscopes</v>
          </cell>
          <cell r="I687" t="str">
            <v>DIAGNOSTIC SET ADULT</v>
          </cell>
          <cell r="J687" t="str">
            <v>18-595</v>
          </cell>
          <cell r="K687" t="str">
            <v>WELCH ALLYN</v>
          </cell>
          <cell r="L687" t="str">
            <v>97150-BI</v>
          </cell>
          <cell r="M687"/>
          <cell r="N687" t="str">
            <v xml:space="preserve">PEMBEDAHAN AM </v>
          </cell>
          <cell r="O687" t="str">
            <v>Unit Rawatan Pembedahan Harian</v>
          </cell>
          <cell r="P687" t="str">
            <v>ABR</v>
          </cell>
          <cell r="Q687">
            <v>1820</v>
          </cell>
        </row>
        <row r="688">
          <cell r="E688" t="str">
            <v>KKM/JKN/HSA/10-05-01/R/15/17090</v>
          </cell>
          <cell r="F688" t="str">
            <v xml:space="preserve">Diagnostic </v>
          </cell>
          <cell r="G688" t="str">
            <v>Basic</v>
          </cell>
          <cell r="H688" t="str">
            <v>Ophthalmoscopes/Otoscopes</v>
          </cell>
          <cell r="I688" t="str">
            <v>DIAGNOSTIC SET ADULT</v>
          </cell>
          <cell r="J688" t="str">
            <v>18-595</v>
          </cell>
          <cell r="K688" t="str">
            <v>WELCH ALLYN</v>
          </cell>
          <cell r="L688" t="str">
            <v>97150-BI</v>
          </cell>
          <cell r="M688"/>
          <cell r="N688" t="str">
            <v xml:space="preserve">PEMBEDAHAN AM </v>
          </cell>
          <cell r="O688" t="str">
            <v>Unit Rawatan Pembedahan Harian</v>
          </cell>
          <cell r="P688" t="str">
            <v>ABR</v>
          </cell>
          <cell r="Q688">
            <v>1820</v>
          </cell>
        </row>
        <row r="689">
          <cell r="E689" t="str">
            <v>KKM/JKN/HSA/10-05-01/R/15/17091</v>
          </cell>
          <cell r="F689" t="str">
            <v xml:space="preserve">Diagnostic </v>
          </cell>
          <cell r="G689" t="str">
            <v>Basic</v>
          </cell>
          <cell r="H689" t="str">
            <v>Ophthalmoscopes/Otoscopes</v>
          </cell>
          <cell r="I689" t="str">
            <v>DIAGNOSTIC SET ADULT</v>
          </cell>
          <cell r="J689" t="str">
            <v>18-595</v>
          </cell>
          <cell r="K689" t="str">
            <v>WELCH ALLYN</v>
          </cell>
          <cell r="L689" t="str">
            <v>97150-BI</v>
          </cell>
          <cell r="M689"/>
          <cell r="N689" t="str">
            <v xml:space="preserve">PEMBEDAHAN AM </v>
          </cell>
          <cell r="O689" t="str">
            <v>Unit Rawatan Pembedahan Harian</v>
          </cell>
          <cell r="P689" t="str">
            <v>ABR</v>
          </cell>
          <cell r="Q689">
            <v>1820</v>
          </cell>
        </row>
        <row r="690">
          <cell r="E690" t="str">
            <v>KKM/JKN/HSA/10-05-01/R/15/17092</v>
          </cell>
          <cell r="F690" t="str">
            <v xml:space="preserve">Diagnostic </v>
          </cell>
          <cell r="G690" t="str">
            <v>Basic</v>
          </cell>
          <cell r="H690" t="str">
            <v>Ophthalmoscopes/Otoscopes</v>
          </cell>
          <cell r="I690" t="str">
            <v>DIAGNOSTIC SET ADULT</v>
          </cell>
          <cell r="J690" t="str">
            <v>18-595</v>
          </cell>
          <cell r="K690" t="str">
            <v>WELCH ALLYN</v>
          </cell>
          <cell r="L690" t="str">
            <v>97150-BI</v>
          </cell>
          <cell r="M690"/>
          <cell r="N690" t="str">
            <v xml:space="preserve">PEMBEDAHAN AM </v>
          </cell>
          <cell r="O690" t="str">
            <v>Unit Rawatan Pembedahan Harian</v>
          </cell>
          <cell r="P690" t="str">
            <v>ABR</v>
          </cell>
          <cell r="Q690">
            <v>1820</v>
          </cell>
        </row>
        <row r="691">
          <cell r="E691" t="str">
            <v>KKM/JKN/HSA/10-05-01/R/15/17093</v>
          </cell>
          <cell r="F691" t="str">
            <v xml:space="preserve">Diagnostic </v>
          </cell>
          <cell r="G691" t="str">
            <v>Basic</v>
          </cell>
          <cell r="H691" t="str">
            <v>Ophthalmoscopes/Otoscopes</v>
          </cell>
          <cell r="I691" t="str">
            <v>DIAGNOSTIC SET ADULT</v>
          </cell>
          <cell r="J691" t="str">
            <v>18-595</v>
          </cell>
          <cell r="K691" t="str">
            <v>WELCH ALLYN</v>
          </cell>
          <cell r="L691" t="str">
            <v>97150-BI</v>
          </cell>
          <cell r="M691"/>
          <cell r="N691" t="str">
            <v xml:space="preserve">PEMBEDAHAN AM </v>
          </cell>
          <cell r="O691" t="str">
            <v>Unit Rawatan Pembedahan Harian</v>
          </cell>
          <cell r="P691" t="str">
            <v>ABR</v>
          </cell>
          <cell r="Q691">
            <v>1820</v>
          </cell>
        </row>
        <row r="692">
          <cell r="E692" t="str">
            <v>KKM/JKN/HSA/10-05-01/R/15/17094</v>
          </cell>
          <cell r="F692" t="str">
            <v xml:space="preserve">Diagnostic </v>
          </cell>
          <cell r="G692" t="str">
            <v>Basic</v>
          </cell>
          <cell r="H692" t="str">
            <v>Ophthalmoscopes/Otoscopes</v>
          </cell>
          <cell r="I692" t="str">
            <v>DIAGNOSTIC SET ADULT</v>
          </cell>
          <cell r="J692" t="str">
            <v>18-595</v>
          </cell>
          <cell r="K692" t="str">
            <v>WELCH ALLYN</v>
          </cell>
          <cell r="L692" t="str">
            <v>97150-BI</v>
          </cell>
          <cell r="M692"/>
          <cell r="N692" t="str">
            <v xml:space="preserve">PEMBEDAHAN AM </v>
          </cell>
          <cell r="O692" t="str">
            <v>Unit Rawatan Pembedahan Harian</v>
          </cell>
          <cell r="P692" t="str">
            <v>ABR</v>
          </cell>
          <cell r="Q692">
            <v>1820</v>
          </cell>
        </row>
        <row r="693">
          <cell r="E693" t="str">
            <v>KKM/JKN/HSA/10-05-01/R/15/7136</v>
          </cell>
          <cell r="F693" t="str">
            <v xml:space="preserve">Diagnostic </v>
          </cell>
          <cell r="G693" t="str">
            <v>Intermediate</v>
          </cell>
          <cell r="H693" t="str">
            <v>Monitors, Physiologic, Vital Signs</v>
          </cell>
          <cell r="I693" t="str">
            <v>BLOOD PRESSURE MONITOR NON INVASIVE</v>
          </cell>
          <cell r="J693" t="str">
            <v>25-209</v>
          </cell>
          <cell r="K693" t="str">
            <v>WELCH ALLYN</v>
          </cell>
          <cell r="L693" t="str">
            <v>VSM 300</v>
          </cell>
          <cell r="M693" t="str">
            <v>JA123423</v>
          </cell>
          <cell r="N693" t="str">
            <v xml:space="preserve">PEMBEDAHAN AM </v>
          </cell>
          <cell r="O693" t="str">
            <v>Unit Rawatan Pembedahan Harian</v>
          </cell>
          <cell r="P693" t="str">
            <v>ABR</v>
          </cell>
          <cell r="Q693">
            <v>1855</v>
          </cell>
        </row>
        <row r="694">
          <cell r="E694" t="str">
            <v>KKM/JKN/HSA/10-05-01/H/15/312</v>
          </cell>
          <cell r="F694" t="str">
            <v>Therapeutic</v>
          </cell>
          <cell r="G694" t="str">
            <v>Intermediate</v>
          </cell>
          <cell r="H694" t="str">
            <v>Ventilators, Intensive Care, Adult</v>
          </cell>
          <cell r="I694" t="str">
            <v>VENTILATOR INTENSIVE CARE(CCU/HDU/E&amp;T/BURN)</v>
          </cell>
          <cell r="J694" t="str">
            <v>18-792</v>
          </cell>
          <cell r="K694" t="str">
            <v>DRAEGER</v>
          </cell>
          <cell r="L694" t="str">
            <v>SAVINA 300</v>
          </cell>
          <cell r="M694" t="str">
            <v>ASEJ0224</v>
          </cell>
          <cell r="N694" t="str">
            <v xml:space="preserve">PERUBATAN AM </v>
          </cell>
          <cell r="O694" t="str">
            <v>Unit Rawatan Koronari (CCU)</v>
          </cell>
          <cell r="P694" t="str">
            <v>HM</v>
          </cell>
          <cell r="Q694">
            <v>50000</v>
          </cell>
        </row>
        <row r="695">
          <cell r="E695" t="str">
            <v>KKM/JKN/HSA/10-05-01/H/15/313</v>
          </cell>
          <cell r="F695" t="str">
            <v>Therapeutic</v>
          </cell>
          <cell r="G695" t="str">
            <v>Intermediate</v>
          </cell>
          <cell r="H695" t="str">
            <v>Ventilators, Intensive Care, Adult</v>
          </cell>
          <cell r="I695" t="str">
            <v>VENTILATOR INTENSIVE CARE(CCU/HDU/E&amp;T/BURN)</v>
          </cell>
          <cell r="J695" t="str">
            <v>18-792</v>
          </cell>
          <cell r="K695" t="str">
            <v>DRAEGER</v>
          </cell>
          <cell r="L695" t="str">
            <v>SAVINA 300</v>
          </cell>
          <cell r="M695" t="str">
            <v>ASEJ0225</v>
          </cell>
          <cell r="N695" t="str">
            <v xml:space="preserve">PERUBATAN AM </v>
          </cell>
          <cell r="O695" t="str">
            <v>Unit Rawatan Koronari (CCU)</v>
          </cell>
          <cell r="P695" t="str">
            <v>HM</v>
          </cell>
          <cell r="Q695">
            <v>50000</v>
          </cell>
        </row>
        <row r="696">
          <cell r="E696" t="str">
            <v>KKM/JKN/HSA/10-05-01/H/15/314</v>
          </cell>
          <cell r="F696" t="str">
            <v>Therapeutic</v>
          </cell>
          <cell r="G696" t="str">
            <v>Intermediate</v>
          </cell>
          <cell r="H696" t="str">
            <v>Ventilators, Intensive Care, Adult</v>
          </cell>
          <cell r="I696" t="str">
            <v>VENTILATOR INTENSIVE CARE(CCU/HDU/E&amp;T/BURN)</v>
          </cell>
          <cell r="J696" t="str">
            <v>18-792</v>
          </cell>
          <cell r="K696" t="str">
            <v>DRAEGER</v>
          </cell>
          <cell r="L696" t="str">
            <v>SAVINA 300</v>
          </cell>
          <cell r="M696" t="str">
            <v>ASEJ0223</v>
          </cell>
          <cell r="N696" t="str">
            <v xml:space="preserve">PERUBATAN AM </v>
          </cell>
          <cell r="O696" t="str">
            <v>Unit Rawatan Koronari (CCU)</v>
          </cell>
          <cell r="P696" t="str">
            <v>HM</v>
          </cell>
          <cell r="Q696">
            <v>50000</v>
          </cell>
        </row>
        <row r="697">
          <cell r="E697" t="str">
            <v>KKM/JKN/HSA/10-05-01/H/15/296</v>
          </cell>
          <cell r="F697" t="str">
            <v>Therapeutic</v>
          </cell>
          <cell r="G697" t="str">
            <v>Intermediate</v>
          </cell>
          <cell r="H697" t="str">
            <v>Ventilators, TransP0rt</v>
          </cell>
          <cell r="I697" t="str">
            <v>VENTILATOR ASSIST, NON INVASIVE</v>
          </cell>
          <cell r="J697" t="str">
            <v>17-429</v>
          </cell>
          <cell r="K697" t="str">
            <v>DRAEGER</v>
          </cell>
          <cell r="L697" t="str">
            <v>SAVINA 300</v>
          </cell>
          <cell r="M697" t="str">
            <v>ASHD0031</v>
          </cell>
          <cell r="N697" t="str">
            <v xml:space="preserve">PERUBATAN AM </v>
          </cell>
          <cell r="O697" t="str">
            <v>Unit Rawatan Koronari (CCU)</v>
          </cell>
          <cell r="P697" t="str">
            <v>HM</v>
          </cell>
          <cell r="Q697">
            <v>50000</v>
          </cell>
        </row>
        <row r="698">
          <cell r="E698" t="str">
            <v>KKM/JKN/HSA/10-05-01/H/15/968</v>
          </cell>
          <cell r="F698" t="str">
            <v xml:space="preserve">Diagnostic </v>
          </cell>
          <cell r="G698" t="str">
            <v>Intermediate</v>
          </cell>
          <cell r="H698" t="str">
            <v>Spirometers, Diagnostic</v>
          </cell>
          <cell r="I698" t="str">
            <v>SPIROMETER</v>
          </cell>
          <cell r="J698" t="str">
            <v>13-680</v>
          </cell>
          <cell r="K698" t="str">
            <v>SCHILLER</v>
          </cell>
          <cell r="L698" t="str">
            <v xml:space="preserve"> PC SPIRO SP-260 USB</v>
          </cell>
          <cell r="M698"/>
          <cell r="N698" t="str">
            <v>PERUBATAN AM</v>
          </cell>
          <cell r="O698" t="str">
            <v>Unit Rawatan Koronari (CCU)</v>
          </cell>
          <cell r="P698" t="str">
            <v>HM</v>
          </cell>
          <cell r="Q698">
            <v>8880</v>
          </cell>
        </row>
        <row r="699">
          <cell r="E699" t="str">
            <v>KKM/JKN/HSA/10-05-01/H/15/1175</v>
          </cell>
          <cell r="F699" t="str">
            <v>Therapeutic</v>
          </cell>
          <cell r="G699" t="str">
            <v>Intermediate</v>
          </cell>
          <cell r="H699" t="str">
            <v>Infusion Pumps, General-Purpose</v>
          </cell>
          <cell r="I699" t="str">
            <v>PUMP VOLUMETRIC INFUSION (STAND ALONE)</v>
          </cell>
          <cell r="J699" t="str">
            <v>13-215</v>
          </cell>
          <cell r="K699" t="str">
            <v>FRESENIUS KABI</v>
          </cell>
          <cell r="L699" t="str">
            <v>LINK 8+ AGILIA/MOBILE STAND</v>
          </cell>
          <cell r="M699"/>
          <cell r="N699" t="str">
            <v>PERUBATAN AM</v>
          </cell>
          <cell r="O699" t="str">
            <v>Unit Rawatan Koronari (CCU)</v>
          </cell>
          <cell r="P699" t="str">
            <v>HM</v>
          </cell>
          <cell r="Q699">
            <v>7245</v>
          </cell>
        </row>
        <row r="700">
          <cell r="E700" t="str">
            <v>KKM/JKN/HSA/10-05-01/H/15/1176</v>
          </cell>
          <cell r="F700" t="str">
            <v>Therapeutic</v>
          </cell>
          <cell r="G700" t="str">
            <v>Intermediate</v>
          </cell>
          <cell r="H700" t="str">
            <v>Infusion Pumps, General-Purpose</v>
          </cell>
          <cell r="I700" t="str">
            <v>PUMP VOLUMETRIC INFUSION (STAND ALONE)</v>
          </cell>
          <cell r="J700" t="str">
            <v>13-215</v>
          </cell>
          <cell r="K700" t="str">
            <v>FRESENIUS KABI</v>
          </cell>
          <cell r="L700" t="str">
            <v>LINK 8+ AGILIA/MOBILE STAND</v>
          </cell>
          <cell r="M700"/>
          <cell r="N700" t="str">
            <v>PERUBATAN AM</v>
          </cell>
          <cell r="O700" t="str">
            <v>Unit Rawatan Koronari (CCU)</v>
          </cell>
          <cell r="P700" t="str">
            <v>HM</v>
          </cell>
          <cell r="Q700">
            <v>7245</v>
          </cell>
        </row>
        <row r="701">
          <cell r="E701" t="str">
            <v>KKM/JKN/HSA/10-05-01/H/15/1177</v>
          </cell>
          <cell r="F701" t="str">
            <v>Therapeutic</v>
          </cell>
          <cell r="G701" t="str">
            <v>Intermediate</v>
          </cell>
          <cell r="H701" t="str">
            <v>Infusion Pumps, General-Purpose</v>
          </cell>
          <cell r="I701" t="str">
            <v>PUMP VOLUMETRIC INFUSION (STAND ALONE)</v>
          </cell>
          <cell r="J701" t="str">
            <v>13-215</v>
          </cell>
          <cell r="K701" t="str">
            <v>FRESENIUS KABI</v>
          </cell>
          <cell r="L701" t="str">
            <v>LINK 8+ AGILIA/MOBILE STAND</v>
          </cell>
          <cell r="M701"/>
          <cell r="N701" t="str">
            <v>PERUBATAN AM</v>
          </cell>
          <cell r="O701" t="str">
            <v>Unit Rawatan Koronari (CCU)</v>
          </cell>
          <cell r="P701" t="str">
            <v>HM</v>
          </cell>
          <cell r="Q701">
            <v>7245</v>
          </cell>
        </row>
        <row r="702">
          <cell r="E702" t="str">
            <v>KKM/JKN/HSA/10-05-01/H/15/1178</v>
          </cell>
          <cell r="F702" t="str">
            <v>Therapeutic</v>
          </cell>
          <cell r="G702" t="str">
            <v>Intermediate</v>
          </cell>
          <cell r="H702" t="str">
            <v>Infusion Pumps, General-Purpose</v>
          </cell>
          <cell r="I702" t="str">
            <v>PUMP VOLUMETRIC INFUSION (STAND ALONE)</v>
          </cell>
          <cell r="J702" t="str">
            <v>13-215</v>
          </cell>
          <cell r="K702" t="str">
            <v>FRESENIUS KABI</v>
          </cell>
          <cell r="L702" t="str">
            <v>LINK 8+ AGILIA/MOBILE STAND</v>
          </cell>
          <cell r="M702"/>
          <cell r="N702" t="str">
            <v>PERUBATAN AM</v>
          </cell>
          <cell r="O702" t="str">
            <v>Unit Rawatan Koronari (CCU)</v>
          </cell>
          <cell r="P702" t="str">
            <v>HM</v>
          </cell>
          <cell r="Q702">
            <v>7245</v>
          </cell>
        </row>
        <row r="703">
          <cell r="E703" t="str">
            <v>KKM/JKN/HSA/10-05-01/H/15/1179</v>
          </cell>
          <cell r="F703" t="str">
            <v>Therapeutic</v>
          </cell>
          <cell r="G703" t="str">
            <v>Intermediate</v>
          </cell>
          <cell r="H703" t="str">
            <v>Infusion Pumps, General-Purpose</v>
          </cell>
          <cell r="I703" t="str">
            <v>PUMP VOLUMETRIC INFUSION (STAND ALONE)</v>
          </cell>
          <cell r="J703" t="str">
            <v>13-215</v>
          </cell>
          <cell r="K703" t="str">
            <v>FRESENIUS KABI</v>
          </cell>
          <cell r="L703" t="str">
            <v>LINK 8+ AGILIA/MOBILE STAND</v>
          </cell>
          <cell r="M703"/>
          <cell r="N703" t="str">
            <v>PERUBATAN AM</v>
          </cell>
          <cell r="O703" t="str">
            <v>Unit Rawatan Koronari (CCU)</v>
          </cell>
          <cell r="P703" t="str">
            <v>HM</v>
          </cell>
          <cell r="Q703">
            <v>7245</v>
          </cell>
        </row>
        <row r="704">
          <cell r="E704" t="str">
            <v>KKM/JKN/HSA/10-05-01/H/15/1180</v>
          </cell>
          <cell r="F704" t="str">
            <v>Therapeutic</v>
          </cell>
          <cell r="G704" t="str">
            <v>Intermediate</v>
          </cell>
          <cell r="H704" t="str">
            <v>Infusion Pumps, General-Purpose</v>
          </cell>
          <cell r="I704" t="str">
            <v>PUMP VOLUMETRIC INFUSION (STAND ALONE)</v>
          </cell>
          <cell r="J704" t="str">
            <v>13-215</v>
          </cell>
          <cell r="K704" t="str">
            <v>FRESENIUS KABI</v>
          </cell>
          <cell r="L704" t="str">
            <v>LINK 8+ AGILIA/MOBILE STAND</v>
          </cell>
          <cell r="M704"/>
          <cell r="N704" t="str">
            <v>PERUBATAN AM</v>
          </cell>
          <cell r="O704" t="str">
            <v>Unit Rawatan Koronari (CCU)</v>
          </cell>
          <cell r="P704" t="str">
            <v>HM</v>
          </cell>
          <cell r="Q704">
            <v>7245</v>
          </cell>
        </row>
        <row r="705">
          <cell r="E705" t="str">
            <v>KKM/JKN/HSA/10-05-01/H/15/1181</v>
          </cell>
          <cell r="F705" t="str">
            <v>Therapeutic</v>
          </cell>
          <cell r="G705" t="str">
            <v>Intermediate</v>
          </cell>
          <cell r="H705" t="str">
            <v>Infusion Pumps, General-Purpose</v>
          </cell>
          <cell r="I705" t="str">
            <v>PUMP VOLUMETRIC INFUSION (STAND ALONE)</v>
          </cell>
          <cell r="J705" t="str">
            <v>13-215</v>
          </cell>
          <cell r="K705" t="str">
            <v>FRESENIUS KABI</v>
          </cell>
          <cell r="L705" t="str">
            <v>LINK 8+ AGILIA/MOBILE STAND</v>
          </cell>
          <cell r="M705"/>
          <cell r="N705" t="str">
            <v>PERUBATAN AM</v>
          </cell>
          <cell r="O705" t="str">
            <v>Unit Rawatan Koronari (CCU)</v>
          </cell>
          <cell r="P705" t="str">
            <v>HM</v>
          </cell>
          <cell r="Q705">
            <v>7245</v>
          </cell>
        </row>
        <row r="706">
          <cell r="E706" t="str">
            <v>KKM/JKN/HSA/10-05-01/H/15/914</v>
          </cell>
          <cell r="F706" t="str">
            <v>Therapeutic</v>
          </cell>
          <cell r="G706" t="str">
            <v>Intermediate</v>
          </cell>
          <cell r="H706" t="str">
            <v>Infusion Pumps, Syringe</v>
          </cell>
          <cell r="I706" t="str">
            <v>PUMP SYRINGE BASIC DOSE RATE (STAND ALONE)</v>
          </cell>
          <cell r="J706" t="str">
            <v>13-217</v>
          </cell>
          <cell r="K706" t="str">
            <v>FRESENIUS KABI</v>
          </cell>
          <cell r="L706" t="str">
            <v>INJECTOMAT MC AGILIA</v>
          </cell>
          <cell r="M706"/>
          <cell r="N706" t="str">
            <v>PERUBATAN AM</v>
          </cell>
          <cell r="O706" t="str">
            <v>Unit Rawatan Koronari (CCU)</v>
          </cell>
          <cell r="P706" t="str">
            <v>HM</v>
          </cell>
          <cell r="Q706">
            <v>4300</v>
          </cell>
        </row>
        <row r="707">
          <cell r="E707" t="str">
            <v>KKM/JKN/HSA/10-05-01/H/15/915</v>
          </cell>
          <cell r="F707" t="str">
            <v>Therapeutic</v>
          </cell>
          <cell r="G707" t="str">
            <v>Intermediate</v>
          </cell>
          <cell r="H707" t="str">
            <v>Infusion Pumps, Syringe</v>
          </cell>
          <cell r="I707" t="str">
            <v>PUMP SYRINGE BASIC DOSE RATE (STAND ALONE)</v>
          </cell>
          <cell r="J707" t="str">
            <v>13-217</v>
          </cell>
          <cell r="K707" t="str">
            <v>FRESENIUS KABI</v>
          </cell>
          <cell r="L707" t="str">
            <v>INJECTOMAT MC AGILIA</v>
          </cell>
          <cell r="M707"/>
          <cell r="N707" t="str">
            <v>PERUBATAN AM</v>
          </cell>
          <cell r="O707" t="str">
            <v>Unit Rawatan Koronari (CCU)</v>
          </cell>
          <cell r="P707" t="str">
            <v>HM</v>
          </cell>
          <cell r="Q707">
            <v>4300</v>
          </cell>
        </row>
        <row r="708">
          <cell r="E708" t="str">
            <v>KKM/JKN/HSA/10-05-01/H/15/916</v>
          </cell>
          <cell r="F708" t="str">
            <v>Therapeutic</v>
          </cell>
          <cell r="G708" t="str">
            <v>Intermediate</v>
          </cell>
          <cell r="H708" t="str">
            <v>Infusion Pumps, Syringe</v>
          </cell>
          <cell r="I708" t="str">
            <v>PUMP SYRINGE BASIC DOSE RATE (STAND ALONE)</v>
          </cell>
          <cell r="J708" t="str">
            <v>13-217</v>
          </cell>
          <cell r="K708" t="str">
            <v>FRESENIUS KABI</v>
          </cell>
          <cell r="L708" t="str">
            <v>INJECTOMAT MC AGILIA</v>
          </cell>
          <cell r="M708"/>
          <cell r="N708" t="str">
            <v>PERUBATAN AM</v>
          </cell>
          <cell r="O708" t="str">
            <v>Unit Rawatan Koronari (CCU)</v>
          </cell>
          <cell r="P708" t="str">
            <v>HM</v>
          </cell>
          <cell r="Q708">
            <v>4300</v>
          </cell>
        </row>
        <row r="709">
          <cell r="E709" t="str">
            <v>KKM/JKN/HSA/10-05-01/H/15/618</v>
          </cell>
          <cell r="F709" t="str">
            <v>Therapeutic</v>
          </cell>
          <cell r="G709" t="str">
            <v>Intermediate</v>
          </cell>
          <cell r="H709" t="str">
            <v>Infusion Pumps, Syringe</v>
          </cell>
          <cell r="I709" t="str">
            <v>PUMP SYRINGE BASIC DOSE RATE (STAND ALONE)</v>
          </cell>
          <cell r="J709" t="str">
            <v>13-217</v>
          </cell>
          <cell r="K709" t="str">
            <v>FRESENIUS KABI</v>
          </cell>
          <cell r="L709" t="str">
            <v>INJECTOMAT MC AGILIA</v>
          </cell>
          <cell r="M709"/>
          <cell r="N709" t="str">
            <v>PERUBATAN AM</v>
          </cell>
          <cell r="O709" t="str">
            <v>Unit Rawatan Koronari (CCU)</v>
          </cell>
          <cell r="P709" t="str">
            <v>HM</v>
          </cell>
          <cell r="Q709">
            <v>4300</v>
          </cell>
        </row>
        <row r="710">
          <cell r="E710" t="str">
            <v>KKM/JKN/HSA/10-05-01/H/15/620</v>
          </cell>
          <cell r="F710" t="str">
            <v>Therapeutic</v>
          </cell>
          <cell r="G710" t="str">
            <v>Intermediate</v>
          </cell>
          <cell r="H710" t="str">
            <v>Infusion Pumps, Syringe</v>
          </cell>
          <cell r="I710" t="str">
            <v>PUMP SYRINGE BASIC DOSE RATE (STAND ALONE)</v>
          </cell>
          <cell r="J710" t="str">
            <v>13-217</v>
          </cell>
          <cell r="K710" t="str">
            <v>FRESENIUS KABI</v>
          </cell>
          <cell r="L710" t="str">
            <v>INJECTOMAT MC AGILIA</v>
          </cell>
          <cell r="M710"/>
          <cell r="N710" t="str">
            <v>PERUBATAN AM</v>
          </cell>
          <cell r="O710" t="str">
            <v>Unit Rawatan Koronari (CCU)</v>
          </cell>
          <cell r="P710" t="str">
            <v>HM</v>
          </cell>
          <cell r="Q710">
            <v>4300</v>
          </cell>
        </row>
        <row r="711">
          <cell r="E711" t="str">
            <v>KKM/JKN/HSA/10-05-01/H/15/621</v>
          </cell>
          <cell r="F711" t="str">
            <v>Therapeutic</v>
          </cell>
          <cell r="G711" t="str">
            <v>Intermediate</v>
          </cell>
          <cell r="H711" t="str">
            <v>Infusion Pumps, Syringe</v>
          </cell>
          <cell r="I711" t="str">
            <v>PUMP SYRINGE BASIC DOSE RATE (STAND ALONE)</v>
          </cell>
          <cell r="J711" t="str">
            <v>13-217</v>
          </cell>
          <cell r="K711" t="str">
            <v>FRESENIUS KABI</v>
          </cell>
          <cell r="L711" t="str">
            <v>INJECTOMAT MC AGILIA</v>
          </cell>
          <cell r="M711"/>
          <cell r="N711" t="str">
            <v>PERUBATAN AM</v>
          </cell>
          <cell r="O711" t="str">
            <v>Unit Rawatan Koronari (CCU)</v>
          </cell>
          <cell r="P711" t="str">
            <v>HM</v>
          </cell>
          <cell r="Q711">
            <v>4300</v>
          </cell>
        </row>
        <row r="712">
          <cell r="E712" t="str">
            <v>KKM/JKN/HSA/10-05-01/H/15/622</v>
          </cell>
          <cell r="F712" t="str">
            <v>Therapeutic</v>
          </cell>
          <cell r="G712" t="str">
            <v>Intermediate</v>
          </cell>
          <cell r="H712" t="str">
            <v>Infusion Pumps, Syringe</v>
          </cell>
          <cell r="I712" t="str">
            <v>PUMP SYRINGE BASIC DOSE RATE (STAND ALONE)</v>
          </cell>
          <cell r="J712" t="str">
            <v>13-217</v>
          </cell>
          <cell r="K712" t="str">
            <v>FRESENIUS KABI</v>
          </cell>
          <cell r="L712" t="str">
            <v>INJECTOMAT MC AGILIA</v>
          </cell>
          <cell r="M712"/>
          <cell r="N712" t="str">
            <v>PERUBATAN AM</v>
          </cell>
          <cell r="O712" t="str">
            <v>Unit Rawatan Koronari (CCU)</v>
          </cell>
          <cell r="P712" t="str">
            <v>HM</v>
          </cell>
          <cell r="Q712">
            <v>4300</v>
          </cell>
        </row>
        <row r="713">
          <cell r="E713" t="str">
            <v>KKM/JKN/HSA/10-05-01/H/15/623</v>
          </cell>
          <cell r="F713" t="str">
            <v>Therapeutic</v>
          </cell>
          <cell r="G713" t="str">
            <v>Intermediate</v>
          </cell>
          <cell r="H713" t="str">
            <v>Infusion Pumps, Syringe</v>
          </cell>
          <cell r="I713" t="str">
            <v>PUMP SYRINGE BASIC DOSE RATE (STAND ALONE)</v>
          </cell>
          <cell r="J713" t="str">
            <v>13-217</v>
          </cell>
          <cell r="K713" t="str">
            <v>FRESENIUS KABI</v>
          </cell>
          <cell r="L713" t="str">
            <v>INJECTOMAT MC AGILIA</v>
          </cell>
          <cell r="M713"/>
          <cell r="N713" t="str">
            <v>PERUBATAN AM</v>
          </cell>
          <cell r="O713" t="str">
            <v>Unit Rawatan Koronari (CCU)</v>
          </cell>
          <cell r="P713" t="str">
            <v>HM</v>
          </cell>
          <cell r="Q713">
            <v>4300</v>
          </cell>
        </row>
        <row r="714">
          <cell r="E714" t="str">
            <v>KKM/JKN/HSA/10-05-01/H/15/624</v>
          </cell>
          <cell r="F714" t="str">
            <v>Therapeutic</v>
          </cell>
          <cell r="G714" t="str">
            <v>Intermediate</v>
          </cell>
          <cell r="H714" t="str">
            <v>Infusion Pumps, Syringe</v>
          </cell>
          <cell r="I714" t="str">
            <v>PUMP SYRINGE BASIC DOSE RATE (STAND ALONE)</v>
          </cell>
          <cell r="J714" t="str">
            <v>13-217</v>
          </cell>
          <cell r="K714" t="str">
            <v>FRESENIUS KABI</v>
          </cell>
          <cell r="L714" t="str">
            <v>INJECTOMAT MC AGILIA</v>
          </cell>
          <cell r="M714"/>
          <cell r="N714" t="str">
            <v>PERUBATAN AM</v>
          </cell>
          <cell r="O714" t="str">
            <v>Unit Rawatan Koronari (CCU)</v>
          </cell>
          <cell r="P714" t="str">
            <v>HM</v>
          </cell>
          <cell r="Q714">
            <v>4300</v>
          </cell>
        </row>
        <row r="715">
          <cell r="E715" t="str">
            <v>KKM/JKN/HSA/10-05-01/H/15/625</v>
          </cell>
          <cell r="F715" t="str">
            <v>Therapeutic</v>
          </cell>
          <cell r="G715" t="str">
            <v>Intermediate</v>
          </cell>
          <cell r="H715" t="str">
            <v>Infusion Pumps, Syringe</v>
          </cell>
          <cell r="I715" t="str">
            <v>PUMP SYRINGE BASIC DOSE RATE (STAND ALONE)</v>
          </cell>
          <cell r="J715" t="str">
            <v>13-217</v>
          </cell>
          <cell r="K715" t="str">
            <v>FRESENIUS KABI</v>
          </cell>
          <cell r="L715" t="str">
            <v>INJECTOMAT MC AGILIA</v>
          </cell>
          <cell r="M715"/>
          <cell r="N715" t="str">
            <v>PERUBATAN AM</v>
          </cell>
          <cell r="O715" t="str">
            <v>Unit Rawatan Koronari (CCU)</v>
          </cell>
          <cell r="P715" t="str">
            <v>HM</v>
          </cell>
          <cell r="Q715">
            <v>4300</v>
          </cell>
        </row>
        <row r="716">
          <cell r="E716" t="str">
            <v>KKM/JKN/HSA/10-05-01/H/15/626</v>
          </cell>
          <cell r="F716" t="str">
            <v>Therapeutic</v>
          </cell>
          <cell r="G716" t="str">
            <v>Intermediate</v>
          </cell>
          <cell r="H716" t="str">
            <v>Infusion Pumps, Syringe</v>
          </cell>
          <cell r="I716" t="str">
            <v>PUMP SYRINGE BASIC DOSE RATE (STAND ALONE)</v>
          </cell>
          <cell r="J716" t="str">
            <v>13-217</v>
          </cell>
          <cell r="K716" t="str">
            <v>FRESENIUS KABI</v>
          </cell>
          <cell r="L716" t="str">
            <v>INJECTOMAT MC AGILIA</v>
          </cell>
          <cell r="M716"/>
          <cell r="N716" t="str">
            <v>PERUBATAN AM</v>
          </cell>
          <cell r="O716" t="str">
            <v>Unit Rawatan Koronari (CCU)</v>
          </cell>
          <cell r="P716" t="str">
            <v>HM</v>
          </cell>
          <cell r="Q716">
            <v>4300</v>
          </cell>
        </row>
        <row r="717">
          <cell r="E717" t="str">
            <v>KKM/JKN/HSA/10-05-01/H/15/627</v>
          </cell>
          <cell r="F717" t="str">
            <v>Therapeutic</v>
          </cell>
          <cell r="G717" t="str">
            <v>Intermediate</v>
          </cell>
          <cell r="H717" t="str">
            <v>Infusion Pumps, Syringe</v>
          </cell>
          <cell r="I717" t="str">
            <v>PUMP SYRINGE BASIC DOSE RATE (STAND ALONE)</v>
          </cell>
          <cell r="J717" t="str">
            <v>13-217</v>
          </cell>
          <cell r="K717" t="str">
            <v>FRESENIUS KABI</v>
          </cell>
          <cell r="L717" t="str">
            <v>INJECTOMAT MC AGILIA</v>
          </cell>
          <cell r="M717"/>
          <cell r="N717" t="str">
            <v>PERUBATAN AM</v>
          </cell>
          <cell r="O717" t="str">
            <v>Unit Rawatan Koronari (CCU)</v>
          </cell>
          <cell r="P717" t="str">
            <v>HM</v>
          </cell>
          <cell r="Q717">
            <v>4300</v>
          </cell>
        </row>
        <row r="718">
          <cell r="E718" t="str">
            <v>KKM/JKN/HSA/10-05-01/H/15/628</v>
          </cell>
          <cell r="F718" t="str">
            <v>Therapeutic</v>
          </cell>
          <cell r="G718" t="str">
            <v>Intermediate</v>
          </cell>
          <cell r="H718" t="str">
            <v>Infusion Pumps, Syringe</v>
          </cell>
          <cell r="I718" t="str">
            <v>PUMP SYRINGE BASIC DOSE RATE (STAND ALONE)</v>
          </cell>
          <cell r="J718" t="str">
            <v>13-217</v>
          </cell>
          <cell r="K718" t="str">
            <v>FRESENIUS KABI</v>
          </cell>
          <cell r="L718" t="str">
            <v>INJECTOMAT MC AGILIA</v>
          </cell>
          <cell r="M718"/>
          <cell r="N718" t="str">
            <v>PERUBATAN AM</v>
          </cell>
          <cell r="O718" t="str">
            <v>Unit Rawatan Koronari (CCU)</v>
          </cell>
          <cell r="P718" t="str">
            <v>HM</v>
          </cell>
          <cell r="Q718">
            <v>4300</v>
          </cell>
        </row>
        <row r="719">
          <cell r="E719" t="str">
            <v>KKM/JKN/HSA/10-05-01/H/15/629</v>
          </cell>
          <cell r="F719" t="str">
            <v>Therapeutic</v>
          </cell>
          <cell r="G719" t="str">
            <v>Intermediate</v>
          </cell>
          <cell r="H719" t="str">
            <v>Infusion Pumps, Syringe</v>
          </cell>
          <cell r="I719" t="str">
            <v>PUMP SYRINGE BASIC DOSE RATE (STAND ALONE)</v>
          </cell>
          <cell r="J719" t="str">
            <v>13-217</v>
          </cell>
          <cell r="K719" t="str">
            <v>FRESENIUS KABI</v>
          </cell>
          <cell r="L719" t="str">
            <v>INJECTOMAT MC AGILIA</v>
          </cell>
          <cell r="M719"/>
          <cell r="N719" t="str">
            <v>PERUBATAN AM</v>
          </cell>
          <cell r="O719" t="str">
            <v>Unit Rawatan Koronari (CCU)</v>
          </cell>
          <cell r="P719" t="str">
            <v>HM</v>
          </cell>
          <cell r="Q719">
            <v>4300</v>
          </cell>
        </row>
        <row r="720">
          <cell r="E720" t="str">
            <v>KKM/JKN/HSA/10-05-01/H/15/630</v>
          </cell>
          <cell r="F720" t="str">
            <v>Therapeutic</v>
          </cell>
          <cell r="G720" t="str">
            <v>Intermediate</v>
          </cell>
          <cell r="H720" t="str">
            <v>Infusion Pumps, Syringe</v>
          </cell>
          <cell r="I720" t="str">
            <v>PUMP SYRINGE BASIC DOSE RATE (STAND ALONE)</v>
          </cell>
          <cell r="J720" t="str">
            <v>13-217</v>
          </cell>
          <cell r="K720" t="str">
            <v>FRESENIUS KABI</v>
          </cell>
          <cell r="L720" t="str">
            <v>INJECTOMAT MC AGILIA</v>
          </cell>
          <cell r="M720"/>
          <cell r="N720" t="str">
            <v>PERUBATAN AM</v>
          </cell>
          <cell r="O720" t="str">
            <v>Unit Rawatan Koronari (CCU)</v>
          </cell>
          <cell r="P720" t="str">
            <v>HM</v>
          </cell>
          <cell r="Q720">
            <v>4300</v>
          </cell>
        </row>
        <row r="721">
          <cell r="E721" t="str">
            <v>KKM/JKN/HSA/10-05-01/H/15/632</v>
          </cell>
          <cell r="F721" t="str">
            <v>Therapeutic</v>
          </cell>
          <cell r="G721" t="str">
            <v>Intermediate</v>
          </cell>
          <cell r="H721" t="str">
            <v>Infusion Pumps, Syringe</v>
          </cell>
          <cell r="I721" t="str">
            <v>PUMP SYRINGE BASIC DOSE RATE (STAND ALONE)</v>
          </cell>
          <cell r="J721" t="str">
            <v>13-217</v>
          </cell>
          <cell r="K721" t="str">
            <v>FRESENIUS KABI</v>
          </cell>
          <cell r="L721" t="str">
            <v>INJECTOMAT MC AGILIA</v>
          </cell>
          <cell r="M721"/>
          <cell r="N721" t="str">
            <v>PERUBATAN AM</v>
          </cell>
          <cell r="O721" t="str">
            <v>Unit Rawatan Koronari (CCU)</v>
          </cell>
          <cell r="P721" t="str">
            <v>HM</v>
          </cell>
          <cell r="Q721">
            <v>4300</v>
          </cell>
        </row>
        <row r="722">
          <cell r="E722" t="str">
            <v>KKM/JKN/HSA/10-05-01/H/15/635</v>
          </cell>
          <cell r="F722" t="str">
            <v>Therapeutic</v>
          </cell>
          <cell r="G722" t="str">
            <v>Intermediate</v>
          </cell>
          <cell r="H722" t="str">
            <v>Infusion Pumps, Syringe</v>
          </cell>
          <cell r="I722" t="str">
            <v>PUMP SYRINGE BASIC DOSE RATE (STAND ALONE)</v>
          </cell>
          <cell r="J722" t="str">
            <v>13-217</v>
          </cell>
          <cell r="K722" t="str">
            <v>FRESENIUS KABI</v>
          </cell>
          <cell r="L722" t="str">
            <v>INJECTOMAT MC AGILIA</v>
          </cell>
          <cell r="M722"/>
          <cell r="N722" t="str">
            <v>PERUBATAN AM</v>
          </cell>
          <cell r="O722" t="str">
            <v>Unit Rawatan Koronari (CCU)</v>
          </cell>
          <cell r="P722" t="str">
            <v>HM</v>
          </cell>
          <cell r="Q722">
            <v>4300</v>
          </cell>
        </row>
        <row r="723">
          <cell r="E723" t="str">
            <v>KKM/JKN/HSA/10-05-01/H/15/636</v>
          </cell>
          <cell r="F723" t="str">
            <v>Therapeutic</v>
          </cell>
          <cell r="G723" t="str">
            <v>Intermediate</v>
          </cell>
          <cell r="H723" t="str">
            <v>Infusion Pumps, Syringe</v>
          </cell>
          <cell r="I723" t="str">
            <v>PUMP SYRINGE BASIC DOSE RATE (STAND ALONE)</v>
          </cell>
          <cell r="J723" t="str">
            <v>13-217</v>
          </cell>
          <cell r="K723" t="str">
            <v>FRESENIUS KABI</v>
          </cell>
          <cell r="L723" t="str">
            <v>INJECTOMAT MC AGILIA</v>
          </cell>
          <cell r="M723"/>
          <cell r="N723" t="str">
            <v>PERUBATAN AM</v>
          </cell>
          <cell r="O723" t="str">
            <v>Unit Rawatan Koronari (CCU)</v>
          </cell>
          <cell r="P723" t="str">
            <v>HM</v>
          </cell>
          <cell r="Q723">
            <v>4300</v>
          </cell>
        </row>
        <row r="724">
          <cell r="E724" t="str">
            <v>KKM/JKN/HSA/10-05-01/H/15/637</v>
          </cell>
          <cell r="F724" t="str">
            <v>Therapeutic</v>
          </cell>
          <cell r="G724" t="str">
            <v>Intermediate</v>
          </cell>
          <cell r="H724" t="str">
            <v>Infusion Pumps, Syringe</v>
          </cell>
          <cell r="I724" t="str">
            <v>PUMP SYRINGE BASIC DOSE RATE (STAND ALONE)</v>
          </cell>
          <cell r="J724" t="str">
            <v>13-217</v>
          </cell>
          <cell r="K724" t="str">
            <v>FRESENIUS KABI</v>
          </cell>
          <cell r="L724" t="str">
            <v>INJECTOMAT MC AGILIA</v>
          </cell>
          <cell r="M724"/>
          <cell r="N724" t="str">
            <v>PERUBATAN AM</v>
          </cell>
          <cell r="O724" t="str">
            <v>Unit Rawatan Koronari (CCU)</v>
          </cell>
          <cell r="P724" t="str">
            <v>HM</v>
          </cell>
          <cell r="Q724">
            <v>4300</v>
          </cell>
        </row>
        <row r="725">
          <cell r="E725" t="str">
            <v>KKM/JKN/HSA/10-05-01/H/15/638</v>
          </cell>
          <cell r="F725" t="str">
            <v>Therapeutic</v>
          </cell>
          <cell r="G725" t="str">
            <v>Intermediate</v>
          </cell>
          <cell r="H725" t="str">
            <v>Infusion Pumps, Syringe</v>
          </cell>
          <cell r="I725" t="str">
            <v>PUMP SYRINGE BASIC DOSE RATE (STAND ALONE)</v>
          </cell>
          <cell r="J725" t="str">
            <v>13-217</v>
          </cell>
          <cell r="K725" t="str">
            <v>FRESENIUS KABI</v>
          </cell>
          <cell r="L725" t="str">
            <v>INJECTOMAT MC AGILIA</v>
          </cell>
          <cell r="M725"/>
          <cell r="N725" t="str">
            <v>PERUBATAN AM</v>
          </cell>
          <cell r="O725" t="str">
            <v>Unit Rawatan Koronari (CCU)</v>
          </cell>
          <cell r="P725" t="str">
            <v>HM</v>
          </cell>
          <cell r="Q725">
            <v>4300</v>
          </cell>
        </row>
        <row r="726">
          <cell r="E726" t="str">
            <v>KKM/JKN/HSA/10-05-01/H/15/639</v>
          </cell>
          <cell r="F726" t="str">
            <v>Therapeutic</v>
          </cell>
          <cell r="G726" t="str">
            <v>Intermediate</v>
          </cell>
          <cell r="H726" t="str">
            <v>Infusion Pumps, Syringe</v>
          </cell>
          <cell r="I726" t="str">
            <v>PUMP SYRINGE BASIC DOSE RATE (STAND ALONE)</v>
          </cell>
          <cell r="J726" t="str">
            <v>13-217</v>
          </cell>
          <cell r="K726" t="str">
            <v>FRESENIUS KABI</v>
          </cell>
          <cell r="L726" t="str">
            <v>INJECTOMAT MC AGILIA</v>
          </cell>
          <cell r="M726"/>
          <cell r="N726" t="str">
            <v>PERUBATAN AM</v>
          </cell>
          <cell r="O726" t="str">
            <v>Unit Rawatan Koronari (CCU)</v>
          </cell>
          <cell r="P726" t="str">
            <v>HM</v>
          </cell>
          <cell r="Q726">
            <v>4300</v>
          </cell>
        </row>
        <row r="727">
          <cell r="E727" t="str">
            <v>KKM/JKN/HSA/10-05-01/H/15/640</v>
          </cell>
          <cell r="F727" t="str">
            <v>Therapeutic</v>
          </cell>
          <cell r="G727" t="str">
            <v>Intermediate</v>
          </cell>
          <cell r="H727" t="str">
            <v>Infusion Pumps, Syringe</v>
          </cell>
          <cell r="I727" t="str">
            <v>PUMP SYRINGE BASIC DOSE RATE (STAND ALONE)</v>
          </cell>
          <cell r="J727" t="str">
            <v>13-217</v>
          </cell>
          <cell r="K727" t="str">
            <v>FRESENIUS KABI</v>
          </cell>
          <cell r="L727" t="str">
            <v>INJECTOMAT MC AGILIA</v>
          </cell>
          <cell r="M727"/>
          <cell r="N727" t="str">
            <v>PERUBATAN AM</v>
          </cell>
          <cell r="O727" t="str">
            <v>Unit Rawatan Koronari (CCU)</v>
          </cell>
          <cell r="P727" t="str">
            <v>HM</v>
          </cell>
          <cell r="Q727">
            <v>4300</v>
          </cell>
        </row>
        <row r="728">
          <cell r="E728" t="str">
            <v>KKM/JKN/HSA/10-05-01/H/15/641</v>
          </cell>
          <cell r="F728" t="str">
            <v>Therapeutic</v>
          </cell>
          <cell r="G728" t="str">
            <v>Intermediate</v>
          </cell>
          <cell r="H728" t="str">
            <v>Infusion Pumps, Syringe</v>
          </cell>
          <cell r="I728" t="str">
            <v>PUMP SYRINGE BASIC DOSE RATE (STAND ALONE)</v>
          </cell>
          <cell r="J728" t="str">
            <v>13-217</v>
          </cell>
          <cell r="K728" t="str">
            <v>FRESENIUS KABI</v>
          </cell>
          <cell r="L728" t="str">
            <v>INJECTOMAT MC AGILIA</v>
          </cell>
          <cell r="M728"/>
          <cell r="N728" t="str">
            <v>PERUBATAN AM</v>
          </cell>
          <cell r="O728" t="str">
            <v>Unit Rawatan Koronari (CCU)</v>
          </cell>
          <cell r="P728" t="str">
            <v>HM</v>
          </cell>
          <cell r="Q728">
            <v>4300</v>
          </cell>
        </row>
        <row r="729">
          <cell r="E729" t="str">
            <v>KKM/JKN/HSA/10-05-01/H/15/642</v>
          </cell>
          <cell r="F729" t="str">
            <v>Therapeutic</v>
          </cell>
          <cell r="G729" t="str">
            <v>Intermediate</v>
          </cell>
          <cell r="H729" t="str">
            <v>Infusion Pumps, Syringe</v>
          </cell>
          <cell r="I729" t="str">
            <v>PUMP SYRINGE BASIC DOSE RATE (STAND ALONE)</v>
          </cell>
          <cell r="J729" t="str">
            <v>13-217</v>
          </cell>
          <cell r="K729" t="str">
            <v>FRESENIUS KABI</v>
          </cell>
          <cell r="L729" t="str">
            <v>INJECTOMAT MC AGILIA</v>
          </cell>
          <cell r="M729"/>
          <cell r="N729" t="str">
            <v>PERUBATAN AM</v>
          </cell>
          <cell r="O729" t="str">
            <v>Unit Rawatan Koronari (CCU)</v>
          </cell>
          <cell r="P729" t="str">
            <v>HM</v>
          </cell>
          <cell r="Q729">
            <v>4300</v>
          </cell>
        </row>
        <row r="730">
          <cell r="E730" t="str">
            <v>KKM/JKN/HSA/10-05-01/H/15/643</v>
          </cell>
          <cell r="F730" t="str">
            <v>Therapeutic</v>
          </cell>
          <cell r="G730" t="str">
            <v>Intermediate</v>
          </cell>
          <cell r="H730" t="str">
            <v>Infusion Pumps, Syringe</v>
          </cell>
          <cell r="I730" t="str">
            <v>PUMP SYRINGE BASIC DOSE RATE (STAND ALONE)</v>
          </cell>
          <cell r="J730" t="str">
            <v>13-217</v>
          </cell>
          <cell r="K730" t="str">
            <v>FRESENIUS KABI</v>
          </cell>
          <cell r="L730" t="str">
            <v>INJECTOMAT MC AGILIA</v>
          </cell>
          <cell r="M730"/>
          <cell r="N730" t="str">
            <v>PERUBATAN AM</v>
          </cell>
          <cell r="O730" t="str">
            <v>Unit Rawatan Koronari (CCU)</v>
          </cell>
          <cell r="P730" t="str">
            <v>HM</v>
          </cell>
          <cell r="Q730">
            <v>4300</v>
          </cell>
        </row>
        <row r="731">
          <cell r="E731" t="str">
            <v>KKM/JKN/HSA/10-05-01/H/15/644</v>
          </cell>
          <cell r="F731" t="str">
            <v>Therapeutic</v>
          </cell>
          <cell r="G731" t="str">
            <v>Intermediate</v>
          </cell>
          <cell r="H731" t="str">
            <v>Infusion Pumps, Syringe</v>
          </cell>
          <cell r="I731" t="str">
            <v>PUMP SYRINGE BASIC DOSE RATE (STAND ALONE)</v>
          </cell>
          <cell r="J731" t="str">
            <v>13-217</v>
          </cell>
          <cell r="K731" t="str">
            <v>FRESENIUS KABI</v>
          </cell>
          <cell r="L731" t="str">
            <v>INJECTOMAT MC AGILIA</v>
          </cell>
          <cell r="M731"/>
          <cell r="N731" t="str">
            <v>PERUBATAN AM</v>
          </cell>
          <cell r="O731" t="str">
            <v>Unit Rawatan Koronari (CCU)</v>
          </cell>
          <cell r="P731" t="str">
            <v>HM</v>
          </cell>
          <cell r="Q731">
            <v>4300</v>
          </cell>
        </row>
        <row r="732">
          <cell r="E732" t="str">
            <v>KKM/JKN/HSA/10-05-01/H/15/645</v>
          </cell>
          <cell r="F732" t="str">
            <v>Therapeutic</v>
          </cell>
          <cell r="G732" t="str">
            <v>Intermediate</v>
          </cell>
          <cell r="H732" t="str">
            <v>Infusion Pumps, Syringe</v>
          </cell>
          <cell r="I732" t="str">
            <v>PUMP SYRINGE BASIC DOSE RATE (STAND ALONE)</v>
          </cell>
          <cell r="J732" t="str">
            <v>13-217</v>
          </cell>
          <cell r="K732" t="str">
            <v>FRESENIUS KABI</v>
          </cell>
          <cell r="L732" t="str">
            <v>INJECTOMAT MC AGILIA</v>
          </cell>
          <cell r="M732"/>
          <cell r="N732" t="str">
            <v>PERUBATAN AM</v>
          </cell>
          <cell r="O732" t="str">
            <v>Unit Rawatan Koronari (CCU)</v>
          </cell>
          <cell r="P732" t="str">
            <v>HM</v>
          </cell>
          <cell r="Q732">
            <v>4300</v>
          </cell>
        </row>
        <row r="733">
          <cell r="E733" t="str">
            <v>KKM/JKN/HSA/10-05-01/H/15/646</v>
          </cell>
          <cell r="F733" t="str">
            <v>Therapeutic</v>
          </cell>
          <cell r="G733" t="str">
            <v>Intermediate</v>
          </cell>
          <cell r="H733" t="str">
            <v>Infusion Pumps, Syringe</v>
          </cell>
          <cell r="I733" t="str">
            <v>PUMP SYRINGE BASIC DOSE RATE (STAND ALONE)</v>
          </cell>
          <cell r="J733" t="str">
            <v>13-217</v>
          </cell>
          <cell r="K733" t="str">
            <v>FRESENIUS KABI</v>
          </cell>
          <cell r="L733" t="str">
            <v>INJECTOMAT MC AGILIA</v>
          </cell>
          <cell r="M733"/>
          <cell r="N733" t="str">
            <v>PERUBATAN AM</v>
          </cell>
          <cell r="O733" t="str">
            <v>Unit Rawatan Koronari (CCU)</v>
          </cell>
          <cell r="P733" t="str">
            <v>HM</v>
          </cell>
          <cell r="Q733">
            <v>4300</v>
          </cell>
        </row>
        <row r="734">
          <cell r="E734" t="str">
            <v>KKM/JKN/HSA/10-05-01/H/15/647</v>
          </cell>
          <cell r="F734" t="str">
            <v>Therapeutic</v>
          </cell>
          <cell r="G734" t="str">
            <v>Intermediate</v>
          </cell>
          <cell r="H734" t="str">
            <v>Infusion Pumps, Syringe</v>
          </cell>
          <cell r="I734" t="str">
            <v>PUMP SYRINGE BASIC DOSE RATE (STAND ALONE)</v>
          </cell>
          <cell r="J734" t="str">
            <v>13-217</v>
          </cell>
          <cell r="K734" t="str">
            <v>FRESENIUS KABI</v>
          </cell>
          <cell r="L734" t="str">
            <v>INJECTOMAT MC AGILIA</v>
          </cell>
          <cell r="M734"/>
          <cell r="N734" t="str">
            <v>PERUBATAN AM</v>
          </cell>
          <cell r="O734" t="str">
            <v>Unit Rawatan Koronari (CCU)</v>
          </cell>
          <cell r="P734" t="str">
            <v>HM</v>
          </cell>
          <cell r="Q734">
            <v>4300</v>
          </cell>
        </row>
        <row r="735">
          <cell r="E735" t="str">
            <v>KKM/JKN/HSA/10-05-01/H/15/648</v>
          </cell>
          <cell r="F735" t="str">
            <v>Therapeutic</v>
          </cell>
          <cell r="G735" t="str">
            <v>Intermediate</v>
          </cell>
          <cell r="H735" t="str">
            <v>Infusion Pumps, Syringe</v>
          </cell>
          <cell r="I735" t="str">
            <v>PUMP SYRINGE BASIC DOSE RATE (STAND ALONE)</v>
          </cell>
          <cell r="J735" t="str">
            <v>13-217</v>
          </cell>
          <cell r="K735" t="str">
            <v>FRESENIUS KABI</v>
          </cell>
          <cell r="L735" t="str">
            <v>INJECTOMAT MC AGILIA</v>
          </cell>
          <cell r="M735"/>
          <cell r="N735" t="str">
            <v>PERUBATAN AM</v>
          </cell>
          <cell r="O735" t="str">
            <v>Unit Rawatan Koronari (CCU)</v>
          </cell>
          <cell r="P735" t="str">
            <v>HM</v>
          </cell>
          <cell r="Q735">
            <v>4300</v>
          </cell>
        </row>
        <row r="736">
          <cell r="E736" t="str">
            <v>KKM/JKN/HSA/10-05-01/H/15/649</v>
          </cell>
          <cell r="F736" t="str">
            <v>Therapeutic</v>
          </cell>
          <cell r="G736" t="str">
            <v>Intermediate</v>
          </cell>
          <cell r="H736" t="str">
            <v>Infusion Pumps, Syringe</v>
          </cell>
          <cell r="I736" t="str">
            <v>PUMP SYRINGE BASIC DOSE RATE (STAND ALONE)</v>
          </cell>
          <cell r="J736" t="str">
            <v>13-217</v>
          </cell>
          <cell r="K736" t="str">
            <v>FRESENIUS KABI</v>
          </cell>
          <cell r="L736" t="str">
            <v>INJECTOMAT MC AGILIA</v>
          </cell>
          <cell r="M736"/>
          <cell r="N736" t="str">
            <v>PERUBATAN AM</v>
          </cell>
          <cell r="O736" t="str">
            <v>Unit Rawatan Koronari (CCU)</v>
          </cell>
          <cell r="P736" t="str">
            <v>HM</v>
          </cell>
          <cell r="Q736">
            <v>4300</v>
          </cell>
        </row>
        <row r="737">
          <cell r="E737" t="str">
            <v>KKM/JKN/HSA/10-05-01/H/15/650</v>
          </cell>
          <cell r="F737" t="str">
            <v>Therapeutic</v>
          </cell>
          <cell r="G737" t="str">
            <v>Intermediate</v>
          </cell>
          <cell r="H737" t="str">
            <v>Infusion Pumps, Syringe</v>
          </cell>
          <cell r="I737" t="str">
            <v>PUMP SYRINGE BASIC DOSE RATE (STAND ALONE)</v>
          </cell>
          <cell r="J737" t="str">
            <v>13-217</v>
          </cell>
          <cell r="K737" t="str">
            <v>FRESENIUS KABI</v>
          </cell>
          <cell r="L737" t="str">
            <v>INJECTOMAT MC AGILIA</v>
          </cell>
          <cell r="M737"/>
          <cell r="N737" t="str">
            <v>PERUBATAN AM</v>
          </cell>
          <cell r="O737" t="str">
            <v>Unit Rawatan Koronari (CCU)</v>
          </cell>
          <cell r="P737" t="str">
            <v>HM</v>
          </cell>
          <cell r="Q737">
            <v>4300</v>
          </cell>
        </row>
        <row r="738">
          <cell r="E738" t="str">
            <v>KKM/JKN/HSA/10-05-01/H/15/651</v>
          </cell>
          <cell r="F738" t="str">
            <v>Therapeutic</v>
          </cell>
          <cell r="G738" t="str">
            <v>Intermediate</v>
          </cell>
          <cell r="H738" t="str">
            <v>Infusion Pumps, Syringe</v>
          </cell>
          <cell r="I738" t="str">
            <v>PUMP SYRINGE BASIC DOSE RATE (STAND ALONE)</v>
          </cell>
          <cell r="J738" t="str">
            <v>13-217</v>
          </cell>
          <cell r="K738" t="str">
            <v>FRESENIUS KABI</v>
          </cell>
          <cell r="L738" t="str">
            <v>INJECTOMAT MC AGILIA</v>
          </cell>
          <cell r="M738"/>
          <cell r="N738" t="str">
            <v>PERUBATAN AM</v>
          </cell>
          <cell r="O738" t="str">
            <v>Unit Rawatan Koronari (CCU)</v>
          </cell>
          <cell r="P738" t="str">
            <v>HM</v>
          </cell>
          <cell r="Q738">
            <v>4300</v>
          </cell>
        </row>
        <row r="739">
          <cell r="E739" t="str">
            <v>KKM/JKN/HSA/10-05-01/H/15/1773</v>
          </cell>
          <cell r="F739" t="str">
            <v>Therapeutic</v>
          </cell>
          <cell r="G739" t="str">
            <v>Basic</v>
          </cell>
          <cell r="H739" t="str">
            <v>Pumps, Enteral Feeding</v>
          </cell>
          <cell r="I739" t="str">
            <v>PUMP ENTERAL FEEDING</v>
          </cell>
          <cell r="J739" t="str">
            <v>13-209</v>
          </cell>
          <cell r="K739" t="str">
            <v>FRESENIUS KABI</v>
          </cell>
          <cell r="L739" t="str">
            <v>APPLIX VISION</v>
          </cell>
          <cell r="M739"/>
          <cell r="N739" t="str">
            <v>PERUBATAN AM</v>
          </cell>
          <cell r="O739" t="str">
            <v>Unit Rawatan Koronari (CCU)</v>
          </cell>
          <cell r="P739" t="str">
            <v>HM</v>
          </cell>
          <cell r="Q739">
            <v>2975</v>
          </cell>
        </row>
        <row r="740">
          <cell r="E740" t="str">
            <v>KKM/JKN/HSA/10-05-01/R/15/16169</v>
          </cell>
          <cell r="F740" t="str">
            <v>Therapeutic</v>
          </cell>
          <cell r="G740" t="str">
            <v>Basic</v>
          </cell>
          <cell r="H740" t="str">
            <v>Nebulizers, Heated</v>
          </cell>
          <cell r="I740" t="str">
            <v>NEBULISER</v>
          </cell>
          <cell r="J740" t="str">
            <v>12-716</v>
          </cell>
          <cell r="K740" t="str">
            <v>PHILIPS</v>
          </cell>
          <cell r="L740" t="str">
            <v xml:space="preserve"> INNOSPIRE DELUXE</v>
          </cell>
          <cell r="M740"/>
          <cell r="N740" t="str">
            <v>PERUBATAN AM</v>
          </cell>
          <cell r="O740" t="str">
            <v>Unit Rawatan Koronari (CCU)</v>
          </cell>
          <cell r="P740" t="str">
            <v>ABR</v>
          </cell>
          <cell r="Q740">
            <v>1950</v>
          </cell>
        </row>
        <row r="741">
          <cell r="E741" t="str">
            <v>KKM/JKN/HSA/10-05-01/R/15/16170</v>
          </cell>
          <cell r="F741" t="str">
            <v>Therapeutic</v>
          </cell>
          <cell r="G741" t="str">
            <v>Basic</v>
          </cell>
          <cell r="H741" t="str">
            <v>Nebulizers, Heated</v>
          </cell>
          <cell r="I741" t="str">
            <v>NEBULISER</v>
          </cell>
          <cell r="J741" t="str">
            <v>12-716</v>
          </cell>
          <cell r="K741" t="str">
            <v>PHILIPS</v>
          </cell>
          <cell r="L741" t="str">
            <v xml:space="preserve"> INNOSPIRE DELUXE</v>
          </cell>
          <cell r="M741"/>
          <cell r="N741" t="str">
            <v>PERUBATAN AM</v>
          </cell>
          <cell r="O741" t="str">
            <v>Unit Rawatan Koronari (CCU)</v>
          </cell>
          <cell r="P741" t="str">
            <v>ABR</v>
          </cell>
          <cell r="Q741">
            <v>1950</v>
          </cell>
        </row>
        <row r="742">
          <cell r="E742" t="str">
            <v>KKM/JKN/HSA/10-05-01/R/15/16171</v>
          </cell>
          <cell r="F742" t="str">
            <v>Therapeutic</v>
          </cell>
          <cell r="G742" t="str">
            <v>Basic</v>
          </cell>
          <cell r="H742" t="str">
            <v>Nebulizers, Heated</v>
          </cell>
          <cell r="I742" t="str">
            <v>NEBULISER</v>
          </cell>
          <cell r="J742" t="str">
            <v>12-716</v>
          </cell>
          <cell r="K742" t="str">
            <v>PHILIPS</v>
          </cell>
          <cell r="L742" t="str">
            <v xml:space="preserve"> INNOSPIRE DELUXE</v>
          </cell>
          <cell r="M742"/>
          <cell r="N742" t="str">
            <v>PERUBATAN AM</v>
          </cell>
          <cell r="O742" t="str">
            <v>Unit Rawatan Koronari (CCU)</v>
          </cell>
          <cell r="P742" t="str">
            <v>ABR</v>
          </cell>
          <cell r="Q742">
            <v>1950</v>
          </cell>
        </row>
        <row r="743">
          <cell r="E743" t="str">
            <v>KKM/JKN/HSA/10-05-01/H/15/579</v>
          </cell>
          <cell r="F743" t="str">
            <v xml:space="preserve">Diagnostic </v>
          </cell>
          <cell r="G743" t="str">
            <v>Intermediate</v>
          </cell>
          <cell r="H743" t="str">
            <v>Physiologic Monitoring Systems, Acute Care</v>
          </cell>
          <cell r="I743" t="str">
            <v>MONITOR, TRANSP0RT</v>
          </cell>
          <cell r="J743" t="str">
            <v>12-647</v>
          </cell>
          <cell r="K743" t="str">
            <v>MINDRAY</v>
          </cell>
          <cell r="L743" t="str">
            <v xml:space="preserve"> BENEVIEW T1</v>
          </cell>
          <cell r="M743" t="str">
            <v>SNFB45005661</v>
          </cell>
          <cell r="N743" t="str">
            <v>PERUBATAN AM</v>
          </cell>
          <cell r="O743" t="str">
            <v>Unit Rawatan Koronari (CCU)</v>
          </cell>
          <cell r="P743" t="str">
            <v>HM</v>
          </cell>
          <cell r="Q743">
            <v>15500</v>
          </cell>
        </row>
        <row r="744">
          <cell r="E744" t="str">
            <v>KKM/JKN/HSA/10-05-01/H/15/947</v>
          </cell>
          <cell r="F744" t="str">
            <v xml:space="preserve">Diagnostic </v>
          </cell>
          <cell r="G744" t="str">
            <v>Intermediate</v>
          </cell>
          <cell r="H744" t="str">
            <v>Physiologic Monitoring Systems, Acute Care</v>
          </cell>
          <cell r="I744" t="str">
            <v>MONITOR PRE-CONFIG 6-CH ECG/RR/SP02/NIBP/2TEMP/2IBP/LETHAL ARRHYTH</v>
          </cell>
          <cell r="J744" t="str">
            <v>12-647</v>
          </cell>
          <cell r="K744" t="str">
            <v>MINDRAY</v>
          </cell>
          <cell r="L744" t="str">
            <v>BENEVIEW T5/T1</v>
          </cell>
          <cell r="M744" t="str">
            <v>CF51125630</v>
          </cell>
          <cell r="N744" t="str">
            <v>PERUBATAN AM</v>
          </cell>
          <cell r="O744" t="str">
            <v>Unit Rawatan Koronari (CCU)</v>
          </cell>
          <cell r="P744" t="str">
            <v>HM</v>
          </cell>
          <cell r="Q744">
            <v>31000</v>
          </cell>
        </row>
        <row r="745">
          <cell r="E745" t="str">
            <v>KKM/JKN/HSA/10-05-01/H/15/948</v>
          </cell>
          <cell r="F745" t="str">
            <v xml:space="preserve">Diagnostic </v>
          </cell>
          <cell r="G745" t="str">
            <v>Intermediate</v>
          </cell>
          <cell r="H745" t="str">
            <v>Physiologic Monitoring Systems, Acute Care</v>
          </cell>
          <cell r="I745" t="str">
            <v>MONITOR PRE-CONFIG 6-CH ECG/RR/SP02/NIBP/2TEMP/2IBP/LETHAL ARRHYTH</v>
          </cell>
          <cell r="J745" t="str">
            <v>12-647</v>
          </cell>
          <cell r="K745" t="str">
            <v>MINDRAY</v>
          </cell>
          <cell r="L745" t="str">
            <v>BENEVIEW T5/T1</v>
          </cell>
          <cell r="M745" t="str">
            <v>CF51125631</v>
          </cell>
          <cell r="N745" t="str">
            <v>PERUBATAN AM</v>
          </cell>
          <cell r="O745" t="str">
            <v>Unit Rawatan Koronari (CCU)</v>
          </cell>
          <cell r="P745" t="str">
            <v>HM</v>
          </cell>
          <cell r="Q745">
            <v>31000</v>
          </cell>
        </row>
        <row r="746">
          <cell r="E746" t="str">
            <v>KKM/JKN/HSA/10-05-01/H/15/949</v>
          </cell>
          <cell r="F746" t="str">
            <v xml:space="preserve">Diagnostic </v>
          </cell>
          <cell r="G746" t="str">
            <v>Intermediate</v>
          </cell>
          <cell r="H746" t="str">
            <v>Physiologic Monitoring Systems, Acute Care</v>
          </cell>
          <cell r="I746" t="str">
            <v>MONITOR PRE-CONFIG 6-CH ECG/RR/SP02/NIBP/2TEMP/2IBP/LETHAL ARRHYTH</v>
          </cell>
          <cell r="J746" t="str">
            <v>12-647</v>
          </cell>
          <cell r="K746" t="str">
            <v>MINDRAY</v>
          </cell>
          <cell r="L746" t="str">
            <v>BENEVIEW T5/T1</v>
          </cell>
          <cell r="M746" t="str">
            <v>CF51125632</v>
          </cell>
          <cell r="N746" t="str">
            <v>PERUBATAN AM</v>
          </cell>
          <cell r="O746" t="str">
            <v>Unit Rawatan Koronari (CCU)</v>
          </cell>
          <cell r="P746" t="str">
            <v>HM</v>
          </cell>
          <cell r="Q746">
            <v>31000</v>
          </cell>
        </row>
        <row r="747">
          <cell r="E747"/>
          <cell r="F747" t="str">
            <v xml:space="preserve">Diagnostic </v>
          </cell>
          <cell r="G747" t="str">
            <v>Intermediate</v>
          </cell>
          <cell r="H747" t="str">
            <v>Physiologic Monitoring Systems, Acute Care</v>
          </cell>
          <cell r="I747" t="str">
            <v>MONITOR PRE-CONFIG 6-CH ECG/RR/SP02/NIBP/2TEMP/2IBP/12L/ARRHYTH</v>
          </cell>
          <cell r="J747" t="str">
            <v>12-647</v>
          </cell>
          <cell r="K747" t="str">
            <v>MINDRAY</v>
          </cell>
          <cell r="L747" t="str">
            <v>IPM 12</v>
          </cell>
          <cell r="M747"/>
          <cell r="N747" t="str">
            <v>PERUBATAN AM</v>
          </cell>
          <cell r="O747" t="str">
            <v>Unit Rawatan Koronari (CCU)</v>
          </cell>
          <cell r="P747" t="str">
            <v>HM</v>
          </cell>
          <cell r="Q747">
            <v>19200</v>
          </cell>
        </row>
        <row r="748">
          <cell r="E748"/>
          <cell r="F748" t="str">
            <v xml:space="preserve">Diagnostic </v>
          </cell>
          <cell r="G748" t="str">
            <v>Intermediate</v>
          </cell>
          <cell r="H748" t="str">
            <v>Physiologic Monitoring Systems, Acute Care</v>
          </cell>
          <cell r="I748" t="str">
            <v>MONITOR PRE-CONFIG 6-CH ECG/RR/SP02/NIBP/2TEMP/2IBP/12L/ARRHYTH</v>
          </cell>
          <cell r="J748" t="str">
            <v>12-647</v>
          </cell>
          <cell r="K748" t="str">
            <v>MINDRAY</v>
          </cell>
          <cell r="L748" t="str">
            <v>IPM 12</v>
          </cell>
          <cell r="M748"/>
          <cell r="N748" t="str">
            <v>PERUBATAN AM</v>
          </cell>
          <cell r="O748" t="str">
            <v>Unit Rawatan Koronari (CCU)</v>
          </cell>
          <cell r="P748" t="str">
            <v>HM</v>
          </cell>
          <cell r="Q748">
            <v>19200</v>
          </cell>
        </row>
        <row r="749">
          <cell r="E749"/>
          <cell r="F749" t="str">
            <v xml:space="preserve">Diagnostic </v>
          </cell>
          <cell r="G749" t="str">
            <v>Intermediate</v>
          </cell>
          <cell r="H749" t="str">
            <v>Physiologic Monitoring Systems, Acute Care</v>
          </cell>
          <cell r="I749" t="str">
            <v>MONITOR PRE-CONFIG 6-CH ECG/RR/SP02/NIBP/2TEMP/2IBP/12L/ARRHYTH</v>
          </cell>
          <cell r="J749" t="str">
            <v>12-647</v>
          </cell>
          <cell r="K749" t="str">
            <v>MINDRAY</v>
          </cell>
          <cell r="L749" t="str">
            <v>IPM 12</v>
          </cell>
          <cell r="M749"/>
          <cell r="N749" t="str">
            <v>PERUBATAN AM</v>
          </cell>
          <cell r="O749" t="str">
            <v>Unit Rawatan Koronari (CCU)</v>
          </cell>
          <cell r="P749" t="str">
            <v>HM</v>
          </cell>
          <cell r="Q749">
            <v>19200</v>
          </cell>
        </row>
        <row r="750">
          <cell r="E750"/>
          <cell r="F750" t="str">
            <v xml:space="preserve">Diagnostic </v>
          </cell>
          <cell r="G750" t="str">
            <v>Intermediate</v>
          </cell>
          <cell r="H750" t="str">
            <v>Physiologic Monitoring Systems, Acute Care</v>
          </cell>
          <cell r="I750" t="str">
            <v>MONITOR PRE-CONFIG 6-CH ECG/RR/SP02/NIBP/2TEMP/2IBP/12L/ARRHYTH</v>
          </cell>
          <cell r="J750" t="str">
            <v>12-647</v>
          </cell>
          <cell r="K750" t="str">
            <v>MINDRAY</v>
          </cell>
          <cell r="L750" t="str">
            <v>IPM 12</v>
          </cell>
          <cell r="M750"/>
          <cell r="N750" t="str">
            <v>PERUBATAN AM</v>
          </cell>
          <cell r="O750" t="str">
            <v>Unit Rawatan Koronari (CCU)</v>
          </cell>
          <cell r="P750" t="str">
            <v>HM</v>
          </cell>
          <cell r="Q750">
            <v>19200</v>
          </cell>
        </row>
        <row r="751">
          <cell r="E751" t="str">
            <v>KKM/JKN/HSA/10-05-01/H/15/1014</v>
          </cell>
          <cell r="F751" t="str">
            <v xml:space="preserve">Diagnostic </v>
          </cell>
          <cell r="G751" t="str">
            <v>Intermediate</v>
          </cell>
          <cell r="H751" t="str">
            <v>Monitors, Physiologic, Vital Signs</v>
          </cell>
          <cell r="I751" t="str">
            <v>MONITOR NIBP/SP02</v>
          </cell>
          <cell r="J751" t="str">
            <v>25-209</v>
          </cell>
          <cell r="K751" t="str">
            <v>WELCH ALLYN</v>
          </cell>
          <cell r="L751" t="str">
            <v>WELCH ALLYN VSM 300</v>
          </cell>
          <cell r="M751" t="str">
            <v>JA123471</v>
          </cell>
          <cell r="N751" t="str">
            <v>PERUBATAN AM</v>
          </cell>
          <cell r="O751" t="str">
            <v>Unit Rawatan Koronari (CCU)</v>
          </cell>
          <cell r="P751" t="str">
            <v>HM</v>
          </cell>
          <cell r="Q751">
            <v>5185</v>
          </cell>
        </row>
        <row r="752">
          <cell r="E752" t="str">
            <v>KKM/JKN/HSA/10-05-01/H/15/1096</v>
          </cell>
          <cell r="F752" t="str">
            <v>Therapeutic</v>
          </cell>
          <cell r="G752" t="str">
            <v>Basic</v>
          </cell>
          <cell r="H752" t="str">
            <v>Aspirators, Thoracic</v>
          </cell>
          <cell r="I752" t="str">
            <v>METER SUCTION UNDERWATER SEAL</v>
          </cell>
          <cell r="J752" t="str">
            <v xml:space="preserve">
10-218</v>
          </cell>
          <cell r="K752" t="str">
            <v>ALLIED HEALTHCARE</v>
          </cell>
          <cell r="L752" t="str">
            <v>GOMCO/ 01-23-3840</v>
          </cell>
          <cell r="M752">
            <v>20141117003</v>
          </cell>
          <cell r="N752" t="str">
            <v>PERUBATAN AM</v>
          </cell>
          <cell r="O752" t="str">
            <v>Unit Rawatan Koronari (CCU)</v>
          </cell>
          <cell r="P752" t="str">
            <v>HM</v>
          </cell>
          <cell r="Q752">
            <v>5455</v>
          </cell>
        </row>
        <row r="753">
          <cell r="E753" t="str">
            <v>KKM/JKN/HSA/10-05-01/H/15/1097</v>
          </cell>
          <cell r="F753" t="str">
            <v>Therapeutic</v>
          </cell>
          <cell r="G753" t="str">
            <v>Basic</v>
          </cell>
          <cell r="H753" t="str">
            <v>Aspirators, Thoracic</v>
          </cell>
          <cell r="I753" t="str">
            <v>METER SUCTION UNDERWATER SEAL</v>
          </cell>
          <cell r="J753" t="str">
            <v xml:space="preserve">
10-218</v>
          </cell>
          <cell r="K753" t="str">
            <v>ALLIED HEALTHCARE</v>
          </cell>
          <cell r="L753" t="str">
            <v>GOMCO/ 01-23-3840</v>
          </cell>
          <cell r="M753">
            <v>20141117006</v>
          </cell>
          <cell r="N753" t="str">
            <v>PERUBATAN AM</v>
          </cell>
          <cell r="O753" t="str">
            <v>Unit Rawatan Koronari (CCU)</v>
          </cell>
          <cell r="P753" t="str">
            <v>HM</v>
          </cell>
          <cell r="Q753">
            <v>5455</v>
          </cell>
        </row>
        <row r="754">
          <cell r="E754"/>
          <cell r="F754" t="str">
            <v xml:space="preserve">Diagnostic </v>
          </cell>
          <cell r="G754" t="str">
            <v>Intermediate</v>
          </cell>
          <cell r="H754" t="str">
            <v>Physiologic Monitoring Systems, Acute Care</v>
          </cell>
          <cell r="I754" t="str">
            <v>LASER PRINTER FOR CENTRAL STATION</v>
          </cell>
          <cell r="J754" t="str">
            <v>12-647</v>
          </cell>
          <cell r="K754" t="str">
            <v>MINDRAY</v>
          </cell>
          <cell r="L754" t="str">
            <v>HP LASERJET PRINTER</v>
          </cell>
          <cell r="M754" t="str">
            <v>VNH4704695</v>
          </cell>
          <cell r="N754" t="str">
            <v>PERUBATAN AM</v>
          </cell>
          <cell r="O754" t="str">
            <v>Unit Rawatan Koronari (CCU)</v>
          </cell>
          <cell r="P754" t="str">
            <v>HM</v>
          </cell>
          <cell r="Q754">
            <v>3499</v>
          </cell>
        </row>
        <row r="755">
          <cell r="E755" t="str">
            <v>KKM/JKN/HSA/10-05-01/H/15/1654</v>
          </cell>
          <cell r="F755" t="str">
            <v>Therapeutic</v>
          </cell>
          <cell r="G755" t="str">
            <v>Intermediate</v>
          </cell>
          <cell r="H755" t="str">
            <v>Hemofiltration Units</v>
          </cell>
          <cell r="I755" t="str">
            <v>HAEMODIAFILTRATION SYSTEM</v>
          </cell>
          <cell r="J755" t="str">
            <v>15-039</v>
          </cell>
          <cell r="K755" t="str">
            <v>FRESENIUS MEDICAL CARE</v>
          </cell>
          <cell r="L755" t="str">
            <v>5008S</v>
          </cell>
          <cell r="M755" t="str">
            <v>VSAP122</v>
          </cell>
          <cell r="N755" t="str">
            <v>NEFROLOGI</v>
          </cell>
          <cell r="O755" t="str">
            <v>Unit Rawatan Koronari (CCU)</v>
          </cell>
          <cell r="P755" t="str">
            <v>HM</v>
          </cell>
          <cell r="Q755">
            <v>50000</v>
          </cell>
        </row>
        <row r="756">
          <cell r="E756" t="str">
            <v>KKM/JKN/HSA/10-05-01/H/15/896</v>
          </cell>
          <cell r="F756" t="str">
            <v xml:space="preserve">Diagnostic </v>
          </cell>
          <cell r="G756" t="str">
            <v>Intermediate</v>
          </cell>
          <cell r="H756" t="str">
            <v>Physiologic Monitoring Systems, Acute Care</v>
          </cell>
          <cell r="I756" t="str">
            <v>FULL ARRHYTHMIA SOFTWARE MODULE</v>
          </cell>
          <cell r="J756" t="str">
            <v>12-647</v>
          </cell>
          <cell r="K756" t="str">
            <v>MINDRAY</v>
          </cell>
          <cell r="L756" t="str">
            <v>ECG ALGORITHM</v>
          </cell>
          <cell r="M756"/>
          <cell r="N756" t="str">
            <v>PERUBATAN AM</v>
          </cell>
          <cell r="O756" t="str">
            <v>Unit Rawatan Koronari (CCU)</v>
          </cell>
          <cell r="P756" t="str">
            <v>HM</v>
          </cell>
          <cell r="Q756">
            <v>2700</v>
          </cell>
        </row>
        <row r="757">
          <cell r="E757" t="str">
            <v>KKM/JKN/HSA/10-05-01/H/15/897</v>
          </cell>
          <cell r="F757" t="str">
            <v xml:space="preserve">Diagnostic </v>
          </cell>
          <cell r="G757" t="str">
            <v>Intermediate</v>
          </cell>
          <cell r="H757" t="str">
            <v>Physiologic Monitoring Systems, Acute Care</v>
          </cell>
          <cell r="I757" t="str">
            <v>FULL ARRHYTHMIA SOFTWARE MODULE</v>
          </cell>
          <cell r="J757" t="str">
            <v>12-647</v>
          </cell>
          <cell r="K757" t="str">
            <v>MINDRAY</v>
          </cell>
          <cell r="L757" t="str">
            <v>ECG ALGORITHM</v>
          </cell>
          <cell r="M757"/>
          <cell r="N757" t="str">
            <v>PERUBATAN AM</v>
          </cell>
          <cell r="O757" t="str">
            <v>Unit Rawatan Koronari (CCU)</v>
          </cell>
          <cell r="P757" t="str">
            <v>HM</v>
          </cell>
          <cell r="Q757">
            <v>2700</v>
          </cell>
        </row>
        <row r="758">
          <cell r="E758" t="str">
            <v>KKM/JKN/HSA/10-05-01/H/15/898</v>
          </cell>
          <cell r="F758" t="str">
            <v xml:space="preserve">Diagnostic </v>
          </cell>
          <cell r="G758" t="str">
            <v>Intermediate</v>
          </cell>
          <cell r="H758" t="str">
            <v>Physiologic Monitoring Systems, Acute Care</v>
          </cell>
          <cell r="I758" t="str">
            <v>FULL ARRHYTHMIA SOFTWARE MODULE</v>
          </cell>
          <cell r="J758" t="str">
            <v>12-647</v>
          </cell>
          <cell r="K758" t="str">
            <v>MINDRAY</v>
          </cell>
          <cell r="L758" t="str">
            <v>ECG ALGORITHM</v>
          </cell>
          <cell r="M758"/>
          <cell r="N758" t="str">
            <v>PERUBATAN AM</v>
          </cell>
          <cell r="O758" t="str">
            <v>Unit Rawatan Koronari (CCU)</v>
          </cell>
          <cell r="P758" t="str">
            <v>HM</v>
          </cell>
          <cell r="Q758">
            <v>2700</v>
          </cell>
        </row>
        <row r="759">
          <cell r="E759" t="str">
            <v>KKM/JKN/HSA/10-05-01/H/15/652</v>
          </cell>
          <cell r="F759" t="str">
            <v>Therapeutic</v>
          </cell>
          <cell r="G759" t="str">
            <v>Intermediate</v>
          </cell>
          <cell r="H759" t="str">
            <v>Pacemakers, Cardiac, External, Invasive Electrodes, Transvenous</v>
          </cell>
          <cell r="I759" t="str">
            <v>EXTERNAL PACEMAKER</v>
          </cell>
          <cell r="J759" t="str">
            <v>12-912</v>
          </cell>
          <cell r="K759" t="str">
            <v>MAQUET</v>
          </cell>
          <cell r="L759" t="str">
            <v xml:space="preserve"> PACE T10</v>
          </cell>
          <cell r="M759" t="str">
            <v>SN90500491</v>
          </cell>
          <cell r="N759" t="str">
            <v>PERUBATAN AM</v>
          </cell>
          <cell r="O759" t="str">
            <v>Unit Rawatan Koronari (CCU)</v>
          </cell>
          <cell r="P759" t="str">
            <v>HM</v>
          </cell>
          <cell r="Q759">
            <v>9900</v>
          </cell>
        </row>
        <row r="760">
          <cell r="E760" t="str">
            <v>KKM/JKN/HSA/10-05-01/H/15/653</v>
          </cell>
          <cell r="F760" t="str">
            <v>Therapeutic</v>
          </cell>
          <cell r="G760" t="str">
            <v>Intermediate</v>
          </cell>
          <cell r="H760" t="str">
            <v>Pacemakers, Cardiac, External, Invasive Electrodes, Transvenous</v>
          </cell>
          <cell r="I760" t="str">
            <v>EXTERNAL PACEMAKER</v>
          </cell>
          <cell r="J760" t="str">
            <v>12-912</v>
          </cell>
          <cell r="K760" t="str">
            <v>MAQUET</v>
          </cell>
          <cell r="L760" t="str">
            <v xml:space="preserve"> PACE T10</v>
          </cell>
          <cell r="M760" t="str">
            <v>SN90500497</v>
          </cell>
          <cell r="N760" t="str">
            <v>PERUBATAN AM</v>
          </cell>
          <cell r="O760" t="str">
            <v>Unit Rawatan Koronari (CCU)</v>
          </cell>
          <cell r="P760" t="str">
            <v>HM</v>
          </cell>
          <cell r="Q760">
            <v>9900</v>
          </cell>
        </row>
        <row r="761">
          <cell r="E761" t="str">
            <v>KKM/JKN/HSA/10-05-01/H/15/1038</v>
          </cell>
          <cell r="F761" t="str">
            <v xml:space="preserve">Diagnostic </v>
          </cell>
          <cell r="G761" t="str">
            <v>Intermediate</v>
          </cell>
          <cell r="H761" t="str">
            <v>Physiologic Monitoring Systems, Acute Care</v>
          </cell>
          <cell r="I761" t="str">
            <v>EtCO2 MODULE</v>
          </cell>
          <cell r="J761" t="str">
            <v>12-647</v>
          </cell>
          <cell r="K761" t="str">
            <v>MINDRAY</v>
          </cell>
          <cell r="L761" t="str">
            <v>CO2 MODULE</v>
          </cell>
          <cell r="M761" t="str">
            <v>SNDUD52280032</v>
          </cell>
          <cell r="N761" t="str">
            <v>PERUBATAN AM</v>
          </cell>
          <cell r="O761" t="str">
            <v>Unit Rawatan Koronari (CCU)</v>
          </cell>
          <cell r="P761" t="str">
            <v>HM</v>
          </cell>
          <cell r="Q761">
            <v>5900</v>
          </cell>
        </row>
        <row r="762">
          <cell r="E762" t="str">
            <v>KKM/JKN/HSA/10-05-01/H/15/1039</v>
          </cell>
          <cell r="F762" t="str">
            <v xml:space="preserve">Diagnostic </v>
          </cell>
          <cell r="G762" t="str">
            <v>Intermediate</v>
          </cell>
          <cell r="H762" t="str">
            <v>Physiologic Monitoring Systems, Acute Care</v>
          </cell>
          <cell r="I762" t="str">
            <v>EtCO2 MODULE</v>
          </cell>
          <cell r="J762" t="str">
            <v>12-647</v>
          </cell>
          <cell r="K762" t="str">
            <v>MINDRAY</v>
          </cell>
          <cell r="L762" t="str">
            <v>CO2 MODULE</v>
          </cell>
          <cell r="M762" t="str">
            <v>DUD52280051</v>
          </cell>
          <cell r="N762" t="str">
            <v>PERUBATAN AM</v>
          </cell>
          <cell r="O762" t="str">
            <v>Unit Rawatan Koronari (CCU)</v>
          </cell>
          <cell r="P762" t="str">
            <v>HM</v>
          </cell>
          <cell r="Q762">
            <v>5900</v>
          </cell>
        </row>
        <row r="763">
          <cell r="E763" t="str">
            <v>KKM/JKN/HSA/10-05-01/H/15/1040</v>
          </cell>
          <cell r="F763" t="str">
            <v xml:space="preserve">Diagnostic </v>
          </cell>
          <cell r="G763" t="str">
            <v>Intermediate</v>
          </cell>
          <cell r="H763" t="str">
            <v>Physiologic Monitoring Systems, Acute Care</v>
          </cell>
          <cell r="I763" t="str">
            <v>EtCO2 MODULE</v>
          </cell>
          <cell r="J763" t="str">
            <v>12-647</v>
          </cell>
          <cell r="K763" t="str">
            <v>MINDRAY</v>
          </cell>
          <cell r="L763" t="str">
            <v>CO2 MODULE</v>
          </cell>
          <cell r="M763" t="str">
            <v>DUD52280044</v>
          </cell>
          <cell r="N763" t="str">
            <v>PERUBATAN AM</v>
          </cell>
          <cell r="O763" t="str">
            <v>Unit Rawatan Koronari (CCU)</v>
          </cell>
          <cell r="P763" t="str">
            <v>HM</v>
          </cell>
          <cell r="Q763">
            <v>5900</v>
          </cell>
        </row>
        <row r="764">
          <cell r="E764" t="str">
            <v>KKM/JKN/HSA/10-05-01/H/15/1041</v>
          </cell>
          <cell r="F764" t="str">
            <v xml:space="preserve">Diagnostic </v>
          </cell>
          <cell r="G764" t="str">
            <v>Intermediate</v>
          </cell>
          <cell r="H764" t="str">
            <v>Physiologic Monitoring Systems, Acute Care</v>
          </cell>
          <cell r="I764" t="str">
            <v>EtCO2 MODULE</v>
          </cell>
          <cell r="J764" t="str">
            <v>12-647</v>
          </cell>
          <cell r="K764" t="str">
            <v>MINDRAY</v>
          </cell>
          <cell r="L764" t="str">
            <v>CO2 MODULE</v>
          </cell>
          <cell r="M764" t="str">
            <v>DUD52280064</v>
          </cell>
          <cell r="N764" t="str">
            <v>PERUBATAN AM</v>
          </cell>
          <cell r="O764" t="str">
            <v>Unit Rawatan Koronari (CCU)</v>
          </cell>
          <cell r="P764" t="str">
            <v>HM</v>
          </cell>
          <cell r="Q764">
            <v>5900</v>
          </cell>
        </row>
        <row r="765">
          <cell r="E765" t="str">
            <v>KKM/JKN/HSA/10-05-01/H/15/1042</v>
          </cell>
          <cell r="F765" t="str">
            <v xml:space="preserve">Diagnostic </v>
          </cell>
          <cell r="G765" t="str">
            <v>Intermediate</v>
          </cell>
          <cell r="H765" t="str">
            <v>Physiologic Monitoring Systems, Acute Care</v>
          </cell>
          <cell r="I765" t="str">
            <v>EtCO2 MODULE</v>
          </cell>
          <cell r="J765" t="str">
            <v>12-647</v>
          </cell>
          <cell r="K765" t="str">
            <v>MINDRAY</v>
          </cell>
          <cell r="L765" t="str">
            <v>CO2 MODULE</v>
          </cell>
          <cell r="M765" t="str">
            <v>DUD52280069</v>
          </cell>
          <cell r="N765" t="str">
            <v>PERUBATAN AM</v>
          </cell>
          <cell r="O765" t="str">
            <v>Unit Rawatan Koronari (CCU)</v>
          </cell>
          <cell r="P765" t="str">
            <v>HM</v>
          </cell>
          <cell r="Q765">
            <v>5900</v>
          </cell>
        </row>
        <row r="766">
          <cell r="E766" t="str">
            <v>KKM/JKN/HSA/10-05-01/H/15/1043</v>
          </cell>
          <cell r="F766" t="str">
            <v xml:space="preserve">Diagnostic </v>
          </cell>
          <cell r="G766" t="str">
            <v>Intermediate</v>
          </cell>
          <cell r="H766" t="str">
            <v>Physiologic Monitoring Systems, Acute Care</v>
          </cell>
          <cell r="I766" t="str">
            <v>EtCO2 MODULE</v>
          </cell>
          <cell r="J766" t="str">
            <v>12-647</v>
          </cell>
          <cell r="K766" t="str">
            <v>MINDRAY</v>
          </cell>
          <cell r="L766" t="str">
            <v>CO2 MODULE</v>
          </cell>
          <cell r="M766" t="str">
            <v>DUD52280070</v>
          </cell>
          <cell r="N766" t="str">
            <v>PERUBATAN AM</v>
          </cell>
          <cell r="O766" t="str">
            <v>Unit Rawatan Koronari (CCU)</v>
          </cell>
          <cell r="P766" t="str">
            <v>HM</v>
          </cell>
          <cell r="Q766">
            <v>5900</v>
          </cell>
        </row>
        <row r="767">
          <cell r="E767" t="str">
            <v>KKM/JKN/HSA/10-05-01/H/15/1044</v>
          </cell>
          <cell r="F767" t="str">
            <v xml:space="preserve">Diagnostic </v>
          </cell>
          <cell r="G767" t="str">
            <v>Intermediate</v>
          </cell>
          <cell r="H767" t="str">
            <v>Physiologic Monitoring Systems, Acute Care</v>
          </cell>
          <cell r="I767" t="str">
            <v>EtCO2 MODULE</v>
          </cell>
          <cell r="J767" t="str">
            <v>12-647</v>
          </cell>
          <cell r="K767" t="str">
            <v>MINDRAY</v>
          </cell>
          <cell r="L767" t="str">
            <v>CO2 MODULE</v>
          </cell>
          <cell r="M767" t="str">
            <v>DUD52280071</v>
          </cell>
          <cell r="N767" t="str">
            <v>PERUBATAN AM</v>
          </cell>
          <cell r="O767" t="str">
            <v>Unit Rawatan Koronari (CCU)</v>
          </cell>
          <cell r="P767" t="str">
            <v>HM</v>
          </cell>
          <cell r="Q767">
            <v>5900</v>
          </cell>
        </row>
        <row r="768">
          <cell r="E768" t="str">
            <v>KKM/JKN/HSA/10-05-01/H/15/566</v>
          </cell>
          <cell r="F768" t="str">
            <v xml:space="preserve">Diagnostic </v>
          </cell>
          <cell r="G768" t="str">
            <v>Intermediate</v>
          </cell>
          <cell r="H768" t="str">
            <v>Electrocardiographs, Multichannel, Interpretative</v>
          </cell>
          <cell r="I768" t="str">
            <v>ECG RECORDER</v>
          </cell>
          <cell r="J768" t="str">
            <v>16-231</v>
          </cell>
          <cell r="K768" t="str">
            <v>GE HEALTHCARE</v>
          </cell>
          <cell r="L768" t="str">
            <v>MAC 1200</v>
          </cell>
          <cell r="M768">
            <v>550061838</v>
          </cell>
          <cell r="N768" t="str">
            <v>PERUBATAN AM</v>
          </cell>
          <cell r="O768" t="str">
            <v>Unit Rawatan Koronari (CCU)</v>
          </cell>
          <cell r="P768" t="str">
            <v>HM</v>
          </cell>
          <cell r="Q768">
            <v>10000</v>
          </cell>
        </row>
        <row r="769">
          <cell r="E769"/>
          <cell r="F769" t="str">
            <v>Therapeutic</v>
          </cell>
          <cell r="G769" t="str">
            <v>Intermediate</v>
          </cell>
          <cell r="H769" t="str">
            <v>Infusion/ Monitoring Line Organizer System</v>
          </cell>
          <cell r="I769" t="str">
            <v>DOCKING SYSTEM</v>
          </cell>
          <cell r="J769" t="str">
            <v>17-793</v>
          </cell>
          <cell r="K769"/>
          <cell r="L769"/>
          <cell r="M769">
            <v>22233481</v>
          </cell>
          <cell r="N769" t="str">
            <v>PERUBATAN AM</v>
          </cell>
          <cell r="O769" t="str">
            <v>Unit Rawatan Koronari (CCU)</v>
          </cell>
          <cell r="P769" t="str">
            <v>HM</v>
          </cell>
          <cell r="Q769">
            <v>12194</v>
          </cell>
        </row>
        <row r="770">
          <cell r="E770"/>
          <cell r="F770" t="str">
            <v>Therapeutic</v>
          </cell>
          <cell r="G770" t="str">
            <v>Intermediate</v>
          </cell>
          <cell r="H770" t="str">
            <v>Infusion/ Monitoring Line Organizer System</v>
          </cell>
          <cell r="I770" t="str">
            <v>DOCKING SYSTEM</v>
          </cell>
          <cell r="J770" t="str">
            <v>17-793</v>
          </cell>
          <cell r="K770"/>
          <cell r="L770"/>
          <cell r="M770">
            <v>22233480</v>
          </cell>
          <cell r="N770" t="str">
            <v>PERUBATAN AM</v>
          </cell>
          <cell r="O770" t="str">
            <v>Unit Rawatan Koronari (CCU)</v>
          </cell>
          <cell r="P770" t="str">
            <v>HM</v>
          </cell>
          <cell r="Q770">
            <v>12194</v>
          </cell>
        </row>
        <row r="771">
          <cell r="E771"/>
          <cell r="F771" t="str">
            <v>Therapeutic</v>
          </cell>
          <cell r="G771" t="str">
            <v>Intermediate</v>
          </cell>
          <cell r="H771" t="str">
            <v>Infusion/ Monitoring Line Organizer System</v>
          </cell>
          <cell r="I771" t="str">
            <v>DOCKING SYSTEM</v>
          </cell>
          <cell r="J771" t="str">
            <v>17-793</v>
          </cell>
          <cell r="K771"/>
          <cell r="L771"/>
          <cell r="M771">
            <v>22233485</v>
          </cell>
          <cell r="N771" t="str">
            <v>PERUBATAN AM</v>
          </cell>
          <cell r="O771" t="str">
            <v>Unit Rawatan Koronari (CCU)</v>
          </cell>
          <cell r="P771" t="str">
            <v>HM</v>
          </cell>
          <cell r="Q771">
            <v>12194</v>
          </cell>
        </row>
        <row r="772">
          <cell r="E772"/>
          <cell r="F772" t="str">
            <v>Therapeutic</v>
          </cell>
          <cell r="G772" t="str">
            <v>Intermediate</v>
          </cell>
          <cell r="H772" t="str">
            <v>Infusion/ Monitoring Line Organizer System</v>
          </cell>
          <cell r="I772" t="str">
            <v>DOCKING SYSTEM</v>
          </cell>
          <cell r="J772" t="str">
            <v>17-793</v>
          </cell>
          <cell r="K772"/>
          <cell r="L772"/>
          <cell r="M772">
            <v>22233482</v>
          </cell>
          <cell r="N772" t="str">
            <v>PERUBATAN AM</v>
          </cell>
          <cell r="O772" t="str">
            <v>Unit Rawatan Koronari (CCU)</v>
          </cell>
          <cell r="P772" t="str">
            <v>HM</v>
          </cell>
          <cell r="Q772">
            <v>12194</v>
          </cell>
        </row>
        <row r="773">
          <cell r="E773"/>
          <cell r="F773" t="str">
            <v>Therapeutic</v>
          </cell>
          <cell r="G773" t="str">
            <v>Intermediate</v>
          </cell>
          <cell r="H773" t="str">
            <v>Infusion/ Monitoring Line Organizer System</v>
          </cell>
          <cell r="I773" t="str">
            <v>DOCKING SYSTEM</v>
          </cell>
          <cell r="J773" t="str">
            <v>17-793</v>
          </cell>
          <cell r="K773"/>
          <cell r="L773"/>
          <cell r="M773">
            <v>22233484</v>
          </cell>
          <cell r="N773" t="str">
            <v>PERUBATAN AM</v>
          </cell>
          <cell r="O773" t="str">
            <v>Unit Rawatan Koronari (CCU)</v>
          </cell>
          <cell r="P773" t="str">
            <v>HM</v>
          </cell>
          <cell r="Q773">
            <v>12194</v>
          </cell>
        </row>
        <row r="774">
          <cell r="E774" t="str">
            <v>KKM/JKN/HSA/10-05-01/R/15/6988</v>
          </cell>
          <cell r="F774" t="str">
            <v xml:space="preserve">Diagnostic </v>
          </cell>
          <cell r="G774" t="str">
            <v>Intermediate</v>
          </cell>
          <cell r="H774" t="str">
            <v>Physiologic Monitoring Systems, Acute Care</v>
          </cell>
          <cell r="I774" t="str">
            <v>DIGITAL WRITER FOR CENTRAL STATION</v>
          </cell>
          <cell r="J774" t="str">
            <v>12-647</v>
          </cell>
          <cell r="K774" t="str">
            <v>MINDRAY</v>
          </cell>
          <cell r="L774" t="str">
            <v>TR6B</v>
          </cell>
          <cell r="M774"/>
          <cell r="N774" t="str">
            <v>PERUBATAN AM</v>
          </cell>
          <cell r="O774" t="str">
            <v>Unit Rawatan Koronari (CCU)</v>
          </cell>
          <cell r="P774" t="str">
            <v>ABR</v>
          </cell>
          <cell r="Q774">
            <v>1650</v>
          </cell>
        </row>
        <row r="775">
          <cell r="E775" t="str">
            <v xml:space="preserve">KKM/JKN/HSA/10-05-01/H/15/4871
</v>
          </cell>
          <cell r="F775" t="str">
            <v>Therapeutic</v>
          </cell>
          <cell r="G775" t="str">
            <v>Intermediate</v>
          </cell>
          <cell r="H775" t="str">
            <v>Flowmeters, Blood, Ultrasonic</v>
          </cell>
          <cell r="I775" t="str">
            <v>DETECTOR VASCULAR FLOW</v>
          </cell>
          <cell r="J775" t="str">
            <v>10-432</v>
          </cell>
          <cell r="K775" t="str">
            <v>HUNTLEIGH</v>
          </cell>
          <cell r="L775" t="str">
            <v>D900</v>
          </cell>
          <cell r="M775" t="str">
            <v>MD2P10527265-13</v>
          </cell>
          <cell r="N775" t="str">
            <v>PERUBATAN AM</v>
          </cell>
          <cell r="O775" t="str">
            <v>Unit Rawatan Koronari (CCU)</v>
          </cell>
          <cell r="P775" t="str">
            <v>HM</v>
          </cell>
          <cell r="Q775">
            <v>10595</v>
          </cell>
        </row>
        <row r="776">
          <cell r="E776" t="str">
            <v>KKM/JKN/HSA/10-05-01/H/15/3662</v>
          </cell>
          <cell r="F776" t="str">
            <v>Therapeutic</v>
          </cell>
          <cell r="G776" t="str">
            <v>Intermediate</v>
          </cell>
          <cell r="H776" t="str">
            <v xml:space="preserve">Defibrillators, External, Automated </v>
          </cell>
          <cell r="I776" t="str">
            <v>DEFIBRILLATOR W/INTERNAL/EXT PADDLES/PACEMAKER</v>
          </cell>
          <cell r="J776" t="str">
            <v>17-116</v>
          </cell>
          <cell r="K776" t="str">
            <v>PHILIPS</v>
          </cell>
          <cell r="L776" t="str">
            <v>EFFICIA DFM100</v>
          </cell>
          <cell r="M776"/>
          <cell r="N776" t="str">
            <v xml:space="preserve">PERUBATAN AM </v>
          </cell>
          <cell r="O776" t="str">
            <v>Unit Rawatan Koronari (CCU)</v>
          </cell>
          <cell r="P776" t="str">
            <v>HM</v>
          </cell>
          <cell r="Q776">
            <v>14250</v>
          </cell>
        </row>
        <row r="777">
          <cell r="E777" t="str">
            <v>KKM/JKN/HSA/10-05-01/H/15/3663</v>
          </cell>
          <cell r="F777" t="str">
            <v>Therapeutic</v>
          </cell>
          <cell r="G777" t="str">
            <v>Intermediate</v>
          </cell>
          <cell r="H777" t="str">
            <v xml:space="preserve">Defibrillators, External, Automated </v>
          </cell>
          <cell r="I777" t="str">
            <v>DEFIBRILLATOR W/INTERNAL/EXT PADDLES/PACEMAKER</v>
          </cell>
          <cell r="J777" t="str">
            <v>17-116</v>
          </cell>
          <cell r="K777" t="str">
            <v>PHILIPS</v>
          </cell>
          <cell r="L777" t="str">
            <v>EFFICIA DFM100</v>
          </cell>
          <cell r="M777"/>
          <cell r="N777" t="str">
            <v xml:space="preserve">PERUBATAN AM </v>
          </cell>
          <cell r="O777" t="str">
            <v>Unit Rawatan Koronari (CCU)</v>
          </cell>
          <cell r="P777" t="str">
            <v>HM</v>
          </cell>
          <cell r="Q777">
            <v>14250</v>
          </cell>
        </row>
        <row r="778">
          <cell r="E778" t="str">
            <v>KKM/JKN/HSA/10-05-01/H/15/874</v>
          </cell>
          <cell r="F778" t="str">
            <v xml:space="preserve">Diagnostic </v>
          </cell>
          <cell r="G778" t="str">
            <v>Intermediate</v>
          </cell>
          <cell r="H778" t="str">
            <v>Physiologic Monitoring Systems, Acute Care</v>
          </cell>
          <cell r="I778" t="str">
            <v>CENTRAL STATION, CCU</v>
          </cell>
          <cell r="J778" t="str">
            <v>12-647</v>
          </cell>
          <cell r="K778" t="str">
            <v>MINDRAY</v>
          </cell>
          <cell r="L778" t="str">
            <v>HYPERVISOR VI</v>
          </cell>
          <cell r="M778" t="str">
            <v>V-45109264</v>
          </cell>
          <cell r="N778" t="str">
            <v>PERUBATAN AM</v>
          </cell>
          <cell r="O778" t="str">
            <v>Unit Rawatan Koronari (CCU)</v>
          </cell>
          <cell r="P778" t="str">
            <v>HM</v>
          </cell>
          <cell r="Q778">
            <v>73700</v>
          </cell>
        </row>
        <row r="779">
          <cell r="E779" t="str">
            <v>KKM/JKN/HSA/10-05-01/H/1141</v>
          </cell>
          <cell r="F779" t="str">
            <v xml:space="preserve">Diagnostic </v>
          </cell>
          <cell r="G779" t="str">
            <v>Intermediate</v>
          </cell>
          <cell r="H779" t="str">
            <v>Physiologic Monitoring Systems, Acute Care</v>
          </cell>
          <cell r="I779" t="str">
            <v>CARDIAC OUTPUT MODULE</v>
          </cell>
          <cell r="J779" t="str">
            <v>12-647</v>
          </cell>
          <cell r="K779" t="str">
            <v>MINDRAY</v>
          </cell>
          <cell r="L779" t="str">
            <v>C.O MODULE</v>
          </cell>
          <cell r="M779" t="str">
            <v>CFS42260120</v>
          </cell>
          <cell r="N779" t="str">
            <v>PERUBATAN AM</v>
          </cell>
          <cell r="O779" t="str">
            <v>Unit Rawatan Koronari (CCU)</v>
          </cell>
          <cell r="P779" t="str">
            <v>HM</v>
          </cell>
          <cell r="Q779">
            <v>6400</v>
          </cell>
        </row>
        <row r="780">
          <cell r="E780" t="str">
            <v>KKM/JKN/HSA/10-05-01/H/1142</v>
          </cell>
          <cell r="F780" t="str">
            <v xml:space="preserve">Diagnostic </v>
          </cell>
          <cell r="G780" t="str">
            <v>Intermediate</v>
          </cell>
          <cell r="H780" t="str">
            <v>Physiologic Monitoring Systems, Acute Care</v>
          </cell>
          <cell r="I780" t="str">
            <v>CARDIAC OUTPUT MODULE</v>
          </cell>
          <cell r="J780" t="str">
            <v>12-647</v>
          </cell>
          <cell r="K780" t="str">
            <v>MINDRAY</v>
          </cell>
          <cell r="L780" t="str">
            <v>C.O MODULE</v>
          </cell>
          <cell r="M780" t="str">
            <v>CFS4C276642</v>
          </cell>
          <cell r="N780" t="str">
            <v>PERUBATAN AM</v>
          </cell>
          <cell r="O780" t="str">
            <v>Unit Rawatan Koronari (CCU)</v>
          </cell>
          <cell r="P780" t="str">
            <v>HM</v>
          </cell>
          <cell r="Q780">
            <v>6400</v>
          </cell>
        </row>
        <row r="781">
          <cell r="E781" t="str">
            <v>KKM/JKN/HSA/10-05-01/H/1143</v>
          </cell>
          <cell r="F781" t="str">
            <v xml:space="preserve">Diagnostic </v>
          </cell>
          <cell r="G781" t="str">
            <v>Intermediate</v>
          </cell>
          <cell r="H781" t="str">
            <v>Physiologic Monitoring Systems, Acute Care</v>
          </cell>
          <cell r="I781" t="str">
            <v>CARDIAC OUTPUT MODULE</v>
          </cell>
          <cell r="J781" t="str">
            <v>12-647</v>
          </cell>
          <cell r="K781" t="str">
            <v>MINDRAY</v>
          </cell>
          <cell r="L781" t="str">
            <v>C.O MODULE</v>
          </cell>
          <cell r="M781" t="str">
            <v>CFS42260121</v>
          </cell>
          <cell r="N781" t="str">
            <v>PERUBATAN AM</v>
          </cell>
          <cell r="O781" t="str">
            <v>Unit Rawatan Koronari (CCU)</v>
          </cell>
          <cell r="P781" t="str">
            <v>HM</v>
          </cell>
          <cell r="Q781">
            <v>6400</v>
          </cell>
        </row>
        <row r="782">
          <cell r="E782" t="str">
            <v>KKM/JKN/HSA/10-05-01/H/1144</v>
          </cell>
          <cell r="F782" t="str">
            <v xml:space="preserve">Diagnostic </v>
          </cell>
          <cell r="G782" t="str">
            <v>Intermediate</v>
          </cell>
          <cell r="H782" t="str">
            <v>Physiologic Monitoring Systems, Acute Care</v>
          </cell>
          <cell r="I782" t="str">
            <v>CARDIAC OUTPUT MODULE</v>
          </cell>
          <cell r="J782" t="str">
            <v>12-647</v>
          </cell>
          <cell r="K782" t="str">
            <v>MINDRAY</v>
          </cell>
          <cell r="L782" t="str">
            <v>C.O MODULE</v>
          </cell>
          <cell r="M782" t="str">
            <v>CFS4C76643</v>
          </cell>
          <cell r="N782" t="str">
            <v>PERUBATAN AM</v>
          </cell>
          <cell r="O782" t="str">
            <v>Unit Rawatan Koronari (CCU)</v>
          </cell>
          <cell r="P782" t="str">
            <v>HM</v>
          </cell>
          <cell r="Q782">
            <v>6400</v>
          </cell>
        </row>
        <row r="783">
          <cell r="E783" t="str">
            <v>KKM/JKN/HSA/10-05-01/H/1145</v>
          </cell>
          <cell r="F783" t="str">
            <v xml:space="preserve">Diagnostic </v>
          </cell>
          <cell r="G783" t="str">
            <v>Intermediate</v>
          </cell>
          <cell r="H783" t="str">
            <v>Physiologic Monitoring Systems, Acute Care</v>
          </cell>
          <cell r="I783" t="str">
            <v>CARDIAC OUTPUT MODULE</v>
          </cell>
          <cell r="J783" t="str">
            <v>12-647</v>
          </cell>
          <cell r="K783" t="str">
            <v>MINDRAY</v>
          </cell>
          <cell r="L783" t="str">
            <v>C.O MODULE</v>
          </cell>
          <cell r="M783" t="str">
            <v>CFS4B275254</v>
          </cell>
          <cell r="N783" t="str">
            <v>PERUBATAN AM</v>
          </cell>
          <cell r="O783" t="str">
            <v>Unit Rawatan Koronari (CCU)</v>
          </cell>
          <cell r="P783" t="str">
            <v>HM</v>
          </cell>
          <cell r="Q783">
            <v>6400</v>
          </cell>
        </row>
        <row r="784">
          <cell r="E784" t="str">
            <v>KKM/JKN/HSA/10-05-01/H/1146</v>
          </cell>
          <cell r="F784" t="str">
            <v xml:space="preserve">Diagnostic </v>
          </cell>
          <cell r="G784" t="str">
            <v>Intermediate</v>
          </cell>
          <cell r="H784" t="str">
            <v>Physiologic Monitoring Systems, Acute Care</v>
          </cell>
          <cell r="I784" t="str">
            <v>CARDIAC OUTPUT MODULE</v>
          </cell>
          <cell r="J784" t="str">
            <v>12-647</v>
          </cell>
          <cell r="K784" t="str">
            <v>MINDRAY</v>
          </cell>
          <cell r="L784" t="str">
            <v>C.O MODULE</v>
          </cell>
          <cell r="M784" t="str">
            <v>CFS42260122</v>
          </cell>
          <cell r="N784" t="str">
            <v>PERUBATAN AM</v>
          </cell>
          <cell r="O784" t="str">
            <v>Unit Rawatan Koronari (CCU)</v>
          </cell>
          <cell r="P784" t="str">
            <v>HM</v>
          </cell>
          <cell r="Q784">
            <v>6400</v>
          </cell>
        </row>
        <row r="785">
          <cell r="E785" t="str">
            <v>KKM/JKN/HSA/10-05-01/H/15/4013</v>
          </cell>
          <cell r="F785" t="str">
            <v>Laboratory</v>
          </cell>
          <cell r="G785" t="str">
            <v>Intermediate</v>
          </cell>
          <cell r="H785" t="str">
            <v>Analyzers, Laboratory, Blood Gas/pH/Electrolyte</v>
          </cell>
          <cell r="I785" t="str">
            <v>ANALYSER BLOOD GAS + ISE</v>
          </cell>
          <cell r="J785" t="str">
            <v>18-618</v>
          </cell>
          <cell r="K785" t="str">
            <v>NOVA BIOMEDICAL</v>
          </cell>
          <cell r="L785" t="str">
            <v>NOVA PHOX ANALYSER</v>
          </cell>
          <cell r="M785" t="str">
            <v>Z11315010</v>
          </cell>
          <cell r="N785" t="str">
            <v xml:space="preserve">PERUBATAN AM </v>
          </cell>
          <cell r="O785" t="str">
            <v>Unit Rawatan Koronari (CCU)</v>
          </cell>
          <cell r="P785" t="str">
            <v>HM</v>
          </cell>
          <cell r="Q785">
            <v>44070</v>
          </cell>
        </row>
        <row r="786">
          <cell r="E786" t="str">
            <v>KKM/JKN/HSA/10-05-01/H/15/1276</v>
          </cell>
          <cell r="F786" t="str">
            <v>Therapeutic</v>
          </cell>
          <cell r="G786" t="str">
            <v>Basic</v>
          </cell>
          <cell r="H786" t="str">
            <v>Tables, Operating</v>
          </cell>
          <cell r="I786" t="str">
            <v>TABLE OPERATING MINOR PL MATTRESS</v>
          </cell>
          <cell r="J786" t="str">
            <v>13-961</v>
          </cell>
          <cell r="K786" t="str">
            <v>TRUMPF</v>
          </cell>
          <cell r="L786" t="str">
            <v>MERKUR 2.1S 4544057</v>
          </cell>
          <cell r="M786">
            <v>102088179</v>
          </cell>
          <cell r="N786" t="str">
            <v xml:space="preserve">PEMBEDAHAN AM </v>
          </cell>
          <cell r="O786" t="str">
            <v>Unit Rawatan Harian Pembedahan</v>
          </cell>
          <cell r="P786" t="str">
            <v>HM</v>
          </cell>
          <cell r="Q786">
            <v>33294</v>
          </cell>
        </row>
        <row r="787">
          <cell r="E787" t="str">
            <v>KKM/JKN/HSA/10-05-01/H/15/4079</v>
          </cell>
          <cell r="F787" t="str">
            <v>Therapeutic</v>
          </cell>
          <cell r="G787" t="str">
            <v>Basic</v>
          </cell>
          <cell r="H787" t="str">
            <v>Aspirators</v>
          </cell>
          <cell r="I787" t="str">
            <v>SUCTION UNIT 1 X 2L JAR MOBILE</v>
          </cell>
          <cell r="J787" t="str">
            <v>10-208</v>
          </cell>
          <cell r="K787" t="str">
            <v>GIMA</v>
          </cell>
          <cell r="L787" t="str">
            <v>ASKIR C30</v>
          </cell>
          <cell r="M787"/>
          <cell r="N787" t="str">
            <v xml:space="preserve">PEMBEDAHAN AM </v>
          </cell>
          <cell r="O787" t="str">
            <v>Unit Rawatan Harian Pembedahan</v>
          </cell>
          <cell r="P787" t="str">
            <v>HM</v>
          </cell>
          <cell r="Q787">
            <v>3386.5</v>
          </cell>
        </row>
        <row r="788">
          <cell r="E788" t="str">
            <v>KKM/JKN/HSA/10-05-01/R/15/14842</v>
          </cell>
          <cell r="F788" t="str">
            <v xml:space="preserve">Diagnostic </v>
          </cell>
          <cell r="G788" t="str">
            <v>Basic</v>
          </cell>
          <cell r="H788" t="str">
            <v>Sphygmomanometers, Aneroid</v>
          </cell>
          <cell r="I788" t="str">
            <v>SPHYGMOMANOMETER ANEROID DESK MODEL</v>
          </cell>
          <cell r="J788" t="str">
            <v>16-156</v>
          </cell>
          <cell r="K788" t="str">
            <v>RIESTER</v>
          </cell>
          <cell r="L788">
            <v>1453</v>
          </cell>
          <cell r="M788">
            <v>150311409</v>
          </cell>
          <cell r="N788" t="str">
            <v xml:space="preserve">PEMBEDAHAN AM </v>
          </cell>
          <cell r="O788" t="str">
            <v>Unit Rawatan Harian Pembedahan</v>
          </cell>
          <cell r="P788" t="str">
            <v>ABR</v>
          </cell>
          <cell r="Q788">
            <v>452.81</v>
          </cell>
        </row>
        <row r="789">
          <cell r="E789" t="str">
            <v>KKM/JKN/HSA/10-05-01/R/15/14843</v>
          </cell>
          <cell r="F789" t="str">
            <v xml:space="preserve">Diagnostic </v>
          </cell>
          <cell r="G789" t="str">
            <v>Basic</v>
          </cell>
          <cell r="H789" t="str">
            <v>Sphygmomanometers, Aneroid</v>
          </cell>
          <cell r="I789" t="str">
            <v>SPHYGMOMANOMETER ANEROID DESK MODEL</v>
          </cell>
          <cell r="J789" t="str">
            <v>16-156</v>
          </cell>
          <cell r="K789" t="str">
            <v>RIESTER</v>
          </cell>
          <cell r="L789">
            <v>1453</v>
          </cell>
          <cell r="M789">
            <v>150311417</v>
          </cell>
          <cell r="N789" t="str">
            <v xml:space="preserve">PEMBEDAHAN AM </v>
          </cell>
          <cell r="O789" t="str">
            <v>Unit Rawatan Harian Pembedahan</v>
          </cell>
          <cell r="P789" t="str">
            <v>ABR</v>
          </cell>
          <cell r="Q789">
            <v>452.81</v>
          </cell>
        </row>
        <row r="790">
          <cell r="E790" t="str">
            <v>KKM/JKN/HSA/10-05-01/H/15/4951</v>
          </cell>
          <cell r="F790" t="str">
            <v xml:space="preserve">Diagnostic </v>
          </cell>
          <cell r="G790" t="str">
            <v>Intermediate</v>
          </cell>
          <cell r="H790" t="str">
            <v>Electrocardiographs, Multichannel, Interpretative</v>
          </cell>
          <cell r="I790" t="str">
            <v>ECG P0RTABLE MAINS/BATTERY OP</v>
          </cell>
          <cell r="J790" t="str">
            <v>16-231</v>
          </cell>
          <cell r="K790" t="str">
            <v>GE HEALTHCARE</v>
          </cell>
          <cell r="L790" t="str">
            <v>MAC400</v>
          </cell>
          <cell r="M790" t="str">
            <v>SCT11486289PA</v>
          </cell>
          <cell r="N790" t="str">
            <v xml:space="preserve">PEMBEDAHAN AM </v>
          </cell>
          <cell r="O790" t="str">
            <v>Unit Rawatan Harian Pembedahan</v>
          </cell>
          <cell r="P790" t="str">
            <v>HM</v>
          </cell>
          <cell r="Q790">
            <v>2750</v>
          </cell>
        </row>
        <row r="791">
          <cell r="E791" t="str">
            <v>KKM/JKN/HSA/10-05-01/R/15/7354</v>
          </cell>
          <cell r="F791" t="str">
            <v xml:space="preserve">Diagnostic </v>
          </cell>
          <cell r="G791" t="str">
            <v>Basic</v>
          </cell>
          <cell r="H791" t="str">
            <v>Ophthalmoscopes/Otoscopes</v>
          </cell>
          <cell r="I791" t="str">
            <v>DIAGNOSTIC SET ADULT</v>
          </cell>
          <cell r="J791" t="str">
            <v>18-595</v>
          </cell>
          <cell r="K791" t="str">
            <v>RUDOLF RIESTER, GMBH</v>
          </cell>
          <cell r="L791" t="str">
            <v>RI-SCOPE ENT 3761</v>
          </cell>
          <cell r="M791"/>
          <cell r="N791" t="str">
            <v xml:space="preserve">PEMBEDAHAN AM </v>
          </cell>
          <cell r="O791" t="str">
            <v>Unit Rawatan Harian Pembedahan</v>
          </cell>
          <cell r="P791" t="str">
            <v>ABR</v>
          </cell>
          <cell r="Q791">
            <v>1459.33</v>
          </cell>
        </row>
        <row r="792">
          <cell r="E792" t="str">
            <v>KKM/JKN/HSA/10-05-01/H/16/44</v>
          </cell>
          <cell r="F792" t="str">
            <v xml:space="preserve">Diagnostic </v>
          </cell>
          <cell r="G792" t="str">
            <v>Basic</v>
          </cell>
          <cell r="H792" t="str">
            <v>Analyzers, Point of Care, Breath, Carbon Monoxide</v>
          </cell>
          <cell r="I792" t="str">
            <v>PICO SMOKERLYZER</v>
          </cell>
          <cell r="J792" t="str">
            <v>20-198</v>
          </cell>
          <cell r="K792" t="str">
            <v>MIRCO</v>
          </cell>
          <cell r="L792" t="str">
            <v>TPM</v>
          </cell>
          <cell r="M792" t="str">
            <v>073-67351</v>
          </cell>
          <cell r="N792" t="str">
            <v>PENDIDIKAN KESIHATAN</v>
          </cell>
          <cell r="O792" t="str">
            <v>Unit Kesihatan Awam/Pendidikan Kesihatan</v>
          </cell>
          <cell r="P792" t="str">
            <v>HM</v>
          </cell>
          <cell r="Q792">
            <v>3800</v>
          </cell>
        </row>
        <row r="793">
          <cell r="E793" t="str">
            <v>KKM/JKN/HSA/10-05-01/H/16/167</v>
          </cell>
          <cell r="F793" t="str">
            <v xml:space="preserve">Diagnostic </v>
          </cell>
          <cell r="G793" t="str">
            <v>Basic</v>
          </cell>
          <cell r="H793" t="str">
            <v>Analyzers, Point of Care, Breath, Carbon Monoxide</v>
          </cell>
          <cell r="I793" t="str">
            <v>PICO SMOKERLYZER</v>
          </cell>
          <cell r="J793" t="str">
            <v>20-198</v>
          </cell>
          <cell r="K793" t="str">
            <v>PICO</v>
          </cell>
          <cell r="L793" t="str">
            <v>TPM</v>
          </cell>
          <cell r="M793" t="str">
            <v>CP7054242116</v>
          </cell>
          <cell r="N793" t="str">
            <v>PENDIDIKAN KESIHATAN</v>
          </cell>
          <cell r="O793" t="str">
            <v>Unit Kesihatan Awam/Pendidikan Kesihatan</v>
          </cell>
          <cell r="P793" t="str">
            <v>HM</v>
          </cell>
          <cell r="Q793">
            <v>3150</v>
          </cell>
        </row>
        <row r="794">
          <cell r="E794" t="str">
            <v>KKM/JKN/HSA/10-05-01/H/15/1013</v>
          </cell>
          <cell r="F794" t="str">
            <v xml:space="preserve">Diagnostic </v>
          </cell>
          <cell r="G794" t="str">
            <v>Intermediate</v>
          </cell>
          <cell r="H794" t="str">
            <v>Monitors, Physiologic, Vital Signs</v>
          </cell>
          <cell r="I794" t="str">
            <v>MONITOR NIBP/SP02</v>
          </cell>
          <cell r="J794" t="str">
            <v>25-209</v>
          </cell>
          <cell r="K794" t="str">
            <v>WELCH ALLYN</v>
          </cell>
          <cell r="L794" t="str">
            <v>WELCH ALLYN VSM 300</v>
          </cell>
          <cell r="M794" t="str">
            <v>JA123481</v>
          </cell>
          <cell r="N794" t="str">
            <v xml:space="preserve">PENGURUSAN </v>
          </cell>
          <cell r="O794" t="str">
            <v>Unit Kesihatan Awam/Pendidikan Kesihatan</v>
          </cell>
          <cell r="P794" t="str">
            <v>HM</v>
          </cell>
          <cell r="Q794">
            <v>5185</v>
          </cell>
        </row>
        <row r="795">
          <cell r="E795" t="str">
            <v>KKM/JKN/HSA/10-05-01/H/15/2803</v>
          </cell>
          <cell r="F795" t="str">
            <v xml:space="preserve">Diagnostic </v>
          </cell>
          <cell r="G795" t="str">
            <v>Intermediate</v>
          </cell>
          <cell r="H795" t="str">
            <v>Electrocardiographs, Multichannel, Interpretative</v>
          </cell>
          <cell r="I795" t="str">
            <v>ECG P0RTABLE MAINS/BATTERY OP</v>
          </cell>
          <cell r="J795" t="str">
            <v>16-231</v>
          </cell>
          <cell r="K795" t="str">
            <v>GE HEALTHCARE</v>
          </cell>
          <cell r="L795" t="str">
            <v>MAC400</v>
          </cell>
          <cell r="M795" t="str">
            <v>SCT11496322PA</v>
          </cell>
          <cell r="N795" t="str">
            <v xml:space="preserve">PENGURUSAN </v>
          </cell>
          <cell r="O795" t="str">
            <v>Unit Kesihatan Awam/Pendidikan Kesihatan</v>
          </cell>
          <cell r="P795" t="str">
            <v>HM</v>
          </cell>
          <cell r="Q795">
            <v>2750</v>
          </cell>
        </row>
        <row r="796">
          <cell r="E796" t="str">
            <v>KKM/JKN/HSA/10-05-01/R/15/17060</v>
          </cell>
          <cell r="F796" t="str">
            <v xml:space="preserve">Diagnostic </v>
          </cell>
          <cell r="G796" t="str">
            <v>Basic</v>
          </cell>
          <cell r="H796" t="str">
            <v>Ophthalmoscopes/Otoscopes</v>
          </cell>
          <cell r="I796" t="str">
            <v>DIAGNOSTIC SET ADULT</v>
          </cell>
          <cell r="J796" t="str">
            <v>18-595</v>
          </cell>
          <cell r="K796" t="str">
            <v>WELCH ALLYN</v>
          </cell>
          <cell r="L796" t="str">
            <v>97150-BI</v>
          </cell>
          <cell r="M796"/>
          <cell r="N796" t="str">
            <v>PENDIDIKAN KESIHATAN</v>
          </cell>
          <cell r="O796" t="str">
            <v>Unit Kesihatan Awam/Pendidikan Kesihatan</v>
          </cell>
          <cell r="P796" t="str">
            <v>ABR</v>
          </cell>
          <cell r="Q796">
            <v>1820</v>
          </cell>
        </row>
        <row r="797">
          <cell r="E797"/>
          <cell r="F797" t="str">
            <v>Therapeutic</v>
          </cell>
          <cell r="G797" t="str">
            <v>Basic</v>
          </cell>
          <cell r="H797" t="str">
            <v>Mattress Systems, Alternating-Pressure</v>
          </cell>
          <cell r="I797" t="str">
            <v>MATTRESS PRESSURE RELIEF</v>
          </cell>
          <cell r="J797" t="str">
            <v>18-147</v>
          </cell>
          <cell r="K797" t="str">
            <v>BANTEX</v>
          </cell>
          <cell r="L797" t="str">
            <v>APM-5000-G</v>
          </cell>
          <cell r="M797"/>
          <cell r="N797" t="str">
            <v>ANESTESIOLOGI</v>
          </cell>
          <cell r="O797" t="str">
            <v>Unit Kawalan Rapi (ICU)</v>
          </cell>
          <cell r="P797" t="str">
            <v>HM</v>
          </cell>
          <cell r="Q797">
            <v>7250</v>
          </cell>
        </row>
        <row r="798">
          <cell r="E798" t="str">
            <v>KKM/JKN/HSA/10-05-01/H/15/306</v>
          </cell>
          <cell r="F798" t="str">
            <v>Therapeutic</v>
          </cell>
          <cell r="G798" t="str">
            <v>Intermediate</v>
          </cell>
          <cell r="H798" t="str">
            <v>Ventilators, TransP0rt</v>
          </cell>
          <cell r="I798" t="str">
            <v>VENTILATOR P0RTABLE (ADULT/PAED)</v>
          </cell>
          <cell r="J798" t="str">
            <v>18-098</v>
          </cell>
          <cell r="K798" t="str">
            <v>DRAEGER</v>
          </cell>
          <cell r="L798" t="str">
            <v>OXYLOG 3000 PLUS</v>
          </cell>
          <cell r="M798" t="str">
            <v>ASEJ-0134</v>
          </cell>
          <cell r="N798" t="str">
            <v>ANESTESIOLOGI</v>
          </cell>
          <cell r="O798" t="str">
            <v>Unit Hemodinamik (RHU)</v>
          </cell>
          <cell r="P798" t="str">
            <v>HM</v>
          </cell>
          <cell r="Q798">
            <v>40000</v>
          </cell>
        </row>
        <row r="799">
          <cell r="E799" t="str">
            <v>KKM/JKN/HSA/10-05-01/H/15/580</v>
          </cell>
          <cell r="F799" t="str">
            <v xml:space="preserve">Diagnostic </v>
          </cell>
          <cell r="G799" t="str">
            <v>Intermediate</v>
          </cell>
          <cell r="H799" t="str">
            <v>Physiologic Monitoring Systems, Acute Care</v>
          </cell>
          <cell r="I799" t="str">
            <v>MONITOR, TRANSP0RT</v>
          </cell>
          <cell r="J799" t="str">
            <v>12-647</v>
          </cell>
          <cell r="K799" t="str">
            <v>MINDRAY</v>
          </cell>
          <cell r="L799" t="str">
            <v xml:space="preserve"> BENEVIEW T1</v>
          </cell>
          <cell r="M799" t="str">
            <v>FB45005704</v>
          </cell>
          <cell r="N799" t="str">
            <v>ANESTESIOLOGI</v>
          </cell>
          <cell r="O799" t="str">
            <v>Unit Hemodinamik (RHU)</v>
          </cell>
          <cell r="P799" t="str">
            <v>HM</v>
          </cell>
          <cell r="Q799">
            <v>15500</v>
          </cell>
        </row>
        <row r="800">
          <cell r="E800" t="str">
            <v>KKM/JKN/HSA/10-05-01/H/15/581</v>
          </cell>
          <cell r="F800" t="str">
            <v xml:space="preserve">Diagnostic </v>
          </cell>
          <cell r="G800" t="str">
            <v>Intermediate</v>
          </cell>
          <cell r="H800" t="str">
            <v>Physiologic Monitoring Systems, Acute Care</v>
          </cell>
          <cell r="I800" t="str">
            <v>MONITOR, TRANSP0RT</v>
          </cell>
          <cell r="J800" t="str">
            <v>12-647</v>
          </cell>
          <cell r="K800" t="str">
            <v>MINDRAY</v>
          </cell>
          <cell r="L800" t="str">
            <v xml:space="preserve"> BENEVIEW T1</v>
          </cell>
          <cell r="M800" t="str">
            <v>FB45005664</v>
          </cell>
          <cell r="N800" t="str">
            <v>ANESTESIOLOGI</v>
          </cell>
          <cell r="O800" t="str">
            <v>Unit Hemodinamik (RHU)</v>
          </cell>
          <cell r="P800" t="str">
            <v>HM</v>
          </cell>
          <cell r="Q800">
            <v>15500</v>
          </cell>
        </row>
        <row r="801">
          <cell r="E801" t="str">
            <v>KKM/JKN/HSA/10-05-01/H/15/4262</v>
          </cell>
          <cell r="F801" t="str">
            <v>Therapeutic</v>
          </cell>
          <cell r="G801" t="str">
            <v>Basic</v>
          </cell>
          <cell r="H801" t="str">
            <v>Warming Units, Blood/Solution</v>
          </cell>
          <cell r="I801" t="str">
            <v>WARMER BLOOD DRY HEAT TYPE</v>
          </cell>
          <cell r="J801" t="str">
            <v>10-447</v>
          </cell>
          <cell r="K801" t="str">
            <v>BARKEY</v>
          </cell>
          <cell r="L801" t="str">
            <v>AUTOCONTROL 3XPT</v>
          </cell>
          <cell r="M801">
            <v>1207688</v>
          </cell>
          <cell r="N801" t="str">
            <v>NEFROLOGI</v>
          </cell>
          <cell r="O801" t="str">
            <v>Unit Hemodialisis</v>
          </cell>
          <cell r="P801" t="str">
            <v>HM</v>
          </cell>
          <cell r="Q801">
            <v>4224</v>
          </cell>
        </row>
        <row r="802">
          <cell r="E802" t="str">
            <v>KKM/JKN/HSA/10-05-01/H/15/2146</v>
          </cell>
          <cell r="F802" t="str">
            <v>Therapeutic</v>
          </cell>
          <cell r="G802" t="str">
            <v>Basic</v>
          </cell>
          <cell r="H802" t="str">
            <v>Aspirators</v>
          </cell>
          <cell r="I802" t="str">
            <v>SUCTION UNIT 1 X 2L JAR MOBILE</v>
          </cell>
          <cell r="J802" t="str">
            <v>10-208</v>
          </cell>
          <cell r="K802" t="str">
            <v xml:space="preserve">CAMI </v>
          </cell>
          <cell r="L802" t="str">
            <v>ASKIR C30</v>
          </cell>
          <cell r="M802">
            <v>5919</v>
          </cell>
          <cell r="N802" t="str">
            <v>NEFROLOGI</v>
          </cell>
          <cell r="O802" t="str">
            <v>Unit Hemodialisis</v>
          </cell>
          <cell r="P802" t="str">
            <v>HM</v>
          </cell>
          <cell r="Q802">
            <v>3386.5</v>
          </cell>
        </row>
        <row r="803">
          <cell r="E803" t="str">
            <v>KKM/JKN/HSA/10-05-01/H/15/5382</v>
          </cell>
          <cell r="F803" t="str">
            <v>Therapeutic</v>
          </cell>
          <cell r="G803" t="str">
            <v>Intermediate</v>
          </cell>
          <cell r="H803" t="str">
            <v>Water Purification Systems, Reverse Osmosis</v>
          </cell>
          <cell r="I803" t="str">
            <v>RO Water Storage Tank</v>
          </cell>
          <cell r="J803" t="str">
            <v>14-437</v>
          </cell>
          <cell r="K803" t="str">
            <v>PUREMEDITECH</v>
          </cell>
          <cell r="L803" t="str">
            <v>ROT 500 L</v>
          </cell>
          <cell r="M803" t="str">
            <v>ROT/15-01/001</v>
          </cell>
          <cell r="N803" t="str">
            <v>NEFROLOGI</v>
          </cell>
          <cell r="O803" t="str">
            <v>Unit Hemodialisis</v>
          </cell>
          <cell r="P803" t="str">
            <v>HM</v>
          </cell>
          <cell r="Q803">
            <v>43000</v>
          </cell>
        </row>
        <row r="804">
          <cell r="E804"/>
          <cell r="F804" t="str">
            <v>Therapeutic</v>
          </cell>
          <cell r="G804" t="str">
            <v>Intermediate</v>
          </cell>
          <cell r="H804" t="str">
            <v>Water Purification Systems, Reverse Osmosis</v>
          </cell>
          <cell r="I804" t="str">
            <v>RO SYSTEM</v>
          </cell>
          <cell r="J804" t="str">
            <v>14-437</v>
          </cell>
          <cell r="K804" t="str">
            <v>PUREMEDITECH</v>
          </cell>
          <cell r="L804" t="str">
            <v>RO HORO-20 SERIES II</v>
          </cell>
          <cell r="M804" t="str">
            <v>RO/15-01/001</v>
          </cell>
          <cell r="N804" t="str">
            <v>NEFROLOGI</v>
          </cell>
          <cell r="O804" t="str">
            <v>Unit Hemodialisis</v>
          </cell>
          <cell r="P804" t="str">
            <v>HM</v>
          </cell>
          <cell r="Q804">
            <v>125000</v>
          </cell>
        </row>
        <row r="805">
          <cell r="E805"/>
          <cell r="F805" t="str">
            <v>Therapeutic</v>
          </cell>
          <cell r="G805" t="str">
            <v>Intermediate</v>
          </cell>
          <cell r="H805" t="str">
            <v>Water Purification Systems, Reverse Osmosis</v>
          </cell>
          <cell r="I805" t="str">
            <v>RO SYSTEM</v>
          </cell>
          <cell r="J805" t="str">
            <v>14-437</v>
          </cell>
          <cell r="K805" t="str">
            <v>PUREMEDITECH</v>
          </cell>
          <cell r="L805" t="str">
            <v>RO HORO-20 SERIES II</v>
          </cell>
          <cell r="M805" t="str">
            <v>RO/15-01/002</v>
          </cell>
          <cell r="N805" t="str">
            <v>NEFROLOGI</v>
          </cell>
          <cell r="O805" t="str">
            <v>Unit Hemodialisis</v>
          </cell>
          <cell r="P805" t="str">
            <v>HM</v>
          </cell>
          <cell r="Q805">
            <v>125000</v>
          </cell>
        </row>
        <row r="806">
          <cell r="E806"/>
          <cell r="F806" t="str">
            <v>Therapeutic</v>
          </cell>
          <cell r="G806" t="str">
            <v>Intermediate</v>
          </cell>
          <cell r="H806" t="str">
            <v>Water Purification Systems, Reverse Osmosis</v>
          </cell>
          <cell r="I806" t="str">
            <v>RO Raw Water Tank</v>
          </cell>
          <cell r="J806" t="str">
            <v>14-437</v>
          </cell>
          <cell r="K806" t="str">
            <v>PUREMEDITECH</v>
          </cell>
          <cell r="L806" t="str">
            <v>RB122</v>
          </cell>
          <cell r="M806">
            <v>29281</v>
          </cell>
          <cell r="N806" t="str">
            <v>NEFROLOGI</v>
          </cell>
          <cell r="O806" t="str">
            <v>Unit Hemodialisis</v>
          </cell>
          <cell r="P806" t="str">
            <v>HM</v>
          </cell>
          <cell r="Q806">
            <v>5800</v>
          </cell>
        </row>
        <row r="807">
          <cell r="E807" t="str">
            <v>KKM/JKN/HSA/10-05-01/H/15/4721</v>
          </cell>
          <cell r="F807" t="str">
            <v xml:space="preserve">Diagnostic </v>
          </cell>
          <cell r="G807" t="str">
            <v>Basic</v>
          </cell>
          <cell r="H807" t="str">
            <v>Scales, Patient, Chair</v>
          </cell>
          <cell r="I807" t="str">
            <v>REPROCESSOR  MANAGEMENT SYSTEM (CHAIR WEIGHING SCALE)</v>
          </cell>
          <cell r="J807" t="str">
            <v>13-460</v>
          </cell>
          <cell r="K807" t="str">
            <v>SECA SCALE</v>
          </cell>
          <cell r="L807" t="str">
            <v>SECA 684/685</v>
          </cell>
          <cell r="M807" t="str">
            <v>10000000027587</v>
          </cell>
          <cell r="N807" t="str">
            <v>NEFROLOGI</v>
          </cell>
          <cell r="O807" t="str">
            <v>Unit Hemodialisis</v>
          </cell>
          <cell r="P807" t="str">
            <v>HM</v>
          </cell>
          <cell r="Q807">
            <v>30000</v>
          </cell>
        </row>
        <row r="808">
          <cell r="E808" t="str">
            <v>KKM/JKN/HSA/10-05-01/H/15/2109</v>
          </cell>
          <cell r="F808" t="str">
            <v xml:space="preserve">Diagnostic </v>
          </cell>
          <cell r="G808" t="str">
            <v>Intermediate</v>
          </cell>
          <cell r="H808" t="str">
            <v>Physiologic Monitoring Systems, Acute Care</v>
          </cell>
          <cell r="I808" t="str">
            <v>MONITOR 4 CH, ECG/RR/NIBP/SP02/TEMP</v>
          </cell>
          <cell r="J808" t="str">
            <v>12-647</v>
          </cell>
          <cell r="K808" t="str">
            <v>MINDRAY</v>
          </cell>
          <cell r="L808" t="str">
            <v>IMEC 12</v>
          </cell>
          <cell r="M808" t="str">
            <v>EV-45011605</v>
          </cell>
          <cell r="N808" t="str">
            <v>NEFROLOGI</v>
          </cell>
          <cell r="O808" t="str">
            <v>Unit Hemodialisis</v>
          </cell>
          <cell r="P808" t="str">
            <v>HM</v>
          </cell>
          <cell r="Q808">
            <v>9000</v>
          </cell>
        </row>
        <row r="809">
          <cell r="E809" t="str">
            <v>KKM/JKN/HSA/10-05-01/H/15/4030</v>
          </cell>
          <cell r="F809" t="str">
            <v>Therapeutic</v>
          </cell>
          <cell r="G809" t="str">
            <v>Basic</v>
          </cell>
          <cell r="H809" t="str">
            <v>Lights, Surgical</v>
          </cell>
          <cell r="I809" t="str">
            <v>LAMP OPERATING MINOR</v>
          </cell>
          <cell r="J809" t="str">
            <v>12-282</v>
          </cell>
          <cell r="K809" t="str">
            <v>TRUMPF MEDIZIN</v>
          </cell>
          <cell r="L809" t="str">
            <v>TRULIGHT 3300</v>
          </cell>
          <cell r="M809">
            <v>102103414</v>
          </cell>
          <cell r="N809" t="str">
            <v>NEFROLOGI</v>
          </cell>
          <cell r="O809" t="str">
            <v>Unit Hemodialisis</v>
          </cell>
          <cell r="P809" t="str">
            <v>HM</v>
          </cell>
          <cell r="Q809">
            <v>30000</v>
          </cell>
        </row>
        <row r="810">
          <cell r="E810" t="str">
            <v>KKM/JKN/HSA/10-05-01/H/15/1626</v>
          </cell>
          <cell r="F810" t="str">
            <v>Therapeutic</v>
          </cell>
          <cell r="G810" t="str">
            <v>Intermediate</v>
          </cell>
          <cell r="H810" t="str">
            <v>Hemodialysis Units</v>
          </cell>
          <cell r="I810" t="str">
            <v>HAEMODIALYSIS UNIT W/ MONITORING AND MANAGEMENT SYSTEM</v>
          </cell>
          <cell r="J810" t="str">
            <v>11-218</v>
          </cell>
          <cell r="K810" t="str">
            <v>FRESENIUS MEDICAL CARE</v>
          </cell>
          <cell r="L810" t="str">
            <v>4008S NEXT GENERATION W TDMS</v>
          </cell>
          <cell r="M810" t="str">
            <v>4SXAW184</v>
          </cell>
          <cell r="N810" t="str">
            <v>NEFROLOGI</v>
          </cell>
          <cell r="O810" t="str">
            <v>Unit Hemodialisis</v>
          </cell>
          <cell r="P810" t="str">
            <v>HM</v>
          </cell>
          <cell r="Q810">
            <v>36300</v>
          </cell>
        </row>
        <row r="811">
          <cell r="E811" t="str">
            <v>KKM/JKN/HSA/10-05-01/H/15/1627</v>
          </cell>
          <cell r="F811" t="str">
            <v>Therapeutic</v>
          </cell>
          <cell r="G811" t="str">
            <v>Intermediate</v>
          </cell>
          <cell r="H811" t="str">
            <v>Hemodialysis Units</v>
          </cell>
          <cell r="I811" t="str">
            <v>HAEMODIALYSIS UNIT W/ MONITORING AND MANAGEMENT SYSTEM</v>
          </cell>
          <cell r="J811" t="str">
            <v>11-218</v>
          </cell>
          <cell r="K811" t="str">
            <v>FRESENIUS MEDICAL CARE</v>
          </cell>
          <cell r="L811" t="str">
            <v>4008S NEXT GENERATION W TDMS</v>
          </cell>
          <cell r="M811" t="str">
            <v>4SXAW183</v>
          </cell>
          <cell r="N811" t="str">
            <v>NEFROLOGI</v>
          </cell>
          <cell r="O811" t="str">
            <v>Unit Hemodialisis</v>
          </cell>
          <cell r="P811" t="str">
            <v>HM</v>
          </cell>
          <cell r="Q811">
            <v>36300</v>
          </cell>
        </row>
        <row r="812">
          <cell r="E812" t="str">
            <v>KKM/JKN/HSA/10-05-01/H/15/1628</v>
          </cell>
          <cell r="F812" t="str">
            <v>Therapeutic</v>
          </cell>
          <cell r="G812" t="str">
            <v>Intermediate</v>
          </cell>
          <cell r="H812" t="str">
            <v>Hemodialysis Units</v>
          </cell>
          <cell r="I812" t="str">
            <v>HAEMODIALYSIS UNIT W/ MONITORING AND MANAGEMENT SYSTEM</v>
          </cell>
          <cell r="J812" t="str">
            <v>11-218</v>
          </cell>
          <cell r="K812" t="str">
            <v>FRESENIUS MEDICAL CARE</v>
          </cell>
          <cell r="L812" t="str">
            <v>4008S NEXT GENERATION W TDMS</v>
          </cell>
          <cell r="M812" t="str">
            <v>4SXAW177</v>
          </cell>
          <cell r="N812" t="str">
            <v>NEFROLOGI</v>
          </cell>
          <cell r="O812" t="str">
            <v>Unit Hemodialisis</v>
          </cell>
          <cell r="P812" t="str">
            <v>HM</v>
          </cell>
          <cell r="Q812">
            <v>36300</v>
          </cell>
        </row>
        <row r="813">
          <cell r="E813" t="str">
            <v>KKM/JKN/HSA/10-05-01/H/15/1629</v>
          </cell>
          <cell r="F813" t="str">
            <v>Therapeutic</v>
          </cell>
          <cell r="G813" t="str">
            <v>Intermediate</v>
          </cell>
          <cell r="H813" t="str">
            <v>Hemodialysis Units</v>
          </cell>
          <cell r="I813" t="str">
            <v>HAEMODIALYSIS UNIT W/ MONITORING AND MANAGEMENT SYSTEM</v>
          </cell>
          <cell r="J813" t="str">
            <v>11-218</v>
          </cell>
          <cell r="K813" t="str">
            <v>FRESENIUS MEDICAL CARE</v>
          </cell>
          <cell r="L813" t="str">
            <v>4008S NEXT GENERATION W TDMS</v>
          </cell>
          <cell r="M813" t="str">
            <v>4SXAW178</v>
          </cell>
          <cell r="N813" t="str">
            <v>NEFROLOGI</v>
          </cell>
          <cell r="O813" t="str">
            <v>Unit Hemodialisis</v>
          </cell>
          <cell r="P813" t="str">
            <v>HM</v>
          </cell>
          <cell r="Q813">
            <v>36300</v>
          </cell>
        </row>
        <row r="814">
          <cell r="E814" t="str">
            <v>KKM/JKN/HSA/10-05-01/H/15/1630</v>
          </cell>
          <cell r="F814" t="str">
            <v>Therapeutic</v>
          </cell>
          <cell r="G814" t="str">
            <v>Intermediate</v>
          </cell>
          <cell r="H814" t="str">
            <v>Hemodialysis Units</v>
          </cell>
          <cell r="I814" t="str">
            <v>HAEMODIALYSIS UNIT W/ MONITORING AND MANAGEMENT SYSTEM</v>
          </cell>
          <cell r="J814" t="str">
            <v>11-218</v>
          </cell>
          <cell r="K814" t="str">
            <v>FRESENIUS MEDICAL CARE</v>
          </cell>
          <cell r="L814" t="str">
            <v>4008S NEXT GENERATION W TDMS</v>
          </cell>
          <cell r="M814" t="str">
            <v>4SXAW179</v>
          </cell>
          <cell r="N814" t="str">
            <v>NEFROLOGI</v>
          </cell>
          <cell r="O814" t="str">
            <v>Unit Hemodialisis</v>
          </cell>
          <cell r="P814" t="str">
            <v>HM</v>
          </cell>
          <cell r="Q814">
            <v>36300</v>
          </cell>
        </row>
        <row r="815">
          <cell r="E815" t="str">
            <v>KKM/JKN/HSA/10-05-01/H/15/1631</v>
          </cell>
          <cell r="F815" t="str">
            <v>Therapeutic</v>
          </cell>
          <cell r="G815" t="str">
            <v>Intermediate</v>
          </cell>
          <cell r="H815" t="str">
            <v>Hemodialysis Units</v>
          </cell>
          <cell r="I815" t="str">
            <v>HAEMODIALYSIS UNIT W/ MONITORING AND MANAGEMENT SYSTEM</v>
          </cell>
          <cell r="J815" t="str">
            <v>11-218</v>
          </cell>
          <cell r="K815" t="str">
            <v>FRESENIUS MEDICAL CARE</v>
          </cell>
          <cell r="L815" t="str">
            <v>4008S NEXT GENERATION W TDMS</v>
          </cell>
          <cell r="M815" t="str">
            <v>4SXAW176</v>
          </cell>
          <cell r="N815" t="str">
            <v>NEFROLOGI</v>
          </cell>
          <cell r="O815" t="str">
            <v>Unit Hemodialisis</v>
          </cell>
          <cell r="P815" t="str">
            <v>HM</v>
          </cell>
          <cell r="Q815">
            <v>36300</v>
          </cell>
        </row>
        <row r="816">
          <cell r="E816" t="str">
            <v>KKM/JKN/HSA/10-05-01/H/15/1632</v>
          </cell>
          <cell r="F816" t="str">
            <v>Therapeutic</v>
          </cell>
          <cell r="G816" t="str">
            <v>Intermediate</v>
          </cell>
          <cell r="H816" t="str">
            <v>Hemodialysis Units</v>
          </cell>
          <cell r="I816" t="str">
            <v>HAEMODIALYSIS UNIT W/ MONITORING AND MANAGEMENT SYSTEM</v>
          </cell>
          <cell r="J816" t="str">
            <v>11-218</v>
          </cell>
          <cell r="K816" t="str">
            <v>FRESENIUS MEDICAL CARE</v>
          </cell>
          <cell r="L816" t="str">
            <v>4008S NEXT GENERATION W TDMS</v>
          </cell>
          <cell r="M816" t="str">
            <v>4SXAW175</v>
          </cell>
          <cell r="N816" t="str">
            <v>NEFROLOGI</v>
          </cell>
          <cell r="O816" t="str">
            <v>Unit Hemodialisis</v>
          </cell>
          <cell r="P816" t="str">
            <v>HM</v>
          </cell>
          <cell r="Q816">
            <v>36300</v>
          </cell>
        </row>
        <row r="817">
          <cell r="E817" t="str">
            <v>KKM/JKN/HSA/10-05-01/H/15/1633</v>
          </cell>
          <cell r="F817" t="str">
            <v>Therapeutic</v>
          </cell>
          <cell r="G817" t="str">
            <v>Intermediate</v>
          </cell>
          <cell r="H817" t="str">
            <v>Hemodialysis Units</v>
          </cell>
          <cell r="I817" t="str">
            <v>HAEMODIALYSIS UNIT W/ MONITORING AND MANAGEMENT SYSTEM</v>
          </cell>
          <cell r="J817" t="str">
            <v>11-218</v>
          </cell>
          <cell r="K817" t="str">
            <v>FRESENIUS MEDICAL CARE</v>
          </cell>
          <cell r="L817" t="str">
            <v>4008S NEXT GENERATION W TDMS</v>
          </cell>
          <cell r="M817" t="str">
            <v>4SXAW174</v>
          </cell>
          <cell r="N817" t="str">
            <v>NEFROLOGI</v>
          </cell>
          <cell r="O817" t="str">
            <v>Unit Hemodialisis</v>
          </cell>
          <cell r="P817" t="str">
            <v>HM</v>
          </cell>
          <cell r="Q817">
            <v>36300</v>
          </cell>
        </row>
        <row r="818">
          <cell r="E818" t="str">
            <v>KKM/JKN/HSA/10-05-01/H/15/1634</v>
          </cell>
          <cell r="F818" t="str">
            <v>Therapeutic</v>
          </cell>
          <cell r="G818" t="str">
            <v>Intermediate</v>
          </cell>
          <cell r="H818" t="str">
            <v>Hemodialysis Units</v>
          </cell>
          <cell r="I818" t="str">
            <v>HAEMODIALYSIS UNIT W/ MONITORING AND MANAGEMENT SYSTEM</v>
          </cell>
          <cell r="J818" t="str">
            <v>11-218</v>
          </cell>
          <cell r="K818" t="str">
            <v>FRESENIUS MEDICAL CARE</v>
          </cell>
          <cell r="L818" t="str">
            <v>4008S NEXT GENERATION W TDMS</v>
          </cell>
          <cell r="M818" t="str">
            <v>4SXAW173</v>
          </cell>
          <cell r="N818" t="str">
            <v>NEFROLOGI</v>
          </cell>
          <cell r="O818" t="str">
            <v>Unit Hemodialisis</v>
          </cell>
          <cell r="P818" t="str">
            <v>HM</v>
          </cell>
          <cell r="Q818">
            <v>36300</v>
          </cell>
        </row>
        <row r="819">
          <cell r="E819" t="str">
            <v>KKM/JKN/HSA/10-05-01/H/15/1635</v>
          </cell>
          <cell r="F819" t="str">
            <v>Therapeutic</v>
          </cell>
          <cell r="G819" t="str">
            <v>Intermediate</v>
          </cell>
          <cell r="H819" t="str">
            <v>Hemodialysis Units</v>
          </cell>
          <cell r="I819" t="str">
            <v>HAEMODIALYSIS UNIT W/ MONITORING AND MANAGEMENT SYSTEM</v>
          </cell>
          <cell r="J819" t="str">
            <v>11-218</v>
          </cell>
          <cell r="K819" t="str">
            <v>FRESENIUS MEDICAL CARE</v>
          </cell>
          <cell r="L819" t="str">
            <v>4008S NEXT GENERATION W TDMS</v>
          </cell>
          <cell r="M819" t="str">
            <v>4SXAW172</v>
          </cell>
          <cell r="N819" t="str">
            <v>NEFROLOGI</v>
          </cell>
          <cell r="O819" t="str">
            <v>Unit Hemodialisis</v>
          </cell>
          <cell r="P819" t="str">
            <v>HM</v>
          </cell>
          <cell r="Q819">
            <v>36300</v>
          </cell>
        </row>
        <row r="820">
          <cell r="E820" t="str">
            <v>KKM/JKN/HSA/10-05-01/H/15/1636</v>
          </cell>
          <cell r="F820" t="str">
            <v>Therapeutic</v>
          </cell>
          <cell r="G820" t="str">
            <v>Intermediate</v>
          </cell>
          <cell r="H820" t="str">
            <v>Hemodialysis Units</v>
          </cell>
          <cell r="I820" t="str">
            <v>HAEMODIALYSIS UNIT W/ MONITORING AND MANAGEMENT SYSTEM</v>
          </cell>
          <cell r="J820" t="str">
            <v>11-218</v>
          </cell>
          <cell r="K820" t="str">
            <v>FRESENIUS MEDICAL CARE</v>
          </cell>
          <cell r="L820" t="str">
            <v>4008S NEXT GENERATION W TDMS</v>
          </cell>
          <cell r="M820" t="str">
            <v>4SXAW171</v>
          </cell>
          <cell r="N820" t="str">
            <v>NEFROLOGI</v>
          </cell>
          <cell r="O820" t="str">
            <v>Unit Hemodialisis</v>
          </cell>
          <cell r="P820" t="str">
            <v>HM</v>
          </cell>
          <cell r="Q820">
            <v>36300</v>
          </cell>
        </row>
        <row r="821">
          <cell r="E821" t="str">
            <v>KKM/JKN/HSA/10-05-01/H/15/1637</v>
          </cell>
          <cell r="F821" t="str">
            <v>Therapeutic</v>
          </cell>
          <cell r="G821" t="str">
            <v>Intermediate</v>
          </cell>
          <cell r="H821" t="str">
            <v>Hemodialysis Units</v>
          </cell>
          <cell r="I821" t="str">
            <v>HAEMODIALYSIS UNIT W/ MONITORING AND MANAGEMENT SYSTEM</v>
          </cell>
          <cell r="J821" t="str">
            <v>11-218</v>
          </cell>
          <cell r="K821" t="str">
            <v>FRESENIUS MEDICAL CARE</v>
          </cell>
          <cell r="L821" t="str">
            <v>4008S NEXT GENERATION W TDMS</v>
          </cell>
          <cell r="M821" t="str">
            <v>4SXAW170</v>
          </cell>
          <cell r="N821" t="str">
            <v>NEFROLOGI</v>
          </cell>
          <cell r="O821" t="str">
            <v>Unit Hemodialisis</v>
          </cell>
          <cell r="P821" t="str">
            <v>HM</v>
          </cell>
          <cell r="Q821">
            <v>36300</v>
          </cell>
        </row>
        <row r="822">
          <cell r="E822" t="str">
            <v>KKM/JKN/HSA/10-05-01/H/15/1638</v>
          </cell>
          <cell r="F822" t="str">
            <v>Therapeutic</v>
          </cell>
          <cell r="G822" t="str">
            <v>Intermediate</v>
          </cell>
          <cell r="H822" t="str">
            <v>Hemodialysis Units</v>
          </cell>
          <cell r="I822" t="str">
            <v>HAEMODIALYSIS UNIT W/ MONITORING AND MANAGEMENT SYSTEM</v>
          </cell>
          <cell r="J822" t="str">
            <v>11-218</v>
          </cell>
          <cell r="K822" t="str">
            <v>FRESENIUS MEDICAL CARE</v>
          </cell>
          <cell r="L822" t="str">
            <v>4008S NEXT GENERATION W TDMS</v>
          </cell>
          <cell r="M822" t="str">
            <v>4SXAW169</v>
          </cell>
          <cell r="N822" t="str">
            <v>NEFROLOGI</v>
          </cell>
          <cell r="O822" t="str">
            <v>Unit Hemodialisis</v>
          </cell>
          <cell r="P822" t="str">
            <v>HM</v>
          </cell>
          <cell r="Q822">
            <v>36300</v>
          </cell>
        </row>
        <row r="823">
          <cell r="E823" t="str">
            <v>KKM/JKN/HSA/10-05-01/H/15/1639</v>
          </cell>
          <cell r="F823" t="str">
            <v>Therapeutic</v>
          </cell>
          <cell r="G823" t="str">
            <v>Intermediate</v>
          </cell>
          <cell r="H823" t="str">
            <v>Hemodialysis Units</v>
          </cell>
          <cell r="I823" t="str">
            <v>HAEMODIALYSIS UNIT W/ MONITORING AND MANAGEMENT SYSTEM</v>
          </cell>
          <cell r="J823" t="str">
            <v>11-218</v>
          </cell>
          <cell r="K823" t="str">
            <v>FRESENIUS MEDICAL CARE</v>
          </cell>
          <cell r="L823" t="str">
            <v>4008S NEXT GENERATION W TDMS</v>
          </cell>
          <cell r="M823" t="str">
            <v>4SXAW168</v>
          </cell>
          <cell r="N823" t="str">
            <v>NEFROLOGI</v>
          </cell>
          <cell r="O823" t="str">
            <v>Unit Hemodialisis</v>
          </cell>
          <cell r="P823" t="str">
            <v>HM</v>
          </cell>
          <cell r="Q823">
            <v>36300</v>
          </cell>
        </row>
        <row r="824">
          <cell r="E824" t="str">
            <v>KKM/JKN/HSA/10-05-01/H/15/1640</v>
          </cell>
          <cell r="F824" t="str">
            <v>Therapeutic</v>
          </cell>
          <cell r="G824" t="str">
            <v>Intermediate</v>
          </cell>
          <cell r="H824" t="str">
            <v>Hemodialysis Units</v>
          </cell>
          <cell r="I824" t="str">
            <v>HAEMODIALYSIS UNIT W/ MONITORING AND MANAGEMENT SYSTEM</v>
          </cell>
          <cell r="J824" t="str">
            <v>11-218</v>
          </cell>
          <cell r="K824" t="str">
            <v>FRESENIUS MEDICAL CARE</v>
          </cell>
          <cell r="L824" t="str">
            <v>4008S NEXT GENERATION W TDMS</v>
          </cell>
          <cell r="M824" t="str">
            <v>4SXAW167</v>
          </cell>
          <cell r="N824" t="str">
            <v>NEFROLOGI</v>
          </cell>
          <cell r="O824" t="str">
            <v>Unit Hemodialisis</v>
          </cell>
          <cell r="P824" t="str">
            <v>HM</v>
          </cell>
          <cell r="Q824">
            <v>36300</v>
          </cell>
        </row>
        <row r="825">
          <cell r="E825" t="str">
            <v>KKM/JKN/HSA/10-05-01/H/15/1641</v>
          </cell>
          <cell r="F825" t="str">
            <v>Therapeutic</v>
          </cell>
          <cell r="G825" t="str">
            <v>Intermediate</v>
          </cell>
          <cell r="H825" t="str">
            <v>Hemodialysis Units</v>
          </cell>
          <cell r="I825" t="str">
            <v>HAEMODIALYSIS UNIT W/ MONITORING AND MANAGEMENT SYSTEM</v>
          </cell>
          <cell r="J825" t="str">
            <v>11-218</v>
          </cell>
          <cell r="K825" t="str">
            <v>FRESENIUS MEDICAL CARE</v>
          </cell>
          <cell r="L825" t="str">
            <v>4008S NEXT GENERATION W TDMS</v>
          </cell>
          <cell r="M825" t="str">
            <v>4SXAW180</v>
          </cell>
          <cell r="N825" t="str">
            <v>NEFROLOGI</v>
          </cell>
          <cell r="O825" t="str">
            <v>Unit Hemodialisis</v>
          </cell>
          <cell r="P825" t="str">
            <v>HM</v>
          </cell>
          <cell r="Q825">
            <v>36300</v>
          </cell>
        </row>
        <row r="826">
          <cell r="E826" t="str">
            <v>KKM/JKN/HSA/10-05-01/H/15/4248</v>
          </cell>
          <cell r="F826" t="str">
            <v>Therapeutic</v>
          </cell>
          <cell r="G826" t="str">
            <v>Intermediate</v>
          </cell>
          <cell r="H826" t="str">
            <v>Hemodialysis Units</v>
          </cell>
          <cell r="I826" t="str">
            <v>HAEMODIALYSIS UNIT W/ MONITORING AND MANAGEMENT SYSTEM</v>
          </cell>
          <cell r="J826" t="str">
            <v>11-218</v>
          </cell>
          <cell r="K826" t="str">
            <v>FRESENIUS MEDICAL CARE</v>
          </cell>
          <cell r="L826" t="str">
            <v>4008S NEXT GENERATION W TDMS</v>
          </cell>
          <cell r="M826" t="str">
            <v>4SXAW181</v>
          </cell>
          <cell r="N826" t="str">
            <v>NEFROLOGI</v>
          </cell>
          <cell r="O826" t="str">
            <v>Unit Hemodialisis</v>
          </cell>
          <cell r="P826" t="str">
            <v>HM</v>
          </cell>
          <cell r="Q826">
            <v>36300</v>
          </cell>
        </row>
        <row r="827">
          <cell r="E827" t="str">
            <v>KKM/JKN/HSA/10-05-01/H/15/4249</v>
          </cell>
          <cell r="F827" t="str">
            <v>Therapeutic</v>
          </cell>
          <cell r="G827" t="str">
            <v>Intermediate</v>
          </cell>
          <cell r="H827" t="str">
            <v>Hemodialysis Units</v>
          </cell>
          <cell r="I827" t="str">
            <v>HAEMODIALYSIS UNIT W/ MONITORING AND MANAGEMENT SYSTEM</v>
          </cell>
          <cell r="J827" t="str">
            <v>11-218</v>
          </cell>
          <cell r="K827" t="str">
            <v>FRESENIUS MEDICAL CARE</v>
          </cell>
          <cell r="L827" t="str">
            <v>4008S NEXT GENERATION W TDMS</v>
          </cell>
          <cell r="M827" t="str">
            <v>4SXAW182</v>
          </cell>
          <cell r="N827" t="str">
            <v>NEFROLOGI</v>
          </cell>
          <cell r="O827" t="str">
            <v>Unit Hemodialisis</v>
          </cell>
          <cell r="P827" t="str">
            <v>HM</v>
          </cell>
          <cell r="Q827">
            <v>36300</v>
          </cell>
        </row>
        <row r="828">
          <cell r="E828" t="str">
            <v>KKM/JKN/HSA/10-05-01/H/15/1652</v>
          </cell>
          <cell r="F828" t="str">
            <v>Therapeutic</v>
          </cell>
          <cell r="G828" t="str">
            <v>Intermediate</v>
          </cell>
          <cell r="H828" t="str">
            <v>Hemofiltration Units</v>
          </cell>
          <cell r="I828" t="str">
            <v>HAEMODIAFILTRATION SYSTEM</v>
          </cell>
          <cell r="J828" t="str">
            <v>15-039</v>
          </cell>
          <cell r="K828" t="str">
            <v>FRESENIUS MEDICAL CARE</v>
          </cell>
          <cell r="L828" t="str">
            <v>5008S</v>
          </cell>
          <cell r="M828" t="str">
            <v>4VSAN792</v>
          </cell>
          <cell r="N828" t="str">
            <v>NEFROLOGI</v>
          </cell>
          <cell r="O828" t="str">
            <v>Unit Hemodialisis</v>
          </cell>
          <cell r="P828" t="str">
            <v>HM</v>
          </cell>
          <cell r="Q828">
            <v>50000</v>
          </cell>
        </row>
        <row r="829">
          <cell r="E829" t="str">
            <v>KKM/JKN/HSA/10-05-01/H/15/1653</v>
          </cell>
          <cell r="F829" t="str">
            <v>Therapeutic</v>
          </cell>
          <cell r="G829" t="str">
            <v>Intermediate</v>
          </cell>
          <cell r="H829" t="str">
            <v>Hemofiltration Units</v>
          </cell>
          <cell r="I829" t="str">
            <v>HAEMODIAFILTRATION SYSTEM</v>
          </cell>
          <cell r="J829" t="str">
            <v>15-039</v>
          </cell>
          <cell r="K829" t="str">
            <v>FRESENIUS MEDICAL CARE</v>
          </cell>
          <cell r="L829" t="str">
            <v>5008S</v>
          </cell>
          <cell r="M829" t="str">
            <v>VSAM736</v>
          </cell>
          <cell r="N829" t="str">
            <v>NEFROLOGI</v>
          </cell>
          <cell r="O829" t="str">
            <v>Unit Hemodialisis</v>
          </cell>
          <cell r="P829" t="str">
            <v>HM</v>
          </cell>
          <cell r="Q829">
            <v>50000</v>
          </cell>
        </row>
        <row r="830">
          <cell r="E830" t="str">
            <v>KKM/JKN/HSA/10-05-01/H/15/4032</v>
          </cell>
          <cell r="F830" t="str">
            <v xml:space="preserve">Diagnostic </v>
          </cell>
          <cell r="G830" t="str">
            <v>Intermediate</v>
          </cell>
          <cell r="H830" t="str">
            <v>Electrocardiographs, Multichannel, Interpretative</v>
          </cell>
          <cell r="I830" t="str">
            <v>ECG P0RTABLE MAINS/BATTERY OP</v>
          </cell>
          <cell r="J830" t="str">
            <v>16-231</v>
          </cell>
          <cell r="K830" t="str">
            <v>ECG P0RTABLE MAINS</v>
          </cell>
          <cell r="L830" t="str">
            <v>MAC400</v>
          </cell>
          <cell r="M830" t="str">
            <v>SCT 11486288 PA</v>
          </cell>
          <cell r="N830" t="str">
            <v>NEFROLOGI</v>
          </cell>
          <cell r="O830" t="str">
            <v>Unit Hemodialisis</v>
          </cell>
          <cell r="P830" t="str">
            <v>HM</v>
          </cell>
          <cell r="Q830">
            <v>2750</v>
          </cell>
        </row>
        <row r="831">
          <cell r="E831" t="str">
            <v>KKM/JKN/HSA/10-05-01/H/15/4033</v>
          </cell>
          <cell r="F831" t="str">
            <v>Therapeutic</v>
          </cell>
          <cell r="G831" t="str">
            <v>Intermediate</v>
          </cell>
          <cell r="H831" t="str">
            <v>Dialyzer Reprocessing Units</v>
          </cell>
          <cell r="I831" t="str">
            <v>DIALYZER REPROCESSING SYSTEM</v>
          </cell>
          <cell r="J831" t="str">
            <v>16-018</v>
          </cell>
          <cell r="K831" t="str">
            <v>RS 8330</v>
          </cell>
          <cell r="L831" t="str">
            <v>100 SERIES</v>
          </cell>
          <cell r="M831">
            <v>32932</v>
          </cell>
          <cell r="N831" t="str">
            <v>NEFROLOGI</v>
          </cell>
          <cell r="O831" t="str">
            <v>Unit Hemodialisis</v>
          </cell>
          <cell r="P831" t="str">
            <v>HM</v>
          </cell>
          <cell r="Q831">
            <v>48000</v>
          </cell>
        </row>
        <row r="832">
          <cell r="E832" t="str">
            <v>KKM/JKN/HSA/10-05-01/H/15/4034</v>
          </cell>
          <cell r="F832" t="str">
            <v>Therapeutic</v>
          </cell>
          <cell r="G832" t="str">
            <v>Intermediate</v>
          </cell>
          <cell r="H832" t="str">
            <v>Dialyzer Reprocessing Units</v>
          </cell>
          <cell r="I832" t="str">
            <v>DIALYZER REPROCESSING SYSTEM</v>
          </cell>
          <cell r="J832" t="str">
            <v>16-018</v>
          </cell>
          <cell r="K832" t="str">
            <v>RS 8330</v>
          </cell>
          <cell r="L832" t="str">
            <v>101 SERIES</v>
          </cell>
          <cell r="M832">
            <v>32930</v>
          </cell>
          <cell r="N832" t="str">
            <v>NEFROLOGI</v>
          </cell>
          <cell r="O832" t="str">
            <v>Unit Hemodialisis</v>
          </cell>
          <cell r="P832" t="str">
            <v>HM</v>
          </cell>
          <cell r="Q832">
            <v>48000</v>
          </cell>
        </row>
        <row r="833">
          <cell r="E833" t="str">
            <v>KKM/JKN/HSA/10-05-01/H/15/4035</v>
          </cell>
          <cell r="F833" t="str">
            <v>Therapeutic</v>
          </cell>
          <cell r="G833" t="str">
            <v>Intermediate</v>
          </cell>
          <cell r="H833" t="str">
            <v>Dialyzer Reprocessing Units</v>
          </cell>
          <cell r="I833" t="str">
            <v>DIALYZER REPROCESSING SYSTEM</v>
          </cell>
          <cell r="J833" t="str">
            <v>16-018</v>
          </cell>
          <cell r="K833" t="str">
            <v>RS 8330</v>
          </cell>
          <cell r="L833" t="str">
            <v>102 SERIES</v>
          </cell>
          <cell r="M833">
            <v>32931</v>
          </cell>
          <cell r="N833" t="str">
            <v>NEFROLOGI</v>
          </cell>
          <cell r="O833" t="str">
            <v>Unit Hemodialisis</v>
          </cell>
          <cell r="P833" t="str">
            <v>HM</v>
          </cell>
          <cell r="Q833">
            <v>48000</v>
          </cell>
        </row>
        <row r="834">
          <cell r="E834" t="str">
            <v>KKM/JKN/HSA/10-05-01/H/15/4036</v>
          </cell>
          <cell r="F834" t="str">
            <v>Therapeutic</v>
          </cell>
          <cell r="G834" t="str">
            <v>Intermediate</v>
          </cell>
          <cell r="H834" t="str">
            <v>Dialyzer Reprocessing Units</v>
          </cell>
          <cell r="I834" t="str">
            <v>DIALYZER REPROCESSING SYSTEM</v>
          </cell>
          <cell r="J834" t="str">
            <v>16-018</v>
          </cell>
          <cell r="K834" t="str">
            <v>RS 8330</v>
          </cell>
          <cell r="L834" t="str">
            <v>103 SERIES</v>
          </cell>
          <cell r="M834">
            <v>32933</v>
          </cell>
          <cell r="N834" t="str">
            <v>NEFROLOGI</v>
          </cell>
          <cell r="O834" t="str">
            <v>Unit Hemodialisis</v>
          </cell>
          <cell r="P834" t="str">
            <v>HM</v>
          </cell>
          <cell r="Q834">
            <v>48000</v>
          </cell>
        </row>
        <row r="835">
          <cell r="E835" t="str">
            <v>KKM/JKN/HSA/10-05-01/H/15/4037</v>
          </cell>
          <cell r="F835" t="str">
            <v>Therapeutic</v>
          </cell>
          <cell r="G835" t="str">
            <v>Intermediate</v>
          </cell>
          <cell r="H835" t="str">
            <v>Dialyzer Reprocessing Units</v>
          </cell>
          <cell r="I835" t="str">
            <v>DIALYZER REPROCESSING SYSTEM</v>
          </cell>
          <cell r="J835" t="str">
            <v>16-018</v>
          </cell>
          <cell r="K835" t="str">
            <v>RS 8330</v>
          </cell>
          <cell r="L835" t="str">
            <v>104 SERIES</v>
          </cell>
          <cell r="M835">
            <v>32935</v>
          </cell>
          <cell r="N835" t="str">
            <v>NEFROLOGI</v>
          </cell>
          <cell r="O835" t="str">
            <v>Unit Hemodialisis</v>
          </cell>
          <cell r="P835" t="str">
            <v>HM</v>
          </cell>
          <cell r="Q835">
            <v>48000</v>
          </cell>
        </row>
        <row r="836">
          <cell r="E836" t="str">
            <v>KKM/JKN/HSA/10-05-01/H/15/4038</v>
          </cell>
          <cell r="F836" t="str">
            <v>Therapeutic</v>
          </cell>
          <cell r="G836" t="str">
            <v>Intermediate</v>
          </cell>
          <cell r="H836" t="str">
            <v>Dialyzer Reprocessing Units</v>
          </cell>
          <cell r="I836" t="str">
            <v>DIALYZER REPROCESSING SYSTEM</v>
          </cell>
          <cell r="J836" t="str">
            <v>16-018</v>
          </cell>
          <cell r="K836" t="str">
            <v>RS 8330</v>
          </cell>
          <cell r="L836" t="str">
            <v>105 SERIES</v>
          </cell>
          <cell r="M836">
            <v>32934</v>
          </cell>
          <cell r="N836" t="str">
            <v>NEFROLOGI</v>
          </cell>
          <cell r="O836" t="str">
            <v>Unit Hemodialisis</v>
          </cell>
          <cell r="P836" t="str">
            <v>HM</v>
          </cell>
          <cell r="Q836">
            <v>48000</v>
          </cell>
        </row>
        <row r="837">
          <cell r="E837" t="str">
            <v>KKM/JKN/HSA/10-05-01/R/15/7355</v>
          </cell>
          <cell r="F837" t="str">
            <v xml:space="preserve">Diagnostic </v>
          </cell>
          <cell r="G837" t="str">
            <v>Basic</v>
          </cell>
          <cell r="H837" t="str">
            <v>Ophthalmoscopes/Otoscopes</v>
          </cell>
          <cell r="I837" t="str">
            <v>DIAGNOSTIC SET ADULT</v>
          </cell>
          <cell r="J837" t="str">
            <v>18-595</v>
          </cell>
          <cell r="K837" t="str">
            <v>RUDOLF RIESTER, GMBH</v>
          </cell>
          <cell r="L837" t="str">
            <v>RI-SCOPE ENT 3761</v>
          </cell>
          <cell r="M837"/>
          <cell r="N837" t="str">
            <v>NEFROLOGI</v>
          </cell>
          <cell r="O837" t="str">
            <v>Unit Hemodialisis</v>
          </cell>
          <cell r="P837" t="str">
            <v>ABR</v>
          </cell>
          <cell r="Q837">
            <v>1459.33</v>
          </cell>
        </row>
        <row r="838">
          <cell r="E838" t="str">
            <v>KKM/JKN/HSA/10-05-01/R/15/7356</v>
          </cell>
          <cell r="F838" t="str">
            <v xml:space="preserve">Diagnostic </v>
          </cell>
          <cell r="G838" t="str">
            <v>Basic</v>
          </cell>
          <cell r="H838" t="str">
            <v>Ophthalmoscopes/Otoscopes</v>
          </cell>
          <cell r="I838" t="str">
            <v>DIAGNOSTIC SET ADULT</v>
          </cell>
          <cell r="J838" t="str">
            <v>18-595</v>
          </cell>
          <cell r="K838" t="str">
            <v>RUDOLF RIESTER, GMBH</v>
          </cell>
          <cell r="L838" t="str">
            <v>RI-SCOPE ENT 3761</v>
          </cell>
          <cell r="M838"/>
          <cell r="N838" t="str">
            <v>NEFROLOGI</v>
          </cell>
          <cell r="O838" t="str">
            <v>Unit Hemodialisis</v>
          </cell>
          <cell r="P838" t="str">
            <v>ABR</v>
          </cell>
          <cell r="Q838">
            <v>1459.33</v>
          </cell>
        </row>
        <row r="839">
          <cell r="E839" t="str">
            <v>KKM/JKN/HSA/10-05-01/H/15/3668</v>
          </cell>
          <cell r="F839" t="str">
            <v>Therapeutic</v>
          </cell>
          <cell r="G839" t="str">
            <v>Intermediate</v>
          </cell>
          <cell r="H839" t="str">
            <v xml:space="preserve">Defibrillators, External, Automated </v>
          </cell>
          <cell r="I839" t="str">
            <v>DEFIBRILLATOR W/INTERNAL/EXT PADDLES/PACEMAKER</v>
          </cell>
          <cell r="J839" t="str">
            <v>17-116</v>
          </cell>
          <cell r="K839" t="str">
            <v>PHILIPS</v>
          </cell>
          <cell r="L839" t="str">
            <v>EFFICIA DFM100</v>
          </cell>
          <cell r="M839" t="str">
            <v>CN32601420</v>
          </cell>
          <cell r="N839" t="str">
            <v>NEFROLOGI</v>
          </cell>
          <cell r="O839" t="str">
            <v>Unit Hemodialisis</v>
          </cell>
          <cell r="P839" t="str">
            <v>HM</v>
          </cell>
          <cell r="Q839">
            <v>14250</v>
          </cell>
        </row>
        <row r="840">
          <cell r="E840" t="str">
            <v>KKM/JKN/HSA/10-05-01/R/15/7137</v>
          </cell>
          <cell r="F840" t="str">
            <v xml:space="preserve">Diagnostic </v>
          </cell>
          <cell r="G840" t="str">
            <v>Intermediate</v>
          </cell>
          <cell r="H840" t="str">
            <v>Monitors, Physiologic, Vital Signs</v>
          </cell>
          <cell r="I840" t="str">
            <v>BLOOD PRESSURE MONITOR NON INVASIVE</v>
          </cell>
          <cell r="J840" t="str">
            <v>25-209</v>
          </cell>
          <cell r="K840" t="str">
            <v>WELCH ALLYN</v>
          </cell>
          <cell r="L840" t="str">
            <v>VSM 300</v>
          </cell>
          <cell r="M840"/>
          <cell r="N840" t="str">
            <v>NEFROLOGI</v>
          </cell>
          <cell r="O840" t="str">
            <v>Unit Hemodialisis</v>
          </cell>
          <cell r="P840" t="str">
            <v>ABR</v>
          </cell>
          <cell r="Q840">
            <v>1855</v>
          </cell>
        </row>
        <row r="841">
          <cell r="E841" t="str">
            <v>KKM/JKN/HSA/10-05-01/R/15/7138</v>
          </cell>
          <cell r="F841" t="str">
            <v xml:space="preserve">Diagnostic </v>
          </cell>
          <cell r="G841" t="str">
            <v>Intermediate</v>
          </cell>
          <cell r="H841" t="str">
            <v>Monitors, Physiologic, Vital Signs</v>
          </cell>
          <cell r="I841" t="str">
            <v>BLOOD PRESSURE MONITOR NON INVASIVE</v>
          </cell>
          <cell r="J841" t="str">
            <v>25-209</v>
          </cell>
          <cell r="K841" t="str">
            <v>WELCH ALLYN</v>
          </cell>
          <cell r="L841" t="str">
            <v>VSM 300</v>
          </cell>
          <cell r="M841"/>
          <cell r="N841" t="str">
            <v>NEFROLOGI</v>
          </cell>
          <cell r="O841" t="str">
            <v>Unit Hemodialisis</v>
          </cell>
          <cell r="P841" t="str">
            <v>ABR</v>
          </cell>
          <cell r="Q841">
            <v>1855</v>
          </cell>
        </row>
        <row r="842">
          <cell r="E842" t="str">
            <v>KKM/JKN/HSA/10-05-01/R/15/7139</v>
          </cell>
          <cell r="F842" t="str">
            <v xml:space="preserve">Diagnostic </v>
          </cell>
          <cell r="G842" t="str">
            <v>Intermediate</v>
          </cell>
          <cell r="H842" t="str">
            <v>Monitors, Physiologic, Vital Signs</v>
          </cell>
          <cell r="I842" t="str">
            <v>BLOOD PRESSURE MONITOR NON INVASIVE</v>
          </cell>
          <cell r="J842" t="str">
            <v>25-209</v>
          </cell>
          <cell r="K842" t="str">
            <v>WELCH ALLYN</v>
          </cell>
          <cell r="L842" t="str">
            <v>VSM 300</v>
          </cell>
          <cell r="M842"/>
          <cell r="N842" t="str">
            <v>NEFROLOGI</v>
          </cell>
          <cell r="O842" t="str">
            <v>Unit Hemodialisis</v>
          </cell>
          <cell r="P842" t="str">
            <v>ABR</v>
          </cell>
          <cell r="Q842">
            <v>1855</v>
          </cell>
        </row>
        <row r="843">
          <cell r="E843" t="str">
            <v>KKM/JKN/HSA/10-05-01/R/15/7140</v>
          </cell>
          <cell r="F843" t="str">
            <v xml:space="preserve">Diagnostic </v>
          </cell>
          <cell r="G843" t="str">
            <v>Intermediate</v>
          </cell>
          <cell r="H843" t="str">
            <v>Monitors, Physiologic, Vital Signs</v>
          </cell>
          <cell r="I843" t="str">
            <v>BLOOD PRESSURE MONITOR NON INVASIVE</v>
          </cell>
          <cell r="J843" t="str">
            <v>25-209</v>
          </cell>
          <cell r="K843" t="str">
            <v>WELCH ALLYN</v>
          </cell>
          <cell r="L843" t="str">
            <v>VSM 300</v>
          </cell>
          <cell r="M843"/>
          <cell r="N843" t="str">
            <v>NEFROLOGI</v>
          </cell>
          <cell r="O843" t="str">
            <v>Unit Hemodialisis</v>
          </cell>
          <cell r="P843" t="str">
            <v>ABR</v>
          </cell>
          <cell r="Q843">
            <v>1855</v>
          </cell>
        </row>
        <row r="844">
          <cell r="E844" t="str">
            <v>KKM/JKN/HSA/10-05-01/R/15/7141</v>
          </cell>
          <cell r="F844" t="str">
            <v xml:space="preserve">Diagnostic </v>
          </cell>
          <cell r="G844" t="str">
            <v>Intermediate</v>
          </cell>
          <cell r="H844" t="str">
            <v>Monitors, Physiologic, Vital Signs</v>
          </cell>
          <cell r="I844" t="str">
            <v>BLOOD PRESSURE MONITOR NON INVASIVE</v>
          </cell>
          <cell r="J844" t="str">
            <v>25-209</v>
          </cell>
          <cell r="K844" t="str">
            <v>WELCH ALLYN</v>
          </cell>
          <cell r="L844" t="str">
            <v>VSM 300</v>
          </cell>
          <cell r="M844"/>
          <cell r="N844" t="str">
            <v>NEFROLOGI</v>
          </cell>
          <cell r="O844" t="str">
            <v>Unit Hemodialisis</v>
          </cell>
          <cell r="P844" t="str">
            <v>ABR</v>
          </cell>
          <cell r="Q844">
            <v>1855</v>
          </cell>
        </row>
        <row r="845">
          <cell r="E845" t="str">
            <v>KKM/JKN/HSA/10-05-01/R/15/7142</v>
          </cell>
          <cell r="F845" t="str">
            <v xml:space="preserve">Diagnostic </v>
          </cell>
          <cell r="G845" t="str">
            <v>Intermediate</v>
          </cell>
          <cell r="H845" t="str">
            <v>Monitors, Physiologic, Vital Signs</v>
          </cell>
          <cell r="I845" t="str">
            <v>BLOOD PRESSURE MONITOR NON INVASIVE</v>
          </cell>
          <cell r="J845" t="str">
            <v>25-209</v>
          </cell>
          <cell r="K845" t="str">
            <v>WELCH ALLYN</v>
          </cell>
          <cell r="L845" t="str">
            <v>VSM 300</v>
          </cell>
          <cell r="M845"/>
          <cell r="N845" t="str">
            <v>NEFROLOGI</v>
          </cell>
          <cell r="O845" t="str">
            <v>Unit Hemodialisis</v>
          </cell>
          <cell r="P845" t="str">
            <v>ABR</v>
          </cell>
          <cell r="Q845">
            <v>1855</v>
          </cell>
        </row>
        <row r="846">
          <cell r="E846"/>
          <cell r="F846" t="str">
            <v>Therapeutic</v>
          </cell>
          <cell r="G846" t="str">
            <v>Intermediate</v>
          </cell>
          <cell r="H846" t="str">
            <v>Infusion/ Monitoring Line Organizer System</v>
          </cell>
          <cell r="I846" t="str">
            <v>DOCKING SYSTEM</v>
          </cell>
          <cell r="J846" t="str">
            <v>17-793</v>
          </cell>
          <cell r="K846"/>
          <cell r="L846"/>
          <cell r="M846"/>
          <cell r="N846" t="str">
            <v>PERUBATAN AM</v>
          </cell>
          <cell r="O846" t="str">
            <v>Unir Rawatan Perubatan Harian (HDW)</v>
          </cell>
          <cell r="P846" t="str">
            <v>HM</v>
          </cell>
          <cell r="Q846">
            <v>12194</v>
          </cell>
        </row>
        <row r="847">
          <cell r="E847"/>
          <cell r="F847" t="str">
            <v>Therapeutic</v>
          </cell>
          <cell r="G847" t="str">
            <v>Intermediate</v>
          </cell>
          <cell r="H847" t="str">
            <v>Infusion/ Monitoring Line Organizer System</v>
          </cell>
          <cell r="I847" t="str">
            <v>DOCKING SYSTEM</v>
          </cell>
          <cell r="J847" t="str">
            <v>17-793</v>
          </cell>
          <cell r="K847"/>
          <cell r="L847"/>
          <cell r="M847"/>
          <cell r="N847" t="str">
            <v>PERUBATAN AM</v>
          </cell>
          <cell r="O847" t="str">
            <v>Unir Rawatan Perubatan Harian (HDW)</v>
          </cell>
          <cell r="P847" t="str">
            <v>HM</v>
          </cell>
          <cell r="Q847">
            <v>12194</v>
          </cell>
        </row>
        <row r="848">
          <cell r="E848"/>
          <cell r="F848" t="str">
            <v>Therapeutic</v>
          </cell>
          <cell r="G848" t="str">
            <v>Intermediate</v>
          </cell>
          <cell r="H848" t="str">
            <v>Infusion/ Monitoring Line Organizer System</v>
          </cell>
          <cell r="I848" t="str">
            <v>DOCKING SYSTEM</v>
          </cell>
          <cell r="J848" t="str">
            <v>17-793</v>
          </cell>
          <cell r="K848"/>
          <cell r="L848"/>
          <cell r="M848"/>
          <cell r="N848" t="str">
            <v>PERUBATAN AM</v>
          </cell>
          <cell r="O848" t="str">
            <v>Unir Rawatan Perubatan Harian (HDW)</v>
          </cell>
          <cell r="P848" t="str">
            <v>HM</v>
          </cell>
          <cell r="Q848">
            <v>12194</v>
          </cell>
        </row>
        <row r="849">
          <cell r="E849"/>
          <cell r="F849" t="str">
            <v>Therapeutic</v>
          </cell>
          <cell r="G849" t="str">
            <v>Intermediate</v>
          </cell>
          <cell r="H849" t="str">
            <v>Infusion/ Monitoring Line Organizer System</v>
          </cell>
          <cell r="I849" t="str">
            <v>DOCKING SYSTEM</v>
          </cell>
          <cell r="J849" t="str">
            <v>17-793</v>
          </cell>
          <cell r="K849"/>
          <cell r="L849"/>
          <cell r="M849"/>
          <cell r="N849" t="str">
            <v>PERUBATAN AM</v>
          </cell>
          <cell r="O849" t="str">
            <v>Unir Rawatan Perubatan Harian (HDW)</v>
          </cell>
          <cell r="P849" t="str">
            <v>HM</v>
          </cell>
          <cell r="Q849">
            <v>12194</v>
          </cell>
        </row>
        <row r="850">
          <cell r="E850"/>
          <cell r="F850" t="str">
            <v>Therapeutic</v>
          </cell>
          <cell r="G850" t="str">
            <v>Intermediate</v>
          </cell>
          <cell r="H850" t="str">
            <v>Infusion/ Monitoring Line Organizer System</v>
          </cell>
          <cell r="I850" t="str">
            <v>DOCKING SYSTEM</v>
          </cell>
          <cell r="J850" t="str">
            <v>17-793</v>
          </cell>
          <cell r="K850"/>
          <cell r="L850"/>
          <cell r="M850"/>
          <cell r="N850" t="str">
            <v>PERUBATAN AM</v>
          </cell>
          <cell r="O850" t="str">
            <v>Unir Rawatan Perubatan Harian (HDW)</v>
          </cell>
          <cell r="P850" t="str">
            <v>HM</v>
          </cell>
          <cell r="Q850">
            <v>12194</v>
          </cell>
        </row>
        <row r="851">
          <cell r="E851"/>
          <cell r="F851" t="str">
            <v>Therapeutic</v>
          </cell>
          <cell r="G851" t="str">
            <v>Intermediate</v>
          </cell>
          <cell r="H851" t="str">
            <v>Infusion/ Monitoring Line Organizer System</v>
          </cell>
          <cell r="I851" t="str">
            <v>DOCKING SYSTEM</v>
          </cell>
          <cell r="J851" t="str">
            <v>17-793</v>
          </cell>
          <cell r="K851"/>
          <cell r="L851"/>
          <cell r="M851"/>
          <cell r="N851" t="str">
            <v>PERUBATAN AM</v>
          </cell>
          <cell r="O851" t="str">
            <v>Unir Rawatan Perubatan Harian (HDW)</v>
          </cell>
          <cell r="P851" t="str">
            <v>HM</v>
          </cell>
          <cell r="Q851">
            <v>12194</v>
          </cell>
        </row>
        <row r="852">
          <cell r="E852" t="str">
            <v>KKM/JKN/HSA/10-05-01/H/19/23</v>
          </cell>
          <cell r="F852" t="str">
            <v>Therapeutic</v>
          </cell>
          <cell r="G852" t="str">
            <v>Intermediate</v>
          </cell>
          <cell r="H852" t="str">
            <v>Infusion Pumps, Syringe</v>
          </cell>
          <cell r="I852" t="str">
            <v>SYRINGE INFUSION PUMP</v>
          </cell>
          <cell r="J852" t="str">
            <v>13-217</v>
          </cell>
          <cell r="K852" t="str">
            <v>INJECTOMAT AGILIA</v>
          </cell>
          <cell r="L852"/>
          <cell r="M852" t="str">
            <v>23615030</v>
          </cell>
          <cell r="N852"/>
          <cell r="O852" t="str">
            <v>SDC - GENERAL STORE (L06-SDC-F-02)</v>
          </cell>
          <cell r="P852"/>
          <cell r="Q852">
            <v>3300</v>
          </cell>
        </row>
        <row r="853">
          <cell r="E853" t="str">
            <v>KKM/JKN/HSA/10-05-01/H/15/1587</v>
          </cell>
          <cell r="F853" t="str">
            <v>Therapeutic</v>
          </cell>
          <cell r="G853" t="str">
            <v>Basic</v>
          </cell>
          <cell r="H853" t="str">
            <v>Warming Units, Patient, Radiant, Infant</v>
          </cell>
          <cell r="I853" t="str">
            <v>WARMING UNITS, PATIENT, RADIANT, INFANT</v>
          </cell>
          <cell r="J853" t="str">
            <v>17-956</v>
          </cell>
          <cell r="K853" t="str">
            <v>DRAEGER</v>
          </cell>
          <cell r="L853" t="str">
            <v>RESUSCITAIRE RW-82</v>
          </cell>
          <cell r="M853" t="str">
            <v>AU 01155</v>
          </cell>
          <cell r="N853" t="str">
            <v>OBSTETRIK &amp; GINEKOLOGI</v>
          </cell>
          <cell r="O853" t="str">
            <v>Pusat Kemasukan Ibu Bersalin (PAC)</v>
          </cell>
          <cell r="P853" t="str">
            <v>HM</v>
          </cell>
          <cell r="Q853">
            <v>24000</v>
          </cell>
        </row>
        <row r="854">
          <cell r="E854" t="str">
            <v>KKM/JKN/HSA/10-05-01/R/15/14856</v>
          </cell>
          <cell r="F854" t="str">
            <v xml:space="preserve">Diagnostic </v>
          </cell>
          <cell r="G854" t="str">
            <v>Basic</v>
          </cell>
          <cell r="H854" t="str">
            <v>Sphygmomanometers, Aneroid</v>
          </cell>
          <cell r="I854" t="str">
            <v>SPHYGMOMANOMETER ANEROID DESK MODEL</v>
          </cell>
          <cell r="J854" t="str">
            <v>16-156</v>
          </cell>
          <cell r="K854" t="str">
            <v>RIESTER</v>
          </cell>
          <cell r="L854">
            <v>1453</v>
          </cell>
          <cell r="M854">
            <v>150311402</v>
          </cell>
          <cell r="N854" t="str">
            <v>OBSTETRIK &amp; GINEKOLOGI</v>
          </cell>
          <cell r="O854" t="str">
            <v>Pusat Kemasukan Ibu Bersalin (PAC)</v>
          </cell>
          <cell r="P854" t="str">
            <v>ABR</v>
          </cell>
          <cell r="Q854">
            <v>452.81</v>
          </cell>
        </row>
        <row r="855">
          <cell r="E855" t="str">
            <v>KKM/JKN/HSA/10-05-01/R/15/14857</v>
          </cell>
          <cell r="F855" t="str">
            <v xml:space="preserve">Diagnostic </v>
          </cell>
          <cell r="G855" t="str">
            <v>Basic</v>
          </cell>
          <cell r="H855" t="str">
            <v>Sphygmomanometers, Aneroid</v>
          </cell>
          <cell r="I855" t="str">
            <v>SPHYGMOMANOMETER ANEROID DESK MODEL</v>
          </cell>
          <cell r="J855" t="str">
            <v>16-156</v>
          </cell>
          <cell r="K855" t="str">
            <v>RIESTER</v>
          </cell>
          <cell r="L855">
            <v>1453</v>
          </cell>
          <cell r="M855">
            <v>150311433</v>
          </cell>
          <cell r="N855" t="str">
            <v>OBSTETRIK &amp; GINEKOLOGI</v>
          </cell>
          <cell r="O855" t="str">
            <v>Pusat Kemasukan Ibu Bersalin (PAC)</v>
          </cell>
          <cell r="P855" t="str">
            <v>ABR</v>
          </cell>
          <cell r="Q855">
            <v>452.81</v>
          </cell>
        </row>
        <row r="856">
          <cell r="E856" t="str">
            <v>KKM/JKN/HSA/10-05-01/R/15/14858</v>
          </cell>
          <cell r="F856" t="str">
            <v xml:space="preserve">Diagnostic </v>
          </cell>
          <cell r="G856" t="str">
            <v>Basic</v>
          </cell>
          <cell r="H856" t="str">
            <v>Sphygmomanometers, Aneroid</v>
          </cell>
          <cell r="I856" t="str">
            <v>SPHYGMOMANOMETER ANEROID DESK MODEL</v>
          </cell>
          <cell r="J856" t="str">
            <v>16-156</v>
          </cell>
          <cell r="K856" t="str">
            <v>RIESTER</v>
          </cell>
          <cell r="L856">
            <v>1453</v>
          </cell>
          <cell r="M856">
            <v>150311425</v>
          </cell>
          <cell r="N856" t="str">
            <v>OBSTETRIK &amp; GINEKOLOGI</v>
          </cell>
          <cell r="O856" t="str">
            <v>Pusat Kemasukan Ibu Bersalin (PAC)</v>
          </cell>
          <cell r="P856" t="str">
            <v>ABR</v>
          </cell>
          <cell r="Q856">
            <v>452.81</v>
          </cell>
        </row>
        <row r="857">
          <cell r="E857" t="str">
            <v>KKM/JKN/HSA/10-05-01/H/15/1221</v>
          </cell>
          <cell r="F857" t="str">
            <v>Therapeutic</v>
          </cell>
          <cell r="G857" t="str">
            <v>Intermediate</v>
          </cell>
          <cell r="H857" t="str">
            <v>Infusion Pumps, General-Purpose</v>
          </cell>
          <cell r="I857" t="str">
            <v>PUMP VOLUMETRIC INFUSION (STAND ALONE)</v>
          </cell>
          <cell r="J857" t="str">
            <v>13-215</v>
          </cell>
          <cell r="K857" t="str">
            <v>FRESENIUS KABI</v>
          </cell>
          <cell r="L857" t="str">
            <v>LINK 8+ AGILIA/MOBILE STAND</v>
          </cell>
          <cell r="M857" t="str">
            <v>19130/22235264</v>
          </cell>
          <cell r="N857" t="str">
            <v>OBSTETRIK &amp; GINEKOLOGI</v>
          </cell>
          <cell r="O857" t="str">
            <v>Pusat Kemasukan Ibu Bersalin (PAC)</v>
          </cell>
          <cell r="P857" t="str">
            <v>HM</v>
          </cell>
          <cell r="Q857">
            <v>7245</v>
          </cell>
        </row>
        <row r="858">
          <cell r="E858" t="str">
            <v>KKM/JKN/HSA/10-05-01/H/15/1222</v>
          </cell>
          <cell r="F858" t="str">
            <v>Therapeutic</v>
          </cell>
          <cell r="G858" t="str">
            <v>Intermediate</v>
          </cell>
          <cell r="H858" t="str">
            <v>Infusion Pumps, General-Purpose</v>
          </cell>
          <cell r="I858" t="str">
            <v>PUMP VOLUMETRIC INFUSION (STAND ALONE)</v>
          </cell>
          <cell r="J858" t="str">
            <v>13-215</v>
          </cell>
          <cell r="K858" t="str">
            <v>FRESENIUS KABI</v>
          </cell>
          <cell r="L858" t="str">
            <v>LINK 8+ AGILIA/MOBILE STAND</v>
          </cell>
          <cell r="M858" t="str">
            <v>19130/22235254</v>
          </cell>
          <cell r="N858" t="str">
            <v>OBSTETRIK &amp; GINEKOLOGI</v>
          </cell>
          <cell r="O858" t="str">
            <v>Pusat Kemasukan Ibu Bersalin (PAC)</v>
          </cell>
          <cell r="P858" t="str">
            <v>HM</v>
          </cell>
          <cell r="Q858">
            <v>7245</v>
          </cell>
        </row>
        <row r="859">
          <cell r="E859" t="str">
            <v>KKM/JKN/HSA/10-05-01/H/16/86</v>
          </cell>
          <cell r="F859" t="str">
            <v xml:space="preserve">Diagnostic </v>
          </cell>
          <cell r="G859" t="str">
            <v>Intermediate</v>
          </cell>
          <cell r="H859" t="str">
            <v>Oximeters, Pulse</v>
          </cell>
          <cell r="I859" t="str">
            <v>PULSE OXIMETER AND SIMULATOR</v>
          </cell>
          <cell r="J859" t="str">
            <v>17-148</v>
          </cell>
          <cell r="K859" t="str">
            <v>MASIMO</v>
          </cell>
          <cell r="L859" t="str">
            <v>R2932-RADICAL 7TS</v>
          </cell>
          <cell r="M859" t="str">
            <v>DS-239207/HH-1000051579</v>
          </cell>
          <cell r="N859" t="str">
            <v>OBSTETRIK &amp; GINEKOLOGI</v>
          </cell>
          <cell r="O859" t="str">
            <v>Pusat Kemasukan Ibu Bersalin (PAC)</v>
          </cell>
          <cell r="P859" t="str">
            <v>HM</v>
          </cell>
          <cell r="Q859">
            <v>7400</v>
          </cell>
        </row>
        <row r="860">
          <cell r="E860" t="str">
            <v>KKM/JKN/HSA/10-05-01/H/15/1588</v>
          </cell>
          <cell r="F860" t="str">
            <v xml:space="preserve">Diagnostic </v>
          </cell>
          <cell r="G860" t="str">
            <v>Intermediate</v>
          </cell>
          <cell r="H860" t="str">
            <v>Monitors, Physiologic, Vital Signs</v>
          </cell>
          <cell r="I860" t="str">
            <v>MONITOR NIBP/TEMP</v>
          </cell>
          <cell r="J860" t="str">
            <v>25-209</v>
          </cell>
          <cell r="K860" t="str">
            <v>WELCH ALLYN</v>
          </cell>
          <cell r="L860" t="str">
            <v>WELCH ALLYN VSM 300</v>
          </cell>
          <cell r="M860" t="str">
            <v>JA 123446</v>
          </cell>
          <cell r="N860" t="str">
            <v>OBSTETRIK &amp; GINEKOLOGI</v>
          </cell>
          <cell r="O860" t="str">
            <v>Pusat Kemasukan Ibu Bersalin (PAC)</v>
          </cell>
          <cell r="P860" t="str">
            <v>HM</v>
          </cell>
          <cell r="Q860">
            <v>4355</v>
          </cell>
        </row>
        <row r="861">
          <cell r="E861" t="str">
            <v>KKM/JKN/HSA/10-05-01/H/15/1591</v>
          </cell>
          <cell r="F861" t="str">
            <v xml:space="preserve">Diagnostic </v>
          </cell>
          <cell r="G861" t="str">
            <v>Intermediate</v>
          </cell>
          <cell r="H861" t="str">
            <v>Monitors, Physiologic, Vital Signs</v>
          </cell>
          <cell r="I861" t="str">
            <v>MONITOR NIBP/TEMP</v>
          </cell>
          <cell r="J861" t="str">
            <v>25-209</v>
          </cell>
          <cell r="K861" t="str">
            <v>WELCH ALLYN</v>
          </cell>
          <cell r="L861" t="str">
            <v>WELCH ALLYN VSM 300</v>
          </cell>
          <cell r="M861" t="str">
            <v>JA 123466</v>
          </cell>
          <cell r="N861" t="str">
            <v>OBSTETRIK &amp; GINEKOLOGI</v>
          </cell>
          <cell r="O861" t="str">
            <v>Pusat Kemasukan Ibu Bersalin (PAC)</v>
          </cell>
          <cell r="P861" t="str">
            <v>HM</v>
          </cell>
          <cell r="Q861">
            <v>4355</v>
          </cell>
        </row>
        <row r="862">
          <cell r="E862" t="str">
            <v>KKM/JKN/HSA/10-05-01/H/15/595</v>
          </cell>
          <cell r="F862" t="str">
            <v xml:space="preserve">Diagnostic </v>
          </cell>
          <cell r="G862" t="str">
            <v>Intermediate</v>
          </cell>
          <cell r="H862" t="str">
            <v>Cardiotocographs</v>
          </cell>
          <cell r="I862" t="str">
            <v>MONITOR ANTEPARTUM/TWIN W/INTEGRAL PRINTER</v>
          </cell>
          <cell r="J862" t="str">
            <v>12-610</v>
          </cell>
          <cell r="K862" t="str">
            <v>GE HEALTHCARE</v>
          </cell>
          <cell r="L862" t="str">
            <v>COROMETRICS 172</v>
          </cell>
          <cell r="M862"/>
          <cell r="N862" t="str">
            <v>OBSTETRIK &amp; GINEKOLOGI</v>
          </cell>
          <cell r="O862" t="str">
            <v>Pusat Kemasukan Ibu Bersalin (PAC)</v>
          </cell>
          <cell r="P862" t="str">
            <v>HM</v>
          </cell>
          <cell r="Q862">
            <v>10200</v>
          </cell>
        </row>
        <row r="863">
          <cell r="E863" t="str">
            <v>KKM/JKN/HSA/10-05-01/H/15/4299</v>
          </cell>
          <cell r="F863" t="str">
            <v xml:space="preserve">Diagnostic </v>
          </cell>
          <cell r="G863" t="str">
            <v>Intermediate</v>
          </cell>
          <cell r="H863" t="str">
            <v>Cardiotocographs</v>
          </cell>
          <cell r="I863" t="str">
            <v>MONITOR ANTEPARTUM W/INTEGRAL PRINTER</v>
          </cell>
          <cell r="J863" t="str">
            <v>12-610</v>
          </cell>
          <cell r="K863" t="str">
            <v>GE HEALTHCARE</v>
          </cell>
          <cell r="L863" t="str">
            <v>COROMETRICS 172</v>
          </cell>
          <cell r="M863" t="str">
            <v>SAS13360945PA</v>
          </cell>
          <cell r="N863" t="str">
            <v>OBSTETRIK &amp; GINEKOLOGI</v>
          </cell>
          <cell r="O863" t="str">
            <v>Pusat Kemasukan Ibu Bersalin (PAC)</v>
          </cell>
          <cell r="P863" t="str">
            <v>HM</v>
          </cell>
          <cell r="Q863">
            <v>10200</v>
          </cell>
        </row>
        <row r="864">
          <cell r="E864" t="str">
            <v>KKM/JKN/HSA/10-05-01/H/19/22</v>
          </cell>
          <cell r="F864" t="str">
            <v>Laboratory</v>
          </cell>
          <cell r="G864" t="str">
            <v>Intermediate</v>
          </cell>
          <cell r="H864" t="str">
            <v>Balances, Electronic, Analytical</v>
          </cell>
          <cell r="I864" t="str">
            <v>SHIMADZU UNIBLOC TOP LOADING BALANCES</v>
          </cell>
          <cell r="J864" t="str">
            <v>18-449</v>
          </cell>
          <cell r="K864" t="str">
            <v>SHIMADZU/TX2202L</v>
          </cell>
          <cell r="L864"/>
          <cell r="M864" t="str">
            <v>D465531515</v>
          </cell>
          <cell r="N864"/>
          <cell r="O864" t="str">
            <v>PL - GENERAL LAB (BLOOD BANK) (L02-PL-B-01)</v>
          </cell>
          <cell r="P864"/>
          <cell r="Q864">
            <v>2500</v>
          </cell>
        </row>
        <row r="865">
          <cell r="E865" t="str">
            <v>KKM/JKN/HSA/10-05-01/H/15/5106</v>
          </cell>
          <cell r="F865" t="str">
            <v>Laboratory</v>
          </cell>
          <cell r="G865" t="str">
            <v>Intermediate</v>
          </cell>
          <cell r="H865" t="str">
            <v>Cameras, Video, Microscope</v>
          </cell>
          <cell r="I865" t="str">
            <v>VIDEO CAMERA SYSTEM FOR MICROSCOPE</v>
          </cell>
          <cell r="J865" t="str">
            <v>15-815</v>
          </cell>
          <cell r="K865" t="str">
            <v>LEICA</v>
          </cell>
          <cell r="L865" t="str">
            <v>ICC50HD</v>
          </cell>
          <cell r="M865"/>
          <cell r="N865" t="str">
            <v xml:space="preserve">FORENSIK </v>
          </cell>
          <cell r="O865" t="str">
            <v>Perubatan Forensik</v>
          </cell>
          <cell r="P865" t="str">
            <v>HM</v>
          </cell>
          <cell r="Q865">
            <v>14700</v>
          </cell>
        </row>
        <row r="866">
          <cell r="E866" t="str">
            <v>KKM/JKN/HSA/10-05-01/H/15/2834</v>
          </cell>
          <cell r="F866" t="str">
            <v>Laboratory</v>
          </cell>
          <cell r="G866" t="str">
            <v>Intermediate</v>
          </cell>
          <cell r="H866" t="str">
            <v>Microscopes, Light, Laboratory</v>
          </cell>
          <cell r="I866" t="str">
            <v>MICROSCOPE BINO 4X/10X/40X/100X LENS W FITTING FOR VIDEO CAMERA</v>
          </cell>
          <cell r="J866" t="str">
            <v>15-156</v>
          </cell>
          <cell r="K866" t="str">
            <v>LEICA</v>
          </cell>
          <cell r="L866" t="str">
            <v>DM 750</v>
          </cell>
          <cell r="M866" t="str">
            <v>8340124375VR0014/04/13</v>
          </cell>
          <cell r="N866" t="str">
            <v xml:space="preserve">FORENSIK </v>
          </cell>
          <cell r="O866" t="str">
            <v>Perubatan Forensik</v>
          </cell>
          <cell r="P866" t="str">
            <v>HM</v>
          </cell>
          <cell r="Q866">
            <v>5400</v>
          </cell>
        </row>
        <row r="867">
          <cell r="E867" t="str">
            <v>KKM/JKN/HSA/10-05-01/H/15/2835</v>
          </cell>
          <cell r="F867" t="str">
            <v>Laboratory</v>
          </cell>
          <cell r="G867" t="str">
            <v>Intermediate</v>
          </cell>
          <cell r="H867" t="str">
            <v>Microscopes, Light, Laboratory</v>
          </cell>
          <cell r="I867" t="str">
            <v>MICROSCOPE BINO 4X/10X/40X/100X LENS W FITTING FOR DIGITAL CAMERA</v>
          </cell>
          <cell r="J867" t="str">
            <v>15-156</v>
          </cell>
          <cell r="K867" t="str">
            <v>LEICA</v>
          </cell>
          <cell r="L867" t="str">
            <v>DM 750</v>
          </cell>
          <cell r="M867" t="str">
            <v>8340124375VR0016/04/13</v>
          </cell>
          <cell r="N867" t="str">
            <v xml:space="preserve">FORENSIK </v>
          </cell>
          <cell r="O867" t="str">
            <v>Perubatan Forensik</v>
          </cell>
          <cell r="P867" t="str">
            <v>HM</v>
          </cell>
          <cell r="Q867">
            <v>12500</v>
          </cell>
        </row>
        <row r="868">
          <cell r="E868"/>
          <cell r="F868" t="str">
            <v>Laboratory</v>
          </cell>
          <cell r="G868" t="str">
            <v>Intermediate</v>
          </cell>
          <cell r="H868" t="str">
            <v>Microscopes, Light, Laboratory</v>
          </cell>
          <cell r="I868" t="str">
            <v>CAMERA 35MM FOR USE W/MICROSCOPE</v>
          </cell>
          <cell r="J868" t="str">
            <v>15-156</v>
          </cell>
          <cell r="K868" t="str">
            <v>LEICA</v>
          </cell>
          <cell r="L868" t="str">
            <v>ICC50HD</v>
          </cell>
          <cell r="M868"/>
          <cell r="N868" t="str">
            <v xml:space="preserve">FORENSIK </v>
          </cell>
          <cell r="O868" t="str">
            <v>Perubatan Forensik</v>
          </cell>
          <cell r="P868" t="str">
            <v>HM</v>
          </cell>
          <cell r="Q868">
            <v>4000</v>
          </cell>
        </row>
        <row r="869">
          <cell r="E869" t="str">
            <v>KKM/JKN/HSA/10-05-01/H/15/3093</v>
          </cell>
          <cell r="F869" t="str">
            <v>Laboratory</v>
          </cell>
          <cell r="G869" t="str">
            <v>Intermediate</v>
          </cell>
          <cell r="H869" t="str">
            <v>Balances, Electronic</v>
          </cell>
          <cell r="I869" t="str">
            <v>BALANCE TOP LOADING UP TO 3 KG</v>
          </cell>
          <cell r="J869" t="str">
            <v>10-263</v>
          </cell>
          <cell r="K869" t="str">
            <v>SHIMADZU</v>
          </cell>
          <cell r="L869" t="str">
            <v>UX6200H</v>
          </cell>
          <cell r="M869" t="str">
            <v>D446840412</v>
          </cell>
          <cell r="N869" t="str">
            <v xml:space="preserve">FORENSIK </v>
          </cell>
          <cell r="O869" t="str">
            <v>Perubatan Forensik</v>
          </cell>
          <cell r="P869" t="str">
            <v>HM</v>
          </cell>
          <cell r="Q869">
            <v>2760</v>
          </cell>
        </row>
        <row r="870">
          <cell r="E870" t="str">
            <v>KKM/JKN/HSA/10-05-01/R/15/13485</v>
          </cell>
          <cell r="F870" t="str">
            <v>Laboratory</v>
          </cell>
          <cell r="G870" t="str">
            <v>Intermediate</v>
          </cell>
          <cell r="H870" t="str">
            <v>Balances, Electronic, Analytical</v>
          </cell>
          <cell r="I870" t="str">
            <v>BALANCE TOP LOADING 600G CAP</v>
          </cell>
          <cell r="J870" t="str">
            <v>18-449</v>
          </cell>
          <cell r="K870" t="str">
            <v>SHIMADZU</v>
          </cell>
          <cell r="L870" t="str">
            <v>TXB622L</v>
          </cell>
          <cell r="M870" t="str">
            <v>D465530034</v>
          </cell>
          <cell r="N870" t="str">
            <v xml:space="preserve">FORENSIK </v>
          </cell>
          <cell r="O870" t="str">
            <v>Perubatan Forensik</v>
          </cell>
          <cell r="P870" t="str">
            <v>ABR</v>
          </cell>
          <cell r="Q870">
            <v>1240</v>
          </cell>
        </row>
        <row r="871">
          <cell r="E871" t="str">
            <v>KKM/JKN/HSA/10-05-01/H/15/2842</v>
          </cell>
          <cell r="F871" t="str">
            <v>Laboratory</v>
          </cell>
          <cell r="G871" t="str">
            <v>Intermediate</v>
          </cell>
          <cell r="H871" t="str">
            <v>Balances, Electronic, Analytical</v>
          </cell>
          <cell r="I871" t="str">
            <v>BALANCE ANALYSIS 200 G CAP</v>
          </cell>
          <cell r="J871" t="str">
            <v>18-449</v>
          </cell>
          <cell r="K871" t="str">
            <v>SHIMADZU</v>
          </cell>
          <cell r="L871" t="str">
            <v>ATY224</v>
          </cell>
          <cell r="M871"/>
          <cell r="N871" t="str">
            <v xml:space="preserve">FORENSIK </v>
          </cell>
          <cell r="O871" t="str">
            <v>Perubatan Forensik</v>
          </cell>
          <cell r="P871" t="str">
            <v>HM</v>
          </cell>
          <cell r="Q871">
            <v>2440</v>
          </cell>
        </row>
        <row r="872">
          <cell r="E872" t="str">
            <v>KKM/JKN/HSA/10-05-01/H/16/31</v>
          </cell>
          <cell r="F872" t="str">
            <v xml:space="preserve">Diagnostic </v>
          </cell>
          <cell r="G872" t="str">
            <v>Intermediate</v>
          </cell>
          <cell r="H872" t="str">
            <v>Analyzers, Physiologic, Body Composition</v>
          </cell>
          <cell r="I872" t="str">
            <v>BODY COMP0SITION ANALYSER</v>
          </cell>
          <cell r="J872" t="str">
            <v>17-417</v>
          </cell>
          <cell r="K872" t="str">
            <v>TANITA</v>
          </cell>
          <cell r="L872" t="str">
            <v>SC330</v>
          </cell>
          <cell r="M872">
            <v>14100440</v>
          </cell>
          <cell r="N872" t="str">
            <v>DIETETIK DAN SAJIAN</v>
          </cell>
          <cell r="O872" t="str">
            <v>Pendaftaran Klinik Pakar</v>
          </cell>
          <cell r="P872" t="str">
            <v>HM</v>
          </cell>
          <cell r="Q872">
            <v>16000</v>
          </cell>
        </row>
        <row r="873">
          <cell r="E873" t="str">
            <v>KKM/JKN/HSA/10-05-01/H/15/4020</v>
          </cell>
          <cell r="F873" t="str">
            <v>Laboratory</v>
          </cell>
          <cell r="G873" t="str">
            <v>Basic</v>
          </cell>
          <cell r="H873" t="str">
            <v>Water Purification Systems, Deionization</v>
          </cell>
          <cell r="I873" t="str">
            <v>WATER PURIFICATION SYSTEMS, DEIONIZATION</v>
          </cell>
          <cell r="J873" t="str">
            <v>14-435</v>
          </cell>
          <cell r="K873" t="str">
            <v>ELGA</v>
          </cell>
          <cell r="L873" t="str">
            <v>PURELAB CLASSIC DI +PURELAB PRIMA 30BP+LA612</v>
          </cell>
          <cell r="M873" t="str">
            <v>CLE 00002225</v>
          </cell>
          <cell r="N873" t="str">
            <v>PATOLOGI</v>
          </cell>
          <cell r="O873" t="str">
            <v>Patologi</v>
          </cell>
          <cell r="P873" t="str">
            <v>HM</v>
          </cell>
          <cell r="Q873">
            <v>34000</v>
          </cell>
        </row>
        <row r="874">
          <cell r="E874" t="str">
            <v>KKM/JKN/HSA/10-05-01/H/15/3934</v>
          </cell>
          <cell r="F874" t="str">
            <v>Laboratory</v>
          </cell>
          <cell r="G874" t="str">
            <v>Basic</v>
          </cell>
          <cell r="H874" t="str">
            <v>Water Purification Systems, Deionization</v>
          </cell>
          <cell r="I874" t="str">
            <v>WATER PURIFICATION SYSTEMS, DEIONIZATION</v>
          </cell>
          <cell r="J874" t="str">
            <v>14-435</v>
          </cell>
          <cell r="K874" t="str">
            <v>ELGA</v>
          </cell>
          <cell r="L874" t="str">
            <v>PURELAB OPTION-Q 15 BP</v>
          </cell>
          <cell r="M874" t="str">
            <v>0000009661</v>
          </cell>
          <cell r="N874" t="str">
            <v>PATOLOGI</v>
          </cell>
          <cell r="O874" t="str">
            <v>Patologi</v>
          </cell>
          <cell r="P874" t="str">
            <v>HM</v>
          </cell>
          <cell r="Q874">
            <v>24000</v>
          </cell>
        </row>
        <row r="875">
          <cell r="E875" t="str">
            <v>KKM/JKN/HSA/10-05-01/H/15/4024</v>
          </cell>
          <cell r="F875" t="str">
            <v>Laboratory</v>
          </cell>
          <cell r="G875" t="str">
            <v>Basic</v>
          </cell>
          <cell r="H875" t="str">
            <v>Water Purification Systems, Deionization</v>
          </cell>
          <cell r="I875" t="str">
            <v>WATER DISTILLER</v>
          </cell>
          <cell r="J875" t="str">
            <v>14-435</v>
          </cell>
          <cell r="K875" t="str">
            <v>NUVE</v>
          </cell>
          <cell r="L875" t="str">
            <v>ND 12 WATER DISTILLER</v>
          </cell>
          <cell r="M875"/>
          <cell r="N875" t="str">
            <v>PATOLOGI</v>
          </cell>
          <cell r="O875" t="str">
            <v>Patologi</v>
          </cell>
          <cell r="P875" t="str">
            <v>HM</v>
          </cell>
          <cell r="Q875">
            <v>9880</v>
          </cell>
        </row>
        <row r="876">
          <cell r="E876" t="str">
            <v>KKM/JKN/HSA/10-05-01/H/15/3940</v>
          </cell>
          <cell r="F876" t="str">
            <v>Therapeutic</v>
          </cell>
          <cell r="G876" t="str">
            <v>Basic</v>
          </cell>
          <cell r="H876" t="str">
            <v>Heating Units, Wax Scalding Unit</v>
          </cell>
          <cell r="I876" t="str">
            <v>WARMER WAX HISTO</v>
          </cell>
          <cell r="J876" t="str">
            <v>88-040</v>
          </cell>
          <cell r="K876" t="str">
            <v>TED PELLA</v>
          </cell>
          <cell r="L876" t="str">
            <v>28151-230</v>
          </cell>
          <cell r="M876"/>
          <cell r="N876" t="str">
            <v>PATOLOGI</v>
          </cell>
          <cell r="O876" t="str">
            <v>Patologi</v>
          </cell>
          <cell r="P876" t="str">
            <v>HM</v>
          </cell>
          <cell r="Q876">
            <v>10000</v>
          </cell>
        </row>
        <row r="877">
          <cell r="E877" t="str">
            <v>KKM/JKN/HSA/10-05-01/H/15/3982</v>
          </cell>
          <cell r="F877" t="str">
            <v>Laboratory</v>
          </cell>
          <cell r="G877" t="str">
            <v>Basic</v>
          </cell>
          <cell r="H877" t="str">
            <v>Crimpers</v>
          </cell>
          <cell r="I877" t="str">
            <v>TUBE SEALER - BENCH TOP</v>
          </cell>
          <cell r="J877" t="str">
            <v>16-463</v>
          </cell>
          <cell r="K877" t="str">
            <v>TERUMO</v>
          </cell>
          <cell r="L877" t="str">
            <v>XS1010</v>
          </cell>
          <cell r="M877">
            <v>13082663</v>
          </cell>
          <cell r="N877" t="str">
            <v>PATOLOGI</v>
          </cell>
          <cell r="O877" t="str">
            <v>Patologi</v>
          </cell>
          <cell r="P877" t="str">
            <v>HM</v>
          </cell>
          <cell r="Q877">
            <v>8528</v>
          </cell>
        </row>
        <row r="878">
          <cell r="E878" t="str">
            <v>KKM/JKN/HSA/10-05-01/H/15/4007</v>
          </cell>
          <cell r="F878" t="str">
            <v>Therapeutic</v>
          </cell>
          <cell r="G878" t="str">
            <v>Basic</v>
          </cell>
          <cell r="H878" t="str">
            <v>Bath, Water, Plasma-Thawing</v>
          </cell>
          <cell r="I878" t="str">
            <v>THAWING UNIT THERMAL</v>
          </cell>
          <cell r="J878" t="str">
            <v>16-795</v>
          </cell>
          <cell r="K878" t="str">
            <v>TERUMO</v>
          </cell>
          <cell r="L878" t="str">
            <v>PB100</v>
          </cell>
          <cell r="M878">
            <v>131358</v>
          </cell>
          <cell r="N878" t="str">
            <v>PATOLOGI</v>
          </cell>
          <cell r="O878" t="str">
            <v>Patologi</v>
          </cell>
          <cell r="P878" t="str">
            <v>HM</v>
          </cell>
          <cell r="Q878">
            <v>14279</v>
          </cell>
        </row>
        <row r="879">
          <cell r="E879" t="str">
            <v>KKM/JKN/HSA/10-05-01/H/15/3942</v>
          </cell>
          <cell r="F879" t="str">
            <v>Laboratory</v>
          </cell>
          <cell r="G879" t="str">
            <v>Basic</v>
          </cell>
          <cell r="H879" t="str">
            <v>Baths, Water, Laboratory</v>
          </cell>
          <cell r="I879" t="str">
            <v>SLIDE WARMER 30 TO 60 C</v>
          </cell>
          <cell r="J879" t="str">
            <v>16-861</v>
          </cell>
          <cell r="K879" t="str">
            <v>LEICA</v>
          </cell>
          <cell r="L879" t="str">
            <v>HI1220</v>
          </cell>
          <cell r="M879">
            <v>14042321474</v>
          </cell>
          <cell r="N879" t="str">
            <v>PATOLOGI</v>
          </cell>
          <cell r="O879" t="str">
            <v>Patologi</v>
          </cell>
          <cell r="P879" t="str">
            <v>HM</v>
          </cell>
          <cell r="Q879">
            <v>2800</v>
          </cell>
        </row>
        <row r="880">
          <cell r="E880" t="str">
            <v>KKM/JKN/HSA/10-05-01/H/15/3943</v>
          </cell>
          <cell r="F880" t="str">
            <v>Laboratory</v>
          </cell>
          <cell r="G880" t="str">
            <v>Basic</v>
          </cell>
          <cell r="H880" t="str">
            <v>Baths, Water, Laboratory</v>
          </cell>
          <cell r="I880" t="str">
            <v>SLIDE WARMER 30 TO 60 C</v>
          </cell>
          <cell r="J880" t="str">
            <v>16-861</v>
          </cell>
          <cell r="K880" t="str">
            <v>LEICA</v>
          </cell>
          <cell r="L880" t="str">
            <v>HI1220</v>
          </cell>
          <cell r="M880">
            <v>1402321474</v>
          </cell>
          <cell r="N880" t="str">
            <v>PATOLOGI</v>
          </cell>
          <cell r="O880" t="str">
            <v>Patologi</v>
          </cell>
          <cell r="P880" t="str">
            <v>HM</v>
          </cell>
          <cell r="Q880">
            <v>2800</v>
          </cell>
        </row>
        <row r="881">
          <cell r="E881" t="str">
            <v>KKM/JKN/HSA/10-05-01/H/15/3944</v>
          </cell>
          <cell r="F881" t="str">
            <v>Laboratory</v>
          </cell>
          <cell r="G881" t="str">
            <v>Basic</v>
          </cell>
          <cell r="H881" t="str">
            <v>Baths, Water, Laboratory</v>
          </cell>
          <cell r="I881" t="str">
            <v>SLIDE WARMER 30 TO 60 C</v>
          </cell>
          <cell r="J881" t="str">
            <v>16-861</v>
          </cell>
          <cell r="K881" t="str">
            <v>LEICA</v>
          </cell>
          <cell r="L881" t="str">
            <v>HI1220</v>
          </cell>
          <cell r="M881"/>
          <cell r="N881" t="str">
            <v>PATOLOGI</v>
          </cell>
          <cell r="O881" t="str">
            <v>Patologi</v>
          </cell>
          <cell r="P881" t="str">
            <v>HM</v>
          </cell>
          <cell r="Q881">
            <v>2800</v>
          </cell>
        </row>
        <row r="882">
          <cell r="E882" t="str">
            <v>KKM/JKN/HSA/10-05-01/H/15/3983</v>
          </cell>
          <cell r="F882" t="str">
            <v>Laboratory</v>
          </cell>
          <cell r="G882" t="str">
            <v>Basic</v>
          </cell>
          <cell r="H882" t="str">
            <v>Incubators, Laboratory, Shaker/Rotator, Platelet</v>
          </cell>
          <cell r="I882" t="str">
            <v>PLATELET AGITATOR WITH INCUBATOR</v>
          </cell>
          <cell r="J882" t="str">
            <v>23-431</v>
          </cell>
          <cell r="K882" t="str">
            <v>LABTOP</v>
          </cell>
          <cell r="L882" t="str">
            <v>LPI 500 &amp; LPA 46</v>
          </cell>
          <cell r="M882">
            <v>15065171</v>
          </cell>
          <cell r="N882" t="str">
            <v>PATOLOGI</v>
          </cell>
          <cell r="O882" t="str">
            <v>Patologi</v>
          </cell>
          <cell r="P882" t="str">
            <v>HM</v>
          </cell>
          <cell r="Q882">
            <v>25000</v>
          </cell>
        </row>
        <row r="883">
          <cell r="E883" t="str">
            <v>KKM/JKN/HSA/10-05-01/H/15/3984</v>
          </cell>
          <cell r="F883" t="str">
            <v>Laboratory</v>
          </cell>
          <cell r="G883" t="str">
            <v>Basic</v>
          </cell>
          <cell r="H883" t="str">
            <v>Incubators, Laboratory, Shaker/Rotator, Platelet</v>
          </cell>
          <cell r="I883" t="str">
            <v>PLATELET AGITATOR WITH INCUBATOR</v>
          </cell>
          <cell r="J883" t="str">
            <v>23-431</v>
          </cell>
          <cell r="K883" t="str">
            <v>LABTOP</v>
          </cell>
          <cell r="L883" t="str">
            <v>LPI 500 &amp; LPA 46</v>
          </cell>
          <cell r="M883">
            <v>15065170</v>
          </cell>
          <cell r="N883" t="str">
            <v>PATOLOGI</v>
          </cell>
          <cell r="O883" t="str">
            <v>Patologi</v>
          </cell>
          <cell r="P883" t="str">
            <v>HM</v>
          </cell>
          <cell r="Q883">
            <v>25000</v>
          </cell>
        </row>
        <row r="884">
          <cell r="E884" t="str">
            <v>KKM/JKN/HSA/10-05-01/H/15/3999</v>
          </cell>
          <cell r="F884" t="str">
            <v>Laboratory</v>
          </cell>
          <cell r="G884" t="str">
            <v>Intermediate</v>
          </cell>
          <cell r="H884" t="str">
            <v>Osmometers</v>
          </cell>
          <cell r="I884" t="str">
            <v>OSMOMETER</v>
          </cell>
          <cell r="J884" t="str">
            <v>12-842</v>
          </cell>
          <cell r="K884" t="str">
            <v>GONOTEC</v>
          </cell>
          <cell r="L884" t="str">
            <v>OSMOMAT 030</v>
          </cell>
          <cell r="M884">
            <v>131003</v>
          </cell>
          <cell r="N884" t="str">
            <v>PATOLOGI</v>
          </cell>
          <cell r="O884" t="str">
            <v>Patologi</v>
          </cell>
          <cell r="P884" t="str">
            <v>HM</v>
          </cell>
          <cell r="Q884">
            <v>22800</v>
          </cell>
        </row>
        <row r="885">
          <cell r="E885" t="str">
            <v>KKM/JKN/HSA/10-05-01/R/15/15032</v>
          </cell>
          <cell r="F885" t="str">
            <v>Laboratory</v>
          </cell>
          <cell r="G885" t="str">
            <v>Basic</v>
          </cell>
          <cell r="H885" t="str">
            <v>Mixers, Clinical Laboratory</v>
          </cell>
          <cell r="I885" t="str">
            <v>MIXER VORTEX</v>
          </cell>
          <cell r="J885" t="str">
            <v>15-161</v>
          </cell>
          <cell r="K885" t="str">
            <v>IKA</v>
          </cell>
          <cell r="L885" t="str">
            <v>VORTEX GENIUS 3</v>
          </cell>
          <cell r="M885"/>
          <cell r="N885" t="str">
            <v>PATOLOGI</v>
          </cell>
          <cell r="O885" t="str">
            <v>Patologi</v>
          </cell>
          <cell r="P885" t="str">
            <v>ABR</v>
          </cell>
          <cell r="Q885">
            <v>814</v>
          </cell>
        </row>
        <row r="886">
          <cell r="E886" t="str">
            <v>KKM/JKN/HSA/10-05-01/R/15/15033</v>
          </cell>
          <cell r="F886" t="str">
            <v>Laboratory</v>
          </cell>
          <cell r="G886" t="str">
            <v>Basic</v>
          </cell>
          <cell r="H886" t="str">
            <v>Mixers, Clinical Laboratory</v>
          </cell>
          <cell r="I886" t="str">
            <v>MIXER VORTEX</v>
          </cell>
          <cell r="J886" t="str">
            <v>15-161</v>
          </cell>
          <cell r="K886" t="str">
            <v>IKA</v>
          </cell>
          <cell r="L886" t="str">
            <v>VORTEX GENIUS 3</v>
          </cell>
          <cell r="M886"/>
          <cell r="N886" t="str">
            <v>PATOLOGI</v>
          </cell>
          <cell r="O886" t="str">
            <v>Patologi</v>
          </cell>
          <cell r="P886" t="str">
            <v>ABR</v>
          </cell>
          <cell r="Q886">
            <v>814</v>
          </cell>
        </row>
        <row r="887">
          <cell r="E887" t="str">
            <v>KKM/JKN/HSA/10-05-01/R/15/15034</v>
          </cell>
          <cell r="F887" t="str">
            <v>Laboratory</v>
          </cell>
          <cell r="G887" t="str">
            <v>Basic</v>
          </cell>
          <cell r="H887" t="str">
            <v>Mixers, Clinical Laboratory</v>
          </cell>
          <cell r="I887" t="str">
            <v>MIXER VORTEX</v>
          </cell>
          <cell r="J887" t="str">
            <v>15-161</v>
          </cell>
          <cell r="K887" t="str">
            <v>IKA</v>
          </cell>
          <cell r="L887" t="str">
            <v>VORTEX GENIUS 3</v>
          </cell>
          <cell r="M887"/>
          <cell r="N887" t="str">
            <v>PATOLOGI</v>
          </cell>
          <cell r="O887" t="str">
            <v>Patologi</v>
          </cell>
          <cell r="P887" t="str">
            <v>ABR</v>
          </cell>
          <cell r="Q887">
            <v>814</v>
          </cell>
        </row>
        <row r="888">
          <cell r="E888" t="str">
            <v>KKM/JKN/HSA/10-05-01/H/15/3975</v>
          </cell>
          <cell r="F888" t="str">
            <v>Laboratory</v>
          </cell>
          <cell r="G888" t="str">
            <v>Intermediate</v>
          </cell>
          <cell r="H888" t="str">
            <v>Microtomes, Cryostat</v>
          </cell>
          <cell r="I888" t="str">
            <v>MICROTOME SEMI THIN</v>
          </cell>
          <cell r="J888" t="str">
            <v>15-157</v>
          </cell>
          <cell r="K888" t="str">
            <v>LEICA</v>
          </cell>
          <cell r="L888" t="str">
            <v>CMRM2255</v>
          </cell>
          <cell r="M888">
            <v>10681</v>
          </cell>
          <cell r="N888" t="str">
            <v>PATOLOGI</v>
          </cell>
          <cell r="O888" t="str">
            <v>Patologi</v>
          </cell>
          <cell r="P888" t="str">
            <v>HM</v>
          </cell>
          <cell r="Q888">
            <v>52700</v>
          </cell>
        </row>
        <row r="889">
          <cell r="E889" t="str">
            <v>KKM/JKN/HSA/10-05-01/H/15/3981</v>
          </cell>
          <cell r="F889" t="str">
            <v>Laboratory</v>
          </cell>
          <cell r="G889" t="str">
            <v>Intermediate</v>
          </cell>
          <cell r="H889" t="str">
            <v>Microtomes, Cryostat</v>
          </cell>
          <cell r="I889" t="str">
            <v>MICROTOME CRYOSTAT W/ACCESSORIES</v>
          </cell>
          <cell r="J889" t="str">
            <v>15-157</v>
          </cell>
          <cell r="K889" t="str">
            <v>LEICA</v>
          </cell>
          <cell r="L889" t="str">
            <v>CM1860UV</v>
          </cell>
          <cell r="M889" t="str">
            <v>1612/02/2015</v>
          </cell>
          <cell r="N889" t="str">
            <v>PATOLOGI</v>
          </cell>
          <cell r="O889" t="str">
            <v>Patologi</v>
          </cell>
          <cell r="P889" t="str">
            <v>HM</v>
          </cell>
          <cell r="Q889">
            <v>68750</v>
          </cell>
        </row>
        <row r="890">
          <cell r="E890" t="str">
            <v>KKM/JKN/HSA/10-05-01/H/15/3950</v>
          </cell>
          <cell r="F890" t="str">
            <v>Laboratory</v>
          </cell>
          <cell r="G890" t="str">
            <v>Intermediate</v>
          </cell>
          <cell r="H890" t="str">
            <v>Microscopes, Light, Laboratory</v>
          </cell>
          <cell r="I890" t="str">
            <v>MICROSCOPE BINO PATHOLOGIST/CYTOLOGIST</v>
          </cell>
          <cell r="J890" t="str">
            <v>15-156</v>
          </cell>
          <cell r="K890" t="str">
            <v>LEICA</v>
          </cell>
          <cell r="L890" t="str">
            <v>DM3000LED</v>
          </cell>
          <cell r="M890">
            <v>346869</v>
          </cell>
          <cell r="N890" t="str">
            <v>PATOLOGI</v>
          </cell>
          <cell r="O890" t="str">
            <v>Patologi</v>
          </cell>
          <cell r="P890" t="str">
            <v>HM</v>
          </cell>
          <cell r="Q890">
            <v>35400</v>
          </cell>
        </row>
        <row r="891">
          <cell r="E891" t="str">
            <v>KKM/JKN/HSA/10-05-01/H/15/3951</v>
          </cell>
          <cell r="F891" t="str">
            <v>Laboratory</v>
          </cell>
          <cell r="G891" t="str">
            <v>Intermediate</v>
          </cell>
          <cell r="H891" t="str">
            <v>Microscopes, Light, Laboratory</v>
          </cell>
          <cell r="I891" t="str">
            <v>MICROSCOPE BINO PATHOLOGIST/CYTOLOGIST</v>
          </cell>
          <cell r="J891" t="str">
            <v>15-156</v>
          </cell>
          <cell r="K891" t="str">
            <v>LEICA</v>
          </cell>
          <cell r="L891" t="str">
            <v>DM3000LED</v>
          </cell>
          <cell r="M891">
            <v>346866</v>
          </cell>
          <cell r="N891" t="str">
            <v>PATOLOGI</v>
          </cell>
          <cell r="O891" t="str">
            <v>Patologi</v>
          </cell>
          <cell r="P891" t="str">
            <v>HM</v>
          </cell>
          <cell r="Q891">
            <v>35400</v>
          </cell>
        </row>
        <row r="892">
          <cell r="E892" t="str">
            <v>KKM/JKN/HSA/10-05-01/H/15/3953</v>
          </cell>
          <cell r="F892" t="str">
            <v>Laboratory</v>
          </cell>
          <cell r="G892" t="str">
            <v>Intermediate</v>
          </cell>
          <cell r="H892" t="str">
            <v>Microscopes, Light, Laboratory</v>
          </cell>
          <cell r="I892" t="str">
            <v>MICROSCOPE BINO 4X/10X/40X/100X LENS</v>
          </cell>
          <cell r="J892" t="str">
            <v>15-156</v>
          </cell>
          <cell r="K892" t="str">
            <v>LEICA</v>
          </cell>
          <cell r="L892" t="str">
            <v>DM 750</v>
          </cell>
          <cell r="M892" t="str">
            <v>8340124375VR0017/04/13</v>
          </cell>
          <cell r="N892" t="str">
            <v>PATOLOGI</v>
          </cell>
          <cell r="O892" t="str">
            <v>Patologi</v>
          </cell>
          <cell r="P892" t="str">
            <v>HM</v>
          </cell>
          <cell r="Q892">
            <v>5600</v>
          </cell>
        </row>
        <row r="893">
          <cell r="E893" t="str">
            <v>KKM/JKN/HSA/10-05-01/H/15/3954</v>
          </cell>
          <cell r="F893" t="str">
            <v>Laboratory</v>
          </cell>
          <cell r="G893" t="str">
            <v>Intermediate</v>
          </cell>
          <cell r="H893" t="str">
            <v>Microscopes, Light, Laboratory</v>
          </cell>
          <cell r="I893" t="str">
            <v>MICROSCOPE BINO 4X/10X/40X/100X LENS</v>
          </cell>
          <cell r="J893" t="str">
            <v>15-156</v>
          </cell>
          <cell r="K893" t="str">
            <v>LEICA</v>
          </cell>
          <cell r="L893" t="str">
            <v>DM 750</v>
          </cell>
          <cell r="M893" t="str">
            <v>8340124375VR0011/04/13</v>
          </cell>
          <cell r="N893" t="str">
            <v>PATOLOGI</v>
          </cell>
          <cell r="O893" t="str">
            <v>Patologi</v>
          </cell>
          <cell r="P893" t="str">
            <v>HM</v>
          </cell>
          <cell r="Q893">
            <v>5600</v>
          </cell>
        </row>
        <row r="894">
          <cell r="E894" t="str">
            <v>KKM/JKN/HSA/10-05-01/H/15/3955</v>
          </cell>
          <cell r="F894" t="str">
            <v>Laboratory</v>
          </cell>
          <cell r="G894" t="str">
            <v>Intermediate</v>
          </cell>
          <cell r="H894" t="str">
            <v>Microscopes, Light, Laboratory</v>
          </cell>
          <cell r="I894" t="str">
            <v>MICROSCOPE BINO 4X/10X/40X/100X LENS</v>
          </cell>
          <cell r="J894" t="str">
            <v>15-156</v>
          </cell>
          <cell r="K894" t="str">
            <v>LEICA</v>
          </cell>
          <cell r="L894" t="str">
            <v>DM 750</v>
          </cell>
          <cell r="M894" t="str">
            <v>8340127972VS0033</v>
          </cell>
          <cell r="N894" t="str">
            <v>PATOLOGI</v>
          </cell>
          <cell r="O894" t="str">
            <v>Patologi</v>
          </cell>
          <cell r="P894" t="str">
            <v>HM</v>
          </cell>
          <cell r="Q894">
            <v>5600</v>
          </cell>
        </row>
        <row r="895">
          <cell r="E895" t="str">
            <v>KKM/JKN/HSA/10-05-01/H/15/3956</v>
          </cell>
          <cell r="F895" t="str">
            <v>Laboratory</v>
          </cell>
          <cell r="G895" t="str">
            <v>Intermediate</v>
          </cell>
          <cell r="H895" t="str">
            <v>Microscopes, Light, Laboratory</v>
          </cell>
          <cell r="I895" t="str">
            <v>MICROSCOPE BINO 4X/10X/40X/100X LENS</v>
          </cell>
          <cell r="J895" t="str">
            <v>15-156</v>
          </cell>
          <cell r="K895" t="str">
            <v>LEICA</v>
          </cell>
          <cell r="L895" t="str">
            <v>DM 750</v>
          </cell>
          <cell r="M895" t="str">
            <v>8340124375VR0008</v>
          </cell>
          <cell r="N895" t="str">
            <v>PATOLOGI</v>
          </cell>
          <cell r="O895" t="str">
            <v>Patologi</v>
          </cell>
          <cell r="P895" t="str">
            <v>HM</v>
          </cell>
          <cell r="Q895">
            <v>5600</v>
          </cell>
        </row>
        <row r="896">
          <cell r="E896" t="str">
            <v>KKM/JKN/HSA/10-05-01/H/15/3957</v>
          </cell>
          <cell r="F896" t="str">
            <v>Laboratory</v>
          </cell>
          <cell r="G896" t="str">
            <v>Intermediate</v>
          </cell>
          <cell r="H896" t="str">
            <v>Microscopes, Light, Laboratory</v>
          </cell>
          <cell r="I896" t="str">
            <v>MICROSCOPE BINO 4X/10X/40X/100X LENS</v>
          </cell>
          <cell r="J896" t="str">
            <v>15-156</v>
          </cell>
          <cell r="K896" t="str">
            <v>LEICA</v>
          </cell>
          <cell r="L896" t="str">
            <v>DM 750</v>
          </cell>
          <cell r="M896" t="str">
            <v>99TT0268</v>
          </cell>
          <cell r="N896" t="str">
            <v>PATOLOGI</v>
          </cell>
          <cell r="O896" t="str">
            <v>Patologi</v>
          </cell>
          <cell r="P896" t="str">
            <v>HM</v>
          </cell>
          <cell r="Q896">
            <v>5600</v>
          </cell>
        </row>
        <row r="897">
          <cell r="E897" t="str">
            <v>KKM/JKN/HSA/10-05-01/H/15/3958</v>
          </cell>
          <cell r="F897" t="str">
            <v>Laboratory</v>
          </cell>
          <cell r="G897" t="str">
            <v>Intermediate</v>
          </cell>
          <cell r="H897" t="str">
            <v>Microscopes, Light, Laboratory</v>
          </cell>
          <cell r="I897" t="str">
            <v>MICROSCOPE BINO 4X/10X/40X/100X LENS</v>
          </cell>
          <cell r="J897" t="str">
            <v>15-156</v>
          </cell>
          <cell r="K897" t="str">
            <v>LEICA</v>
          </cell>
          <cell r="L897" t="str">
            <v>DM 750</v>
          </cell>
          <cell r="M897" t="str">
            <v>8340124375vr0012/04/13</v>
          </cell>
          <cell r="N897" t="str">
            <v>PATOLOGI</v>
          </cell>
          <cell r="O897" t="str">
            <v>Patologi</v>
          </cell>
          <cell r="P897" t="str">
            <v>HM</v>
          </cell>
          <cell r="Q897">
            <v>5600</v>
          </cell>
        </row>
        <row r="898">
          <cell r="E898" t="str">
            <v>KKM/JKN/HSA/10-05-01/H/15/3959</v>
          </cell>
          <cell r="F898" t="str">
            <v>Laboratory</v>
          </cell>
          <cell r="G898" t="str">
            <v>Intermediate</v>
          </cell>
          <cell r="H898" t="str">
            <v>Microscopes, Light, Laboratory</v>
          </cell>
          <cell r="I898" t="str">
            <v>MICROSCOPE BINO 4X/10X/40X/100X LENS</v>
          </cell>
          <cell r="J898" t="str">
            <v>15-156</v>
          </cell>
          <cell r="K898" t="str">
            <v>LEICA</v>
          </cell>
          <cell r="L898" t="str">
            <v>DM 750</v>
          </cell>
          <cell r="M898" t="str">
            <v>8340124375VR0010</v>
          </cell>
          <cell r="N898" t="str">
            <v>PATOLOGI</v>
          </cell>
          <cell r="O898" t="str">
            <v>Patologi</v>
          </cell>
          <cell r="P898" t="str">
            <v>HM</v>
          </cell>
          <cell r="Q898">
            <v>5600</v>
          </cell>
        </row>
        <row r="899">
          <cell r="E899" t="str">
            <v>KKM/JKN/HSA/10-05-01/H/15/3960</v>
          </cell>
          <cell r="F899" t="str">
            <v>Laboratory</v>
          </cell>
          <cell r="G899" t="str">
            <v>Intermediate</v>
          </cell>
          <cell r="H899" t="str">
            <v>Microscopes, Light, Laboratory</v>
          </cell>
          <cell r="I899" t="str">
            <v>MICROSCOPE BINO 4X/10X/40X/100X LENS</v>
          </cell>
          <cell r="J899" t="str">
            <v>15-156</v>
          </cell>
          <cell r="K899" t="str">
            <v>LEICA</v>
          </cell>
          <cell r="L899" t="str">
            <v>DM 750</v>
          </cell>
          <cell r="M899" t="str">
            <v>8340127972VS0030</v>
          </cell>
          <cell r="N899" t="str">
            <v>PATOLOGI</v>
          </cell>
          <cell r="O899" t="str">
            <v>Patologi</v>
          </cell>
          <cell r="P899" t="str">
            <v>HM</v>
          </cell>
          <cell r="Q899">
            <v>5600</v>
          </cell>
        </row>
        <row r="900">
          <cell r="E900" t="str">
            <v>KKM/JKN/HSA/10-05-01/H/15/3961</v>
          </cell>
          <cell r="F900" t="str">
            <v>Laboratory</v>
          </cell>
          <cell r="G900" t="str">
            <v>Intermediate</v>
          </cell>
          <cell r="H900" t="str">
            <v>Microscopes, Light, Laboratory</v>
          </cell>
          <cell r="I900" t="str">
            <v>MICROSCOPE BINO 4X/10X/40X/100X LENS</v>
          </cell>
          <cell r="J900" t="str">
            <v>15-156</v>
          </cell>
          <cell r="K900" t="str">
            <v>LEICA</v>
          </cell>
          <cell r="L900" t="str">
            <v>DM 750</v>
          </cell>
          <cell r="M900" t="str">
            <v>8340124375VR0009/04/13</v>
          </cell>
          <cell r="N900" t="str">
            <v>PATOLOGI</v>
          </cell>
          <cell r="O900" t="str">
            <v>Patologi</v>
          </cell>
          <cell r="P900" t="str">
            <v>HM</v>
          </cell>
          <cell r="Q900">
            <v>5600</v>
          </cell>
        </row>
        <row r="901">
          <cell r="E901" t="str">
            <v>KKM/JKN/HSA/10-05-01/H/15/3962</v>
          </cell>
          <cell r="F901" t="str">
            <v>Laboratory</v>
          </cell>
          <cell r="G901" t="str">
            <v>Intermediate</v>
          </cell>
          <cell r="H901" t="str">
            <v>Microscopes, Light, Laboratory</v>
          </cell>
          <cell r="I901" t="str">
            <v>MICROSCOPE BINO 4X/10X/40X/100X LENS</v>
          </cell>
          <cell r="J901" t="str">
            <v>15-156</v>
          </cell>
          <cell r="K901" t="str">
            <v>LEICA</v>
          </cell>
          <cell r="L901" t="str">
            <v>DM 750</v>
          </cell>
          <cell r="M901" t="str">
            <v>8340124375VR0013/04/13</v>
          </cell>
          <cell r="N901" t="str">
            <v>PATOLOGI</v>
          </cell>
          <cell r="O901" t="str">
            <v>Patologi</v>
          </cell>
          <cell r="P901" t="str">
            <v>HM</v>
          </cell>
          <cell r="Q901">
            <v>5600</v>
          </cell>
        </row>
        <row r="902">
          <cell r="E902" t="str">
            <v>KKM/JKN/HSA/10-05-01/H/15/3963</v>
          </cell>
          <cell r="F902" t="str">
            <v>Laboratory</v>
          </cell>
          <cell r="G902" t="str">
            <v>Intermediate</v>
          </cell>
          <cell r="H902" t="str">
            <v>Microscopes, Light, Laboratory</v>
          </cell>
          <cell r="I902" t="str">
            <v>MICROSCOPE BINO 4X/10X/40X/100X LENS</v>
          </cell>
          <cell r="J902" t="str">
            <v>15-156</v>
          </cell>
          <cell r="K902" t="str">
            <v>LEICA</v>
          </cell>
          <cell r="L902" t="str">
            <v>DM 750</v>
          </cell>
          <cell r="M902" t="str">
            <v>8340124375VR0005</v>
          </cell>
          <cell r="N902" t="str">
            <v>PATOLOGI</v>
          </cell>
          <cell r="O902" t="str">
            <v>Patologi</v>
          </cell>
          <cell r="P902" t="str">
            <v>HM</v>
          </cell>
          <cell r="Q902">
            <v>5600</v>
          </cell>
        </row>
        <row r="903">
          <cell r="E903" t="str">
            <v>KKM/JKN/HSA/10-05-01/H/15/3952</v>
          </cell>
          <cell r="F903" t="str">
            <v>Laboratory</v>
          </cell>
          <cell r="G903" t="str">
            <v>Intermediate</v>
          </cell>
          <cell r="H903" t="str">
            <v>Microscopes, Light, Laboratory</v>
          </cell>
          <cell r="I903" t="str">
            <v>MICROSCOPE BINO 4X/10X/40X/100X LENS</v>
          </cell>
          <cell r="J903" t="str">
            <v>15-156</v>
          </cell>
          <cell r="K903" t="str">
            <v>LEICA</v>
          </cell>
          <cell r="L903" t="str">
            <v>DM 750</v>
          </cell>
          <cell r="M903" t="str">
            <v>8340124375VR0020/04/13</v>
          </cell>
          <cell r="N903" t="str">
            <v>PATOLOGI</v>
          </cell>
          <cell r="O903" t="str">
            <v>Patologi</v>
          </cell>
          <cell r="P903" t="str">
            <v>HM</v>
          </cell>
          <cell r="Q903">
            <v>5400</v>
          </cell>
        </row>
        <row r="904">
          <cell r="E904" t="str">
            <v>KKM/JKN/HSA/10-05-01/H/15/3949</v>
          </cell>
          <cell r="F904" t="str">
            <v>Laboratory</v>
          </cell>
          <cell r="G904" t="str">
            <v>Intermediate</v>
          </cell>
          <cell r="H904" t="str">
            <v>Microscopes, Light, Laboratory</v>
          </cell>
          <cell r="I904" t="str">
            <v>MICROSCOPE BINO 2 HEADED EYEPIECE ATTACHMENT W 63X DRY OBJECTIVE</v>
          </cell>
          <cell r="J904" t="str">
            <v>15-156</v>
          </cell>
          <cell r="K904" t="str">
            <v>LEICA</v>
          </cell>
          <cell r="L904" t="str">
            <v>DM1000</v>
          </cell>
          <cell r="M904">
            <v>363672</v>
          </cell>
          <cell r="N904" t="str">
            <v>PATOLOGI</v>
          </cell>
          <cell r="O904" t="str">
            <v>Patologi</v>
          </cell>
          <cell r="P904" t="str">
            <v>HM</v>
          </cell>
          <cell r="Q904">
            <v>30700</v>
          </cell>
        </row>
        <row r="905">
          <cell r="E905" t="str">
            <v>KKM/JKN/HSA/10-05-01/H/16/92</v>
          </cell>
          <cell r="F905" t="str">
            <v>Laboratory</v>
          </cell>
          <cell r="G905" t="str">
            <v>Intermediate</v>
          </cell>
          <cell r="H905" t="str">
            <v>Microscopes, Light, Laboratory</v>
          </cell>
          <cell r="I905" t="str">
            <v>MICROSCOPE</v>
          </cell>
          <cell r="J905" t="str">
            <v>15-156</v>
          </cell>
          <cell r="K905" t="str">
            <v xml:space="preserve"> PRIMO STAR Iled</v>
          </cell>
          <cell r="L905" t="str">
            <v xml:space="preserve"> PRIMO STAR Iled</v>
          </cell>
          <cell r="M905">
            <v>3134006358</v>
          </cell>
          <cell r="N905" t="str">
            <v>PATOLOGI</v>
          </cell>
          <cell r="O905" t="str">
            <v>Patologi</v>
          </cell>
          <cell r="P905" t="str">
            <v>HM</v>
          </cell>
          <cell r="Q905">
            <v>11100</v>
          </cell>
        </row>
        <row r="906">
          <cell r="E906" t="str">
            <v>KKM/JKN/HSA/10-05-01/H/16/3</v>
          </cell>
          <cell r="F906" t="str">
            <v>Laboratory</v>
          </cell>
          <cell r="G906" t="str">
            <v>Basic</v>
          </cell>
          <cell r="H906" t="str">
            <v>Stirrers</v>
          </cell>
          <cell r="I906" t="str">
            <v>MAGNETIC STIRRER WITH HEATING/HOTPLATE STIRRER</v>
          </cell>
          <cell r="J906" t="str">
            <v>15-651</v>
          </cell>
          <cell r="K906" t="str">
            <v>IKA</v>
          </cell>
          <cell r="L906" t="str">
            <v>C-MAG HS7</v>
          </cell>
          <cell r="M906" t="str">
            <v xml:space="preserve">08,069990
</v>
          </cell>
          <cell r="N906" t="str">
            <v>PATOLOGI</v>
          </cell>
          <cell r="O906" t="str">
            <v>Patologi</v>
          </cell>
          <cell r="P906" t="str">
            <v>HM</v>
          </cell>
          <cell r="Q906">
            <v>2236</v>
          </cell>
        </row>
        <row r="907">
          <cell r="E907" t="str">
            <v>KKM/JKN/HSA/10-05-01/H/16/4</v>
          </cell>
          <cell r="F907" t="str">
            <v>Laboratory</v>
          </cell>
          <cell r="G907" t="str">
            <v>Basic</v>
          </cell>
          <cell r="H907" t="str">
            <v>Stirrers</v>
          </cell>
          <cell r="I907" t="str">
            <v>MAGNETIC STIRRER WITH HEATING/HOTPLATE STIRRER</v>
          </cell>
          <cell r="J907" t="str">
            <v>15-651</v>
          </cell>
          <cell r="K907" t="str">
            <v>IKA</v>
          </cell>
          <cell r="L907" t="str">
            <v>C-MAG HS7</v>
          </cell>
          <cell r="M907">
            <v>8070001</v>
          </cell>
          <cell r="N907" t="str">
            <v>PATOLOGI</v>
          </cell>
          <cell r="O907" t="str">
            <v>Patologi</v>
          </cell>
          <cell r="P907" t="str">
            <v>HM</v>
          </cell>
          <cell r="Q907">
            <v>2236</v>
          </cell>
        </row>
        <row r="908">
          <cell r="E908" t="str">
            <v>KKM/JKN/HSA/10-05-01/H/16/5</v>
          </cell>
          <cell r="F908" t="str">
            <v>Laboratory</v>
          </cell>
          <cell r="G908" t="str">
            <v>Basic</v>
          </cell>
          <cell r="H908" t="str">
            <v>Stirrers</v>
          </cell>
          <cell r="I908" t="str">
            <v>MAGNETIC STIRRER WITH HEATING/HOTPLATE STIRRER</v>
          </cell>
          <cell r="J908" t="str">
            <v>15-651</v>
          </cell>
          <cell r="K908" t="str">
            <v>IKA</v>
          </cell>
          <cell r="L908" t="str">
            <v>C-MAG HS7</v>
          </cell>
          <cell r="M908">
            <v>8069985</v>
          </cell>
          <cell r="N908" t="str">
            <v>PATOLOGI</v>
          </cell>
          <cell r="O908" t="str">
            <v>Patologi</v>
          </cell>
          <cell r="P908" t="str">
            <v>HM</v>
          </cell>
          <cell r="Q908">
            <v>2236</v>
          </cell>
        </row>
        <row r="909">
          <cell r="E909" t="str">
            <v>KKM/JKN/HSA/10-05-01/H/16/13</v>
          </cell>
          <cell r="F909" t="str">
            <v>Laboratory</v>
          </cell>
          <cell r="G909" t="str">
            <v>Basic</v>
          </cell>
          <cell r="H909" t="str">
            <v>Centrifuges, Tabletop</v>
          </cell>
          <cell r="I909" t="str">
            <v>LAB CENTRIFUGE</v>
          </cell>
          <cell r="J909" t="str">
            <v>10-780</v>
          </cell>
          <cell r="K909" t="str">
            <v>ID-CENTRIFUGE 12 SII</v>
          </cell>
          <cell r="L909" t="str">
            <v>12 SII</v>
          </cell>
          <cell r="M909">
            <v>2003804</v>
          </cell>
          <cell r="N909" t="str">
            <v>PATOLOGI</v>
          </cell>
          <cell r="O909" t="str">
            <v>Patologi</v>
          </cell>
          <cell r="P909" t="str">
            <v>HM</v>
          </cell>
          <cell r="Q909">
            <v>10000</v>
          </cell>
        </row>
        <row r="910">
          <cell r="E910" t="str">
            <v>KKM/JKN/HSA/10-05-01/H/15/3966</v>
          </cell>
          <cell r="F910" t="str">
            <v>Laboratory</v>
          </cell>
          <cell r="G910" t="str">
            <v>Intermediate</v>
          </cell>
          <cell r="H910" t="str">
            <v>Incubators, Laboratory, Thermocycling</v>
          </cell>
          <cell r="I910" t="str">
            <v>INCUBATORS, LABORATORY, THERMOCYCLING</v>
          </cell>
          <cell r="J910" t="str">
            <v>18-013</v>
          </cell>
          <cell r="K910" t="str">
            <v>BINDER</v>
          </cell>
          <cell r="L910" t="str">
            <v>FD 115</v>
          </cell>
          <cell r="M910" t="str">
            <v>13-09186</v>
          </cell>
          <cell r="N910" t="str">
            <v>PATOLOGI</v>
          </cell>
          <cell r="O910" t="str">
            <v>Patologi</v>
          </cell>
          <cell r="P910" t="str">
            <v>HM</v>
          </cell>
          <cell r="Q910">
            <v>4000</v>
          </cell>
        </row>
        <row r="911">
          <cell r="E911" t="str">
            <v>KKM/JKN/HSA/10-05-01/H/15/3967</v>
          </cell>
          <cell r="F911" t="str">
            <v>Laboratory</v>
          </cell>
          <cell r="G911" t="str">
            <v>Intermediate</v>
          </cell>
          <cell r="H911" t="str">
            <v>Incubators, Laboratory, Thermocycling</v>
          </cell>
          <cell r="I911" t="str">
            <v>INCUBATORS, LABORATORY, THERMOCYCLING</v>
          </cell>
          <cell r="J911" t="str">
            <v>18-013</v>
          </cell>
          <cell r="K911" t="str">
            <v>BINDER</v>
          </cell>
          <cell r="L911" t="str">
            <v>FD 115</v>
          </cell>
          <cell r="M911" t="str">
            <v>13-09161</v>
          </cell>
          <cell r="N911" t="str">
            <v>PATOLOGI</v>
          </cell>
          <cell r="O911" t="str">
            <v>Patologi</v>
          </cell>
          <cell r="P911" t="str">
            <v>HM</v>
          </cell>
          <cell r="Q911">
            <v>4000</v>
          </cell>
        </row>
        <row r="912">
          <cell r="E912" t="str">
            <v>KKM/JKN/HSA/10-05-01/H/15/3964</v>
          </cell>
          <cell r="F912" t="str">
            <v xml:space="preserve">Diagnostic </v>
          </cell>
          <cell r="G912" t="str">
            <v>Intermediate</v>
          </cell>
          <cell r="H912" t="str">
            <v>Carbon Dioxide Monitors, Laboratory Incubator</v>
          </cell>
          <cell r="I912" t="str">
            <v>INCUBATOR CO2</v>
          </cell>
          <cell r="J912" t="str">
            <v>16-855</v>
          </cell>
          <cell r="K912" t="str">
            <v>BINDER</v>
          </cell>
          <cell r="L912" t="str">
            <v>CB 210</v>
          </cell>
          <cell r="M912" t="str">
            <v>12-15583</v>
          </cell>
          <cell r="N912" t="str">
            <v>PATOLOGI</v>
          </cell>
          <cell r="O912" t="str">
            <v>Patologi</v>
          </cell>
          <cell r="P912" t="str">
            <v>HM</v>
          </cell>
          <cell r="Q912">
            <v>30000</v>
          </cell>
        </row>
        <row r="913">
          <cell r="E913" t="str">
            <v>KKM/JKN/HSA/10-05-01/H/15/3965</v>
          </cell>
          <cell r="F913" t="str">
            <v xml:space="preserve">Diagnostic </v>
          </cell>
          <cell r="G913" t="str">
            <v>Intermediate</v>
          </cell>
          <cell r="H913" t="str">
            <v>Carbon Dioxide Monitors, Laboratory Incubator</v>
          </cell>
          <cell r="I913" t="str">
            <v>INCUBATOR CO2</v>
          </cell>
          <cell r="J913" t="str">
            <v>16-855</v>
          </cell>
          <cell r="K913" t="str">
            <v>BINDER</v>
          </cell>
          <cell r="L913" t="str">
            <v>CB 210</v>
          </cell>
          <cell r="M913" t="str">
            <v>12-15586</v>
          </cell>
          <cell r="N913" t="str">
            <v>PATOLOGI</v>
          </cell>
          <cell r="O913" t="str">
            <v>Patologi</v>
          </cell>
          <cell r="P913" t="str">
            <v>HM</v>
          </cell>
          <cell r="Q913">
            <v>30000</v>
          </cell>
        </row>
        <row r="914">
          <cell r="E914" t="str">
            <v>KKM/JKN/HSA/10-05-01/H/15/3966</v>
          </cell>
          <cell r="F914" t="str">
            <v>Laboratory</v>
          </cell>
          <cell r="G914" t="str">
            <v>Intermediate</v>
          </cell>
          <cell r="H914" t="str">
            <v>Incubators, Laboratory, Thermocycling</v>
          </cell>
          <cell r="I914" t="str">
            <v>INCUBATOR BACTERIOLOGICAL</v>
          </cell>
          <cell r="J914" t="str">
            <v>18-013</v>
          </cell>
          <cell r="K914" t="str">
            <v>BINDER</v>
          </cell>
          <cell r="L914" t="str">
            <v>BD 53</v>
          </cell>
          <cell r="M914" t="str">
            <v>13-11002</v>
          </cell>
          <cell r="N914" t="str">
            <v>PATOLOGI</v>
          </cell>
          <cell r="O914" t="str">
            <v>Patologi</v>
          </cell>
          <cell r="P914" t="str">
            <v>HM</v>
          </cell>
          <cell r="Q914">
            <v>6000</v>
          </cell>
        </row>
        <row r="915">
          <cell r="E915" t="str">
            <v>KKM/JKN/HSA/10-05-01/H/15/3967</v>
          </cell>
          <cell r="F915" t="str">
            <v>Laboratory</v>
          </cell>
          <cell r="G915" t="str">
            <v>Intermediate</v>
          </cell>
          <cell r="H915" t="str">
            <v>Incubators, Laboratory, Thermocycling</v>
          </cell>
          <cell r="I915" t="str">
            <v>INCUBATOR BACTERIOLOGICAL</v>
          </cell>
          <cell r="J915" t="str">
            <v>18-013</v>
          </cell>
          <cell r="K915" t="str">
            <v>BINDER</v>
          </cell>
          <cell r="L915" t="str">
            <v>BD 53</v>
          </cell>
          <cell r="M915" t="str">
            <v>13-11003</v>
          </cell>
          <cell r="N915" t="str">
            <v>PATOLOGI</v>
          </cell>
          <cell r="O915" t="str">
            <v>Patologi</v>
          </cell>
          <cell r="P915" t="str">
            <v>HM</v>
          </cell>
          <cell r="Q915">
            <v>6000</v>
          </cell>
        </row>
        <row r="916">
          <cell r="E916" t="str">
            <v>KKM/JKN/HSA/10-05-01/H/15/3968</v>
          </cell>
          <cell r="F916" t="str">
            <v>Laboratory</v>
          </cell>
          <cell r="G916" t="str">
            <v>Intermediate</v>
          </cell>
          <cell r="H916" t="str">
            <v>Incubators, Laboratory, Thermocycling</v>
          </cell>
          <cell r="I916" t="str">
            <v>INCUBATOR BACTERIOLOGICAL</v>
          </cell>
          <cell r="J916" t="str">
            <v>18-013</v>
          </cell>
          <cell r="K916" t="str">
            <v>BINDER</v>
          </cell>
          <cell r="L916" t="str">
            <v>BD 53</v>
          </cell>
          <cell r="M916" t="str">
            <v>13-16066</v>
          </cell>
          <cell r="N916" t="str">
            <v>PATOLOGI</v>
          </cell>
          <cell r="O916" t="str">
            <v>Patologi</v>
          </cell>
          <cell r="P916" t="str">
            <v>HM</v>
          </cell>
          <cell r="Q916">
            <v>6000</v>
          </cell>
        </row>
        <row r="917">
          <cell r="E917" t="str">
            <v>KKM/JKN/HSA/10-05-01/H/15/3969</v>
          </cell>
          <cell r="F917" t="str">
            <v>Laboratory</v>
          </cell>
          <cell r="G917" t="str">
            <v>Intermediate</v>
          </cell>
          <cell r="H917" t="str">
            <v>Incubators, Laboratory, Thermocycling</v>
          </cell>
          <cell r="I917" t="str">
            <v>HOT AIR OVEN MEMMERT</v>
          </cell>
          <cell r="J917" t="str">
            <v>18-013</v>
          </cell>
          <cell r="K917" t="str">
            <v>BINDER</v>
          </cell>
          <cell r="L917" t="str">
            <v>FD 53</v>
          </cell>
          <cell r="M917" t="str">
            <v>13-09161</v>
          </cell>
          <cell r="N917" t="str">
            <v>PATOLOGI</v>
          </cell>
          <cell r="O917" t="str">
            <v>Patologi</v>
          </cell>
          <cell r="P917" t="str">
            <v>HM</v>
          </cell>
          <cell r="Q917">
            <v>3000</v>
          </cell>
        </row>
        <row r="918">
          <cell r="E918" t="str">
            <v>KKM/JKN/HSA/10-05-01/H/16/6</v>
          </cell>
          <cell r="F918" t="str">
            <v>Laboratory</v>
          </cell>
          <cell r="G918" t="str">
            <v>Intermediate</v>
          </cell>
          <cell r="H918" t="str">
            <v>Homogenizers, Tissue</v>
          </cell>
          <cell r="I918" t="str">
            <v>HOMOGENIZER</v>
          </cell>
          <cell r="J918" t="str">
            <v>15-304</v>
          </cell>
          <cell r="K918" t="str">
            <v>LW SCIENTIFIC</v>
          </cell>
          <cell r="L918" t="str">
            <v>DSR 2100D</v>
          </cell>
          <cell r="M918">
            <v>1109278</v>
          </cell>
          <cell r="N918" t="str">
            <v>PATOLOGI</v>
          </cell>
          <cell r="O918" t="str">
            <v>Patologi</v>
          </cell>
          <cell r="P918" t="str">
            <v>HM</v>
          </cell>
          <cell r="Q918">
            <v>2500</v>
          </cell>
        </row>
        <row r="919">
          <cell r="E919" t="str">
            <v>KKM/JKN/HSA/10-05-01/H/16/7</v>
          </cell>
          <cell r="F919" t="str">
            <v>Laboratory</v>
          </cell>
          <cell r="G919" t="str">
            <v>Intermediate</v>
          </cell>
          <cell r="H919" t="str">
            <v>Homogenizers, Tissue</v>
          </cell>
          <cell r="I919" t="str">
            <v>HOMOGENIZER</v>
          </cell>
          <cell r="J919" t="str">
            <v>15-304</v>
          </cell>
          <cell r="K919" t="str">
            <v>LW SCIENTIFIC</v>
          </cell>
          <cell r="L919" t="str">
            <v>DSR 2100D</v>
          </cell>
          <cell r="M919">
            <v>1109292</v>
          </cell>
          <cell r="N919" t="str">
            <v>PATOLOGI</v>
          </cell>
          <cell r="O919" t="str">
            <v>Patologi</v>
          </cell>
          <cell r="P919" t="str">
            <v>HM</v>
          </cell>
          <cell r="Q919">
            <v>2500</v>
          </cell>
        </row>
        <row r="920">
          <cell r="E920" t="str">
            <v>KKM/JKN/HSA/10-05-01/H/16/12</v>
          </cell>
          <cell r="F920" t="str">
            <v>Laboratory</v>
          </cell>
          <cell r="G920" t="str">
            <v>Intermediate</v>
          </cell>
          <cell r="H920" t="str">
            <v>Incubators, Aerobic</v>
          </cell>
          <cell r="I920" t="str">
            <v>GEL CARD INCUBATOR</v>
          </cell>
          <cell r="J920" t="str">
            <v>15-151</v>
          </cell>
          <cell r="K920" t="str">
            <v>ID INCUBATOR 37 SI</v>
          </cell>
          <cell r="L920" t="str">
            <v>ID INCUBATOR 37 SI</v>
          </cell>
          <cell r="M920">
            <v>2003645</v>
          </cell>
          <cell r="N920" t="str">
            <v>PATOLOGI</v>
          </cell>
          <cell r="O920" t="str">
            <v>Patologi</v>
          </cell>
          <cell r="P920" t="str">
            <v>HM</v>
          </cell>
          <cell r="Q920">
            <v>10000</v>
          </cell>
        </row>
        <row r="921">
          <cell r="E921" t="str">
            <v>KKM/JKN/HSA/10-05-01/H/15/4013</v>
          </cell>
          <cell r="F921" t="str">
            <v>Laboratory</v>
          </cell>
          <cell r="G921" t="str">
            <v>Intermediate</v>
          </cell>
          <cell r="H921" t="str">
            <v>Centrifuges, Tabletop, Low-Speed, Nonrefrigerated, Cytological</v>
          </cell>
          <cell r="I921" t="str">
            <v>CENTRIFUGE CYTOLOGY</v>
          </cell>
          <cell r="J921" t="str">
            <v xml:space="preserve">
16-765</v>
          </cell>
          <cell r="K921" t="str">
            <v>HETTICH</v>
          </cell>
          <cell r="L921" t="str">
            <v>ROTOFIX 32A (CN: 1206)</v>
          </cell>
          <cell r="M921"/>
          <cell r="N921" t="str">
            <v>PATOLOGI</v>
          </cell>
          <cell r="O921" t="str">
            <v>Patologi</v>
          </cell>
          <cell r="P921" t="str">
            <v>HM</v>
          </cell>
          <cell r="Q921">
            <v>14900</v>
          </cell>
        </row>
        <row r="922">
          <cell r="E922" t="str">
            <v>KKM/JKN/HSA/10-05-01/H/15/4014</v>
          </cell>
          <cell r="F922" t="str">
            <v>Laboratory</v>
          </cell>
          <cell r="G922" t="str">
            <v>Intermediate</v>
          </cell>
          <cell r="H922" t="str">
            <v>Centrifuges, Tabletop, Low-Speed, Nonrefrigerated, Blood Bank</v>
          </cell>
          <cell r="I922" t="str">
            <v>CENTRIFUGE CELL WASHING</v>
          </cell>
          <cell r="J922" t="str">
            <v>18-267</v>
          </cell>
          <cell r="K922" t="str">
            <v>DIAMED (BIO-RAD)</v>
          </cell>
          <cell r="L922" t="str">
            <v>DIACENT-12</v>
          </cell>
          <cell r="M922">
            <v>2001634</v>
          </cell>
          <cell r="N922" t="str">
            <v>PATOLOGI</v>
          </cell>
          <cell r="O922" t="str">
            <v>Patologi</v>
          </cell>
          <cell r="P922" t="str">
            <v>HM</v>
          </cell>
          <cell r="Q922">
            <v>5500</v>
          </cell>
        </row>
        <row r="923">
          <cell r="E923" t="str">
            <v>KKM/JKN/HSA/10-05-01/H/15/4015</v>
          </cell>
          <cell r="F923" t="str">
            <v>Laboratory</v>
          </cell>
          <cell r="G923" t="str">
            <v>Intermediate</v>
          </cell>
          <cell r="H923" t="str">
            <v>Centrifuges, Tabletop, Low-Speed, Nonrefrigerated, Blood Bank</v>
          </cell>
          <cell r="I923" t="str">
            <v>CENTRIFUGE CELL WASHING</v>
          </cell>
          <cell r="J923" t="str">
            <v>18-267</v>
          </cell>
          <cell r="K923" t="str">
            <v>DIAMED (BIO-RAD)</v>
          </cell>
          <cell r="L923" t="str">
            <v>DIACENT-13</v>
          </cell>
          <cell r="M923">
            <v>2001635</v>
          </cell>
          <cell r="N923" t="str">
            <v>PATOLOGI</v>
          </cell>
          <cell r="O923" t="str">
            <v>Patologi</v>
          </cell>
          <cell r="P923" t="str">
            <v>HM</v>
          </cell>
          <cell r="Q923">
            <v>5500</v>
          </cell>
        </row>
        <row r="924">
          <cell r="E924" t="str">
            <v>KKM/JKN/HSA/10-05-01/H/15/3899</v>
          </cell>
          <cell r="F924" t="str">
            <v>Laboratory</v>
          </cell>
          <cell r="G924" t="str">
            <v>Basic</v>
          </cell>
          <cell r="H924" t="str">
            <v>Centrifuges, Tabletop</v>
          </cell>
          <cell r="I924" t="str">
            <v>CENTRIFUGE BENCH TOP MULTI USE</v>
          </cell>
          <cell r="J924" t="str">
            <v>10-780</v>
          </cell>
          <cell r="K924" t="str">
            <v>HETTICH</v>
          </cell>
          <cell r="L924" t="str">
            <v>UNIVERSAL 320 (CN: 1401)</v>
          </cell>
          <cell r="M924" t="str">
            <v>00069-12-10</v>
          </cell>
          <cell r="N924" t="str">
            <v>PATOLOGI</v>
          </cell>
          <cell r="O924" t="str">
            <v>Patologi</v>
          </cell>
          <cell r="P924" t="str">
            <v>HM</v>
          </cell>
          <cell r="Q924">
            <v>15300</v>
          </cell>
        </row>
        <row r="925">
          <cell r="E925" t="str">
            <v>KKM/JKN/HSA/10-05-01/H/15/3900</v>
          </cell>
          <cell r="F925" t="str">
            <v>Laboratory</v>
          </cell>
          <cell r="G925" t="str">
            <v>Basic</v>
          </cell>
          <cell r="H925" t="str">
            <v>Centrifuges, Tabletop</v>
          </cell>
          <cell r="I925" t="str">
            <v>CENTRIFUGE BENCH TOP MULTI USE</v>
          </cell>
          <cell r="J925" t="str">
            <v>10-780</v>
          </cell>
          <cell r="K925" t="str">
            <v>HETTICH</v>
          </cell>
          <cell r="L925" t="str">
            <v>UNIVERSAL 320 (CN: 1401)</v>
          </cell>
          <cell r="M925" t="str">
            <v>0006905-10</v>
          </cell>
          <cell r="N925" t="str">
            <v>PATOLOGI</v>
          </cell>
          <cell r="O925" t="str">
            <v>Patologi</v>
          </cell>
          <cell r="P925" t="str">
            <v>HM</v>
          </cell>
          <cell r="Q925">
            <v>15300</v>
          </cell>
        </row>
        <row r="926">
          <cell r="E926" t="str">
            <v>KKM/JKN/HSA/10-05-01/H/15/3901</v>
          </cell>
          <cell r="F926" t="str">
            <v>Laboratory</v>
          </cell>
          <cell r="G926" t="str">
            <v>Basic</v>
          </cell>
          <cell r="H926" t="str">
            <v>Centrifuges, Tabletop</v>
          </cell>
          <cell r="I926" t="str">
            <v>CENTRIFUGE BENCH TOP MULTI USE</v>
          </cell>
          <cell r="J926" t="str">
            <v>10-780</v>
          </cell>
          <cell r="K926" t="str">
            <v>HETTICH</v>
          </cell>
          <cell r="L926" t="str">
            <v>UNIVERSAL 320 (CN: 1401)</v>
          </cell>
          <cell r="M926" t="str">
            <v>0006903-10</v>
          </cell>
          <cell r="N926" t="str">
            <v>PATOLOGI</v>
          </cell>
          <cell r="O926" t="str">
            <v>Patologi</v>
          </cell>
          <cell r="P926" t="str">
            <v>HM</v>
          </cell>
          <cell r="Q926">
            <v>15300</v>
          </cell>
        </row>
        <row r="927">
          <cell r="E927" t="str">
            <v>KKM/JKN/HSA/10-05-01/H/15/3902</v>
          </cell>
          <cell r="F927" t="str">
            <v>Laboratory</v>
          </cell>
          <cell r="G927" t="str">
            <v>Basic</v>
          </cell>
          <cell r="H927" t="str">
            <v>Centrifuges, Tabletop</v>
          </cell>
          <cell r="I927" t="str">
            <v>CENTRIFUGE BENCH TOP MULTI USE</v>
          </cell>
          <cell r="J927" t="str">
            <v>10-780</v>
          </cell>
          <cell r="K927" t="str">
            <v>HETTICH</v>
          </cell>
          <cell r="L927" t="str">
            <v>UNIVERSAL 320 (CN: 1401)</v>
          </cell>
          <cell r="M927" t="str">
            <v>0006910-10</v>
          </cell>
          <cell r="N927" t="str">
            <v>PATOLOGI</v>
          </cell>
          <cell r="O927" t="str">
            <v>Patologi</v>
          </cell>
          <cell r="P927" t="str">
            <v>HM</v>
          </cell>
          <cell r="Q927">
            <v>15300</v>
          </cell>
        </row>
        <row r="928">
          <cell r="E928" t="str">
            <v>KKM/JKN/HSA/10-05-01/H/15/3903</v>
          </cell>
          <cell r="F928" t="str">
            <v>Laboratory</v>
          </cell>
          <cell r="G928" t="str">
            <v>Basic</v>
          </cell>
          <cell r="H928" t="str">
            <v>Centrifuges, Tabletop</v>
          </cell>
          <cell r="I928" t="str">
            <v>CENTRIFUGE BENCH TOP MULTI USE</v>
          </cell>
          <cell r="J928" t="str">
            <v>10-780</v>
          </cell>
          <cell r="K928" t="str">
            <v>HETTICH</v>
          </cell>
          <cell r="L928" t="str">
            <v>UNIVERSAL 320 (CN: 1401)</v>
          </cell>
          <cell r="M928" t="str">
            <v>0006146-09</v>
          </cell>
          <cell r="N928" t="str">
            <v>PATOLOGI</v>
          </cell>
          <cell r="O928" t="str">
            <v>Patologi</v>
          </cell>
          <cell r="P928" t="str">
            <v>HM</v>
          </cell>
          <cell r="Q928">
            <v>15300</v>
          </cell>
        </row>
        <row r="929">
          <cell r="E929" t="str">
            <v>KKM/JKN/HSA/10-05-01/H/15/3904</v>
          </cell>
          <cell r="F929" t="str">
            <v>Laboratory</v>
          </cell>
          <cell r="G929" t="str">
            <v>Basic</v>
          </cell>
          <cell r="H929" t="str">
            <v>Centrifuges, Tabletop</v>
          </cell>
          <cell r="I929" t="str">
            <v>CENTRIFUGE BENCH TOP MULTI USE</v>
          </cell>
          <cell r="J929" t="str">
            <v>10-780</v>
          </cell>
          <cell r="K929" t="str">
            <v>HETTICH</v>
          </cell>
          <cell r="L929" t="str">
            <v>UNIVERSAL 320 (CN: 1401)</v>
          </cell>
          <cell r="M929" t="str">
            <v>0006909-10</v>
          </cell>
          <cell r="N929" t="str">
            <v>PATOLOGI</v>
          </cell>
          <cell r="O929" t="str">
            <v>Patologi</v>
          </cell>
          <cell r="P929" t="str">
            <v>HM</v>
          </cell>
          <cell r="Q929">
            <v>15300</v>
          </cell>
        </row>
        <row r="930">
          <cell r="E930" t="str">
            <v>KKM/JKN/HSA/10-05-01/H/15/3905</v>
          </cell>
          <cell r="F930" t="str">
            <v>Laboratory</v>
          </cell>
          <cell r="G930" t="str">
            <v>Basic</v>
          </cell>
          <cell r="H930" t="str">
            <v>Centrifuges, Tabletop</v>
          </cell>
          <cell r="I930" t="str">
            <v>CENTRIFUGE BENCH TOP MULTI USE</v>
          </cell>
          <cell r="J930" t="str">
            <v>10-780</v>
          </cell>
          <cell r="K930" t="str">
            <v>HETTICH</v>
          </cell>
          <cell r="L930" t="str">
            <v>UNIVERSAL 320 (CN: 1401)</v>
          </cell>
          <cell r="M930" t="str">
            <v>0006914-10</v>
          </cell>
          <cell r="N930" t="str">
            <v>PATOLOGI</v>
          </cell>
          <cell r="O930" t="str">
            <v>Patologi</v>
          </cell>
          <cell r="P930" t="str">
            <v>HM</v>
          </cell>
          <cell r="Q930">
            <v>15300</v>
          </cell>
        </row>
        <row r="931">
          <cell r="E931" t="str">
            <v>KKM/JKN/HSA/10-05-01/H/15/3906</v>
          </cell>
          <cell r="F931" t="str">
            <v>Laboratory</v>
          </cell>
          <cell r="G931" t="str">
            <v>Basic</v>
          </cell>
          <cell r="H931" t="str">
            <v>Centrifuges, Tabletop</v>
          </cell>
          <cell r="I931" t="str">
            <v>CENTRIFUGE BENCH TOP MULTI USE</v>
          </cell>
          <cell r="J931" t="str">
            <v>10-780</v>
          </cell>
          <cell r="K931" t="str">
            <v>HETTICH</v>
          </cell>
          <cell r="L931" t="str">
            <v>UNIVERSAL 320 (CN: 1401)</v>
          </cell>
          <cell r="M931" t="str">
            <v>0006911-10</v>
          </cell>
          <cell r="N931" t="str">
            <v>PATOLOGI</v>
          </cell>
          <cell r="O931" t="str">
            <v>Patologi</v>
          </cell>
          <cell r="P931" t="str">
            <v>HM</v>
          </cell>
          <cell r="Q931">
            <v>15300</v>
          </cell>
        </row>
        <row r="932">
          <cell r="E932" t="str">
            <v>KKM/JKN/HSA/10-05-01/H/15/3907</v>
          </cell>
          <cell r="F932" t="str">
            <v>Laboratory</v>
          </cell>
          <cell r="G932" t="str">
            <v>Basic</v>
          </cell>
          <cell r="H932" t="str">
            <v>Centrifuges, Tabletop</v>
          </cell>
          <cell r="I932" t="str">
            <v>CENTRIFUGE BENCH TOP MULTI USE</v>
          </cell>
          <cell r="J932" t="str">
            <v>10-780</v>
          </cell>
          <cell r="K932" t="str">
            <v>HETTICH</v>
          </cell>
          <cell r="L932" t="str">
            <v>UNIVERSAL 320 (CN: 1401)</v>
          </cell>
          <cell r="M932" t="str">
            <v>006906-10</v>
          </cell>
          <cell r="N932" t="str">
            <v>PATOLOGI</v>
          </cell>
          <cell r="O932" t="str">
            <v>Patologi</v>
          </cell>
          <cell r="P932" t="str">
            <v>HM</v>
          </cell>
          <cell r="Q932">
            <v>15300</v>
          </cell>
        </row>
        <row r="933">
          <cell r="E933" t="str">
            <v>KKM/JKN/HSA/10-05-01/H/15/3908</v>
          </cell>
          <cell r="F933" t="str">
            <v>Laboratory</v>
          </cell>
          <cell r="G933" t="str">
            <v>Basic</v>
          </cell>
          <cell r="H933" t="str">
            <v>Centrifuges, Tabletop</v>
          </cell>
          <cell r="I933" t="str">
            <v>CENTRIFUGE BENCH TOP MULTI USE</v>
          </cell>
          <cell r="J933" t="str">
            <v>10-780</v>
          </cell>
          <cell r="K933" t="str">
            <v>HETTICH</v>
          </cell>
          <cell r="L933" t="str">
            <v>UNIVERSAL 320 (CN: 1401)</v>
          </cell>
          <cell r="M933" t="str">
            <v>0006913-10</v>
          </cell>
          <cell r="N933" t="str">
            <v>PATOLOGI</v>
          </cell>
          <cell r="O933" t="str">
            <v>Patologi</v>
          </cell>
          <cell r="P933" t="str">
            <v>HM</v>
          </cell>
          <cell r="Q933">
            <v>15300</v>
          </cell>
        </row>
        <row r="934">
          <cell r="E934" t="str">
            <v>KKM/JKN/HSA/10-05-01/H/15/3992</v>
          </cell>
          <cell r="F934" t="str">
            <v>Laboratory</v>
          </cell>
          <cell r="G934" t="str">
            <v>Basic</v>
          </cell>
          <cell r="H934" t="str">
            <v>Centrifuges, Tabletop, High-Speed, Microhematocrit</v>
          </cell>
          <cell r="I934" t="str">
            <v>CENTRIFUGE (SEROFUGE) IMMUNOHAEMATOLOGY</v>
          </cell>
          <cell r="J934" t="str">
            <v>10-779</v>
          </cell>
          <cell r="K934" t="str">
            <v>HETTICH</v>
          </cell>
          <cell r="L934" t="str">
            <v>MIKRO 120 (CN: 1204)</v>
          </cell>
          <cell r="M934" t="str">
            <v>006055-07</v>
          </cell>
          <cell r="N934" t="str">
            <v>PATOLOGI</v>
          </cell>
          <cell r="O934" t="str">
            <v>Patologi</v>
          </cell>
          <cell r="P934" t="str">
            <v>HM</v>
          </cell>
          <cell r="Q934">
            <v>5800</v>
          </cell>
        </row>
        <row r="935">
          <cell r="E935" t="str">
            <v>KKM/JKN/HSA/10-05-01/H/15/3993</v>
          </cell>
          <cell r="F935" t="str">
            <v>Laboratory</v>
          </cell>
          <cell r="G935" t="str">
            <v>Basic</v>
          </cell>
          <cell r="H935" t="str">
            <v>Centrifuges, Tabletop, High-Speed, Microhematocrit</v>
          </cell>
          <cell r="I935" t="str">
            <v>CENTRIFUGE (SEROFUGE) IMMUNOHAEMATOLOGY</v>
          </cell>
          <cell r="J935" t="str">
            <v>10-779</v>
          </cell>
          <cell r="K935" t="str">
            <v>HETTICH</v>
          </cell>
          <cell r="L935" t="str">
            <v>MIKRO 120 (CN: 1204)</v>
          </cell>
          <cell r="M935" t="str">
            <v>0006168-07</v>
          </cell>
          <cell r="N935" t="str">
            <v>PATOLOGI</v>
          </cell>
          <cell r="O935" t="str">
            <v>Patologi</v>
          </cell>
          <cell r="P935" t="str">
            <v>HM</v>
          </cell>
          <cell r="Q935">
            <v>5800</v>
          </cell>
        </row>
        <row r="936">
          <cell r="E936" t="str">
            <v>KKM/JKN/HSA/10-05-01/H/15/3994</v>
          </cell>
          <cell r="F936" t="str">
            <v>Laboratory</v>
          </cell>
          <cell r="G936" t="str">
            <v>Basic</v>
          </cell>
          <cell r="H936" t="str">
            <v>Centrifuges, Tabletop, High-Speed, Microhematocrit</v>
          </cell>
          <cell r="I936" t="str">
            <v>CENTRIFUGE (SEROFUGE) IMMUNOHAEMATOLOGY</v>
          </cell>
          <cell r="J936" t="str">
            <v>10-779</v>
          </cell>
          <cell r="K936" t="str">
            <v>HETTICH</v>
          </cell>
          <cell r="L936" t="str">
            <v>MIKRO 120 (CN: 1204)</v>
          </cell>
          <cell r="M936" t="str">
            <v>0006043-07</v>
          </cell>
          <cell r="N936" t="str">
            <v>PATOLOGI</v>
          </cell>
          <cell r="O936" t="str">
            <v>Patologi</v>
          </cell>
          <cell r="P936" t="str">
            <v>HM</v>
          </cell>
          <cell r="Q936">
            <v>5800</v>
          </cell>
        </row>
        <row r="937">
          <cell r="E937" t="str">
            <v>KKM/JKN/HSA/10-05-01/H/15/3995</v>
          </cell>
          <cell r="F937" t="str">
            <v>Laboratory</v>
          </cell>
          <cell r="G937" t="str">
            <v>Basic</v>
          </cell>
          <cell r="H937" t="str">
            <v>Centrifuges, Tabletop, High-Speed, Microhematocrit</v>
          </cell>
          <cell r="I937" t="str">
            <v>CENTRIFUGE (SEROFUGE) IMMUNOHAEMATOLOGY</v>
          </cell>
          <cell r="J937" t="str">
            <v>10-779</v>
          </cell>
          <cell r="K937" t="str">
            <v>HETTICH</v>
          </cell>
          <cell r="L937" t="str">
            <v>MIKRO 120 (CN: 1204)</v>
          </cell>
          <cell r="M937" t="str">
            <v>0006150-07</v>
          </cell>
          <cell r="N937" t="str">
            <v>PATOLOGI</v>
          </cell>
          <cell r="O937" t="str">
            <v>Patologi</v>
          </cell>
          <cell r="P937" t="str">
            <v>HM</v>
          </cell>
          <cell r="Q937">
            <v>5800</v>
          </cell>
        </row>
        <row r="938">
          <cell r="E938" t="str">
            <v>KKM/JKN/HSA/10-05-01/H/15/3996</v>
          </cell>
          <cell r="F938" t="str">
            <v>Laboratory</v>
          </cell>
          <cell r="G938" t="str">
            <v>Basic</v>
          </cell>
          <cell r="H938" t="str">
            <v>Centrifuges, Tabletop, High-Speed, Microhematocrit</v>
          </cell>
          <cell r="I938" t="str">
            <v>CENTRIFUGE (SEROFUGE) IMMUNOHAEMATOLOGY</v>
          </cell>
          <cell r="J938" t="str">
            <v>10-779</v>
          </cell>
          <cell r="K938" t="str">
            <v>HETTICH</v>
          </cell>
          <cell r="L938" t="str">
            <v>MIKRO 120 (CN: 1204)</v>
          </cell>
          <cell r="M938" t="str">
            <v>0006167-07</v>
          </cell>
          <cell r="N938" t="str">
            <v>PATOLOGI</v>
          </cell>
          <cell r="O938" t="str">
            <v>Patologi</v>
          </cell>
          <cell r="P938" t="str">
            <v>HM</v>
          </cell>
          <cell r="Q938">
            <v>5800</v>
          </cell>
        </row>
        <row r="939">
          <cell r="E939" t="str">
            <v>KKM/JKN/HSA/10-05-01/R/15/15051</v>
          </cell>
          <cell r="F939" t="str">
            <v>Laboratory</v>
          </cell>
          <cell r="G939" t="str">
            <v>Basic</v>
          </cell>
          <cell r="H939" t="str">
            <v>View Boxes, Ultraviolet</v>
          </cell>
          <cell r="I939" t="str">
            <v>BOX UV</v>
          </cell>
          <cell r="J939" t="str">
            <v>16-281</v>
          </cell>
          <cell r="K939" t="str">
            <v>COLE PARMER</v>
          </cell>
          <cell r="L939" t="str">
            <v>97604-02 &amp; 97620-01</v>
          </cell>
          <cell r="M939"/>
          <cell r="N939" t="str">
            <v>PATOLOGI</v>
          </cell>
          <cell r="O939" t="str">
            <v>Patologi</v>
          </cell>
          <cell r="P939" t="str">
            <v>ABR</v>
          </cell>
          <cell r="Q939">
            <v>1940</v>
          </cell>
        </row>
        <row r="940">
          <cell r="E940" t="str">
            <v>KKM/JKN/HSA/10-05-01/H/15/4002</v>
          </cell>
          <cell r="F940" t="str">
            <v>Laboratory</v>
          </cell>
          <cell r="G940" t="str">
            <v>Basic</v>
          </cell>
          <cell r="H940" t="str">
            <v>Baths, Water, Laboratory</v>
          </cell>
          <cell r="I940" t="str">
            <v>BATH WATER 14L CAP 0 - 150C</v>
          </cell>
          <cell r="J940" t="str">
            <v>16-861</v>
          </cell>
          <cell r="K940" t="str">
            <v>JULABO</v>
          </cell>
          <cell r="L940" t="str">
            <v>EH-19</v>
          </cell>
          <cell r="M940">
            <v>10268556</v>
          </cell>
          <cell r="N940" t="str">
            <v>PATOLOGI</v>
          </cell>
          <cell r="O940" t="str">
            <v>Patologi</v>
          </cell>
          <cell r="P940" t="str">
            <v>HM</v>
          </cell>
          <cell r="Q940">
            <v>2730</v>
          </cell>
        </row>
        <row r="941">
          <cell r="E941" t="str">
            <v>KKM/JKN/HSA/10-05-01/H/15/4004</v>
          </cell>
          <cell r="F941" t="str">
            <v>Laboratory</v>
          </cell>
          <cell r="G941" t="str">
            <v>Basic</v>
          </cell>
          <cell r="H941" t="str">
            <v>Baths, Water, Laboratory</v>
          </cell>
          <cell r="I941" t="str">
            <v>BATH WATER 14L CAP 0 - 150C</v>
          </cell>
          <cell r="J941" t="str">
            <v>16-861</v>
          </cell>
          <cell r="K941" t="str">
            <v>JULABO</v>
          </cell>
          <cell r="L941" t="str">
            <v>EH-19</v>
          </cell>
          <cell r="M941">
            <v>10269180</v>
          </cell>
          <cell r="N941" t="str">
            <v>PATOLOGI</v>
          </cell>
          <cell r="O941" t="str">
            <v>Patologi</v>
          </cell>
          <cell r="P941" t="str">
            <v>HM</v>
          </cell>
          <cell r="Q941">
            <v>2730</v>
          </cell>
        </row>
        <row r="942">
          <cell r="E942" t="str">
            <v>KKM/JKN/HSA/10-05-01/H/15/4005</v>
          </cell>
          <cell r="F942" t="str">
            <v>Laboratory</v>
          </cell>
          <cell r="G942" t="str">
            <v>Basic</v>
          </cell>
          <cell r="H942" t="str">
            <v>Baths, Water, Laboratory</v>
          </cell>
          <cell r="I942" t="str">
            <v>BATH PARAFFIN SECTION MOUNTING</v>
          </cell>
          <cell r="J942" t="str">
            <v>16-861</v>
          </cell>
          <cell r="K942" t="str">
            <v>LEICA</v>
          </cell>
          <cell r="L942" t="str">
            <v>HI1210</v>
          </cell>
          <cell r="M942" t="str">
            <v>12471/01/15</v>
          </cell>
          <cell r="N942" t="str">
            <v>PATOLOGI</v>
          </cell>
          <cell r="O942" t="str">
            <v>Patologi</v>
          </cell>
          <cell r="P942" t="str">
            <v>HM</v>
          </cell>
          <cell r="Q942">
            <v>2900</v>
          </cell>
        </row>
        <row r="943">
          <cell r="E943" t="str">
            <v>KKM/JKN/HSA/10-05-01/H/15/4019</v>
          </cell>
          <cell r="F943" t="str">
            <v>Therapeutic</v>
          </cell>
          <cell r="G943" t="str">
            <v>Basic</v>
          </cell>
          <cell r="H943" t="str">
            <v>Heating Blocks</v>
          </cell>
          <cell r="I943" t="str">
            <v>BATH DRY WITH TEST TUBE BLOCKS</v>
          </cell>
          <cell r="J943" t="str">
            <v>15-105</v>
          </cell>
          <cell r="K943" t="str">
            <v>STUART</v>
          </cell>
          <cell r="L943" t="str">
            <v xml:space="preserve"> SBH200D</v>
          </cell>
          <cell r="M943" t="str">
            <v>R000101401</v>
          </cell>
          <cell r="N943" t="str">
            <v>PATOLOGI</v>
          </cell>
          <cell r="O943" t="str">
            <v>Patologi</v>
          </cell>
          <cell r="P943" t="str">
            <v>HM</v>
          </cell>
          <cell r="Q943">
            <v>4600</v>
          </cell>
        </row>
        <row r="944">
          <cell r="E944"/>
          <cell r="F944" t="str">
            <v>Therapeutic</v>
          </cell>
          <cell r="G944" t="str">
            <v>Basic</v>
          </cell>
          <cell r="H944" t="str">
            <v>Heating Blocks</v>
          </cell>
          <cell r="I944" t="str">
            <v>BATH DRY WITH TEST TUBE BLOCKS</v>
          </cell>
          <cell r="J944" t="str">
            <v>15-105</v>
          </cell>
          <cell r="K944" t="str">
            <v>STUART</v>
          </cell>
          <cell r="L944" t="str">
            <v xml:space="preserve"> SBH200D</v>
          </cell>
          <cell r="M944" t="str">
            <v>ROQ0101451</v>
          </cell>
          <cell r="N944" t="str">
            <v>PATOLOGI</v>
          </cell>
          <cell r="O944" t="str">
            <v>Patologi</v>
          </cell>
          <cell r="P944" t="str">
            <v>HM</v>
          </cell>
          <cell r="Q944">
            <v>4600</v>
          </cell>
        </row>
        <row r="945">
          <cell r="E945" t="str">
            <v>KKM/JKN/HSA/10-05-01/H/15/4019</v>
          </cell>
          <cell r="F945" t="str">
            <v>Therapeutic</v>
          </cell>
          <cell r="G945" t="str">
            <v>Basic</v>
          </cell>
          <cell r="H945" t="str">
            <v>Heating Blocks</v>
          </cell>
          <cell r="I945" t="str">
            <v>BATH DRY WITH TEST TUBE BLOCKS</v>
          </cell>
          <cell r="J945" t="str">
            <v>15-105</v>
          </cell>
          <cell r="K945" t="str">
            <v>STUART</v>
          </cell>
          <cell r="L945" t="str">
            <v xml:space="preserve"> SBH200D</v>
          </cell>
          <cell r="M945" t="str">
            <v>R000101401</v>
          </cell>
          <cell r="N945" t="str">
            <v>PATOLOGI</v>
          </cell>
          <cell r="O945" t="str">
            <v>Patologi</v>
          </cell>
          <cell r="P945" t="str">
            <v>HM</v>
          </cell>
          <cell r="Q945">
            <v>4600</v>
          </cell>
        </row>
        <row r="946">
          <cell r="E946" t="str">
            <v>KKM/JKN/HSA/10-05-01/H/15/3941</v>
          </cell>
          <cell r="F946" t="str">
            <v>Laboratory</v>
          </cell>
          <cell r="G946" t="str">
            <v>Intermediate</v>
          </cell>
          <cell r="H946" t="str">
            <v>Balances, Electronic</v>
          </cell>
          <cell r="I946" t="str">
            <v>BALANCE TOP LOADING UP TO 3 KG</v>
          </cell>
          <cell r="J946" t="str">
            <v>10-263</v>
          </cell>
          <cell r="K946" t="str">
            <v>SHIMADZU</v>
          </cell>
          <cell r="L946" t="str">
            <v>UX6200H</v>
          </cell>
          <cell r="M946" t="str">
            <v>D446840414</v>
          </cell>
          <cell r="N946" t="str">
            <v>PATOLOGI</v>
          </cell>
          <cell r="O946" t="str">
            <v>Patologi</v>
          </cell>
          <cell r="P946" t="str">
            <v>HM</v>
          </cell>
          <cell r="Q946">
            <v>2760</v>
          </cell>
        </row>
        <row r="947">
          <cell r="E947" t="str">
            <v>KKM/JKN/HSA/10-05-01/R/15/15056</v>
          </cell>
          <cell r="F947" t="str">
            <v>Laboratory</v>
          </cell>
          <cell r="G947" t="str">
            <v>Intermediate</v>
          </cell>
          <cell r="H947" t="str">
            <v>Balances, Electronic, Analytical</v>
          </cell>
          <cell r="I947" t="str">
            <v>BALANCE TOP LOADING 600G CAP</v>
          </cell>
          <cell r="J947" t="str">
            <v>18-449</v>
          </cell>
          <cell r="K947" t="str">
            <v>SHIMADZU</v>
          </cell>
          <cell r="L947" t="str">
            <v>TXB622L</v>
          </cell>
          <cell r="M947"/>
          <cell r="N947" t="str">
            <v>PATOLOGI</v>
          </cell>
          <cell r="O947" t="str">
            <v>Patologi</v>
          </cell>
          <cell r="P947" t="str">
            <v>ABR</v>
          </cell>
          <cell r="Q947">
            <v>1240</v>
          </cell>
        </row>
        <row r="948">
          <cell r="E948" t="str">
            <v>KKM/JKN/HSA/10-05-01/R/15/15057</v>
          </cell>
          <cell r="F948" t="str">
            <v>Laboratory</v>
          </cell>
          <cell r="G948" t="str">
            <v>Intermediate</v>
          </cell>
          <cell r="H948" t="str">
            <v>Balances, Electronic, Analytical</v>
          </cell>
          <cell r="I948" t="str">
            <v>BALANCE ELECTRONIC 0.01 TO 300G CAP</v>
          </cell>
          <cell r="J948" t="str">
            <v>18-449</v>
          </cell>
          <cell r="K948" t="str">
            <v>SHIMADZU</v>
          </cell>
          <cell r="L948" t="str">
            <v>TX323L</v>
          </cell>
          <cell r="M948"/>
          <cell r="N948" t="str">
            <v>PATOLOGI</v>
          </cell>
          <cell r="O948" t="str">
            <v>Patologi</v>
          </cell>
          <cell r="P948" t="str">
            <v>ABR</v>
          </cell>
          <cell r="Q948">
            <v>1740</v>
          </cell>
        </row>
        <row r="949">
          <cell r="E949" t="str">
            <v>KKM/JKN/HSA/10-05-01/H/15/3947</v>
          </cell>
          <cell r="F949" t="str">
            <v>Laboratory</v>
          </cell>
          <cell r="G949" t="str">
            <v>Intermediate</v>
          </cell>
          <cell r="H949" t="str">
            <v>Balances, Electronic, Analytical</v>
          </cell>
          <cell r="I949" t="str">
            <v>BALANCE ANALYSIS 200 G CAP</v>
          </cell>
          <cell r="J949" t="str">
            <v>18-449</v>
          </cell>
          <cell r="K949" t="str">
            <v>SHIMADZU</v>
          </cell>
          <cell r="L949" t="str">
            <v>ATY225</v>
          </cell>
          <cell r="M949" t="str">
            <v>D3017521187</v>
          </cell>
          <cell r="N949" t="str">
            <v>PATOLOGI</v>
          </cell>
          <cell r="O949" t="str">
            <v>Patologi</v>
          </cell>
          <cell r="P949" t="str">
            <v>HM</v>
          </cell>
          <cell r="Q949">
            <v>2440</v>
          </cell>
        </row>
        <row r="950">
          <cell r="E950" t="str">
            <v>KKM/JKN/HSA/10-05-01/R/15/7036</v>
          </cell>
          <cell r="F950" t="str">
            <v xml:space="preserve">Diagnostic </v>
          </cell>
          <cell r="G950" t="str">
            <v>Basic</v>
          </cell>
          <cell r="H950" t="str">
            <v>Scales, Infant</v>
          </cell>
          <cell r="I950" t="str">
            <v>SCALES BABY DIGITAL/ELECTRONIC W/MEASURE</v>
          </cell>
          <cell r="J950" t="str">
            <v>13-462</v>
          </cell>
          <cell r="K950" t="str">
            <v>DETECTO</v>
          </cell>
          <cell r="L950" t="str">
            <v>MB130 &amp; DLM</v>
          </cell>
          <cell r="M950"/>
          <cell r="N950" t="str">
            <v>PEDIATRIK</v>
          </cell>
          <cell r="O950" t="str">
            <v>PAED - ASSESSMENT ROOM 1 (L04-SC-PDC-05)</v>
          </cell>
          <cell r="P950" t="str">
            <v>ABR</v>
          </cell>
          <cell r="Q950">
            <v>1500</v>
          </cell>
        </row>
        <row r="951">
          <cell r="E951" t="str">
            <v>KKM/JKN/HSA/10-05-01/R/15/7029</v>
          </cell>
          <cell r="F951" t="str">
            <v xml:space="preserve">Diagnostic </v>
          </cell>
          <cell r="G951" t="str">
            <v>Basic</v>
          </cell>
          <cell r="H951" t="str">
            <v>Scales, Infant</v>
          </cell>
          <cell r="I951" t="str">
            <v>SCALES BABY DIGITAL/ELECTRONIC W/MEASURE</v>
          </cell>
          <cell r="J951" t="str">
            <v>13-462</v>
          </cell>
          <cell r="K951" t="str">
            <v>DETECTO</v>
          </cell>
          <cell r="L951" t="str">
            <v>MB130 &amp; DLM</v>
          </cell>
          <cell r="M951"/>
          <cell r="N951" t="str">
            <v>OBSTETRIK &amp; GINEKOLOGI</v>
          </cell>
          <cell r="O951" t="str">
            <v>PAC - HISTORY TAKING (L03-LDU-A1-17a)</v>
          </cell>
          <cell r="P951" t="str">
            <v>ABR</v>
          </cell>
          <cell r="Q951">
            <v>1500</v>
          </cell>
        </row>
        <row r="952">
          <cell r="E952" t="str">
            <v>KKM/JKN/HSA/10-05-01/H/19/25</v>
          </cell>
          <cell r="F952" t="str">
            <v>Therapeutic</v>
          </cell>
          <cell r="G952" t="str">
            <v>Basic</v>
          </cell>
          <cell r="H952" t="str">
            <v>Cast Cutter Vacuums</v>
          </cell>
          <cell r="I952" t="str">
            <v>CUST CUTTER &amp; DUST EXTRACTION SYSTEM</v>
          </cell>
          <cell r="J952" t="str">
            <v>10-656</v>
          </cell>
          <cell r="K952" t="str">
            <v>DE SOUTTER</v>
          </cell>
          <cell r="L952"/>
          <cell r="M952" t="str">
            <v>193100046</v>
          </cell>
          <cell r="N952"/>
          <cell r="O952" t="str">
            <v>OTC - PLASTER ROOM (L03-SC-ORC-16)</v>
          </cell>
          <cell r="P952"/>
          <cell r="Q952">
            <v>14500</v>
          </cell>
        </row>
        <row r="953">
          <cell r="E953" t="str">
            <v>KKM/JKN/HSA/10-05-01/R/15/15104</v>
          </cell>
          <cell r="F953" t="str">
            <v xml:space="preserve">Diagnostic </v>
          </cell>
          <cell r="G953" t="str">
            <v>Basic</v>
          </cell>
          <cell r="H953" t="str">
            <v>Fetal Heart Detectors, Ultrasonic</v>
          </cell>
          <cell r="I953" t="str">
            <v>DETECTOR FOETAL HEART P0RTABLE</v>
          </cell>
          <cell r="J953" t="str">
            <v>11-696</v>
          </cell>
          <cell r="K953" t="str">
            <v>EDAN INSTRUMENTS</v>
          </cell>
          <cell r="L953" t="str">
            <v>SONOTRAX</v>
          </cell>
          <cell r="M953"/>
          <cell r="N953" t="str">
            <v>OBSTETRIK &amp; GINEKOLOGI</v>
          </cell>
          <cell r="O953" t="str">
            <v>O&amp;GC - CONSULT. &amp; EXAM. 8 (MO 4) (L04-SC-O&amp;GC-08d)</v>
          </cell>
          <cell r="P953" t="str">
            <v>ABR</v>
          </cell>
          <cell r="Q953">
            <v>580</v>
          </cell>
        </row>
        <row r="954">
          <cell r="E954" t="str">
            <v>KKM/JKN/HSA/10-05-01/R/15/15103</v>
          </cell>
          <cell r="F954" t="str">
            <v xml:space="preserve">Diagnostic </v>
          </cell>
          <cell r="G954" t="str">
            <v>Basic</v>
          </cell>
          <cell r="H954" t="str">
            <v>Fetal Heart Detectors, Ultrasonic</v>
          </cell>
          <cell r="I954" t="str">
            <v>DETECTOR FOETAL HEART P0RTABLE</v>
          </cell>
          <cell r="J954" t="str">
            <v>11-696</v>
          </cell>
          <cell r="K954" t="str">
            <v>EDAN INSTRUMENTS</v>
          </cell>
          <cell r="L954" t="str">
            <v>SONOTRAX</v>
          </cell>
          <cell r="M954"/>
          <cell r="N954" t="str">
            <v>OBSTETRIK &amp; GINEKOLOGI</v>
          </cell>
          <cell r="O954" t="str">
            <v>O&amp;GC - CONSULT. &amp; EXAM. 7 (MO 3) (L04-SC-O&amp;GC-08c)</v>
          </cell>
          <cell r="P954" t="str">
            <v>ABR</v>
          </cell>
          <cell r="Q954">
            <v>580</v>
          </cell>
        </row>
        <row r="955">
          <cell r="E955" t="str">
            <v>KKM/JKN/HSA/10-05-01/R/15/15101</v>
          </cell>
          <cell r="F955" t="str">
            <v xml:space="preserve">Diagnostic </v>
          </cell>
          <cell r="G955" t="str">
            <v>Basic</v>
          </cell>
          <cell r="H955" t="str">
            <v>Fetal Heart Detectors, Ultrasonic</v>
          </cell>
          <cell r="I955" t="str">
            <v>DETECTOR FOETAL HEART P0RTABLE</v>
          </cell>
          <cell r="J955" t="str">
            <v>11-696</v>
          </cell>
          <cell r="K955" t="str">
            <v>EDAN INSTRUMENTS</v>
          </cell>
          <cell r="L955" t="str">
            <v>SONOTRAX</v>
          </cell>
          <cell r="M955"/>
          <cell r="N955" t="str">
            <v>OBSTETRIK &amp; GINEKOLOGI</v>
          </cell>
          <cell r="O955" t="str">
            <v>O&amp;GC - CONSULT. &amp; EXAM. 5 (MO 1) (L04-SC-O&amp;GC-08a)</v>
          </cell>
          <cell r="P955" t="str">
            <v>ABR</v>
          </cell>
          <cell r="Q955">
            <v>580</v>
          </cell>
        </row>
        <row r="956">
          <cell r="E956" t="str">
            <v>KKM/JKN/HSA/10-05-01/H/19/5</v>
          </cell>
          <cell r="F956" t="str">
            <v xml:space="preserve">Diagnostic </v>
          </cell>
          <cell r="G956" t="str">
            <v>Intermediate</v>
          </cell>
          <cell r="H956" t="str">
            <v>Oximeters, Pulse</v>
          </cell>
          <cell r="I956" t="str">
            <v>PULSE OXIMETER AND SIMULATOR</v>
          </cell>
          <cell r="J956" t="str">
            <v>17-148</v>
          </cell>
          <cell r="K956" t="str">
            <v>MASIMO RD-97</v>
          </cell>
          <cell r="L956"/>
          <cell r="M956">
            <v>3000024751</v>
          </cell>
          <cell r="N956"/>
          <cell r="O956" t="str">
            <v>NICU - RHU-DRY AREA (L04-NU-E-04a)</v>
          </cell>
          <cell r="P956"/>
          <cell r="Q956">
            <v>5450</v>
          </cell>
        </row>
        <row r="957">
          <cell r="E957" t="str">
            <v>KKM/JKN/HSA/10-05-01/H/19/17</v>
          </cell>
          <cell r="F957" t="str">
            <v xml:space="preserve">Diagnostic </v>
          </cell>
          <cell r="G957" t="str">
            <v>Intermediate</v>
          </cell>
          <cell r="H957" t="str">
            <v>Oximeters, Pulse</v>
          </cell>
          <cell r="I957" t="str">
            <v>PULSE OXIMETER AND SIMULATOR</v>
          </cell>
          <cell r="J957" t="str">
            <v>17-148</v>
          </cell>
          <cell r="K957" t="str">
            <v>MASIMO RD-97</v>
          </cell>
          <cell r="L957"/>
          <cell r="M957">
            <v>3000027347</v>
          </cell>
          <cell r="N957"/>
          <cell r="O957" t="str">
            <v>NICU - NURSE BASE 1 (L04-NU-B-02b)</v>
          </cell>
          <cell r="P957"/>
          <cell r="Q957">
            <v>5450</v>
          </cell>
        </row>
        <row r="958">
          <cell r="E958" t="str">
            <v>KKM/JKN/HSA/10-05-01/H/19/18</v>
          </cell>
          <cell r="F958" t="str">
            <v xml:space="preserve">Diagnostic </v>
          </cell>
          <cell r="G958" t="str">
            <v>Intermediate</v>
          </cell>
          <cell r="H958" t="str">
            <v>Oximeters, Pulse</v>
          </cell>
          <cell r="I958" t="str">
            <v>PULSE OXIMETER AND SIMULATOR</v>
          </cell>
          <cell r="J958" t="str">
            <v>17-148</v>
          </cell>
          <cell r="K958" t="str">
            <v>MASIMO RD-97</v>
          </cell>
          <cell r="L958"/>
          <cell r="M958">
            <v>3000027378</v>
          </cell>
          <cell r="N958"/>
          <cell r="O958" t="str">
            <v>NICU - NURSE BASE 1 (L04-NU-B-02b)</v>
          </cell>
          <cell r="P958"/>
          <cell r="Q958">
            <v>5450</v>
          </cell>
        </row>
        <row r="959">
          <cell r="E959" t="str">
            <v>KKM/JKN/HSA/10-05-01/H/19/21</v>
          </cell>
          <cell r="F959" t="str">
            <v>Therapeutic</v>
          </cell>
          <cell r="G959" t="str">
            <v>Intermediate</v>
          </cell>
          <cell r="H959" t="str">
            <v>Infusion Pumps, General-Purpose</v>
          </cell>
          <cell r="I959" t="str">
            <v>INFUSION PUMP</v>
          </cell>
          <cell r="J959" t="str">
            <v>13-215</v>
          </cell>
          <cell r="K959" t="str">
            <v>MEDCAPTAIN SYS6010A</v>
          </cell>
          <cell r="L959"/>
          <cell r="M959" t="str">
            <v>601015080584</v>
          </cell>
          <cell r="N959"/>
          <cell r="O959" t="str">
            <v>NICU - NURSE BASE 1 (L04-NU-B-02b)</v>
          </cell>
          <cell r="P959"/>
          <cell r="Q959">
            <v>3500</v>
          </cell>
        </row>
        <row r="960">
          <cell r="E960" t="str">
            <v>KKM/JKN/HSA/10-05-01/H/19/20</v>
          </cell>
          <cell r="F960" t="str">
            <v>Therapeutic</v>
          </cell>
          <cell r="G960" t="str">
            <v>Basic</v>
          </cell>
          <cell r="H960" t="str">
            <v>Warming Units, Patient, Radiant, Infant</v>
          </cell>
          <cell r="I960" t="str">
            <v>INFANT WARMER (RADIANT)</v>
          </cell>
          <cell r="J960" t="str">
            <v>17-956</v>
          </cell>
          <cell r="K960" t="str">
            <v>SUNFLOWER</v>
          </cell>
          <cell r="L960"/>
          <cell r="M960">
            <v>190600581</v>
          </cell>
          <cell r="N960"/>
          <cell r="O960" t="str">
            <v>NICU - NURSE BASE 1 (L04-NU-B-02b)</v>
          </cell>
          <cell r="P960"/>
          <cell r="Q960">
            <v>30500</v>
          </cell>
        </row>
        <row r="961">
          <cell r="E961" t="str">
            <v>KKM/JKN/HSA/10-05-01/H/19/24</v>
          </cell>
          <cell r="F961" t="str">
            <v>Therapeutic</v>
          </cell>
          <cell r="G961" t="str">
            <v>Basic</v>
          </cell>
          <cell r="H961" t="str">
            <v>Warming Units, Patient, Radiant, Infant</v>
          </cell>
          <cell r="I961" t="str">
            <v>INFANT WARMER (RADIANT)</v>
          </cell>
          <cell r="J961" t="str">
            <v>17-956</v>
          </cell>
          <cell r="K961" t="str">
            <v>BABYTHERM 8004</v>
          </cell>
          <cell r="L961"/>
          <cell r="M961" t="str">
            <v>ASMA-0051</v>
          </cell>
          <cell r="N961"/>
          <cell r="O961" t="str">
            <v>NICU - NURSE BASE 1 (L04-NU-B-02b)</v>
          </cell>
          <cell r="P961"/>
          <cell r="Q961">
            <v>35000</v>
          </cell>
        </row>
        <row r="962">
          <cell r="E962" t="str">
            <v xml:space="preserve">KKM/JKN/HSA/10-05-01/H/15/2453 </v>
          </cell>
          <cell r="F962" t="str">
            <v>Radiology</v>
          </cell>
          <cell r="G962" t="str">
            <v>Intermediate</v>
          </cell>
          <cell r="H962" t="str">
            <v>Scanning Systems, Ultrasonic, Obstetric/Gynecologic</v>
          </cell>
          <cell r="I962" t="str">
            <v>ULTRASOUND UNIT COLOR CARDIAC</v>
          </cell>
          <cell r="J962" t="str">
            <v>15-657</v>
          </cell>
          <cell r="K962" t="str">
            <v>SIEMENS</v>
          </cell>
          <cell r="L962" t="str">
            <v>ACUSON X300 PE PREMIUM EDITION</v>
          </cell>
          <cell r="M962" t="str">
            <v>348425PE</v>
          </cell>
          <cell r="N962" t="str">
            <v xml:space="preserve">PERUBATAN AM </v>
          </cell>
          <cell r="O962" t="str">
            <v>Klinik Perubatan</v>
          </cell>
          <cell r="P962" t="str">
            <v>HM</v>
          </cell>
          <cell r="Q962">
            <v>182500</v>
          </cell>
        </row>
        <row r="963">
          <cell r="E963" t="str">
            <v>KKM/JKN/HSA/10-05-01/H/16/142</v>
          </cell>
          <cell r="F963" t="str">
            <v>Radiology</v>
          </cell>
          <cell r="G963" t="str">
            <v>Intermediate</v>
          </cell>
          <cell r="H963" t="str">
            <v>Scanning Systems, Ultrasonic, General-PurP0se</v>
          </cell>
          <cell r="I963" t="str">
            <v>ULTRASOUND SCANNER</v>
          </cell>
          <cell r="J963" t="str">
            <v>15-976</v>
          </cell>
          <cell r="K963" t="str">
            <v>GE-VIVID T8 EN WITH ARM</v>
          </cell>
          <cell r="L963" t="str">
            <v>TPM</v>
          </cell>
          <cell r="M963" t="str">
            <v>379601WX8</v>
          </cell>
          <cell r="N963" t="str">
            <v>PERUBATAN AM</v>
          </cell>
          <cell r="O963" t="str">
            <v>Klinik Perubatan</v>
          </cell>
          <cell r="P963" t="str">
            <v>HM</v>
          </cell>
          <cell r="Q963">
            <v>289990</v>
          </cell>
        </row>
        <row r="964">
          <cell r="E964" t="str">
            <v>KKM/JKN/HSA/10-05-01/H/15/2151</v>
          </cell>
          <cell r="F964" t="str">
            <v>Therapeutic</v>
          </cell>
          <cell r="G964" t="str">
            <v>Basic</v>
          </cell>
          <cell r="H964" t="str">
            <v>Aspirators</v>
          </cell>
          <cell r="I964" t="str">
            <v>SUCTION UNIT 1 X 2L JAR MOBILE</v>
          </cell>
          <cell r="J964" t="str">
            <v>10-208</v>
          </cell>
          <cell r="K964" t="str">
            <v>CAMI</v>
          </cell>
          <cell r="L964" t="str">
            <v>ASKIR C30</v>
          </cell>
          <cell r="M964"/>
          <cell r="N964" t="str">
            <v>PERUBATAN AM</v>
          </cell>
          <cell r="O964" t="str">
            <v>Klinik Perubatan</v>
          </cell>
          <cell r="P964" t="str">
            <v>HM</v>
          </cell>
          <cell r="Q964">
            <v>3386.5</v>
          </cell>
        </row>
        <row r="965">
          <cell r="E965" t="str">
            <v>KKM/JKN/HSA/10-05-01/H/15/976</v>
          </cell>
          <cell r="F965" t="str">
            <v xml:space="preserve">Diagnostic </v>
          </cell>
          <cell r="G965" t="str">
            <v>Intermediate</v>
          </cell>
          <cell r="H965" t="str">
            <v>Spirometers, Diagnostic</v>
          </cell>
          <cell r="I965" t="str">
            <v>SPIROMETER W/RECORDER</v>
          </cell>
          <cell r="J965" t="str">
            <v>13-680</v>
          </cell>
          <cell r="K965" t="str">
            <v>SCHILLER</v>
          </cell>
          <cell r="L965" t="str">
            <v>SPIROVIT SP-1</v>
          </cell>
          <cell r="M965"/>
          <cell r="N965" t="str">
            <v>PERUBATAN AM</v>
          </cell>
          <cell r="O965" t="str">
            <v>Klinik Perubatan</v>
          </cell>
          <cell r="P965" t="str">
            <v>HM</v>
          </cell>
          <cell r="Q965">
            <v>10290</v>
          </cell>
        </row>
        <row r="966">
          <cell r="E966" t="str">
            <v>KKM/JKN/HSA/10-05-01/H/15/970</v>
          </cell>
          <cell r="F966" t="str">
            <v xml:space="preserve">Diagnostic </v>
          </cell>
          <cell r="G966" t="str">
            <v>Intermediate</v>
          </cell>
          <cell r="H966" t="str">
            <v>Spirometers, Diagnostic</v>
          </cell>
          <cell r="I966" t="str">
            <v>SPIROMETER</v>
          </cell>
          <cell r="J966" t="str">
            <v>13-680</v>
          </cell>
          <cell r="K966" t="str">
            <v>SCHILLER</v>
          </cell>
          <cell r="L966" t="str">
            <v>PC SPIRO SP-260 USB</v>
          </cell>
          <cell r="M966"/>
          <cell r="N966" t="str">
            <v>PERUBATAN AM</v>
          </cell>
          <cell r="O966" t="str">
            <v>Klinik Perubatan</v>
          </cell>
          <cell r="P966" t="str">
            <v>HM</v>
          </cell>
          <cell r="Q966">
            <v>8880</v>
          </cell>
        </row>
        <row r="967">
          <cell r="E967" t="str">
            <v>KKM/JKN/HSA/10-05-01/R/15/16745</v>
          </cell>
          <cell r="F967" t="str">
            <v xml:space="preserve">Diagnostic </v>
          </cell>
          <cell r="G967" t="str">
            <v>Intermediate</v>
          </cell>
          <cell r="H967" t="str">
            <v>Monitors, Physiologic, Vital Signs</v>
          </cell>
          <cell r="I967" t="str">
            <v>SPHYGMOMANOMETER DIGITAL BATTERY OP</v>
          </cell>
          <cell r="J967" t="str">
            <v>25-209</v>
          </cell>
          <cell r="K967" t="str">
            <v>WELCH ALLYN</v>
          </cell>
          <cell r="L967" t="str">
            <v>VSM 300</v>
          </cell>
          <cell r="M967">
            <v>100054952814</v>
          </cell>
          <cell r="N967" t="str">
            <v>PERUBATAN AM</v>
          </cell>
          <cell r="O967" t="str">
            <v>Klinik Perubatan</v>
          </cell>
          <cell r="P967" t="str">
            <v>ABR</v>
          </cell>
          <cell r="Q967">
            <v>1855</v>
          </cell>
        </row>
        <row r="968">
          <cell r="E968" t="str">
            <v xml:space="preserve"> 
KKM/JKN/HSA/10-05-01/R/15/16746</v>
          </cell>
          <cell r="F968" t="str">
            <v xml:space="preserve">Diagnostic </v>
          </cell>
          <cell r="G968" t="str">
            <v>Intermediate</v>
          </cell>
          <cell r="H968" t="str">
            <v>Monitors, Physiologic, Vital Signs</v>
          </cell>
          <cell r="I968" t="str">
            <v>SPHYGMOMANOMETER DIGITAL BATTERY OP</v>
          </cell>
          <cell r="J968" t="str">
            <v>25-209</v>
          </cell>
          <cell r="K968" t="str">
            <v>WELCH ALLYN</v>
          </cell>
          <cell r="L968" t="str">
            <v>VSM 300</v>
          </cell>
          <cell r="M968">
            <v>100054962814</v>
          </cell>
          <cell r="N968" t="str">
            <v>PERUBATAN AM</v>
          </cell>
          <cell r="O968" t="str">
            <v>Klinik Perubatan</v>
          </cell>
          <cell r="P968" t="str">
            <v>ABR</v>
          </cell>
          <cell r="Q968">
            <v>1855</v>
          </cell>
        </row>
        <row r="969">
          <cell r="E969" t="str">
            <v>KKM/JKN/HSA/10-05-01/R/15/14884</v>
          </cell>
          <cell r="F969" t="str">
            <v xml:space="preserve">Diagnostic </v>
          </cell>
          <cell r="G969" t="str">
            <v>Basic</v>
          </cell>
          <cell r="H969" t="str">
            <v>Sphygmomanometers, Aneroid</v>
          </cell>
          <cell r="I969" t="str">
            <v>SPHYGMOMANOMETER ANEROID DESK MODEL</v>
          </cell>
          <cell r="J969" t="str">
            <v>16-156</v>
          </cell>
          <cell r="K969" t="str">
            <v>RIESTER</v>
          </cell>
          <cell r="L969">
            <v>1453</v>
          </cell>
          <cell r="M969"/>
          <cell r="N969" t="str">
            <v>PERUBATAN AM</v>
          </cell>
          <cell r="O969" t="str">
            <v>Klinik Perubatan</v>
          </cell>
          <cell r="P969" t="str">
            <v>ABR</v>
          </cell>
          <cell r="Q969">
            <v>452.81</v>
          </cell>
        </row>
        <row r="970">
          <cell r="E970" t="str">
            <v>KKM/JKN/HSA/10-05-01/R/15/16173</v>
          </cell>
          <cell r="F970" t="str">
            <v>Therapeutic</v>
          </cell>
          <cell r="G970" t="str">
            <v>Basic</v>
          </cell>
          <cell r="H970" t="str">
            <v>Nebulizers, Heated</v>
          </cell>
          <cell r="I970" t="str">
            <v>NEBULISER</v>
          </cell>
          <cell r="J970" t="str">
            <v>12-716</v>
          </cell>
          <cell r="K970" t="str">
            <v>PHILIPS</v>
          </cell>
          <cell r="L970" t="str">
            <v xml:space="preserve"> INNOSPIRE DELUXE</v>
          </cell>
          <cell r="M970"/>
          <cell r="N970" t="str">
            <v>PERUBATAN AM</v>
          </cell>
          <cell r="O970" t="str">
            <v>Klinik Perubatan</v>
          </cell>
          <cell r="P970" t="str">
            <v>ABR</v>
          </cell>
          <cell r="Q970">
            <v>1950</v>
          </cell>
        </row>
        <row r="971">
          <cell r="E971" t="str">
            <v>KKM/JKN/HSA/10-05-01/H/15/1596</v>
          </cell>
          <cell r="F971" t="str">
            <v xml:space="preserve">Diagnostic </v>
          </cell>
          <cell r="G971" t="str">
            <v>Intermediate</v>
          </cell>
          <cell r="H971" t="str">
            <v>Monitors, Physiologic, Vital Signs</v>
          </cell>
          <cell r="I971" t="str">
            <v>MONITOR NIBP/TEMP</v>
          </cell>
          <cell r="J971" t="str">
            <v>25-209</v>
          </cell>
          <cell r="K971" t="str">
            <v>WELCH ALLYN</v>
          </cell>
          <cell r="L971" t="str">
            <v>WELCH ALLYN VSM 300</v>
          </cell>
          <cell r="M971"/>
          <cell r="N971" t="str">
            <v>PERUBATAN AM</v>
          </cell>
          <cell r="O971" t="str">
            <v>Klinik Perubatan</v>
          </cell>
          <cell r="P971" t="str">
            <v>HM</v>
          </cell>
          <cell r="Q971">
            <v>4355</v>
          </cell>
        </row>
        <row r="972">
          <cell r="E972" t="str">
            <v>KKM/JKN/HSA/10-05-01/H/15/1024</v>
          </cell>
          <cell r="F972" t="str">
            <v xml:space="preserve">Diagnostic </v>
          </cell>
          <cell r="G972" t="str">
            <v>Intermediate</v>
          </cell>
          <cell r="H972" t="str">
            <v>Monitors, Physiologic, Vital Signs</v>
          </cell>
          <cell r="I972" t="str">
            <v>MONITOR NIBP/SP02</v>
          </cell>
          <cell r="J972" t="str">
            <v>25-209</v>
          </cell>
          <cell r="K972" t="str">
            <v>WELCH ALLYN</v>
          </cell>
          <cell r="L972" t="str">
            <v>WELCH ALLYN VSM 300</v>
          </cell>
          <cell r="M972"/>
          <cell r="N972" t="str">
            <v>PERUBATAN AM</v>
          </cell>
          <cell r="O972" t="str">
            <v>Klinik Perubatan</v>
          </cell>
          <cell r="P972" t="str">
            <v>HM</v>
          </cell>
          <cell r="Q972">
            <v>5185</v>
          </cell>
        </row>
        <row r="973">
          <cell r="E973" t="str">
            <v>KKM/JKN/HSA/10-05-01/H/15/1025</v>
          </cell>
          <cell r="F973" t="str">
            <v xml:space="preserve">Diagnostic </v>
          </cell>
          <cell r="G973" t="str">
            <v>Intermediate</v>
          </cell>
          <cell r="H973" t="str">
            <v>Monitors, Physiologic, Vital Signs</v>
          </cell>
          <cell r="I973" t="str">
            <v>MONITOR NIBP/SP02</v>
          </cell>
          <cell r="J973" t="str">
            <v>25-209</v>
          </cell>
          <cell r="K973" t="str">
            <v>WELCH ALLYN</v>
          </cell>
          <cell r="L973" t="str">
            <v>WELCH ALLYN VSM 300</v>
          </cell>
          <cell r="M973"/>
          <cell r="N973" t="str">
            <v>PERUBATAN AM</v>
          </cell>
          <cell r="O973" t="str">
            <v>Klinik Perubatan</v>
          </cell>
          <cell r="P973" t="str">
            <v>HM</v>
          </cell>
          <cell r="Q973">
            <v>5185</v>
          </cell>
        </row>
        <row r="974">
          <cell r="E974" t="str">
            <v>KKM/JKN/HSA/10-05-01/H/15/571</v>
          </cell>
          <cell r="F974" t="str">
            <v xml:space="preserve">Diagnostic </v>
          </cell>
          <cell r="G974" t="str">
            <v>Intermediate</v>
          </cell>
          <cell r="H974" t="str">
            <v>Electrocardiographs, Multichannel, Interpretative</v>
          </cell>
          <cell r="I974" t="str">
            <v>ECG RECORDER</v>
          </cell>
          <cell r="J974" t="str">
            <v>16-231</v>
          </cell>
          <cell r="K974" t="str">
            <v>GE HEALTHCARE</v>
          </cell>
          <cell r="L974" t="str">
            <v>MAC 1200</v>
          </cell>
          <cell r="M974"/>
          <cell r="N974" t="str">
            <v>PERUBATAN AM</v>
          </cell>
          <cell r="O974" t="str">
            <v>Klinik Perubatan</v>
          </cell>
          <cell r="P974" t="str">
            <v>HM</v>
          </cell>
          <cell r="Q974">
            <v>10000</v>
          </cell>
        </row>
        <row r="975">
          <cell r="E975" t="str">
            <v>KKM/JKN/HSA/10-05-01/H/15/4070</v>
          </cell>
          <cell r="F975" t="str">
            <v xml:space="preserve">Diagnostic </v>
          </cell>
          <cell r="G975" t="str">
            <v>Intermediate</v>
          </cell>
          <cell r="H975" t="str">
            <v>Electrocardiographs, Multichannel, Interpretative</v>
          </cell>
          <cell r="I975" t="str">
            <v>ECG P0RTABLE MAINS/BATTERY OP</v>
          </cell>
          <cell r="J975" t="str">
            <v>16-231</v>
          </cell>
          <cell r="K975" t="str">
            <v>GE HEALTHCARE</v>
          </cell>
          <cell r="L975" t="str">
            <v>MAC400</v>
          </cell>
          <cell r="M975"/>
          <cell r="N975" t="str">
            <v>PERUBATAN AM</v>
          </cell>
          <cell r="O975" t="str">
            <v>Klinik Perubatan</v>
          </cell>
          <cell r="P975" t="str">
            <v>HM</v>
          </cell>
          <cell r="Q975">
            <v>2750</v>
          </cell>
        </row>
        <row r="976">
          <cell r="E976" t="str">
            <v>KKM/JKN/HSA/10-05-01/H/15/667</v>
          </cell>
          <cell r="F976" t="str">
            <v xml:space="preserve">Diagnostic </v>
          </cell>
          <cell r="G976" t="str">
            <v>Intermediate</v>
          </cell>
          <cell r="H976" t="str">
            <v>ECG Monitor Analyzers</v>
          </cell>
          <cell r="I976" t="str">
            <v>ECG ANALYSER W/PRINTER</v>
          </cell>
          <cell r="J976" t="str">
            <v>11-379</v>
          </cell>
          <cell r="K976" t="str">
            <v>GE HEALTHCARE</v>
          </cell>
          <cell r="L976" t="str">
            <v>MARS</v>
          </cell>
          <cell r="M976"/>
          <cell r="N976" t="str">
            <v>PERUBATAN AM</v>
          </cell>
          <cell r="O976" t="str">
            <v>Klinik Perubatan</v>
          </cell>
          <cell r="P976" t="str">
            <v>HM</v>
          </cell>
          <cell r="Q976">
            <v>28000</v>
          </cell>
        </row>
        <row r="977">
          <cell r="E977" t="str">
            <v>KKM/JKN/HSA/10-05-01/H/15/686</v>
          </cell>
          <cell r="F977" t="str">
            <v xml:space="preserve">Diagnostic </v>
          </cell>
          <cell r="G977" t="str">
            <v>Basic</v>
          </cell>
          <cell r="H977" t="str">
            <v>Recorders, Tape, Data, Electrocardiography</v>
          </cell>
          <cell r="I977" t="str">
            <v>ECG 24 HOUR RECORDER</v>
          </cell>
          <cell r="J977" t="str">
            <v>12-388</v>
          </cell>
          <cell r="K977" t="str">
            <v>GE HEALTHCARE</v>
          </cell>
          <cell r="L977" t="str">
            <v>SEER LIGHT</v>
          </cell>
          <cell r="M977"/>
          <cell r="N977" t="str">
            <v>PERUBATAN AM</v>
          </cell>
          <cell r="O977" t="str">
            <v>Klinik Perubatan</v>
          </cell>
          <cell r="P977" t="str">
            <v>HM</v>
          </cell>
          <cell r="Q977">
            <v>6000</v>
          </cell>
        </row>
        <row r="978">
          <cell r="E978" t="str">
            <v>KKM/JKN/HSA/10-05-01/H/15/687</v>
          </cell>
          <cell r="F978" t="str">
            <v xml:space="preserve">Diagnostic </v>
          </cell>
          <cell r="G978" t="str">
            <v>Basic</v>
          </cell>
          <cell r="H978" t="str">
            <v>Recorders, Tape, Data, Electrocardiography</v>
          </cell>
          <cell r="I978" t="str">
            <v>ECG 24 HOUR RECORDER</v>
          </cell>
          <cell r="J978" t="str">
            <v>12-388</v>
          </cell>
          <cell r="K978" t="str">
            <v>GE HEALTHCARE</v>
          </cell>
          <cell r="L978" t="str">
            <v>SEER LIGHT</v>
          </cell>
          <cell r="M978"/>
          <cell r="N978" t="str">
            <v>PERUBATAN AM</v>
          </cell>
          <cell r="O978" t="str">
            <v>Klinik Perubatan</v>
          </cell>
          <cell r="P978" t="str">
            <v>HM</v>
          </cell>
          <cell r="Q978">
            <v>6000</v>
          </cell>
        </row>
        <row r="979">
          <cell r="E979" t="str">
            <v>KKM/JKN/HSA/10-05-01/H/15/688</v>
          </cell>
          <cell r="F979" t="str">
            <v xml:space="preserve">Diagnostic </v>
          </cell>
          <cell r="G979" t="str">
            <v>Basic</v>
          </cell>
          <cell r="H979" t="str">
            <v>Recorders, Tape, Data, Electrocardiography</v>
          </cell>
          <cell r="I979" t="str">
            <v>ECG 24 HOUR RECORDER</v>
          </cell>
          <cell r="J979" t="str">
            <v>12-388</v>
          </cell>
          <cell r="K979" t="str">
            <v>GE HEALTHCARE</v>
          </cell>
          <cell r="L979" t="str">
            <v>SEER LIGHT</v>
          </cell>
          <cell r="M979"/>
          <cell r="N979" t="str">
            <v>PERUBATAN AM</v>
          </cell>
          <cell r="O979" t="str">
            <v>Klinik Perubatan</v>
          </cell>
          <cell r="P979" t="str">
            <v>HM</v>
          </cell>
          <cell r="Q979">
            <v>6000</v>
          </cell>
        </row>
        <row r="980">
          <cell r="E980" t="str">
            <v>KKM/JKN/HSA/10-05-01/H/15/689</v>
          </cell>
          <cell r="F980" t="str">
            <v xml:space="preserve">Diagnostic </v>
          </cell>
          <cell r="G980" t="str">
            <v>Basic</v>
          </cell>
          <cell r="H980" t="str">
            <v>Recorders, Tape, Data, Electrocardiography</v>
          </cell>
          <cell r="I980" t="str">
            <v>ECG 24 HOUR RECORDER</v>
          </cell>
          <cell r="J980" t="str">
            <v>12-388</v>
          </cell>
          <cell r="K980" t="str">
            <v>GE HEALTHCARE</v>
          </cell>
          <cell r="L980" t="str">
            <v>SEER LIGHT</v>
          </cell>
          <cell r="M980"/>
          <cell r="N980" t="str">
            <v>PERUBATAN AM</v>
          </cell>
          <cell r="O980" t="str">
            <v>Klinik Perubatan</v>
          </cell>
          <cell r="P980" t="str">
            <v>HM</v>
          </cell>
          <cell r="Q980">
            <v>6000</v>
          </cell>
        </row>
        <row r="981">
          <cell r="E981" t="str">
            <v>KKM/JKN/HSA/10-05-01/H/15/690</v>
          </cell>
          <cell r="F981" t="str">
            <v xml:space="preserve">Diagnostic </v>
          </cell>
          <cell r="G981" t="str">
            <v>Basic</v>
          </cell>
          <cell r="H981" t="str">
            <v>Recorders, Tape, Data, Electrocardiography</v>
          </cell>
          <cell r="I981" t="str">
            <v>ECG 24 HOUR RECORDER</v>
          </cell>
          <cell r="J981" t="str">
            <v>12-388</v>
          </cell>
          <cell r="K981" t="str">
            <v>GE HEALTHCARE</v>
          </cell>
          <cell r="L981" t="str">
            <v>SEER LIGHT</v>
          </cell>
          <cell r="M981"/>
          <cell r="N981" t="str">
            <v>PERUBATAN AM</v>
          </cell>
          <cell r="O981" t="str">
            <v>Klinik Perubatan</v>
          </cell>
          <cell r="P981" t="str">
            <v>HM</v>
          </cell>
          <cell r="Q981">
            <v>6000</v>
          </cell>
        </row>
        <row r="982">
          <cell r="E982" t="str">
            <v>KKM/JKN/HSA/10-05-01/H/15/691</v>
          </cell>
          <cell r="F982" t="str">
            <v xml:space="preserve">Diagnostic </v>
          </cell>
          <cell r="G982" t="str">
            <v>Basic</v>
          </cell>
          <cell r="H982" t="str">
            <v>Recorders, Tape, Data, Electrocardiography</v>
          </cell>
          <cell r="I982" t="str">
            <v>ECG 24 HOUR RECORDER</v>
          </cell>
          <cell r="J982" t="str">
            <v>12-388</v>
          </cell>
          <cell r="K982" t="str">
            <v>GE HEALTHCARE</v>
          </cell>
          <cell r="L982" t="str">
            <v>SEER LIGHT</v>
          </cell>
          <cell r="M982"/>
          <cell r="N982" t="str">
            <v>PERUBATAN AM</v>
          </cell>
          <cell r="O982" t="str">
            <v>Klinik Perubatan</v>
          </cell>
          <cell r="P982" t="str">
            <v>HM</v>
          </cell>
          <cell r="Q982">
            <v>6000</v>
          </cell>
        </row>
        <row r="983">
          <cell r="E983" t="str">
            <v>KKM/JKN/HSA/10-05-01/H/15/692</v>
          </cell>
          <cell r="F983" t="str">
            <v xml:space="preserve">Diagnostic </v>
          </cell>
          <cell r="G983" t="str">
            <v>Basic</v>
          </cell>
          <cell r="H983" t="str">
            <v>Recorders, Tape, Data, Electrocardiography</v>
          </cell>
          <cell r="I983" t="str">
            <v>ECG 24 HOUR RECORDER</v>
          </cell>
          <cell r="J983" t="str">
            <v>12-388</v>
          </cell>
          <cell r="K983" t="str">
            <v>GE HEALTHCARE</v>
          </cell>
          <cell r="L983" t="str">
            <v>SEER LIGHT</v>
          </cell>
          <cell r="M983"/>
          <cell r="N983" t="str">
            <v>PERUBATAN AM</v>
          </cell>
          <cell r="O983" t="str">
            <v>Klinik Perubatan</v>
          </cell>
          <cell r="P983" t="str">
            <v>HM</v>
          </cell>
          <cell r="Q983">
            <v>6000</v>
          </cell>
        </row>
        <row r="984">
          <cell r="E984" t="str">
            <v>KKM/JKN/HSA/10-05-01/H/15/693</v>
          </cell>
          <cell r="F984" t="str">
            <v xml:space="preserve">Diagnostic </v>
          </cell>
          <cell r="G984" t="str">
            <v>Basic</v>
          </cell>
          <cell r="H984" t="str">
            <v>Recorders, Tape, Data, Electrocardiography</v>
          </cell>
          <cell r="I984" t="str">
            <v>ECG 24 HOUR RECORDER</v>
          </cell>
          <cell r="J984" t="str">
            <v>12-388</v>
          </cell>
          <cell r="K984" t="str">
            <v>GE HEALTHCARE</v>
          </cell>
          <cell r="L984" t="str">
            <v>SEER LIGHT</v>
          </cell>
          <cell r="M984"/>
          <cell r="N984" t="str">
            <v>PERUBATAN AM</v>
          </cell>
          <cell r="O984" t="str">
            <v>Klinik Perubatan</v>
          </cell>
          <cell r="P984" t="str">
            <v>HM</v>
          </cell>
          <cell r="Q984">
            <v>6000</v>
          </cell>
        </row>
        <row r="985">
          <cell r="E985" t="str">
            <v>KKM/JKN/HSA/10-05-01/R/15/7360</v>
          </cell>
          <cell r="F985" t="str">
            <v xml:space="preserve">Diagnostic </v>
          </cell>
          <cell r="G985" t="str">
            <v>Basic</v>
          </cell>
          <cell r="H985" t="str">
            <v>Ophthalmoscopes/Otoscopes</v>
          </cell>
          <cell r="I985" t="str">
            <v>DIAGNOSTIC SET ADULT</v>
          </cell>
          <cell r="J985" t="str">
            <v>18-595</v>
          </cell>
          <cell r="K985" t="str">
            <v>RUDOLF RIESTER, GMBH</v>
          </cell>
          <cell r="L985" t="str">
            <v>RI-SCOPE ENT 3761</v>
          </cell>
          <cell r="M985"/>
          <cell r="N985" t="str">
            <v>PERUBATAN AM</v>
          </cell>
          <cell r="O985" t="str">
            <v>Klinik Perubatan</v>
          </cell>
          <cell r="P985" t="str">
            <v>ABR</v>
          </cell>
          <cell r="Q985">
            <v>1459.33</v>
          </cell>
        </row>
        <row r="986">
          <cell r="E986" t="str">
            <v>KKM/JKN/HSA/10-05-01/R/15/7361</v>
          </cell>
          <cell r="F986" t="str">
            <v xml:space="preserve">Diagnostic </v>
          </cell>
          <cell r="G986" t="str">
            <v>Basic</v>
          </cell>
          <cell r="H986" t="str">
            <v>Ophthalmoscopes/Otoscopes</v>
          </cell>
          <cell r="I986" t="str">
            <v>DIAGNOSTIC SET ADULT</v>
          </cell>
          <cell r="J986" t="str">
            <v>18-595</v>
          </cell>
          <cell r="K986" t="str">
            <v>RUDOLF RIESTER, GMBH</v>
          </cell>
          <cell r="L986" t="str">
            <v>RI-SCOPE ENT 3761</v>
          </cell>
          <cell r="M986"/>
          <cell r="N986" t="str">
            <v>PERUBATAN AM</v>
          </cell>
          <cell r="O986" t="str">
            <v>Klinik Perubatan</v>
          </cell>
          <cell r="P986" t="str">
            <v>ABR</v>
          </cell>
          <cell r="Q986">
            <v>1459.33</v>
          </cell>
        </row>
        <row r="987">
          <cell r="E987" t="str">
            <v>KKM/JKN/HSA/10-05-01/R/15/7362</v>
          </cell>
          <cell r="F987" t="str">
            <v xml:space="preserve">Diagnostic </v>
          </cell>
          <cell r="G987" t="str">
            <v>Basic</v>
          </cell>
          <cell r="H987" t="str">
            <v>Ophthalmoscopes/Otoscopes</v>
          </cell>
          <cell r="I987" t="str">
            <v>DIAGNOSTIC SET ADULT</v>
          </cell>
          <cell r="J987" t="str">
            <v>18-595</v>
          </cell>
          <cell r="K987" t="str">
            <v>RUDOLF RIESTER, GMBH</v>
          </cell>
          <cell r="L987" t="str">
            <v>RI-SCOPE ENT 3761</v>
          </cell>
          <cell r="M987"/>
          <cell r="N987" t="str">
            <v>PERUBATAN AM</v>
          </cell>
          <cell r="O987" t="str">
            <v>Klinik Perubatan</v>
          </cell>
          <cell r="P987" t="str">
            <v>ABR</v>
          </cell>
          <cell r="Q987">
            <v>1459.33</v>
          </cell>
        </row>
        <row r="988">
          <cell r="E988" t="str">
            <v>KKM/JKN/HSA/10-05-01/R/15/7363</v>
          </cell>
          <cell r="F988" t="str">
            <v xml:space="preserve">Diagnostic </v>
          </cell>
          <cell r="G988" t="str">
            <v>Basic</v>
          </cell>
          <cell r="H988" t="str">
            <v>Ophthalmoscopes/Otoscopes</v>
          </cell>
          <cell r="I988" t="str">
            <v>DIAGNOSTIC SET ADULT</v>
          </cell>
          <cell r="J988" t="str">
            <v>18-595</v>
          </cell>
          <cell r="K988" t="str">
            <v>RUDOLF RIESTER, GMBH</v>
          </cell>
          <cell r="L988" t="str">
            <v>RI-SCOPE ENT 3761</v>
          </cell>
          <cell r="M988"/>
          <cell r="N988" t="str">
            <v>PERUBATAN AM</v>
          </cell>
          <cell r="O988" t="str">
            <v>Klinik Perubatan</v>
          </cell>
          <cell r="P988" t="str">
            <v>ABR</v>
          </cell>
          <cell r="Q988">
            <v>1459.33</v>
          </cell>
        </row>
        <row r="989">
          <cell r="E989" t="str">
            <v>KKM/JKN/HSA/10-05-01/R/15/7364</v>
          </cell>
          <cell r="F989" t="str">
            <v xml:space="preserve">Diagnostic </v>
          </cell>
          <cell r="G989" t="str">
            <v>Basic</v>
          </cell>
          <cell r="H989" t="str">
            <v>Ophthalmoscopes/Otoscopes</v>
          </cell>
          <cell r="I989" t="str">
            <v>DIAGNOSTIC SET ADULT</v>
          </cell>
          <cell r="J989" t="str">
            <v>18-595</v>
          </cell>
          <cell r="K989" t="str">
            <v>RUDOLF RIESTER, GMBH</v>
          </cell>
          <cell r="L989" t="str">
            <v>RI-SCOPE ENT 3761</v>
          </cell>
          <cell r="M989"/>
          <cell r="N989" t="str">
            <v>PERUBATAN AM</v>
          </cell>
          <cell r="O989" t="str">
            <v>Klinik Perubatan</v>
          </cell>
          <cell r="P989" t="str">
            <v>ABR</v>
          </cell>
          <cell r="Q989">
            <v>1459.33</v>
          </cell>
        </row>
        <row r="990">
          <cell r="E990" t="str">
            <v>KKM/JKN/HSA/10-05-01/R/15/7365</v>
          </cell>
          <cell r="F990" t="str">
            <v xml:space="preserve">Diagnostic </v>
          </cell>
          <cell r="G990" t="str">
            <v>Basic</v>
          </cell>
          <cell r="H990" t="str">
            <v>Ophthalmoscopes/Otoscopes</v>
          </cell>
          <cell r="I990" t="str">
            <v>DIAGNOSTIC SET ADULT</v>
          </cell>
          <cell r="J990" t="str">
            <v>18-595</v>
          </cell>
          <cell r="K990" t="str">
            <v>RUDOLF RIESTER, GMBH</v>
          </cell>
          <cell r="L990" t="str">
            <v>RI-SCOPE ENT 3761</v>
          </cell>
          <cell r="M990"/>
          <cell r="N990" t="str">
            <v>PERUBATAN AM</v>
          </cell>
          <cell r="O990" t="str">
            <v>Klinik Perubatan</v>
          </cell>
          <cell r="P990" t="str">
            <v>ABR</v>
          </cell>
          <cell r="Q990">
            <v>1459.33</v>
          </cell>
        </row>
        <row r="991">
          <cell r="E991" t="str">
            <v>KKM/JKN/HSA/10-05-01/R/15/7366</v>
          </cell>
          <cell r="F991" t="str">
            <v xml:space="preserve">Diagnostic </v>
          </cell>
          <cell r="G991" t="str">
            <v>Basic</v>
          </cell>
          <cell r="H991" t="str">
            <v>Ophthalmoscopes/Otoscopes</v>
          </cell>
          <cell r="I991" t="str">
            <v>DIAGNOSTIC SET ADULT</v>
          </cell>
          <cell r="J991" t="str">
            <v>18-595</v>
          </cell>
          <cell r="K991" t="str">
            <v>RUDOLF RIESTER, GMBH</v>
          </cell>
          <cell r="L991" t="str">
            <v>RI-SCOPE ENT 3761</v>
          </cell>
          <cell r="M991"/>
          <cell r="N991" t="str">
            <v>PERUBATAN AM</v>
          </cell>
          <cell r="O991" t="str">
            <v>Klinik Perubatan</v>
          </cell>
          <cell r="P991" t="str">
            <v>ABR</v>
          </cell>
          <cell r="Q991">
            <v>1459.33</v>
          </cell>
        </row>
        <row r="992">
          <cell r="E992" t="str">
            <v>KKM/JKN/HSA/10-05-01/R/15/7367</v>
          </cell>
          <cell r="F992" t="str">
            <v xml:space="preserve">Diagnostic </v>
          </cell>
          <cell r="G992" t="str">
            <v>Basic</v>
          </cell>
          <cell r="H992" t="str">
            <v>Ophthalmoscopes/Otoscopes</v>
          </cell>
          <cell r="I992" t="str">
            <v>DIAGNOSTIC SET ADULT</v>
          </cell>
          <cell r="J992" t="str">
            <v>18-595</v>
          </cell>
          <cell r="K992" t="str">
            <v>RUDOLF RIESTER, GMBH</v>
          </cell>
          <cell r="L992" t="str">
            <v>RI-SCOPE ENT 3761</v>
          </cell>
          <cell r="M992"/>
          <cell r="N992" t="str">
            <v>PERUBATAN AM</v>
          </cell>
          <cell r="O992" t="str">
            <v>Klinik Perubatan</v>
          </cell>
          <cell r="P992" t="str">
            <v>ABR</v>
          </cell>
          <cell r="Q992">
            <v>1459.33</v>
          </cell>
        </row>
        <row r="993">
          <cell r="E993" t="str">
            <v>KKM/JKN/HSA/10-05-01/R/15/7368</v>
          </cell>
          <cell r="F993" t="str">
            <v xml:space="preserve">Diagnostic </v>
          </cell>
          <cell r="G993" t="str">
            <v>Basic</v>
          </cell>
          <cell r="H993" t="str">
            <v>Ophthalmoscopes/Otoscopes</v>
          </cell>
          <cell r="I993" t="str">
            <v>DIAGNOSTIC SET ADULT</v>
          </cell>
          <cell r="J993" t="str">
            <v>18-595</v>
          </cell>
          <cell r="K993" t="str">
            <v>RUDOLF RIESTER, GMBH</v>
          </cell>
          <cell r="L993" t="str">
            <v>RI-SCOPE ENT 3761</v>
          </cell>
          <cell r="M993"/>
          <cell r="N993" t="str">
            <v>PERUBATAN AM</v>
          </cell>
          <cell r="O993" t="str">
            <v>Klinik Perubatan</v>
          </cell>
          <cell r="P993" t="str">
            <v>ABR</v>
          </cell>
          <cell r="Q993">
            <v>1459.33</v>
          </cell>
        </row>
        <row r="994">
          <cell r="E994" t="str">
            <v>KKM/JKN/HSA/10-05-01/R/15/7369</v>
          </cell>
          <cell r="F994" t="str">
            <v xml:space="preserve">Diagnostic </v>
          </cell>
          <cell r="G994" t="str">
            <v>Basic</v>
          </cell>
          <cell r="H994" t="str">
            <v>Ophthalmoscopes/Otoscopes</v>
          </cell>
          <cell r="I994" t="str">
            <v>DIAGNOSTIC SET ADULT</v>
          </cell>
          <cell r="J994" t="str">
            <v>18-595</v>
          </cell>
          <cell r="K994" t="str">
            <v>RUDOLF RIESTER, GMBH</v>
          </cell>
          <cell r="L994" t="str">
            <v>RI-SCOPE ENT 3761</v>
          </cell>
          <cell r="M994"/>
          <cell r="N994" t="str">
            <v>PERUBATAN AM</v>
          </cell>
          <cell r="O994" t="str">
            <v>Klinik Perubatan</v>
          </cell>
          <cell r="P994" t="str">
            <v>ABR</v>
          </cell>
          <cell r="Q994">
            <v>1459.33</v>
          </cell>
        </row>
        <row r="995">
          <cell r="E995" t="str">
            <v>KKM/JKN/HSA/10-05-01/H/15/3664</v>
          </cell>
          <cell r="F995" t="str">
            <v>Therapeutic</v>
          </cell>
          <cell r="G995" t="str">
            <v>Intermediate</v>
          </cell>
          <cell r="H995" t="str">
            <v xml:space="preserve">Defibrillators, External, Automated </v>
          </cell>
          <cell r="I995" t="str">
            <v>DEFIBRILLATOR W/INTERNAL/EXT PADDLES/PACEMAKER</v>
          </cell>
          <cell r="J995" t="str">
            <v>17-116</v>
          </cell>
          <cell r="K995" t="str">
            <v>PHILIPS</v>
          </cell>
          <cell r="L995" t="str">
            <v>EFFICIA DFM100</v>
          </cell>
          <cell r="M995" t="str">
            <v>CN32601425</v>
          </cell>
          <cell r="N995" t="str">
            <v xml:space="preserve">PERUBATAN AM </v>
          </cell>
          <cell r="O995" t="str">
            <v>Klinik Perubatan</v>
          </cell>
          <cell r="P995" t="str">
            <v>HM</v>
          </cell>
          <cell r="Q995">
            <v>14250</v>
          </cell>
        </row>
        <row r="996">
          <cell r="E996" t="str">
            <v>KKM/JKN/HSA/10-05-01/H/15/884</v>
          </cell>
          <cell r="F996" t="str">
            <v xml:space="preserve">Diagnostic </v>
          </cell>
          <cell r="G996" t="str">
            <v>Intermediate</v>
          </cell>
          <cell r="H996" t="str">
            <v>Physiologic Monitoring Systems, Stress Exercise</v>
          </cell>
          <cell r="I996" t="str">
            <v>COMPUTERISED EXERCISE SYSTEM (STRESS TEST)</v>
          </cell>
          <cell r="J996" t="str">
            <v>12-649</v>
          </cell>
          <cell r="K996" t="str">
            <v>GE HEALTHCARE</v>
          </cell>
          <cell r="L996" t="str">
            <v>CASE SYSTEM</v>
          </cell>
          <cell r="M996"/>
          <cell r="N996" t="str">
            <v>PERUBATAN AM</v>
          </cell>
          <cell r="O996" t="str">
            <v>Klinik Perubatan</v>
          </cell>
          <cell r="P996" t="str">
            <v>HM</v>
          </cell>
          <cell r="Q996">
            <v>70000</v>
          </cell>
        </row>
        <row r="997">
          <cell r="E997" t="str">
            <v>KKM/JKN/HSA/10-05-01/H/15/2152</v>
          </cell>
          <cell r="F997" t="str">
            <v>Therapeutic</v>
          </cell>
          <cell r="G997" t="str">
            <v>Basic</v>
          </cell>
          <cell r="H997" t="str">
            <v>Aspirators</v>
          </cell>
          <cell r="I997" t="str">
            <v>SUCTION UNIT 1 X 2L JAR MOBILE</v>
          </cell>
          <cell r="J997" t="str">
            <v>10-208</v>
          </cell>
          <cell r="K997" t="str">
            <v>GIMA</v>
          </cell>
          <cell r="L997">
            <v>28212</v>
          </cell>
          <cell r="M997">
            <v>5920</v>
          </cell>
          <cell r="N997" t="str">
            <v xml:space="preserve">PEMBEDAHAN AM </v>
          </cell>
          <cell r="O997" t="str">
            <v>Klinik Pembedahan Am</v>
          </cell>
          <cell r="P997" t="str">
            <v>HM</v>
          </cell>
          <cell r="Q997">
            <v>3386.5</v>
          </cell>
        </row>
        <row r="998">
          <cell r="E998"/>
          <cell r="F998" t="str">
            <v xml:space="preserve">Diagnostic </v>
          </cell>
          <cell r="G998" t="str">
            <v>Intermediate</v>
          </cell>
          <cell r="H998" t="str">
            <v>Monitors, Physiologic, Vital Signs</v>
          </cell>
          <cell r="I998" t="str">
            <v>SPHYGMOMANOMETER DIGITAL BATTERY OP</v>
          </cell>
          <cell r="J998" t="str">
            <v>25-209</v>
          </cell>
          <cell r="K998" t="str">
            <v>WELCH ALLYN</v>
          </cell>
          <cell r="L998" t="str">
            <v>VSM 300</v>
          </cell>
          <cell r="M998"/>
          <cell r="N998" t="str">
            <v>PEMBEDAHAN AM</v>
          </cell>
          <cell r="O998" t="str">
            <v>Klinik Pembedahan Am</v>
          </cell>
          <cell r="P998" t="str">
            <v>ABR</v>
          </cell>
          <cell r="Q998">
            <v>1855</v>
          </cell>
        </row>
        <row r="999">
          <cell r="E999"/>
          <cell r="F999" t="str">
            <v xml:space="preserve">Diagnostic </v>
          </cell>
          <cell r="G999" t="str">
            <v>Intermediate</v>
          </cell>
          <cell r="H999" t="str">
            <v>Monitors, Physiologic, Vital Signs</v>
          </cell>
          <cell r="I999" t="str">
            <v>SPHYGMOMANOMETER DIGITAL BATTERY OP</v>
          </cell>
          <cell r="J999" t="str">
            <v>25-209</v>
          </cell>
          <cell r="K999" t="str">
            <v>WELCH ALLYN</v>
          </cell>
          <cell r="L999" t="str">
            <v>VSM 300</v>
          </cell>
          <cell r="M999"/>
          <cell r="N999" t="str">
            <v>PEMBEDAHAN AM</v>
          </cell>
          <cell r="O999" t="str">
            <v>Klinik Pembedahan Am</v>
          </cell>
          <cell r="P999" t="str">
            <v>ABR</v>
          </cell>
          <cell r="Q999">
            <v>1855</v>
          </cell>
        </row>
        <row r="1000">
          <cell r="E1000" t="str">
            <v>KKM/JKN/HSA/10-05-01/R/15/14844</v>
          </cell>
          <cell r="F1000" t="str">
            <v xml:space="preserve">Diagnostic </v>
          </cell>
          <cell r="G1000" t="str">
            <v>Basic</v>
          </cell>
          <cell r="H1000" t="str">
            <v>Sphygmomanometers, Aneroid</v>
          </cell>
          <cell r="I1000" t="str">
            <v>SPHYGMOMANOMETER ANEROID DESK MODEL</v>
          </cell>
          <cell r="J1000" t="str">
            <v>16-156</v>
          </cell>
          <cell r="K1000" t="str">
            <v>RIESTER</v>
          </cell>
          <cell r="L1000">
            <v>1453</v>
          </cell>
          <cell r="M1000">
            <v>150311408</v>
          </cell>
          <cell r="N1000" t="str">
            <v xml:space="preserve">PEMBEDAHAN AM </v>
          </cell>
          <cell r="O1000" t="str">
            <v>Klinik Pembedahan Am</v>
          </cell>
          <cell r="P1000" t="str">
            <v>ABR</v>
          </cell>
          <cell r="Q1000">
            <v>452.81</v>
          </cell>
        </row>
        <row r="1001">
          <cell r="E1001"/>
          <cell r="F1001" t="str">
            <v xml:space="preserve">Diagnostic </v>
          </cell>
          <cell r="G1001" t="str">
            <v>Basic</v>
          </cell>
          <cell r="H1001" t="str">
            <v>Sphygmomanometers, Aneroid</v>
          </cell>
          <cell r="I1001" t="str">
            <v>SPHYGMOMANOMETER ANEROID DESK MODEL</v>
          </cell>
          <cell r="J1001" t="str">
            <v>16-156</v>
          </cell>
          <cell r="K1001" t="str">
            <v>RIESTER</v>
          </cell>
          <cell r="L1001">
            <v>1453</v>
          </cell>
          <cell r="M1001"/>
          <cell r="N1001" t="str">
            <v xml:space="preserve">PEMBEDAHAN AM </v>
          </cell>
          <cell r="O1001" t="str">
            <v>Klinik Pembedahan Am</v>
          </cell>
          <cell r="P1001" t="str">
            <v>ABR</v>
          </cell>
          <cell r="Q1001">
            <v>452.81</v>
          </cell>
        </row>
        <row r="1002">
          <cell r="E1002" t="str">
            <v>KKM/JKN/HSA/10-05-01/R/15/16166</v>
          </cell>
          <cell r="F1002" t="str">
            <v>Therapeutic</v>
          </cell>
          <cell r="G1002" t="str">
            <v>Basic</v>
          </cell>
          <cell r="H1002" t="str">
            <v>Nebulizers, Heated</v>
          </cell>
          <cell r="I1002" t="str">
            <v>NEBULISER</v>
          </cell>
          <cell r="J1002" t="str">
            <v>12-716</v>
          </cell>
          <cell r="K1002" t="str">
            <v>PHILIPS</v>
          </cell>
          <cell r="L1002" t="str">
            <v xml:space="preserve"> INNOSPIRE DELUXE</v>
          </cell>
          <cell r="M1002"/>
          <cell r="N1002" t="str">
            <v xml:space="preserve">PEMBEDAHAN AM </v>
          </cell>
          <cell r="O1002" t="str">
            <v>Klinik Pembedahan Am</v>
          </cell>
          <cell r="P1002" t="str">
            <v>ABR</v>
          </cell>
          <cell r="Q1002">
            <v>1950</v>
          </cell>
        </row>
        <row r="1003">
          <cell r="E1003" t="str">
            <v>KKM/JKN/HSA/10-05-01/H/15/4164</v>
          </cell>
          <cell r="F1003" t="str">
            <v>Therapeutic</v>
          </cell>
          <cell r="G1003" t="str">
            <v>Basic</v>
          </cell>
          <cell r="H1003" t="str">
            <v>Lights, Surgical</v>
          </cell>
          <cell r="I1003" t="str">
            <v>LAMP OPERATING MINOR</v>
          </cell>
          <cell r="J1003" t="str">
            <v>12-282</v>
          </cell>
          <cell r="K1003" t="str">
            <v>TRUMPF MEDIZIN</v>
          </cell>
          <cell r="L1003" t="str">
            <v>TRULIGHT 3300</v>
          </cell>
          <cell r="M1003"/>
          <cell r="N1003" t="str">
            <v>PEMBEDAHAN AM</v>
          </cell>
          <cell r="O1003" t="str">
            <v>Klinik Pembedahan Am</v>
          </cell>
          <cell r="P1003" t="str">
            <v>HM</v>
          </cell>
          <cell r="Q1003">
            <v>30000</v>
          </cell>
        </row>
        <row r="1004">
          <cell r="E1004" t="str">
            <v>KKM/JKN/HSA/10-05-01/H/15/4165</v>
          </cell>
          <cell r="F1004" t="str">
            <v xml:space="preserve">Diagnostic </v>
          </cell>
          <cell r="G1004" t="str">
            <v>Intermediate</v>
          </cell>
          <cell r="H1004" t="str">
            <v>Electrocardiographs, Multichannel, Interpretative</v>
          </cell>
          <cell r="I1004" t="str">
            <v>ECG P0RTABLE MAINS/BATTERY OP</v>
          </cell>
          <cell r="J1004" t="str">
            <v>16-231</v>
          </cell>
          <cell r="K1004" t="str">
            <v>GE HEALTHCARE</v>
          </cell>
          <cell r="L1004" t="str">
            <v>MAC400</v>
          </cell>
          <cell r="M1004" t="str">
            <v>SCT11496324PA</v>
          </cell>
          <cell r="N1004" t="str">
            <v xml:space="preserve">PEMBEDAHAN AM </v>
          </cell>
          <cell r="O1004" t="str">
            <v>Klinik Pembedahan Am</v>
          </cell>
          <cell r="P1004" t="str">
            <v>HM</v>
          </cell>
          <cell r="Q1004">
            <v>2750</v>
          </cell>
        </row>
        <row r="1005">
          <cell r="E1005" t="str">
            <v>KKM/JKN/HSA/10-05-01/R/15/17095</v>
          </cell>
          <cell r="F1005" t="str">
            <v xml:space="preserve">Diagnostic </v>
          </cell>
          <cell r="G1005" t="str">
            <v>Basic</v>
          </cell>
          <cell r="H1005" t="str">
            <v>Ophthalmoscopes/Otoscopes</v>
          </cell>
          <cell r="I1005" t="str">
            <v>DIAGNOSTIC SET ADULT</v>
          </cell>
          <cell r="J1005" t="str">
            <v>18-595</v>
          </cell>
          <cell r="K1005" t="str">
            <v>WELCH ALLYN</v>
          </cell>
          <cell r="L1005" t="str">
            <v>97150-BI</v>
          </cell>
          <cell r="M1005"/>
          <cell r="N1005" t="str">
            <v xml:space="preserve">PEMBEDAHAN AM </v>
          </cell>
          <cell r="O1005" t="str">
            <v>Klinik Pembedahan Am</v>
          </cell>
          <cell r="P1005" t="str">
            <v>ABR</v>
          </cell>
          <cell r="Q1005">
            <v>1820</v>
          </cell>
        </row>
        <row r="1006">
          <cell r="E1006" t="str">
            <v>KKM/JKN/HSA/10-05-01/R/15/17256</v>
          </cell>
          <cell r="F1006" t="str">
            <v xml:space="preserve">Diagnostic </v>
          </cell>
          <cell r="G1006" t="str">
            <v>Basic</v>
          </cell>
          <cell r="H1006" t="str">
            <v>Ophthalmoscopes/Otoscopes</v>
          </cell>
          <cell r="I1006" t="str">
            <v>DIAGNOSTIC SET ADULT</v>
          </cell>
          <cell r="J1006" t="str">
            <v>18-595</v>
          </cell>
          <cell r="K1006" t="str">
            <v>WELCH ALLYN</v>
          </cell>
          <cell r="L1006" t="str">
            <v>97150-BI</v>
          </cell>
          <cell r="M1006"/>
          <cell r="N1006" t="str">
            <v xml:space="preserve">PEMBEDAHAN AM </v>
          </cell>
          <cell r="O1006" t="str">
            <v>Klinik Pembedahan Am</v>
          </cell>
          <cell r="P1006" t="str">
            <v>ABR</v>
          </cell>
          <cell r="Q1006">
            <v>1820</v>
          </cell>
        </row>
        <row r="1007">
          <cell r="E1007" t="str">
            <v>KKM/JKN/HSA/10-05-01/R/15/17257</v>
          </cell>
          <cell r="F1007" t="str">
            <v xml:space="preserve">Diagnostic </v>
          </cell>
          <cell r="G1007" t="str">
            <v>Basic</v>
          </cell>
          <cell r="H1007" t="str">
            <v>Ophthalmoscopes/Otoscopes</v>
          </cell>
          <cell r="I1007" t="str">
            <v>DIAGNOSTIC SET ADULT</v>
          </cell>
          <cell r="J1007" t="str">
            <v>18-595</v>
          </cell>
          <cell r="K1007" t="str">
            <v>WELCH ALLYN</v>
          </cell>
          <cell r="L1007" t="str">
            <v>97150-BI</v>
          </cell>
          <cell r="M1007"/>
          <cell r="N1007" t="str">
            <v xml:space="preserve">PEMBEDAHAN AM </v>
          </cell>
          <cell r="O1007" t="str">
            <v>Klinik Pembedahan Am</v>
          </cell>
          <cell r="P1007" t="str">
            <v>ABR</v>
          </cell>
          <cell r="Q1007">
            <v>1820</v>
          </cell>
        </row>
        <row r="1008">
          <cell r="E1008" t="str">
            <v>KKM/JKN/HSA/10-05-01/R/15/17258</v>
          </cell>
          <cell r="F1008" t="str">
            <v xml:space="preserve">Diagnostic </v>
          </cell>
          <cell r="G1008" t="str">
            <v>Basic</v>
          </cell>
          <cell r="H1008" t="str">
            <v>Ophthalmoscopes/Otoscopes</v>
          </cell>
          <cell r="I1008" t="str">
            <v>DIAGNOSTIC SET ADULT</v>
          </cell>
          <cell r="J1008" t="str">
            <v>18-595</v>
          </cell>
          <cell r="K1008" t="str">
            <v>WELCH ALLYN</v>
          </cell>
          <cell r="L1008" t="str">
            <v>97150-BI</v>
          </cell>
          <cell r="M1008"/>
          <cell r="N1008" t="str">
            <v xml:space="preserve">PEMBEDAHAN AM </v>
          </cell>
          <cell r="O1008" t="str">
            <v>Klinik Pembedahan Am</v>
          </cell>
          <cell r="P1008" t="str">
            <v>ABR</v>
          </cell>
          <cell r="Q1008">
            <v>1820</v>
          </cell>
        </row>
        <row r="1009">
          <cell r="E1009" t="str">
            <v>KKM/JKN/HSA/10-05-01/H/15/4160</v>
          </cell>
          <cell r="F1009" t="str">
            <v>Therapeutic</v>
          </cell>
          <cell r="G1009" t="str">
            <v>Intermediate</v>
          </cell>
          <cell r="H1009" t="str">
            <v>Flowmeters, Blood, Ultrasonic</v>
          </cell>
          <cell r="I1009" t="str">
            <v>DETECTOR VASCULAR FLOW</v>
          </cell>
          <cell r="J1009" t="str">
            <v>10-432</v>
          </cell>
          <cell r="K1009" t="str">
            <v>HUNTLEIGH</v>
          </cell>
          <cell r="L1009" t="str">
            <v>D900</v>
          </cell>
          <cell r="M1009"/>
          <cell r="N1009" t="str">
            <v xml:space="preserve">PEMBEDAHAN AM </v>
          </cell>
          <cell r="O1009" t="str">
            <v>Klinik Pembedahan Am</v>
          </cell>
          <cell r="P1009" t="str">
            <v>HM</v>
          </cell>
          <cell r="Q1009">
            <v>10595</v>
          </cell>
        </row>
        <row r="1010">
          <cell r="E1010" t="str">
            <v>KKM/JKN/HSA/10-05-01/H/15/3683</v>
          </cell>
          <cell r="F1010" t="str">
            <v>Therapeutic</v>
          </cell>
          <cell r="G1010" t="str">
            <v>Intermediate</v>
          </cell>
          <cell r="H1010" t="str">
            <v xml:space="preserve">Defibrillators, External, Automated </v>
          </cell>
          <cell r="I1010" t="str">
            <v>DEFIBRILLATOR W/INTERNAL/EXT PADDLES/PACEMAKER</v>
          </cell>
          <cell r="J1010" t="str">
            <v>17-116</v>
          </cell>
          <cell r="K1010" t="str">
            <v>PHILIPS</v>
          </cell>
          <cell r="L1010" t="str">
            <v>EFFICIA DFM100</v>
          </cell>
          <cell r="M1010" t="str">
            <v>CN32601409</v>
          </cell>
          <cell r="N1010" t="str">
            <v>PEMBEDAHAN AM</v>
          </cell>
          <cell r="O1010" t="str">
            <v>Klinik Pembedahan Am</v>
          </cell>
          <cell r="P1010" t="str">
            <v>HM</v>
          </cell>
          <cell r="Q1010">
            <v>14250</v>
          </cell>
        </row>
        <row r="1011">
          <cell r="E1011"/>
          <cell r="F1011" t="str">
            <v xml:space="preserve">Diagnostic </v>
          </cell>
          <cell r="G1011" t="str">
            <v>Intermediate</v>
          </cell>
          <cell r="H1011" t="str">
            <v>Monitors, Physiologic, Vital Signs</v>
          </cell>
          <cell r="I1011" t="str">
            <v>BLOOD PRESSURE MONITOR NON INVASIVE</v>
          </cell>
          <cell r="J1011" t="str">
            <v>25-209</v>
          </cell>
          <cell r="K1011" t="str">
            <v>WELCH ALLYN</v>
          </cell>
          <cell r="L1011" t="str">
            <v>VSM 300</v>
          </cell>
          <cell r="M1011"/>
          <cell r="N1011" t="str">
            <v>PEMBEDAHAN AM</v>
          </cell>
          <cell r="O1011" t="str">
            <v>Klinik Pembedahan Am</v>
          </cell>
          <cell r="P1011" t="str">
            <v>ABR</v>
          </cell>
          <cell r="Q1011">
            <v>1855</v>
          </cell>
        </row>
        <row r="1012">
          <cell r="E1012" t="str">
            <v>KKM/JKN/HSA/10-05-01/R/15/15296</v>
          </cell>
          <cell r="F1012" t="str">
            <v xml:space="preserve">Diagnostic </v>
          </cell>
          <cell r="G1012" t="str">
            <v>Intermediate</v>
          </cell>
          <cell r="H1012" t="str">
            <v>Monitors, Physiologic, Vital Signs</v>
          </cell>
          <cell r="I1012" t="str">
            <v>SPHYGMOMANOMETER DIGITAL BATTERY OP</v>
          </cell>
          <cell r="J1012" t="str">
            <v>25-209</v>
          </cell>
          <cell r="K1012" t="str">
            <v>WELCH ALLYN</v>
          </cell>
          <cell r="L1012" t="str">
            <v>VSM 300</v>
          </cell>
          <cell r="M1012">
            <v>100055212814</v>
          </cell>
          <cell r="N1012" t="str">
            <v>PEDIATRIK</v>
          </cell>
          <cell r="O1012" t="str">
            <v xml:space="preserve">Klinik Pediatrik </v>
          </cell>
          <cell r="P1012" t="str">
            <v>ABR</v>
          </cell>
          <cell r="Q1012">
            <v>1855</v>
          </cell>
        </row>
        <row r="1013">
          <cell r="E1013" t="str">
            <v>KKM/JKN/HSA/10-05-01/H/15/5250</v>
          </cell>
          <cell r="F1013" t="str">
            <v xml:space="preserve">Diagnostic </v>
          </cell>
          <cell r="G1013" t="str">
            <v>Basic</v>
          </cell>
          <cell r="H1013" t="str">
            <v>Thermometers, Electronic, Infrared, Ear</v>
          </cell>
          <cell r="I1013" t="str">
            <v>THERMOMETER CALIBRATOR TYMPANIC</v>
          </cell>
          <cell r="J1013" t="str">
            <v xml:space="preserve">
17-887</v>
          </cell>
          <cell r="K1013" t="str">
            <v>WELCH ALLYN</v>
          </cell>
          <cell r="L1013" t="str">
            <v>9600 PLUS CALIBRATION TESTER</v>
          </cell>
          <cell r="M1013"/>
          <cell r="N1013" t="str">
            <v>PEDIATRIK</v>
          </cell>
          <cell r="O1013" t="str">
            <v>Klinik Pediatrik</v>
          </cell>
          <cell r="P1013" t="str">
            <v>HM</v>
          </cell>
          <cell r="Q1013">
            <v>3000</v>
          </cell>
        </row>
        <row r="1014">
          <cell r="E1014" t="str">
            <v>KKM/JKN/HSA/10-05-01/H/15/2153</v>
          </cell>
          <cell r="F1014" t="str">
            <v>Therapeutic</v>
          </cell>
          <cell r="G1014" t="str">
            <v>Basic</v>
          </cell>
          <cell r="H1014" t="str">
            <v>Aspirators</v>
          </cell>
          <cell r="I1014" t="str">
            <v>SUCTION UNIT 1 X 2L JAR MOBILE</v>
          </cell>
          <cell r="J1014" t="str">
            <v>10-208</v>
          </cell>
          <cell r="K1014" t="str">
            <v>GIMA</v>
          </cell>
          <cell r="L1014">
            <v>28212</v>
          </cell>
          <cell r="M1014"/>
          <cell r="N1014" t="str">
            <v>PEDIATRIK</v>
          </cell>
          <cell r="O1014" t="str">
            <v>Klinik Pediatrik</v>
          </cell>
          <cell r="P1014" t="str">
            <v>HM</v>
          </cell>
          <cell r="Q1014">
            <v>3386.5</v>
          </cell>
        </row>
        <row r="1015">
          <cell r="E1015" t="str">
            <v>KKM/JKN/HSA/10-05-01/R/15/16747</v>
          </cell>
          <cell r="F1015" t="str">
            <v xml:space="preserve">Diagnostic </v>
          </cell>
          <cell r="G1015" t="str">
            <v>Intermediate</v>
          </cell>
          <cell r="H1015" t="str">
            <v>Monitors, Physiologic, Vital Signs</v>
          </cell>
          <cell r="I1015" t="str">
            <v>SPHYGMOMANOMETER DIGITAL BATTERY OP</v>
          </cell>
          <cell r="J1015" t="str">
            <v>25-209</v>
          </cell>
          <cell r="K1015" t="str">
            <v>WELCH ALLYN</v>
          </cell>
          <cell r="L1015" t="str">
            <v>VSM 300</v>
          </cell>
          <cell r="M1015">
            <v>100055202814</v>
          </cell>
          <cell r="N1015" t="str">
            <v>PEDIATRIK</v>
          </cell>
          <cell r="O1015" t="str">
            <v>Klinik Pediatrik</v>
          </cell>
          <cell r="P1015" t="str">
            <v>ABR</v>
          </cell>
          <cell r="Q1015">
            <v>1855</v>
          </cell>
        </row>
        <row r="1016">
          <cell r="E1016" t="str">
            <v>KKM/JKN/HSA/10-05-01/R/15/14881</v>
          </cell>
          <cell r="F1016" t="str">
            <v xml:space="preserve">Diagnostic </v>
          </cell>
          <cell r="G1016" t="str">
            <v>Basic</v>
          </cell>
          <cell r="H1016" t="str">
            <v>Sphygmomanometers, Aneroid</v>
          </cell>
          <cell r="I1016" t="str">
            <v>SPHYGMOMANOMETER ANEROID DESK MODEL</v>
          </cell>
          <cell r="J1016" t="str">
            <v>16-156</v>
          </cell>
          <cell r="K1016" t="str">
            <v>RIESTER</v>
          </cell>
          <cell r="L1016">
            <v>1453</v>
          </cell>
          <cell r="M1016">
            <v>1.4530000001503001E+19</v>
          </cell>
          <cell r="N1016" t="str">
            <v>PEDIATRIK</v>
          </cell>
          <cell r="O1016" t="str">
            <v>Klinik Pediatrik</v>
          </cell>
          <cell r="P1016" t="str">
            <v>ABR</v>
          </cell>
          <cell r="Q1016">
            <v>452.81</v>
          </cell>
        </row>
        <row r="1017">
          <cell r="E1017" t="str">
            <v>KKM/JKN/HSA/10-05-01/R/15/14882</v>
          </cell>
          <cell r="F1017" t="str">
            <v xml:space="preserve">Diagnostic </v>
          </cell>
          <cell r="G1017" t="str">
            <v>Basic</v>
          </cell>
          <cell r="H1017" t="str">
            <v>Sphygmomanometers, Aneroid</v>
          </cell>
          <cell r="I1017" t="str">
            <v>SPHYGMOMANOMETER ANEROID DESK MODEL</v>
          </cell>
          <cell r="J1017" t="str">
            <v>16-156</v>
          </cell>
          <cell r="K1017" t="str">
            <v>RIESTER</v>
          </cell>
          <cell r="L1017">
            <v>1453</v>
          </cell>
          <cell r="M1017" t="str">
            <v xml:space="preserve">14530000001503011444
</v>
          </cell>
          <cell r="N1017" t="str">
            <v>PEDIATRIK</v>
          </cell>
          <cell r="O1017" t="str">
            <v>Klinik Pediatrik</v>
          </cell>
          <cell r="P1017" t="str">
            <v>ABR</v>
          </cell>
          <cell r="Q1017">
            <v>452.81</v>
          </cell>
        </row>
        <row r="1018">
          <cell r="E1018" t="str">
            <v>KKM/JKN/HSA/10-05-01/H/16/18</v>
          </cell>
          <cell r="F1018" t="str">
            <v xml:space="preserve">Diagnostic </v>
          </cell>
          <cell r="G1018" t="str">
            <v>Intermediate</v>
          </cell>
          <cell r="H1018" t="str">
            <v>Physiologic Monitoring Systems, Acute Care</v>
          </cell>
          <cell r="I1018" t="str">
            <v>NON INVASIVE CARDIAC OUPUT MONITORING</v>
          </cell>
          <cell r="J1018" t="str">
            <v>12-647</v>
          </cell>
          <cell r="K1018" t="str">
            <v>GE</v>
          </cell>
          <cell r="L1018" t="str">
            <v>B40</v>
          </cell>
          <cell r="M1018" t="str">
            <v>SJF15475278WA</v>
          </cell>
          <cell r="N1018" t="str">
            <v>PEDIATRIK</v>
          </cell>
          <cell r="O1018" t="str">
            <v>Klinik Pediatrik</v>
          </cell>
          <cell r="P1018" t="str">
            <v>HM</v>
          </cell>
          <cell r="Q1018">
            <v>16000</v>
          </cell>
        </row>
        <row r="1019">
          <cell r="E1019" t="str">
            <v>KKM/JKN/HSA/10-05-01/R/15/16151</v>
          </cell>
          <cell r="F1019" t="str">
            <v>Therapeutic</v>
          </cell>
          <cell r="G1019" t="str">
            <v>Basic</v>
          </cell>
          <cell r="H1019" t="str">
            <v>Nebulizers, Heated</v>
          </cell>
          <cell r="I1019" t="str">
            <v>NEBULISER</v>
          </cell>
          <cell r="J1019" t="str">
            <v>12-716</v>
          </cell>
          <cell r="K1019" t="str">
            <v>PHILIPS</v>
          </cell>
          <cell r="L1019" t="str">
            <v xml:space="preserve"> INNOSPIRE DELUXE</v>
          </cell>
          <cell r="M1019" t="str">
            <v>022855</v>
          </cell>
          <cell r="N1019" t="str">
            <v>PEDIATRIK</v>
          </cell>
          <cell r="O1019" t="str">
            <v>Klinik Pediatrik</v>
          </cell>
          <cell r="P1019" t="str">
            <v>ABR</v>
          </cell>
          <cell r="Q1019">
            <v>1950</v>
          </cell>
        </row>
        <row r="1020">
          <cell r="E1020" t="str">
            <v>KKM/JKN/HSA/10-05-01/R/15/16152</v>
          </cell>
          <cell r="F1020" t="str">
            <v>Therapeutic</v>
          </cell>
          <cell r="G1020" t="str">
            <v>Basic</v>
          </cell>
          <cell r="H1020" t="str">
            <v>Nebulizers, Heated</v>
          </cell>
          <cell r="I1020" t="str">
            <v>NEBULISER</v>
          </cell>
          <cell r="J1020" t="str">
            <v>12-716</v>
          </cell>
          <cell r="K1020" t="str">
            <v>PHILIPS</v>
          </cell>
          <cell r="L1020" t="str">
            <v xml:space="preserve"> INNOSPIRE DELUXE</v>
          </cell>
          <cell r="M1020" t="str">
            <v>022858</v>
          </cell>
          <cell r="N1020" t="str">
            <v>PEDIATRIK</v>
          </cell>
          <cell r="O1020" t="str">
            <v>Klinik Pediatrik</v>
          </cell>
          <cell r="P1020" t="str">
            <v>ABR</v>
          </cell>
          <cell r="Q1020">
            <v>1950</v>
          </cell>
        </row>
        <row r="1021">
          <cell r="E1021" t="str">
            <v>KKM/JKN/HSA/10-05-01/R/15/16153</v>
          </cell>
          <cell r="F1021" t="str">
            <v>Therapeutic</v>
          </cell>
          <cell r="G1021" t="str">
            <v>Basic</v>
          </cell>
          <cell r="H1021" t="str">
            <v>Nebulizers, Heated</v>
          </cell>
          <cell r="I1021" t="str">
            <v>NEBULISER</v>
          </cell>
          <cell r="J1021" t="str">
            <v>12-716</v>
          </cell>
          <cell r="K1021" t="str">
            <v>PHILIPS</v>
          </cell>
          <cell r="L1021" t="str">
            <v xml:space="preserve"> INNOSPIRE DELUXE</v>
          </cell>
          <cell r="M1021" t="str">
            <v>022850</v>
          </cell>
          <cell r="N1021" t="str">
            <v>PEDIATRIK</v>
          </cell>
          <cell r="O1021" t="str">
            <v>Klinik Pediatrik</v>
          </cell>
          <cell r="P1021" t="str">
            <v>ABR</v>
          </cell>
          <cell r="Q1021">
            <v>1950</v>
          </cell>
        </row>
        <row r="1022">
          <cell r="E1022" t="str">
            <v>KKM/JKN/HSA/10-05-01/R/15/16154</v>
          </cell>
          <cell r="F1022" t="str">
            <v>Therapeutic</v>
          </cell>
          <cell r="G1022" t="str">
            <v>Basic</v>
          </cell>
          <cell r="H1022" t="str">
            <v>Nebulizers, Heated</v>
          </cell>
          <cell r="I1022" t="str">
            <v>NEBULISER</v>
          </cell>
          <cell r="J1022" t="str">
            <v>12-716</v>
          </cell>
          <cell r="K1022" t="str">
            <v>PHILIPS</v>
          </cell>
          <cell r="L1022" t="str">
            <v xml:space="preserve"> INNOSPIRE DELUXE</v>
          </cell>
          <cell r="M1022" t="str">
            <v>022854</v>
          </cell>
          <cell r="N1022" t="str">
            <v>PEDIATRIK</v>
          </cell>
          <cell r="O1022" t="str">
            <v>Klinik Pediatrik</v>
          </cell>
          <cell r="P1022" t="str">
            <v>ABR</v>
          </cell>
          <cell r="Q1022">
            <v>1950</v>
          </cell>
        </row>
        <row r="1023">
          <cell r="E1023" t="str">
            <v>KKM/JKN/HSA/10-05-01/H/15/1022</v>
          </cell>
          <cell r="F1023" t="str">
            <v xml:space="preserve">Diagnostic </v>
          </cell>
          <cell r="G1023" t="str">
            <v>Intermediate</v>
          </cell>
          <cell r="H1023" t="str">
            <v>Monitors, Physiologic, Vital Signs</v>
          </cell>
          <cell r="I1023" t="str">
            <v>MONITOR NIBP/SP02</v>
          </cell>
          <cell r="J1023" t="str">
            <v>25-209</v>
          </cell>
          <cell r="K1023" t="str">
            <v>WELCH ALLYN</v>
          </cell>
          <cell r="L1023" t="str">
            <v>WELCH ALLYN VSM 300</v>
          </cell>
          <cell r="M1023" t="str">
            <v>JA123480</v>
          </cell>
          <cell r="N1023" t="str">
            <v>PEDIATRIK</v>
          </cell>
          <cell r="O1023" t="str">
            <v>Klinik Pediatrik</v>
          </cell>
          <cell r="P1023" t="str">
            <v>HM</v>
          </cell>
          <cell r="Q1023">
            <v>5185</v>
          </cell>
        </row>
        <row r="1024">
          <cell r="E1024" t="str">
            <v>KKM/JKN/HSA/10-05-01/H/15/5085</v>
          </cell>
          <cell r="F1024" t="str">
            <v xml:space="preserve">Diagnostic </v>
          </cell>
          <cell r="G1024" t="str">
            <v>Intermediate</v>
          </cell>
          <cell r="H1024" t="str">
            <v>Electrocardiographs, Multichannel, Interpretative</v>
          </cell>
          <cell r="I1024" t="str">
            <v>ECG P0RTABLE MAINS/BATTERY OP</v>
          </cell>
          <cell r="J1024" t="str">
            <v>16-231</v>
          </cell>
          <cell r="K1024" t="str">
            <v>GE HEALTHCARE</v>
          </cell>
          <cell r="L1024" t="str">
            <v>MAC400</v>
          </cell>
          <cell r="M1024" t="str">
            <v>SCT11496321PA</v>
          </cell>
          <cell r="N1024" t="str">
            <v>PEDIATRIK</v>
          </cell>
          <cell r="O1024" t="str">
            <v>Klinik Pediatrik</v>
          </cell>
          <cell r="P1024" t="str">
            <v>HM</v>
          </cell>
          <cell r="Q1024">
            <v>2750</v>
          </cell>
        </row>
        <row r="1025">
          <cell r="E1025" t="str">
            <v>KKM/JKN/HSA/10-05-01/R/15/6744</v>
          </cell>
          <cell r="F1025" t="str">
            <v xml:space="preserve">Diagnostic </v>
          </cell>
          <cell r="G1025" t="str">
            <v>Basic</v>
          </cell>
          <cell r="H1025" t="str">
            <v>Ophthalmoscopes/Otoscopes</v>
          </cell>
          <cell r="I1025" t="str">
            <v>DIAGNOSTIC SET PAEDIATRIC</v>
          </cell>
          <cell r="J1025" t="str">
            <v>18-595</v>
          </cell>
          <cell r="K1025" t="str">
            <v>RUDOLF RIESTER, GMBH</v>
          </cell>
          <cell r="L1025" t="str">
            <v>ECONOM XL 3.5V 2053-203</v>
          </cell>
          <cell r="M1025"/>
          <cell r="N1025" t="str">
            <v>PEDIATRIK</v>
          </cell>
          <cell r="O1025" t="str">
            <v>Klinik Pediatrik</v>
          </cell>
          <cell r="P1025" t="str">
            <v>ABR</v>
          </cell>
          <cell r="Q1025">
            <v>1035.6500000000001</v>
          </cell>
        </row>
        <row r="1026">
          <cell r="E1026" t="str">
            <v>KKM/JKN/HSA/10-05-01/R/15/6745</v>
          </cell>
          <cell r="F1026" t="str">
            <v xml:space="preserve">Diagnostic </v>
          </cell>
          <cell r="G1026" t="str">
            <v>Basic</v>
          </cell>
          <cell r="H1026" t="str">
            <v>Ophthalmoscopes/Otoscopes</v>
          </cell>
          <cell r="I1026" t="str">
            <v>DIAGNOSTIC SET PAEDIATRIC</v>
          </cell>
          <cell r="J1026" t="str">
            <v>18-595</v>
          </cell>
          <cell r="K1026" t="str">
            <v>RUDOLF RIESTER, GMBH</v>
          </cell>
          <cell r="L1026" t="str">
            <v>ECONOM XL 3.5V 2053-204</v>
          </cell>
          <cell r="M1026"/>
          <cell r="N1026" t="str">
            <v>PEDIATRIK</v>
          </cell>
          <cell r="O1026" t="str">
            <v>Klinik Pediatrik</v>
          </cell>
          <cell r="P1026" t="str">
            <v>ABR</v>
          </cell>
          <cell r="Q1026">
            <v>1035.6500000000001</v>
          </cell>
        </row>
        <row r="1027">
          <cell r="E1027" t="str">
            <v>KKM/JKN/HSA/10-05-01/R/15/6746</v>
          </cell>
          <cell r="F1027" t="str">
            <v xml:space="preserve">Diagnostic </v>
          </cell>
          <cell r="G1027" t="str">
            <v>Basic</v>
          </cell>
          <cell r="H1027" t="str">
            <v>Ophthalmoscopes/Otoscopes</v>
          </cell>
          <cell r="I1027" t="str">
            <v>DIAGNOSTIC SET PAEDIATRIC</v>
          </cell>
          <cell r="J1027" t="str">
            <v>18-595</v>
          </cell>
          <cell r="K1027" t="str">
            <v>RUDOLF RIESTER, GMBH</v>
          </cell>
          <cell r="L1027" t="str">
            <v>ECONOM XL 3.5V 2053-205</v>
          </cell>
          <cell r="M1027"/>
          <cell r="N1027" t="str">
            <v>PEDIATRIK</v>
          </cell>
          <cell r="O1027" t="str">
            <v>Klinik Pediatrik</v>
          </cell>
          <cell r="P1027" t="str">
            <v>ABR</v>
          </cell>
          <cell r="Q1027">
            <v>1035.6500000000001</v>
          </cell>
        </row>
        <row r="1028">
          <cell r="E1028" t="str">
            <v>KKM/JKN/HSA/10-05-01/R/15/6747</v>
          </cell>
          <cell r="F1028" t="str">
            <v xml:space="preserve">Diagnostic </v>
          </cell>
          <cell r="G1028" t="str">
            <v>Basic</v>
          </cell>
          <cell r="H1028" t="str">
            <v>Ophthalmoscopes/Otoscopes</v>
          </cell>
          <cell r="I1028" t="str">
            <v>DIAGNOSTIC SET PAEDIATRIC</v>
          </cell>
          <cell r="J1028" t="str">
            <v>18-595</v>
          </cell>
          <cell r="K1028" t="str">
            <v>RUDOLF RIESTER, GMBH</v>
          </cell>
          <cell r="L1028" t="str">
            <v>ECONOM XL 3.5V 2053-206</v>
          </cell>
          <cell r="M1028"/>
          <cell r="N1028" t="str">
            <v>PEDIATRIK</v>
          </cell>
          <cell r="O1028" t="str">
            <v>Klinik Pediatrik</v>
          </cell>
          <cell r="P1028" t="str">
            <v>ABR</v>
          </cell>
          <cell r="Q1028">
            <v>1035.6500000000001</v>
          </cell>
        </row>
        <row r="1029">
          <cell r="E1029" t="str">
            <v>KKM/JKN/HSA/10-05-01/R/15/6748</v>
          </cell>
          <cell r="F1029" t="str">
            <v xml:space="preserve">Diagnostic </v>
          </cell>
          <cell r="G1029" t="str">
            <v>Basic</v>
          </cell>
          <cell r="H1029" t="str">
            <v>Ophthalmoscopes/Otoscopes</v>
          </cell>
          <cell r="I1029" t="str">
            <v>DIAGNOSTIC SET PAEDIATRIC</v>
          </cell>
          <cell r="J1029" t="str">
            <v>18-595</v>
          </cell>
          <cell r="K1029" t="str">
            <v>RUDOLF RIESTER, GMBH</v>
          </cell>
          <cell r="L1029" t="str">
            <v>ECONOM XL 3.5V 2053-207</v>
          </cell>
          <cell r="M1029"/>
          <cell r="N1029" t="str">
            <v>PEDIATRIK</v>
          </cell>
          <cell r="O1029" t="str">
            <v>Klinik Pediatrik</v>
          </cell>
          <cell r="P1029" t="str">
            <v>ABR</v>
          </cell>
          <cell r="Q1029">
            <v>1035.6500000000001</v>
          </cell>
        </row>
        <row r="1030">
          <cell r="E1030" t="str">
            <v>KKM/JKN/HSA/10-05-01/R/15/6749</v>
          </cell>
          <cell r="F1030" t="str">
            <v xml:space="preserve">Diagnostic </v>
          </cell>
          <cell r="G1030" t="str">
            <v>Basic</v>
          </cell>
          <cell r="H1030" t="str">
            <v>Ophthalmoscopes/Otoscopes</v>
          </cell>
          <cell r="I1030" t="str">
            <v>DIAGNOSTIC SET PAEDIATRIC</v>
          </cell>
          <cell r="J1030" t="str">
            <v>18-595</v>
          </cell>
          <cell r="K1030" t="str">
            <v>RUDOLF RIESTER, GMBH</v>
          </cell>
          <cell r="L1030" t="str">
            <v>ECONOM XL 3.5V 2053-208</v>
          </cell>
          <cell r="M1030"/>
          <cell r="N1030" t="str">
            <v>PEDIATRIK</v>
          </cell>
          <cell r="O1030" t="str">
            <v>Klinik Pediatrik</v>
          </cell>
          <cell r="P1030" t="str">
            <v>ABR</v>
          </cell>
          <cell r="Q1030">
            <v>1035.6500000000001</v>
          </cell>
        </row>
        <row r="1031">
          <cell r="E1031" t="str">
            <v>KKM/JKN/HSA/10-05-01/R/15/6750</v>
          </cell>
          <cell r="F1031" t="str">
            <v xml:space="preserve">Diagnostic </v>
          </cell>
          <cell r="G1031" t="str">
            <v>Basic</v>
          </cell>
          <cell r="H1031" t="str">
            <v>Ophthalmoscopes/Otoscopes</v>
          </cell>
          <cell r="I1031" t="str">
            <v>DIAGNOSTIC SET PAEDIATRIC</v>
          </cell>
          <cell r="J1031" t="str">
            <v>18-595</v>
          </cell>
          <cell r="K1031" t="str">
            <v>RUDOLF RIESTER, GMBH</v>
          </cell>
          <cell r="L1031" t="str">
            <v>ECONOM XL 3.5V 2053-209</v>
          </cell>
          <cell r="M1031"/>
          <cell r="N1031" t="str">
            <v>PEDIATRIK</v>
          </cell>
          <cell r="O1031" t="str">
            <v>Klinik Pediatrik</v>
          </cell>
          <cell r="P1031" t="str">
            <v>ABR</v>
          </cell>
          <cell r="Q1031">
            <v>1035.6500000000001</v>
          </cell>
        </row>
        <row r="1032">
          <cell r="E1032" t="str">
            <v>KKM/JKN/HSA/10-05-01/R/15/6752</v>
          </cell>
          <cell r="F1032" t="str">
            <v xml:space="preserve">Diagnostic </v>
          </cell>
          <cell r="G1032" t="str">
            <v>Basic</v>
          </cell>
          <cell r="H1032" t="str">
            <v>Ophthalmoscopes/Otoscopes</v>
          </cell>
          <cell r="I1032" t="str">
            <v>DIAGNOSTIC SET PAEDIATRIC</v>
          </cell>
          <cell r="J1032" t="str">
            <v>18-595</v>
          </cell>
          <cell r="K1032" t="str">
            <v>RUDOLF RIESTER, GMBH</v>
          </cell>
          <cell r="L1032" t="str">
            <v>ECONOM XL 3.5V 2053-210</v>
          </cell>
          <cell r="M1032"/>
          <cell r="N1032" t="str">
            <v>PEDIATRIK</v>
          </cell>
          <cell r="O1032" t="str">
            <v>Klinik Pediatrik</v>
          </cell>
          <cell r="P1032" t="str">
            <v>ABR</v>
          </cell>
          <cell r="Q1032">
            <v>1035.6500000000001</v>
          </cell>
        </row>
        <row r="1033">
          <cell r="E1033" t="str">
            <v>KKM/JKN/HSA/10-05-01/R/15/6754</v>
          </cell>
          <cell r="F1033" t="str">
            <v xml:space="preserve">Diagnostic </v>
          </cell>
          <cell r="G1033" t="str">
            <v>Basic</v>
          </cell>
          <cell r="H1033" t="str">
            <v>Ophthalmoscopes/Otoscopes</v>
          </cell>
          <cell r="I1033" t="str">
            <v>DIAGNOSTIC SET PAEDIATRIC</v>
          </cell>
          <cell r="J1033" t="str">
            <v>18-595</v>
          </cell>
          <cell r="K1033" t="str">
            <v>RUDOLF RIESTER, GMBH</v>
          </cell>
          <cell r="L1033" t="str">
            <v>ECONOM XL 3.5V 2053-211</v>
          </cell>
          <cell r="M1033"/>
          <cell r="N1033" t="str">
            <v>PEDIATRIK</v>
          </cell>
          <cell r="O1033" t="str">
            <v>Klinik Pediatrik</v>
          </cell>
          <cell r="P1033" t="str">
            <v>ABR</v>
          </cell>
          <cell r="Q1033">
            <v>1035.6500000000001</v>
          </cell>
        </row>
        <row r="1034">
          <cell r="E1034" t="str">
            <v>KKM/JKN/HSA/10-05-01/R/15/6755</v>
          </cell>
          <cell r="F1034" t="str">
            <v xml:space="preserve">Diagnostic </v>
          </cell>
          <cell r="G1034" t="str">
            <v>Basic</v>
          </cell>
          <cell r="H1034" t="str">
            <v>Ophthalmoscopes/Otoscopes</v>
          </cell>
          <cell r="I1034" t="str">
            <v>DIAGNOSTIC SET PAEDIATRIC</v>
          </cell>
          <cell r="J1034" t="str">
            <v>18-595</v>
          </cell>
          <cell r="K1034" t="str">
            <v>RUDOLF RIESTER, GMBH</v>
          </cell>
          <cell r="L1034" t="str">
            <v>ECONOM XL 3.5V 2053-212</v>
          </cell>
          <cell r="M1034"/>
          <cell r="N1034" t="str">
            <v>PEDIATRIK</v>
          </cell>
          <cell r="O1034" t="str">
            <v>Klinik Pediatrik</v>
          </cell>
          <cell r="P1034" t="str">
            <v>ABR</v>
          </cell>
          <cell r="Q1034">
            <v>1035.6500000000001</v>
          </cell>
        </row>
        <row r="1035">
          <cell r="E1035" t="str">
            <v>KKM/JKN/HSA/10-05-01/H/15/3686</v>
          </cell>
          <cell r="F1035" t="str">
            <v>Therapeutic</v>
          </cell>
          <cell r="G1035" t="str">
            <v>Intermediate</v>
          </cell>
          <cell r="H1035" t="str">
            <v xml:space="preserve">Defibrillators, External, Automated </v>
          </cell>
          <cell r="I1035" t="str">
            <v>DEFIBRILLATOR W/INTERNAL/EXT PADDLES/PACEMAKER</v>
          </cell>
          <cell r="J1035" t="str">
            <v>17-116</v>
          </cell>
          <cell r="K1035" t="str">
            <v>PHILIPS</v>
          </cell>
          <cell r="L1035" t="str">
            <v>EFFICIA DFM100</v>
          </cell>
          <cell r="M1035" t="str">
            <v>CN32601412</v>
          </cell>
          <cell r="N1035" t="str">
            <v>PEDIATRIK</v>
          </cell>
          <cell r="O1035" t="str">
            <v>Klinik Pediatrik</v>
          </cell>
          <cell r="P1035" t="str">
            <v>HM</v>
          </cell>
          <cell r="Q1035">
            <v>14250</v>
          </cell>
        </row>
        <row r="1036">
          <cell r="E1036" t="str">
            <v>KKM/JKN/HSA/10-05-01/R/15/7148</v>
          </cell>
          <cell r="F1036" t="str">
            <v xml:space="preserve">Diagnostic </v>
          </cell>
          <cell r="G1036" t="str">
            <v>Intermediate</v>
          </cell>
          <cell r="H1036" t="str">
            <v>Monitors, Physiologic, Vital Signs</v>
          </cell>
          <cell r="I1036" t="str">
            <v>BLOOD PRESSURE MONITOR NON INVASIVE</v>
          </cell>
          <cell r="J1036" t="str">
            <v>25-209</v>
          </cell>
          <cell r="K1036" t="str">
            <v>WELCH ALLYN</v>
          </cell>
          <cell r="L1036" t="str">
            <v>VSM 300</v>
          </cell>
          <cell r="M1036"/>
          <cell r="N1036" t="str">
            <v>PEDIATRIK</v>
          </cell>
          <cell r="O1036" t="str">
            <v>Klinik Pediatrik</v>
          </cell>
          <cell r="P1036" t="str">
            <v>ABR</v>
          </cell>
          <cell r="Q1036">
            <v>1855</v>
          </cell>
        </row>
        <row r="1037">
          <cell r="E1037" t="str">
            <v>KKM/JKN/HSA/10-05-01/R/15/17358</v>
          </cell>
          <cell r="F1037" t="str">
            <v xml:space="preserve">Diagnostic </v>
          </cell>
          <cell r="G1037" t="str">
            <v>Basic</v>
          </cell>
          <cell r="H1037" t="str">
            <v>Recorders, Tape, Video</v>
          </cell>
          <cell r="I1037" t="str">
            <v>VIDEO RECORDER</v>
          </cell>
          <cell r="J1037" t="str">
            <v>13-274</v>
          </cell>
          <cell r="K1037" t="str">
            <v>PANASONIC</v>
          </cell>
          <cell r="L1037" t="str">
            <v>DMR-EH59</v>
          </cell>
          <cell r="M1037" t="str">
            <v>VN4HC001036</v>
          </cell>
          <cell r="N1037" t="str">
            <v>OTORINOLARINGOLOGI</v>
          </cell>
          <cell r="O1037" t="str">
            <v>Klinik Otorinolaringologi (ORL)</v>
          </cell>
          <cell r="P1037" t="str">
            <v>ABR</v>
          </cell>
          <cell r="Q1037">
            <v>1380</v>
          </cell>
        </row>
        <row r="1038">
          <cell r="E1038" t="str">
            <v>KKM/JKN/HSA/10-05-01/H/15/5258</v>
          </cell>
          <cell r="F1038" t="str">
            <v xml:space="preserve">Diagnostic </v>
          </cell>
          <cell r="G1038" t="str">
            <v>Intermediate</v>
          </cell>
          <cell r="H1038" t="str">
            <v>Analyzers, Physiologic, Middle Ear</v>
          </cell>
          <cell r="I1038" t="str">
            <v>VIDEO NYSTAGMOGRAPHY</v>
          </cell>
          <cell r="J1038" t="str">
            <v>15-634</v>
          </cell>
          <cell r="K1038" t="str">
            <v>SYNAPSYS</v>
          </cell>
          <cell r="L1038" t="str">
            <v>VNG ULMER</v>
          </cell>
          <cell r="M1038">
            <v>228</v>
          </cell>
          <cell r="N1038" t="str">
            <v>OTORINOLARINGOLOGI</v>
          </cell>
          <cell r="O1038" t="str">
            <v>Klinik Otorinolaringologi (ORL)</v>
          </cell>
          <cell r="P1038" t="str">
            <v>HM</v>
          </cell>
          <cell r="Q1038">
            <v>246399.99999999997</v>
          </cell>
        </row>
        <row r="1039">
          <cell r="E1039" t="str">
            <v>KKM/JKN/HSA/10-05-01/H/15/5251</v>
          </cell>
          <cell r="F1039" t="str">
            <v xml:space="preserve">Diagnostic </v>
          </cell>
          <cell r="G1039" t="str">
            <v>Intermediate</v>
          </cell>
          <cell r="H1039" t="str">
            <v>Analyzers, Physiologic, Middle Ear, Impedance Tympanometry</v>
          </cell>
          <cell r="I1039" t="str">
            <v>TYMPANOMETER SCREENING</v>
          </cell>
          <cell r="J1039" t="str">
            <v>18-783</v>
          </cell>
          <cell r="K1039" t="str">
            <v>TITAN</v>
          </cell>
          <cell r="L1039" t="str">
            <v>IMP440 DIAGNOSTIC WITH HF PROBE TONES</v>
          </cell>
          <cell r="M1039">
            <v>98956</v>
          </cell>
          <cell r="N1039" t="str">
            <v>OTORINOLARINGOLOGI</v>
          </cell>
          <cell r="O1039" t="str">
            <v>Klinik Otorinolaringologi (ORL)</v>
          </cell>
          <cell r="P1039" t="str">
            <v>HM</v>
          </cell>
          <cell r="Q1039">
            <v>19712</v>
          </cell>
        </row>
        <row r="1040">
          <cell r="E1040" t="str">
            <v>KKM/JKN/HSA/10-05-01/H/15/880</v>
          </cell>
          <cell r="F1040" t="str">
            <v>Diagnostic</v>
          </cell>
          <cell r="G1040" t="str">
            <v>Basic</v>
          </cell>
          <cell r="H1040" t="str">
            <v>Electromyographs</v>
          </cell>
          <cell r="I1040" t="str">
            <v>SURFACE ELECTRO MIOGRAPH 'sEMG' - DYSPAGIA</v>
          </cell>
          <cell r="J1040" t="str">
            <v xml:space="preserve">
11-474</v>
          </cell>
          <cell r="K1040" t="str">
            <v>GYMNA UNIPHY</v>
          </cell>
          <cell r="L1040" t="str">
            <v>MYO 420/COMPUTER</v>
          </cell>
          <cell r="M1040"/>
          <cell r="N1040" t="str">
            <v>OTORINOLARINGOLOGI</v>
          </cell>
          <cell r="O1040" t="str">
            <v>Klinik Otorinolaringologi (ORL)</v>
          </cell>
          <cell r="P1040" t="str">
            <v>HM</v>
          </cell>
          <cell r="Q1040">
            <v>18204</v>
          </cell>
        </row>
        <row r="1041">
          <cell r="E1041" t="str">
            <v>KKM/JKN/HSA/10-05-01/H/15/1094</v>
          </cell>
          <cell r="F1041" t="str">
            <v>Therapeutic</v>
          </cell>
          <cell r="G1041" t="str">
            <v>Basic</v>
          </cell>
          <cell r="H1041" t="str">
            <v>Aspirators, Surgical</v>
          </cell>
          <cell r="I1041" t="str">
            <v>SUCTION UNIT FOR FLEXIBLE SCOPES</v>
          </cell>
          <cell r="J1041" t="str">
            <v xml:space="preserve">
10-217</v>
          </cell>
          <cell r="K1041" t="str">
            <v>OLYMPUS</v>
          </cell>
          <cell r="L1041" t="str">
            <v>SSU-2</v>
          </cell>
          <cell r="M1041"/>
          <cell r="N1041" t="str">
            <v>OTORINOLARINGOLOGI</v>
          </cell>
          <cell r="O1041" t="str">
            <v>Klinik Otorinolaringologi (ORL)</v>
          </cell>
          <cell r="P1041" t="str">
            <v>HM</v>
          </cell>
          <cell r="Q1041">
            <v>2430</v>
          </cell>
        </row>
        <row r="1042">
          <cell r="E1042" t="str">
            <v>KKM/JKN/HSA/10-05-01/R/15/7143</v>
          </cell>
          <cell r="F1042" t="str">
            <v xml:space="preserve">Diagnostic </v>
          </cell>
          <cell r="G1042" t="str">
            <v>Intermediate</v>
          </cell>
          <cell r="H1042" t="str">
            <v>Monitors, Physiologic, Vital Signs</v>
          </cell>
          <cell r="I1042" t="str">
            <v>SPHYGMOMANOMETER DIGITAL BATTERY OP</v>
          </cell>
          <cell r="J1042" t="str">
            <v>25-209</v>
          </cell>
          <cell r="K1042" t="str">
            <v>WELCH ALLYN</v>
          </cell>
          <cell r="L1042" t="str">
            <v>VSM 300</v>
          </cell>
          <cell r="M1042" t="str">
            <v>JA123418</v>
          </cell>
          <cell r="N1042" t="str">
            <v>OTORINOLARINGOLOGI</v>
          </cell>
          <cell r="O1042" t="str">
            <v>Klinik Otorinolaringologi (ORL)</v>
          </cell>
          <cell r="P1042" t="str">
            <v>ABR</v>
          </cell>
          <cell r="Q1042">
            <v>1855</v>
          </cell>
        </row>
        <row r="1043">
          <cell r="E1043" t="str">
            <v>KKM/JKN/HSA/10-05-01/R/15/16744</v>
          </cell>
          <cell r="F1043" t="str">
            <v xml:space="preserve">Diagnostic </v>
          </cell>
          <cell r="G1043" t="str">
            <v>Intermediate</v>
          </cell>
          <cell r="H1043" t="str">
            <v>Monitors, Physiologic, Vital Signs</v>
          </cell>
          <cell r="I1043" t="str">
            <v>SPHYGMOMANOMETER DIGITAL BATTERY OP</v>
          </cell>
          <cell r="J1043" t="str">
            <v>25-209</v>
          </cell>
          <cell r="K1043" t="str">
            <v>WELCH ALLYN</v>
          </cell>
          <cell r="L1043" t="str">
            <v>VSM 300</v>
          </cell>
          <cell r="M1043">
            <v>100523872814</v>
          </cell>
          <cell r="N1043" t="str">
            <v>OTORINOLARINGOLOGI</v>
          </cell>
          <cell r="O1043" t="str">
            <v>Klinik Otorinolaringologi (ORL)</v>
          </cell>
          <cell r="P1043" t="str">
            <v>ABR</v>
          </cell>
          <cell r="Q1043">
            <v>1855</v>
          </cell>
        </row>
        <row r="1044">
          <cell r="E1044" t="str">
            <v>KKM/JKN/HSA/10-05-01/R/15/10322</v>
          </cell>
          <cell r="F1044" t="str">
            <v xml:space="preserve">Diagnostic </v>
          </cell>
          <cell r="G1044" t="str">
            <v>Basic</v>
          </cell>
          <cell r="H1044" t="str">
            <v>Ophthalmoscopes/Otoscopes</v>
          </cell>
          <cell r="I1044" t="str">
            <v>OTOSCOPE WITH RECHARGABLE HANDLE</v>
          </cell>
          <cell r="J1044" t="str">
            <v>18-595</v>
          </cell>
          <cell r="K1044" t="str">
            <v>RUDOLF RIESTER, GMBH</v>
          </cell>
          <cell r="L1044" t="str">
            <v>RI-SCOPE L 3714</v>
          </cell>
          <cell r="M1044"/>
          <cell r="N1044" t="str">
            <v>OTORINOLARINGOLOGI</v>
          </cell>
          <cell r="O1044" t="str">
            <v>Klinik Otorinolaringologi (ORL)</v>
          </cell>
          <cell r="P1044" t="str">
            <v>ABR</v>
          </cell>
          <cell r="Q1044">
            <v>913.26</v>
          </cell>
        </row>
        <row r="1045">
          <cell r="E1045" t="str">
            <v>KKM/JKN/HSA/10-05-01/R/15/10323</v>
          </cell>
          <cell r="F1045" t="str">
            <v xml:space="preserve">Diagnostic </v>
          </cell>
          <cell r="G1045" t="str">
            <v>Basic</v>
          </cell>
          <cell r="H1045" t="str">
            <v>Ophthalmoscopes/Otoscopes</v>
          </cell>
          <cell r="I1045" t="str">
            <v>OTOSCOPE WITH RECHARGABLE HANDLE</v>
          </cell>
          <cell r="J1045" t="str">
            <v>18-595</v>
          </cell>
          <cell r="K1045" t="str">
            <v>RUDOLF RIESTER, GMBH</v>
          </cell>
          <cell r="L1045" t="str">
            <v>RI-SCOPE L 3714</v>
          </cell>
          <cell r="M1045"/>
          <cell r="N1045" t="str">
            <v>OTORINOLARINGOLOGI</v>
          </cell>
          <cell r="O1045" t="str">
            <v>Klinik Otorinolaringologi (ORL)</v>
          </cell>
          <cell r="P1045" t="str">
            <v>ABR</v>
          </cell>
          <cell r="Q1045">
            <v>913.26</v>
          </cell>
        </row>
        <row r="1046">
          <cell r="E1046" t="str">
            <v>KKM/JKN/HSA/10-05-01/R/15/10316</v>
          </cell>
          <cell r="F1046" t="str">
            <v xml:space="preserve">Diagnostic </v>
          </cell>
          <cell r="G1046" t="str">
            <v>Basic</v>
          </cell>
          <cell r="H1046" t="str">
            <v>Ophthalmoscopes/Otoscopes</v>
          </cell>
          <cell r="I1046" t="str">
            <v>OTOSCOPE WALL MOUNTED</v>
          </cell>
          <cell r="J1046" t="str">
            <v>18-595</v>
          </cell>
          <cell r="K1046" t="str">
            <v>RUDOLF RIESTER, GMBH</v>
          </cell>
          <cell r="L1046" t="str">
            <v>RI FORMER WALL MODEL</v>
          </cell>
          <cell r="M1046"/>
          <cell r="N1046" t="str">
            <v>OTORINOLARINGOLOGI</v>
          </cell>
          <cell r="O1046" t="str">
            <v>Klinik Otorinolaringologi (ORL)</v>
          </cell>
          <cell r="P1046" t="str">
            <v>ABR</v>
          </cell>
          <cell r="Q1046">
            <v>1835.93</v>
          </cell>
        </row>
        <row r="1047">
          <cell r="E1047" t="str">
            <v>KKM/JKN/HSA/10-05-01/R/15/10317</v>
          </cell>
          <cell r="F1047" t="str">
            <v xml:space="preserve">Diagnostic </v>
          </cell>
          <cell r="G1047" t="str">
            <v>Basic</v>
          </cell>
          <cell r="H1047" t="str">
            <v>Ophthalmoscopes/Otoscopes</v>
          </cell>
          <cell r="I1047" t="str">
            <v>OTOSCOPE WALL MOUNTED</v>
          </cell>
          <cell r="J1047" t="str">
            <v>18-595</v>
          </cell>
          <cell r="K1047" t="str">
            <v>RUDOLF RIESTER, GMBH</v>
          </cell>
          <cell r="L1047" t="str">
            <v>RI FORMER WALL MODEL</v>
          </cell>
          <cell r="M1047"/>
          <cell r="N1047" t="str">
            <v>OTORINOLARINGOLOGI</v>
          </cell>
          <cell r="O1047" t="str">
            <v>Klinik Otorinolaringologi (ORL)</v>
          </cell>
          <cell r="P1047" t="str">
            <v>ABR</v>
          </cell>
          <cell r="Q1047">
            <v>1835.93</v>
          </cell>
        </row>
        <row r="1048">
          <cell r="E1048" t="str">
            <v>KKM/JKN/HSA/10-05-01/R/15/10319</v>
          </cell>
          <cell r="F1048" t="str">
            <v xml:space="preserve">Diagnostic </v>
          </cell>
          <cell r="G1048" t="str">
            <v>Basic</v>
          </cell>
          <cell r="H1048" t="str">
            <v>Ophthalmoscopes/Otoscopes</v>
          </cell>
          <cell r="I1048" t="str">
            <v>OTOSCOPE WALL MOUNTED</v>
          </cell>
          <cell r="J1048" t="str">
            <v>18-595</v>
          </cell>
          <cell r="K1048" t="str">
            <v>RUDOLF RIESTER, GMBH</v>
          </cell>
          <cell r="L1048" t="str">
            <v>RI FORMER WALL MODEL</v>
          </cell>
          <cell r="M1048"/>
          <cell r="N1048" t="str">
            <v>OTORINOLARINGOLOGI</v>
          </cell>
          <cell r="O1048" t="str">
            <v>Klinik Otorinolaringologi (ORL)</v>
          </cell>
          <cell r="P1048" t="str">
            <v>ABR</v>
          </cell>
          <cell r="Q1048">
            <v>1835.93</v>
          </cell>
        </row>
        <row r="1049">
          <cell r="E1049" t="str">
            <v>KKM/JKN/HSA/10-05-01/R/15/10320</v>
          </cell>
          <cell r="F1049" t="str">
            <v xml:space="preserve">Diagnostic </v>
          </cell>
          <cell r="G1049" t="str">
            <v>Basic</v>
          </cell>
          <cell r="H1049" t="str">
            <v>Ophthalmoscopes/Otoscopes</v>
          </cell>
          <cell r="I1049" t="str">
            <v>OTOSCOPE WALL MOUNTED</v>
          </cell>
          <cell r="J1049" t="str">
            <v>18-595</v>
          </cell>
          <cell r="K1049" t="str">
            <v>RUDOLF RIESTER, GMBH</v>
          </cell>
          <cell r="L1049" t="str">
            <v>RI FORMER WALL MODEL</v>
          </cell>
          <cell r="M1049"/>
          <cell r="N1049" t="str">
            <v>OTORINOLARINGOLOGI</v>
          </cell>
          <cell r="O1049" t="str">
            <v>Klinik Otorinolaringologi (ORL)</v>
          </cell>
          <cell r="P1049" t="str">
            <v>ABR</v>
          </cell>
          <cell r="Q1049">
            <v>1835.93</v>
          </cell>
        </row>
        <row r="1050">
          <cell r="E1050" t="str">
            <v>KKM/JKN/HSA/10-05-01/R/15/10321</v>
          </cell>
          <cell r="F1050" t="str">
            <v xml:space="preserve">Diagnostic </v>
          </cell>
          <cell r="G1050" t="str">
            <v>Basic</v>
          </cell>
          <cell r="H1050" t="str">
            <v>Ophthalmoscopes/Otoscopes</v>
          </cell>
          <cell r="I1050" t="str">
            <v>OTOSCOPE WALL MOUNTED</v>
          </cell>
          <cell r="J1050" t="str">
            <v>18-595</v>
          </cell>
          <cell r="K1050" t="str">
            <v>RUDOLF RIESTER, GMBH</v>
          </cell>
          <cell r="L1050" t="str">
            <v>RI FORMER WALL MODEL</v>
          </cell>
          <cell r="M1050"/>
          <cell r="N1050" t="str">
            <v>OTORINOLARINGOLOGI</v>
          </cell>
          <cell r="O1050" t="str">
            <v>Klinik Otorinolaringologi (ORL)</v>
          </cell>
          <cell r="P1050" t="str">
            <v>ABR</v>
          </cell>
          <cell r="Q1050">
            <v>1835.93</v>
          </cell>
        </row>
        <row r="1051">
          <cell r="E1051" t="str">
            <v>KKM/JKN/HSA/10-05-01/H/15/1012</v>
          </cell>
          <cell r="F1051" t="str">
            <v xml:space="preserve">Diagnostic </v>
          </cell>
          <cell r="G1051" t="str">
            <v>Intermediate</v>
          </cell>
          <cell r="H1051" t="str">
            <v>Nasopharyngoscopes</v>
          </cell>
          <cell r="I1051" t="str">
            <v>NASOPHARYNGOSCOPE FIBEROPTIC</v>
          </cell>
          <cell r="J1051" t="str">
            <v>12-709</v>
          </cell>
          <cell r="K1051" t="str">
            <v>OLYMPUS</v>
          </cell>
          <cell r="L1051" t="str">
            <v>ENF-T3</v>
          </cell>
          <cell r="M1051" t="str">
            <v>2425320</v>
          </cell>
          <cell r="N1051" t="str">
            <v>OTORINOLARINGOLOGI</v>
          </cell>
          <cell r="O1051" t="str">
            <v>Klinik Otorinolaringologi (ORL)</v>
          </cell>
          <cell r="P1051" t="str">
            <v>HM</v>
          </cell>
          <cell r="Q1051">
            <v>32850</v>
          </cell>
        </row>
        <row r="1052">
          <cell r="E1052"/>
          <cell r="F1052" t="str">
            <v xml:space="preserve">Diagnostic </v>
          </cell>
          <cell r="G1052" t="str">
            <v>Intermediate</v>
          </cell>
          <cell r="H1052" t="str">
            <v>Nasopharyngoscopes</v>
          </cell>
          <cell r="I1052" t="str">
            <v>NASOPHARYNGOSCOPE FIBEROPTIC</v>
          </cell>
          <cell r="J1052" t="str">
            <v>12-709</v>
          </cell>
          <cell r="K1052" t="str">
            <v>OLYMPUS</v>
          </cell>
          <cell r="L1052" t="str">
            <v>ENF-T3</v>
          </cell>
          <cell r="M1052"/>
          <cell r="N1052" t="str">
            <v>OTORINOLARINGOLOGI</v>
          </cell>
          <cell r="O1052" t="str">
            <v>Klinik Otorinolaringologi (ORL)</v>
          </cell>
          <cell r="P1052" t="str">
            <v>HM</v>
          </cell>
          <cell r="Q1052">
            <v>26000</v>
          </cell>
        </row>
        <row r="1053">
          <cell r="E1053"/>
          <cell r="F1053" t="str">
            <v xml:space="preserve">Diagnostic </v>
          </cell>
          <cell r="G1053" t="str">
            <v>Intermediate</v>
          </cell>
          <cell r="H1053" t="str">
            <v>Nasopharyngoscopes</v>
          </cell>
          <cell r="I1053" t="str">
            <v>NASOPHARYNGOSCOPE FIBEROPTIC</v>
          </cell>
          <cell r="J1053" t="str">
            <v>12-709</v>
          </cell>
          <cell r="K1053" t="str">
            <v>OLYMPUS</v>
          </cell>
          <cell r="L1053" t="str">
            <v>ENF-T3</v>
          </cell>
          <cell r="M1053"/>
          <cell r="N1053" t="str">
            <v>OTORINOLARINGOLOGI</v>
          </cell>
          <cell r="O1053" t="str">
            <v>Klinik Otorinolaringologi (ORL)</v>
          </cell>
          <cell r="P1053" t="str">
            <v>HM</v>
          </cell>
          <cell r="Q1053">
            <v>26000</v>
          </cell>
        </row>
        <row r="1054">
          <cell r="E1054"/>
          <cell r="F1054" t="str">
            <v xml:space="preserve">Diagnostic </v>
          </cell>
          <cell r="G1054" t="str">
            <v>Intermediate</v>
          </cell>
          <cell r="H1054" t="str">
            <v>Television Systems</v>
          </cell>
          <cell r="I1054" t="str">
            <v>MONITOR 20"</v>
          </cell>
          <cell r="J1054" t="str">
            <v>16-603</v>
          </cell>
          <cell r="K1054" t="str">
            <v>SONY</v>
          </cell>
          <cell r="L1054" t="str">
            <v>LMD-2110MD</v>
          </cell>
          <cell r="M1054">
            <v>3203920</v>
          </cell>
          <cell r="N1054" t="str">
            <v>OTORINOLARINGOLOGI</v>
          </cell>
          <cell r="O1054" t="str">
            <v>Klinik Otorinolaringologi (ORL)</v>
          </cell>
          <cell r="P1054" t="str">
            <v>HM</v>
          </cell>
          <cell r="Q1054">
            <v>3080</v>
          </cell>
        </row>
        <row r="1055">
          <cell r="E1055" t="str">
            <v>KKM/JKN/HSA/10-05-01/H/15/2740</v>
          </cell>
          <cell r="F1055" t="str">
            <v xml:space="preserve">Diagnostic </v>
          </cell>
          <cell r="G1055" t="str">
            <v>Intermediate</v>
          </cell>
          <cell r="H1055" t="str">
            <v>Microscopes, Light, Operating</v>
          </cell>
          <cell r="I1055" t="str">
            <v>MICROSCOPE DIAGNOSTIC, (ENT), MOBILE</v>
          </cell>
          <cell r="J1055" t="str">
            <v>12-539</v>
          </cell>
          <cell r="K1055" t="str">
            <v>MOLLER WEDEL</v>
          </cell>
          <cell r="L1055" t="str">
            <v>ALLEGRA50/FS1-12</v>
          </cell>
          <cell r="M1055"/>
          <cell r="N1055" t="str">
            <v>OTORINOLARINGOLOGI</v>
          </cell>
          <cell r="O1055" t="str">
            <v>Klinik Otorinolaringologi (ORL)</v>
          </cell>
          <cell r="P1055" t="str">
            <v>HM</v>
          </cell>
          <cell r="Q1055">
            <v>65000</v>
          </cell>
        </row>
        <row r="1056">
          <cell r="E1056" t="str">
            <v>KKM/JKN/HSA/10-05-01/H/15/2741</v>
          </cell>
          <cell r="F1056" t="str">
            <v xml:space="preserve">Diagnostic </v>
          </cell>
          <cell r="G1056" t="str">
            <v>Intermediate</v>
          </cell>
          <cell r="H1056" t="str">
            <v>Microscopes, Light, Operating</v>
          </cell>
          <cell r="I1056" t="str">
            <v>MICROSCOPE DIAGNOSTIC, (ENT), MOBILE</v>
          </cell>
          <cell r="J1056" t="str">
            <v>12-539</v>
          </cell>
          <cell r="K1056" t="str">
            <v>MOLLER WEDEL</v>
          </cell>
          <cell r="L1056" t="str">
            <v>ALLEGRA50/FS1-12</v>
          </cell>
          <cell r="M1056"/>
          <cell r="N1056" t="str">
            <v>OTORINOLARINGOLOGI</v>
          </cell>
          <cell r="O1056" t="str">
            <v>Klinik Otorinolaringologi (ORL)</v>
          </cell>
          <cell r="P1056" t="str">
            <v>HM</v>
          </cell>
          <cell r="Q1056">
            <v>65000</v>
          </cell>
        </row>
        <row r="1057">
          <cell r="E1057" t="str">
            <v>KKM/JKN/HSA/10-05-01/H/15/2742</v>
          </cell>
          <cell r="F1057" t="str">
            <v xml:space="preserve">Diagnostic </v>
          </cell>
          <cell r="G1057" t="str">
            <v>Intermediate</v>
          </cell>
          <cell r="H1057" t="str">
            <v>Microscopes, Light, Operating</v>
          </cell>
          <cell r="I1057" t="str">
            <v>MICROSCOPE DIAGNOSTIC, (ENT), MOBILE</v>
          </cell>
          <cell r="J1057" t="str">
            <v>12-539</v>
          </cell>
          <cell r="K1057" t="str">
            <v>MOLLER WEDEL</v>
          </cell>
          <cell r="L1057" t="str">
            <v>ALLEGRA50/FS1-12</v>
          </cell>
          <cell r="M1057" t="str">
            <v>SN-555</v>
          </cell>
          <cell r="N1057" t="str">
            <v>OTORINOLARINGOLOGI</v>
          </cell>
          <cell r="O1057" t="str">
            <v>Klinik Otorinolaringologi (ORL)</v>
          </cell>
          <cell r="P1057" t="str">
            <v>HM</v>
          </cell>
          <cell r="Q1057">
            <v>65000</v>
          </cell>
        </row>
        <row r="1058">
          <cell r="E1058" t="str">
            <v>KKM/JKN/HSA/10-05-01/H/2737</v>
          </cell>
          <cell r="F1058" t="str">
            <v xml:space="preserve">Diagnostic </v>
          </cell>
          <cell r="G1058" t="str">
            <v>Basic</v>
          </cell>
          <cell r="H1058" t="str">
            <v>Sound Level Meter</v>
          </cell>
          <cell r="I1058" t="str">
            <v>METER SOUND LEVEL (AUDIO METER)</v>
          </cell>
          <cell r="J1058" t="str">
            <v>88-038</v>
          </cell>
          <cell r="K1058">
            <v>2100</v>
          </cell>
          <cell r="L1058" t="str">
            <v>QUEST TECHNOLOGIES</v>
          </cell>
          <cell r="M1058"/>
          <cell r="N1058" t="str">
            <v>OTORINOLARINGOLOGI</v>
          </cell>
          <cell r="O1058" t="str">
            <v>Klinik Otorinolaringologi (ORL)</v>
          </cell>
          <cell r="P1058" t="str">
            <v>HM</v>
          </cell>
          <cell r="Q1058">
            <v>3250</v>
          </cell>
        </row>
        <row r="1059">
          <cell r="E1059" t="str">
            <v>KKM/JKN/HSA/10-05-01/H/15/5107</v>
          </cell>
          <cell r="F1059" t="str">
            <v>Therapeutic</v>
          </cell>
          <cell r="G1059" t="str">
            <v>Basic</v>
          </cell>
          <cell r="H1059" t="str">
            <v>Lights, Surgical</v>
          </cell>
          <cell r="I1059" t="str">
            <v>LAMP OPERATING MINOR</v>
          </cell>
          <cell r="J1059" t="str">
            <v>12-282</v>
          </cell>
          <cell r="K1059" t="str">
            <v>TRUMPF MEDIZIN</v>
          </cell>
          <cell r="L1059" t="str">
            <v>TRULIGHT 3300</v>
          </cell>
          <cell r="M1059" t="str">
            <v>102095253</v>
          </cell>
          <cell r="N1059" t="str">
            <v>OTORINOLARINGOLOGI</v>
          </cell>
          <cell r="O1059" t="str">
            <v>Klinik Otorinolaringologi (ORL)</v>
          </cell>
          <cell r="P1059" t="str">
            <v>HM</v>
          </cell>
          <cell r="Q1059">
            <v>30000</v>
          </cell>
        </row>
        <row r="1060">
          <cell r="E1060" t="str">
            <v>KKM/JKN/HSA/10-05-01/H/15/5261</v>
          </cell>
          <cell r="F1060" t="str">
            <v>Diagnostic</v>
          </cell>
          <cell r="G1060" t="str">
            <v>Basic</v>
          </cell>
          <cell r="H1060" t="str">
            <v>Recorders, Graphic, Evoked P0tential, Auditory</v>
          </cell>
          <cell r="I1060" t="str">
            <v>HEARING AID PRESCRIBER SYSTEM</v>
          </cell>
          <cell r="J1060" t="str">
            <v xml:space="preserve">
16-303</v>
          </cell>
          <cell r="K1060" t="str">
            <v>INTERACOUSTICS</v>
          </cell>
          <cell r="L1060" t="str">
            <v>AFFINITY</v>
          </cell>
          <cell r="M1060" t="str">
            <v>0923357</v>
          </cell>
          <cell r="N1060" t="str">
            <v>OTORINOLARINGOLOGI</v>
          </cell>
          <cell r="O1060" t="str">
            <v>Klinik Otorinolaringologi (ORL)</v>
          </cell>
          <cell r="P1060" t="str">
            <v>HM</v>
          </cell>
          <cell r="Q1060">
            <v>38493</v>
          </cell>
        </row>
        <row r="1061">
          <cell r="E1061" t="str">
            <v>KKM/JKN/HSA/10-05-01/H/15/2480</v>
          </cell>
          <cell r="F1061" t="str">
            <v xml:space="preserve">Diagnostic </v>
          </cell>
          <cell r="G1061" t="str">
            <v>Basic</v>
          </cell>
          <cell r="H1061" t="str">
            <v>Light Sources, Fiberoptic</v>
          </cell>
          <cell r="I1061" t="str">
            <v>HEADLAMP FIBEROPTIC W/XENON LIGHT SOURCE</v>
          </cell>
          <cell r="J1061" t="str">
            <v>12-345</v>
          </cell>
          <cell r="K1061" t="str">
            <v>HEINE</v>
          </cell>
          <cell r="L1061" t="str">
            <v>MD1000-J-003.31.231</v>
          </cell>
          <cell r="M1061"/>
          <cell r="N1061" t="str">
            <v>OTORINOLARINGOLOGI</v>
          </cell>
          <cell r="O1061" t="str">
            <v>Klinik Otorinolaringologi (ORL)</v>
          </cell>
          <cell r="P1061" t="str">
            <v>HM</v>
          </cell>
          <cell r="Q1061">
            <v>14000</v>
          </cell>
        </row>
        <row r="1062">
          <cell r="E1062" t="str">
            <v>KKM/JKN/HSA/10-05-01/H/15/2481</v>
          </cell>
          <cell r="F1062" t="str">
            <v xml:space="preserve">Diagnostic </v>
          </cell>
          <cell r="G1062" t="str">
            <v>Basic</v>
          </cell>
          <cell r="H1062" t="str">
            <v>Light Sources, Fiberoptic</v>
          </cell>
          <cell r="I1062" t="str">
            <v>HEADLAMP FIBEROPTIC W/XENON LIGHT SOURCE</v>
          </cell>
          <cell r="J1062" t="str">
            <v>12-345</v>
          </cell>
          <cell r="K1062" t="str">
            <v>HEINE</v>
          </cell>
          <cell r="L1062" t="str">
            <v>MD1000-J-003.31.231</v>
          </cell>
          <cell r="M1062"/>
          <cell r="N1062" t="str">
            <v>OTORINOLARINGOLOGI</v>
          </cell>
          <cell r="O1062" t="str">
            <v>Klinik Otorinolaringologi (ORL)</v>
          </cell>
          <cell r="P1062" t="str">
            <v>HM</v>
          </cell>
          <cell r="Q1062">
            <v>14000</v>
          </cell>
        </row>
        <row r="1063">
          <cell r="E1063" t="str">
            <v>KKM/JKN/HSA/10-05-01/H/15/2476</v>
          </cell>
          <cell r="F1063" t="str">
            <v xml:space="preserve">Diagnostic </v>
          </cell>
          <cell r="G1063" t="str">
            <v>Basic</v>
          </cell>
          <cell r="H1063" t="str">
            <v>Light Sources, Fiberoptic</v>
          </cell>
          <cell r="I1063" t="str">
            <v>HEADLAMP FIBEROPTIC</v>
          </cell>
          <cell r="J1063" t="str">
            <v>12-345</v>
          </cell>
          <cell r="K1063" t="str">
            <v>HEINE</v>
          </cell>
          <cell r="L1063" t="str">
            <v>3S LED J-008.31.316</v>
          </cell>
          <cell r="M1063"/>
          <cell r="N1063" t="str">
            <v>OTORINOLARINGOLOGI</v>
          </cell>
          <cell r="O1063" t="str">
            <v>Klinik Otorinolaringologi (ORL)</v>
          </cell>
          <cell r="P1063" t="str">
            <v>HM</v>
          </cell>
          <cell r="Q1063">
            <v>6500</v>
          </cell>
        </row>
        <row r="1064">
          <cell r="E1064" t="str">
            <v>KKM/JKN/HSA/10-05-01/H/15/2477</v>
          </cell>
          <cell r="F1064" t="str">
            <v xml:space="preserve">Diagnostic </v>
          </cell>
          <cell r="G1064" t="str">
            <v>Basic</v>
          </cell>
          <cell r="H1064" t="str">
            <v>Light Sources, Fiberoptic</v>
          </cell>
          <cell r="I1064" t="str">
            <v>HEADLAMP FIBEROPTIC</v>
          </cell>
          <cell r="J1064" t="str">
            <v>12-345</v>
          </cell>
          <cell r="K1064" t="str">
            <v>HEINE</v>
          </cell>
          <cell r="L1064" t="str">
            <v>3S LED J-008.31.316</v>
          </cell>
          <cell r="M1064"/>
          <cell r="N1064" t="str">
            <v>OTORINOLARINGOLOGI</v>
          </cell>
          <cell r="O1064" t="str">
            <v>Klinik Otorinolaringologi (ORL)</v>
          </cell>
          <cell r="P1064" t="str">
            <v>HM</v>
          </cell>
          <cell r="Q1064">
            <v>6500</v>
          </cell>
        </row>
        <row r="1065">
          <cell r="E1065" t="str">
            <v>KKM/JKN/HSA/10-05-01/H/15/2478</v>
          </cell>
          <cell r="F1065" t="str">
            <v xml:space="preserve">Diagnostic </v>
          </cell>
          <cell r="G1065" t="str">
            <v>Basic</v>
          </cell>
          <cell r="H1065" t="str">
            <v>Light Sources, Fiberoptic</v>
          </cell>
          <cell r="I1065" t="str">
            <v>HEADLAMP FIBEROPTIC</v>
          </cell>
          <cell r="J1065" t="str">
            <v>12-345</v>
          </cell>
          <cell r="K1065" t="str">
            <v>HEINE</v>
          </cell>
          <cell r="L1065" t="str">
            <v>3S LED J-008.31.316</v>
          </cell>
          <cell r="M1065"/>
          <cell r="N1065" t="str">
            <v>OTORINOLARINGOLOGI</v>
          </cell>
          <cell r="O1065" t="str">
            <v>Klinik Otorinolaringologi (ORL)</v>
          </cell>
          <cell r="P1065" t="str">
            <v>HM</v>
          </cell>
          <cell r="Q1065">
            <v>6500</v>
          </cell>
        </row>
        <row r="1066">
          <cell r="E1066" t="str">
            <v>KKM/JKN/HSA/10-05-01/H/15/5029</v>
          </cell>
          <cell r="F1066" t="str">
            <v>Therapeutic</v>
          </cell>
          <cell r="G1066" t="str">
            <v>Intermediate</v>
          </cell>
          <cell r="H1066" t="str">
            <v>Ear/Nose/Throat Treatment Units</v>
          </cell>
          <cell r="I1066" t="str">
            <v>EXAM UNIT AIR/WATER/SUCTION/CAUTERY</v>
          </cell>
          <cell r="J1066" t="str">
            <v>11-585</v>
          </cell>
          <cell r="K1066" t="str">
            <v>OTOPRONT</v>
          </cell>
          <cell r="L1066" t="str">
            <v>BASIC PLUS</v>
          </cell>
          <cell r="M1066">
            <v>35345</v>
          </cell>
          <cell r="N1066" t="str">
            <v>OTORINOLARINGOLOGI</v>
          </cell>
          <cell r="O1066" t="str">
            <v>Klinik Otorinolaringologi (ORL)</v>
          </cell>
          <cell r="P1066" t="str">
            <v>HM</v>
          </cell>
          <cell r="Q1066">
            <v>125000</v>
          </cell>
        </row>
        <row r="1067">
          <cell r="E1067" t="str">
            <v>KKM/JKN/HSA/10-05-01/H/15/5030</v>
          </cell>
          <cell r="F1067" t="str">
            <v>Therapeutic</v>
          </cell>
          <cell r="G1067" t="str">
            <v>Intermediate</v>
          </cell>
          <cell r="H1067" t="str">
            <v>Ear/Nose/Throat Treatment Units</v>
          </cell>
          <cell r="I1067" t="str">
            <v>EXAM UNIT AIR/WATER/SUCTION/CAUTERY</v>
          </cell>
          <cell r="J1067" t="str">
            <v>11-585</v>
          </cell>
          <cell r="K1067" t="str">
            <v>OTOPRONT</v>
          </cell>
          <cell r="L1067" t="str">
            <v>BASIC PLUS</v>
          </cell>
          <cell r="M1067">
            <v>35354</v>
          </cell>
          <cell r="N1067" t="str">
            <v>OTORINOLARINGOLOGI</v>
          </cell>
          <cell r="O1067" t="str">
            <v>Klinik Otorinolaringologi (ORL)</v>
          </cell>
          <cell r="P1067" t="str">
            <v>HM</v>
          </cell>
          <cell r="Q1067">
            <v>125000</v>
          </cell>
        </row>
        <row r="1068">
          <cell r="E1068" t="str">
            <v>KKM/JKN/HSA/10-05-01/H/15/5031</v>
          </cell>
          <cell r="F1068" t="str">
            <v>Therapeutic</v>
          </cell>
          <cell r="G1068" t="str">
            <v>Intermediate</v>
          </cell>
          <cell r="H1068" t="str">
            <v>Ear/Nose/Throat Treatment Units</v>
          </cell>
          <cell r="I1068" t="str">
            <v>EXAM UNIT AIR/WATER/SUCTION/CAUTERY</v>
          </cell>
          <cell r="J1068" t="str">
            <v>11-585</v>
          </cell>
          <cell r="K1068" t="str">
            <v>OTOPRONT</v>
          </cell>
          <cell r="L1068" t="str">
            <v>BASIC PLUS</v>
          </cell>
          <cell r="M1068">
            <v>35351</v>
          </cell>
          <cell r="N1068" t="str">
            <v>OTORINOLARINGOLOGI</v>
          </cell>
          <cell r="O1068" t="str">
            <v>Klinik Otorinolaringologi (ORL)</v>
          </cell>
          <cell r="P1068" t="str">
            <v>HM</v>
          </cell>
          <cell r="Q1068">
            <v>125000</v>
          </cell>
        </row>
        <row r="1069">
          <cell r="E1069" t="str">
            <v>KKM/JKN/HSA/10-05-01/H/15/5032</v>
          </cell>
          <cell r="F1069" t="str">
            <v>Therapeutic</v>
          </cell>
          <cell r="G1069" t="str">
            <v>Intermediate</v>
          </cell>
          <cell r="H1069" t="str">
            <v>Ear/Nose/Throat Treatment Units</v>
          </cell>
          <cell r="I1069" t="str">
            <v>EXAM UNIT AIR/WATER/SUCTION/CAUTERY</v>
          </cell>
          <cell r="J1069" t="str">
            <v>11-585</v>
          </cell>
          <cell r="K1069" t="str">
            <v>OTOPRONT</v>
          </cell>
          <cell r="L1069" t="str">
            <v>BASIC PLUS</v>
          </cell>
          <cell r="M1069">
            <v>35357</v>
          </cell>
          <cell r="N1069" t="str">
            <v>OTORINOLARINGOLOGI</v>
          </cell>
          <cell r="O1069" t="str">
            <v>Klinik Otorinolaringologi (ORL)</v>
          </cell>
          <cell r="P1069" t="str">
            <v>HM</v>
          </cell>
          <cell r="Q1069">
            <v>125000</v>
          </cell>
        </row>
        <row r="1070">
          <cell r="E1070" t="str">
            <v>KKM/JKN/HSA/10-05-01/H/15/5033</v>
          </cell>
          <cell r="F1070" t="str">
            <v>Therapeutic</v>
          </cell>
          <cell r="G1070" t="str">
            <v>Intermediate</v>
          </cell>
          <cell r="H1070" t="str">
            <v>Ear/Nose/Throat Treatment Units</v>
          </cell>
          <cell r="I1070" t="str">
            <v>EXAM UNIT AIR/WATER/SUCTION/CAUTERY</v>
          </cell>
          <cell r="J1070" t="str">
            <v>11-585</v>
          </cell>
          <cell r="K1070" t="str">
            <v>OTOPRONT</v>
          </cell>
          <cell r="L1070" t="str">
            <v>BASIC PLUS</v>
          </cell>
          <cell r="M1070">
            <v>35348</v>
          </cell>
          <cell r="N1070" t="str">
            <v>OTORINOLARINGOLOGI</v>
          </cell>
          <cell r="O1070" t="str">
            <v>Klinik Otorinolaringologi (ORL)</v>
          </cell>
          <cell r="P1070" t="str">
            <v>HM</v>
          </cell>
          <cell r="Q1070">
            <v>125000</v>
          </cell>
        </row>
        <row r="1071">
          <cell r="E1071" t="str">
            <v>KKM/JKN/HSA/10-05-01/H/15/2736</v>
          </cell>
          <cell r="F1071" t="str">
            <v>Diagnostic</v>
          </cell>
          <cell r="G1071" t="str">
            <v>Basic</v>
          </cell>
          <cell r="H1071" t="str">
            <v>Recorders, Graphic, Evoked Potential, Auditory</v>
          </cell>
          <cell r="I1071" t="str">
            <v>EVOKED OTOACOUSTIC EMISSION SYSTEM</v>
          </cell>
          <cell r="J1071" t="str">
            <v xml:space="preserve">
16-303</v>
          </cell>
          <cell r="K1071" t="str">
            <v>INTERACOUSTICS</v>
          </cell>
          <cell r="L1071" t="str">
            <v>ECLIPSE DP &amp; TE</v>
          </cell>
          <cell r="M1071"/>
          <cell r="N1071" t="str">
            <v>OTORINOLARINGOLOGI</v>
          </cell>
          <cell r="O1071" t="str">
            <v>Klinik Otorinolaringologi (ORL)</v>
          </cell>
          <cell r="P1071" t="str">
            <v>HM</v>
          </cell>
          <cell r="Q1071">
            <v>50830</v>
          </cell>
        </row>
        <row r="1072">
          <cell r="E1072" t="str">
            <v>KKM/JKN/HSA/10-05-01/H/15/563</v>
          </cell>
          <cell r="F1072" t="str">
            <v>Therapeutic</v>
          </cell>
          <cell r="G1072" t="str">
            <v>Intermediate</v>
          </cell>
          <cell r="H1072" t="str">
            <v>Electrosurgical Units, Monopolar/Bipolar</v>
          </cell>
          <cell r="I1072" t="str">
            <v>DIATHERMY UNIT</v>
          </cell>
          <cell r="J1072" t="str">
            <v>18-231</v>
          </cell>
          <cell r="K1072" t="str">
            <v>OLYMPUS</v>
          </cell>
          <cell r="L1072" t="str">
            <v xml:space="preserve"> ESG-100</v>
          </cell>
          <cell r="M1072" t="str">
            <v>14287P500005</v>
          </cell>
          <cell r="N1072" t="str">
            <v>OTORINOLARINGOLOGI</v>
          </cell>
          <cell r="O1072" t="str">
            <v>Klinik Otorinolaringologi (ORL)</v>
          </cell>
          <cell r="P1072" t="str">
            <v>HM</v>
          </cell>
          <cell r="Q1072">
            <v>11160</v>
          </cell>
        </row>
        <row r="1073">
          <cell r="E1073"/>
          <cell r="F1073" t="str">
            <v xml:space="preserve">Diagnostic </v>
          </cell>
          <cell r="G1073" t="str">
            <v>Intermediate</v>
          </cell>
          <cell r="H1073" t="str">
            <v>Cameras, Video, Endoscope</v>
          </cell>
          <cell r="I1073" t="str">
            <v>CAMERA VIDEO</v>
          </cell>
          <cell r="J1073" t="str">
            <v>17-002</v>
          </cell>
          <cell r="K1073" t="str">
            <v>OLYMPUS</v>
          </cell>
          <cell r="L1073"/>
          <cell r="M1073"/>
          <cell r="N1073" t="str">
            <v>OTORINOLARINGOLOGI</v>
          </cell>
          <cell r="O1073" t="str">
            <v>Klinik Otorinolaringologi (ORL)</v>
          </cell>
          <cell r="P1073" t="str">
            <v>HM</v>
          </cell>
          <cell r="Q1073">
            <v>20328</v>
          </cell>
        </row>
        <row r="1074">
          <cell r="E1074" t="str">
            <v>KKM/JKN/HSA/10-05-01/H/15/463</v>
          </cell>
          <cell r="F1074" t="str">
            <v xml:space="preserve">Diagnostic </v>
          </cell>
          <cell r="G1074" t="str">
            <v>Intermediate</v>
          </cell>
          <cell r="H1074" t="str">
            <v>Bronchoscopes, Flexible, Video</v>
          </cell>
          <cell r="I1074" t="str">
            <v>BRONCHOFIBERSCOPE, ADULT</v>
          </cell>
          <cell r="J1074" t="str">
            <v>17-662</v>
          </cell>
          <cell r="K1074" t="str">
            <v>OLYMPUS</v>
          </cell>
          <cell r="L1074" t="str">
            <v>BF-P60</v>
          </cell>
          <cell r="M1074"/>
          <cell r="N1074" t="str">
            <v>OTORINOLARINGOLOGI</v>
          </cell>
          <cell r="O1074" t="str">
            <v>Klinik Otorinolaringologi (ORL)</v>
          </cell>
          <cell r="P1074" t="str">
            <v>HM</v>
          </cell>
          <cell r="Q1074">
            <v>25000</v>
          </cell>
        </row>
        <row r="1075">
          <cell r="E1075"/>
          <cell r="F1075" t="str">
            <v xml:space="preserve">Diagnostic </v>
          </cell>
          <cell r="G1075" t="str">
            <v>Intermediate</v>
          </cell>
          <cell r="H1075" t="str">
            <v>Audiometric Booths</v>
          </cell>
          <cell r="I1075" t="str">
            <v>BOOTH SOUND ATTENUATED</v>
          </cell>
          <cell r="J1075" t="str">
            <v>10-229</v>
          </cell>
          <cell r="K1075" t="str">
            <v>DOUBLE WALL INC</v>
          </cell>
          <cell r="L1075"/>
          <cell r="M1075"/>
          <cell r="N1075" t="str">
            <v>OTORINOLARINGOLOGI</v>
          </cell>
          <cell r="O1075" t="str">
            <v>Klinik Otorinolaringologi (ORL)</v>
          </cell>
          <cell r="P1075" t="str">
            <v>HM</v>
          </cell>
          <cell r="Q1075">
            <v>148645</v>
          </cell>
        </row>
        <row r="1076">
          <cell r="E1076"/>
          <cell r="F1076" t="str">
            <v xml:space="preserve">Diagnostic </v>
          </cell>
          <cell r="G1076" t="str">
            <v>Intermediate</v>
          </cell>
          <cell r="H1076" t="str">
            <v>Audiometric Booths</v>
          </cell>
          <cell r="I1076" t="str">
            <v>BOOTH SOUND ATTENUATED</v>
          </cell>
          <cell r="J1076" t="str">
            <v>10-229</v>
          </cell>
          <cell r="K1076" t="str">
            <v>DOUBLE WALL INC</v>
          </cell>
          <cell r="L1076"/>
          <cell r="M1076"/>
          <cell r="N1076" t="str">
            <v>OTORINOLARINGOLOGI</v>
          </cell>
          <cell r="O1076" t="str">
            <v>Klinik Otorinolaringologi (ORL)</v>
          </cell>
          <cell r="P1076" t="str">
            <v>HM</v>
          </cell>
          <cell r="Q1076">
            <v>148645</v>
          </cell>
        </row>
        <row r="1077">
          <cell r="E1077" t="str">
            <v>KKM/JKN/HSA/10-05-01/R/15/7147</v>
          </cell>
          <cell r="F1077" t="str">
            <v xml:space="preserve">Diagnostic </v>
          </cell>
          <cell r="G1077" t="str">
            <v>Intermediate</v>
          </cell>
          <cell r="H1077" t="str">
            <v>Monitors, Physiologic, Vital Signs</v>
          </cell>
          <cell r="I1077" t="str">
            <v>BLOOD PRESSURE MONITOR NON INVASIVE</v>
          </cell>
          <cell r="J1077" t="str">
            <v>25-209</v>
          </cell>
          <cell r="K1077" t="str">
            <v>WELCH ALLYN</v>
          </cell>
          <cell r="L1077" t="str">
            <v>VSM 300</v>
          </cell>
          <cell r="M1077" t="str">
            <v>JA123417</v>
          </cell>
          <cell r="N1077" t="str">
            <v>OTORINOLARINGOLOGI</v>
          </cell>
          <cell r="O1077" t="str">
            <v>Klinik Otorinolaringologi (ORL)</v>
          </cell>
          <cell r="P1077" t="str">
            <v>ABR</v>
          </cell>
          <cell r="Q1077">
            <v>1855</v>
          </cell>
        </row>
        <row r="1078">
          <cell r="E1078" t="str">
            <v>KKM/JKN/HSA/10-05-01/H/17/22</v>
          </cell>
          <cell r="F1078" t="str">
            <v xml:space="preserve">Diagnostic </v>
          </cell>
          <cell r="G1078" t="str">
            <v>Intermediate</v>
          </cell>
          <cell r="H1078" t="str">
            <v>Auditory Function Screening Devices</v>
          </cell>
          <cell r="I1078" t="str">
            <v>AUTOMATED AUDIOTORY BRAINSTEAM RESP0NSE C/W LAP TOP</v>
          </cell>
          <cell r="J1078" t="str">
            <v>17-601</v>
          </cell>
          <cell r="K1078" t="str">
            <v>MAICO</v>
          </cell>
          <cell r="L1078" t="str">
            <v>MB11 BERAPHONE</v>
          </cell>
          <cell r="M1078" t="str">
            <v> MA9019981</v>
          </cell>
          <cell r="N1078" t="str">
            <v>OTORINOLARINGOLOGI</v>
          </cell>
          <cell r="O1078" t="str">
            <v>Klinik Otorinolaringologi (ORL)</v>
          </cell>
          <cell r="P1078" t="str">
            <v>HM</v>
          </cell>
          <cell r="Q1078">
            <v>45000</v>
          </cell>
        </row>
        <row r="1079">
          <cell r="E1079" t="str">
            <v>KKM/JKN/HSA/10-05-01/H/15/2457</v>
          </cell>
          <cell r="F1079" t="str">
            <v>Diagnostic</v>
          </cell>
          <cell r="G1079" t="str">
            <v>Intermediate</v>
          </cell>
          <cell r="H1079" t="str">
            <v>Audiometers</v>
          </cell>
          <cell r="I1079" t="str">
            <v>AUDIOMETER DIAGNOSTIC</v>
          </cell>
          <cell r="J1079" t="str">
            <v>10-228</v>
          </cell>
          <cell r="K1079" t="str">
            <v>INTERACOUSTICS</v>
          </cell>
          <cell r="L1079" t="str">
            <v>AC40</v>
          </cell>
          <cell r="M1079" t="str">
            <v>0925841</v>
          </cell>
          <cell r="N1079" t="str">
            <v>OTORINOLARINGOLOGI</v>
          </cell>
          <cell r="O1079" t="str">
            <v>Klinik Otorinolaringologi (ORL)</v>
          </cell>
          <cell r="P1079" t="str">
            <v>HM</v>
          </cell>
          <cell r="Q1079">
            <v>43690</v>
          </cell>
        </row>
        <row r="1080">
          <cell r="E1080" t="str">
            <v>KKM/JKN/HSA/10-05-01/H/15/2458</v>
          </cell>
          <cell r="F1080" t="str">
            <v>Diagnostic</v>
          </cell>
          <cell r="G1080" t="str">
            <v>Intermediate</v>
          </cell>
          <cell r="H1080" t="str">
            <v>Audiometers</v>
          </cell>
          <cell r="I1080" t="str">
            <v>AUDIOMETER DIAGNOSTIC</v>
          </cell>
          <cell r="J1080" t="str">
            <v>10-228</v>
          </cell>
          <cell r="K1080" t="str">
            <v>INTERACOUSTICS</v>
          </cell>
          <cell r="L1080" t="str">
            <v>AC40</v>
          </cell>
          <cell r="M1080" t="str">
            <v>0933048</v>
          </cell>
          <cell r="N1080" t="str">
            <v>OTORINOLARINGOLOGI</v>
          </cell>
          <cell r="O1080" t="str">
            <v>Klinik Otorinolaringologi (ORL)</v>
          </cell>
          <cell r="P1080" t="str">
            <v>HM</v>
          </cell>
          <cell r="Q1080">
            <v>43690</v>
          </cell>
        </row>
        <row r="1081">
          <cell r="E1081" t="str">
            <v>KKM/JKN/HSA/10-05-01/H/15/1272</v>
          </cell>
          <cell r="F1081" t="str">
            <v>Therapeutic</v>
          </cell>
          <cell r="G1081" t="str">
            <v>Basic</v>
          </cell>
          <cell r="H1081" t="str">
            <v>Tables, Operating</v>
          </cell>
          <cell r="I1081" t="str">
            <v>TABLE APPLICATION PLASTER OF PARIS</v>
          </cell>
          <cell r="J1081" t="str">
            <v>13-961</v>
          </cell>
          <cell r="K1081" t="str">
            <v>TRUMPF</v>
          </cell>
          <cell r="L1081" t="str">
            <v>CALYPSO GT 454225</v>
          </cell>
          <cell r="M1081">
            <v>102094846</v>
          </cell>
          <cell r="N1081" t="str">
            <v>ORTHOPEDIK</v>
          </cell>
          <cell r="O1081" t="str">
            <v>Klinik Ortopedik</v>
          </cell>
          <cell r="P1081" t="str">
            <v>HM</v>
          </cell>
          <cell r="Q1081">
            <v>61557</v>
          </cell>
        </row>
        <row r="1082">
          <cell r="E1082" t="str">
            <v>KKM/JKN/HSA/10-05-01/H/15/1273</v>
          </cell>
          <cell r="F1082" t="str">
            <v>Therapeutic</v>
          </cell>
          <cell r="G1082" t="str">
            <v>Basic</v>
          </cell>
          <cell r="H1082" t="str">
            <v>Tables, Operating</v>
          </cell>
          <cell r="I1082" t="str">
            <v>TABLE APPLICATION PLASTER OF PARIS</v>
          </cell>
          <cell r="J1082" t="str">
            <v>13-961</v>
          </cell>
          <cell r="K1082" t="str">
            <v>TRUMPF</v>
          </cell>
          <cell r="L1082" t="str">
            <v>CALYPSO GT 454225</v>
          </cell>
          <cell r="M1082">
            <v>102094845</v>
          </cell>
          <cell r="N1082" t="str">
            <v>ORTHOPEDIK</v>
          </cell>
          <cell r="O1082" t="str">
            <v>Klinik Ortopedik</v>
          </cell>
          <cell r="P1082" t="str">
            <v>HM</v>
          </cell>
          <cell r="Q1082">
            <v>61557</v>
          </cell>
        </row>
        <row r="1083">
          <cell r="E1083" t="str">
            <v>KKM/JKN/HSA/10-05-01/H/15/1274</v>
          </cell>
          <cell r="F1083" t="str">
            <v>Therapeutic</v>
          </cell>
          <cell r="G1083" t="str">
            <v>Basic</v>
          </cell>
          <cell r="H1083" t="str">
            <v>Tables, Operating</v>
          </cell>
          <cell r="I1083" t="str">
            <v>TABLE APPLICATION PLASTER OF PARIS</v>
          </cell>
          <cell r="J1083" t="str">
            <v>13-961</v>
          </cell>
          <cell r="K1083" t="str">
            <v>TRUMPF</v>
          </cell>
          <cell r="L1083" t="str">
            <v>CALYPSO GT 454225</v>
          </cell>
          <cell r="M1083"/>
          <cell r="N1083" t="str">
            <v>ORTHOPEDIK</v>
          </cell>
          <cell r="O1083" t="str">
            <v>Klinik Ortopedik</v>
          </cell>
          <cell r="P1083" t="str">
            <v>HM</v>
          </cell>
          <cell r="Q1083">
            <v>61557</v>
          </cell>
        </row>
        <row r="1084">
          <cell r="E1084" t="str">
            <v>KKM/JKN/HSA/10-05-01/R/15/16763</v>
          </cell>
          <cell r="F1084" t="str">
            <v xml:space="preserve">Diagnostic </v>
          </cell>
          <cell r="G1084" t="str">
            <v>Intermediate</v>
          </cell>
          <cell r="H1084" t="str">
            <v>Monitors, Physiologic, Vital Signs</v>
          </cell>
          <cell r="I1084" t="str">
            <v>SPHYGMOMANOMETER DIGITAL BATTERY OP</v>
          </cell>
          <cell r="J1084" t="str">
            <v>25-209</v>
          </cell>
          <cell r="K1084" t="str">
            <v>WELCH ALLYN</v>
          </cell>
          <cell r="L1084" t="str">
            <v>VSM 300</v>
          </cell>
          <cell r="M1084">
            <v>100055232814</v>
          </cell>
          <cell r="N1084" t="str">
            <v>ORTHOPEDIK</v>
          </cell>
          <cell r="O1084" t="str">
            <v>Klinik Ortopedik</v>
          </cell>
          <cell r="P1084" t="str">
            <v>ABR</v>
          </cell>
          <cell r="Q1084">
            <v>1855</v>
          </cell>
        </row>
        <row r="1085">
          <cell r="E1085" t="str">
            <v>KKM/JKN/HSA/10-05-01/R/15/16764</v>
          </cell>
          <cell r="F1085" t="str">
            <v xml:space="preserve">Diagnostic </v>
          </cell>
          <cell r="G1085" t="str">
            <v>Intermediate</v>
          </cell>
          <cell r="H1085" t="str">
            <v>Monitors, Physiologic, Vital Signs</v>
          </cell>
          <cell r="I1085" t="str">
            <v>SPHYGMOMANOMETER DIGITAL BATTERY OP</v>
          </cell>
          <cell r="J1085" t="str">
            <v>25-209</v>
          </cell>
          <cell r="K1085" t="str">
            <v>WELCH ALLYN</v>
          </cell>
          <cell r="L1085" t="str">
            <v>VSM 300</v>
          </cell>
          <cell r="M1085">
            <v>100054902814</v>
          </cell>
          <cell r="N1085" t="str">
            <v>ORTHOPEDIK</v>
          </cell>
          <cell r="O1085" t="str">
            <v>Klinik Ortopedik</v>
          </cell>
          <cell r="P1085" t="str">
            <v>ABR</v>
          </cell>
          <cell r="Q1085">
            <v>1855</v>
          </cell>
        </row>
        <row r="1086">
          <cell r="E1086" t="str">
            <v>KKM/JKN/HSA/10-05-01/H/15/4255</v>
          </cell>
          <cell r="F1086" t="str">
            <v>Therapeutic</v>
          </cell>
          <cell r="G1086" t="str">
            <v>Basic</v>
          </cell>
          <cell r="H1086" t="str">
            <v>Cast Cutters, Electric</v>
          </cell>
          <cell r="I1086" t="str">
            <v>SAW PLASTER ELECTRIC C/W VACUUM</v>
          </cell>
          <cell r="J1086" t="str">
            <v>16-340</v>
          </cell>
          <cell r="K1086" t="str">
            <v>OSCIMED</v>
          </cell>
          <cell r="L1086" t="str">
            <v>OSCIMED PSV/SC 206-V90-UK</v>
          </cell>
          <cell r="M1086"/>
          <cell r="N1086" t="str">
            <v>ORTHOPEDIK</v>
          </cell>
          <cell r="O1086" t="str">
            <v>Klinik Ortopedik</v>
          </cell>
          <cell r="P1086" t="str">
            <v>HM</v>
          </cell>
          <cell r="Q1086">
            <v>11050</v>
          </cell>
        </row>
        <row r="1087">
          <cell r="E1087" t="str">
            <v>KKM/JKN/HSA/10-05-01/H/15/4256</v>
          </cell>
          <cell r="F1087" t="str">
            <v>Therapeutic</v>
          </cell>
          <cell r="G1087" t="str">
            <v>Basic</v>
          </cell>
          <cell r="H1087" t="str">
            <v>Cast Cutters, Electric</v>
          </cell>
          <cell r="I1087" t="str">
            <v>SAW PLASTER ELECTRIC C/W VACUUM</v>
          </cell>
          <cell r="J1087" t="str">
            <v>16-340</v>
          </cell>
          <cell r="K1087" t="str">
            <v>OSCIMED</v>
          </cell>
          <cell r="L1087" t="str">
            <v>OSCIMED PSV/SC 206-V90-UK</v>
          </cell>
          <cell r="M1087"/>
          <cell r="N1087" t="str">
            <v>ORTHOPEDIK</v>
          </cell>
          <cell r="O1087" t="str">
            <v>Klinik Ortopedik</v>
          </cell>
          <cell r="P1087" t="str">
            <v>HM</v>
          </cell>
          <cell r="Q1087">
            <v>11050</v>
          </cell>
        </row>
        <row r="1088">
          <cell r="E1088" t="str">
            <v>KKM/JKN/HSA/10-05-01/H/15/4257</v>
          </cell>
          <cell r="F1088" t="str">
            <v>Therapeutic</v>
          </cell>
          <cell r="G1088" t="str">
            <v>Basic</v>
          </cell>
          <cell r="H1088" t="str">
            <v>Cast Cutters, Electric</v>
          </cell>
          <cell r="I1088" t="str">
            <v>SAW PLASTER ELECTRIC C/W VACUUM</v>
          </cell>
          <cell r="J1088" t="str">
            <v>16-340</v>
          </cell>
          <cell r="K1088" t="str">
            <v>OSCIMED</v>
          </cell>
          <cell r="L1088" t="str">
            <v>OSCIMED PSV/SC 206-V90-UK</v>
          </cell>
          <cell r="M1088"/>
          <cell r="N1088" t="str">
            <v>ORTHOPEDIK</v>
          </cell>
          <cell r="O1088" t="str">
            <v>Klinik Ortopedik</v>
          </cell>
          <cell r="P1088" t="str">
            <v>HM</v>
          </cell>
          <cell r="Q1088">
            <v>11050</v>
          </cell>
        </row>
        <row r="1089">
          <cell r="E1089"/>
          <cell r="F1089" t="str">
            <v>Therapeutic</v>
          </cell>
          <cell r="G1089" t="str">
            <v>Basic</v>
          </cell>
          <cell r="H1089" t="str">
            <v>Hand drills, surgical</v>
          </cell>
          <cell r="I1089" t="str">
            <v>Ortho drill</v>
          </cell>
          <cell r="J1089" t="str">
            <v>17-954</v>
          </cell>
          <cell r="K1089" t="str">
            <v>Asculap</v>
          </cell>
          <cell r="L1089" t="str">
            <v>Acculan</v>
          </cell>
          <cell r="M1089"/>
          <cell r="N1089" t="str">
            <v>ORTHOPEDIK</v>
          </cell>
          <cell r="O1089" t="str">
            <v>Klinik Ortopedik</v>
          </cell>
          <cell r="P1089" t="str">
            <v>HM</v>
          </cell>
          <cell r="Q1089">
            <v>89500</v>
          </cell>
        </row>
        <row r="1090">
          <cell r="E1090"/>
          <cell r="F1090" t="str">
            <v>Therapeutic</v>
          </cell>
          <cell r="G1090" t="str">
            <v>Basic</v>
          </cell>
          <cell r="H1090" t="str">
            <v>Hand drills, surgical</v>
          </cell>
          <cell r="I1090" t="str">
            <v>Ortho drill</v>
          </cell>
          <cell r="J1090" t="str">
            <v>17-954</v>
          </cell>
          <cell r="K1090" t="str">
            <v>Asculap</v>
          </cell>
          <cell r="L1090" t="str">
            <v>Aculan</v>
          </cell>
          <cell r="M1090"/>
          <cell r="N1090" t="str">
            <v>ORTHOPEDIK</v>
          </cell>
          <cell r="O1090" t="str">
            <v>Klinik Ortopedik</v>
          </cell>
          <cell r="P1090" t="str">
            <v>HM</v>
          </cell>
          <cell r="Q1090">
            <v>89500</v>
          </cell>
        </row>
        <row r="1091">
          <cell r="E1091"/>
          <cell r="F1091" t="str">
            <v>Therapeutic</v>
          </cell>
          <cell r="G1091" t="str">
            <v>Basic</v>
          </cell>
          <cell r="H1091" t="str">
            <v>Hand drills, surgical</v>
          </cell>
          <cell r="I1091" t="str">
            <v>Ortho drill</v>
          </cell>
          <cell r="J1091" t="str">
            <v>17-954</v>
          </cell>
          <cell r="K1091" t="str">
            <v>Asculap</v>
          </cell>
          <cell r="L1091" t="str">
            <v>Aculan</v>
          </cell>
          <cell r="M1091"/>
          <cell r="N1091" t="str">
            <v>ORTHOPEDIK</v>
          </cell>
          <cell r="O1091" t="str">
            <v>Klinik Ortopedik</v>
          </cell>
          <cell r="P1091" t="str">
            <v>HM</v>
          </cell>
          <cell r="Q1091">
            <v>89500</v>
          </cell>
        </row>
        <row r="1092">
          <cell r="E1092" t="str">
            <v>KKM/JKN/HSA/10-05-01/R/15/16150</v>
          </cell>
          <cell r="F1092" t="str">
            <v>Therapeutic</v>
          </cell>
          <cell r="G1092" t="str">
            <v>Basic</v>
          </cell>
          <cell r="H1092" t="str">
            <v>Nebulizers, Heated</v>
          </cell>
          <cell r="I1092" t="str">
            <v>NEBULISER</v>
          </cell>
          <cell r="J1092" t="str">
            <v>12-716</v>
          </cell>
          <cell r="K1092" t="str">
            <v>PHILIPS</v>
          </cell>
          <cell r="L1092" t="str">
            <v xml:space="preserve"> INNOSPIRE DELUXE</v>
          </cell>
          <cell r="M1092"/>
          <cell r="N1092" t="str">
            <v>ORTHOPEDIK</v>
          </cell>
          <cell r="O1092" t="str">
            <v>Klinik Ortopedik</v>
          </cell>
          <cell r="P1092" t="str">
            <v>ABR</v>
          </cell>
          <cell r="Q1092">
            <v>1950</v>
          </cell>
        </row>
        <row r="1093">
          <cell r="E1093" t="str">
            <v>KKM/JKN/HSA/10-05-01/H/15/1599</v>
          </cell>
          <cell r="F1093" t="str">
            <v xml:space="preserve">Diagnostic </v>
          </cell>
          <cell r="G1093" t="str">
            <v>Intermediate</v>
          </cell>
          <cell r="H1093" t="str">
            <v>Monitors, Physiologic, Vital Signs</v>
          </cell>
          <cell r="I1093" t="str">
            <v>MONITOR NIBP/TEMP</v>
          </cell>
          <cell r="J1093" t="str">
            <v>25-209</v>
          </cell>
          <cell r="K1093" t="str">
            <v>WELCH ALLYN</v>
          </cell>
          <cell r="L1093" t="str">
            <v>WELCH ALLYN VSM 300</v>
          </cell>
          <cell r="M1093" t="str">
            <v>JA 123486</v>
          </cell>
          <cell r="N1093" t="str">
            <v>ORTHOPEDIK</v>
          </cell>
          <cell r="O1093" t="str">
            <v>Klinik Ortopedik</v>
          </cell>
          <cell r="P1093" t="str">
            <v>HM</v>
          </cell>
          <cell r="Q1093">
            <v>4355</v>
          </cell>
        </row>
        <row r="1094">
          <cell r="E1094" t="str">
            <v>KKM/JKN/HSA/10-05-01/H/15/4258</v>
          </cell>
          <cell r="F1094" t="str">
            <v xml:space="preserve">Diagnostic </v>
          </cell>
          <cell r="G1094" t="str">
            <v>Intermediate</v>
          </cell>
          <cell r="H1094" t="str">
            <v>Electrocardiographs, Multichannel, Interpretative</v>
          </cell>
          <cell r="I1094" t="str">
            <v>ECG P0RTABLE MAINS/BATTERY OP</v>
          </cell>
          <cell r="J1094" t="str">
            <v>16-231</v>
          </cell>
          <cell r="K1094" t="str">
            <v>GE HEALTHCARE</v>
          </cell>
          <cell r="L1094" t="str">
            <v>MAC400</v>
          </cell>
          <cell r="M1094" t="str">
            <v>SCT 11486304 PA</v>
          </cell>
          <cell r="N1094" t="str">
            <v>ORTHOPEDIK</v>
          </cell>
          <cell r="O1094" t="str">
            <v>Klinik Ortopedik</v>
          </cell>
          <cell r="P1094" t="str">
            <v>HM</v>
          </cell>
          <cell r="Q1094">
            <v>2750</v>
          </cell>
        </row>
        <row r="1095">
          <cell r="E1095" t="str">
            <v>KKM/JKN/HSA/10-05-01/R/15/7370</v>
          </cell>
          <cell r="F1095" t="str">
            <v xml:space="preserve">Diagnostic </v>
          </cell>
          <cell r="G1095" t="str">
            <v>Basic</v>
          </cell>
          <cell r="H1095" t="str">
            <v>Ophthalmoscopes/Otoscopes</v>
          </cell>
          <cell r="I1095" t="str">
            <v>DIAGNOSTIC SET ADULT</v>
          </cell>
          <cell r="J1095" t="str">
            <v>18-595</v>
          </cell>
          <cell r="K1095" t="str">
            <v>RUDOLF RIESTER, GMBH</v>
          </cell>
          <cell r="L1095" t="str">
            <v>RI-SCOPE ENT 3761</v>
          </cell>
          <cell r="M1095"/>
          <cell r="N1095" t="str">
            <v>ORTOPEDIK</v>
          </cell>
          <cell r="O1095" t="str">
            <v>Klinik Ortopedik</v>
          </cell>
          <cell r="P1095" t="str">
            <v>ABR</v>
          </cell>
          <cell r="Q1095">
            <v>1459.33</v>
          </cell>
        </row>
        <row r="1096">
          <cell r="E1096" t="str">
            <v>KKM/JKN/HSA/10-05-01/R/15/7371</v>
          </cell>
          <cell r="F1096" t="str">
            <v xml:space="preserve">Diagnostic </v>
          </cell>
          <cell r="G1096" t="str">
            <v>Basic</v>
          </cell>
          <cell r="H1096" t="str">
            <v>Ophthalmoscopes/Otoscopes</v>
          </cell>
          <cell r="I1096" t="str">
            <v>DIAGNOSTIC SET ADULT</v>
          </cell>
          <cell r="J1096" t="str">
            <v>18-595</v>
          </cell>
          <cell r="K1096" t="str">
            <v>RUDOLF RIESTER, GMBH</v>
          </cell>
          <cell r="L1096" t="str">
            <v>RI-SCOPE ENT 3761</v>
          </cell>
          <cell r="M1096"/>
          <cell r="N1096" t="str">
            <v>ORTOPEDIK</v>
          </cell>
          <cell r="O1096" t="str">
            <v>Klinik Ortopedik</v>
          </cell>
          <cell r="P1096" t="str">
            <v>ABR</v>
          </cell>
          <cell r="Q1096">
            <v>1459.33</v>
          </cell>
        </row>
        <row r="1097">
          <cell r="E1097" t="str">
            <v>KKM/JKN/HSA/10-05-01/R/15/7372</v>
          </cell>
          <cell r="F1097" t="str">
            <v xml:space="preserve">Diagnostic </v>
          </cell>
          <cell r="G1097" t="str">
            <v>Basic</v>
          </cell>
          <cell r="H1097" t="str">
            <v>Ophthalmoscopes/Otoscopes</v>
          </cell>
          <cell r="I1097" t="str">
            <v>DIAGNOSTIC SET ADULT</v>
          </cell>
          <cell r="J1097" t="str">
            <v>18-595</v>
          </cell>
          <cell r="K1097" t="str">
            <v>RUDOLF RIESTER, GMBH</v>
          </cell>
          <cell r="L1097" t="str">
            <v>RI-SCOPE ENT 3761</v>
          </cell>
          <cell r="M1097"/>
          <cell r="N1097" t="str">
            <v>ORTOPEDIK</v>
          </cell>
          <cell r="O1097" t="str">
            <v>Klinik Ortopedik</v>
          </cell>
          <cell r="P1097" t="str">
            <v>ABR</v>
          </cell>
          <cell r="Q1097">
            <v>1459.33</v>
          </cell>
        </row>
        <row r="1098">
          <cell r="E1098" t="str">
            <v>KKM/JKN/HSA/10-05-01/R/15/7373</v>
          </cell>
          <cell r="F1098" t="str">
            <v xml:space="preserve">Diagnostic </v>
          </cell>
          <cell r="G1098" t="str">
            <v>Basic</v>
          </cell>
          <cell r="H1098" t="str">
            <v>Ophthalmoscopes/Otoscopes</v>
          </cell>
          <cell r="I1098" t="str">
            <v>DIAGNOSTIC SET ADULT</v>
          </cell>
          <cell r="J1098" t="str">
            <v>18-595</v>
          </cell>
          <cell r="K1098" t="str">
            <v>RUDOLF RIESTER, GMBH</v>
          </cell>
          <cell r="L1098" t="str">
            <v>RI-SCOPE ENT 3761</v>
          </cell>
          <cell r="M1098"/>
          <cell r="N1098" t="str">
            <v>ORTOPEDIK</v>
          </cell>
          <cell r="O1098" t="str">
            <v>Klinik Ortopedik</v>
          </cell>
          <cell r="P1098" t="str">
            <v>ABR</v>
          </cell>
          <cell r="Q1098">
            <v>1459.33</v>
          </cell>
        </row>
        <row r="1099">
          <cell r="E1099" t="str">
            <v>KKM/JKN/HSA/10-05-01/R/15/7374</v>
          </cell>
          <cell r="F1099" t="str">
            <v xml:space="preserve">Diagnostic </v>
          </cell>
          <cell r="G1099" t="str">
            <v>Basic</v>
          </cell>
          <cell r="H1099" t="str">
            <v>Ophthalmoscopes/Otoscopes</v>
          </cell>
          <cell r="I1099" t="str">
            <v>DIAGNOSTIC SET ADULT</v>
          </cell>
          <cell r="J1099" t="str">
            <v>18-595</v>
          </cell>
          <cell r="K1099" t="str">
            <v>RUDOLF RIESTER, GMBH</v>
          </cell>
          <cell r="L1099" t="str">
            <v>RI-SCOPE ENT 3761</v>
          </cell>
          <cell r="M1099"/>
          <cell r="N1099" t="str">
            <v>ORTOPEDIK</v>
          </cell>
          <cell r="O1099" t="str">
            <v>Klinik Ortopedik</v>
          </cell>
          <cell r="P1099" t="str">
            <v>ABR</v>
          </cell>
          <cell r="Q1099">
            <v>1459.33</v>
          </cell>
        </row>
        <row r="1100">
          <cell r="E1100" t="str">
            <v>KKM/JKN/HSA/10-05-01/R/15/7375</v>
          </cell>
          <cell r="F1100" t="str">
            <v xml:space="preserve">Diagnostic </v>
          </cell>
          <cell r="G1100" t="str">
            <v>Basic</v>
          </cell>
          <cell r="H1100" t="str">
            <v>Ophthalmoscopes/Otoscopes</v>
          </cell>
          <cell r="I1100" t="str">
            <v>DIAGNOSTIC SET ADULT</v>
          </cell>
          <cell r="J1100" t="str">
            <v>18-595</v>
          </cell>
          <cell r="K1100" t="str">
            <v>RUDOLF RIESTER, GMBH</v>
          </cell>
          <cell r="L1100" t="str">
            <v>RI-SCOPE ENT 3761</v>
          </cell>
          <cell r="M1100"/>
          <cell r="N1100" t="str">
            <v>ORTOPEDIK</v>
          </cell>
          <cell r="O1100" t="str">
            <v>Klinik Ortopedik</v>
          </cell>
          <cell r="P1100" t="str">
            <v>ABR</v>
          </cell>
          <cell r="Q1100">
            <v>1459.33</v>
          </cell>
        </row>
        <row r="1101">
          <cell r="E1101" t="str">
            <v>KKM/JKN/HSA/10-05-01/R/15/7376</v>
          </cell>
          <cell r="F1101" t="str">
            <v xml:space="preserve">Diagnostic </v>
          </cell>
          <cell r="G1101" t="str">
            <v>Basic</v>
          </cell>
          <cell r="H1101" t="str">
            <v>Ophthalmoscopes/Otoscopes</v>
          </cell>
          <cell r="I1101" t="str">
            <v>DIAGNOSTIC SET ADULT</v>
          </cell>
          <cell r="J1101" t="str">
            <v>18-595</v>
          </cell>
          <cell r="K1101" t="str">
            <v>RUDOLF RIESTER, GMBH</v>
          </cell>
          <cell r="L1101" t="str">
            <v>RI-SCOPE ENT 3761</v>
          </cell>
          <cell r="M1101"/>
          <cell r="N1101" t="str">
            <v>ORTOPEDIK</v>
          </cell>
          <cell r="O1101" t="str">
            <v>Klinik Ortopedik</v>
          </cell>
          <cell r="P1101" t="str">
            <v>ABR</v>
          </cell>
          <cell r="Q1101">
            <v>1459.33</v>
          </cell>
        </row>
        <row r="1102">
          <cell r="E1102" t="str">
            <v>KKM/JKN/HSA/10-05-01/R/15/7377</v>
          </cell>
          <cell r="F1102" t="str">
            <v xml:space="preserve">Diagnostic </v>
          </cell>
          <cell r="G1102" t="str">
            <v>Basic</v>
          </cell>
          <cell r="H1102" t="str">
            <v>Ophthalmoscopes/Otoscopes</v>
          </cell>
          <cell r="I1102" t="str">
            <v>DIAGNOSTIC SET ADULT</v>
          </cell>
          <cell r="J1102" t="str">
            <v>18-595</v>
          </cell>
          <cell r="K1102" t="str">
            <v>RUDOLF RIESTER, GMBH</v>
          </cell>
          <cell r="L1102" t="str">
            <v>RI-SCOPE ENT 3761</v>
          </cell>
          <cell r="M1102"/>
          <cell r="N1102" t="str">
            <v>ORTOPEDIK</v>
          </cell>
          <cell r="O1102" t="str">
            <v>Klinik Ortopedik</v>
          </cell>
          <cell r="P1102" t="str">
            <v>ABR</v>
          </cell>
          <cell r="Q1102">
            <v>1459.33</v>
          </cell>
        </row>
        <row r="1103">
          <cell r="E1103" t="str">
            <v>KKM/JKN/HSA/10-05-01/H/15/4162</v>
          </cell>
          <cell r="F1103" t="str">
            <v>Therapeutic</v>
          </cell>
          <cell r="G1103" t="str">
            <v>Intermediate</v>
          </cell>
          <cell r="H1103" t="str">
            <v>Flowmeters, Blood, Ultrasonic</v>
          </cell>
          <cell r="I1103" t="str">
            <v>DETECTOR VASCULAR FLOW</v>
          </cell>
          <cell r="J1103" t="str">
            <v>10-432</v>
          </cell>
          <cell r="K1103" t="str">
            <v>HUNTLEIGH</v>
          </cell>
          <cell r="L1103" t="str">
            <v>D900</v>
          </cell>
          <cell r="M1103"/>
          <cell r="N1103" t="str">
            <v>ORTHOPEDIK</v>
          </cell>
          <cell r="O1103" t="str">
            <v>Klinik Ortopedik</v>
          </cell>
          <cell r="P1103" t="str">
            <v>HM</v>
          </cell>
          <cell r="Q1103">
            <v>10595</v>
          </cell>
        </row>
        <row r="1104">
          <cell r="E1104" t="str">
            <v>KKM/JKN/HSA/10-05-01/H/15/4166</v>
          </cell>
          <cell r="F1104" t="str">
            <v>Therapeutic</v>
          </cell>
          <cell r="G1104" t="str">
            <v>Intermediate</v>
          </cell>
          <cell r="H1104" t="str">
            <v>Flowmeters, Blood, Ultrasonic</v>
          </cell>
          <cell r="I1104" t="str">
            <v>DETECTOR VASCULAR FLOW</v>
          </cell>
          <cell r="J1104" t="str">
            <v>10-432</v>
          </cell>
          <cell r="K1104" t="str">
            <v>HUNTLEIGH</v>
          </cell>
          <cell r="L1104" t="str">
            <v>D900</v>
          </cell>
          <cell r="M1104"/>
          <cell r="N1104" t="str">
            <v>ORTHOPEDIK</v>
          </cell>
          <cell r="O1104" t="str">
            <v>Klinik Ortopedik</v>
          </cell>
          <cell r="P1104" t="str">
            <v>HM</v>
          </cell>
          <cell r="Q1104">
            <v>10595</v>
          </cell>
        </row>
        <row r="1105">
          <cell r="E1105" t="str">
            <v>KKM/JKN/HSA/10-05-01/H/15/4167</v>
          </cell>
          <cell r="F1105" t="str">
            <v>Therapeutic</v>
          </cell>
          <cell r="G1105" t="str">
            <v>Intermediate</v>
          </cell>
          <cell r="H1105" t="str">
            <v>Flowmeters, Blood, Ultrasonic</v>
          </cell>
          <cell r="I1105" t="str">
            <v>DETECTOR VASCULAR FLOW</v>
          </cell>
          <cell r="J1105" t="str">
            <v>10-432</v>
          </cell>
          <cell r="K1105" t="str">
            <v>HUNTLEIGH</v>
          </cell>
          <cell r="L1105" t="str">
            <v>D900</v>
          </cell>
          <cell r="M1105"/>
          <cell r="N1105" t="str">
            <v>ORTHOPEDIK</v>
          </cell>
          <cell r="O1105" t="str">
            <v>Klinik Ortopedik</v>
          </cell>
          <cell r="P1105" t="str">
            <v>HM</v>
          </cell>
          <cell r="Q1105">
            <v>10595</v>
          </cell>
        </row>
        <row r="1106">
          <cell r="E1106" t="str">
            <v>KKM/JKN/HSA/10-05-01/H/15/4168</v>
          </cell>
          <cell r="F1106" t="str">
            <v>Therapeutic</v>
          </cell>
          <cell r="G1106" t="str">
            <v>Intermediate</v>
          </cell>
          <cell r="H1106" t="str">
            <v>Flowmeters, Blood, Ultrasonic</v>
          </cell>
          <cell r="I1106" t="str">
            <v>DETECTOR VASCULAR FLOW</v>
          </cell>
          <cell r="J1106" t="str">
            <v>10-432</v>
          </cell>
          <cell r="K1106" t="str">
            <v>HUNTLEIGH</v>
          </cell>
          <cell r="L1106" t="str">
            <v>D900</v>
          </cell>
          <cell r="M1106"/>
          <cell r="N1106" t="str">
            <v>ORTHOPEDIK</v>
          </cell>
          <cell r="O1106" t="str">
            <v>Klinik Ortopedik</v>
          </cell>
          <cell r="P1106" t="str">
            <v>HM</v>
          </cell>
          <cell r="Q1106">
            <v>10595</v>
          </cell>
        </row>
        <row r="1107">
          <cell r="E1107" t="str">
            <v>KKM/JKN/HSA/10-05-01/H/15/4169</v>
          </cell>
          <cell r="F1107" t="str">
            <v>Therapeutic</v>
          </cell>
          <cell r="G1107" t="str">
            <v>Intermediate</v>
          </cell>
          <cell r="H1107" t="str">
            <v>Flowmeters, Blood, Ultrasonic</v>
          </cell>
          <cell r="I1107" t="str">
            <v>DETECTOR VASCULAR FLOW</v>
          </cell>
          <cell r="J1107" t="str">
            <v>10-432</v>
          </cell>
          <cell r="K1107" t="str">
            <v>HUNTLEIGH</v>
          </cell>
          <cell r="L1107" t="str">
            <v>D900</v>
          </cell>
          <cell r="M1107"/>
          <cell r="N1107" t="str">
            <v>ORTHOPEDIK</v>
          </cell>
          <cell r="O1107" t="str">
            <v>Klinik Ortopedik</v>
          </cell>
          <cell r="P1107" t="str">
            <v>HM</v>
          </cell>
          <cell r="Q1107">
            <v>10595</v>
          </cell>
        </row>
        <row r="1108">
          <cell r="E1108" t="str">
            <v>KKM/JKN/HSA/10-05-01/H/15/4335</v>
          </cell>
          <cell r="F1108" t="str">
            <v xml:space="preserve">Diagnostic </v>
          </cell>
          <cell r="G1108" t="str">
            <v>Intermediate</v>
          </cell>
          <cell r="H1108" t="str">
            <v>Scanning Systems, Ultrasonic, Ophthalmic</v>
          </cell>
          <cell r="I1108" t="str">
            <v>ULTRASOUND OPHTHALMIC A &amp; B</v>
          </cell>
          <cell r="J1108" t="str">
            <v>11-389</v>
          </cell>
          <cell r="K1108" t="str">
            <v>NIDEK</v>
          </cell>
          <cell r="L1108" t="str">
            <v xml:space="preserve"> US4000 AB</v>
          </cell>
          <cell r="M1108">
            <v>40953</v>
          </cell>
          <cell r="N1108" t="str">
            <v>OFTALMOLOGI</v>
          </cell>
          <cell r="O1108" t="str">
            <v>Klinik Oftalmologi</v>
          </cell>
          <cell r="P1108" t="str">
            <v>HM</v>
          </cell>
          <cell r="Q1108">
            <v>76700</v>
          </cell>
        </row>
        <row r="1109">
          <cell r="E1109" t="str">
            <v>KKM/JKN/HSA/10-05-01/H/16/175</v>
          </cell>
          <cell r="F1109" t="str">
            <v xml:space="preserve">Diagnostic </v>
          </cell>
          <cell r="G1109" t="str">
            <v>Intermediate</v>
          </cell>
          <cell r="H1109" t="str">
            <v>Tonometers, Ophthalmic</v>
          </cell>
          <cell r="I1109" t="str">
            <v>TONOPEN</v>
          </cell>
          <cell r="J1109" t="str">
            <v>16-809</v>
          </cell>
          <cell r="K1109" t="str">
            <v>XL</v>
          </cell>
          <cell r="L1109" t="str">
            <v>TPM</v>
          </cell>
          <cell r="M1109" t="str">
            <v>29029-0915</v>
          </cell>
          <cell r="N1109" t="str">
            <v>OFTALMOLOGI</v>
          </cell>
          <cell r="O1109" t="str">
            <v>Klinik Oftalmologi</v>
          </cell>
          <cell r="P1109" t="str">
            <v>HM</v>
          </cell>
          <cell r="Q1109">
            <v>18000</v>
          </cell>
        </row>
        <row r="1110">
          <cell r="E1110" t="str">
            <v>KKM/JKN/HSA/10-05-01/H/15/4345</v>
          </cell>
          <cell r="F1110" t="str">
            <v xml:space="preserve">Diagnostic </v>
          </cell>
          <cell r="G1110" t="str">
            <v>Intermediate</v>
          </cell>
          <cell r="H1110" t="str">
            <v>Tonometers, Ophthalmic</v>
          </cell>
          <cell r="I1110" t="str">
            <v>TONOMETER</v>
          </cell>
          <cell r="J1110" t="str">
            <v>16-809</v>
          </cell>
          <cell r="K1110" t="str">
            <v>NIDEK</v>
          </cell>
          <cell r="L1110" t="str">
            <v xml:space="preserve"> NT-510</v>
          </cell>
          <cell r="M1110">
            <v>132020</v>
          </cell>
          <cell r="N1110" t="str">
            <v>OFTALMOLOGI</v>
          </cell>
          <cell r="O1110" t="str">
            <v>Klinik Oftalmologi</v>
          </cell>
          <cell r="P1110" t="str">
            <v>HM</v>
          </cell>
          <cell r="Q1110">
            <v>39000</v>
          </cell>
        </row>
        <row r="1111">
          <cell r="E1111" t="str">
            <v>KKM/JKN/HSA/10-05-01/R/15/15914</v>
          </cell>
          <cell r="F1111" t="str">
            <v xml:space="preserve">Diagnostic </v>
          </cell>
          <cell r="G1111" t="str">
            <v>Intermediate</v>
          </cell>
          <cell r="H1111" t="str">
            <v>Monitors, Physiologic, Vital Signs</v>
          </cell>
          <cell r="I1111" t="str">
            <v>SPHYGMOMANOMETER DIGITAL BATTERY OP</v>
          </cell>
          <cell r="J1111" t="str">
            <v>25-209</v>
          </cell>
          <cell r="K1111" t="str">
            <v>WELCH ALLYN</v>
          </cell>
          <cell r="L1111" t="str">
            <v>VSM 300</v>
          </cell>
          <cell r="M1111">
            <v>100055172814</v>
          </cell>
          <cell r="N1111" t="str">
            <v>OFTALMOLOGI</v>
          </cell>
          <cell r="O1111" t="str">
            <v>Klinik Oftalmologi</v>
          </cell>
          <cell r="P1111" t="str">
            <v>ABR</v>
          </cell>
          <cell r="Q1111">
            <v>1855</v>
          </cell>
        </row>
        <row r="1112">
          <cell r="E1112" t="str">
            <v xml:space="preserve"> 
KKM/JKN/HSA/10-05-01/R/15/15915</v>
          </cell>
          <cell r="F1112" t="str">
            <v xml:space="preserve">Diagnostic </v>
          </cell>
          <cell r="G1112" t="str">
            <v>Intermediate</v>
          </cell>
          <cell r="H1112" t="str">
            <v>Monitors, Physiologic, Vital Signs</v>
          </cell>
          <cell r="I1112" t="str">
            <v>SPHYGMOMANOMETER DIGITAL BATTERY OP</v>
          </cell>
          <cell r="J1112" t="str">
            <v>25-209</v>
          </cell>
          <cell r="K1112" t="str">
            <v>WELCH ALLYN</v>
          </cell>
          <cell r="L1112" t="str">
            <v>VSM 300</v>
          </cell>
          <cell r="M1112">
            <v>100055162814</v>
          </cell>
          <cell r="N1112" t="str">
            <v>OFTALMOLOGI</v>
          </cell>
          <cell r="O1112" t="str">
            <v>Klinik Oftalmologi</v>
          </cell>
          <cell r="P1112" t="str">
            <v>ABR</v>
          </cell>
          <cell r="Q1112">
            <v>1855</v>
          </cell>
        </row>
        <row r="1113">
          <cell r="E1113" t="str">
            <v>KKM/JKN/HSA/10-05-01/H/16/128</v>
          </cell>
          <cell r="F1113" t="str">
            <v xml:space="preserve">Diagnostic </v>
          </cell>
          <cell r="G1113" t="str">
            <v>Intermediate</v>
          </cell>
          <cell r="H1113" t="str">
            <v>Slit Lamps</v>
          </cell>
          <cell r="I1113" t="str">
            <v>SLIT LAMP</v>
          </cell>
          <cell r="J1113" t="str">
            <v>12-281</v>
          </cell>
          <cell r="K1113" t="str">
            <v>RIGHTON MW50</v>
          </cell>
          <cell r="L1113" t="str">
            <v>MW50</v>
          </cell>
          <cell r="M1113">
            <v>5000190</v>
          </cell>
          <cell r="N1113" t="str">
            <v>OFTALMOLOGI</v>
          </cell>
          <cell r="O1113" t="str">
            <v>Klinik Oftalmologi</v>
          </cell>
          <cell r="P1113" t="str">
            <v>HM</v>
          </cell>
          <cell r="Q1113">
            <v>28900</v>
          </cell>
        </row>
        <row r="1114">
          <cell r="E1114" t="str">
            <v>KKM/JKN/HSA/10-05-01/H/15/5044</v>
          </cell>
          <cell r="F1114" t="str">
            <v xml:space="preserve">Diagnostic </v>
          </cell>
          <cell r="G1114" t="str">
            <v>Basic</v>
          </cell>
          <cell r="H1114" t="str">
            <v>HESS Chart</v>
          </cell>
          <cell r="I1114" t="str">
            <v>SCREEN HESS ELECTRIC</v>
          </cell>
          <cell r="J1114" t="str">
            <v>88-041</v>
          </cell>
          <cell r="K1114" t="str">
            <v>CLEMENT CLARKE</v>
          </cell>
          <cell r="L1114" t="str">
            <v>690800 ELECTRIC HESS</v>
          </cell>
          <cell r="M1114"/>
          <cell r="N1114" t="str">
            <v>OFTALMOLOGI</v>
          </cell>
          <cell r="O1114" t="str">
            <v>Klinik Oftalmologi</v>
          </cell>
          <cell r="P1114" t="str">
            <v>HM</v>
          </cell>
          <cell r="Q1114">
            <v>13653</v>
          </cell>
        </row>
        <row r="1115">
          <cell r="E1115" t="str">
            <v>KKM/JKN/HSA/10-05-01/H/15/2073</v>
          </cell>
          <cell r="F1115" t="str">
            <v xml:space="preserve">Diagnostic </v>
          </cell>
          <cell r="G1115" t="str">
            <v>Basic</v>
          </cell>
          <cell r="H1115" t="str">
            <v>Projectors, chart eye</v>
          </cell>
          <cell r="I1115" t="str">
            <v>PROJECTOR AUTO CHART</v>
          </cell>
          <cell r="J1115" t="str">
            <v>16-890</v>
          </cell>
          <cell r="K1115" t="str">
            <v>NIDEK</v>
          </cell>
          <cell r="L1115" t="str">
            <v xml:space="preserve"> CP770</v>
          </cell>
          <cell r="M1115">
            <v>124327</v>
          </cell>
          <cell r="N1115" t="str">
            <v>OFTALMOLOGI</v>
          </cell>
          <cell r="O1115" t="str">
            <v>Klinik Oftalmologi</v>
          </cell>
          <cell r="P1115" t="str">
            <v>HM</v>
          </cell>
          <cell r="Q1115">
            <v>5000</v>
          </cell>
        </row>
        <row r="1116">
          <cell r="E1116" t="str">
            <v>KKM/JKN/HSA/10-05-01/H/15/2074</v>
          </cell>
          <cell r="F1116" t="str">
            <v xml:space="preserve">Diagnostic </v>
          </cell>
          <cell r="G1116" t="str">
            <v>Basic</v>
          </cell>
          <cell r="H1116" t="str">
            <v>Projectors, chart eye</v>
          </cell>
          <cell r="I1116" t="str">
            <v>PROJECTOR AUTO CHART</v>
          </cell>
          <cell r="J1116" t="str">
            <v>16-890</v>
          </cell>
          <cell r="K1116" t="str">
            <v>NIDEK</v>
          </cell>
          <cell r="L1116" t="str">
            <v xml:space="preserve"> CP770</v>
          </cell>
          <cell r="M1116">
            <v>16588</v>
          </cell>
          <cell r="N1116" t="str">
            <v>OFTALMOLOGI</v>
          </cell>
          <cell r="O1116" t="str">
            <v>Klinik Oftalmologi</v>
          </cell>
          <cell r="P1116" t="str">
            <v>HM</v>
          </cell>
          <cell r="Q1116">
            <v>5000</v>
          </cell>
        </row>
        <row r="1117">
          <cell r="E1117" t="str">
            <v>KKM/JKN/HSA/10-05-01/H/15/2075</v>
          </cell>
          <cell r="F1117" t="str">
            <v xml:space="preserve">Diagnostic </v>
          </cell>
          <cell r="G1117" t="str">
            <v>Basic</v>
          </cell>
          <cell r="H1117" t="str">
            <v>Projectors, chart eye</v>
          </cell>
          <cell r="I1117" t="str">
            <v>PROJECTOR AUTO CHART</v>
          </cell>
          <cell r="J1117" t="str">
            <v>16-890</v>
          </cell>
          <cell r="K1117" t="str">
            <v>NIDEK</v>
          </cell>
          <cell r="L1117" t="str">
            <v xml:space="preserve"> CP770</v>
          </cell>
          <cell r="M1117">
            <v>124324</v>
          </cell>
          <cell r="N1117" t="str">
            <v>OFTALMOLOGI</v>
          </cell>
          <cell r="O1117" t="str">
            <v>Klinik Oftalmologi</v>
          </cell>
          <cell r="P1117" t="str">
            <v>HM</v>
          </cell>
          <cell r="Q1117">
            <v>5000</v>
          </cell>
        </row>
        <row r="1118">
          <cell r="E1118" t="str">
            <v>KKM/JKN/HSA/10-05-01/H/15/2076</v>
          </cell>
          <cell r="F1118" t="str">
            <v xml:space="preserve">Diagnostic </v>
          </cell>
          <cell r="G1118" t="str">
            <v>Basic</v>
          </cell>
          <cell r="H1118" t="str">
            <v>Projectors, chart eye</v>
          </cell>
          <cell r="I1118" t="str">
            <v>PROJECTOR AUTO CHART</v>
          </cell>
          <cell r="J1118" t="str">
            <v>16-890</v>
          </cell>
          <cell r="K1118" t="str">
            <v>NIDEK</v>
          </cell>
          <cell r="L1118" t="str">
            <v xml:space="preserve"> CP770</v>
          </cell>
          <cell r="M1118">
            <v>124325</v>
          </cell>
          <cell r="N1118" t="str">
            <v>OFTALMOLOGI</v>
          </cell>
          <cell r="O1118" t="str">
            <v>Klinik Oftalmologi</v>
          </cell>
          <cell r="P1118" t="str">
            <v>HM</v>
          </cell>
          <cell r="Q1118">
            <v>5000</v>
          </cell>
        </row>
        <row r="1119">
          <cell r="E1119" t="str">
            <v>KKM/JKN/HSA/10-05-01/H/15/2077</v>
          </cell>
          <cell r="F1119" t="str">
            <v xml:space="preserve">Diagnostic </v>
          </cell>
          <cell r="G1119" t="str">
            <v>Basic</v>
          </cell>
          <cell r="H1119" t="str">
            <v>Projectors, chart eye</v>
          </cell>
          <cell r="I1119" t="str">
            <v>PROJECTOR AUTO CHART</v>
          </cell>
          <cell r="J1119" t="str">
            <v>16-890</v>
          </cell>
          <cell r="K1119" t="str">
            <v>NIDEK</v>
          </cell>
          <cell r="L1119" t="str">
            <v xml:space="preserve"> CP770</v>
          </cell>
          <cell r="M1119">
            <v>165887</v>
          </cell>
          <cell r="N1119" t="str">
            <v>OFTALMOLOGI</v>
          </cell>
          <cell r="O1119" t="str">
            <v>Klinik Oftalmologi</v>
          </cell>
          <cell r="P1119" t="str">
            <v>HM</v>
          </cell>
          <cell r="Q1119">
            <v>5000</v>
          </cell>
        </row>
        <row r="1120">
          <cell r="E1120" t="str">
            <v>KKM/JKN/HSA/10-05-01/H/15/2081</v>
          </cell>
          <cell r="F1120" t="str">
            <v xml:space="preserve">Diagnostic </v>
          </cell>
          <cell r="G1120" t="str">
            <v>Basic</v>
          </cell>
          <cell r="H1120" t="str">
            <v>Projectors, chart eye</v>
          </cell>
          <cell r="I1120" t="str">
            <v>PROJECTOR AUTO CHART</v>
          </cell>
          <cell r="J1120" t="str">
            <v>16-890</v>
          </cell>
          <cell r="K1120" t="str">
            <v>NIDEK</v>
          </cell>
          <cell r="L1120" t="str">
            <v xml:space="preserve"> CP770</v>
          </cell>
          <cell r="M1120">
            <v>165892</v>
          </cell>
          <cell r="N1120" t="str">
            <v>OFTALMOLOGI</v>
          </cell>
          <cell r="O1120" t="str">
            <v>Klinik Oftalmologi</v>
          </cell>
          <cell r="P1120" t="str">
            <v>HM</v>
          </cell>
          <cell r="Q1120">
            <v>5000</v>
          </cell>
        </row>
        <row r="1121">
          <cell r="E1121" t="str">
            <v>KKM/JKN/HSA/10-05-01/H/15/2082</v>
          </cell>
          <cell r="F1121" t="str">
            <v xml:space="preserve">Diagnostic </v>
          </cell>
          <cell r="G1121" t="str">
            <v>Basic</v>
          </cell>
          <cell r="H1121" t="str">
            <v>Projectors, chart eye</v>
          </cell>
          <cell r="I1121" t="str">
            <v>PROJECTOR AUTO CHART</v>
          </cell>
          <cell r="J1121" t="str">
            <v>16-890</v>
          </cell>
          <cell r="K1121" t="str">
            <v>NIDEK</v>
          </cell>
          <cell r="L1121" t="str">
            <v xml:space="preserve"> CP770</v>
          </cell>
          <cell r="M1121">
            <v>165878</v>
          </cell>
          <cell r="N1121" t="str">
            <v>OFTALMOLOGI</v>
          </cell>
          <cell r="O1121" t="str">
            <v>Klinik Oftalmologi</v>
          </cell>
          <cell r="P1121" t="str">
            <v>HM</v>
          </cell>
          <cell r="Q1121">
            <v>5000</v>
          </cell>
        </row>
        <row r="1122">
          <cell r="E1122" t="str">
            <v>KKM/JKN/HSA/10-05-01/H/15/2083</v>
          </cell>
          <cell r="F1122" t="str">
            <v xml:space="preserve">Diagnostic </v>
          </cell>
          <cell r="G1122" t="str">
            <v>Basic</v>
          </cell>
          <cell r="H1122" t="str">
            <v>Projectors, chart eye</v>
          </cell>
          <cell r="I1122" t="str">
            <v>PROJECTOR AUTO CHART</v>
          </cell>
          <cell r="J1122" t="str">
            <v>16-890</v>
          </cell>
          <cell r="K1122" t="str">
            <v>NIDEK</v>
          </cell>
          <cell r="L1122" t="str">
            <v xml:space="preserve"> CP770</v>
          </cell>
          <cell r="M1122">
            <v>124323</v>
          </cell>
          <cell r="N1122" t="str">
            <v>OFTALMOLOGI</v>
          </cell>
          <cell r="O1122" t="str">
            <v>Klinik Oftalmologi</v>
          </cell>
          <cell r="P1122" t="str">
            <v>HM</v>
          </cell>
          <cell r="Q1122">
            <v>5000</v>
          </cell>
        </row>
        <row r="1123">
          <cell r="E1123" t="str">
            <v>KKM/JKN/HSA/10-05-01/H/15/4328</v>
          </cell>
          <cell r="F1123" t="str">
            <v xml:space="preserve">Diagnostic </v>
          </cell>
          <cell r="G1123" t="str">
            <v>Basic</v>
          </cell>
          <cell r="H1123" t="str">
            <v>Ophthalmoscopes/Otoscopes</v>
          </cell>
          <cell r="I1123" t="str">
            <v>OPHTHALMOSCOPE/RETINOSCOPE DIRECT</v>
          </cell>
          <cell r="J1123" t="str">
            <v>18-595</v>
          </cell>
          <cell r="K1123" t="str">
            <v>HEINE</v>
          </cell>
          <cell r="L1123" t="str">
            <v>BETA 2000</v>
          </cell>
          <cell r="M1123">
            <v>1011019039</v>
          </cell>
          <cell r="N1123" t="str">
            <v>OFTALMOLOGI</v>
          </cell>
          <cell r="O1123" t="str">
            <v>Klinik Oftalmologi</v>
          </cell>
          <cell r="P1123" t="str">
            <v>HM</v>
          </cell>
          <cell r="Q1123">
            <v>4875</v>
          </cell>
        </row>
        <row r="1124">
          <cell r="E1124" t="str">
            <v>KKM/JKN/HSA/10-05-01/H/15/4329</v>
          </cell>
          <cell r="F1124" t="str">
            <v xml:space="preserve">Diagnostic </v>
          </cell>
          <cell r="G1124" t="str">
            <v>Basic</v>
          </cell>
          <cell r="H1124" t="str">
            <v>Ophthalmoscopes/Otoscopes</v>
          </cell>
          <cell r="I1124" t="str">
            <v>OPHTHALMOSCOPE/RETINOSCOPE DIRECT</v>
          </cell>
          <cell r="J1124" t="str">
            <v>18-595</v>
          </cell>
          <cell r="K1124" t="str">
            <v>HEINE</v>
          </cell>
          <cell r="L1124" t="str">
            <v>BETA 2000</v>
          </cell>
          <cell r="M1124">
            <v>1011019044</v>
          </cell>
          <cell r="N1124" t="str">
            <v>OFTALMOLOGI</v>
          </cell>
          <cell r="O1124" t="str">
            <v>Klinik Oftalmologi</v>
          </cell>
          <cell r="P1124" t="str">
            <v>HM</v>
          </cell>
          <cell r="Q1124">
            <v>4875</v>
          </cell>
        </row>
        <row r="1125">
          <cell r="E1125" t="str">
            <v>KKM/JKN/HSA/10-05-01/H/15/4330</v>
          </cell>
          <cell r="F1125" t="str">
            <v xml:space="preserve">Diagnostic </v>
          </cell>
          <cell r="G1125" t="str">
            <v>Basic</v>
          </cell>
          <cell r="H1125" t="str">
            <v>Ophthalmoscopes/Otoscopes</v>
          </cell>
          <cell r="I1125" t="str">
            <v>OPHTHALMOSCOPE/RETINOSCOPE DIRECT</v>
          </cell>
          <cell r="J1125" t="str">
            <v>18-595</v>
          </cell>
          <cell r="K1125" t="str">
            <v>HEINE</v>
          </cell>
          <cell r="L1125" t="str">
            <v>BETA 2000</v>
          </cell>
          <cell r="M1125">
            <v>1011019045</v>
          </cell>
          <cell r="N1125" t="str">
            <v>OFTALMOLOGI</v>
          </cell>
          <cell r="O1125" t="str">
            <v>Klinik Oftalmologi</v>
          </cell>
          <cell r="P1125" t="str">
            <v>HM</v>
          </cell>
          <cell r="Q1125">
            <v>4875</v>
          </cell>
        </row>
        <row r="1126">
          <cell r="E1126" t="str">
            <v>KKM/JKN/HSA/10-05-01/H/15/4331</v>
          </cell>
          <cell r="F1126" t="str">
            <v xml:space="preserve">Diagnostic </v>
          </cell>
          <cell r="G1126" t="str">
            <v>Basic</v>
          </cell>
          <cell r="H1126" t="str">
            <v>Ophthalmoscopes/Otoscopes</v>
          </cell>
          <cell r="I1126" t="str">
            <v>OPHTHALMOSCOPE/RETINOSCOPE DIRECT</v>
          </cell>
          <cell r="J1126" t="str">
            <v>18-595</v>
          </cell>
          <cell r="K1126" t="str">
            <v>HEINE</v>
          </cell>
          <cell r="L1126" t="str">
            <v>BETA 2000</v>
          </cell>
          <cell r="M1126">
            <v>1011019046</v>
          </cell>
          <cell r="N1126" t="str">
            <v>OFTALMOLOGI</v>
          </cell>
          <cell r="O1126" t="str">
            <v>Klinik Oftalmologi</v>
          </cell>
          <cell r="P1126" t="str">
            <v>HM</v>
          </cell>
          <cell r="Q1126">
            <v>4875</v>
          </cell>
        </row>
        <row r="1127">
          <cell r="E1127" t="str">
            <v>KKM/JKN/HSA/10-05-01/H/15/4332</v>
          </cell>
          <cell r="F1127" t="str">
            <v xml:space="preserve">Diagnostic </v>
          </cell>
          <cell r="G1127" t="str">
            <v>Basic</v>
          </cell>
          <cell r="H1127" t="str">
            <v>Ophthalmoscopes/Otoscopes</v>
          </cell>
          <cell r="I1127" t="str">
            <v>OPHTHALMOSCOPE/RETINOSCOPE DIRECT</v>
          </cell>
          <cell r="J1127" t="str">
            <v>18-595</v>
          </cell>
          <cell r="K1127" t="str">
            <v>HEINE</v>
          </cell>
          <cell r="L1127" t="str">
            <v>BETA 2000</v>
          </cell>
          <cell r="M1127">
            <v>1011019047</v>
          </cell>
          <cell r="N1127" t="str">
            <v>OFTALMOLOGI</v>
          </cell>
          <cell r="O1127" t="str">
            <v>Klinik Oftalmologi</v>
          </cell>
          <cell r="P1127" t="str">
            <v>HM</v>
          </cell>
          <cell r="Q1127">
            <v>4875</v>
          </cell>
        </row>
        <row r="1128">
          <cell r="E1128" t="str">
            <v>KKM/JKN/HSA/10-05-01/H/15/4333</v>
          </cell>
          <cell r="F1128" t="str">
            <v xml:space="preserve">Diagnostic </v>
          </cell>
          <cell r="G1128" t="str">
            <v>Basic</v>
          </cell>
          <cell r="H1128" t="str">
            <v>Ophthalmoscopes/Otoscopes</v>
          </cell>
          <cell r="I1128" t="str">
            <v>OPHTHALMOSCOPE/RETINOSCOPE DIRECT</v>
          </cell>
          <cell r="J1128" t="str">
            <v>18-595</v>
          </cell>
          <cell r="K1128" t="str">
            <v>HEINE</v>
          </cell>
          <cell r="L1128" t="str">
            <v>BETA 2000</v>
          </cell>
          <cell r="M1128">
            <v>1011019048</v>
          </cell>
          <cell r="N1128" t="str">
            <v>OFTALMOLOGI</v>
          </cell>
          <cell r="O1128" t="str">
            <v>Klinik Oftalmologi</v>
          </cell>
          <cell r="P1128" t="str">
            <v>HM</v>
          </cell>
          <cell r="Q1128">
            <v>4875</v>
          </cell>
        </row>
        <row r="1129">
          <cell r="E1129"/>
          <cell r="F1129" t="str">
            <v xml:space="preserve">Diagnostic </v>
          </cell>
          <cell r="G1129" t="str">
            <v>Basic</v>
          </cell>
          <cell r="H1129" t="str">
            <v>Ophthalmoscopes/Otoscopes</v>
          </cell>
          <cell r="I1129" t="str">
            <v>OPHTHALMOSCOPE W/RECHARGABLE HANDLE</v>
          </cell>
          <cell r="J1129" t="str">
            <v>18-595</v>
          </cell>
          <cell r="K1129" t="str">
            <v>RUDOLF RIESTER, GMBH</v>
          </cell>
          <cell r="L1129" t="str">
            <v>RI SCOPE L OPTHALMOSCOPE L3</v>
          </cell>
          <cell r="M1129"/>
          <cell r="N1129" t="str">
            <v>OFTALMOLOGI</v>
          </cell>
          <cell r="O1129" t="str">
            <v>Klinik Oftalmologi</v>
          </cell>
          <cell r="P1129" t="str">
            <v>HM</v>
          </cell>
          <cell r="Q1129">
            <v>3695.9999999999995</v>
          </cell>
        </row>
        <row r="1130">
          <cell r="E1130"/>
          <cell r="F1130" t="str">
            <v xml:space="preserve">Diagnostic </v>
          </cell>
          <cell r="G1130" t="str">
            <v>Basic</v>
          </cell>
          <cell r="H1130" t="str">
            <v>Ophthalmoscopes/Otoscopes</v>
          </cell>
          <cell r="I1130" t="str">
            <v>OPHTHALMOSCOPE W/RECHARGABLE HANDLE</v>
          </cell>
          <cell r="J1130" t="str">
            <v>18-595</v>
          </cell>
          <cell r="K1130" t="str">
            <v>RUDOLF RIESTER, GMBH</v>
          </cell>
          <cell r="L1130" t="str">
            <v>RI SCOPE L OPTHALMOSCOPE L3</v>
          </cell>
          <cell r="M1130"/>
          <cell r="N1130" t="str">
            <v>OFTALMOLOGI</v>
          </cell>
          <cell r="O1130" t="str">
            <v>Klinik Oftalmologi</v>
          </cell>
          <cell r="P1130" t="str">
            <v>HM</v>
          </cell>
          <cell r="Q1130">
            <v>3695.9999999999995</v>
          </cell>
        </row>
        <row r="1131">
          <cell r="E1131"/>
          <cell r="F1131" t="str">
            <v xml:space="preserve">Diagnostic </v>
          </cell>
          <cell r="G1131" t="str">
            <v>Basic</v>
          </cell>
          <cell r="H1131" t="str">
            <v>Ophthalmoscopes/Otoscopes</v>
          </cell>
          <cell r="I1131" t="str">
            <v>OPHTHALMOSCOPE W/RECHARGABLE HANDLE</v>
          </cell>
          <cell r="J1131" t="str">
            <v>18-595</v>
          </cell>
          <cell r="K1131" t="str">
            <v>RUDOLF RIESTER, GMBH</v>
          </cell>
          <cell r="L1131" t="str">
            <v>RI SCOPE L OPTHALMOSCOPE L3</v>
          </cell>
          <cell r="M1131"/>
          <cell r="N1131" t="str">
            <v>OFTALMOLOGI</v>
          </cell>
          <cell r="O1131" t="str">
            <v>Klinik Oftalmologi</v>
          </cell>
          <cell r="P1131" t="str">
            <v>HM</v>
          </cell>
          <cell r="Q1131">
            <v>3695.9999999999995</v>
          </cell>
        </row>
        <row r="1132">
          <cell r="E1132" t="str">
            <v>AWC00122</v>
          </cell>
          <cell r="F1132" t="str">
            <v xml:space="preserve">Diagnostic </v>
          </cell>
          <cell r="G1132" t="str">
            <v>Basic</v>
          </cell>
          <cell r="H1132" t="str">
            <v>Ophthalmoscopes, Indirect</v>
          </cell>
          <cell r="I1132" t="str">
            <v>OPHTHALMOSCOPE INDIRECT/20/28D LENS</v>
          </cell>
          <cell r="J1132" t="str">
            <v>12-818</v>
          </cell>
          <cell r="K1132" t="str">
            <v>NEITZ</v>
          </cell>
          <cell r="L1132" t="str">
            <v>IO-ALPHA</v>
          </cell>
          <cell r="M1132"/>
          <cell r="N1132" t="str">
            <v>OFTALMOLOGI</v>
          </cell>
          <cell r="O1132" t="str">
            <v>Klinik Oftalmologi</v>
          </cell>
          <cell r="P1132" t="str">
            <v>HM</v>
          </cell>
          <cell r="Q1132">
            <v>9856</v>
          </cell>
        </row>
        <row r="1133">
          <cell r="E1133" t="str">
            <v>AWC00123</v>
          </cell>
          <cell r="F1133" t="str">
            <v xml:space="preserve">Diagnostic </v>
          </cell>
          <cell r="G1133" t="str">
            <v>Basic</v>
          </cell>
          <cell r="H1133" t="str">
            <v>Ophthalmoscopes, Indirect</v>
          </cell>
          <cell r="I1133" t="str">
            <v>OPHTHALMOSCOPE INDIRECT/20/28D LENS</v>
          </cell>
          <cell r="J1133" t="str">
            <v>12-818</v>
          </cell>
          <cell r="K1133" t="str">
            <v>NEITZ</v>
          </cell>
          <cell r="L1133" t="str">
            <v>IO-ALPHA</v>
          </cell>
          <cell r="M1133"/>
          <cell r="N1133" t="str">
            <v>OFTAMOLOGI</v>
          </cell>
          <cell r="O1133" t="str">
            <v>Klinik Oftalmologi</v>
          </cell>
          <cell r="P1133" t="str">
            <v>HM</v>
          </cell>
          <cell r="Q1133">
            <v>9856</v>
          </cell>
        </row>
        <row r="1134">
          <cell r="E1134" t="str">
            <v>KKM/JKN/HSA/10-05-01/H/16/119</v>
          </cell>
          <cell r="F1134" t="str">
            <v xml:space="preserve">Diagnostic </v>
          </cell>
          <cell r="G1134" t="str">
            <v>Intermediate</v>
          </cell>
          <cell r="H1134" t="str">
            <v>Ophthalmoscopes</v>
          </cell>
          <cell r="I1134" t="str">
            <v>OPHTHALMOSCOPE</v>
          </cell>
          <cell r="J1134" t="str">
            <v>12-815</v>
          </cell>
          <cell r="K1134" t="str">
            <v>WELCH ALLYN</v>
          </cell>
          <cell r="L1134" t="str">
            <v>TPM</v>
          </cell>
          <cell r="M1134" t="str">
            <v>16277A</v>
          </cell>
          <cell r="N1134" t="str">
            <v>OFTALMOLOGI</v>
          </cell>
          <cell r="O1134" t="str">
            <v>Klinik Oftalmologi</v>
          </cell>
          <cell r="P1134" t="str">
            <v>HM</v>
          </cell>
          <cell r="Q1134">
            <v>4782</v>
          </cell>
        </row>
        <row r="1135">
          <cell r="E1135" t="str">
            <v>KKM/JKN/HSA/10-05-01/H/16/117</v>
          </cell>
          <cell r="F1135" t="str">
            <v xml:space="preserve">Diagnostic </v>
          </cell>
          <cell r="G1135" t="str">
            <v>Intermediate</v>
          </cell>
          <cell r="H1135" t="str">
            <v>Ophthalmoscopes</v>
          </cell>
          <cell r="I1135" t="str">
            <v>OPHTHALMOSCOPE</v>
          </cell>
          <cell r="J1135" t="str">
            <v>12-815</v>
          </cell>
          <cell r="K1135" t="str">
            <v>WELCH ALLYN</v>
          </cell>
          <cell r="L1135" t="str">
            <v>TPM</v>
          </cell>
          <cell r="M1135">
            <v>16277</v>
          </cell>
          <cell r="N1135" t="str">
            <v>OFTALMOLOGI</v>
          </cell>
          <cell r="O1135" t="str">
            <v>Klinik Oftalmologi</v>
          </cell>
          <cell r="P1135" t="str">
            <v>HM</v>
          </cell>
          <cell r="Q1135">
            <v>4782</v>
          </cell>
        </row>
        <row r="1136">
          <cell r="E1136" t="str">
            <v>KKM/JKN/HSA/10-05-01/H/16/118</v>
          </cell>
          <cell r="F1136" t="str">
            <v xml:space="preserve">Diagnostic </v>
          </cell>
          <cell r="G1136" t="str">
            <v>Basic</v>
          </cell>
          <cell r="H1136" t="str">
            <v>Ophthalmoscopes</v>
          </cell>
          <cell r="I1136" t="str">
            <v>OPHTHALMOSCOPE</v>
          </cell>
          <cell r="J1136" t="str">
            <v>12-815</v>
          </cell>
          <cell r="K1136" t="str">
            <v>WELCH ALLYN</v>
          </cell>
          <cell r="L1136" t="str">
            <v>TPM</v>
          </cell>
          <cell r="M1136">
            <v>16305</v>
          </cell>
          <cell r="N1136" t="str">
            <v>OFTALMOLOGI</v>
          </cell>
          <cell r="O1136" t="str">
            <v>Klinik Oftalmologi</v>
          </cell>
          <cell r="P1136" t="str">
            <v>HM</v>
          </cell>
          <cell r="Q1136">
            <v>4782</v>
          </cell>
        </row>
        <row r="1137">
          <cell r="E1137"/>
          <cell r="F1137" t="str">
            <v xml:space="preserve">Diagnostic </v>
          </cell>
          <cell r="G1137" t="str">
            <v>Basic</v>
          </cell>
          <cell r="H1137" t="str">
            <v>Ophthalmoscopes, Indirect</v>
          </cell>
          <cell r="I1137" t="str">
            <v>OPHTHALMASCOPE INDIRECT/20/28D LENS</v>
          </cell>
          <cell r="J1137" t="str">
            <v>12-818</v>
          </cell>
          <cell r="K1137" t="str">
            <v>NEITZ</v>
          </cell>
          <cell r="L1137" t="str">
            <v>IO-ALPHA</v>
          </cell>
          <cell r="M1137"/>
          <cell r="N1137" t="str">
            <v>OFTALMOLOGI</v>
          </cell>
          <cell r="O1137" t="str">
            <v>Klinik Oftalmologi</v>
          </cell>
          <cell r="P1137" t="str">
            <v>HM</v>
          </cell>
          <cell r="Q1137">
            <v>9856</v>
          </cell>
        </row>
        <row r="1138">
          <cell r="E1138"/>
          <cell r="F1138" t="str">
            <v xml:space="preserve">Diagnostic </v>
          </cell>
          <cell r="G1138" t="str">
            <v>Basic</v>
          </cell>
          <cell r="H1138" t="str">
            <v>Ophthalmoscopes, Indirect</v>
          </cell>
          <cell r="I1138" t="str">
            <v>OPHTHALMASCOPE INDIRECT/20/28D LENS</v>
          </cell>
          <cell r="J1138" t="str">
            <v>12-818</v>
          </cell>
          <cell r="K1138" t="str">
            <v>NEITZ</v>
          </cell>
          <cell r="L1138" t="str">
            <v>IO-ALPHA</v>
          </cell>
          <cell r="M1138"/>
          <cell r="N1138" t="str">
            <v>OFTAMOLOGI</v>
          </cell>
          <cell r="O1138" t="str">
            <v>Klinik Oftalmologi</v>
          </cell>
          <cell r="P1138" t="str">
            <v>HM</v>
          </cell>
          <cell r="Q1138">
            <v>9856</v>
          </cell>
        </row>
        <row r="1139">
          <cell r="E1139"/>
          <cell r="F1139" t="str">
            <v xml:space="preserve">Diagnostic </v>
          </cell>
          <cell r="G1139" t="str">
            <v>Basic</v>
          </cell>
          <cell r="H1139" t="str">
            <v>Ophthalmoscopes, Indirect</v>
          </cell>
          <cell r="I1139" t="str">
            <v>OPHTHALMASCOPE INDIRECT/20/28D LENS</v>
          </cell>
          <cell r="J1139" t="str">
            <v>12-818</v>
          </cell>
          <cell r="K1139" t="str">
            <v>NEITZ</v>
          </cell>
          <cell r="L1139" t="str">
            <v>IO-ALPHA</v>
          </cell>
          <cell r="M1139"/>
          <cell r="N1139" t="str">
            <v>OFTALMOLOGI</v>
          </cell>
          <cell r="O1139" t="str">
            <v>Klinik Oftalmologi</v>
          </cell>
          <cell r="P1139" t="str">
            <v>HM</v>
          </cell>
          <cell r="Q1139">
            <v>9856</v>
          </cell>
        </row>
        <row r="1140">
          <cell r="E1140" t="str">
            <v>KKM/JKN/HSA/10-05-01/H/15/1598</v>
          </cell>
          <cell r="F1140" t="str">
            <v xml:space="preserve">Diagnostic </v>
          </cell>
          <cell r="G1140" t="str">
            <v>Intermediate</v>
          </cell>
          <cell r="H1140" t="str">
            <v>Monitors, Physiologic, Vital Signs</v>
          </cell>
          <cell r="I1140" t="str">
            <v>MONITOR NIBP/TEMP</v>
          </cell>
          <cell r="J1140" t="str">
            <v>25-209</v>
          </cell>
          <cell r="K1140" t="str">
            <v>WELCH ALLYN</v>
          </cell>
          <cell r="L1140" t="str">
            <v>WELCH ALLYN VSM 300</v>
          </cell>
          <cell r="M1140" t="str">
            <v>JA123447</v>
          </cell>
          <cell r="N1140" t="str">
            <v>OFTALMOLOGI</v>
          </cell>
          <cell r="O1140" t="str">
            <v>Klinik Oftalmologi</v>
          </cell>
          <cell r="P1140" t="str">
            <v>HM</v>
          </cell>
          <cell r="Q1140">
            <v>4355</v>
          </cell>
        </row>
        <row r="1141">
          <cell r="E1141" t="str">
            <v>KKM/JKN/HSA/10-05-01/R/15/15921</v>
          </cell>
          <cell r="F1141" t="str">
            <v>Therapeutic</v>
          </cell>
          <cell r="G1141" t="str">
            <v>Basic</v>
          </cell>
          <cell r="H1141" t="str">
            <v>Loupes</v>
          </cell>
          <cell r="I1141" t="str">
            <v>LOUPE BINOCULAR</v>
          </cell>
          <cell r="J1141" t="str">
            <v>15-652</v>
          </cell>
          <cell r="K1141" t="str">
            <v>NEITZ</v>
          </cell>
          <cell r="L1141"/>
          <cell r="M1141" t="str">
            <v>Y12032</v>
          </cell>
          <cell r="N1141" t="str">
            <v>OFTALMOLOGI</v>
          </cell>
          <cell r="O1141" t="str">
            <v>Klinik Oftalmologi</v>
          </cell>
          <cell r="P1141" t="str">
            <v>ABR</v>
          </cell>
          <cell r="Q1141">
            <v>1482</v>
          </cell>
        </row>
        <row r="1142">
          <cell r="E1142" t="str">
            <v>KKM/JKN/HSA/10-05-01/R/15/17201</v>
          </cell>
          <cell r="F1142" t="str">
            <v>Therapeutic</v>
          </cell>
          <cell r="G1142" t="str">
            <v>Basic</v>
          </cell>
          <cell r="H1142" t="str">
            <v>Loupes</v>
          </cell>
          <cell r="I1142" t="str">
            <v>LOUPE BINOCULAR</v>
          </cell>
          <cell r="J1142" t="str">
            <v>15-652</v>
          </cell>
          <cell r="K1142" t="str">
            <v>NEITZ</v>
          </cell>
          <cell r="L1142"/>
          <cell r="M1142" t="str">
            <v>Z06014</v>
          </cell>
          <cell r="N1142" t="str">
            <v>OFTALMOLOGI</v>
          </cell>
          <cell r="O1142" t="str">
            <v>Klinik Oftalmologi</v>
          </cell>
          <cell r="P1142" t="str">
            <v>ABR</v>
          </cell>
          <cell r="Q1142">
            <v>1482</v>
          </cell>
        </row>
        <row r="1143">
          <cell r="E1143" t="str">
            <v>KKM/JKN/HSA/10-05-01/R/15/17202</v>
          </cell>
          <cell r="F1143" t="str">
            <v>Therapeutic</v>
          </cell>
          <cell r="G1143" t="str">
            <v>Basic</v>
          </cell>
          <cell r="H1143" t="str">
            <v>Loupes</v>
          </cell>
          <cell r="I1143" t="str">
            <v>LOUPE BINOCULAR</v>
          </cell>
          <cell r="J1143" t="str">
            <v>15-652</v>
          </cell>
          <cell r="K1143" t="str">
            <v>NEITZ</v>
          </cell>
          <cell r="L1143"/>
          <cell r="M1143" t="str">
            <v>Y12038</v>
          </cell>
          <cell r="N1143" t="str">
            <v>OFTALMOLOGI</v>
          </cell>
          <cell r="O1143" t="str">
            <v>Klinik Oftalmologi</v>
          </cell>
          <cell r="P1143" t="str">
            <v>ABR</v>
          </cell>
          <cell r="Q1143">
            <v>1482</v>
          </cell>
        </row>
        <row r="1144">
          <cell r="E1144" t="str">
            <v>KKM/JKN/HSA/10-05-01/R/15/17210</v>
          </cell>
          <cell r="F1144" t="str">
            <v>Therapeutic</v>
          </cell>
          <cell r="G1144" t="str">
            <v>Basic</v>
          </cell>
          <cell r="H1144" t="str">
            <v>Loupes</v>
          </cell>
          <cell r="I1144" t="str">
            <v>LOUPE BINOCULAR</v>
          </cell>
          <cell r="J1144" t="str">
            <v>15-652</v>
          </cell>
          <cell r="K1144" t="str">
            <v>NEITZ</v>
          </cell>
          <cell r="L1144"/>
          <cell r="M1144">
            <v>206013</v>
          </cell>
          <cell r="N1144" t="str">
            <v>OFTALMOLOGI</v>
          </cell>
          <cell r="O1144" t="str">
            <v>Klinik Oftalmologi</v>
          </cell>
          <cell r="P1144" t="str">
            <v>ABR</v>
          </cell>
          <cell r="Q1144">
            <v>1482</v>
          </cell>
        </row>
        <row r="1145">
          <cell r="E1145" t="str">
            <v>KKM/JKN/HSA/10-05-01/R/15/17209</v>
          </cell>
          <cell r="F1145" t="str">
            <v>Therapeutic</v>
          </cell>
          <cell r="G1145" t="str">
            <v>Basic</v>
          </cell>
          <cell r="H1145" t="str">
            <v>Loupes</v>
          </cell>
          <cell r="I1145" t="str">
            <v>LOUPE BINOCULAR</v>
          </cell>
          <cell r="J1145" t="str">
            <v>15-652</v>
          </cell>
          <cell r="K1145" t="str">
            <v>NEITZ</v>
          </cell>
          <cell r="L1145"/>
          <cell r="M1145"/>
          <cell r="N1145" t="str">
            <v>OFTALMOLOGI</v>
          </cell>
          <cell r="O1145" t="str">
            <v>Klinik Oftalmologi</v>
          </cell>
          <cell r="P1145" t="str">
            <v>ABR</v>
          </cell>
          <cell r="Q1145">
            <v>1482</v>
          </cell>
        </row>
        <row r="1146">
          <cell r="E1146" t="str">
            <v>KKM/JKN/HSA/10-05-01/H/15/4142</v>
          </cell>
          <cell r="F1146" t="str">
            <v xml:space="preserve">Diagnostic </v>
          </cell>
          <cell r="G1146" t="str">
            <v>Basic</v>
          </cell>
          <cell r="H1146" t="str">
            <v>Charts, Eye, Visual Acuity</v>
          </cell>
          <cell r="I1146" t="str">
            <v>LOG MAR CHART FOR DISTANCE IN SET</v>
          </cell>
          <cell r="J1146" t="str">
            <v>16-800</v>
          </cell>
          <cell r="K1146" t="str">
            <v xml:space="preserve">GOODLITE </v>
          </cell>
          <cell r="L1146" t="str">
            <v>ESV 3000</v>
          </cell>
          <cell r="M1146">
            <v>500014</v>
          </cell>
          <cell r="N1146" t="str">
            <v>OFTALMOLOGI</v>
          </cell>
          <cell r="O1146" t="str">
            <v>Klinik Oftalmologi</v>
          </cell>
          <cell r="P1146" t="str">
            <v>HM</v>
          </cell>
          <cell r="Q1146">
            <v>10000</v>
          </cell>
        </row>
        <row r="1147">
          <cell r="E1147" t="str">
            <v>KKM/JKN/HSA/10-05-01/H/15/2752</v>
          </cell>
          <cell r="F1147" t="str">
            <v>Therapeutic</v>
          </cell>
          <cell r="G1147" t="str">
            <v>High</v>
          </cell>
          <cell r="H1147" t="str">
            <v>Lasers, Nd:YAG, Ophthalmic</v>
          </cell>
          <cell r="I1147" t="str">
            <v>LASER ND YAG</v>
          </cell>
          <cell r="J1147" t="str">
            <v>16-947</v>
          </cell>
          <cell r="K1147" t="str">
            <v>NIDEK</v>
          </cell>
          <cell r="L1147" t="str">
            <v xml:space="preserve"> YC-1800</v>
          </cell>
          <cell r="M1147">
            <v>83637</v>
          </cell>
          <cell r="N1147" t="str">
            <v>OFTALMOLOGI</v>
          </cell>
          <cell r="O1147" t="str">
            <v>Klinik Oftalmologi</v>
          </cell>
          <cell r="P1147" t="str">
            <v>HM</v>
          </cell>
          <cell r="Q1147">
            <v>93000</v>
          </cell>
        </row>
        <row r="1148">
          <cell r="E1148" t="str">
            <v>KKM/JKN/HSA/10-05-01/H/15/4260</v>
          </cell>
          <cell r="F1148" t="str">
            <v>Therapeutic</v>
          </cell>
          <cell r="G1148" t="str">
            <v>High</v>
          </cell>
          <cell r="H1148" t="str">
            <v>Lasers, Nd:YAG, Frequency-Doubled</v>
          </cell>
          <cell r="I1148" t="str">
            <v>LASER DIODE(RED) PHOTOCOAGULATOR</v>
          </cell>
          <cell r="J1148" t="str">
            <v>18-216</v>
          </cell>
          <cell r="K1148" t="str">
            <v>QUANTEL MEDICAL</v>
          </cell>
          <cell r="L1148" t="str">
            <v>SUPRA 810NM</v>
          </cell>
          <cell r="M1148">
            <v>15090003</v>
          </cell>
          <cell r="N1148" t="str">
            <v>OFTALMOLOGI</v>
          </cell>
          <cell r="O1148" t="str">
            <v>Klinik Oftalmologi</v>
          </cell>
          <cell r="P1148" t="str">
            <v>HM</v>
          </cell>
          <cell r="Q1148">
            <v>125347</v>
          </cell>
        </row>
        <row r="1149">
          <cell r="E1149" t="str">
            <v>KKM/JKN/HSA/10-05-01/H/15/4261</v>
          </cell>
          <cell r="F1149" t="str">
            <v>Therapeutic</v>
          </cell>
          <cell r="G1149" t="str">
            <v>High</v>
          </cell>
          <cell r="H1149" t="str">
            <v>Lasers, Nd:YAG, Frequency-Doubled</v>
          </cell>
          <cell r="I1149" t="str">
            <v>LASER DIODE(RED) PHOTOCOAGULATOR</v>
          </cell>
          <cell r="J1149" t="str">
            <v>18-216</v>
          </cell>
          <cell r="K1149" t="str">
            <v>QUANTEL MEDICAL</v>
          </cell>
          <cell r="L1149" t="str">
            <v>SUPRA 810NM</v>
          </cell>
          <cell r="M1149">
            <v>15090002</v>
          </cell>
          <cell r="N1149" t="str">
            <v>OFTALMOLOGI</v>
          </cell>
          <cell r="O1149" t="str">
            <v>Klinik Oftalmologi</v>
          </cell>
          <cell r="P1149" t="str">
            <v>HM</v>
          </cell>
          <cell r="Q1149">
            <v>125347</v>
          </cell>
        </row>
        <row r="1150">
          <cell r="E1150" t="str">
            <v>KKM/JKN/HSA/10-05-01/H/15/2827</v>
          </cell>
          <cell r="F1150" t="str">
            <v xml:space="preserve">Diagnostic </v>
          </cell>
          <cell r="G1150" t="str">
            <v>Intermediate</v>
          </cell>
          <cell r="H1150" t="str">
            <v>Slit Lamps</v>
          </cell>
          <cell r="I1150" t="str">
            <v>LAMP SLIT/TONOMETER/3 MIRROR/LENSES</v>
          </cell>
          <cell r="J1150" t="str">
            <v>12-281</v>
          </cell>
          <cell r="K1150" t="str">
            <v xml:space="preserve">INAMI </v>
          </cell>
          <cell r="L1150" t="str">
            <v>L-0189</v>
          </cell>
          <cell r="M1150" t="str">
            <v>JO 140600051</v>
          </cell>
          <cell r="N1150" t="str">
            <v>OFTALMOLOGI</v>
          </cell>
          <cell r="O1150" t="str">
            <v>Klinik Oftalmologi</v>
          </cell>
          <cell r="P1150" t="str">
            <v>HM</v>
          </cell>
          <cell r="Q1150">
            <v>26000</v>
          </cell>
        </row>
        <row r="1151">
          <cell r="E1151" t="str">
            <v>KKM/JKN/HSA/10-05-01/H/15/2830</v>
          </cell>
          <cell r="F1151" t="str">
            <v xml:space="preserve">Diagnostic </v>
          </cell>
          <cell r="G1151" t="str">
            <v>Intermediate</v>
          </cell>
          <cell r="H1151" t="str">
            <v>Slit Lamps</v>
          </cell>
          <cell r="I1151" t="str">
            <v>LAMP SLIT/TONOMETER/3 MIRROR/LENSES</v>
          </cell>
          <cell r="J1151" t="str">
            <v>12-281</v>
          </cell>
          <cell r="K1151" t="str">
            <v xml:space="preserve">INAMI </v>
          </cell>
          <cell r="L1151" t="str">
            <v>L-0189</v>
          </cell>
          <cell r="M1151" t="str">
            <v>JO 140600055</v>
          </cell>
          <cell r="N1151" t="str">
            <v>OFTALMOLOGI</v>
          </cell>
          <cell r="O1151" t="str">
            <v>Klinik Oftalmologi</v>
          </cell>
          <cell r="P1151" t="str">
            <v>HM</v>
          </cell>
          <cell r="Q1151">
            <v>26000</v>
          </cell>
        </row>
        <row r="1152">
          <cell r="E1152" t="str">
            <v>KKM/JKN/HSA/10-05-01/H/15/2831</v>
          </cell>
          <cell r="F1152" t="str">
            <v xml:space="preserve">Diagnostic </v>
          </cell>
          <cell r="G1152" t="str">
            <v>Intermediate</v>
          </cell>
          <cell r="H1152" t="str">
            <v>Slit Lamps</v>
          </cell>
          <cell r="I1152" t="str">
            <v>LAMP SLIT/TONOMETER/3 MIRROR/LENSES</v>
          </cell>
          <cell r="J1152" t="str">
            <v>12-281</v>
          </cell>
          <cell r="K1152" t="str">
            <v xml:space="preserve">INAMI </v>
          </cell>
          <cell r="L1152" t="str">
            <v>L-0189</v>
          </cell>
          <cell r="M1152" t="str">
            <v>JO 140600057</v>
          </cell>
          <cell r="N1152" t="str">
            <v>OFTALMOLOGI</v>
          </cell>
          <cell r="O1152" t="str">
            <v>Klinik Oftalmologi</v>
          </cell>
          <cell r="P1152" t="str">
            <v>HM</v>
          </cell>
          <cell r="Q1152">
            <v>26000</v>
          </cell>
        </row>
        <row r="1153">
          <cell r="E1153" t="str">
            <v>KKM/JKN/HSA/10-05-01/H/15/2832</v>
          </cell>
          <cell r="F1153" t="str">
            <v xml:space="preserve">Diagnostic </v>
          </cell>
          <cell r="G1153" t="str">
            <v>Intermediate</v>
          </cell>
          <cell r="H1153" t="str">
            <v>Slit Lamps</v>
          </cell>
          <cell r="I1153" t="str">
            <v>LAMP SLIT/TONOMETER/3 MIRROR/LENSES</v>
          </cell>
          <cell r="J1153" t="str">
            <v>12-281</v>
          </cell>
          <cell r="K1153" t="str">
            <v xml:space="preserve">INAMI </v>
          </cell>
          <cell r="L1153" t="str">
            <v>L-0189</v>
          </cell>
          <cell r="M1153" t="str">
            <v>JO140600053</v>
          </cell>
          <cell r="N1153" t="str">
            <v>OFTALMOLOGI</v>
          </cell>
          <cell r="O1153" t="str">
            <v>Klinik Oftalmologi</v>
          </cell>
          <cell r="P1153" t="str">
            <v>HM</v>
          </cell>
          <cell r="Q1153">
            <v>26000</v>
          </cell>
        </row>
        <row r="1154">
          <cell r="E1154" t="str">
            <v>KKM/JKN/HSA/10-05-01/H/15/2833</v>
          </cell>
          <cell r="F1154" t="str">
            <v xml:space="preserve">Diagnostic </v>
          </cell>
          <cell r="G1154" t="str">
            <v>Intermediate</v>
          </cell>
          <cell r="H1154" t="str">
            <v>Slit Lamps</v>
          </cell>
          <cell r="I1154" t="str">
            <v>LAMP SLIT/TONOMETER/3 MIRROR/LENSES</v>
          </cell>
          <cell r="J1154" t="str">
            <v>12-281</v>
          </cell>
          <cell r="K1154" t="str">
            <v xml:space="preserve">INAMI </v>
          </cell>
          <cell r="L1154" t="str">
            <v>L-0189</v>
          </cell>
          <cell r="M1154" t="str">
            <v>J0 140600056</v>
          </cell>
          <cell r="N1154" t="str">
            <v>OFTALMOLOGI</v>
          </cell>
          <cell r="O1154" t="str">
            <v>Klinik Oftalmologi</v>
          </cell>
          <cell r="P1154" t="str">
            <v>HM</v>
          </cell>
          <cell r="Q1154">
            <v>26000</v>
          </cell>
        </row>
        <row r="1155">
          <cell r="E1155" t="str">
            <v>KKM/JKN/HSA/10-05-01/H/15/4326</v>
          </cell>
          <cell r="F1155" t="str">
            <v xml:space="preserve">Diagnostic </v>
          </cell>
          <cell r="G1155" t="str">
            <v>Intermediate</v>
          </cell>
          <cell r="H1155" t="str">
            <v>Slit Lamps</v>
          </cell>
          <cell r="I1155" t="str">
            <v>LAMP SLIT PHOTOGRAPHIC W/ACCESSORIES</v>
          </cell>
          <cell r="J1155" t="str">
            <v>12-281</v>
          </cell>
          <cell r="K1155" t="str">
            <v>INAMI</v>
          </cell>
          <cell r="L1155" t="str">
            <v xml:space="preserve"> l-0240</v>
          </cell>
          <cell r="M1155" t="str">
            <v>JO140600058</v>
          </cell>
          <cell r="N1155" t="str">
            <v>OFTALMOLOGI</v>
          </cell>
          <cell r="O1155" t="str">
            <v>Klinik Oftalmologi</v>
          </cell>
          <cell r="P1155" t="str">
            <v>HM</v>
          </cell>
          <cell r="Q1155">
            <v>38675</v>
          </cell>
        </row>
        <row r="1156">
          <cell r="E1156" t="str">
            <v>KKM/JKN/HSA/10-05-01/H/15/5108</v>
          </cell>
          <cell r="F1156" t="str">
            <v>Therapeutic</v>
          </cell>
          <cell r="G1156" t="str">
            <v>Basic</v>
          </cell>
          <cell r="H1156" t="str">
            <v>Lights, Surgical</v>
          </cell>
          <cell r="I1156" t="str">
            <v>LAMP OPERATING MINOR</v>
          </cell>
          <cell r="J1156" t="str">
            <v>12-282</v>
          </cell>
          <cell r="K1156" t="str">
            <v>TRUMPF MEDIZIN</v>
          </cell>
          <cell r="L1156" t="str">
            <v>TRULIGHT 3300</v>
          </cell>
          <cell r="M1156" t="str">
            <v>102095255</v>
          </cell>
          <cell r="N1156" t="str">
            <v>OFTALMOLOGI</v>
          </cell>
          <cell r="O1156" t="str">
            <v>Klinik Oftalmologi</v>
          </cell>
          <cell r="P1156" t="str">
            <v>HM</v>
          </cell>
          <cell r="Q1156">
            <v>30000</v>
          </cell>
        </row>
        <row r="1157">
          <cell r="E1157" t="str">
            <v>KKM/JKN/HSA/10-05-01/H/16/114</v>
          </cell>
          <cell r="F1157" t="str">
            <v>Therapeutic</v>
          </cell>
          <cell r="G1157" t="str">
            <v>Basic</v>
          </cell>
          <cell r="H1157" t="str">
            <v>Scanning Systems, Laser, Optical Tomography</v>
          </cell>
          <cell r="I1157" t="str">
            <v>KOMPUTER MEJA (SPECTRALIS VIEWING TERMINAL)</v>
          </cell>
          <cell r="J1157" t="str">
            <v>18-191</v>
          </cell>
          <cell r="K1157" t="str">
            <v xml:space="preserve">HEIDELBERG </v>
          </cell>
          <cell r="L1157" t="str">
            <v>TPM</v>
          </cell>
          <cell r="M1157" t="str">
            <v>ZZLEH4TH703268</v>
          </cell>
          <cell r="N1157" t="str">
            <v>OFTALMOLOGI</v>
          </cell>
          <cell r="O1157" t="str">
            <v>Klinik Oftalmologi</v>
          </cell>
          <cell r="P1157" t="str">
            <v>HM</v>
          </cell>
          <cell r="Q1157">
            <v>36000</v>
          </cell>
        </row>
        <row r="1158">
          <cell r="E1158" t="str">
            <v>KKM/JKN/HSA/10-05-01/H/15/4343</v>
          </cell>
          <cell r="F1158" t="str">
            <v xml:space="preserve">Diagnostic </v>
          </cell>
          <cell r="G1158" t="str">
            <v>Intermediate</v>
          </cell>
          <cell r="H1158" t="str">
            <v>Refractors, Ophthalmologic</v>
          </cell>
          <cell r="I1158" t="str">
            <v>KERATOMETER</v>
          </cell>
          <cell r="J1158" t="str">
            <v>13-313</v>
          </cell>
          <cell r="K1158" t="str">
            <v>TOPCON</v>
          </cell>
          <cell r="L1158"/>
          <cell r="M1158">
            <v>3073933</v>
          </cell>
          <cell r="N1158" t="str">
            <v>OFTALMOLOGI</v>
          </cell>
          <cell r="O1158" t="str">
            <v>Klinik Oftalmologi</v>
          </cell>
          <cell r="P1158" t="str">
            <v>HM</v>
          </cell>
          <cell r="Q1158">
            <v>10400</v>
          </cell>
        </row>
        <row r="1159">
          <cell r="E1159" t="str">
            <v>KKM/JKN/HSA/10-05-01/H/15/4344</v>
          </cell>
          <cell r="F1159" t="str">
            <v xml:space="preserve">Diagnostic </v>
          </cell>
          <cell r="G1159" t="str">
            <v>Intermediate</v>
          </cell>
          <cell r="H1159" t="str">
            <v>Refractors, Ophthalmologic</v>
          </cell>
          <cell r="I1159" t="str">
            <v>KERATOMETER</v>
          </cell>
          <cell r="J1159" t="str">
            <v>13-313</v>
          </cell>
          <cell r="K1159" t="str">
            <v>TOPCON</v>
          </cell>
          <cell r="L1159"/>
          <cell r="M1159">
            <v>30773932</v>
          </cell>
          <cell r="N1159" t="str">
            <v>OFTALMOLOGI</v>
          </cell>
          <cell r="O1159" t="str">
            <v>Klinik Oftalmologi</v>
          </cell>
          <cell r="P1159" t="str">
            <v>HM</v>
          </cell>
          <cell r="Q1159">
            <v>10400</v>
          </cell>
        </row>
        <row r="1160">
          <cell r="E1160" t="str">
            <v>KKM/JKN/HSA/10-05-01/H/15/2479</v>
          </cell>
          <cell r="F1160" t="str">
            <v xml:space="preserve">Diagnostic </v>
          </cell>
          <cell r="G1160" t="str">
            <v>Basic</v>
          </cell>
          <cell r="H1160" t="str">
            <v>Light Sources, Fiberoptic</v>
          </cell>
          <cell r="I1160" t="str">
            <v>HEADLAMP FIBEROPTIC</v>
          </cell>
          <cell r="J1160" t="str">
            <v>12-345</v>
          </cell>
          <cell r="K1160" t="str">
            <v>HEINE</v>
          </cell>
          <cell r="L1160" t="str">
            <v>3S LED J-008.31.316</v>
          </cell>
          <cell r="M1160">
            <v>1100004975</v>
          </cell>
          <cell r="N1160" t="str">
            <v>OTORINOLARINGOLOGI</v>
          </cell>
          <cell r="O1160" t="str">
            <v>Klinik Oftalmologi</v>
          </cell>
          <cell r="P1160" t="str">
            <v>HM</v>
          </cell>
          <cell r="Q1160">
            <v>6500</v>
          </cell>
        </row>
        <row r="1161">
          <cell r="E1161" t="str">
            <v>KKM/JKN/HSA/10-05-01/H/15/2052</v>
          </cell>
          <cell r="F1161" t="str">
            <v xml:space="preserve">Diagnostic </v>
          </cell>
          <cell r="G1161" t="str">
            <v>Intermediate</v>
          </cell>
          <cell r="H1161" t="str">
            <v>Refractors, Ophthalmologic</v>
          </cell>
          <cell r="I1161" t="str">
            <v>HAND HELD AUTO KERATOMETER</v>
          </cell>
          <cell r="J1161" t="str">
            <v>13-313</v>
          </cell>
          <cell r="K1161" t="str">
            <v>RIGHTON</v>
          </cell>
          <cell r="L1161" t="str">
            <v>RETINOMAX K-PLUS 3</v>
          </cell>
          <cell r="M1161" t="str">
            <v>2203648 - (SAMA)</v>
          </cell>
          <cell r="N1161" t="str">
            <v>OFTALMOLOGI</v>
          </cell>
          <cell r="O1161" t="str">
            <v>Klinik Oftalmologi</v>
          </cell>
          <cell r="P1161" t="str">
            <v>HM</v>
          </cell>
          <cell r="Q1161">
            <v>38000</v>
          </cell>
        </row>
        <row r="1162">
          <cell r="E1162" t="str">
            <v>KKM/JKN/HSA/10-05-01/H/15/2053</v>
          </cell>
          <cell r="F1162" t="str">
            <v xml:space="preserve">Diagnostic </v>
          </cell>
          <cell r="G1162" t="str">
            <v>Intermediate</v>
          </cell>
          <cell r="H1162" t="str">
            <v>Refractors, Ophthalmologic</v>
          </cell>
          <cell r="I1162" t="str">
            <v>HAND HELD AUTO KERATOMETER</v>
          </cell>
          <cell r="J1162" t="str">
            <v>13-313</v>
          </cell>
          <cell r="K1162" t="str">
            <v>RIGHTON</v>
          </cell>
          <cell r="L1162" t="str">
            <v>RETINOMAX K-PLUS 3</v>
          </cell>
          <cell r="M1162">
            <v>430800</v>
          </cell>
          <cell r="N1162" t="str">
            <v>OFTALMOLOGI</v>
          </cell>
          <cell r="O1162" t="str">
            <v>Klinik Oftalmologi</v>
          </cell>
          <cell r="P1162" t="str">
            <v>HM</v>
          </cell>
          <cell r="Q1162">
            <v>38000</v>
          </cell>
        </row>
        <row r="1163">
          <cell r="E1163" t="str">
            <v>KKM/JKN/HSA/10-05-01/H/15/4125</v>
          </cell>
          <cell r="F1163" t="str">
            <v xml:space="preserve">Diagnostic </v>
          </cell>
          <cell r="G1163" t="str">
            <v>Intermediate</v>
          </cell>
          <cell r="H1163" t="str">
            <v>Lensometers</v>
          </cell>
          <cell r="I1163" t="str">
            <v>FOCIMETER</v>
          </cell>
          <cell r="J1163" t="str">
            <v>12-326</v>
          </cell>
          <cell r="K1163" t="str">
            <v xml:space="preserve">HUVITZ </v>
          </cell>
          <cell r="L1163" t="str">
            <v>CLM-3100</v>
          </cell>
          <cell r="M1163" t="str">
            <v>36D00D14F0003P</v>
          </cell>
          <cell r="N1163" t="str">
            <v>OFTALMOLOGI</v>
          </cell>
          <cell r="O1163" t="str">
            <v>Klinik Oftalmologi</v>
          </cell>
          <cell r="P1163" t="str">
            <v>HM</v>
          </cell>
          <cell r="Q1163">
            <v>5500</v>
          </cell>
        </row>
        <row r="1164">
          <cell r="E1164" t="str">
            <v>KKM/JKN/HSA/10-05-01/H/15/4126</v>
          </cell>
          <cell r="F1164" t="str">
            <v xml:space="preserve">Diagnostic </v>
          </cell>
          <cell r="G1164" t="str">
            <v>Intermediate</v>
          </cell>
          <cell r="H1164" t="str">
            <v>Lensometers</v>
          </cell>
          <cell r="I1164" t="str">
            <v>FOCIMETER</v>
          </cell>
          <cell r="J1164" t="str">
            <v>12-326</v>
          </cell>
          <cell r="K1164" t="str">
            <v xml:space="preserve">HUVITZ </v>
          </cell>
          <cell r="L1164" t="str">
            <v>CLM-3101</v>
          </cell>
          <cell r="M1164" t="str">
            <v>3LD00D14F0004P</v>
          </cell>
          <cell r="N1164" t="str">
            <v>OFTALMOLOGI</v>
          </cell>
          <cell r="O1164" t="str">
            <v>Klinik Oftalmologi</v>
          </cell>
          <cell r="P1164" t="str">
            <v>HM</v>
          </cell>
          <cell r="Q1164">
            <v>5500</v>
          </cell>
        </row>
        <row r="1165">
          <cell r="E1165" t="str">
            <v>KKM/JKN/HSA/10-05-01/H/17/37</v>
          </cell>
          <cell r="F1165" t="str">
            <v xml:space="preserve">Diagnostic </v>
          </cell>
          <cell r="G1165" t="str">
            <v>Intermediate</v>
          </cell>
          <cell r="H1165" t="str">
            <v>Electrocardiographs, Multichannel, Interpretative</v>
          </cell>
          <cell r="I1165" t="str">
            <v>ECG  (EKG) MACHINE</v>
          </cell>
          <cell r="J1165" t="str">
            <v>16-231</v>
          </cell>
          <cell r="K1165" t="str">
            <v>VICTOR</v>
          </cell>
          <cell r="L1165" t="str">
            <v xml:space="preserve"> VE-1203 C</v>
          </cell>
          <cell r="M1165">
            <v>20150307082</v>
          </cell>
          <cell r="N1165" t="str">
            <v>OFTALMOLOGI</v>
          </cell>
          <cell r="O1165" t="str">
            <v>Klinik Oftalmologi</v>
          </cell>
          <cell r="P1165" t="str">
            <v>HM</v>
          </cell>
          <cell r="Q1165">
            <v>22000</v>
          </cell>
        </row>
        <row r="1166">
          <cell r="E1166" t="str">
            <v>KKM/JKN/HSA/10-05-01/H/15/3681</v>
          </cell>
          <cell r="F1166" t="str">
            <v>Therapeutic</v>
          </cell>
          <cell r="G1166" t="str">
            <v>Intermediate</v>
          </cell>
          <cell r="H1166" t="str">
            <v xml:space="preserve">Defibrillators, External, Automated </v>
          </cell>
          <cell r="I1166" t="str">
            <v>DEFIBRILLATOR W/INTERNAL/EXT PADDLES/PACEMAKER</v>
          </cell>
          <cell r="J1166" t="str">
            <v>17-116</v>
          </cell>
          <cell r="K1166" t="str">
            <v>PHILIPS</v>
          </cell>
          <cell r="L1166" t="str">
            <v>EFFICIA DFM101</v>
          </cell>
          <cell r="M1166" t="str">
            <v>CN 32601410</v>
          </cell>
          <cell r="N1166" t="str">
            <v>OFTALMOLOGI</v>
          </cell>
          <cell r="O1166" t="str">
            <v>Klinik Oftalmologi</v>
          </cell>
          <cell r="P1166" t="str">
            <v>HM</v>
          </cell>
          <cell r="Q1166">
            <v>14250</v>
          </cell>
        </row>
        <row r="1167">
          <cell r="E1167" t="str">
            <v>KKM/JKN/HSA/10-05-01/H/15/4122</v>
          </cell>
          <cell r="F1167" t="str">
            <v>Therapeutic</v>
          </cell>
          <cell r="G1167" t="str">
            <v>Intermediate</v>
          </cell>
          <cell r="H1167" t="str">
            <v>Cryosurgical Units, Ophthalmic</v>
          </cell>
          <cell r="I1167" t="str">
            <v>CRYO UNIT OPHTHALMIC CYLINDER MTD</v>
          </cell>
          <cell r="J1167" t="str">
            <v>11-068</v>
          </cell>
          <cell r="K1167" t="str">
            <v>ERBE</v>
          </cell>
          <cell r="L1167" t="str">
            <v>ERBOCYO AE</v>
          </cell>
          <cell r="M1167">
            <v>11341395</v>
          </cell>
          <cell r="N1167" t="str">
            <v>OFTALMOLOGI</v>
          </cell>
          <cell r="O1167" t="str">
            <v>Klinik Oftalmologi</v>
          </cell>
          <cell r="P1167" t="str">
            <v>HM</v>
          </cell>
          <cell r="Q1167">
            <v>58000</v>
          </cell>
        </row>
        <row r="1168">
          <cell r="E1168" t="str">
            <v>KKM/JKN/HSA/10-05-01/H/15/4149</v>
          </cell>
          <cell r="F1168" t="str">
            <v xml:space="preserve">Diagnostic </v>
          </cell>
          <cell r="G1168" t="str">
            <v>Basic</v>
          </cell>
          <cell r="H1168" t="str">
            <v>Charts, Eye, Visual Acuity</v>
          </cell>
          <cell r="I1168" t="str">
            <v>CONTRAST SENSITIVITY TESTS</v>
          </cell>
          <cell r="J1168" t="str">
            <v>16-800</v>
          </cell>
          <cell r="K1168" t="str">
            <v xml:space="preserve">CSV-1000
</v>
          </cell>
          <cell r="L1168" t="str">
            <v>TPM</v>
          </cell>
          <cell r="M1168"/>
          <cell r="N1168" t="str">
            <v xml:space="preserve">OFTALMOLOGI </v>
          </cell>
          <cell r="O1168" t="str">
            <v>Klinik Oftalmologi</v>
          </cell>
          <cell r="P1168" t="str">
            <v>HM</v>
          </cell>
          <cell r="Q1168">
            <v>14000</v>
          </cell>
        </row>
        <row r="1169">
          <cell r="E1169" t="str">
            <v>KKM/JKN/HSA/10-05-01/H/15/1977</v>
          </cell>
          <cell r="F1169" t="str">
            <v>Laboratory</v>
          </cell>
          <cell r="G1169" t="str">
            <v>Basic</v>
          </cell>
          <cell r="H1169" t="str">
            <v>Baths, Water, Laboratory</v>
          </cell>
          <cell r="I1169" t="str">
            <v>CLEANER ULTRASONIC FRAMES</v>
          </cell>
          <cell r="J1169" t="str">
            <v>16-861</v>
          </cell>
          <cell r="K1169" t="str">
            <v>ELMA</v>
          </cell>
          <cell r="L1169" t="str">
            <v>S10</v>
          </cell>
          <cell r="M1169" t="str">
            <v>180GG118263</v>
          </cell>
          <cell r="N1169" t="str">
            <v>OFTALMOLOGI</v>
          </cell>
          <cell r="O1169" t="str">
            <v>Klinik Oftalmologi</v>
          </cell>
          <cell r="P1169" t="str">
            <v>ABR</v>
          </cell>
          <cell r="Q1169">
            <v>1813.5</v>
          </cell>
        </row>
        <row r="1170">
          <cell r="E1170" t="str">
            <v>KKM/JKN/HSA/10-05-01/R/15/7145</v>
          </cell>
          <cell r="F1170" t="str">
            <v xml:space="preserve">Diagnostic </v>
          </cell>
          <cell r="G1170" t="str">
            <v>Intermediate</v>
          </cell>
          <cell r="H1170" t="str">
            <v>Monitors, Physiologic, Vital Signs</v>
          </cell>
          <cell r="I1170" t="str">
            <v>BLOOD PRESSURE MONITOR NON INVASIVE</v>
          </cell>
          <cell r="J1170" t="str">
            <v>25-209</v>
          </cell>
          <cell r="K1170" t="str">
            <v>WELCH ALLYN</v>
          </cell>
          <cell r="L1170" t="str">
            <v>VSM 300</v>
          </cell>
          <cell r="M1170" t="str">
            <v>JA 123432</v>
          </cell>
          <cell r="N1170" t="str">
            <v>OFTALMOLOGI</v>
          </cell>
          <cell r="O1170" t="str">
            <v>Klinik Oftalmologi</v>
          </cell>
          <cell r="P1170" t="str">
            <v>ABR</v>
          </cell>
          <cell r="Q1170">
            <v>1855</v>
          </cell>
        </row>
        <row r="1171">
          <cell r="E1171" t="str">
            <v>KKM/JKN/HSA/10-05-01/H/16/138</v>
          </cell>
          <cell r="F1171" t="str">
            <v xml:space="preserve">Diagnostic </v>
          </cell>
          <cell r="G1171" t="str">
            <v>Intermediate</v>
          </cell>
          <cell r="H1171" t="str">
            <v>Refractors, Ophthalmologic</v>
          </cell>
          <cell r="I1171" t="str">
            <v>AUTO REFRACTOMETER</v>
          </cell>
          <cell r="J1171" t="str">
            <v>13-313</v>
          </cell>
          <cell r="K1171" t="str">
            <v>NIDEK</v>
          </cell>
          <cell r="L1171" t="str">
            <v>ARK-1</v>
          </cell>
          <cell r="M1171" t="str">
            <v>2204158</v>
          </cell>
          <cell r="N1171" t="str">
            <v>OFTALMOLOGI</v>
          </cell>
          <cell r="O1171" t="str">
            <v>Klinik Oftalmologi</v>
          </cell>
          <cell r="P1171" t="str">
            <v>HM</v>
          </cell>
          <cell r="Q1171">
            <v>26390</v>
          </cell>
        </row>
        <row r="1172">
          <cell r="E1172" t="str">
            <v>KKM/JKN/HSA/10-05-01/H/15/2459</v>
          </cell>
          <cell r="F1172" t="str">
            <v>Radiology</v>
          </cell>
          <cell r="G1172" t="str">
            <v>Intermediate</v>
          </cell>
          <cell r="H1172" t="str">
            <v>Scanning Systems, Ultrasonic, General-PurP0se</v>
          </cell>
          <cell r="I1172" t="str">
            <v>ULTRASOUND UNIT COLOR DOPPLER</v>
          </cell>
          <cell r="J1172" t="str">
            <v>15-976</v>
          </cell>
          <cell r="K1172" t="str">
            <v>SIEMENS</v>
          </cell>
          <cell r="L1172" t="str">
            <v>ACUSON P300</v>
          </cell>
          <cell r="M1172" t="str">
            <v>001236</v>
          </cell>
          <cell r="N1172" t="str">
            <v>OBSTETRIK &amp; GINEKOLOGI</v>
          </cell>
          <cell r="O1172" t="str">
            <v>Klinik Obstetrik Ginekologi</v>
          </cell>
          <cell r="P1172" t="str">
            <v>HM</v>
          </cell>
          <cell r="Q1172">
            <v>47500</v>
          </cell>
        </row>
        <row r="1173">
          <cell r="E1173" t="str">
            <v>KKM/JKN/HSA/10-05-01/H/15/2473</v>
          </cell>
          <cell r="F1173" t="str">
            <v>Radiology</v>
          </cell>
          <cell r="G1173" t="str">
            <v>Intermediate</v>
          </cell>
          <cell r="H1173" t="str">
            <v>Scanning Systems, Ultrasonic, Obstetric/Gynecologic</v>
          </cell>
          <cell r="I1173" t="str">
            <v>ULTRASOUND UNIT B/W MEDIUM RANGE, OB</v>
          </cell>
          <cell r="J1173" t="str">
            <v>15-657</v>
          </cell>
          <cell r="K1173" t="str">
            <v>SIEMENS</v>
          </cell>
          <cell r="L1173" t="str">
            <v>ACUSON X150</v>
          </cell>
          <cell r="M1173">
            <v>336226</v>
          </cell>
          <cell r="N1173" t="str">
            <v>OBSTETRIK &amp; GINEKOLOGI</v>
          </cell>
          <cell r="O1173" t="str">
            <v>Klinik Obstetrik Ginekologi</v>
          </cell>
          <cell r="P1173" t="str">
            <v>HM</v>
          </cell>
          <cell r="Q1173">
            <v>42000</v>
          </cell>
        </row>
        <row r="1174">
          <cell r="E1174" t="str">
            <v>KKM/JKN/HSA/10-05-01/H/15/2474</v>
          </cell>
          <cell r="F1174" t="str">
            <v>Radiology</v>
          </cell>
          <cell r="G1174" t="str">
            <v>Intermediate</v>
          </cell>
          <cell r="H1174" t="str">
            <v>Scanning Systems, Ultrasonic, Obstetric/Gynecologic</v>
          </cell>
          <cell r="I1174" t="str">
            <v>ULTRASOUND UNIT B/W MEDIUM RANGE, OB</v>
          </cell>
          <cell r="J1174" t="str">
            <v>15-657</v>
          </cell>
          <cell r="K1174" t="str">
            <v>SIEMENS</v>
          </cell>
          <cell r="L1174" t="str">
            <v>ACUSON X150</v>
          </cell>
          <cell r="M1174">
            <v>336231</v>
          </cell>
          <cell r="N1174" t="str">
            <v>OBSTETRIK &amp; GINEKOLOGI</v>
          </cell>
          <cell r="O1174" t="str">
            <v>Klinik Obstetrik Ginekologi</v>
          </cell>
          <cell r="P1174" t="str">
            <v>HM</v>
          </cell>
          <cell r="Q1174">
            <v>42000</v>
          </cell>
        </row>
        <row r="1175">
          <cell r="E1175" t="str">
            <v xml:space="preserve"> KKM/JKN/HSA/10-05-01/H/15/2465</v>
          </cell>
          <cell r="F1175" t="str">
            <v>Radiology</v>
          </cell>
          <cell r="G1175" t="str">
            <v>Intermediate</v>
          </cell>
          <cell r="H1175" t="str">
            <v>Scanning Systems, Ultrasonic, Obstetric/Gynecologic</v>
          </cell>
          <cell r="I1175" t="str">
            <v>ULTRASOUND COLOR DOPPLER, HI RES. ,GYNEC.</v>
          </cell>
          <cell r="J1175" t="str">
            <v>15-657</v>
          </cell>
          <cell r="K1175" t="str">
            <v>SIEMENS</v>
          </cell>
          <cell r="L1175" t="str">
            <v>ACUSON X300 PE</v>
          </cell>
          <cell r="M1175">
            <v>348424</v>
          </cell>
          <cell r="N1175" t="str">
            <v>OBSTETRIK &amp; GINEKOLOGI</v>
          </cell>
          <cell r="O1175" t="str">
            <v>Klinik Obstetrik Ginekologi</v>
          </cell>
          <cell r="P1175" t="str">
            <v>HM</v>
          </cell>
          <cell r="Q1175">
            <v>122500</v>
          </cell>
        </row>
        <row r="1176">
          <cell r="E1176" t="str">
            <v>KKM/JKN/HSA/10-05-01/R/15/16386</v>
          </cell>
          <cell r="F1176" t="str">
            <v xml:space="preserve">Diagnostic </v>
          </cell>
          <cell r="G1176" t="str">
            <v>Intermediate</v>
          </cell>
          <cell r="H1176" t="str">
            <v>Monitors, Physiologic, Vital Signs</v>
          </cell>
          <cell r="I1176" t="str">
            <v>SPHYGMOMANOMETER DIGITAL BATTERY OP</v>
          </cell>
          <cell r="J1176" t="str">
            <v>25-209</v>
          </cell>
          <cell r="K1176" t="str">
            <v>WELCH ALLYN</v>
          </cell>
          <cell r="L1176" t="str">
            <v>VSM 300</v>
          </cell>
          <cell r="M1176">
            <v>100055142814</v>
          </cell>
          <cell r="N1176" t="str">
            <v>OBSTETRIK &amp; GINEKOLOGI</v>
          </cell>
          <cell r="O1176" t="str">
            <v>Klinik Obstetrik Ginekologi</v>
          </cell>
          <cell r="P1176" t="str">
            <v>ABR</v>
          </cell>
          <cell r="Q1176">
            <v>1855</v>
          </cell>
        </row>
        <row r="1177">
          <cell r="E1177" t="str">
            <v xml:space="preserve"> 
KKM/JKN/HSA/10-05-01/R/15/16387</v>
          </cell>
          <cell r="F1177" t="str">
            <v xml:space="preserve">Diagnostic </v>
          </cell>
          <cell r="G1177" t="str">
            <v>Intermediate</v>
          </cell>
          <cell r="H1177" t="str">
            <v>Monitors, Physiologic, Vital Signs</v>
          </cell>
          <cell r="I1177" t="str">
            <v>SPHYGMOMANOMETER DIGITAL BATTERY OP</v>
          </cell>
          <cell r="J1177" t="str">
            <v>25-209</v>
          </cell>
          <cell r="K1177" t="str">
            <v>WELCH ALLYN</v>
          </cell>
          <cell r="L1177" t="str">
            <v>VSM 300</v>
          </cell>
          <cell r="M1177">
            <v>100055152814</v>
          </cell>
          <cell r="N1177" t="str">
            <v>OBSTETRIK &amp; GINEKOLOGI</v>
          </cell>
          <cell r="O1177" t="str">
            <v>Klinik Obstetrik Ginekologi</v>
          </cell>
          <cell r="P1177" t="str">
            <v>ABR</v>
          </cell>
          <cell r="Q1177">
            <v>1855</v>
          </cell>
        </row>
        <row r="1178">
          <cell r="E1178" t="str">
            <v>KKM/JKN/HSA/10-05-01/R/15/14859</v>
          </cell>
          <cell r="F1178" t="str">
            <v xml:space="preserve">Diagnostic </v>
          </cell>
          <cell r="G1178" t="str">
            <v>Basic</v>
          </cell>
          <cell r="H1178" t="str">
            <v>Sphygmomanometers, Aneroid</v>
          </cell>
          <cell r="I1178" t="str">
            <v>SPHYGMOMANOMETER ANEROID DESK MODEL</v>
          </cell>
          <cell r="J1178" t="str">
            <v>16-156</v>
          </cell>
          <cell r="K1178" t="str">
            <v>RIESTER</v>
          </cell>
          <cell r="L1178">
            <v>1453</v>
          </cell>
          <cell r="M1178"/>
          <cell r="N1178" t="str">
            <v>OBSTETRIK &amp; GINEKOLOGI</v>
          </cell>
          <cell r="O1178" t="str">
            <v>Klinik Obstetrik Ginekologi</v>
          </cell>
          <cell r="P1178" t="str">
            <v>ABR</v>
          </cell>
          <cell r="Q1178">
            <v>452.81</v>
          </cell>
        </row>
        <row r="1179">
          <cell r="E1179" t="str">
            <v>KKM/JKN/HSA/10-05-01/R/15/14860</v>
          </cell>
          <cell r="F1179" t="str">
            <v xml:space="preserve">Diagnostic </v>
          </cell>
          <cell r="G1179" t="str">
            <v>Basic</v>
          </cell>
          <cell r="H1179" t="str">
            <v>Sphygmomanometers, Aneroid</v>
          </cell>
          <cell r="I1179" t="str">
            <v>SPHYGMOMANOMETER ANEROID DESK MODEL</v>
          </cell>
          <cell r="J1179" t="str">
            <v>16-156</v>
          </cell>
          <cell r="K1179" t="str">
            <v>RIESTER</v>
          </cell>
          <cell r="L1179">
            <v>1453</v>
          </cell>
          <cell r="M1179"/>
          <cell r="N1179" t="str">
            <v>OBSTETRIK &amp; GINEKOLOGI</v>
          </cell>
          <cell r="O1179" t="str">
            <v>Klinik Obstetrik Ginekologi</v>
          </cell>
          <cell r="P1179" t="str">
            <v>ABR</v>
          </cell>
          <cell r="Q1179">
            <v>452.81</v>
          </cell>
        </row>
        <row r="1180">
          <cell r="E1180" t="str">
            <v>KKM/JKN/HSA/10-05-01/R/15/14861</v>
          </cell>
          <cell r="F1180" t="str">
            <v xml:space="preserve">Diagnostic </v>
          </cell>
          <cell r="G1180" t="str">
            <v>Basic</v>
          </cell>
          <cell r="H1180" t="str">
            <v>Sphygmomanometers, Aneroid</v>
          </cell>
          <cell r="I1180" t="str">
            <v>SPHYGMOMANOMETER ANEROID DESK MODEL</v>
          </cell>
          <cell r="J1180" t="str">
            <v>16-156</v>
          </cell>
          <cell r="K1180" t="str">
            <v>RIESTER</v>
          </cell>
          <cell r="L1180">
            <v>1453</v>
          </cell>
          <cell r="M1180"/>
          <cell r="N1180" t="str">
            <v>OBSTETRIK &amp; GINEKOLOGI</v>
          </cell>
          <cell r="O1180" t="str">
            <v>Klinik Obstetrik Ginekologi</v>
          </cell>
          <cell r="P1180" t="str">
            <v>ABR</v>
          </cell>
          <cell r="Q1180">
            <v>452.81</v>
          </cell>
        </row>
        <row r="1181">
          <cell r="E1181" t="str">
            <v>KKM/JKN/HSA/10-05-01/R/15/14862</v>
          </cell>
          <cell r="F1181" t="str">
            <v xml:space="preserve">Diagnostic </v>
          </cell>
          <cell r="G1181" t="str">
            <v>Basic</v>
          </cell>
          <cell r="H1181" t="str">
            <v>Sphygmomanometers, Aneroid</v>
          </cell>
          <cell r="I1181" t="str">
            <v>SPHYGMOMANOMETER ANEROID DESK MODEL</v>
          </cell>
          <cell r="J1181" t="str">
            <v>16-156</v>
          </cell>
          <cell r="K1181" t="str">
            <v>RIESTER</v>
          </cell>
          <cell r="L1181">
            <v>1453</v>
          </cell>
          <cell r="M1181"/>
          <cell r="N1181" t="str">
            <v>OBSTETRIK &amp; GINEKOLOGI</v>
          </cell>
          <cell r="O1181" t="str">
            <v>Klinik Obstetrik Ginekologi</v>
          </cell>
          <cell r="P1181" t="str">
            <v>ABR</v>
          </cell>
          <cell r="Q1181">
            <v>452.81</v>
          </cell>
        </row>
        <row r="1182">
          <cell r="E1182" t="str">
            <v>KKM/JKN/HSA/10-05-01/R/15/14863</v>
          </cell>
          <cell r="F1182" t="str">
            <v xml:space="preserve">Diagnostic </v>
          </cell>
          <cell r="G1182" t="str">
            <v>Basic</v>
          </cell>
          <cell r="H1182" t="str">
            <v>Sphygmomanometers, Aneroid</v>
          </cell>
          <cell r="I1182" t="str">
            <v>SPHYGMOMANOMETER ANEROID DESK MODEL</v>
          </cell>
          <cell r="J1182" t="str">
            <v>16-156</v>
          </cell>
          <cell r="K1182" t="str">
            <v>RIESTER</v>
          </cell>
          <cell r="L1182">
            <v>1453</v>
          </cell>
          <cell r="M1182"/>
          <cell r="N1182" t="str">
            <v>OBSTETRIK &amp; GINEKOLOGI</v>
          </cell>
          <cell r="O1182" t="str">
            <v>Klinik Obstetrik Ginekologi</v>
          </cell>
          <cell r="P1182" t="str">
            <v>ABR</v>
          </cell>
          <cell r="Q1182">
            <v>452.81</v>
          </cell>
        </row>
        <row r="1183">
          <cell r="E1183" t="str">
            <v>KKM/JKN/HSA/10-05-01/R/15/14864</v>
          </cell>
          <cell r="F1183" t="str">
            <v xml:space="preserve">Diagnostic </v>
          </cell>
          <cell r="G1183" t="str">
            <v>Basic</v>
          </cell>
          <cell r="H1183" t="str">
            <v>Sphygmomanometers, Aneroid</v>
          </cell>
          <cell r="I1183" t="str">
            <v>SPHYGMOMANOMETER ANEROID DESK MODEL</v>
          </cell>
          <cell r="J1183" t="str">
            <v>16-156</v>
          </cell>
          <cell r="K1183" t="str">
            <v>RIESTER</v>
          </cell>
          <cell r="L1183">
            <v>1453</v>
          </cell>
          <cell r="M1183"/>
          <cell r="N1183" t="str">
            <v>OBSTETRIK &amp; GINEKOLOGI</v>
          </cell>
          <cell r="O1183" t="str">
            <v>Klinik Obstetrik Ginekologi</v>
          </cell>
          <cell r="P1183" t="str">
            <v>ABR</v>
          </cell>
          <cell r="Q1183">
            <v>452.81</v>
          </cell>
        </row>
        <row r="1184">
          <cell r="E1184" t="str">
            <v>KKM/JKN/HSA/10-05-01/R/15/14865</v>
          </cell>
          <cell r="F1184" t="str">
            <v xml:space="preserve">Diagnostic </v>
          </cell>
          <cell r="G1184" t="str">
            <v>Basic</v>
          </cell>
          <cell r="H1184" t="str">
            <v>Sphygmomanometers, Aneroid</v>
          </cell>
          <cell r="I1184" t="str">
            <v>SPHYGMOMANOMETER ANEROID DESK MODEL</v>
          </cell>
          <cell r="J1184" t="str">
            <v>16-156</v>
          </cell>
          <cell r="K1184" t="str">
            <v>RIESTER</v>
          </cell>
          <cell r="L1184">
            <v>1453</v>
          </cell>
          <cell r="M1184"/>
          <cell r="N1184" t="str">
            <v>OBSTETRIK &amp; GINEKOLOGI</v>
          </cell>
          <cell r="O1184" t="str">
            <v>Klinik Obstetrik Ginekologi</v>
          </cell>
          <cell r="P1184" t="str">
            <v>ABR</v>
          </cell>
          <cell r="Q1184">
            <v>452.81</v>
          </cell>
        </row>
        <row r="1185">
          <cell r="E1185" t="str">
            <v>KKM/JKN/HSA/10-05-01/R/15/14866</v>
          </cell>
          <cell r="F1185" t="str">
            <v xml:space="preserve">Diagnostic </v>
          </cell>
          <cell r="G1185" t="str">
            <v>Basic</v>
          </cell>
          <cell r="H1185" t="str">
            <v>Sphygmomanometers, Aneroid</v>
          </cell>
          <cell r="I1185" t="str">
            <v>SPHYGMOMANOMETER ANEROID DESK MODEL</v>
          </cell>
          <cell r="J1185" t="str">
            <v>16-156</v>
          </cell>
          <cell r="K1185" t="str">
            <v>RIESTER</v>
          </cell>
          <cell r="L1185">
            <v>1453</v>
          </cell>
          <cell r="M1185"/>
          <cell r="N1185" t="str">
            <v>OBSTETRIK &amp; GINEKOLOGI</v>
          </cell>
          <cell r="O1185" t="str">
            <v>Klinik Obstetrik Ginekologi</v>
          </cell>
          <cell r="P1185" t="str">
            <v>ABR</v>
          </cell>
          <cell r="Q1185">
            <v>452.81</v>
          </cell>
        </row>
        <row r="1186">
          <cell r="E1186" t="str">
            <v>KKM/JKN/HSA/10-05-01/R/15/14867</v>
          </cell>
          <cell r="F1186" t="str">
            <v xml:space="preserve">Diagnostic </v>
          </cell>
          <cell r="G1186" t="str">
            <v>Basic</v>
          </cell>
          <cell r="H1186" t="str">
            <v>Sphygmomanometers, Aneroid</v>
          </cell>
          <cell r="I1186" t="str">
            <v>SPHYGMOMANOMETER ANEROID DESK MODEL</v>
          </cell>
          <cell r="J1186" t="str">
            <v>16-156</v>
          </cell>
          <cell r="K1186" t="str">
            <v>RIESTER</v>
          </cell>
          <cell r="L1186">
            <v>1453</v>
          </cell>
          <cell r="M1186"/>
          <cell r="N1186" t="str">
            <v>OBSTETRIK &amp; GINEKOLOGI</v>
          </cell>
          <cell r="O1186" t="str">
            <v>Klinik Obstetrik Ginekologi</v>
          </cell>
          <cell r="P1186" t="str">
            <v>ABR</v>
          </cell>
          <cell r="Q1186">
            <v>452.81</v>
          </cell>
        </row>
        <row r="1187">
          <cell r="E1187" t="str">
            <v>KKM/JKN/HSA/10-05-01/R/15/14868</v>
          </cell>
          <cell r="F1187" t="str">
            <v xml:space="preserve">Diagnostic </v>
          </cell>
          <cell r="G1187" t="str">
            <v>Basic</v>
          </cell>
          <cell r="H1187" t="str">
            <v>Sphygmomanometers, Aneroid</v>
          </cell>
          <cell r="I1187" t="str">
            <v>SPHYGMOMANOMETER ANEROID DESK MODEL</v>
          </cell>
          <cell r="J1187" t="str">
            <v>16-156</v>
          </cell>
          <cell r="K1187" t="str">
            <v>RIESTER</v>
          </cell>
          <cell r="L1187">
            <v>1453</v>
          </cell>
          <cell r="M1187"/>
          <cell r="N1187" t="str">
            <v>OBSTETRIK &amp; GINEKOLOGI</v>
          </cell>
          <cell r="O1187" t="str">
            <v>Klinik Obstetrik Ginekologi</v>
          </cell>
          <cell r="P1187" t="str">
            <v>ABR</v>
          </cell>
          <cell r="Q1187">
            <v>452.81</v>
          </cell>
        </row>
        <row r="1188">
          <cell r="E1188" t="str">
            <v>KKM/JKN/HSA/10-05-01/R/15/14869</v>
          </cell>
          <cell r="F1188" t="str">
            <v xml:space="preserve">Diagnostic </v>
          </cell>
          <cell r="G1188" t="str">
            <v>Basic</v>
          </cell>
          <cell r="H1188" t="str">
            <v>Sphygmomanometers, Aneroid</v>
          </cell>
          <cell r="I1188" t="str">
            <v>SPHYGMOMANOMETER ANEROID DESK MODEL</v>
          </cell>
          <cell r="J1188" t="str">
            <v>16-156</v>
          </cell>
          <cell r="K1188" t="str">
            <v>RIESTER</v>
          </cell>
          <cell r="L1188">
            <v>1453</v>
          </cell>
          <cell r="M1188"/>
          <cell r="N1188" t="str">
            <v>OBSTETRIK &amp; GINEKOLOGI</v>
          </cell>
          <cell r="O1188" t="str">
            <v>Klinik Obstetrik Ginekologi</v>
          </cell>
          <cell r="P1188" t="str">
            <v>ABR</v>
          </cell>
          <cell r="Q1188">
            <v>452.81</v>
          </cell>
        </row>
        <row r="1189">
          <cell r="E1189" t="str">
            <v>KKM/JKN/HSA/10-05-01/R/15/14870</v>
          </cell>
          <cell r="F1189" t="str">
            <v xml:space="preserve">Diagnostic </v>
          </cell>
          <cell r="G1189" t="str">
            <v>Basic</v>
          </cell>
          <cell r="H1189" t="str">
            <v>Sphygmomanometers, Aneroid</v>
          </cell>
          <cell r="I1189" t="str">
            <v>SPHYGMOMANOMETER ANEROID DESK MODEL</v>
          </cell>
          <cell r="J1189" t="str">
            <v>16-156</v>
          </cell>
          <cell r="K1189" t="str">
            <v>RIESTER</v>
          </cell>
          <cell r="L1189">
            <v>1453</v>
          </cell>
          <cell r="M1189"/>
          <cell r="N1189" t="str">
            <v>OBSTETRIK &amp; GINEKOLOGI</v>
          </cell>
          <cell r="O1189" t="str">
            <v>Klinik Obstetrik Ginekologi</v>
          </cell>
          <cell r="P1189" t="str">
            <v>ABR</v>
          </cell>
          <cell r="Q1189">
            <v>452.81</v>
          </cell>
        </row>
        <row r="1190">
          <cell r="E1190" t="str">
            <v>KKM/JKN/HSA/10-05-01/R/15/14871</v>
          </cell>
          <cell r="F1190" t="str">
            <v xml:space="preserve">Diagnostic </v>
          </cell>
          <cell r="G1190" t="str">
            <v>Basic</v>
          </cell>
          <cell r="H1190" t="str">
            <v>Sphygmomanometers, Aneroid</v>
          </cell>
          <cell r="I1190" t="str">
            <v>SPHYGMOMANOMETER ANEROID DESK MODEL</v>
          </cell>
          <cell r="J1190" t="str">
            <v>16-156</v>
          </cell>
          <cell r="K1190" t="str">
            <v>RIESTER</v>
          </cell>
          <cell r="L1190">
            <v>1453</v>
          </cell>
          <cell r="M1190"/>
          <cell r="N1190" t="str">
            <v>OBSTETRIK &amp; GINEKOLOGI</v>
          </cell>
          <cell r="O1190" t="str">
            <v>Klinik Obstetrik Ginekologi</v>
          </cell>
          <cell r="P1190" t="str">
            <v>ABR</v>
          </cell>
          <cell r="Q1190">
            <v>452.81</v>
          </cell>
        </row>
        <row r="1191">
          <cell r="E1191" t="str">
            <v>KKM/JKN/HSA/10-05-01/R/15/14872</v>
          </cell>
          <cell r="F1191" t="str">
            <v xml:space="preserve">Diagnostic </v>
          </cell>
          <cell r="G1191" t="str">
            <v>Basic</v>
          </cell>
          <cell r="H1191" t="str">
            <v>Sphygmomanometers, Aneroid</v>
          </cell>
          <cell r="I1191" t="str">
            <v>SPHYGMOMANOMETER ANEROID DESK MODEL</v>
          </cell>
          <cell r="J1191" t="str">
            <v>16-156</v>
          </cell>
          <cell r="K1191" t="str">
            <v>RIESTER</v>
          </cell>
          <cell r="L1191">
            <v>1453</v>
          </cell>
          <cell r="M1191"/>
          <cell r="N1191" t="str">
            <v>OBSTETRIK &amp; GINEKOLOGI</v>
          </cell>
          <cell r="O1191" t="str">
            <v>Klinik Obstetrik Ginekologi</v>
          </cell>
          <cell r="P1191" t="str">
            <v>ABR</v>
          </cell>
          <cell r="Q1191">
            <v>452.81</v>
          </cell>
        </row>
        <row r="1192">
          <cell r="E1192" t="str">
            <v>KKM/JKN/HSA/10-05-01/R/15/14873</v>
          </cell>
          <cell r="F1192" t="str">
            <v xml:space="preserve">Diagnostic </v>
          </cell>
          <cell r="G1192" t="str">
            <v>Basic</v>
          </cell>
          <cell r="H1192" t="str">
            <v>Sphygmomanometers, Aneroid</v>
          </cell>
          <cell r="I1192" t="str">
            <v>SPHYGMOMANOMETER ANEROID DESK MODEL</v>
          </cell>
          <cell r="J1192" t="str">
            <v>16-156</v>
          </cell>
          <cell r="K1192" t="str">
            <v>RIESTER</v>
          </cell>
          <cell r="L1192">
            <v>1453</v>
          </cell>
          <cell r="M1192"/>
          <cell r="N1192" t="str">
            <v>OBSTETRIK &amp; GINEKOLOGI</v>
          </cell>
          <cell r="O1192" t="str">
            <v>Klinik Obstetrik Ginekologi</v>
          </cell>
          <cell r="P1192" t="str">
            <v>ABR</v>
          </cell>
          <cell r="Q1192">
            <v>452.81</v>
          </cell>
        </row>
        <row r="1193">
          <cell r="E1193" t="str">
            <v>KKM/JKN/HSA/10-05-01/R/15/14874</v>
          </cell>
          <cell r="F1193" t="str">
            <v xml:space="preserve">Diagnostic </v>
          </cell>
          <cell r="G1193" t="str">
            <v>Basic</v>
          </cell>
          <cell r="H1193" t="str">
            <v>Sphygmomanometers, Aneroid</v>
          </cell>
          <cell r="I1193" t="str">
            <v>SPHYGMOMANOMETER ANEROID DESK MODEL</v>
          </cell>
          <cell r="J1193" t="str">
            <v>16-156</v>
          </cell>
          <cell r="K1193" t="str">
            <v>RIESTER</v>
          </cell>
          <cell r="L1193">
            <v>1453</v>
          </cell>
          <cell r="M1193"/>
          <cell r="N1193" t="str">
            <v>OBSTETRIK &amp; GINEKOLOGI</v>
          </cell>
          <cell r="O1193" t="str">
            <v>Klinik Obstetrik Ginekologi</v>
          </cell>
          <cell r="P1193" t="str">
            <v>ABR</v>
          </cell>
          <cell r="Q1193">
            <v>452.81</v>
          </cell>
        </row>
        <row r="1194">
          <cell r="E1194" t="str">
            <v>KKM/JKN/HSA/10-05-01/R/15/14876</v>
          </cell>
          <cell r="F1194" t="str">
            <v xml:space="preserve">Diagnostic </v>
          </cell>
          <cell r="G1194" t="str">
            <v>Basic</v>
          </cell>
          <cell r="H1194" t="str">
            <v>Sphygmomanometers, Aneroid</v>
          </cell>
          <cell r="I1194" t="str">
            <v>SPHYGMOMANOMETER ANEROID DESK MODEL</v>
          </cell>
          <cell r="J1194" t="str">
            <v>16-156</v>
          </cell>
          <cell r="K1194" t="str">
            <v>RIESTER</v>
          </cell>
          <cell r="L1194">
            <v>1453</v>
          </cell>
          <cell r="M1194"/>
          <cell r="N1194" t="str">
            <v>OBSTETRIK &amp; GINEKOLOGI</v>
          </cell>
          <cell r="O1194" t="str">
            <v>Klinik Obstetrik Ginekologi</v>
          </cell>
          <cell r="P1194" t="str">
            <v>ABR</v>
          </cell>
          <cell r="Q1194">
            <v>452.81</v>
          </cell>
        </row>
        <row r="1195">
          <cell r="E1195" t="str">
            <v>KKM/JKN/HSA/10-05-01/R/15/17351</v>
          </cell>
          <cell r="F1195" t="str">
            <v xml:space="preserve">Diagnostic </v>
          </cell>
          <cell r="G1195" t="str">
            <v>Basic</v>
          </cell>
          <cell r="H1195" t="str">
            <v>Sphygmomanometers, Aneroid</v>
          </cell>
          <cell r="I1195" t="str">
            <v>SPHYGMOMANOMETER ANEROID DESK MODEL</v>
          </cell>
          <cell r="J1195" t="str">
            <v>16-156</v>
          </cell>
          <cell r="K1195" t="str">
            <v>RIESTER</v>
          </cell>
          <cell r="L1195">
            <v>1453</v>
          </cell>
          <cell r="M1195"/>
          <cell r="N1195" t="str">
            <v>OBSTETRIK &amp; GINEKOLOGI</v>
          </cell>
          <cell r="O1195" t="str">
            <v>Klinik Obstetrik Ginekologi</v>
          </cell>
          <cell r="P1195" t="str">
            <v>ABR</v>
          </cell>
          <cell r="Q1195">
            <v>452.81</v>
          </cell>
        </row>
        <row r="1196">
          <cell r="E1196" t="str">
            <v>KKM/JKN/HSA/10-05-01/R/15/16149</v>
          </cell>
          <cell r="F1196" t="str">
            <v>Therapeutic</v>
          </cell>
          <cell r="G1196" t="str">
            <v>Basic</v>
          </cell>
          <cell r="H1196" t="str">
            <v>Nebulizers, Heated</v>
          </cell>
          <cell r="I1196" t="str">
            <v>NEBULISER</v>
          </cell>
          <cell r="J1196" t="str">
            <v>12-716</v>
          </cell>
          <cell r="K1196" t="str">
            <v>PHILIPS</v>
          </cell>
          <cell r="L1196" t="str">
            <v xml:space="preserve"> INNOSPIRE DELUXE</v>
          </cell>
          <cell r="M1196"/>
          <cell r="N1196" t="str">
            <v>OBSTETRIK &amp; GINEKOLOGI</v>
          </cell>
          <cell r="O1196" t="str">
            <v>Klinik Obstetrik Ginekologi</v>
          </cell>
          <cell r="P1196" t="str">
            <v>ABR</v>
          </cell>
          <cell r="Q1196">
            <v>1950</v>
          </cell>
        </row>
        <row r="1197">
          <cell r="E1197" t="str">
            <v>KKM/JKN/HSA/10-05-01/H/15/1597</v>
          </cell>
          <cell r="F1197" t="str">
            <v xml:space="preserve">Diagnostic </v>
          </cell>
          <cell r="G1197" t="str">
            <v>Intermediate</v>
          </cell>
          <cell r="H1197" t="str">
            <v>Monitors, Physiologic, Vital Signs</v>
          </cell>
          <cell r="I1197" t="str">
            <v>MONITOR NIBP/TEMP</v>
          </cell>
          <cell r="J1197" t="str">
            <v>25-209</v>
          </cell>
          <cell r="K1197" t="str">
            <v>WELCH ALLYN</v>
          </cell>
          <cell r="L1197" t="str">
            <v>WELCH ALLYN VSM 300</v>
          </cell>
          <cell r="M1197" t="str">
            <v>JA 123460</v>
          </cell>
          <cell r="N1197" t="str">
            <v>OBSTETRIK &amp; GINEKOLOGI</v>
          </cell>
          <cell r="O1197" t="str">
            <v>Klinik Obstetrik Ginekologi</v>
          </cell>
          <cell r="P1197" t="str">
            <v>HM</v>
          </cell>
          <cell r="Q1197">
            <v>4355</v>
          </cell>
        </row>
        <row r="1198">
          <cell r="E1198" t="str">
            <v>KKM/JKN/HSA/10-05-01/H/15/589</v>
          </cell>
          <cell r="F1198" t="str">
            <v xml:space="preserve">Diagnostic </v>
          </cell>
          <cell r="G1198" t="str">
            <v>Intermediate</v>
          </cell>
          <cell r="H1198" t="str">
            <v>Cardiotocographs</v>
          </cell>
          <cell r="I1198" t="str">
            <v>MONITOR ANTEPARTUM/TWIN W/INTEGRAL PRINTER</v>
          </cell>
          <cell r="J1198" t="str">
            <v>12-610</v>
          </cell>
          <cell r="K1198" t="str">
            <v>GE HEALTHCARE</v>
          </cell>
          <cell r="L1198" t="str">
            <v>COROMETRICS 172</v>
          </cell>
          <cell r="M1198"/>
          <cell r="N1198" t="str">
            <v>OBSTETRIK &amp; GINEKOLOGI</v>
          </cell>
          <cell r="O1198" t="str">
            <v>Klinik Obstetrik Ginekologi</v>
          </cell>
          <cell r="P1198" t="str">
            <v>HM</v>
          </cell>
          <cell r="Q1198">
            <v>10200</v>
          </cell>
        </row>
        <row r="1199">
          <cell r="E1199" t="str">
            <v>KKM/JKN/HSA/10-05-01/H/15/4300</v>
          </cell>
          <cell r="F1199" t="str">
            <v xml:space="preserve">Diagnostic </v>
          </cell>
          <cell r="G1199" t="str">
            <v>Intermediate</v>
          </cell>
          <cell r="H1199" t="str">
            <v>Cardiotocographs</v>
          </cell>
          <cell r="I1199" t="str">
            <v>MONITOR ANTEPARTUM W/INTEGRAL PRINTER</v>
          </cell>
          <cell r="J1199" t="str">
            <v>12-610</v>
          </cell>
          <cell r="K1199" t="str">
            <v>GE HEALTHCARE</v>
          </cell>
          <cell r="L1199" t="str">
            <v>COROMETRICS 172</v>
          </cell>
          <cell r="M1199" t="str">
            <v>SAS13370957PA</v>
          </cell>
          <cell r="N1199" t="str">
            <v>OBSTETRIK &amp; GINEKOLOGI</v>
          </cell>
          <cell r="O1199" t="str">
            <v>Klinik Obstetrik Ginekologi</v>
          </cell>
          <cell r="P1199" t="str">
            <v>HM</v>
          </cell>
          <cell r="Q1199">
            <v>10200</v>
          </cell>
        </row>
        <row r="1200">
          <cell r="E1200" t="str">
            <v>KKM/JKN/HSA/10-05-01/H/15/4301</v>
          </cell>
          <cell r="F1200" t="str">
            <v xml:space="preserve">Diagnostic </v>
          </cell>
          <cell r="G1200" t="str">
            <v>Intermediate</v>
          </cell>
          <cell r="H1200" t="str">
            <v>Cardiotocographs</v>
          </cell>
          <cell r="I1200" t="str">
            <v>MONITOR ANTEPARTUM W/INTEGRAL PRINTER</v>
          </cell>
          <cell r="J1200" t="str">
            <v>12-610</v>
          </cell>
          <cell r="K1200" t="str">
            <v>GE HEALTHCARE</v>
          </cell>
          <cell r="L1200" t="str">
            <v>COROMETRICS 172</v>
          </cell>
          <cell r="M1200" t="str">
            <v>SAS13320666PA</v>
          </cell>
          <cell r="N1200" t="str">
            <v>OBSTETRIK &amp; GINEKOLOGI</v>
          </cell>
          <cell r="O1200" t="str">
            <v>Klinik Obstetrik Ginekologi</v>
          </cell>
          <cell r="P1200" t="str">
            <v>HM</v>
          </cell>
          <cell r="Q1200">
            <v>10200</v>
          </cell>
        </row>
        <row r="1201">
          <cell r="E1201" t="str">
            <v>KKM/JKN/HSA/10-05-01/H/15/5123</v>
          </cell>
          <cell r="F1201" t="str">
            <v>Laboratory</v>
          </cell>
          <cell r="G1201" t="str">
            <v>Intermediate</v>
          </cell>
          <cell r="H1201" t="str">
            <v>Microscopes, Light, Laboratory</v>
          </cell>
          <cell r="I1201" t="str">
            <v>MICROSCOPE BINO PHSAE CONTRAST</v>
          </cell>
          <cell r="J1201" t="str">
            <v>15-156</v>
          </cell>
          <cell r="K1201" t="str">
            <v>LEICA</v>
          </cell>
          <cell r="L1201" t="str">
            <v>DM1000</v>
          </cell>
          <cell r="M1201" t="str">
            <v>360555</v>
          </cell>
          <cell r="N1201" t="str">
            <v>OBSTETRIK &amp; GINEKOLOGI</v>
          </cell>
          <cell r="O1201" t="str">
            <v>Klinik Obstetrik Ginekologi</v>
          </cell>
          <cell r="P1201" t="str">
            <v>HM</v>
          </cell>
          <cell r="Q1201">
            <v>9200</v>
          </cell>
        </row>
        <row r="1202">
          <cell r="E1202" t="str">
            <v>KKM/JKN/HSA/10-05-01/H/15/5122</v>
          </cell>
          <cell r="F1202" t="str">
            <v>Laboratory</v>
          </cell>
          <cell r="G1202" t="str">
            <v>Intermediate</v>
          </cell>
          <cell r="H1202" t="str">
            <v>Incubators, Laboratory, Thermocycling</v>
          </cell>
          <cell r="I1202" t="str">
            <v>INCUBATOR BACTERIOLOGICAL</v>
          </cell>
          <cell r="J1202" t="str">
            <v>18-013</v>
          </cell>
          <cell r="K1202" t="str">
            <v>BINDER</v>
          </cell>
          <cell r="L1202" t="str">
            <v>BD 53</v>
          </cell>
          <cell r="M1202" t="str">
            <v>13-16067</v>
          </cell>
          <cell r="N1202" t="str">
            <v>OBSTETRIK &amp; GINEKOLOGI</v>
          </cell>
          <cell r="O1202" t="str">
            <v>Klinik Obstetrik Ginekologi</v>
          </cell>
          <cell r="P1202" t="str">
            <v>HM</v>
          </cell>
          <cell r="Q1202">
            <v>6000</v>
          </cell>
        </row>
        <row r="1203">
          <cell r="E1203" t="str">
            <v>KKM/JKN/HSA/10-05-01/H/15/5121</v>
          </cell>
          <cell r="F1203" t="str">
            <v>Laboratory</v>
          </cell>
          <cell r="G1203" t="str">
            <v>Intermediate</v>
          </cell>
          <cell r="H1203" t="str">
            <v>Analyzers, Laboratory, Hematology, Hemoglobin</v>
          </cell>
          <cell r="I1203" t="str">
            <v>HAEMOGLOBINOMETER DIGITAL</v>
          </cell>
          <cell r="J1203" t="str">
            <v>15-146</v>
          </cell>
          <cell r="K1203" t="str">
            <v>HEMOCUE</v>
          </cell>
          <cell r="L1203" t="str">
            <v>HB201+</v>
          </cell>
          <cell r="M1203" t="str">
            <v>1405013170</v>
          </cell>
          <cell r="N1203" t="str">
            <v>OBSTETRIK &amp; GINEKOLOGI</v>
          </cell>
          <cell r="O1203" t="str">
            <v>Klinik Obstetrik Ginekologi</v>
          </cell>
          <cell r="P1203" t="str">
            <v>HM</v>
          </cell>
          <cell r="Q1203">
            <v>2300</v>
          </cell>
        </row>
        <row r="1204">
          <cell r="E1204"/>
          <cell r="F1204" t="str">
            <v>Therapeutic</v>
          </cell>
          <cell r="G1204" t="str">
            <v>Intermediate</v>
          </cell>
          <cell r="H1204" t="str">
            <v>Electrosurgical Units, Monopolar/Bipolar</v>
          </cell>
          <cell r="I1204" t="str">
            <v>DIATHERMY UNIT</v>
          </cell>
          <cell r="J1204" t="str">
            <v>18-231</v>
          </cell>
          <cell r="K1204" t="str">
            <v>Ellman</v>
          </cell>
          <cell r="L1204" t="str">
            <v>Surgitron F.F.P.F EMC</v>
          </cell>
          <cell r="M1204">
            <v>9130008082</v>
          </cell>
          <cell r="N1204" t="str">
            <v>OBSTETRIK &amp; GINEKOLOGI</v>
          </cell>
          <cell r="O1204" t="str">
            <v>Klinik Obstetrik Ginekologi</v>
          </cell>
          <cell r="P1204"/>
          <cell r="Q1204">
            <v>11160</v>
          </cell>
        </row>
        <row r="1205">
          <cell r="E1205" t="str">
            <v>KKM/JKN/HSA/10-05-01/H/15/3678</v>
          </cell>
          <cell r="F1205" t="str">
            <v>Therapeutic</v>
          </cell>
          <cell r="G1205" t="str">
            <v>Intermediate</v>
          </cell>
          <cell r="H1205" t="str">
            <v xml:space="preserve">Defibrillators, External, Automated </v>
          </cell>
          <cell r="I1205" t="str">
            <v>DEFIBRILLATOR W/INTERNAL/EXT PADDLES/PACEMAKER</v>
          </cell>
          <cell r="J1205" t="str">
            <v>17-116</v>
          </cell>
          <cell r="K1205" t="str">
            <v>PHILIPS</v>
          </cell>
          <cell r="L1205" t="str">
            <v>EFFICIA DFM100</v>
          </cell>
          <cell r="M1205"/>
          <cell r="N1205" t="str">
            <v>OBSTETRIK &amp; GINEKOLOGI</v>
          </cell>
          <cell r="O1205" t="str">
            <v>Klinik Obstetrik Ginekologi</v>
          </cell>
          <cell r="P1205" t="str">
            <v>HM</v>
          </cell>
          <cell r="Q1205">
            <v>14250</v>
          </cell>
        </row>
        <row r="1206">
          <cell r="E1206" t="str">
            <v>KKM/JKN/HSA/10-05-01/H/15/1345</v>
          </cell>
          <cell r="F1206" t="str">
            <v xml:space="preserve">Diagnostic </v>
          </cell>
          <cell r="G1206" t="str">
            <v>Intermediate</v>
          </cell>
          <cell r="H1206" t="str">
            <v>Colposcopes</v>
          </cell>
          <cell r="I1206" t="str">
            <v>COLPOSCOPY &amp; HYSTEROSCOPY CAMERA SYSTEM</v>
          </cell>
          <cell r="J1206" t="str">
            <v>10-960</v>
          </cell>
          <cell r="K1206" t="str">
            <v>OLYMPUS</v>
          </cell>
          <cell r="L1206" t="str">
            <v>OLYMPUS OCS-500</v>
          </cell>
          <cell r="M1206">
            <v>309308</v>
          </cell>
          <cell r="N1206" t="str">
            <v>OBSTETRIK &amp; GINEKOLOGI</v>
          </cell>
          <cell r="O1206" t="str">
            <v>Klinik Obstetrik Ginekologi</v>
          </cell>
          <cell r="P1206" t="str">
            <v>HM</v>
          </cell>
          <cell r="Q1206">
            <v>53210</v>
          </cell>
        </row>
        <row r="1207">
          <cell r="E1207" t="str">
            <v>KKM/JKN/HSA/10-05-01/H/15/5120</v>
          </cell>
          <cell r="F1207" t="str">
            <v>Laboratory</v>
          </cell>
          <cell r="G1207" t="str">
            <v>Intermediate</v>
          </cell>
          <cell r="H1207" t="str">
            <v>Centrifuges, Tabletop, Low-Speed, Refrigerated</v>
          </cell>
          <cell r="I1207" t="str">
            <v>CENTRIFUGE BENCHTOP REFRIGERATED</v>
          </cell>
          <cell r="J1207" t="str">
            <v xml:space="preserve">
18-265</v>
          </cell>
          <cell r="K1207" t="str">
            <v>HETTICH</v>
          </cell>
          <cell r="L1207" t="str">
            <v>UNIVERSAL 320R (CN: 1406)</v>
          </cell>
          <cell r="M1207" t="str">
            <v>0006145-09</v>
          </cell>
          <cell r="N1207" t="str">
            <v>OBSTETRIK &amp; GINEKOLOGI</v>
          </cell>
          <cell r="O1207" t="str">
            <v>Klinik Obstetrik Ginekologi</v>
          </cell>
          <cell r="P1207" t="str">
            <v>HM</v>
          </cell>
          <cell r="Q1207">
            <v>7670</v>
          </cell>
        </row>
        <row r="1208">
          <cell r="E1208" t="str">
            <v>KKM/JKN/HSA/10-05-01/R/15/7144</v>
          </cell>
          <cell r="F1208" t="str">
            <v xml:space="preserve">Diagnostic </v>
          </cell>
          <cell r="G1208" t="str">
            <v>Intermediate</v>
          </cell>
          <cell r="H1208" t="str">
            <v>Monitors, Physiologic, Vital Signs</v>
          </cell>
          <cell r="I1208" t="str">
            <v>BLOOD PRESSURE MONITOR NON INVASIVE</v>
          </cell>
          <cell r="J1208" t="str">
            <v>25-209</v>
          </cell>
          <cell r="K1208" t="str">
            <v>WELCH ALLYN</v>
          </cell>
          <cell r="L1208" t="str">
            <v>VSM 300</v>
          </cell>
          <cell r="M1208"/>
          <cell r="N1208" t="str">
            <v>OBSTETRIK &amp; GINEKOLOGI</v>
          </cell>
          <cell r="O1208" t="str">
            <v>Klinik Obstetrik Ginekologi</v>
          </cell>
          <cell r="P1208" t="str">
            <v>ABR</v>
          </cell>
          <cell r="Q1208">
            <v>1855</v>
          </cell>
        </row>
        <row r="1209">
          <cell r="E1209" t="str">
            <v>KKM/JKN/HSA/10-05-01/H/15/2545</v>
          </cell>
          <cell r="F1209" t="str">
            <v>Radiology</v>
          </cell>
          <cell r="G1209" t="str">
            <v>Intermediate</v>
          </cell>
          <cell r="H1209" t="str">
            <v>Radiographic Units, Dental</v>
          </cell>
          <cell r="I1209" t="str">
            <v>X-RAY UNIT DENTAL WALL MOUNTED</v>
          </cell>
          <cell r="J1209" t="str">
            <v>13-269</v>
          </cell>
          <cell r="K1209" t="str">
            <v>GENDEX</v>
          </cell>
          <cell r="L1209" t="str">
            <v>EXPERT DC</v>
          </cell>
          <cell r="M1209">
            <v>3014474</v>
          </cell>
          <cell r="N1209" t="str">
            <v>BEDAH MULUT</v>
          </cell>
          <cell r="O1209" t="str">
            <v>Klinik Bedah Mulut &amp; Klinik Pergigian Pediatrik</v>
          </cell>
          <cell r="P1209" t="str">
            <v>HM</v>
          </cell>
          <cell r="Q1209">
            <v>13900</v>
          </cell>
        </row>
        <row r="1210">
          <cell r="E1210" t="str">
            <v>KKM/JKN/HSA/10-05-01/R/15/15059</v>
          </cell>
          <cell r="F1210" t="str">
            <v>Therapeutic</v>
          </cell>
          <cell r="G1210" t="str">
            <v>Basic</v>
          </cell>
          <cell r="H1210" t="str">
            <v>Heating Units</v>
          </cell>
          <cell r="I1210" t="str">
            <v>WAX P0T</v>
          </cell>
          <cell r="J1210" t="str">
            <v>17-849</v>
          </cell>
          <cell r="K1210" t="str">
            <v>DENTAL FARM</v>
          </cell>
          <cell r="L1210" t="str">
            <v>A6012</v>
          </cell>
          <cell r="M1210"/>
          <cell r="N1210" t="str">
            <v>BEDAH MULUT</v>
          </cell>
          <cell r="O1210" t="str">
            <v>Klinik Bedah Mulut &amp; Klinik Pergigian Pediatrik</v>
          </cell>
          <cell r="P1210" t="str">
            <v>ABR</v>
          </cell>
          <cell r="Q1210">
            <v>920</v>
          </cell>
        </row>
        <row r="1211">
          <cell r="E1211" t="str">
            <v>KKM/JKN/HSA/10-05-01/R/15/15058</v>
          </cell>
          <cell r="F1211" t="str">
            <v>Therapeutic</v>
          </cell>
          <cell r="G1211" t="str">
            <v>Basic</v>
          </cell>
          <cell r="H1211" t="str">
            <v>Vibrators</v>
          </cell>
          <cell r="I1211" t="str">
            <v>VIBRATOR UNIT</v>
          </cell>
          <cell r="J1211" t="str">
            <v>14-369</v>
          </cell>
          <cell r="K1211" t="str">
            <v>DENTAL FARM</v>
          </cell>
          <cell r="L1211" t="str">
            <v>MIMIEP0RT A0125</v>
          </cell>
          <cell r="M1211"/>
          <cell r="N1211" t="str">
            <v>BEDAH MULUT</v>
          </cell>
          <cell r="O1211" t="str">
            <v>Klinik Bedah Mulut &amp; Klinik Pergigian Pediatrik</v>
          </cell>
          <cell r="P1211" t="str">
            <v>ABR</v>
          </cell>
          <cell r="Q1211">
            <v>1100</v>
          </cell>
        </row>
        <row r="1212">
          <cell r="E1212" t="str">
            <v>KKM/JKN/HSA/10-05-01/H/14/3</v>
          </cell>
          <cell r="F1212" t="str">
            <v>Therapeutic</v>
          </cell>
          <cell r="G1212" t="str">
            <v>Intermediate</v>
          </cell>
          <cell r="H1212" t="str">
            <v>Anesthesia Units, Dental</v>
          </cell>
          <cell r="I1212" t="str">
            <v>TUMESCENT ANESTHESIA</v>
          </cell>
          <cell r="J1212" t="str">
            <v>17-842</v>
          </cell>
          <cell r="K1212" t="str">
            <v>THE WAND</v>
          </cell>
          <cell r="L1212" t="str">
            <v>STA-5520</v>
          </cell>
          <cell r="M1212" t="str">
            <v>Q14070012232</v>
          </cell>
          <cell r="N1212" t="str">
            <v>BEDAH MULUT</v>
          </cell>
          <cell r="O1212" t="str">
            <v>Klinik Bedah Mulut &amp; Klinik Pergigian Pediatrik</v>
          </cell>
          <cell r="P1212" t="str">
            <v>HM</v>
          </cell>
          <cell r="Q1212">
            <v>14000</v>
          </cell>
        </row>
        <row r="1213">
          <cell r="E1213" t="str">
            <v>KKM/JKN/HSA/10-05-01/H/15/4045</v>
          </cell>
          <cell r="F1213" t="str">
            <v>Therapeutic</v>
          </cell>
          <cell r="G1213" t="str">
            <v>Basic</v>
          </cell>
          <cell r="H1213" t="str">
            <v>P0lishing unit, Dental</v>
          </cell>
          <cell r="I1213" t="str">
            <v>THERMOFORMING MACHINE/ERKOPRESS</v>
          </cell>
          <cell r="J1213" t="str">
            <v>88-008</v>
          </cell>
          <cell r="K1213" t="str">
            <v>MESTRA</v>
          </cell>
          <cell r="L1213" t="str">
            <v>R-080541</v>
          </cell>
          <cell r="M1213"/>
          <cell r="N1213" t="str">
            <v>BEDAH MULUT</v>
          </cell>
          <cell r="O1213" t="str">
            <v>Klinik Bedah Mulut &amp; Klinik Pergigian Pediatrik</v>
          </cell>
          <cell r="P1213" t="str">
            <v>HM</v>
          </cell>
          <cell r="Q1213">
            <v>4500</v>
          </cell>
        </row>
        <row r="1214">
          <cell r="E1214" t="str">
            <v>KKM/JKN/HSA/10-05-01/R/15/7126</v>
          </cell>
          <cell r="F1214" t="str">
            <v>Therapeutic</v>
          </cell>
          <cell r="G1214" t="str">
            <v>Basic</v>
          </cell>
          <cell r="H1214" t="str">
            <v>Testers, Pulp</v>
          </cell>
          <cell r="I1214" t="str">
            <v>TESTER PULP</v>
          </cell>
          <cell r="J1214" t="str">
            <v>13-187</v>
          </cell>
          <cell r="K1214" t="str">
            <v>PRODONT</v>
          </cell>
          <cell r="L1214" t="str">
            <v>DIGITAL</v>
          </cell>
          <cell r="M1214"/>
          <cell r="N1214" t="str">
            <v xml:space="preserve">PEMBEDAHAN MULUT </v>
          </cell>
          <cell r="O1214" t="str">
            <v>Klinik Bedah Mulut &amp; Klinik Pergigian Pediatrik</v>
          </cell>
          <cell r="P1214" t="str">
            <v>ABR</v>
          </cell>
          <cell r="Q1214">
            <v>1000</v>
          </cell>
        </row>
        <row r="1215">
          <cell r="E1215" t="str">
            <v>KKM/JKN/HSA/10-05-01/R/15/7127</v>
          </cell>
          <cell r="F1215" t="str">
            <v>Therapeutic</v>
          </cell>
          <cell r="G1215" t="str">
            <v>Basic</v>
          </cell>
          <cell r="H1215" t="str">
            <v>Testers, Pulp</v>
          </cell>
          <cell r="I1215" t="str">
            <v>TESTER PULP</v>
          </cell>
          <cell r="J1215" t="str">
            <v>13-187</v>
          </cell>
          <cell r="K1215" t="str">
            <v>PRODONT</v>
          </cell>
          <cell r="L1215" t="str">
            <v>DIGITAL</v>
          </cell>
          <cell r="M1215"/>
          <cell r="N1215" t="str">
            <v xml:space="preserve">PEMBEDAHAN MULUT </v>
          </cell>
          <cell r="O1215" t="str">
            <v>Klinik Bedah Mulut &amp; Klinik Pergigian Pediatrik</v>
          </cell>
          <cell r="P1215" t="str">
            <v>ABR</v>
          </cell>
          <cell r="Q1215">
            <v>1000</v>
          </cell>
        </row>
        <row r="1216">
          <cell r="E1216" t="str">
            <v>KKM/JKN/HSA/10-05-01/R/15/7128</v>
          </cell>
          <cell r="F1216" t="str">
            <v>Therapeutic</v>
          </cell>
          <cell r="G1216" t="str">
            <v>Basic</v>
          </cell>
          <cell r="H1216" t="str">
            <v>Testers, Pulp</v>
          </cell>
          <cell r="I1216" t="str">
            <v>TESTER PULP</v>
          </cell>
          <cell r="J1216" t="str">
            <v>13-187</v>
          </cell>
          <cell r="K1216" t="str">
            <v>PRODONT</v>
          </cell>
          <cell r="L1216" t="str">
            <v>DIGITAL</v>
          </cell>
          <cell r="M1216"/>
          <cell r="N1216" t="str">
            <v xml:space="preserve">PEMBEDAHAN MULUT </v>
          </cell>
          <cell r="O1216" t="str">
            <v>Klinik Bedah Mulut &amp; Klinik Pergigian Pediatrik</v>
          </cell>
          <cell r="P1216" t="str">
            <v>ABR</v>
          </cell>
          <cell r="Q1216">
            <v>1000</v>
          </cell>
        </row>
        <row r="1217">
          <cell r="E1217" t="str">
            <v>KKM/JKN/HSA/10-05-01/R/15/7129</v>
          </cell>
          <cell r="F1217" t="str">
            <v>Therapeutic</v>
          </cell>
          <cell r="G1217" t="str">
            <v>Basic</v>
          </cell>
          <cell r="H1217" t="str">
            <v>Testers, Pulp</v>
          </cell>
          <cell r="I1217" t="str">
            <v>TESTER PULP</v>
          </cell>
          <cell r="J1217" t="str">
            <v>13-187</v>
          </cell>
          <cell r="K1217" t="str">
            <v>PRODONT</v>
          </cell>
          <cell r="L1217" t="str">
            <v>DIGITAL</v>
          </cell>
          <cell r="M1217"/>
          <cell r="N1217" t="str">
            <v xml:space="preserve">PEMBEDAHAN MULUT </v>
          </cell>
          <cell r="O1217" t="str">
            <v>Klinik Bedah Mulut &amp; Klinik Pergigian Pediatrik</v>
          </cell>
          <cell r="P1217" t="str">
            <v>ABR</v>
          </cell>
          <cell r="Q1217">
            <v>1000</v>
          </cell>
        </row>
        <row r="1218">
          <cell r="E1218" t="str">
            <v>KKM/JKN/HSA/10-05-01/R/15/7130</v>
          </cell>
          <cell r="F1218" t="str">
            <v>Therapeutic</v>
          </cell>
          <cell r="G1218" t="str">
            <v>Basic</v>
          </cell>
          <cell r="H1218" t="str">
            <v>Testers, Pulp</v>
          </cell>
          <cell r="I1218" t="str">
            <v>TESTER PULP</v>
          </cell>
          <cell r="J1218" t="str">
            <v>13-187</v>
          </cell>
          <cell r="K1218" t="str">
            <v>PRODONT</v>
          </cell>
          <cell r="L1218" t="str">
            <v>DIGITAL</v>
          </cell>
          <cell r="M1218"/>
          <cell r="N1218" t="str">
            <v xml:space="preserve">PEMBEDAHAN MULUT </v>
          </cell>
          <cell r="O1218" t="str">
            <v>Klinik Bedah Mulut &amp; Klinik Pergigian Pediatrik</v>
          </cell>
          <cell r="P1218" t="str">
            <v>ABR</v>
          </cell>
          <cell r="Q1218">
            <v>1000</v>
          </cell>
        </row>
        <row r="1219">
          <cell r="E1219" t="str">
            <v>KKM/JKN/HSA/10-05-01/R/15/7131</v>
          </cell>
          <cell r="F1219" t="str">
            <v>Therapeutic</v>
          </cell>
          <cell r="G1219" t="str">
            <v>Basic</v>
          </cell>
          <cell r="H1219" t="str">
            <v>Testers, Pulp</v>
          </cell>
          <cell r="I1219" t="str">
            <v>TESTER PULP</v>
          </cell>
          <cell r="J1219" t="str">
            <v>13-187</v>
          </cell>
          <cell r="K1219" t="str">
            <v>PRODONT</v>
          </cell>
          <cell r="L1219" t="str">
            <v>DIGITAL</v>
          </cell>
          <cell r="M1219"/>
          <cell r="N1219" t="str">
            <v xml:space="preserve">PEMBEDAHAN MULUT </v>
          </cell>
          <cell r="O1219" t="str">
            <v>Klinik Bedah Mulut &amp; Klinik Pergigian Pediatrik</v>
          </cell>
          <cell r="P1219" t="str">
            <v>ABR</v>
          </cell>
          <cell r="Q1219">
            <v>1000</v>
          </cell>
        </row>
        <row r="1220">
          <cell r="E1220" t="str">
            <v>KKM/JKN/HSA/10-05-01/R/15/7132</v>
          </cell>
          <cell r="F1220" t="str">
            <v>Therapeutic</v>
          </cell>
          <cell r="G1220" t="str">
            <v>Basic</v>
          </cell>
          <cell r="H1220" t="str">
            <v>Testers, Pulp</v>
          </cell>
          <cell r="I1220" t="str">
            <v>TESTER PULP</v>
          </cell>
          <cell r="J1220" t="str">
            <v>13-187</v>
          </cell>
          <cell r="K1220" t="str">
            <v>PRODONT</v>
          </cell>
          <cell r="L1220" t="str">
            <v>DIGITAL</v>
          </cell>
          <cell r="M1220"/>
          <cell r="N1220" t="str">
            <v xml:space="preserve">PEMBEDAHAN MULUT </v>
          </cell>
          <cell r="O1220" t="str">
            <v>Klinik Bedah Mulut &amp; Klinik Pergigian Pediatrik</v>
          </cell>
          <cell r="P1220" t="str">
            <v>ABR</v>
          </cell>
          <cell r="Q1220">
            <v>1000</v>
          </cell>
        </row>
        <row r="1221">
          <cell r="E1221" t="str">
            <v>KKM/JKN/HSA/10-05-01/R/15/7133</v>
          </cell>
          <cell r="F1221" t="str">
            <v>Therapeutic</v>
          </cell>
          <cell r="G1221" t="str">
            <v>Basic</v>
          </cell>
          <cell r="H1221" t="str">
            <v>Testers, Pulp</v>
          </cell>
          <cell r="I1221" t="str">
            <v>TESTER PULP</v>
          </cell>
          <cell r="J1221" t="str">
            <v>13-187</v>
          </cell>
          <cell r="K1221" t="str">
            <v>PRODONT</v>
          </cell>
          <cell r="L1221" t="str">
            <v>DIGITAL</v>
          </cell>
          <cell r="M1221"/>
          <cell r="N1221" t="str">
            <v xml:space="preserve">PEMBEDAHAN MULUT </v>
          </cell>
          <cell r="O1221" t="str">
            <v>Klinik Bedah Mulut &amp; Klinik Pergigian Pediatrik</v>
          </cell>
          <cell r="P1221" t="str">
            <v>ABR</v>
          </cell>
          <cell r="Q1221">
            <v>1000</v>
          </cell>
        </row>
        <row r="1222">
          <cell r="E1222" t="str">
            <v>KKM/JKN/HSA/10-05-01/R/15/7134</v>
          </cell>
          <cell r="F1222" t="str">
            <v>Therapeutic</v>
          </cell>
          <cell r="G1222" t="str">
            <v>Basic</v>
          </cell>
          <cell r="H1222" t="str">
            <v>Testers, Pulp</v>
          </cell>
          <cell r="I1222" t="str">
            <v>TESTER PULP</v>
          </cell>
          <cell r="J1222" t="str">
            <v>13-187</v>
          </cell>
          <cell r="K1222" t="str">
            <v>PRODONT</v>
          </cell>
          <cell r="L1222" t="str">
            <v>DIGITAL</v>
          </cell>
          <cell r="M1222"/>
          <cell r="N1222" t="str">
            <v xml:space="preserve">PEMBEDAHAN MULUT </v>
          </cell>
          <cell r="O1222" t="str">
            <v>Klinik Bedah Mulut &amp; Klinik Pergigian Pediatrik</v>
          </cell>
          <cell r="P1222" t="str">
            <v>ABR</v>
          </cell>
          <cell r="Q1222">
            <v>1000</v>
          </cell>
        </row>
        <row r="1223">
          <cell r="E1223" t="str">
            <v>KKM/JKN/HSA/10-05-01/R/15/7135</v>
          </cell>
          <cell r="F1223" t="str">
            <v>Therapeutic</v>
          </cell>
          <cell r="G1223" t="str">
            <v>Basic</v>
          </cell>
          <cell r="H1223" t="str">
            <v>Testers, Pulp</v>
          </cell>
          <cell r="I1223" t="str">
            <v>TESTER PULP</v>
          </cell>
          <cell r="J1223" t="str">
            <v>13-187</v>
          </cell>
          <cell r="K1223" t="str">
            <v>PRODONT</v>
          </cell>
          <cell r="L1223" t="str">
            <v>DIGITAL</v>
          </cell>
          <cell r="M1223"/>
          <cell r="N1223" t="str">
            <v xml:space="preserve">PEMBEDAHAN MULUT </v>
          </cell>
          <cell r="O1223" t="str">
            <v>Klinik Bedah Mulut &amp; Klinik Pergigian Pediatrik</v>
          </cell>
          <cell r="P1223" t="str">
            <v>ABR</v>
          </cell>
          <cell r="Q1223">
            <v>1000</v>
          </cell>
        </row>
        <row r="1224">
          <cell r="E1224" t="str">
            <v>KKM/JKN/HSA/10-05-01/H/15/1129</v>
          </cell>
          <cell r="F1224" t="str">
            <v>Therapeutic</v>
          </cell>
          <cell r="G1224" t="str">
            <v>Basic</v>
          </cell>
          <cell r="H1224" t="str">
            <v>Aspirators</v>
          </cell>
          <cell r="I1224" t="str">
            <v>SUCTION UNIT 2 X 2L JAR MOBILE</v>
          </cell>
          <cell r="J1224" t="str">
            <v>10-208</v>
          </cell>
          <cell r="K1224" t="str">
            <v>ALLIED HEALTHCARE</v>
          </cell>
          <cell r="L1224" t="str">
            <v>GOMCO/ 01-23-3840</v>
          </cell>
          <cell r="M1224" t="str">
            <v>GFHT60022</v>
          </cell>
          <cell r="N1224" t="str">
            <v xml:space="preserve">PEMBEDAHAN MULUT </v>
          </cell>
          <cell r="O1224" t="str">
            <v>Klinik Bedah Mulut &amp; Klinik Pergigian Pediatrik</v>
          </cell>
          <cell r="P1224" t="str">
            <v>HM</v>
          </cell>
          <cell r="Q1224">
            <v>12150</v>
          </cell>
        </row>
        <row r="1225">
          <cell r="E1225" t="str">
            <v>KKM/JKN/HSA/10-05-01/H/15/2549</v>
          </cell>
          <cell r="F1225" t="str">
            <v>Radiology</v>
          </cell>
          <cell r="G1225" t="str">
            <v>Basic</v>
          </cell>
          <cell r="H1225" t="str">
            <v>X-ray Film Processors, Automatic, Dental</v>
          </cell>
          <cell r="I1225" t="str">
            <v>PROCESSOR FILM DENTAL</v>
          </cell>
          <cell r="J1225" t="str">
            <v>15-939</v>
          </cell>
          <cell r="K1225" t="str">
            <v>KAVO</v>
          </cell>
          <cell r="L1225" t="str">
            <v>KAVO SCAN EXAM</v>
          </cell>
          <cell r="M1225" t="str">
            <v>KJ1210473</v>
          </cell>
          <cell r="N1225" t="str">
            <v>PEMBEDAHAN MULUT</v>
          </cell>
          <cell r="O1225" t="str">
            <v>Klinik Bedah Mulut &amp; Klinik Pergigian Pediatrik</v>
          </cell>
          <cell r="P1225" t="str">
            <v>HM</v>
          </cell>
          <cell r="Q1225">
            <v>48300</v>
          </cell>
        </row>
        <row r="1226">
          <cell r="E1226" t="str">
            <v>KKM/JKN/HSA/10-05-01/H/15/1161</v>
          </cell>
          <cell r="F1226" t="str">
            <v>Therapeutic</v>
          </cell>
          <cell r="G1226" t="str">
            <v>Basic</v>
          </cell>
          <cell r="H1226" t="str">
            <v>Loupes</v>
          </cell>
          <cell r="I1226" t="str">
            <v>PRISM LOUPE OPERATING</v>
          </cell>
          <cell r="J1226" t="str">
            <v>15-652</v>
          </cell>
          <cell r="K1226" t="str">
            <v>HEINA</v>
          </cell>
          <cell r="L1226" t="str">
            <v>HRP LOUPE (VARIOUS)</v>
          </cell>
          <cell r="M1226"/>
          <cell r="N1226" t="str">
            <v xml:space="preserve">PEMBEDAHAN MULUT </v>
          </cell>
          <cell r="O1226" t="str">
            <v>Klinik Bedah Mulut &amp; Klinik Pergigian Pediatrik</v>
          </cell>
          <cell r="P1226" t="str">
            <v>HM</v>
          </cell>
          <cell r="Q1226">
            <v>10200</v>
          </cell>
        </row>
        <row r="1227">
          <cell r="E1227" t="str">
            <v>KKM/JKN/HSA/10-05-01/H/15/1162</v>
          </cell>
          <cell r="F1227" t="str">
            <v>Therapeutic</v>
          </cell>
          <cell r="G1227" t="str">
            <v>Basic</v>
          </cell>
          <cell r="H1227" t="str">
            <v>Loupes</v>
          </cell>
          <cell r="I1227" t="str">
            <v>PRISM LOUPE OPERATING</v>
          </cell>
          <cell r="J1227" t="str">
            <v>15-652</v>
          </cell>
          <cell r="K1227" t="str">
            <v>HEINA</v>
          </cell>
          <cell r="L1227" t="str">
            <v>HRP LOUPE (VARIOUS)</v>
          </cell>
          <cell r="M1227"/>
          <cell r="N1227" t="str">
            <v xml:space="preserve">PEMBEDAHAN MULUT </v>
          </cell>
          <cell r="O1227" t="str">
            <v>Klinik Bedah Mulut &amp; Klinik Pergigian Pediatrik</v>
          </cell>
          <cell r="P1227" t="str">
            <v>HM</v>
          </cell>
          <cell r="Q1227">
            <v>10200</v>
          </cell>
        </row>
        <row r="1228">
          <cell r="E1228" t="str">
            <v>KKM/JKN/HSA/10-05-01/H/15/4218</v>
          </cell>
          <cell r="F1228" t="str">
            <v>Therapeutic</v>
          </cell>
          <cell r="G1228" t="str">
            <v>Basic</v>
          </cell>
          <cell r="H1228" t="str">
            <v>Loupes</v>
          </cell>
          <cell r="I1228" t="str">
            <v>PRISM LOUPE OPERATING</v>
          </cell>
          <cell r="J1228" t="str">
            <v>15-652</v>
          </cell>
          <cell r="K1228" t="str">
            <v>HEINA</v>
          </cell>
          <cell r="L1228" t="str">
            <v xml:space="preserve">HRP LOUPE </v>
          </cell>
          <cell r="M1228"/>
          <cell r="N1228" t="str">
            <v xml:space="preserve">PEMBEDAHAN MULUT </v>
          </cell>
          <cell r="O1228" t="str">
            <v>Klinik Bedah Mulut &amp; Klinik Pergigian Pediatrik</v>
          </cell>
          <cell r="P1228" t="str">
            <v>HM</v>
          </cell>
          <cell r="Q1228">
            <v>10200</v>
          </cell>
        </row>
        <row r="1229">
          <cell r="E1229" t="str">
            <v>KKM/JKN/HSA/10-05-01/H/15/4025</v>
          </cell>
          <cell r="F1229" t="str">
            <v>Therapeutic</v>
          </cell>
          <cell r="G1229" t="str">
            <v>Basic</v>
          </cell>
          <cell r="H1229" t="str">
            <v>Polymer Applicator, Dental</v>
          </cell>
          <cell r="I1229" t="str">
            <v>P0LYMERIZATION BATH</v>
          </cell>
          <cell r="J1229" t="str">
            <v>99-903</v>
          </cell>
          <cell r="K1229" t="str">
            <v>HANDLER MANUFACTURING</v>
          </cell>
          <cell r="L1229" t="str">
            <v>2010DCU-E</v>
          </cell>
          <cell r="M1229"/>
          <cell r="N1229" t="str">
            <v xml:space="preserve">PEMBEDAHAN MULUT </v>
          </cell>
          <cell r="O1229" t="str">
            <v>Klinik Bedah Mulut &amp; Klinik Pergigian Pediatrik</v>
          </cell>
          <cell r="P1229" t="str">
            <v>HM</v>
          </cell>
          <cell r="Q1229">
            <v>10000</v>
          </cell>
        </row>
        <row r="1230">
          <cell r="E1230" t="str">
            <v>KKM/JKN/HSA/10-05-01/H/15/4026</v>
          </cell>
          <cell r="F1230" t="str">
            <v>Therapeutic</v>
          </cell>
          <cell r="G1230" t="str">
            <v>Basic</v>
          </cell>
          <cell r="H1230" t="str">
            <v>Polymer Applicator, Dental</v>
          </cell>
          <cell r="I1230" t="str">
            <v>P0LYMERIZATION BATH</v>
          </cell>
          <cell r="J1230" t="str">
            <v>99-903</v>
          </cell>
          <cell r="K1230" t="str">
            <v>HANDLER MANUFACTURING</v>
          </cell>
          <cell r="L1230" t="str">
            <v xml:space="preserve"> 2010DCU-E</v>
          </cell>
          <cell r="M1230"/>
          <cell r="N1230" t="str">
            <v xml:space="preserve">PEMBEDAHAN MULUT </v>
          </cell>
          <cell r="O1230" t="str">
            <v>Klinik Bedah Mulut &amp; Klinik Pergigian Pediatrik</v>
          </cell>
          <cell r="P1230" t="str">
            <v>HM</v>
          </cell>
          <cell r="Q1230">
            <v>10000</v>
          </cell>
        </row>
        <row r="1231">
          <cell r="E1231" t="str">
            <v>KKM/JKN/HSA/10-05-01/H/15/5074</v>
          </cell>
          <cell r="F1231" t="str">
            <v>Therapeutic</v>
          </cell>
          <cell r="G1231" t="str">
            <v>Basic</v>
          </cell>
          <cell r="H1231" t="str">
            <v>Polishing unit, Dental</v>
          </cell>
          <cell r="I1231" t="str">
            <v>P0LISHING UNIT</v>
          </cell>
          <cell r="J1231" t="str">
            <v>88-008</v>
          </cell>
          <cell r="K1231" t="str">
            <v>DENTAL FARM</v>
          </cell>
          <cell r="L1231" t="str">
            <v>SHINE A5201</v>
          </cell>
          <cell r="M1231"/>
          <cell r="N1231" t="str">
            <v>BEDAH MULUT</v>
          </cell>
          <cell r="O1231" t="str">
            <v>Klinik Bedah Mulut &amp; Klinik Pergigian Pediatrik</v>
          </cell>
          <cell r="P1231" t="str">
            <v>HM</v>
          </cell>
          <cell r="Q1231">
            <v>13100</v>
          </cell>
        </row>
        <row r="1232">
          <cell r="E1232" t="str">
            <v>KKM/JKN/HSA/10-05-01/H/15/1026</v>
          </cell>
          <cell r="F1232" t="str">
            <v xml:space="preserve">Diagnostic </v>
          </cell>
          <cell r="G1232" t="str">
            <v>Intermediate</v>
          </cell>
          <cell r="H1232" t="str">
            <v>Monitors, Physiologic, Vital Signs</v>
          </cell>
          <cell r="I1232" t="str">
            <v>MONITOR NIBP/SP02</v>
          </cell>
          <cell r="J1232" t="str">
            <v>25-209</v>
          </cell>
          <cell r="K1232" t="str">
            <v>WELCH ALLYN</v>
          </cell>
          <cell r="L1232" t="str">
            <v>WELCH ALLYN VSM 300</v>
          </cell>
          <cell r="M1232" t="str">
            <v>JA123485</v>
          </cell>
          <cell r="N1232" t="str">
            <v xml:space="preserve">PEMBEDAHAN MULUT </v>
          </cell>
          <cell r="O1232" t="str">
            <v>Klinik Bedah Mulut &amp; Klinik Pergigian Pediatrik</v>
          </cell>
          <cell r="P1232" t="str">
            <v>HM</v>
          </cell>
          <cell r="Q1232">
            <v>5185</v>
          </cell>
        </row>
        <row r="1233">
          <cell r="E1233" t="str">
            <v xml:space="preserve"> 
KKM/JKN/HSA/10-05-01/H/15/1661</v>
          </cell>
          <cell r="F1233" t="str">
            <v>Therapeutic</v>
          </cell>
          <cell r="G1233" t="str">
            <v>Basic</v>
          </cell>
          <cell r="H1233" t="str">
            <v>Trimmers, Model, Dental</v>
          </cell>
          <cell r="I1233" t="str">
            <v>MODEL SURVEYOR</v>
          </cell>
          <cell r="J1233" t="str">
            <v>20-000</v>
          </cell>
          <cell r="K1233" t="str">
            <v>DENTAL FARM</v>
          </cell>
          <cell r="L1233" t="str">
            <v>SURVEYOR B</v>
          </cell>
          <cell r="M1233"/>
          <cell r="N1233" t="str">
            <v>PEMBEDAHAN MULUT</v>
          </cell>
          <cell r="O1233" t="str">
            <v>Klinik Bedah Mulut &amp; Klinik Pergigian Pediatrik</v>
          </cell>
          <cell r="P1233" t="str">
            <v>HM</v>
          </cell>
          <cell r="Q1233">
            <v>2200</v>
          </cell>
        </row>
        <row r="1234">
          <cell r="E1234" t="str">
            <v>KKM/JKN/HSA/10-05-01/H/15/1701</v>
          </cell>
          <cell r="F1234" t="str">
            <v>Therapeutic</v>
          </cell>
          <cell r="G1234" t="str">
            <v>Basic</v>
          </cell>
          <cell r="H1234" t="str">
            <v>Acrylic Curing Units, Dental</v>
          </cell>
          <cell r="I1234" t="str">
            <v>LIGHT CURING UNIT</v>
          </cell>
          <cell r="J1234" t="str">
            <v>16-353</v>
          </cell>
          <cell r="K1234" t="str">
            <v>KERR SYBRON DENTAL</v>
          </cell>
          <cell r="L1234" t="str">
            <v>DEMI PLUS</v>
          </cell>
          <cell r="M1234">
            <v>760050671</v>
          </cell>
          <cell r="N1234" t="str">
            <v xml:space="preserve">PEMBEDAHAN MULUT </v>
          </cell>
          <cell r="O1234" t="str">
            <v>Klinik Bedah Mulut &amp; Klinik Pergigian Pediatrik</v>
          </cell>
          <cell r="P1234" t="str">
            <v>HM</v>
          </cell>
          <cell r="Q1234">
            <v>2550</v>
          </cell>
        </row>
        <row r="1235">
          <cell r="E1235" t="str">
            <v>KKM/JKN/HSA/10-05-01/H/15/1702</v>
          </cell>
          <cell r="F1235" t="str">
            <v>Therapeutic</v>
          </cell>
          <cell r="G1235" t="str">
            <v>Basic</v>
          </cell>
          <cell r="H1235" t="str">
            <v>Acrylic Curing Units, Dental</v>
          </cell>
          <cell r="I1235" t="str">
            <v>LIGHT CURING UNIT</v>
          </cell>
          <cell r="J1235" t="str">
            <v>16-353</v>
          </cell>
          <cell r="K1235" t="str">
            <v>KERR SYBRON DENTAL</v>
          </cell>
          <cell r="L1235" t="str">
            <v>DEMI PLUS</v>
          </cell>
          <cell r="M1235">
            <v>760050758</v>
          </cell>
          <cell r="N1235" t="str">
            <v xml:space="preserve">PEMBEDAHAN MULUT </v>
          </cell>
          <cell r="O1235" t="str">
            <v>Klinik Bedah Mulut &amp; Klinik Pergigian Pediatrik</v>
          </cell>
          <cell r="P1235" t="str">
            <v>HM</v>
          </cell>
          <cell r="Q1235">
            <v>2550</v>
          </cell>
        </row>
        <row r="1236">
          <cell r="E1236" t="str">
            <v>KKM/JKN/HSA/10-05-01/H/15/1703</v>
          </cell>
          <cell r="F1236" t="str">
            <v>Therapeutic</v>
          </cell>
          <cell r="G1236" t="str">
            <v>Basic</v>
          </cell>
          <cell r="H1236" t="str">
            <v>Acrylic Curing Units, Dental</v>
          </cell>
          <cell r="I1236" t="str">
            <v>LIGHT CURING UNIT</v>
          </cell>
          <cell r="J1236" t="str">
            <v>16-353</v>
          </cell>
          <cell r="K1236" t="str">
            <v>KERR SYBRON DENTAL</v>
          </cell>
          <cell r="L1236" t="str">
            <v>DEMI PLUS</v>
          </cell>
          <cell r="M1236">
            <v>760050697</v>
          </cell>
          <cell r="N1236" t="str">
            <v xml:space="preserve">PEMBEDAHAN MULUT </v>
          </cell>
          <cell r="O1236" t="str">
            <v>Klinik Bedah Mulut &amp; Klinik Pergigian Pediatrik</v>
          </cell>
          <cell r="P1236" t="str">
            <v>HM</v>
          </cell>
          <cell r="Q1236">
            <v>2550</v>
          </cell>
        </row>
        <row r="1237">
          <cell r="E1237" t="str">
            <v>KKM/JKN/HSA/10-05-01/H/15/1704</v>
          </cell>
          <cell r="F1237" t="str">
            <v>Therapeutic</v>
          </cell>
          <cell r="G1237" t="str">
            <v>Basic</v>
          </cell>
          <cell r="H1237" t="str">
            <v>Acrylic Curing Units, Dental</v>
          </cell>
          <cell r="I1237" t="str">
            <v>LIGHT CURING UNIT</v>
          </cell>
          <cell r="J1237" t="str">
            <v>16-353</v>
          </cell>
          <cell r="K1237" t="str">
            <v>KERR SYBRON DENTAL</v>
          </cell>
          <cell r="L1237" t="str">
            <v>DEMI PLUS</v>
          </cell>
          <cell r="M1237">
            <v>760050759</v>
          </cell>
          <cell r="N1237" t="str">
            <v xml:space="preserve">PEMBEDAHAN MULUT </v>
          </cell>
          <cell r="O1237" t="str">
            <v>Klinik Bedah Mulut &amp; Klinik Pergigian Pediatrik</v>
          </cell>
          <cell r="P1237" t="str">
            <v>HM</v>
          </cell>
          <cell r="Q1237">
            <v>2550</v>
          </cell>
        </row>
        <row r="1238">
          <cell r="E1238" t="str">
            <v>KKM/JKN/HSA/10-05-01/H/15/1705</v>
          </cell>
          <cell r="F1238" t="str">
            <v>Therapeutic</v>
          </cell>
          <cell r="G1238" t="str">
            <v>Basic</v>
          </cell>
          <cell r="H1238" t="str">
            <v>Acrylic Curing Units, Dental</v>
          </cell>
          <cell r="I1238" t="str">
            <v>LIGHT CURING UNIT</v>
          </cell>
          <cell r="J1238" t="str">
            <v>16-353</v>
          </cell>
          <cell r="K1238" t="str">
            <v>KERR SYBRON DENTAL</v>
          </cell>
          <cell r="L1238" t="str">
            <v>DEMI PLUS</v>
          </cell>
          <cell r="M1238">
            <v>760050760</v>
          </cell>
          <cell r="N1238" t="str">
            <v xml:space="preserve">PEMBEDAHAN MULUT </v>
          </cell>
          <cell r="O1238" t="str">
            <v>Klinik Bedah Mulut &amp; Klinik Pergigian Pediatrik</v>
          </cell>
          <cell r="P1238" t="str">
            <v>HM</v>
          </cell>
          <cell r="Q1238">
            <v>2550</v>
          </cell>
        </row>
        <row r="1239">
          <cell r="E1239" t="str">
            <v>KKM/JKN/HSA/10-05-01/H/15/1706</v>
          </cell>
          <cell r="F1239" t="str">
            <v>Therapeutic</v>
          </cell>
          <cell r="G1239" t="str">
            <v>Basic</v>
          </cell>
          <cell r="H1239" t="str">
            <v>Acrylic Curing Units, Dental</v>
          </cell>
          <cell r="I1239" t="str">
            <v>LIGHT CURING UNIT</v>
          </cell>
          <cell r="J1239" t="str">
            <v>16-353</v>
          </cell>
          <cell r="K1239" t="str">
            <v>KERR SYBRON DENTAL</v>
          </cell>
          <cell r="L1239" t="str">
            <v>DEMI PLUS</v>
          </cell>
          <cell r="M1239">
            <v>760050698</v>
          </cell>
          <cell r="N1239" t="str">
            <v xml:space="preserve">PEMBEDAHAN MULUT </v>
          </cell>
          <cell r="O1239" t="str">
            <v>Klinik Bedah Mulut &amp; Klinik Pergigian Pediatrik</v>
          </cell>
          <cell r="P1239" t="str">
            <v>HM</v>
          </cell>
          <cell r="Q1239">
            <v>2550</v>
          </cell>
        </row>
        <row r="1240">
          <cell r="E1240" t="str">
            <v>KKM/JKN/HSA/10-05-01/H/15/1707</v>
          </cell>
          <cell r="F1240" t="str">
            <v>Therapeutic</v>
          </cell>
          <cell r="G1240" t="str">
            <v>Basic</v>
          </cell>
          <cell r="H1240" t="str">
            <v>Acrylic Curing Units, Dental</v>
          </cell>
          <cell r="I1240" t="str">
            <v>LIGHT CURING UNIT</v>
          </cell>
          <cell r="J1240" t="str">
            <v>16-353</v>
          </cell>
          <cell r="K1240" t="str">
            <v>KERR SYBRON DENTAL</v>
          </cell>
          <cell r="L1240" t="str">
            <v>DEMI PLUS</v>
          </cell>
          <cell r="M1240">
            <v>760050699</v>
          </cell>
          <cell r="N1240" t="str">
            <v xml:space="preserve">PEMBEDAHAN MULUT </v>
          </cell>
          <cell r="O1240" t="str">
            <v>Klinik Bedah Mulut &amp; Klinik Pergigian Pediatrik</v>
          </cell>
          <cell r="P1240" t="str">
            <v>HM</v>
          </cell>
          <cell r="Q1240">
            <v>2550</v>
          </cell>
        </row>
        <row r="1241">
          <cell r="E1241" t="str">
            <v>KKM/JKN/HSA/10-05-01/H/15/1708</v>
          </cell>
          <cell r="F1241" t="str">
            <v>Therapeutic</v>
          </cell>
          <cell r="G1241" t="str">
            <v>Basic</v>
          </cell>
          <cell r="H1241" t="str">
            <v>Acrylic Curing Units, Dental</v>
          </cell>
          <cell r="I1241" t="str">
            <v>LIGHT CURING UNIT</v>
          </cell>
          <cell r="J1241" t="str">
            <v>16-353</v>
          </cell>
          <cell r="K1241" t="str">
            <v>KERR SYBRON DENTAL</v>
          </cell>
          <cell r="L1241" t="str">
            <v>DEMI PLUS</v>
          </cell>
          <cell r="M1241">
            <v>760050604</v>
          </cell>
          <cell r="N1241" t="str">
            <v xml:space="preserve">PEMBEDAHAN MULUT </v>
          </cell>
          <cell r="O1241" t="str">
            <v>Klinik Bedah Mulut &amp; Klinik Pergigian Pediatrik</v>
          </cell>
          <cell r="P1241" t="str">
            <v>HM</v>
          </cell>
          <cell r="Q1241">
            <v>2550</v>
          </cell>
        </row>
        <row r="1242">
          <cell r="E1242" t="str">
            <v>KKM/JKN/HSA/10-05-01/H/15/1709</v>
          </cell>
          <cell r="F1242" t="str">
            <v>Therapeutic</v>
          </cell>
          <cell r="G1242" t="str">
            <v>Basic</v>
          </cell>
          <cell r="H1242" t="str">
            <v>Acrylic Curing Units, Dental</v>
          </cell>
          <cell r="I1242" t="str">
            <v>LIGHT CURING UNIT</v>
          </cell>
          <cell r="J1242" t="str">
            <v>16-353</v>
          </cell>
          <cell r="K1242" t="str">
            <v>KERR SYBRON DENTAL</v>
          </cell>
          <cell r="L1242" t="str">
            <v>DEMI PLUS</v>
          </cell>
          <cell r="M1242">
            <v>760050674</v>
          </cell>
          <cell r="N1242" t="str">
            <v xml:space="preserve">PEMBEDAHAN MULUT </v>
          </cell>
          <cell r="O1242" t="str">
            <v>Klinik Bedah Mulut &amp; Klinik Pergigian Pediatrik</v>
          </cell>
          <cell r="P1242" t="str">
            <v>HM</v>
          </cell>
          <cell r="Q1242">
            <v>2550</v>
          </cell>
        </row>
        <row r="1243">
          <cell r="E1243" t="str">
            <v>KKM/JKN/HSA/10-05-01/H/15/1710</v>
          </cell>
          <cell r="F1243" t="str">
            <v>Therapeutic</v>
          </cell>
          <cell r="G1243" t="str">
            <v>Basic</v>
          </cell>
          <cell r="H1243" t="str">
            <v>Acrylic Curing Units, Dental</v>
          </cell>
          <cell r="I1243" t="str">
            <v>LIGHT CURING UNIT</v>
          </cell>
          <cell r="J1243" t="str">
            <v>16-353</v>
          </cell>
          <cell r="K1243" t="str">
            <v>KERR SYBRON DENTAL</v>
          </cell>
          <cell r="L1243" t="str">
            <v>DEMI PLUS</v>
          </cell>
          <cell r="M1243">
            <v>760050675</v>
          </cell>
          <cell r="N1243" t="str">
            <v xml:space="preserve">PEMBEDAHAN MULUT </v>
          </cell>
          <cell r="O1243" t="str">
            <v>Klinik Bedah Mulut &amp; Klinik Pergigian Pediatrik</v>
          </cell>
          <cell r="P1243" t="str">
            <v>HM</v>
          </cell>
          <cell r="Q1243">
            <v>2550</v>
          </cell>
        </row>
        <row r="1244">
          <cell r="E1244" t="str">
            <v>KKM/JKN/HSA/10-05-01/H/16/48</v>
          </cell>
          <cell r="F1244" t="str">
            <v>Laboratory</v>
          </cell>
          <cell r="G1244" t="str">
            <v>Basic</v>
          </cell>
          <cell r="H1244" t="str">
            <v>Centrifuges, Tabletop</v>
          </cell>
          <cell r="I1244" t="str">
            <v>LAB CENTRIFUGE</v>
          </cell>
          <cell r="J1244" t="str">
            <v>10-780</v>
          </cell>
          <cell r="K1244" t="str">
            <v xml:space="preserve">CHOUKROUN </v>
          </cell>
          <cell r="L1244" t="str">
            <v>CENTRIFUGE DUO</v>
          </cell>
          <cell r="M1244" t="str">
            <v>LE4E 005448</v>
          </cell>
          <cell r="N1244" t="str">
            <v xml:space="preserve">PEMBEDAHAN MULUT </v>
          </cell>
          <cell r="O1244" t="str">
            <v>Klinik Bedah Mulut &amp; Klinik Pergigian Pediatrik</v>
          </cell>
          <cell r="P1244" t="str">
            <v>HM</v>
          </cell>
          <cell r="Q1244">
            <v>12800</v>
          </cell>
        </row>
        <row r="1245">
          <cell r="E1245" t="str">
            <v>KKM/JKN/HSA/10-05-01/H/16/34</v>
          </cell>
          <cell r="F1245" t="str">
            <v>Radiology</v>
          </cell>
          <cell r="G1245" t="str">
            <v>Intermediate</v>
          </cell>
          <cell r="H1245" t="str">
            <v>Cameras, Video, Dental, Intraoral/Extraoral</v>
          </cell>
          <cell r="I1245" t="str">
            <v>KAMERA DIGITAL</v>
          </cell>
          <cell r="J1245" t="str">
            <v>88-026</v>
          </cell>
          <cell r="K1245" t="str">
            <v>PN5130</v>
          </cell>
          <cell r="L1245" t="str">
            <v>TPM</v>
          </cell>
          <cell r="M1245" t="str">
            <v>C0007513</v>
          </cell>
          <cell r="N1245" t="str">
            <v xml:space="preserve">PEMBEDAHAN MULUT </v>
          </cell>
          <cell r="O1245" t="str">
            <v>Klinik Bedah Mulut &amp; Klinik Pergigian Pediatrik</v>
          </cell>
          <cell r="P1245" t="str">
            <v>HM</v>
          </cell>
          <cell r="Q1245">
            <v>9000</v>
          </cell>
        </row>
        <row r="1246">
          <cell r="E1246" t="str">
            <v>KKM/JKN/HSA/10-05-01/H/16/102</v>
          </cell>
          <cell r="F1246" t="str">
            <v>Laboratory</v>
          </cell>
          <cell r="G1246" t="str">
            <v>Basic</v>
          </cell>
          <cell r="H1246" t="str">
            <v>Mixers, Clinical Laboratory</v>
          </cell>
          <cell r="I1246" t="str">
            <v>IMPRESSION MATERIAL MIXER</v>
          </cell>
          <cell r="J1246" t="str">
            <v>15-161</v>
          </cell>
          <cell r="K1246" t="str">
            <v>DENTAMERICA</v>
          </cell>
          <cell r="L1246" t="str">
            <v xml:space="preserve"> BLENDEX</v>
          </cell>
          <cell r="M1246" t="str">
            <v>G00109</v>
          </cell>
          <cell r="N1246" t="str">
            <v>PEMBEDAHAN MULUT</v>
          </cell>
          <cell r="O1246" t="str">
            <v>Klinik Bedah Mulut &amp; Klinik Pergigian Pediatrik</v>
          </cell>
          <cell r="P1246" t="str">
            <v>HM</v>
          </cell>
          <cell r="Q1246">
            <v>3380</v>
          </cell>
        </row>
        <row r="1247">
          <cell r="E1247" t="str">
            <v>KKM/JKN/HSA/10-05-01/H/16/103</v>
          </cell>
          <cell r="F1247" t="str">
            <v>Laboratory</v>
          </cell>
          <cell r="G1247" t="str">
            <v>Basic</v>
          </cell>
          <cell r="H1247" t="str">
            <v>Mixers, Clinical Laboratory</v>
          </cell>
          <cell r="I1247" t="str">
            <v>IMPRESSION MATERIAL MIXER</v>
          </cell>
          <cell r="J1247" t="str">
            <v>15-161</v>
          </cell>
          <cell r="K1247" t="str">
            <v>DENTAMERICA</v>
          </cell>
          <cell r="L1247" t="str">
            <v xml:space="preserve"> BLENDEX</v>
          </cell>
          <cell r="M1247" t="str">
            <v>G00137</v>
          </cell>
          <cell r="N1247" t="str">
            <v>PEMBEDAHAN MULUT</v>
          </cell>
          <cell r="O1247" t="str">
            <v>Klinik Bedah Mulut &amp; Klinik Pergigian Pediatrik</v>
          </cell>
          <cell r="P1247" t="str">
            <v>HM</v>
          </cell>
          <cell r="Q1247">
            <v>3380</v>
          </cell>
        </row>
        <row r="1248">
          <cell r="E1248" t="str">
            <v>KKM/JKN/HSA/10-05-01/H/15/3574</v>
          </cell>
          <cell r="F1248" t="str">
            <v xml:space="preserve">Diagnostic </v>
          </cell>
          <cell r="G1248" t="str">
            <v>Basic</v>
          </cell>
          <cell r="H1248" t="str">
            <v>Light Sources, Fiberoptic</v>
          </cell>
          <cell r="I1248" t="str">
            <v>HEADLAMP FIBEROPTIC W/XENON LIGHT SOURCE</v>
          </cell>
          <cell r="J1248" t="str">
            <v>12-345</v>
          </cell>
          <cell r="K1248" t="str">
            <v>HEINE</v>
          </cell>
          <cell r="L1248" t="str">
            <v>MD1000-J-003.31.232</v>
          </cell>
          <cell r="M1248"/>
          <cell r="N1248" t="str">
            <v>OTORINOLARINGOLOGI</v>
          </cell>
          <cell r="O1248" t="str">
            <v>Klinik Bedah Mulut &amp; Klinik Pergigian Pediatrik</v>
          </cell>
          <cell r="P1248" t="str">
            <v>HM</v>
          </cell>
          <cell r="Q1248">
            <v>14000</v>
          </cell>
        </row>
        <row r="1249">
          <cell r="E1249" t="str">
            <v>KKM/JKN/HSA/10-05-01/H/15/3575</v>
          </cell>
          <cell r="F1249" t="str">
            <v xml:space="preserve">Diagnostic </v>
          </cell>
          <cell r="G1249" t="str">
            <v>Basic</v>
          </cell>
          <cell r="H1249" t="str">
            <v>Light Sources, Fiberoptic</v>
          </cell>
          <cell r="I1249" t="str">
            <v>HEADLAMP FIBEROPTIC W/XENON LIGHT SOURCE</v>
          </cell>
          <cell r="J1249" t="str">
            <v>12-345</v>
          </cell>
          <cell r="K1249" t="str">
            <v>HEINE</v>
          </cell>
          <cell r="L1249" t="str">
            <v>MD1000-J-003.31.233</v>
          </cell>
          <cell r="M1249"/>
          <cell r="N1249" t="str">
            <v>OTORINOLARINGOLOGI</v>
          </cell>
          <cell r="O1249" t="str">
            <v>Klinik Bedah Mulut &amp; Klinik Pergigian Pediatrik</v>
          </cell>
          <cell r="P1249" t="str">
            <v>HM</v>
          </cell>
          <cell r="Q1249">
            <v>14000</v>
          </cell>
        </row>
        <row r="1250">
          <cell r="E1250" t="str">
            <v>KKM/JKN/HSA/10-05-01/H/15/4214</v>
          </cell>
          <cell r="F1250" t="str">
            <v>Therapeutic</v>
          </cell>
          <cell r="G1250" t="str">
            <v>Basic</v>
          </cell>
          <cell r="H1250" t="str">
            <v>Dental Handpiece Maintenance Unit</v>
          </cell>
          <cell r="I1250" t="str">
            <v>HANDPIECE MAINTENANCE EQUIPMENT</v>
          </cell>
          <cell r="J1250" t="str">
            <v>88-027</v>
          </cell>
          <cell r="K1250" t="str">
            <v>W&amp;H DENTAL WERK</v>
          </cell>
          <cell r="L1250" t="str">
            <v>ASSISTINA 3 X 3</v>
          </cell>
          <cell r="M1250" t="str">
            <v>01313</v>
          </cell>
          <cell r="N1250" t="str">
            <v>BEDAH MULUT</v>
          </cell>
          <cell r="O1250" t="str">
            <v>Klinik Bedah Mulut &amp; Klinik Pergigian Pediatrik</v>
          </cell>
          <cell r="P1250" t="str">
            <v>HM</v>
          </cell>
          <cell r="Q1250">
            <v>12000</v>
          </cell>
        </row>
        <row r="1251">
          <cell r="E1251" t="str">
            <v>KKM/JKN/HSA/10-05-01/H/15/1660</v>
          </cell>
          <cell r="F1251" t="str">
            <v>Therapeutic</v>
          </cell>
          <cell r="G1251" t="str">
            <v>Intermediate</v>
          </cell>
          <cell r="H1251" t="str">
            <v>Electrosurgical Units, MonoP0lar/BiP0lar</v>
          </cell>
          <cell r="I1251" t="str">
            <v>ELECTROSURGERY UNIT DENTAL</v>
          </cell>
          <cell r="J1251" t="str">
            <v>18-231</v>
          </cell>
          <cell r="K1251" t="str">
            <v>SATELEC</v>
          </cell>
          <cell r="L1251" t="str">
            <v>SERVETOME G11</v>
          </cell>
          <cell r="M1251">
            <v>207797011</v>
          </cell>
          <cell r="N1251" t="str">
            <v xml:space="preserve">PEMBEDAHAN MULUT </v>
          </cell>
          <cell r="O1251" t="str">
            <v>Klinik Bedah Mulut &amp; Klinik Pergigian Pediatrik</v>
          </cell>
          <cell r="P1251" t="str">
            <v>HM</v>
          </cell>
          <cell r="Q1251">
            <v>5875</v>
          </cell>
        </row>
        <row r="1252">
          <cell r="E1252" t="str">
            <v>KKM/JKN/HSA/10-05-01/H/16/52</v>
          </cell>
          <cell r="F1252" t="str">
            <v>Therapeutic</v>
          </cell>
          <cell r="G1252" t="str">
            <v>Basic</v>
          </cell>
          <cell r="H1252" t="str">
            <v>Analgesia Units, Inhalation</v>
          </cell>
          <cell r="I1252" t="str">
            <v>DIGITAL NITROUS OXIDE SEDATION</v>
          </cell>
          <cell r="J1252" t="str">
            <v>16-953</v>
          </cell>
          <cell r="K1252" t="str">
            <v xml:space="preserve">AMBULANC </v>
          </cell>
          <cell r="L1252" t="str">
            <v>5000DS</v>
          </cell>
          <cell r="M1252" t="str">
            <v>SZAB5000DS15090101</v>
          </cell>
          <cell r="N1252" t="str">
            <v xml:space="preserve">PEMBEDAHAN MULUT </v>
          </cell>
          <cell r="O1252" t="str">
            <v>Klinik Bedah Mulut &amp; Klinik Pergigian Pediatrik</v>
          </cell>
          <cell r="P1252" t="str">
            <v>HM</v>
          </cell>
          <cell r="Q1252">
            <v>28000</v>
          </cell>
        </row>
        <row r="1253">
          <cell r="E1253" t="str">
            <v>KKM/JKN/HSA/10-05-01/R/15/7379</v>
          </cell>
          <cell r="F1253" t="str">
            <v xml:space="preserve">Diagnostic </v>
          </cell>
          <cell r="G1253" t="str">
            <v>Basic</v>
          </cell>
          <cell r="H1253" t="str">
            <v>Ophthalmoscopes/Otoscopes</v>
          </cell>
          <cell r="I1253" t="str">
            <v>DIAGNOSTIC SET ADULT</v>
          </cell>
          <cell r="J1253" t="str">
            <v>18-595</v>
          </cell>
          <cell r="K1253" t="str">
            <v>RUDOLF RIESTER, GMBH</v>
          </cell>
          <cell r="L1253" t="str">
            <v>RI-SCOPE ENT 3761</v>
          </cell>
          <cell r="M1253"/>
          <cell r="N1253" t="str">
            <v xml:space="preserve">PEMBEDAHAN MULUT </v>
          </cell>
          <cell r="O1253" t="str">
            <v>Klinik Bedah Mulut &amp; Klinik Pergigian Pediatrik</v>
          </cell>
          <cell r="P1253" t="str">
            <v>ABR</v>
          </cell>
          <cell r="Q1253">
            <v>1459.33</v>
          </cell>
        </row>
        <row r="1254">
          <cell r="E1254" t="str">
            <v>KKM/JKN/HSA/10-05-01/R/15/7380</v>
          </cell>
          <cell r="F1254" t="str">
            <v xml:space="preserve">Diagnostic </v>
          </cell>
          <cell r="G1254" t="str">
            <v>Basic</v>
          </cell>
          <cell r="H1254" t="str">
            <v>Ophthalmoscopes/Otoscopes</v>
          </cell>
          <cell r="I1254" t="str">
            <v>DIAGNOSTIC SET ADULT</v>
          </cell>
          <cell r="J1254" t="str">
            <v>18-595</v>
          </cell>
          <cell r="K1254" t="str">
            <v>RUDOLF RIESTER, GMBH</v>
          </cell>
          <cell r="L1254" t="str">
            <v>RI-SCOPE ENT 3761</v>
          </cell>
          <cell r="M1254"/>
          <cell r="N1254" t="str">
            <v xml:space="preserve">PEMBEDAHAN MULUT </v>
          </cell>
          <cell r="O1254" t="str">
            <v>Klinik Bedah Mulut &amp; Klinik Pergigian Pediatrik</v>
          </cell>
          <cell r="P1254" t="str">
            <v>ABR</v>
          </cell>
          <cell r="Q1254">
            <v>1459.33</v>
          </cell>
        </row>
        <row r="1255">
          <cell r="E1255" t="str">
            <v>KKM/JKN/HSA/10-05-01/R/15/7381</v>
          </cell>
          <cell r="F1255" t="str">
            <v xml:space="preserve">Diagnostic </v>
          </cell>
          <cell r="G1255" t="str">
            <v>Basic</v>
          </cell>
          <cell r="H1255" t="str">
            <v>Ophthalmoscopes/Otoscopes</v>
          </cell>
          <cell r="I1255" t="str">
            <v>DIAGNOSTIC SET ADULT</v>
          </cell>
          <cell r="J1255" t="str">
            <v>18-595</v>
          </cell>
          <cell r="K1255" t="str">
            <v>RUDOLF RIESTER, GMBH</v>
          </cell>
          <cell r="L1255" t="str">
            <v>RI-SCOPE ENT 3761</v>
          </cell>
          <cell r="M1255"/>
          <cell r="N1255" t="str">
            <v xml:space="preserve">PEMCEDAHAN MULUT </v>
          </cell>
          <cell r="O1255" t="str">
            <v>Klinik Bedah Mulut &amp; Klinik Pergigian Pediatrik</v>
          </cell>
          <cell r="P1255" t="str">
            <v>ABR</v>
          </cell>
          <cell r="Q1255">
            <v>1459.33</v>
          </cell>
        </row>
        <row r="1256">
          <cell r="E1256" t="str">
            <v>KKM/JKN/HSA/10-05-01/H/15/1089</v>
          </cell>
          <cell r="F1256" t="str">
            <v>Therapeutic</v>
          </cell>
          <cell r="G1256" t="str">
            <v>Basic</v>
          </cell>
          <cell r="H1256" t="str">
            <v>Chairs, Examination/Treatment</v>
          </cell>
          <cell r="I1256" t="str">
            <v>DENTAL X-RAY CHAIR</v>
          </cell>
          <cell r="J1256" t="str">
            <v>16-437</v>
          </cell>
          <cell r="K1256" t="str">
            <v>JORG &amp; SOHN</v>
          </cell>
          <cell r="L1256" t="str">
            <v>COBURY RAY-O-SEAT 4045U</v>
          </cell>
          <cell r="M1256"/>
          <cell r="N1256" t="str">
            <v xml:space="preserve">PEMBEDAHAN MULUT </v>
          </cell>
          <cell r="O1256" t="str">
            <v>Klinik Bedah Mulut &amp; Klinik Pergigian Pediatrik</v>
          </cell>
          <cell r="P1256" t="str">
            <v>HM</v>
          </cell>
          <cell r="Q1256">
            <v>7000</v>
          </cell>
        </row>
        <row r="1257">
          <cell r="E1257" t="str">
            <v>KKM/JKN/HSA/10-05-01/H/16/37</v>
          </cell>
          <cell r="F1257" t="str">
            <v>Therapeutic</v>
          </cell>
          <cell r="G1257" t="str">
            <v>Basic</v>
          </cell>
          <cell r="H1257" t="str">
            <v>Aspirators, Dental</v>
          </cell>
          <cell r="I1257" t="str">
            <v>DENTAL SUCTION PUMP</v>
          </cell>
          <cell r="J1257" t="str">
            <v xml:space="preserve">
10-212</v>
          </cell>
          <cell r="K1257" t="str">
            <v>TONGYE</v>
          </cell>
          <cell r="L1257" t="str">
            <v>R6842-YDX-100M-35A-Disp</v>
          </cell>
          <cell r="M1257" t="str">
            <v>DE-15-09-79</v>
          </cell>
          <cell r="N1257" t="str">
            <v xml:space="preserve">PEMBEDAHAN MULUT </v>
          </cell>
          <cell r="O1257" t="str">
            <v>Klinik Bedah Mulut &amp; Klinik Pergigian Pediatrik</v>
          </cell>
          <cell r="P1257" t="str">
            <v>HM</v>
          </cell>
          <cell r="Q1257">
            <v>6600</v>
          </cell>
        </row>
        <row r="1258">
          <cell r="E1258" t="str">
            <v>KKM/JKN/HSA/10-05-01/H/16/38</v>
          </cell>
          <cell r="F1258" t="str">
            <v>Therapeutic</v>
          </cell>
          <cell r="G1258" t="str">
            <v>Basic</v>
          </cell>
          <cell r="H1258" t="str">
            <v>Aspirators, Dental</v>
          </cell>
          <cell r="I1258" t="str">
            <v>DENTAL SUCTION PUMP</v>
          </cell>
          <cell r="J1258" t="str">
            <v xml:space="preserve">
10-212</v>
          </cell>
          <cell r="K1258" t="str">
            <v>TONGYE</v>
          </cell>
          <cell r="L1258" t="str">
            <v>R6842-YDX-100M-35A-Disp</v>
          </cell>
          <cell r="M1258" t="str">
            <v>DE-15-09-75</v>
          </cell>
          <cell r="N1258" t="str">
            <v xml:space="preserve">PEMBEDAHAN MULUT </v>
          </cell>
          <cell r="O1258" t="str">
            <v>Klinik Bedah Mulut &amp; Klinik Pergigian Pediatrik</v>
          </cell>
          <cell r="P1258" t="str">
            <v>HM</v>
          </cell>
          <cell r="Q1258">
            <v>6600</v>
          </cell>
        </row>
        <row r="1259">
          <cell r="E1259" t="str">
            <v>KKM/JKN/HSA/10-05-01/H/15/4029</v>
          </cell>
          <cell r="F1259" t="str">
            <v>Therapeutic</v>
          </cell>
          <cell r="G1259" t="str">
            <v>Basic</v>
          </cell>
          <cell r="H1259" t="str">
            <v>P0lishing unit, Dental</v>
          </cell>
          <cell r="I1259" t="str">
            <v>DENTAL MODEL TRIMMERS/P0LISHING</v>
          </cell>
          <cell r="J1259" t="str">
            <v>88-008</v>
          </cell>
          <cell r="K1259" t="str">
            <v>DENTAL FARM</v>
          </cell>
          <cell r="L1259" t="str">
            <v>MT -WET A5103</v>
          </cell>
          <cell r="M1259"/>
          <cell r="N1259" t="str">
            <v xml:space="preserve">PEMBEDAHAN MULUT </v>
          </cell>
          <cell r="O1259" t="str">
            <v>Klinik Bedah Mulut &amp; Klinik Pergigian Pediatrik</v>
          </cell>
          <cell r="P1259" t="str">
            <v>HM</v>
          </cell>
          <cell r="Q1259">
            <v>2000</v>
          </cell>
        </row>
        <row r="1260">
          <cell r="E1260" t="str">
            <v>KKM/JKN/HSA/10-05-01/H/15/1662</v>
          </cell>
          <cell r="F1260" t="str">
            <v>Therapeutic</v>
          </cell>
          <cell r="G1260" t="str">
            <v>Intermediate</v>
          </cell>
          <cell r="H1260" t="str">
            <v>Implant Unit,Dental</v>
          </cell>
          <cell r="I1260" t="str">
            <v>DENTAL IMPLANT UNITS</v>
          </cell>
          <cell r="J1260" t="str">
            <v>88-006</v>
          </cell>
          <cell r="K1260" t="str">
            <v>BIOHORIZONS</v>
          </cell>
          <cell r="L1260" t="str">
            <v>VARIOUS</v>
          </cell>
          <cell r="M1260" t="str">
            <v>IR1942015-00-01</v>
          </cell>
          <cell r="N1260" t="str">
            <v xml:space="preserve">PEMBEDAHAN MULUT </v>
          </cell>
          <cell r="O1260" t="str">
            <v>Klinik Bedah Mulut &amp; Klinik Pergigian Pediatrik</v>
          </cell>
          <cell r="P1260" t="str">
            <v>HM</v>
          </cell>
          <cell r="Q1260">
            <v>9250</v>
          </cell>
        </row>
        <row r="1261">
          <cell r="E1261" t="str">
            <v>KKM/JKN/HSA/10-05-01/H/15/1663</v>
          </cell>
          <cell r="F1261" t="str">
            <v>Therapeutic</v>
          </cell>
          <cell r="G1261" t="str">
            <v>Intermediate</v>
          </cell>
          <cell r="H1261" t="str">
            <v>Implant Unit,Dental</v>
          </cell>
          <cell r="I1261" t="str">
            <v>DENTAL IMPLANT UNITS</v>
          </cell>
          <cell r="J1261" t="str">
            <v>88-006</v>
          </cell>
          <cell r="K1261" t="str">
            <v>BIOHORIZONS</v>
          </cell>
          <cell r="L1261" t="str">
            <v>VARIOUS</v>
          </cell>
          <cell r="M1261" t="str">
            <v>IR0042016-00-07</v>
          </cell>
          <cell r="N1261" t="str">
            <v xml:space="preserve">PEMBEDAHAN MULUT </v>
          </cell>
          <cell r="O1261" t="str">
            <v>Klinik Bedah Mulut &amp; Klinik Pergigian Pediatrik</v>
          </cell>
          <cell r="P1261" t="str">
            <v>HM</v>
          </cell>
          <cell r="Q1261">
            <v>9250</v>
          </cell>
        </row>
        <row r="1262">
          <cell r="E1262" t="str">
            <v>KKM/JKN/HSA/10-05-01/H/15/1664</v>
          </cell>
          <cell r="F1262" t="str">
            <v>Therapeutic</v>
          </cell>
          <cell r="G1262" t="str">
            <v>Intermediate</v>
          </cell>
          <cell r="H1262" t="str">
            <v>Implant Unit,Dental</v>
          </cell>
          <cell r="I1262" t="str">
            <v>DENTAL IMPLANT UNITS</v>
          </cell>
          <cell r="J1262" t="str">
            <v>88-006</v>
          </cell>
          <cell r="K1262" t="str">
            <v>BIOHORIZONS</v>
          </cell>
          <cell r="L1262" t="str">
            <v>VARIOUS</v>
          </cell>
          <cell r="M1262" t="str">
            <v xml:space="preserve">IR0042016-00-06
</v>
          </cell>
          <cell r="N1262" t="str">
            <v xml:space="preserve">PEMBEDAHAN MULUT </v>
          </cell>
          <cell r="O1262" t="str">
            <v>Klinik Bedah Mulut &amp; Klinik Pergigian Pediatrik</v>
          </cell>
          <cell r="P1262" t="str">
            <v>HM</v>
          </cell>
          <cell r="Q1262">
            <v>9250</v>
          </cell>
        </row>
        <row r="1263">
          <cell r="E1263" t="str">
            <v>KKM/JKN/HSA/10-05-01/H/15/5105</v>
          </cell>
          <cell r="F1263" t="str">
            <v>Therapeutic</v>
          </cell>
          <cell r="G1263" t="str">
            <v>Intermediate</v>
          </cell>
          <cell r="H1263" t="str">
            <v>Implant Unit,Dental</v>
          </cell>
          <cell r="I1263" t="str">
            <v>DENTAL IMPLANT SYSTEM</v>
          </cell>
          <cell r="J1263" t="str">
            <v>88-006</v>
          </cell>
          <cell r="K1263" t="str">
            <v>ZIMMER SURGICAL MOTOR SYSTEM</v>
          </cell>
          <cell r="L1263" t="str">
            <v>W &amp; H IMPLANMED MICROMTOR UNIT</v>
          </cell>
          <cell r="M1263"/>
          <cell r="N1263" t="str">
            <v>PEMBEDAHAN MULUT</v>
          </cell>
          <cell r="O1263" t="str">
            <v>Klinik Bedah Mulut &amp; Klinik Pergigian Pediatrik</v>
          </cell>
          <cell r="P1263"/>
          <cell r="Q1263">
            <v>50000</v>
          </cell>
        </row>
        <row r="1264">
          <cell r="E1264" t="str">
            <v>KKM/JKN/HSA/10-05-01/H/16/35</v>
          </cell>
          <cell r="F1264" t="str">
            <v>Therapeutic</v>
          </cell>
          <cell r="G1264" t="str">
            <v>Intermediate</v>
          </cell>
          <cell r="H1264" t="str">
            <v>Handpieces, Dental</v>
          </cell>
          <cell r="I1264" t="str">
            <v>DENTAL HANDPIECE</v>
          </cell>
          <cell r="J1264" t="str">
            <v>11-161</v>
          </cell>
          <cell r="K1264" t="str">
            <v>KAVO</v>
          </cell>
          <cell r="L1264" t="str">
            <v>SURGMATIC S201 L</v>
          </cell>
          <cell r="M1264" t="str">
            <v>2016-1004044</v>
          </cell>
          <cell r="N1264" t="str">
            <v xml:space="preserve">PEMBEDAHAN MULUT </v>
          </cell>
          <cell r="O1264" t="str">
            <v>Klinik Bedah Mulut &amp; Klinik Pergigian Pediatrik</v>
          </cell>
          <cell r="P1264" t="str">
            <v>HM</v>
          </cell>
          <cell r="Q1264">
            <v>5860</v>
          </cell>
        </row>
        <row r="1265">
          <cell r="E1265" t="str">
            <v>KKM/JKN/HSA/10-05-01/H/16/36</v>
          </cell>
          <cell r="F1265" t="str">
            <v>Therapeutic</v>
          </cell>
          <cell r="G1265" t="str">
            <v>Intermediate</v>
          </cell>
          <cell r="H1265" t="str">
            <v>Handpieces, Dental</v>
          </cell>
          <cell r="I1265" t="str">
            <v>DENTAL HANDPIECE</v>
          </cell>
          <cell r="J1265" t="str">
            <v>11-161</v>
          </cell>
          <cell r="K1265" t="str">
            <v>KAVO</v>
          </cell>
          <cell r="L1265" t="str">
            <v>SURGMATIC S201 L</v>
          </cell>
          <cell r="M1265" t="str">
            <v>2016-1004045</v>
          </cell>
          <cell r="N1265" t="str">
            <v xml:space="preserve">PEMBEDAHAN MULUT </v>
          </cell>
          <cell r="O1265" t="str">
            <v>Klinik Bedah Mulut &amp; Klinik Pergigian Pediatrik</v>
          </cell>
          <cell r="P1265" t="str">
            <v>HM</v>
          </cell>
          <cell r="Q1265">
            <v>5860</v>
          </cell>
        </row>
        <row r="1266">
          <cell r="E1266" t="str">
            <v>KKM/JKN/HSA/10-05-01/H/16/96</v>
          </cell>
          <cell r="F1266" t="str">
            <v>Therapeutic</v>
          </cell>
          <cell r="G1266" t="str">
            <v>Intermediate</v>
          </cell>
          <cell r="H1266" t="str">
            <v>Handpieces, Dental</v>
          </cell>
          <cell r="I1266" t="str">
            <v>DENTAL HANDPIECE</v>
          </cell>
          <cell r="J1266" t="str">
            <v>11-161</v>
          </cell>
          <cell r="K1266" t="str">
            <v>CASTELLINI</v>
          </cell>
          <cell r="L1266" t="str">
            <v>PUMA ELI</v>
          </cell>
          <cell r="M1266">
            <v>8216</v>
          </cell>
          <cell r="N1266" t="str">
            <v xml:space="preserve">PEMBEDAHAN MULUT </v>
          </cell>
          <cell r="O1266" t="str">
            <v>Klinik Bedah Mulut &amp; Klinik Pergigian Pediatrik</v>
          </cell>
          <cell r="P1266" t="str">
            <v>HM</v>
          </cell>
          <cell r="Q1266">
            <v>2052</v>
          </cell>
        </row>
        <row r="1267">
          <cell r="E1267" t="str">
            <v>KKM/JKN/HSA/10-05-01/H/16/97</v>
          </cell>
          <cell r="F1267" t="str">
            <v>Therapeutic</v>
          </cell>
          <cell r="G1267" t="str">
            <v>Intermediate</v>
          </cell>
          <cell r="H1267" t="str">
            <v>Handpieces, Dental</v>
          </cell>
          <cell r="I1267" t="str">
            <v>DENTAL HANDPIECE</v>
          </cell>
          <cell r="J1267" t="str">
            <v>11-161</v>
          </cell>
          <cell r="K1267" t="str">
            <v>CASTELLINI</v>
          </cell>
          <cell r="L1267" t="str">
            <v>PUMA ELI</v>
          </cell>
          <cell r="M1267">
            <v>27878</v>
          </cell>
          <cell r="N1267" t="str">
            <v xml:space="preserve">PEMBEDAHAN MULUT </v>
          </cell>
          <cell r="O1267" t="str">
            <v>Klinik Bedah Mulut &amp; Klinik Pergigian Pediatrik</v>
          </cell>
          <cell r="P1267" t="str">
            <v>HM</v>
          </cell>
          <cell r="Q1267">
            <v>2826</v>
          </cell>
        </row>
        <row r="1268">
          <cell r="E1268" t="str">
            <v>KKM/JKN/HSA/10-05-01/H/16/98</v>
          </cell>
          <cell r="F1268" t="str">
            <v>Therapeutic</v>
          </cell>
          <cell r="G1268" t="str">
            <v>Intermediate</v>
          </cell>
          <cell r="H1268" t="str">
            <v>Handpieces, Dental</v>
          </cell>
          <cell r="I1268" t="str">
            <v>DENTAL HANDPIECE</v>
          </cell>
          <cell r="J1268" t="str">
            <v>11-161</v>
          </cell>
          <cell r="K1268" t="str">
            <v>CASTELLINI</v>
          </cell>
          <cell r="L1268" t="str">
            <v>PUMA ELI</v>
          </cell>
          <cell r="M1268">
            <v>27877</v>
          </cell>
          <cell r="N1268" t="str">
            <v xml:space="preserve">PEMBEDAHAN MULUT </v>
          </cell>
          <cell r="O1268" t="str">
            <v>Klinik Bedah Mulut &amp; Klinik Pergigian Pediatrik</v>
          </cell>
          <cell r="P1268" t="str">
            <v>HM</v>
          </cell>
          <cell r="Q1268">
            <v>2826</v>
          </cell>
        </row>
        <row r="1269">
          <cell r="E1269" t="str">
            <v>KKM/JKN/HSA/10-05-01/H/16/99</v>
          </cell>
          <cell r="F1269" t="str">
            <v>Therapeutic</v>
          </cell>
          <cell r="G1269" t="str">
            <v>Intermediate</v>
          </cell>
          <cell r="H1269" t="str">
            <v>Handpieces, Dental</v>
          </cell>
          <cell r="I1269" t="str">
            <v>DENTAL HANDPIECE</v>
          </cell>
          <cell r="J1269" t="str">
            <v>11-161</v>
          </cell>
          <cell r="K1269" t="str">
            <v>CASTELLINI</v>
          </cell>
          <cell r="L1269" t="str">
            <v>PUMA ELI</v>
          </cell>
          <cell r="M1269" t="str">
            <v>CTJG0349</v>
          </cell>
          <cell r="N1269" t="str">
            <v xml:space="preserve">PEMBEDAHAN MULUT </v>
          </cell>
          <cell r="O1269" t="str">
            <v>Klinik Bedah Mulut &amp; Klinik Pergigian Pediatrik</v>
          </cell>
          <cell r="P1269" t="str">
            <v>HM</v>
          </cell>
          <cell r="Q1269">
            <v>2690</v>
          </cell>
        </row>
        <row r="1270">
          <cell r="E1270" t="str">
            <v>KKM/JKN/HSA/10-05-01/H/16/100</v>
          </cell>
          <cell r="F1270" t="str">
            <v>Therapeutic</v>
          </cell>
          <cell r="G1270" t="str">
            <v>Intermediate</v>
          </cell>
          <cell r="H1270" t="str">
            <v>Handpieces, Dental</v>
          </cell>
          <cell r="I1270" t="str">
            <v>DENTAL HANDPIECE</v>
          </cell>
          <cell r="J1270" t="str">
            <v>11-161</v>
          </cell>
          <cell r="K1270" t="str">
            <v>CASTELLINI</v>
          </cell>
          <cell r="L1270" t="str">
            <v>PUMA ELI</v>
          </cell>
          <cell r="M1270" t="str">
            <v>CTJG0319</v>
          </cell>
          <cell r="N1270" t="str">
            <v xml:space="preserve">PEMBEDAHAN MULUT </v>
          </cell>
          <cell r="O1270" t="str">
            <v>Klinik Bedah Mulut &amp; Klinik Pergigian Pediatrik</v>
          </cell>
          <cell r="P1270" t="str">
            <v>HM</v>
          </cell>
          <cell r="Q1270">
            <v>2690</v>
          </cell>
        </row>
        <row r="1271">
          <cell r="E1271" t="str">
            <v>KKM/JKN/HSA/10-05-01/H/18/144</v>
          </cell>
          <cell r="F1271" t="str">
            <v>Therapeutic</v>
          </cell>
          <cell r="G1271" t="str">
            <v>Intermediate</v>
          </cell>
          <cell r="H1271" t="str">
            <v>Handpieces, Dental</v>
          </cell>
          <cell r="I1271" t="str">
            <v>DENTAL HANDPIECE</v>
          </cell>
          <cell r="J1271" t="str">
            <v>11-161</v>
          </cell>
          <cell r="K1271" t="str">
            <v>SAEYANG</v>
          </cell>
          <cell r="L1271" t="str">
            <v>ENDO @ CLASS</v>
          </cell>
          <cell r="M1271">
            <v>1876567</v>
          </cell>
          <cell r="N1271" t="str">
            <v xml:space="preserve">PEMBEDAHAN MULUT </v>
          </cell>
          <cell r="O1271" t="str">
            <v>Klinik Bedah Mulut &amp; Klinik Pergigian Pediatrik</v>
          </cell>
          <cell r="P1271" t="str">
            <v>HM</v>
          </cell>
          <cell r="Q1271">
            <v>10000</v>
          </cell>
        </row>
        <row r="1272">
          <cell r="E1272" t="str">
            <v>KKM/JKN/HSA/10-05-01/H/16/82</v>
          </cell>
          <cell r="F1272" t="str">
            <v>Therapeutic</v>
          </cell>
          <cell r="G1272" t="str">
            <v>High</v>
          </cell>
          <cell r="H1272" t="str">
            <v>Lasers, Diode</v>
          </cell>
          <cell r="I1272" t="str">
            <v>DENTAL DIODE LASER</v>
          </cell>
          <cell r="J1272" t="str">
            <v>18-220</v>
          </cell>
          <cell r="K1272" t="str">
            <v>LITEMEDIC</v>
          </cell>
          <cell r="L1272" t="str">
            <v>TPM</v>
          </cell>
          <cell r="M1272" t="str">
            <v>PR175</v>
          </cell>
          <cell r="N1272" t="str">
            <v xml:space="preserve">PEMBEDAHAN MULUT </v>
          </cell>
          <cell r="O1272" t="str">
            <v>Klinik Bedah Mulut &amp; Klinik Pergigian Pediatrik</v>
          </cell>
          <cell r="P1272" t="str">
            <v>HM</v>
          </cell>
          <cell r="Q1272">
            <v>38500</v>
          </cell>
        </row>
        <row r="1273">
          <cell r="E1273" t="str">
            <v>KKM/JKN/HSA/10-05-01/H/16/101</v>
          </cell>
          <cell r="F1273" t="str">
            <v>Therapeutic</v>
          </cell>
          <cell r="G1273" t="str">
            <v>Intermediate</v>
          </cell>
          <cell r="H1273" t="str">
            <v>Dental Delivery Units</v>
          </cell>
          <cell r="I1273" t="str">
            <v>DENTAL DELIVERY UNIT (VACUUM SYSTEM)</v>
          </cell>
          <cell r="J1273" t="str">
            <v>11-165</v>
          </cell>
          <cell r="K1273" t="str">
            <v xml:space="preserve"> CASTELLINI</v>
          </cell>
          <cell r="L1273" t="str">
            <v>PUMA ELI SINGLE CART-FIBRE OPTIC</v>
          </cell>
          <cell r="M1273" t="str">
            <v>71CD0056</v>
          </cell>
          <cell r="N1273" t="str">
            <v>PEMBEDAHAN MULUT</v>
          </cell>
          <cell r="O1273" t="str">
            <v>Klinik Bedah Mulut &amp; Klinik Pergigian Pediatrik</v>
          </cell>
          <cell r="P1273" t="str">
            <v>HM</v>
          </cell>
          <cell r="Q1273">
            <v>36915</v>
          </cell>
        </row>
        <row r="1274">
          <cell r="E1274" t="str">
            <v>KKM/JKN/HSA/10-05-01/H/15/1489</v>
          </cell>
          <cell r="F1274" t="str">
            <v>Therapeutic</v>
          </cell>
          <cell r="G1274" t="str">
            <v>Intermediate</v>
          </cell>
          <cell r="H1274" t="str">
            <v>Chairs, Examination/Treatment, Dentistry</v>
          </cell>
          <cell r="I1274" t="str">
            <v>DENTAL CHAIR, SPECIALIST</v>
          </cell>
          <cell r="J1274" t="str">
            <v>10-792</v>
          </cell>
          <cell r="K1274" t="str">
            <v>TAURUS G 2</v>
          </cell>
          <cell r="L1274" t="str">
            <v xml:space="preserve">SHINHUNG </v>
          </cell>
          <cell r="M1274" t="str">
            <v>GOC1300545</v>
          </cell>
          <cell r="N1274" t="str">
            <v>BEDAH MULUT</v>
          </cell>
          <cell r="O1274" t="str">
            <v>Klinik Bedah Mulut &amp; Klinik Pergigian Pediatrik</v>
          </cell>
          <cell r="P1274" t="str">
            <v>HM</v>
          </cell>
          <cell r="Q1274">
            <v>89000</v>
          </cell>
        </row>
        <row r="1275">
          <cell r="E1275" t="str">
            <v>KKM/JKN/HSA/10-05-01/H/15/1490</v>
          </cell>
          <cell r="F1275" t="str">
            <v>Therapeutic</v>
          </cell>
          <cell r="G1275" t="str">
            <v>Intermediate</v>
          </cell>
          <cell r="H1275" t="str">
            <v>Chairs, Examination/Treatment, Dentistry</v>
          </cell>
          <cell r="I1275" t="str">
            <v>DENTAL CHAIR, SPECIALIST</v>
          </cell>
          <cell r="J1275" t="str">
            <v>10-792</v>
          </cell>
          <cell r="K1275" t="str">
            <v>TAURUS G 2</v>
          </cell>
          <cell r="L1275" t="str">
            <v xml:space="preserve">SHINHUNG </v>
          </cell>
          <cell r="M1275" t="str">
            <v>GOC1300546</v>
          </cell>
          <cell r="N1275" t="str">
            <v>BEDAH MULUT</v>
          </cell>
          <cell r="O1275" t="str">
            <v>Klinik Bedah Mulut &amp; Klinik Pergigian Pediatrik</v>
          </cell>
          <cell r="P1275" t="str">
            <v>HM</v>
          </cell>
          <cell r="Q1275">
            <v>89000</v>
          </cell>
        </row>
        <row r="1276">
          <cell r="E1276" t="str">
            <v>KKM/JKN/HSA/10-05-01/H/15/1491</v>
          </cell>
          <cell r="F1276" t="str">
            <v>Therapeutic</v>
          </cell>
          <cell r="G1276" t="str">
            <v>Intermediate</v>
          </cell>
          <cell r="H1276" t="str">
            <v>Chairs, Examination/Treatment, Dentistry</v>
          </cell>
          <cell r="I1276" t="str">
            <v>DENTAL CHAIR, SPECIALIST</v>
          </cell>
          <cell r="J1276" t="str">
            <v>10-792</v>
          </cell>
          <cell r="K1276" t="str">
            <v>TAURUS G 2</v>
          </cell>
          <cell r="L1276" t="str">
            <v xml:space="preserve">SHINHUNG </v>
          </cell>
          <cell r="M1276" t="str">
            <v>GOC1300544</v>
          </cell>
          <cell r="N1276" t="str">
            <v>PERGIGIAN PEDIATRIK</v>
          </cell>
          <cell r="O1276" t="str">
            <v>Klinik Bedah Mulut &amp; Klinik Pergigian Pediatrik</v>
          </cell>
          <cell r="P1276" t="str">
            <v>HM</v>
          </cell>
          <cell r="Q1276">
            <v>89000</v>
          </cell>
        </row>
        <row r="1277">
          <cell r="E1277" t="str">
            <v>KKM/JKN/HSA/10-05-01/H/15/1118</v>
          </cell>
          <cell r="F1277" t="str">
            <v>Therapeutic</v>
          </cell>
          <cell r="G1277" t="str">
            <v>Intermediate</v>
          </cell>
          <cell r="H1277" t="str">
            <v>Chairs, Examination/Treatment, Dentistry</v>
          </cell>
          <cell r="I1277" t="str">
            <v>DENTAL CHAIR, OFFICER</v>
          </cell>
          <cell r="J1277" t="str">
            <v>10-792</v>
          </cell>
          <cell r="K1277" t="str">
            <v>TAURUS SANTE</v>
          </cell>
          <cell r="L1277" t="str">
            <v xml:space="preserve">SHINHUNG </v>
          </cell>
          <cell r="M1277" t="str">
            <v>SOC1408021</v>
          </cell>
          <cell r="N1277" t="str">
            <v>PERGIGIAN PEDIATRIK</v>
          </cell>
          <cell r="O1277" t="str">
            <v>Klinik Bedah Mulut &amp; Klinik Pergigian Pediatrik</v>
          </cell>
          <cell r="P1277" t="str">
            <v>HM</v>
          </cell>
          <cell r="Q1277">
            <v>69000</v>
          </cell>
        </row>
        <row r="1278">
          <cell r="E1278" t="str">
            <v>KKM/JKN/HSA/10-05-01/H/15/1119</v>
          </cell>
          <cell r="F1278" t="str">
            <v>Therapeutic</v>
          </cell>
          <cell r="G1278" t="str">
            <v>Intermediate</v>
          </cell>
          <cell r="H1278" t="str">
            <v>Chairs, Examination/Treatment, Dentistry</v>
          </cell>
          <cell r="I1278" t="str">
            <v>DENTAL CHAIR, OFFICER</v>
          </cell>
          <cell r="J1278" t="str">
            <v>10-792</v>
          </cell>
          <cell r="K1278" t="str">
            <v>TAURUS SANTE</v>
          </cell>
          <cell r="L1278" t="str">
            <v xml:space="preserve">SHINHUNG </v>
          </cell>
          <cell r="M1278" t="str">
            <v>SOC1408017</v>
          </cell>
          <cell r="N1278" t="str">
            <v>BEDAH MULUT</v>
          </cell>
          <cell r="O1278" t="str">
            <v>Klinik Bedah Mulut &amp; Klinik Pergigian Pediatrik</v>
          </cell>
          <cell r="P1278" t="str">
            <v>HM</v>
          </cell>
          <cell r="Q1278">
            <v>69000</v>
          </cell>
        </row>
        <row r="1279">
          <cell r="E1279" t="str">
            <v>KKM/JKN/HSA/10-05-01/H/15/1120</v>
          </cell>
          <cell r="F1279" t="str">
            <v>Therapeutic</v>
          </cell>
          <cell r="G1279" t="str">
            <v>Intermediate</v>
          </cell>
          <cell r="H1279" t="str">
            <v>Chairs, Examination/Treatment, Dentistry</v>
          </cell>
          <cell r="I1279" t="str">
            <v>DENTAL CHAIR, OFFICER</v>
          </cell>
          <cell r="J1279" t="str">
            <v>10-792</v>
          </cell>
          <cell r="K1279" t="str">
            <v>TAURUS SANTE</v>
          </cell>
          <cell r="L1279" t="str">
            <v xml:space="preserve">SHINHUNG </v>
          </cell>
          <cell r="M1279" t="str">
            <v>SOC1408022</v>
          </cell>
          <cell r="N1279" t="str">
            <v>BEDAH MULUT</v>
          </cell>
          <cell r="O1279" t="str">
            <v>Klinik Bedah Mulut &amp; Klinik Pergigian Pediatrik</v>
          </cell>
          <cell r="P1279" t="str">
            <v>HM</v>
          </cell>
          <cell r="Q1279">
            <v>69000</v>
          </cell>
        </row>
        <row r="1280">
          <cell r="E1280" t="str">
            <v>KKM/JKN/HSA/10-05-01/H/15/1121</v>
          </cell>
          <cell r="F1280" t="str">
            <v>Therapeutic</v>
          </cell>
          <cell r="G1280" t="str">
            <v>Intermediate</v>
          </cell>
          <cell r="H1280" t="str">
            <v>Chairs, Examination/Treatment, Dentistry</v>
          </cell>
          <cell r="I1280" t="str">
            <v>DENTAL CHAIR, OFFICER</v>
          </cell>
          <cell r="J1280" t="str">
            <v>10-792</v>
          </cell>
          <cell r="K1280" t="str">
            <v>TAURUS SANTE</v>
          </cell>
          <cell r="L1280" t="str">
            <v xml:space="preserve">SHINHUNG </v>
          </cell>
          <cell r="M1280" t="str">
            <v>SOC1408020</v>
          </cell>
          <cell r="N1280" t="str">
            <v>BEDAH MULUT</v>
          </cell>
          <cell r="O1280" t="str">
            <v>Klinik Bedah Mulut &amp; Klinik Pergigian Pediatrik</v>
          </cell>
          <cell r="P1280" t="str">
            <v>HM</v>
          </cell>
          <cell r="Q1280">
            <v>69000</v>
          </cell>
        </row>
        <row r="1281">
          <cell r="E1281" t="str">
            <v>KKM/JKN/HSA/10-05-01/H/15/1122</v>
          </cell>
          <cell r="F1281" t="str">
            <v>Therapeutic</v>
          </cell>
          <cell r="G1281" t="str">
            <v>Intermediate</v>
          </cell>
          <cell r="H1281" t="str">
            <v>Chairs, Examination/Treatment, Dentistry</v>
          </cell>
          <cell r="I1281" t="str">
            <v>DENTAL CHAIR, OFFICER</v>
          </cell>
          <cell r="J1281" t="str">
            <v>10-792</v>
          </cell>
          <cell r="K1281" t="str">
            <v>TAURUS SANTE</v>
          </cell>
          <cell r="L1281" t="str">
            <v xml:space="preserve">SHINHUNG </v>
          </cell>
          <cell r="M1281" t="str">
            <v>SOC1408019</v>
          </cell>
          <cell r="N1281" t="str">
            <v>BEDAH MULUT</v>
          </cell>
          <cell r="O1281" t="str">
            <v>Klinik Bedah Mulut &amp; Klinik Pergigian Pediatrik</v>
          </cell>
          <cell r="P1281" t="str">
            <v>HM</v>
          </cell>
          <cell r="Q1281">
            <v>69000</v>
          </cell>
        </row>
        <row r="1282">
          <cell r="E1282" t="str">
            <v>KKM/JKN/HSA/10-05-01/H/15/1123</v>
          </cell>
          <cell r="F1282" t="str">
            <v>Therapeutic</v>
          </cell>
          <cell r="G1282" t="str">
            <v>Intermediate</v>
          </cell>
          <cell r="H1282" t="str">
            <v>Chairs, Examination/Treatment, Dentistry</v>
          </cell>
          <cell r="I1282" t="str">
            <v>DENTAL CHAIR, OFFICER</v>
          </cell>
          <cell r="J1282" t="str">
            <v>10-792</v>
          </cell>
          <cell r="K1282" t="str">
            <v>TAURUS SANTE</v>
          </cell>
          <cell r="L1282" t="str">
            <v xml:space="preserve">SHINHUNG </v>
          </cell>
          <cell r="M1282" t="str">
            <v>SOC1408015</v>
          </cell>
          <cell r="N1282" t="str">
            <v>BEDAH MULUT</v>
          </cell>
          <cell r="O1282" t="str">
            <v>Klinik Bedah Mulut &amp; Klinik Pergigian Pediatrik</v>
          </cell>
          <cell r="P1282" t="str">
            <v>HM</v>
          </cell>
          <cell r="Q1282">
            <v>69000</v>
          </cell>
        </row>
        <row r="1283">
          <cell r="E1283" t="str">
            <v>KKM/JKN/HSA/10-05-01/H/15/1124</v>
          </cell>
          <cell r="F1283" t="str">
            <v>Therapeutic</v>
          </cell>
          <cell r="G1283" t="str">
            <v>Intermediate</v>
          </cell>
          <cell r="H1283" t="str">
            <v>Chairs, Examination/Treatment, Dentistry</v>
          </cell>
          <cell r="I1283" t="str">
            <v>DENTAL CHAIR, OFFICER</v>
          </cell>
          <cell r="J1283" t="str">
            <v>10-792</v>
          </cell>
          <cell r="K1283" t="str">
            <v>TAURUS SANTE</v>
          </cell>
          <cell r="L1283" t="str">
            <v xml:space="preserve">SHINHUNG </v>
          </cell>
          <cell r="M1283" t="str">
            <v>SOC1408016</v>
          </cell>
          <cell r="N1283" t="str">
            <v>BEDAH MULUT</v>
          </cell>
          <cell r="O1283" t="str">
            <v>Klinik Bedah Mulut &amp; Klinik Pergigian Pediatrik</v>
          </cell>
          <cell r="P1283" t="str">
            <v>HM</v>
          </cell>
          <cell r="Q1283">
            <v>69000</v>
          </cell>
        </row>
        <row r="1284">
          <cell r="E1284" t="str">
            <v>KKM/JKN/HSA/10-05-01/H/15/3682</v>
          </cell>
          <cell r="F1284" t="str">
            <v>Therapeutic</v>
          </cell>
          <cell r="G1284" t="str">
            <v>Intermediate</v>
          </cell>
          <cell r="H1284" t="str">
            <v xml:space="preserve">Defibrillators, External, Automated </v>
          </cell>
          <cell r="I1284" t="str">
            <v>DEFIBRILLATOR W/INTERNAL/EXT PADDLES/PACEMAKER</v>
          </cell>
          <cell r="J1284" t="str">
            <v>17-116</v>
          </cell>
          <cell r="K1284" t="str">
            <v>PHILIPS</v>
          </cell>
          <cell r="L1284" t="str">
            <v>EFFICIA DFM100</v>
          </cell>
          <cell r="M1284">
            <v>3260143</v>
          </cell>
          <cell r="N1284" t="str">
            <v>PEMBEDAHAN MULUT</v>
          </cell>
          <cell r="O1284" t="str">
            <v>Klinik Bedah Mulut &amp; Klinik Pergigian Pediatrik</v>
          </cell>
          <cell r="P1284" t="str">
            <v>HM</v>
          </cell>
          <cell r="Q1284">
            <v>14250</v>
          </cell>
        </row>
        <row r="1285">
          <cell r="E1285" t="str">
            <v>KKM/JKN/HSA/10-05-01/H/15/4886</v>
          </cell>
          <cell r="F1285" t="str">
            <v>Therapeutic</v>
          </cell>
          <cell r="G1285" t="str">
            <v>Basic</v>
          </cell>
          <cell r="H1285" t="str">
            <v>Compressors, Medical-Air</v>
          </cell>
          <cell r="I1285" t="str">
            <v>CENTRAL SUCTION (DENTAL)</v>
          </cell>
          <cell r="J1285" t="str">
            <v>10-972</v>
          </cell>
          <cell r="K1285" t="str">
            <v>DURR DENTAL AG</v>
          </cell>
          <cell r="L1285" t="str">
            <v xml:space="preserve"> V 3000</v>
          </cell>
          <cell r="M1285" t="str">
            <v>D244658001</v>
          </cell>
          <cell r="N1285" t="str">
            <v>BEDAH MULUT</v>
          </cell>
          <cell r="O1285" t="str">
            <v>Klinik Bedah Mulut &amp; Klinik Pergigian Pediatrik</v>
          </cell>
          <cell r="P1285" t="str">
            <v>HM</v>
          </cell>
          <cell r="Q1285">
            <v>65000</v>
          </cell>
        </row>
        <row r="1286">
          <cell r="E1286" t="str">
            <v>KKM/JKN/HSA/10-05-01/H/15/4891</v>
          </cell>
          <cell r="F1286" t="str">
            <v>Therapeutic</v>
          </cell>
          <cell r="G1286" t="str">
            <v>Basic</v>
          </cell>
          <cell r="H1286" t="str">
            <v>Compressors, Medical-Air</v>
          </cell>
          <cell r="I1286" t="str">
            <v>CENTRAL COMPRESSOR (DENTAL)</v>
          </cell>
          <cell r="J1286" t="str">
            <v>10-972</v>
          </cell>
          <cell r="K1286" t="str">
            <v>DURR DENTAL AG</v>
          </cell>
          <cell r="L1286" t="str">
            <v>P3000</v>
          </cell>
          <cell r="M1286" t="str">
            <v>C000102</v>
          </cell>
          <cell r="N1286" t="str">
            <v>BEDAH MULUT</v>
          </cell>
          <cell r="O1286" t="str">
            <v>Klinik Bedah Mulut &amp; Klinik Pergigian Pediatrik</v>
          </cell>
          <cell r="P1286" t="str">
            <v>HM</v>
          </cell>
          <cell r="Q1286">
            <v>78000</v>
          </cell>
        </row>
        <row r="1287">
          <cell r="E1287" t="str">
            <v>KKM/JKN/HSA/10-05-01/R/15/7146</v>
          </cell>
          <cell r="F1287" t="str">
            <v xml:space="preserve">Diagnostic </v>
          </cell>
          <cell r="G1287" t="str">
            <v>Intermediate</v>
          </cell>
          <cell r="H1287" t="str">
            <v>Monitors, Physiologic, Vital Signs</v>
          </cell>
          <cell r="I1287" t="str">
            <v>BLOOD PRESSURE MONITOR NON INVASIVE</v>
          </cell>
          <cell r="J1287" t="str">
            <v>25-209</v>
          </cell>
          <cell r="K1287" t="str">
            <v>WELCH ALLYN</v>
          </cell>
          <cell r="L1287" t="str">
            <v>VSM 300</v>
          </cell>
          <cell r="M1287"/>
          <cell r="N1287" t="str">
            <v xml:space="preserve">PEMBEDAHAN MULUT </v>
          </cell>
          <cell r="O1287" t="str">
            <v>Klinik Bedah Mulut &amp; Klinik Pergigian Pediatrik</v>
          </cell>
          <cell r="P1287" t="str">
            <v>ABR</v>
          </cell>
          <cell r="Q1287">
            <v>1855</v>
          </cell>
        </row>
        <row r="1288">
          <cell r="E1288" t="str">
            <v>KKM/JKN/HSA/10-05-01/H/15/4215</v>
          </cell>
          <cell r="F1288" t="str">
            <v>Therapeutic</v>
          </cell>
          <cell r="G1288" t="str">
            <v>Basic</v>
          </cell>
          <cell r="H1288" t="str">
            <v>Articulators, Dental</v>
          </cell>
          <cell r="I1288" t="str">
            <v>ARTICULATOR W/MAGNET AND FACE BOW</v>
          </cell>
          <cell r="J1288" t="str">
            <v>10-201</v>
          </cell>
          <cell r="K1288" t="str">
            <v>PRODONT HOLLIGER</v>
          </cell>
          <cell r="L1288">
            <v>2530</v>
          </cell>
          <cell r="M1288"/>
          <cell r="N1288" t="str">
            <v>PEMBEDAHAN MULUT</v>
          </cell>
          <cell r="O1288" t="str">
            <v>Klinik Bedah Mulut &amp; Klinik Pergigian Pediatrik</v>
          </cell>
          <cell r="P1288" t="str">
            <v>HM</v>
          </cell>
          <cell r="Q1288">
            <v>9666.7999999999993</v>
          </cell>
        </row>
        <row r="1289">
          <cell r="E1289" t="str">
            <v>KKM/JKN/HSA/10-05-01/H/15/4216</v>
          </cell>
          <cell r="F1289" t="str">
            <v>Therapeutic</v>
          </cell>
          <cell r="G1289" t="str">
            <v>Basic</v>
          </cell>
          <cell r="H1289" t="str">
            <v>Articulators, Dental</v>
          </cell>
          <cell r="I1289" t="str">
            <v>ARTICULATOR W/MAGNET AND FACE BOW</v>
          </cell>
          <cell r="J1289" t="str">
            <v>10-201</v>
          </cell>
          <cell r="K1289" t="str">
            <v>PRODONT HOLLIGER</v>
          </cell>
          <cell r="L1289">
            <v>2530</v>
          </cell>
          <cell r="M1289"/>
          <cell r="N1289" t="str">
            <v>PEMBEDAHAN MULUT</v>
          </cell>
          <cell r="O1289" t="str">
            <v>Klinik Bedah Mulut &amp; Klinik Pergigian Pediatrik</v>
          </cell>
          <cell r="P1289" t="str">
            <v>HM</v>
          </cell>
          <cell r="Q1289">
            <v>9666.7999999999993</v>
          </cell>
        </row>
        <row r="1290">
          <cell r="E1290" t="str">
            <v>KKM/JKN/HSA/10-05-01/H/15/2045</v>
          </cell>
          <cell r="F1290" t="str">
            <v>Therapeutic</v>
          </cell>
          <cell r="G1290" t="str">
            <v>Intermediate</v>
          </cell>
          <cell r="H1290" t="str">
            <v>Apex Locators, Endodontic</v>
          </cell>
          <cell r="I1290" t="str">
            <v>APEX LOCATOR</v>
          </cell>
          <cell r="J1290" t="str">
            <v>16-355</v>
          </cell>
          <cell r="K1290" t="str">
            <v xml:space="preserve"> PARKELL</v>
          </cell>
          <cell r="L1290" t="str">
            <v>FARAMATRON D10</v>
          </cell>
          <cell r="M1290">
            <v>5207527</v>
          </cell>
          <cell r="N1290" t="str">
            <v>PEMBEDAHAN MULUT</v>
          </cell>
          <cell r="O1290" t="str">
            <v>Klinik Bedah Mulut &amp; Klinik Pergigian Pediatrik</v>
          </cell>
          <cell r="P1290" t="str">
            <v>HM</v>
          </cell>
          <cell r="Q1290">
            <v>2400</v>
          </cell>
        </row>
        <row r="1291">
          <cell r="E1291" t="str">
            <v>KKM/JKN/HSA/10-05-01/H/15/2046</v>
          </cell>
          <cell r="F1291" t="str">
            <v>Therapeutic</v>
          </cell>
          <cell r="G1291" t="str">
            <v>Intermediate</v>
          </cell>
          <cell r="H1291" t="str">
            <v>Apex Locators, Endodontic</v>
          </cell>
          <cell r="I1291" t="str">
            <v>APEX LOCATOR</v>
          </cell>
          <cell r="J1291" t="str">
            <v>16-355</v>
          </cell>
          <cell r="K1291" t="str">
            <v xml:space="preserve"> PARKELL</v>
          </cell>
          <cell r="L1291" t="str">
            <v>FARAMATRON D10</v>
          </cell>
          <cell r="M1291" t="str">
            <v>05X09571</v>
          </cell>
          <cell r="N1291" t="str">
            <v>PEMBEDAHAN MULUT</v>
          </cell>
          <cell r="O1291" t="str">
            <v>Klinik Bedah Mulut &amp; Klinik Pergigian Pediatrik</v>
          </cell>
          <cell r="P1291" t="str">
            <v>HM</v>
          </cell>
          <cell r="Q1291">
            <v>2400</v>
          </cell>
        </row>
        <row r="1292">
          <cell r="E1292" t="str">
            <v>KKM/JKN/HSA/10-05-01/H/19/2</v>
          </cell>
          <cell r="F1292" t="str">
            <v>Therapeutic</v>
          </cell>
          <cell r="G1292" t="str">
            <v>Intermediate</v>
          </cell>
          <cell r="H1292" t="str">
            <v>Apex Locators, Endodontic</v>
          </cell>
          <cell r="I1292" t="str">
            <v>APEX LOCATOR</v>
          </cell>
          <cell r="J1292" t="str">
            <v>16-355</v>
          </cell>
          <cell r="K1292" t="str">
            <v>WOODPECKER/WOODPEX III PRO</v>
          </cell>
          <cell r="L1292"/>
          <cell r="M1292" t="str">
            <v>R1811844W3</v>
          </cell>
          <cell r="N1292" t="str">
            <v>PEMBEDAHAN MULUT</v>
          </cell>
          <cell r="O1292" t="str">
            <v>Klinik Bedah Mulut &amp; Klinik Pergigian Pediatrik</v>
          </cell>
          <cell r="P1292"/>
          <cell r="Q1292">
            <v>3450</v>
          </cell>
        </row>
        <row r="1293">
          <cell r="E1293" t="str">
            <v>KKM/JKN/HSA/10-05-01/H/15/3565</v>
          </cell>
          <cell r="F1293" t="str">
            <v xml:space="preserve">Diagnostic </v>
          </cell>
          <cell r="G1293" t="str">
            <v>Basic</v>
          </cell>
          <cell r="H1293" t="str">
            <v>Amalgamators</v>
          </cell>
          <cell r="I1293" t="str">
            <v>AMALGAMATOR</v>
          </cell>
          <cell r="J1293" t="str">
            <v>10-082</v>
          </cell>
          <cell r="K1293" t="str">
            <v>SATELEC</v>
          </cell>
          <cell r="L1293" t="str">
            <v>SOFTLY CAPSULE</v>
          </cell>
          <cell r="M1293">
            <v>123998</v>
          </cell>
          <cell r="N1293" t="str">
            <v xml:space="preserve">PEMBEDAHAN MULUT </v>
          </cell>
          <cell r="O1293" t="str">
            <v>Klinik Bedah Mulut &amp; Klinik Pergigian Pediatrik</v>
          </cell>
          <cell r="P1293" t="str">
            <v>HM</v>
          </cell>
          <cell r="Q1293">
            <v>2000</v>
          </cell>
        </row>
        <row r="1294">
          <cell r="E1294" t="str">
            <v>KKM/JKN/HSA/10-05-01/H/15/3566</v>
          </cell>
          <cell r="F1294" t="str">
            <v xml:space="preserve">Diagnostic </v>
          </cell>
          <cell r="G1294" t="str">
            <v>Basic</v>
          </cell>
          <cell r="H1294" t="str">
            <v>Amalgamators</v>
          </cell>
          <cell r="I1294" t="str">
            <v>AMALGAMATOR</v>
          </cell>
          <cell r="J1294" t="str">
            <v>10-082</v>
          </cell>
          <cell r="K1294" t="str">
            <v>SATELEC</v>
          </cell>
          <cell r="L1294" t="str">
            <v>SOFTLY CAPSULE</v>
          </cell>
          <cell r="M1294">
            <v>123521</v>
          </cell>
          <cell r="N1294" t="str">
            <v xml:space="preserve">PEMBEDAHAN MULUT </v>
          </cell>
          <cell r="O1294" t="str">
            <v>Klinik Bedah Mulut &amp; Klinik Pergigian Pediatrik</v>
          </cell>
          <cell r="P1294" t="str">
            <v>HM</v>
          </cell>
          <cell r="Q1294">
            <v>2000</v>
          </cell>
        </row>
        <row r="1295">
          <cell r="E1295" t="str">
            <v>KKM/JKN/HSA/10-05-01/H/15/3567</v>
          </cell>
          <cell r="F1295" t="str">
            <v xml:space="preserve">Diagnostic </v>
          </cell>
          <cell r="G1295" t="str">
            <v>Basic</v>
          </cell>
          <cell r="H1295" t="str">
            <v>Amalgamators</v>
          </cell>
          <cell r="I1295" t="str">
            <v>AMALGAMATOR</v>
          </cell>
          <cell r="J1295" t="str">
            <v>10-082</v>
          </cell>
          <cell r="K1295" t="str">
            <v>SATELEC</v>
          </cell>
          <cell r="L1295" t="str">
            <v>SOFTLY CAPSULE</v>
          </cell>
          <cell r="M1295">
            <v>128086</v>
          </cell>
          <cell r="N1295" t="str">
            <v xml:space="preserve">PEMBEDAHAN MULUT </v>
          </cell>
          <cell r="O1295" t="str">
            <v>Klinik Bedah Mulut &amp; Klinik Pergigian Pediatrik</v>
          </cell>
          <cell r="P1295" t="str">
            <v>HM</v>
          </cell>
          <cell r="Q1295">
            <v>2000</v>
          </cell>
        </row>
        <row r="1296">
          <cell r="E1296" t="str">
            <v>KKM/JKN/HSA/10-05-01/H/15/3568</v>
          </cell>
          <cell r="F1296" t="str">
            <v xml:space="preserve">Diagnostic </v>
          </cell>
          <cell r="G1296" t="str">
            <v>Basic</v>
          </cell>
          <cell r="H1296" t="str">
            <v>Amalgamators</v>
          </cell>
          <cell r="I1296" t="str">
            <v>AMALGAMATOR</v>
          </cell>
          <cell r="J1296" t="str">
            <v>10-082</v>
          </cell>
          <cell r="K1296" t="str">
            <v>SATELEC</v>
          </cell>
          <cell r="L1296" t="str">
            <v>SOFTLY CAPSULE</v>
          </cell>
          <cell r="M1296">
            <v>123525</v>
          </cell>
          <cell r="N1296" t="str">
            <v xml:space="preserve">PEMBEDAHAN MULUT </v>
          </cell>
          <cell r="O1296" t="str">
            <v>Klinik Bedah Mulut &amp; Klinik Pergigian Pediatrik</v>
          </cell>
          <cell r="P1296" t="str">
            <v>HM</v>
          </cell>
          <cell r="Q1296">
            <v>2000</v>
          </cell>
        </row>
        <row r="1297">
          <cell r="E1297" t="str">
            <v>KKM/JKN/HSA/10-05-01/H/15/3569</v>
          </cell>
          <cell r="F1297" t="str">
            <v xml:space="preserve">Diagnostic </v>
          </cell>
          <cell r="G1297" t="str">
            <v>Basic</v>
          </cell>
          <cell r="H1297" t="str">
            <v>Amalgamators</v>
          </cell>
          <cell r="I1297" t="str">
            <v>AMALGAMATOR</v>
          </cell>
          <cell r="J1297" t="str">
            <v>10-082</v>
          </cell>
          <cell r="K1297" t="str">
            <v>SATELEC</v>
          </cell>
          <cell r="L1297" t="str">
            <v>SOFTLY CAPSULE</v>
          </cell>
          <cell r="M1297">
            <v>128094</v>
          </cell>
          <cell r="N1297" t="str">
            <v xml:space="preserve">PEMBEDAHAN MULUT </v>
          </cell>
          <cell r="O1297" t="str">
            <v>Klinik Bedah Mulut &amp; Klinik Pergigian Pediatrik</v>
          </cell>
          <cell r="P1297" t="str">
            <v>HM</v>
          </cell>
          <cell r="Q1297">
            <v>2000</v>
          </cell>
        </row>
        <row r="1298">
          <cell r="E1298" t="str">
            <v>KKM/JKN/HSA/10-05-01/H/15/3570</v>
          </cell>
          <cell r="F1298" t="str">
            <v xml:space="preserve">Diagnostic </v>
          </cell>
          <cell r="G1298" t="str">
            <v>Basic</v>
          </cell>
          <cell r="H1298" t="str">
            <v>Amalgamators</v>
          </cell>
          <cell r="I1298" t="str">
            <v>AMALGAMATOR</v>
          </cell>
          <cell r="J1298" t="str">
            <v>10-082</v>
          </cell>
          <cell r="K1298" t="str">
            <v>SATELEC</v>
          </cell>
          <cell r="L1298" t="str">
            <v>SOFTLY CAPSULE</v>
          </cell>
          <cell r="M1298">
            <v>123995</v>
          </cell>
          <cell r="N1298" t="str">
            <v xml:space="preserve">PEMBEDAHAN MULUT </v>
          </cell>
          <cell r="O1298" t="str">
            <v>Klinik Bedah Mulut &amp; Klinik Pergigian Pediatrik</v>
          </cell>
          <cell r="P1298" t="str">
            <v>HM</v>
          </cell>
          <cell r="Q1298">
            <v>2000</v>
          </cell>
        </row>
        <row r="1299">
          <cell r="E1299" t="str">
            <v>KKM/JKN/HSA/10-05-01/H/15/3571</v>
          </cell>
          <cell r="F1299" t="str">
            <v xml:space="preserve">Diagnostic </v>
          </cell>
          <cell r="G1299" t="str">
            <v>Basic</v>
          </cell>
          <cell r="H1299" t="str">
            <v>Amalgamators</v>
          </cell>
          <cell r="I1299" t="str">
            <v>AMALGAMATOR</v>
          </cell>
          <cell r="J1299" t="str">
            <v>10-082</v>
          </cell>
          <cell r="K1299" t="str">
            <v>SATELEC</v>
          </cell>
          <cell r="L1299" t="str">
            <v>SOFTLY CAPSULE</v>
          </cell>
          <cell r="M1299">
            <v>123996</v>
          </cell>
          <cell r="N1299" t="str">
            <v xml:space="preserve">PEMBEDAHAN MULUT </v>
          </cell>
          <cell r="O1299" t="str">
            <v>Klinik Bedah Mulut &amp; Klinik Pergigian Pediatrik</v>
          </cell>
          <cell r="P1299" t="str">
            <v>HM</v>
          </cell>
          <cell r="Q1299">
            <v>2000</v>
          </cell>
        </row>
        <row r="1300">
          <cell r="E1300" t="str">
            <v>KKM/JKN/HSA/10-05-01/H/15/3572</v>
          </cell>
          <cell r="F1300" t="str">
            <v xml:space="preserve">Diagnostic </v>
          </cell>
          <cell r="G1300" t="str">
            <v>Basic</v>
          </cell>
          <cell r="H1300" t="str">
            <v>Amalgamators</v>
          </cell>
          <cell r="I1300" t="str">
            <v>AMALGAMATOR</v>
          </cell>
          <cell r="J1300" t="str">
            <v>10-082</v>
          </cell>
          <cell r="K1300" t="str">
            <v>SATELEC</v>
          </cell>
          <cell r="L1300" t="str">
            <v>SOFTLY CAPSULE</v>
          </cell>
          <cell r="M1300">
            <v>123526</v>
          </cell>
          <cell r="N1300" t="str">
            <v xml:space="preserve">PEMBEDAHAN MULUT </v>
          </cell>
          <cell r="O1300" t="str">
            <v>Klinik Bedah Mulut &amp; Klinik Pergigian Pediatrik</v>
          </cell>
          <cell r="P1300" t="str">
            <v>HM</v>
          </cell>
          <cell r="Q1300">
            <v>2000</v>
          </cell>
        </row>
        <row r="1301">
          <cell r="E1301" t="str">
            <v>KKM/JKN/HSA/10-05-01/H/15/3573</v>
          </cell>
          <cell r="F1301" t="str">
            <v xml:space="preserve">Diagnostic </v>
          </cell>
          <cell r="G1301" t="str">
            <v>Basic</v>
          </cell>
          <cell r="H1301" t="str">
            <v>Amalgamators</v>
          </cell>
          <cell r="I1301" t="str">
            <v>AMALGAMATOR</v>
          </cell>
          <cell r="J1301" t="str">
            <v>10-082</v>
          </cell>
          <cell r="K1301" t="str">
            <v>SATELEC</v>
          </cell>
          <cell r="L1301" t="str">
            <v>SOFTLY CAPSULE</v>
          </cell>
          <cell r="M1301">
            <v>123524</v>
          </cell>
          <cell r="N1301" t="str">
            <v xml:space="preserve">PEMBEDAHAN MULUT </v>
          </cell>
          <cell r="O1301" t="str">
            <v>Klinik Bedah Mulut &amp; Klinik Pergigian Pediatrik</v>
          </cell>
          <cell r="P1301" t="str">
            <v>HM</v>
          </cell>
          <cell r="Q1301">
            <v>2000</v>
          </cell>
        </row>
        <row r="1302">
          <cell r="E1302" t="str">
            <v>KKM/JKN/HSA/10-05-01/H/15/3624</v>
          </cell>
          <cell r="F1302" t="str">
            <v xml:space="preserve">Diagnostic </v>
          </cell>
          <cell r="G1302" t="str">
            <v>Basic</v>
          </cell>
          <cell r="H1302" t="str">
            <v>Amalgamators</v>
          </cell>
          <cell r="I1302" t="str">
            <v>AMALGAMATOR</v>
          </cell>
          <cell r="J1302" t="str">
            <v>10-082</v>
          </cell>
          <cell r="K1302" t="str">
            <v>SATELEC</v>
          </cell>
          <cell r="L1302" t="str">
            <v>SOFTLY CAPSULE</v>
          </cell>
          <cell r="M1302">
            <v>123523</v>
          </cell>
          <cell r="N1302" t="str">
            <v xml:space="preserve">PEMBEDAHAN MULUT </v>
          </cell>
          <cell r="O1302" t="str">
            <v>Klinik Bedah Mulut &amp; Klinik Pergigian Pediatrik</v>
          </cell>
          <cell r="P1302" t="str">
            <v>HM</v>
          </cell>
          <cell r="Q1302">
            <v>2000</v>
          </cell>
        </row>
        <row r="1303">
          <cell r="E1303" t="str">
            <v>KKM/JKN/HSA/10-05-01/H/16/47</v>
          </cell>
          <cell r="F1303" t="str">
            <v>Therapeutic</v>
          </cell>
          <cell r="G1303" t="str">
            <v>Intermediate</v>
          </cell>
          <cell r="H1303" t="str">
            <v>Electrosurgical Units, MonoP0lar/BiP0lar</v>
          </cell>
          <cell r="I1303" t="str">
            <v xml:space="preserve"> ELECTROSURGERY</v>
          </cell>
          <cell r="J1303" t="str">
            <v>18-231</v>
          </cell>
          <cell r="K1303" t="str">
            <v>MECTRON</v>
          </cell>
          <cell r="L1303" t="str">
            <v>TPM</v>
          </cell>
          <cell r="M1303">
            <v>409006842</v>
          </cell>
          <cell r="N1303" t="str">
            <v xml:space="preserve">PEMBEDAHAN MULUT </v>
          </cell>
          <cell r="O1303" t="str">
            <v>Klinik Bedah Mulut &amp; Klinik Pergigian Pediatrik</v>
          </cell>
          <cell r="P1303" t="str">
            <v>HM</v>
          </cell>
          <cell r="Q1303">
            <v>45800</v>
          </cell>
        </row>
        <row r="1304">
          <cell r="E1304" t="str">
            <v>KKM/JKN/HSA/10-05-01/H/19/4</v>
          </cell>
          <cell r="F1304" t="str">
            <v xml:space="preserve">Diagnostic </v>
          </cell>
          <cell r="G1304" t="str">
            <v>Intermediate</v>
          </cell>
          <cell r="H1304" t="str">
            <v>Fetal Heart Detectors, Ultrasonic</v>
          </cell>
          <cell r="I1304" t="str">
            <v>VASCULAR DOPPLER</v>
          </cell>
          <cell r="J1304" t="str">
            <v>11-696</v>
          </cell>
          <cell r="K1304" t="str">
            <v>BSTRO KOREA/BT200</v>
          </cell>
          <cell r="L1304"/>
          <cell r="M1304" t="str">
            <v>CAK401-48</v>
          </cell>
          <cell r="N1304"/>
          <cell r="O1304" t="str">
            <v>JBM - BILIK RAWATAN PERGIGIAN 6 (PAKAR PERUNDING) (L05-SC-DC-05a)</v>
          </cell>
          <cell r="P1304"/>
          <cell r="Q1304">
            <v>2070</v>
          </cell>
        </row>
        <row r="1305">
          <cell r="E1305" t="str">
            <v>KKM/JKN/HSA/10-05-01/H/15/1128</v>
          </cell>
          <cell r="F1305" t="str">
            <v>Therapeutic</v>
          </cell>
          <cell r="G1305" t="str">
            <v>Basic</v>
          </cell>
          <cell r="H1305" t="str">
            <v>Aspirators</v>
          </cell>
          <cell r="I1305" t="str">
            <v>SUCTION UNIT 2 X 2L JAR MOBILE</v>
          </cell>
          <cell r="J1305" t="str">
            <v>10-208</v>
          </cell>
          <cell r="K1305" t="str">
            <v>ALLIED HEALTHCARE</v>
          </cell>
          <cell r="L1305" t="str">
            <v>GOMCO/ 01-23-3840</v>
          </cell>
          <cell r="M1305" t="str">
            <v>GFHU60050</v>
          </cell>
          <cell r="N1305" t="str">
            <v>REHABILITASI</v>
          </cell>
          <cell r="O1305" t="str">
            <v xml:space="preserve">Jabatan Rehabilitasi </v>
          </cell>
          <cell r="P1305" t="str">
            <v>HM</v>
          </cell>
          <cell r="Q1305">
            <v>12150</v>
          </cell>
        </row>
        <row r="1306">
          <cell r="E1306" t="str">
            <v>KKM/JKN/HSA/10-05-01/H/15/973</v>
          </cell>
          <cell r="F1306" t="str">
            <v xml:space="preserve">Diagnostic </v>
          </cell>
          <cell r="G1306" t="str">
            <v>Intermediate</v>
          </cell>
          <cell r="H1306" t="str">
            <v>Spirometers, Diagnostic</v>
          </cell>
          <cell r="I1306" t="str">
            <v>SPIROMETER W/RECORDER</v>
          </cell>
          <cell r="J1306" t="str">
            <v>13-680</v>
          </cell>
          <cell r="K1306" t="str">
            <v>SCHILLER</v>
          </cell>
          <cell r="L1306" t="str">
            <v>SPIROVIT SP-1</v>
          </cell>
          <cell r="M1306" t="str">
            <v>CH-6341</v>
          </cell>
          <cell r="N1306" t="str">
            <v>REHABILITASI</v>
          </cell>
          <cell r="O1306" t="str">
            <v xml:space="preserve">Jabatan Rehabilitasi </v>
          </cell>
          <cell r="P1306" t="str">
            <v>HM</v>
          </cell>
          <cell r="Q1306">
            <v>10290</v>
          </cell>
        </row>
        <row r="1307">
          <cell r="E1307" t="str">
            <v>KKM/JKN/HSA/10-05-01/H/15/957</v>
          </cell>
          <cell r="F1307" t="str">
            <v xml:space="preserve">Diagnostic </v>
          </cell>
          <cell r="G1307" t="str">
            <v>Intermediate</v>
          </cell>
          <cell r="H1307" t="str">
            <v>Spirometers, Diagnostic</v>
          </cell>
          <cell r="I1307" t="str">
            <v>SPIROMETER VOLUMETRIC INCENTIVE (VITALOGRAPH SPIROMETER)</v>
          </cell>
          <cell r="J1307" t="str">
            <v>13-680</v>
          </cell>
          <cell r="K1307" t="str">
            <v>VITALOGRAPH</v>
          </cell>
          <cell r="L1307">
            <v>65015</v>
          </cell>
          <cell r="M1307" t="str">
            <v>AL29076</v>
          </cell>
          <cell r="N1307" t="str">
            <v>REHABILITASI</v>
          </cell>
          <cell r="O1307" t="str">
            <v xml:space="preserve">Jabatan Rehabilitasi </v>
          </cell>
          <cell r="P1307" t="str">
            <v>HM</v>
          </cell>
          <cell r="Q1307">
            <v>8900</v>
          </cell>
        </row>
        <row r="1308">
          <cell r="E1308" t="str">
            <v>KKM/JKN/HSA/10-05-01/H/15/969</v>
          </cell>
          <cell r="F1308" t="str">
            <v xml:space="preserve">Diagnostic </v>
          </cell>
          <cell r="G1308" t="str">
            <v>Intermediate</v>
          </cell>
          <cell r="H1308" t="str">
            <v>Spirometers, Diagnostic</v>
          </cell>
          <cell r="I1308" t="str">
            <v>SPIROMETER</v>
          </cell>
          <cell r="J1308" t="str">
            <v>13-680</v>
          </cell>
          <cell r="K1308" t="str">
            <v>SCHILLER</v>
          </cell>
          <cell r="L1308" t="str">
            <v xml:space="preserve"> PC SPIRO SP-260 USB</v>
          </cell>
          <cell r="M1308" t="str">
            <v>527.01214</v>
          </cell>
          <cell r="N1308" t="str">
            <v>REHABILITASI</v>
          </cell>
          <cell r="O1308" t="str">
            <v xml:space="preserve">Jabatan Rehabilitasi </v>
          </cell>
          <cell r="P1308" t="str">
            <v>HM</v>
          </cell>
          <cell r="Q1308">
            <v>8880</v>
          </cell>
        </row>
        <row r="1309">
          <cell r="E1309" t="str">
            <v>KKM/JKN/HSA/10-05-01/R/15/7440</v>
          </cell>
          <cell r="F1309" t="str">
            <v>Therapeutic</v>
          </cell>
          <cell r="G1309" t="str">
            <v>Intermediate</v>
          </cell>
          <cell r="H1309" t="str">
            <v>Stimulators, Electrical, Neuromuscular</v>
          </cell>
          <cell r="I1309" t="str">
            <v>NEUROMUSCULAR STIMULATORS</v>
          </cell>
          <cell r="J1309" t="str">
            <v>13-775</v>
          </cell>
          <cell r="K1309" t="str">
            <v>DANMETER</v>
          </cell>
          <cell r="L1309" t="str">
            <v>ELPHA 4 CONTI</v>
          </cell>
          <cell r="M1309"/>
          <cell r="N1309" t="str">
            <v>REHABILITASI</v>
          </cell>
          <cell r="O1309" t="str">
            <v xml:space="preserve">Jabatan Rehabilitasi </v>
          </cell>
          <cell r="P1309" t="str">
            <v>ABR</v>
          </cell>
          <cell r="Q1309">
            <v>728</v>
          </cell>
        </row>
        <row r="1310">
          <cell r="E1310" t="str">
            <v>KKM/JKN/HSA/10-05-01/H/15/425</v>
          </cell>
          <cell r="F1310" t="str">
            <v>Therapeutic</v>
          </cell>
          <cell r="G1310" t="str">
            <v>Basic</v>
          </cell>
          <cell r="H1310" t="str">
            <v>Exercisers, Continuous Passive Motion</v>
          </cell>
          <cell r="I1310" t="str">
            <v xml:space="preserve">MACHINE CPM SHOULDER </v>
          </cell>
          <cell r="J1310" t="str">
            <v>11-631</v>
          </cell>
          <cell r="K1310" t="str">
            <v>ORTHOLOGIC</v>
          </cell>
          <cell r="L1310" t="str">
            <v>WAVEFLEX (6000X)</v>
          </cell>
          <cell r="M1310" t="str">
            <v>H6KX 40134</v>
          </cell>
          <cell r="N1310" t="str">
            <v>REHABILITASI</v>
          </cell>
          <cell r="O1310" t="str">
            <v xml:space="preserve">Jabatan Rehabilitasi </v>
          </cell>
          <cell r="P1310" t="str">
            <v>HM</v>
          </cell>
          <cell r="Q1310">
            <v>11650</v>
          </cell>
        </row>
        <row r="1311">
          <cell r="E1311" t="str">
            <v>KKM/JKN/HSA/10-05-01/H/15/955</v>
          </cell>
          <cell r="F1311" t="str">
            <v>Therapeutic</v>
          </cell>
          <cell r="G1311" t="str">
            <v>Intermediate</v>
          </cell>
          <cell r="H1311" t="str">
            <v>Ultrasound Therapy Systems, Physical Therapy</v>
          </cell>
          <cell r="I1311" t="str">
            <v>ULTRASOUND THERAPEUTIC C/W 2 TRANSDUSERS</v>
          </cell>
          <cell r="J1311" t="str">
            <v>11-248</v>
          </cell>
          <cell r="K1311" t="str">
            <v>GYMNA UNIPHY</v>
          </cell>
          <cell r="L1311" t="str">
            <v>PULSON 200/TROLLEY (CT3111)</v>
          </cell>
          <cell r="M1311">
            <v>71407</v>
          </cell>
          <cell r="N1311" t="str">
            <v>REHABILITASI</v>
          </cell>
          <cell r="O1311" t="str">
            <v>Jabatan Perubatan Rehabilitasi</v>
          </cell>
          <cell r="P1311" t="str">
            <v>HM</v>
          </cell>
          <cell r="Q1311">
            <v>7063</v>
          </cell>
        </row>
        <row r="1312">
          <cell r="E1312" t="str">
            <v>KKM/JKN/HSA/10-05-01/H/15/956</v>
          </cell>
          <cell r="F1312" t="str">
            <v>Therapeutic</v>
          </cell>
          <cell r="G1312" t="str">
            <v>Intermediate</v>
          </cell>
          <cell r="H1312" t="str">
            <v>Ultrasound Therapy Systems, Physical Therapy</v>
          </cell>
          <cell r="I1312" t="str">
            <v>ULTRASOUND THERAPEUTIC C/W 2 TRANSDUSERS</v>
          </cell>
          <cell r="J1312" t="str">
            <v>11-248</v>
          </cell>
          <cell r="K1312" t="str">
            <v>GYMNA UNIPHY</v>
          </cell>
          <cell r="L1312" t="str">
            <v xml:space="preserve"> PULSON 200/TROLLEY (CT3111)</v>
          </cell>
          <cell r="M1312">
            <v>71406</v>
          </cell>
          <cell r="N1312" t="str">
            <v>REHABILITASI</v>
          </cell>
          <cell r="O1312" t="str">
            <v>Jabatan Perubatan Rehabilitasi</v>
          </cell>
          <cell r="P1312" t="str">
            <v>HM</v>
          </cell>
          <cell r="Q1312">
            <v>7063</v>
          </cell>
        </row>
        <row r="1313">
          <cell r="E1313" t="str">
            <v>KKM/JKN/HSA/10-05-01/H/15/1354</v>
          </cell>
          <cell r="F1313" t="str">
            <v xml:space="preserve">Diagnostic </v>
          </cell>
          <cell r="G1313" t="str">
            <v>Basic</v>
          </cell>
          <cell r="H1313" t="str">
            <v>Treadmills</v>
          </cell>
          <cell r="I1313" t="str">
            <v>TRICYCLE EXERCISE CHILDREN</v>
          </cell>
          <cell r="J1313" t="str">
            <v>14-141</v>
          </cell>
          <cell r="K1313" t="str">
            <v>SAMMONS PRESTON</v>
          </cell>
          <cell r="L1313">
            <v>4552</v>
          </cell>
          <cell r="M1313"/>
          <cell r="N1313" t="str">
            <v>REHABILITASI</v>
          </cell>
          <cell r="O1313" t="str">
            <v>Jabatan Perubatan Rehabilitasi</v>
          </cell>
          <cell r="P1313" t="str">
            <v>HM</v>
          </cell>
          <cell r="Q1313">
            <v>6100</v>
          </cell>
        </row>
        <row r="1314">
          <cell r="E1314" t="str">
            <v>KKM/JKN/HSA/10-05-01/H/15/1366</v>
          </cell>
          <cell r="F1314" t="str">
            <v xml:space="preserve">Diagnostic </v>
          </cell>
          <cell r="G1314" t="str">
            <v>Basic</v>
          </cell>
          <cell r="H1314" t="str">
            <v>Treadmills</v>
          </cell>
          <cell r="I1314" t="str">
            <v>TREADMILL MOTORISED</v>
          </cell>
          <cell r="J1314" t="str">
            <v>14-141</v>
          </cell>
          <cell r="K1314" t="str">
            <v>ENRAF-NONIUS</v>
          </cell>
          <cell r="L1314" t="str">
            <v>EN-MOTION TREADMILL</v>
          </cell>
          <cell r="M1314">
            <v>15040107</v>
          </cell>
          <cell r="N1314" t="str">
            <v>REHABILITASI</v>
          </cell>
          <cell r="O1314" t="str">
            <v>Jabatan Perubatan Rehabilitasi</v>
          </cell>
          <cell r="P1314" t="str">
            <v>HM</v>
          </cell>
          <cell r="Q1314">
            <v>7281</v>
          </cell>
        </row>
        <row r="1315">
          <cell r="E1315" t="str">
            <v>KKM/JKN/HSA/10-05-01/R/15/16749</v>
          </cell>
          <cell r="F1315" t="str">
            <v>Therapeutic</v>
          </cell>
          <cell r="G1315" t="str">
            <v>Intermediate</v>
          </cell>
          <cell r="H1315" t="str">
            <v>Stimulators, Electrical, Neuromuscular</v>
          </cell>
          <cell r="I1315" t="str">
            <v>STIMULATOR TRANSCUTANEOUS NERVE</v>
          </cell>
          <cell r="J1315" t="str">
            <v>13-775</v>
          </cell>
          <cell r="K1315" t="str">
            <v>ELPHA II 3000</v>
          </cell>
          <cell r="L1315" t="str">
            <v>ELPHA II 3000</v>
          </cell>
          <cell r="M1315">
            <v>2014080476</v>
          </cell>
          <cell r="N1315" t="str">
            <v>REHABILITASI</v>
          </cell>
          <cell r="O1315" t="str">
            <v>Jabatan Perubatan Rehabilitasi</v>
          </cell>
          <cell r="P1315" t="str">
            <v>ABR</v>
          </cell>
          <cell r="Q1315">
            <v>949</v>
          </cell>
        </row>
        <row r="1316">
          <cell r="E1316" t="str">
            <v>KKM/JKN/HSA/10-05-01/R/15/16750</v>
          </cell>
          <cell r="F1316" t="str">
            <v>Therapeutic</v>
          </cell>
          <cell r="G1316" t="str">
            <v>Intermediate</v>
          </cell>
          <cell r="H1316" t="str">
            <v>Stimulators, Electrical, Neuromuscular</v>
          </cell>
          <cell r="I1316" t="str">
            <v>STIMULATOR TRANSCUTANEOUS NERVE</v>
          </cell>
          <cell r="J1316" t="str">
            <v>13-775</v>
          </cell>
          <cell r="K1316" t="str">
            <v>ELPHA II 3000</v>
          </cell>
          <cell r="L1316" t="str">
            <v>ELPHA II 3000</v>
          </cell>
          <cell r="M1316"/>
          <cell r="N1316" t="str">
            <v>REHABILITASI</v>
          </cell>
          <cell r="O1316" t="str">
            <v>Jabatan Perubatan Rehabilitasi</v>
          </cell>
          <cell r="P1316" t="str">
            <v>ABR</v>
          </cell>
          <cell r="Q1316">
            <v>949</v>
          </cell>
        </row>
        <row r="1317">
          <cell r="E1317" t="str">
            <v>KKM/JKN/HSA/10-05-01/H/15/36</v>
          </cell>
          <cell r="F1317" t="str">
            <v>Therapeutic</v>
          </cell>
          <cell r="G1317" t="str">
            <v>Intermediate</v>
          </cell>
          <cell r="H1317" t="str">
            <v>Radiofrequency Therapy Systems, Diathermy</v>
          </cell>
          <cell r="I1317" t="str">
            <v>SHOCKWAVE THERAPHY UNIT/500 PLUS V-ACTOR</v>
          </cell>
          <cell r="J1317" t="str">
            <v>11-246</v>
          </cell>
          <cell r="K1317" t="str">
            <v xml:space="preserve"> 500 PLUS V-ACTOR</v>
          </cell>
          <cell r="L1317"/>
          <cell r="M1317">
            <v>4140900</v>
          </cell>
          <cell r="N1317" t="str">
            <v>REHABILITASI</v>
          </cell>
          <cell r="O1317" t="str">
            <v>Jabatan Perubatan Rehabilitasi</v>
          </cell>
          <cell r="P1317" t="str">
            <v>HM</v>
          </cell>
          <cell r="Q1317">
            <v>105000</v>
          </cell>
        </row>
        <row r="1318">
          <cell r="E1318" t="str">
            <v>KKM/JKN/HSA/10-05-01/H/15/2548</v>
          </cell>
          <cell r="F1318" t="str">
            <v>Therapeutic</v>
          </cell>
          <cell r="G1318" t="str">
            <v>Intermediate</v>
          </cell>
          <cell r="H1318" t="str">
            <v>Stimulators, Electrical, Peripheral Nerve, Analgesic, Transcutaneous</v>
          </cell>
          <cell r="I1318" t="str">
            <v>INTERFERENTIAL THERAPY W/SUCTION</v>
          </cell>
          <cell r="J1318" t="str">
            <v>13-782</v>
          </cell>
          <cell r="K1318" t="str">
            <v>GYMNA UNIPHY</v>
          </cell>
          <cell r="L1318" t="str">
            <v>PHYACTION I</v>
          </cell>
          <cell r="M1318">
            <v>71941</v>
          </cell>
          <cell r="N1318" t="str">
            <v>REHABILITASI</v>
          </cell>
          <cell r="O1318" t="str">
            <v>Jabatan Perubatan Rehabilitasi</v>
          </cell>
          <cell r="P1318" t="str">
            <v>HM</v>
          </cell>
          <cell r="Q1318">
            <v>14010</v>
          </cell>
        </row>
        <row r="1319">
          <cell r="E1319" t="str">
            <v>KKM/JKN/HSA/10-05-01/H/15/966</v>
          </cell>
          <cell r="F1319" t="str">
            <v>Therapeutic</v>
          </cell>
          <cell r="G1319" t="str">
            <v>Intermediate</v>
          </cell>
          <cell r="H1319" t="str">
            <v>Radiofrequency Therapy Systems, Diathermy</v>
          </cell>
          <cell r="I1319" t="str">
            <v>DIATHERMY UNIT SHORT WAVE</v>
          </cell>
          <cell r="J1319" t="str">
            <v>11-246</v>
          </cell>
          <cell r="K1319" t="str">
            <v>GYMNA UNIPHY</v>
          </cell>
          <cell r="L1319" t="str">
            <v>GYMNA UNIPHY</v>
          </cell>
          <cell r="M1319">
            <v>2008082</v>
          </cell>
          <cell r="N1319" t="str">
            <v>REHABILITASI</v>
          </cell>
          <cell r="O1319" t="str">
            <v>Jabatan Perubatan Rehabilitasi</v>
          </cell>
          <cell r="P1319" t="str">
            <v>HM</v>
          </cell>
          <cell r="Q1319">
            <v>24466</v>
          </cell>
        </row>
        <row r="1320">
          <cell r="E1320" t="str">
            <v>KKM/JKN/HSA/10-05-01/H/15/967</v>
          </cell>
          <cell r="F1320" t="str">
            <v>Therapeutic</v>
          </cell>
          <cell r="G1320" t="str">
            <v>Intermediate</v>
          </cell>
          <cell r="H1320" t="str">
            <v>Radiofrequency Therapy Systems, Diathermy</v>
          </cell>
          <cell r="I1320" t="str">
            <v>DIATHERMY UNIT SHORT WAVE</v>
          </cell>
          <cell r="J1320" t="str">
            <v>11-246</v>
          </cell>
          <cell r="K1320" t="str">
            <v>GYMNA UNIPHY</v>
          </cell>
          <cell r="L1320" t="str">
            <v>GYMNA UNIPHY</v>
          </cell>
          <cell r="M1320">
            <v>2008081</v>
          </cell>
          <cell r="N1320" t="str">
            <v>REHABILITASI</v>
          </cell>
          <cell r="O1320" t="str">
            <v>Jabatan Perubatan Rehabilitasi</v>
          </cell>
          <cell r="P1320" t="str">
            <v>HM</v>
          </cell>
          <cell r="Q1320">
            <v>24466</v>
          </cell>
        </row>
        <row r="1321">
          <cell r="E1321" t="str">
            <v>KKM/JKN/HSA/10-05-01/H/15/420</v>
          </cell>
          <cell r="F1321" t="str">
            <v>Therapeutic</v>
          </cell>
          <cell r="G1321" t="str">
            <v>Intermediate</v>
          </cell>
          <cell r="H1321" t="str">
            <v>Ultrasound Therapy Systems, Physical Therapy</v>
          </cell>
          <cell r="I1321" t="str">
            <v>COMBINATION ELECTROTHERAPY AND ULTRASOUND</v>
          </cell>
          <cell r="J1321" t="str">
            <v>11-248</v>
          </cell>
          <cell r="K1321" t="str">
            <v>GYMNA UNIPHY</v>
          </cell>
          <cell r="L1321" t="str">
            <v>COMBI 200/VACO200/TROLLEY (CT3111)</v>
          </cell>
          <cell r="M1321">
            <v>71650</v>
          </cell>
          <cell r="N1321" t="str">
            <v>REHABILITASI</v>
          </cell>
          <cell r="O1321" t="str">
            <v>Jabatan Perubatan Rehabilitasi</v>
          </cell>
          <cell r="P1321" t="str">
            <v>HM</v>
          </cell>
          <cell r="Q1321">
            <v>17549</v>
          </cell>
        </row>
        <row r="1322">
          <cell r="E1322" t="str">
            <v>KKM/JKN/HSA/10-05-01/H/15/2757</v>
          </cell>
          <cell r="F1322" t="str">
            <v xml:space="preserve">Diagnostic </v>
          </cell>
          <cell r="G1322" t="str">
            <v>Intermediate</v>
          </cell>
          <cell r="H1322" t="str">
            <v>Biofeedback Systems</v>
          </cell>
          <cell r="I1322" t="str">
            <v>BIO-FEEDBACK UNIT (sEMG)</v>
          </cell>
          <cell r="J1322" t="str">
            <v>10-396</v>
          </cell>
          <cell r="K1322" t="str">
            <v>GYMNA UNIPHY</v>
          </cell>
          <cell r="L1322" t="str">
            <v>MYO 200 / PC</v>
          </cell>
          <cell r="M1322">
            <v>67371</v>
          </cell>
          <cell r="N1322" t="str">
            <v>REHABILITASI</v>
          </cell>
          <cell r="O1322" t="str">
            <v>Jabatan Perubatan Rehabilitasi</v>
          </cell>
          <cell r="P1322" t="str">
            <v>HM</v>
          </cell>
          <cell r="Q1322">
            <v>18204</v>
          </cell>
        </row>
        <row r="1323">
          <cell r="E1323" t="str">
            <v>KKM/JKN/HSA/10-05-01/H/15/4856</v>
          </cell>
          <cell r="F1323" t="str">
            <v xml:space="preserve">Diagnostic </v>
          </cell>
          <cell r="G1323" t="str">
            <v>Intermediate</v>
          </cell>
          <cell r="H1323" t="str">
            <v>Biofeedback Systems</v>
          </cell>
          <cell r="I1323" t="str">
            <v>BIO-FEEDBACK UNIT (sEMG)</v>
          </cell>
          <cell r="J1323" t="str">
            <v>10-396</v>
          </cell>
          <cell r="K1323" t="str">
            <v>SCHUHFRIED</v>
          </cell>
          <cell r="L1323" t="str">
            <v>2000 X-PERT</v>
          </cell>
          <cell r="M1323"/>
          <cell r="N1323" t="str">
            <v>REHABILITASI</v>
          </cell>
          <cell r="O1323" t="str">
            <v>Jabatan Perubatan Rehabilitasi</v>
          </cell>
          <cell r="P1323" t="str">
            <v>HM</v>
          </cell>
          <cell r="Q1323">
            <v>23665.200000000001</v>
          </cell>
        </row>
        <row r="1324">
          <cell r="E1324" t="str">
            <v>KKM/JKN/HSA/10-05-01/H/16/139</v>
          </cell>
          <cell r="F1324" t="str">
            <v>Therapeutic</v>
          </cell>
          <cell r="G1324" t="str">
            <v>Basic</v>
          </cell>
          <cell r="H1324" t="str">
            <v>Exercisers, Continuous Passive Motion</v>
          </cell>
          <cell r="I1324" t="str">
            <v>AERO UPPERCYCLE</v>
          </cell>
          <cell r="J1324" t="str">
            <v>11-631</v>
          </cell>
          <cell r="K1324" t="str">
            <v>MOTOMED</v>
          </cell>
          <cell r="L1324" t="str">
            <v>RT-200.004</v>
          </cell>
          <cell r="M1324" t="str">
            <v>C45VM2004081</v>
          </cell>
          <cell r="N1324" t="str">
            <v>REHABILITASI</v>
          </cell>
          <cell r="O1324" t="str">
            <v>Jabatan Perubatan Rehabilitasi</v>
          </cell>
          <cell r="P1324" t="str">
            <v>HM</v>
          </cell>
          <cell r="Q1324">
            <v>24464</v>
          </cell>
        </row>
        <row r="1325">
          <cell r="E1325" t="str">
            <v>KKM/JKN/HSA/10-05-01/H/15/2547</v>
          </cell>
          <cell r="F1325" t="str">
            <v>Therapeutic</v>
          </cell>
          <cell r="G1325" t="str">
            <v>Intermediate</v>
          </cell>
          <cell r="H1325" t="str">
            <v>Stimulators, Electrical, Neuromuscular</v>
          </cell>
          <cell r="I1325" t="str">
            <v>ACCUPUNCTURE UNIT ELECTRO</v>
          </cell>
          <cell r="J1325" t="str">
            <v>13-775</v>
          </cell>
          <cell r="K1325" t="str">
            <v>GYMNA UNIPHY</v>
          </cell>
          <cell r="L1325" t="str">
            <v>DUO 200</v>
          </cell>
          <cell r="M1325">
            <v>71437</v>
          </cell>
          <cell r="N1325" t="str">
            <v>REHABILITASI</v>
          </cell>
          <cell r="O1325" t="str">
            <v>Jabatan Perubatan Rehabilitasi</v>
          </cell>
          <cell r="P1325" t="str">
            <v>HM</v>
          </cell>
          <cell r="Q1325">
            <v>9465</v>
          </cell>
        </row>
        <row r="1326">
          <cell r="E1326" t="str">
            <v>KKM/JKN/HSA/10-05-01/H/15/4999</v>
          </cell>
          <cell r="F1326" t="str">
            <v>Radiology</v>
          </cell>
          <cell r="G1326" t="str">
            <v>Intermediate</v>
          </cell>
          <cell r="H1326" t="str">
            <v>Radiographic Units, Mobile</v>
          </cell>
          <cell r="I1326" t="str">
            <v>X-RAY UNIT MOBILE</v>
          </cell>
          <cell r="J1326" t="str">
            <v>13-272</v>
          </cell>
          <cell r="K1326" t="str">
            <v>SIEMENS</v>
          </cell>
          <cell r="L1326" t="str">
            <v xml:space="preserve"> MOBILETT XP HYBRID</v>
          </cell>
          <cell r="M1326">
            <v>4003</v>
          </cell>
          <cell r="N1326" t="str">
            <v>PENGIMEJAN DAN DIAGNOSTIK</v>
          </cell>
          <cell r="O1326" t="str">
            <v>Jabatan Pengimejan &amp; Diagnostik</v>
          </cell>
          <cell r="P1326" t="str">
            <v>HM</v>
          </cell>
          <cell r="Q1326">
            <v>105500</v>
          </cell>
        </row>
        <row r="1327">
          <cell r="E1327" t="str">
            <v xml:space="preserve">KKM/JKN/HSA/10-05-01/H/15/5022
</v>
          </cell>
          <cell r="F1327" t="str">
            <v>Therapeutic</v>
          </cell>
          <cell r="G1327" t="str">
            <v>Basic</v>
          </cell>
          <cell r="H1327" t="str">
            <v>Warming Units, Blood/Solution</v>
          </cell>
          <cell r="I1327" t="str">
            <v>WARMER BLOOD DRY HEAT TYPE</v>
          </cell>
          <cell r="J1327" t="str">
            <v>10-447</v>
          </cell>
          <cell r="K1327" t="str">
            <v>BARKEY</v>
          </cell>
          <cell r="L1327" t="str">
            <v>S.LINE</v>
          </cell>
          <cell r="M1327" t="str">
            <v>1207691/2305950</v>
          </cell>
          <cell r="N1327" t="str">
            <v>PENGIMEJAN DAN DIAGNOSTIK</v>
          </cell>
          <cell r="O1327" t="str">
            <v>Jabatan Pengimejan &amp; Diagnostik</v>
          </cell>
          <cell r="P1327" t="str">
            <v>HM</v>
          </cell>
          <cell r="Q1327">
            <v>4224</v>
          </cell>
        </row>
        <row r="1328">
          <cell r="E1328" t="str">
            <v xml:space="preserve">KKM/JKN/HSA/10-05-01/H/15/2469 </v>
          </cell>
          <cell r="F1328" t="str">
            <v>Radiology</v>
          </cell>
          <cell r="G1328" t="str">
            <v>Intermediate</v>
          </cell>
          <cell r="H1328" t="str">
            <v>Scanning Systems, Ultrasonic, General-PurP0se</v>
          </cell>
          <cell r="I1328" t="str">
            <v>ULTRASOUND UNIT COLOR DOPPLER, ABDOMINAL EXAM</v>
          </cell>
          <cell r="J1328" t="str">
            <v>15-976</v>
          </cell>
          <cell r="K1328" t="str">
            <v>SIEMENS</v>
          </cell>
          <cell r="L1328" t="str">
            <v>ACUSON X700</v>
          </cell>
          <cell r="M1328">
            <v>356299</v>
          </cell>
          <cell r="N1328" t="str">
            <v>PENGIMEJAN DAN DIAGNOSTIK</v>
          </cell>
          <cell r="O1328" t="str">
            <v>Jabatan Pengimejan &amp; Diagnostik</v>
          </cell>
          <cell r="P1328" t="str">
            <v>HM</v>
          </cell>
          <cell r="Q1328">
            <v>150000</v>
          </cell>
        </row>
        <row r="1329">
          <cell r="E1329" t="str">
            <v xml:space="preserve">KKM/JKN/HSA/10-05-01/H/15/2470 </v>
          </cell>
          <cell r="F1329" t="str">
            <v>Radiology</v>
          </cell>
          <cell r="G1329" t="str">
            <v>Intermediate</v>
          </cell>
          <cell r="H1329" t="str">
            <v>Scanning Systems, Ultrasonic, General-PurP0se</v>
          </cell>
          <cell r="I1329" t="str">
            <v>ULTRASOUND UNIT COLOR DOPPLER, ABDOMINAL EXAM</v>
          </cell>
          <cell r="J1329" t="str">
            <v>15-976</v>
          </cell>
          <cell r="K1329" t="str">
            <v>SIEMENS</v>
          </cell>
          <cell r="L1329" t="str">
            <v>ACUSON X700</v>
          </cell>
          <cell r="M1329">
            <v>210762</v>
          </cell>
          <cell r="N1329" t="str">
            <v>PENGIMEJAN DAN DIAGNOSTIK</v>
          </cell>
          <cell r="O1329" t="str">
            <v>Jabatan Pengimejan &amp; Diagnostik</v>
          </cell>
          <cell r="P1329" t="str">
            <v>HM</v>
          </cell>
          <cell r="Q1329">
            <v>150000</v>
          </cell>
        </row>
        <row r="1330">
          <cell r="E1330" t="str">
            <v xml:space="preserve">KKM/JKN/HSA/10-05-01/H/15/2466 </v>
          </cell>
          <cell r="F1330" t="str">
            <v>Radiology</v>
          </cell>
          <cell r="G1330" t="str">
            <v>Intermediate</v>
          </cell>
          <cell r="H1330" t="str">
            <v>Scanning Systems, Ultrasonic, General-PurP0se</v>
          </cell>
          <cell r="I1330" t="str">
            <v>ULTRASOUND UNIT COLOR DOPPLER</v>
          </cell>
          <cell r="J1330" t="str">
            <v>15-976</v>
          </cell>
          <cell r="K1330" t="str">
            <v>SIEMENS</v>
          </cell>
          <cell r="L1330" t="str">
            <v>ACUSON X150</v>
          </cell>
          <cell r="M1330">
            <v>336230</v>
          </cell>
          <cell r="N1330" t="str">
            <v>PENGIMEJAN DAN DIAGNOSTIK</v>
          </cell>
          <cell r="O1330" t="str">
            <v>Jabatan Pengimejan &amp; Diagnostik</v>
          </cell>
          <cell r="P1330" t="str">
            <v>HM</v>
          </cell>
          <cell r="Q1330">
            <v>48300</v>
          </cell>
        </row>
        <row r="1331">
          <cell r="E1331" t="str">
            <v>KKM/JKN/HSA/10-05-01/H/15/4996</v>
          </cell>
          <cell r="F1331" t="str">
            <v>Therapeutic</v>
          </cell>
          <cell r="G1331" t="str">
            <v>Basic</v>
          </cell>
          <cell r="H1331" t="str">
            <v>Tourniquets, Pneumatic</v>
          </cell>
          <cell r="I1331" t="str">
            <v>TOURNIQUET FOR VENOGRAM</v>
          </cell>
          <cell r="J1331" t="str">
            <v>14-074</v>
          </cell>
          <cell r="K1331" t="str">
            <v>VBM</v>
          </cell>
          <cell r="L1331">
            <v>2500</v>
          </cell>
          <cell r="M1331" t="str">
            <v>401506200019</v>
          </cell>
          <cell r="N1331" t="str">
            <v>PENGIMEJAN DAN DIAGNOSTIK</v>
          </cell>
          <cell r="O1331" t="str">
            <v>Jabatan Pengimejan &amp; Diagnostik</v>
          </cell>
          <cell r="P1331" t="str">
            <v>HM</v>
          </cell>
          <cell r="Q1331">
            <v>5200</v>
          </cell>
        </row>
        <row r="1332">
          <cell r="E1332" t="str">
            <v>KKM/JKN/HSA/10-05-01/H/15/4873</v>
          </cell>
          <cell r="F1332" t="str">
            <v>Radiology</v>
          </cell>
          <cell r="G1332" t="str">
            <v>Intermediate</v>
          </cell>
          <cell r="H1332" t="str">
            <v>Radiographic Units, Chest</v>
          </cell>
          <cell r="I1332" t="str">
            <v>RADIOGRAPHY UNIT GENERAL  W/ BUCKY WALL STAND</v>
          </cell>
          <cell r="J1332" t="str">
            <v>10-822</v>
          </cell>
          <cell r="K1332" t="str">
            <v>SIEMENS</v>
          </cell>
          <cell r="L1332" t="str">
            <v xml:space="preserve">MULTIX TOP W VERTIX </v>
          </cell>
          <cell r="M1332">
            <v>2878</v>
          </cell>
          <cell r="N1332" t="str">
            <v>PENGIMEJAN DAN DIAGNOSTIK</v>
          </cell>
          <cell r="O1332" t="str">
            <v>Jabatan Pengimejan &amp; Diagnostik</v>
          </cell>
          <cell r="P1332" t="str">
            <v>HM</v>
          </cell>
          <cell r="Q1332">
            <v>416000</v>
          </cell>
        </row>
        <row r="1333">
          <cell r="E1333" t="str">
            <v>KKM/JKN/HSA/10-05-01/H/15/4874</v>
          </cell>
          <cell r="F1333" t="str">
            <v>Radiology</v>
          </cell>
          <cell r="G1333" t="str">
            <v>Intermediate</v>
          </cell>
          <cell r="H1333" t="str">
            <v>Radiographic Units, Chest</v>
          </cell>
          <cell r="I1333" t="str">
            <v>RADIOGRAPHY UNIT GENERAL  W/ BUCKY WALL STAND</v>
          </cell>
          <cell r="J1333" t="str">
            <v>10-822</v>
          </cell>
          <cell r="K1333" t="str">
            <v>SIEMENS</v>
          </cell>
          <cell r="L1333" t="str">
            <v xml:space="preserve">MULTIX TOP W VERTIX </v>
          </cell>
          <cell r="M1333">
            <v>2878</v>
          </cell>
          <cell r="N1333" t="str">
            <v>PENGIMEJAN DAN DIAGNOSTIK</v>
          </cell>
          <cell r="O1333" t="str">
            <v>Jabatan Pengimejan &amp; Diagnostik</v>
          </cell>
          <cell r="P1333" t="str">
            <v>HM</v>
          </cell>
          <cell r="Q1333">
            <v>416000</v>
          </cell>
        </row>
        <row r="1334">
          <cell r="E1334" t="str">
            <v>KKM/JKN/HSA/10-05-01/H/15/4872</v>
          </cell>
          <cell r="F1334" t="str">
            <v>Radiology</v>
          </cell>
          <cell r="G1334" t="str">
            <v>Intermediate</v>
          </cell>
          <cell r="H1334" t="str">
            <v>Radiographic Units, Chest</v>
          </cell>
          <cell r="I1334" t="str">
            <v>RADIOGRAPHY UNIT (IVU)</v>
          </cell>
          <cell r="J1334" t="str">
            <v>10-822</v>
          </cell>
          <cell r="K1334" t="str">
            <v>SIEMENS</v>
          </cell>
          <cell r="L1334" t="str">
            <v xml:space="preserve"> </v>
          </cell>
          <cell r="M1334">
            <v>2881</v>
          </cell>
          <cell r="N1334" t="str">
            <v>PENGIMEJAN DAN DIAGNOSTIK</v>
          </cell>
          <cell r="O1334" t="str">
            <v>Jabatan Pengimejan &amp; Diagnostik</v>
          </cell>
          <cell r="P1334" t="str">
            <v>HM</v>
          </cell>
          <cell r="Q1334">
            <v>554438.30000000005</v>
          </cell>
        </row>
        <row r="1335">
          <cell r="E1335" t="str">
            <v>KKM/JKN/HSA/10-05-01/H/15/1018</v>
          </cell>
          <cell r="F1335" t="str">
            <v xml:space="preserve">Diagnostic </v>
          </cell>
          <cell r="G1335" t="str">
            <v>Intermediate</v>
          </cell>
          <cell r="H1335" t="str">
            <v>Monitors, Physiologic, Vital Signs</v>
          </cell>
          <cell r="I1335" t="str">
            <v>MONITOR NIBP/SP02</v>
          </cell>
          <cell r="J1335" t="str">
            <v>25-209</v>
          </cell>
          <cell r="K1335" t="str">
            <v>WELCH ALLYN</v>
          </cell>
          <cell r="L1335" t="str">
            <v>WELCH ALLYN VSM 300</v>
          </cell>
          <cell r="M1335" t="str">
            <v>JA123459</v>
          </cell>
          <cell r="N1335" t="str">
            <v>PENGIMEJAN DAN DIAGNOSTIK</v>
          </cell>
          <cell r="O1335" t="str">
            <v>Jabatan Pengimejan &amp; Diagnostik</v>
          </cell>
          <cell r="P1335" t="str">
            <v>HM</v>
          </cell>
          <cell r="Q1335">
            <v>5185</v>
          </cell>
        </row>
        <row r="1336">
          <cell r="E1336" t="str">
            <v xml:space="preserve">KKM/JKN/HSA/10-05-01/H/15/2540 </v>
          </cell>
          <cell r="F1336" t="str">
            <v>Radiology</v>
          </cell>
          <cell r="G1336" t="str">
            <v>Intermediate</v>
          </cell>
          <cell r="H1336" t="str">
            <v>Image Digitization Systems, Computed Radiography</v>
          </cell>
          <cell r="I1336" t="str">
            <v>DICOM NETWORK PRINTER</v>
          </cell>
          <cell r="J1336" t="str">
            <v>17-904</v>
          </cell>
          <cell r="K1336" t="str">
            <v>CARESTREAM</v>
          </cell>
          <cell r="L1336" t="str">
            <v>DIRECTVIEW 6850</v>
          </cell>
          <cell r="M1336" t="str">
            <v>S54805190</v>
          </cell>
          <cell r="N1336" t="str">
            <v>PENGIMEJAN DAN DIAGNOSTIK</v>
          </cell>
          <cell r="O1336" t="str">
            <v>Jabatan Pengimejan &amp; Diagnostik</v>
          </cell>
          <cell r="P1336" t="str">
            <v>HM</v>
          </cell>
          <cell r="Q1336">
            <v>35000</v>
          </cell>
        </row>
        <row r="1337">
          <cell r="E1337" t="str">
            <v xml:space="preserve"> KKM/JKN/HSA/10-05-01/H/15/2541</v>
          </cell>
          <cell r="F1337" t="str">
            <v>Radiology</v>
          </cell>
          <cell r="G1337" t="str">
            <v>Intermediate</v>
          </cell>
          <cell r="H1337" t="str">
            <v>Image Digitization Systems, Computed Radiography</v>
          </cell>
          <cell r="I1337" t="str">
            <v>DICOM NETWORK PRINTER</v>
          </cell>
          <cell r="J1337" t="str">
            <v>17-904</v>
          </cell>
          <cell r="K1337" t="str">
            <v>CARESTREAM</v>
          </cell>
          <cell r="L1337" t="str">
            <v>DIRECTVIEW 6850</v>
          </cell>
          <cell r="M1337" t="str">
            <v>S54805189</v>
          </cell>
          <cell r="N1337" t="str">
            <v>PENGIMEJAN DAN DIAGNOSTIK</v>
          </cell>
          <cell r="O1337" t="str">
            <v>Jabatan Pengimejan &amp; Diagnostik</v>
          </cell>
          <cell r="P1337" t="str">
            <v>HM</v>
          </cell>
          <cell r="Q1337">
            <v>35000</v>
          </cell>
        </row>
        <row r="1338">
          <cell r="E1338" t="str">
            <v xml:space="preserve">KKM/JKN/HSA/10-05-01/H/15/2542 </v>
          </cell>
          <cell r="F1338" t="str">
            <v>Radiology</v>
          </cell>
          <cell r="G1338" t="str">
            <v>Intermediate</v>
          </cell>
          <cell r="H1338" t="str">
            <v>Image Digitization Systems, Computed Radiography</v>
          </cell>
          <cell r="I1338" t="str">
            <v>COMPUTER RADIOGRAPHY (MULTI LOADER &amp; WORKSTATION)</v>
          </cell>
          <cell r="J1338" t="str">
            <v>17-904</v>
          </cell>
          <cell r="K1338" t="str">
            <v>CARESTREAM</v>
          </cell>
          <cell r="L1338" t="str">
            <v>DIRECTVIEW CLASSIC CR</v>
          </cell>
          <cell r="M1338" t="str">
            <v>K54843126</v>
          </cell>
          <cell r="N1338" t="str">
            <v>PENGIMEJAN DAN DIAGNOSTIK</v>
          </cell>
          <cell r="O1338" t="str">
            <v>Jabatan Pengimejan &amp; Diagnostik</v>
          </cell>
          <cell r="P1338" t="str">
            <v>HM</v>
          </cell>
          <cell r="Q1338">
            <v>125000</v>
          </cell>
        </row>
        <row r="1339">
          <cell r="E1339" t="str">
            <v xml:space="preserve">KKM/JKN/HSA/10-05-01/H/15/2543 </v>
          </cell>
          <cell r="F1339" t="str">
            <v>Radiology</v>
          </cell>
          <cell r="G1339" t="str">
            <v>Intermediate</v>
          </cell>
          <cell r="H1339" t="str">
            <v>Image Digitization Systems, Computed Radiography</v>
          </cell>
          <cell r="I1339" t="str">
            <v>COMPUTER RADIOGRAPHY (MULTI LOADER &amp; WORKSTATION)</v>
          </cell>
          <cell r="J1339" t="str">
            <v>17-904</v>
          </cell>
          <cell r="K1339" t="str">
            <v>CARESTREAM</v>
          </cell>
          <cell r="L1339" t="str">
            <v>DIRECTVIEW CLASSIC CR</v>
          </cell>
          <cell r="M1339" t="str">
            <v>K54843122</v>
          </cell>
          <cell r="N1339" t="str">
            <v>PENGIMEJAN DAN DIAGNOSTIK</v>
          </cell>
          <cell r="O1339" t="str">
            <v>Jabatan Pengimejan &amp; Diagnostik</v>
          </cell>
          <cell r="P1339" t="str">
            <v>HM</v>
          </cell>
          <cell r="Q1339">
            <v>125000</v>
          </cell>
        </row>
        <row r="1340">
          <cell r="E1340" t="str">
            <v>KKM/JKN/HSA/10-05-01/H/16/192</v>
          </cell>
          <cell r="F1340" t="str">
            <v>Radiology</v>
          </cell>
          <cell r="G1340" t="str">
            <v>Intermediate</v>
          </cell>
          <cell r="H1340" t="str">
            <v>Image Digitization Systems, Computed Radiography</v>
          </cell>
          <cell r="I1340" t="str">
            <v>CARESTREAM DIRECTVIEW CLASSIC SYSTEM</v>
          </cell>
          <cell r="J1340" t="str">
            <v>17-904</v>
          </cell>
          <cell r="K1340" t="str">
            <v>CARESTREAM</v>
          </cell>
          <cell r="L1340" t="str">
            <v>K-5484-1526</v>
          </cell>
          <cell r="M1340">
            <v>3539</v>
          </cell>
          <cell r="N1340" t="str">
            <v>PENGIMEJAN DAN DIAGNOSTIK</v>
          </cell>
          <cell r="O1340" t="str">
            <v>Jabatan Pengimejan &amp; Diagnostik</v>
          </cell>
          <cell r="P1340" t="str">
            <v>HM</v>
          </cell>
          <cell r="Q1340">
            <v>49000</v>
          </cell>
        </row>
        <row r="1341">
          <cell r="E1341" t="str">
            <v>KKM/JKN/HSA/10-05-01/H/16/161</v>
          </cell>
          <cell r="F1341" t="str">
            <v>Therapeutic</v>
          </cell>
          <cell r="G1341" t="str">
            <v>Basic</v>
          </cell>
          <cell r="H1341" t="str">
            <v>Ultrasound Cleaning Systems</v>
          </cell>
          <cell r="I1341" t="str">
            <v>BOTTLE WARMER (GEL WARMER ULTRASOUND)</v>
          </cell>
          <cell r="J1341" t="str">
            <v>14-263</v>
          </cell>
          <cell r="K1341" t="str">
            <v>KGW-2</v>
          </cell>
          <cell r="L1341" t="str">
            <v>TPM</v>
          </cell>
          <cell r="M1341" t="str">
            <v>KGW214040009</v>
          </cell>
          <cell r="N1341" t="str">
            <v>PENGIMEJAN DAN DIAGNOSTIK</v>
          </cell>
          <cell r="O1341" t="str">
            <v>Jabatan Pengimejan &amp; Diagnostik</v>
          </cell>
          <cell r="P1341" t="str">
            <v>HM</v>
          </cell>
          <cell r="Q1341">
            <v>2500</v>
          </cell>
        </row>
        <row r="1342">
          <cell r="E1342" t="str">
            <v>KKM/JKN/HSA/10-05-01/H/16/162</v>
          </cell>
          <cell r="F1342" t="str">
            <v>Therapeutic</v>
          </cell>
          <cell r="G1342" t="str">
            <v>Basic</v>
          </cell>
          <cell r="H1342" t="str">
            <v>Ultrasound Cleaning Systems</v>
          </cell>
          <cell r="I1342" t="str">
            <v>BOTTLE WARMER (GEL WARMER ULTRASOUND)</v>
          </cell>
          <cell r="J1342" t="str">
            <v>14-263</v>
          </cell>
          <cell r="K1342" t="str">
            <v>KGW-2</v>
          </cell>
          <cell r="L1342" t="str">
            <v>TPM</v>
          </cell>
          <cell r="M1342" t="str">
            <v>KGW214040008</v>
          </cell>
          <cell r="N1342" t="str">
            <v>PENGIMEJAN DAN DIAGNOSTIK</v>
          </cell>
          <cell r="O1342" t="str">
            <v>Jabatan Pengimejan &amp; Diagnostik</v>
          </cell>
          <cell r="P1342" t="str">
            <v>HM</v>
          </cell>
          <cell r="Q1342">
            <v>2500</v>
          </cell>
        </row>
        <row r="1343">
          <cell r="E1343" t="str">
            <v>KKM/JKN/HSA/10-05-01/H/16/51</v>
          </cell>
          <cell r="F1343" t="str">
            <v>Laboratory</v>
          </cell>
          <cell r="G1343" t="str">
            <v>Intermediate</v>
          </cell>
          <cell r="H1343" t="str">
            <v>Tissue Processors</v>
          </cell>
          <cell r="I1343" t="str">
            <v>TISSUE PROCESSOR</v>
          </cell>
          <cell r="J1343" t="str">
            <v>15-190</v>
          </cell>
          <cell r="K1343" t="str">
            <v>ASP 3005</v>
          </cell>
          <cell r="L1343" t="str">
            <v>TPM</v>
          </cell>
          <cell r="M1343" t="str">
            <v xml:space="preserve">00000006676
</v>
          </cell>
          <cell r="N1343" t="str">
            <v>PATOLOGI</v>
          </cell>
          <cell r="O1343" t="str">
            <v>Jabatan Patologi</v>
          </cell>
          <cell r="P1343" t="str">
            <v>HM</v>
          </cell>
          <cell r="Q1343">
            <v>159800</v>
          </cell>
        </row>
        <row r="1344">
          <cell r="E1344" t="str">
            <v>KKM/JKN/HSA/10-05-01/H/15/3979</v>
          </cell>
          <cell r="F1344" t="str">
            <v>Laboratory</v>
          </cell>
          <cell r="G1344" t="str">
            <v>Basic</v>
          </cell>
          <cell r="H1344" t="str">
            <v>Slide Stainers</v>
          </cell>
          <cell r="I1344" t="str">
            <v>STAINER SLIDE 28 AUTOMATIC RANDOM ACCESS</v>
          </cell>
          <cell r="J1344" t="str">
            <v>15-599</v>
          </cell>
          <cell r="K1344" t="str">
            <v>LEICA</v>
          </cell>
          <cell r="L1344" t="str">
            <v>AUTOSTAINER XL</v>
          </cell>
          <cell r="M1344" t="str">
            <v>4085/02.2015</v>
          </cell>
          <cell r="N1344" t="str">
            <v>PATOLOGI</v>
          </cell>
          <cell r="O1344" t="str">
            <v>Jabatan Patologi</v>
          </cell>
          <cell r="P1344" t="str">
            <v>HM</v>
          </cell>
          <cell r="Q1344">
            <v>83000</v>
          </cell>
        </row>
        <row r="1345">
          <cell r="E1345" t="str">
            <v>KKM/JKN/HSA/10-05-01/H/15/3980</v>
          </cell>
          <cell r="F1345" t="str">
            <v>Laboratory</v>
          </cell>
          <cell r="G1345" t="str">
            <v>Basic</v>
          </cell>
          <cell r="H1345" t="str">
            <v>Slide Stainers</v>
          </cell>
          <cell r="I1345" t="str">
            <v>STAINER SLIDE 28 AUTOMATIC RANDOM ACCESS</v>
          </cell>
          <cell r="J1345" t="str">
            <v>15-599</v>
          </cell>
          <cell r="K1345" t="str">
            <v>SIEMENS</v>
          </cell>
          <cell r="L1345" t="str">
            <v>HEMATEK 3000</v>
          </cell>
          <cell r="M1345">
            <v>351647</v>
          </cell>
          <cell r="N1345" t="str">
            <v>PATOLOGI</v>
          </cell>
          <cell r="O1345" t="str">
            <v>Jabatan Patologi</v>
          </cell>
          <cell r="P1345" t="str">
            <v>HM</v>
          </cell>
          <cell r="Q1345">
            <v>83000</v>
          </cell>
        </row>
        <row r="1346">
          <cell r="E1346" t="str">
            <v>KKM/JKN/HSA/10-05-01/H/15/3985</v>
          </cell>
          <cell r="F1346" t="str">
            <v>Laboratory</v>
          </cell>
          <cell r="G1346" t="str">
            <v>Basic</v>
          </cell>
          <cell r="H1346" t="str">
            <v>Mixers, Blood Tube</v>
          </cell>
          <cell r="I1346" t="str">
            <v>ROLLER MIXER BLOOD SAMPLE</v>
          </cell>
          <cell r="J1346" t="str">
            <v>16-384</v>
          </cell>
          <cell r="K1346" t="str">
            <v>STUART</v>
          </cell>
          <cell r="L1346" t="str">
            <v>SRT9D</v>
          </cell>
          <cell r="M1346" t="str">
            <v>R950000027</v>
          </cell>
          <cell r="N1346" t="str">
            <v>PATOLOGI</v>
          </cell>
          <cell r="O1346" t="str">
            <v>Jabatan Patologi</v>
          </cell>
          <cell r="P1346" t="str">
            <v>HM</v>
          </cell>
          <cell r="Q1346">
            <v>7200</v>
          </cell>
        </row>
        <row r="1347">
          <cell r="E1347" t="str">
            <v>KKM/JKN/HSA/10-05-01/H/15/3986</v>
          </cell>
          <cell r="F1347" t="str">
            <v>Laboratory</v>
          </cell>
          <cell r="G1347" t="str">
            <v>Basic</v>
          </cell>
          <cell r="H1347" t="str">
            <v>Mixers, Blood Tube</v>
          </cell>
          <cell r="I1347" t="str">
            <v>ROLLER MIXER BLOOD SAMPLE</v>
          </cell>
          <cell r="J1347" t="str">
            <v>16-384</v>
          </cell>
          <cell r="K1347" t="str">
            <v>STUART</v>
          </cell>
          <cell r="L1347" t="str">
            <v>SRT9D</v>
          </cell>
          <cell r="M1347" t="str">
            <v>R950000048</v>
          </cell>
          <cell r="N1347" t="str">
            <v>PATOLOGI</v>
          </cell>
          <cell r="O1347" t="str">
            <v>Jabatan Patologi</v>
          </cell>
          <cell r="P1347" t="str">
            <v>HM</v>
          </cell>
          <cell r="Q1347">
            <v>7200</v>
          </cell>
        </row>
        <row r="1348">
          <cell r="E1348" t="str">
            <v>KKM/JKN/HSA/10-05-01/H/15/3987</v>
          </cell>
          <cell r="F1348" t="str">
            <v>Laboratory</v>
          </cell>
          <cell r="G1348" t="str">
            <v>Basic</v>
          </cell>
          <cell r="H1348" t="str">
            <v>Mixers, Blood Tube</v>
          </cell>
          <cell r="I1348" t="str">
            <v>ROLLER MIXER BLOOD SAMPLE</v>
          </cell>
          <cell r="J1348" t="str">
            <v>16-384</v>
          </cell>
          <cell r="K1348" t="str">
            <v>STUART</v>
          </cell>
          <cell r="L1348" t="str">
            <v>SRT9D</v>
          </cell>
          <cell r="M1348" t="str">
            <v>R950000049</v>
          </cell>
          <cell r="N1348" t="str">
            <v>PATOLOGI</v>
          </cell>
          <cell r="O1348" t="str">
            <v>Jabatan Patologi</v>
          </cell>
          <cell r="P1348" t="str">
            <v>HM</v>
          </cell>
          <cell r="Q1348">
            <v>7200</v>
          </cell>
        </row>
        <row r="1349">
          <cell r="E1349" t="str">
            <v>KKM/JKN/HSA/10-05-01/H/15/3988</v>
          </cell>
          <cell r="F1349" t="str">
            <v>Laboratory</v>
          </cell>
          <cell r="G1349" t="str">
            <v>Basic</v>
          </cell>
          <cell r="H1349" t="str">
            <v>Mixers, Blood Tube</v>
          </cell>
          <cell r="I1349" t="str">
            <v>ROLLER MIXER BLOOD SAMPLE</v>
          </cell>
          <cell r="J1349" t="str">
            <v>16-384</v>
          </cell>
          <cell r="K1349" t="str">
            <v>STUART</v>
          </cell>
          <cell r="L1349" t="str">
            <v>SRT9D</v>
          </cell>
          <cell r="M1349" t="str">
            <v>R950000033</v>
          </cell>
          <cell r="N1349" t="str">
            <v>PATOLOGI</v>
          </cell>
          <cell r="O1349" t="str">
            <v>Jabatan Patologi</v>
          </cell>
          <cell r="P1349" t="str">
            <v>HM</v>
          </cell>
          <cell r="Q1349">
            <v>7200</v>
          </cell>
        </row>
        <row r="1350">
          <cell r="E1350" t="str">
            <v>KKM/JKN/HSA/10-05-01/H/15/3989</v>
          </cell>
          <cell r="F1350" t="str">
            <v>Laboratory</v>
          </cell>
          <cell r="G1350" t="str">
            <v>Basic</v>
          </cell>
          <cell r="H1350" t="str">
            <v>Mixers, Blood Tube</v>
          </cell>
          <cell r="I1350" t="str">
            <v>ROLLER MIXER BLOOD SAMPLE</v>
          </cell>
          <cell r="J1350" t="str">
            <v>16-384</v>
          </cell>
          <cell r="K1350" t="str">
            <v>STUART</v>
          </cell>
          <cell r="L1350" t="str">
            <v>SRT9D</v>
          </cell>
          <cell r="M1350" t="str">
            <v>R950000040</v>
          </cell>
          <cell r="N1350" t="str">
            <v>PATOLOGI</v>
          </cell>
          <cell r="O1350" t="str">
            <v>Jabatan Patologi</v>
          </cell>
          <cell r="P1350" t="str">
            <v>HM</v>
          </cell>
          <cell r="Q1350">
            <v>7200</v>
          </cell>
        </row>
        <row r="1351">
          <cell r="E1351" t="str">
            <v>KKM/JKN/HSA/10-05-01/H/15/4018</v>
          </cell>
          <cell r="F1351" t="str">
            <v>Laboratory</v>
          </cell>
          <cell r="G1351" t="str">
            <v>Intermediate</v>
          </cell>
          <cell r="H1351" t="str">
            <v>Analyzers, Laboratory, Blood, GlycatedHemoglobin</v>
          </cell>
          <cell r="I1351" t="str">
            <v>HPLC SYSTEM FOR HBA1C C/W UPS</v>
          </cell>
          <cell r="J1351" t="str">
            <v>17-109</v>
          </cell>
          <cell r="K1351" t="str">
            <v>BIORAD LAB</v>
          </cell>
          <cell r="L1351" t="str">
            <v>D10 HEMOGLOBIN TESTING SYSTEM</v>
          </cell>
          <cell r="M1351" t="str">
            <v xml:space="preserve"> 
DCF806314</v>
          </cell>
          <cell r="N1351" t="str">
            <v>PATOLOGI</v>
          </cell>
          <cell r="O1351" t="str">
            <v>Jabatan Patologi</v>
          </cell>
          <cell r="P1351" t="str">
            <v>HM</v>
          </cell>
          <cell r="Q1351">
            <v>67000</v>
          </cell>
        </row>
        <row r="1352">
          <cell r="E1352" t="str">
            <v>KKM/JKN/HSA/10-05-01/H/15/4017</v>
          </cell>
          <cell r="F1352" t="str">
            <v>Laboratory</v>
          </cell>
          <cell r="G1352" t="str">
            <v>Basic</v>
          </cell>
          <cell r="H1352" t="str">
            <v>Sedimentation Rate Units</v>
          </cell>
          <cell r="I1352" t="str">
            <v>ESR SYSTEM ASPIRATOR TYPE</v>
          </cell>
          <cell r="J1352" t="str">
            <v>15-177</v>
          </cell>
          <cell r="K1352" t="str">
            <v>DALLAB</v>
          </cell>
          <cell r="L1352" t="str">
            <v>MIXCED-LITE 10</v>
          </cell>
          <cell r="M1352" t="str">
            <v>MS 2031518000137</v>
          </cell>
          <cell r="N1352" t="str">
            <v>PATOLOGI</v>
          </cell>
          <cell r="O1352" t="str">
            <v>Jabatan Patologi</v>
          </cell>
          <cell r="P1352" t="str">
            <v>HM</v>
          </cell>
          <cell r="Q1352">
            <v>4750</v>
          </cell>
        </row>
        <row r="1353">
          <cell r="E1353" t="str">
            <v>KKM/JKN/HSA/10-05-01/H/15/3915</v>
          </cell>
          <cell r="F1353" t="str">
            <v>Laboratory</v>
          </cell>
          <cell r="G1353" t="str">
            <v>Intermediate</v>
          </cell>
          <cell r="H1353" t="str">
            <v>Analyzers, Laboratory, Hematology, Coagulation, Automated</v>
          </cell>
          <cell r="I1353" t="str">
            <v>COAGULOMETER (AUTOMATIC)</v>
          </cell>
          <cell r="J1353" t="str">
            <v>15-098</v>
          </cell>
          <cell r="K1353" t="str">
            <v>SYSMEX</v>
          </cell>
          <cell r="L1353" t="str">
            <v>CA660</v>
          </cell>
          <cell r="M1353">
            <v>11263</v>
          </cell>
          <cell r="N1353" t="str">
            <v>PATOLOGI</v>
          </cell>
          <cell r="O1353" t="str">
            <v>Jabatan Patologi</v>
          </cell>
          <cell r="P1353" t="str">
            <v>HM</v>
          </cell>
          <cell r="Q1353">
            <v>64000</v>
          </cell>
        </row>
        <row r="1354">
          <cell r="E1354" t="str">
            <v>KKM/JKN/HSA/10-05-01/H/15/3916</v>
          </cell>
          <cell r="F1354" t="str">
            <v>Laboratory</v>
          </cell>
          <cell r="G1354" t="str">
            <v>Intermediate</v>
          </cell>
          <cell r="H1354" t="str">
            <v>Analyzers, Laboratory, Hematology, Coagulation, Automated</v>
          </cell>
          <cell r="I1354" t="str">
            <v>COAGULOMETER (AUTOMATIC)</v>
          </cell>
          <cell r="J1354" t="str">
            <v>15-098</v>
          </cell>
          <cell r="K1354" t="str">
            <v>SYSMEX</v>
          </cell>
          <cell r="L1354" t="str">
            <v>CA660</v>
          </cell>
          <cell r="M1354">
            <v>11262</v>
          </cell>
          <cell r="N1354" t="str">
            <v>PATOLOGI</v>
          </cell>
          <cell r="O1354" t="str">
            <v>Jabatan Patologi</v>
          </cell>
          <cell r="P1354" t="str">
            <v>HM</v>
          </cell>
          <cell r="Q1354">
            <v>64000</v>
          </cell>
        </row>
        <row r="1355">
          <cell r="E1355" t="str">
            <v xml:space="preserve">KKM/JKN/HSA/10-05-01/H/15/2534 </v>
          </cell>
          <cell r="F1355" t="str">
            <v>Radiology</v>
          </cell>
          <cell r="G1355" t="str">
            <v>Intermediate</v>
          </cell>
          <cell r="H1355" t="str">
            <v>Radiographic Units, Mobile</v>
          </cell>
          <cell r="I1355" t="str">
            <v>X-RAY UNIT MOBILE</v>
          </cell>
          <cell r="J1355" t="str">
            <v>13-272</v>
          </cell>
          <cell r="K1355" t="str">
            <v>SIEMENS</v>
          </cell>
          <cell r="L1355" t="str">
            <v>MOBILETT XP HYBRID</v>
          </cell>
          <cell r="M1355">
            <v>4004</v>
          </cell>
          <cell r="N1355" t="str">
            <v xml:space="preserve">KECEMASAN DAN TRAUMA </v>
          </cell>
          <cell r="O1355" t="str">
            <v>Jabatan Kecemasan &amp; Trauma</v>
          </cell>
          <cell r="P1355" t="str">
            <v>HM</v>
          </cell>
          <cell r="Q1355">
            <v>105500</v>
          </cell>
        </row>
        <row r="1356">
          <cell r="E1356" t="str">
            <v>KKM/JKN/HSA/10-05-01/H/15/1580</v>
          </cell>
          <cell r="F1356" t="str">
            <v>Therapeutic</v>
          </cell>
          <cell r="G1356" t="str">
            <v>Basic</v>
          </cell>
          <cell r="H1356" t="str">
            <v>Warming Units, Patient, Radiant, Infant</v>
          </cell>
          <cell r="I1356" t="str">
            <v>WARMING UNITS, PATIENT, RADIANT, INFANT</v>
          </cell>
          <cell r="J1356" t="str">
            <v>17-956</v>
          </cell>
          <cell r="K1356" t="str">
            <v>DRAEGER</v>
          </cell>
          <cell r="L1356" t="str">
            <v>RESUSCITAIRE RW-82</v>
          </cell>
          <cell r="M1356" t="str">
            <v>AU01146</v>
          </cell>
          <cell r="N1356" t="str">
            <v>KECEMASAN &amp; TRAUMA</v>
          </cell>
          <cell r="O1356" t="str">
            <v>Jabatan Kecemasan &amp; Trauma</v>
          </cell>
          <cell r="P1356" t="str">
            <v>HM</v>
          </cell>
          <cell r="Q1356">
            <v>24000</v>
          </cell>
        </row>
        <row r="1357">
          <cell r="E1357" t="str">
            <v>KKM/JKN/HSA/10-05-01/H/15/2431</v>
          </cell>
          <cell r="F1357" t="str">
            <v>Therapeutic</v>
          </cell>
          <cell r="G1357" t="str">
            <v>Basic</v>
          </cell>
          <cell r="H1357" t="str">
            <v>Warming Units, Patient, Forced-Air</v>
          </cell>
          <cell r="I1357" t="str">
            <v>WARMER, CONVECTIVE AIR</v>
          </cell>
          <cell r="J1357" t="str">
            <v>17-950</v>
          </cell>
          <cell r="K1357" t="str">
            <v>CARE ESSENTIAL PTE</v>
          </cell>
          <cell r="L1357" t="str">
            <v>CWS4000</v>
          </cell>
          <cell r="M1357"/>
          <cell r="N1357" t="str">
            <v>KECEMASAN &amp; TRAUMA</v>
          </cell>
          <cell r="O1357" t="str">
            <v>Jabatan Kecemasan &amp; Trauma</v>
          </cell>
          <cell r="P1357" t="str">
            <v>HM</v>
          </cell>
          <cell r="Q1357">
            <v>6560</v>
          </cell>
        </row>
        <row r="1358">
          <cell r="E1358" t="str">
            <v>KKM/JKN/HSA/10-05-01/H/15/2432</v>
          </cell>
          <cell r="F1358" t="str">
            <v>Therapeutic</v>
          </cell>
          <cell r="G1358" t="str">
            <v>Basic</v>
          </cell>
          <cell r="H1358" t="str">
            <v>Warming Units, Patient, Forced-Air</v>
          </cell>
          <cell r="I1358" t="str">
            <v>WARMER, CONVECTIVE AIR</v>
          </cell>
          <cell r="J1358" t="str">
            <v>17-950</v>
          </cell>
          <cell r="K1358" t="str">
            <v>CARE ESSENTIAL PTE</v>
          </cell>
          <cell r="L1358" t="str">
            <v>CWS4000</v>
          </cell>
          <cell r="M1358"/>
          <cell r="N1358" t="str">
            <v>KECEMASAN &amp; TRAUMA</v>
          </cell>
          <cell r="O1358" t="str">
            <v>Jabatan Kecemasan &amp; Trauma</v>
          </cell>
          <cell r="P1358" t="str">
            <v>HM</v>
          </cell>
          <cell r="Q1358">
            <v>6560</v>
          </cell>
        </row>
        <row r="1359">
          <cell r="E1359" t="str">
            <v>KKM/JKN/HSA/10-05-01/H/15/2433</v>
          </cell>
          <cell r="F1359" t="str">
            <v>Therapeutic</v>
          </cell>
          <cell r="G1359" t="str">
            <v>Basic</v>
          </cell>
          <cell r="H1359" t="str">
            <v>Warming Units, Patient, Forced-Air</v>
          </cell>
          <cell r="I1359" t="str">
            <v>WARMER, CONVECTIVE AIR</v>
          </cell>
          <cell r="J1359" t="str">
            <v>17-950</v>
          </cell>
          <cell r="K1359" t="str">
            <v>CARE ESSENTIAL PTE</v>
          </cell>
          <cell r="L1359" t="str">
            <v>CWS4000</v>
          </cell>
          <cell r="M1359"/>
          <cell r="N1359" t="str">
            <v>KECEMASAN &amp; TRAUMA</v>
          </cell>
          <cell r="O1359" t="str">
            <v>Jabatan Kecemasan &amp; Trauma</v>
          </cell>
          <cell r="P1359" t="str">
            <v>HM</v>
          </cell>
          <cell r="Q1359">
            <v>6560</v>
          </cell>
        </row>
        <row r="1360">
          <cell r="E1360" t="str">
            <v>KKM/JKN/HSA/10-05-01/H/15/2434</v>
          </cell>
          <cell r="F1360" t="str">
            <v>Therapeutic</v>
          </cell>
          <cell r="G1360" t="str">
            <v>Basic</v>
          </cell>
          <cell r="H1360" t="str">
            <v>Warming Units, Patient, Forced-Air</v>
          </cell>
          <cell r="I1360" t="str">
            <v>WARMER, CONVECTIVE AIR</v>
          </cell>
          <cell r="J1360" t="str">
            <v>17-950</v>
          </cell>
          <cell r="K1360" t="str">
            <v>CARE ESSENTIAL PTE</v>
          </cell>
          <cell r="L1360" t="str">
            <v>CWS4000</v>
          </cell>
          <cell r="M1360"/>
          <cell r="N1360" t="str">
            <v>KECEMASAN &amp; TRAUMA</v>
          </cell>
          <cell r="O1360" t="str">
            <v>Jabatan Kecemasan &amp; Trauma</v>
          </cell>
          <cell r="P1360" t="str">
            <v>HM</v>
          </cell>
          <cell r="Q1360">
            <v>6560</v>
          </cell>
        </row>
        <row r="1361">
          <cell r="E1361" t="str">
            <v>KKM/JKN/HSA/10-05-01/H/15/5037</v>
          </cell>
          <cell r="F1361" t="str">
            <v>Therapeutic</v>
          </cell>
          <cell r="G1361" t="str">
            <v>Basic</v>
          </cell>
          <cell r="H1361" t="str">
            <v>Warming Units, Blood/Solution</v>
          </cell>
          <cell r="I1361" t="str">
            <v>WARMER BLOOD WATER TYPE</v>
          </cell>
          <cell r="J1361" t="str">
            <v>10-447</v>
          </cell>
          <cell r="K1361" t="str">
            <v>SMITH MEDICAL ASD</v>
          </cell>
          <cell r="L1361" t="str">
            <v>HL-90 HOTLINES BLLOD AND FLUID WARMER</v>
          </cell>
          <cell r="M1361" t="str">
            <v>S101B03987</v>
          </cell>
          <cell r="N1361" t="str">
            <v>KECEMASAN DAN TRAUMA</v>
          </cell>
          <cell r="O1361" t="str">
            <v>Jabatan Kecemasan &amp; Trauma</v>
          </cell>
          <cell r="P1361" t="str">
            <v>HM</v>
          </cell>
          <cell r="Q1361">
            <v>10639.2</v>
          </cell>
        </row>
        <row r="1362">
          <cell r="E1362" t="str">
            <v>KKM/JKN/HSA/10-05-01/H/15/5038</v>
          </cell>
          <cell r="F1362" t="str">
            <v>Therapeutic</v>
          </cell>
          <cell r="G1362" t="str">
            <v>Basic</v>
          </cell>
          <cell r="H1362" t="str">
            <v>Warming Units, Blood/Solution</v>
          </cell>
          <cell r="I1362" t="str">
            <v>WARMER BLOOD WATER TYPE</v>
          </cell>
          <cell r="J1362" t="str">
            <v>10-447</v>
          </cell>
          <cell r="K1362" t="str">
            <v>SMITH MEDICAL ASD</v>
          </cell>
          <cell r="L1362" t="str">
            <v>HL-90 HOTLINES BLLOD AND FLUID WARMER</v>
          </cell>
          <cell r="M1362" t="str">
            <v>B101B03988</v>
          </cell>
          <cell r="N1362" t="str">
            <v>KECEMASAN DAN TRAUMA</v>
          </cell>
          <cell r="O1362" t="str">
            <v>Jabatan Kecemasan &amp; Trauma</v>
          </cell>
          <cell r="P1362" t="str">
            <v>HM</v>
          </cell>
          <cell r="Q1362">
            <v>10639.2</v>
          </cell>
        </row>
        <row r="1363">
          <cell r="E1363" t="str">
            <v xml:space="preserve">KKM/JKN/HSA/10-05-01/H/15/5039
</v>
          </cell>
          <cell r="F1363" t="str">
            <v>Therapeutic</v>
          </cell>
          <cell r="G1363" t="str">
            <v>Basic</v>
          </cell>
          <cell r="H1363" t="str">
            <v>Warming Units, Blood/Solution</v>
          </cell>
          <cell r="I1363" t="str">
            <v>WARMER BLOOD DRY HEAT TYPE</v>
          </cell>
          <cell r="J1363" t="str">
            <v>10-447</v>
          </cell>
          <cell r="K1363" t="str">
            <v>BARKEY</v>
          </cell>
          <cell r="L1363" t="str">
            <v>S.LINE</v>
          </cell>
          <cell r="M1363">
            <v>1207674</v>
          </cell>
          <cell r="N1363" t="str">
            <v>KECEMASAN &amp; TRAUMA</v>
          </cell>
          <cell r="O1363" t="str">
            <v>Jabatan Kecemasan &amp; Trauma</v>
          </cell>
          <cell r="P1363" t="str">
            <v>HM</v>
          </cell>
          <cell r="Q1363">
            <v>4224</v>
          </cell>
        </row>
        <row r="1364">
          <cell r="E1364" t="str">
            <v>KKM/JKN/HSA/10-05-01/H/16/64</v>
          </cell>
          <cell r="F1364" t="str">
            <v xml:space="preserve">Diagnostic </v>
          </cell>
          <cell r="G1364" t="str">
            <v>Intermediate</v>
          </cell>
          <cell r="H1364" t="str">
            <v xml:space="preserve">Laryngoscopes, Rigid, Video </v>
          </cell>
          <cell r="I1364" t="str">
            <v>VIDEO LARYNGOSCOPE</v>
          </cell>
          <cell r="J1364" t="str">
            <v>23-532</v>
          </cell>
          <cell r="K1364" t="str">
            <v>KING VISION</v>
          </cell>
          <cell r="L1364" t="str">
            <v>KVIS01</v>
          </cell>
          <cell r="M1364" t="str">
            <v>C11527A154704</v>
          </cell>
          <cell r="N1364" t="str">
            <v xml:space="preserve">KECEMASAN DAN TRAUMA </v>
          </cell>
          <cell r="O1364" t="str">
            <v>Jabatan Kecemasan &amp; Trauma</v>
          </cell>
          <cell r="P1364" t="str">
            <v>HM</v>
          </cell>
          <cell r="Q1364">
            <v>9000</v>
          </cell>
        </row>
        <row r="1365">
          <cell r="E1365" t="str">
            <v>KKM/JKN/HSA/10-05-01/H/15/303</v>
          </cell>
          <cell r="F1365" t="str">
            <v>Therapeutic</v>
          </cell>
          <cell r="G1365" t="str">
            <v>Intermediate</v>
          </cell>
          <cell r="H1365" t="str">
            <v>Ventilators, TransP0rt</v>
          </cell>
          <cell r="I1365" t="str">
            <v>VENTILATOR P0RTABLE (ADULT/PAED)</v>
          </cell>
          <cell r="J1365" t="str">
            <v>18-098</v>
          </cell>
          <cell r="K1365" t="str">
            <v>DRAEGER</v>
          </cell>
          <cell r="L1365" t="str">
            <v>OXYLOG 3000 PLUS</v>
          </cell>
          <cell r="M1365" t="str">
            <v>ASEJ-0033</v>
          </cell>
          <cell r="N1365" t="str">
            <v>KECEMASAN &amp; TRAUMA</v>
          </cell>
          <cell r="O1365" t="str">
            <v>Jabatan Kecemasan &amp; Trauma</v>
          </cell>
          <cell r="P1365" t="str">
            <v>HM</v>
          </cell>
          <cell r="Q1365">
            <v>40000</v>
          </cell>
        </row>
        <row r="1366">
          <cell r="E1366" t="str">
            <v>KKM/JKN/HSA/10-05-01/H/15/308</v>
          </cell>
          <cell r="F1366" t="str">
            <v>Therapeutic</v>
          </cell>
          <cell r="G1366" t="str">
            <v>Intermediate</v>
          </cell>
          <cell r="H1366" t="str">
            <v>Ventilators, TransP0rt</v>
          </cell>
          <cell r="I1366" t="str">
            <v>VENTILATOR P0RTABLE</v>
          </cell>
          <cell r="J1366" t="str">
            <v>18-098</v>
          </cell>
          <cell r="K1366" t="str">
            <v>DRAEGER</v>
          </cell>
          <cell r="L1366" t="str">
            <v>OXYLOG 2000 PLUS</v>
          </cell>
          <cell r="M1366" t="str">
            <v>ASEJ-0033</v>
          </cell>
          <cell r="N1366" t="str">
            <v>KECEMASAN &amp; TRAUMA</v>
          </cell>
          <cell r="O1366" t="str">
            <v>Jabatan Kecemasan &amp; Trauma</v>
          </cell>
          <cell r="P1366" t="str">
            <v>HM</v>
          </cell>
          <cell r="Q1366">
            <v>31000</v>
          </cell>
        </row>
        <row r="1367">
          <cell r="E1367" t="str">
            <v>KKM/JKN/HSA/10-05-01/H/15/309</v>
          </cell>
          <cell r="F1367" t="str">
            <v>Therapeutic</v>
          </cell>
          <cell r="G1367" t="str">
            <v>Intermediate</v>
          </cell>
          <cell r="H1367" t="str">
            <v>Ventilators, TransP0rt</v>
          </cell>
          <cell r="I1367" t="str">
            <v>VENTILATOR P0RTABLE</v>
          </cell>
          <cell r="J1367" t="str">
            <v>18-098</v>
          </cell>
          <cell r="K1367" t="str">
            <v>DRAEGER</v>
          </cell>
          <cell r="L1367" t="str">
            <v>OXYLOG 2000 PLUS</v>
          </cell>
          <cell r="M1367" t="str">
            <v>ASEJ-0034</v>
          </cell>
          <cell r="N1367" t="str">
            <v>KECEMASAN &amp; TRAUMA</v>
          </cell>
          <cell r="O1367" t="str">
            <v>Jabatan Kecemasan &amp; Trauma</v>
          </cell>
          <cell r="P1367" t="str">
            <v>HM</v>
          </cell>
          <cell r="Q1367">
            <v>31000</v>
          </cell>
        </row>
        <row r="1368">
          <cell r="E1368" t="str">
            <v>KKM/JKN/HSA/10-05-01/H/15/310</v>
          </cell>
          <cell r="F1368" t="str">
            <v>Therapeutic</v>
          </cell>
          <cell r="G1368" t="str">
            <v>Intermediate</v>
          </cell>
          <cell r="H1368" t="str">
            <v>Ventilators, TransP0rt</v>
          </cell>
          <cell r="I1368" t="str">
            <v>VENTILATOR P0RTABLE</v>
          </cell>
          <cell r="J1368" t="str">
            <v>18-098</v>
          </cell>
          <cell r="K1368" t="str">
            <v>DRAEGER</v>
          </cell>
          <cell r="L1368" t="str">
            <v>OXYLOG 2000 PLUS</v>
          </cell>
          <cell r="M1368" t="str">
            <v>ASEJ-0036</v>
          </cell>
          <cell r="N1368" t="str">
            <v>KECEMASAN &amp; TRAUMA</v>
          </cell>
          <cell r="O1368" t="str">
            <v>Jabatan Kecemasan &amp; Trauma</v>
          </cell>
          <cell r="P1368" t="str">
            <v>HM</v>
          </cell>
          <cell r="Q1368">
            <v>31000</v>
          </cell>
        </row>
        <row r="1369">
          <cell r="E1369" t="str">
            <v>KKM/JKN/HSA/10-05-01/H/15/311</v>
          </cell>
          <cell r="F1369" t="str">
            <v>Therapeutic</v>
          </cell>
          <cell r="G1369" t="str">
            <v>Intermediate</v>
          </cell>
          <cell r="H1369" t="str">
            <v>Ventilators, TransP0rt</v>
          </cell>
          <cell r="I1369" t="str">
            <v>VENTILATOR P0RTABLE</v>
          </cell>
          <cell r="J1369" t="str">
            <v>18-098</v>
          </cell>
          <cell r="K1369" t="str">
            <v>DRAEGER</v>
          </cell>
          <cell r="L1369" t="str">
            <v>OXYLOG 2000 PLUS</v>
          </cell>
          <cell r="M1369" t="str">
            <v>ASEJ-0035</v>
          </cell>
          <cell r="N1369" t="str">
            <v>KECEMASAN &amp; TRAUMA</v>
          </cell>
          <cell r="O1369" t="str">
            <v>Jabatan Kecemasan &amp; Trauma</v>
          </cell>
          <cell r="P1369" t="str">
            <v>HM</v>
          </cell>
          <cell r="Q1369">
            <v>31000</v>
          </cell>
        </row>
        <row r="1370">
          <cell r="E1370" t="str">
            <v>KKM/JKN/HSA/10-05-01/H/16/180</v>
          </cell>
          <cell r="F1370" t="str">
            <v>Therapeutic</v>
          </cell>
          <cell r="G1370" t="str">
            <v>Intermediate</v>
          </cell>
          <cell r="H1370" t="str">
            <v>Ventilators, TransP0rt</v>
          </cell>
          <cell r="I1370" t="str">
            <v>VENTILATOR / WEINMANN/MEDUMAT STANDART 2</v>
          </cell>
          <cell r="J1370" t="str">
            <v>18-098</v>
          </cell>
          <cell r="K1370" t="str">
            <v xml:space="preserve">WEINMANN </v>
          </cell>
          <cell r="L1370" t="str">
            <v>MEDUMAT STANDART 2</v>
          </cell>
          <cell r="M1370">
            <v>6474</v>
          </cell>
          <cell r="N1370" t="str">
            <v>KECEMASAN &amp; TRAUMA</v>
          </cell>
          <cell r="O1370" t="str">
            <v>Jabatan Kecemasan &amp; Trauma</v>
          </cell>
          <cell r="P1370" t="str">
            <v>HM</v>
          </cell>
          <cell r="Q1370">
            <v>34500</v>
          </cell>
        </row>
        <row r="1371">
          <cell r="E1371" t="str">
            <v>KKM/JKN/HSA/10-05-01/H/15/37</v>
          </cell>
          <cell r="F1371" t="str">
            <v>Therapeutic</v>
          </cell>
          <cell r="G1371" t="str">
            <v>Intermediate</v>
          </cell>
          <cell r="H1371" t="str">
            <v>Ventilators, Intensive Care</v>
          </cell>
          <cell r="I1371" t="str">
            <v>VENTILATOR / PHILIPS RESPIRONICS/V60</v>
          </cell>
          <cell r="J1371" t="str">
            <v>17-429</v>
          </cell>
          <cell r="K1371" t="str">
            <v>PHILIPS RESPIRONICS</v>
          </cell>
          <cell r="L1371" t="str">
            <v>V60</v>
          </cell>
          <cell r="M1371">
            <v>201015223</v>
          </cell>
          <cell r="N1371" t="str">
            <v>KECEMASAN &amp; TRAUMA</v>
          </cell>
          <cell r="O1371" t="str">
            <v>Jabatan Kecemasan &amp; Trauma</v>
          </cell>
          <cell r="P1371" t="str">
            <v>HM</v>
          </cell>
          <cell r="Q1371">
            <v>49500</v>
          </cell>
        </row>
        <row r="1372">
          <cell r="E1372" t="str">
            <v>KKM/JKN/HSA/10-05-01/H/18/136</v>
          </cell>
          <cell r="F1372" t="str">
            <v>Therapeutic</v>
          </cell>
          <cell r="G1372" t="str">
            <v>Intermediate</v>
          </cell>
          <cell r="H1372" t="str">
            <v>Ventilators, Transport</v>
          </cell>
          <cell r="I1372" t="str">
            <v>VENTILATOR</v>
          </cell>
          <cell r="J1372" t="str">
            <v>18-098</v>
          </cell>
          <cell r="K1372" t="str">
            <v>MONNAL</v>
          </cell>
          <cell r="L1372" t="str">
            <v>MONNAL T60</v>
          </cell>
          <cell r="M1372" t="str">
            <v>MT60-06256</v>
          </cell>
          <cell r="N1372" t="str">
            <v>KECEMASAN &amp; TRAUMA</v>
          </cell>
          <cell r="O1372" t="str">
            <v>Jabatan Kecemasan &amp; Trauma</v>
          </cell>
          <cell r="P1372" t="str">
            <v>HM</v>
          </cell>
          <cell r="Q1372">
            <v>44999</v>
          </cell>
        </row>
        <row r="1373">
          <cell r="E1373" t="str">
            <v>KKM/JKN/HSA/10-05-01/H/17/4</v>
          </cell>
          <cell r="F1373" t="str">
            <v>Radiology</v>
          </cell>
          <cell r="G1373" t="str">
            <v>Intermediate</v>
          </cell>
          <cell r="H1373" t="str">
            <v>Scanning Systems, Ultrasonic, General-PurP0se</v>
          </cell>
          <cell r="I1373" t="str">
            <v>ULTRASOUND SCANNER/MINDRAY M9</v>
          </cell>
          <cell r="J1373" t="str">
            <v>15-976</v>
          </cell>
          <cell r="K1373" t="str">
            <v>MINDRAY M9</v>
          </cell>
          <cell r="L1373" t="str">
            <v>TPM</v>
          </cell>
          <cell r="M1373" t="str">
            <v>7B-77001394</v>
          </cell>
          <cell r="N1373" t="str">
            <v xml:space="preserve">KECEMASAN DAN TRAUMA </v>
          </cell>
          <cell r="O1373" t="str">
            <v>Jabatan Kecemasan &amp; Trauma</v>
          </cell>
          <cell r="P1373" t="str">
            <v>HM</v>
          </cell>
          <cell r="Q1373">
            <v>198800</v>
          </cell>
        </row>
        <row r="1374">
          <cell r="E1374" t="str">
            <v xml:space="preserve">KKM/JKN/HSA/10-05-01/H/15/2467 </v>
          </cell>
          <cell r="F1374" t="str">
            <v>Radiology</v>
          </cell>
          <cell r="G1374" t="str">
            <v>Intermediate</v>
          </cell>
          <cell r="H1374" t="str">
            <v>Scanning Systems, Ultrasonic, Obstetric/Gynecologic</v>
          </cell>
          <cell r="I1374" t="str">
            <v>ULTRASOUND DOPPLER COLOUR W/VARIABLE FREQ PROBES (ED)</v>
          </cell>
          <cell r="J1374" t="str">
            <v>15-657</v>
          </cell>
          <cell r="K1374" t="str">
            <v>SIEMENS</v>
          </cell>
          <cell r="L1374" t="str">
            <v>ACUSON X300 PE</v>
          </cell>
          <cell r="M1374" t="str">
            <v xml:space="preserve"> 
348423</v>
          </cell>
          <cell r="N1374" t="str">
            <v xml:space="preserve">KECEMASAN DAN TRAUMA </v>
          </cell>
          <cell r="O1374" t="str">
            <v>Jabatan Kecemasan &amp; Trauma</v>
          </cell>
          <cell r="P1374" t="str">
            <v>HM</v>
          </cell>
          <cell r="Q1374">
            <v>76500</v>
          </cell>
        </row>
        <row r="1375">
          <cell r="E1375" t="str">
            <v>KKM/JKN/HSA/10-05-01/H/17/29</v>
          </cell>
          <cell r="F1375" t="str">
            <v xml:space="preserve">Diagnostic </v>
          </cell>
          <cell r="G1375" t="str">
            <v>Intermediate</v>
          </cell>
          <cell r="H1375" t="str">
            <v>Physiologic Monitoring Systems, Acute Care</v>
          </cell>
          <cell r="I1375" t="str">
            <v>TRANSP0RT VITAL SIGN MONITOR 5 PARAMETER</v>
          </cell>
          <cell r="J1375" t="str">
            <v>12-647</v>
          </cell>
          <cell r="K1375" t="str">
            <v xml:space="preserve">ADVANCED </v>
          </cell>
          <cell r="L1375" t="str">
            <v>PM-2000A PRO</v>
          </cell>
          <cell r="M1375" t="str">
            <v>301235-M13405910002</v>
          </cell>
          <cell r="N1375" t="str">
            <v>KECEMASAN &amp; TRAUMA</v>
          </cell>
          <cell r="O1375" t="str">
            <v>Jabatan Kecemasan &amp; Trauma</v>
          </cell>
          <cell r="P1375" t="str">
            <v>HM</v>
          </cell>
          <cell r="Q1375">
            <v>9990</v>
          </cell>
        </row>
        <row r="1376">
          <cell r="E1376" t="str">
            <v>KKM/JKN/HSA/10-05-01/H/17/30</v>
          </cell>
          <cell r="F1376" t="str">
            <v xml:space="preserve">Diagnostic </v>
          </cell>
          <cell r="G1376" t="str">
            <v>Intermediate</v>
          </cell>
          <cell r="H1376" t="str">
            <v>Physiologic Monitoring Systems, Acute Care</v>
          </cell>
          <cell r="I1376" t="str">
            <v>TRANSP0RT VITAL SIGN MONITOR 5 PARAMETER</v>
          </cell>
          <cell r="J1376" t="str">
            <v>12-647</v>
          </cell>
          <cell r="K1376" t="str">
            <v xml:space="preserve">ADVANCED </v>
          </cell>
          <cell r="L1376" t="str">
            <v>PM-2000A PRO</v>
          </cell>
          <cell r="M1376" t="str">
            <v>301235-M13405910001</v>
          </cell>
          <cell r="N1376" t="str">
            <v>KECEMASAN &amp; TRAUMA</v>
          </cell>
          <cell r="O1376" t="str">
            <v>Jabatan Kecemasan &amp; Trauma</v>
          </cell>
          <cell r="P1376" t="str">
            <v>HM</v>
          </cell>
          <cell r="Q1376">
            <v>9990</v>
          </cell>
        </row>
        <row r="1377">
          <cell r="E1377" t="str">
            <v>KKM/JKN/HSA/10-05-01/R/15/7125</v>
          </cell>
          <cell r="F1377" t="str">
            <v>Therapeutic</v>
          </cell>
          <cell r="G1377" t="str">
            <v>Basic</v>
          </cell>
          <cell r="H1377" t="str">
            <v>Testers, Pulp</v>
          </cell>
          <cell r="I1377" t="str">
            <v>TESTER PULP</v>
          </cell>
          <cell r="J1377" t="str">
            <v>13-187</v>
          </cell>
          <cell r="K1377" t="str">
            <v>PRODONT</v>
          </cell>
          <cell r="L1377" t="str">
            <v>DIGITAL</v>
          </cell>
          <cell r="M1377" t="str">
            <v>0050012013B</v>
          </cell>
          <cell r="N1377" t="str">
            <v xml:space="preserve">KECEMASAN DAN TRAUMA </v>
          </cell>
          <cell r="O1377" t="str">
            <v>Jabatan Kecemasan &amp; Trauma</v>
          </cell>
          <cell r="P1377" t="str">
            <v>ABR</v>
          </cell>
          <cell r="Q1377">
            <v>1000</v>
          </cell>
        </row>
        <row r="1378">
          <cell r="E1378" t="str">
            <v>KKM/JKN/HSA/10-05-01/H/16/182</v>
          </cell>
          <cell r="F1378" t="str">
            <v>Therapeutic</v>
          </cell>
          <cell r="G1378" t="str">
            <v>Intermediate</v>
          </cell>
          <cell r="H1378" t="str">
            <v>Infusion Pumps, Syringe</v>
          </cell>
          <cell r="I1378" t="str">
            <v>SYRINGE INFUSION PUMP</v>
          </cell>
          <cell r="J1378" t="str">
            <v>13-217</v>
          </cell>
          <cell r="K1378" t="str">
            <v>AITECS</v>
          </cell>
          <cell r="L1378" t="str">
            <v>SEP-10S PLUS</v>
          </cell>
          <cell r="M1378" t="str">
            <v>AOP166910</v>
          </cell>
          <cell r="N1378" t="str">
            <v>KECEMASAN &amp; TRAUMA</v>
          </cell>
          <cell r="O1378" t="str">
            <v>Jabatan Kecemasan &amp; Trauma</v>
          </cell>
          <cell r="P1378" t="str">
            <v>HM</v>
          </cell>
          <cell r="Q1378">
            <v>4000</v>
          </cell>
        </row>
        <row r="1379">
          <cell r="E1379" t="str">
            <v>KKM/JKN/HSA/10-05-01/H/16/183</v>
          </cell>
          <cell r="F1379" t="str">
            <v>Therapeutic</v>
          </cell>
          <cell r="G1379" t="str">
            <v>Intermediate</v>
          </cell>
          <cell r="H1379" t="str">
            <v>Infusion Pumps, Syringe</v>
          </cell>
          <cell r="I1379" t="str">
            <v>SYRINGE INFUSION PUMP</v>
          </cell>
          <cell r="J1379" t="str">
            <v>13-217</v>
          </cell>
          <cell r="K1379" t="str">
            <v>AITECS</v>
          </cell>
          <cell r="L1379" t="str">
            <v>SEP-10S PLUS</v>
          </cell>
          <cell r="M1379" t="str">
            <v>AOP166980</v>
          </cell>
          <cell r="N1379" t="str">
            <v>KECEMASAN &amp; TRAUMA</v>
          </cell>
          <cell r="O1379" t="str">
            <v>Jabatan Kecemasan &amp; Trauma</v>
          </cell>
          <cell r="P1379" t="str">
            <v>HM</v>
          </cell>
          <cell r="Q1379">
            <v>4000</v>
          </cell>
        </row>
        <row r="1380">
          <cell r="E1380" t="str">
            <v>KKM/JKN/HSA/10-05-01/H/15/1167</v>
          </cell>
          <cell r="F1380" t="str">
            <v>Therapeutic</v>
          </cell>
          <cell r="G1380" t="str">
            <v>Basic</v>
          </cell>
          <cell r="H1380" t="str">
            <v>Aspirators, Surgical</v>
          </cell>
          <cell r="I1380" t="str">
            <v>SUCTION UNIT MOBILE SINGLE JAR 2L</v>
          </cell>
          <cell r="J1380" t="str">
            <v xml:space="preserve">
10-217</v>
          </cell>
          <cell r="K1380" t="str">
            <v>CLEMENTS MEDICAL EQUIP</v>
          </cell>
          <cell r="L1380" t="str">
            <v>HiVacSUC84109</v>
          </cell>
          <cell r="M1380"/>
          <cell r="N1380" t="str">
            <v>KECEMASAN &amp; TRAUMA</v>
          </cell>
          <cell r="O1380" t="str">
            <v>Jabatan Kecemasan &amp; Trauma</v>
          </cell>
          <cell r="P1380" t="str">
            <v>HM</v>
          </cell>
          <cell r="Q1380">
            <v>5900</v>
          </cell>
        </row>
        <row r="1381">
          <cell r="E1381" t="str">
            <v>KKM/JKN/HSA/10-05-01/H/15/1125</v>
          </cell>
          <cell r="F1381" t="str">
            <v>Therapeutic</v>
          </cell>
          <cell r="G1381" t="str">
            <v>Basic</v>
          </cell>
          <cell r="H1381" t="str">
            <v>Aspirators, Surgical</v>
          </cell>
          <cell r="I1381" t="str">
            <v>SUCTION UNIT 2 X 2L JAR MOBILE</v>
          </cell>
          <cell r="J1381" t="str">
            <v xml:space="preserve">
10-217</v>
          </cell>
          <cell r="K1381" t="str">
            <v xml:space="preserve">OHIO </v>
          </cell>
          <cell r="L1381" t="str">
            <v>OHIO SUCTION UNIT</v>
          </cell>
          <cell r="M1381" t="str">
            <v>GFHT60019</v>
          </cell>
          <cell r="N1381" t="str">
            <v>KECEMASAN &amp; TRAUMA</v>
          </cell>
          <cell r="O1381" t="str">
            <v>Jabatan Kecemasan &amp; Trauma</v>
          </cell>
          <cell r="P1381" t="str">
            <v>HM</v>
          </cell>
          <cell r="Q1381">
            <v>12150</v>
          </cell>
        </row>
        <row r="1382">
          <cell r="E1382" t="str">
            <v>KKM/JKN/HSA/10-05-01/H/15/2121</v>
          </cell>
          <cell r="F1382" t="str">
            <v>Therapeutic</v>
          </cell>
          <cell r="G1382" t="str">
            <v>Basic</v>
          </cell>
          <cell r="H1382" t="str">
            <v>Aspirators</v>
          </cell>
          <cell r="I1382" t="str">
            <v>SUCTION UNIT 1 X 2L JAR MOBILE</v>
          </cell>
          <cell r="J1382" t="str">
            <v>10-208</v>
          </cell>
          <cell r="K1382" t="str">
            <v>CAMI</v>
          </cell>
          <cell r="L1382" t="str">
            <v>ASKIR C30</v>
          </cell>
          <cell r="M1382">
            <v>5930</v>
          </cell>
          <cell r="N1382" t="str">
            <v>KECEMASAN &amp; TRAUMA</v>
          </cell>
          <cell r="O1382" t="str">
            <v>Jabatan Kecemasan &amp; Trauma</v>
          </cell>
          <cell r="P1382" t="str">
            <v>HM</v>
          </cell>
          <cell r="Q1382">
            <v>3386.5</v>
          </cell>
        </row>
        <row r="1383">
          <cell r="E1383" t="str">
            <v>KKM/JKN/HSA/10-05-01/H/15/2122</v>
          </cell>
          <cell r="F1383" t="str">
            <v>Therapeutic</v>
          </cell>
          <cell r="G1383" t="str">
            <v>Basic</v>
          </cell>
          <cell r="H1383" t="str">
            <v>Aspirators</v>
          </cell>
          <cell r="I1383" t="str">
            <v>SUCTION UNIT 1 X 2L JAR MOBILE</v>
          </cell>
          <cell r="J1383" t="str">
            <v>10-208</v>
          </cell>
          <cell r="K1383" t="str">
            <v>CAMI</v>
          </cell>
          <cell r="L1383" t="str">
            <v>ASKIR C30</v>
          </cell>
          <cell r="M1383">
            <v>5895</v>
          </cell>
          <cell r="N1383" t="str">
            <v>KECEMASAN &amp; TRAUMA</v>
          </cell>
          <cell r="O1383" t="str">
            <v>Jabatan Kecemasan &amp; Trauma</v>
          </cell>
          <cell r="P1383" t="str">
            <v>HM</v>
          </cell>
          <cell r="Q1383">
            <v>3386.5</v>
          </cell>
        </row>
        <row r="1384">
          <cell r="E1384" t="str">
            <v>KKM/JKN/HSA/10-05-01/H/15/2123</v>
          </cell>
          <cell r="F1384" t="str">
            <v>Therapeutic</v>
          </cell>
          <cell r="G1384" t="str">
            <v>Basic</v>
          </cell>
          <cell r="H1384" t="str">
            <v>Aspirators</v>
          </cell>
          <cell r="I1384" t="str">
            <v>SUCTION UNIT 1 X 2L JAR MOBILE</v>
          </cell>
          <cell r="J1384" t="str">
            <v>10-208</v>
          </cell>
          <cell r="K1384" t="str">
            <v>CAMI</v>
          </cell>
          <cell r="L1384" t="str">
            <v>ASKIR C30</v>
          </cell>
          <cell r="M1384">
            <v>5896</v>
          </cell>
          <cell r="N1384" t="str">
            <v>KECEMASAN &amp; TRAUMA</v>
          </cell>
          <cell r="O1384" t="str">
            <v>Jabatan Kecemasan &amp; Trauma</v>
          </cell>
          <cell r="P1384" t="str">
            <v>HM</v>
          </cell>
          <cell r="Q1384">
            <v>3386.5</v>
          </cell>
        </row>
        <row r="1385">
          <cell r="E1385" t="str">
            <v>KKM/JKN/HSA/10-05-01/H/15/2126</v>
          </cell>
          <cell r="F1385" t="str">
            <v>Therapeutic</v>
          </cell>
          <cell r="G1385" t="str">
            <v>Basic</v>
          </cell>
          <cell r="H1385" t="str">
            <v>Aspirators</v>
          </cell>
          <cell r="I1385" t="str">
            <v>SUCTION UNIT 1 X 2L JAR MOBILE</v>
          </cell>
          <cell r="J1385" t="str">
            <v>10-208</v>
          </cell>
          <cell r="K1385" t="str">
            <v>CAMI</v>
          </cell>
          <cell r="L1385" t="str">
            <v>ASKIR C30</v>
          </cell>
          <cell r="M1385">
            <v>5900</v>
          </cell>
          <cell r="N1385" t="str">
            <v>KECEMASAN &amp; TRAUMA</v>
          </cell>
          <cell r="O1385" t="str">
            <v>Jabatan Kecemasan &amp; Trauma</v>
          </cell>
          <cell r="P1385" t="str">
            <v>HM</v>
          </cell>
          <cell r="Q1385">
            <v>3386.5</v>
          </cell>
        </row>
        <row r="1386">
          <cell r="E1386" t="str">
            <v xml:space="preserve">KKM/JKN/HSA/10-05-01/H/15/466 </v>
          </cell>
          <cell r="F1386" t="str">
            <v>Therapeutic</v>
          </cell>
          <cell r="G1386" t="str">
            <v>Basic</v>
          </cell>
          <cell r="H1386" t="str">
            <v>Compressors, Medical-Air</v>
          </cell>
          <cell r="I1386" t="str">
            <v>SUCTION UNIT (DENTAL)</v>
          </cell>
          <cell r="J1386" t="str">
            <v>10-972</v>
          </cell>
          <cell r="K1386" t="str">
            <v>DURR DENTAL AG</v>
          </cell>
          <cell r="L1386" t="str">
            <v>V 300 S</v>
          </cell>
          <cell r="M1386" t="str">
            <v>E257782008</v>
          </cell>
          <cell r="N1386" t="str">
            <v>KECEMASAN DAN TRAUMA</v>
          </cell>
          <cell r="O1386" t="str">
            <v>Jabatan Kecemasan &amp; Trauma</v>
          </cell>
          <cell r="P1386" t="str">
            <v>HM</v>
          </cell>
          <cell r="Q1386">
            <v>14000</v>
          </cell>
        </row>
        <row r="1387">
          <cell r="E1387" t="str">
            <v>KKM/JKN/HSA/10-05-01/H/16/181</v>
          </cell>
          <cell r="F1387" t="str">
            <v>Therapeutic</v>
          </cell>
          <cell r="G1387" t="str">
            <v>Basic</v>
          </cell>
          <cell r="H1387" t="str">
            <v>Aspirators</v>
          </cell>
          <cell r="I1387" t="str">
            <v>SUCTION APPARATUS/SPENCER</v>
          </cell>
          <cell r="J1387" t="str">
            <v>10-208</v>
          </cell>
          <cell r="K1387" t="str">
            <v xml:space="preserve">SPENCER </v>
          </cell>
          <cell r="L1387" t="str">
            <v>SC75560D-AMBU JET P 1000B 10G</v>
          </cell>
          <cell r="M1387" t="str">
            <v>PRS 004232</v>
          </cell>
          <cell r="N1387" t="str">
            <v>KECEMASAN &amp; TRAUMA</v>
          </cell>
          <cell r="O1387" t="str">
            <v>Jabatan Kecemasan &amp; Trauma</v>
          </cell>
          <cell r="P1387" t="str">
            <v>HM</v>
          </cell>
          <cell r="Q1387">
            <v>5400</v>
          </cell>
        </row>
        <row r="1388">
          <cell r="E1388"/>
          <cell r="F1388" t="str">
            <v xml:space="preserve">Diagnostic </v>
          </cell>
          <cell r="G1388" t="str">
            <v>Basic</v>
          </cell>
          <cell r="H1388" t="str">
            <v>Sphygmomanometers, Aneroid</v>
          </cell>
          <cell r="I1388" t="str">
            <v>SPHYGMOMANOMETER ANEROID DESK MODEL</v>
          </cell>
          <cell r="J1388" t="str">
            <v>16-156</v>
          </cell>
          <cell r="K1388" t="str">
            <v>RIESTER</v>
          </cell>
          <cell r="L1388">
            <v>1453</v>
          </cell>
          <cell r="M1388"/>
          <cell r="N1388" t="str">
            <v>KECEMASAN &amp; TRAUMA</v>
          </cell>
          <cell r="O1388" t="str">
            <v>Jabatan Kecemasan &amp; Trauma</v>
          </cell>
          <cell r="P1388" t="str">
            <v>ABR</v>
          </cell>
          <cell r="Q1388">
            <v>452.81</v>
          </cell>
        </row>
        <row r="1389">
          <cell r="E1389" t="str">
            <v xml:space="preserve"> KKM/JKN/HSA/10-05-01/H/15/4894</v>
          </cell>
          <cell r="F1389" t="str">
            <v xml:space="preserve">Diagnostic </v>
          </cell>
          <cell r="G1389" t="str">
            <v>Basic</v>
          </cell>
          <cell r="H1389" t="str">
            <v>Charts, Eye, Visual Acuity</v>
          </cell>
          <cell r="I1389" t="str">
            <v>SNELLEN TEST CHART W/4 DOT TEST W/M</v>
          </cell>
          <cell r="J1389" t="str">
            <v>16-800</v>
          </cell>
          <cell r="K1389" t="str">
            <v>CLEMENT CLARKE</v>
          </cell>
          <cell r="L1389" t="str">
            <v>4101500 ROTATING DRUM</v>
          </cell>
          <cell r="M1389"/>
          <cell r="N1389" t="str">
            <v>OFTALMOLOGI</v>
          </cell>
          <cell r="O1389" t="str">
            <v>Jabatan Kecemasan &amp; Trauma</v>
          </cell>
          <cell r="P1389" t="str">
            <v>HM</v>
          </cell>
          <cell r="Q1389">
            <v>7150</v>
          </cell>
        </row>
        <row r="1390">
          <cell r="E1390" t="str">
            <v>KKM/JKN/HSA/10-05-01/R/15/7024</v>
          </cell>
          <cell r="F1390" t="str">
            <v xml:space="preserve">Diagnostic </v>
          </cell>
          <cell r="G1390" t="str">
            <v>Basic</v>
          </cell>
          <cell r="H1390" t="str">
            <v>Scales, Infant</v>
          </cell>
          <cell r="I1390" t="str">
            <v>SCALES BABY DIGITAL/ELECTRONIC W/MEASURE</v>
          </cell>
          <cell r="J1390" t="str">
            <v>13-462</v>
          </cell>
          <cell r="K1390" t="str">
            <v>DETECTO</v>
          </cell>
          <cell r="L1390" t="str">
            <v>MB130 &amp; DLM</v>
          </cell>
          <cell r="M1390">
            <v>12025824</v>
          </cell>
          <cell r="N1390" t="str">
            <v>KECEMASAN &amp; TRAUMA</v>
          </cell>
          <cell r="O1390" t="str">
            <v>Jabatan Kecemasan &amp; Trauma</v>
          </cell>
          <cell r="P1390" t="str">
            <v>ABR</v>
          </cell>
          <cell r="Q1390">
            <v>1500</v>
          </cell>
        </row>
        <row r="1391">
          <cell r="E1391" t="str">
            <v>KKM/JKN/HSA/10-05-01/H/15/2826</v>
          </cell>
          <cell r="F1391" t="str">
            <v>Therapeutic</v>
          </cell>
          <cell r="G1391" t="str">
            <v>Basic</v>
          </cell>
          <cell r="H1391" t="str">
            <v>Cast Cutters, Electric</v>
          </cell>
          <cell r="I1391" t="str">
            <v>SAW PLASTER ELECTRIC C/W VACUUM</v>
          </cell>
          <cell r="J1391" t="str">
            <v>16-340</v>
          </cell>
          <cell r="K1391" t="str">
            <v>OSCIMED</v>
          </cell>
          <cell r="L1391" t="str">
            <v>OSCIMED PSV/SC 206-V90-UK</v>
          </cell>
          <cell r="M1391">
            <v>356101</v>
          </cell>
          <cell r="N1391" t="str">
            <v>KECEMASAN &amp; TRAUMA</v>
          </cell>
          <cell r="O1391" t="str">
            <v>Jabatan Kecemasan &amp; Trauma</v>
          </cell>
          <cell r="P1391" t="str">
            <v>HM</v>
          </cell>
          <cell r="Q1391">
            <v>8500</v>
          </cell>
        </row>
        <row r="1392">
          <cell r="E1392" t="str">
            <v>KKM/JKN/HSA/10-05-01/H/15/3657</v>
          </cell>
          <cell r="F1392" t="str">
            <v>Therapeutic</v>
          </cell>
          <cell r="G1392" t="str">
            <v>Basic</v>
          </cell>
          <cell r="H1392" t="str">
            <v>Training Manikins, Cardiopulmonary Resuscitation</v>
          </cell>
          <cell r="I1392" t="str">
            <v>RESUSCITATION MODEL BABY WITH CASE</v>
          </cell>
          <cell r="J1392" t="str">
            <v>15-309</v>
          </cell>
          <cell r="K1392" t="str">
            <v>GENERAL DOCTOR</v>
          </cell>
          <cell r="L1392" t="str">
            <v>GD/CPR10150</v>
          </cell>
          <cell r="M1392"/>
          <cell r="N1392" t="str">
            <v>KECEMASAN &amp; TRAUMA</v>
          </cell>
          <cell r="O1392" t="str">
            <v>Jabatan Kecemasan &amp; Trauma</v>
          </cell>
          <cell r="P1392" t="str">
            <v>HM</v>
          </cell>
          <cell r="Q1392">
            <v>2850</v>
          </cell>
        </row>
        <row r="1393">
          <cell r="E1393" t="str">
            <v>KKM/JKN/HSA/10-05-01/H/15/3636</v>
          </cell>
          <cell r="F1393" t="str">
            <v>Therapeutic</v>
          </cell>
          <cell r="G1393" t="str">
            <v>Basic</v>
          </cell>
          <cell r="H1393" t="str">
            <v>Training Manikins, Cardiopulmonary Resuscitation</v>
          </cell>
          <cell r="I1393" t="str">
            <v>RESUSCITATION MODEL BABY WITH CASE</v>
          </cell>
          <cell r="J1393" t="str">
            <v>15-309</v>
          </cell>
          <cell r="K1393" t="str">
            <v>GENERAL DOCTOR</v>
          </cell>
          <cell r="L1393" t="str">
            <v>GD/CPR500</v>
          </cell>
          <cell r="M1393"/>
          <cell r="N1393" t="str">
            <v>KECEMASAN &amp; TRAUMA</v>
          </cell>
          <cell r="O1393" t="str">
            <v>Jabatan Kecemasan &amp; Trauma</v>
          </cell>
          <cell r="P1393" t="str">
            <v>HM</v>
          </cell>
          <cell r="Q1393">
            <v>11000</v>
          </cell>
        </row>
        <row r="1394">
          <cell r="E1394" t="str">
            <v>KKM/JKN/HSA/10-05-01/H/15/1171</v>
          </cell>
          <cell r="F1394" t="str">
            <v>Therapeutic</v>
          </cell>
          <cell r="G1394" t="str">
            <v>Intermediate</v>
          </cell>
          <cell r="H1394" t="str">
            <v>Infusion Pumps, General-Purpose</v>
          </cell>
          <cell r="I1394" t="str">
            <v>PUMP VOLUMETRIC INFUSION (STAND ALONE)</v>
          </cell>
          <cell r="J1394" t="str">
            <v>13-215</v>
          </cell>
          <cell r="K1394" t="str">
            <v>FRESENIUS KABI</v>
          </cell>
          <cell r="L1394" t="str">
            <v>LINK 8+ AGILIA/MOBILE STAND</v>
          </cell>
          <cell r="M1394" t="str">
            <v>019130/22235962</v>
          </cell>
          <cell r="N1394" t="str">
            <v>KECEMASAN &amp; TRAUMA</v>
          </cell>
          <cell r="O1394" t="str">
            <v>Jabatan Kecemasan &amp; Trauma</v>
          </cell>
          <cell r="P1394" t="str">
            <v>HM</v>
          </cell>
          <cell r="Q1394">
            <v>7245</v>
          </cell>
        </row>
        <row r="1395">
          <cell r="E1395" t="str">
            <v>KKM/JKN/HSA/10-05-01/H/15/1172</v>
          </cell>
          <cell r="F1395" t="str">
            <v>Therapeutic</v>
          </cell>
          <cell r="G1395" t="str">
            <v>Intermediate</v>
          </cell>
          <cell r="H1395" t="str">
            <v>Infusion Pumps, General-Purpose</v>
          </cell>
          <cell r="I1395" t="str">
            <v>PUMP VOLUMETRIC INFUSION (STAND ALONE)</v>
          </cell>
          <cell r="J1395" t="str">
            <v>13-215</v>
          </cell>
          <cell r="K1395" t="str">
            <v>FRESENIUS KABI</v>
          </cell>
          <cell r="L1395" t="str">
            <v>LINK 8+ AGILIA/MOBILE STAND</v>
          </cell>
          <cell r="M1395" t="str">
            <v>019130/22235961</v>
          </cell>
          <cell r="N1395" t="str">
            <v>KECEMASAN &amp; TRAUMA</v>
          </cell>
          <cell r="O1395" t="str">
            <v>Jabatan Kecemasan &amp; Trauma</v>
          </cell>
          <cell r="P1395" t="str">
            <v>HM</v>
          </cell>
          <cell r="Q1395">
            <v>7245</v>
          </cell>
        </row>
        <row r="1396">
          <cell r="E1396" t="str">
            <v>KKM/JKN/HSA/10-05-01/H/15/1173</v>
          </cell>
          <cell r="F1396" t="str">
            <v>Therapeutic</v>
          </cell>
          <cell r="G1396" t="str">
            <v>Intermediate</v>
          </cell>
          <cell r="H1396" t="str">
            <v>Infusion Pumps, General-Purpose</v>
          </cell>
          <cell r="I1396" t="str">
            <v>PUMP VOLUMETRIC INFUSION (STAND ALONE)</v>
          </cell>
          <cell r="J1396" t="str">
            <v>13-215</v>
          </cell>
          <cell r="K1396" t="str">
            <v>FRESENIUS KABI</v>
          </cell>
          <cell r="L1396" t="str">
            <v>LINK 8+ AGILIA/MOBILE STAND</v>
          </cell>
          <cell r="M1396" t="str">
            <v>019130/22170893</v>
          </cell>
          <cell r="N1396" t="str">
            <v>KECEMASAN &amp; TRAUMA</v>
          </cell>
          <cell r="O1396" t="str">
            <v>Jabatan Kecemasan &amp; Trauma</v>
          </cell>
          <cell r="P1396" t="str">
            <v>HM</v>
          </cell>
          <cell r="Q1396">
            <v>7245</v>
          </cell>
        </row>
        <row r="1397">
          <cell r="E1397" t="str">
            <v>KKM/JKN/HSA/10-05-01/H/15/1174</v>
          </cell>
          <cell r="F1397" t="str">
            <v>Therapeutic</v>
          </cell>
          <cell r="G1397" t="str">
            <v>Intermediate</v>
          </cell>
          <cell r="H1397" t="str">
            <v>Infusion Pumps, General-Purpose</v>
          </cell>
          <cell r="I1397" t="str">
            <v>PUMP VOLUMETRIC INFUSION (STAND ALONE)</v>
          </cell>
          <cell r="J1397" t="str">
            <v>13-215</v>
          </cell>
          <cell r="K1397" t="str">
            <v>FRESENIUS KABI</v>
          </cell>
          <cell r="L1397" t="str">
            <v>LINK 8+ AGILIA/MOBILE STAND</v>
          </cell>
          <cell r="M1397" t="str">
            <v>019130/2223545</v>
          </cell>
          <cell r="N1397" t="str">
            <v>KECEMASAN &amp; TRAUMA</v>
          </cell>
          <cell r="O1397" t="str">
            <v>Jabatan Kecemasan &amp; Trauma</v>
          </cell>
          <cell r="P1397" t="str">
            <v>HM</v>
          </cell>
          <cell r="Q1397">
            <v>7245</v>
          </cell>
        </row>
        <row r="1398">
          <cell r="E1398" t="str">
            <v>KKM/JKN/HSA/10-05-01/H/15/438</v>
          </cell>
          <cell r="F1398" t="str">
            <v>Therapeutic</v>
          </cell>
          <cell r="G1398" t="str">
            <v>Intermediate</v>
          </cell>
          <cell r="H1398" t="str">
            <v>Infusion Pumps, Syringe</v>
          </cell>
          <cell r="I1398" t="str">
            <v>PUMP SYRINGE BASIC DOSE RATE (STAND ALONE)</v>
          </cell>
          <cell r="J1398" t="str">
            <v>13-217</v>
          </cell>
          <cell r="K1398" t="str">
            <v>FRESENIUS KABI</v>
          </cell>
          <cell r="L1398" t="str">
            <v xml:space="preserve"> INJECTOMAT MC AGILIA</v>
          </cell>
          <cell r="M1398" t="str">
            <v>018130/22231852</v>
          </cell>
          <cell r="N1398" t="str">
            <v>KECEMASAN &amp; TRAUMA</v>
          </cell>
          <cell r="O1398" t="str">
            <v>Jabatan Kecemasan &amp; Trauma</v>
          </cell>
          <cell r="P1398" t="str">
            <v>HM</v>
          </cell>
          <cell r="Q1398">
            <v>4300</v>
          </cell>
        </row>
        <row r="1399">
          <cell r="E1399" t="str">
            <v>KKM/JKN/HSA/10-05-01/H/15/439</v>
          </cell>
          <cell r="F1399" t="str">
            <v>Therapeutic</v>
          </cell>
          <cell r="G1399" t="str">
            <v>Intermediate</v>
          </cell>
          <cell r="H1399" t="str">
            <v>Infusion Pumps, Syringe</v>
          </cell>
          <cell r="I1399" t="str">
            <v>PUMP SYRINGE BASIC DOSE RATE (STAND ALONE)</v>
          </cell>
          <cell r="J1399" t="str">
            <v>13-217</v>
          </cell>
          <cell r="K1399" t="str">
            <v>FRESENIUS KABI</v>
          </cell>
          <cell r="L1399" t="str">
            <v xml:space="preserve"> INJECTOMAT MC AGILIA</v>
          </cell>
          <cell r="M1399" t="str">
            <v>018130/22231572</v>
          </cell>
          <cell r="N1399" t="str">
            <v>KECEMASAN &amp; TRAUMA</v>
          </cell>
          <cell r="O1399" t="str">
            <v>Jabatan Kecemasan &amp; Trauma</v>
          </cell>
          <cell r="P1399" t="str">
            <v>HM</v>
          </cell>
          <cell r="Q1399">
            <v>4300</v>
          </cell>
        </row>
        <row r="1400">
          <cell r="E1400" t="str">
            <v>KKM/JKN/HSA/10-05-01/H/15/440</v>
          </cell>
          <cell r="F1400" t="str">
            <v>Therapeutic</v>
          </cell>
          <cell r="G1400" t="str">
            <v>Intermediate</v>
          </cell>
          <cell r="H1400" t="str">
            <v>Infusion Pumps, Syringe</v>
          </cell>
          <cell r="I1400" t="str">
            <v>PUMP SYRINGE BASIC DOSE RATE (STAND ALONE)</v>
          </cell>
          <cell r="J1400" t="str">
            <v>13-217</v>
          </cell>
          <cell r="K1400" t="str">
            <v>FRESENIUS KABI</v>
          </cell>
          <cell r="L1400" t="str">
            <v xml:space="preserve"> INJECTOMAT MC AGILIA</v>
          </cell>
          <cell r="M1400" t="str">
            <v>018130/22230710</v>
          </cell>
          <cell r="N1400" t="str">
            <v>KECEMASAN &amp; TRAUMA</v>
          </cell>
          <cell r="O1400" t="str">
            <v>Jabatan Kecemasan &amp; Trauma</v>
          </cell>
          <cell r="P1400" t="str">
            <v>HM</v>
          </cell>
          <cell r="Q1400">
            <v>4300</v>
          </cell>
        </row>
        <row r="1401">
          <cell r="E1401" t="str">
            <v>KKM/JKN/HSA/10-05-01/H/15/442</v>
          </cell>
          <cell r="F1401" t="str">
            <v>Therapeutic</v>
          </cell>
          <cell r="G1401" t="str">
            <v>Intermediate</v>
          </cell>
          <cell r="H1401" t="str">
            <v>Infusion Pumps, Syringe</v>
          </cell>
          <cell r="I1401" t="str">
            <v>PUMP SYRINGE BASIC DOSE RATE (STAND ALONE)</v>
          </cell>
          <cell r="J1401" t="str">
            <v>13-217</v>
          </cell>
          <cell r="K1401" t="str">
            <v>FRESENIUS KABI</v>
          </cell>
          <cell r="L1401" t="str">
            <v xml:space="preserve"> INJECTOMAT MC AGILIA</v>
          </cell>
          <cell r="M1401" t="str">
            <v>018130/22231562</v>
          </cell>
          <cell r="N1401" t="str">
            <v>KECEMASAN &amp; TRAUMA</v>
          </cell>
          <cell r="O1401" t="str">
            <v>Jabatan Kecemasan &amp; Trauma</v>
          </cell>
          <cell r="P1401" t="str">
            <v>HM</v>
          </cell>
          <cell r="Q1401">
            <v>4300</v>
          </cell>
        </row>
        <row r="1402">
          <cell r="E1402" t="str">
            <v>KKM/JKN/HSA/10-05-01/H/15/443</v>
          </cell>
          <cell r="F1402" t="str">
            <v>Therapeutic</v>
          </cell>
          <cell r="G1402" t="str">
            <v>Intermediate</v>
          </cell>
          <cell r="H1402" t="str">
            <v>Infusion Pumps, Syringe</v>
          </cell>
          <cell r="I1402" t="str">
            <v>PUMP SYRINGE BASIC DOSE RATE (STAND ALONE)</v>
          </cell>
          <cell r="J1402" t="str">
            <v>13-217</v>
          </cell>
          <cell r="K1402" t="str">
            <v>FRESENIUS KABI</v>
          </cell>
          <cell r="L1402" t="str">
            <v xml:space="preserve"> INJECTOMAT MC AGILIA</v>
          </cell>
          <cell r="M1402" t="str">
            <v>018130/2231583</v>
          </cell>
          <cell r="N1402" t="str">
            <v>KECEMASAN &amp; TRAUMA</v>
          </cell>
          <cell r="O1402" t="str">
            <v>Jabatan Kecemasan &amp; Trauma</v>
          </cell>
          <cell r="P1402" t="str">
            <v>HM</v>
          </cell>
          <cell r="Q1402">
            <v>4300</v>
          </cell>
        </row>
        <row r="1403">
          <cell r="E1403" t="str">
            <v>KKM/JKN/HSA/10-05-01/H/15/444</v>
          </cell>
          <cell r="F1403" t="str">
            <v>Therapeutic</v>
          </cell>
          <cell r="G1403" t="str">
            <v>Intermediate</v>
          </cell>
          <cell r="H1403" t="str">
            <v>Infusion Pumps, Syringe</v>
          </cell>
          <cell r="I1403" t="str">
            <v>PUMP SYRINGE BASIC DOSE RATE (STAND ALONE)</v>
          </cell>
          <cell r="J1403" t="str">
            <v>13-217</v>
          </cell>
          <cell r="K1403" t="str">
            <v>FRESENIUS KABI</v>
          </cell>
          <cell r="L1403" t="str">
            <v xml:space="preserve"> INJECTOMAT MC AGILIA</v>
          </cell>
          <cell r="M1403" t="str">
            <v>018130/22230706</v>
          </cell>
          <cell r="N1403" t="str">
            <v>KECEMASAN &amp; TRAUMA</v>
          </cell>
          <cell r="O1403" t="str">
            <v>Jabatan Kecemasan &amp; Trauma</v>
          </cell>
          <cell r="P1403" t="str">
            <v>HM</v>
          </cell>
          <cell r="Q1403">
            <v>4300</v>
          </cell>
        </row>
        <row r="1404">
          <cell r="E1404" t="str">
            <v>KKM/JKN/HSA/10-05-01/H/15/445</v>
          </cell>
          <cell r="F1404" t="str">
            <v>Therapeutic</v>
          </cell>
          <cell r="G1404" t="str">
            <v>Intermediate</v>
          </cell>
          <cell r="H1404" t="str">
            <v>Infusion Pumps, Syringe</v>
          </cell>
          <cell r="I1404" t="str">
            <v>PUMP SYRINGE BASIC DOSE RATE (STAND ALONE)</v>
          </cell>
          <cell r="J1404" t="str">
            <v>13-217</v>
          </cell>
          <cell r="K1404" t="str">
            <v>FRESENIUS KABI</v>
          </cell>
          <cell r="L1404" t="str">
            <v xml:space="preserve"> INJECTOMAT MC AGILIA</v>
          </cell>
          <cell r="M1404" t="str">
            <v>018130/22131693</v>
          </cell>
          <cell r="N1404" t="str">
            <v>KECEMASAN &amp; TRAUMA</v>
          </cell>
          <cell r="O1404" t="str">
            <v>Jabatan Kecemasan &amp; Trauma</v>
          </cell>
          <cell r="P1404" t="str">
            <v>HM</v>
          </cell>
          <cell r="Q1404">
            <v>4300</v>
          </cell>
        </row>
        <row r="1405">
          <cell r="E1405" t="str">
            <v>KKM/JKN/HSA/10-05-01/H/15/446</v>
          </cell>
          <cell r="F1405" t="str">
            <v>Therapeutic</v>
          </cell>
          <cell r="G1405" t="str">
            <v>Intermediate</v>
          </cell>
          <cell r="H1405" t="str">
            <v>Infusion Pumps, Syringe</v>
          </cell>
          <cell r="I1405" t="str">
            <v>PUMP SYRINGE BASIC DOSE RATE (STAND ALONE)</v>
          </cell>
          <cell r="J1405" t="str">
            <v>13-217</v>
          </cell>
          <cell r="K1405" t="str">
            <v>FRESENIUS KABI</v>
          </cell>
          <cell r="L1405" t="str">
            <v xml:space="preserve"> INJECTOMAT MC AGILIA</v>
          </cell>
          <cell r="M1405" t="str">
            <v>018130/2231552</v>
          </cell>
          <cell r="N1405" t="str">
            <v>KECEMASAN &amp; TRAUMA</v>
          </cell>
          <cell r="O1405" t="str">
            <v>Jabatan Kecemasan &amp; Trauma</v>
          </cell>
          <cell r="P1405" t="str">
            <v>HM</v>
          </cell>
          <cell r="Q1405">
            <v>4300</v>
          </cell>
        </row>
        <row r="1406">
          <cell r="E1406" t="str">
            <v>KKM/JKN/HSA/10-05-01/H/15/447</v>
          </cell>
          <cell r="F1406" t="str">
            <v>Therapeutic</v>
          </cell>
          <cell r="G1406" t="str">
            <v>Intermediate</v>
          </cell>
          <cell r="H1406" t="str">
            <v>Infusion Pumps, Syringe</v>
          </cell>
          <cell r="I1406" t="str">
            <v>PUMP SYRINGE BASIC DOSE RATE (STAND ALONE)</v>
          </cell>
          <cell r="J1406" t="str">
            <v>13-217</v>
          </cell>
          <cell r="K1406" t="str">
            <v>FRESENIUS KABI</v>
          </cell>
          <cell r="L1406" t="str">
            <v xml:space="preserve"> INJECTOMAT MC AGILIA</v>
          </cell>
          <cell r="M1406" t="str">
            <v>018130/2231573</v>
          </cell>
          <cell r="N1406" t="str">
            <v>KECEMASAN &amp; TRAUMA</v>
          </cell>
          <cell r="O1406" t="str">
            <v>Jabatan Kecemasan &amp; Trauma</v>
          </cell>
          <cell r="P1406" t="str">
            <v>HM</v>
          </cell>
          <cell r="Q1406">
            <v>4300</v>
          </cell>
        </row>
        <row r="1407">
          <cell r="E1407" t="str">
            <v>KKM/JKN/HSA/10-05-01/H/15/441</v>
          </cell>
          <cell r="F1407" t="str">
            <v>Therapeutic</v>
          </cell>
          <cell r="G1407" t="str">
            <v>Intermediate</v>
          </cell>
          <cell r="H1407" t="str">
            <v>Infusion Pumps, Syringe</v>
          </cell>
          <cell r="I1407" t="str">
            <v>PUMP SYRINGE BASIC DOSE RATE (STAND ALONE)</v>
          </cell>
          <cell r="J1407" t="str">
            <v>13-217</v>
          </cell>
          <cell r="K1407" t="str">
            <v>FRESENIUS KABI</v>
          </cell>
          <cell r="L1407" t="str">
            <v xml:space="preserve"> INJECTOMAT MC AGILIA</v>
          </cell>
          <cell r="M1407"/>
          <cell r="N1407" t="str">
            <v>KECEMASAN &amp; TRAUMA</v>
          </cell>
          <cell r="O1407" t="str">
            <v>Jabatan Kecemasan &amp; Trauma</v>
          </cell>
          <cell r="P1407" t="str">
            <v>HM</v>
          </cell>
          <cell r="Q1407">
            <v>4300</v>
          </cell>
        </row>
        <row r="1408">
          <cell r="E1408" t="str">
            <v>KKM/JKN/HSA/10-05-01/H/16/65</v>
          </cell>
          <cell r="F1408" t="str">
            <v xml:space="preserve">Diagnostic </v>
          </cell>
          <cell r="G1408" t="str">
            <v>Intermediate</v>
          </cell>
          <cell r="H1408" t="str">
            <v>Physiologic Monitoring Systems, Acute Care</v>
          </cell>
          <cell r="I1408" t="str">
            <v>PATIENT MONITORING EQUIP</v>
          </cell>
          <cell r="J1408" t="str">
            <v>12-647</v>
          </cell>
          <cell r="K1408" t="str">
            <v>MEDIANA</v>
          </cell>
          <cell r="L1408" t="str">
            <v>M20</v>
          </cell>
          <cell r="M1408">
            <v>1554120003</v>
          </cell>
          <cell r="N1408" t="str">
            <v xml:space="preserve">KECEMASAN DAN TRAUMA </v>
          </cell>
          <cell r="O1408" t="str">
            <v>Jabatan Kecemasan &amp; Trauma</v>
          </cell>
          <cell r="P1408" t="str">
            <v>HM</v>
          </cell>
          <cell r="Q1408">
            <v>10000</v>
          </cell>
        </row>
        <row r="1409">
          <cell r="E1409" t="str">
            <v>KKM/JKN/HSA/10-05-01/H/16/66</v>
          </cell>
          <cell r="F1409" t="str">
            <v xml:space="preserve">Diagnostic </v>
          </cell>
          <cell r="G1409" t="str">
            <v>Intermediate</v>
          </cell>
          <cell r="H1409" t="str">
            <v>Physiologic Monitoring Systems, Acute Care</v>
          </cell>
          <cell r="I1409" t="str">
            <v>PATIENT MONITORING EQUIP</v>
          </cell>
          <cell r="J1409" t="str">
            <v>12-647</v>
          </cell>
          <cell r="K1409" t="str">
            <v>MEDIANA</v>
          </cell>
          <cell r="L1409" t="str">
            <v>M20</v>
          </cell>
          <cell r="M1409">
            <v>1554120004</v>
          </cell>
          <cell r="N1409" t="str">
            <v xml:space="preserve">KECEMASAN DAN TRAUMA </v>
          </cell>
          <cell r="O1409" t="str">
            <v>Jabatan Kecemasan &amp; Trauma</v>
          </cell>
          <cell r="P1409" t="str">
            <v>HM</v>
          </cell>
          <cell r="Q1409">
            <v>10000</v>
          </cell>
        </row>
        <row r="1410">
          <cell r="E1410" t="str">
            <v>KKM/JKN/HSA/10-05-01/H/18/137</v>
          </cell>
          <cell r="F1410" t="str">
            <v xml:space="preserve">Diagnostic </v>
          </cell>
          <cell r="G1410" t="str">
            <v>Intermediate</v>
          </cell>
          <cell r="H1410" t="str">
            <v>Physiologic Monitoring Systems, Acute Care</v>
          </cell>
          <cell r="I1410" t="str">
            <v>PATIENT MONITORING EQUIP</v>
          </cell>
          <cell r="J1410" t="str">
            <v>12-647</v>
          </cell>
          <cell r="K1410" t="str">
            <v>NIHON KOHDEN</v>
          </cell>
          <cell r="L1410" t="str">
            <v xml:space="preserve"> SVM-7621</v>
          </cell>
          <cell r="M1410">
            <v>2650</v>
          </cell>
          <cell r="N1410" t="str">
            <v xml:space="preserve">KECEMASAN DAN TRAUMA </v>
          </cell>
          <cell r="O1410" t="str">
            <v>Jabatan Kecemasan &amp; Trauma</v>
          </cell>
          <cell r="P1410" t="str">
            <v>HM</v>
          </cell>
          <cell r="Q1410">
            <v>15000</v>
          </cell>
        </row>
        <row r="1411">
          <cell r="E1411" t="str">
            <v>KKM/JKN/HSA/10-05-01/H/18/138</v>
          </cell>
          <cell r="F1411" t="str">
            <v xml:space="preserve">Diagnostic </v>
          </cell>
          <cell r="G1411" t="str">
            <v>Intermediate</v>
          </cell>
          <cell r="H1411" t="str">
            <v>Physiologic Monitoring Systems, Acute Care</v>
          </cell>
          <cell r="I1411" t="str">
            <v>PATIENT MONITORING EQUIP</v>
          </cell>
          <cell r="J1411" t="str">
            <v>12-647</v>
          </cell>
          <cell r="K1411" t="str">
            <v>NIHON KOHDEN</v>
          </cell>
          <cell r="L1411" t="str">
            <v xml:space="preserve"> SVM-7621</v>
          </cell>
          <cell r="M1411">
            <v>2813</v>
          </cell>
          <cell r="N1411" t="str">
            <v xml:space="preserve">KECEMASAN DAN TRAUMA </v>
          </cell>
          <cell r="O1411" t="str">
            <v>Jabatan Kecemasan &amp; Trauma</v>
          </cell>
          <cell r="P1411" t="str">
            <v>HM</v>
          </cell>
          <cell r="Q1411">
            <v>15000</v>
          </cell>
        </row>
        <row r="1412">
          <cell r="E1412" t="str">
            <v>KKM/JKN/HSA/10-05-01/H/15/971</v>
          </cell>
          <cell r="F1412" t="str">
            <v xml:space="preserve">Diagnostic </v>
          </cell>
          <cell r="G1412" t="str">
            <v>Intermediate</v>
          </cell>
          <cell r="H1412" t="str">
            <v>Oximeters, Pulse</v>
          </cell>
          <cell r="I1412" t="str">
            <v>OXIMETER PULSE</v>
          </cell>
          <cell r="J1412" t="str">
            <v>17-148</v>
          </cell>
          <cell r="K1412" t="str">
            <v>GE HEALTHCARE</v>
          </cell>
          <cell r="L1412" t="str">
            <v xml:space="preserve"> TRUST PULSE OXIMETER</v>
          </cell>
          <cell r="M1412" t="str">
            <v>FCC14250156SA</v>
          </cell>
          <cell r="N1412" t="str">
            <v>KECEMASAN &amp; TRAUMA</v>
          </cell>
          <cell r="O1412" t="str">
            <v>Jabatan Kecemasan &amp; Trauma</v>
          </cell>
          <cell r="P1412" t="str">
            <v>HM</v>
          </cell>
          <cell r="Q1412">
            <v>4000</v>
          </cell>
        </row>
        <row r="1413">
          <cell r="E1413" t="str">
            <v>KKM/JKN/HSA/10-05-01/H/15/972</v>
          </cell>
          <cell r="F1413" t="str">
            <v xml:space="preserve">Diagnostic </v>
          </cell>
          <cell r="G1413" t="str">
            <v>Intermediate</v>
          </cell>
          <cell r="H1413" t="str">
            <v>Oximeters, Pulse</v>
          </cell>
          <cell r="I1413" t="str">
            <v>OXIMETER PULSE</v>
          </cell>
          <cell r="J1413" t="str">
            <v>17-148</v>
          </cell>
          <cell r="K1413" t="str">
            <v>GE HEALTHCARE</v>
          </cell>
          <cell r="L1413" t="str">
            <v xml:space="preserve"> TRUST PULSE OXIMETER</v>
          </cell>
          <cell r="M1413" t="str">
            <v>FCC14250159SA</v>
          </cell>
          <cell r="N1413" t="str">
            <v>KECEMASAN &amp; TRAUMA</v>
          </cell>
          <cell r="O1413" t="str">
            <v>Jabatan Kecemasan &amp; Trauma</v>
          </cell>
          <cell r="P1413" t="str">
            <v>HM</v>
          </cell>
          <cell r="Q1413">
            <v>4000</v>
          </cell>
        </row>
        <row r="1414">
          <cell r="E1414" t="str">
            <v>KKM/JKN/HSA/10-05-01/R/15/17037</v>
          </cell>
          <cell r="F1414" t="str">
            <v>Therapeutic</v>
          </cell>
          <cell r="G1414" t="str">
            <v>Basic</v>
          </cell>
          <cell r="H1414" t="str">
            <v>Nebulizers, Heated</v>
          </cell>
          <cell r="I1414" t="str">
            <v>NEBULISER COMPRESSOR</v>
          </cell>
          <cell r="J1414" t="str">
            <v>12-716</v>
          </cell>
          <cell r="K1414" t="str">
            <v>PHILIPS</v>
          </cell>
          <cell r="L1414" t="str">
            <v>KK INNOSPIRE DELUXE</v>
          </cell>
          <cell r="M1414">
            <v>22833</v>
          </cell>
          <cell r="N1414" t="str">
            <v>KECEMASAN DAN TRAUMA</v>
          </cell>
          <cell r="O1414" t="str">
            <v>Jabatan Kecemasan &amp; Trauma</v>
          </cell>
          <cell r="P1414" t="str">
            <v>ABR</v>
          </cell>
          <cell r="Q1414">
            <v>1950</v>
          </cell>
        </row>
        <row r="1415">
          <cell r="E1415" t="str">
            <v>KKM/JKN/HSA/10-05-01/R/15/17038</v>
          </cell>
          <cell r="F1415" t="str">
            <v>Therapeutic</v>
          </cell>
          <cell r="G1415" t="str">
            <v>Basic</v>
          </cell>
          <cell r="H1415" t="str">
            <v>Nebulizers, Heated</v>
          </cell>
          <cell r="I1415" t="str">
            <v>NEBULISER COMPRESSOR</v>
          </cell>
          <cell r="J1415" t="str">
            <v>12-716</v>
          </cell>
          <cell r="K1415" t="str">
            <v>PHILIPS</v>
          </cell>
          <cell r="L1415" t="str">
            <v>KK INNOSPIRE DELUXE</v>
          </cell>
          <cell r="M1415">
            <v>22860</v>
          </cell>
          <cell r="N1415" t="str">
            <v>KECEMASAN DAN TRAUMA</v>
          </cell>
          <cell r="O1415" t="str">
            <v>Jabatan Kecemasan &amp; Trauma</v>
          </cell>
          <cell r="P1415" t="str">
            <v>ABR</v>
          </cell>
          <cell r="Q1415">
            <v>1950</v>
          </cell>
        </row>
        <row r="1416">
          <cell r="E1416" t="str">
            <v>KKM/JKN/HSA/10-05-01/R/15/17039</v>
          </cell>
          <cell r="F1416" t="str">
            <v>Therapeutic</v>
          </cell>
          <cell r="G1416" t="str">
            <v>Basic</v>
          </cell>
          <cell r="H1416" t="str">
            <v>Nebulizers, Heated</v>
          </cell>
          <cell r="I1416" t="str">
            <v>NEBULISER COMPRESSOR</v>
          </cell>
          <cell r="J1416" t="str">
            <v>12-716</v>
          </cell>
          <cell r="K1416" t="str">
            <v>PHILIPS</v>
          </cell>
          <cell r="L1416" t="str">
            <v>KK INNOSPIRE DELUXE</v>
          </cell>
          <cell r="M1416"/>
          <cell r="N1416" t="str">
            <v>KECEMASAN DAN TRAUMA</v>
          </cell>
          <cell r="O1416" t="str">
            <v>Jabatan Kecemasan &amp; Trauma</v>
          </cell>
          <cell r="P1416" t="str">
            <v>ABR</v>
          </cell>
          <cell r="Q1416">
            <v>1950</v>
          </cell>
        </row>
        <row r="1417">
          <cell r="E1417" t="str">
            <v>KKM/JKN/HSA/10-05-01/R/15/17040</v>
          </cell>
          <cell r="F1417" t="str">
            <v>Therapeutic</v>
          </cell>
          <cell r="G1417" t="str">
            <v>Basic</v>
          </cell>
          <cell r="H1417" t="str">
            <v>Nebulizers, Heated</v>
          </cell>
          <cell r="I1417" t="str">
            <v>NEBULISER COMPRESSOR</v>
          </cell>
          <cell r="J1417" t="str">
            <v>12-716</v>
          </cell>
          <cell r="K1417" t="str">
            <v>PHILIPS</v>
          </cell>
          <cell r="L1417" t="str">
            <v>KK INNOSPIRE DELUXE</v>
          </cell>
          <cell r="M1417"/>
          <cell r="N1417" t="str">
            <v>KECEMASAN DAN TRAUMA</v>
          </cell>
          <cell r="O1417" t="str">
            <v>Jabatan Kecemasan &amp; Trauma</v>
          </cell>
          <cell r="P1417" t="str">
            <v>ABR</v>
          </cell>
          <cell r="Q1417">
            <v>1950</v>
          </cell>
        </row>
        <row r="1418">
          <cell r="E1418" t="str">
            <v>KKM/JKN/HSA/10-05-01/H/15/5012</v>
          </cell>
          <cell r="F1418" t="str">
            <v xml:space="preserve">Diagnostic </v>
          </cell>
          <cell r="G1418" t="str">
            <v>Intermediate</v>
          </cell>
          <cell r="H1418" t="str">
            <v>Physiologic Monitoring Systems, Acute Care</v>
          </cell>
          <cell r="I1418" t="str">
            <v>MONITOR, TRANSP0RT</v>
          </cell>
          <cell r="J1418" t="str">
            <v>12-647</v>
          </cell>
          <cell r="K1418" t="str">
            <v>MINDRAY</v>
          </cell>
          <cell r="L1418" t="str">
            <v xml:space="preserve"> BENEVIEW T1</v>
          </cell>
          <cell r="M1418" t="str">
            <v>FBL3B002888</v>
          </cell>
          <cell r="N1418" t="str">
            <v>KECEMASAN &amp; TRAUMA</v>
          </cell>
          <cell r="O1418" t="str">
            <v>Jabatan Kecemasan &amp; Trauma</v>
          </cell>
          <cell r="P1418" t="str">
            <v>HM</v>
          </cell>
          <cell r="Q1418">
            <v>15500</v>
          </cell>
        </row>
        <row r="1419">
          <cell r="E1419" t="str">
            <v>KKM/JKN/HSA/10-05-01/H/15/5013</v>
          </cell>
          <cell r="F1419" t="str">
            <v xml:space="preserve">Diagnostic </v>
          </cell>
          <cell r="G1419" t="str">
            <v>Intermediate</v>
          </cell>
          <cell r="H1419" t="str">
            <v>Physiologic Monitoring Systems, Acute Care</v>
          </cell>
          <cell r="I1419" t="str">
            <v>MONITOR, TRANSP0RT</v>
          </cell>
          <cell r="J1419" t="str">
            <v>12-647</v>
          </cell>
          <cell r="K1419" t="str">
            <v>MINDRAY</v>
          </cell>
          <cell r="L1419" t="str">
            <v xml:space="preserve"> BENEVIEW T1</v>
          </cell>
          <cell r="M1419"/>
          <cell r="N1419" t="str">
            <v>KECEMASAN &amp; TRAUMA</v>
          </cell>
          <cell r="O1419" t="str">
            <v>Jabatan Kecemasan &amp; Trauma</v>
          </cell>
          <cell r="P1419" t="str">
            <v>HM</v>
          </cell>
          <cell r="Q1419">
            <v>15500</v>
          </cell>
        </row>
        <row r="1420">
          <cell r="E1420" t="str">
            <v>KKM/JKN/HSA/10-05-01/H/15/5014</v>
          </cell>
          <cell r="F1420" t="str">
            <v xml:space="preserve">Diagnostic </v>
          </cell>
          <cell r="G1420" t="str">
            <v>Intermediate</v>
          </cell>
          <cell r="H1420" t="str">
            <v>Physiologic Monitoring Systems, Acute Care</v>
          </cell>
          <cell r="I1420" t="str">
            <v>MONITOR, TRANSP0RT</v>
          </cell>
          <cell r="J1420" t="str">
            <v>12-647</v>
          </cell>
          <cell r="K1420" t="str">
            <v>MINDRAY</v>
          </cell>
          <cell r="L1420" t="str">
            <v xml:space="preserve"> BENEVIEW T1</v>
          </cell>
          <cell r="M1420"/>
          <cell r="N1420" t="str">
            <v>KECEMASAN &amp; TRAUMA</v>
          </cell>
          <cell r="O1420" t="str">
            <v>Jabatan Kecemasan &amp; Trauma</v>
          </cell>
          <cell r="P1420" t="str">
            <v>HM</v>
          </cell>
          <cell r="Q1420">
            <v>15500</v>
          </cell>
        </row>
        <row r="1421">
          <cell r="E1421" t="str">
            <v>KKM/JKN/HSA/10-05-01/H/15/2806</v>
          </cell>
          <cell r="F1421" t="str">
            <v xml:space="preserve">Diagnostic </v>
          </cell>
          <cell r="G1421" t="str">
            <v>Intermediate</v>
          </cell>
          <cell r="H1421" t="str">
            <v>Physiologic Monitoring Systems, Acute Care</v>
          </cell>
          <cell r="I1421" t="str">
            <v>MONITOR PRE-CONFIG 6-CH ECG/RR/SP02/NIBP/2TEMP/2IBP/12L/ARRHYTH</v>
          </cell>
          <cell r="J1421" t="str">
            <v>12-647</v>
          </cell>
          <cell r="K1421" t="str">
            <v>MINDRAY</v>
          </cell>
          <cell r="L1421" t="str">
            <v>IPM 12</v>
          </cell>
          <cell r="M1421" t="str">
            <v>FH 51016108</v>
          </cell>
          <cell r="N1421" t="str">
            <v>KECEMASAN &amp; TRAUMA</v>
          </cell>
          <cell r="O1421" t="str">
            <v>Jabatan Kecemasan &amp; Trauma</v>
          </cell>
          <cell r="P1421" t="str">
            <v>HM</v>
          </cell>
          <cell r="Q1421">
            <v>19200</v>
          </cell>
        </row>
        <row r="1422">
          <cell r="E1422" t="str">
            <v>KKM/JKN/HSA/10-05-01/H/15/5007</v>
          </cell>
          <cell r="F1422" t="str">
            <v xml:space="preserve">Diagnostic </v>
          </cell>
          <cell r="G1422" t="str">
            <v>Intermediate</v>
          </cell>
          <cell r="H1422" t="str">
            <v>Physiologic Monitoring Systems, Acute Care</v>
          </cell>
          <cell r="I1422" t="str">
            <v>MONITOR MODULAR 8-CH ECG/RR/NIBP/SP02/2TEMP/2IBP</v>
          </cell>
          <cell r="J1422" t="str">
            <v>12-647</v>
          </cell>
          <cell r="K1422" t="str">
            <v>MINDRAY</v>
          </cell>
          <cell r="L1422"/>
          <cell r="M1422" t="str">
            <v>CF 45122760</v>
          </cell>
          <cell r="N1422" t="str">
            <v>KECEMASAN &amp; TRAUMA</v>
          </cell>
          <cell r="O1422" t="str">
            <v>Jabatan Kecemasan &amp; Trauma</v>
          </cell>
          <cell r="P1422" t="str">
            <v>HM</v>
          </cell>
          <cell r="Q1422">
            <v>32900</v>
          </cell>
        </row>
        <row r="1423">
          <cell r="E1423" t="str">
            <v>KKM/JKN/HSA/10-05-01/H/15/5008</v>
          </cell>
          <cell r="F1423" t="str">
            <v xml:space="preserve">Diagnostic </v>
          </cell>
          <cell r="G1423" t="str">
            <v>Intermediate</v>
          </cell>
          <cell r="H1423" t="str">
            <v>Physiologic Monitoring Systems, Acute Care</v>
          </cell>
          <cell r="I1423" t="str">
            <v>MONITOR MODULAR 8-CH ECG/RR/NIBP/SP02/2TEMP/2IBP</v>
          </cell>
          <cell r="J1423" t="str">
            <v>12-647</v>
          </cell>
          <cell r="K1423" t="str">
            <v>MINDRAY</v>
          </cell>
          <cell r="L1423"/>
          <cell r="M1423" t="str">
            <v>CF 45122763</v>
          </cell>
          <cell r="N1423" t="str">
            <v>KECEMASAN &amp; TRAUMA</v>
          </cell>
          <cell r="O1423" t="str">
            <v>Jabatan Kecemasan &amp; Trauma</v>
          </cell>
          <cell r="P1423" t="str">
            <v>HM</v>
          </cell>
          <cell r="Q1423">
            <v>32900</v>
          </cell>
        </row>
        <row r="1424">
          <cell r="E1424" t="str">
            <v>KKM/JKN/HSA/10-05-01/H/15/5009</v>
          </cell>
          <cell r="F1424" t="str">
            <v xml:space="preserve">Diagnostic </v>
          </cell>
          <cell r="G1424" t="str">
            <v>Intermediate</v>
          </cell>
          <cell r="H1424" t="str">
            <v>Physiologic Monitoring Systems, Acute Care</v>
          </cell>
          <cell r="I1424" t="str">
            <v>MONITOR MODULAR 8-CH ECG/RR/NIBP/SP02/2TEMP/2IBP</v>
          </cell>
          <cell r="J1424" t="str">
            <v>12-647</v>
          </cell>
          <cell r="K1424" t="str">
            <v>MINDRAY</v>
          </cell>
          <cell r="L1424"/>
          <cell r="M1424" t="str">
            <v>CF 45122764</v>
          </cell>
          <cell r="N1424" t="str">
            <v>KECEMASAN &amp; TRAUMA</v>
          </cell>
          <cell r="O1424" t="str">
            <v>Jabatan Kecemasan &amp; Trauma</v>
          </cell>
          <cell r="P1424" t="str">
            <v>HM</v>
          </cell>
          <cell r="Q1424">
            <v>32900</v>
          </cell>
        </row>
        <row r="1425">
          <cell r="E1425" t="str">
            <v>KKM/JKN/HSA/10-05-01/H/15/5010</v>
          </cell>
          <cell r="F1425" t="str">
            <v xml:space="preserve">Diagnostic </v>
          </cell>
          <cell r="G1425" t="str">
            <v>Intermediate</v>
          </cell>
          <cell r="H1425" t="str">
            <v>Physiologic Monitoring Systems, Acute Care</v>
          </cell>
          <cell r="I1425" t="str">
            <v>MONITOR MODULAR 8-CH ECG/RR/NIBP/SP02/2TEMP/2IBP</v>
          </cell>
          <cell r="J1425" t="str">
            <v>12-647</v>
          </cell>
          <cell r="K1425" t="str">
            <v>MINDRAY</v>
          </cell>
          <cell r="L1425"/>
          <cell r="M1425" t="str">
            <v>CF 45122761</v>
          </cell>
          <cell r="N1425" t="str">
            <v>KECEMASAN &amp; TRAUMA</v>
          </cell>
          <cell r="O1425" t="str">
            <v>Jabatan Kecemasan &amp; Trauma</v>
          </cell>
          <cell r="P1425" t="str">
            <v>HM</v>
          </cell>
          <cell r="Q1425">
            <v>32900</v>
          </cell>
        </row>
        <row r="1426">
          <cell r="E1426" t="str">
            <v>KKM/JKN/HSA/10-05-01/H/15/5011</v>
          </cell>
          <cell r="F1426" t="str">
            <v xml:space="preserve">Diagnostic </v>
          </cell>
          <cell r="G1426" t="str">
            <v>Intermediate</v>
          </cell>
          <cell r="H1426" t="str">
            <v>Physiologic Monitoring Systems, Acute Care</v>
          </cell>
          <cell r="I1426" t="str">
            <v>MONITOR MODULAR 8-CH ECG/RR/NIBP/SP02/2TEMP/2IBP</v>
          </cell>
          <cell r="J1426" t="str">
            <v>12-647</v>
          </cell>
          <cell r="K1426" t="str">
            <v>MINDRAY</v>
          </cell>
          <cell r="L1426"/>
          <cell r="M1426" t="str">
            <v>CF 45122762</v>
          </cell>
          <cell r="N1426" t="str">
            <v>KECEMASAN &amp; TRAUMA</v>
          </cell>
          <cell r="O1426" t="str">
            <v>Jabatan Kecemasan &amp; Trauma</v>
          </cell>
          <cell r="P1426" t="str">
            <v>HM</v>
          </cell>
          <cell r="Q1426">
            <v>32900</v>
          </cell>
        </row>
        <row r="1427">
          <cell r="E1427" t="str">
            <v>KKM/JKN/HSA/10-05-01/H/15/2084</v>
          </cell>
          <cell r="F1427" t="str">
            <v xml:space="preserve">Diagnostic </v>
          </cell>
          <cell r="G1427" t="str">
            <v>Intermediate</v>
          </cell>
          <cell r="H1427" t="str">
            <v>Physiologic Monitoring Systems, Acute Care</v>
          </cell>
          <cell r="I1427" t="str">
            <v>MONITOR 4 CH, ECG/RR/NIBP/SP02/TEMP</v>
          </cell>
          <cell r="J1427" t="str">
            <v>12-647</v>
          </cell>
          <cell r="K1427" t="str">
            <v>MINDRAY</v>
          </cell>
          <cell r="L1427" t="str">
            <v>IMEC 12</v>
          </cell>
          <cell r="M1427" t="str">
            <v>EV-45011620</v>
          </cell>
          <cell r="N1427" t="str">
            <v>KECEMASAN &amp; TRAUMA</v>
          </cell>
          <cell r="O1427" t="str">
            <v>Jabatan Kecemasan &amp; Trauma</v>
          </cell>
          <cell r="P1427" t="str">
            <v>HM</v>
          </cell>
          <cell r="Q1427">
            <v>9000</v>
          </cell>
        </row>
        <row r="1428">
          <cell r="E1428" t="str">
            <v>KKM/JKN/HSA/10-05-01/H/15/2085</v>
          </cell>
          <cell r="F1428" t="str">
            <v xml:space="preserve">Diagnostic </v>
          </cell>
          <cell r="G1428" t="str">
            <v>Intermediate</v>
          </cell>
          <cell r="H1428" t="str">
            <v>Physiologic Monitoring Systems, Acute Care</v>
          </cell>
          <cell r="I1428" t="str">
            <v>MONITOR 4 CH, ECG/RR/NIBP/SP02/TEMP</v>
          </cell>
          <cell r="J1428" t="str">
            <v>12-647</v>
          </cell>
          <cell r="K1428" t="str">
            <v>MINDRAY</v>
          </cell>
          <cell r="L1428" t="str">
            <v>IMEC 12</v>
          </cell>
          <cell r="M1428" t="str">
            <v>EV-45011619</v>
          </cell>
          <cell r="N1428" t="str">
            <v>KECEMASAN &amp; TRAUMA</v>
          </cell>
          <cell r="O1428" t="str">
            <v>Jabatan Kecemasan &amp; Trauma</v>
          </cell>
          <cell r="P1428" t="str">
            <v>HM</v>
          </cell>
          <cell r="Q1428">
            <v>9000</v>
          </cell>
        </row>
        <row r="1429">
          <cell r="E1429" t="str">
            <v>KKM/JKN/HSA/10-05-01/H/15/2086</v>
          </cell>
          <cell r="F1429" t="str">
            <v xml:space="preserve">Diagnostic </v>
          </cell>
          <cell r="G1429" t="str">
            <v>Intermediate</v>
          </cell>
          <cell r="H1429" t="str">
            <v>Physiologic Monitoring Systems, Acute Care</v>
          </cell>
          <cell r="I1429" t="str">
            <v>MONITOR 4 CH, ECG/RR/NIBP/SP02/TEMP</v>
          </cell>
          <cell r="J1429" t="str">
            <v>12-647</v>
          </cell>
          <cell r="K1429" t="str">
            <v>MINDRAY</v>
          </cell>
          <cell r="L1429" t="str">
            <v>IMEC 12</v>
          </cell>
          <cell r="M1429" t="str">
            <v>EV-45011606</v>
          </cell>
          <cell r="N1429" t="str">
            <v>KECEMASAN &amp; TRAUMA</v>
          </cell>
          <cell r="O1429" t="str">
            <v>Jabatan Kecemasan &amp; Trauma</v>
          </cell>
          <cell r="P1429" t="str">
            <v>HM</v>
          </cell>
          <cell r="Q1429">
            <v>9000</v>
          </cell>
        </row>
        <row r="1430">
          <cell r="E1430" t="str">
            <v>KKM/JKN/HSA/10-05-01/H/15/2087</v>
          </cell>
          <cell r="F1430" t="str">
            <v xml:space="preserve">Diagnostic </v>
          </cell>
          <cell r="G1430" t="str">
            <v>Intermediate</v>
          </cell>
          <cell r="H1430" t="str">
            <v>Physiologic Monitoring Systems, Acute Care</v>
          </cell>
          <cell r="I1430" t="str">
            <v>MONITOR 4 CH, ECG/RR/NIBP/SP02/TEMP</v>
          </cell>
          <cell r="J1430" t="str">
            <v>12-647</v>
          </cell>
          <cell r="K1430" t="str">
            <v>MINDRAY</v>
          </cell>
          <cell r="L1430" t="str">
            <v>IMEC 12</v>
          </cell>
          <cell r="M1430" t="str">
            <v>EV 45011616</v>
          </cell>
          <cell r="N1430" t="str">
            <v>KECEMASAN &amp; TRAUMA</v>
          </cell>
          <cell r="O1430" t="str">
            <v>Jabatan Kecemasan &amp; Trauma</v>
          </cell>
          <cell r="P1430" t="str">
            <v>HM</v>
          </cell>
          <cell r="Q1430">
            <v>9000</v>
          </cell>
        </row>
        <row r="1431">
          <cell r="E1431" t="str">
            <v>KKM/JKN/HSA/10-05-01/H/15/2088</v>
          </cell>
          <cell r="F1431" t="str">
            <v xml:space="preserve">Diagnostic </v>
          </cell>
          <cell r="G1431" t="str">
            <v>Intermediate</v>
          </cell>
          <cell r="H1431" t="str">
            <v>Physiologic Monitoring Systems, Acute Care</v>
          </cell>
          <cell r="I1431" t="str">
            <v>MONITOR 4 CH, ECG/RR/NIBP/SP02/TEMP</v>
          </cell>
          <cell r="J1431" t="str">
            <v>12-647</v>
          </cell>
          <cell r="K1431" t="str">
            <v>MINDRAY</v>
          </cell>
          <cell r="L1431" t="str">
            <v>IMEC 12</v>
          </cell>
          <cell r="M1431" t="str">
            <v>EV 45011617</v>
          </cell>
          <cell r="N1431" t="str">
            <v>KECEMASAN &amp; TRAUMA</v>
          </cell>
          <cell r="O1431" t="str">
            <v>Jabatan Kecemasan &amp; Trauma</v>
          </cell>
          <cell r="P1431" t="str">
            <v>HM</v>
          </cell>
          <cell r="Q1431">
            <v>9000</v>
          </cell>
        </row>
        <row r="1432">
          <cell r="E1432" t="str">
            <v>KKM/JKN/HSA/10-05-01/H/15/2089</v>
          </cell>
          <cell r="F1432" t="str">
            <v xml:space="preserve">Diagnostic </v>
          </cell>
          <cell r="G1432" t="str">
            <v>Intermediate</v>
          </cell>
          <cell r="H1432" t="str">
            <v>Physiologic Monitoring Systems, Acute Care</v>
          </cell>
          <cell r="I1432" t="str">
            <v>MONITOR 4 CH, ECG/RR/NIBP/SP02/TEMP</v>
          </cell>
          <cell r="J1432" t="str">
            <v>12-647</v>
          </cell>
          <cell r="K1432" t="str">
            <v>MINDRAY</v>
          </cell>
          <cell r="L1432" t="str">
            <v>IMEC 12</v>
          </cell>
          <cell r="M1432" t="str">
            <v>EV 45011608</v>
          </cell>
          <cell r="N1432" t="str">
            <v>KECEMASAN &amp; TRAUMA</v>
          </cell>
          <cell r="O1432" t="str">
            <v>Jabatan Kecemasan &amp; Trauma</v>
          </cell>
          <cell r="P1432" t="str">
            <v>HM</v>
          </cell>
          <cell r="Q1432">
            <v>9000</v>
          </cell>
        </row>
        <row r="1433">
          <cell r="E1433" t="str">
            <v>KKM/JKN/HSA/10-05-01/H/15/2090</v>
          </cell>
          <cell r="F1433" t="str">
            <v xml:space="preserve">Diagnostic </v>
          </cell>
          <cell r="G1433" t="str">
            <v>Intermediate</v>
          </cell>
          <cell r="H1433" t="str">
            <v>Physiologic Monitoring Systems, Acute Care</v>
          </cell>
          <cell r="I1433" t="str">
            <v>MONITOR 4 CH, ECG/RR/NIBP/SP02/TEMP</v>
          </cell>
          <cell r="J1433" t="str">
            <v>12-647</v>
          </cell>
          <cell r="K1433" t="str">
            <v>MINDRAY</v>
          </cell>
          <cell r="L1433" t="str">
            <v>IMEC 12</v>
          </cell>
          <cell r="M1433" t="str">
            <v>EV 45011610</v>
          </cell>
          <cell r="N1433" t="str">
            <v>KECEMASAN &amp; TRAUMA</v>
          </cell>
          <cell r="O1433" t="str">
            <v>Jabatan Kecemasan &amp; Trauma</v>
          </cell>
          <cell r="P1433" t="str">
            <v>HM</v>
          </cell>
          <cell r="Q1433">
            <v>9000</v>
          </cell>
        </row>
        <row r="1434">
          <cell r="E1434" t="str">
            <v>KKM/JKN/HSA/10-05-01/H/15/2091</v>
          </cell>
          <cell r="F1434" t="str">
            <v xml:space="preserve">Diagnostic </v>
          </cell>
          <cell r="G1434" t="str">
            <v>Intermediate</v>
          </cell>
          <cell r="H1434" t="str">
            <v>Physiologic Monitoring Systems, Acute Care</v>
          </cell>
          <cell r="I1434" t="str">
            <v>MONITOR 4 CH, ECG/RR/NIBP/SP02/TEMP</v>
          </cell>
          <cell r="J1434" t="str">
            <v>12-647</v>
          </cell>
          <cell r="K1434" t="str">
            <v>MINDRAY</v>
          </cell>
          <cell r="L1434" t="str">
            <v>IMEC 12</v>
          </cell>
          <cell r="M1434" t="str">
            <v>EV 45011618</v>
          </cell>
          <cell r="N1434" t="str">
            <v>KECEMASAN &amp; TRAUMA</v>
          </cell>
          <cell r="O1434" t="str">
            <v>Jabatan Kecemasan &amp; Trauma</v>
          </cell>
          <cell r="P1434" t="str">
            <v>HM</v>
          </cell>
          <cell r="Q1434">
            <v>9000</v>
          </cell>
        </row>
        <row r="1435">
          <cell r="E1435" t="str">
            <v>KKM/JKN/HSA/10-05-01/H/15/2092</v>
          </cell>
          <cell r="F1435" t="str">
            <v xml:space="preserve">Diagnostic </v>
          </cell>
          <cell r="G1435" t="str">
            <v>Intermediate</v>
          </cell>
          <cell r="H1435" t="str">
            <v>Physiologic Monitoring Systems, Acute Care</v>
          </cell>
          <cell r="I1435" t="str">
            <v>MONITOR 4 CH, ECG/RR/NIBP/SP02/TEMP</v>
          </cell>
          <cell r="J1435" t="str">
            <v>12-647</v>
          </cell>
          <cell r="K1435" t="str">
            <v>MINDRAY</v>
          </cell>
          <cell r="L1435" t="str">
            <v>IMEC 12</v>
          </cell>
          <cell r="M1435" t="str">
            <v>EV 45011645</v>
          </cell>
          <cell r="N1435" t="str">
            <v>KECEMASAN &amp; TRAUMA</v>
          </cell>
          <cell r="O1435" t="str">
            <v>Jabatan Kecemasan &amp; Trauma</v>
          </cell>
          <cell r="P1435" t="str">
            <v>HM</v>
          </cell>
          <cell r="Q1435">
            <v>9000</v>
          </cell>
        </row>
        <row r="1436">
          <cell r="E1436" t="str">
            <v>KKM/JKN/HSA/10-05-01/H/15/2093</v>
          </cell>
          <cell r="F1436" t="str">
            <v xml:space="preserve">Diagnostic </v>
          </cell>
          <cell r="G1436" t="str">
            <v>Intermediate</v>
          </cell>
          <cell r="H1436" t="str">
            <v>Physiologic Monitoring Systems, Acute Care</v>
          </cell>
          <cell r="I1436" t="str">
            <v>MONITOR 4 CH, ECG/RR/NIBP/SP02/TEMP</v>
          </cell>
          <cell r="J1436" t="str">
            <v>12-647</v>
          </cell>
          <cell r="K1436" t="str">
            <v>MINDRAY</v>
          </cell>
          <cell r="L1436" t="str">
            <v>IMEC 12</v>
          </cell>
          <cell r="M1436" t="str">
            <v>EV 45011612</v>
          </cell>
          <cell r="N1436" t="str">
            <v>KECEMASAN &amp; TRAUMA</v>
          </cell>
          <cell r="O1436" t="str">
            <v>Jabatan Kecemasan &amp; Trauma</v>
          </cell>
          <cell r="P1436" t="str">
            <v>HM</v>
          </cell>
          <cell r="Q1436">
            <v>9000</v>
          </cell>
        </row>
        <row r="1437">
          <cell r="E1437" t="str">
            <v>KKM/JKN/HSA/10-05-01/H/15/2094</v>
          </cell>
          <cell r="F1437" t="str">
            <v xml:space="preserve">Diagnostic </v>
          </cell>
          <cell r="G1437" t="str">
            <v>Intermediate</v>
          </cell>
          <cell r="H1437" t="str">
            <v>Physiologic Monitoring Systems, Acute Care</v>
          </cell>
          <cell r="I1437" t="str">
            <v>MONITOR 4 CH, ECG/RR/NIBP/SP02/TEMP</v>
          </cell>
          <cell r="J1437" t="str">
            <v>12-647</v>
          </cell>
          <cell r="K1437" t="str">
            <v>MINDRAY</v>
          </cell>
          <cell r="L1437" t="str">
            <v>IMEC 12</v>
          </cell>
          <cell r="M1437" t="str">
            <v>EV-45011614</v>
          </cell>
          <cell r="N1437" t="str">
            <v>KECEMASAN &amp; TRAUMA</v>
          </cell>
          <cell r="O1437" t="str">
            <v>Jabatan Kecemasan &amp; Trauma</v>
          </cell>
          <cell r="P1437" t="str">
            <v>HM</v>
          </cell>
          <cell r="Q1437">
            <v>9000</v>
          </cell>
        </row>
        <row r="1438">
          <cell r="E1438" t="str">
            <v>KKM/JKN/HSA/10-05-01/H/15/2095</v>
          </cell>
          <cell r="F1438" t="str">
            <v xml:space="preserve">Diagnostic </v>
          </cell>
          <cell r="G1438" t="str">
            <v>Intermediate</v>
          </cell>
          <cell r="H1438" t="str">
            <v>Physiologic Monitoring Systems, Acute Care</v>
          </cell>
          <cell r="I1438" t="str">
            <v>MONITOR 4 CH, ECG/RR/NIBP/SP02/TEMP</v>
          </cell>
          <cell r="J1438" t="str">
            <v>12-647</v>
          </cell>
          <cell r="K1438" t="str">
            <v>MINDRAY</v>
          </cell>
          <cell r="L1438" t="str">
            <v>IMEC 12</v>
          </cell>
          <cell r="M1438" t="str">
            <v>EV-45011615</v>
          </cell>
          <cell r="N1438" t="str">
            <v>KECEMASAN &amp; TRAUMA</v>
          </cell>
          <cell r="O1438" t="str">
            <v>Jabatan Kecemasan &amp; Trauma</v>
          </cell>
          <cell r="P1438" t="str">
            <v>HM</v>
          </cell>
          <cell r="Q1438">
            <v>9000</v>
          </cell>
        </row>
        <row r="1439">
          <cell r="E1439" t="str">
            <v>KKM/JKN/HSA/10-05-01/H/15/2096</v>
          </cell>
          <cell r="F1439" t="str">
            <v xml:space="preserve">Diagnostic </v>
          </cell>
          <cell r="G1439" t="str">
            <v>Intermediate</v>
          </cell>
          <cell r="H1439" t="str">
            <v>Physiologic Monitoring Systems, Acute Care</v>
          </cell>
          <cell r="I1439" t="str">
            <v>MONITOR 4 CH, ECG/RR/NIBP/SP02/TEMP</v>
          </cell>
          <cell r="J1439" t="str">
            <v>12-647</v>
          </cell>
          <cell r="K1439" t="str">
            <v>MINDRAY</v>
          </cell>
          <cell r="L1439" t="str">
            <v>IMEC 12</v>
          </cell>
          <cell r="M1439" t="str">
            <v>EV- 45011613</v>
          </cell>
          <cell r="N1439" t="str">
            <v>KECEMASAN &amp; TRAUMA</v>
          </cell>
          <cell r="O1439" t="str">
            <v>Jabatan Kecemasan &amp; Trauma</v>
          </cell>
          <cell r="P1439" t="str">
            <v>HM</v>
          </cell>
          <cell r="Q1439">
            <v>9000</v>
          </cell>
        </row>
        <row r="1440">
          <cell r="E1440" t="str">
            <v>KKM/JKN/HSA/10-05-01/H/15/2097</v>
          </cell>
          <cell r="F1440" t="str">
            <v xml:space="preserve">Diagnostic </v>
          </cell>
          <cell r="G1440" t="str">
            <v>Intermediate</v>
          </cell>
          <cell r="H1440" t="str">
            <v>Physiologic Monitoring Systems, Acute Care</v>
          </cell>
          <cell r="I1440" t="str">
            <v>MONITOR 4 CH, ECG/RR/NIBP/SP02/TEMP</v>
          </cell>
          <cell r="J1440" t="str">
            <v>12-647</v>
          </cell>
          <cell r="K1440" t="str">
            <v>MINDRAY</v>
          </cell>
          <cell r="L1440" t="str">
            <v>IMEC 12</v>
          </cell>
          <cell r="M1440" t="str">
            <v>EV45011607</v>
          </cell>
          <cell r="N1440" t="str">
            <v>KECEMASAN &amp; TRAUMA</v>
          </cell>
          <cell r="O1440" t="str">
            <v>Jabatan Kecemasan &amp; Trauma</v>
          </cell>
          <cell r="P1440" t="str">
            <v>HM</v>
          </cell>
          <cell r="Q1440">
            <v>9000</v>
          </cell>
        </row>
        <row r="1441">
          <cell r="E1441" t="str">
            <v>KKM/JKN/HSA/10-05-01/H/15/2098</v>
          </cell>
          <cell r="F1441" t="str">
            <v xml:space="preserve">Diagnostic </v>
          </cell>
          <cell r="G1441" t="str">
            <v>Intermediate</v>
          </cell>
          <cell r="H1441" t="str">
            <v>Physiologic Monitoring Systems, Acute Care</v>
          </cell>
          <cell r="I1441" t="str">
            <v>MONITOR 4 CH, ECG/RR/NIBP/SP02/TEMP</v>
          </cell>
          <cell r="J1441" t="str">
            <v>12-647</v>
          </cell>
          <cell r="K1441" t="str">
            <v>MINDRAY</v>
          </cell>
          <cell r="L1441" t="str">
            <v>IMEC 12</v>
          </cell>
          <cell r="M1441" t="str">
            <v>EV 45011609</v>
          </cell>
          <cell r="N1441" t="str">
            <v>KECEMASAN &amp; TRAUMA</v>
          </cell>
          <cell r="O1441" t="str">
            <v>Jabatan Kecemasan &amp; Trauma</v>
          </cell>
          <cell r="P1441" t="str">
            <v>HM</v>
          </cell>
          <cell r="Q1441">
            <v>9000</v>
          </cell>
        </row>
        <row r="1442">
          <cell r="E1442" t="str">
            <v>KKM/JKN/HSA/10-05-01/H/15/2099</v>
          </cell>
          <cell r="F1442" t="str">
            <v xml:space="preserve">Diagnostic </v>
          </cell>
          <cell r="G1442" t="str">
            <v>Intermediate</v>
          </cell>
          <cell r="H1442" t="str">
            <v>Physiologic Monitoring Systems, Acute Care</v>
          </cell>
          <cell r="I1442" t="str">
            <v>MONITOR 4 CH, ECG/RR/NIBP/SP02/TEMP</v>
          </cell>
          <cell r="J1442" t="str">
            <v>12-647</v>
          </cell>
          <cell r="K1442" t="str">
            <v>MINDRAY</v>
          </cell>
          <cell r="L1442" t="str">
            <v>IMEC 12</v>
          </cell>
          <cell r="M1442" t="str">
            <v>EV 45011611</v>
          </cell>
          <cell r="N1442" t="str">
            <v>KECEMASAN &amp; TRAUMA</v>
          </cell>
          <cell r="O1442" t="str">
            <v>Jabatan Kecemasan &amp; Trauma</v>
          </cell>
          <cell r="P1442" t="str">
            <v>HM</v>
          </cell>
          <cell r="Q1442">
            <v>9000</v>
          </cell>
        </row>
        <row r="1443">
          <cell r="E1443" t="str">
            <v>KKM/JKN/HSA/10-05-01/H/15/2810</v>
          </cell>
          <cell r="F1443" t="str">
            <v xml:space="preserve">Diagnostic </v>
          </cell>
          <cell r="G1443" t="str">
            <v>Intermediate</v>
          </cell>
          <cell r="H1443" t="str">
            <v>Physiologic Monitoring Systems, Acute Care</v>
          </cell>
          <cell r="I1443" t="str">
            <v>LASER PRINTER FOR CENTRAL STATION</v>
          </cell>
          <cell r="J1443" t="str">
            <v>12-647</v>
          </cell>
          <cell r="K1443" t="str">
            <v>MINDRAY</v>
          </cell>
          <cell r="L1443" t="str">
            <v>HP LASERJET PRINTER</v>
          </cell>
          <cell r="M1443"/>
          <cell r="N1443" t="str">
            <v>KECEMASAN &amp; TRAUMA</v>
          </cell>
          <cell r="O1443" t="str">
            <v>Jabatan Kecemasan &amp; Trauma</v>
          </cell>
          <cell r="P1443" t="str">
            <v>HM</v>
          </cell>
          <cell r="Q1443">
            <v>3499</v>
          </cell>
        </row>
        <row r="1444">
          <cell r="E1444" t="str">
            <v>KKM/JKN/HSA/10-05-01/H/15/2811</v>
          </cell>
          <cell r="F1444" t="str">
            <v xml:space="preserve">Diagnostic </v>
          </cell>
          <cell r="G1444" t="str">
            <v>Basic</v>
          </cell>
          <cell r="H1444" t="str">
            <v>Laryngoscopes, Rigid</v>
          </cell>
          <cell r="I1444" t="str">
            <v>LARYNGOSCOPE C/W 3 BLADES ADULT</v>
          </cell>
          <cell r="J1444" t="str">
            <v>15-076</v>
          </cell>
          <cell r="K1444" t="str">
            <v>WELCH ALLYN</v>
          </cell>
          <cell r="L1444" t="str">
            <v>WELCH ALLYN</v>
          </cell>
          <cell r="M1444"/>
          <cell r="N1444" t="str">
            <v>KECEMASAN DAN TRAUMA</v>
          </cell>
          <cell r="O1444" t="str">
            <v>Jabatan Kecemasan &amp; Trauma</v>
          </cell>
          <cell r="P1444" t="str">
            <v>HM</v>
          </cell>
          <cell r="Q1444">
            <v>2000</v>
          </cell>
        </row>
        <row r="1445">
          <cell r="E1445" t="str">
            <v>KKM/JKN/HSA/10-05-01/H/15/2812</v>
          </cell>
          <cell r="F1445" t="str">
            <v xml:space="preserve">Diagnostic </v>
          </cell>
          <cell r="G1445" t="str">
            <v>Basic</v>
          </cell>
          <cell r="H1445" t="str">
            <v>Laryngoscopes, Rigid</v>
          </cell>
          <cell r="I1445" t="str">
            <v>LARYNGOSCOPE C/W 3 BLADES ADULT</v>
          </cell>
          <cell r="J1445" t="str">
            <v>15-076</v>
          </cell>
          <cell r="K1445" t="str">
            <v>WELCH ALLYN</v>
          </cell>
          <cell r="L1445" t="str">
            <v>WELCH ALLYN</v>
          </cell>
          <cell r="M1445"/>
          <cell r="N1445" t="str">
            <v>KECEMASAN DAN TRAUMA</v>
          </cell>
          <cell r="O1445" t="str">
            <v>Jabatan Kecemasan &amp; Trauma</v>
          </cell>
          <cell r="P1445" t="str">
            <v>HM</v>
          </cell>
          <cell r="Q1445">
            <v>2000</v>
          </cell>
        </row>
        <row r="1446">
          <cell r="E1446" t="str">
            <v>KKM/JKN/HSA/10-05-01/H/15/2813</v>
          </cell>
          <cell r="F1446" t="str">
            <v xml:space="preserve">Diagnostic </v>
          </cell>
          <cell r="G1446" t="str">
            <v>Basic</v>
          </cell>
          <cell r="H1446" t="str">
            <v>Laryngoscopes, Rigid</v>
          </cell>
          <cell r="I1446" t="str">
            <v>LARYNGOSCOPE C/W 3 BLADES ADULT</v>
          </cell>
          <cell r="J1446" t="str">
            <v>15-076</v>
          </cell>
          <cell r="K1446" t="str">
            <v>WELCH ALLYN</v>
          </cell>
          <cell r="L1446" t="str">
            <v>WELCH ALLYN</v>
          </cell>
          <cell r="M1446"/>
          <cell r="N1446" t="str">
            <v>KECEMASAN DAN TRAUMA</v>
          </cell>
          <cell r="O1446" t="str">
            <v>Jabatan Kecemasan &amp; Trauma</v>
          </cell>
          <cell r="P1446" t="str">
            <v>HM</v>
          </cell>
          <cell r="Q1446">
            <v>2000</v>
          </cell>
        </row>
        <row r="1447">
          <cell r="E1447" t="str">
            <v>KKM/JKN/HSA/10-05-01/H/15/2814</v>
          </cell>
          <cell r="F1447" t="str">
            <v xml:space="preserve">Diagnostic </v>
          </cell>
          <cell r="G1447" t="str">
            <v>Basic</v>
          </cell>
          <cell r="H1447" t="str">
            <v>Laryngoscopes, Rigid</v>
          </cell>
          <cell r="I1447" t="str">
            <v>LARYNGOSCOPE C/W 3 BLADES ADULT</v>
          </cell>
          <cell r="J1447" t="str">
            <v>15-076</v>
          </cell>
          <cell r="K1447" t="str">
            <v>WELCH ALLYN</v>
          </cell>
          <cell r="L1447" t="str">
            <v>WELCH ALLYN</v>
          </cell>
          <cell r="M1447"/>
          <cell r="N1447" t="str">
            <v>KECEMASAN DAN TRAUMA</v>
          </cell>
          <cell r="O1447" t="str">
            <v>Jabatan Kecemasan &amp; Trauma</v>
          </cell>
          <cell r="P1447" t="str">
            <v>HM</v>
          </cell>
          <cell r="Q1447">
            <v>2000</v>
          </cell>
        </row>
        <row r="1448">
          <cell r="E1448" t="str">
            <v>KKM/JKN/HSA/10-05-01/H/15/2828</v>
          </cell>
          <cell r="F1448" t="str">
            <v xml:space="preserve">Diagnostic </v>
          </cell>
          <cell r="G1448" t="str">
            <v>Intermediate</v>
          </cell>
          <cell r="H1448" t="str">
            <v>Slit Lamps</v>
          </cell>
          <cell r="I1448" t="str">
            <v>LAMP SLIT/TONOMETER/3 MIRROR/LENSES</v>
          </cell>
          <cell r="J1448" t="str">
            <v>12-281</v>
          </cell>
          <cell r="K1448" t="str">
            <v xml:space="preserve">INAMI </v>
          </cell>
          <cell r="L1448" t="str">
            <v>L-0189</v>
          </cell>
          <cell r="M1448" t="str">
            <v>JO140600054</v>
          </cell>
          <cell r="N1448" t="str">
            <v>OFTALMOLOGI</v>
          </cell>
          <cell r="O1448" t="str">
            <v>Jabatan Kecemasan &amp; Trauma</v>
          </cell>
          <cell r="P1448" t="str">
            <v>HM</v>
          </cell>
          <cell r="Q1448">
            <v>26000</v>
          </cell>
        </row>
        <row r="1449">
          <cell r="E1449" t="str">
            <v>KKM/JKN/HSA/10-05-01/H/18/140</v>
          </cell>
          <cell r="F1449" t="str">
            <v>Therapeutic</v>
          </cell>
          <cell r="G1449" t="str">
            <v>Intermediate</v>
          </cell>
          <cell r="H1449" t="str">
            <v>Infusion Pumps, General-Purpose</v>
          </cell>
          <cell r="I1449" t="str">
            <v>INFUSION PUMP</v>
          </cell>
          <cell r="J1449" t="str">
            <v>13-215</v>
          </cell>
          <cell r="K1449" t="str">
            <v>TOP</v>
          </cell>
          <cell r="L1449">
            <v>2300</v>
          </cell>
          <cell r="M1449" t="str">
            <v>18A0668</v>
          </cell>
          <cell r="N1449" t="str">
            <v>KECEMASAN &amp; TRAUMA</v>
          </cell>
          <cell r="O1449" t="str">
            <v>Jabatan Kecemasan &amp; Trauma</v>
          </cell>
          <cell r="P1449" t="str">
            <v>HM</v>
          </cell>
          <cell r="Q1449">
            <v>8000</v>
          </cell>
        </row>
        <row r="1450">
          <cell r="E1450" t="str">
            <v>KKM/JKN/HSA/10-05-01/H/18/141</v>
          </cell>
          <cell r="F1450" t="str">
            <v>Therapeutic</v>
          </cell>
          <cell r="G1450" t="str">
            <v>Intermediate</v>
          </cell>
          <cell r="H1450" t="str">
            <v>Infusion Pumps, General-Purpose</v>
          </cell>
          <cell r="I1450" t="str">
            <v>INFUSION PUMP</v>
          </cell>
          <cell r="J1450" t="str">
            <v>13-215</v>
          </cell>
          <cell r="K1450" t="str">
            <v>TOP</v>
          </cell>
          <cell r="L1450">
            <v>2300</v>
          </cell>
          <cell r="M1450" t="str">
            <v>18A0669</v>
          </cell>
          <cell r="N1450" t="str">
            <v>KECEMASAN &amp; TRAUMA</v>
          </cell>
          <cell r="O1450" t="str">
            <v>Jabatan Kecemasan &amp; Trauma</v>
          </cell>
          <cell r="P1450" t="str">
            <v>HM</v>
          </cell>
          <cell r="Q1450">
            <v>8000</v>
          </cell>
        </row>
        <row r="1451">
          <cell r="E1451" t="str">
            <v>KKM/JKN/HSA/10-05-01/H/18/142</v>
          </cell>
          <cell r="F1451" t="str">
            <v>Therapeutic</v>
          </cell>
          <cell r="G1451" t="str">
            <v>Intermediate</v>
          </cell>
          <cell r="H1451" t="str">
            <v>Infusion Pumps, General-Purpose</v>
          </cell>
          <cell r="I1451" t="str">
            <v>INFUSION PUMP</v>
          </cell>
          <cell r="J1451" t="str">
            <v>13-215</v>
          </cell>
          <cell r="K1451" t="str">
            <v>TOP</v>
          </cell>
          <cell r="L1451">
            <v>2300</v>
          </cell>
          <cell r="M1451" t="str">
            <v>18A0670</v>
          </cell>
          <cell r="N1451" t="str">
            <v>KECEMASAN &amp; TRAUMA</v>
          </cell>
          <cell r="O1451" t="str">
            <v>Jabatan Kecemasan &amp; Trauma</v>
          </cell>
          <cell r="P1451" t="str">
            <v>HM</v>
          </cell>
          <cell r="Q1451">
            <v>8000</v>
          </cell>
        </row>
        <row r="1452">
          <cell r="E1452" t="str">
            <v>KKM/JKN/HSA/10-05-01/H/15/554</v>
          </cell>
          <cell r="F1452" t="str">
            <v>Therapeutic</v>
          </cell>
          <cell r="G1452" t="str">
            <v>Intermediate</v>
          </cell>
          <cell r="H1452" t="str">
            <v>Incubators, Infant, TransP0rt</v>
          </cell>
          <cell r="I1452" t="str">
            <v>INCUBATOR TRANSP0RT WITH VENTILATOR</v>
          </cell>
          <cell r="J1452" t="str">
            <v>12-114</v>
          </cell>
          <cell r="K1452" t="str">
            <v>DRAEGER</v>
          </cell>
          <cell r="L1452" t="str">
            <v>ISOLETTE TI500 W BABYPAC</v>
          </cell>
          <cell r="M1452" t="str">
            <v>AU09338</v>
          </cell>
          <cell r="N1452" t="str">
            <v>KECEMASAN &amp; TRAUMA</v>
          </cell>
          <cell r="O1452" t="str">
            <v>Jabatan Kecemasan &amp; Trauma</v>
          </cell>
          <cell r="P1452" t="str">
            <v>HM</v>
          </cell>
          <cell r="Q1452">
            <v>68000</v>
          </cell>
        </row>
        <row r="1453">
          <cell r="E1453" t="str">
            <v>KKM/JKN/HSA/10-05-01/H/15/38</v>
          </cell>
          <cell r="F1453" t="str">
            <v>Laboratory</v>
          </cell>
          <cell r="G1453" t="str">
            <v>Intermediate</v>
          </cell>
          <cell r="H1453" t="str">
            <v>Analyzers, Laboratory, Hematology, Cell Counting, Automated</v>
          </cell>
          <cell r="I1453" t="str">
            <v>HEMATOLOGY ANALYSER / SYSMEX / XP-100</v>
          </cell>
          <cell r="J1453" t="str">
            <v>17-741</v>
          </cell>
          <cell r="K1453" t="str">
            <v>SYSMEX</v>
          </cell>
          <cell r="L1453" t="str">
            <v>XP-100</v>
          </cell>
          <cell r="M1453" t="str">
            <v>A9200</v>
          </cell>
          <cell r="N1453" t="str">
            <v>KECEMASAN &amp; TRAUMA</v>
          </cell>
          <cell r="O1453" t="str">
            <v>Jabatan Kecemasan &amp; Trauma</v>
          </cell>
          <cell r="P1453" t="str">
            <v>HM</v>
          </cell>
          <cell r="Q1453">
            <v>25000</v>
          </cell>
        </row>
        <row r="1454">
          <cell r="E1454" t="str">
            <v>KKM/JKN/HSA/10-05-01/H/18/143</v>
          </cell>
          <cell r="F1454" t="str">
            <v xml:space="preserve">Diagnostic </v>
          </cell>
          <cell r="G1454" t="str">
            <v>Intermediate</v>
          </cell>
          <cell r="H1454" t="str">
            <v xml:space="preserve">Laryngoscopes, Rigid, Video </v>
          </cell>
          <cell r="I1454" t="str">
            <v>GLIDESCOPE</v>
          </cell>
          <cell r="J1454" t="str">
            <v>23-532</v>
          </cell>
          <cell r="K1454" t="str">
            <v>GLIDESCOPE SPECTRUM VL TITANUM SYSTEM</v>
          </cell>
          <cell r="L1454"/>
          <cell r="M1454" t="str">
            <v>AN184442</v>
          </cell>
          <cell r="N1454" t="str">
            <v>KECEMASAN DAN TRAUMA</v>
          </cell>
          <cell r="O1454" t="str">
            <v>Jabatan Kecemasan &amp; Trauma</v>
          </cell>
          <cell r="P1454"/>
          <cell r="Q1454">
            <v>45000</v>
          </cell>
        </row>
        <row r="1455">
          <cell r="E1455" t="str">
            <v>KKM/JKN/HSA/10-05-01/H/15/564</v>
          </cell>
          <cell r="F1455" t="str">
            <v xml:space="preserve">Diagnostic </v>
          </cell>
          <cell r="G1455" t="str">
            <v>Intermediate</v>
          </cell>
          <cell r="H1455" t="str">
            <v>Electrocardiographs, Multichannel, Interpretative</v>
          </cell>
          <cell r="I1455" t="str">
            <v>ECG RECORDER</v>
          </cell>
          <cell r="J1455" t="str">
            <v>16-231</v>
          </cell>
          <cell r="K1455" t="str">
            <v>GE HEALTHCARE</v>
          </cell>
          <cell r="L1455" t="str">
            <v>MAC 1200</v>
          </cell>
          <cell r="M1455">
            <v>550061828</v>
          </cell>
          <cell r="N1455" t="str">
            <v>KECEMASAN &amp; TRAUMA</v>
          </cell>
          <cell r="O1455" t="str">
            <v>Jabatan Kecemasan &amp; Trauma</v>
          </cell>
          <cell r="P1455" t="str">
            <v>HM</v>
          </cell>
          <cell r="Q1455">
            <v>10000</v>
          </cell>
        </row>
        <row r="1456">
          <cell r="E1456" t="str">
            <v>KKM/JKN/HSA/10-05-01/H/15/565</v>
          </cell>
          <cell r="F1456" t="str">
            <v xml:space="preserve">Diagnostic </v>
          </cell>
          <cell r="G1456" t="str">
            <v>Intermediate</v>
          </cell>
          <cell r="H1456" t="str">
            <v>Electrocardiographs, Multichannel, Interpretative</v>
          </cell>
          <cell r="I1456" t="str">
            <v>ECG RECORDER</v>
          </cell>
          <cell r="J1456" t="str">
            <v>16-231</v>
          </cell>
          <cell r="K1456" t="str">
            <v>GE HEALTHCARE</v>
          </cell>
          <cell r="L1456" t="str">
            <v>MAC 1200</v>
          </cell>
          <cell r="M1456">
            <v>550061839</v>
          </cell>
          <cell r="N1456" t="str">
            <v>KECEMASAN &amp; TRAUMA</v>
          </cell>
          <cell r="O1456" t="str">
            <v>Jabatan Kecemasan &amp; Trauma</v>
          </cell>
          <cell r="P1456" t="str">
            <v>HM</v>
          </cell>
          <cell r="Q1456">
            <v>10000</v>
          </cell>
        </row>
        <row r="1457">
          <cell r="E1457" t="str">
            <v>KKM/JKN/HSA/10-05-01/H/15/2801</v>
          </cell>
          <cell r="F1457" t="str">
            <v xml:space="preserve">Diagnostic </v>
          </cell>
          <cell r="G1457" t="str">
            <v>Intermediate</v>
          </cell>
          <cell r="H1457" t="str">
            <v>Electrocardiographs, Multichannel, Interpretative</v>
          </cell>
          <cell r="I1457" t="str">
            <v>ECG P0RTABLE MAINS/BATTERY OP</v>
          </cell>
          <cell r="J1457" t="str">
            <v>16-231</v>
          </cell>
          <cell r="K1457" t="str">
            <v>GE HEALTHCARE</v>
          </cell>
          <cell r="L1457" t="str">
            <v>MAC400</v>
          </cell>
          <cell r="M1457" t="str">
            <v>SCT 11486303PA</v>
          </cell>
          <cell r="N1457" t="str">
            <v>KECEMASAN &amp; TRAUMA</v>
          </cell>
          <cell r="O1457" t="str">
            <v>Jabatan Kecemasan &amp; Trauma</v>
          </cell>
          <cell r="P1457" t="str">
            <v>HM</v>
          </cell>
          <cell r="Q1457">
            <v>2750</v>
          </cell>
        </row>
        <row r="1458">
          <cell r="E1458" t="str">
            <v>KKM/JKN/HSA/10-05-01/H/15/2802</v>
          </cell>
          <cell r="F1458" t="str">
            <v xml:space="preserve">Diagnostic </v>
          </cell>
          <cell r="G1458" t="str">
            <v>Intermediate</v>
          </cell>
          <cell r="H1458" t="str">
            <v>Electrocardiographs, Multichannel, Interpretative</v>
          </cell>
          <cell r="I1458" t="str">
            <v>ECG P0RTABLE MAINS/BATTERY OP</v>
          </cell>
          <cell r="J1458" t="str">
            <v>16-231</v>
          </cell>
          <cell r="K1458" t="str">
            <v>GE HEALTHCARE</v>
          </cell>
          <cell r="L1458" t="str">
            <v>MAC400</v>
          </cell>
          <cell r="M1458" t="str">
            <v>SCT11486311PA</v>
          </cell>
          <cell r="N1458" t="str">
            <v>KECEMASAN &amp; TRAUMA</v>
          </cell>
          <cell r="O1458" t="str">
            <v>Jabatan Kecemasan &amp; Trauma</v>
          </cell>
          <cell r="P1458" t="str">
            <v>HM</v>
          </cell>
          <cell r="Q1458">
            <v>2750</v>
          </cell>
        </row>
        <row r="1459">
          <cell r="E1459" t="str">
            <v>KKM/JKN/HSA/10-05-01/H/17/1</v>
          </cell>
          <cell r="F1459" t="str">
            <v xml:space="preserve">Diagnostic </v>
          </cell>
          <cell r="G1459" t="str">
            <v>Intermediate</v>
          </cell>
          <cell r="H1459" t="str">
            <v>Electrocardiographs, Multichannel, Interpretative</v>
          </cell>
          <cell r="I1459" t="str">
            <v>ECG  (EKG) MACHINE/ECG 1200G</v>
          </cell>
          <cell r="J1459" t="str">
            <v>16-231</v>
          </cell>
          <cell r="K1459" t="str">
            <v xml:space="preserve"> ECG 1200G</v>
          </cell>
          <cell r="L1459"/>
          <cell r="M1459">
            <v>17070400003</v>
          </cell>
          <cell r="N1459" t="str">
            <v>KECEMASAN &amp; TRAUMA</v>
          </cell>
          <cell r="O1459" t="str">
            <v>Jabatan Kecemasan &amp; Trauma</v>
          </cell>
          <cell r="P1459" t="str">
            <v>HM</v>
          </cell>
          <cell r="Q1459">
            <v>9500</v>
          </cell>
        </row>
        <row r="1460">
          <cell r="E1460" t="str">
            <v>KKM/JKN/HSA/10-05-01/H/18/127</v>
          </cell>
          <cell r="F1460" t="str">
            <v xml:space="preserve">Diagnostic </v>
          </cell>
          <cell r="G1460" t="str">
            <v>Intermediate</v>
          </cell>
          <cell r="H1460" t="str">
            <v>Electrocardiographs, Multichannel, Interpretative</v>
          </cell>
          <cell r="I1460" t="str">
            <v>ECG  (EKG) MACHINE</v>
          </cell>
          <cell r="J1460" t="str">
            <v>16-231</v>
          </cell>
          <cell r="K1460" t="str">
            <v>NIHON KOHDEN</v>
          </cell>
          <cell r="L1460" t="str">
            <v>2250-100D</v>
          </cell>
          <cell r="M1460">
            <v>110586</v>
          </cell>
          <cell r="N1460" t="str">
            <v>KECEMASAN &amp; TRAUMA</v>
          </cell>
          <cell r="O1460" t="str">
            <v>Jabatan Kecemasan &amp; Trauma</v>
          </cell>
          <cell r="P1460" t="str">
            <v>HM</v>
          </cell>
          <cell r="Q1460">
            <v>12000</v>
          </cell>
        </row>
        <row r="1461">
          <cell r="E1461" t="str">
            <v>KKM/JKN/HSA/10-05-01/H/18/128</v>
          </cell>
          <cell r="F1461" t="str">
            <v xml:space="preserve">Diagnostic </v>
          </cell>
          <cell r="G1461" t="str">
            <v>Intermediate</v>
          </cell>
          <cell r="H1461" t="str">
            <v>Electrocardiographs, Multichannel, Interpretative</v>
          </cell>
          <cell r="I1461" t="str">
            <v>ECG  (EKG) MACHINE</v>
          </cell>
          <cell r="J1461" t="str">
            <v>16-231</v>
          </cell>
          <cell r="K1461" t="str">
            <v>NIHON KOHDEN</v>
          </cell>
          <cell r="L1461" t="str">
            <v>2250-100D</v>
          </cell>
          <cell r="M1461">
            <v>110584</v>
          </cell>
          <cell r="N1461" t="str">
            <v>KECEMASAN &amp; TRAUMA</v>
          </cell>
          <cell r="O1461" t="str">
            <v>Jabatan Kecemasan &amp; Trauma</v>
          </cell>
          <cell r="P1461" t="str">
            <v>HM</v>
          </cell>
          <cell r="Q1461">
            <v>12000</v>
          </cell>
        </row>
        <row r="1462">
          <cell r="E1462" t="str">
            <v>KKM/JKN/HSA/10-05-01/R/15/6987</v>
          </cell>
          <cell r="F1462" t="str">
            <v xml:space="preserve">Diagnostic </v>
          </cell>
          <cell r="G1462" t="str">
            <v>Intermediate</v>
          </cell>
          <cell r="H1462" t="str">
            <v>Physiologic Monitoring Systems, Acute Care</v>
          </cell>
          <cell r="I1462" t="str">
            <v>DIGITAL WRITER FOR CENTRAL STATION</v>
          </cell>
          <cell r="J1462" t="str">
            <v>12-647</v>
          </cell>
          <cell r="K1462" t="str">
            <v>MINDRAY</v>
          </cell>
          <cell r="L1462" t="str">
            <v>TR6B</v>
          </cell>
          <cell r="M1462"/>
          <cell r="N1462" t="str">
            <v>KECEMASAN &amp; TRAUMA</v>
          </cell>
          <cell r="O1462" t="str">
            <v>Jabatan Kecemasan &amp; Trauma</v>
          </cell>
          <cell r="P1462" t="str">
            <v>ABR</v>
          </cell>
          <cell r="Q1462">
            <v>1650</v>
          </cell>
        </row>
        <row r="1463">
          <cell r="E1463" t="str">
            <v>KKM/JKN/HSA/10-05-01/H/15/4908</v>
          </cell>
          <cell r="F1463" t="str">
            <v xml:space="preserve">Diagnostic </v>
          </cell>
          <cell r="G1463" t="str">
            <v>Basic</v>
          </cell>
          <cell r="H1463" t="str">
            <v>Ophthalmoscopes/Otoscopes</v>
          </cell>
          <cell r="I1463" t="str">
            <v>DIAGNOSTIC SET RECHARGABLE WALL MTD</v>
          </cell>
          <cell r="J1463" t="str">
            <v>18-595</v>
          </cell>
          <cell r="K1463" t="str">
            <v>RUDOLF RIESTER, GMBH</v>
          </cell>
          <cell r="L1463" t="str">
            <v xml:space="preserve">RI FORMER WALL MODEL </v>
          </cell>
          <cell r="M1463" t="str">
            <v>042667</v>
          </cell>
          <cell r="N1463" t="str">
            <v>KECEMASAN DAN TRAUMA</v>
          </cell>
          <cell r="O1463" t="str">
            <v>Jabatan Kecemasan &amp; Trauma</v>
          </cell>
          <cell r="P1463" t="str">
            <v>HM</v>
          </cell>
          <cell r="Q1463">
            <v>5220.1499999999996</v>
          </cell>
        </row>
        <row r="1464">
          <cell r="E1464" t="str">
            <v>KKM/JKN/HSA/10-05-01/H/15/4909</v>
          </cell>
          <cell r="F1464" t="str">
            <v xml:space="preserve">Diagnostic </v>
          </cell>
          <cell r="G1464" t="str">
            <v>Basic</v>
          </cell>
          <cell r="H1464" t="str">
            <v>Ophthalmoscopes/Otoscopes</v>
          </cell>
          <cell r="I1464" t="str">
            <v>DIAGNOSTIC SET RECHARGABLE WALL MTD</v>
          </cell>
          <cell r="J1464" t="str">
            <v>18-595</v>
          </cell>
          <cell r="K1464" t="str">
            <v>RUDOLF RIESTER, GMBH</v>
          </cell>
          <cell r="L1464" t="str">
            <v xml:space="preserve">RI FORMER WALL MODEL </v>
          </cell>
          <cell r="M1464" t="str">
            <v>042664</v>
          </cell>
          <cell r="N1464" t="str">
            <v>KECEMASAN DAN TRAUMA</v>
          </cell>
          <cell r="O1464" t="str">
            <v>Jabatan Kecemasan &amp; Trauma</v>
          </cell>
          <cell r="P1464" t="str">
            <v>HM</v>
          </cell>
          <cell r="Q1464">
            <v>5220.1499999999996</v>
          </cell>
        </row>
        <row r="1465">
          <cell r="E1465" t="str">
            <v>KKM/JKN/HSA/10-05-01/H/15/4910</v>
          </cell>
          <cell r="F1465" t="str">
            <v xml:space="preserve">Diagnostic </v>
          </cell>
          <cell r="G1465" t="str">
            <v>Basic</v>
          </cell>
          <cell r="H1465" t="str">
            <v>Ophthalmoscopes/Otoscopes</v>
          </cell>
          <cell r="I1465" t="str">
            <v>DIAGNOSTIC SET RECHARGABLE WALL MTD</v>
          </cell>
          <cell r="J1465" t="str">
            <v>18-595</v>
          </cell>
          <cell r="K1465" t="str">
            <v>RUDOLF RIESTER, GMBH</v>
          </cell>
          <cell r="L1465" t="str">
            <v xml:space="preserve">RI FORMER WALL MODEL </v>
          </cell>
          <cell r="M1465" t="str">
            <v>042665</v>
          </cell>
          <cell r="N1465" t="str">
            <v>KECEMASAN DAN TRAUMA</v>
          </cell>
          <cell r="O1465" t="str">
            <v>Jabatan Kecemasan &amp; Trauma</v>
          </cell>
          <cell r="P1465" t="str">
            <v>HM</v>
          </cell>
          <cell r="Q1465">
            <v>5220.1499999999996</v>
          </cell>
        </row>
        <row r="1466">
          <cell r="E1466" t="str">
            <v>KKM/JKN/HSA/10-05-01/H/15/4911</v>
          </cell>
          <cell r="F1466" t="str">
            <v xml:space="preserve">Diagnostic </v>
          </cell>
          <cell r="G1466" t="str">
            <v>Basic</v>
          </cell>
          <cell r="H1466" t="str">
            <v>Ophthalmoscopes/Otoscopes</v>
          </cell>
          <cell r="I1466" t="str">
            <v>DIAGNOSTIC SET RECHARGABLE WALL MTD</v>
          </cell>
          <cell r="J1466" t="str">
            <v>18-595</v>
          </cell>
          <cell r="K1466" t="str">
            <v>RUDOLF RIESTER, GMBH</v>
          </cell>
          <cell r="L1466" t="str">
            <v xml:space="preserve">RI FORMER WALL MODEL </v>
          </cell>
          <cell r="M1466" t="str">
            <v>042663</v>
          </cell>
          <cell r="N1466" t="str">
            <v>KECEMASAN DAN TRAUMA</v>
          </cell>
          <cell r="O1466" t="str">
            <v>Jabatan Kecemasan &amp; Trauma</v>
          </cell>
          <cell r="P1466" t="str">
            <v>HM</v>
          </cell>
          <cell r="Q1466">
            <v>5220.1499999999996</v>
          </cell>
        </row>
        <row r="1467">
          <cell r="E1467" t="str">
            <v>KKM/JKN/HSA/10-05-01/H/15/4912</v>
          </cell>
          <cell r="F1467" t="str">
            <v xml:space="preserve">Diagnostic </v>
          </cell>
          <cell r="G1467" t="str">
            <v>Basic</v>
          </cell>
          <cell r="H1467" t="str">
            <v>Ophthalmoscopes/Otoscopes</v>
          </cell>
          <cell r="I1467" t="str">
            <v>DIAGNOSTIC SET RECHARGABLE WALL MTD</v>
          </cell>
          <cell r="J1467" t="str">
            <v>18-595</v>
          </cell>
          <cell r="K1467" t="str">
            <v>RUDOLF RIESTER, GMBH</v>
          </cell>
          <cell r="L1467" t="str">
            <v xml:space="preserve">RI FORMER WALL MODEL </v>
          </cell>
          <cell r="M1467" t="str">
            <v>042668</v>
          </cell>
          <cell r="N1467" t="str">
            <v>KECEMASAN DAN TRAUMA</v>
          </cell>
          <cell r="O1467" t="str">
            <v>Jabatan Kecemasan &amp; Trauma</v>
          </cell>
          <cell r="P1467" t="str">
            <v>HM</v>
          </cell>
          <cell r="Q1467">
            <v>5220.1499999999996</v>
          </cell>
        </row>
        <row r="1468">
          <cell r="E1468" t="str">
            <v>KKM/JKN/HSA/10-05-01/H/15/5002</v>
          </cell>
          <cell r="F1468" t="str">
            <v xml:space="preserve">Diagnostic </v>
          </cell>
          <cell r="G1468" t="str">
            <v>Basic</v>
          </cell>
          <cell r="H1468" t="str">
            <v>Ophthalmoscopes/Otoscopes</v>
          </cell>
          <cell r="I1468" t="str">
            <v>DIAGNOSTIC SET RECHARGABLE WALL MTD</v>
          </cell>
          <cell r="J1468" t="str">
            <v>18-595</v>
          </cell>
          <cell r="K1468" t="str">
            <v>RUDOLF RIESTER, GMBH</v>
          </cell>
          <cell r="L1468" t="str">
            <v xml:space="preserve">RI FORMER WALL MODEL </v>
          </cell>
          <cell r="M1468"/>
          <cell r="N1468" t="str">
            <v>KECEMASAN DAN TRAUMA</v>
          </cell>
          <cell r="O1468" t="str">
            <v>Jabatan Kecemasan &amp; Trauma</v>
          </cell>
          <cell r="P1468" t="str">
            <v>HM</v>
          </cell>
          <cell r="Q1468">
            <v>5220.1499999999996</v>
          </cell>
        </row>
        <row r="1469">
          <cell r="E1469" t="str">
            <v>KKM/JKN/HSA/10-05-01/H/15/5003</v>
          </cell>
          <cell r="F1469" t="str">
            <v xml:space="preserve">Diagnostic </v>
          </cell>
          <cell r="G1469" t="str">
            <v>Basic</v>
          </cell>
          <cell r="H1469" t="str">
            <v>Ophthalmoscopes/Otoscopes</v>
          </cell>
          <cell r="I1469" t="str">
            <v>DIAGNOSTIC SET RECHARGABLE WALL MTD</v>
          </cell>
          <cell r="J1469" t="str">
            <v>18-595</v>
          </cell>
          <cell r="K1469" t="str">
            <v>RUDOLF RIESTER, GMBH</v>
          </cell>
          <cell r="L1469" t="str">
            <v xml:space="preserve">RI FORMER WALL MODEL </v>
          </cell>
          <cell r="M1469"/>
          <cell r="N1469" t="str">
            <v>KECEMASAN DAN TRAUMA</v>
          </cell>
          <cell r="O1469" t="str">
            <v>Jabatan Kecemasan &amp; Trauma</v>
          </cell>
          <cell r="P1469" t="str">
            <v>HM</v>
          </cell>
          <cell r="Q1469">
            <v>5220.1499999999996</v>
          </cell>
        </row>
        <row r="1470">
          <cell r="E1470" t="str">
            <v>KKM/JKN/HSA/10-05-01/R/15/6743</v>
          </cell>
          <cell r="F1470" t="str">
            <v xml:space="preserve">Diagnostic </v>
          </cell>
          <cell r="G1470" t="str">
            <v>Basic</v>
          </cell>
          <cell r="H1470" t="str">
            <v>Ophthalmoscopes/Otoscopes</v>
          </cell>
          <cell r="I1470" t="str">
            <v>DIAGNOSTIC SET PAEDIATRIC</v>
          </cell>
          <cell r="J1470" t="str">
            <v>18-595</v>
          </cell>
          <cell r="K1470" t="str">
            <v>RUDOLF RIESTER, GMBH</v>
          </cell>
          <cell r="L1470" t="str">
            <v>ECONOM XL 3.5V 2053-202</v>
          </cell>
          <cell r="M1470"/>
          <cell r="N1470" t="str">
            <v>KECEMASAN DAN TRAUMA</v>
          </cell>
          <cell r="O1470" t="str">
            <v>Jabatan Kecemasan &amp; Trauma</v>
          </cell>
          <cell r="P1470" t="str">
            <v>ABR</v>
          </cell>
          <cell r="Q1470">
            <v>1035.6500000000001</v>
          </cell>
        </row>
        <row r="1471">
          <cell r="E1471" t="str">
            <v>KKM/JKN/HSA/10-05-01/R/15/17184</v>
          </cell>
          <cell r="F1471" t="str">
            <v xml:space="preserve">Diagnostic </v>
          </cell>
          <cell r="G1471" t="str">
            <v>Basic</v>
          </cell>
          <cell r="H1471" t="str">
            <v>Ophthalmoscopes/Otoscopes</v>
          </cell>
          <cell r="I1471" t="str">
            <v>DIAGNOSTIC SET PAEDIATRIC</v>
          </cell>
          <cell r="J1471" t="str">
            <v>18-595</v>
          </cell>
          <cell r="K1471" t="str">
            <v>RUDOLF RIESTER, GMBH</v>
          </cell>
          <cell r="L1471" t="str">
            <v>ECONOM XL 3.5V 2053-216</v>
          </cell>
          <cell r="M1471"/>
          <cell r="N1471" t="str">
            <v>KECEMASAN DAN TRAUMA</v>
          </cell>
          <cell r="O1471" t="str">
            <v>Jabatan Kecemasan &amp; Trauma</v>
          </cell>
          <cell r="P1471" t="str">
            <v>ABR</v>
          </cell>
          <cell r="Q1471">
            <v>1035.6500000000001</v>
          </cell>
        </row>
        <row r="1472">
          <cell r="E1472" t="str">
            <v>KKM/JKN/HSA/10-05-01/H/15/427</v>
          </cell>
          <cell r="F1472" t="str">
            <v xml:space="preserve">Diagnostic </v>
          </cell>
          <cell r="G1472" t="str">
            <v>Basic</v>
          </cell>
          <cell r="H1472" t="str">
            <v>Ophthalmoscopes/Otoscopes</v>
          </cell>
          <cell r="I1472" t="str">
            <v>DIAGNOSTIC SET NEONATAL</v>
          </cell>
          <cell r="J1472" t="str">
            <v>18-595</v>
          </cell>
          <cell r="K1472" t="str">
            <v>RUDOLF RIESTER, GMBH</v>
          </cell>
          <cell r="L1472" t="str">
            <v>RI-SCOPE DE LUXE 3772</v>
          </cell>
          <cell r="M1472"/>
          <cell r="N1472" t="str">
            <v>KECEMASAN DAN TRAUMA</v>
          </cell>
          <cell r="O1472" t="str">
            <v>Jabatan Kecemasan &amp; Trauma</v>
          </cell>
          <cell r="P1472" t="str">
            <v>HM</v>
          </cell>
          <cell r="Q1472">
            <v>2024.23</v>
          </cell>
        </row>
        <row r="1473">
          <cell r="E1473" t="str">
            <v>KKM/JKN/HSA/10-05-01/R/15/17058</v>
          </cell>
          <cell r="F1473" t="str">
            <v xml:space="preserve">Diagnostic </v>
          </cell>
          <cell r="G1473" t="str">
            <v>Basic</v>
          </cell>
          <cell r="H1473" t="str">
            <v>Ophthalmoscopes/Otoscopes</v>
          </cell>
          <cell r="I1473" t="str">
            <v>DIAGNOSTIC SET ADULT</v>
          </cell>
          <cell r="J1473" t="str">
            <v>18-595</v>
          </cell>
          <cell r="K1473" t="str">
            <v>WELCH ALLYN</v>
          </cell>
          <cell r="L1473" t="str">
            <v>97150-BI</v>
          </cell>
          <cell r="M1473"/>
          <cell r="N1473" t="str">
            <v>KECEMASAN DAN TRAUMA</v>
          </cell>
          <cell r="O1473" t="str">
            <v>Jabatan Kecemasan &amp; Trauma</v>
          </cell>
          <cell r="P1473" t="str">
            <v>ABR</v>
          </cell>
          <cell r="Q1473">
            <v>1820</v>
          </cell>
        </row>
        <row r="1474">
          <cell r="E1474" t="str">
            <v>KKM/JKN/HSA/10-05-01/R/15/17059</v>
          </cell>
          <cell r="F1474" t="str">
            <v xml:space="preserve">Diagnostic </v>
          </cell>
          <cell r="G1474" t="str">
            <v>Basic</v>
          </cell>
          <cell r="H1474" t="str">
            <v>Ophthalmoscopes/Otoscopes</v>
          </cell>
          <cell r="I1474" t="str">
            <v>DIAGNOSTIC SET ADULT</v>
          </cell>
          <cell r="J1474" t="str">
            <v>18-595</v>
          </cell>
          <cell r="K1474" t="str">
            <v>WELCH ALLYN</v>
          </cell>
          <cell r="L1474" t="str">
            <v>97150-BI</v>
          </cell>
          <cell r="M1474"/>
          <cell r="N1474" t="str">
            <v>KECEMASAN DAN TRAUMA</v>
          </cell>
          <cell r="O1474" t="str">
            <v>Jabatan Kecemasan &amp; Trauma</v>
          </cell>
          <cell r="P1474" t="str">
            <v>ABR</v>
          </cell>
          <cell r="Q1474">
            <v>1820</v>
          </cell>
        </row>
        <row r="1475">
          <cell r="E1475" t="str">
            <v>KKM/JKN/HSA/10-05-01/R/15/17061</v>
          </cell>
          <cell r="F1475" t="str">
            <v xml:space="preserve">Diagnostic </v>
          </cell>
          <cell r="G1475" t="str">
            <v>Basic</v>
          </cell>
          <cell r="H1475" t="str">
            <v>Ophthalmoscopes/Otoscopes</v>
          </cell>
          <cell r="I1475" t="str">
            <v>DIAGNOSTIC SET ADULT</v>
          </cell>
          <cell r="J1475" t="str">
            <v>18-595</v>
          </cell>
          <cell r="K1475" t="str">
            <v>WELCH ALLYN</v>
          </cell>
          <cell r="L1475" t="str">
            <v>97150-BI</v>
          </cell>
          <cell r="M1475"/>
          <cell r="N1475" t="str">
            <v>KECEMASAN DAN TRAUMA</v>
          </cell>
          <cell r="O1475" t="str">
            <v>Jabatan Kecemasan &amp; Trauma</v>
          </cell>
          <cell r="P1475" t="str">
            <v>ABR</v>
          </cell>
          <cell r="Q1475">
            <v>1820</v>
          </cell>
        </row>
        <row r="1476">
          <cell r="E1476" t="str">
            <v>KKM/JKN/HSA/10-05-01/R/15/17062</v>
          </cell>
          <cell r="F1476" t="str">
            <v xml:space="preserve">Diagnostic </v>
          </cell>
          <cell r="G1476" t="str">
            <v>Basic</v>
          </cell>
          <cell r="H1476" t="str">
            <v>Ophthalmoscopes/Otoscopes</v>
          </cell>
          <cell r="I1476" t="str">
            <v>DIAGNOSTIC SET ADULT</v>
          </cell>
          <cell r="J1476" t="str">
            <v>18-595</v>
          </cell>
          <cell r="K1476" t="str">
            <v>WELCH ALLYN</v>
          </cell>
          <cell r="L1476" t="str">
            <v>97150-BI</v>
          </cell>
          <cell r="M1476"/>
          <cell r="N1476" t="str">
            <v>KECEMASAN DAN TRAUMA</v>
          </cell>
          <cell r="O1476" t="str">
            <v>Jabatan Kecemasan &amp; Trauma</v>
          </cell>
          <cell r="P1476" t="str">
            <v>ABR</v>
          </cell>
          <cell r="Q1476">
            <v>1820</v>
          </cell>
        </row>
        <row r="1477">
          <cell r="E1477" t="str">
            <v xml:space="preserve">KKM/JKN/HSA/10-05-01/H/15/4892 </v>
          </cell>
          <cell r="F1477" t="str">
            <v>Therapeutic</v>
          </cell>
          <cell r="G1477" t="str">
            <v>Intermediate</v>
          </cell>
          <cell r="H1477" t="str">
            <v>Chairs, Examination/Treatment, Dentistry</v>
          </cell>
          <cell r="I1477" t="str">
            <v>DENTAL CHAIR, OFFICER</v>
          </cell>
          <cell r="J1477" t="str">
            <v>10-792</v>
          </cell>
          <cell r="K1477" t="str">
            <v>TAURUS SANTE</v>
          </cell>
          <cell r="L1477" t="str">
            <v>SHINHUNG OF RAF SYNERGY</v>
          </cell>
          <cell r="M1477" t="str">
            <v>SOC1408018</v>
          </cell>
          <cell r="N1477" t="str">
            <v>KECEMASAN DAN TRAUMA</v>
          </cell>
          <cell r="O1477" t="str">
            <v>Jabatan Kecemasan &amp; Trauma</v>
          </cell>
          <cell r="P1477" t="str">
            <v>HM</v>
          </cell>
          <cell r="Q1477">
            <v>89700</v>
          </cell>
        </row>
        <row r="1478">
          <cell r="E1478" t="str">
            <v>KKM/JKN/HSA/10-05-01/H/17/6</v>
          </cell>
          <cell r="F1478" t="str">
            <v>Therapeutic</v>
          </cell>
          <cell r="G1478" t="str">
            <v>Intermediate</v>
          </cell>
          <cell r="H1478" t="str">
            <v>Defibrillator/Pacemakers, External</v>
          </cell>
          <cell r="I1478" t="str">
            <v>DEFIBRILLATOR/ZOLL/ X SERIES</v>
          </cell>
          <cell r="J1478" t="str">
            <v>17-882</v>
          </cell>
          <cell r="K1478" t="str">
            <v>ZOLL</v>
          </cell>
          <cell r="L1478" t="str">
            <v>X SERIES</v>
          </cell>
          <cell r="M1478" t="str">
            <v>AR17G025395</v>
          </cell>
          <cell r="N1478" t="str">
            <v xml:space="preserve">KECEMASAN DAN TRAUMA </v>
          </cell>
          <cell r="O1478" t="str">
            <v>Jabatan Kecemasan &amp; Trauma</v>
          </cell>
          <cell r="P1478" t="str">
            <v>HM</v>
          </cell>
          <cell r="Q1478">
            <v>59850</v>
          </cell>
        </row>
        <row r="1479">
          <cell r="E1479" t="str">
            <v>KKM/JKN/HSA/10-05-01/H/17/46</v>
          </cell>
          <cell r="F1479" t="str">
            <v>Therapeutic</v>
          </cell>
          <cell r="G1479" t="str">
            <v>Intermediate</v>
          </cell>
          <cell r="H1479" t="str">
            <v>Defibrillator/Pacemakers, External</v>
          </cell>
          <cell r="I1479" t="str">
            <v>DEFIBRILLATOR/ZOLL/ X SERIES</v>
          </cell>
          <cell r="J1479" t="str">
            <v>17-882</v>
          </cell>
          <cell r="K1479" t="str">
            <v>ZOLL</v>
          </cell>
          <cell r="L1479" t="str">
            <v>ZOOL R SERIES</v>
          </cell>
          <cell r="M1479" t="str">
            <v>AF17D065620</v>
          </cell>
          <cell r="N1479" t="str">
            <v xml:space="preserve">KECEMASAN DAN TRAUMA </v>
          </cell>
          <cell r="O1479" t="str">
            <v>Jabatan Kecemasan &amp; Trauma</v>
          </cell>
          <cell r="P1479" t="str">
            <v>HM</v>
          </cell>
          <cell r="Q1479">
            <v>39850</v>
          </cell>
        </row>
        <row r="1480">
          <cell r="E1480" t="str">
            <v>KKM/JKN/HSA/10-05-01/H/15/605</v>
          </cell>
          <cell r="F1480" t="str">
            <v>Therapeutic</v>
          </cell>
          <cell r="G1480" t="str">
            <v>Intermediate</v>
          </cell>
          <cell r="H1480" t="str">
            <v xml:space="preserve">Defibrillators, External, Automated </v>
          </cell>
          <cell r="I1480" t="str">
            <v>DEFIBRILLATOR W/INTERNAL/EXT PADDLES/PACEMAKER</v>
          </cell>
          <cell r="J1480" t="str">
            <v>17-116</v>
          </cell>
          <cell r="K1480" t="str">
            <v>PHILIPS</v>
          </cell>
          <cell r="L1480" t="str">
            <v>EFFICIA DFM100</v>
          </cell>
          <cell r="M1480" t="str">
            <v>CN32601422</v>
          </cell>
          <cell r="N1480" t="str">
            <v xml:space="preserve">KECEMASAN &amp; TRAUMA </v>
          </cell>
          <cell r="O1480" t="str">
            <v>Jabatan Kecemasan &amp; Trauma</v>
          </cell>
          <cell r="P1480" t="str">
            <v>HM</v>
          </cell>
          <cell r="Q1480">
            <v>18250</v>
          </cell>
        </row>
        <row r="1481">
          <cell r="E1481" t="str">
            <v>KKM/JKN/HSA/10-05-01/H/15/2807</v>
          </cell>
          <cell r="F1481" t="str">
            <v>Therapeutic</v>
          </cell>
          <cell r="G1481" t="str">
            <v>Intermediate</v>
          </cell>
          <cell r="H1481" t="str">
            <v xml:space="preserve">Defibrillators, External, Automated </v>
          </cell>
          <cell r="I1481" t="str">
            <v>DEFIBRILLATOR W/INTERNAL/EXT PADDLES/PACEMAKER</v>
          </cell>
          <cell r="J1481" t="str">
            <v>17-116</v>
          </cell>
          <cell r="K1481" t="str">
            <v>PHILIPS</v>
          </cell>
          <cell r="L1481" t="str">
            <v>EFFICIA DFM100</v>
          </cell>
          <cell r="M1481" t="str">
            <v>CN32601424</v>
          </cell>
          <cell r="N1481" t="str">
            <v xml:space="preserve">KECEMASAN &amp; TRAUMA </v>
          </cell>
          <cell r="O1481" t="str">
            <v>Jabatan Kecemasan &amp; Trauma</v>
          </cell>
          <cell r="P1481" t="str">
            <v>HM</v>
          </cell>
          <cell r="Q1481">
            <v>14250</v>
          </cell>
        </row>
        <row r="1482">
          <cell r="E1482" t="str">
            <v>KKM/JKN/HSA/10-05-01/H/15/3659</v>
          </cell>
          <cell r="F1482" t="str">
            <v>Therapeutic</v>
          </cell>
          <cell r="G1482" t="str">
            <v>Intermediate</v>
          </cell>
          <cell r="H1482" t="str">
            <v xml:space="preserve">Defibrillators, External, Automated </v>
          </cell>
          <cell r="I1482" t="str">
            <v>DEFIBRILLATOR W/INTERNAL/EXT PADDLES/PACEMAKER</v>
          </cell>
          <cell r="J1482" t="str">
            <v>17-116</v>
          </cell>
          <cell r="K1482" t="str">
            <v>PHILIPS</v>
          </cell>
          <cell r="L1482" t="str">
            <v>EFFICIA DFM100</v>
          </cell>
          <cell r="M1482" t="str">
            <v>CN32601439</v>
          </cell>
          <cell r="N1482" t="str">
            <v xml:space="preserve">KECEMASAN &amp; TRAUMA </v>
          </cell>
          <cell r="O1482" t="str">
            <v>Jabatan Kecemasan &amp; Trauma</v>
          </cell>
          <cell r="P1482" t="str">
            <v>HM</v>
          </cell>
          <cell r="Q1482">
            <v>14250</v>
          </cell>
        </row>
        <row r="1483">
          <cell r="E1483" t="str">
            <v>KKM/JKN/HSA/10-05-01/H/15/3660</v>
          </cell>
          <cell r="F1483" t="str">
            <v>Therapeutic</v>
          </cell>
          <cell r="G1483" t="str">
            <v>Intermediate</v>
          </cell>
          <cell r="H1483" t="str">
            <v xml:space="preserve">Defibrillators, External, Automated </v>
          </cell>
          <cell r="I1483" t="str">
            <v>DEFIBRILLATOR W/INTERNAL/EXT PADDLES/PACEMAKER</v>
          </cell>
          <cell r="J1483" t="str">
            <v>17-116</v>
          </cell>
          <cell r="K1483" t="str">
            <v>PHILIPS</v>
          </cell>
          <cell r="L1483" t="str">
            <v>EFFICIA DFM100</v>
          </cell>
          <cell r="M1483" t="str">
            <v>CN32601432</v>
          </cell>
          <cell r="N1483" t="str">
            <v xml:space="preserve">KECEMASAN &amp; TRAUMA </v>
          </cell>
          <cell r="O1483" t="str">
            <v>Jabatan Kecemasan &amp; Trauma</v>
          </cell>
          <cell r="P1483" t="str">
            <v>HM</v>
          </cell>
          <cell r="Q1483">
            <v>14250</v>
          </cell>
        </row>
        <row r="1484">
          <cell r="E1484" t="str">
            <v>KKM/JKN/HSA/10-05-01/H/15/3661</v>
          </cell>
          <cell r="F1484" t="str">
            <v>Therapeutic</v>
          </cell>
          <cell r="G1484" t="str">
            <v>Intermediate</v>
          </cell>
          <cell r="H1484" t="str">
            <v xml:space="preserve">Defibrillators, External, Automated </v>
          </cell>
          <cell r="I1484" t="str">
            <v>DEFIBRILLATOR W/INTERNAL/EXT PADDLES/PACEMAKER</v>
          </cell>
          <cell r="J1484" t="str">
            <v>17-116</v>
          </cell>
          <cell r="K1484" t="str">
            <v>PHILIPS</v>
          </cell>
          <cell r="L1484" t="str">
            <v>EFFICIA DFM100</v>
          </cell>
          <cell r="M1484" t="str">
            <v>CN32601421</v>
          </cell>
          <cell r="N1484" t="str">
            <v xml:space="preserve">KECEMASAN &amp; TRAUMA </v>
          </cell>
          <cell r="O1484" t="str">
            <v>Jabatan Kecemasan &amp; Trauma</v>
          </cell>
          <cell r="P1484" t="str">
            <v>HM</v>
          </cell>
          <cell r="Q1484">
            <v>14250</v>
          </cell>
        </row>
        <row r="1485">
          <cell r="E1485" t="str">
            <v>KKM/JKN/HSA/10-05-01/H/16/122</v>
          </cell>
          <cell r="F1485" t="str">
            <v>Therapeutic</v>
          </cell>
          <cell r="G1485" t="str">
            <v>Intermediate</v>
          </cell>
          <cell r="H1485" t="str">
            <v>Defibrillators, External, Manual</v>
          </cell>
          <cell r="I1485" t="str">
            <v>DEFIBRILLATOR</v>
          </cell>
          <cell r="J1485" t="str">
            <v>11-134</v>
          </cell>
          <cell r="K1485" t="str">
            <v>PHILIPS</v>
          </cell>
          <cell r="L1485" t="str">
            <v>HEARTSTART MRX (M3535A)</v>
          </cell>
          <cell r="M1485" t="str">
            <v>US00602236</v>
          </cell>
          <cell r="N1485" t="str">
            <v xml:space="preserve">KECEMASAN DAN TRAUMA </v>
          </cell>
          <cell r="O1485" t="str">
            <v>Jabatan Kecemasan &amp; Trauma</v>
          </cell>
          <cell r="P1485" t="str">
            <v>HM</v>
          </cell>
          <cell r="Q1485">
            <v>44900</v>
          </cell>
        </row>
        <row r="1486">
          <cell r="E1486" t="str">
            <v xml:space="preserve">KKM/JKN/HSA/10-05-01/H/15/4893 </v>
          </cell>
          <cell r="F1486" t="str">
            <v>Therapeutic</v>
          </cell>
          <cell r="G1486" t="str">
            <v>Basic</v>
          </cell>
          <cell r="H1486" t="str">
            <v>Compressors, Medical-Air</v>
          </cell>
          <cell r="I1486" t="str">
            <v>COMPRESSOR AIR (DENTAL)</v>
          </cell>
          <cell r="J1486" t="str">
            <v>10-972</v>
          </cell>
          <cell r="K1486" t="str">
            <v>DURR DENTAL AG</v>
          </cell>
          <cell r="L1486" t="str">
            <v>TORNADO 2 WITH MEMBRANE DRYER</v>
          </cell>
          <cell r="M1486" t="str">
            <v>E258933042</v>
          </cell>
          <cell r="N1486" t="str">
            <v>KECEMASAN DAN TRAUMA</v>
          </cell>
          <cell r="O1486" t="str">
            <v>Jabatan Kecemasan &amp; Trauma</v>
          </cell>
          <cell r="P1486" t="str">
            <v>HM</v>
          </cell>
          <cell r="Q1486">
            <v>13000</v>
          </cell>
        </row>
        <row r="1487">
          <cell r="E1487" t="str">
            <v>KKM/JKN/HSA/10-05-01/H/15/879</v>
          </cell>
          <cell r="F1487" t="str">
            <v xml:space="preserve">Diagnostic </v>
          </cell>
          <cell r="G1487" t="str">
            <v>Intermediate</v>
          </cell>
          <cell r="H1487" t="str">
            <v>Physiologic Monitoring Systems, Acute Care</v>
          </cell>
          <cell r="I1487" t="str">
            <v>CENTRAL STATION, RESUSCITATION</v>
          </cell>
          <cell r="J1487" t="str">
            <v>12-647</v>
          </cell>
          <cell r="K1487" t="str">
            <v>MINDRAY</v>
          </cell>
          <cell r="L1487" t="str">
            <v>HYPERVISOR VI</v>
          </cell>
          <cell r="M1487" t="str">
            <v>4CV4122BUB</v>
          </cell>
          <cell r="N1487" t="str">
            <v>KECEMASAN &amp; TRAUMA</v>
          </cell>
          <cell r="O1487" t="str">
            <v>Jabatan Kecemasan &amp; Trauma</v>
          </cell>
          <cell r="P1487" t="str">
            <v>HM</v>
          </cell>
          <cell r="Q1487">
            <v>73700</v>
          </cell>
        </row>
        <row r="1488">
          <cell r="E1488" t="str">
            <v>KKM/JKN/HSA/10-05-01/H/15/5034</v>
          </cell>
          <cell r="F1488" t="str">
            <v>Therapeutic</v>
          </cell>
          <cell r="G1488" t="str">
            <v>Basic</v>
          </cell>
          <cell r="H1488" t="str">
            <v>Warming Units, Blood/Solution</v>
          </cell>
          <cell r="I1488" t="str">
            <v>BLOOD WARMER DRY (WARM ON TUBING)</v>
          </cell>
          <cell r="J1488" t="str">
            <v>10-447</v>
          </cell>
          <cell r="K1488" t="str">
            <v>ANIMEC AM301</v>
          </cell>
          <cell r="L1488" t="str">
            <v>ELLTEC</v>
          </cell>
          <cell r="M1488" t="str">
            <v>2015M0060</v>
          </cell>
          <cell r="N1488" t="str">
            <v>KECEMASAN DAN TRAUMA</v>
          </cell>
          <cell r="O1488" t="str">
            <v>Jabatan Kecemasan &amp; Trauma</v>
          </cell>
          <cell r="P1488" t="str">
            <v>HM</v>
          </cell>
          <cell r="Q1488">
            <v>18304</v>
          </cell>
        </row>
        <row r="1489">
          <cell r="E1489" t="str">
            <v>KKM/JKN/HSA/10-05-01/H/15/5035</v>
          </cell>
          <cell r="F1489" t="str">
            <v>Therapeutic</v>
          </cell>
          <cell r="G1489" t="str">
            <v>Basic</v>
          </cell>
          <cell r="H1489" t="str">
            <v>Warming Units, Blood/Solution</v>
          </cell>
          <cell r="I1489" t="str">
            <v>BLOOD WARMER DRY (WARM ON TUBING)</v>
          </cell>
          <cell r="J1489" t="str">
            <v>10-447</v>
          </cell>
          <cell r="K1489" t="str">
            <v>ANIMEC AM301</v>
          </cell>
          <cell r="L1489" t="str">
            <v>ELLTEC</v>
          </cell>
          <cell r="M1489" t="str">
            <v>2015M0058</v>
          </cell>
          <cell r="N1489" t="str">
            <v>KECEMASAN DAN TRAUMA</v>
          </cell>
          <cell r="O1489" t="str">
            <v>Jabatan Kecemasan &amp; Trauma</v>
          </cell>
          <cell r="P1489" t="str">
            <v>HM</v>
          </cell>
          <cell r="Q1489">
            <v>18304</v>
          </cell>
        </row>
        <row r="1490">
          <cell r="E1490" t="str">
            <v>KKM/JKN/HSA/10-05-01/H/15/5036</v>
          </cell>
          <cell r="F1490" t="str">
            <v>Therapeutic</v>
          </cell>
          <cell r="G1490" t="str">
            <v>Basic</v>
          </cell>
          <cell r="H1490" t="str">
            <v>Warming Units, Blood/Solution</v>
          </cell>
          <cell r="I1490" t="str">
            <v>BLOOD WARMER DRY (WARM ON TUBING)</v>
          </cell>
          <cell r="J1490" t="str">
            <v>10-447</v>
          </cell>
          <cell r="K1490" t="str">
            <v>ANIMEC AM301</v>
          </cell>
          <cell r="L1490" t="str">
            <v>ELLTEC</v>
          </cell>
          <cell r="M1490" t="str">
            <v>2015M0057</v>
          </cell>
          <cell r="N1490" t="str">
            <v>KECEMASAN DAN TRAUMA</v>
          </cell>
          <cell r="O1490" t="str">
            <v>Jabatan Kecemasan &amp; Trauma</v>
          </cell>
          <cell r="P1490" t="str">
            <v>HM</v>
          </cell>
          <cell r="Q1490">
            <v>18304</v>
          </cell>
        </row>
        <row r="1491">
          <cell r="E1491" t="str">
            <v>KKM/JKN/HSA/10-05-01/H/17/44</v>
          </cell>
          <cell r="F1491" t="str">
            <v xml:space="preserve">Diagnostic </v>
          </cell>
          <cell r="G1491" t="str">
            <v>Basic</v>
          </cell>
          <cell r="H1491" t="str">
            <v>Sphygmomanometers, Electronic, Automatic</v>
          </cell>
          <cell r="I1491" t="str">
            <v>BLOOD PRESURE MONITOR MACHINE</v>
          </cell>
          <cell r="J1491" t="str">
            <v>16-173</v>
          </cell>
          <cell r="K1491" t="str">
            <v xml:space="preserve">WELCH ALLYN </v>
          </cell>
          <cell r="L1491" t="str">
            <v>7000-APM / RX ONLY</v>
          </cell>
          <cell r="M1491" t="str">
            <v>(21)100035674116</v>
          </cell>
          <cell r="N1491" t="str">
            <v>KECEMASAN &amp; TRAUMA</v>
          </cell>
          <cell r="O1491" t="str">
            <v>Jabatan Kecemasan &amp; Trauma</v>
          </cell>
          <cell r="P1491" t="str">
            <v>HM</v>
          </cell>
          <cell r="Q1491">
            <v>5795</v>
          </cell>
        </row>
        <row r="1492">
          <cell r="E1492" t="str">
            <v>KKM/JKN/HSA/10-05-01/H/17/45</v>
          </cell>
          <cell r="F1492" t="str">
            <v xml:space="preserve">Diagnostic </v>
          </cell>
          <cell r="G1492" t="str">
            <v>Basic</v>
          </cell>
          <cell r="H1492" t="str">
            <v>Sphygmomanometers, Electronic, Automatic</v>
          </cell>
          <cell r="I1492" t="str">
            <v>BLOOD PRESURE MONITOR MACHINE</v>
          </cell>
          <cell r="J1492" t="str">
            <v>16-173</v>
          </cell>
          <cell r="K1492" t="str">
            <v xml:space="preserve">WELCH ALLYN </v>
          </cell>
          <cell r="L1492" t="str">
            <v>7000-APM / RX ONLY</v>
          </cell>
          <cell r="M1492" t="str">
            <v>(21)100032494016</v>
          </cell>
          <cell r="N1492" t="str">
            <v>KECEMASAN &amp; TRAUMA</v>
          </cell>
          <cell r="O1492" t="str">
            <v>Jabatan Kecemasan &amp; Trauma</v>
          </cell>
          <cell r="P1492" t="str">
            <v>HM</v>
          </cell>
          <cell r="Q1492">
            <v>5795</v>
          </cell>
        </row>
        <row r="1493">
          <cell r="E1493" t="str">
            <v>KKM/JKN/HSA/10-05-01/H/18/145</v>
          </cell>
          <cell r="F1493" t="str">
            <v>Therapeutic</v>
          </cell>
          <cell r="G1493" t="str">
            <v>Basic</v>
          </cell>
          <cell r="H1493" t="str">
            <v>Resuscitators, Pulmonary, Pneumatic</v>
          </cell>
          <cell r="I1493" t="str">
            <v>AUTOPULSE MECHANICAL CPR SYSTEM</v>
          </cell>
          <cell r="J1493" t="str">
            <v>13-366</v>
          </cell>
          <cell r="K1493"/>
          <cell r="L1493"/>
          <cell r="M1493">
            <v>41889</v>
          </cell>
          <cell r="N1493" t="str">
            <v>KECEMASAN &amp; TRAUMA</v>
          </cell>
          <cell r="O1493" t="str">
            <v>Jabatan Kecemasan &amp; Trauma</v>
          </cell>
          <cell r="P1493" t="str">
            <v>HM</v>
          </cell>
          <cell r="Q1493">
            <v>50000</v>
          </cell>
        </row>
        <row r="1494">
          <cell r="E1494" t="str">
            <v>KKM/JKN/HSA/10-05-01/H/17/41</v>
          </cell>
          <cell r="F1494" t="str">
            <v>Therapeutic</v>
          </cell>
          <cell r="G1494" t="str">
            <v>Intermediate</v>
          </cell>
          <cell r="H1494" t="str">
            <v xml:space="preserve">Defibrillators, External, Automated </v>
          </cell>
          <cell r="I1494" t="str">
            <v>AUTOMATIC EXTERNAL DEFIBRILLATOR</v>
          </cell>
          <cell r="J1494" t="str">
            <v>17-116</v>
          </cell>
          <cell r="K1494" t="str">
            <v>SAVER ONE</v>
          </cell>
          <cell r="L1494" t="str">
            <v>SAVER ONE SVD-B004</v>
          </cell>
          <cell r="M1494" t="str">
            <v>26SD005061700052</v>
          </cell>
          <cell r="N1494" t="str">
            <v xml:space="preserve">KECEMASAN DAN TRAUMA </v>
          </cell>
          <cell r="O1494" t="str">
            <v>Jabatan Kecemasan &amp; Trauma</v>
          </cell>
          <cell r="P1494" t="str">
            <v>HM</v>
          </cell>
          <cell r="Q1494">
            <v>7000</v>
          </cell>
        </row>
        <row r="1495">
          <cell r="E1495" t="str">
            <v>KKM/JKN/HSA/10-05-01/H/17/42</v>
          </cell>
          <cell r="F1495" t="str">
            <v>Therapeutic</v>
          </cell>
          <cell r="G1495" t="str">
            <v>Intermediate</v>
          </cell>
          <cell r="H1495" t="str">
            <v xml:space="preserve">Defibrillators, External, Automated </v>
          </cell>
          <cell r="I1495" t="str">
            <v>AUTOMATIC EXTERNAL DEFIBRILLATOR</v>
          </cell>
          <cell r="J1495" t="str">
            <v>17-116</v>
          </cell>
          <cell r="K1495" t="str">
            <v>SAVER ONE</v>
          </cell>
          <cell r="L1495" t="str">
            <v>SAVER ONE SVD-B004</v>
          </cell>
          <cell r="M1495" t="str">
            <v>26SD005061700054</v>
          </cell>
          <cell r="N1495" t="str">
            <v xml:space="preserve">KECEMASAN DAN TRAUMA </v>
          </cell>
          <cell r="O1495" t="str">
            <v>Jabatan Kecemasan &amp; Trauma</v>
          </cell>
          <cell r="P1495" t="str">
            <v>HM</v>
          </cell>
          <cell r="Q1495">
            <v>7000</v>
          </cell>
        </row>
        <row r="1496">
          <cell r="E1496" t="str">
            <v>KKM/JKN/HSA/10-05-01/H/15/4870</v>
          </cell>
          <cell r="F1496" t="str">
            <v>Therapeutic</v>
          </cell>
          <cell r="G1496" t="str">
            <v>Basic</v>
          </cell>
          <cell r="H1496" t="str">
            <v>Training Manikins, Cardiopulmonary Resuscitation</v>
          </cell>
          <cell r="I1496" t="str">
            <v>ASR SIMULATOR MANNEQUIN WITH MONITOR</v>
          </cell>
          <cell r="J1496" t="str">
            <v>15-309</v>
          </cell>
          <cell r="K1496" t="str">
            <v>LAERDAL</v>
          </cell>
          <cell r="L1496" t="str">
            <v>205-05050</v>
          </cell>
          <cell r="M1496"/>
          <cell r="N1496" t="str">
            <v>KECEMASAN &amp; TRAUMA</v>
          </cell>
          <cell r="O1496" t="str">
            <v>Jabatan Kecemasan &amp; Trauma</v>
          </cell>
          <cell r="P1496" t="str">
            <v>HM</v>
          </cell>
          <cell r="Q1496">
            <v>28532.400000000001</v>
          </cell>
        </row>
        <row r="1497">
          <cell r="E1497" t="str">
            <v xml:space="preserve">KKM/JKN/HSA/10-05-01/H/15/2804 </v>
          </cell>
          <cell r="F1497" t="str">
            <v>Therapeutic</v>
          </cell>
          <cell r="G1497" t="str">
            <v>Basic</v>
          </cell>
          <cell r="H1497" t="str">
            <v>Analgesia Units, Inhalation</v>
          </cell>
          <cell r="I1497" t="str">
            <v>ANALGESIA UNIT 2 GAS</v>
          </cell>
          <cell r="J1497" t="str">
            <v>16-953</v>
          </cell>
          <cell r="K1497" t="str">
            <v>BOC MDICAL</v>
          </cell>
          <cell r="L1497"/>
          <cell r="M1497" t="str">
            <v>ENTONOX DEMAND VALVE</v>
          </cell>
          <cell r="N1497" t="str">
            <v>KECEMASAN &amp; TRAUMA</v>
          </cell>
          <cell r="O1497" t="str">
            <v>Jabatan Kecemasan &amp; Trauma</v>
          </cell>
          <cell r="P1497" t="str">
            <v>HM</v>
          </cell>
          <cell r="Q1497">
            <v>3500</v>
          </cell>
        </row>
        <row r="1498">
          <cell r="E1498"/>
          <cell r="F1498" t="str">
            <v>Therapeutic</v>
          </cell>
          <cell r="G1498" t="str">
            <v>Basic</v>
          </cell>
          <cell r="H1498" t="str">
            <v>Analgesia Units, Inhalation</v>
          </cell>
          <cell r="I1498" t="str">
            <v>ANALGESIA UNIT 2 GAS</v>
          </cell>
          <cell r="J1498" t="str">
            <v>16-953</v>
          </cell>
          <cell r="K1498" t="str">
            <v>BOC MDICAL</v>
          </cell>
          <cell r="L1498"/>
          <cell r="M1498" t="str">
            <v>ENTONOX DEMAND VALVE</v>
          </cell>
          <cell r="N1498" t="str">
            <v>KECEMASAN &amp; TRAUMA</v>
          </cell>
          <cell r="O1498" t="str">
            <v>Jabatan Kecemasan &amp; Trauma</v>
          </cell>
          <cell r="P1498" t="str">
            <v>HM</v>
          </cell>
          <cell r="Q1498">
            <v>3500</v>
          </cell>
        </row>
        <row r="1499">
          <cell r="E1499"/>
          <cell r="F1499" t="str">
            <v>Laboratory</v>
          </cell>
          <cell r="G1499" t="str">
            <v>Basic</v>
          </cell>
          <cell r="H1499" t="str">
            <v>Water Purification Systems, Deionization</v>
          </cell>
          <cell r="I1499" t="str">
            <v>WATER PURIFICATION SYSTEMS, DEIONIZATION</v>
          </cell>
          <cell r="J1499" t="str">
            <v>14-435</v>
          </cell>
          <cell r="K1499" t="str">
            <v>ELGA</v>
          </cell>
          <cell r="L1499" t="str">
            <v>B118/A</v>
          </cell>
          <cell r="M1499" t="str">
            <v>MET0002270</v>
          </cell>
          <cell r="N1499" t="str">
            <v>JABATAN BEKALAN BAHAN STERIL (CSSD)</v>
          </cell>
          <cell r="O1499" t="str">
            <v>Jabatan Bekalan Bahan Steril (CSSD)</v>
          </cell>
          <cell r="P1499" t="str">
            <v>HM</v>
          </cell>
          <cell r="Q1499">
            <v>6000</v>
          </cell>
        </row>
        <row r="1500">
          <cell r="E1500"/>
          <cell r="F1500" t="str">
            <v>Laboratory</v>
          </cell>
          <cell r="G1500" t="str">
            <v>Basic</v>
          </cell>
          <cell r="H1500" t="str">
            <v>Water Purification Systems, Deionization</v>
          </cell>
          <cell r="I1500" t="str">
            <v>WATER PURIFICATION SYSTEMS, DEIONIZATION</v>
          </cell>
          <cell r="J1500" t="str">
            <v>14-435</v>
          </cell>
          <cell r="K1500" t="str">
            <v>ELGA</v>
          </cell>
          <cell r="L1500" t="str">
            <v>B118/A</v>
          </cell>
          <cell r="M1500" t="str">
            <v>MET00002268</v>
          </cell>
          <cell r="N1500" t="str">
            <v>JABATAN BEKALAN BAHAN STERIL (CSSD)</v>
          </cell>
          <cell r="O1500" t="str">
            <v>Jabatan Bekalan Bahan Steril (CSSD)</v>
          </cell>
          <cell r="P1500" t="str">
            <v>HM</v>
          </cell>
          <cell r="Q1500">
            <v>6000</v>
          </cell>
        </row>
        <row r="1501">
          <cell r="E1501" t="str">
            <v>KKM/JKN/HSA/10-05-01/H/15/448</v>
          </cell>
          <cell r="F1501" t="str">
            <v>Therapeutic</v>
          </cell>
          <cell r="G1501" t="str">
            <v>Intermediate</v>
          </cell>
          <cell r="H1501" t="str">
            <v>Infusion Pumps, Syringe</v>
          </cell>
          <cell r="I1501" t="str">
            <v>PUMP SYRINGE BASIC DOSE RATE (STAND ALONE)</v>
          </cell>
          <cell r="J1501" t="str">
            <v>13-217</v>
          </cell>
          <cell r="K1501" t="str">
            <v>FRESENIUS KABI</v>
          </cell>
          <cell r="L1501" t="str">
            <v>INJECTOMAT MC AGILIA</v>
          </cell>
          <cell r="M1501" t="str">
            <v>018130/22231836</v>
          </cell>
          <cell r="N1501" t="str">
            <v>ANESTESIOLOGI</v>
          </cell>
          <cell r="O1501" t="str">
            <v>Jabatan Anaesthesia</v>
          </cell>
          <cell r="P1501" t="str">
            <v>HM</v>
          </cell>
          <cell r="Q1501">
            <v>4300</v>
          </cell>
        </row>
        <row r="1502">
          <cell r="E1502" t="str">
            <v>KKM/JKN/HSA/10-05-01/H/15/450</v>
          </cell>
          <cell r="F1502" t="str">
            <v>Therapeutic</v>
          </cell>
          <cell r="G1502" t="str">
            <v>Intermediate</v>
          </cell>
          <cell r="H1502" t="str">
            <v>Infusion Pumps, Syringe</v>
          </cell>
          <cell r="I1502" t="str">
            <v>PUMP SYRINGE BASIC DOSE RATE (STAND ALONE)</v>
          </cell>
          <cell r="J1502" t="str">
            <v>13-217</v>
          </cell>
          <cell r="K1502" t="str">
            <v>FRESENIUS KABI</v>
          </cell>
          <cell r="L1502" t="str">
            <v>INJECTOMAT MC AGILIA</v>
          </cell>
          <cell r="M1502" t="str">
            <v>01830/22231686</v>
          </cell>
          <cell r="N1502" t="str">
            <v>ANESTESIOLOGI</v>
          </cell>
          <cell r="O1502" t="str">
            <v>Jabatan Anaesthesia</v>
          </cell>
          <cell r="P1502" t="str">
            <v>HM</v>
          </cell>
          <cell r="Q1502">
            <v>4300</v>
          </cell>
        </row>
        <row r="1503">
          <cell r="E1503" t="str">
            <v>KKM/JKN/HSA/10-05-01/H/15/451</v>
          </cell>
          <cell r="F1503" t="str">
            <v>Therapeutic</v>
          </cell>
          <cell r="G1503" t="str">
            <v>Intermediate</v>
          </cell>
          <cell r="H1503" t="str">
            <v>Infusion Pumps, Syringe</v>
          </cell>
          <cell r="I1503" t="str">
            <v>PUMP SYRINGE BASIC DOSE RATE (STAND ALONE)</v>
          </cell>
          <cell r="J1503" t="str">
            <v>13-217</v>
          </cell>
          <cell r="K1503" t="str">
            <v>FRESENIUS KABI</v>
          </cell>
          <cell r="L1503" t="str">
            <v>INJECTOMAT MC AGILIA</v>
          </cell>
          <cell r="M1503" t="str">
            <v>018130/22231639</v>
          </cell>
          <cell r="N1503" t="str">
            <v>ANESTESIOLOGI</v>
          </cell>
          <cell r="O1503" t="str">
            <v>Jabatan Anaesthesia</v>
          </cell>
          <cell r="P1503" t="str">
            <v>HM</v>
          </cell>
          <cell r="Q1503">
            <v>4300</v>
          </cell>
        </row>
        <row r="1504">
          <cell r="E1504" t="str">
            <v>KKM/JKN/HSA/10-05-01/H/15/2435</v>
          </cell>
          <cell r="F1504" t="str">
            <v>Therapeutic</v>
          </cell>
          <cell r="G1504" t="str">
            <v>Basic</v>
          </cell>
          <cell r="H1504" t="str">
            <v>Warming Units, Patient, Forced-Air</v>
          </cell>
          <cell r="I1504" t="str">
            <v>WARMER, CONVECTIVE AIR</v>
          </cell>
          <cell r="J1504" t="str">
            <v>17-950</v>
          </cell>
          <cell r="K1504" t="str">
            <v>CARE ESSENTIAL PTE</v>
          </cell>
          <cell r="L1504" t="str">
            <v>CWS4000</v>
          </cell>
          <cell r="M1504"/>
          <cell r="N1504" t="str">
            <v>ANESTESIOLOGI</v>
          </cell>
          <cell r="O1504" t="str">
            <v>High Dependency Ward (HDW)</v>
          </cell>
          <cell r="P1504" t="str">
            <v>HM</v>
          </cell>
          <cell r="Q1504">
            <v>6560</v>
          </cell>
        </row>
        <row r="1505">
          <cell r="E1505" t="str">
            <v>KKM/JKN/HSA/10-05-01/H/15/304</v>
          </cell>
          <cell r="F1505" t="str">
            <v>Therapeutic</v>
          </cell>
          <cell r="G1505" t="str">
            <v>Intermediate</v>
          </cell>
          <cell r="H1505" t="str">
            <v>Ventilators, TransP0rt</v>
          </cell>
          <cell r="I1505" t="str">
            <v>VENTILATOR P0RTABLE (ADULT/PAED)</v>
          </cell>
          <cell r="J1505" t="str">
            <v>18-098</v>
          </cell>
          <cell r="K1505" t="str">
            <v>DRAEGER</v>
          </cell>
          <cell r="L1505" t="str">
            <v>OXYLOG 3000 PLUS</v>
          </cell>
          <cell r="M1505" t="str">
            <v>ASEJ-0135</v>
          </cell>
          <cell r="N1505" t="str">
            <v>ANESTESIOLOGI</v>
          </cell>
          <cell r="O1505" t="str">
            <v>High Dependency Ward (HDW)</v>
          </cell>
          <cell r="P1505" t="str">
            <v>HM</v>
          </cell>
          <cell r="Q1505">
            <v>40000</v>
          </cell>
        </row>
        <row r="1506">
          <cell r="E1506" t="str">
            <v>KKM/JKN/HSA/10-05-01/H/15/305</v>
          </cell>
          <cell r="F1506" t="str">
            <v>Therapeutic</v>
          </cell>
          <cell r="G1506" t="str">
            <v>Intermediate</v>
          </cell>
          <cell r="H1506" t="str">
            <v>Ventilators, TransP0rt</v>
          </cell>
          <cell r="I1506" t="str">
            <v>VENTILATOR P0RTABLE (ADULT/PAED)</v>
          </cell>
          <cell r="J1506" t="str">
            <v>18-098</v>
          </cell>
          <cell r="K1506" t="str">
            <v>DRAEGER</v>
          </cell>
          <cell r="L1506" t="str">
            <v>OXYLOG 3000 PLUS</v>
          </cell>
          <cell r="M1506" t="str">
            <v>ASEJ-0137</v>
          </cell>
          <cell r="N1506" t="str">
            <v>ANESTESIOLOGI</v>
          </cell>
          <cell r="O1506" t="str">
            <v>High Dependency Ward (HDW)</v>
          </cell>
          <cell r="P1506" t="str">
            <v>HM</v>
          </cell>
          <cell r="Q1506">
            <v>40000</v>
          </cell>
        </row>
        <row r="1507">
          <cell r="E1507" t="str">
            <v>KKM/JKN/HSA/10-05-01/H/15/315</v>
          </cell>
          <cell r="F1507" t="str">
            <v>Therapeutic</v>
          </cell>
          <cell r="G1507" t="str">
            <v>Intermediate</v>
          </cell>
          <cell r="H1507" t="str">
            <v>Ventilators, Intensive Care, Adult</v>
          </cell>
          <cell r="I1507" t="str">
            <v>VENTILATOR INTENSIVE CARE(CCU/HDU/E&amp;T/BURN)</v>
          </cell>
          <cell r="J1507" t="str">
            <v>18-792</v>
          </cell>
          <cell r="K1507" t="str">
            <v>DRAEGER</v>
          </cell>
          <cell r="L1507" t="str">
            <v>SAVINA 300</v>
          </cell>
          <cell r="M1507" t="str">
            <v>ASHC0084</v>
          </cell>
          <cell r="N1507" t="str">
            <v>ANESTESIOLOGI</v>
          </cell>
          <cell r="O1507" t="str">
            <v>High Dependency Ward (HDW)</v>
          </cell>
          <cell r="P1507" t="str">
            <v>HM</v>
          </cell>
          <cell r="Q1507">
            <v>50000</v>
          </cell>
        </row>
        <row r="1508">
          <cell r="E1508" t="str">
            <v>KKM/JKN/HSA/10-05-01/H/15/316</v>
          </cell>
          <cell r="F1508" t="str">
            <v>Therapeutic</v>
          </cell>
          <cell r="G1508" t="str">
            <v>Intermediate</v>
          </cell>
          <cell r="H1508" t="str">
            <v>Ventilators, Intensive Care, Adult</v>
          </cell>
          <cell r="I1508" t="str">
            <v>VENTILATOR INTENSIVE CARE(CCU/HDU/E&amp;T/BURN)</v>
          </cell>
          <cell r="J1508" t="str">
            <v>18-792</v>
          </cell>
          <cell r="K1508" t="str">
            <v>DRAEGER</v>
          </cell>
          <cell r="L1508" t="str">
            <v>SAVINA 300</v>
          </cell>
          <cell r="M1508" t="str">
            <v>ASHD0027</v>
          </cell>
          <cell r="N1508" t="str">
            <v>ANESTESIOLOGI</v>
          </cell>
          <cell r="O1508" t="str">
            <v>High Dependency Ward (HDW)</v>
          </cell>
          <cell r="P1508" t="str">
            <v>HM</v>
          </cell>
          <cell r="Q1508">
            <v>50000</v>
          </cell>
        </row>
        <row r="1509">
          <cell r="E1509" t="str">
            <v>KKM/JKN/HSA/10-05-01/H/15/317</v>
          </cell>
          <cell r="F1509" t="str">
            <v>Therapeutic</v>
          </cell>
          <cell r="G1509" t="str">
            <v>Intermediate</v>
          </cell>
          <cell r="H1509" t="str">
            <v>Ventilators, Intensive Care, Adult</v>
          </cell>
          <cell r="I1509" t="str">
            <v>VENTILATOR INTENSIVE CARE(CCU/HDU/E&amp;T/BURN)</v>
          </cell>
          <cell r="J1509" t="str">
            <v>18-792</v>
          </cell>
          <cell r="K1509" t="str">
            <v>DRAEGER</v>
          </cell>
          <cell r="L1509" t="str">
            <v>SAVINA 300</v>
          </cell>
          <cell r="M1509" t="str">
            <v>ASHC0082</v>
          </cell>
          <cell r="N1509" t="str">
            <v>ANESTESIOLOGI</v>
          </cell>
          <cell r="O1509" t="str">
            <v>High Dependency Ward (HDW)</v>
          </cell>
          <cell r="P1509" t="str">
            <v>HM</v>
          </cell>
          <cell r="Q1509">
            <v>50000</v>
          </cell>
        </row>
        <row r="1510">
          <cell r="E1510" t="str">
            <v>KKM/JKN/HSA/10-05-01/H/15/319</v>
          </cell>
          <cell r="F1510" t="str">
            <v>Therapeutic</v>
          </cell>
          <cell r="G1510" t="str">
            <v>Intermediate</v>
          </cell>
          <cell r="H1510" t="str">
            <v>Ventilators, Intensive Care, Adult</v>
          </cell>
          <cell r="I1510" t="str">
            <v>VENTILATOR INTENSIVE CARE(CCU/HDU/E&amp;T/BURN)</v>
          </cell>
          <cell r="J1510" t="str">
            <v>18-792</v>
          </cell>
          <cell r="K1510" t="str">
            <v>DRAEGER</v>
          </cell>
          <cell r="L1510" t="str">
            <v>SAVINA 300</v>
          </cell>
          <cell r="M1510" t="str">
            <v>ASHC0086</v>
          </cell>
          <cell r="N1510" t="str">
            <v>ANESTESIOLOGI</v>
          </cell>
          <cell r="O1510" t="str">
            <v>High Dependency Ward (HDW)</v>
          </cell>
          <cell r="P1510" t="str">
            <v>HM</v>
          </cell>
          <cell r="Q1510">
            <v>50000</v>
          </cell>
        </row>
        <row r="1511">
          <cell r="E1511" t="str">
            <v>KKM/JKN/HSA/10-05-01/H/15/320</v>
          </cell>
          <cell r="F1511" t="str">
            <v>Therapeutic</v>
          </cell>
          <cell r="G1511" t="str">
            <v>Intermediate</v>
          </cell>
          <cell r="H1511" t="str">
            <v>Ventilators, Intensive Care, Adult</v>
          </cell>
          <cell r="I1511" t="str">
            <v>VENTILATOR INTENSIVE CARE(CCU/HDU/E&amp;T/BURN)</v>
          </cell>
          <cell r="J1511" t="str">
            <v>18-792</v>
          </cell>
          <cell r="K1511" t="str">
            <v>DRAEGER</v>
          </cell>
          <cell r="L1511" t="str">
            <v>SAVINA 300</v>
          </cell>
          <cell r="M1511" t="str">
            <v>ASHC0087</v>
          </cell>
          <cell r="N1511" t="str">
            <v>ANESTESIOLOGI</v>
          </cell>
          <cell r="O1511" t="str">
            <v>High Dependency Ward (HDW)</v>
          </cell>
          <cell r="P1511" t="str">
            <v>HM</v>
          </cell>
          <cell r="Q1511">
            <v>50000</v>
          </cell>
        </row>
        <row r="1512">
          <cell r="E1512" t="str">
            <v>KKM/JKN/HSA/10-05-01/H/15/297</v>
          </cell>
          <cell r="F1512" t="str">
            <v>Therapeutic</v>
          </cell>
          <cell r="G1512" t="str">
            <v>Intermediate</v>
          </cell>
          <cell r="H1512" t="str">
            <v>Ventilators, Intensive Care</v>
          </cell>
          <cell r="I1512" t="str">
            <v>VENTILATOR ASSIST, NON INVASIVE</v>
          </cell>
          <cell r="J1512" t="str">
            <v>17-429</v>
          </cell>
          <cell r="K1512" t="str">
            <v>DRAEGER</v>
          </cell>
          <cell r="L1512" t="str">
            <v>SAVINA 300</v>
          </cell>
          <cell r="M1512" t="str">
            <v>ASHD-0030</v>
          </cell>
          <cell r="N1512" t="str">
            <v>ANESTESIOLOGI</v>
          </cell>
          <cell r="O1512" t="str">
            <v>High Dependency Ward (HDW)</v>
          </cell>
          <cell r="P1512" t="str">
            <v>HM</v>
          </cell>
          <cell r="Q1512">
            <v>50000</v>
          </cell>
        </row>
        <row r="1513">
          <cell r="E1513" t="str">
            <v>KKM/JKN/HSA/10-05-01/H/15/298</v>
          </cell>
          <cell r="F1513" t="str">
            <v>Therapeutic</v>
          </cell>
          <cell r="G1513" t="str">
            <v>Intermediate</v>
          </cell>
          <cell r="H1513" t="str">
            <v>Ventilators, Intensive Care</v>
          </cell>
          <cell r="I1513" t="str">
            <v>VENTILATOR ASSIST, NON INVASIVE</v>
          </cell>
          <cell r="J1513" t="str">
            <v>17-429</v>
          </cell>
          <cell r="K1513" t="str">
            <v>DRAEGER</v>
          </cell>
          <cell r="L1513" t="str">
            <v>SAVINA 300</v>
          </cell>
          <cell r="M1513" t="str">
            <v>ASHD-0032</v>
          </cell>
          <cell r="N1513" t="str">
            <v>ANESTESIOLOGI</v>
          </cell>
          <cell r="O1513" t="str">
            <v>High Dependency Ward (HDW)</v>
          </cell>
          <cell r="P1513" t="str">
            <v>HM</v>
          </cell>
          <cell r="Q1513">
            <v>50000</v>
          </cell>
        </row>
        <row r="1514">
          <cell r="E1514" t="str">
            <v>KKM/JKN/HSA/10-05-01/H/15/299</v>
          </cell>
          <cell r="F1514" t="str">
            <v>Therapeutic</v>
          </cell>
          <cell r="G1514" t="str">
            <v>Intermediate</v>
          </cell>
          <cell r="H1514" t="str">
            <v>Ventilators, Intensive Care</v>
          </cell>
          <cell r="I1514" t="str">
            <v>VENTILATOR ASSIST, NON INVASIVE</v>
          </cell>
          <cell r="J1514" t="str">
            <v>17-429</v>
          </cell>
          <cell r="K1514" t="str">
            <v>DRAEGER</v>
          </cell>
          <cell r="L1514" t="str">
            <v>SAVINA 300</v>
          </cell>
          <cell r="M1514" t="str">
            <v>ASHC-0085</v>
          </cell>
          <cell r="N1514" t="str">
            <v>ANESTESIOLOGI</v>
          </cell>
          <cell r="O1514" t="str">
            <v>High Dependency Ward (HDW)</v>
          </cell>
          <cell r="P1514" t="str">
            <v>HM</v>
          </cell>
          <cell r="Q1514">
            <v>50000</v>
          </cell>
        </row>
        <row r="1515">
          <cell r="E1515" t="str">
            <v>KKM/JKN/HSA/10-05-01/H/15/300</v>
          </cell>
          <cell r="F1515" t="str">
            <v>Therapeutic</v>
          </cell>
          <cell r="G1515" t="str">
            <v>Intermediate</v>
          </cell>
          <cell r="H1515" t="str">
            <v>Ventilators, Intensive Care</v>
          </cell>
          <cell r="I1515" t="str">
            <v>VENTILATOR ASSIST, NON INVASIVE</v>
          </cell>
          <cell r="J1515" t="str">
            <v>17-429</v>
          </cell>
          <cell r="K1515" t="str">
            <v>DRAEGER</v>
          </cell>
          <cell r="L1515" t="str">
            <v>SAVINA 300</v>
          </cell>
          <cell r="M1515" t="str">
            <v>ASHD-0028</v>
          </cell>
          <cell r="N1515" t="str">
            <v>ANESTESIOLOGI</v>
          </cell>
          <cell r="O1515" t="str">
            <v>High Dependency Ward (HDW)</v>
          </cell>
          <cell r="P1515" t="str">
            <v>HM</v>
          </cell>
          <cell r="Q1515">
            <v>50000</v>
          </cell>
        </row>
        <row r="1516">
          <cell r="E1516" t="str">
            <v>KKM/JKN/HSA/10-05-01/H/15/301</v>
          </cell>
          <cell r="F1516" t="str">
            <v>Therapeutic</v>
          </cell>
          <cell r="G1516" t="str">
            <v>Intermediate</v>
          </cell>
          <cell r="H1516" t="str">
            <v>Ventilators, Intensive Care</v>
          </cell>
          <cell r="I1516" t="str">
            <v>VENTILATOR ASSIST, NON INVASIVE</v>
          </cell>
          <cell r="J1516" t="str">
            <v>17-429</v>
          </cell>
          <cell r="K1516" t="str">
            <v>DRAEGER</v>
          </cell>
          <cell r="L1516" t="str">
            <v>SAVINA 300</v>
          </cell>
          <cell r="M1516" t="str">
            <v>ASHC-0081</v>
          </cell>
          <cell r="N1516" t="str">
            <v>ANESTESIOLOGI</v>
          </cell>
          <cell r="O1516" t="str">
            <v>High Dependency Ward (HDW)</v>
          </cell>
          <cell r="P1516" t="str">
            <v>HM</v>
          </cell>
          <cell r="Q1516">
            <v>50000</v>
          </cell>
        </row>
        <row r="1517">
          <cell r="E1517" t="str">
            <v>KKM/JKN/HSA/10-05-01/H/15/302</v>
          </cell>
          <cell r="F1517" t="str">
            <v>Therapeutic</v>
          </cell>
          <cell r="G1517" t="str">
            <v>Intermediate</v>
          </cell>
          <cell r="H1517" t="str">
            <v>Ventilators, Intensive Care</v>
          </cell>
          <cell r="I1517" t="str">
            <v>VENTILATOR ASSIST, NON INVASIVE</v>
          </cell>
          <cell r="J1517" t="str">
            <v>17-429</v>
          </cell>
          <cell r="K1517" t="str">
            <v>DRAEGER</v>
          </cell>
          <cell r="L1517" t="str">
            <v>SAVINA 300</v>
          </cell>
          <cell r="M1517" t="str">
            <v>ASHD-0029</v>
          </cell>
          <cell r="N1517" t="str">
            <v>ANESTESIOLOGI</v>
          </cell>
          <cell r="O1517" t="str">
            <v>High Dependency Ward (HDW)</v>
          </cell>
          <cell r="P1517" t="str">
            <v>HM</v>
          </cell>
          <cell r="Q1517">
            <v>50000</v>
          </cell>
        </row>
        <row r="1518">
          <cell r="E1518" t="str">
            <v>KKM/JKN/HSA/10-05-01/H/15/2147</v>
          </cell>
          <cell r="F1518" t="str">
            <v>Therapeutic</v>
          </cell>
          <cell r="G1518" t="str">
            <v>Basic</v>
          </cell>
          <cell r="H1518" t="str">
            <v>Aspirators</v>
          </cell>
          <cell r="I1518" t="str">
            <v>SUCTION UNIT 1 X 2L JAR MOBILE</v>
          </cell>
          <cell r="J1518" t="str">
            <v>10-208</v>
          </cell>
          <cell r="K1518" t="str">
            <v>GIMA</v>
          </cell>
          <cell r="L1518">
            <v>28212</v>
          </cell>
          <cell r="M1518">
            <v>5929</v>
          </cell>
          <cell r="N1518" t="str">
            <v>ANESTESIOLOGI</v>
          </cell>
          <cell r="O1518" t="str">
            <v>High Dependency Ward (HDW)</v>
          </cell>
          <cell r="P1518" t="str">
            <v>HM</v>
          </cell>
          <cell r="Q1518">
            <v>3386.5</v>
          </cell>
        </row>
        <row r="1519">
          <cell r="E1519" t="str">
            <v>KKM/JKN/HSA/10-05-01/H/15/1183</v>
          </cell>
          <cell r="F1519" t="str">
            <v>Therapeutic</v>
          </cell>
          <cell r="G1519" t="str">
            <v>Intermediate</v>
          </cell>
          <cell r="H1519" t="str">
            <v>Infusion Pumps, General-Purpose</v>
          </cell>
          <cell r="I1519" t="str">
            <v>PUMP VOLUMETRIC INFUSION (STAND ALONE)</v>
          </cell>
          <cell r="J1519" t="str">
            <v>13-215</v>
          </cell>
          <cell r="K1519" t="str">
            <v>FRESENIUS KABI</v>
          </cell>
          <cell r="L1519" t="str">
            <v>LINK 8+ AGILIA/MOBILE STAND</v>
          </cell>
          <cell r="M1519">
            <v>35931</v>
          </cell>
          <cell r="N1519" t="str">
            <v>ANESTESIOLOGI</v>
          </cell>
          <cell r="O1519" t="str">
            <v>High Dependency Ward (HDW)</v>
          </cell>
          <cell r="P1519" t="str">
            <v>HM</v>
          </cell>
          <cell r="Q1519">
            <v>7245</v>
          </cell>
        </row>
        <row r="1520">
          <cell r="E1520" t="str">
            <v>KKM/JKN/HSA/10-05-01/H/15/1184</v>
          </cell>
          <cell r="F1520" t="str">
            <v>Therapeutic</v>
          </cell>
          <cell r="G1520" t="str">
            <v>Intermediate</v>
          </cell>
          <cell r="H1520" t="str">
            <v>Infusion Pumps, General-Purpose</v>
          </cell>
          <cell r="I1520" t="str">
            <v>PUMP VOLUMETRIC INFUSION (STAND ALONE)</v>
          </cell>
          <cell r="J1520" t="str">
            <v>13-215</v>
          </cell>
          <cell r="K1520" t="str">
            <v>FRESENIUS KABI</v>
          </cell>
          <cell r="L1520" t="str">
            <v>LINK 8+ AGILIA/MOBILE STAND</v>
          </cell>
          <cell r="M1520">
            <v>35956</v>
          </cell>
          <cell r="N1520" t="str">
            <v>ANESTESIOLOGI</v>
          </cell>
          <cell r="O1520" t="str">
            <v>High Dependency Ward (HDW)</v>
          </cell>
          <cell r="P1520" t="str">
            <v>HM</v>
          </cell>
          <cell r="Q1520">
            <v>7245</v>
          </cell>
        </row>
        <row r="1521">
          <cell r="E1521" t="str">
            <v>KKM/JKN/HSA/10-05-01/H/15/1185</v>
          </cell>
          <cell r="F1521" t="str">
            <v>Therapeutic</v>
          </cell>
          <cell r="G1521" t="str">
            <v>Intermediate</v>
          </cell>
          <cell r="H1521" t="str">
            <v>Infusion Pumps, General-Purpose</v>
          </cell>
          <cell r="I1521" t="str">
            <v>PUMP VOLUMETRIC INFUSION (STAND ALONE)</v>
          </cell>
          <cell r="J1521" t="str">
            <v>13-215</v>
          </cell>
          <cell r="K1521" t="str">
            <v>FRESENIUS KABI</v>
          </cell>
          <cell r="L1521" t="str">
            <v>LINK 8+ AGILIA/MOBILE STAND</v>
          </cell>
          <cell r="M1521">
            <v>35263</v>
          </cell>
          <cell r="N1521" t="str">
            <v>ANESTESIOLOGI</v>
          </cell>
          <cell r="O1521" t="str">
            <v>High Dependency Ward (HDW)</v>
          </cell>
          <cell r="P1521" t="str">
            <v>HM</v>
          </cell>
          <cell r="Q1521">
            <v>7245</v>
          </cell>
        </row>
        <row r="1522">
          <cell r="E1522" t="str">
            <v>KKM/JKN/HSA/10-05-01/H/15/1186</v>
          </cell>
          <cell r="F1522" t="str">
            <v>Therapeutic</v>
          </cell>
          <cell r="G1522" t="str">
            <v>Intermediate</v>
          </cell>
          <cell r="H1522" t="str">
            <v>Infusion Pumps, General-Purpose</v>
          </cell>
          <cell r="I1522" t="str">
            <v>PUMP VOLUMETRIC INFUSION (STAND ALONE)</v>
          </cell>
          <cell r="J1522" t="str">
            <v>13-215</v>
          </cell>
          <cell r="K1522" t="str">
            <v>FRESENIUS KABI</v>
          </cell>
          <cell r="L1522" t="str">
            <v>LINK 8+ AGILIA/MOBILE STAND</v>
          </cell>
          <cell r="M1522">
            <v>22233478</v>
          </cell>
          <cell r="N1522" t="str">
            <v>ANESTESIOLOGI</v>
          </cell>
          <cell r="O1522" t="str">
            <v>High Dependency Ward (HDW)</v>
          </cell>
          <cell r="P1522" t="str">
            <v>HM</v>
          </cell>
          <cell r="Q1522">
            <v>7245</v>
          </cell>
        </row>
        <row r="1523">
          <cell r="E1523" t="str">
            <v>KKM/JKN/HSA/10-05-01/H/15/1187</v>
          </cell>
          <cell r="F1523" t="str">
            <v>Therapeutic</v>
          </cell>
          <cell r="G1523" t="str">
            <v>Intermediate</v>
          </cell>
          <cell r="H1523" t="str">
            <v>Infusion Pumps, General-Purpose</v>
          </cell>
          <cell r="I1523" t="str">
            <v>PUMP VOLUMETRIC INFUSION (STAND ALONE)</v>
          </cell>
          <cell r="J1523" t="str">
            <v>13-215</v>
          </cell>
          <cell r="K1523" t="str">
            <v>FRESENIUS KABI</v>
          </cell>
          <cell r="L1523" t="str">
            <v>LINK 8+ AGILIA/MOBILE STAND</v>
          </cell>
          <cell r="M1523">
            <v>35954</v>
          </cell>
          <cell r="N1523" t="str">
            <v>ANESTESIOLOGI</v>
          </cell>
          <cell r="O1523" t="str">
            <v>High Dependency Ward (HDW)</v>
          </cell>
          <cell r="P1523" t="str">
            <v>HM</v>
          </cell>
          <cell r="Q1523">
            <v>7245</v>
          </cell>
        </row>
        <row r="1524">
          <cell r="E1524" t="str">
            <v>KKM/JKN/HSA/10-05-01/H/15/1188</v>
          </cell>
          <cell r="F1524" t="str">
            <v>Therapeutic</v>
          </cell>
          <cell r="G1524" t="str">
            <v>Intermediate</v>
          </cell>
          <cell r="H1524" t="str">
            <v>Infusion Pumps, General-Purpose</v>
          </cell>
          <cell r="I1524" t="str">
            <v>PUMP VOLUMETRIC INFUSION (STAND ALONE)</v>
          </cell>
          <cell r="J1524" t="str">
            <v>13-215</v>
          </cell>
          <cell r="K1524" t="str">
            <v>FRESENIUS KABI</v>
          </cell>
          <cell r="L1524" t="str">
            <v>LINK 8+ AGILIA/MOBILE STAND</v>
          </cell>
          <cell r="M1524">
            <v>22170234</v>
          </cell>
          <cell r="N1524" t="str">
            <v>ANESTESIOLOGI</v>
          </cell>
          <cell r="O1524" t="str">
            <v>High Dependency Ward (HDW)</v>
          </cell>
          <cell r="P1524" t="str">
            <v>HM</v>
          </cell>
          <cell r="Q1524">
            <v>7245</v>
          </cell>
        </row>
        <row r="1525">
          <cell r="E1525" t="str">
            <v>KKM/JKN/HSA/10-05-01/H/15/1189</v>
          </cell>
          <cell r="F1525" t="str">
            <v>Therapeutic</v>
          </cell>
          <cell r="G1525" t="str">
            <v>Intermediate</v>
          </cell>
          <cell r="H1525" t="str">
            <v>Infusion Pumps, General-Purpose</v>
          </cell>
          <cell r="I1525" t="str">
            <v>PUMP VOLUMETRIC INFUSION (STAND ALONE)</v>
          </cell>
          <cell r="J1525" t="str">
            <v>13-215</v>
          </cell>
          <cell r="K1525" t="str">
            <v>FRESENIUS KABI</v>
          </cell>
          <cell r="L1525" t="str">
            <v>LINK 8+ AGILIA/MOBILE STAND</v>
          </cell>
          <cell r="M1525">
            <v>22235266</v>
          </cell>
          <cell r="N1525" t="str">
            <v>ANESTESIOLOGI</v>
          </cell>
          <cell r="O1525" t="str">
            <v>High Dependency Ward (HDW)</v>
          </cell>
          <cell r="P1525" t="str">
            <v>HM</v>
          </cell>
          <cell r="Q1525">
            <v>7245</v>
          </cell>
        </row>
        <row r="1526">
          <cell r="E1526" t="str">
            <v>KKM/JKN/HSA/10-05-01/H/15/1190</v>
          </cell>
          <cell r="F1526" t="str">
            <v>Therapeutic</v>
          </cell>
          <cell r="G1526" t="str">
            <v>Intermediate</v>
          </cell>
          <cell r="H1526" t="str">
            <v>Infusion Pumps, General-Purpose</v>
          </cell>
          <cell r="I1526" t="str">
            <v>PUMP VOLUMETRIC INFUSION (STAND ALONE)</v>
          </cell>
          <cell r="J1526" t="str">
            <v>13-215</v>
          </cell>
          <cell r="K1526" t="str">
            <v>FRESENIUS KABI</v>
          </cell>
          <cell r="L1526" t="str">
            <v>LINK 8+ AGILIA/MOBILE STAND</v>
          </cell>
          <cell r="M1526">
            <v>2225925</v>
          </cell>
          <cell r="N1526" t="str">
            <v>ANESTESIOLOGI</v>
          </cell>
          <cell r="O1526" t="str">
            <v>High Dependency Ward (HDW)</v>
          </cell>
          <cell r="P1526" t="str">
            <v>HM</v>
          </cell>
          <cell r="Q1526">
            <v>7245</v>
          </cell>
        </row>
        <row r="1527">
          <cell r="E1527" t="str">
            <v>KKM/JKN/HSA/10-05-01/H/15/1191</v>
          </cell>
          <cell r="F1527" t="str">
            <v>Therapeutic</v>
          </cell>
          <cell r="G1527" t="str">
            <v>Intermediate</v>
          </cell>
          <cell r="H1527" t="str">
            <v>Infusion Pumps, General-Purpose</v>
          </cell>
          <cell r="I1527" t="str">
            <v>PUMP VOLUMETRIC INFUSION (STAND ALONE)</v>
          </cell>
          <cell r="J1527" t="str">
            <v>13-215</v>
          </cell>
          <cell r="K1527" t="str">
            <v>FRESENIUS KABI</v>
          </cell>
          <cell r="L1527" t="str">
            <v>LINK 8+ AGILIA/MOBILE STAND</v>
          </cell>
          <cell r="M1527">
            <v>22170249</v>
          </cell>
          <cell r="N1527" t="str">
            <v>ANESTESIOLOGI</v>
          </cell>
          <cell r="O1527" t="str">
            <v>High Dependency Ward (HDW)</v>
          </cell>
          <cell r="P1527" t="str">
            <v>HM</v>
          </cell>
          <cell r="Q1527">
            <v>7245</v>
          </cell>
        </row>
        <row r="1528">
          <cell r="E1528" t="str">
            <v>KKM/JKN/HSA/10-05-01/H/15/1192</v>
          </cell>
          <cell r="F1528" t="str">
            <v>Therapeutic</v>
          </cell>
          <cell r="G1528" t="str">
            <v>Intermediate</v>
          </cell>
          <cell r="H1528" t="str">
            <v>Infusion Pumps, General-Purpose</v>
          </cell>
          <cell r="I1528" t="str">
            <v>PUMP VOLUMETRIC INFUSION (STAND ALONE)</v>
          </cell>
          <cell r="J1528" t="str">
            <v>13-215</v>
          </cell>
          <cell r="K1528" t="str">
            <v>FRESENIUS KABI</v>
          </cell>
          <cell r="L1528" t="str">
            <v>LINK 8+ AGILIA/MOBILE STAND</v>
          </cell>
          <cell r="M1528">
            <v>22235246</v>
          </cell>
          <cell r="N1528" t="str">
            <v>ANESTESIOLOGI</v>
          </cell>
          <cell r="O1528" t="str">
            <v>High Dependency Ward (HDW)</v>
          </cell>
          <cell r="P1528" t="str">
            <v>HM</v>
          </cell>
          <cell r="Q1528">
            <v>7245</v>
          </cell>
        </row>
        <row r="1529">
          <cell r="E1529" t="str">
            <v>KKM/JKN/HSA/10-05-01/H/15/1193</v>
          </cell>
          <cell r="F1529" t="str">
            <v>Therapeutic</v>
          </cell>
          <cell r="G1529" t="str">
            <v>Intermediate</v>
          </cell>
          <cell r="H1529" t="str">
            <v>Infusion Pumps, General-Purpose</v>
          </cell>
          <cell r="I1529" t="str">
            <v>PUMP VOLUMETRIC INFUSION (STAND ALONE)</v>
          </cell>
          <cell r="J1529" t="str">
            <v>13-215</v>
          </cell>
          <cell r="K1529" t="str">
            <v>FRESENIUS KABI</v>
          </cell>
          <cell r="L1529" t="str">
            <v>LINK 8+ AGILIA/MOBILE STAND</v>
          </cell>
          <cell r="M1529">
            <v>22235926</v>
          </cell>
          <cell r="N1529" t="str">
            <v>ANESTESIOLOGI</v>
          </cell>
          <cell r="O1529" t="str">
            <v>High Dependency Ward (HDW)</v>
          </cell>
          <cell r="P1529" t="str">
            <v>HM</v>
          </cell>
          <cell r="Q1529">
            <v>7245</v>
          </cell>
        </row>
        <row r="1530">
          <cell r="E1530" t="str">
            <v>KKM/JKN/HSA/10-05-01/H/15/1194</v>
          </cell>
          <cell r="F1530" t="str">
            <v>Therapeutic</v>
          </cell>
          <cell r="G1530" t="str">
            <v>Intermediate</v>
          </cell>
          <cell r="H1530" t="str">
            <v>Infusion Pumps, General-Purpose</v>
          </cell>
          <cell r="I1530" t="str">
            <v>PUMP VOLUMETRIC INFUSION (STAND ALONE)</v>
          </cell>
          <cell r="J1530" t="str">
            <v>13-215</v>
          </cell>
          <cell r="K1530" t="str">
            <v>FRESENIUS KABI</v>
          </cell>
          <cell r="L1530" t="str">
            <v>LINK 8+ AGILIA/MOBILE STAND</v>
          </cell>
          <cell r="M1530">
            <v>22235249</v>
          </cell>
          <cell r="N1530" t="str">
            <v>ANESTESIOLOGI</v>
          </cell>
          <cell r="O1530" t="str">
            <v>High Dependency Ward (HDW)</v>
          </cell>
          <cell r="P1530" t="str">
            <v>HM</v>
          </cell>
          <cell r="Q1530">
            <v>7245</v>
          </cell>
        </row>
        <row r="1531">
          <cell r="E1531" t="str">
            <v>KKM/JKN/HSA/10-05-01/H/15/1195</v>
          </cell>
          <cell r="F1531" t="str">
            <v>Therapeutic</v>
          </cell>
          <cell r="G1531" t="str">
            <v>Intermediate</v>
          </cell>
          <cell r="H1531" t="str">
            <v>Infusion Pumps, General-Purpose</v>
          </cell>
          <cell r="I1531" t="str">
            <v>PUMP VOLUMETRIC INFUSION (STAND ALONE)</v>
          </cell>
          <cell r="J1531" t="str">
            <v>13-215</v>
          </cell>
          <cell r="K1531" t="str">
            <v>FRESENIUS KABI</v>
          </cell>
          <cell r="L1531" t="str">
            <v>LINK 8+ AGILIA/MOBILE STAND</v>
          </cell>
          <cell r="M1531">
            <v>2223505</v>
          </cell>
          <cell r="N1531" t="str">
            <v>ANESTESIOLOGI</v>
          </cell>
          <cell r="O1531" t="str">
            <v>High Dependency Ward (HDW)</v>
          </cell>
          <cell r="P1531" t="str">
            <v>HM</v>
          </cell>
          <cell r="Q1531">
            <v>7245</v>
          </cell>
        </row>
        <row r="1532">
          <cell r="E1532" t="str">
            <v>KKM/JKN/HSA/10-05-01/H/15/1196</v>
          </cell>
          <cell r="F1532" t="str">
            <v>Therapeutic</v>
          </cell>
          <cell r="G1532" t="str">
            <v>Intermediate</v>
          </cell>
          <cell r="H1532" t="str">
            <v>Infusion Pumps, General-Purpose</v>
          </cell>
          <cell r="I1532" t="str">
            <v>PUMP VOLUMETRIC INFUSION (STAND ALONE)</v>
          </cell>
          <cell r="J1532" t="str">
            <v>13-215</v>
          </cell>
          <cell r="K1532" t="str">
            <v>FRESENIUS KABI</v>
          </cell>
          <cell r="L1532" t="str">
            <v>LINK 8+ AGILIA/MOBILE STAND</v>
          </cell>
          <cell r="M1532">
            <v>22235955</v>
          </cell>
          <cell r="N1532" t="str">
            <v>ANESTESIOLOGI</v>
          </cell>
          <cell r="O1532" t="str">
            <v>High Dependency Ward (HDW)</v>
          </cell>
          <cell r="P1532" t="str">
            <v>HM</v>
          </cell>
          <cell r="Q1532">
            <v>7245</v>
          </cell>
        </row>
        <row r="1533">
          <cell r="E1533" t="str">
            <v>KKM/JKN/HSA/10-05-01/H/15/1197</v>
          </cell>
          <cell r="F1533" t="str">
            <v>Therapeutic</v>
          </cell>
          <cell r="G1533" t="str">
            <v>Intermediate</v>
          </cell>
          <cell r="H1533" t="str">
            <v>Infusion Pumps, General-Purpose</v>
          </cell>
          <cell r="I1533" t="str">
            <v>PUMP VOLUMETRIC INFUSION (STAND ALONE)</v>
          </cell>
          <cell r="J1533" t="str">
            <v>13-215</v>
          </cell>
          <cell r="K1533" t="str">
            <v>FRESENIUS KABI</v>
          </cell>
          <cell r="L1533" t="str">
            <v>LINK 8+ AGILIA/MOBILE STAND</v>
          </cell>
          <cell r="M1533">
            <v>22235956</v>
          </cell>
          <cell r="N1533" t="str">
            <v>ANESTESIOLOGI</v>
          </cell>
          <cell r="O1533" t="str">
            <v>High Dependency Ward (HDW)</v>
          </cell>
          <cell r="P1533" t="str">
            <v>HM</v>
          </cell>
          <cell r="Q1533">
            <v>7245</v>
          </cell>
        </row>
        <row r="1534">
          <cell r="E1534" t="str">
            <v>KKM/JKN/HSA/10-05-01/H/15/1182</v>
          </cell>
          <cell r="F1534" t="str">
            <v>Therapeutic</v>
          </cell>
          <cell r="G1534" t="str">
            <v>Intermediate</v>
          </cell>
          <cell r="H1534" t="str">
            <v>Infusion Pumps, General-Purpose</v>
          </cell>
          <cell r="I1534" t="str">
            <v>PUMP VOLUMETRIC INFUSION (STAND ALONE)</v>
          </cell>
          <cell r="J1534" t="str">
            <v>13-215</v>
          </cell>
          <cell r="K1534" t="str">
            <v>FRESENIUS KABI</v>
          </cell>
          <cell r="L1534" t="str">
            <v>LINK 8+ AGILIA/MOBILE STAND</v>
          </cell>
          <cell r="M1534">
            <v>22233476</v>
          </cell>
          <cell r="N1534" t="str">
            <v>ANESTESIOLOGI</v>
          </cell>
          <cell r="O1534" t="str">
            <v>High Dependency Ward (HDW)</v>
          </cell>
          <cell r="P1534" t="str">
            <v>HM</v>
          </cell>
          <cell r="Q1534">
            <v>7245</v>
          </cell>
        </row>
        <row r="1535">
          <cell r="E1535" t="str">
            <v>KKM/JKN/HSA/10-05-01/H/15/2776</v>
          </cell>
          <cell r="F1535" t="str">
            <v>Therapeutic</v>
          </cell>
          <cell r="G1535" t="str">
            <v>Intermediate</v>
          </cell>
          <cell r="H1535" t="str">
            <v>Infusion Pumps, General-Purpose</v>
          </cell>
          <cell r="I1535" t="str">
            <v>PUMP VOLUMETRIC INFUSION</v>
          </cell>
          <cell r="J1535" t="str">
            <v>13-215</v>
          </cell>
          <cell r="K1535" t="str">
            <v>FRESENIUS KABI</v>
          </cell>
          <cell r="L1535" t="str">
            <v>MODULE MPV+MS</v>
          </cell>
          <cell r="M1535"/>
          <cell r="N1535" t="str">
            <v>ANESTESIOLOGI</v>
          </cell>
          <cell r="O1535" t="str">
            <v>High Dependency Ward (HDW)</v>
          </cell>
          <cell r="P1535" t="str">
            <v>HM</v>
          </cell>
          <cell r="Q1535">
            <v>5489</v>
          </cell>
        </row>
        <row r="1536">
          <cell r="E1536" t="str">
            <v>KKM/JKN/HSA/10-05-01/H/15/2777</v>
          </cell>
          <cell r="F1536" t="str">
            <v>Therapeutic</v>
          </cell>
          <cell r="G1536" t="str">
            <v>Intermediate</v>
          </cell>
          <cell r="H1536" t="str">
            <v>Infusion Pumps, General-Purpose</v>
          </cell>
          <cell r="I1536" t="str">
            <v>PUMP VOLUMETRIC INFUSION</v>
          </cell>
          <cell r="J1536" t="str">
            <v>13-215</v>
          </cell>
          <cell r="K1536" t="str">
            <v>FRESENIUS KABI</v>
          </cell>
          <cell r="L1536" t="str">
            <v xml:space="preserve"> MODULE MPV+MS</v>
          </cell>
          <cell r="M1536"/>
          <cell r="N1536" t="str">
            <v>ANESTESIOLOGI</v>
          </cell>
          <cell r="O1536" t="str">
            <v>High Dependency Ward (HDW)</v>
          </cell>
          <cell r="P1536" t="str">
            <v>HM</v>
          </cell>
          <cell r="Q1536">
            <v>5489</v>
          </cell>
        </row>
        <row r="1537">
          <cell r="E1537" t="str">
            <v>KKM/JKN/HSA/10-05-01/H/15/453</v>
          </cell>
          <cell r="F1537" t="str">
            <v>Therapeutic</v>
          </cell>
          <cell r="G1537" t="str">
            <v>Intermediate</v>
          </cell>
          <cell r="H1537" t="str">
            <v>Infusion Pumps, Syringe</v>
          </cell>
          <cell r="I1537" t="str">
            <v>PUMP SYRINGE BASIC DOSE RATE (STAND ALONE)</v>
          </cell>
          <cell r="J1537" t="str">
            <v>13-217</v>
          </cell>
          <cell r="K1537" t="str">
            <v>FRESENIUS KABI</v>
          </cell>
          <cell r="L1537" t="str">
            <v>INJECTOMAT MC AGILIA</v>
          </cell>
          <cell r="M1537" t="str">
            <v>018130/22231641</v>
          </cell>
          <cell r="N1537" t="str">
            <v>ANESTESIOLOGI</v>
          </cell>
          <cell r="O1537" t="str">
            <v>High Dependency Ward (HDW)</v>
          </cell>
          <cell r="P1537" t="str">
            <v>HM</v>
          </cell>
          <cell r="Q1537">
            <v>4300</v>
          </cell>
        </row>
        <row r="1538">
          <cell r="E1538" t="str">
            <v>KKM/JKN/HSA/10-05-01/H/15/461</v>
          </cell>
          <cell r="F1538" t="str">
            <v>Therapeutic</v>
          </cell>
          <cell r="G1538" t="str">
            <v>Intermediate</v>
          </cell>
          <cell r="H1538" t="str">
            <v>Infusion Pumps, Syringe</v>
          </cell>
          <cell r="I1538" t="str">
            <v>PUMP SYRINGE BASIC DOSE RATE (STAND ALONE)</v>
          </cell>
          <cell r="J1538" t="str">
            <v>13-217</v>
          </cell>
          <cell r="K1538" t="str">
            <v>FRESENIUS KABI</v>
          </cell>
          <cell r="L1538" t="str">
            <v>INJECTOMAT MC AGILIA</v>
          </cell>
          <cell r="M1538" t="str">
            <v>018130/22231856</v>
          </cell>
          <cell r="N1538" t="str">
            <v>ANESTESIOLOGI</v>
          </cell>
          <cell r="O1538" t="str">
            <v>High Dependency Ward (HDW)</v>
          </cell>
          <cell r="P1538" t="str">
            <v>HM</v>
          </cell>
          <cell r="Q1538">
            <v>4300</v>
          </cell>
        </row>
        <row r="1539">
          <cell r="E1539" t="str">
            <v>KKM/JKN/HSA/10-05-01/H/15/462</v>
          </cell>
          <cell r="F1539" t="str">
            <v>Therapeutic</v>
          </cell>
          <cell r="G1539" t="str">
            <v>Intermediate</v>
          </cell>
          <cell r="H1539" t="str">
            <v>Infusion Pumps, Syringe</v>
          </cell>
          <cell r="I1539" t="str">
            <v>PUMP SYRINGE BASIC DOSE RATE (STAND ALONE)</v>
          </cell>
          <cell r="J1539" t="str">
            <v>13-217</v>
          </cell>
          <cell r="K1539" t="str">
            <v>FRESENIUS KABI</v>
          </cell>
          <cell r="L1539" t="str">
            <v>INJECTOMAT MC AGILIA</v>
          </cell>
          <cell r="M1539" t="str">
            <v>018130/22231723</v>
          </cell>
          <cell r="N1539" t="str">
            <v>ANESTESIOLOGI</v>
          </cell>
          <cell r="O1539" t="str">
            <v>High Dependency Ward (HDW)</v>
          </cell>
          <cell r="P1539" t="str">
            <v>HM</v>
          </cell>
          <cell r="Q1539">
            <v>4300</v>
          </cell>
        </row>
        <row r="1540">
          <cell r="E1540" t="str">
            <v>KKM/JKN/HSA/10-05-01/H/15/665</v>
          </cell>
          <cell r="F1540" t="str">
            <v>Therapeutic</v>
          </cell>
          <cell r="G1540" t="str">
            <v>Intermediate</v>
          </cell>
          <cell r="H1540" t="str">
            <v>Infusion Pumps, Syringe</v>
          </cell>
          <cell r="I1540" t="str">
            <v>PUMP SYRINGE BASIC DOSE RATE (STAND ALONE)</v>
          </cell>
          <cell r="J1540" t="str">
            <v>13-217</v>
          </cell>
          <cell r="K1540" t="str">
            <v>FRESENIUS KABI</v>
          </cell>
          <cell r="L1540" t="str">
            <v>INJECTOMAT MC AGILIA</v>
          </cell>
          <cell r="M1540" t="str">
            <v>018130/22231678</v>
          </cell>
          <cell r="N1540" t="str">
            <v>ANESTESIOLOGI</v>
          </cell>
          <cell r="O1540" t="str">
            <v>High Dependency Ward (HDW)</v>
          </cell>
          <cell r="P1540" t="str">
            <v>HM</v>
          </cell>
          <cell r="Q1540">
            <v>4300</v>
          </cell>
        </row>
        <row r="1541">
          <cell r="E1541" t="str">
            <v>KKM/JKN/HSA/10-05-01/H/15/666</v>
          </cell>
          <cell r="F1541" t="str">
            <v>Therapeutic</v>
          </cell>
          <cell r="G1541" t="str">
            <v>Intermediate</v>
          </cell>
          <cell r="H1541" t="str">
            <v>Infusion Pumps, Syringe</v>
          </cell>
          <cell r="I1541" t="str">
            <v>PUMP SYRINGE BASIC DOSE RATE (STAND ALONE)</v>
          </cell>
          <cell r="J1541" t="str">
            <v>13-217</v>
          </cell>
          <cell r="K1541" t="str">
            <v>FRESENIUS KABI</v>
          </cell>
          <cell r="L1541" t="str">
            <v>INJECTOMAT MC AGILIA</v>
          </cell>
          <cell r="M1541" t="str">
            <v>018130/22231826</v>
          </cell>
          <cell r="N1541" t="str">
            <v>ANESTESIOLOGI</v>
          </cell>
          <cell r="O1541" t="str">
            <v>High Dependency Ward (HDW)</v>
          </cell>
          <cell r="P1541" t="str">
            <v>HM</v>
          </cell>
          <cell r="Q1541">
            <v>4300</v>
          </cell>
        </row>
        <row r="1542">
          <cell r="E1542" t="str">
            <v>KKM/JKN/HSA/10-05-01/H/15/668</v>
          </cell>
          <cell r="F1542" t="str">
            <v>Therapeutic</v>
          </cell>
          <cell r="G1542" t="str">
            <v>Intermediate</v>
          </cell>
          <cell r="H1542" t="str">
            <v>Infusion Pumps, Syringe</v>
          </cell>
          <cell r="I1542" t="str">
            <v>PUMP SYRINGE BASIC DOSE RATE (STAND ALONE)</v>
          </cell>
          <cell r="J1542" t="str">
            <v>13-217</v>
          </cell>
          <cell r="K1542" t="str">
            <v>FRESENIUS KABI</v>
          </cell>
          <cell r="L1542" t="str">
            <v>INJECTOMAT MC AGILIA</v>
          </cell>
          <cell r="M1542" t="str">
            <v>018130/22231685</v>
          </cell>
          <cell r="N1542" t="str">
            <v>ANESTESIOLOGI</v>
          </cell>
          <cell r="O1542" t="str">
            <v>High Dependency Ward (HDW)</v>
          </cell>
          <cell r="P1542" t="str">
            <v>HM</v>
          </cell>
          <cell r="Q1542">
            <v>4300</v>
          </cell>
        </row>
        <row r="1543">
          <cell r="E1543" t="str">
            <v>KKM/JKN/HSA/10-05-01/H/15/669</v>
          </cell>
          <cell r="F1543" t="str">
            <v>Therapeutic</v>
          </cell>
          <cell r="G1543" t="str">
            <v>Intermediate</v>
          </cell>
          <cell r="H1543" t="str">
            <v>Infusion Pumps, Syringe</v>
          </cell>
          <cell r="I1543" t="str">
            <v>PUMP SYRINGE BASIC DOSE RATE (STAND ALONE)</v>
          </cell>
          <cell r="J1543" t="str">
            <v>13-217</v>
          </cell>
          <cell r="K1543" t="str">
            <v>FRESENIUS KABI</v>
          </cell>
          <cell r="L1543" t="str">
            <v>INJECTOMAT MC AGILIA</v>
          </cell>
          <cell r="M1543" t="str">
            <v>018130/22231855</v>
          </cell>
          <cell r="N1543" t="str">
            <v>ANESTESIOLOGI</v>
          </cell>
          <cell r="O1543" t="str">
            <v>High Dependency Ward (HDW)</v>
          </cell>
          <cell r="P1543" t="str">
            <v>HM</v>
          </cell>
          <cell r="Q1543">
            <v>4300</v>
          </cell>
        </row>
        <row r="1544">
          <cell r="E1544" t="str">
            <v>KKM/JKN/HSA/10-05-01/H/15/670</v>
          </cell>
          <cell r="F1544" t="str">
            <v>Therapeutic</v>
          </cell>
          <cell r="G1544" t="str">
            <v>Intermediate</v>
          </cell>
          <cell r="H1544" t="str">
            <v>Infusion Pumps, Syringe</v>
          </cell>
          <cell r="I1544" t="str">
            <v>PUMP SYRINGE BASIC DOSE RATE (STAND ALONE)</v>
          </cell>
          <cell r="J1544" t="str">
            <v>13-217</v>
          </cell>
          <cell r="K1544" t="str">
            <v>FRESENIUS KABI</v>
          </cell>
          <cell r="L1544" t="str">
            <v>INJECTOMAT MC AGILIA</v>
          </cell>
          <cell r="M1544" t="str">
            <v>018130/22231667</v>
          </cell>
          <cell r="N1544" t="str">
            <v>ANESTESIOLOGI</v>
          </cell>
          <cell r="O1544" t="str">
            <v>High Dependency Ward (HDW)</v>
          </cell>
          <cell r="P1544" t="str">
            <v>HM</v>
          </cell>
          <cell r="Q1544">
            <v>4300</v>
          </cell>
        </row>
        <row r="1545">
          <cell r="E1545" t="str">
            <v>KKM/JKN/HSA/10-05-01/H/15/671</v>
          </cell>
          <cell r="F1545" t="str">
            <v>Therapeutic</v>
          </cell>
          <cell r="G1545" t="str">
            <v>Intermediate</v>
          </cell>
          <cell r="H1545" t="str">
            <v>Infusion Pumps, Syringe</v>
          </cell>
          <cell r="I1545" t="str">
            <v>PUMP SYRINGE BASIC DOSE RATE (STAND ALONE)</v>
          </cell>
          <cell r="J1545" t="str">
            <v>13-217</v>
          </cell>
          <cell r="K1545" t="str">
            <v>FRESENIUS KABI</v>
          </cell>
          <cell r="L1545" t="str">
            <v>INJECTOMAT MC AGILIA</v>
          </cell>
          <cell r="M1545" t="str">
            <v>018130/22231702</v>
          </cell>
          <cell r="N1545" t="str">
            <v>ANESTESIOLOGI</v>
          </cell>
          <cell r="O1545" t="str">
            <v>High Dependency Ward (HDW)</v>
          </cell>
          <cell r="P1545" t="str">
            <v>HM</v>
          </cell>
          <cell r="Q1545">
            <v>4300</v>
          </cell>
        </row>
        <row r="1546">
          <cell r="E1546" t="str">
            <v>KKM/JKN/HSA/10-05-01/H/15/672</v>
          </cell>
          <cell r="F1546" t="str">
            <v>Therapeutic</v>
          </cell>
          <cell r="G1546" t="str">
            <v>Intermediate</v>
          </cell>
          <cell r="H1546" t="str">
            <v>Infusion Pumps, Syringe</v>
          </cell>
          <cell r="I1546" t="str">
            <v>PUMP SYRINGE BASIC DOSE RATE (STAND ALONE)</v>
          </cell>
          <cell r="J1546" t="str">
            <v>13-217</v>
          </cell>
          <cell r="K1546" t="str">
            <v>FRESENIUS KABI</v>
          </cell>
          <cell r="L1546" t="str">
            <v>INJECTOMAT MC AGILIA</v>
          </cell>
          <cell r="M1546" t="str">
            <v>018130/2223183187</v>
          </cell>
          <cell r="N1546" t="str">
            <v>ANESTESIOLOGI</v>
          </cell>
          <cell r="O1546" t="str">
            <v>High Dependency Ward (HDW)</v>
          </cell>
          <cell r="P1546" t="str">
            <v>HM</v>
          </cell>
          <cell r="Q1546">
            <v>4300</v>
          </cell>
        </row>
        <row r="1547">
          <cell r="E1547" t="str">
            <v>KKM/JKN/HSA/10-05-01/H/15/673</v>
          </cell>
          <cell r="F1547" t="str">
            <v>Therapeutic</v>
          </cell>
          <cell r="G1547" t="str">
            <v>Intermediate</v>
          </cell>
          <cell r="H1547" t="str">
            <v>Infusion Pumps, Syringe</v>
          </cell>
          <cell r="I1547" t="str">
            <v>PUMP SYRINGE BASIC DOSE RATE (STAND ALONE)</v>
          </cell>
          <cell r="J1547" t="str">
            <v>13-217</v>
          </cell>
          <cell r="K1547" t="str">
            <v>FRESENIUS KABI</v>
          </cell>
          <cell r="L1547" t="str">
            <v>INJECTOMAT MC AGILIA</v>
          </cell>
          <cell r="M1547" t="str">
            <v>018130/22231679</v>
          </cell>
          <cell r="N1547" t="str">
            <v>ANESTESIOLOGI</v>
          </cell>
          <cell r="O1547" t="str">
            <v>High Dependency Ward (HDW)</v>
          </cell>
          <cell r="P1547" t="str">
            <v>HM</v>
          </cell>
          <cell r="Q1547">
            <v>4300</v>
          </cell>
        </row>
        <row r="1548">
          <cell r="E1548" t="str">
            <v>KKM/JKN/HSA/10-05-01/H/15/674</v>
          </cell>
          <cell r="F1548" t="str">
            <v>Therapeutic</v>
          </cell>
          <cell r="G1548" t="str">
            <v>Intermediate</v>
          </cell>
          <cell r="H1548" t="str">
            <v>Infusion Pumps, Syringe</v>
          </cell>
          <cell r="I1548" t="str">
            <v>PUMP SYRINGE BASIC DOSE RATE (STAND ALONE)</v>
          </cell>
          <cell r="J1548" t="str">
            <v>13-217</v>
          </cell>
          <cell r="K1548" t="str">
            <v>FRESENIUS KABI</v>
          </cell>
          <cell r="L1548" t="str">
            <v>INJECTOMAT MC AGILIA</v>
          </cell>
          <cell r="M1548" t="str">
            <v>018130/22231627</v>
          </cell>
          <cell r="N1548" t="str">
            <v>ANESTESIOLOGI</v>
          </cell>
          <cell r="O1548" t="str">
            <v>High Dependency Ward (HDW)</v>
          </cell>
          <cell r="P1548" t="str">
            <v>HM</v>
          </cell>
          <cell r="Q1548">
            <v>4300</v>
          </cell>
        </row>
        <row r="1549">
          <cell r="E1549" t="str">
            <v>KKM/JKN/HSA/10-05-01/H/15/675</v>
          </cell>
          <cell r="F1549" t="str">
            <v>Therapeutic</v>
          </cell>
          <cell r="G1549" t="str">
            <v>Intermediate</v>
          </cell>
          <cell r="H1549" t="str">
            <v>Infusion Pumps, Syringe</v>
          </cell>
          <cell r="I1549" t="str">
            <v>PUMP SYRINGE BASIC DOSE RATE (STAND ALONE)</v>
          </cell>
          <cell r="J1549" t="str">
            <v>13-217</v>
          </cell>
          <cell r="K1549" t="str">
            <v>FRESENIUS KABI</v>
          </cell>
          <cell r="L1549" t="str">
            <v>INJECTOMAT MC AGILIA</v>
          </cell>
          <cell r="M1549" t="str">
            <v>018130/22230717</v>
          </cell>
          <cell r="N1549" t="str">
            <v>ANESTESIOLOGI</v>
          </cell>
          <cell r="O1549" t="str">
            <v>High Dependency Ward (HDW)</v>
          </cell>
          <cell r="P1549" t="str">
            <v>HM</v>
          </cell>
          <cell r="Q1549">
            <v>4300</v>
          </cell>
        </row>
        <row r="1550">
          <cell r="E1550" t="str">
            <v>KKM/JKN/HSA/10-05-01/H/15/676</v>
          </cell>
          <cell r="F1550" t="str">
            <v>Therapeutic</v>
          </cell>
          <cell r="G1550" t="str">
            <v>Intermediate</v>
          </cell>
          <cell r="H1550" t="str">
            <v>Infusion Pumps, Syringe</v>
          </cell>
          <cell r="I1550" t="str">
            <v>PUMP SYRINGE BASIC DOSE RATE (STAND ALONE)</v>
          </cell>
          <cell r="J1550" t="str">
            <v>13-217</v>
          </cell>
          <cell r="K1550" t="str">
            <v>FRESENIUS KABI</v>
          </cell>
          <cell r="L1550" t="str">
            <v>INJECTOMAT MC AGILIA</v>
          </cell>
          <cell r="M1550" t="str">
            <v>018130/22231674</v>
          </cell>
          <cell r="N1550" t="str">
            <v>ANESTESIOLOGI</v>
          </cell>
          <cell r="O1550" t="str">
            <v>High Dependency Ward (HDW)</v>
          </cell>
          <cell r="P1550" t="str">
            <v>HM</v>
          </cell>
          <cell r="Q1550">
            <v>4300</v>
          </cell>
        </row>
        <row r="1551">
          <cell r="E1551" t="str">
            <v>KKM/JKN/HSA/10-05-01/H/15/677</v>
          </cell>
          <cell r="F1551" t="str">
            <v>Therapeutic</v>
          </cell>
          <cell r="G1551" t="str">
            <v>Intermediate</v>
          </cell>
          <cell r="H1551" t="str">
            <v>Infusion Pumps, Syringe</v>
          </cell>
          <cell r="I1551" t="str">
            <v>PUMP SYRINGE BASIC DOSE RATE (STAND ALONE)</v>
          </cell>
          <cell r="J1551" t="str">
            <v>13-217</v>
          </cell>
          <cell r="K1551" t="str">
            <v>FRESENIUS KABI</v>
          </cell>
          <cell r="L1551" t="str">
            <v>INJECTOMAT MC AGILIA</v>
          </cell>
          <cell r="M1551" t="str">
            <v>018130/22231615</v>
          </cell>
          <cell r="N1551" t="str">
            <v>ANESTESIOLOGI</v>
          </cell>
          <cell r="O1551" t="str">
            <v>High Dependency Ward (HDW)</v>
          </cell>
          <cell r="P1551" t="str">
            <v>HM</v>
          </cell>
          <cell r="Q1551">
            <v>4300</v>
          </cell>
        </row>
        <row r="1552">
          <cell r="E1552" t="str">
            <v>KKM/JKN/HSA/10-05-01/H/15/678</v>
          </cell>
          <cell r="F1552" t="str">
            <v>Therapeutic</v>
          </cell>
          <cell r="G1552" t="str">
            <v>Intermediate</v>
          </cell>
          <cell r="H1552" t="str">
            <v>Infusion Pumps, Syringe</v>
          </cell>
          <cell r="I1552" t="str">
            <v>PUMP SYRINGE BASIC DOSE RATE (STAND ALONE)</v>
          </cell>
          <cell r="J1552" t="str">
            <v>13-217</v>
          </cell>
          <cell r="K1552" t="str">
            <v>FRESENIUS KABI</v>
          </cell>
          <cell r="L1552" t="str">
            <v>INJECTOMAT MC AGILIA</v>
          </cell>
          <cell r="M1552" t="str">
            <v>018130/22231619</v>
          </cell>
          <cell r="N1552" t="str">
            <v>ANESTESIOLOGI</v>
          </cell>
          <cell r="O1552" t="str">
            <v>High Dependency Ward (HDW)</v>
          </cell>
          <cell r="P1552" t="str">
            <v>HM</v>
          </cell>
          <cell r="Q1552">
            <v>4300</v>
          </cell>
        </row>
        <row r="1553">
          <cell r="E1553" t="str">
            <v>KKM/JKN/HSA/10-05-01/H/15/679</v>
          </cell>
          <cell r="F1553" t="str">
            <v>Therapeutic</v>
          </cell>
          <cell r="G1553" t="str">
            <v>Intermediate</v>
          </cell>
          <cell r="H1553" t="str">
            <v>Infusion Pumps, Syringe</v>
          </cell>
          <cell r="I1553" t="str">
            <v>PUMP SYRINGE BASIC DOSE RATE (STAND ALONE)</v>
          </cell>
          <cell r="J1553" t="str">
            <v>13-217</v>
          </cell>
          <cell r="K1553" t="str">
            <v>FRESENIUS KABI</v>
          </cell>
          <cell r="L1553" t="str">
            <v>INJECTOMAT MC AGILIA</v>
          </cell>
          <cell r="M1553" t="str">
            <v>018130/22231830</v>
          </cell>
          <cell r="N1553" t="str">
            <v>ANESTESIOLOGI</v>
          </cell>
          <cell r="O1553" t="str">
            <v>High Dependency Ward (HDW)</v>
          </cell>
          <cell r="P1553" t="str">
            <v>HM</v>
          </cell>
          <cell r="Q1553">
            <v>4300</v>
          </cell>
        </row>
        <row r="1554">
          <cell r="E1554" t="str">
            <v>KKM/JKN/HSA/10-05-01/H/15/680</v>
          </cell>
          <cell r="F1554" t="str">
            <v>Therapeutic</v>
          </cell>
          <cell r="G1554" t="str">
            <v>Intermediate</v>
          </cell>
          <cell r="H1554" t="str">
            <v>Infusion Pumps, Syringe</v>
          </cell>
          <cell r="I1554" t="str">
            <v>PUMP SYRINGE BASIC DOSE RATE (STAND ALONE)</v>
          </cell>
          <cell r="J1554" t="str">
            <v>13-217</v>
          </cell>
          <cell r="K1554" t="str">
            <v>FRESENIUS KABI</v>
          </cell>
          <cell r="L1554" t="str">
            <v>INJECTOMAT MC AGILIA</v>
          </cell>
          <cell r="M1554" t="str">
            <v>018130/22231665</v>
          </cell>
          <cell r="N1554" t="str">
            <v>ANESTESIOLOGI</v>
          </cell>
          <cell r="O1554" t="str">
            <v>High Dependency Ward (HDW)</v>
          </cell>
          <cell r="P1554" t="str">
            <v>HM</v>
          </cell>
          <cell r="Q1554">
            <v>4300</v>
          </cell>
        </row>
        <row r="1555">
          <cell r="E1555" t="str">
            <v>KKM/JKN/HSA/10-05-01/H/15/681</v>
          </cell>
          <cell r="F1555" t="str">
            <v>Therapeutic</v>
          </cell>
          <cell r="G1555" t="str">
            <v>Intermediate</v>
          </cell>
          <cell r="H1555" t="str">
            <v>Infusion Pumps, Syringe</v>
          </cell>
          <cell r="I1555" t="str">
            <v>PUMP SYRINGE BASIC DOSE RATE (STAND ALONE)</v>
          </cell>
          <cell r="J1555" t="str">
            <v>13-217</v>
          </cell>
          <cell r="K1555" t="str">
            <v>FRESENIUS KABI</v>
          </cell>
          <cell r="L1555" t="str">
            <v>INJECTOMAT MC AGILIA</v>
          </cell>
          <cell r="M1555" t="str">
            <v>018130/22231527</v>
          </cell>
          <cell r="N1555" t="str">
            <v>ANESTESIOLOGI</v>
          </cell>
          <cell r="O1555" t="str">
            <v>High Dependency Ward (HDW)</v>
          </cell>
          <cell r="P1555" t="str">
            <v>HM</v>
          </cell>
          <cell r="Q1555">
            <v>4300</v>
          </cell>
        </row>
        <row r="1556">
          <cell r="E1556" t="str">
            <v>KKM/JKN/HSA/10-05-01/H/15/682</v>
          </cell>
          <cell r="F1556" t="str">
            <v>Therapeutic</v>
          </cell>
          <cell r="G1556" t="str">
            <v>Intermediate</v>
          </cell>
          <cell r="H1556" t="str">
            <v>Infusion Pumps, Syringe</v>
          </cell>
          <cell r="I1556" t="str">
            <v>PUMP SYRINGE BASIC DOSE RATE (STAND ALONE)</v>
          </cell>
          <cell r="J1556" t="str">
            <v>13-217</v>
          </cell>
          <cell r="K1556" t="str">
            <v>FRESENIUS KABI</v>
          </cell>
          <cell r="L1556" t="str">
            <v>INJECTOMAT MC AGILIA</v>
          </cell>
          <cell r="M1556" t="str">
            <v>018130/22230715</v>
          </cell>
          <cell r="N1556" t="str">
            <v>ANESTESIOLOGI</v>
          </cell>
          <cell r="O1556" t="str">
            <v>High Dependency Ward (HDW)</v>
          </cell>
          <cell r="P1556" t="str">
            <v>HM</v>
          </cell>
          <cell r="Q1556">
            <v>4300</v>
          </cell>
        </row>
        <row r="1557">
          <cell r="E1557" t="str">
            <v>KKM/JKN/HSA/10-05-01/H/15/683</v>
          </cell>
          <cell r="F1557" t="str">
            <v>Therapeutic</v>
          </cell>
          <cell r="G1557" t="str">
            <v>Intermediate</v>
          </cell>
          <cell r="H1557" t="str">
            <v>Infusion Pumps, Syringe</v>
          </cell>
          <cell r="I1557" t="str">
            <v>PUMP SYRINGE BASIC DOSE RATE (STAND ALONE)</v>
          </cell>
          <cell r="J1557" t="str">
            <v>13-217</v>
          </cell>
          <cell r="K1557" t="str">
            <v>FRESENIUS KABI</v>
          </cell>
          <cell r="L1557" t="str">
            <v>INJECTOMAT MC AGILIA</v>
          </cell>
          <cell r="M1557" t="str">
            <v>018130/22231714</v>
          </cell>
          <cell r="N1557" t="str">
            <v>ANESTESIOLOGI</v>
          </cell>
          <cell r="O1557" t="str">
            <v>High Dependency Ward (HDW)</v>
          </cell>
          <cell r="P1557" t="str">
            <v>HM</v>
          </cell>
          <cell r="Q1557">
            <v>4300</v>
          </cell>
        </row>
        <row r="1558">
          <cell r="E1558" t="str">
            <v>KKM/JKN/HSA/10-05-01/H/15/684</v>
          </cell>
          <cell r="F1558" t="str">
            <v>Therapeutic</v>
          </cell>
          <cell r="G1558" t="str">
            <v>Intermediate</v>
          </cell>
          <cell r="H1558" t="str">
            <v>Infusion Pumps, Syringe</v>
          </cell>
          <cell r="I1558" t="str">
            <v>PUMP SYRINGE BASIC DOSE RATE (STAND ALONE)</v>
          </cell>
          <cell r="J1558" t="str">
            <v>13-217</v>
          </cell>
          <cell r="K1558" t="str">
            <v>FRESENIUS KABI</v>
          </cell>
          <cell r="L1558" t="str">
            <v>INJECTOMAT MC AGILIA</v>
          </cell>
          <cell r="M1558" t="str">
            <v>018130/22231612</v>
          </cell>
          <cell r="N1558" t="str">
            <v>ANESTESIOLOGI</v>
          </cell>
          <cell r="O1558" t="str">
            <v>High Dependency Ward (HDW)</v>
          </cell>
          <cell r="P1558" t="str">
            <v>HM</v>
          </cell>
          <cell r="Q1558">
            <v>4300</v>
          </cell>
        </row>
        <row r="1559">
          <cell r="E1559" t="str">
            <v>KKM/JKN/HSA/10-05-01/H/15/685</v>
          </cell>
          <cell r="F1559" t="str">
            <v>Therapeutic</v>
          </cell>
          <cell r="G1559" t="str">
            <v>Intermediate</v>
          </cell>
          <cell r="H1559" t="str">
            <v>Infusion Pumps, Syringe</v>
          </cell>
          <cell r="I1559" t="str">
            <v>PUMP SYRINGE BASIC DOSE RATE (STAND ALONE)</v>
          </cell>
          <cell r="J1559" t="str">
            <v>13-217</v>
          </cell>
          <cell r="K1559" t="str">
            <v>FRESENIUS KABI</v>
          </cell>
          <cell r="L1559" t="str">
            <v>INJECTOMAT MC AGILIA</v>
          </cell>
          <cell r="M1559"/>
          <cell r="N1559" t="str">
            <v>ANESTESIOLOGI</v>
          </cell>
          <cell r="O1559" t="str">
            <v>High Dependency Ward (HDW)</v>
          </cell>
          <cell r="P1559" t="str">
            <v>HM</v>
          </cell>
          <cell r="Q1559">
            <v>4300</v>
          </cell>
        </row>
        <row r="1560">
          <cell r="E1560" t="str">
            <v>KKM/JKN/HSA/10-05-01/H/15/917</v>
          </cell>
          <cell r="F1560" t="str">
            <v>Therapeutic</v>
          </cell>
          <cell r="G1560" t="str">
            <v>Intermediate</v>
          </cell>
          <cell r="H1560" t="str">
            <v>Infusion Pumps, Syringe</v>
          </cell>
          <cell r="I1560" t="str">
            <v>PUMP SYRINGE</v>
          </cell>
          <cell r="J1560" t="str">
            <v>13-217</v>
          </cell>
          <cell r="K1560" t="str">
            <v>FRESENIUS KABI</v>
          </cell>
          <cell r="L1560" t="str">
            <v>MODULE DPS</v>
          </cell>
          <cell r="M1560" t="str">
            <v>082594/22233509</v>
          </cell>
          <cell r="N1560" t="str">
            <v>ANESTESIOLOGI</v>
          </cell>
          <cell r="O1560" t="str">
            <v>High Dependency Ward (HDW)</v>
          </cell>
          <cell r="P1560" t="str">
            <v>HM</v>
          </cell>
          <cell r="Q1560">
            <v>4650</v>
          </cell>
        </row>
        <row r="1561">
          <cell r="E1561" t="str">
            <v>KKM/JKN/HSA/10-05-01/H/15/918</v>
          </cell>
          <cell r="F1561" t="str">
            <v>Therapeutic</v>
          </cell>
          <cell r="G1561" t="str">
            <v>Intermediate</v>
          </cell>
          <cell r="H1561" t="str">
            <v>Infusion Pumps, Syringe</v>
          </cell>
          <cell r="I1561" t="str">
            <v>PUMP SYRINGE</v>
          </cell>
          <cell r="J1561" t="str">
            <v>13-217</v>
          </cell>
          <cell r="K1561" t="str">
            <v>FRESENIUS KABI</v>
          </cell>
          <cell r="L1561" t="str">
            <v>MODULE DPS</v>
          </cell>
          <cell r="M1561" t="str">
            <v>082594/22233515</v>
          </cell>
          <cell r="N1561" t="str">
            <v>ANESTESIOLOGI</v>
          </cell>
          <cell r="O1561" t="str">
            <v>High Dependency Ward (HDW)</v>
          </cell>
          <cell r="P1561" t="str">
            <v>HM</v>
          </cell>
          <cell r="Q1561">
            <v>4650</v>
          </cell>
        </row>
        <row r="1562">
          <cell r="E1562" t="str">
            <v>KKM/JKN/HSA/10-05-01/H/15/919</v>
          </cell>
          <cell r="F1562" t="str">
            <v>Therapeutic</v>
          </cell>
          <cell r="G1562" t="str">
            <v>Intermediate</v>
          </cell>
          <cell r="H1562" t="str">
            <v>Infusion Pumps, Syringe</v>
          </cell>
          <cell r="I1562" t="str">
            <v>PUMP SYRINGE</v>
          </cell>
          <cell r="J1562" t="str">
            <v>13-217</v>
          </cell>
          <cell r="K1562" t="str">
            <v>FRESENIUS KABI</v>
          </cell>
          <cell r="L1562" t="str">
            <v>MODULE DPS</v>
          </cell>
          <cell r="M1562">
            <v>22202938</v>
          </cell>
          <cell r="N1562" t="str">
            <v>ANESTESIOLOGI</v>
          </cell>
          <cell r="O1562" t="str">
            <v>High Dependency Ward (HDW)</v>
          </cell>
          <cell r="P1562" t="str">
            <v>HM</v>
          </cell>
          <cell r="Q1562">
            <v>4650</v>
          </cell>
        </row>
        <row r="1563">
          <cell r="E1563" t="str">
            <v>KKM/JKN/HSA/10-05-01/H/15/920</v>
          </cell>
          <cell r="F1563" t="str">
            <v>Therapeutic</v>
          </cell>
          <cell r="G1563" t="str">
            <v>Intermediate</v>
          </cell>
          <cell r="H1563" t="str">
            <v>Infusion Pumps, Syringe</v>
          </cell>
          <cell r="I1563" t="str">
            <v>PUMP SYRINGE</v>
          </cell>
          <cell r="J1563" t="str">
            <v>13-217</v>
          </cell>
          <cell r="K1563" t="str">
            <v>FRESENIUS KABI</v>
          </cell>
          <cell r="L1563" t="str">
            <v>MODULE DPS</v>
          </cell>
          <cell r="M1563">
            <v>21513158</v>
          </cell>
          <cell r="N1563" t="str">
            <v>ANESTESIOLOGI</v>
          </cell>
          <cell r="O1563" t="str">
            <v>High Dependency Ward (HDW)</v>
          </cell>
          <cell r="P1563" t="str">
            <v>HM</v>
          </cell>
          <cell r="Q1563">
            <v>4650</v>
          </cell>
        </row>
        <row r="1564">
          <cell r="E1564" t="str">
            <v>KKM/JKN/HSA/10-05-01/H/15/921</v>
          </cell>
          <cell r="F1564" t="str">
            <v>Therapeutic</v>
          </cell>
          <cell r="G1564" t="str">
            <v>Intermediate</v>
          </cell>
          <cell r="H1564" t="str">
            <v>Infusion Pumps, Syringe</v>
          </cell>
          <cell r="I1564" t="str">
            <v>PUMP SYRINGE</v>
          </cell>
          <cell r="J1564" t="str">
            <v>13-217</v>
          </cell>
          <cell r="K1564" t="str">
            <v>FRESENIUS KABI</v>
          </cell>
          <cell r="L1564" t="str">
            <v>MODULE DPS</v>
          </cell>
          <cell r="M1564">
            <v>22051521</v>
          </cell>
          <cell r="N1564" t="str">
            <v>ANESTESIOLOGI</v>
          </cell>
          <cell r="O1564" t="str">
            <v>High Dependency Ward (HDW)</v>
          </cell>
          <cell r="P1564" t="str">
            <v>HM</v>
          </cell>
          <cell r="Q1564">
            <v>4650</v>
          </cell>
        </row>
        <row r="1565">
          <cell r="E1565" t="str">
            <v>KKM/JKN/HSA/10-05-01/H/15/923</v>
          </cell>
          <cell r="F1565" t="str">
            <v>Therapeutic</v>
          </cell>
          <cell r="G1565" t="str">
            <v>Intermediate</v>
          </cell>
          <cell r="H1565" t="str">
            <v>Infusion Pumps, Syringe</v>
          </cell>
          <cell r="I1565" t="str">
            <v>PUMP SYRINGE</v>
          </cell>
          <cell r="J1565" t="str">
            <v>13-217</v>
          </cell>
          <cell r="K1565" t="str">
            <v>FRESENIUS KABI</v>
          </cell>
          <cell r="L1565" t="str">
            <v>MODULE DPS</v>
          </cell>
          <cell r="M1565">
            <v>22202937</v>
          </cell>
          <cell r="N1565" t="str">
            <v>ANESTESIOLOGI</v>
          </cell>
          <cell r="O1565" t="str">
            <v>High Dependency Ward (HDW)</v>
          </cell>
          <cell r="P1565" t="str">
            <v>HM</v>
          </cell>
          <cell r="Q1565">
            <v>4650</v>
          </cell>
        </row>
        <row r="1566">
          <cell r="E1566" t="str">
            <v>KKM/JKN/HSA/10-05-01/H/15/922</v>
          </cell>
          <cell r="F1566" t="str">
            <v>Therapeutic</v>
          </cell>
          <cell r="G1566" t="str">
            <v>Intermediate</v>
          </cell>
          <cell r="H1566" t="str">
            <v>Infusion Pumps, Syringe</v>
          </cell>
          <cell r="I1566" t="str">
            <v>PUMP SYRINGE</v>
          </cell>
          <cell r="J1566" t="str">
            <v>13-217</v>
          </cell>
          <cell r="K1566" t="str">
            <v>FRESENIUS KABI</v>
          </cell>
          <cell r="L1566" t="str">
            <v>MODULE DPS</v>
          </cell>
          <cell r="M1566"/>
          <cell r="N1566" t="str">
            <v>ANESTESIOLOGI</v>
          </cell>
          <cell r="O1566" t="str">
            <v>High Dependency Ward (HDW)</v>
          </cell>
          <cell r="P1566" t="str">
            <v>HM</v>
          </cell>
          <cell r="Q1566">
            <v>4650</v>
          </cell>
        </row>
        <row r="1567">
          <cell r="E1567" t="str">
            <v>KKM/JKN/HSA/10-05-01/H/15/924</v>
          </cell>
          <cell r="F1567" t="str">
            <v>Therapeutic</v>
          </cell>
          <cell r="G1567" t="str">
            <v>Intermediate</v>
          </cell>
          <cell r="H1567" t="str">
            <v>Infusion Pumps, Syringe</v>
          </cell>
          <cell r="I1567" t="str">
            <v>PUMP SYRINGE</v>
          </cell>
          <cell r="J1567" t="str">
            <v>13-217</v>
          </cell>
          <cell r="K1567" t="str">
            <v>FRESENIUS KABI</v>
          </cell>
          <cell r="L1567" t="str">
            <v>MODULE DPS</v>
          </cell>
          <cell r="M1567"/>
          <cell r="N1567" t="str">
            <v>ANESTESIOLOGI</v>
          </cell>
          <cell r="O1567" t="str">
            <v>High Dependency Ward (HDW)</v>
          </cell>
          <cell r="P1567" t="str">
            <v>HM</v>
          </cell>
          <cell r="Q1567">
            <v>4650</v>
          </cell>
        </row>
        <row r="1568">
          <cell r="E1568" t="str">
            <v>KKM/JKN/HSA/10-05-01/H/15/1774</v>
          </cell>
          <cell r="F1568" t="str">
            <v>Therapeutic</v>
          </cell>
          <cell r="G1568" t="str">
            <v>Basic</v>
          </cell>
          <cell r="H1568" t="str">
            <v>Pumps, Enteral Feeding</v>
          </cell>
          <cell r="I1568" t="str">
            <v>PUMP ENTERAL FEEDING</v>
          </cell>
          <cell r="J1568" t="str">
            <v>13-209</v>
          </cell>
          <cell r="K1568" t="str">
            <v>FRESENIUS KABI</v>
          </cell>
          <cell r="L1568" t="str">
            <v>APPLIX VISION</v>
          </cell>
          <cell r="M1568" t="str">
            <v>7751811/2223611</v>
          </cell>
          <cell r="N1568" t="str">
            <v>ANESTESIOLOGI</v>
          </cell>
          <cell r="O1568" t="str">
            <v>High Dependency Ward (HDW)</v>
          </cell>
          <cell r="P1568" t="str">
            <v>HM</v>
          </cell>
          <cell r="Q1568">
            <v>2975</v>
          </cell>
        </row>
        <row r="1569">
          <cell r="E1569" t="str">
            <v>KKM/JKN/HSA/10-05-01/H/15/1775</v>
          </cell>
          <cell r="F1569" t="str">
            <v>Therapeutic</v>
          </cell>
          <cell r="G1569" t="str">
            <v>Basic</v>
          </cell>
          <cell r="H1569" t="str">
            <v>Pumps, Enteral Feeding</v>
          </cell>
          <cell r="I1569" t="str">
            <v>PUMP ENTERAL FEEDING</v>
          </cell>
          <cell r="J1569" t="str">
            <v>13-209</v>
          </cell>
          <cell r="K1569" t="str">
            <v>FRESENIUS KABI</v>
          </cell>
          <cell r="L1569" t="str">
            <v>APPLIX VISION</v>
          </cell>
          <cell r="M1569" t="str">
            <v xml:space="preserve"> 7751811/22232613</v>
          </cell>
          <cell r="N1569" t="str">
            <v>ANESTESIOLOGI</v>
          </cell>
          <cell r="O1569" t="str">
            <v>High Dependency Ward (HDW)</v>
          </cell>
          <cell r="P1569" t="str">
            <v>HM</v>
          </cell>
          <cell r="Q1569">
            <v>2975</v>
          </cell>
        </row>
        <row r="1570">
          <cell r="E1570" t="str">
            <v>KKM/JKN/HSA/10-05-01/H/15/1776</v>
          </cell>
          <cell r="F1570" t="str">
            <v>Therapeutic</v>
          </cell>
          <cell r="G1570" t="str">
            <v>Basic</v>
          </cell>
          <cell r="H1570" t="str">
            <v>Pumps, Enteral Feeding</v>
          </cell>
          <cell r="I1570" t="str">
            <v>PUMP ENTERAL FEEDING</v>
          </cell>
          <cell r="J1570" t="str">
            <v>13-209</v>
          </cell>
          <cell r="K1570" t="str">
            <v>FRESENIUS KABI</v>
          </cell>
          <cell r="L1570" t="str">
            <v>APPLIX VISION</v>
          </cell>
          <cell r="M1570">
            <v>22232619</v>
          </cell>
          <cell r="N1570" t="str">
            <v>ANESTESIOLOGI</v>
          </cell>
          <cell r="O1570" t="str">
            <v>High Dependency Ward (HDW)</v>
          </cell>
          <cell r="P1570" t="str">
            <v>HM</v>
          </cell>
          <cell r="Q1570">
            <v>2975</v>
          </cell>
        </row>
        <row r="1571">
          <cell r="E1571" t="str">
            <v>KKM/JKN/HSA/10-05-01/H/15/1777</v>
          </cell>
          <cell r="F1571" t="str">
            <v>Therapeutic</v>
          </cell>
          <cell r="G1571" t="str">
            <v>Basic</v>
          </cell>
          <cell r="H1571" t="str">
            <v>Pumps, Enteral Feeding</v>
          </cell>
          <cell r="I1571" t="str">
            <v>PUMP ENTERAL FEEDING</v>
          </cell>
          <cell r="J1571" t="str">
            <v>13-209</v>
          </cell>
          <cell r="K1571" t="str">
            <v>FRESENIUS KABI</v>
          </cell>
          <cell r="L1571" t="str">
            <v>APPLIX VISION</v>
          </cell>
          <cell r="M1571">
            <v>22232618</v>
          </cell>
          <cell r="N1571" t="str">
            <v>ANESTESIOLOGI</v>
          </cell>
          <cell r="O1571" t="str">
            <v>High Dependency Ward (HDW)</v>
          </cell>
          <cell r="P1571" t="str">
            <v>HM</v>
          </cell>
          <cell r="Q1571">
            <v>2975</v>
          </cell>
        </row>
        <row r="1572">
          <cell r="E1572" t="str">
            <v>KKM/JKN/HSA/10-05-01/H/15/2460</v>
          </cell>
          <cell r="F1572" t="str">
            <v>Therapeutic</v>
          </cell>
          <cell r="G1572" t="str">
            <v>Intermediate</v>
          </cell>
          <cell r="H1572" t="str">
            <v>Water Purification Systems, Reverse Osmosis, Hemodialysis, P0rtable</v>
          </cell>
          <cell r="I1572" t="str">
            <v>P0RTABLE RO UNIT</v>
          </cell>
          <cell r="J1572" t="str">
            <v>20-683</v>
          </cell>
          <cell r="K1572" t="str">
            <v>GAMBRO</v>
          </cell>
          <cell r="L1572" t="str">
            <v>WRO 300 H</v>
          </cell>
          <cell r="M1572" t="str">
            <v>SN 10192</v>
          </cell>
          <cell r="N1572" t="str">
            <v>NEFROLOGI</v>
          </cell>
          <cell r="O1572" t="str">
            <v>High Dependency Ward (HDW)</v>
          </cell>
          <cell r="P1572" t="str">
            <v>HM</v>
          </cell>
          <cell r="Q1572">
            <v>44500</v>
          </cell>
        </row>
        <row r="1573">
          <cell r="E1573" t="str">
            <v>KKM/JKN/HSA/10-05-01/H/15/2461</v>
          </cell>
          <cell r="F1573" t="str">
            <v>Therapeutic</v>
          </cell>
          <cell r="G1573" t="str">
            <v>Intermediate</v>
          </cell>
          <cell r="H1573" t="str">
            <v>Water Purification Systems, Reverse Osmosis, Hemodialysis, P0rtable</v>
          </cell>
          <cell r="I1573" t="str">
            <v>P0RTABLE RO UNIT</v>
          </cell>
          <cell r="J1573" t="str">
            <v>20-683</v>
          </cell>
          <cell r="K1573" t="str">
            <v>GAMBRO</v>
          </cell>
          <cell r="L1573" t="str">
            <v>WRO 300 H</v>
          </cell>
          <cell r="M1573" t="str">
            <v>SN 10043</v>
          </cell>
          <cell r="N1573" t="str">
            <v>NEFROLOGI</v>
          </cell>
          <cell r="O1573" t="str">
            <v>High Dependency Ward (HDW)</v>
          </cell>
          <cell r="P1573" t="str">
            <v>HM</v>
          </cell>
          <cell r="Q1573">
            <v>44500</v>
          </cell>
        </row>
        <row r="1574">
          <cell r="E1574" t="str">
            <v>KKM/JKN/HSA/10-05-01/H/16/94</v>
          </cell>
          <cell r="F1574" t="str">
            <v>Therapeutic</v>
          </cell>
          <cell r="G1574" t="str">
            <v>Basic</v>
          </cell>
          <cell r="H1574" t="str">
            <v>Warming Units, Blanket</v>
          </cell>
          <cell r="I1574" t="str">
            <v>PATIENT WARMER (BLANKET)</v>
          </cell>
          <cell r="J1574" t="str">
            <v>10-414</v>
          </cell>
          <cell r="K1574" t="str">
            <v>MISTRAL AIR PLUS WARMING</v>
          </cell>
          <cell r="L1574" t="str">
            <v>TPM</v>
          </cell>
          <cell r="M1574">
            <v>160747778</v>
          </cell>
          <cell r="N1574" t="str">
            <v>ANESTESIOLOGI</v>
          </cell>
          <cell r="O1574" t="str">
            <v>High Dependency Ward (HDW)</v>
          </cell>
          <cell r="P1574" t="str">
            <v>HM</v>
          </cell>
          <cell r="Q1574">
            <v>9000</v>
          </cell>
        </row>
        <row r="1575">
          <cell r="E1575" t="str">
            <v>KKM/JKN/HSA/10-05-01/H/16/95</v>
          </cell>
          <cell r="F1575" t="str">
            <v>Therapeutic</v>
          </cell>
          <cell r="G1575" t="str">
            <v>Basic</v>
          </cell>
          <cell r="H1575" t="str">
            <v>Warming Units, Blanket</v>
          </cell>
          <cell r="I1575" t="str">
            <v>PATIENT WARMER (BLANKET)</v>
          </cell>
          <cell r="J1575" t="str">
            <v>10-414</v>
          </cell>
          <cell r="K1575" t="str">
            <v>MISTRAL AIR PLUS WARMING</v>
          </cell>
          <cell r="L1575" t="str">
            <v>TPM</v>
          </cell>
          <cell r="M1575">
            <v>160747779</v>
          </cell>
          <cell r="N1575" t="str">
            <v>ANESTESIOLOGI</v>
          </cell>
          <cell r="O1575" t="str">
            <v>High Dependency Ward (HDW)</v>
          </cell>
          <cell r="P1575" t="str">
            <v>HM</v>
          </cell>
          <cell r="Q1575">
            <v>9000</v>
          </cell>
        </row>
        <row r="1576">
          <cell r="E1576" t="str">
            <v>KKM/JKN/HSA/10-05-01/H/15/4134</v>
          </cell>
          <cell r="F1576" t="str">
            <v xml:space="preserve">Diagnostic </v>
          </cell>
          <cell r="G1576" t="str">
            <v>Intermediate</v>
          </cell>
          <cell r="H1576" t="str">
            <v>Physiologic Monitoring Systems, Acute Care</v>
          </cell>
          <cell r="I1576" t="str">
            <v>MONITOR PRE-CONFIG 6-CH ECG/RR/SP02/NIBP/2TEMP/2IBP/12L/ARRHYTH</v>
          </cell>
          <cell r="J1576" t="str">
            <v>12-647</v>
          </cell>
          <cell r="K1576" t="str">
            <v>MINDRAY</v>
          </cell>
          <cell r="L1576" t="str">
            <v>IPM 12</v>
          </cell>
          <cell r="M1576" t="str">
            <v>FH51016104</v>
          </cell>
          <cell r="N1576" t="str">
            <v>ANESTESIOLOGI</v>
          </cell>
          <cell r="O1576" t="str">
            <v>High Dependency Ward (HDW)</v>
          </cell>
          <cell r="P1576" t="str">
            <v>HM</v>
          </cell>
          <cell r="Q1576">
            <v>19200</v>
          </cell>
        </row>
        <row r="1577">
          <cell r="E1577" t="str">
            <v>KKM/JKN/HSA/10-05-01/H/15/4135</v>
          </cell>
          <cell r="F1577" t="str">
            <v xml:space="preserve">Diagnostic </v>
          </cell>
          <cell r="G1577" t="str">
            <v>Intermediate</v>
          </cell>
          <cell r="H1577" t="str">
            <v>Physiologic Monitoring Systems, Acute Care</v>
          </cell>
          <cell r="I1577" t="str">
            <v>MONITOR PRE-CONFIG 6-CH ECG/RR/SP02/NIBP/2TEMP/2IBP/12L/ARRHYTH</v>
          </cell>
          <cell r="J1577" t="str">
            <v>12-647</v>
          </cell>
          <cell r="K1577" t="str">
            <v>MINDRAY</v>
          </cell>
          <cell r="L1577" t="str">
            <v>IPM 12</v>
          </cell>
          <cell r="M1577" t="str">
            <v>FH51016102</v>
          </cell>
          <cell r="N1577" t="str">
            <v>ANESTESIOLOGI</v>
          </cell>
          <cell r="O1577" t="str">
            <v>High Dependency Ward (HDW)</v>
          </cell>
          <cell r="P1577" t="str">
            <v>HM</v>
          </cell>
          <cell r="Q1577">
            <v>19200</v>
          </cell>
        </row>
        <row r="1578">
          <cell r="E1578" t="str">
            <v>KKM/JKN/HSA/10-05-01/H/15/4136</v>
          </cell>
          <cell r="F1578" t="str">
            <v xml:space="preserve">Diagnostic </v>
          </cell>
          <cell r="G1578" t="str">
            <v>Intermediate</v>
          </cell>
          <cell r="H1578" t="str">
            <v>Physiologic Monitoring Systems, Acute Care</v>
          </cell>
          <cell r="I1578" t="str">
            <v>MONITOR PRE-CONFIG 6-CH ECG/RR/SP02/NIBP/2TEMP/2IBP/12L/ARRHYTH</v>
          </cell>
          <cell r="J1578" t="str">
            <v>12-647</v>
          </cell>
          <cell r="K1578" t="str">
            <v>MINDRAY</v>
          </cell>
          <cell r="L1578" t="str">
            <v>IPM 12</v>
          </cell>
          <cell r="M1578" t="str">
            <v>FH51016109</v>
          </cell>
          <cell r="N1578" t="str">
            <v>ANESTESIOLOGI</v>
          </cell>
          <cell r="O1578" t="str">
            <v>High Dependency Ward (HDW)</v>
          </cell>
          <cell r="P1578" t="str">
            <v>HM</v>
          </cell>
          <cell r="Q1578">
            <v>19200</v>
          </cell>
        </row>
        <row r="1579">
          <cell r="E1579" t="str">
            <v>KKM/JKN/HSA/10-05-01/H/15/4137</v>
          </cell>
          <cell r="F1579" t="str">
            <v xml:space="preserve">Diagnostic </v>
          </cell>
          <cell r="G1579" t="str">
            <v>Intermediate</v>
          </cell>
          <cell r="H1579" t="str">
            <v>Physiologic Monitoring Systems, Acute Care</v>
          </cell>
          <cell r="I1579" t="str">
            <v>MONITOR PRE-CONFIG 6-CH ECG/RR/SP02/NIBP/2TEMP/2IBP/12L/ARRHYTH</v>
          </cell>
          <cell r="J1579" t="str">
            <v>12-647</v>
          </cell>
          <cell r="K1579" t="str">
            <v>MINDRAY</v>
          </cell>
          <cell r="L1579" t="str">
            <v>IPM 12</v>
          </cell>
          <cell r="M1579" t="str">
            <v>FH51016112</v>
          </cell>
          <cell r="N1579" t="str">
            <v>ANESTESIOLOGI</v>
          </cell>
          <cell r="O1579" t="str">
            <v>High Dependency Ward (HDW)</v>
          </cell>
          <cell r="P1579" t="str">
            <v>HM</v>
          </cell>
          <cell r="Q1579">
            <v>19200</v>
          </cell>
        </row>
        <row r="1580">
          <cell r="E1580" t="str">
            <v>KKM/JKN/HSA/10-05-01/H/15/4138</v>
          </cell>
          <cell r="F1580" t="str">
            <v xml:space="preserve">Diagnostic </v>
          </cell>
          <cell r="G1580" t="str">
            <v>Intermediate</v>
          </cell>
          <cell r="H1580" t="str">
            <v>Physiologic Monitoring Systems, Acute Care</v>
          </cell>
          <cell r="I1580" t="str">
            <v>MONITOR PRE-CONFIG 6-CH ECG/RR/SP02/NIBP/2TEMP/2IBP/12L/ARRHYTH</v>
          </cell>
          <cell r="J1580" t="str">
            <v>12-647</v>
          </cell>
          <cell r="K1580" t="str">
            <v>MINDRAY</v>
          </cell>
          <cell r="L1580" t="str">
            <v>IPM 12</v>
          </cell>
          <cell r="M1580" t="str">
            <v>FH51016104</v>
          </cell>
          <cell r="N1580" t="str">
            <v>ANESTESIOLOGI</v>
          </cell>
          <cell r="O1580" t="str">
            <v>High Dependency Ward (HDW)</v>
          </cell>
          <cell r="P1580" t="str">
            <v>HM</v>
          </cell>
          <cell r="Q1580">
            <v>19200</v>
          </cell>
        </row>
        <row r="1581">
          <cell r="E1581" t="str">
            <v>KKM/JKN/HSA/10-05-01/H/15/4139</v>
          </cell>
          <cell r="F1581" t="str">
            <v xml:space="preserve">Diagnostic </v>
          </cell>
          <cell r="G1581" t="str">
            <v>Intermediate</v>
          </cell>
          <cell r="H1581" t="str">
            <v>Physiologic Monitoring Systems, Acute Care</v>
          </cell>
          <cell r="I1581" t="str">
            <v>MONITOR PRE-CONFIG 6-CH ECG/RR/SP02/NIBP/2TEMP/2IBP/12L/ARRHYTH</v>
          </cell>
          <cell r="J1581" t="str">
            <v>12-647</v>
          </cell>
          <cell r="K1581" t="str">
            <v>MINDRAY</v>
          </cell>
          <cell r="L1581" t="str">
            <v>IPM 12</v>
          </cell>
          <cell r="M1581" t="str">
            <v>FH51016103</v>
          </cell>
          <cell r="N1581" t="str">
            <v>ANESTESIOLOGI</v>
          </cell>
          <cell r="O1581" t="str">
            <v>High Dependency Ward (HDW)</v>
          </cell>
          <cell r="P1581" t="str">
            <v>HM</v>
          </cell>
          <cell r="Q1581">
            <v>19200</v>
          </cell>
        </row>
        <row r="1582">
          <cell r="E1582" t="str">
            <v>KKM/JKN/HSA/10-05-01/H/15/4140</v>
          </cell>
          <cell r="F1582" t="str">
            <v xml:space="preserve">Diagnostic </v>
          </cell>
          <cell r="G1582" t="str">
            <v>Intermediate</v>
          </cell>
          <cell r="H1582" t="str">
            <v>Physiologic Monitoring Systems, Acute Care</v>
          </cell>
          <cell r="I1582" t="str">
            <v>MONITOR PRE-CONFIG 6-CH ECG/RR/SP02/NIBP/2TEMP/2IBP/12L/ARRHYTH</v>
          </cell>
          <cell r="J1582" t="str">
            <v>12-647</v>
          </cell>
          <cell r="K1582" t="str">
            <v>MINDRAY</v>
          </cell>
          <cell r="L1582" t="str">
            <v>IPM 12</v>
          </cell>
          <cell r="M1582" t="str">
            <v>FH51016105</v>
          </cell>
          <cell r="N1582" t="str">
            <v>ANESTESIOLOGI</v>
          </cell>
          <cell r="O1582" t="str">
            <v>High Dependency Ward (HDW)</v>
          </cell>
          <cell r="P1582" t="str">
            <v>HM</v>
          </cell>
          <cell r="Q1582">
            <v>19200</v>
          </cell>
        </row>
        <row r="1583">
          <cell r="E1583" t="str">
            <v>KKM/JKN/HSA/10-05-01/H/15/4141</v>
          </cell>
          <cell r="F1583" t="str">
            <v xml:space="preserve">Diagnostic </v>
          </cell>
          <cell r="G1583" t="str">
            <v>Intermediate</v>
          </cell>
          <cell r="H1583" t="str">
            <v>Physiologic Monitoring Systems, Acute Care</v>
          </cell>
          <cell r="I1583" t="str">
            <v>MONITOR PRE-CONFIG 6-CH ECG/RR/SP02/NIBP/2TEMP/2IBP/12L/ARRHYTH</v>
          </cell>
          <cell r="J1583" t="str">
            <v>12-647</v>
          </cell>
          <cell r="K1583" t="str">
            <v>MINDRAY</v>
          </cell>
          <cell r="L1583" t="str">
            <v>IPM 12</v>
          </cell>
          <cell r="M1583" t="str">
            <v>FH51016111</v>
          </cell>
          <cell r="N1583" t="str">
            <v>ANESTESIOLOGI</v>
          </cell>
          <cell r="O1583" t="str">
            <v>High Dependency Ward (HDW)</v>
          </cell>
          <cell r="P1583" t="str">
            <v>HM</v>
          </cell>
          <cell r="Q1583">
            <v>19200</v>
          </cell>
        </row>
        <row r="1584">
          <cell r="E1584"/>
          <cell r="F1584" t="str">
            <v xml:space="preserve">Diagnostic </v>
          </cell>
          <cell r="G1584" t="str">
            <v>Intermediate</v>
          </cell>
          <cell r="H1584" t="str">
            <v>Physiologic Monitoring Systems, Acute Care</v>
          </cell>
          <cell r="I1584" t="str">
            <v>MONITOR MODULAR 8-CH ECG/RR/NIBP/SP02/2TEMP/2IBP</v>
          </cell>
          <cell r="J1584" t="str">
            <v>12-647</v>
          </cell>
          <cell r="K1584" t="str">
            <v>MINDRAY</v>
          </cell>
          <cell r="L1584" t="str">
            <v>BENEVIEW T8</v>
          </cell>
          <cell r="M1584"/>
          <cell r="N1584" t="str">
            <v>ANESTESIOLOGI</v>
          </cell>
          <cell r="O1584" t="str">
            <v>High Dependency Ward (HDW)</v>
          </cell>
          <cell r="P1584" t="str">
            <v>HM</v>
          </cell>
          <cell r="Q1584">
            <v>32900</v>
          </cell>
        </row>
        <row r="1585">
          <cell r="E1585"/>
          <cell r="F1585" t="str">
            <v xml:space="preserve">Diagnostic </v>
          </cell>
          <cell r="G1585" t="str">
            <v>Intermediate</v>
          </cell>
          <cell r="H1585" t="str">
            <v>Physiologic Monitoring Systems, Acute Care</v>
          </cell>
          <cell r="I1585" t="str">
            <v>MONITOR MODULAR 8-CH ECG/RR/NIBP/SP02/2TEMP/2IBP</v>
          </cell>
          <cell r="J1585" t="str">
            <v>12-647</v>
          </cell>
          <cell r="K1585" t="str">
            <v>MINDRAY</v>
          </cell>
          <cell r="L1585" t="str">
            <v>BENEVIEW T8</v>
          </cell>
          <cell r="M1585"/>
          <cell r="N1585" t="str">
            <v>ANESTESIOLOGI</v>
          </cell>
          <cell r="O1585" t="str">
            <v>High Dependency Ward (HDW)</v>
          </cell>
          <cell r="P1585" t="str">
            <v>HM</v>
          </cell>
          <cell r="Q1585">
            <v>32900</v>
          </cell>
        </row>
        <row r="1586">
          <cell r="E1586" t="str">
            <v>KKM/JKN/HSA/10-05-01/H/15/1098</v>
          </cell>
          <cell r="F1586" t="str">
            <v>Therapeutic</v>
          </cell>
          <cell r="G1586" t="str">
            <v>Basic</v>
          </cell>
          <cell r="H1586" t="str">
            <v>Aspirators, Thoracic</v>
          </cell>
          <cell r="I1586" t="str">
            <v>METER SUCTION UNDERWATER SEAL</v>
          </cell>
          <cell r="J1586" t="str">
            <v xml:space="preserve">
10-218</v>
          </cell>
          <cell r="K1586" t="str">
            <v>ALLIED HEALTHCARE</v>
          </cell>
          <cell r="L1586" t="str">
            <v>GOMCO/ 01-23-3840</v>
          </cell>
          <cell r="M1586">
            <v>20141117004</v>
          </cell>
          <cell r="N1586" t="str">
            <v>ANESTESIOLOGI</v>
          </cell>
          <cell r="O1586" t="str">
            <v>High Dependency Ward (HDW)</v>
          </cell>
          <cell r="P1586" t="str">
            <v>HM</v>
          </cell>
          <cell r="Q1586">
            <v>5455</v>
          </cell>
        </row>
        <row r="1587">
          <cell r="E1587" t="str">
            <v>KKM/JKN/HSA/10-05-01/H/15/1099</v>
          </cell>
          <cell r="F1587" t="str">
            <v>Therapeutic</v>
          </cell>
          <cell r="G1587" t="str">
            <v>Basic</v>
          </cell>
          <cell r="H1587" t="str">
            <v>Aspirators, Thoracic</v>
          </cell>
          <cell r="I1587" t="str">
            <v>METER SUCTION UNDERWATER SEAL</v>
          </cell>
          <cell r="J1587" t="str">
            <v xml:space="preserve">
10-218</v>
          </cell>
          <cell r="K1587" t="str">
            <v>ALLIED HEALTHCARE</v>
          </cell>
          <cell r="L1587" t="str">
            <v>GOMCO/ 01-23-3840</v>
          </cell>
          <cell r="M1587">
            <v>20141117001</v>
          </cell>
          <cell r="N1587" t="str">
            <v>ANESTESIOLOGI</v>
          </cell>
          <cell r="O1587" t="str">
            <v>High Dependency Ward (HDW)</v>
          </cell>
          <cell r="P1587" t="str">
            <v>HM</v>
          </cell>
          <cell r="Q1587">
            <v>5455</v>
          </cell>
        </row>
        <row r="1588">
          <cell r="E1588" t="str">
            <v>KKM/JKN/HSA/10-05-01/H/15/1100</v>
          </cell>
          <cell r="F1588" t="str">
            <v>Therapeutic</v>
          </cell>
          <cell r="G1588" t="str">
            <v>Basic</v>
          </cell>
          <cell r="H1588" t="str">
            <v>Aspirators, Thoracic</v>
          </cell>
          <cell r="I1588" t="str">
            <v>METER SUCTION UNDERWATER SEAL</v>
          </cell>
          <cell r="J1588" t="str">
            <v xml:space="preserve">
10-218</v>
          </cell>
          <cell r="K1588" t="str">
            <v>ALLIED HEALTHCARE</v>
          </cell>
          <cell r="L1588" t="str">
            <v>GOMCO/ 01-23-3840</v>
          </cell>
          <cell r="M1588">
            <v>20141117002</v>
          </cell>
          <cell r="N1588" t="str">
            <v>ANESTESIOLOGI</v>
          </cell>
          <cell r="O1588" t="str">
            <v>High Dependency Ward (HDW)</v>
          </cell>
          <cell r="P1588" t="str">
            <v>HM</v>
          </cell>
          <cell r="Q1588">
            <v>5455</v>
          </cell>
        </row>
        <row r="1589">
          <cell r="E1589" t="str">
            <v>KKM/JKN/HSA/10-05-01/H/15/1101</v>
          </cell>
          <cell r="F1589" t="str">
            <v>Therapeutic</v>
          </cell>
          <cell r="G1589" t="str">
            <v>Basic</v>
          </cell>
          <cell r="H1589" t="str">
            <v>Aspirators, Thoracic</v>
          </cell>
          <cell r="I1589" t="str">
            <v>METER SUCTION UNDERWATER SEAL</v>
          </cell>
          <cell r="J1589" t="str">
            <v xml:space="preserve">
10-218</v>
          </cell>
          <cell r="K1589" t="str">
            <v>ALLIED HEALTHCARE</v>
          </cell>
          <cell r="L1589" t="str">
            <v>GOMCO/ 01-23-3840</v>
          </cell>
          <cell r="M1589">
            <v>20141117005</v>
          </cell>
          <cell r="N1589" t="str">
            <v>ANESTESIOLOGI</v>
          </cell>
          <cell r="O1589" t="str">
            <v>High Dependency Ward (HDW)</v>
          </cell>
          <cell r="P1589" t="str">
            <v>HM</v>
          </cell>
          <cell r="Q1589">
            <v>5455</v>
          </cell>
        </row>
        <row r="1590">
          <cell r="E1590"/>
          <cell r="F1590" t="str">
            <v xml:space="preserve">Diagnostic </v>
          </cell>
          <cell r="G1590" t="str">
            <v>Intermediate</v>
          </cell>
          <cell r="H1590" t="str">
            <v>Physiologic Monitoring Systems, Acute Care</v>
          </cell>
          <cell r="I1590" t="str">
            <v>LASER PRINTER FOR CENTRAL STATION</v>
          </cell>
          <cell r="J1590" t="str">
            <v>12-647</v>
          </cell>
          <cell r="K1590" t="str">
            <v>MINDRAY</v>
          </cell>
          <cell r="L1590" t="str">
            <v>HP LASERJET PRINTER</v>
          </cell>
          <cell r="M1590"/>
          <cell r="N1590" t="str">
            <v>ANESTESIOLOGI</v>
          </cell>
          <cell r="O1590" t="str">
            <v>High Dependency Ward (HDW)</v>
          </cell>
          <cell r="P1590" t="str">
            <v>HM</v>
          </cell>
          <cell r="Q1590">
            <v>3499</v>
          </cell>
        </row>
        <row r="1591">
          <cell r="E1591" t="str">
            <v>KKM/JKN/HSA/10-05-01/H/16/72</v>
          </cell>
          <cell r="F1591" t="str">
            <v>Therapeutic</v>
          </cell>
          <cell r="G1591" t="str">
            <v>Basic</v>
          </cell>
          <cell r="H1591" t="str">
            <v>Compression Units, Intermittent</v>
          </cell>
          <cell r="I1591" t="str">
            <v>INTERMITTENT PNEUMATIC COMPRESSION SYSTEM/DVT PUMP (KENDALL)</v>
          </cell>
          <cell r="J1591" t="str">
            <v xml:space="preserve">
10-969</v>
          </cell>
          <cell r="K1591" t="str">
            <v xml:space="preserve">ARJOHUNTLEIGH </v>
          </cell>
          <cell r="L1591" t="str">
            <v>FLOWTRON ACS 900</v>
          </cell>
          <cell r="M1591">
            <v>1500040022</v>
          </cell>
          <cell r="N1591" t="str">
            <v>ANESTESIOLOGI</v>
          </cell>
          <cell r="O1591" t="str">
            <v>High Dependency Ward (HDW)</v>
          </cell>
          <cell r="P1591" t="str">
            <v>HM</v>
          </cell>
          <cell r="Q1591">
            <v>8805</v>
          </cell>
        </row>
        <row r="1592">
          <cell r="E1592" t="str">
            <v>KKM/JKN/HSA/10-05-01/H/16/73</v>
          </cell>
          <cell r="F1592" t="str">
            <v>Therapeutic</v>
          </cell>
          <cell r="G1592" t="str">
            <v>Basic</v>
          </cell>
          <cell r="H1592" t="str">
            <v>Compression Units, Intermittent</v>
          </cell>
          <cell r="I1592" t="str">
            <v>INTERMITTENT PNEUMATIC COMPRESSION SYSTEM/DVT PUMP (KENDALL)</v>
          </cell>
          <cell r="J1592" t="str">
            <v xml:space="preserve">
10-969</v>
          </cell>
          <cell r="K1592" t="str">
            <v xml:space="preserve">ARJOHUNTLEIGH </v>
          </cell>
          <cell r="L1592" t="str">
            <v>FLOWTRON ACS 900</v>
          </cell>
          <cell r="M1592">
            <v>1500040020</v>
          </cell>
          <cell r="N1592" t="str">
            <v>ANESTESIOLOGI</v>
          </cell>
          <cell r="O1592" t="str">
            <v>High Dependency Ward (HDW)</v>
          </cell>
          <cell r="P1592" t="str">
            <v>HM</v>
          </cell>
          <cell r="Q1592">
            <v>8805</v>
          </cell>
        </row>
        <row r="1593">
          <cell r="E1593" t="str">
            <v>KKM/JKN/HSA/10-05-01/H/16/74</v>
          </cell>
          <cell r="F1593" t="str">
            <v>Therapeutic</v>
          </cell>
          <cell r="G1593" t="str">
            <v>Basic</v>
          </cell>
          <cell r="H1593" t="str">
            <v>Compression Units, Intermittent</v>
          </cell>
          <cell r="I1593" t="str">
            <v>INTERMITTENT PNEUMATIC COMPRESSION SYSTEM/DVT PUMP (KENDALL)</v>
          </cell>
          <cell r="J1593" t="str">
            <v xml:space="preserve">
10-969</v>
          </cell>
          <cell r="K1593" t="str">
            <v xml:space="preserve">ARJOHUNTLEIGH </v>
          </cell>
          <cell r="L1593" t="str">
            <v>FLOWTRON ACS 900</v>
          </cell>
          <cell r="M1593" t="str">
            <v xml:space="preserve">500040046
</v>
          </cell>
          <cell r="N1593" t="str">
            <v>ANESTESIOLOGI</v>
          </cell>
          <cell r="O1593" t="str">
            <v>High Dependency Ward (HDW)</v>
          </cell>
          <cell r="P1593" t="str">
            <v>HM</v>
          </cell>
          <cell r="Q1593">
            <v>8805</v>
          </cell>
        </row>
        <row r="1594">
          <cell r="E1594" t="str">
            <v>KKM/JKN/HSA/10-05-01/H/16/75</v>
          </cell>
          <cell r="F1594" t="str">
            <v>Therapeutic</v>
          </cell>
          <cell r="G1594" t="str">
            <v>Basic</v>
          </cell>
          <cell r="H1594" t="str">
            <v>Compression Units, Intermittent</v>
          </cell>
          <cell r="I1594" t="str">
            <v>INTERMITTENT PNEUMATIC COMPRESSION SYSTEM/DVT PUMP (KENDALL)</v>
          </cell>
          <cell r="J1594" t="str">
            <v xml:space="preserve">
10-969</v>
          </cell>
          <cell r="K1594" t="str">
            <v xml:space="preserve">ARJOHUNTLEIGH </v>
          </cell>
          <cell r="L1594" t="str">
            <v>FLOWTRON ACS 900</v>
          </cell>
          <cell r="M1594">
            <v>1500040021</v>
          </cell>
          <cell r="N1594" t="str">
            <v>ANESTESIOLOGI</v>
          </cell>
          <cell r="O1594" t="str">
            <v>High Dependency Ward (HDW)</v>
          </cell>
          <cell r="P1594" t="str">
            <v>HM</v>
          </cell>
          <cell r="Q1594">
            <v>8805</v>
          </cell>
        </row>
        <row r="1595">
          <cell r="E1595" t="str">
            <v>KKM/JKN/HSA/10-05-01/H/16/76</v>
          </cell>
          <cell r="F1595" t="str">
            <v>Therapeutic</v>
          </cell>
          <cell r="G1595" t="str">
            <v>Basic</v>
          </cell>
          <cell r="H1595" t="str">
            <v>Compression Units, Intermittent</v>
          </cell>
          <cell r="I1595" t="str">
            <v>INTERMITTENT PNEUMATIC COMPRESSION SYSTEM/DVT PUMP (KENDALL)</v>
          </cell>
          <cell r="J1595" t="str">
            <v xml:space="preserve">
10-969</v>
          </cell>
          <cell r="K1595" t="str">
            <v xml:space="preserve">ARJOHUNTLEIGH </v>
          </cell>
          <cell r="L1595" t="str">
            <v>FLOWTRON ACS 900</v>
          </cell>
          <cell r="M1595">
            <v>1500040024</v>
          </cell>
          <cell r="N1595" t="str">
            <v>ANESTESIOLOGI</v>
          </cell>
          <cell r="O1595" t="str">
            <v>High Dependency Ward (HDW)</v>
          </cell>
          <cell r="P1595" t="str">
            <v>HM</v>
          </cell>
          <cell r="Q1595">
            <v>8805</v>
          </cell>
        </row>
        <row r="1596">
          <cell r="E1596" t="str">
            <v>KKM/JKN/HSA/10-05-01/H/16/77</v>
          </cell>
          <cell r="F1596" t="str">
            <v>Therapeutic</v>
          </cell>
          <cell r="G1596" t="str">
            <v>Basic</v>
          </cell>
          <cell r="H1596" t="str">
            <v>Compression Units, Intermittent</v>
          </cell>
          <cell r="I1596" t="str">
            <v>INTERMITTENT PNEUMATIC COMPRESSION SYSTEM/DVT PUMP (KENDALL)</v>
          </cell>
          <cell r="J1596" t="str">
            <v xml:space="preserve">
10-969</v>
          </cell>
          <cell r="K1596" t="str">
            <v xml:space="preserve">ARJOHUNTLEIGH </v>
          </cell>
          <cell r="L1596" t="str">
            <v>FLOWTRON ACS 900</v>
          </cell>
          <cell r="M1596">
            <v>1500040025</v>
          </cell>
          <cell r="N1596" t="str">
            <v>ANESTESIOLOGI</v>
          </cell>
          <cell r="O1596" t="str">
            <v>High Dependency Ward (HDW)</v>
          </cell>
          <cell r="P1596" t="str">
            <v>HM</v>
          </cell>
          <cell r="Q1596">
            <v>8805</v>
          </cell>
        </row>
        <row r="1597">
          <cell r="E1597" t="str">
            <v>KKM/JKN/HSA/10-05-01/H/16/78</v>
          </cell>
          <cell r="F1597" t="str">
            <v>Therapeutic</v>
          </cell>
          <cell r="G1597" t="str">
            <v>Basic</v>
          </cell>
          <cell r="H1597" t="str">
            <v>Compression Units, Intermittent</v>
          </cell>
          <cell r="I1597" t="str">
            <v>INTERMITTENT PNEUMATIC COMPRESSION SYSTEM/DVT PUMP (KENDALL)</v>
          </cell>
          <cell r="J1597" t="str">
            <v xml:space="preserve">
10-969</v>
          </cell>
          <cell r="K1597" t="str">
            <v xml:space="preserve">ARJOHUNTLEIGH </v>
          </cell>
          <cell r="L1597" t="str">
            <v>FLOWTRON ACS 900</v>
          </cell>
          <cell r="M1597">
            <v>1500040023</v>
          </cell>
          <cell r="N1597" t="str">
            <v>ANESTESIOLOGI</v>
          </cell>
          <cell r="O1597" t="str">
            <v>High Dependency Ward (HDW)</v>
          </cell>
          <cell r="P1597" t="str">
            <v>HM</v>
          </cell>
          <cell r="Q1597">
            <v>8805</v>
          </cell>
        </row>
        <row r="1598">
          <cell r="E1598" t="str">
            <v>KKM/JKN/HSA/10-05-01/H/16/79</v>
          </cell>
          <cell r="F1598" t="str">
            <v>Therapeutic</v>
          </cell>
          <cell r="G1598" t="str">
            <v>Basic</v>
          </cell>
          <cell r="H1598" t="str">
            <v>Compression Units, Intermittent</v>
          </cell>
          <cell r="I1598" t="str">
            <v>INTERMITTENT PNEUMATIC COMPRESSION SYSTEM/DVT PUMP (KENDALL)</v>
          </cell>
          <cell r="J1598" t="str">
            <v xml:space="preserve">
10-969</v>
          </cell>
          <cell r="K1598" t="str">
            <v xml:space="preserve">ARJOHUNTLEIGH </v>
          </cell>
          <cell r="L1598" t="str">
            <v>FLOWTRON ACS 900</v>
          </cell>
          <cell r="M1598">
            <v>1500040033</v>
          </cell>
          <cell r="N1598" t="str">
            <v>ANESTESIOLOGI</v>
          </cell>
          <cell r="O1598" t="str">
            <v>High Dependency Ward (HDW)</v>
          </cell>
          <cell r="P1598" t="str">
            <v>HM</v>
          </cell>
          <cell r="Q1598">
            <v>8805</v>
          </cell>
        </row>
        <row r="1599">
          <cell r="E1599" t="str">
            <v>KKM/JKN/HSA/10-05-01/H/16/80</v>
          </cell>
          <cell r="F1599" t="str">
            <v>Therapeutic</v>
          </cell>
          <cell r="G1599" t="str">
            <v>Basic</v>
          </cell>
          <cell r="H1599" t="str">
            <v>Compression Units, Intermittent</v>
          </cell>
          <cell r="I1599" t="str">
            <v>INTERMITTENT PNEUMATIC COMPRESSION SYSTEM/DVT PUMP (KENDALL)</v>
          </cell>
          <cell r="J1599" t="str">
            <v xml:space="preserve">
10-969</v>
          </cell>
          <cell r="K1599" t="str">
            <v xml:space="preserve">ARJOHUNTLEIGH </v>
          </cell>
          <cell r="L1599" t="str">
            <v>FLOWTRON ACS 900</v>
          </cell>
          <cell r="M1599">
            <v>1500040018</v>
          </cell>
          <cell r="N1599" t="str">
            <v>ANESTESIOLOGI</v>
          </cell>
          <cell r="O1599" t="str">
            <v>High Dependency Ward (HDW)</v>
          </cell>
          <cell r="P1599" t="str">
            <v>HM</v>
          </cell>
          <cell r="Q1599">
            <v>8805</v>
          </cell>
        </row>
        <row r="1600">
          <cell r="E1600" t="str">
            <v>KKM/JKN/HSA/10-05-01/H/16/81</v>
          </cell>
          <cell r="F1600" t="str">
            <v>Therapeutic</v>
          </cell>
          <cell r="G1600" t="str">
            <v>Basic</v>
          </cell>
          <cell r="H1600" t="str">
            <v>Compression Units, Intermittent</v>
          </cell>
          <cell r="I1600" t="str">
            <v>INTERMITTENT PNEUMATIC COMPRESSION SYSTEM/DVT PUMP (KENDALL)</v>
          </cell>
          <cell r="J1600" t="str">
            <v xml:space="preserve">
10-969</v>
          </cell>
          <cell r="K1600" t="str">
            <v xml:space="preserve">ARJOHUNTLEIGH </v>
          </cell>
          <cell r="L1600" t="str">
            <v>FLOWTRON ACS 900</v>
          </cell>
          <cell r="M1600">
            <v>1500039971</v>
          </cell>
          <cell r="N1600" t="str">
            <v>ANESTESIOLOGI</v>
          </cell>
          <cell r="O1600" t="str">
            <v>High Dependency Ward (HDW)</v>
          </cell>
          <cell r="P1600" t="str">
            <v>HM</v>
          </cell>
          <cell r="Q1600">
            <v>8805</v>
          </cell>
        </row>
        <row r="1601">
          <cell r="E1601" t="str">
            <v>KKM/JKN/HSA/10-05-01/H/15/992</v>
          </cell>
          <cell r="F1601" t="str">
            <v>Therapeutic</v>
          </cell>
          <cell r="G1601" t="str">
            <v>Intermediate</v>
          </cell>
          <cell r="H1601" t="str">
            <v>Hemodialysis Units</v>
          </cell>
          <cell r="I1601" t="str">
            <v>HAEMODIALYSIS UNIT P0RTABLE (CRRT)</v>
          </cell>
          <cell r="J1601" t="str">
            <v>11-218</v>
          </cell>
          <cell r="K1601" t="str">
            <v>FRESENIUS MEDICAL CARE</v>
          </cell>
          <cell r="L1601" t="str">
            <v>MULTIFILTRATE Ci-Ca</v>
          </cell>
          <cell r="M1601" t="str">
            <v>4MUG8856</v>
          </cell>
          <cell r="N1601" t="str">
            <v>NEFROLOGI</v>
          </cell>
          <cell r="O1601" t="str">
            <v>High Dependency Ward (HDW)</v>
          </cell>
          <cell r="P1601" t="str">
            <v>HM</v>
          </cell>
          <cell r="Q1601">
            <v>60000</v>
          </cell>
        </row>
        <row r="1602">
          <cell r="E1602" t="str">
            <v>KKM/JKN/HSA/10-05-01/H/15/1655</v>
          </cell>
          <cell r="F1602" t="str">
            <v>Therapeutic</v>
          </cell>
          <cell r="G1602" t="str">
            <v>Intermediate</v>
          </cell>
          <cell r="H1602" t="str">
            <v>Hemofiltration Units</v>
          </cell>
          <cell r="I1602" t="str">
            <v>HAEMODIAFILTRATION SYSTEM</v>
          </cell>
          <cell r="J1602" t="str">
            <v>15-039</v>
          </cell>
          <cell r="K1602" t="str">
            <v>FRESENIUS MEDICAL CARE</v>
          </cell>
          <cell r="L1602" t="str">
            <v>5008S</v>
          </cell>
          <cell r="M1602" t="str">
            <v>VSAN793</v>
          </cell>
          <cell r="N1602" t="str">
            <v>NEFROLOGI</v>
          </cell>
          <cell r="O1602" t="str">
            <v>High Dependency Ward (HDW)</v>
          </cell>
          <cell r="P1602" t="str">
            <v>HM</v>
          </cell>
          <cell r="Q1602">
            <v>50000</v>
          </cell>
        </row>
        <row r="1603">
          <cell r="E1603" t="str">
            <v>A1000/A1005</v>
          </cell>
          <cell r="F1603" t="str">
            <v>Therapeutic</v>
          </cell>
          <cell r="G1603" t="str">
            <v>Intermediate</v>
          </cell>
          <cell r="H1603" t="str">
            <v>Infusion/ Monitoring Line Organizer System</v>
          </cell>
          <cell r="I1603" t="str">
            <v>FLUID MANAGEMENT SYSTEM INTENSIVE COMPLETE SYS</v>
          </cell>
          <cell r="J1603" t="str">
            <v>17-793</v>
          </cell>
          <cell r="K1603"/>
          <cell r="L1603"/>
          <cell r="M1603"/>
          <cell r="N1603" t="str">
            <v>ANESTESIOLOGI</v>
          </cell>
          <cell r="O1603" t="str">
            <v>High Dependency Ward (HDW)</v>
          </cell>
          <cell r="P1603" t="str">
            <v>HM</v>
          </cell>
          <cell r="Q1603">
            <v>38100</v>
          </cell>
        </row>
        <row r="1604">
          <cell r="E1604" t="str">
            <v>KKM/JKN/HSA/10-05-01/H/15/567</v>
          </cell>
          <cell r="F1604" t="str">
            <v xml:space="preserve">Diagnostic </v>
          </cell>
          <cell r="G1604" t="str">
            <v>Intermediate</v>
          </cell>
          <cell r="H1604" t="str">
            <v>Electrocardiographs, Multichannel, Interpretative</v>
          </cell>
          <cell r="I1604" t="str">
            <v>ECG RECORDER</v>
          </cell>
          <cell r="J1604" t="str">
            <v>16-231</v>
          </cell>
          <cell r="K1604" t="str">
            <v>GE HEALTHCARE</v>
          </cell>
          <cell r="L1604" t="str">
            <v>MAC 1200</v>
          </cell>
          <cell r="M1604"/>
          <cell r="N1604" t="str">
            <v>ANESTESIOLOGI</v>
          </cell>
          <cell r="O1604" t="str">
            <v>High Dependency Ward (HDW)</v>
          </cell>
          <cell r="P1604" t="str">
            <v>HM</v>
          </cell>
          <cell r="Q1604">
            <v>10000</v>
          </cell>
        </row>
        <row r="1605">
          <cell r="E1605" t="str">
            <v>KKM/JKN/HSA/10-05-01/R/15/6989</v>
          </cell>
          <cell r="F1605" t="str">
            <v xml:space="preserve">Diagnostic </v>
          </cell>
          <cell r="G1605" t="str">
            <v>Intermediate</v>
          </cell>
          <cell r="H1605" t="str">
            <v>Physiologic Monitoring Systems, Acute Care</v>
          </cell>
          <cell r="I1605" t="str">
            <v>DIGITAL WRITER FOR CENTRAL STATION</v>
          </cell>
          <cell r="J1605" t="str">
            <v>12-647</v>
          </cell>
          <cell r="K1605" t="str">
            <v>MINDRAY</v>
          </cell>
          <cell r="L1605" t="str">
            <v>TR6B</v>
          </cell>
          <cell r="M1605"/>
          <cell r="N1605" t="str">
            <v>ANESTESIOLOGI</v>
          </cell>
          <cell r="O1605" t="str">
            <v>High Dependency Ward (HDW)</v>
          </cell>
          <cell r="P1605" t="str">
            <v>ABR</v>
          </cell>
          <cell r="Q1605">
            <v>1650</v>
          </cell>
        </row>
        <row r="1606">
          <cell r="E1606" t="str">
            <v>KKM/JKN/HSA/10-05-01/R/15/7357</v>
          </cell>
          <cell r="F1606" t="str">
            <v xml:space="preserve">Diagnostic </v>
          </cell>
          <cell r="G1606" t="str">
            <v>Basic</v>
          </cell>
          <cell r="H1606" t="str">
            <v>Ophthalmoscopes/Otoscopes</v>
          </cell>
          <cell r="I1606" t="str">
            <v>DIAGNOSTIC SET ADULT</v>
          </cell>
          <cell r="J1606" t="str">
            <v>18-595</v>
          </cell>
          <cell r="K1606" t="str">
            <v>RUDOLF RIESTER, GMBH</v>
          </cell>
          <cell r="L1606" t="str">
            <v>RI-SCOPE ENT 3761</v>
          </cell>
          <cell r="M1606"/>
          <cell r="N1606" t="str">
            <v>ANESTESIOLOGI</v>
          </cell>
          <cell r="O1606" t="str">
            <v>High Dependency Ward (HDW)</v>
          </cell>
          <cell r="P1606" t="str">
            <v>ABR</v>
          </cell>
          <cell r="Q1606">
            <v>1459.33</v>
          </cell>
        </row>
        <row r="1607">
          <cell r="E1607" t="str">
            <v>KKM/JKN/HSA/10-05-01/R/15/17096</v>
          </cell>
          <cell r="F1607" t="str">
            <v xml:space="preserve">Diagnostic </v>
          </cell>
          <cell r="G1607" t="str">
            <v>Basic</v>
          </cell>
          <cell r="H1607" t="str">
            <v>Ophthalmoscopes/Otoscopes</v>
          </cell>
          <cell r="I1607" t="str">
            <v>DIAGNOSTIC SET ADULT</v>
          </cell>
          <cell r="J1607" t="str">
            <v>18-595</v>
          </cell>
          <cell r="K1607" t="str">
            <v>WELCH ALLYN</v>
          </cell>
          <cell r="L1607" t="str">
            <v>97150-BI</v>
          </cell>
          <cell r="M1607"/>
          <cell r="N1607" t="str">
            <v>ANESTESIOLOGI</v>
          </cell>
          <cell r="O1607" t="str">
            <v>High Dependency Ward (HDW)</v>
          </cell>
          <cell r="P1607" t="str">
            <v>ABR</v>
          </cell>
          <cell r="Q1607">
            <v>1820</v>
          </cell>
        </row>
        <row r="1608">
          <cell r="E1608" t="str">
            <v>KKM/JKN/HSA/10-05-01/H/15/3669</v>
          </cell>
          <cell r="F1608" t="str">
            <v>Therapeutic</v>
          </cell>
          <cell r="G1608" t="str">
            <v>Intermediate</v>
          </cell>
          <cell r="H1608" t="str">
            <v xml:space="preserve">Defibrillators, External, Automated </v>
          </cell>
          <cell r="I1608" t="str">
            <v>DEFIBRILLATOR W/INTERNAL/EXT PADDLES/PACEMAKER</v>
          </cell>
          <cell r="J1608" t="str">
            <v>17-116</v>
          </cell>
          <cell r="K1608" t="str">
            <v>PHILIPS</v>
          </cell>
          <cell r="L1608" t="str">
            <v>EFFICIA DFM100</v>
          </cell>
          <cell r="M1608"/>
          <cell r="N1608" t="str">
            <v>ANESTESIOLOGI</v>
          </cell>
          <cell r="O1608" t="str">
            <v>High Dependency Ward (HDW)</v>
          </cell>
          <cell r="P1608" t="str">
            <v>HM</v>
          </cell>
          <cell r="Q1608">
            <v>14250</v>
          </cell>
        </row>
        <row r="1609">
          <cell r="E1609" t="str">
            <v>KKM/JKN/HSA/10-05-01/H/15/3670</v>
          </cell>
          <cell r="F1609" t="str">
            <v>Therapeutic</v>
          </cell>
          <cell r="G1609" t="str">
            <v>Intermediate</v>
          </cell>
          <cell r="H1609" t="str">
            <v xml:space="preserve">Defibrillators, External, Automated </v>
          </cell>
          <cell r="I1609" t="str">
            <v>DEFIBRILLATOR W/INTERNAL/EXT PADDLES/PACEMAKER</v>
          </cell>
          <cell r="J1609" t="str">
            <v>17-116</v>
          </cell>
          <cell r="K1609" t="str">
            <v>PHILIPS</v>
          </cell>
          <cell r="L1609" t="str">
            <v>EFFICIA DFM100</v>
          </cell>
          <cell r="M1609"/>
          <cell r="N1609" t="str">
            <v>ANESTESIOLOGI</v>
          </cell>
          <cell r="O1609" t="str">
            <v>High Dependency Ward (HDW)</v>
          </cell>
          <cell r="P1609" t="str">
            <v>HM</v>
          </cell>
          <cell r="Q1609">
            <v>14250</v>
          </cell>
        </row>
        <row r="1610">
          <cell r="E1610" t="str">
            <v>KKM/JKN/HSA/10-05-01/H/15/873</v>
          </cell>
          <cell r="F1610" t="str">
            <v xml:space="preserve">Diagnostic </v>
          </cell>
          <cell r="G1610" t="str">
            <v>Intermediate</v>
          </cell>
          <cell r="H1610" t="str">
            <v>Physiologic Monitoring Systems, Acute Care</v>
          </cell>
          <cell r="I1610" t="str">
            <v>CENTRAL STATION, HDU</v>
          </cell>
          <cell r="J1610" t="str">
            <v>12-647</v>
          </cell>
          <cell r="K1610" t="str">
            <v>MINDRAY</v>
          </cell>
          <cell r="L1610" t="str">
            <v>HYPERVISOR VI</v>
          </cell>
          <cell r="M1610"/>
          <cell r="N1610" t="str">
            <v>ANESTESIOLOGI</v>
          </cell>
          <cell r="O1610" t="str">
            <v>High Dependency Ward (HDW)</v>
          </cell>
          <cell r="P1610" t="str">
            <v>HM</v>
          </cell>
          <cell r="Q1610">
            <v>73700</v>
          </cell>
        </row>
        <row r="1611">
          <cell r="E1611" t="str">
            <v>KKM/JKN/HSA/10-05-01/H/15/4024</v>
          </cell>
          <cell r="F1611" t="str">
            <v>Laboratory</v>
          </cell>
          <cell r="G1611" t="str">
            <v>Basic</v>
          </cell>
          <cell r="H1611" t="str">
            <v>Water Purification Systems, Deionization</v>
          </cell>
          <cell r="I1611" t="str">
            <v>WATER DISTILLER</v>
          </cell>
          <cell r="J1611" t="str">
            <v>14-435</v>
          </cell>
          <cell r="K1611" t="str">
            <v>ELGA</v>
          </cell>
          <cell r="L1611" t="str">
            <v>PURELAB PRIMA 7BP + LA611</v>
          </cell>
          <cell r="M1611"/>
          <cell r="N1611" t="str">
            <v>FARMASI</v>
          </cell>
          <cell r="O1611" t="str">
            <v>Farmasi Pesakit Dalam</v>
          </cell>
          <cell r="P1611" t="str">
            <v>HM</v>
          </cell>
          <cell r="Q1611">
            <v>15200</v>
          </cell>
        </row>
        <row r="1612">
          <cell r="E1612" t="str">
            <v>KKM/JKN/HSA/10-05-01/H/16/26</v>
          </cell>
          <cell r="F1612" t="str">
            <v>Laboratory</v>
          </cell>
          <cell r="G1612" t="str">
            <v>Basic</v>
          </cell>
          <cell r="H1612" t="str">
            <v>Ovens, Drying</v>
          </cell>
          <cell r="I1612" t="str">
            <v>UNIVERSAL OVEN</v>
          </cell>
          <cell r="J1612" t="str">
            <v>14-410</v>
          </cell>
          <cell r="K1612" t="str">
            <v>TECH-LAB</v>
          </cell>
          <cell r="L1612" t="str">
            <v>FAC-100</v>
          </cell>
          <cell r="M1612" t="str">
            <v>10013745/915</v>
          </cell>
          <cell r="N1612" t="str">
            <v>FARMASI</v>
          </cell>
          <cell r="O1612" t="str">
            <v>Farmasi Pesakit Dalam</v>
          </cell>
          <cell r="P1612" t="str">
            <v>HM</v>
          </cell>
          <cell r="Q1612">
            <v>5400</v>
          </cell>
        </row>
        <row r="1613">
          <cell r="E1613" t="str">
            <v>KKM/JKN/HSA/10-05-01/H/16/54</v>
          </cell>
          <cell r="F1613" t="str">
            <v>Laboratory</v>
          </cell>
          <cell r="G1613" t="str">
            <v>Basic</v>
          </cell>
          <cell r="H1613" t="str">
            <v>Mixers, Clinical Laboratory</v>
          </cell>
          <cell r="I1613" t="str">
            <v>LAB MIXER</v>
          </cell>
          <cell r="J1613" t="str">
            <v>15-161</v>
          </cell>
          <cell r="K1613" t="str">
            <v>HOBART</v>
          </cell>
          <cell r="L1613" t="str">
            <v xml:space="preserve"> H-120</v>
          </cell>
          <cell r="M1613" t="str">
            <v>31-1518-456</v>
          </cell>
          <cell r="N1613" t="str">
            <v>FARMASI</v>
          </cell>
          <cell r="O1613" t="str">
            <v>Farmasi Pesakit Dalam</v>
          </cell>
          <cell r="P1613" t="str">
            <v>HM</v>
          </cell>
          <cell r="Q1613">
            <v>33900</v>
          </cell>
        </row>
        <row r="1614">
          <cell r="E1614" t="str">
            <v>KKM/JKN/HSA/10-05-01/H/16/25</v>
          </cell>
          <cell r="F1614" t="str">
            <v>Laboratory</v>
          </cell>
          <cell r="G1614" t="str">
            <v>Basic</v>
          </cell>
          <cell r="H1614" t="str">
            <v>Hot Plates</v>
          </cell>
          <cell r="I1614" t="str">
            <v>HOT PLATE</v>
          </cell>
          <cell r="J1614" t="str">
            <v>16-287</v>
          </cell>
          <cell r="K1614" t="str">
            <v>TECH-LAB</v>
          </cell>
          <cell r="L1614" t="str">
            <v>HP-3001D</v>
          </cell>
          <cell r="M1614">
            <v>3001140951216</v>
          </cell>
          <cell r="N1614" t="str">
            <v>FARMASI</v>
          </cell>
          <cell r="O1614" t="str">
            <v>Farmasi Pesakit Dalam</v>
          </cell>
          <cell r="P1614" t="str">
            <v>HM</v>
          </cell>
          <cell r="Q1614">
            <v>3990</v>
          </cell>
        </row>
        <row r="1615">
          <cell r="E1615" t="str">
            <v>KKM/JKN/HSA/10-05-01/H/16/55</v>
          </cell>
          <cell r="F1615" t="str">
            <v>Laboratory</v>
          </cell>
          <cell r="G1615" t="str">
            <v>Intermediate</v>
          </cell>
          <cell r="H1615" t="str">
            <v>Homogenizers, Tissue</v>
          </cell>
          <cell r="I1615" t="str">
            <v>HOMOGENIZER</v>
          </cell>
          <cell r="J1615" t="str">
            <v>15-304</v>
          </cell>
          <cell r="K1615" t="str">
            <v>DYNA SYSTEM / BT200-03</v>
          </cell>
          <cell r="L1615" t="str">
            <v>TPM</v>
          </cell>
          <cell r="M1615" t="str">
            <v>JLT 08002</v>
          </cell>
          <cell r="N1615" t="str">
            <v>FARMASI</v>
          </cell>
          <cell r="O1615" t="str">
            <v>Farmasi Pesakit Dalam</v>
          </cell>
          <cell r="P1615" t="str">
            <v>HM</v>
          </cell>
          <cell r="Q1615">
            <v>17200</v>
          </cell>
        </row>
        <row r="1616">
          <cell r="E1616" t="str">
            <v>KKM/JKN/HSA/10-05-01/H/16/104</v>
          </cell>
          <cell r="F1616" t="str">
            <v>Laboratory</v>
          </cell>
          <cell r="G1616" t="str">
            <v>Intermediate</v>
          </cell>
          <cell r="H1616" t="str">
            <v>Homogenizers, Tissue</v>
          </cell>
          <cell r="I1616" t="str">
            <v>HOMOGENIZER</v>
          </cell>
          <cell r="J1616" t="str">
            <v>15-304</v>
          </cell>
          <cell r="K1616" t="str">
            <v>BT200-03</v>
          </cell>
          <cell r="L1616" t="str">
            <v>TPM</v>
          </cell>
          <cell r="M1616">
            <v>20161025</v>
          </cell>
          <cell r="N1616" t="str">
            <v>FARMASI</v>
          </cell>
          <cell r="O1616" t="str">
            <v>Farmasi Pesakit Dalam</v>
          </cell>
          <cell r="P1616" t="str">
            <v>HM</v>
          </cell>
          <cell r="Q1616">
            <v>17200</v>
          </cell>
        </row>
        <row r="1617">
          <cell r="E1617" t="str">
            <v>KKM/JKN/HSA/10-05-01/R/15/16383</v>
          </cell>
          <cell r="F1617" t="str">
            <v>Laboratory</v>
          </cell>
          <cell r="G1617" t="str">
            <v>Intermediate</v>
          </cell>
          <cell r="H1617" t="str">
            <v>Balances, Electronic, Analytical</v>
          </cell>
          <cell r="I1617" t="str">
            <v>BALANCE TOP LOADING 600G CAP</v>
          </cell>
          <cell r="J1617" t="str">
            <v>18-449</v>
          </cell>
          <cell r="K1617" t="str">
            <v>SHIMADZU</v>
          </cell>
          <cell r="L1617" t="str">
            <v>TXB622L</v>
          </cell>
          <cell r="M1617"/>
          <cell r="N1617" t="str">
            <v>FARMASI</v>
          </cell>
          <cell r="O1617" t="str">
            <v>Faramasi Pesakit Dalam</v>
          </cell>
          <cell r="P1617" t="str">
            <v>ABR</v>
          </cell>
          <cell r="Q1617">
            <v>1240</v>
          </cell>
        </row>
        <row r="1618">
          <cell r="E1618" t="str">
            <v>KKM/JKN/HSA/10-05-01/R/15/16384</v>
          </cell>
          <cell r="F1618" t="str">
            <v>Laboratory</v>
          </cell>
          <cell r="G1618" t="str">
            <v>Intermediate</v>
          </cell>
          <cell r="H1618" t="str">
            <v>Balances, Electronic, Analytical</v>
          </cell>
          <cell r="I1618" t="str">
            <v>BALANCE ELECTRONIC</v>
          </cell>
          <cell r="J1618" t="str">
            <v>18-449</v>
          </cell>
          <cell r="K1618" t="str">
            <v>SHIMADZU</v>
          </cell>
          <cell r="L1618" t="str">
            <v>TX2202L</v>
          </cell>
          <cell r="M1618"/>
          <cell r="N1618" t="str">
            <v>FARMASI</v>
          </cell>
          <cell r="O1618" t="str">
            <v>Faramasi Pesakit Dalam</v>
          </cell>
          <cell r="P1618" t="str">
            <v>ABR</v>
          </cell>
          <cell r="Q1618">
            <v>1600</v>
          </cell>
        </row>
        <row r="1619">
          <cell r="E1619" t="str">
            <v>KKM/JKN/HSA/10-05-01/H/17/41</v>
          </cell>
          <cell r="F1619" t="str">
            <v>Therapeutic</v>
          </cell>
          <cell r="G1619" t="str">
            <v>Basic</v>
          </cell>
          <cell r="H1619" t="str">
            <v xml:space="preserve">Defibrillators, External, Automated </v>
          </cell>
          <cell r="I1619" t="str">
            <v>AUTOMATIC EXTERNAL DEFIBRILLATOR (AED)</v>
          </cell>
          <cell r="J1619" t="str">
            <v>17-116</v>
          </cell>
          <cell r="K1619" t="str">
            <v>SAVER ONE</v>
          </cell>
          <cell r="L1619" t="str">
            <v>SAVER ONE SVD-B004</v>
          </cell>
          <cell r="M1619"/>
          <cell r="N1619" t="str">
            <v>KECEMASAN DAN TRAUMA</v>
          </cell>
          <cell r="O1619" t="str">
            <v>ED - PROCEDURE ROOM (MINOR OT) (L03-ED-C-07a)</v>
          </cell>
          <cell r="P1619" t="str">
            <v>HM</v>
          </cell>
          <cell r="Q1619">
            <v>7000</v>
          </cell>
        </row>
        <row r="1620">
          <cell r="E1620" t="str">
            <v>KKM/JKN/HSA/10-05-01/H/17/42</v>
          </cell>
          <cell r="F1620" t="str">
            <v>Therapeutic</v>
          </cell>
          <cell r="G1620" t="str">
            <v>Basic</v>
          </cell>
          <cell r="H1620" t="str">
            <v xml:space="preserve">Defibrillators, External, Automated </v>
          </cell>
          <cell r="I1620" t="str">
            <v>AUTOMATIC EXTERNAL DEFIBRILLATOR (AED)</v>
          </cell>
          <cell r="J1620" t="str">
            <v>17-116</v>
          </cell>
          <cell r="K1620" t="str">
            <v>SAVER ONE</v>
          </cell>
          <cell r="L1620" t="str">
            <v>SAVER ONE SVD-B004</v>
          </cell>
          <cell r="M1620"/>
          <cell r="N1620" t="str">
            <v>KECEMASAN DAN TRAUMA</v>
          </cell>
          <cell r="O1620" t="str">
            <v>ED - PROCEDURE ROOM (MINOR OT) (L03-ED-C-07a)</v>
          </cell>
          <cell r="P1620" t="str">
            <v>HM</v>
          </cell>
          <cell r="Q1620">
            <v>7000</v>
          </cell>
        </row>
        <row r="1621">
          <cell r="E1621" t="str">
            <v>KKM/JKN/HSA/10-05-01/H/15/3647</v>
          </cell>
          <cell r="F1621" t="str">
            <v>Therapeutic</v>
          </cell>
          <cell r="G1621" t="str">
            <v>Basic</v>
          </cell>
          <cell r="H1621"/>
          <cell r="I1621" t="str">
            <v>TRAUMA KIT FIRST RESP0NDER BAG</v>
          </cell>
          <cell r="J1621"/>
          <cell r="K1621"/>
          <cell r="L1621" t="str">
            <v>UV0004(B) (6) /PARAMEDIC BAG</v>
          </cell>
          <cell r="M1621"/>
          <cell r="N1621" t="str">
            <v>KECEMASAN DAN TRAUMA</v>
          </cell>
          <cell r="O1621" t="str">
            <v>ED - PRE HOSPITAL AMBULANCE CALL CENTRE (L03-ED-A-02)</v>
          </cell>
          <cell r="P1621" t="str">
            <v>HM</v>
          </cell>
          <cell r="Q1621">
            <v>6350</v>
          </cell>
        </row>
        <row r="1622">
          <cell r="E1622" t="str">
            <v>KKM/JKN/HSA/10-05-01/H/15/3648</v>
          </cell>
          <cell r="F1622" t="str">
            <v>Therapeutic</v>
          </cell>
          <cell r="G1622" t="str">
            <v>Basic</v>
          </cell>
          <cell r="H1622"/>
          <cell r="I1622" t="str">
            <v>TRAUMA KIT FIRST RESP0NDER BAG</v>
          </cell>
          <cell r="J1622"/>
          <cell r="K1622"/>
          <cell r="L1622" t="str">
            <v>UV0004(B) (6) /PARAMEDIC BAG</v>
          </cell>
          <cell r="M1622"/>
          <cell r="N1622" t="str">
            <v>KECEMASAN DAN TRAUMA</v>
          </cell>
          <cell r="O1622" t="str">
            <v>ED - PRE HOSPITAL AMBULANCE CALL CENTRE (L03-ED-A-02)</v>
          </cell>
          <cell r="P1622" t="str">
            <v>HM</v>
          </cell>
          <cell r="Q1622">
            <v>6350</v>
          </cell>
        </row>
        <row r="1623">
          <cell r="E1623" t="str">
            <v>KKM/JKN/HSA/10-05-01/H/15/3649</v>
          </cell>
          <cell r="F1623" t="str">
            <v>Therapeutic</v>
          </cell>
          <cell r="G1623" t="str">
            <v>Basic</v>
          </cell>
          <cell r="H1623"/>
          <cell r="I1623" t="str">
            <v>TRAUMA KIT FIRST RESP0NDER BAG</v>
          </cell>
          <cell r="J1623"/>
          <cell r="K1623"/>
          <cell r="L1623" t="str">
            <v>UV0004(B) (6) /PARAMEDIC BAG</v>
          </cell>
          <cell r="M1623"/>
          <cell r="N1623" t="str">
            <v>KECEMASAN DAN TRAUMA</v>
          </cell>
          <cell r="O1623" t="str">
            <v>ED - PRE HOSPITAL AMBULANCE CALL CENTRE (L03-ED-A-02)</v>
          </cell>
          <cell r="P1623" t="str">
            <v>HM</v>
          </cell>
          <cell r="Q1623">
            <v>6350</v>
          </cell>
        </row>
        <row r="1624">
          <cell r="E1624" t="str">
            <v>KKM/JKN/HSA/10-05-01/H/15/3650</v>
          </cell>
          <cell r="F1624" t="str">
            <v>Therapeutic</v>
          </cell>
          <cell r="G1624" t="str">
            <v>Basic</v>
          </cell>
          <cell r="H1624"/>
          <cell r="I1624" t="str">
            <v>TRAUMA KIT FIRST RESP0NDER BAG</v>
          </cell>
          <cell r="J1624"/>
          <cell r="K1624"/>
          <cell r="L1624" t="str">
            <v>UV0004(B) (6) /PARAMEDIC BAG</v>
          </cell>
          <cell r="M1624"/>
          <cell r="N1624" t="str">
            <v>KECEMASAN DAN TRAUMA</v>
          </cell>
          <cell r="O1624" t="str">
            <v>ED - PRE HOSPITAL AMBULANCE CALL CENTRE (L03-ED-A-02)</v>
          </cell>
          <cell r="P1624" t="str">
            <v>HM</v>
          </cell>
          <cell r="Q1624">
            <v>6350</v>
          </cell>
        </row>
        <row r="1625">
          <cell r="E1625" t="str">
            <v>KKM/JKN/HSA/10-05-01/H/15/3651</v>
          </cell>
          <cell r="F1625" t="str">
            <v>Therapeutic</v>
          </cell>
          <cell r="G1625" t="str">
            <v>Basic</v>
          </cell>
          <cell r="H1625"/>
          <cell r="I1625" t="str">
            <v>TRAUMA KIT FIRST RESP0NDER BAG</v>
          </cell>
          <cell r="J1625"/>
          <cell r="K1625"/>
          <cell r="L1625" t="str">
            <v>UV0004(B) (6) /PARAMEDIC BAG</v>
          </cell>
          <cell r="M1625"/>
          <cell r="N1625" t="str">
            <v>KECEMASAN DAN TRAUMA</v>
          </cell>
          <cell r="O1625" t="str">
            <v>ED - PRE HOSPITAL AMBULANCE CALL CENTRE (L03-ED-A-02)</v>
          </cell>
          <cell r="P1625" t="str">
            <v>HM</v>
          </cell>
          <cell r="Q1625">
            <v>6350</v>
          </cell>
        </row>
        <row r="1626">
          <cell r="E1626" t="str">
            <v>KKM/JKN/HSA/10-05-01/H/15/3652</v>
          </cell>
          <cell r="F1626" t="str">
            <v>Therapeutic</v>
          </cell>
          <cell r="G1626" t="str">
            <v>Basic</v>
          </cell>
          <cell r="H1626"/>
          <cell r="I1626" t="str">
            <v>TRAUMA KIT FIRST RESP0NDER BAG</v>
          </cell>
          <cell r="J1626"/>
          <cell r="K1626"/>
          <cell r="L1626" t="str">
            <v>UV0004(B) (6) /PARAMEDIC BAG</v>
          </cell>
          <cell r="M1626"/>
          <cell r="N1626" t="str">
            <v>KECEMASAN DAN TRAUMA</v>
          </cell>
          <cell r="O1626" t="str">
            <v>ED - PRE HOSPITAL AMBULANCE CALL CENTRE (L03-ED-A-02)</v>
          </cell>
          <cell r="P1626" t="str">
            <v>HM</v>
          </cell>
          <cell r="Q1626">
            <v>6350</v>
          </cell>
        </row>
        <row r="1627">
          <cell r="E1627" t="str">
            <v>KKM/JKN/HSA/10-05-01/H/15/3653</v>
          </cell>
          <cell r="F1627" t="str">
            <v>Therapeutic</v>
          </cell>
          <cell r="G1627" t="str">
            <v>Basic</v>
          </cell>
          <cell r="H1627"/>
          <cell r="I1627" t="str">
            <v>TRAUMA KIT FIRST RESP0NDER BAG</v>
          </cell>
          <cell r="J1627"/>
          <cell r="K1627"/>
          <cell r="L1627" t="str">
            <v>UV0004(B) (6) /PARAMEDIC BAG</v>
          </cell>
          <cell r="M1627"/>
          <cell r="N1627" t="str">
            <v>KECEMASAN DAN TRAUMA</v>
          </cell>
          <cell r="O1627" t="str">
            <v>ED - PRE HOSPITAL AMBULANCE CALL CENTRE (L03-ED-A-02)</v>
          </cell>
          <cell r="P1627" t="str">
            <v>HM</v>
          </cell>
          <cell r="Q1627">
            <v>6350</v>
          </cell>
        </row>
        <row r="1628">
          <cell r="E1628" t="str">
            <v>KKM/JKN/HSA/10-05-01/H/15/3654</v>
          </cell>
          <cell r="F1628" t="str">
            <v>Therapeutic</v>
          </cell>
          <cell r="G1628" t="str">
            <v>Basic</v>
          </cell>
          <cell r="H1628"/>
          <cell r="I1628" t="str">
            <v>TRAUMA KIT FIRST RESP0NDER BAG</v>
          </cell>
          <cell r="J1628"/>
          <cell r="K1628"/>
          <cell r="L1628" t="str">
            <v>UV0004(B) (6) /PARAMEDIC BAG</v>
          </cell>
          <cell r="M1628"/>
          <cell r="N1628" t="str">
            <v>KECEMASAN DAN TRAUMA</v>
          </cell>
          <cell r="O1628" t="str">
            <v>ED - PRE HOSPITAL AMBULANCE CALL CENTRE (L03-ED-A-02)</v>
          </cell>
          <cell r="P1628" t="str">
            <v>HM</v>
          </cell>
          <cell r="Q1628">
            <v>6350</v>
          </cell>
        </row>
        <row r="1629">
          <cell r="E1629" t="str">
            <v>KKM/JKN/HSA/10-05-01/H/15/3593</v>
          </cell>
          <cell r="F1629" t="str">
            <v>Therapeutic</v>
          </cell>
          <cell r="G1629" t="str">
            <v>Basic</v>
          </cell>
          <cell r="H1629" t="str">
            <v>Physiologic Monitoring Systems, Acute Care</v>
          </cell>
          <cell r="I1629" t="str">
            <v>TRANSP0RT VITAL SIGN MONITIR 5 PARAMETER</v>
          </cell>
          <cell r="J1629" t="str">
            <v>12-647</v>
          </cell>
          <cell r="K1629"/>
          <cell r="L1629" t="str">
            <v>UV0004(B) (1) / VITAL SIGN MONITOR</v>
          </cell>
          <cell r="M1629"/>
          <cell r="N1629" t="str">
            <v>KECEMASAN DAN TRAUMA</v>
          </cell>
          <cell r="O1629" t="str">
            <v>ED - PRE HOSPITAL AMBULANCE CALL CENTRE (L03-ED-A-02)</v>
          </cell>
          <cell r="P1629" t="str">
            <v>HM</v>
          </cell>
          <cell r="Q1629">
            <v>22000</v>
          </cell>
        </row>
        <row r="1630">
          <cell r="E1630" t="str">
            <v>KKM/JKN/HSA/10-05-01/H/15/3594</v>
          </cell>
          <cell r="F1630" t="str">
            <v>Therapeutic</v>
          </cell>
          <cell r="G1630" t="str">
            <v>Basic</v>
          </cell>
          <cell r="H1630" t="str">
            <v>Physiologic Monitoring Systems, Acute Care</v>
          </cell>
          <cell r="I1630" t="str">
            <v>TRANSP0RT VITAL SIGN MONITIR 5 PARAMETER</v>
          </cell>
          <cell r="J1630" t="str">
            <v>12-647</v>
          </cell>
          <cell r="K1630"/>
          <cell r="L1630" t="str">
            <v>UV0005(B) (1) / VITAL SIGN MONITOR</v>
          </cell>
          <cell r="M1630"/>
          <cell r="N1630" t="str">
            <v>KECEMASAN DAN TRAUMA</v>
          </cell>
          <cell r="O1630" t="str">
            <v>ED - PRE HOSPITAL AMBULANCE CALL CENTRE (L03-ED-A-02)</v>
          </cell>
          <cell r="P1630" t="str">
            <v>HM</v>
          </cell>
          <cell r="Q1630">
            <v>22000</v>
          </cell>
        </row>
        <row r="1631">
          <cell r="E1631" t="str">
            <v>KKM/JKN/HSA/10-05-01/H/15/3595</v>
          </cell>
          <cell r="F1631" t="str">
            <v>Therapeutic</v>
          </cell>
          <cell r="G1631" t="str">
            <v>Basic</v>
          </cell>
          <cell r="H1631" t="str">
            <v>Physiologic Monitoring Systems, Acute Care</v>
          </cell>
          <cell r="I1631" t="str">
            <v>TRANSP0RT VITAL SIGN MONITIR 5 PARAMETER</v>
          </cell>
          <cell r="J1631" t="str">
            <v>12-647</v>
          </cell>
          <cell r="K1631"/>
          <cell r="L1631" t="str">
            <v>UV0005(B) (1) / VITAL SIGN MONITOR</v>
          </cell>
          <cell r="M1631"/>
          <cell r="N1631" t="str">
            <v>KECEMASAN DAN TRAUMA</v>
          </cell>
          <cell r="O1631" t="str">
            <v>ED - PRE HOSPITAL AMBULANCE CALL CENTRE (L03-ED-A-02)</v>
          </cell>
          <cell r="P1631" t="str">
            <v>HM</v>
          </cell>
          <cell r="Q1631">
            <v>22000</v>
          </cell>
        </row>
        <row r="1632">
          <cell r="E1632" t="str">
            <v>KKM/JKN/HSA/10-05-01/H/15/3596</v>
          </cell>
          <cell r="F1632" t="str">
            <v>Therapeutic</v>
          </cell>
          <cell r="G1632" t="str">
            <v>Basic</v>
          </cell>
          <cell r="H1632" t="str">
            <v>Physiologic Monitoring Systems, Acute Care</v>
          </cell>
          <cell r="I1632" t="str">
            <v>TRANSP0RT VITAL SIGN MONITIR 5 PARAMETER</v>
          </cell>
          <cell r="J1632" t="str">
            <v>12-647</v>
          </cell>
          <cell r="K1632"/>
          <cell r="L1632" t="str">
            <v>UV0005(B) (1) / VITAL SIGN MONITOR</v>
          </cell>
          <cell r="M1632"/>
          <cell r="N1632" t="str">
            <v>KECEMASAN DAN TRAUMA</v>
          </cell>
          <cell r="O1632" t="str">
            <v>ED - PRE HOSPITAL AMBULANCE CALL CENTRE (L03-ED-A-02)</v>
          </cell>
          <cell r="P1632" t="str">
            <v>HM</v>
          </cell>
          <cell r="Q1632">
            <v>22000</v>
          </cell>
        </row>
        <row r="1633">
          <cell r="E1633" t="str">
            <v>KKM/JKN/HSA/10-05-01/H/15/3597</v>
          </cell>
          <cell r="F1633" t="str">
            <v>Therapeutic</v>
          </cell>
          <cell r="G1633" t="str">
            <v>Basic</v>
          </cell>
          <cell r="H1633" t="str">
            <v>Physiologic Monitoring Systems, Acute Care</v>
          </cell>
          <cell r="I1633" t="str">
            <v>TRANSP0RT VITAL SIGN MONITIR 5 PARAMETER</v>
          </cell>
          <cell r="J1633" t="str">
            <v>12-647</v>
          </cell>
          <cell r="K1633"/>
          <cell r="L1633" t="str">
            <v>UV0005(B) (1) / VITAL SIGN MONITOR</v>
          </cell>
          <cell r="M1633"/>
          <cell r="N1633" t="str">
            <v>KECEMASAN DAN TRAUMA</v>
          </cell>
          <cell r="O1633" t="str">
            <v>ED - PRE HOSPITAL AMBULANCE CALL CENTRE (L03-ED-A-02)</v>
          </cell>
          <cell r="P1633" t="str">
            <v>HM</v>
          </cell>
          <cell r="Q1633">
            <v>22000</v>
          </cell>
        </row>
        <row r="1634">
          <cell r="E1634" t="str">
            <v>KKM/JKN/HSA/10-05-01/H/15/3598</v>
          </cell>
          <cell r="F1634" t="str">
            <v>Therapeutic</v>
          </cell>
          <cell r="G1634" t="str">
            <v>Basic</v>
          </cell>
          <cell r="H1634" t="str">
            <v>Physiologic Monitoring Systems, Acute Care</v>
          </cell>
          <cell r="I1634" t="str">
            <v>TRANSP0RT VITAL SIGN MONITIR 5 PARAMETER</v>
          </cell>
          <cell r="J1634" t="str">
            <v>12-647</v>
          </cell>
          <cell r="K1634"/>
          <cell r="L1634" t="str">
            <v>UV0005(B) (1) / VITAL SIGN MONITOR</v>
          </cell>
          <cell r="M1634"/>
          <cell r="N1634" t="str">
            <v>KECEMASAN DAN TRAUMA</v>
          </cell>
          <cell r="O1634" t="str">
            <v>ED - PRE HOSPITAL AMBULANCE CALL CENTRE (L03-ED-A-02)</v>
          </cell>
          <cell r="P1634" t="str">
            <v>HM</v>
          </cell>
          <cell r="Q1634">
            <v>22000</v>
          </cell>
        </row>
        <row r="1635">
          <cell r="E1635" t="str">
            <v>KKM/JKN/HSA/10-05-01/H/15/3603</v>
          </cell>
          <cell r="F1635" t="str">
            <v>Therapeutic</v>
          </cell>
          <cell r="G1635" t="str">
            <v>Basic</v>
          </cell>
          <cell r="H1635" t="str">
            <v>Aspirators</v>
          </cell>
          <cell r="I1635" t="str">
            <v>SUCTION APPARATUS</v>
          </cell>
          <cell r="J1635" t="str">
            <v>10-208</v>
          </cell>
          <cell r="K1635"/>
          <cell r="L1635" t="str">
            <v>UV0005(B) (2) / BOSCAROL</v>
          </cell>
          <cell r="M1635"/>
          <cell r="N1635" t="str">
            <v>KECEMASAN DAN TRAUMA</v>
          </cell>
          <cell r="O1635" t="str">
            <v>ED - PRE HOSPITAL AMBULANCE CALL CENTRE (L03-ED-A-02)</v>
          </cell>
          <cell r="P1635" t="str">
            <v>HM</v>
          </cell>
          <cell r="Q1635">
            <v>4400</v>
          </cell>
        </row>
        <row r="1636">
          <cell r="E1636" t="str">
            <v>KKM/JKN/HSA/10-05-01/H/15/3604</v>
          </cell>
          <cell r="F1636" t="str">
            <v>Therapeutic</v>
          </cell>
          <cell r="G1636" t="str">
            <v>Basic</v>
          </cell>
          <cell r="H1636" t="str">
            <v>Aspirators</v>
          </cell>
          <cell r="I1636" t="str">
            <v>SUCTION APPARATUS</v>
          </cell>
          <cell r="J1636" t="str">
            <v>10-208</v>
          </cell>
          <cell r="K1636"/>
          <cell r="L1636" t="str">
            <v>UV0005(B) (2) / BOSCAROL</v>
          </cell>
          <cell r="M1636"/>
          <cell r="N1636" t="str">
            <v>KECEMASAN DAN TRAUMA</v>
          </cell>
          <cell r="O1636" t="str">
            <v>ED - PRE HOSPITAL AMBULANCE CALL CENTRE (L03-ED-A-02)</v>
          </cell>
          <cell r="P1636" t="str">
            <v>HM</v>
          </cell>
          <cell r="Q1636">
            <v>4400</v>
          </cell>
        </row>
        <row r="1637">
          <cell r="E1637" t="str">
            <v>KKM/JKN/HSA/10-05-01/H/15/3605</v>
          </cell>
          <cell r="F1637" t="str">
            <v>Therapeutic</v>
          </cell>
          <cell r="G1637" t="str">
            <v>Basic</v>
          </cell>
          <cell r="H1637" t="str">
            <v>Aspirators</v>
          </cell>
          <cell r="I1637" t="str">
            <v>SUCTION APPARATUS</v>
          </cell>
          <cell r="J1637" t="str">
            <v>10-208</v>
          </cell>
          <cell r="K1637"/>
          <cell r="L1637" t="str">
            <v>UV0004(B) (2) / BOSCAROL</v>
          </cell>
          <cell r="M1637"/>
          <cell r="N1637" t="str">
            <v>KECEMASAN DAN TRAUMA</v>
          </cell>
          <cell r="O1637" t="str">
            <v>ED - PRE HOSPITAL AMBULANCE CALL CENTRE (L03-ED-A-02)</v>
          </cell>
          <cell r="P1637" t="str">
            <v>HM</v>
          </cell>
          <cell r="Q1637">
            <v>4400</v>
          </cell>
        </row>
        <row r="1638">
          <cell r="E1638" t="str">
            <v>KKM/JKN/HSA/10-05-01/H/15/3606</v>
          </cell>
          <cell r="F1638" t="str">
            <v>Therapeutic</v>
          </cell>
          <cell r="G1638" t="str">
            <v>Basic</v>
          </cell>
          <cell r="H1638" t="str">
            <v>Aspirators</v>
          </cell>
          <cell r="I1638" t="str">
            <v>SUCTION APPARATUS</v>
          </cell>
          <cell r="J1638" t="str">
            <v>10-208</v>
          </cell>
          <cell r="K1638"/>
          <cell r="L1638" t="str">
            <v>UV0004(B) (2) / BOSCAROL</v>
          </cell>
          <cell r="M1638"/>
          <cell r="N1638" t="str">
            <v>KECEMASAN DAN TRAUMA</v>
          </cell>
          <cell r="O1638" t="str">
            <v>ED - PRE HOSPITAL AMBULANCE CALL CENTRE (L03-ED-A-02)</v>
          </cell>
          <cell r="P1638" t="str">
            <v>HM</v>
          </cell>
          <cell r="Q1638">
            <v>4400</v>
          </cell>
        </row>
        <row r="1639">
          <cell r="E1639" t="str">
            <v>KKM/JKN/HSA/10-05-01/H/15/3607</v>
          </cell>
          <cell r="F1639" t="str">
            <v>Therapeutic</v>
          </cell>
          <cell r="G1639" t="str">
            <v>Basic</v>
          </cell>
          <cell r="H1639" t="str">
            <v>Aspirators</v>
          </cell>
          <cell r="I1639" t="str">
            <v>SUCTION APPARATUS</v>
          </cell>
          <cell r="J1639" t="str">
            <v>10-208</v>
          </cell>
          <cell r="K1639"/>
          <cell r="L1639" t="str">
            <v>UV0004(B) (2) / BOSCAROL</v>
          </cell>
          <cell r="M1639"/>
          <cell r="N1639" t="str">
            <v>KECEMASAN DAN TRAUMA</v>
          </cell>
          <cell r="O1639" t="str">
            <v>ED - PRE HOSPITAL AMBULANCE CALL CENTRE (L03-ED-A-02)</v>
          </cell>
          <cell r="P1639" t="str">
            <v>HM</v>
          </cell>
          <cell r="Q1639">
            <v>4400</v>
          </cell>
        </row>
        <row r="1640">
          <cell r="E1640" t="str">
            <v>KKM/JKN/HSA/10-05-01/H/15/3608</v>
          </cell>
          <cell r="F1640" t="str">
            <v>Therapeutic</v>
          </cell>
          <cell r="G1640" t="str">
            <v>Basic</v>
          </cell>
          <cell r="H1640" t="str">
            <v>Aspirators</v>
          </cell>
          <cell r="I1640" t="str">
            <v>SUCTION APPARATUS</v>
          </cell>
          <cell r="J1640" t="str">
            <v>10-208</v>
          </cell>
          <cell r="K1640"/>
          <cell r="L1640" t="str">
            <v>UV0004(B) (2) / BOSCAROL</v>
          </cell>
          <cell r="M1640"/>
          <cell r="N1640" t="str">
            <v>KECEMASAN DAN TRAUMA</v>
          </cell>
          <cell r="O1640" t="str">
            <v>ED - PRE HOSPITAL AMBULANCE CALL CENTRE (L03-ED-A-02)</v>
          </cell>
          <cell r="P1640" t="str">
            <v>HM</v>
          </cell>
          <cell r="Q1640">
            <v>4400</v>
          </cell>
        </row>
        <row r="1641">
          <cell r="E1641" t="str">
            <v>KKM/JKN/HSA/10-05-01/H/15/3609</v>
          </cell>
          <cell r="F1641" t="str">
            <v>Therapeutic</v>
          </cell>
          <cell r="G1641" t="str">
            <v>Basic</v>
          </cell>
          <cell r="H1641" t="str">
            <v>Aspirators</v>
          </cell>
          <cell r="I1641" t="str">
            <v>SUCTION APPARATUS</v>
          </cell>
          <cell r="J1641" t="str">
            <v>10-208</v>
          </cell>
          <cell r="K1641"/>
          <cell r="L1641" t="str">
            <v>UV0004(B) (2) / BOSCAROL</v>
          </cell>
          <cell r="M1641"/>
          <cell r="N1641" t="str">
            <v>KECEMASAN DAN TRAUMA</v>
          </cell>
          <cell r="O1641" t="str">
            <v>ED - PRE HOSPITAL AMBULANCE CALL CENTRE (L03-ED-A-02)</v>
          </cell>
          <cell r="P1641" t="str">
            <v>HM</v>
          </cell>
          <cell r="Q1641">
            <v>4400</v>
          </cell>
        </row>
        <row r="1642">
          <cell r="E1642" t="str">
            <v>KKM/JKN/HSA/10-05-01/H/15/3610</v>
          </cell>
          <cell r="F1642" t="str">
            <v>Therapeutic</v>
          </cell>
          <cell r="G1642" t="str">
            <v>Basic</v>
          </cell>
          <cell r="H1642" t="str">
            <v>Aspirators</v>
          </cell>
          <cell r="I1642" t="str">
            <v>SUCTION APPARATUS</v>
          </cell>
          <cell r="J1642" t="str">
            <v>10-208</v>
          </cell>
          <cell r="K1642"/>
          <cell r="L1642" t="str">
            <v>UV0004(B) (2) / BOSCAROL</v>
          </cell>
          <cell r="M1642"/>
          <cell r="N1642" t="str">
            <v>KECEMASAN DAN TRAUMA</v>
          </cell>
          <cell r="O1642" t="str">
            <v>ED - PRE HOSPITAL AMBULANCE CALL CENTRE (L03-ED-A-02)</v>
          </cell>
          <cell r="P1642" t="str">
            <v>HM</v>
          </cell>
          <cell r="Q1642">
            <v>4400</v>
          </cell>
        </row>
        <row r="1643">
          <cell r="E1643" t="str">
            <v>KKM/JKN/HSA/10-05-01/H/15/3550</v>
          </cell>
          <cell r="F1643" t="str">
            <v>Therapeutic</v>
          </cell>
          <cell r="G1643" t="str">
            <v>Basic</v>
          </cell>
          <cell r="H1643" t="str">
            <v>Resuscitators, Pulmonary, Pneumatic</v>
          </cell>
          <cell r="I1643" t="str">
            <v>P0RTABLE PNEUMATIC P0WERED RESUSCITATOR/OXYGEN RESUSCITATOR</v>
          </cell>
          <cell r="J1643" t="str">
            <v>13-366</v>
          </cell>
          <cell r="K1643"/>
          <cell r="L1643" t="str">
            <v>UV0005(B) (4) / MEDITECH</v>
          </cell>
          <cell r="M1643"/>
          <cell r="N1643" t="str">
            <v>KECEMASAN DAN TRAUMA</v>
          </cell>
          <cell r="O1643" t="str">
            <v>ED - PRE HOSPITAL AMBULANCE CALL CENTRE (L03-ED-A-02)</v>
          </cell>
          <cell r="P1643" t="str">
            <v>HM</v>
          </cell>
          <cell r="Q1643">
            <v>11250</v>
          </cell>
        </row>
        <row r="1644">
          <cell r="E1644" t="str">
            <v>KKM/JKN/HSA/10-05-01/H/15/3551</v>
          </cell>
          <cell r="F1644" t="str">
            <v>Therapeutic</v>
          </cell>
          <cell r="G1644" t="str">
            <v>Basic</v>
          </cell>
          <cell r="H1644" t="str">
            <v>Resuscitators, Pulmonary, Pneumatic</v>
          </cell>
          <cell r="I1644" t="str">
            <v>P0RTABLE PNEUMATIC P0WERED RESUSCITATOR/OXYGEN RESUSCITATOR</v>
          </cell>
          <cell r="J1644" t="str">
            <v>13-366</v>
          </cell>
          <cell r="K1644"/>
          <cell r="L1644" t="str">
            <v>UV0005(B) (4) / MEDITECH</v>
          </cell>
          <cell r="M1644"/>
          <cell r="N1644" t="str">
            <v>KECEMASAN DAN TRAUMA</v>
          </cell>
          <cell r="O1644" t="str">
            <v>ED - PRE HOSPITAL AMBULANCE CALL CENTRE (L03-ED-A-02)</v>
          </cell>
          <cell r="P1644" t="str">
            <v>HM</v>
          </cell>
          <cell r="Q1644">
            <v>11250</v>
          </cell>
        </row>
        <row r="1645">
          <cell r="E1645" t="str">
            <v>KKM/JKN/HSA/10-05-01/H/15/3552</v>
          </cell>
          <cell r="F1645" t="str">
            <v>Therapeutic</v>
          </cell>
          <cell r="G1645" t="str">
            <v>Basic</v>
          </cell>
          <cell r="H1645" t="str">
            <v>Resuscitators, Pulmonary, Pneumatic</v>
          </cell>
          <cell r="I1645" t="str">
            <v>P0RTABLE PNEUMATIC P0WERED RESUSCITATOR/OXYGEN RESUSCITATOR</v>
          </cell>
          <cell r="J1645" t="str">
            <v>13-366</v>
          </cell>
          <cell r="K1645"/>
          <cell r="L1645" t="str">
            <v>UV0004(B) (4) / MEDITECH</v>
          </cell>
          <cell r="M1645"/>
          <cell r="N1645" t="str">
            <v>KECEMASAN DAN TRAUMA</v>
          </cell>
          <cell r="O1645" t="str">
            <v>ED - PRE HOSPITAL AMBULANCE CALL CENTRE (L03-ED-A-02)</v>
          </cell>
          <cell r="P1645" t="str">
            <v>HM</v>
          </cell>
          <cell r="Q1645">
            <v>11250</v>
          </cell>
        </row>
        <row r="1646">
          <cell r="E1646" t="str">
            <v>KKM/JKN/HSA/10-05-01/H/15/3553</v>
          </cell>
          <cell r="F1646" t="str">
            <v>Therapeutic</v>
          </cell>
          <cell r="G1646" t="str">
            <v>Basic</v>
          </cell>
          <cell r="H1646" t="str">
            <v>Resuscitators, Pulmonary, Pneumatic</v>
          </cell>
          <cell r="I1646" t="str">
            <v>P0RTABLE PNEUMATIC P0WERED RESUSCITATOR/OXYGEN RESUSCITATOR</v>
          </cell>
          <cell r="J1646" t="str">
            <v>13-366</v>
          </cell>
          <cell r="K1646"/>
          <cell r="L1646" t="str">
            <v>UV0004(B) (4) / MEDITECH</v>
          </cell>
          <cell r="M1646"/>
          <cell r="N1646" t="str">
            <v>KECEMASAN DAN TRAUMA</v>
          </cell>
          <cell r="O1646" t="str">
            <v>ED - PRE HOSPITAL AMBULANCE CALL CENTRE (L03-ED-A-02)</v>
          </cell>
          <cell r="P1646" t="str">
            <v>HM</v>
          </cell>
          <cell r="Q1646">
            <v>11250</v>
          </cell>
        </row>
        <row r="1647">
          <cell r="E1647" t="str">
            <v>KKM/JKN/HSA/10-05-01/H/15/3554</v>
          </cell>
          <cell r="F1647" t="str">
            <v>Therapeutic</v>
          </cell>
          <cell r="G1647" t="str">
            <v>Basic</v>
          </cell>
          <cell r="H1647" t="str">
            <v>Resuscitators, Pulmonary, Pneumatic</v>
          </cell>
          <cell r="I1647" t="str">
            <v>P0RTABLE PNEUMATIC P0WERED RESUSCITATOR/OXYGEN RESUSCITATOR</v>
          </cell>
          <cell r="J1647" t="str">
            <v>13-366</v>
          </cell>
          <cell r="K1647"/>
          <cell r="L1647" t="str">
            <v>UV0004(B) (4) / MEDITECH</v>
          </cell>
          <cell r="M1647"/>
          <cell r="N1647" t="str">
            <v>KECEMASAN DAN TRAUMA</v>
          </cell>
          <cell r="O1647" t="str">
            <v>ED - PRE HOSPITAL AMBULANCE CALL CENTRE (L03-ED-A-02)</v>
          </cell>
          <cell r="P1647" t="str">
            <v>HM</v>
          </cell>
          <cell r="Q1647">
            <v>11250</v>
          </cell>
        </row>
        <row r="1648">
          <cell r="E1648" t="str">
            <v>KKM/JKN/HSA/10-05-01/H/15/3555</v>
          </cell>
          <cell r="F1648" t="str">
            <v>Therapeutic</v>
          </cell>
          <cell r="G1648" t="str">
            <v>Basic</v>
          </cell>
          <cell r="H1648" t="str">
            <v>Resuscitators, Pulmonary, Pneumatic</v>
          </cell>
          <cell r="I1648" t="str">
            <v>P0RTABLE PNEUMATIC P0WERED RESUSCITATOR/OXYGEN RESUSCITATOR</v>
          </cell>
          <cell r="J1648" t="str">
            <v>13-366</v>
          </cell>
          <cell r="K1648"/>
          <cell r="L1648" t="str">
            <v>UV0004(B) (4) / MEDITECH</v>
          </cell>
          <cell r="M1648"/>
          <cell r="N1648" t="str">
            <v>KECEMASAN DAN TRAUMA</v>
          </cell>
          <cell r="O1648" t="str">
            <v>ED - PRE HOSPITAL AMBULANCE CALL CENTRE (L03-ED-A-02)</v>
          </cell>
          <cell r="P1648" t="str">
            <v>HM</v>
          </cell>
          <cell r="Q1648">
            <v>11250</v>
          </cell>
        </row>
        <row r="1649">
          <cell r="E1649" t="str">
            <v>KKM/JKN/HSA/10-05-01/H/15/3556</v>
          </cell>
          <cell r="F1649" t="str">
            <v>Therapeutic</v>
          </cell>
          <cell r="G1649" t="str">
            <v>Basic</v>
          </cell>
          <cell r="H1649" t="str">
            <v>Resuscitators, Pulmonary, Pneumatic</v>
          </cell>
          <cell r="I1649" t="str">
            <v>P0RTABLE PNEUMATIC P0WERED RESUSCITATOR/OXYGEN RESUSCITATOR</v>
          </cell>
          <cell r="J1649" t="str">
            <v>13-366</v>
          </cell>
          <cell r="K1649"/>
          <cell r="L1649" t="str">
            <v>UV0004(B) (4) / MEDITECH</v>
          </cell>
          <cell r="M1649"/>
          <cell r="N1649" t="str">
            <v>KECEMASAN DAN TRAUMA</v>
          </cell>
          <cell r="O1649" t="str">
            <v>ED - PRE HOSPITAL AMBULANCE CALL CENTRE (L03-ED-A-02)</v>
          </cell>
          <cell r="P1649" t="str">
            <v>HM</v>
          </cell>
          <cell r="Q1649">
            <v>11250</v>
          </cell>
        </row>
        <row r="1650">
          <cell r="E1650" t="str">
            <v>KKM/JKN/HSA/10-05-01/H/15/3557</v>
          </cell>
          <cell r="F1650" t="str">
            <v>Therapeutic</v>
          </cell>
          <cell r="G1650" t="str">
            <v>Basic</v>
          </cell>
          <cell r="H1650" t="str">
            <v>Resuscitators, Pulmonary, Pneumatic</v>
          </cell>
          <cell r="I1650" t="str">
            <v>P0RTABLE PNEUMATIC P0WERED RESUSCITATOR/OXYGEN RESUSCITATOR</v>
          </cell>
          <cell r="J1650" t="str">
            <v>13-366</v>
          </cell>
          <cell r="K1650"/>
          <cell r="L1650" t="str">
            <v>UV0004(B) (4) / MEDITECH</v>
          </cell>
          <cell r="M1650"/>
          <cell r="N1650" t="str">
            <v>KECEMASAN DAN TRAUMA</v>
          </cell>
          <cell r="O1650" t="str">
            <v>ED - PRE HOSPITAL AMBULANCE CALL CENTRE (L03-ED-A-02)</v>
          </cell>
          <cell r="P1650" t="str">
            <v>HM</v>
          </cell>
          <cell r="Q1650">
            <v>11250</v>
          </cell>
        </row>
        <row r="1651">
          <cell r="E1651" t="str">
            <v>KKM/JKN/HSA/10-05-01/H/15/3611</v>
          </cell>
          <cell r="F1651" t="str">
            <v>Therapeutic</v>
          </cell>
          <cell r="G1651" t="str">
            <v>Basic</v>
          </cell>
          <cell r="H1651" t="str">
            <v>Resuscitators, Pulmonary, Pneumatic</v>
          </cell>
          <cell r="I1651" t="str">
            <v>P0RTABLE PNEUMATIC P0WERED RESUSCITATOR/OXYGEN RESUSCITATOR</v>
          </cell>
          <cell r="J1651" t="str">
            <v>13-366</v>
          </cell>
          <cell r="K1651"/>
          <cell r="L1651" t="str">
            <v>UV0004(B) (3) / ALLIED HEALTHCARE</v>
          </cell>
          <cell r="M1651"/>
          <cell r="N1651" t="str">
            <v>KECEMASAN DAN TRAUMA</v>
          </cell>
          <cell r="O1651" t="str">
            <v>ED - PRE HOSPITAL AMBULANCE CALL CENTRE (L03-ED-A-02)</v>
          </cell>
          <cell r="P1651" t="str">
            <v>HM</v>
          </cell>
          <cell r="Q1651">
            <v>4400</v>
          </cell>
        </row>
        <row r="1652">
          <cell r="E1652" t="str">
            <v>KKM/JKN/HSA/10-05-01/H/15/3612</v>
          </cell>
          <cell r="F1652" t="str">
            <v>Therapeutic</v>
          </cell>
          <cell r="G1652" t="str">
            <v>Basic</v>
          </cell>
          <cell r="H1652" t="str">
            <v>Resuscitators, Pulmonary, Pneumatic</v>
          </cell>
          <cell r="I1652" t="str">
            <v>P0RTABLE PNEUMATIC P0WERED RESUSCITATOR/OXYGEN RESUSCITATOR</v>
          </cell>
          <cell r="J1652" t="str">
            <v>13-366</v>
          </cell>
          <cell r="K1652"/>
          <cell r="L1652" t="str">
            <v>UV0004(B) (3) / ALLIED HEALTHCARE</v>
          </cell>
          <cell r="M1652"/>
          <cell r="N1652" t="str">
            <v>KECEMASAN DAN TRAUMA</v>
          </cell>
          <cell r="O1652" t="str">
            <v>ED - PRE HOSPITAL AMBULANCE CALL CENTRE (L03-ED-A-02)</v>
          </cell>
          <cell r="P1652" t="str">
            <v>HM</v>
          </cell>
          <cell r="Q1652">
            <v>4400</v>
          </cell>
        </row>
        <row r="1653">
          <cell r="E1653" t="str">
            <v>KKM/JKN/HSA/10-05-01/H/15/3613</v>
          </cell>
          <cell r="F1653" t="str">
            <v>Therapeutic</v>
          </cell>
          <cell r="G1653" t="str">
            <v>Basic</v>
          </cell>
          <cell r="H1653" t="str">
            <v>Resuscitators, Pulmonary, Pneumatic</v>
          </cell>
          <cell r="I1653" t="str">
            <v>P0RTABLE PNEUMATIC P0WERED RESUSCITATOR/OXYGEN RESUSCITATOR</v>
          </cell>
          <cell r="J1653" t="str">
            <v>13-366</v>
          </cell>
          <cell r="K1653"/>
          <cell r="L1653" t="str">
            <v>UV0004(B) (3) / ALLIED HEALTHCARE</v>
          </cell>
          <cell r="M1653"/>
          <cell r="N1653" t="str">
            <v>KECEMASAN DAN TRAUMA</v>
          </cell>
          <cell r="O1653" t="str">
            <v>ED - PRE HOSPITAL AMBULANCE CALL CENTRE (L03-ED-A-02)</v>
          </cell>
          <cell r="P1653" t="str">
            <v>HM</v>
          </cell>
          <cell r="Q1653">
            <v>4400</v>
          </cell>
        </row>
        <row r="1654">
          <cell r="E1654" t="str">
            <v>KKM/JKN/HSA/10-05-01/H/15/3614</v>
          </cell>
          <cell r="F1654" t="str">
            <v>Therapeutic</v>
          </cell>
          <cell r="G1654" t="str">
            <v>Basic</v>
          </cell>
          <cell r="H1654" t="str">
            <v>Resuscitators, Pulmonary, Pneumatic</v>
          </cell>
          <cell r="I1654" t="str">
            <v>P0RTABLE PNEUMATIC P0WERED RESUSCITATOR/OXYGEN RESUSCITATOR</v>
          </cell>
          <cell r="J1654" t="str">
            <v>13-366</v>
          </cell>
          <cell r="K1654"/>
          <cell r="L1654" t="str">
            <v>UV0004(B) (3) / ALLIED HEALTHCARE</v>
          </cell>
          <cell r="M1654"/>
          <cell r="N1654" t="str">
            <v>KECEMASAN DAN TRAUMA</v>
          </cell>
          <cell r="O1654" t="str">
            <v>ED - PRE HOSPITAL AMBULANCE CALL CENTRE (L03-ED-A-02)</v>
          </cell>
          <cell r="P1654" t="str">
            <v>HM</v>
          </cell>
          <cell r="Q1654">
            <v>4400</v>
          </cell>
        </row>
        <row r="1655">
          <cell r="E1655" t="str">
            <v>KKM/JKN/HSA/10-05-01/H/15/3615</v>
          </cell>
          <cell r="F1655" t="str">
            <v>Therapeutic</v>
          </cell>
          <cell r="G1655" t="str">
            <v>Basic</v>
          </cell>
          <cell r="H1655" t="str">
            <v>Resuscitators, Pulmonary, Pneumatic</v>
          </cell>
          <cell r="I1655" t="str">
            <v>P0RTABLE PNEUMATIC P0WERED RESUSCITATOR/OXYGEN RESUSCITATOR</v>
          </cell>
          <cell r="J1655" t="str">
            <v>13-366</v>
          </cell>
          <cell r="K1655"/>
          <cell r="L1655" t="str">
            <v>UV0004(B) (3) / ALLIED HEALTHCARE</v>
          </cell>
          <cell r="M1655"/>
          <cell r="N1655" t="str">
            <v>KECEMASAN DAN TRAUMA</v>
          </cell>
          <cell r="O1655" t="str">
            <v>ED - PRE HOSPITAL AMBULANCE CALL CENTRE (L03-ED-A-02)</v>
          </cell>
          <cell r="P1655" t="str">
            <v>HM</v>
          </cell>
          <cell r="Q1655">
            <v>4400</v>
          </cell>
        </row>
        <row r="1656">
          <cell r="E1656" t="str">
            <v>KKM/JKN/HSA/10-05-01/H/15/3616</v>
          </cell>
          <cell r="F1656" t="str">
            <v>Therapeutic</v>
          </cell>
          <cell r="G1656" t="str">
            <v>Basic</v>
          </cell>
          <cell r="H1656" t="str">
            <v>Resuscitators, Pulmonary, Pneumatic</v>
          </cell>
          <cell r="I1656" t="str">
            <v>P0RTABLE PNEUMATIC P0WERED RESUSCITATOR/OXYGEN RESUSCITATOR</v>
          </cell>
          <cell r="J1656" t="str">
            <v>13-366</v>
          </cell>
          <cell r="K1656"/>
          <cell r="L1656" t="str">
            <v>UV0004(B) (3) / ALLIED HEALTHCARE</v>
          </cell>
          <cell r="M1656"/>
          <cell r="N1656" t="str">
            <v>KECEMASAN DAN TRAUMA</v>
          </cell>
          <cell r="O1656" t="str">
            <v>ED - PRE HOSPITAL AMBULANCE CALL CENTRE (L03-ED-A-02)</v>
          </cell>
          <cell r="P1656" t="str">
            <v>HM</v>
          </cell>
          <cell r="Q1656">
            <v>4400</v>
          </cell>
        </row>
        <row r="1657">
          <cell r="E1657" t="str">
            <v>KKM/JKN/HSA/10-05-01/H/15/3617</v>
          </cell>
          <cell r="F1657" t="str">
            <v>Therapeutic</v>
          </cell>
          <cell r="G1657" t="str">
            <v>Basic</v>
          </cell>
          <cell r="H1657" t="str">
            <v>Resuscitators, Pulmonary, Pneumatic</v>
          </cell>
          <cell r="I1657" t="str">
            <v>P0RTABLE PNEUMATIC P0WERED RESUSCITATOR/OXYGEN RESUSCITATOR</v>
          </cell>
          <cell r="J1657" t="str">
            <v>13-366</v>
          </cell>
          <cell r="K1657"/>
          <cell r="L1657" t="str">
            <v>UV0005(B) (3) / ALLIED HEALTHCARE</v>
          </cell>
          <cell r="M1657"/>
          <cell r="N1657" t="str">
            <v>KECEMASAN DAN TRAUMA</v>
          </cell>
          <cell r="O1657" t="str">
            <v>ED - PRE HOSPITAL AMBULANCE CALL CENTRE (L03-ED-A-02)</v>
          </cell>
          <cell r="P1657" t="str">
            <v>HM</v>
          </cell>
          <cell r="Q1657">
            <v>4400</v>
          </cell>
        </row>
        <row r="1658">
          <cell r="E1658" t="str">
            <v>KKM/JKN/HSA/10-05-01/H/15/3618</v>
          </cell>
          <cell r="F1658" t="str">
            <v>Therapeutic</v>
          </cell>
          <cell r="G1658" t="str">
            <v>Basic</v>
          </cell>
          <cell r="H1658" t="str">
            <v>Resuscitators, Pulmonary, Pneumatic</v>
          </cell>
          <cell r="I1658" t="str">
            <v>P0RTABLE PNEUMATIC P0WERED RESUSCITATOR/OXYGEN RESUSCITATOR</v>
          </cell>
          <cell r="J1658" t="str">
            <v>13-366</v>
          </cell>
          <cell r="K1658"/>
          <cell r="L1658" t="str">
            <v>UV0005(B) (3) / ALLIED HEALTHCARE</v>
          </cell>
          <cell r="M1658"/>
          <cell r="N1658" t="str">
            <v>KECEMASAN DAN TRAUMA</v>
          </cell>
          <cell r="O1658" t="str">
            <v>ED - PRE HOSPITAL AMBULANCE CALL CENTRE (L03-ED-A-02)</v>
          </cell>
          <cell r="P1658" t="str">
            <v>HM</v>
          </cell>
          <cell r="Q1658">
            <v>4400</v>
          </cell>
        </row>
        <row r="1659">
          <cell r="E1659" t="str">
            <v>KKM/JKN/HSA/10-05-01/H/15/4858</v>
          </cell>
          <cell r="F1659" t="str">
            <v>Therapeutic</v>
          </cell>
          <cell r="G1659" t="str">
            <v>Basic</v>
          </cell>
          <cell r="H1659" t="str">
            <v xml:space="preserve">Defibrillators, External, Automated </v>
          </cell>
          <cell r="I1659" t="str">
            <v>AUTOMATIC EXTERNAL DEFIBRILLATOR (AED)</v>
          </cell>
          <cell r="J1659" t="str">
            <v>17-116</v>
          </cell>
          <cell r="K1659" t="str">
            <v>SAVER ONE</v>
          </cell>
          <cell r="L1659" t="str">
            <v>SAVER ONE/ UV0004(B)10</v>
          </cell>
          <cell r="M1659"/>
          <cell r="N1659" t="str">
            <v>KECEMASAN DAN TRAUMA</v>
          </cell>
          <cell r="O1659" t="str">
            <v>ED - PRE HOSPITAL AMBULANCE CALL CENTRE (L03-ED-A-02)</v>
          </cell>
          <cell r="P1659" t="str">
            <v>HM</v>
          </cell>
          <cell r="Q1659">
            <v>8000</v>
          </cell>
        </row>
        <row r="1660">
          <cell r="E1660" t="str">
            <v>KKM/JKN/HSA/10-05-01/H/15/4859</v>
          </cell>
          <cell r="F1660" t="str">
            <v>Therapeutic</v>
          </cell>
          <cell r="G1660" t="str">
            <v>Basic</v>
          </cell>
          <cell r="H1660" t="str">
            <v xml:space="preserve">Defibrillators, External, Automated </v>
          </cell>
          <cell r="I1660" t="str">
            <v>AUTOMATIC EXTERNAL DEFIBRILLATOR (AED)</v>
          </cell>
          <cell r="J1660" t="str">
            <v>17-116</v>
          </cell>
          <cell r="K1660" t="str">
            <v>SAVER ONE</v>
          </cell>
          <cell r="L1660" t="str">
            <v>SAVER ONE/ UV0004(B)10</v>
          </cell>
          <cell r="M1660"/>
          <cell r="N1660" t="str">
            <v>KECEMASAN DAN TRAUMA</v>
          </cell>
          <cell r="O1660" t="str">
            <v>ED - PRE HOSPITAL AMBULANCE CALL CENTRE (L03-ED-A-02)</v>
          </cell>
          <cell r="P1660" t="str">
            <v>HM</v>
          </cell>
          <cell r="Q1660">
            <v>8000</v>
          </cell>
        </row>
        <row r="1661">
          <cell r="E1661" t="str">
            <v>KKM/JKN/HSA/10-05-01/H/15/4861</v>
          </cell>
          <cell r="F1661" t="str">
            <v>Therapeutic</v>
          </cell>
          <cell r="G1661" t="str">
            <v>Basic</v>
          </cell>
          <cell r="H1661" t="str">
            <v xml:space="preserve">Defibrillators, External, Automated </v>
          </cell>
          <cell r="I1661" t="str">
            <v>AUTOMATIC EXTERNAL DEFIBRILLATOR (AED)</v>
          </cell>
          <cell r="J1661" t="str">
            <v>17-116</v>
          </cell>
          <cell r="K1661" t="str">
            <v>SAVER ONE</v>
          </cell>
          <cell r="L1661" t="str">
            <v>SAVER ONE/ UV0004(B)10</v>
          </cell>
          <cell r="M1661"/>
          <cell r="N1661" t="str">
            <v>KECEMASAN DAN TRAUMA</v>
          </cell>
          <cell r="O1661" t="str">
            <v>ED - PRE HOSPITAL AMBULANCE CALL CENTRE (L03-ED-A-02)</v>
          </cell>
          <cell r="P1661" t="str">
            <v>HM</v>
          </cell>
          <cell r="Q1661">
            <v>8000</v>
          </cell>
        </row>
        <row r="1662">
          <cell r="E1662" t="str">
            <v>KKM/JKN/HSA/10-05-01/H/15/4862</v>
          </cell>
          <cell r="F1662" t="str">
            <v>Therapeutic</v>
          </cell>
          <cell r="G1662" t="str">
            <v>Basic</v>
          </cell>
          <cell r="H1662" t="str">
            <v xml:space="preserve">Defibrillators, External, Automated </v>
          </cell>
          <cell r="I1662" t="str">
            <v>AUTOMATIC EXTERNAL DEFIBRILLATOR (AED)</v>
          </cell>
          <cell r="J1662" t="str">
            <v>17-116</v>
          </cell>
          <cell r="K1662" t="str">
            <v>SAVER ONE</v>
          </cell>
          <cell r="L1662" t="str">
            <v>SAVER ONE/ UV0004(B)10</v>
          </cell>
          <cell r="M1662"/>
          <cell r="N1662" t="str">
            <v>KECEMASAN DAN TRAUMA</v>
          </cell>
          <cell r="O1662" t="str">
            <v>ED - PRE HOSPITAL AMBULANCE CALL CENTRE (L03-ED-A-02)</v>
          </cell>
          <cell r="P1662" t="str">
            <v>HM</v>
          </cell>
          <cell r="Q1662">
            <v>8000</v>
          </cell>
        </row>
        <row r="1663">
          <cell r="E1663" t="str">
            <v>KKM/JKN/HSA/10-05-01/H/15/4863</v>
          </cell>
          <cell r="F1663" t="str">
            <v>Therapeutic</v>
          </cell>
          <cell r="G1663" t="str">
            <v>Basic</v>
          </cell>
          <cell r="H1663" t="str">
            <v xml:space="preserve">Defibrillators, External, Automated </v>
          </cell>
          <cell r="I1663" t="str">
            <v>AUTOMATIC EXTERNAL DEFIBRILLATOR (AED)</v>
          </cell>
          <cell r="J1663" t="str">
            <v>17-116</v>
          </cell>
          <cell r="K1663" t="str">
            <v>SAVER ONE</v>
          </cell>
          <cell r="L1663" t="str">
            <v>SAVER ONE/ UV0004(B)10</v>
          </cell>
          <cell r="M1663"/>
          <cell r="N1663" t="str">
            <v>KECEMASAN DAN TRAUMA</v>
          </cell>
          <cell r="O1663" t="str">
            <v>ED - PRE HOSPITAL AMBULANCE CALL CENTRE (L03-ED-A-02)</v>
          </cell>
          <cell r="P1663" t="str">
            <v>HM</v>
          </cell>
          <cell r="Q1663">
            <v>8000</v>
          </cell>
        </row>
        <row r="1664">
          <cell r="E1664" t="str">
            <v>KKM/JKN/HSA/10-05-01/H/15/4864</v>
          </cell>
          <cell r="F1664" t="str">
            <v>Therapeutic</v>
          </cell>
          <cell r="G1664" t="str">
            <v>Basic</v>
          </cell>
          <cell r="H1664" t="str">
            <v xml:space="preserve">Defibrillators, External, Automated </v>
          </cell>
          <cell r="I1664" t="str">
            <v>AUTOMATIC EXTERNAL DEFIBRILLATOR (AED)</v>
          </cell>
          <cell r="J1664" t="str">
            <v>17-116</v>
          </cell>
          <cell r="K1664" t="str">
            <v>SAVER ONE</v>
          </cell>
          <cell r="L1664" t="str">
            <v>SAVER ONE/ UV0004(B)10</v>
          </cell>
          <cell r="M1664"/>
          <cell r="N1664" t="str">
            <v>KECEMASAN DAN TRAUMA</v>
          </cell>
          <cell r="O1664" t="str">
            <v>ED - PRE HOSPITAL AMBULANCE CALL CENTRE (L03-ED-A-02)</v>
          </cell>
          <cell r="P1664" t="str">
            <v>HM</v>
          </cell>
          <cell r="Q1664">
            <v>8000</v>
          </cell>
        </row>
        <row r="1665">
          <cell r="E1665" t="str">
            <v>KKM/JKN/HSA/10-05-01/H/15/4865</v>
          </cell>
          <cell r="F1665" t="str">
            <v>Therapeutic</v>
          </cell>
          <cell r="G1665" t="str">
            <v>Basic</v>
          </cell>
          <cell r="H1665" t="str">
            <v xml:space="preserve">Defibrillators, External, Automated </v>
          </cell>
          <cell r="I1665" t="str">
            <v>AUTOMATIC EXTERNAL DEFIBRILLATOR (AED)</v>
          </cell>
          <cell r="J1665" t="str">
            <v>17-116</v>
          </cell>
          <cell r="K1665" t="str">
            <v>SAVER ONE</v>
          </cell>
          <cell r="L1665" t="str">
            <v>SAVER ONE/ UV0004(B)10</v>
          </cell>
          <cell r="M1665"/>
          <cell r="N1665" t="str">
            <v>KECEMASAN DAN TRAUMA</v>
          </cell>
          <cell r="O1665" t="str">
            <v>ED - PRE HOSPITAL AMBULANCE CALL CENTRE (L03-ED-A-02)</v>
          </cell>
          <cell r="P1665" t="str">
            <v>HM</v>
          </cell>
          <cell r="Q1665">
            <v>8000</v>
          </cell>
        </row>
        <row r="1666">
          <cell r="E1666" t="str">
            <v>KKM/JKN/HSA/10-05-01/H/15/4866</v>
          </cell>
          <cell r="F1666" t="str">
            <v>Therapeutic</v>
          </cell>
          <cell r="G1666" t="str">
            <v>Basic</v>
          </cell>
          <cell r="H1666" t="str">
            <v xml:space="preserve">Defibrillators, External, Automated </v>
          </cell>
          <cell r="I1666" t="str">
            <v>AUTOMATIC EXTERNAL DEFIBRILLATOR (AED)</v>
          </cell>
          <cell r="J1666" t="str">
            <v>17-116</v>
          </cell>
          <cell r="K1666" t="str">
            <v>SAVER ONE</v>
          </cell>
          <cell r="L1666" t="str">
            <v>SAVER ONE/ UV0004(B)10</v>
          </cell>
          <cell r="M1666"/>
          <cell r="N1666" t="str">
            <v>KECEMASAN DAN TRAUMA</v>
          </cell>
          <cell r="O1666" t="str">
            <v>ED - PRE HOSPITAL AMBULANCE CALL CENTRE (L03-ED-A-02)</v>
          </cell>
          <cell r="P1666" t="str">
            <v>HM</v>
          </cell>
          <cell r="Q1666">
            <v>8000</v>
          </cell>
        </row>
        <row r="1667">
          <cell r="E1667" t="str">
            <v>KKM/JKN/HSA/10-05-01/H/15/3655</v>
          </cell>
          <cell r="F1667" t="str">
            <v>Therapeutic</v>
          </cell>
          <cell r="G1667" t="str">
            <v>Basic</v>
          </cell>
          <cell r="H1667"/>
          <cell r="I1667" t="str">
            <v>AMBULANCE STRETCHER</v>
          </cell>
          <cell r="J1667"/>
          <cell r="K1667"/>
          <cell r="L1667" t="str">
            <v>UV0004(B) (9) / SPENCER</v>
          </cell>
          <cell r="M1667"/>
          <cell r="N1667" t="str">
            <v>KECEMASAN DAN TRAUMA</v>
          </cell>
          <cell r="O1667" t="str">
            <v>ED - PRE HOSPITAL AMBULANCE CALL CENTRE (L03-ED-A-02)</v>
          </cell>
          <cell r="P1667" t="str">
            <v>HM</v>
          </cell>
          <cell r="Q1667">
            <v>18000</v>
          </cell>
        </row>
        <row r="1668">
          <cell r="E1668" t="str">
            <v>KKM/JKN/HSA/10-05-01/H/15/3656</v>
          </cell>
          <cell r="F1668" t="str">
            <v>Therapeutic</v>
          </cell>
          <cell r="G1668" t="str">
            <v>Basic</v>
          </cell>
          <cell r="H1668"/>
          <cell r="I1668" t="str">
            <v>AMBULANCE STRETCHER</v>
          </cell>
          <cell r="J1668"/>
          <cell r="K1668"/>
          <cell r="L1668" t="str">
            <v>UV0004(B) (9) / SPENCER</v>
          </cell>
          <cell r="M1668"/>
          <cell r="N1668" t="str">
            <v>KECEMASAN DAN TRAUMA</v>
          </cell>
          <cell r="O1668" t="str">
            <v>ED - PRE HOSPITAL AMBULANCE CALL CENTRE (L03-ED-A-02)</v>
          </cell>
          <cell r="P1668" t="str">
            <v>HM</v>
          </cell>
          <cell r="Q1668">
            <v>18000</v>
          </cell>
        </row>
        <row r="1669">
          <cell r="E1669" t="str">
            <v>KKM/JKN/HSA/10-05-01/R/16/13</v>
          </cell>
          <cell r="F1669" t="str">
            <v xml:space="preserve">Diagnostic </v>
          </cell>
          <cell r="G1669" t="str">
            <v>Basic</v>
          </cell>
          <cell r="H1669" t="str">
            <v>Scales, Infant</v>
          </cell>
          <cell r="I1669" t="str">
            <v>INFANT/ BABY SCALER</v>
          </cell>
          <cell r="J1669" t="str">
            <v>13-462</v>
          </cell>
          <cell r="K1669" t="str">
            <v>TANITA</v>
          </cell>
          <cell r="L1669"/>
          <cell r="M1669"/>
          <cell r="N1669" t="str">
            <v>DIETETIK DAN SAJIAN</v>
          </cell>
          <cell r="O1669" t="str">
            <v>Dietetik dan Sajian</v>
          </cell>
          <cell r="P1669"/>
          <cell r="Q1669">
            <v>800</v>
          </cell>
        </row>
        <row r="1670">
          <cell r="E1670" t="str">
            <v>KKM/JKN/HSA/10-05-01/H/15/1581</v>
          </cell>
          <cell r="F1670" t="str">
            <v>Therapeutic</v>
          </cell>
          <cell r="G1670" t="str">
            <v>Basic</v>
          </cell>
          <cell r="H1670" t="str">
            <v>Warming Units, Patient, Radiant, Infant</v>
          </cell>
          <cell r="I1670" t="str">
            <v>WARMING UNITS, PATIENT, RADIANT, INFANT</v>
          </cell>
          <cell r="J1670" t="str">
            <v>17-956</v>
          </cell>
          <cell r="K1670" t="str">
            <v>DRAEGER</v>
          </cell>
          <cell r="L1670" t="str">
            <v>RESUSCITAIRE RW-82</v>
          </cell>
          <cell r="M1670" t="str">
            <v>AU 01151</v>
          </cell>
          <cell r="N1670" t="str">
            <v>OBSTETRIK &amp; GINEKOLOGI</v>
          </cell>
          <cell r="O1670" t="str">
            <v>Dewan Bersalin (LDU)</v>
          </cell>
          <cell r="P1670" t="str">
            <v>HM</v>
          </cell>
          <cell r="Q1670">
            <v>24000</v>
          </cell>
        </row>
        <row r="1671">
          <cell r="E1671" t="str">
            <v>KKM/JKN/HSA/10-05-01/H/15/1582</v>
          </cell>
          <cell r="F1671" t="str">
            <v>Therapeutic</v>
          </cell>
          <cell r="G1671" t="str">
            <v>Basic</v>
          </cell>
          <cell r="H1671" t="str">
            <v>Warming Units, Patient, Radiant, Infant</v>
          </cell>
          <cell r="I1671" t="str">
            <v>WARMING UNITS, PATIENT, RADIANT, INFANT</v>
          </cell>
          <cell r="J1671" t="str">
            <v>17-956</v>
          </cell>
          <cell r="K1671" t="str">
            <v>DRAEGER</v>
          </cell>
          <cell r="L1671" t="str">
            <v>RESUSCITAIRE RW-82</v>
          </cell>
          <cell r="M1671" t="str">
            <v>AU 01150</v>
          </cell>
          <cell r="N1671" t="str">
            <v>OBSTETRIK &amp; GINEKOLOGI</v>
          </cell>
          <cell r="O1671" t="str">
            <v>Dewan Bersalin (LDU)</v>
          </cell>
          <cell r="P1671" t="str">
            <v>HM</v>
          </cell>
          <cell r="Q1671">
            <v>24000</v>
          </cell>
        </row>
        <row r="1672">
          <cell r="E1672" t="str">
            <v>KKM/JKN/HSA/10-05-01/H/15/1583</v>
          </cell>
          <cell r="F1672" t="str">
            <v>Therapeutic</v>
          </cell>
          <cell r="G1672" t="str">
            <v>Basic</v>
          </cell>
          <cell r="H1672" t="str">
            <v>Warming Units, Patient, Radiant, Infant</v>
          </cell>
          <cell r="I1672" t="str">
            <v>WARMING UNITS, PATIENT, RADIANT, INFANT</v>
          </cell>
          <cell r="J1672" t="str">
            <v>17-956</v>
          </cell>
          <cell r="K1672" t="str">
            <v>DRAEGER</v>
          </cell>
          <cell r="L1672" t="str">
            <v>RESUSCITAIRE RW-82</v>
          </cell>
          <cell r="M1672" t="str">
            <v>AU 01148</v>
          </cell>
          <cell r="N1672" t="str">
            <v>OBSTETRIK &amp; GINEKOLOGI</v>
          </cell>
          <cell r="O1672" t="str">
            <v>Dewan Bersalin (LDU)</v>
          </cell>
          <cell r="P1672" t="str">
            <v>HM</v>
          </cell>
          <cell r="Q1672">
            <v>24000</v>
          </cell>
        </row>
        <row r="1673">
          <cell r="E1673" t="str">
            <v>KKM/JKN/HSA/10-05-01/H/15/2436</v>
          </cell>
          <cell r="F1673" t="str">
            <v>Therapeutic</v>
          </cell>
          <cell r="G1673" t="str">
            <v>Basic</v>
          </cell>
          <cell r="H1673" t="str">
            <v>Warming Units, Patient, Forced-Air</v>
          </cell>
          <cell r="I1673" t="str">
            <v>WARMER, CONVECTIVE AIR</v>
          </cell>
          <cell r="J1673" t="str">
            <v>17-950</v>
          </cell>
          <cell r="K1673" t="str">
            <v>CARE ESSENTIAL PTE</v>
          </cell>
          <cell r="L1673" t="str">
            <v>CWS4000</v>
          </cell>
          <cell r="M1673" t="str">
            <v>CWS4-2356-14</v>
          </cell>
          <cell r="N1673" t="str">
            <v>OBSTETRIK &amp; GINEKOLOGI</v>
          </cell>
          <cell r="O1673" t="str">
            <v>Dewan Bersalin (LDU)</v>
          </cell>
          <cell r="P1673" t="str">
            <v>HM</v>
          </cell>
          <cell r="Q1673">
            <v>6560</v>
          </cell>
        </row>
        <row r="1674">
          <cell r="E1674" t="str">
            <v>KKM/JKN/HSA/10-05-01/H/15/4914</v>
          </cell>
          <cell r="F1674" t="str">
            <v>Therapeutic</v>
          </cell>
          <cell r="G1674" t="str">
            <v>Basic</v>
          </cell>
          <cell r="H1674" t="str">
            <v>Warming Units, Blood/Solution</v>
          </cell>
          <cell r="I1674" t="str">
            <v>WARMER BLOOD DRY HEAT TYPE</v>
          </cell>
          <cell r="J1674" t="str">
            <v>10-447</v>
          </cell>
          <cell r="K1674" t="str">
            <v>BARKEY</v>
          </cell>
          <cell r="L1674" t="str">
            <v>AUTOCONTROL 3XPT</v>
          </cell>
          <cell r="M1674">
            <v>1207676</v>
          </cell>
          <cell r="N1674" t="str">
            <v>OBSTETRIK &amp; GINEKOLOGI</v>
          </cell>
          <cell r="O1674" t="str">
            <v>Dewan Bersalin (LDU)</v>
          </cell>
          <cell r="P1674" t="str">
            <v>HM</v>
          </cell>
          <cell r="Q1674">
            <v>4224</v>
          </cell>
        </row>
        <row r="1675">
          <cell r="E1675" t="str">
            <v>KKM/JKN/HSA/10-05-01/H/15/1168</v>
          </cell>
          <cell r="F1675" t="str">
            <v>Therapeutic</v>
          </cell>
          <cell r="G1675" t="str">
            <v>Basic</v>
          </cell>
          <cell r="H1675" t="str">
            <v>Aspirators, Surgical</v>
          </cell>
          <cell r="I1675" t="str">
            <v>SUCTION UNIT OBSTETRIC</v>
          </cell>
          <cell r="J1675" t="str">
            <v xml:space="preserve">
10-217</v>
          </cell>
          <cell r="K1675" t="str">
            <v>MEDELA</v>
          </cell>
          <cell r="L1675" t="str">
            <v>BASIC</v>
          </cell>
          <cell r="M1675">
            <v>1501433</v>
          </cell>
          <cell r="N1675" t="str">
            <v>OBSTETRIK &amp; GINEKOLOGI</v>
          </cell>
          <cell r="O1675" t="str">
            <v>Dewan Bersalin (LDU)</v>
          </cell>
          <cell r="P1675" t="str">
            <v>HM</v>
          </cell>
          <cell r="Q1675">
            <v>8850</v>
          </cell>
        </row>
        <row r="1676">
          <cell r="E1676" t="str">
            <v>KKM/JKN/HSA/10-05-01/H/15/1169</v>
          </cell>
          <cell r="F1676" t="str">
            <v>Therapeutic</v>
          </cell>
          <cell r="G1676" t="str">
            <v>Basic</v>
          </cell>
          <cell r="H1676" t="str">
            <v>Aspirators, Surgical</v>
          </cell>
          <cell r="I1676" t="str">
            <v>SUCTION UNIT OBSTETRIC</v>
          </cell>
          <cell r="J1676" t="str">
            <v xml:space="preserve">
10-217</v>
          </cell>
          <cell r="K1676" t="str">
            <v>MEDELA</v>
          </cell>
          <cell r="L1676" t="str">
            <v>BASIC</v>
          </cell>
          <cell r="M1676">
            <v>1501404</v>
          </cell>
          <cell r="N1676" t="str">
            <v>OBSTETRIK &amp; GINEKOLOGI</v>
          </cell>
          <cell r="O1676" t="str">
            <v>Dewan Bersalin (LDU)</v>
          </cell>
          <cell r="P1676" t="str">
            <v>HM</v>
          </cell>
          <cell r="Q1676">
            <v>8850</v>
          </cell>
        </row>
        <row r="1677">
          <cell r="E1677" t="str">
            <v>KKM/JKN/HSA/10-05-01/H/15/1170</v>
          </cell>
          <cell r="F1677" t="str">
            <v>Therapeutic</v>
          </cell>
          <cell r="G1677" t="str">
            <v>Basic</v>
          </cell>
          <cell r="H1677" t="str">
            <v>Aspirators, Surgical</v>
          </cell>
          <cell r="I1677" t="str">
            <v>SUCTION UNIT OBSTETRIC</v>
          </cell>
          <cell r="J1677" t="str">
            <v xml:space="preserve">
10-217</v>
          </cell>
          <cell r="K1677" t="str">
            <v>MEDELA</v>
          </cell>
          <cell r="L1677" t="str">
            <v>BASIC</v>
          </cell>
          <cell r="M1677">
            <v>1501406</v>
          </cell>
          <cell r="N1677" t="str">
            <v>OBSTETRIK &amp; GINEKOLOGI</v>
          </cell>
          <cell r="O1677" t="str">
            <v>Dewan Bersalin (LDU)</v>
          </cell>
          <cell r="P1677" t="str">
            <v>HM</v>
          </cell>
          <cell r="Q1677">
            <v>8850</v>
          </cell>
        </row>
        <row r="1678">
          <cell r="E1678" t="str">
            <v>KKM/JKN/HSA/10-05-01/R/15/14846</v>
          </cell>
          <cell r="F1678" t="str">
            <v xml:space="preserve">Diagnostic </v>
          </cell>
          <cell r="G1678" t="str">
            <v>Basic</v>
          </cell>
          <cell r="H1678" t="str">
            <v>Sphygmomanometers, Aneroid</v>
          </cell>
          <cell r="I1678" t="str">
            <v>SPHYGMOMANOMETER ANEROID DESK MODEL</v>
          </cell>
          <cell r="J1678" t="str">
            <v>16-156</v>
          </cell>
          <cell r="K1678" t="str">
            <v>RIESTER</v>
          </cell>
          <cell r="L1678">
            <v>1453</v>
          </cell>
          <cell r="M1678">
            <v>160311437</v>
          </cell>
          <cell r="N1678" t="str">
            <v>OBSTETRIK &amp; GINEKOLOGI</v>
          </cell>
          <cell r="O1678" t="str">
            <v>Dewan Bersalin (LDU)</v>
          </cell>
          <cell r="P1678" t="str">
            <v>ABR</v>
          </cell>
          <cell r="Q1678">
            <v>452.81</v>
          </cell>
        </row>
        <row r="1679">
          <cell r="E1679" t="str">
            <v>KKM/JKN/HSA/10-05-01/R/15/14847</v>
          </cell>
          <cell r="F1679" t="str">
            <v xml:space="preserve">Diagnostic </v>
          </cell>
          <cell r="G1679" t="str">
            <v>Basic</v>
          </cell>
          <cell r="H1679" t="str">
            <v>Sphygmomanometers, Aneroid</v>
          </cell>
          <cell r="I1679" t="str">
            <v>SPHYGMOMANOMETER ANEROID DESK MODEL</v>
          </cell>
          <cell r="J1679" t="str">
            <v>16-156</v>
          </cell>
          <cell r="K1679" t="str">
            <v>RIESTER</v>
          </cell>
          <cell r="L1679">
            <v>1453</v>
          </cell>
          <cell r="M1679">
            <v>150311421</v>
          </cell>
          <cell r="N1679" t="str">
            <v>OBSTETRIK &amp; GINEKOLOGI</v>
          </cell>
          <cell r="O1679" t="str">
            <v>Dewan Bersalin (LDU)</v>
          </cell>
          <cell r="P1679" t="str">
            <v>ABR</v>
          </cell>
          <cell r="Q1679">
            <v>452.81</v>
          </cell>
        </row>
        <row r="1680">
          <cell r="E1680" t="str">
            <v>KKM/JKN/HSA/10-05-01/R/15/14848</v>
          </cell>
          <cell r="F1680" t="str">
            <v xml:space="preserve">Diagnostic </v>
          </cell>
          <cell r="G1680" t="str">
            <v>Basic</v>
          </cell>
          <cell r="H1680" t="str">
            <v>Sphygmomanometers, Aneroid</v>
          </cell>
          <cell r="I1680" t="str">
            <v>SPHYGMOMANOMETER ANEROID DESK MODEL</v>
          </cell>
          <cell r="J1680" t="str">
            <v>16-156</v>
          </cell>
          <cell r="K1680" t="str">
            <v>RIESTER</v>
          </cell>
          <cell r="L1680">
            <v>1453</v>
          </cell>
          <cell r="M1680">
            <v>150311415</v>
          </cell>
          <cell r="N1680" t="str">
            <v>OBSTETRIK &amp; GINEKOLOGI</v>
          </cell>
          <cell r="O1680" t="str">
            <v>Dewan Bersalin (LDU)</v>
          </cell>
          <cell r="P1680" t="str">
            <v>ABR</v>
          </cell>
          <cell r="Q1680">
            <v>452.81</v>
          </cell>
        </row>
        <row r="1681">
          <cell r="E1681" t="str">
            <v>KKM/JKN/HSA/10-05-01/R/15/14849</v>
          </cell>
          <cell r="F1681" t="str">
            <v xml:space="preserve">Diagnostic </v>
          </cell>
          <cell r="G1681" t="str">
            <v>Basic</v>
          </cell>
          <cell r="H1681" t="str">
            <v>Sphygmomanometers, Aneroid</v>
          </cell>
          <cell r="I1681" t="str">
            <v>SPHYGMOMANOMETER ANEROID DESK MODEL</v>
          </cell>
          <cell r="J1681" t="str">
            <v>16-156</v>
          </cell>
          <cell r="K1681" t="str">
            <v>RIESTER</v>
          </cell>
          <cell r="L1681">
            <v>1453</v>
          </cell>
          <cell r="M1681">
            <v>150311430</v>
          </cell>
          <cell r="N1681" t="str">
            <v>OBSTETRIK &amp; GINEKOLOGI</v>
          </cell>
          <cell r="O1681" t="str">
            <v>Dewan Bersalin (LDU)</v>
          </cell>
          <cell r="P1681" t="str">
            <v>ABR</v>
          </cell>
          <cell r="Q1681">
            <v>452.81</v>
          </cell>
        </row>
        <row r="1682">
          <cell r="E1682" t="str">
            <v>KKM/JKN/HSA/10-05-01/R/15/14852</v>
          </cell>
          <cell r="F1682" t="str">
            <v xml:space="preserve">Diagnostic </v>
          </cell>
          <cell r="G1682" t="str">
            <v>Basic</v>
          </cell>
          <cell r="H1682" t="str">
            <v>Sphygmomanometers, Aneroid</v>
          </cell>
          <cell r="I1682" t="str">
            <v>SPHYGMOMANOMETER ANEROID DESK MODEL</v>
          </cell>
          <cell r="J1682" t="str">
            <v>16-156</v>
          </cell>
          <cell r="K1682" t="str">
            <v>RIESTER</v>
          </cell>
          <cell r="L1682">
            <v>1453</v>
          </cell>
          <cell r="M1682">
            <v>150311432</v>
          </cell>
          <cell r="N1682" t="str">
            <v>OBSTETRIK &amp; GINEKOLOGI</v>
          </cell>
          <cell r="O1682" t="str">
            <v>Dewan Bersalin (LDU)</v>
          </cell>
          <cell r="P1682" t="str">
            <v>ABR</v>
          </cell>
          <cell r="Q1682">
            <v>452.81</v>
          </cell>
        </row>
        <row r="1683">
          <cell r="E1683" t="str">
            <v>KKM/JKN/HSA/10-05-01/R/15/14853</v>
          </cell>
          <cell r="F1683" t="str">
            <v xml:space="preserve">Diagnostic </v>
          </cell>
          <cell r="G1683" t="str">
            <v>Basic</v>
          </cell>
          <cell r="H1683" t="str">
            <v>Sphygmomanometers, Aneroid</v>
          </cell>
          <cell r="I1683" t="str">
            <v>SPHYGMOMANOMETER ANEROID DESK MODEL</v>
          </cell>
          <cell r="J1683" t="str">
            <v>16-156</v>
          </cell>
          <cell r="K1683" t="str">
            <v>RIESTER</v>
          </cell>
          <cell r="L1683">
            <v>1453</v>
          </cell>
          <cell r="M1683">
            <v>150311404</v>
          </cell>
          <cell r="N1683" t="str">
            <v>OBSTETRIK &amp; GINEKOLOGI</v>
          </cell>
          <cell r="O1683" t="str">
            <v>Dewan Bersalin (LDU)</v>
          </cell>
          <cell r="P1683" t="str">
            <v>ABR</v>
          </cell>
          <cell r="Q1683">
            <v>452.81</v>
          </cell>
        </row>
        <row r="1684">
          <cell r="E1684" t="str">
            <v>KKM/JKN/HSA/10-05-01/R/15/14854</v>
          </cell>
          <cell r="F1684" t="str">
            <v xml:space="preserve">Diagnostic </v>
          </cell>
          <cell r="G1684" t="str">
            <v>Basic</v>
          </cell>
          <cell r="H1684" t="str">
            <v>Sphygmomanometers, Aneroid</v>
          </cell>
          <cell r="I1684" t="str">
            <v>SPHYGMOMANOMETER ANEROID DESK MODEL</v>
          </cell>
          <cell r="J1684" t="str">
            <v>16-156</v>
          </cell>
          <cell r="K1684" t="str">
            <v>RIESTER</v>
          </cell>
          <cell r="L1684">
            <v>1453</v>
          </cell>
          <cell r="M1684">
            <v>150311426</v>
          </cell>
          <cell r="N1684" t="str">
            <v>OBSTETRIK &amp; GINEKOLOGI</v>
          </cell>
          <cell r="O1684" t="str">
            <v>Dewan Bersalin (LDU)</v>
          </cell>
          <cell r="P1684" t="str">
            <v>ABR</v>
          </cell>
          <cell r="Q1684">
            <v>452.81</v>
          </cell>
        </row>
        <row r="1685">
          <cell r="E1685" t="str">
            <v>KKM/JKN/HSA/10-05-01/R/15/7025</v>
          </cell>
          <cell r="F1685" t="str">
            <v xml:space="preserve">Diagnostic </v>
          </cell>
          <cell r="G1685" t="str">
            <v>Basic</v>
          </cell>
          <cell r="H1685" t="str">
            <v>Scales, Infant</v>
          </cell>
          <cell r="I1685" t="str">
            <v>SCALES BABY DIGITAL/ELECTRONIC W/MEASURE</v>
          </cell>
          <cell r="J1685" t="str">
            <v>13-462</v>
          </cell>
          <cell r="K1685" t="str">
            <v>DETECTO</v>
          </cell>
          <cell r="L1685" t="str">
            <v>MB130 &amp; DLM</v>
          </cell>
          <cell r="M1685" t="str">
            <v>SN-C12025819</v>
          </cell>
          <cell r="N1685" t="str">
            <v>OBSTETRIK &amp; GINEKOLOGI</v>
          </cell>
          <cell r="O1685" t="str">
            <v>Dewan Bersalin (LDU)</v>
          </cell>
          <cell r="P1685" t="str">
            <v>ABR</v>
          </cell>
          <cell r="Q1685">
            <v>1500</v>
          </cell>
        </row>
        <row r="1686">
          <cell r="E1686" t="str">
            <v>KKM/JKN/HSA/10-05-01/R/15/7026</v>
          </cell>
          <cell r="F1686" t="str">
            <v xml:space="preserve">Diagnostic </v>
          </cell>
          <cell r="G1686" t="str">
            <v>Basic</v>
          </cell>
          <cell r="H1686" t="str">
            <v>Scales, Infant</v>
          </cell>
          <cell r="I1686" t="str">
            <v>SCALES BABY DIGITAL/ELECTRONIC W/MEASURE</v>
          </cell>
          <cell r="J1686" t="str">
            <v>13-462</v>
          </cell>
          <cell r="K1686" t="str">
            <v>DETECTO</v>
          </cell>
          <cell r="L1686" t="str">
            <v>MB130 &amp; DLM</v>
          </cell>
          <cell r="M1686" t="str">
            <v>C12025897</v>
          </cell>
          <cell r="N1686" t="str">
            <v>OBSTETRIK &amp; GINEKOLOGI</v>
          </cell>
          <cell r="O1686" t="str">
            <v>Dewan Bersalin (LDU)</v>
          </cell>
          <cell r="P1686" t="str">
            <v>ABR</v>
          </cell>
          <cell r="Q1686">
            <v>1500</v>
          </cell>
        </row>
        <row r="1687">
          <cell r="E1687" t="str">
            <v>KKM/JKN/HSA/10-05-01/R/15/7027</v>
          </cell>
          <cell r="F1687" t="str">
            <v xml:space="preserve">Diagnostic </v>
          </cell>
          <cell r="G1687" t="str">
            <v>Basic</v>
          </cell>
          <cell r="H1687" t="str">
            <v>Scales, Infant</v>
          </cell>
          <cell r="I1687" t="str">
            <v>SCALES BABY DIGITAL/ELECTRONIC W/MEASURE</v>
          </cell>
          <cell r="J1687" t="str">
            <v>13-462</v>
          </cell>
          <cell r="K1687" t="str">
            <v>DETECTO</v>
          </cell>
          <cell r="L1687" t="str">
            <v>MB130 &amp; DLM</v>
          </cell>
          <cell r="M1687" t="str">
            <v>C12025867</v>
          </cell>
          <cell r="N1687" t="str">
            <v>OBSTETRIK &amp; GINEKOLOGI</v>
          </cell>
          <cell r="O1687" t="str">
            <v>Dewan Bersalin (LDU)</v>
          </cell>
          <cell r="P1687" t="str">
            <v>ABR</v>
          </cell>
          <cell r="Q1687">
            <v>1500</v>
          </cell>
        </row>
        <row r="1688">
          <cell r="E1688" t="str">
            <v>KKM/JKN/HSA/10-05-01/R/15/7028</v>
          </cell>
          <cell r="F1688" t="str">
            <v xml:space="preserve">Diagnostic </v>
          </cell>
          <cell r="G1688" t="str">
            <v>Basic</v>
          </cell>
          <cell r="H1688" t="str">
            <v>Scales, Infant</v>
          </cell>
          <cell r="I1688" t="str">
            <v>SCALES BABY DIGITAL/ELECTRONIC W/MEASURE</v>
          </cell>
          <cell r="J1688" t="str">
            <v>13-462</v>
          </cell>
          <cell r="K1688" t="str">
            <v>DETECTO</v>
          </cell>
          <cell r="L1688" t="str">
            <v>MB130 &amp; DLM</v>
          </cell>
          <cell r="M1688" t="str">
            <v>C12025913</v>
          </cell>
          <cell r="N1688" t="str">
            <v>OBSTETRIK &amp; GINEKOLOGI</v>
          </cell>
          <cell r="O1688" t="str">
            <v>Dewan Bersalin (LDU)</v>
          </cell>
          <cell r="P1688" t="str">
            <v>ABR</v>
          </cell>
          <cell r="Q1688">
            <v>1500</v>
          </cell>
        </row>
        <row r="1689">
          <cell r="E1689" t="str">
            <v>KKM/JKN/HSA/10-05-01/H/15/523</v>
          </cell>
          <cell r="F1689" t="str">
            <v>Therapeutic</v>
          </cell>
          <cell r="G1689" t="str">
            <v>Basic</v>
          </cell>
          <cell r="H1689" t="str">
            <v>Warming Units, Patient, Radiant, Infant, Mobile</v>
          </cell>
          <cell r="I1689" t="str">
            <v>RADIENT HEAT UNIT FREESTANDING</v>
          </cell>
          <cell r="J1689" t="str">
            <v>17-433</v>
          </cell>
          <cell r="K1689" t="str">
            <v>FISHER &amp; PAYKEL</v>
          </cell>
          <cell r="L1689" t="str">
            <v xml:space="preserve"> IW910</v>
          </cell>
          <cell r="M1689">
            <v>130916000811</v>
          </cell>
          <cell r="N1689" t="str">
            <v>OBSTETRIK &amp; GINEKOLOGI</v>
          </cell>
          <cell r="O1689" t="str">
            <v>Dewan Bersalin (LDU)</v>
          </cell>
          <cell r="P1689" t="str">
            <v>HM</v>
          </cell>
          <cell r="Q1689">
            <v>10000</v>
          </cell>
        </row>
        <row r="1690">
          <cell r="E1690" t="str">
            <v>KKM/JKN/HSA/10-05-01/H/15/524</v>
          </cell>
          <cell r="F1690" t="str">
            <v>Therapeutic</v>
          </cell>
          <cell r="G1690" t="str">
            <v>Basic</v>
          </cell>
          <cell r="H1690" t="str">
            <v>Warming Units, Patient, Radiant, Infant, Mobile</v>
          </cell>
          <cell r="I1690" t="str">
            <v>RADIENT HEAT UNIT FREESTANDING</v>
          </cell>
          <cell r="J1690" t="str">
            <v>17-433</v>
          </cell>
          <cell r="K1690" t="str">
            <v>FISHER &amp; PAYKEL</v>
          </cell>
          <cell r="L1690" t="str">
            <v xml:space="preserve"> IW910</v>
          </cell>
          <cell r="M1690">
            <v>130918000817</v>
          </cell>
          <cell r="N1690" t="str">
            <v>OBSTETRIK &amp; GINEKOLOGI</v>
          </cell>
          <cell r="O1690" t="str">
            <v>Dewan Bersalin (LDU)</v>
          </cell>
          <cell r="P1690" t="str">
            <v>HM</v>
          </cell>
          <cell r="Q1690">
            <v>10000</v>
          </cell>
        </row>
        <row r="1691">
          <cell r="E1691" t="str">
            <v>KKM/JKN/HSA/10-05-01/H/15/525</v>
          </cell>
          <cell r="F1691" t="str">
            <v>Therapeutic</v>
          </cell>
          <cell r="G1691" t="str">
            <v>Basic</v>
          </cell>
          <cell r="H1691" t="str">
            <v>Warming Units, Patient, Radiant, Infant, Mobile</v>
          </cell>
          <cell r="I1691" t="str">
            <v>RADIENT HEAT UNIT FREESTANDING</v>
          </cell>
          <cell r="J1691" t="str">
            <v>17-433</v>
          </cell>
          <cell r="K1691" t="str">
            <v>FISHER &amp; PAYKEL</v>
          </cell>
          <cell r="L1691" t="str">
            <v xml:space="preserve"> IW910</v>
          </cell>
          <cell r="M1691">
            <v>130919000831</v>
          </cell>
          <cell r="N1691" t="str">
            <v>OBSTETRIK &amp; GINEKOLOGI</v>
          </cell>
          <cell r="O1691" t="str">
            <v>Dewan Bersalin (LDU)</v>
          </cell>
          <cell r="P1691" t="str">
            <v>HM</v>
          </cell>
          <cell r="Q1691">
            <v>10000</v>
          </cell>
        </row>
        <row r="1692">
          <cell r="E1692" t="str">
            <v>KKM/JKN/HSA/10-05-01/H/15/526</v>
          </cell>
          <cell r="F1692" t="str">
            <v>Therapeutic</v>
          </cell>
          <cell r="G1692" t="str">
            <v>Basic</v>
          </cell>
          <cell r="H1692" t="str">
            <v>Warming Units, Patient, Radiant, Infant, Mobile</v>
          </cell>
          <cell r="I1692" t="str">
            <v>RADIENT HEAT UNIT FREESTANDING</v>
          </cell>
          <cell r="J1692" t="str">
            <v>17-433</v>
          </cell>
          <cell r="K1692" t="str">
            <v>FISHER &amp; PAYKEL</v>
          </cell>
          <cell r="L1692" t="str">
            <v xml:space="preserve"> IW910</v>
          </cell>
          <cell r="M1692">
            <v>130916000808</v>
          </cell>
          <cell r="N1692" t="str">
            <v>OBSTETRIK &amp; GINEKOLOGI</v>
          </cell>
          <cell r="O1692" t="str">
            <v>Dewan Bersalin (LDU)</v>
          </cell>
          <cell r="P1692" t="str">
            <v>HM</v>
          </cell>
          <cell r="Q1692">
            <v>10000</v>
          </cell>
        </row>
        <row r="1693">
          <cell r="E1693" t="str">
            <v>KKM/JKN/HSA/10-05-01/H/15/527</v>
          </cell>
          <cell r="F1693" t="str">
            <v>Therapeutic</v>
          </cell>
          <cell r="G1693" t="str">
            <v>Basic</v>
          </cell>
          <cell r="H1693" t="str">
            <v>Warming Units, Patient, Radiant, Infant, Mobile</v>
          </cell>
          <cell r="I1693" t="str">
            <v>RADIENT HEAT UNIT FREESTANDING</v>
          </cell>
          <cell r="J1693" t="str">
            <v>17-433</v>
          </cell>
          <cell r="K1693" t="str">
            <v>FISHER &amp; PAYKEL</v>
          </cell>
          <cell r="L1693" t="str">
            <v xml:space="preserve"> IW910</v>
          </cell>
          <cell r="M1693">
            <v>130918000818</v>
          </cell>
          <cell r="N1693" t="str">
            <v>OBSTETRIK &amp; GINEKOLOGI</v>
          </cell>
          <cell r="O1693" t="str">
            <v>Dewan Bersalin (LDU)</v>
          </cell>
          <cell r="P1693" t="str">
            <v>HM</v>
          </cell>
          <cell r="Q1693">
            <v>10000</v>
          </cell>
        </row>
        <row r="1694">
          <cell r="E1694" t="str">
            <v>KKM/JKN/HSA/10-05-01/H/15/528</v>
          </cell>
          <cell r="F1694" t="str">
            <v>Therapeutic</v>
          </cell>
          <cell r="G1694" t="str">
            <v>Basic</v>
          </cell>
          <cell r="H1694" t="str">
            <v>Warming Units, Patient, Radiant, Infant, Mobile</v>
          </cell>
          <cell r="I1694" t="str">
            <v>RADIENT HEAT UNIT FREESTANDING</v>
          </cell>
          <cell r="J1694" t="str">
            <v>17-433</v>
          </cell>
          <cell r="K1694" t="str">
            <v>FISHER &amp; PAYKEL</v>
          </cell>
          <cell r="L1694" t="str">
            <v xml:space="preserve"> IW910</v>
          </cell>
          <cell r="M1694">
            <v>130919000830</v>
          </cell>
          <cell r="N1694" t="str">
            <v>OBSTETRIK &amp; GINEKOLOGI</v>
          </cell>
          <cell r="O1694" t="str">
            <v>Dewan Bersalin (LDU)</v>
          </cell>
          <cell r="P1694" t="str">
            <v>HM</v>
          </cell>
          <cell r="Q1694">
            <v>10000</v>
          </cell>
        </row>
        <row r="1695">
          <cell r="E1695" t="str">
            <v>KKM/JKN/HSA/10-05-01/H/15/529</v>
          </cell>
          <cell r="F1695" t="str">
            <v>Therapeutic</v>
          </cell>
          <cell r="G1695" t="str">
            <v>Basic</v>
          </cell>
          <cell r="H1695" t="str">
            <v>Warming Units, Patient, Radiant, Infant, Mobile</v>
          </cell>
          <cell r="I1695" t="str">
            <v>RADIENT HEAT UNIT FREESTANDING</v>
          </cell>
          <cell r="J1695" t="str">
            <v>17-433</v>
          </cell>
          <cell r="K1695" t="str">
            <v>FISHER &amp; PAYKEL</v>
          </cell>
          <cell r="L1695" t="str">
            <v xml:space="preserve"> IW910</v>
          </cell>
          <cell r="M1695">
            <v>13091800819</v>
          </cell>
          <cell r="N1695" t="str">
            <v>OBSTETRIK &amp; GINEKOLOGI</v>
          </cell>
          <cell r="O1695" t="str">
            <v>Dewan Bersalin (LDU)</v>
          </cell>
          <cell r="P1695" t="str">
            <v>HM</v>
          </cell>
          <cell r="Q1695">
            <v>10000</v>
          </cell>
        </row>
        <row r="1696">
          <cell r="E1696" t="str">
            <v>KKM/JKN/HSA/10-05-01/H/15/530</v>
          </cell>
          <cell r="F1696" t="str">
            <v>Therapeutic</v>
          </cell>
          <cell r="G1696" t="str">
            <v>Basic</v>
          </cell>
          <cell r="H1696" t="str">
            <v>Warming Units, Patient, Radiant, Infant, Mobile</v>
          </cell>
          <cell r="I1696" t="str">
            <v>RADIENT HEAT UNIT FREESTANDING</v>
          </cell>
          <cell r="J1696" t="str">
            <v>17-433</v>
          </cell>
          <cell r="K1696" t="str">
            <v>FISHER &amp; PAYKEL</v>
          </cell>
          <cell r="L1696" t="str">
            <v xml:space="preserve"> IW910</v>
          </cell>
          <cell r="M1696">
            <v>130918000824</v>
          </cell>
          <cell r="N1696" t="str">
            <v>OBSTETRIK &amp; GINEKOLOGI</v>
          </cell>
          <cell r="O1696" t="str">
            <v>Dewan Bersalin (LDU)</v>
          </cell>
          <cell r="P1696" t="str">
            <v>HM</v>
          </cell>
          <cell r="Q1696">
            <v>10000</v>
          </cell>
        </row>
        <row r="1697">
          <cell r="E1697" t="str">
            <v>KKM/JKN/HSA/10-05-01/H/15/531</v>
          </cell>
          <cell r="F1697" t="str">
            <v>Therapeutic</v>
          </cell>
          <cell r="G1697" t="str">
            <v>Basic</v>
          </cell>
          <cell r="H1697" t="str">
            <v>Warming Units, Patient, Radiant, Infant, Mobile</v>
          </cell>
          <cell r="I1697" t="str">
            <v>RADIENT HEAT UNIT FREESTANDING</v>
          </cell>
          <cell r="J1697" t="str">
            <v>17-433</v>
          </cell>
          <cell r="K1697" t="str">
            <v>FISHER &amp; PAYKEL</v>
          </cell>
          <cell r="L1697" t="str">
            <v xml:space="preserve"> IW910</v>
          </cell>
          <cell r="M1697">
            <v>130918000820</v>
          </cell>
          <cell r="N1697" t="str">
            <v>OBSTETRIK &amp; GINEKOLOGI</v>
          </cell>
          <cell r="O1697" t="str">
            <v>Dewan Bersalin (LDU)</v>
          </cell>
          <cell r="P1697" t="str">
            <v>HM</v>
          </cell>
          <cell r="Q1697">
            <v>10000</v>
          </cell>
        </row>
        <row r="1698">
          <cell r="E1698" t="str">
            <v>KKM/JKN/HSA/10-05-01/H/15/532</v>
          </cell>
          <cell r="F1698" t="str">
            <v>Therapeutic</v>
          </cell>
          <cell r="G1698" t="str">
            <v>Basic</v>
          </cell>
          <cell r="H1698" t="str">
            <v>Warming Units, Patient, Radiant, Infant, Mobile</v>
          </cell>
          <cell r="I1698" t="str">
            <v>RADIENT HEAT UNIT FREESTANDING</v>
          </cell>
          <cell r="J1698" t="str">
            <v>17-433</v>
          </cell>
          <cell r="K1698" t="str">
            <v>FISHER &amp; PAYKEL</v>
          </cell>
          <cell r="L1698" t="str">
            <v xml:space="preserve"> IW910</v>
          </cell>
          <cell r="M1698">
            <v>130916000807</v>
          </cell>
          <cell r="N1698" t="str">
            <v>OBSTETRIK &amp; GINEKOLOGI</v>
          </cell>
          <cell r="O1698" t="str">
            <v>Dewan Bersalin (LDU)</v>
          </cell>
          <cell r="P1698" t="str">
            <v>HM</v>
          </cell>
          <cell r="Q1698">
            <v>10000</v>
          </cell>
        </row>
        <row r="1699">
          <cell r="E1699" t="str">
            <v>KKM/JKN/HSA/10-05-01/H/15/533</v>
          </cell>
          <cell r="F1699" t="str">
            <v>Therapeutic</v>
          </cell>
          <cell r="G1699" t="str">
            <v>Basic</v>
          </cell>
          <cell r="H1699" t="str">
            <v>Warming Units, Patient, Radiant, Infant, Mobile</v>
          </cell>
          <cell r="I1699" t="str">
            <v>RADIENT HEAT UNIT FREESTANDING</v>
          </cell>
          <cell r="J1699" t="str">
            <v>17-433</v>
          </cell>
          <cell r="K1699" t="str">
            <v>FISHER &amp; PAYKEL</v>
          </cell>
          <cell r="L1699" t="str">
            <v xml:space="preserve"> IW910</v>
          </cell>
          <cell r="M1699">
            <v>130916000806</v>
          </cell>
          <cell r="N1699" t="str">
            <v>OBSTETRIK &amp; GINEKOLOGI</v>
          </cell>
          <cell r="O1699" t="str">
            <v>Dewan Bersalin (LDU)</v>
          </cell>
          <cell r="P1699" t="str">
            <v>HM</v>
          </cell>
          <cell r="Q1699">
            <v>10000</v>
          </cell>
        </row>
        <row r="1700">
          <cell r="E1700" t="str">
            <v>KKM/JKN/HSA/10-05-01/H/15/534</v>
          </cell>
          <cell r="F1700" t="str">
            <v>Therapeutic</v>
          </cell>
          <cell r="G1700" t="str">
            <v>Basic</v>
          </cell>
          <cell r="H1700" t="str">
            <v>Warming Units, Patient, Radiant, Infant, Mobile</v>
          </cell>
          <cell r="I1700" t="str">
            <v>RADIENT HEAT UNIT FREESTANDING</v>
          </cell>
          <cell r="J1700" t="str">
            <v>17-433</v>
          </cell>
          <cell r="K1700" t="str">
            <v>FISHER &amp; PAYKEL</v>
          </cell>
          <cell r="L1700" t="str">
            <v xml:space="preserve"> IW910</v>
          </cell>
          <cell r="M1700">
            <v>130916000814</v>
          </cell>
          <cell r="N1700" t="str">
            <v>OBSTETRIK &amp; GINEKOLOGI</v>
          </cell>
          <cell r="O1700" t="str">
            <v>Dewan Bersalin (LDU)</v>
          </cell>
          <cell r="P1700" t="str">
            <v>HM</v>
          </cell>
          <cell r="Q1700">
            <v>10000</v>
          </cell>
        </row>
        <row r="1701">
          <cell r="E1701" t="str">
            <v>KKM/JKN/HSA/10-05-01/H/15/535</v>
          </cell>
          <cell r="F1701" t="str">
            <v>Therapeutic</v>
          </cell>
          <cell r="G1701" t="str">
            <v>Basic</v>
          </cell>
          <cell r="H1701" t="str">
            <v>Warming Units, Patient, Radiant, Infant, Mobile</v>
          </cell>
          <cell r="I1701" t="str">
            <v>RADIENT HEAT UNIT FREESTANDING</v>
          </cell>
          <cell r="J1701" t="str">
            <v>17-433</v>
          </cell>
          <cell r="K1701" t="str">
            <v>FISHER &amp; PAYKEL</v>
          </cell>
          <cell r="L1701" t="str">
            <v xml:space="preserve"> IW910</v>
          </cell>
          <cell r="M1701">
            <v>130918000823</v>
          </cell>
          <cell r="N1701" t="str">
            <v>OBSTETRIK &amp; GINEKOLOGI</v>
          </cell>
          <cell r="O1701" t="str">
            <v>Dewan Bersalin (LDU)</v>
          </cell>
          <cell r="P1701" t="str">
            <v>HM</v>
          </cell>
          <cell r="Q1701">
            <v>10000</v>
          </cell>
        </row>
        <row r="1702">
          <cell r="E1702" t="str">
            <v>KKM/JKN/HSA/10-05-01/H/15/536</v>
          </cell>
          <cell r="F1702" t="str">
            <v>Therapeutic</v>
          </cell>
          <cell r="G1702" t="str">
            <v>Basic</v>
          </cell>
          <cell r="H1702" t="str">
            <v>Warming Units, Patient, Radiant, Infant, Mobile</v>
          </cell>
          <cell r="I1702" t="str">
            <v>RADIENT HEAT UNIT FREESTANDING</v>
          </cell>
          <cell r="J1702" t="str">
            <v>17-433</v>
          </cell>
          <cell r="K1702" t="str">
            <v>FISHER &amp; PAYKEL</v>
          </cell>
          <cell r="L1702" t="str">
            <v xml:space="preserve"> IW910</v>
          </cell>
          <cell r="M1702">
            <v>130916000815</v>
          </cell>
          <cell r="N1702" t="str">
            <v>OBSTETRIK &amp; GINEKOLOGI</v>
          </cell>
          <cell r="O1702" t="str">
            <v>Dewan Bersalin (LDU)</v>
          </cell>
          <cell r="P1702" t="str">
            <v>HM</v>
          </cell>
          <cell r="Q1702">
            <v>10000</v>
          </cell>
        </row>
        <row r="1703">
          <cell r="E1703" t="str">
            <v>KKM/JKN/HSA/10-05-01/H/15/537</v>
          </cell>
          <cell r="F1703" t="str">
            <v>Therapeutic</v>
          </cell>
          <cell r="G1703" t="str">
            <v>Basic</v>
          </cell>
          <cell r="H1703" t="str">
            <v>Warming Units, Patient, Radiant, Infant, Mobile</v>
          </cell>
          <cell r="I1703" t="str">
            <v>RADIENT HEAT UNIT FREESTANDING</v>
          </cell>
          <cell r="J1703" t="str">
            <v>17-433</v>
          </cell>
          <cell r="K1703" t="str">
            <v>FISHER &amp; PAYKEL</v>
          </cell>
          <cell r="L1703" t="str">
            <v xml:space="preserve"> IW910</v>
          </cell>
          <cell r="M1703">
            <v>130918000816</v>
          </cell>
          <cell r="N1703" t="str">
            <v>OBSTETRIK &amp; GINEKOLOGI</v>
          </cell>
          <cell r="O1703" t="str">
            <v>Dewan Bersalin (LDU)</v>
          </cell>
          <cell r="P1703" t="str">
            <v>HM</v>
          </cell>
          <cell r="Q1703">
            <v>10000</v>
          </cell>
        </row>
        <row r="1704">
          <cell r="E1704" t="str">
            <v>KKM/JKN/HSA/10-05-01/H/15/538</v>
          </cell>
          <cell r="F1704" t="str">
            <v>Therapeutic</v>
          </cell>
          <cell r="G1704" t="str">
            <v>Basic</v>
          </cell>
          <cell r="H1704" t="str">
            <v>Warming Units, Patient, Radiant, Infant, Mobile</v>
          </cell>
          <cell r="I1704" t="str">
            <v>RADIENT HEAT UNIT FREESTANDING</v>
          </cell>
          <cell r="J1704" t="str">
            <v>17-433</v>
          </cell>
          <cell r="K1704" t="str">
            <v>FISHER &amp; PAYKEL</v>
          </cell>
          <cell r="L1704" t="str">
            <v xml:space="preserve"> IW910</v>
          </cell>
          <cell r="M1704">
            <v>130916000805</v>
          </cell>
          <cell r="N1704" t="str">
            <v>OBSTETRIK &amp; GINEKOLOGI</v>
          </cell>
          <cell r="O1704" t="str">
            <v>Dewan Bersalin (LDU)</v>
          </cell>
          <cell r="P1704" t="str">
            <v>HM</v>
          </cell>
          <cell r="Q1704">
            <v>10000</v>
          </cell>
        </row>
        <row r="1705">
          <cell r="E1705" t="str">
            <v>KKM/JKN/HSA/10-05-01/H/15/539</v>
          </cell>
          <cell r="F1705" t="str">
            <v>Therapeutic</v>
          </cell>
          <cell r="G1705" t="str">
            <v>Basic</v>
          </cell>
          <cell r="H1705" t="str">
            <v>Warming Units, Patient, Radiant, Infant, Mobile</v>
          </cell>
          <cell r="I1705" t="str">
            <v>RADIENT HEAT UNIT FREESTANDING</v>
          </cell>
          <cell r="J1705" t="str">
            <v>17-433</v>
          </cell>
          <cell r="K1705" t="str">
            <v>FISHER &amp; PAYKEL</v>
          </cell>
          <cell r="L1705" t="str">
            <v xml:space="preserve"> IW910</v>
          </cell>
          <cell r="M1705">
            <v>130919000829</v>
          </cell>
          <cell r="N1705" t="str">
            <v>OBSTETRIK &amp; GINEKOLOGI</v>
          </cell>
          <cell r="O1705" t="str">
            <v>Dewan Bersalin (LDU)</v>
          </cell>
          <cell r="P1705" t="str">
            <v>HM</v>
          </cell>
          <cell r="Q1705">
            <v>10000</v>
          </cell>
        </row>
        <row r="1706">
          <cell r="E1706" t="str">
            <v>KKM/JKN/HSA/10-05-01/H/15/540</v>
          </cell>
          <cell r="F1706" t="str">
            <v>Therapeutic</v>
          </cell>
          <cell r="G1706" t="str">
            <v>Basic</v>
          </cell>
          <cell r="H1706" t="str">
            <v>Warming Units, Patient, Radiant, Infant, Mobile</v>
          </cell>
          <cell r="I1706" t="str">
            <v>RADIENT HEAT UNIT FREESTANDING</v>
          </cell>
          <cell r="J1706" t="str">
            <v>17-433</v>
          </cell>
          <cell r="K1706" t="str">
            <v>FISHER &amp; PAYKEL</v>
          </cell>
          <cell r="L1706" t="str">
            <v xml:space="preserve"> IW910</v>
          </cell>
          <cell r="M1706">
            <v>130918000825</v>
          </cell>
          <cell r="N1706" t="str">
            <v>OBSTETRIK &amp; GINEKOLOGI</v>
          </cell>
          <cell r="O1706" t="str">
            <v>Dewan Bersalin (LDU)</v>
          </cell>
          <cell r="P1706" t="str">
            <v>HM</v>
          </cell>
          <cell r="Q1706">
            <v>10000</v>
          </cell>
        </row>
        <row r="1707">
          <cell r="E1707" t="str">
            <v>KKM/JKN/HSA/10-05-01/H/15/541</v>
          </cell>
          <cell r="F1707" t="str">
            <v>Therapeutic</v>
          </cell>
          <cell r="G1707" t="str">
            <v>Basic</v>
          </cell>
          <cell r="H1707" t="str">
            <v>Warming Units, Patient, Radiant, Infant, Mobile</v>
          </cell>
          <cell r="I1707" t="str">
            <v>RADIENT HEAT UNIT FREESTANDING</v>
          </cell>
          <cell r="J1707" t="str">
            <v>17-433</v>
          </cell>
          <cell r="K1707" t="str">
            <v>FISHER &amp; PAYKEL</v>
          </cell>
          <cell r="L1707" t="str">
            <v xml:space="preserve"> IW910</v>
          </cell>
          <cell r="M1707">
            <v>13091900083</v>
          </cell>
          <cell r="N1707" t="str">
            <v>OBSTETRIK &amp; GINEKOLOGI</v>
          </cell>
          <cell r="O1707" t="str">
            <v>Dewan Bersalin (LDU)</v>
          </cell>
          <cell r="P1707" t="str">
            <v>HM</v>
          </cell>
          <cell r="Q1707">
            <v>10000</v>
          </cell>
        </row>
        <row r="1708">
          <cell r="E1708" t="str">
            <v>KKM/JKN/HSA/10-05-01/H/15/542</v>
          </cell>
          <cell r="F1708" t="str">
            <v>Therapeutic</v>
          </cell>
          <cell r="G1708" t="str">
            <v>Basic</v>
          </cell>
          <cell r="H1708" t="str">
            <v>Warming Units, Patient, Radiant, Infant, Mobile</v>
          </cell>
          <cell r="I1708" t="str">
            <v>RADIENT HEAT UNIT FREESTANDING</v>
          </cell>
          <cell r="J1708" t="str">
            <v>17-433</v>
          </cell>
          <cell r="K1708" t="str">
            <v>FISHER &amp; PAYKEL</v>
          </cell>
          <cell r="L1708" t="str">
            <v xml:space="preserve"> IW910</v>
          </cell>
          <cell r="M1708">
            <v>130919000828</v>
          </cell>
          <cell r="N1708" t="str">
            <v>OBSTETRIK &amp; GINEKOLOGI</v>
          </cell>
          <cell r="O1708" t="str">
            <v>Dewan Bersalin (LDU)</v>
          </cell>
          <cell r="P1708" t="str">
            <v>HM</v>
          </cell>
          <cell r="Q1708">
            <v>10000</v>
          </cell>
        </row>
        <row r="1709">
          <cell r="E1709" t="str">
            <v>KKM/JKN/HSA/10-05-01/H/15/1208</v>
          </cell>
          <cell r="F1709" t="str">
            <v>Therapeutic</v>
          </cell>
          <cell r="G1709" t="str">
            <v>Intermediate</v>
          </cell>
          <cell r="H1709" t="str">
            <v>Infusion Pumps, General-Purpose</v>
          </cell>
          <cell r="I1709" t="str">
            <v>PUMP VOLUMETRIC INFUSION (STAND ALONE)</v>
          </cell>
          <cell r="J1709" t="str">
            <v>13-215</v>
          </cell>
          <cell r="K1709" t="str">
            <v>FRESENIUS KABI</v>
          </cell>
          <cell r="L1709" t="str">
            <v>LINK 8+ AGILIA/MOBILE STAND</v>
          </cell>
          <cell r="M1709" t="str">
            <v>019130 / 22170252</v>
          </cell>
          <cell r="N1709" t="str">
            <v>OBSTETRIK &amp; GINEKOLOGI</v>
          </cell>
          <cell r="O1709" t="str">
            <v>Dewan Bersalin (LDU)</v>
          </cell>
          <cell r="P1709" t="str">
            <v>HM</v>
          </cell>
          <cell r="Q1709">
            <v>7245</v>
          </cell>
        </row>
        <row r="1710">
          <cell r="E1710" t="str">
            <v>KKM/JKN/HSA/10-05-01/H/15/1209</v>
          </cell>
          <cell r="F1710" t="str">
            <v>Therapeutic</v>
          </cell>
          <cell r="G1710" t="str">
            <v>Intermediate</v>
          </cell>
          <cell r="H1710" t="str">
            <v>Infusion Pumps, General-Purpose</v>
          </cell>
          <cell r="I1710" t="str">
            <v>PUMP VOLUMETRIC INFUSION (STAND ALONE)</v>
          </cell>
          <cell r="J1710" t="str">
            <v>13-215</v>
          </cell>
          <cell r="K1710" t="str">
            <v>FRESENIUS KABI</v>
          </cell>
          <cell r="L1710" t="str">
            <v>LINK 8+ AGILIA/MOBILE STAND</v>
          </cell>
          <cell r="M1710" t="str">
            <v>019130 / 22235949</v>
          </cell>
          <cell r="N1710" t="str">
            <v>OBSTETRIK &amp; GINEKOLOGI</v>
          </cell>
          <cell r="O1710" t="str">
            <v>Dewan Bersalin (LDU)</v>
          </cell>
          <cell r="P1710" t="str">
            <v>HM</v>
          </cell>
          <cell r="Q1710">
            <v>7245</v>
          </cell>
        </row>
        <row r="1711">
          <cell r="E1711" t="str">
            <v>KKM/JKN/HSA/10-05-01/H/15/1210</v>
          </cell>
          <cell r="F1711" t="str">
            <v>Therapeutic</v>
          </cell>
          <cell r="G1711" t="str">
            <v>Intermediate</v>
          </cell>
          <cell r="H1711" t="str">
            <v>Infusion Pumps, General-Purpose</v>
          </cell>
          <cell r="I1711" t="str">
            <v>PUMP VOLUMETRIC INFUSION (STAND ALONE)</v>
          </cell>
          <cell r="J1711" t="str">
            <v>13-215</v>
          </cell>
          <cell r="K1711" t="str">
            <v>FRESENIUS KABI</v>
          </cell>
          <cell r="L1711" t="str">
            <v>LINK 8+ AGILIA/MOBILE STAND</v>
          </cell>
          <cell r="M1711" t="str">
            <v>019130 / 22235922</v>
          </cell>
          <cell r="N1711" t="str">
            <v>OBSTETRIK &amp; GINEKOLOGI</v>
          </cell>
          <cell r="O1711" t="str">
            <v>Dewan Bersalin (LDU)</v>
          </cell>
          <cell r="P1711" t="str">
            <v>HM</v>
          </cell>
          <cell r="Q1711">
            <v>7245</v>
          </cell>
        </row>
        <row r="1712">
          <cell r="E1712" t="str">
            <v>KKM/JKN/HSA/10-05-01/H/15/1211</v>
          </cell>
          <cell r="F1712" t="str">
            <v>Therapeutic</v>
          </cell>
          <cell r="G1712" t="str">
            <v>Intermediate</v>
          </cell>
          <cell r="H1712" t="str">
            <v>Infusion Pumps, General-Purpose</v>
          </cell>
          <cell r="I1712" t="str">
            <v>PUMP VOLUMETRIC INFUSION (STAND ALONE)</v>
          </cell>
          <cell r="J1712" t="str">
            <v>13-215</v>
          </cell>
          <cell r="K1712" t="str">
            <v>FRESENIUS KABI</v>
          </cell>
          <cell r="L1712" t="str">
            <v>LINK 8+ AGILIA/MOBILE STAND</v>
          </cell>
          <cell r="M1712" t="str">
            <v>019130 / 22235930</v>
          </cell>
          <cell r="N1712" t="str">
            <v>OBSTETRIK &amp; GINEKOLOGI</v>
          </cell>
          <cell r="O1712" t="str">
            <v>Dewan Bersalin (LDU)</v>
          </cell>
          <cell r="P1712" t="str">
            <v>HM</v>
          </cell>
          <cell r="Q1712">
            <v>7245</v>
          </cell>
        </row>
        <row r="1713">
          <cell r="E1713" t="str">
            <v>KKM/JKN/HSA/10-05-01/H/15/1212</v>
          </cell>
          <cell r="F1713" t="str">
            <v>Therapeutic</v>
          </cell>
          <cell r="G1713" t="str">
            <v>Intermediate</v>
          </cell>
          <cell r="H1713" t="str">
            <v>Infusion Pumps, General-Purpose</v>
          </cell>
          <cell r="I1713" t="str">
            <v>PUMP VOLUMETRIC INFUSION (STAND ALONE)</v>
          </cell>
          <cell r="J1713" t="str">
            <v>13-215</v>
          </cell>
          <cell r="K1713" t="str">
            <v>FRESENIUS KABI</v>
          </cell>
          <cell r="L1713" t="str">
            <v>LINK 8+ AGILIA/MOBILE STAND</v>
          </cell>
          <cell r="M1713" t="str">
            <v>019130 / 22235256</v>
          </cell>
          <cell r="N1713" t="str">
            <v>OBSTETRIK &amp; GINEKOLOGI</v>
          </cell>
          <cell r="O1713" t="str">
            <v>Dewan Bersalin (LDU)</v>
          </cell>
          <cell r="P1713" t="str">
            <v>HM</v>
          </cell>
          <cell r="Q1713">
            <v>7245</v>
          </cell>
        </row>
        <row r="1714">
          <cell r="E1714" t="str">
            <v>KKM/JKN/HSA/10-05-01/H/15/1213</v>
          </cell>
          <cell r="F1714" t="str">
            <v>Therapeutic</v>
          </cell>
          <cell r="G1714" t="str">
            <v>Intermediate</v>
          </cell>
          <cell r="H1714" t="str">
            <v>Infusion Pumps, General-Purpose</v>
          </cell>
          <cell r="I1714" t="str">
            <v>PUMP VOLUMETRIC INFUSION (STAND ALONE)</v>
          </cell>
          <cell r="J1714" t="str">
            <v>13-215</v>
          </cell>
          <cell r="K1714" t="str">
            <v>FRESENIUS KABI</v>
          </cell>
          <cell r="L1714" t="str">
            <v>LINK 8+ AGILIA/MOBILE STAND</v>
          </cell>
          <cell r="M1714" t="str">
            <v>019130 / 22235957</v>
          </cell>
          <cell r="N1714" t="str">
            <v>OBSTETRIK &amp; GINEKOLOGI</v>
          </cell>
          <cell r="O1714" t="str">
            <v>Dewan Bersalin (LDU)</v>
          </cell>
          <cell r="P1714" t="str">
            <v>HM</v>
          </cell>
          <cell r="Q1714">
            <v>7245</v>
          </cell>
        </row>
        <row r="1715">
          <cell r="E1715" t="str">
            <v>KKM/JKN/HSA/10-05-01/H/15/1214</v>
          </cell>
          <cell r="F1715" t="str">
            <v>Therapeutic</v>
          </cell>
          <cell r="G1715" t="str">
            <v>Intermediate</v>
          </cell>
          <cell r="H1715" t="str">
            <v>Infusion Pumps, General-Purpose</v>
          </cell>
          <cell r="I1715" t="str">
            <v>PUMP VOLUMETRIC INFUSION (STAND ALONE)</v>
          </cell>
          <cell r="J1715" t="str">
            <v>13-215</v>
          </cell>
          <cell r="K1715" t="str">
            <v>FRESENIUS KABI</v>
          </cell>
          <cell r="L1715" t="str">
            <v>LINK 8+ AGILIA/MOBILE STAND</v>
          </cell>
          <cell r="M1715" t="str">
            <v>019130 / 22235300</v>
          </cell>
          <cell r="N1715" t="str">
            <v>OBSTETRIK &amp; GINEKOLOGI</v>
          </cell>
          <cell r="O1715" t="str">
            <v>Dewan Bersalin (LDU)</v>
          </cell>
          <cell r="P1715" t="str">
            <v>HM</v>
          </cell>
          <cell r="Q1715">
            <v>7245</v>
          </cell>
        </row>
        <row r="1716">
          <cell r="E1716" t="str">
            <v>KKM/JKN/HSA/10-05-01/H/15/1215</v>
          </cell>
          <cell r="F1716" t="str">
            <v>Therapeutic</v>
          </cell>
          <cell r="G1716" t="str">
            <v>Intermediate</v>
          </cell>
          <cell r="H1716" t="str">
            <v>Infusion Pumps, General-Purpose</v>
          </cell>
          <cell r="I1716" t="str">
            <v>PUMP VOLUMETRIC INFUSION (STAND ALONE)</v>
          </cell>
          <cell r="J1716" t="str">
            <v>13-215</v>
          </cell>
          <cell r="K1716" t="str">
            <v>FRESENIUS KABI</v>
          </cell>
          <cell r="L1716" t="str">
            <v>LINK 8+ AGILIA/MOBILE STAND</v>
          </cell>
          <cell r="M1716" t="str">
            <v>019130 / 22235941</v>
          </cell>
          <cell r="N1716" t="str">
            <v>OBSTETRIK &amp; GINEKOLOGI</v>
          </cell>
          <cell r="O1716" t="str">
            <v>Dewan Bersalin (LDU)</v>
          </cell>
          <cell r="P1716" t="str">
            <v>HM</v>
          </cell>
          <cell r="Q1716">
            <v>7245</v>
          </cell>
        </row>
        <row r="1717">
          <cell r="E1717" t="str">
            <v>KKM/JKN/HSA/10-05-01/H/15/1216</v>
          </cell>
          <cell r="F1717" t="str">
            <v>Therapeutic</v>
          </cell>
          <cell r="G1717" t="str">
            <v>Intermediate</v>
          </cell>
          <cell r="H1717" t="str">
            <v>Infusion Pumps, General-Purpose</v>
          </cell>
          <cell r="I1717" t="str">
            <v>PUMP VOLUMETRIC INFUSION (STAND ALONE)</v>
          </cell>
          <cell r="J1717" t="str">
            <v>13-215</v>
          </cell>
          <cell r="K1717" t="str">
            <v>FRESENIUS KABI</v>
          </cell>
          <cell r="L1717" t="str">
            <v>LINK 8+ AGILIA/MOBILE STAND</v>
          </cell>
          <cell r="M1717" t="str">
            <v>019130 / 22170886</v>
          </cell>
          <cell r="N1717" t="str">
            <v>OBSTETRIK &amp; GINEKOLOGI</v>
          </cell>
          <cell r="O1717" t="str">
            <v>Dewan Bersalin (LDU)</v>
          </cell>
          <cell r="P1717" t="str">
            <v>HM</v>
          </cell>
          <cell r="Q1717">
            <v>7245</v>
          </cell>
        </row>
        <row r="1718">
          <cell r="E1718" t="str">
            <v>KKM/JKN/HSA/10-05-01/H/15/1217</v>
          </cell>
          <cell r="F1718" t="str">
            <v>Therapeutic</v>
          </cell>
          <cell r="G1718" t="str">
            <v>Intermediate</v>
          </cell>
          <cell r="H1718" t="str">
            <v>Infusion Pumps, General-Purpose</v>
          </cell>
          <cell r="I1718" t="str">
            <v>PUMP VOLUMETRIC INFUSION (STAND ALONE)</v>
          </cell>
          <cell r="J1718" t="str">
            <v>13-215</v>
          </cell>
          <cell r="K1718" t="str">
            <v>FRESENIUS KABI</v>
          </cell>
          <cell r="L1718" t="str">
            <v>LINK 8+ AGILIA/MOBILE STAND</v>
          </cell>
          <cell r="M1718" t="str">
            <v>019130 / 22235942</v>
          </cell>
          <cell r="N1718" t="str">
            <v>OBSTETRIK &amp; GINEKOLOGI</v>
          </cell>
          <cell r="O1718" t="str">
            <v>Dewan Bersalin (LDU)</v>
          </cell>
          <cell r="P1718" t="str">
            <v>HM</v>
          </cell>
          <cell r="Q1718">
            <v>7245</v>
          </cell>
        </row>
        <row r="1719">
          <cell r="E1719" t="str">
            <v>KKM/JKN/HSA/10-05-01/H/15/1218</v>
          </cell>
          <cell r="F1719" t="str">
            <v>Therapeutic</v>
          </cell>
          <cell r="G1719" t="str">
            <v>Intermediate</v>
          </cell>
          <cell r="H1719" t="str">
            <v>Infusion Pumps, General-Purpose</v>
          </cell>
          <cell r="I1719" t="str">
            <v>PUMP VOLUMETRIC INFUSION (STAND ALONE)</v>
          </cell>
          <cell r="J1719" t="str">
            <v>13-215</v>
          </cell>
          <cell r="K1719" t="str">
            <v>FRESENIUS KABI</v>
          </cell>
          <cell r="L1719" t="str">
            <v>LINK 8+ AGILIA/MOBILE STAND</v>
          </cell>
          <cell r="M1719" t="str">
            <v>019130 / 22235262</v>
          </cell>
          <cell r="N1719" t="str">
            <v>OBSTETRIK &amp; GINEKOLOGI</v>
          </cell>
          <cell r="O1719" t="str">
            <v>Dewan Bersalin (LDU)</v>
          </cell>
          <cell r="P1719" t="str">
            <v>HM</v>
          </cell>
          <cell r="Q1719">
            <v>7245</v>
          </cell>
        </row>
        <row r="1720">
          <cell r="E1720" t="str">
            <v>KKM/JKN/HSA/10-05-01/H/15/1219</v>
          </cell>
          <cell r="F1720" t="str">
            <v>Therapeutic</v>
          </cell>
          <cell r="G1720" t="str">
            <v>Intermediate</v>
          </cell>
          <cell r="H1720" t="str">
            <v>Infusion Pumps, General-Purpose</v>
          </cell>
          <cell r="I1720" t="str">
            <v>PUMP VOLUMETRIC INFUSION (STAND ALONE)</v>
          </cell>
          <cell r="J1720" t="str">
            <v>13-215</v>
          </cell>
          <cell r="K1720" t="str">
            <v>FRESENIUS KABI</v>
          </cell>
          <cell r="L1720" t="str">
            <v>LINK 8+ AGILIA/MOBILE STAND</v>
          </cell>
          <cell r="M1720" t="str">
            <v>019130 / 22235257</v>
          </cell>
          <cell r="N1720" t="str">
            <v>OBSTETRIK &amp; GINEKOLOGI</v>
          </cell>
          <cell r="O1720" t="str">
            <v>Dewan Bersalin (LDU)</v>
          </cell>
          <cell r="P1720" t="str">
            <v>HM</v>
          </cell>
          <cell r="Q1720">
            <v>7245</v>
          </cell>
        </row>
        <row r="1721">
          <cell r="E1721" t="str">
            <v>KKM/JKN/HSA/10-05-01/H/15/1220</v>
          </cell>
          <cell r="F1721" t="str">
            <v>Therapeutic</v>
          </cell>
          <cell r="G1721" t="str">
            <v>Intermediate</v>
          </cell>
          <cell r="H1721" t="str">
            <v>Infusion Pumps, General-Purpose</v>
          </cell>
          <cell r="I1721" t="str">
            <v>PUMP VOLUMETRIC INFUSION (STAND ALONE)</v>
          </cell>
          <cell r="J1721" t="str">
            <v>13-215</v>
          </cell>
          <cell r="K1721" t="str">
            <v>FRESENIUS KABI</v>
          </cell>
          <cell r="L1721" t="str">
            <v>LINK 8+ AGILIA/MOBILE STAND</v>
          </cell>
          <cell r="M1721" t="str">
            <v>019130 / 22235247</v>
          </cell>
          <cell r="N1721" t="str">
            <v>OBSTETRIK &amp; GINEKOLOGI</v>
          </cell>
          <cell r="O1721" t="str">
            <v>Dewan Bersalin (LDU)</v>
          </cell>
          <cell r="P1721" t="str">
            <v>HM</v>
          </cell>
          <cell r="Q1721">
            <v>7245</v>
          </cell>
        </row>
        <row r="1722">
          <cell r="E1722" t="str">
            <v>KKM/JKN/HSA/10-05-01/H/16/83</v>
          </cell>
          <cell r="F1722" t="str">
            <v xml:space="preserve">Diagnostic </v>
          </cell>
          <cell r="G1722" t="str">
            <v>Intermediate</v>
          </cell>
          <cell r="H1722" t="str">
            <v>Oximeters, Pulse</v>
          </cell>
          <cell r="I1722" t="str">
            <v>PULSE OXIMETER AND SIMULATOR</v>
          </cell>
          <cell r="J1722" t="str">
            <v>17-148</v>
          </cell>
          <cell r="K1722" t="str">
            <v>MASIMO</v>
          </cell>
          <cell r="L1722" t="str">
            <v>R2932-RADICAL 7TS</v>
          </cell>
          <cell r="M1722" t="str">
            <v>DS-243258/HH-1000051595</v>
          </cell>
          <cell r="N1722" t="str">
            <v>OBSTETRIK &amp; GINEKOLOGI</v>
          </cell>
          <cell r="O1722" t="str">
            <v>Dewan Bersalin (LDU)</v>
          </cell>
          <cell r="P1722" t="str">
            <v>HM</v>
          </cell>
          <cell r="Q1722">
            <v>7400</v>
          </cell>
        </row>
        <row r="1723">
          <cell r="E1723" t="str">
            <v>KKM/JKN/HSA/10-05-01/H/16/84</v>
          </cell>
          <cell r="F1723" t="str">
            <v xml:space="preserve">Diagnostic </v>
          </cell>
          <cell r="G1723" t="str">
            <v>Intermediate</v>
          </cell>
          <cell r="H1723" t="str">
            <v>Oximeters, Pulse</v>
          </cell>
          <cell r="I1723" t="str">
            <v>PULSE OXIMETER AND SIMULATOR</v>
          </cell>
          <cell r="J1723" t="str">
            <v>17-148</v>
          </cell>
          <cell r="K1723" t="str">
            <v>MASIMO</v>
          </cell>
          <cell r="L1723" t="str">
            <v>R2932-RADICAL 7TS</v>
          </cell>
          <cell r="M1723" t="str">
            <v>DS-236163/HH-1000059364</v>
          </cell>
          <cell r="N1723" t="str">
            <v>OBSTETRIK &amp; GINEKOLOGI</v>
          </cell>
          <cell r="O1723" t="str">
            <v>Dewan Bersalin (LDU)</v>
          </cell>
          <cell r="P1723" t="str">
            <v>HM</v>
          </cell>
          <cell r="Q1723">
            <v>7400</v>
          </cell>
        </row>
        <row r="1724">
          <cell r="E1724" t="str">
            <v>KKM/JKN/HSA/10-05-01/H/16/85</v>
          </cell>
          <cell r="F1724" t="str">
            <v xml:space="preserve">Diagnostic </v>
          </cell>
          <cell r="G1724" t="str">
            <v>Intermediate</v>
          </cell>
          <cell r="H1724" t="str">
            <v>Oximeters, Pulse</v>
          </cell>
          <cell r="I1724" t="str">
            <v>PULSE OXIMETER AND SIMULATOR</v>
          </cell>
          <cell r="J1724" t="str">
            <v>17-148</v>
          </cell>
          <cell r="K1724" t="str">
            <v>MASIMO</v>
          </cell>
          <cell r="L1724" t="str">
            <v>R2932-RADICAL 7TS</v>
          </cell>
          <cell r="M1724" t="str">
            <v>DS-239958/HH-1000051583</v>
          </cell>
          <cell r="N1724" t="str">
            <v>OBSTETRIK &amp; GINEKOLOGI</v>
          </cell>
          <cell r="O1724" t="str">
            <v>Dewan Bersalin (LDU)</v>
          </cell>
          <cell r="P1724" t="str">
            <v>HM</v>
          </cell>
          <cell r="Q1724">
            <v>7400</v>
          </cell>
        </row>
        <row r="1725">
          <cell r="E1725" t="str">
            <v>KKM/JKN/HSA/10-05-01/H/15/582</v>
          </cell>
          <cell r="F1725" t="str">
            <v xml:space="preserve">Diagnostic </v>
          </cell>
          <cell r="G1725" t="str">
            <v>Intermediate</v>
          </cell>
          <cell r="H1725" t="str">
            <v>Physiologic Monitoring Systems, Acute Care</v>
          </cell>
          <cell r="I1725" t="str">
            <v>MONITOR, TRANSP0RT</v>
          </cell>
          <cell r="J1725" t="str">
            <v>12-647</v>
          </cell>
          <cell r="K1725" t="str">
            <v>MINDRAY</v>
          </cell>
          <cell r="L1725" t="str">
            <v xml:space="preserve"> BENEVIEW T1</v>
          </cell>
          <cell r="M1725"/>
          <cell r="N1725" t="str">
            <v>OBSTETRIK &amp; GINEKOLOGI</v>
          </cell>
          <cell r="O1725" t="str">
            <v>Dewan Bersalin (LDU)</v>
          </cell>
          <cell r="P1725" t="str">
            <v>HM</v>
          </cell>
          <cell r="Q1725">
            <v>15500</v>
          </cell>
        </row>
        <row r="1726">
          <cell r="E1726" t="str">
            <v>KKM/JKN/HSA/10-05-01/H/15/1571</v>
          </cell>
          <cell r="F1726" t="str">
            <v xml:space="preserve">Diagnostic </v>
          </cell>
          <cell r="G1726" t="str">
            <v>Intermediate</v>
          </cell>
          <cell r="H1726" t="str">
            <v>Monitors, Physiologic, Vital Signs</v>
          </cell>
          <cell r="I1726" t="str">
            <v>MONITOR NIBP/TEMP</v>
          </cell>
          <cell r="J1726" t="str">
            <v>25-209</v>
          </cell>
          <cell r="K1726" t="str">
            <v>WELCH ALLYN</v>
          </cell>
          <cell r="L1726" t="str">
            <v>WELCH ALLYN VSM 300</v>
          </cell>
          <cell r="M1726" t="str">
            <v>JA 123479</v>
          </cell>
          <cell r="N1726" t="str">
            <v>OBSTETRIK &amp; GINEKOLOGI</v>
          </cell>
          <cell r="O1726" t="str">
            <v>Dewan Bersalin (LDU)</v>
          </cell>
          <cell r="P1726" t="str">
            <v>HM</v>
          </cell>
          <cell r="Q1726">
            <v>4355</v>
          </cell>
        </row>
        <row r="1727">
          <cell r="E1727" t="str">
            <v>KKM/JKN/HSA/10-05-01/H/15/1572</v>
          </cell>
          <cell r="F1727" t="str">
            <v xml:space="preserve">Diagnostic </v>
          </cell>
          <cell r="G1727" t="str">
            <v>Intermediate</v>
          </cell>
          <cell r="H1727" t="str">
            <v>Monitors, Physiologic, Vital Signs</v>
          </cell>
          <cell r="I1727" t="str">
            <v>MONITOR NIBP/TEMP</v>
          </cell>
          <cell r="J1727" t="str">
            <v>25-209</v>
          </cell>
          <cell r="K1727" t="str">
            <v>WELCH ALLYN</v>
          </cell>
          <cell r="L1727" t="str">
            <v>WELCH ALLYN VSM 300</v>
          </cell>
          <cell r="M1727" t="str">
            <v>JA 123473</v>
          </cell>
          <cell r="N1727" t="str">
            <v>OBSTETRIK &amp; GINEKOLOGI</v>
          </cell>
          <cell r="O1727" t="str">
            <v>Dewan Bersalin (LDU)</v>
          </cell>
          <cell r="P1727" t="str">
            <v>HM</v>
          </cell>
          <cell r="Q1727">
            <v>4355</v>
          </cell>
        </row>
        <row r="1728">
          <cell r="E1728" t="str">
            <v>KKM/JKN/HSA/10-05-01/H/15/1573</v>
          </cell>
          <cell r="F1728" t="str">
            <v xml:space="preserve">Diagnostic </v>
          </cell>
          <cell r="G1728" t="str">
            <v>Intermediate</v>
          </cell>
          <cell r="H1728" t="str">
            <v>Monitors, Physiologic, Vital Signs</v>
          </cell>
          <cell r="I1728" t="str">
            <v>MONITOR NIBP/TEMP</v>
          </cell>
          <cell r="J1728" t="str">
            <v>25-209</v>
          </cell>
          <cell r="K1728" t="str">
            <v>WELCH ALLYN</v>
          </cell>
          <cell r="L1728" t="str">
            <v>WELCH ALLYN VSM 300</v>
          </cell>
          <cell r="M1728" t="str">
            <v>JA 123461</v>
          </cell>
          <cell r="N1728" t="str">
            <v>OBSTETRIK &amp; GINEKOLOGI</v>
          </cell>
          <cell r="O1728" t="str">
            <v>Dewan Bersalin (LDU)</v>
          </cell>
          <cell r="P1728" t="str">
            <v>HM</v>
          </cell>
          <cell r="Q1728">
            <v>4355</v>
          </cell>
        </row>
        <row r="1729">
          <cell r="E1729" t="str">
            <v>KKM/JKN/HSA/10-05-01/H/15/1574</v>
          </cell>
          <cell r="F1729" t="str">
            <v xml:space="preserve">Diagnostic </v>
          </cell>
          <cell r="G1729" t="str">
            <v>Intermediate</v>
          </cell>
          <cell r="H1729" t="str">
            <v>Monitors, Physiologic, Vital Signs</v>
          </cell>
          <cell r="I1729" t="str">
            <v>MONITOR NIBP/TEMP</v>
          </cell>
          <cell r="J1729" t="str">
            <v>25-209</v>
          </cell>
          <cell r="K1729" t="str">
            <v>WELCH ALLYN</v>
          </cell>
          <cell r="L1729" t="str">
            <v>WELCH ALLYN VSM 300</v>
          </cell>
          <cell r="M1729" t="str">
            <v>JA 123478</v>
          </cell>
          <cell r="N1729" t="str">
            <v>OBSTETRIK &amp; GINEKOLOGI</v>
          </cell>
          <cell r="O1729" t="str">
            <v>Dewan Bersalin (LDU)</v>
          </cell>
          <cell r="P1729" t="str">
            <v>HM</v>
          </cell>
          <cell r="Q1729">
            <v>4355</v>
          </cell>
        </row>
        <row r="1730">
          <cell r="E1730" t="str">
            <v>KKM/JKN/HSA/10-05-01/H/15/1575</v>
          </cell>
          <cell r="F1730" t="str">
            <v xml:space="preserve">Diagnostic </v>
          </cell>
          <cell r="G1730" t="str">
            <v>Intermediate</v>
          </cell>
          <cell r="H1730" t="str">
            <v>Monitors, Physiologic, Vital Signs</v>
          </cell>
          <cell r="I1730" t="str">
            <v>MONITOR NIBP/TEMP</v>
          </cell>
          <cell r="J1730" t="str">
            <v>25-209</v>
          </cell>
          <cell r="K1730" t="str">
            <v>WELCH ALLYN</v>
          </cell>
          <cell r="L1730" t="str">
            <v>WELCH ALLYN VSM 300</v>
          </cell>
          <cell r="M1730" t="str">
            <v>JA 123482</v>
          </cell>
          <cell r="N1730" t="str">
            <v>OBSTETRIK &amp; GINEKOLOGI</v>
          </cell>
          <cell r="O1730" t="str">
            <v>Dewan Bersalin (LDU)</v>
          </cell>
          <cell r="P1730" t="str">
            <v>HM</v>
          </cell>
          <cell r="Q1730">
            <v>4355</v>
          </cell>
        </row>
        <row r="1731">
          <cell r="E1731" t="str">
            <v>KKM/JKN/HSA/10-05-01/H/15/1576</v>
          </cell>
          <cell r="F1731" t="str">
            <v xml:space="preserve">Diagnostic </v>
          </cell>
          <cell r="G1731" t="str">
            <v>Intermediate</v>
          </cell>
          <cell r="H1731" t="str">
            <v>Monitors, Physiologic, Vital Signs</v>
          </cell>
          <cell r="I1731" t="str">
            <v>MONITOR NIBP/TEMP</v>
          </cell>
          <cell r="J1731" t="str">
            <v>25-209</v>
          </cell>
          <cell r="K1731" t="str">
            <v>WELCH ALLYN</v>
          </cell>
          <cell r="L1731" t="str">
            <v>WELCH ALLYN VSM 300</v>
          </cell>
          <cell r="M1731" t="str">
            <v>JA 123468</v>
          </cell>
          <cell r="N1731" t="str">
            <v>OBSTETRIK &amp; GINEKOLOGI</v>
          </cell>
          <cell r="O1731" t="str">
            <v>Dewan Bersalin (LDU)</v>
          </cell>
          <cell r="P1731" t="str">
            <v>HM</v>
          </cell>
          <cell r="Q1731">
            <v>4355</v>
          </cell>
        </row>
        <row r="1732">
          <cell r="E1732" t="str">
            <v>KKM/JKN/HSA/10-05-01/H/15/1577</v>
          </cell>
          <cell r="F1732" t="str">
            <v xml:space="preserve">Diagnostic </v>
          </cell>
          <cell r="G1732" t="str">
            <v>Intermediate</v>
          </cell>
          <cell r="H1732" t="str">
            <v>Monitors, Physiologic, Vital Signs</v>
          </cell>
          <cell r="I1732" t="str">
            <v>MONITOR NIBP/TEMP</v>
          </cell>
          <cell r="J1732" t="str">
            <v>25-209</v>
          </cell>
          <cell r="K1732" t="str">
            <v>WELCH ALLYN</v>
          </cell>
          <cell r="L1732" t="str">
            <v>WELCH ALLYN VSM 300</v>
          </cell>
          <cell r="M1732" t="str">
            <v>JA123474</v>
          </cell>
          <cell r="N1732" t="str">
            <v>OBSTETRIK &amp; GINEKOLOGI</v>
          </cell>
          <cell r="O1732" t="str">
            <v>Dewan Bersalin (LDU)</v>
          </cell>
          <cell r="P1732" t="str">
            <v>HM</v>
          </cell>
          <cell r="Q1732">
            <v>4355</v>
          </cell>
        </row>
        <row r="1733">
          <cell r="E1733" t="str">
            <v>KKM/JKN/HSA/10-05-01/H/15/1578</v>
          </cell>
          <cell r="F1733" t="str">
            <v xml:space="preserve">Diagnostic </v>
          </cell>
          <cell r="G1733" t="str">
            <v>Intermediate</v>
          </cell>
          <cell r="H1733" t="str">
            <v>Monitors, Physiologic, Vital Signs</v>
          </cell>
          <cell r="I1733" t="str">
            <v>MONITOR NIBP/TEMP</v>
          </cell>
          <cell r="J1733" t="str">
            <v>25-209</v>
          </cell>
          <cell r="K1733" t="str">
            <v>WELCH ALLYN</v>
          </cell>
          <cell r="L1733" t="str">
            <v>WELCH ALLYN VSM 300</v>
          </cell>
          <cell r="M1733" t="str">
            <v>JA 123464</v>
          </cell>
          <cell r="N1733" t="str">
            <v>OBSTETRIK &amp; GINEKOLOGI</v>
          </cell>
          <cell r="O1733" t="str">
            <v>Dewan Bersalin (LDU)</v>
          </cell>
          <cell r="P1733" t="str">
            <v>HM</v>
          </cell>
          <cell r="Q1733">
            <v>4355</v>
          </cell>
        </row>
        <row r="1734">
          <cell r="E1734" t="str">
            <v>KKM/JKN/HSA/10-05-01/H/15/1579</v>
          </cell>
          <cell r="F1734" t="str">
            <v xml:space="preserve">Diagnostic </v>
          </cell>
          <cell r="G1734" t="str">
            <v>Intermediate</v>
          </cell>
          <cell r="H1734" t="str">
            <v>Monitors, Physiologic, Vital Signs</v>
          </cell>
          <cell r="I1734" t="str">
            <v>MONITOR NIBP/TEMP</v>
          </cell>
          <cell r="J1734" t="str">
            <v>25-209</v>
          </cell>
          <cell r="K1734" t="str">
            <v>WELCH ALLYN</v>
          </cell>
          <cell r="L1734" t="str">
            <v>WELCH ALLYN VSM 300</v>
          </cell>
          <cell r="M1734" t="str">
            <v>JA 123455</v>
          </cell>
          <cell r="N1734" t="str">
            <v>OBSTETRIK &amp; GINEKOLOGI</v>
          </cell>
          <cell r="O1734" t="str">
            <v>Dewan Bersalin (LDU)</v>
          </cell>
          <cell r="P1734" t="str">
            <v>HM</v>
          </cell>
          <cell r="Q1734">
            <v>4355</v>
          </cell>
        </row>
        <row r="1735">
          <cell r="E1735" t="str">
            <v>KKM/JKN/HSA/10-05-01/H/15/594</v>
          </cell>
          <cell r="F1735" t="str">
            <v xml:space="preserve">Diagnostic </v>
          </cell>
          <cell r="G1735" t="str">
            <v>Intermediate</v>
          </cell>
          <cell r="H1735" t="str">
            <v>Cardiotocographs</v>
          </cell>
          <cell r="I1735" t="str">
            <v>MONITOR ANTEPARTUM/TWIN W/INTEGRAL PRINTER</v>
          </cell>
          <cell r="J1735" t="str">
            <v>12-610</v>
          </cell>
          <cell r="K1735" t="str">
            <v>GE HEALTHCARE</v>
          </cell>
          <cell r="L1735" t="str">
            <v>COROMETRICS 172</v>
          </cell>
          <cell r="M1735" t="str">
            <v>SAS 13360951 PA</v>
          </cell>
          <cell r="N1735" t="str">
            <v>OBSTETRIK &amp; GINEKOLOGI</v>
          </cell>
          <cell r="O1735" t="str">
            <v>Dewan Bersalin (LDU)</v>
          </cell>
          <cell r="P1735" t="str">
            <v>HM</v>
          </cell>
          <cell r="Q1735">
            <v>10200</v>
          </cell>
        </row>
        <row r="1736">
          <cell r="E1736" t="str">
            <v>KKM/JKN/HSA/10-05-01/H/15/4296</v>
          </cell>
          <cell r="F1736" t="str">
            <v xml:space="preserve">Diagnostic </v>
          </cell>
          <cell r="G1736" t="str">
            <v>Intermediate</v>
          </cell>
          <cell r="H1736" t="str">
            <v>Cardiotocographs</v>
          </cell>
          <cell r="I1736" t="str">
            <v>MONITOR ANTEPARTUM W/INTEGRAL PRINTER</v>
          </cell>
          <cell r="J1736" t="str">
            <v>12-610</v>
          </cell>
          <cell r="K1736" t="str">
            <v>GE HEALTHCARE</v>
          </cell>
          <cell r="L1736" t="str">
            <v>COROMETRICS 172</v>
          </cell>
          <cell r="M1736" t="str">
            <v>SAS13330684PA</v>
          </cell>
          <cell r="N1736" t="str">
            <v>OBSTETRIK &amp; GINEKOLOGI</v>
          </cell>
          <cell r="O1736" t="str">
            <v>Dewan Bersalin (LDU)</v>
          </cell>
          <cell r="P1736" t="str">
            <v>HM</v>
          </cell>
          <cell r="Q1736">
            <v>10200</v>
          </cell>
        </row>
        <row r="1737">
          <cell r="E1737" t="str">
            <v>KKM/JKN/HSA/10-05-01/H/15/4298</v>
          </cell>
          <cell r="F1737" t="str">
            <v xml:space="preserve">Diagnostic </v>
          </cell>
          <cell r="G1737" t="str">
            <v>Intermediate</v>
          </cell>
          <cell r="H1737" t="str">
            <v>Cardiotocographs</v>
          </cell>
          <cell r="I1737" t="str">
            <v>MONITOR ANTEPARTUM W/INTEGRAL PRINTER</v>
          </cell>
          <cell r="J1737" t="str">
            <v>12-610</v>
          </cell>
          <cell r="K1737" t="str">
            <v>GE HEALTHCARE</v>
          </cell>
          <cell r="L1737" t="str">
            <v>COROMETRICS 172</v>
          </cell>
          <cell r="M1737" t="str">
            <v>SAS13306884PA</v>
          </cell>
          <cell r="N1737" t="str">
            <v>OBSTETRIK &amp; GINEKOLOGI</v>
          </cell>
          <cell r="O1737" t="str">
            <v>Dewan Bersalin (LDU)</v>
          </cell>
          <cell r="P1737" t="str">
            <v>HM</v>
          </cell>
          <cell r="Q1737">
            <v>10200</v>
          </cell>
        </row>
        <row r="1738">
          <cell r="E1738" t="str">
            <v>KKM/JKN/HSA/10-05-01/H/15/761</v>
          </cell>
          <cell r="F1738" t="str">
            <v xml:space="preserve">Diagnostic </v>
          </cell>
          <cell r="G1738" t="str">
            <v>Intermediate</v>
          </cell>
          <cell r="H1738" t="str">
            <v>Cardiotocographs</v>
          </cell>
          <cell r="I1738" t="str">
            <v>MONITOR ANTE/INTRAPARTUM W/INTEGRAL PRINTER</v>
          </cell>
          <cell r="J1738" t="str">
            <v>12-610</v>
          </cell>
          <cell r="K1738" t="str">
            <v>GE HEALTHCARE</v>
          </cell>
          <cell r="L1738" t="str">
            <v>COROMETRICS 174</v>
          </cell>
          <cell r="M1738" t="str">
            <v>SAS 13340753 PA</v>
          </cell>
          <cell r="N1738" t="str">
            <v>OBSTETRIK &amp; GINEKOLOGI</v>
          </cell>
          <cell r="O1738" t="str">
            <v>Dewan Bersalin (LDU)</v>
          </cell>
          <cell r="P1738" t="str">
            <v>HM</v>
          </cell>
          <cell r="Q1738">
            <v>11565</v>
          </cell>
        </row>
        <row r="1739">
          <cell r="E1739" t="str">
            <v>KKM/JKN/HSA/10-05-01/H/15/764</v>
          </cell>
          <cell r="F1739" t="str">
            <v xml:space="preserve">Diagnostic </v>
          </cell>
          <cell r="G1739" t="str">
            <v>Intermediate</v>
          </cell>
          <cell r="H1739" t="str">
            <v>Cardiotocographs</v>
          </cell>
          <cell r="I1739" t="str">
            <v>MONITOR ANTE/INTRAPARTUM W/INTEGRAL PRINTER</v>
          </cell>
          <cell r="J1739" t="str">
            <v>12-610</v>
          </cell>
          <cell r="K1739" t="str">
            <v>GE HEALTHCARE</v>
          </cell>
          <cell r="L1739" t="str">
            <v>COROMETRICS 174</v>
          </cell>
          <cell r="M1739" t="str">
            <v>SAS 13340750 PA</v>
          </cell>
          <cell r="N1739" t="str">
            <v>OBSTETRIK &amp; GINEKOLOGI</v>
          </cell>
          <cell r="O1739" t="str">
            <v>Dewan Bersalin (LDU)</v>
          </cell>
          <cell r="P1739" t="str">
            <v>HM</v>
          </cell>
          <cell r="Q1739">
            <v>11565</v>
          </cell>
        </row>
        <row r="1740">
          <cell r="E1740" t="str">
            <v>KKM/JKN/HSA/10-05-01/H/15/765</v>
          </cell>
          <cell r="F1740" t="str">
            <v xml:space="preserve">Diagnostic </v>
          </cell>
          <cell r="G1740" t="str">
            <v>Intermediate</v>
          </cell>
          <cell r="H1740" t="str">
            <v>Cardiotocographs</v>
          </cell>
          <cell r="I1740" t="str">
            <v>MONITOR ANTE/INTRAPARTUM W/INTEGRAL PRINTER</v>
          </cell>
          <cell r="J1740" t="str">
            <v>12-610</v>
          </cell>
          <cell r="K1740" t="str">
            <v>GE HEALTHCARE</v>
          </cell>
          <cell r="L1740" t="str">
            <v>COROMETRICS 174</v>
          </cell>
          <cell r="M1740" t="str">
            <v>SAS 13300641 PA</v>
          </cell>
          <cell r="N1740" t="str">
            <v>OBSTETRIK &amp; GINEKOLOGI</v>
          </cell>
          <cell r="O1740" t="str">
            <v>Dewan Bersalin (LDU)</v>
          </cell>
          <cell r="P1740" t="str">
            <v>HM</v>
          </cell>
          <cell r="Q1740">
            <v>11565</v>
          </cell>
        </row>
        <row r="1741">
          <cell r="E1741" t="str">
            <v>KKM/JKN/HSA/10-05-01/H/15/769</v>
          </cell>
          <cell r="F1741" t="str">
            <v xml:space="preserve">Diagnostic </v>
          </cell>
          <cell r="G1741" t="str">
            <v>Intermediate</v>
          </cell>
          <cell r="H1741" t="str">
            <v>Cardiotocographs</v>
          </cell>
          <cell r="I1741" t="str">
            <v>MONITOR ANTE/INTRAPARTUM W/INTEGRAL PRINTER</v>
          </cell>
          <cell r="J1741" t="str">
            <v>12-610</v>
          </cell>
          <cell r="K1741" t="str">
            <v>GE HEALTHCARE</v>
          </cell>
          <cell r="L1741" t="str">
            <v>COROMETRICS 174</v>
          </cell>
          <cell r="M1741" t="str">
            <v>SAS 13350785 PA</v>
          </cell>
          <cell r="N1741" t="str">
            <v>OBSTETRIK &amp; GINEKOLOGI</v>
          </cell>
          <cell r="O1741" t="str">
            <v>Dewan Bersalin (LDU)</v>
          </cell>
          <cell r="P1741" t="str">
            <v>HM</v>
          </cell>
          <cell r="Q1741">
            <v>11565</v>
          </cell>
        </row>
        <row r="1742">
          <cell r="E1742" t="str">
            <v>KKM/JKN/HSA/10-05-01/H/15/2111</v>
          </cell>
          <cell r="F1742" t="str">
            <v xml:space="preserve">Diagnostic </v>
          </cell>
          <cell r="G1742" t="str">
            <v>Intermediate</v>
          </cell>
          <cell r="H1742" t="str">
            <v>Physiologic Monitoring Systems, Acute Care</v>
          </cell>
          <cell r="I1742" t="str">
            <v>MONITOR 4 CH, ECG/RR/NIBP/SP02/TEMP</v>
          </cell>
          <cell r="J1742" t="str">
            <v>12-647</v>
          </cell>
          <cell r="K1742" t="str">
            <v>MINDRAY</v>
          </cell>
          <cell r="L1742" t="str">
            <v>IMEC 12</v>
          </cell>
          <cell r="M1742" t="str">
            <v>EV 45011622</v>
          </cell>
          <cell r="N1742" t="str">
            <v>OBSTETRIK &amp; GINELOKOGI</v>
          </cell>
          <cell r="O1742" t="str">
            <v>Dewan Bersalin (LDU)</v>
          </cell>
          <cell r="P1742" t="str">
            <v>HM</v>
          </cell>
          <cell r="Q1742">
            <v>9000</v>
          </cell>
        </row>
        <row r="1743">
          <cell r="E1743" t="str">
            <v>KKM/JKN/HSA/10-05-01/H/15/2118</v>
          </cell>
          <cell r="F1743" t="str">
            <v xml:space="preserve">Diagnostic </v>
          </cell>
          <cell r="G1743" t="str">
            <v>Intermediate</v>
          </cell>
          <cell r="H1743" t="str">
            <v>Physiologic Monitoring Systems, Acute Care</v>
          </cell>
          <cell r="I1743" t="str">
            <v>MONITOR 4 CH, ECG/RR/NIBP/SP02/TEMP</v>
          </cell>
          <cell r="J1743" t="str">
            <v>12-647</v>
          </cell>
          <cell r="K1743" t="str">
            <v>MINDRAY</v>
          </cell>
          <cell r="L1743" t="str">
            <v>IMEC 12</v>
          </cell>
          <cell r="M1743" t="str">
            <v>EV 45011621</v>
          </cell>
          <cell r="N1743" t="str">
            <v>OBSTETRIK &amp; GINELOKOGI</v>
          </cell>
          <cell r="O1743" t="str">
            <v>Dewan Bersalin (LDU)</v>
          </cell>
          <cell r="P1743" t="str">
            <v>HM</v>
          </cell>
          <cell r="Q1743">
            <v>9000</v>
          </cell>
        </row>
        <row r="1744">
          <cell r="E1744" t="str">
            <v>KKM/JKN/HSA/10-05-01/H/15/2119</v>
          </cell>
          <cell r="F1744" t="str">
            <v xml:space="preserve">Diagnostic </v>
          </cell>
          <cell r="G1744" t="str">
            <v>Intermediate</v>
          </cell>
          <cell r="H1744" t="str">
            <v>Physiologic Monitoring Systems, Acute Care</v>
          </cell>
          <cell r="I1744" t="str">
            <v>MONITOR 4 CH, ECG/RR/NIBP/SP02/TEMP</v>
          </cell>
          <cell r="J1744" t="str">
            <v>12-647</v>
          </cell>
          <cell r="K1744" t="str">
            <v>MINDRAY</v>
          </cell>
          <cell r="L1744" t="str">
            <v>IMEC 12</v>
          </cell>
          <cell r="M1744" t="str">
            <v>EV 4501123</v>
          </cell>
          <cell r="N1744" t="str">
            <v>OBSTETRIK &amp; GINELOKOGI</v>
          </cell>
          <cell r="O1744" t="str">
            <v>Dewan Bersalin (LDU)</v>
          </cell>
          <cell r="P1744" t="str">
            <v>HM</v>
          </cell>
          <cell r="Q1744">
            <v>9000</v>
          </cell>
        </row>
        <row r="1745">
          <cell r="E1745" t="str">
            <v>KKM/JKN/HSA/10-05-01/H/15/2120</v>
          </cell>
          <cell r="F1745" t="str">
            <v xml:space="preserve">Diagnostic </v>
          </cell>
          <cell r="G1745" t="str">
            <v>Intermediate</v>
          </cell>
          <cell r="H1745" t="str">
            <v>Physiologic Monitoring Systems, Acute Care</v>
          </cell>
          <cell r="I1745" t="str">
            <v>MONITOR 4 CH, ECG/RR/NIBP/SP02/TEMP</v>
          </cell>
          <cell r="J1745" t="str">
            <v>12-647</v>
          </cell>
          <cell r="K1745" t="str">
            <v>MINDRAY</v>
          </cell>
          <cell r="L1745" t="str">
            <v>IMEC 12</v>
          </cell>
          <cell r="M1745" t="str">
            <v>EV 45011624</v>
          </cell>
          <cell r="N1745" t="str">
            <v>OBSTETRIK &amp; GINELOKOGI</v>
          </cell>
          <cell r="O1745" t="str">
            <v>Dewan Bersalin (LDU)</v>
          </cell>
          <cell r="P1745" t="str">
            <v>HM</v>
          </cell>
          <cell r="Q1745">
            <v>9000</v>
          </cell>
        </row>
        <row r="1746">
          <cell r="E1746"/>
          <cell r="F1746" t="str">
            <v xml:space="preserve">Diagnostic </v>
          </cell>
          <cell r="G1746" t="str">
            <v>Basic</v>
          </cell>
          <cell r="H1746" t="str">
            <v>Laryngoscopes, Rigid</v>
          </cell>
          <cell r="I1746" t="str">
            <v>LARYNGOSCOPE C/W 3 BLADES ADULT</v>
          </cell>
          <cell r="J1746" t="str">
            <v>15-076</v>
          </cell>
          <cell r="K1746" t="str">
            <v>WELCH ALLYN</v>
          </cell>
          <cell r="L1746" t="str">
            <v>WELCH ALLYN</v>
          </cell>
          <cell r="M1746"/>
          <cell r="N1746" t="str">
            <v>ANESTESIOLOGI</v>
          </cell>
          <cell r="O1746" t="str">
            <v>Dewan Bersalin (LDU)</v>
          </cell>
          <cell r="P1746" t="str">
            <v>HM</v>
          </cell>
          <cell r="Q1746">
            <v>2000</v>
          </cell>
        </row>
        <row r="1747">
          <cell r="E1747"/>
          <cell r="F1747" t="str">
            <v xml:space="preserve">Diagnostic </v>
          </cell>
          <cell r="G1747" t="str">
            <v>Basic</v>
          </cell>
          <cell r="H1747" t="str">
            <v>Laryngoscopes, Rigid</v>
          </cell>
          <cell r="I1747" t="str">
            <v>LARYNGOSCOPE C/W 3 BLADES ADULT</v>
          </cell>
          <cell r="J1747" t="str">
            <v>15-076</v>
          </cell>
          <cell r="K1747" t="str">
            <v>WELCH ALLYN</v>
          </cell>
          <cell r="L1747" t="str">
            <v>WELCH ALLYN</v>
          </cell>
          <cell r="M1747"/>
          <cell r="N1747" t="str">
            <v>ANESTESIOLOGI</v>
          </cell>
          <cell r="O1747" t="str">
            <v>Dewan Bersalin (LDU)</v>
          </cell>
          <cell r="P1747" t="str">
            <v>HM</v>
          </cell>
          <cell r="Q1747">
            <v>2000</v>
          </cell>
        </row>
        <row r="1748">
          <cell r="E1748"/>
          <cell r="F1748" t="str">
            <v xml:space="preserve">Diagnostic </v>
          </cell>
          <cell r="G1748" t="str">
            <v>Basic</v>
          </cell>
          <cell r="H1748" t="str">
            <v>Laryngoscopes, Rigid</v>
          </cell>
          <cell r="I1748" t="str">
            <v>LARYNGOSCOPE C/W 3 BLADES ADULT</v>
          </cell>
          <cell r="J1748" t="str">
            <v>15-076</v>
          </cell>
          <cell r="K1748" t="str">
            <v>WELCH ALLYN</v>
          </cell>
          <cell r="L1748" t="str">
            <v>WELCH ALLYN</v>
          </cell>
          <cell r="M1748"/>
          <cell r="N1748" t="str">
            <v>ANESTESIOLOGI</v>
          </cell>
          <cell r="O1748" t="str">
            <v>Dewan Bersalin (LDU)</v>
          </cell>
          <cell r="P1748" t="str">
            <v>HM</v>
          </cell>
          <cell r="Q1748">
            <v>2000</v>
          </cell>
        </row>
        <row r="1749">
          <cell r="E1749"/>
          <cell r="F1749" t="str">
            <v xml:space="preserve">Diagnostic </v>
          </cell>
          <cell r="G1749" t="str">
            <v>Basic</v>
          </cell>
          <cell r="H1749" t="str">
            <v>Laryngoscopes, Rigid</v>
          </cell>
          <cell r="I1749" t="str">
            <v>LARYNGOSCOPE C/W 3 BLADES ADULT</v>
          </cell>
          <cell r="J1749" t="str">
            <v>15-076</v>
          </cell>
          <cell r="K1749" t="str">
            <v>WELCH ALLYN</v>
          </cell>
          <cell r="L1749" t="str">
            <v>WELCH ALLYN</v>
          </cell>
          <cell r="M1749"/>
          <cell r="N1749" t="str">
            <v>ANESTESIOLOGI</v>
          </cell>
          <cell r="O1749" t="str">
            <v>Dewan Bersalin (LDU)</v>
          </cell>
          <cell r="P1749" t="str">
            <v>HM</v>
          </cell>
          <cell r="Q1749">
            <v>2000</v>
          </cell>
        </row>
        <row r="1750">
          <cell r="E1750" t="str">
            <v>KKM/JKN/HSA/10-05-01/H/15/191</v>
          </cell>
          <cell r="F1750" t="str">
            <v xml:space="preserve">Diagnostic </v>
          </cell>
          <cell r="G1750" t="str">
            <v>Basic</v>
          </cell>
          <cell r="H1750" t="str">
            <v>Laryngoscopes, Rigid</v>
          </cell>
          <cell r="I1750" t="str">
            <v>LARYNGOSCOPE</v>
          </cell>
          <cell r="J1750" t="str">
            <v>15-076</v>
          </cell>
          <cell r="K1750" t="str">
            <v>WELCH ALLYN</v>
          </cell>
          <cell r="L1750" t="str">
            <v>01-6081,01-69214,01-69213 &amp;01-69212</v>
          </cell>
          <cell r="M1750">
            <v>60813</v>
          </cell>
          <cell r="N1750" t="str">
            <v>OBSTETRIK &amp; GINEKOLOGI</v>
          </cell>
          <cell r="O1750" t="str">
            <v>Dewan Bersalin (LDU)</v>
          </cell>
          <cell r="P1750" t="str">
            <v>HM</v>
          </cell>
          <cell r="Q1750">
            <v>2000</v>
          </cell>
        </row>
        <row r="1751">
          <cell r="E1751" t="str">
            <v>KKM/JKN/HSA/10-05-01/H/15/192</v>
          </cell>
          <cell r="F1751" t="str">
            <v xml:space="preserve">Diagnostic </v>
          </cell>
          <cell r="G1751" t="str">
            <v>Basic</v>
          </cell>
          <cell r="H1751" t="str">
            <v>Laryngoscopes, Rigid</v>
          </cell>
          <cell r="I1751" t="str">
            <v>LARYNGOSCOPE</v>
          </cell>
          <cell r="J1751" t="str">
            <v>15-076</v>
          </cell>
          <cell r="K1751" t="str">
            <v>WELCH ALLYN</v>
          </cell>
          <cell r="L1751" t="str">
            <v>01-6081,01-69214,01-69213 &amp;01-69212</v>
          </cell>
          <cell r="M1751"/>
          <cell r="N1751" t="str">
            <v>OBSTETRIK &amp; GINEKOLOGI</v>
          </cell>
          <cell r="O1751" t="str">
            <v>Dewan Bersalin (LDU)</v>
          </cell>
          <cell r="P1751" t="str">
            <v>HM</v>
          </cell>
          <cell r="Q1751">
            <v>2000</v>
          </cell>
        </row>
        <row r="1752">
          <cell r="E1752" t="str">
            <v>KKM/JKN/HSA/10-05-01/H/15/555</v>
          </cell>
          <cell r="F1752" t="str">
            <v>Therapeutic</v>
          </cell>
          <cell r="G1752" t="str">
            <v>Intermediate</v>
          </cell>
          <cell r="H1752" t="str">
            <v>Incubators, Infant, TransP0rt</v>
          </cell>
          <cell r="I1752" t="str">
            <v>INCUBATOR TRANSP0RT WITH VENTILATOR</v>
          </cell>
          <cell r="J1752" t="str">
            <v>12-114</v>
          </cell>
          <cell r="K1752" t="str">
            <v>DRAEGER</v>
          </cell>
          <cell r="L1752" t="str">
            <v>ISOLETTE TI500 W BABYPAC</v>
          </cell>
          <cell r="M1752" t="str">
            <v>AU 09341</v>
          </cell>
          <cell r="N1752" t="str">
            <v>OBSTETRIK &amp; GINEKOLOGI</v>
          </cell>
          <cell r="O1752" t="str">
            <v>Dewan Bersalin (LDU)</v>
          </cell>
          <cell r="P1752" t="str">
            <v>HM</v>
          </cell>
          <cell r="Q1752">
            <v>68000</v>
          </cell>
        </row>
        <row r="1753">
          <cell r="E1753" t="str">
            <v>KKM/JKN/HSA/10-05-01/H/15/556</v>
          </cell>
          <cell r="F1753" t="str">
            <v>Therapeutic</v>
          </cell>
          <cell r="G1753" t="str">
            <v>Intermediate</v>
          </cell>
          <cell r="H1753" t="str">
            <v>Incubators, Infant, TransP0rt</v>
          </cell>
          <cell r="I1753" t="str">
            <v>INCUBATOR TRANSP0RT WITH VENTILATOR</v>
          </cell>
          <cell r="J1753" t="str">
            <v>12-114</v>
          </cell>
          <cell r="K1753" t="str">
            <v>DRAEGER</v>
          </cell>
          <cell r="L1753" t="str">
            <v>ISOLETTE TI500 W BABYPAC</v>
          </cell>
          <cell r="M1753" t="str">
            <v>AU 09339</v>
          </cell>
          <cell r="N1753" t="str">
            <v>OBSTETRIK &amp; GINEKOLOGI</v>
          </cell>
          <cell r="O1753" t="str">
            <v>Dewan Bersalin (LDU)</v>
          </cell>
          <cell r="P1753" t="str">
            <v>HM</v>
          </cell>
          <cell r="Q1753">
            <v>68000</v>
          </cell>
        </row>
        <row r="1754">
          <cell r="E1754" t="str">
            <v>KKM/JKN/HSA/10-05-01/R/15/17076</v>
          </cell>
          <cell r="F1754" t="str">
            <v xml:space="preserve">Diagnostic </v>
          </cell>
          <cell r="G1754" t="str">
            <v>Basic</v>
          </cell>
          <cell r="H1754" t="str">
            <v>Ophthalmoscopes/Otoscopes</v>
          </cell>
          <cell r="I1754" t="str">
            <v>DIAGNOSTIC SET ADULT</v>
          </cell>
          <cell r="J1754" t="str">
            <v>18-595</v>
          </cell>
          <cell r="K1754" t="str">
            <v>WELCH ALLYN</v>
          </cell>
          <cell r="L1754" t="str">
            <v>97150-BI</v>
          </cell>
          <cell r="M1754"/>
          <cell r="N1754" t="str">
            <v>OBSTETRIK &amp; GINEKOLOGI</v>
          </cell>
          <cell r="O1754" t="str">
            <v>Dewan Bersalin (LDU)</v>
          </cell>
          <cell r="P1754" t="str">
            <v>ABR</v>
          </cell>
          <cell r="Q1754">
            <v>1820</v>
          </cell>
        </row>
        <row r="1755">
          <cell r="E1755" t="str">
            <v>KKM/JKN/HSA/10-05-01/R/15/15084</v>
          </cell>
          <cell r="F1755" t="str">
            <v xml:space="preserve">Diagnostic </v>
          </cell>
          <cell r="G1755" t="str">
            <v>Basic</v>
          </cell>
          <cell r="H1755" t="str">
            <v>Fetal Heart Detectors, Ultrasonic</v>
          </cell>
          <cell r="I1755" t="str">
            <v>DETECTOR FOETAL HEART P0RTABLE</v>
          </cell>
          <cell r="J1755" t="str">
            <v>11-696</v>
          </cell>
          <cell r="K1755" t="str">
            <v>EDAN INSTRUMENTS</v>
          </cell>
          <cell r="L1755" t="str">
            <v>SONOTRAX</v>
          </cell>
          <cell r="M1755" t="str">
            <v>304106-M13800820015</v>
          </cell>
          <cell r="N1755" t="str">
            <v>OBSTETRIK &amp; GINEKOLOGI</v>
          </cell>
          <cell r="O1755" t="str">
            <v>Dewan Bersalin (LDU)</v>
          </cell>
          <cell r="P1755" t="str">
            <v>ABR</v>
          </cell>
          <cell r="Q1755">
            <v>580</v>
          </cell>
        </row>
        <row r="1756">
          <cell r="E1756" t="str">
            <v>KKM/JKN/HSA/10-05-01/R/15/15086</v>
          </cell>
          <cell r="F1756" t="str">
            <v xml:space="preserve">Diagnostic </v>
          </cell>
          <cell r="G1756" t="str">
            <v>Basic</v>
          </cell>
          <cell r="H1756" t="str">
            <v>Fetal Heart Detectors, Ultrasonic</v>
          </cell>
          <cell r="I1756" t="str">
            <v>DETECTOR FOETAL HEART P0RTABLE</v>
          </cell>
          <cell r="J1756" t="str">
            <v>11-696</v>
          </cell>
          <cell r="K1756" t="str">
            <v>EDAN INSTRUMENTS</v>
          </cell>
          <cell r="L1756" t="str">
            <v>SONOTRAX</v>
          </cell>
          <cell r="M1756" t="str">
            <v>304106-M13800820004</v>
          </cell>
          <cell r="N1756" t="str">
            <v>OBSTETRIK &amp; GINEKOLOGI</v>
          </cell>
          <cell r="O1756" t="str">
            <v>Dewan Bersalin (LDU)</v>
          </cell>
          <cell r="P1756" t="str">
            <v>ABR</v>
          </cell>
          <cell r="Q1756">
            <v>580</v>
          </cell>
        </row>
        <row r="1757">
          <cell r="E1757" t="str">
            <v>KKM/JKN/HSA/10-05-01/H/15/4010</v>
          </cell>
          <cell r="F1757" t="str">
            <v>Laboratory</v>
          </cell>
          <cell r="G1757" t="str">
            <v>Intermediate</v>
          </cell>
          <cell r="H1757" t="str">
            <v>Analyzers, Laboratory, Blood Gas/pH/Electrolyte</v>
          </cell>
          <cell r="I1757" t="str">
            <v>ANALYSER BLOOD GAS + ISE</v>
          </cell>
          <cell r="J1757" t="str">
            <v>18-618</v>
          </cell>
          <cell r="K1757" t="str">
            <v>NOVA BIOMEDICAL</v>
          </cell>
          <cell r="L1757" t="str">
            <v>NOVA PHOX ANALYSER</v>
          </cell>
          <cell r="M1757" t="str">
            <v>Z11215060</v>
          </cell>
          <cell r="N1757" t="str">
            <v>OBSTETRIK &amp; GINEKOLOGI</v>
          </cell>
          <cell r="O1757" t="str">
            <v>Dewan Bersalin (LDU)</v>
          </cell>
          <cell r="P1757" t="str">
            <v>HM</v>
          </cell>
          <cell r="Q1757">
            <v>44070</v>
          </cell>
        </row>
        <row r="1758">
          <cell r="E1758" t="str">
            <v>KKM/JKN/HSA/10-05-01/H/15/1584</v>
          </cell>
          <cell r="F1758" t="str">
            <v>Therapeutic</v>
          </cell>
          <cell r="G1758" t="str">
            <v>Basic</v>
          </cell>
          <cell r="H1758" t="str">
            <v>Warming Units, Patient, Radiant, Infant</v>
          </cell>
          <cell r="I1758" t="str">
            <v>WARMING UNITS, PATIENT, RADIANT, INFANT</v>
          </cell>
          <cell r="J1758" t="str">
            <v>17-956</v>
          </cell>
          <cell r="K1758" t="str">
            <v>DRAEGER</v>
          </cell>
          <cell r="L1758" t="str">
            <v>RESUSCITAIRE RW-82</v>
          </cell>
          <cell r="M1758" t="str">
            <v>AU 01152</v>
          </cell>
          <cell r="N1758" t="str">
            <v>OBSTETRIK &amp; GINEKOLOGI</v>
          </cell>
          <cell r="O1758" t="str">
            <v>Dewan Berdah Bersalin (MOT)</v>
          </cell>
          <cell r="P1758" t="str">
            <v>HM</v>
          </cell>
          <cell r="Q1758">
            <v>24000</v>
          </cell>
        </row>
        <row r="1759">
          <cell r="E1759" t="str">
            <v>KKM/JKN/HSA/10-05-01/H/15/1585</v>
          </cell>
          <cell r="F1759" t="str">
            <v>Therapeutic</v>
          </cell>
          <cell r="G1759" t="str">
            <v>Basic</v>
          </cell>
          <cell r="H1759" t="str">
            <v>Warming Units, Patient, Radiant, Infant</v>
          </cell>
          <cell r="I1759" t="str">
            <v>WARMING UNITS, PATIENT, RADIANT, INFANT</v>
          </cell>
          <cell r="J1759" t="str">
            <v>17-956</v>
          </cell>
          <cell r="K1759" t="str">
            <v>DRAEGER</v>
          </cell>
          <cell r="L1759" t="str">
            <v>RESUSCITAIRE RW-82</v>
          </cell>
          <cell r="M1759" t="str">
            <v>AU 01149</v>
          </cell>
          <cell r="N1759" t="str">
            <v>OBSTETRIK &amp; GINEKOLOGI</v>
          </cell>
          <cell r="O1759" t="str">
            <v>Dewan Berdah Bersalin (MOT)</v>
          </cell>
          <cell r="P1759" t="str">
            <v>HM</v>
          </cell>
          <cell r="Q1759">
            <v>24000</v>
          </cell>
        </row>
        <row r="1760">
          <cell r="E1760" t="str">
            <v>KKM/JKN/HSA/10-05-01/H/15/1586</v>
          </cell>
          <cell r="F1760" t="str">
            <v>Therapeutic</v>
          </cell>
          <cell r="G1760" t="str">
            <v>Basic</v>
          </cell>
          <cell r="H1760" t="str">
            <v>Warming Units, Patient, Radiant, Infant</v>
          </cell>
          <cell r="I1760" t="str">
            <v>WARMING UNITS, PATIENT, RADIANT, INFANT</v>
          </cell>
          <cell r="J1760" t="str">
            <v>17-956</v>
          </cell>
          <cell r="K1760" t="str">
            <v>DRAEGER</v>
          </cell>
          <cell r="L1760" t="str">
            <v>RESUSCITAIRE RW-82</v>
          </cell>
          <cell r="M1760" t="str">
            <v>AU 01154</v>
          </cell>
          <cell r="N1760" t="str">
            <v>OBSTETRIK &amp; GINEKOLOGI</v>
          </cell>
          <cell r="O1760" t="str">
            <v>Dewan Berdah Bersalin (MOT)</v>
          </cell>
          <cell r="P1760" t="str">
            <v>HM</v>
          </cell>
          <cell r="Q1760">
            <v>24000</v>
          </cell>
        </row>
        <row r="1761">
          <cell r="E1761" t="str">
            <v>KKM/JKN/HSA/10-05-01/H/15/5019</v>
          </cell>
          <cell r="F1761" t="str">
            <v>Therapeutic</v>
          </cell>
          <cell r="G1761" t="str">
            <v>Basic</v>
          </cell>
          <cell r="H1761" t="str">
            <v>Warming Units, Blood/Solution</v>
          </cell>
          <cell r="I1761" t="str">
            <v>WARMER BLOOD DRY HEAT TYPE</v>
          </cell>
          <cell r="J1761" t="str">
            <v>10-447</v>
          </cell>
          <cell r="K1761" t="str">
            <v>BARKEY</v>
          </cell>
          <cell r="L1761" t="str">
            <v>S.LINE</v>
          </cell>
          <cell r="M1761">
            <v>1207672</v>
          </cell>
          <cell r="N1761" t="str">
            <v>OBSTETRIK &amp; GINEKOLOGI</v>
          </cell>
          <cell r="O1761" t="str">
            <v>Dewan Berdah Bersalin (MOT)</v>
          </cell>
          <cell r="P1761" t="str">
            <v>HM</v>
          </cell>
          <cell r="Q1761">
            <v>4224</v>
          </cell>
        </row>
        <row r="1762">
          <cell r="E1762" t="str">
            <v xml:space="preserve">KKM/JKN/HSA/10-05-01/H/15/5020
</v>
          </cell>
          <cell r="F1762" t="str">
            <v>Therapeutic</v>
          </cell>
          <cell r="G1762" t="str">
            <v>Basic</v>
          </cell>
          <cell r="H1762" t="str">
            <v>Warming Units, Blood/Solution</v>
          </cell>
          <cell r="I1762" t="str">
            <v>WARMER BLOOD DRY HEAT TYPE</v>
          </cell>
          <cell r="J1762" t="str">
            <v>10-447</v>
          </cell>
          <cell r="K1762" t="str">
            <v>BARKEY</v>
          </cell>
          <cell r="L1762" t="str">
            <v>S.LINE</v>
          </cell>
          <cell r="M1762">
            <v>1207670</v>
          </cell>
          <cell r="N1762" t="str">
            <v>OBSTETRIK &amp; GINEKOLOGI</v>
          </cell>
          <cell r="O1762" t="str">
            <v>Dewan Berdah Bersalin (MOT)</v>
          </cell>
          <cell r="P1762" t="str">
            <v>HM</v>
          </cell>
          <cell r="Q1762">
            <v>4224</v>
          </cell>
        </row>
        <row r="1763">
          <cell r="E1763" t="str">
            <v xml:space="preserve">KKM/JKN/HSA/10-05-01/H/15/5021
</v>
          </cell>
          <cell r="F1763" t="str">
            <v>Therapeutic</v>
          </cell>
          <cell r="G1763" t="str">
            <v>Basic</v>
          </cell>
          <cell r="H1763" t="str">
            <v>Warming Units, Blood/Solution</v>
          </cell>
          <cell r="I1763" t="str">
            <v>WARMER BLOOD DRY HEAT TYPE</v>
          </cell>
          <cell r="J1763" t="str">
            <v>10-447</v>
          </cell>
          <cell r="K1763" t="str">
            <v>BARKEY</v>
          </cell>
          <cell r="L1763" t="str">
            <v>S.LINE</v>
          </cell>
          <cell r="M1763">
            <v>1207671</v>
          </cell>
          <cell r="N1763" t="str">
            <v>OBSTETRIK &amp; GINEKOLOGI</v>
          </cell>
          <cell r="O1763" t="str">
            <v>Dewan Berdah Bersalin (MOT)</v>
          </cell>
          <cell r="P1763" t="str">
            <v>HM</v>
          </cell>
          <cell r="Q1763">
            <v>4224</v>
          </cell>
        </row>
        <row r="1764">
          <cell r="E1764" t="str">
            <v xml:space="preserve">KKM/JKN/HSA/10-05-01/H/15/2419 </v>
          </cell>
          <cell r="F1764" t="str">
            <v>Therapeutic</v>
          </cell>
          <cell r="G1764" t="str">
            <v>Basic</v>
          </cell>
          <cell r="H1764" t="str">
            <v>Tables, Operating</v>
          </cell>
          <cell r="I1764" t="str">
            <v>TABLE, OPERATING, O &amp; G, ELECTRIC</v>
          </cell>
          <cell r="J1764" t="str">
            <v>13-961</v>
          </cell>
          <cell r="K1764" t="str">
            <v>TRUMPF</v>
          </cell>
          <cell r="L1764" t="str">
            <v>MARS.2.02</v>
          </cell>
          <cell r="M1764">
            <v>102107234</v>
          </cell>
          <cell r="N1764" t="str">
            <v>MOT</v>
          </cell>
          <cell r="O1764" t="str">
            <v>Dewan Berdah Bersalin (MOT)</v>
          </cell>
          <cell r="P1764" t="str">
            <v>HM</v>
          </cell>
          <cell r="Q1764">
            <v>100664</v>
          </cell>
        </row>
        <row r="1765">
          <cell r="E1765" t="str">
            <v xml:space="preserve">KKM/JKN/HSA/10-05-01/H/15/2420 </v>
          </cell>
          <cell r="F1765" t="str">
            <v>Therapeutic</v>
          </cell>
          <cell r="G1765" t="str">
            <v>Basic</v>
          </cell>
          <cell r="H1765" t="str">
            <v>Tables, Operating</v>
          </cell>
          <cell r="I1765" t="str">
            <v>TABLE, OPERATING, O &amp; G, ELECTRIC</v>
          </cell>
          <cell r="J1765" t="str">
            <v>13-961</v>
          </cell>
          <cell r="K1765" t="str">
            <v>TRUMPF</v>
          </cell>
          <cell r="L1765" t="str">
            <v>MARS.2.02</v>
          </cell>
          <cell r="M1765">
            <v>102071008</v>
          </cell>
          <cell r="N1765" t="str">
            <v>MOT</v>
          </cell>
          <cell r="O1765" t="str">
            <v>Dewan Berdah Bersalin (MOT)</v>
          </cell>
          <cell r="P1765" t="str">
            <v>HM</v>
          </cell>
          <cell r="Q1765">
            <v>100664</v>
          </cell>
        </row>
        <row r="1766">
          <cell r="E1766" t="str">
            <v>KKM/JKN/HSA/10-05-01/H/15/4884</v>
          </cell>
          <cell r="F1766" t="str">
            <v>Therapeutic</v>
          </cell>
          <cell r="G1766" t="str">
            <v>Basic</v>
          </cell>
          <cell r="H1766" t="str">
            <v>Lights, Surgical</v>
          </cell>
          <cell r="I1766" t="str">
            <v>LAMP OPERATING MAJOR + SATELLITE C/W UPS</v>
          </cell>
          <cell r="J1766" t="str">
            <v>12-282</v>
          </cell>
          <cell r="K1766" t="str">
            <v>TRUMPF MEDIZIN</v>
          </cell>
          <cell r="L1766" t="str">
            <v>TRULIGHT 5320/5310</v>
          </cell>
          <cell r="M1766" t="str">
            <v>102107347/102116955</v>
          </cell>
          <cell r="N1766" t="str">
            <v>MOT</v>
          </cell>
          <cell r="O1766" t="str">
            <v>Dewan Berdah Bersalin (MOT)</v>
          </cell>
          <cell r="P1766" t="str">
            <v>HM</v>
          </cell>
          <cell r="Q1766">
            <v>82550</v>
          </cell>
        </row>
        <row r="1767">
          <cell r="E1767" t="str">
            <v>KKM/JKN/HSA/10-05-01/H/15/4885</v>
          </cell>
          <cell r="F1767" t="str">
            <v>Therapeutic</v>
          </cell>
          <cell r="G1767" t="str">
            <v>Basic</v>
          </cell>
          <cell r="H1767" t="str">
            <v>Lights, Surgical</v>
          </cell>
          <cell r="I1767" t="str">
            <v>LAMP OPERATING MAJOR + SATELLITE C/W UPS</v>
          </cell>
          <cell r="J1767" t="str">
            <v>12-282</v>
          </cell>
          <cell r="K1767" t="str">
            <v>TRUMPF MEDIZIN</v>
          </cell>
          <cell r="L1767" t="str">
            <v>TRULIGHT 5320/5310</v>
          </cell>
          <cell r="M1767" t="str">
            <v>102113644/102107329</v>
          </cell>
          <cell r="N1767" t="str">
            <v>MOT</v>
          </cell>
          <cell r="O1767" t="str">
            <v>Dewan Berdah Bersalin (MOT)</v>
          </cell>
          <cell r="P1767" t="str">
            <v>HM</v>
          </cell>
          <cell r="Q1767">
            <v>82550</v>
          </cell>
        </row>
        <row r="1768">
          <cell r="E1768" t="str">
            <v>KKM/JKN/HSA/10-05-01/H/15/328</v>
          </cell>
          <cell r="F1768" t="str">
            <v>Therapeutic</v>
          </cell>
          <cell r="G1768" t="str">
            <v>Intermediate</v>
          </cell>
          <cell r="H1768" t="str">
            <v>Anesthesia Units</v>
          </cell>
          <cell r="I1768" t="str">
            <v>ANAESTHETIC MACHINE</v>
          </cell>
          <cell r="J1768" t="str">
            <v>10-134</v>
          </cell>
          <cell r="K1768" t="str">
            <v>DRAGER</v>
          </cell>
          <cell r="L1768" t="str">
            <v>PRIMUS</v>
          </cell>
          <cell r="M1768" t="str">
            <v>ASHC - 0219</v>
          </cell>
          <cell r="N1768" t="str">
            <v>OBSTETRIK &amp; GINEKOLOGI</v>
          </cell>
          <cell r="O1768" t="str">
            <v>Dewan Berdah Bersalin (MOT)</v>
          </cell>
          <cell r="P1768" t="str">
            <v>HM</v>
          </cell>
          <cell r="Q1768">
            <v>90000</v>
          </cell>
        </row>
        <row r="1769">
          <cell r="E1769" t="str">
            <v>KKM/JKN/HSA/10-05-01/H/15/329</v>
          </cell>
          <cell r="F1769" t="str">
            <v>Therapeutic</v>
          </cell>
          <cell r="G1769" t="str">
            <v>Intermediate</v>
          </cell>
          <cell r="H1769" t="str">
            <v>Anesthesia Units</v>
          </cell>
          <cell r="I1769" t="str">
            <v>ANAESTHETIC MACHINE</v>
          </cell>
          <cell r="J1769" t="str">
            <v>10-134</v>
          </cell>
          <cell r="K1769" t="str">
            <v>DRAGER</v>
          </cell>
          <cell r="L1769" t="str">
            <v>PRIMUS</v>
          </cell>
          <cell r="M1769" t="str">
            <v>ASHC-0217</v>
          </cell>
          <cell r="N1769" t="str">
            <v>OBSTETRIK &amp; GINEKOLOGI</v>
          </cell>
          <cell r="O1769" t="str">
            <v>Dewan Berdah Bersalin (MOT)</v>
          </cell>
          <cell r="P1769" t="str">
            <v>HM</v>
          </cell>
          <cell r="Q1769">
            <v>90000</v>
          </cell>
        </row>
        <row r="1770">
          <cell r="E1770" t="str">
            <v xml:space="preserve">KKM/JKN/HSA/10-05-01/H/15/2533 </v>
          </cell>
          <cell r="F1770" t="str">
            <v>Radiology</v>
          </cell>
          <cell r="G1770" t="str">
            <v>Intermediate</v>
          </cell>
          <cell r="H1770" t="str">
            <v>Radiographic Units, Mobile</v>
          </cell>
          <cell r="I1770" t="str">
            <v>X-RAY C-ARM 9"</v>
          </cell>
          <cell r="J1770" t="str">
            <v>13-272</v>
          </cell>
          <cell r="K1770" t="str">
            <v>SIEMENS</v>
          </cell>
          <cell r="L1770" t="str">
            <v>SIREMOBIL COMPACT L</v>
          </cell>
          <cell r="M1770">
            <v>32447</v>
          </cell>
          <cell r="N1770" t="str">
            <v>ANESTESIOLOGI</v>
          </cell>
          <cell r="O1770" t="str">
            <v>Dewan Bedah Utama (GOT)</v>
          </cell>
          <cell r="P1770" t="str">
            <v>HM</v>
          </cell>
          <cell r="Q1770">
            <v>210000</v>
          </cell>
        </row>
        <row r="1771">
          <cell r="E1771" t="str">
            <v>KKM/JKN/HSA/10-05-01/H/15/2439</v>
          </cell>
          <cell r="F1771" t="str">
            <v>Therapeutic</v>
          </cell>
          <cell r="G1771" t="str">
            <v>Basic</v>
          </cell>
          <cell r="H1771" t="str">
            <v>Warming Units, Patient, Forced-Air</v>
          </cell>
          <cell r="I1771" t="str">
            <v>WARMER, CONVECTIVE AIR</v>
          </cell>
          <cell r="J1771" t="str">
            <v>17-950</v>
          </cell>
          <cell r="K1771" t="str">
            <v>CARE ESSENTIAL PTE</v>
          </cell>
          <cell r="L1771" t="str">
            <v>CWS4000</v>
          </cell>
          <cell r="M1771" t="str">
            <v>CWS4-2350-14</v>
          </cell>
          <cell r="N1771" t="str">
            <v>ANESTESIOLOGI</v>
          </cell>
          <cell r="O1771" t="str">
            <v>Dewan Bedah Utama (GOT)</v>
          </cell>
          <cell r="P1771" t="str">
            <v>HM</v>
          </cell>
          <cell r="Q1771">
            <v>6560</v>
          </cell>
        </row>
        <row r="1772">
          <cell r="E1772" t="str">
            <v>KKM/JKN/HSA/10-05-01/H/15/2440</v>
          </cell>
          <cell r="F1772" t="str">
            <v>Therapeutic</v>
          </cell>
          <cell r="G1772" t="str">
            <v>Basic</v>
          </cell>
          <cell r="H1772" t="str">
            <v>Warming Units, Patient, Forced-Air</v>
          </cell>
          <cell r="I1772" t="str">
            <v>WARMER, CONVECTIVE AIR</v>
          </cell>
          <cell r="J1772" t="str">
            <v>17-950</v>
          </cell>
          <cell r="K1772" t="str">
            <v>CARE ESSENTIAL PTE</v>
          </cell>
          <cell r="L1772" t="str">
            <v>CWS4000</v>
          </cell>
          <cell r="M1772" t="str">
            <v>CWS4-2917-15</v>
          </cell>
          <cell r="N1772" t="str">
            <v>ANESTESIOLOGI</v>
          </cell>
          <cell r="O1772" t="str">
            <v>Dewan Bedah Utama (GOT)</v>
          </cell>
          <cell r="P1772" t="str">
            <v>HM</v>
          </cell>
          <cell r="Q1772">
            <v>6560</v>
          </cell>
        </row>
        <row r="1773">
          <cell r="E1773" t="str">
            <v>KKM/JKN/HSA/10-05-01/H/15/2441</v>
          </cell>
          <cell r="F1773" t="str">
            <v>Therapeutic</v>
          </cell>
          <cell r="G1773" t="str">
            <v>Basic</v>
          </cell>
          <cell r="H1773" t="str">
            <v>Warming Units, Patient, Forced-Air</v>
          </cell>
          <cell r="I1773" t="str">
            <v>WARMER, CONVECTIVE AIR</v>
          </cell>
          <cell r="J1773" t="str">
            <v>17-950</v>
          </cell>
          <cell r="K1773" t="str">
            <v>CARE ESSENTIAL PTE</v>
          </cell>
          <cell r="L1773" t="str">
            <v>CWS4000</v>
          </cell>
          <cell r="M1773" t="str">
            <v>CWS4-3550-15</v>
          </cell>
          <cell r="N1773" t="str">
            <v>ANESTESIOLOGI</v>
          </cell>
          <cell r="O1773" t="str">
            <v>Dewan Bedah Utama (GOT)</v>
          </cell>
          <cell r="P1773" t="str">
            <v>HM</v>
          </cell>
          <cell r="Q1773">
            <v>6560</v>
          </cell>
        </row>
        <row r="1774">
          <cell r="E1774" t="str">
            <v>KKM/JKN/HSA/10-05-01/H/15/2442</v>
          </cell>
          <cell r="F1774" t="str">
            <v>Therapeutic</v>
          </cell>
          <cell r="G1774" t="str">
            <v>Basic</v>
          </cell>
          <cell r="H1774" t="str">
            <v>Warming Units, Patient, Forced-Air</v>
          </cell>
          <cell r="I1774" t="str">
            <v>WARMER, CONVECTIVE AIR</v>
          </cell>
          <cell r="J1774" t="str">
            <v>17-950</v>
          </cell>
          <cell r="K1774" t="str">
            <v>CARE ESSENTIAL PTE</v>
          </cell>
          <cell r="L1774" t="str">
            <v>CWS4000</v>
          </cell>
          <cell r="M1774" t="str">
            <v>CWS4-3549-15</v>
          </cell>
          <cell r="N1774" t="str">
            <v>ANESTESIOLOGI</v>
          </cell>
          <cell r="O1774" t="str">
            <v>Dewan Bedah Utama (GOT)</v>
          </cell>
          <cell r="P1774" t="str">
            <v>HM</v>
          </cell>
          <cell r="Q1774">
            <v>6560</v>
          </cell>
        </row>
        <row r="1775">
          <cell r="E1775" t="str">
            <v>KKM/JKN/HSA/10-05-01/H/15/2443</v>
          </cell>
          <cell r="F1775" t="str">
            <v>Therapeutic</v>
          </cell>
          <cell r="G1775" t="str">
            <v>Basic</v>
          </cell>
          <cell r="H1775" t="str">
            <v>Warming Units, Patient, Forced-Air</v>
          </cell>
          <cell r="I1775" t="str">
            <v>WARMER, CONVECTIVE AIR</v>
          </cell>
          <cell r="J1775" t="str">
            <v>17-950</v>
          </cell>
          <cell r="K1775" t="str">
            <v>CARE ESSENTIAL PTE</v>
          </cell>
          <cell r="L1775" t="str">
            <v>CWS4000</v>
          </cell>
          <cell r="M1775" t="str">
            <v>CWS4-2345-14</v>
          </cell>
          <cell r="N1775" t="str">
            <v>ANESTESIOLOGI</v>
          </cell>
          <cell r="O1775" t="str">
            <v>Dewan Bedah Utama (GOT)</v>
          </cell>
          <cell r="P1775" t="str">
            <v>HM</v>
          </cell>
          <cell r="Q1775">
            <v>6560</v>
          </cell>
        </row>
        <row r="1776">
          <cell r="E1776" t="str">
            <v>KKM/JKN/HSA/10-05-01/H/15/2444</v>
          </cell>
          <cell r="F1776" t="str">
            <v>Therapeutic</v>
          </cell>
          <cell r="G1776" t="str">
            <v>Basic</v>
          </cell>
          <cell r="H1776" t="str">
            <v>Warming Units, Patient, Forced-Air</v>
          </cell>
          <cell r="I1776" t="str">
            <v>WARMER, CONVECTIVE AIR</v>
          </cell>
          <cell r="J1776" t="str">
            <v>17-950</v>
          </cell>
          <cell r="K1776" t="str">
            <v>CARE ESSENTIAL PTE</v>
          </cell>
          <cell r="L1776" t="str">
            <v>CWS4000</v>
          </cell>
          <cell r="M1776" t="str">
            <v>CWS4-3548-15</v>
          </cell>
          <cell r="N1776" t="str">
            <v>ANESTESIOLOGI</v>
          </cell>
          <cell r="O1776" t="str">
            <v>Dewan Bedah Utama (GOT)</v>
          </cell>
          <cell r="P1776" t="str">
            <v>HM</v>
          </cell>
          <cell r="Q1776">
            <v>6560</v>
          </cell>
        </row>
        <row r="1777">
          <cell r="E1777" t="str">
            <v>KKM/JKN/HSA/10-05-01/H/15/2445</v>
          </cell>
          <cell r="F1777" t="str">
            <v>Therapeutic</v>
          </cell>
          <cell r="G1777" t="str">
            <v>Basic</v>
          </cell>
          <cell r="H1777" t="str">
            <v>Warming Units, Patient, Forced-Air</v>
          </cell>
          <cell r="I1777" t="str">
            <v>WARMER, CONVECTIVE AIR</v>
          </cell>
          <cell r="J1777" t="str">
            <v>17-950</v>
          </cell>
          <cell r="K1777" t="str">
            <v>CARE ESSENTIAL PTE</v>
          </cell>
          <cell r="L1777" t="str">
            <v>CWS4000</v>
          </cell>
          <cell r="M1777" t="str">
            <v>CWS4-2346-14</v>
          </cell>
          <cell r="N1777" t="str">
            <v>ANESTESIOLOGI</v>
          </cell>
          <cell r="O1777" t="str">
            <v>Dewan Bedah Utama (GOT)</v>
          </cell>
          <cell r="P1777" t="str">
            <v>HM</v>
          </cell>
          <cell r="Q1777">
            <v>6560</v>
          </cell>
        </row>
        <row r="1778">
          <cell r="E1778" t="str">
            <v>KKM/JKN/HSA/10-05-01/H/15/2446</v>
          </cell>
          <cell r="F1778" t="str">
            <v>Therapeutic</v>
          </cell>
          <cell r="G1778" t="str">
            <v>Basic</v>
          </cell>
          <cell r="H1778" t="str">
            <v>Warming Units, Patient, Forced-Air</v>
          </cell>
          <cell r="I1778" t="str">
            <v>WARMER, CONVECTIVE AIR</v>
          </cell>
          <cell r="J1778" t="str">
            <v>17-950</v>
          </cell>
          <cell r="K1778" t="str">
            <v>CARE ESSENTIAL PTE</v>
          </cell>
          <cell r="L1778" t="str">
            <v>CWS4000</v>
          </cell>
          <cell r="M1778" t="str">
            <v>CWS4-3547-15</v>
          </cell>
          <cell r="N1778" t="str">
            <v>ANESTESIOLOGI</v>
          </cell>
          <cell r="O1778" t="str">
            <v>Dewan Bedah Utama (GOT)</v>
          </cell>
          <cell r="P1778" t="str">
            <v>HM</v>
          </cell>
          <cell r="Q1778">
            <v>6560</v>
          </cell>
        </row>
        <row r="1779">
          <cell r="E1779" t="str">
            <v>KKM/JKN/HSA/10-05-01/H/15/2447</v>
          </cell>
          <cell r="F1779" t="str">
            <v>Therapeutic</v>
          </cell>
          <cell r="G1779" t="str">
            <v>Basic</v>
          </cell>
          <cell r="H1779" t="str">
            <v>Warming Units, Patient, Forced-Air</v>
          </cell>
          <cell r="I1779" t="str">
            <v>WARMER, CONVECTIVE AIR</v>
          </cell>
          <cell r="J1779" t="str">
            <v>17-950</v>
          </cell>
          <cell r="K1779" t="str">
            <v>CARE ESSENTIAL PTE</v>
          </cell>
          <cell r="L1779" t="str">
            <v>CWS4000</v>
          </cell>
          <cell r="M1779" t="str">
            <v>CWS4-2353-14</v>
          </cell>
          <cell r="N1779" t="str">
            <v>ANESTESIOLOGI</v>
          </cell>
          <cell r="O1779" t="str">
            <v>Dewan Bedah Utama (GOT)</v>
          </cell>
          <cell r="P1779" t="str">
            <v>HM</v>
          </cell>
          <cell r="Q1779">
            <v>6560</v>
          </cell>
        </row>
        <row r="1780">
          <cell r="E1780" t="str">
            <v>KKM/JKN/HSA/10-05-01/H/15/2448</v>
          </cell>
          <cell r="F1780" t="str">
            <v>Therapeutic</v>
          </cell>
          <cell r="G1780" t="str">
            <v>Basic</v>
          </cell>
          <cell r="H1780" t="str">
            <v>Warming Units, Patient, Forced-Air</v>
          </cell>
          <cell r="I1780" t="str">
            <v>WARMER, CONVECTIVE AIR</v>
          </cell>
          <cell r="J1780" t="str">
            <v>17-950</v>
          </cell>
          <cell r="K1780" t="str">
            <v>CARE ESSENTIAL PTE</v>
          </cell>
          <cell r="L1780" t="str">
            <v>CWS4000</v>
          </cell>
          <cell r="M1780" t="str">
            <v>CWS4-2349-14</v>
          </cell>
          <cell r="N1780" t="str">
            <v>ANESTESIOLOGI</v>
          </cell>
          <cell r="O1780" t="str">
            <v>Dewan Bedah Utama (GOT)</v>
          </cell>
          <cell r="P1780" t="str">
            <v>HM</v>
          </cell>
          <cell r="Q1780">
            <v>6560</v>
          </cell>
        </row>
        <row r="1781">
          <cell r="E1781" t="str">
            <v>KKM/JKN/HSA/10-05-01/H/15/2449</v>
          </cell>
          <cell r="F1781" t="str">
            <v>Therapeutic</v>
          </cell>
          <cell r="G1781" t="str">
            <v>Basic</v>
          </cell>
          <cell r="H1781" t="str">
            <v>Warming Units, Patient, Forced-Air</v>
          </cell>
          <cell r="I1781" t="str">
            <v>WARMER, CONVECTIVE AIR</v>
          </cell>
          <cell r="J1781" t="str">
            <v>17-950</v>
          </cell>
          <cell r="K1781" t="str">
            <v>CARE ESSENTIAL PTE</v>
          </cell>
          <cell r="L1781" t="str">
            <v>CWS4000</v>
          </cell>
          <cell r="M1781" t="str">
            <v>CWS4-3551-15</v>
          </cell>
          <cell r="N1781" t="str">
            <v>ANESTESIOLOGI</v>
          </cell>
          <cell r="O1781" t="str">
            <v>Dewan Bedah Utama (GOT)</v>
          </cell>
          <cell r="P1781" t="str">
            <v>HM</v>
          </cell>
          <cell r="Q1781">
            <v>6560</v>
          </cell>
        </row>
        <row r="1782">
          <cell r="E1782" t="str">
            <v>KKM/JKN/HSA/10-05-01/H/15/2450</v>
          </cell>
          <cell r="F1782" t="str">
            <v>Therapeutic</v>
          </cell>
          <cell r="G1782" t="str">
            <v>Basic</v>
          </cell>
          <cell r="H1782" t="str">
            <v>Warming Units, Patient, Forced-Air</v>
          </cell>
          <cell r="I1782" t="str">
            <v>WARMER, CONVECTIVE AIR</v>
          </cell>
          <cell r="J1782" t="str">
            <v>17-950</v>
          </cell>
          <cell r="K1782" t="str">
            <v>CARE ESSENTIAL PTE</v>
          </cell>
          <cell r="L1782" t="str">
            <v>CWS4000</v>
          </cell>
          <cell r="M1782"/>
          <cell r="N1782" t="str">
            <v>ANESTESIOLOGI</v>
          </cell>
          <cell r="O1782" t="str">
            <v>Dewan Bedah Utama (GOT)</v>
          </cell>
          <cell r="P1782" t="str">
            <v>HM</v>
          </cell>
          <cell r="Q1782">
            <v>6560</v>
          </cell>
        </row>
        <row r="1783">
          <cell r="E1783" t="str">
            <v>KKM/JKN/HSA/10-05-01/H/15/2451</v>
          </cell>
          <cell r="F1783" t="str">
            <v>Therapeutic</v>
          </cell>
          <cell r="G1783" t="str">
            <v>Basic</v>
          </cell>
          <cell r="H1783" t="str">
            <v>Warming Units, Patient, Forced-Air</v>
          </cell>
          <cell r="I1783" t="str">
            <v>WARMER, CONVECTIVE AIR</v>
          </cell>
          <cell r="J1783" t="str">
            <v>17-950</v>
          </cell>
          <cell r="K1783" t="str">
            <v>CARE ESSENTIAL PTE</v>
          </cell>
          <cell r="L1783" t="str">
            <v>CWS4000</v>
          </cell>
          <cell r="M1783"/>
          <cell r="N1783" t="str">
            <v>ANESTESIOLOGI</v>
          </cell>
          <cell r="O1783" t="str">
            <v>Dewan Bedah Utama (GOT)</v>
          </cell>
          <cell r="P1783" t="str">
            <v>HM</v>
          </cell>
          <cell r="Q1783">
            <v>6560</v>
          </cell>
        </row>
        <row r="1784">
          <cell r="E1784" t="str">
            <v>KKM/JKN/HSA/10-05-01/H/15/2452</v>
          </cell>
          <cell r="F1784" t="str">
            <v>Therapeutic</v>
          </cell>
          <cell r="G1784" t="str">
            <v>Basic</v>
          </cell>
          <cell r="H1784" t="str">
            <v>Warming Units, Patient, Forced-Air</v>
          </cell>
          <cell r="I1784" t="str">
            <v>WARMER, CONVECTIVE AIR</v>
          </cell>
          <cell r="J1784" t="str">
            <v>17-950</v>
          </cell>
          <cell r="K1784" t="str">
            <v>CARE ESSENTIAL PTE</v>
          </cell>
          <cell r="L1784" t="str">
            <v>CWS4000</v>
          </cell>
          <cell r="M1784"/>
          <cell r="N1784" t="str">
            <v>ANESTESIOLOGI</v>
          </cell>
          <cell r="O1784" t="str">
            <v>Dewan Bedah Utama (GOT)</v>
          </cell>
          <cell r="P1784" t="str">
            <v>HM</v>
          </cell>
          <cell r="Q1784">
            <v>6560</v>
          </cell>
        </row>
        <row r="1785">
          <cell r="E1785" t="str">
            <v>KKM/JKN/HSA/10-05-01/H/15/4265</v>
          </cell>
          <cell r="F1785" t="str">
            <v>Therapeutic</v>
          </cell>
          <cell r="G1785" t="str">
            <v>Basic</v>
          </cell>
          <cell r="H1785" t="str">
            <v>Warming Units, Blood/Solution</v>
          </cell>
          <cell r="I1785" t="str">
            <v>WARMER BLOOD DRY HEAT TYPE</v>
          </cell>
          <cell r="J1785" t="str">
            <v>10-447</v>
          </cell>
          <cell r="K1785" t="str">
            <v>BARKEY</v>
          </cell>
          <cell r="L1785" t="str">
            <v>S.LINE</v>
          </cell>
          <cell r="M1785">
            <v>1207677</v>
          </cell>
          <cell r="N1785" t="str">
            <v>ANESTESIOLOGI</v>
          </cell>
          <cell r="O1785" t="str">
            <v>Dewan Bedah Utama (GOT)</v>
          </cell>
          <cell r="P1785" t="str">
            <v>HM</v>
          </cell>
          <cell r="Q1785">
            <v>4224</v>
          </cell>
        </row>
        <row r="1786">
          <cell r="E1786" t="str">
            <v>KKM/JKN/HSA/10-05-01/H/15/4266</v>
          </cell>
          <cell r="F1786" t="str">
            <v>Therapeutic</v>
          </cell>
          <cell r="G1786" t="str">
            <v>Basic</v>
          </cell>
          <cell r="H1786" t="str">
            <v>Warming Units, Blood/Solution</v>
          </cell>
          <cell r="I1786" t="str">
            <v>WARMER BLOOD DRY HEAT TYPE</v>
          </cell>
          <cell r="J1786" t="str">
            <v>10-447</v>
          </cell>
          <cell r="K1786" t="str">
            <v>BARKEY</v>
          </cell>
          <cell r="L1786" t="str">
            <v>S.LINE</v>
          </cell>
          <cell r="M1786">
            <v>1207679</v>
          </cell>
          <cell r="N1786" t="str">
            <v>ANESTESIOLOGI</v>
          </cell>
          <cell r="O1786" t="str">
            <v>Dewan Bedah Utama (GOT)</v>
          </cell>
          <cell r="P1786" t="str">
            <v>HM</v>
          </cell>
          <cell r="Q1786">
            <v>4224</v>
          </cell>
        </row>
        <row r="1787">
          <cell r="E1787" t="str">
            <v>KKM/JKN/HSA/10-05-01/H/15/4267</v>
          </cell>
          <cell r="F1787" t="str">
            <v>Therapeutic</v>
          </cell>
          <cell r="G1787" t="str">
            <v>Basic</v>
          </cell>
          <cell r="H1787" t="str">
            <v>Warming Units, Blood/Solution</v>
          </cell>
          <cell r="I1787" t="str">
            <v>WARMER BLOOD DRY HEAT TYPE</v>
          </cell>
          <cell r="J1787" t="str">
            <v>10-447</v>
          </cell>
          <cell r="K1787" t="str">
            <v>BARKEY</v>
          </cell>
          <cell r="L1787" t="str">
            <v>S.LINE</v>
          </cell>
          <cell r="M1787">
            <v>1207685</v>
          </cell>
          <cell r="N1787" t="str">
            <v>ANESTESIOLOGI</v>
          </cell>
          <cell r="O1787" t="str">
            <v>Dewan Bedah Utama (GOT)</v>
          </cell>
          <cell r="P1787" t="str">
            <v>HM</v>
          </cell>
          <cell r="Q1787">
            <v>4224</v>
          </cell>
        </row>
        <row r="1788">
          <cell r="E1788" t="str">
            <v>KKM/JKN/HSA/10-05-01/H/15/4268</v>
          </cell>
          <cell r="F1788" t="str">
            <v>Therapeutic</v>
          </cell>
          <cell r="G1788" t="str">
            <v>Basic</v>
          </cell>
          <cell r="H1788" t="str">
            <v>Warming Units, Blood/Solution</v>
          </cell>
          <cell r="I1788" t="str">
            <v>WARMER BLOOD DRY HEAT TYPE</v>
          </cell>
          <cell r="J1788" t="str">
            <v>10-447</v>
          </cell>
          <cell r="K1788" t="str">
            <v>BARKEY</v>
          </cell>
          <cell r="L1788" t="str">
            <v>S.LINE</v>
          </cell>
          <cell r="M1788">
            <v>1207668</v>
          </cell>
          <cell r="N1788" t="str">
            <v>ANESTESIOLOGI</v>
          </cell>
          <cell r="O1788" t="str">
            <v>Dewan Bedah Utama (GOT)</v>
          </cell>
          <cell r="P1788" t="str">
            <v>HM</v>
          </cell>
          <cell r="Q1788">
            <v>4224</v>
          </cell>
        </row>
        <row r="1789">
          <cell r="E1789" t="str">
            <v>KKM/JKN/HSA/10-05-01/H/15/4269</v>
          </cell>
          <cell r="F1789" t="str">
            <v>Therapeutic</v>
          </cell>
          <cell r="G1789" t="str">
            <v>Basic</v>
          </cell>
          <cell r="H1789" t="str">
            <v>Warming Units, Blood/Solution</v>
          </cell>
          <cell r="I1789" t="str">
            <v>WARMER BLOOD DRY HEAT TYPE</v>
          </cell>
          <cell r="J1789" t="str">
            <v>10-447</v>
          </cell>
          <cell r="K1789" t="str">
            <v>BARKEY</v>
          </cell>
          <cell r="L1789" t="str">
            <v>S.LINE</v>
          </cell>
          <cell r="M1789">
            <v>1207690</v>
          </cell>
          <cell r="N1789" t="str">
            <v>ANESTESIOLOGI</v>
          </cell>
          <cell r="O1789" t="str">
            <v>Dewan Bedah Utama (GOT)</v>
          </cell>
          <cell r="P1789" t="str">
            <v>HM</v>
          </cell>
          <cell r="Q1789">
            <v>4224</v>
          </cell>
        </row>
        <row r="1790">
          <cell r="E1790" t="str">
            <v>KKM/JKN/HSA/10-05-01/H/15/4272</v>
          </cell>
          <cell r="F1790" t="str">
            <v>Therapeutic</v>
          </cell>
          <cell r="G1790" t="str">
            <v>Basic</v>
          </cell>
          <cell r="H1790" t="str">
            <v>Warming Units, Blood/Solution</v>
          </cell>
          <cell r="I1790" t="str">
            <v>WARMER BLOOD DRY HEAT TYPE</v>
          </cell>
          <cell r="J1790" t="str">
            <v>10-447</v>
          </cell>
          <cell r="K1790" t="str">
            <v>BARKEY</v>
          </cell>
          <cell r="L1790" t="str">
            <v>S.LINE</v>
          </cell>
          <cell r="M1790">
            <v>1207710</v>
          </cell>
          <cell r="N1790" t="str">
            <v>ANESTESIOLOGI</v>
          </cell>
          <cell r="O1790" t="str">
            <v>Dewan Bedah Utama (GOT)</v>
          </cell>
          <cell r="P1790" t="str">
            <v>HM</v>
          </cell>
          <cell r="Q1790">
            <v>4224</v>
          </cell>
        </row>
        <row r="1791">
          <cell r="E1791" t="str">
            <v>KKM/JKN/HSA/10-05-01/H/15/4273</v>
          </cell>
          <cell r="F1791" t="str">
            <v>Therapeutic</v>
          </cell>
          <cell r="G1791" t="str">
            <v>Basic</v>
          </cell>
          <cell r="H1791" t="str">
            <v>Warming Units, Blood/Solution</v>
          </cell>
          <cell r="I1791" t="str">
            <v>WARMER BLOOD DRY HEAT TYPE</v>
          </cell>
          <cell r="J1791" t="str">
            <v>10-447</v>
          </cell>
          <cell r="K1791" t="str">
            <v>BARKEY</v>
          </cell>
          <cell r="L1791" t="str">
            <v>S.LINE</v>
          </cell>
          <cell r="M1791">
            <v>1207673</v>
          </cell>
          <cell r="N1791" t="str">
            <v>ANESTESIOLOGI</v>
          </cell>
          <cell r="O1791" t="str">
            <v>Dewan Bedah Utama (GOT)</v>
          </cell>
          <cell r="P1791" t="str">
            <v>HM</v>
          </cell>
          <cell r="Q1791">
            <v>4224</v>
          </cell>
        </row>
        <row r="1792">
          <cell r="E1792" t="str">
            <v>KKM/JKN/HSA/10-05-01/H/15/5058</v>
          </cell>
          <cell r="F1792" t="str">
            <v>Therapeutic</v>
          </cell>
          <cell r="G1792" t="str">
            <v>High</v>
          </cell>
          <cell r="H1792"/>
          <cell r="I1792" t="str">
            <v>VITRECTOMY MICRO UNIT ANT/P0ST</v>
          </cell>
          <cell r="J1792" t="str">
            <v>17-596</v>
          </cell>
          <cell r="K1792" t="str">
            <v>BAUSCH LOMB</v>
          </cell>
          <cell r="L1792" t="str">
            <v>STELLARIS PC</v>
          </cell>
          <cell r="M1792" t="str">
            <v>SPC 01868</v>
          </cell>
          <cell r="N1792" t="str">
            <v>OFTALMOLOGI</v>
          </cell>
          <cell r="O1792" t="str">
            <v>Dewan Bedah Utama (GOT)</v>
          </cell>
          <cell r="P1792" t="str">
            <v>HM</v>
          </cell>
          <cell r="Q1792">
            <v>283400</v>
          </cell>
        </row>
        <row r="1793">
          <cell r="E1793" t="str">
            <v>KKM/JKN/HSA/10-05-01/R/15/17355</v>
          </cell>
          <cell r="F1793" t="str">
            <v xml:space="preserve">Diagnostic </v>
          </cell>
          <cell r="G1793" t="str">
            <v>Basic</v>
          </cell>
          <cell r="H1793" t="str">
            <v>Recorders, Tape, Video</v>
          </cell>
          <cell r="I1793" t="str">
            <v>VIDEO RECORDER</v>
          </cell>
          <cell r="J1793" t="str">
            <v>13-274</v>
          </cell>
          <cell r="K1793" t="str">
            <v>PANASONIC</v>
          </cell>
          <cell r="L1793" t="str">
            <v>DMR-EH59</v>
          </cell>
          <cell r="M1793" t="str">
            <v>VN4HC001029</v>
          </cell>
          <cell r="N1793"/>
          <cell r="O1793" t="str">
            <v>Dewan Bedah Utama (GOT)</v>
          </cell>
          <cell r="P1793" t="str">
            <v>ABR</v>
          </cell>
          <cell r="Q1793">
            <v>1380</v>
          </cell>
        </row>
        <row r="1794">
          <cell r="E1794" t="str">
            <v>KKM/JKN/HSA/10-05-01/R/15/17356</v>
          </cell>
          <cell r="F1794" t="str">
            <v xml:space="preserve">Diagnostic </v>
          </cell>
          <cell r="G1794" t="str">
            <v>Basic</v>
          </cell>
          <cell r="H1794" t="str">
            <v>Recorders, Tape, Video</v>
          </cell>
          <cell r="I1794" t="str">
            <v>VIDEO RECORDER</v>
          </cell>
          <cell r="J1794" t="str">
            <v>13-274</v>
          </cell>
          <cell r="K1794" t="str">
            <v>PANASONIC</v>
          </cell>
          <cell r="L1794" t="str">
            <v>DMR-EH59</v>
          </cell>
          <cell r="M1794" t="str">
            <v>VN4HC001018</v>
          </cell>
          <cell r="N1794"/>
          <cell r="O1794" t="str">
            <v>Dewan Bedah Utama (GOT)</v>
          </cell>
          <cell r="P1794" t="str">
            <v>ABR</v>
          </cell>
          <cell r="Q1794">
            <v>1380</v>
          </cell>
        </row>
        <row r="1795">
          <cell r="E1795" t="str">
            <v>KKM/JKN/HSA/10-05-01/R/15/17357</v>
          </cell>
          <cell r="F1795" t="str">
            <v xml:space="preserve">Diagnostic </v>
          </cell>
          <cell r="G1795" t="str">
            <v>Basic</v>
          </cell>
          <cell r="H1795" t="str">
            <v>Recorders, Tape, Video</v>
          </cell>
          <cell r="I1795" t="str">
            <v>VIDEO RECORDER</v>
          </cell>
          <cell r="J1795" t="str">
            <v>13-274</v>
          </cell>
          <cell r="K1795" t="str">
            <v>PANASONIC</v>
          </cell>
          <cell r="L1795" t="str">
            <v>DMR-EH59</v>
          </cell>
          <cell r="M1795" t="str">
            <v>VN4HC001015</v>
          </cell>
          <cell r="N1795"/>
          <cell r="O1795" t="str">
            <v>Dewan Bedah Utama (GOT)</v>
          </cell>
          <cell r="P1795" t="str">
            <v>ABR</v>
          </cell>
          <cell r="Q1795">
            <v>1380</v>
          </cell>
        </row>
        <row r="1796">
          <cell r="E1796" t="str">
            <v>KKM/JKN/HSA/10-05-01/H/15/307</v>
          </cell>
          <cell r="F1796" t="str">
            <v>Therapeutic</v>
          </cell>
          <cell r="G1796" t="str">
            <v>Intermediate</v>
          </cell>
          <cell r="H1796" t="str">
            <v>Ventilators, TransP0rt</v>
          </cell>
          <cell r="I1796" t="str">
            <v>VENTILATOR P0RTABLE (ADULT/PAED)</v>
          </cell>
          <cell r="J1796" t="str">
            <v>18-098</v>
          </cell>
          <cell r="K1796" t="str">
            <v>DRAEGER</v>
          </cell>
          <cell r="L1796" t="str">
            <v>OXYLOG 3000 PLUS</v>
          </cell>
          <cell r="M1796" t="str">
            <v>ASEJ-0133</v>
          </cell>
          <cell r="N1796" t="str">
            <v>ANESTESIOLOGI</v>
          </cell>
          <cell r="O1796" t="str">
            <v>Dewan Bedah Utama (GOT)</v>
          </cell>
          <cell r="P1796" t="str">
            <v>HM</v>
          </cell>
          <cell r="Q1796">
            <v>40000</v>
          </cell>
        </row>
        <row r="1797">
          <cell r="E1797" t="str">
            <v>KKM/JKN/HSA/10-05-01/H/15/5109</v>
          </cell>
          <cell r="F1797" t="str">
            <v>Therapeutic</v>
          </cell>
          <cell r="G1797" t="str">
            <v>Basic</v>
          </cell>
          <cell r="H1797" t="str">
            <v>Tourniquets, Pneumatic</v>
          </cell>
          <cell r="I1797" t="str">
            <v>TOURNIQUET PNEUMATIC ONE CUFF</v>
          </cell>
          <cell r="J1797" t="str">
            <v>14-074</v>
          </cell>
          <cell r="K1797" t="str">
            <v>ZIMMER</v>
          </cell>
          <cell r="L1797" t="str">
            <v>ATS4000TS</v>
          </cell>
          <cell r="M1797" t="str">
            <v>401506200018</v>
          </cell>
          <cell r="N1797" t="str">
            <v>ANESTESIOLOGI</v>
          </cell>
          <cell r="O1797" t="str">
            <v>Dewan Bedah Utama (GOT)</v>
          </cell>
          <cell r="P1797" t="str">
            <v>HM</v>
          </cell>
          <cell r="Q1797">
            <v>11396</v>
          </cell>
        </row>
        <row r="1798">
          <cell r="E1798" t="str">
            <v>KKM/JKN/HSA/10-05-01/H/15/5110</v>
          </cell>
          <cell r="F1798" t="str">
            <v>Therapeutic</v>
          </cell>
          <cell r="G1798" t="str">
            <v>Basic</v>
          </cell>
          <cell r="H1798" t="str">
            <v>Tourniquets, Pneumatic</v>
          </cell>
          <cell r="I1798" t="str">
            <v>TOURNIQUET PNEUMATIC ONE CUFF</v>
          </cell>
          <cell r="J1798" t="str">
            <v>14-074</v>
          </cell>
          <cell r="K1798" t="str">
            <v>ZIMMER</v>
          </cell>
          <cell r="L1798" t="str">
            <v>ATS4000TS</v>
          </cell>
          <cell r="M1798" t="str">
            <v>401506200016</v>
          </cell>
          <cell r="N1798" t="str">
            <v>ANESTESIOLOGI</v>
          </cell>
          <cell r="O1798" t="str">
            <v>Dewan Bedah Utama (GOT)</v>
          </cell>
          <cell r="P1798" t="str">
            <v>HM</v>
          </cell>
          <cell r="Q1798">
            <v>11396</v>
          </cell>
        </row>
        <row r="1799">
          <cell r="E1799" t="str">
            <v>KKM/JKN/HSA/10-05-01/H/15/5111</v>
          </cell>
          <cell r="F1799" t="str">
            <v>Therapeutic</v>
          </cell>
          <cell r="G1799" t="str">
            <v>Basic</v>
          </cell>
          <cell r="H1799" t="str">
            <v>Tourniquets, Pneumatic</v>
          </cell>
          <cell r="I1799" t="str">
            <v>TOURNIQUET PNEUMATIC ONE CUFF</v>
          </cell>
          <cell r="J1799" t="str">
            <v>14-074</v>
          </cell>
          <cell r="K1799" t="str">
            <v>ZIMMER</v>
          </cell>
          <cell r="L1799" t="str">
            <v>ATS4000TS</v>
          </cell>
          <cell r="M1799" t="str">
            <v>401506200015</v>
          </cell>
          <cell r="N1799" t="str">
            <v>ANESTESIOLOGI</v>
          </cell>
          <cell r="O1799" t="str">
            <v>Dewan Bedah Utama (GOT)</v>
          </cell>
          <cell r="P1799" t="str">
            <v>HM</v>
          </cell>
          <cell r="Q1799">
            <v>11396</v>
          </cell>
        </row>
        <row r="1800">
          <cell r="E1800" t="str">
            <v>KKM/JKN/HSA/10-05-01/H/15/2414</v>
          </cell>
          <cell r="F1800" t="str">
            <v>Therapeutic</v>
          </cell>
          <cell r="G1800" t="str">
            <v>Basic</v>
          </cell>
          <cell r="H1800" t="str">
            <v>Tables, Operating</v>
          </cell>
          <cell r="I1800" t="str">
            <v>TABLE OPERATING, W/ ACC. , MAJOR GENERAL, ELECTRIC</v>
          </cell>
          <cell r="J1800" t="str">
            <v>13-961</v>
          </cell>
          <cell r="K1800" t="str">
            <v>TRUMPF</v>
          </cell>
          <cell r="L1800" t="str">
            <v>MARS.2.02</v>
          </cell>
          <cell r="M1800">
            <v>102071009</v>
          </cell>
          <cell r="N1800" t="str">
            <v>OT</v>
          </cell>
          <cell r="O1800" t="str">
            <v>Dewan Bedah Utama (GOT)</v>
          </cell>
          <cell r="P1800" t="str">
            <v>HM</v>
          </cell>
          <cell r="Q1800">
            <v>124595</v>
          </cell>
        </row>
        <row r="1801">
          <cell r="E1801" t="str">
            <v>KKM/JKN/HSA/10-05-01/H/15/2415</v>
          </cell>
          <cell r="F1801" t="str">
            <v>Therapeutic</v>
          </cell>
          <cell r="G1801" t="str">
            <v>Basic</v>
          </cell>
          <cell r="H1801" t="str">
            <v>Tables, Operating</v>
          </cell>
          <cell r="I1801" t="str">
            <v>TABLE OPERATING, W/ ACC. , MAJOR GENERAL, ELECTRIC</v>
          </cell>
          <cell r="J1801" t="str">
            <v>13-961</v>
          </cell>
          <cell r="K1801" t="str">
            <v>TRUMPF</v>
          </cell>
          <cell r="L1801" t="str">
            <v>MARS.2.02</v>
          </cell>
          <cell r="M1801">
            <v>102071013</v>
          </cell>
          <cell r="N1801" t="str">
            <v>OT</v>
          </cell>
          <cell r="O1801" t="str">
            <v>Dewan Bedah Utama (GOT)</v>
          </cell>
          <cell r="P1801" t="str">
            <v>HM</v>
          </cell>
          <cell r="Q1801">
            <v>124595</v>
          </cell>
        </row>
        <row r="1802">
          <cell r="E1802" t="str">
            <v>KKM/JKN/HSA/10-05-01/H/15/2416</v>
          </cell>
          <cell r="F1802" t="str">
            <v>Therapeutic</v>
          </cell>
          <cell r="G1802" t="str">
            <v>Basic</v>
          </cell>
          <cell r="H1802" t="str">
            <v>Tables, Operating</v>
          </cell>
          <cell r="I1802" t="str">
            <v>TABLE OPERATING, W/ ACC. , MAJOR GENERAL, ELECTRIC</v>
          </cell>
          <cell r="J1802" t="str">
            <v>13-961</v>
          </cell>
          <cell r="K1802" t="str">
            <v>TRUMPF</v>
          </cell>
          <cell r="L1802" t="str">
            <v>MARS.2.02</v>
          </cell>
          <cell r="M1802">
            <v>102071011</v>
          </cell>
          <cell r="N1802" t="str">
            <v>OT</v>
          </cell>
          <cell r="O1802" t="str">
            <v>Dewan Bedah Utama (GOT)</v>
          </cell>
          <cell r="P1802" t="str">
            <v>HM</v>
          </cell>
          <cell r="Q1802">
            <v>124595</v>
          </cell>
        </row>
        <row r="1803">
          <cell r="E1803" t="str">
            <v>KKM/JKN/HSA/10-05-01/H/15/2417</v>
          </cell>
          <cell r="F1803" t="str">
            <v>Therapeutic</v>
          </cell>
          <cell r="G1803" t="str">
            <v>Basic</v>
          </cell>
          <cell r="H1803" t="str">
            <v>Tables, Operating</v>
          </cell>
          <cell r="I1803" t="str">
            <v>TABLE OPERATING, W/ ACC. , MAJOR GENERAL, ELECTRIC</v>
          </cell>
          <cell r="J1803" t="str">
            <v>13-961</v>
          </cell>
          <cell r="K1803" t="str">
            <v>TRUMPF</v>
          </cell>
          <cell r="L1803" t="str">
            <v>MARS.2.02</v>
          </cell>
          <cell r="M1803">
            <v>102089726</v>
          </cell>
          <cell r="N1803" t="str">
            <v>OT</v>
          </cell>
          <cell r="O1803" t="str">
            <v>Dewan Bedah Utama (GOT)</v>
          </cell>
          <cell r="P1803" t="str">
            <v>HM</v>
          </cell>
          <cell r="Q1803">
            <v>124595</v>
          </cell>
        </row>
        <row r="1804">
          <cell r="E1804" t="str">
            <v>KKM/JKN/HSA/10-05-01/H/15/2413</v>
          </cell>
          <cell r="F1804" t="str">
            <v>Therapeutic</v>
          </cell>
          <cell r="G1804" t="str">
            <v>Basic</v>
          </cell>
          <cell r="H1804" t="str">
            <v>Tables, Operating</v>
          </cell>
          <cell r="I1804" t="str">
            <v>TABLE OPERATING, W/ ACC.  , OPHTHALM., ELECTRIC</v>
          </cell>
          <cell r="J1804" t="str">
            <v>13-961</v>
          </cell>
          <cell r="K1804" t="str">
            <v>TRUMPF</v>
          </cell>
          <cell r="L1804" t="str">
            <v>MARS.2.02</v>
          </cell>
          <cell r="M1804">
            <v>102089729</v>
          </cell>
          <cell r="N1804" t="str">
            <v>OT</v>
          </cell>
          <cell r="O1804" t="str">
            <v>Dewan Bedah Utama (GOT)</v>
          </cell>
          <cell r="P1804" t="str">
            <v>HM</v>
          </cell>
          <cell r="Q1804">
            <v>106531</v>
          </cell>
        </row>
        <row r="1805">
          <cell r="E1805" t="str">
            <v>KKM/JKN/HSA/10-05-01/H/15/2418</v>
          </cell>
          <cell r="F1805" t="str">
            <v>Therapeutic</v>
          </cell>
          <cell r="G1805" t="str">
            <v>Basic</v>
          </cell>
          <cell r="H1805" t="str">
            <v>Tables, Operating</v>
          </cell>
          <cell r="I1805" t="str">
            <v>TABLE OPERATING, W/ ACC.  , ENT., ELECTRIC</v>
          </cell>
          <cell r="J1805" t="str">
            <v>13-961</v>
          </cell>
          <cell r="K1805" t="str">
            <v>TRUMPF</v>
          </cell>
          <cell r="L1805" t="str">
            <v>MARS.2.02</v>
          </cell>
          <cell r="M1805">
            <v>102079725</v>
          </cell>
          <cell r="N1805" t="str">
            <v>OT</v>
          </cell>
          <cell r="O1805" t="str">
            <v>Dewan Bedah Utama (GOT)</v>
          </cell>
          <cell r="P1805" t="str">
            <v>HM</v>
          </cell>
          <cell r="Q1805">
            <v>110545</v>
          </cell>
        </row>
        <row r="1806">
          <cell r="E1806" t="str">
            <v>KKM/JKN/HSA/10-05-01/H/15/1277</v>
          </cell>
          <cell r="F1806" t="str">
            <v>Therapeutic</v>
          </cell>
          <cell r="G1806" t="str">
            <v>Basic</v>
          </cell>
          <cell r="H1806" t="str">
            <v>Tables, Operating</v>
          </cell>
          <cell r="I1806" t="str">
            <v>TABLE OPERATING , W/ ACC. ,  ORTHOPAEDIC, ELECTRIC</v>
          </cell>
          <cell r="J1806" t="str">
            <v>13-961</v>
          </cell>
          <cell r="K1806" t="str">
            <v>TRUMPF</v>
          </cell>
          <cell r="L1806" t="str">
            <v>MARS.2.02</v>
          </cell>
          <cell r="M1806">
            <v>102116106</v>
          </cell>
          <cell r="N1806" t="str">
            <v>OT</v>
          </cell>
          <cell r="O1806" t="str">
            <v>Dewan Bedah Utama (GOT)</v>
          </cell>
          <cell r="P1806" t="str">
            <v>HM</v>
          </cell>
          <cell r="Q1806">
            <v>141381</v>
          </cell>
        </row>
        <row r="1807">
          <cell r="E1807" t="str">
            <v>KKM/JKN/HSA/10-05-01/H/15/1278</v>
          </cell>
          <cell r="F1807" t="str">
            <v>Therapeutic</v>
          </cell>
          <cell r="G1807" t="str">
            <v>Basic</v>
          </cell>
          <cell r="H1807" t="str">
            <v>Tables, Operating</v>
          </cell>
          <cell r="I1807" t="str">
            <v>TABLE OPERATING , W/ ACC. ,  ORTHOPAEDIC, ELECTRIC</v>
          </cell>
          <cell r="J1807" t="str">
            <v>13-961</v>
          </cell>
          <cell r="K1807" t="str">
            <v>TRUMPF</v>
          </cell>
          <cell r="L1807" t="str">
            <v>MARS.2.02</v>
          </cell>
          <cell r="M1807">
            <v>102107279</v>
          </cell>
          <cell r="N1807" t="str">
            <v>OT</v>
          </cell>
          <cell r="O1807" t="str">
            <v>Dewan Bedah Utama (GOT)</v>
          </cell>
          <cell r="P1807" t="str">
            <v>HM</v>
          </cell>
          <cell r="Q1807">
            <v>141381</v>
          </cell>
        </row>
        <row r="1808">
          <cell r="E1808" t="str">
            <v>KKM/JKN/HSA/10-05-01/R/15/7337</v>
          </cell>
          <cell r="F1808" t="str">
            <v>Therapeutic</v>
          </cell>
          <cell r="G1808" t="str">
            <v>Basic</v>
          </cell>
          <cell r="H1808" t="str">
            <v>Aspirators, Surgical</v>
          </cell>
          <cell r="I1808" t="str">
            <v>SUCTION UNIT TWIN JAR PIPELINE</v>
          </cell>
          <cell r="J1808" t="str">
            <v xml:space="preserve">
10-217</v>
          </cell>
          <cell r="K1808" t="str">
            <v>CLEMENTS MEDICAL EQUIP</v>
          </cell>
          <cell r="L1808" t="str">
            <v xml:space="preserve"> SUC89240</v>
          </cell>
          <cell r="M1808"/>
          <cell r="N1808" t="str">
            <v>ANESTESIOLOGI</v>
          </cell>
          <cell r="O1808" t="str">
            <v>Dewan Bedah Utama (GOT)</v>
          </cell>
          <cell r="P1808" t="str">
            <v>ABR</v>
          </cell>
          <cell r="Q1808">
            <v>1475</v>
          </cell>
        </row>
        <row r="1809">
          <cell r="E1809" t="str">
            <v>KKM/JKN/HSA/10-05-01/R/15/7338</v>
          </cell>
          <cell r="F1809" t="str">
            <v>Therapeutic</v>
          </cell>
          <cell r="G1809" t="str">
            <v>Basic</v>
          </cell>
          <cell r="H1809" t="str">
            <v>Aspirators, Surgical</v>
          </cell>
          <cell r="I1809" t="str">
            <v>SUCTION UNIT TWIN JAR PIPELINE</v>
          </cell>
          <cell r="J1809" t="str">
            <v xml:space="preserve">
10-217</v>
          </cell>
          <cell r="K1809" t="str">
            <v>CLEMENTS MEDICAL EQUIP</v>
          </cell>
          <cell r="L1809" t="str">
            <v xml:space="preserve"> SUC89240</v>
          </cell>
          <cell r="M1809"/>
          <cell r="N1809" t="str">
            <v>ANESTESIOLOGI</v>
          </cell>
          <cell r="O1809" t="str">
            <v>Dewan Bedah Utama (GOT)</v>
          </cell>
          <cell r="P1809" t="str">
            <v>ABR</v>
          </cell>
          <cell r="Q1809">
            <v>1475</v>
          </cell>
        </row>
        <row r="1810">
          <cell r="E1810" t="str">
            <v>KKM/JKN/HSA/10-05-01/R/15/7340</v>
          </cell>
          <cell r="F1810" t="str">
            <v>Therapeutic</v>
          </cell>
          <cell r="G1810" t="str">
            <v>Basic</v>
          </cell>
          <cell r="H1810" t="str">
            <v>Aspirators, Surgical</v>
          </cell>
          <cell r="I1810" t="str">
            <v>SUCTION UNIT TWIN JAR PIPELINE</v>
          </cell>
          <cell r="J1810" t="str">
            <v xml:space="preserve">
10-217</v>
          </cell>
          <cell r="K1810" t="str">
            <v>CLEMENTS MEDICAL EQUIP</v>
          </cell>
          <cell r="L1810" t="str">
            <v xml:space="preserve"> SUC89240</v>
          </cell>
          <cell r="M1810"/>
          <cell r="N1810" t="str">
            <v>ANESTESIOLOGI</v>
          </cell>
          <cell r="O1810" t="str">
            <v>Dewan Bedah Utama (GOT)</v>
          </cell>
          <cell r="P1810" t="str">
            <v>ABR</v>
          </cell>
          <cell r="Q1810">
            <v>1475</v>
          </cell>
        </row>
        <row r="1811">
          <cell r="E1811" t="str">
            <v>KKM/JKN/HSA/10-05-01/R/15/7341</v>
          </cell>
          <cell r="F1811" t="str">
            <v>Therapeutic</v>
          </cell>
          <cell r="G1811" t="str">
            <v>Basic</v>
          </cell>
          <cell r="H1811" t="str">
            <v>Aspirators, Surgical</v>
          </cell>
          <cell r="I1811" t="str">
            <v>SUCTION UNIT TWIN JAR PIPELINE</v>
          </cell>
          <cell r="J1811" t="str">
            <v xml:space="preserve">
10-217</v>
          </cell>
          <cell r="K1811" t="str">
            <v>CLEMENTS MEDICAL EQUIP</v>
          </cell>
          <cell r="L1811" t="str">
            <v xml:space="preserve"> SUC89240</v>
          </cell>
          <cell r="M1811"/>
          <cell r="N1811" t="str">
            <v>ANESTESIOLOGI</v>
          </cell>
          <cell r="O1811" t="str">
            <v>Dewan Bedah Utama (GOT)</v>
          </cell>
          <cell r="P1811" t="str">
            <v>ABR</v>
          </cell>
          <cell r="Q1811">
            <v>1475</v>
          </cell>
        </row>
        <row r="1812">
          <cell r="E1812" t="str">
            <v>KKM/JKN/HSA/10-05-01/H/15/1093</v>
          </cell>
          <cell r="F1812" t="str">
            <v>Therapeutic</v>
          </cell>
          <cell r="G1812" t="str">
            <v>Basic</v>
          </cell>
          <cell r="H1812" t="str">
            <v>Aspirators, Surgical</v>
          </cell>
          <cell r="I1812" t="str">
            <v>SUCTION UNIT FOR FLEXIBLE SCOPES</v>
          </cell>
          <cell r="J1812" t="str">
            <v xml:space="preserve">
10-217</v>
          </cell>
          <cell r="K1812" t="str">
            <v>OLYMPUS</v>
          </cell>
          <cell r="L1812" t="str">
            <v>SSU-2</v>
          </cell>
          <cell r="M1812">
            <v>21423615</v>
          </cell>
          <cell r="N1812" t="str">
            <v>ANESTESIOLOGI</v>
          </cell>
          <cell r="O1812" t="str">
            <v>Dewan Bedah Utama (GOT)</v>
          </cell>
          <cell r="P1812" t="str">
            <v>HM</v>
          </cell>
          <cell r="Q1812">
            <v>2430</v>
          </cell>
        </row>
        <row r="1813">
          <cell r="E1813" t="str">
            <v>KKM/JKN/HSA/10-05-01/H/15/1130</v>
          </cell>
          <cell r="F1813" t="str">
            <v>Therapeutic</v>
          </cell>
          <cell r="G1813" t="str">
            <v>Basic</v>
          </cell>
          <cell r="H1813" t="str">
            <v>Aspirators</v>
          </cell>
          <cell r="I1813" t="str">
            <v>SUCTION UNIT 2 X 2L JAR MOBILE</v>
          </cell>
          <cell r="J1813" t="str">
            <v>10-208</v>
          </cell>
          <cell r="K1813" t="str">
            <v>ALLIED HEALTHCARE</v>
          </cell>
          <cell r="L1813" t="str">
            <v>GOMCO/ 01-23-3840</v>
          </cell>
          <cell r="M1813" t="str">
            <v>GFHU60061</v>
          </cell>
          <cell r="N1813" t="str">
            <v>ANESTESIOLOGI</v>
          </cell>
          <cell r="O1813" t="str">
            <v>Dewan Bedah Utama (GOT)</v>
          </cell>
          <cell r="P1813" t="str">
            <v>HM</v>
          </cell>
          <cell r="Q1813">
            <v>12150</v>
          </cell>
        </row>
        <row r="1814">
          <cell r="E1814" t="str">
            <v>KKM/JKN/HSA/10-05-01/H/15/1131</v>
          </cell>
          <cell r="F1814" t="str">
            <v>Therapeutic</v>
          </cell>
          <cell r="G1814" t="str">
            <v>Basic</v>
          </cell>
          <cell r="H1814" t="str">
            <v>Aspirators</v>
          </cell>
          <cell r="I1814" t="str">
            <v>SUCTION UNIT 2 X 2L JAR MOBILE</v>
          </cell>
          <cell r="J1814" t="str">
            <v>10-208</v>
          </cell>
          <cell r="K1814" t="str">
            <v>ALLIED HEALTHCARE</v>
          </cell>
          <cell r="L1814" t="str">
            <v>GOMCO/ 01-23-3840</v>
          </cell>
          <cell r="M1814" t="str">
            <v>GFHT60017</v>
          </cell>
          <cell r="N1814" t="str">
            <v>ANESTESIOLOGI</v>
          </cell>
          <cell r="O1814" t="str">
            <v>Dewan Bedah Utama (GOT)</v>
          </cell>
          <cell r="P1814" t="str">
            <v>HM</v>
          </cell>
          <cell r="Q1814">
            <v>12150</v>
          </cell>
        </row>
        <row r="1815">
          <cell r="E1815" t="str">
            <v>KKM/JKN/HSA/10-05-01/H/15/1132</v>
          </cell>
          <cell r="F1815" t="str">
            <v>Therapeutic</v>
          </cell>
          <cell r="G1815" t="str">
            <v>Basic</v>
          </cell>
          <cell r="H1815" t="str">
            <v>Aspirators</v>
          </cell>
          <cell r="I1815" t="str">
            <v>SUCTION UNIT 2 X 2L JAR MOBILE</v>
          </cell>
          <cell r="J1815" t="str">
            <v>10-208</v>
          </cell>
          <cell r="K1815" t="str">
            <v>ALLIED HEALTHCARE</v>
          </cell>
          <cell r="L1815" t="str">
            <v>GOMCO/ 01-23-3840</v>
          </cell>
          <cell r="M1815" t="str">
            <v>GFHU60074</v>
          </cell>
          <cell r="N1815" t="str">
            <v>ANESTESIOLOGI</v>
          </cell>
          <cell r="O1815" t="str">
            <v>Dewan Bedah Utama (GOT)</v>
          </cell>
          <cell r="P1815" t="str">
            <v>HM</v>
          </cell>
          <cell r="Q1815">
            <v>12150</v>
          </cell>
        </row>
        <row r="1816">
          <cell r="E1816" t="str">
            <v>KKM/JKN/HSA/10-05-01/H/15/1134</v>
          </cell>
          <cell r="F1816" t="str">
            <v>Therapeutic</v>
          </cell>
          <cell r="G1816" t="str">
            <v>Basic</v>
          </cell>
          <cell r="H1816" t="str">
            <v>Aspirators</v>
          </cell>
          <cell r="I1816" t="str">
            <v>SUCTION UNIT 2 X 2L JAR MOBILE</v>
          </cell>
          <cell r="J1816" t="str">
            <v>10-208</v>
          </cell>
          <cell r="K1816" t="str">
            <v>ALLIED HEALTHCARE</v>
          </cell>
          <cell r="L1816" t="str">
            <v>GOMCO/ 01-23-3840</v>
          </cell>
          <cell r="M1816" t="str">
            <v>GFHU60079</v>
          </cell>
          <cell r="N1816" t="str">
            <v>ANESTESIOLOGI</v>
          </cell>
          <cell r="O1816" t="str">
            <v>Dewan Bedah Utama (GOT)</v>
          </cell>
          <cell r="P1816" t="str">
            <v>HM</v>
          </cell>
          <cell r="Q1816">
            <v>12150</v>
          </cell>
        </row>
        <row r="1817">
          <cell r="E1817" t="str">
            <v>KKM/JKN/HSA/10-05-01/H/15/1135</v>
          </cell>
          <cell r="F1817" t="str">
            <v>Therapeutic</v>
          </cell>
          <cell r="G1817" t="str">
            <v>Basic</v>
          </cell>
          <cell r="H1817" t="str">
            <v>Aspirators</v>
          </cell>
          <cell r="I1817" t="str">
            <v>SUCTION UNIT 2 X 2L JAR MOBILE</v>
          </cell>
          <cell r="J1817" t="str">
            <v>10-208</v>
          </cell>
          <cell r="K1817" t="str">
            <v>ALLIED HEALTHCARE</v>
          </cell>
          <cell r="L1817" t="str">
            <v>GOMCO/ 01-23-3840</v>
          </cell>
          <cell r="M1817" t="str">
            <v>GFHT60016</v>
          </cell>
          <cell r="N1817" t="str">
            <v>ANESTESIOLOGI</v>
          </cell>
          <cell r="O1817" t="str">
            <v>Dewan Bedah Utama (GOT)</v>
          </cell>
          <cell r="P1817" t="str">
            <v>HM</v>
          </cell>
          <cell r="Q1817">
            <v>12150</v>
          </cell>
        </row>
        <row r="1818">
          <cell r="E1818" t="str">
            <v>KKM/JKN/HSA/10-05-01/H/15/1136</v>
          </cell>
          <cell r="F1818" t="str">
            <v>Therapeutic</v>
          </cell>
          <cell r="G1818" t="str">
            <v>Basic</v>
          </cell>
          <cell r="H1818" t="str">
            <v>Aspirators</v>
          </cell>
          <cell r="I1818" t="str">
            <v>SUCTION UNIT 2 X 2L JAR MOBILE</v>
          </cell>
          <cell r="J1818" t="str">
            <v>10-208</v>
          </cell>
          <cell r="K1818" t="str">
            <v>ALLIED HEALTHCARE</v>
          </cell>
          <cell r="L1818" t="str">
            <v>GOMCO/ 01-23-3840</v>
          </cell>
          <cell r="M1818" t="str">
            <v>GFHU60076</v>
          </cell>
          <cell r="N1818" t="str">
            <v>ANESTESIOLOGI</v>
          </cell>
          <cell r="O1818" t="str">
            <v>Dewan Bedah Utama (GOT)</v>
          </cell>
          <cell r="P1818" t="str">
            <v>HM</v>
          </cell>
          <cell r="Q1818">
            <v>12150</v>
          </cell>
        </row>
        <row r="1819">
          <cell r="E1819" t="str">
            <v>KKM/JKN/HSA/10-05-01/H/15/1137</v>
          </cell>
          <cell r="F1819" t="str">
            <v>Therapeutic</v>
          </cell>
          <cell r="G1819" t="str">
            <v>Basic</v>
          </cell>
          <cell r="H1819" t="str">
            <v>Aspirators</v>
          </cell>
          <cell r="I1819" t="str">
            <v>SUCTION UNIT 2 X 2L JAR MOBILE</v>
          </cell>
          <cell r="J1819" t="str">
            <v>10-208</v>
          </cell>
          <cell r="K1819" t="str">
            <v>ALLIED HEALTHCARE</v>
          </cell>
          <cell r="L1819" t="str">
            <v>GOMCO/ 01-23-3840</v>
          </cell>
          <cell r="M1819" t="str">
            <v>GFHU60078</v>
          </cell>
          <cell r="N1819" t="str">
            <v>ANESTESIOLOGI</v>
          </cell>
          <cell r="O1819" t="str">
            <v>Dewan Bedah Utama (GOT)</v>
          </cell>
          <cell r="P1819" t="str">
            <v>HM</v>
          </cell>
          <cell r="Q1819">
            <v>12150</v>
          </cell>
        </row>
        <row r="1820">
          <cell r="E1820" t="str">
            <v>KKM/JKN/HSA/10-05-01/H/15/1138</v>
          </cell>
          <cell r="F1820" t="str">
            <v>Therapeutic</v>
          </cell>
          <cell r="G1820" t="str">
            <v>Basic</v>
          </cell>
          <cell r="H1820" t="str">
            <v>Aspirators</v>
          </cell>
          <cell r="I1820" t="str">
            <v>SUCTION UNIT 2 X 2L JAR MOBILE</v>
          </cell>
          <cell r="J1820" t="str">
            <v>10-208</v>
          </cell>
          <cell r="K1820" t="str">
            <v>ALLIED HEALTHCARE</v>
          </cell>
          <cell r="L1820" t="str">
            <v>GOMCO/ 01-23-3840</v>
          </cell>
          <cell r="M1820" t="str">
            <v>GFHU60075</v>
          </cell>
          <cell r="N1820" t="str">
            <v>ANESTESIOLOGI</v>
          </cell>
          <cell r="O1820" t="str">
            <v>Dewan Bedah Utama (GOT)</v>
          </cell>
          <cell r="P1820" t="str">
            <v>HM</v>
          </cell>
          <cell r="Q1820">
            <v>12150</v>
          </cell>
        </row>
        <row r="1821">
          <cell r="E1821" t="str">
            <v>KKM/JKN/HSA/10-05-01/H/15/1139</v>
          </cell>
          <cell r="F1821" t="str">
            <v>Therapeutic</v>
          </cell>
          <cell r="G1821" t="str">
            <v>Basic</v>
          </cell>
          <cell r="H1821" t="str">
            <v>Aspirators</v>
          </cell>
          <cell r="I1821" t="str">
            <v>SUCTION UNIT 2 X 2L JAR MOBILE</v>
          </cell>
          <cell r="J1821" t="str">
            <v>10-208</v>
          </cell>
          <cell r="K1821" t="str">
            <v>ALLIED HEALTHCARE</v>
          </cell>
          <cell r="L1821" t="str">
            <v>GOMCO/ 01-23-3840</v>
          </cell>
          <cell r="M1821" t="str">
            <v>GFHU60052</v>
          </cell>
          <cell r="N1821" t="str">
            <v>ANESTESIOLOGI</v>
          </cell>
          <cell r="O1821" t="str">
            <v>Dewan Bedah Utama (GOT)</v>
          </cell>
          <cell r="P1821" t="str">
            <v>HM</v>
          </cell>
          <cell r="Q1821">
            <v>12150</v>
          </cell>
        </row>
        <row r="1822">
          <cell r="E1822" t="str">
            <v>KKM/JKN/HSA/10-05-01/H/15/2149</v>
          </cell>
          <cell r="F1822" t="str">
            <v>Therapeutic</v>
          </cell>
          <cell r="G1822" t="str">
            <v>Basic</v>
          </cell>
          <cell r="H1822" t="str">
            <v>Aspirators</v>
          </cell>
          <cell r="I1822" t="str">
            <v>SUCTION UNIT 1 X 2L JAR MOBILE</v>
          </cell>
          <cell r="J1822" t="str">
            <v>10-208</v>
          </cell>
          <cell r="K1822" t="str">
            <v>CAMI</v>
          </cell>
          <cell r="L1822" t="str">
            <v>ASKIR C30</v>
          </cell>
          <cell r="M1822">
            <v>5925</v>
          </cell>
          <cell r="N1822" t="str">
            <v>ANESTESIOLOGI</v>
          </cell>
          <cell r="O1822" t="str">
            <v>Dewan Bedah Utama (GOT)</v>
          </cell>
          <cell r="P1822" t="str">
            <v>HM</v>
          </cell>
          <cell r="Q1822">
            <v>3386.5</v>
          </cell>
        </row>
        <row r="1823">
          <cell r="E1823" t="str">
            <v>KKM/JKN/HSA/10-05-01/H/15/2150</v>
          </cell>
          <cell r="F1823" t="str">
            <v>Therapeutic</v>
          </cell>
          <cell r="G1823" t="str">
            <v>Basic</v>
          </cell>
          <cell r="H1823" t="str">
            <v>Aspirators</v>
          </cell>
          <cell r="I1823" t="str">
            <v>SUCTION UNIT 1 X 2L JAR MOBILE</v>
          </cell>
          <cell r="J1823" t="str">
            <v>10-208</v>
          </cell>
          <cell r="K1823" t="str">
            <v>CAMI</v>
          </cell>
          <cell r="L1823" t="str">
            <v>ASKIR C30</v>
          </cell>
          <cell r="M1823">
            <v>5926</v>
          </cell>
          <cell r="N1823" t="str">
            <v>ANESTESIOLOGI</v>
          </cell>
          <cell r="O1823" t="str">
            <v>Dewan Bedah Utama (GOT)</v>
          </cell>
          <cell r="P1823" t="str">
            <v>HM</v>
          </cell>
          <cell r="Q1823">
            <v>3386.5</v>
          </cell>
        </row>
        <row r="1824">
          <cell r="E1824" t="str">
            <v>KKM/JKN/HSA/10-05-01/H/15/338</v>
          </cell>
          <cell r="F1824" t="str">
            <v>Therapeutic</v>
          </cell>
          <cell r="G1824" t="str">
            <v>Intermediate</v>
          </cell>
          <cell r="H1824" t="str">
            <v>Stimulators, Electrical, Peripheral Nerve, Analgesic, Transcutaneous</v>
          </cell>
          <cell r="I1824" t="str">
            <v>STIMULATOR NERVE PERIPHERAL</v>
          </cell>
          <cell r="J1824" t="str">
            <v>13-782</v>
          </cell>
          <cell r="K1824" t="str">
            <v>LIFETECH</v>
          </cell>
          <cell r="L1824" t="str">
            <v>EZ-STIM 2</v>
          </cell>
          <cell r="M1824">
            <v>13019</v>
          </cell>
          <cell r="N1824" t="str">
            <v>ANESTESIOLOGI</v>
          </cell>
          <cell r="O1824" t="str">
            <v>Dewan Bedah Utama (GOT)</v>
          </cell>
          <cell r="P1824" t="str">
            <v>HM</v>
          </cell>
          <cell r="Q1824">
            <v>3290</v>
          </cell>
        </row>
        <row r="1825">
          <cell r="E1825" t="str">
            <v>KKM/JKN/HSA/10-05-01/H/15/339</v>
          </cell>
          <cell r="F1825" t="str">
            <v>Therapeutic</v>
          </cell>
          <cell r="G1825" t="str">
            <v>Intermediate</v>
          </cell>
          <cell r="H1825" t="str">
            <v>Stimulators, Electrical, Peripheral Nerve, Analgesic, Transcutaneous</v>
          </cell>
          <cell r="I1825" t="str">
            <v>STIMULATOR NERVE PERIPHERAL</v>
          </cell>
          <cell r="J1825" t="str">
            <v>13-782</v>
          </cell>
          <cell r="K1825" t="str">
            <v>LIFETECH</v>
          </cell>
          <cell r="L1825" t="str">
            <v>EZ-STIM 2</v>
          </cell>
          <cell r="M1825">
            <v>13020</v>
          </cell>
          <cell r="N1825" t="str">
            <v>ANESTESIOLOGI</v>
          </cell>
          <cell r="O1825" t="str">
            <v>Dewan Bedah Utama (GOT)</v>
          </cell>
          <cell r="P1825" t="str">
            <v>HM</v>
          </cell>
          <cell r="Q1825">
            <v>3290</v>
          </cell>
        </row>
        <row r="1826">
          <cell r="E1826" t="str">
            <v>KKM/JKN/HSA/10-05-01/H/15/340</v>
          </cell>
          <cell r="F1826" t="str">
            <v>Therapeutic</v>
          </cell>
          <cell r="G1826" t="str">
            <v>Intermediate</v>
          </cell>
          <cell r="H1826" t="str">
            <v>Stimulators, Electrical, Peripheral Nerve, Analgesic, Transcutaneous</v>
          </cell>
          <cell r="I1826" t="str">
            <v>STIMULATOR NERVE PERIPHERAL</v>
          </cell>
          <cell r="J1826" t="str">
            <v>13-782</v>
          </cell>
          <cell r="K1826" t="str">
            <v>LIFETECH</v>
          </cell>
          <cell r="L1826" t="str">
            <v>EZ-STIM 2</v>
          </cell>
          <cell r="M1826">
            <v>13022</v>
          </cell>
          <cell r="N1826" t="str">
            <v>ANESTESIOLOGI</v>
          </cell>
          <cell r="O1826" t="str">
            <v>Dewan Bedah Utama (GOT)</v>
          </cell>
          <cell r="P1826" t="str">
            <v>HM</v>
          </cell>
          <cell r="Q1826">
            <v>3290</v>
          </cell>
        </row>
        <row r="1827">
          <cell r="E1827" t="str">
            <v>KKM/JKN/HSA/10-05-01/H/15/341</v>
          </cell>
          <cell r="F1827" t="str">
            <v>Therapeutic</v>
          </cell>
          <cell r="G1827" t="str">
            <v>Intermediate</v>
          </cell>
          <cell r="H1827" t="str">
            <v>Stimulators, Electrical, Peripheral Nerve, Analgesic, Transcutaneous</v>
          </cell>
          <cell r="I1827" t="str">
            <v>STIMULATOR NERVE PERIPHERAL</v>
          </cell>
          <cell r="J1827" t="str">
            <v>13-782</v>
          </cell>
          <cell r="K1827" t="str">
            <v>LIFETECH</v>
          </cell>
          <cell r="L1827" t="str">
            <v>EZ-STIM 2</v>
          </cell>
          <cell r="M1827">
            <v>13021</v>
          </cell>
          <cell r="N1827" t="str">
            <v>ANESTESIOLOGI</v>
          </cell>
          <cell r="O1827" t="str">
            <v>Dewan Bedah Utama (GOT)</v>
          </cell>
          <cell r="P1827" t="str">
            <v>HM</v>
          </cell>
          <cell r="Q1827">
            <v>3290</v>
          </cell>
        </row>
        <row r="1828">
          <cell r="E1828" t="str">
            <v>KKM/JKN/HSA/10-05-01/H/15/342</v>
          </cell>
          <cell r="F1828" t="str">
            <v>Therapeutic</v>
          </cell>
          <cell r="G1828" t="str">
            <v>Intermediate</v>
          </cell>
          <cell r="H1828" t="str">
            <v>Stimulators, Electrical, Peripheral Nerve, Analgesic, Transcutaneous</v>
          </cell>
          <cell r="I1828" t="str">
            <v>STIMULATOR NERVE PERIPHERAL</v>
          </cell>
          <cell r="J1828" t="str">
            <v>13-782</v>
          </cell>
          <cell r="K1828" t="str">
            <v>LIFETECH</v>
          </cell>
          <cell r="L1828" t="str">
            <v>EZ-STIM 2</v>
          </cell>
          <cell r="M1828"/>
          <cell r="N1828" t="str">
            <v>ANESTESIOLOGI</v>
          </cell>
          <cell r="O1828" t="str">
            <v>Dewan Bedah Utama (GOT)</v>
          </cell>
          <cell r="P1828" t="str">
            <v>HM</v>
          </cell>
          <cell r="Q1828">
            <v>3290</v>
          </cell>
        </row>
        <row r="1829">
          <cell r="E1829" t="str">
            <v>KKM/JKN/HSA/10-05-01/R/15/14883</v>
          </cell>
          <cell r="F1829" t="str">
            <v xml:space="preserve">Diagnostic </v>
          </cell>
          <cell r="G1829" t="str">
            <v>Basic</v>
          </cell>
          <cell r="H1829" t="str">
            <v>Sphygmomanometers, Aneroid</v>
          </cell>
          <cell r="I1829" t="str">
            <v>SPHYGMOMANOMETER ANEROID DESK MODEL</v>
          </cell>
          <cell r="J1829" t="str">
            <v>16-156</v>
          </cell>
          <cell r="K1829" t="str">
            <v>RIESTER</v>
          </cell>
          <cell r="L1829">
            <v>1453</v>
          </cell>
          <cell r="M1829"/>
          <cell r="N1829" t="str">
            <v>ANESTESIOLOGI</v>
          </cell>
          <cell r="O1829" t="str">
            <v>Dewan Bedah Utama (GOT)</v>
          </cell>
          <cell r="P1829" t="str">
            <v>ABR</v>
          </cell>
          <cell r="Q1829">
            <v>452.81</v>
          </cell>
        </row>
        <row r="1830">
          <cell r="E1830" t="str">
            <v>KKM/JKN/HSA/10-05-01/H/15/434</v>
          </cell>
          <cell r="F1830" t="str">
            <v xml:space="preserve">Diagnostic </v>
          </cell>
          <cell r="G1830" t="str">
            <v>Intermediate</v>
          </cell>
          <cell r="H1830" t="str">
            <v>Smoke evacuation systems, surgical</v>
          </cell>
          <cell r="I1830" t="str">
            <v>SMOKE EVACUATOR</v>
          </cell>
          <cell r="J1830" t="str">
            <v>16-262</v>
          </cell>
          <cell r="K1830" t="str">
            <v>ERBE</v>
          </cell>
          <cell r="L1830" t="str">
            <v>IES 2 SYSTEM</v>
          </cell>
          <cell r="M1830">
            <v>11329044</v>
          </cell>
          <cell r="N1830" t="str">
            <v>ANESTESIOLOGI</v>
          </cell>
          <cell r="O1830" t="str">
            <v>Dewan Bedah Utama (GOT)</v>
          </cell>
          <cell r="P1830"/>
          <cell r="Q1830">
            <v>21000</v>
          </cell>
        </row>
        <row r="1831">
          <cell r="E1831" t="str">
            <v>KKM/JKN/HSA/10-05-01/H/16/20</v>
          </cell>
          <cell r="F1831" t="str">
            <v xml:space="preserve">Diagnostic </v>
          </cell>
          <cell r="G1831" t="str">
            <v>Intermediate</v>
          </cell>
          <cell r="H1831" t="str">
            <v>Gastroscopes, Rigid</v>
          </cell>
          <cell r="I1831" t="str">
            <v>SINUSCOPE SET</v>
          </cell>
          <cell r="J1831" t="str">
            <v>11-858</v>
          </cell>
          <cell r="K1831" t="str">
            <v>OLYMPUS</v>
          </cell>
          <cell r="L1831" t="str">
            <v>NASOENDOSCOPE</v>
          </cell>
          <cell r="M1831">
            <v>706278</v>
          </cell>
          <cell r="N1831" t="str">
            <v>OTORINOLARINGOLOGI</v>
          </cell>
          <cell r="O1831" t="str">
            <v>Dewan Bedah Utama (GOT)</v>
          </cell>
          <cell r="P1831" t="str">
            <v>HM</v>
          </cell>
          <cell r="Q1831">
            <v>14920</v>
          </cell>
        </row>
        <row r="1832">
          <cell r="E1832" t="str">
            <v>KKM/JKN/HSA/10-05-01/H/16/21</v>
          </cell>
          <cell r="F1832" t="str">
            <v xml:space="preserve">Diagnostic </v>
          </cell>
          <cell r="G1832" t="str">
            <v>Intermediate</v>
          </cell>
          <cell r="H1832" t="str">
            <v>Gastroscopes, Rigid</v>
          </cell>
          <cell r="I1832" t="str">
            <v>SINUSCOPE SET</v>
          </cell>
          <cell r="J1832" t="str">
            <v>11-858</v>
          </cell>
          <cell r="K1832" t="str">
            <v>OLYMPUS</v>
          </cell>
          <cell r="L1832" t="str">
            <v>NASOENDOSCOPE</v>
          </cell>
          <cell r="M1832">
            <v>701483</v>
          </cell>
          <cell r="N1832" t="str">
            <v>OTORINOLARINGOLOGI</v>
          </cell>
          <cell r="O1832" t="str">
            <v>Dewan Bedah Utama (GOT)</v>
          </cell>
          <cell r="P1832" t="str">
            <v>HM</v>
          </cell>
          <cell r="Q1832">
            <v>14920</v>
          </cell>
        </row>
        <row r="1833">
          <cell r="E1833"/>
          <cell r="F1833" t="str">
            <v>Therapeutic</v>
          </cell>
          <cell r="G1833" t="str">
            <v>Intermediate</v>
          </cell>
          <cell r="H1833" t="str">
            <v>Arthroscopic Shaver Systems</v>
          </cell>
          <cell r="I1833" t="str">
            <v>SHAVER UNIT FOR ARTHROSCOPY</v>
          </cell>
          <cell r="J1833" t="str">
            <v>17-918</v>
          </cell>
          <cell r="K1833" t="str">
            <v>CONMED LINVATEC</v>
          </cell>
          <cell r="L1833" t="str">
            <v>E9000G</v>
          </cell>
          <cell r="M1833" t="str">
            <v>2014-039</v>
          </cell>
          <cell r="N1833" t="str">
            <v>ANESTESIOLOGI</v>
          </cell>
          <cell r="O1833" t="str">
            <v>Dewan Bedah Utama (GOT)</v>
          </cell>
          <cell r="P1833" t="str">
            <v>HM</v>
          </cell>
          <cell r="Q1833">
            <v>33600</v>
          </cell>
        </row>
        <row r="1834">
          <cell r="E1834" t="str">
            <v>KKM/JKN/HSA/10-05-01/H/15/597</v>
          </cell>
          <cell r="F1834" t="str">
            <v>Therapeutic</v>
          </cell>
          <cell r="G1834" t="str">
            <v>Intermediate</v>
          </cell>
          <cell r="H1834" t="str">
            <v>Infusion Pumps, Syringe</v>
          </cell>
          <cell r="I1834" t="str">
            <v>PUMP SYRINGE BASIC DOSE RATE (STAND ALONE)</v>
          </cell>
          <cell r="J1834" t="str">
            <v>13-217</v>
          </cell>
          <cell r="K1834" t="str">
            <v>FRESENIUS KABI</v>
          </cell>
          <cell r="L1834" t="str">
            <v>INJECTOMAT MC AGILIA</v>
          </cell>
          <cell r="M1834">
            <v>22231715</v>
          </cell>
          <cell r="N1834" t="str">
            <v>ANESTESIOLOGI</v>
          </cell>
          <cell r="O1834" t="str">
            <v>Dewan Bedah Utama (GOT)</v>
          </cell>
          <cell r="P1834" t="str">
            <v>HM</v>
          </cell>
          <cell r="Q1834">
            <v>4300</v>
          </cell>
        </row>
        <row r="1835">
          <cell r="E1835" t="str">
            <v>KKM/JKN/HSA/10-05-01/H/15/598</v>
          </cell>
          <cell r="F1835" t="str">
            <v>Therapeutic</v>
          </cell>
          <cell r="G1835" t="str">
            <v>Intermediate</v>
          </cell>
          <cell r="H1835" t="str">
            <v>Infusion Pumps, Syringe</v>
          </cell>
          <cell r="I1835" t="str">
            <v>PUMP SYRINGE BASIC DOSE RATE (STAND ALONE)</v>
          </cell>
          <cell r="J1835" t="str">
            <v>13-217</v>
          </cell>
          <cell r="K1835" t="str">
            <v>FRESENIUS KABI</v>
          </cell>
          <cell r="L1835" t="str">
            <v>INJECTOMAT MC AGILIA</v>
          </cell>
          <cell r="M1835">
            <v>22231824</v>
          </cell>
          <cell r="N1835" t="str">
            <v>ANESTESIOLOGI</v>
          </cell>
          <cell r="O1835" t="str">
            <v>Dewan Bedah Utama (GOT)</v>
          </cell>
          <cell r="P1835" t="str">
            <v>HM</v>
          </cell>
          <cell r="Q1835">
            <v>4300</v>
          </cell>
        </row>
        <row r="1836">
          <cell r="E1836" t="str">
            <v>KKM/JKN/HSA/10-05-01/H/15/599</v>
          </cell>
          <cell r="F1836" t="str">
            <v>Therapeutic</v>
          </cell>
          <cell r="G1836" t="str">
            <v>Intermediate</v>
          </cell>
          <cell r="H1836" t="str">
            <v>Infusion Pumps, Syringe</v>
          </cell>
          <cell r="I1836" t="str">
            <v>PUMP SYRINGE BASIC DOSE RATE (STAND ALONE)</v>
          </cell>
          <cell r="J1836" t="str">
            <v>13-217</v>
          </cell>
          <cell r="K1836" t="str">
            <v>FRESENIUS KABI</v>
          </cell>
          <cell r="L1836" t="str">
            <v>INJECTOMAT MC AGILIA</v>
          </cell>
          <cell r="M1836">
            <v>22231670</v>
          </cell>
          <cell r="N1836" t="str">
            <v>ANESTESIOLOGI</v>
          </cell>
          <cell r="O1836" t="str">
            <v>Dewan Bedah Utama (GOT)</v>
          </cell>
          <cell r="P1836" t="str">
            <v>HM</v>
          </cell>
          <cell r="Q1836">
            <v>4300</v>
          </cell>
        </row>
        <row r="1837">
          <cell r="E1837" t="str">
            <v>KKM/JKN/HSA/10-05-01/H/15/609</v>
          </cell>
          <cell r="F1837" t="str">
            <v>Therapeutic</v>
          </cell>
          <cell r="G1837" t="str">
            <v>Intermediate</v>
          </cell>
          <cell r="H1837" t="str">
            <v>Infusion Pumps, Syringe</v>
          </cell>
          <cell r="I1837" t="str">
            <v>PUMP SYRINGE BASIC DOSE RATE (STAND ALONE)</v>
          </cell>
          <cell r="J1837" t="str">
            <v>13-217</v>
          </cell>
          <cell r="K1837" t="str">
            <v>FRESENIUS KABI</v>
          </cell>
          <cell r="L1837" t="str">
            <v>INJECTOMAT MC AGILIA</v>
          </cell>
          <cell r="M1837">
            <v>22231839</v>
          </cell>
          <cell r="N1837" t="str">
            <v>ANESTESIOLOGI</v>
          </cell>
          <cell r="O1837" t="str">
            <v>Dewan Bedah Utama (GOT)</v>
          </cell>
          <cell r="P1837" t="str">
            <v>HM</v>
          </cell>
          <cell r="Q1837">
            <v>4300</v>
          </cell>
        </row>
        <row r="1838">
          <cell r="E1838" t="str">
            <v>KKM/JKN/HSA/10-05-01/H/15/610</v>
          </cell>
          <cell r="F1838" t="str">
            <v>Therapeutic</v>
          </cell>
          <cell r="G1838" t="str">
            <v>Intermediate</v>
          </cell>
          <cell r="H1838" t="str">
            <v>Infusion Pumps, Syringe</v>
          </cell>
          <cell r="I1838" t="str">
            <v>PUMP SYRINGE BASIC DOSE RATE (STAND ALONE)</v>
          </cell>
          <cell r="J1838" t="str">
            <v>13-217</v>
          </cell>
          <cell r="K1838" t="str">
            <v>FRESENIUS KABI</v>
          </cell>
          <cell r="L1838" t="str">
            <v>INJECTOMAT MC AGILIA</v>
          </cell>
          <cell r="M1838">
            <v>22231662</v>
          </cell>
          <cell r="N1838" t="str">
            <v>ANESTESIOLOGI</v>
          </cell>
          <cell r="O1838" t="str">
            <v>Dewan Bedah Utama (GOT)</v>
          </cell>
          <cell r="P1838" t="str">
            <v>HM</v>
          </cell>
          <cell r="Q1838">
            <v>4300</v>
          </cell>
        </row>
        <row r="1839">
          <cell r="E1839" t="str">
            <v>KKM/JKN/HSA/10-05-01/H/15/612</v>
          </cell>
          <cell r="F1839" t="str">
            <v>Therapeutic</v>
          </cell>
          <cell r="G1839" t="str">
            <v>Intermediate</v>
          </cell>
          <cell r="H1839" t="str">
            <v>Infusion Pumps, Syringe</v>
          </cell>
          <cell r="I1839" t="str">
            <v>PUMP SYRINGE BASIC DOSE RATE (STAND ALONE)</v>
          </cell>
          <cell r="J1839" t="str">
            <v>13-217</v>
          </cell>
          <cell r="K1839" t="str">
            <v>FRESENIUS KABI</v>
          </cell>
          <cell r="L1839" t="str">
            <v>INJECTOMAT MC AGILIA</v>
          </cell>
          <cell r="M1839">
            <v>22231675</v>
          </cell>
          <cell r="N1839" t="str">
            <v>ANESTESIOLOGI</v>
          </cell>
          <cell r="O1839" t="str">
            <v>Dewan Bedah Utama (GOT)</v>
          </cell>
          <cell r="P1839" t="str">
            <v>HM</v>
          </cell>
          <cell r="Q1839">
            <v>4300</v>
          </cell>
        </row>
        <row r="1840">
          <cell r="E1840" t="str">
            <v>KKM/JKN/HSA/10-05-01/H/15/614</v>
          </cell>
          <cell r="F1840" t="str">
            <v>Therapeutic</v>
          </cell>
          <cell r="G1840" t="str">
            <v>Intermediate</v>
          </cell>
          <cell r="H1840" t="str">
            <v>Infusion Pumps, Syringe</v>
          </cell>
          <cell r="I1840" t="str">
            <v>PUMP SYRINGE BASIC DOSE RATE (STAND ALONE)</v>
          </cell>
          <cell r="J1840" t="str">
            <v>13-217</v>
          </cell>
          <cell r="K1840" t="str">
            <v>FRESENIUS KABI</v>
          </cell>
          <cell r="L1840" t="str">
            <v>INJECTOMAT MC AGILIA</v>
          </cell>
          <cell r="M1840">
            <v>22231821</v>
          </cell>
          <cell r="N1840" t="str">
            <v>ANESTESIOLOGI</v>
          </cell>
          <cell r="O1840" t="str">
            <v>Dewan Bedah Utama (GOT)</v>
          </cell>
          <cell r="P1840" t="str">
            <v>HM</v>
          </cell>
          <cell r="Q1840">
            <v>4300</v>
          </cell>
        </row>
        <row r="1841">
          <cell r="E1841" t="str">
            <v>KKM/JKN/HSA/10-05-01/H/15/615</v>
          </cell>
          <cell r="F1841" t="str">
            <v>Therapeutic</v>
          </cell>
          <cell r="G1841" t="str">
            <v>Intermediate</v>
          </cell>
          <cell r="H1841" t="str">
            <v>Infusion Pumps, Syringe</v>
          </cell>
          <cell r="I1841" t="str">
            <v>PUMP SYRINGE BASIC DOSE RATE (STAND ALONE)</v>
          </cell>
          <cell r="J1841" t="str">
            <v>13-217</v>
          </cell>
          <cell r="K1841" t="str">
            <v>FRESENIUS KABI</v>
          </cell>
          <cell r="L1841" t="str">
            <v>INJECTOMAT MC AGILIA</v>
          </cell>
          <cell r="M1841">
            <v>22231848</v>
          </cell>
          <cell r="N1841" t="str">
            <v>ANESTESIOLOGI</v>
          </cell>
          <cell r="O1841" t="str">
            <v>Dewan Bedah Utama (GOT)</v>
          </cell>
          <cell r="P1841" t="str">
            <v>HM</v>
          </cell>
          <cell r="Q1841">
            <v>4300</v>
          </cell>
        </row>
        <row r="1842">
          <cell r="E1842" t="str">
            <v>KKM/JKN/HSA/10-05-01/H/15/616</v>
          </cell>
          <cell r="F1842" t="str">
            <v>Therapeutic</v>
          </cell>
          <cell r="G1842" t="str">
            <v>Intermediate</v>
          </cell>
          <cell r="H1842" t="str">
            <v>Infusion Pumps, Syringe</v>
          </cell>
          <cell r="I1842" t="str">
            <v>PUMP SYRINGE BASIC DOSE RATE (STAND ALONE)</v>
          </cell>
          <cell r="J1842" t="str">
            <v>13-217</v>
          </cell>
          <cell r="K1842" t="str">
            <v>FRESENIUS KABI</v>
          </cell>
          <cell r="L1842" t="str">
            <v>INJECTOMAT MC AGILIA</v>
          </cell>
          <cell r="M1842">
            <v>22231613</v>
          </cell>
          <cell r="N1842" t="str">
            <v>ANESTESIOLOGI</v>
          </cell>
          <cell r="O1842" t="str">
            <v>Dewan Bedah Utama (GOT)</v>
          </cell>
          <cell r="P1842" t="str">
            <v>HM</v>
          </cell>
          <cell r="Q1842">
            <v>4300</v>
          </cell>
        </row>
        <row r="1843">
          <cell r="E1843" t="str">
            <v>KKM/JKN/HSA/10-05-01/H/15/617</v>
          </cell>
          <cell r="F1843" t="str">
            <v>Therapeutic</v>
          </cell>
          <cell r="G1843" t="str">
            <v>Intermediate</v>
          </cell>
          <cell r="H1843" t="str">
            <v>Infusion Pumps, Syringe</v>
          </cell>
          <cell r="I1843" t="str">
            <v>PUMP SYRINGE BASIC DOSE RATE (STAND ALONE)</v>
          </cell>
          <cell r="J1843" t="str">
            <v>13-217</v>
          </cell>
          <cell r="K1843" t="str">
            <v>FRESENIUS KABI</v>
          </cell>
          <cell r="L1843" t="str">
            <v>INJECTOMAT MC AGILIA</v>
          </cell>
          <cell r="M1843">
            <v>22231822</v>
          </cell>
          <cell r="N1843" t="str">
            <v>ANESTESIOLOGI</v>
          </cell>
          <cell r="O1843" t="str">
            <v>Dewan Bedah Utama (GOT)</v>
          </cell>
          <cell r="P1843" t="str">
            <v>HM</v>
          </cell>
          <cell r="Q1843">
            <v>4300</v>
          </cell>
        </row>
        <row r="1844">
          <cell r="E1844"/>
          <cell r="F1844" t="str">
            <v>Therapeutic</v>
          </cell>
          <cell r="G1844" t="str">
            <v>High</v>
          </cell>
          <cell r="H1844" t="str">
            <v>Irrigation/Distention Systems, Arthoscopic</v>
          </cell>
          <cell r="I1844" t="str">
            <v>PUMP LIQUID MEDIA, ARTHROSCOPY</v>
          </cell>
          <cell r="J1844" t="str">
            <v>17-233</v>
          </cell>
          <cell r="K1844" t="str">
            <v>CONMED LINVATEC</v>
          </cell>
          <cell r="L1844" t="str">
            <v>10k</v>
          </cell>
          <cell r="M1844"/>
          <cell r="N1844"/>
          <cell r="O1844" t="str">
            <v>Dewan Bedah Utama (GOT)</v>
          </cell>
          <cell r="P1844" t="str">
            <v>HM</v>
          </cell>
          <cell r="Q1844">
            <v>12000</v>
          </cell>
        </row>
        <row r="1845">
          <cell r="E1845" t="str">
            <v>KKM/JKN/HSA/10-05-01/R/15/7023</v>
          </cell>
          <cell r="F1845" t="str">
            <v xml:space="preserve">Diagnostic </v>
          </cell>
          <cell r="G1845" t="str">
            <v>Intermediate</v>
          </cell>
          <cell r="H1845" t="str">
            <v>Physiologic Monitoring Systems, Acute Care</v>
          </cell>
          <cell r="I1845" t="str">
            <v>PRINTER FOR PRE-CONFIGURED MONITOR</v>
          </cell>
          <cell r="J1845" t="str">
            <v>12-647</v>
          </cell>
          <cell r="K1845" t="str">
            <v>MINDRAY</v>
          </cell>
          <cell r="L1845" t="str">
            <v>TR6B</v>
          </cell>
          <cell r="M1845"/>
          <cell r="N1845" t="str">
            <v>ANESTESIOLOGI</v>
          </cell>
          <cell r="O1845" t="str">
            <v>Dewan Bedah Utama (GOT)</v>
          </cell>
          <cell r="P1845" t="str">
            <v>ABR</v>
          </cell>
          <cell r="Q1845">
            <v>1367</v>
          </cell>
        </row>
        <row r="1846">
          <cell r="E1846" t="str">
            <v>KKM/JKN/HSA/10-05-01/H/15/584</v>
          </cell>
          <cell r="F1846" t="str">
            <v xml:space="preserve">Diagnostic </v>
          </cell>
          <cell r="G1846" t="str">
            <v>Intermediate</v>
          </cell>
          <cell r="H1846" t="str">
            <v>Physiologic Monitoring Systems, Acute Care</v>
          </cell>
          <cell r="I1846" t="str">
            <v>MONITOR, TRANSP0RT</v>
          </cell>
          <cell r="J1846" t="str">
            <v>12-647</v>
          </cell>
          <cell r="K1846" t="str">
            <v>MINDRAY</v>
          </cell>
          <cell r="L1846" t="str">
            <v xml:space="preserve"> BENEVIEW T1</v>
          </cell>
          <cell r="M1846"/>
          <cell r="N1846" t="str">
            <v>ANESTESIOLOGI</v>
          </cell>
          <cell r="O1846" t="str">
            <v>Dewan Bedah Utama (GOT)</v>
          </cell>
          <cell r="P1846" t="str">
            <v>HM</v>
          </cell>
          <cell r="Q1846">
            <v>15500</v>
          </cell>
        </row>
        <row r="1847">
          <cell r="E1847" t="str">
            <v>KKM/JKN/HSA/10-05-01/H/15/1595</v>
          </cell>
          <cell r="F1847" t="str">
            <v xml:space="preserve">Diagnostic </v>
          </cell>
          <cell r="G1847" t="str">
            <v>Intermediate</v>
          </cell>
          <cell r="H1847" t="str">
            <v>Monitors, Physiologic, Vital Signs</v>
          </cell>
          <cell r="I1847" t="str">
            <v>MONITOR NIBP/TEMP</v>
          </cell>
          <cell r="J1847" t="str">
            <v>25-209</v>
          </cell>
          <cell r="K1847" t="str">
            <v>WELCH ALLYN</v>
          </cell>
          <cell r="L1847" t="str">
            <v>WELCH ALLYN VSM 300</v>
          </cell>
          <cell r="M1847" t="str">
            <v>JA 123469</v>
          </cell>
          <cell r="N1847" t="str">
            <v>ANESTESIOLOGI</v>
          </cell>
          <cell r="O1847" t="str">
            <v>Dewan Bedah Utama (GOT)</v>
          </cell>
          <cell r="P1847" t="str">
            <v>HM</v>
          </cell>
          <cell r="Q1847">
            <v>4355</v>
          </cell>
        </row>
        <row r="1848">
          <cell r="E1848" t="str">
            <v>KKM/JKN/HSA/10-05-01/H/15/1023</v>
          </cell>
          <cell r="F1848" t="str">
            <v xml:space="preserve">Diagnostic </v>
          </cell>
          <cell r="G1848" t="str">
            <v>Intermediate</v>
          </cell>
          <cell r="H1848" t="str">
            <v>Monitors, Physiologic, Vital Signs</v>
          </cell>
          <cell r="I1848" t="str">
            <v>MONITOR NIBP/SP02</v>
          </cell>
          <cell r="J1848" t="str">
            <v>25-209</v>
          </cell>
          <cell r="K1848" t="str">
            <v>WELCH ALLYN</v>
          </cell>
          <cell r="L1848" t="str">
            <v>WELCH ALLYN VSM 300</v>
          </cell>
          <cell r="M1848"/>
          <cell r="N1848" t="str">
            <v>ANESTESIOLOGI</v>
          </cell>
          <cell r="O1848" t="str">
            <v>Dewan Bedah Utama (GOT)</v>
          </cell>
          <cell r="P1848" t="str">
            <v>HM</v>
          </cell>
          <cell r="Q1848">
            <v>5185</v>
          </cell>
        </row>
        <row r="1849">
          <cell r="E1849" t="str">
            <v>KKM/JKN/HSA/10-05-01/H/15/1056</v>
          </cell>
          <cell r="F1849" t="str">
            <v xml:space="preserve">Diagnostic </v>
          </cell>
          <cell r="G1849" t="str">
            <v>Intermediate</v>
          </cell>
          <cell r="H1849" t="str">
            <v>Physiologic Monitoring Systems, Acute Care</v>
          </cell>
          <cell r="I1849" t="str">
            <v>MONITOR MODULAR 8-CH ECG/RR/NIBP/SP02/2TEMP/2IBP</v>
          </cell>
          <cell r="J1849" t="str">
            <v>12-647</v>
          </cell>
          <cell r="K1849" t="str">
            <v>MINDRAY</v>
          </cell>
          <cell r="L1849" t="str">
            <v>BENEVIEW T8/T1</v>
          </cell>
          <cell r="M1849" t="str">
            <v>CF45122817</v>
          </cell>
          <cell r="N1849" t="str">
            <v>OT</v>
          </cell>
          <cell r="O1849" t="str">
            <v>Dewan Bedah Utama (GOT)</v>
          </cell>
          <cell r="P1849" t="str">
            <v>HM</v>
          </cell>
          <cell r="Q1849">
            <v>32900</v>
          </cell>
        </row>
        <row r="1850">
          <cell r="E1850" t="str">
            <v>AWC00126</v>
          </cell>
          <cell r="F1850" t="str">
            <v xml:space="preserve">Diagnostic </v>
          </cell>
          <cell r="G1850" t="str">
            <v>Intermediate</v>
          </cell>
          <cell r="H1850" t="str">
            <v>Physiologic Monitoring Systems, Acute Care</v>
          </cell>
          <cell r="I1850" t="str">
            <v>MONITOR MODULAR 8-CH ECG/RR/NIBP/SP02/2TEMP/2IBP</v>
          </cell>
          <cell r="J1850" t="str">
            <v>12-647</v>
          </cell>
          <cell r="K1850" t="str">
            <v>MINDRAY</v>
          </cell>
          <cell r="L1850" t="str">
            <v>BENEVIEW T8</v>
          </cell>
          <cell r="M1850"/>
          <cell r="N1850" t="str">
            <v>OT</v>
          </cell>
          <cell r="O1850" t="str">
            <v>Dewan Bedah Utama (GOT)</v>
          </cell>
          <cell r="P1850" t="str">
            <v>HM</v>
          </cell>
          <cell r="Q1850">
            <v>32900</v>
          </cell>
        </row>
        <row r="1851">
          <cell r="E1851" t="str">
            <v>A114</v>
          </cell>
          <cell r="F1851" t="str">
            <v xml:space="preserve">Diagnostic </v>
          </cell>
          <cell r="G1851" t="str">
            <v>Intermediate</v>
          </cell>
          <cell r="H1851" t="str">
            <v>Physiologic Monitoring Systems, Acute Care</v>
          </cell>
          <cell r="I1851" t="str">
            <v>MONITOR MODULAR 8-CH ECG/RR/NIBP/SP02/2TEMP/2IBP</v>
          </cell>
          <cell r="J1851" t="str">
            <v>12-647</v>
          </cell>
          <cell r="K1851" t="str">
            <v>MINDRAY</v>
          </cell>
          <cell r="L1851" t="str">
            <v>BENEVIEW T8</v>
          </cell>
          <cell r="M1851" t="str">
            <v>CF-45122809</v>
          </cell>
          <cell r="N1851" t="str">
            <v>OT</v>
          </cell>
          <cell r="O1851" t="str">
            <v>Dewan Bedah Utama (GOT)</v>
          </cell>
          <cell r="P1851" t="str">
            <v>HM</v>
          </cell>
          <cell r="Q1851">
            <v>32900</v>
          </cell>
        </row>
        <row r="1852">
          <cell r="E1852" t="str">
            <v>A102</v>
          </cell>
          <cell r="F1852" t="str">
            <v xml:space="preserve">Diagnostic </v>
          </cell>
          <cell r="G1852" t="str">
            <v>Intermediate</v>
          </cell>
          <cell r="H1852" t="str">
            <v>Physiologic Monitoring Systems, Acute Care</v>
          </cell>
          <cell r="I1852" t="str">
            <v>MONITOR MODULAR 8-CH ECG/RR/NIBP/SP02/2TEMP/2IBP</v>
          </cell>
          <cell r="J1852" t="str">
            <v>12-647</v>
          </cell>
          <cell r="K1852" t="str">
            <v>MINDRAY</v>
          </cell>
          <cell r="L1852" t="str">
            <v>BENEVIEW T8</v>
          </cell>
          <cell r="M1852" t="str">
            <v>CF-45122812</v>
          </cell>
          <cell r="N1852" t="str">
            <v>OT</v>
          </cell>
          <cell r="O1852" t="str">
            <v>Dewan Bedah Utama (GOT)</v>
          </cell>
          <cell r="P1852" t="str">
            <v>HM</v>
          </cell>
          <cell r="Q1852">
            <v>32900</v>
          </cell>
        </row>
        <row r="1853">
          <cell r="E1853" t="str">
            <v>A347</v>
          </cell>
          <cell r="F1853" t="str">
            <v xml:space="preserve">Diagnostic </v>
          </cell>
          <cell r="G1853" t="str">
            <v>Intermediate</v>
          </cell>
          <cell r="H1853" t="str">
            <v>Physiologic Monitoring Systems, Acute Care</v>
          </cell>
          <cell r="I1853" t="str">
            <v>MONITOR MODULAR 8-CH ECG/RR/NIBP/SP02/2TEMP/2IBP</v>
          </cell>
          <cell r="J1853" t="str">
            <v>12-647</v>
          </cell>
          <cell r="K1853" t="str">
            <v>MINDRAY</v>
          </cell>
          <cell r="L1853" t="str">
            <v>BENEVIEW T8</v>
          </cell>
          <cell r="M1853" t="str">
            <v>CF-45122781</v>
          </cell>
          <cell r="N1853" t="str">
            <v>OT</v>
          </cell>
          <cell r="O1853" t="str">
            <v>Dewan Bedah Utama (GOT)</v>
          </cell>
          <cell r="P1853" t="str">
            <v>HM</v>
          </cell>
          <cell r="Q1853">
            <v>32900</v>
          </cell>
        </row>
        <row r="1854">
          <cell r="E1854" t="str">
            <v>A0168</v>
          </cell>
          <cell r="F1854" t="str">
            <v xml:space="preserve">Diagnostic </v>
          </cell>
          <cell r="G1854" t="str">
            <v>Intermediate</v>
          </cell>
          <cell r="H1854" t="str">
            <v>Physiologic Monitoring Systems, Acute Care</v>
          </cell>
          <cell r="I1854" t="str">
            <v>MONITOR MODULAR 8-CH ECG/RR/NIBP/SP02/2TEMP/2IBP</v>
          </cell>
          <cell r="J1854" t="str">
            <v>12-647</v>
          </cell>
          <cell r="K1854" t="str">
            <v>MINDRAY</v>
          </cell>
          <cell r="L1854" t="str">
            <v>BENEVIEW T8</v>
          </cell>
          <cell r="M1854" t="str">
            <v>CF-45122773</v>
          </cell>
          <cell r="N1854" t="str">
            <v>OT</v>
          </cell>
          <cell r="O1854" t="str">
            <v>Dewan Bedah Utama (GOT)</v>
          </cell>
          <cell r="P1854" t="str">
            <v>HM</v>
          </cell>
          <cell r="Q1854">
            <v>32900</v>
          </cell>
        </row>
        <row r="1855">
          <cell r="E1855" t="str">
            <v>A0166</v>
          </cell>
          <cell r="F1855" t="str">
            <v xml:space="preserve">Diagnostic </v>
          </cell>
          <cell r="G1855" t="str">
            <v>Intermediate</v>
          </cell>
          <cell r="H1855" t="str">
            <v>Physiologic Monitoring Systems, Acute Care</v>
          </cell>
          <cell r="I1855" t="str">
            <v>MONITOR MODULAR 8-CH ECG/RR/NIBP/SP02/2TEMP/2IBP</v>
          </cell>
          <cell r="J1855" t="str">
            <v>12-647</v>
          </cell>
          <cell r="K1855" t="str">
            <v>MINDRAY</v>
          </cell>
          <cell r="L1855" t="str">
            <v>BENEVIEW T8</v>
          </cell>
          <cell r="M1855" t="str">
            <v>CF-45122815</v>
          </cell>
          <cell r="N1855" t="str">
            <v>OT</v>
          </cell>
          <cell r="O1855" t="str">
            <v>Dewan Bedah Utama (GOT)</v>
          </cell>
          <cell r="P1855" t="str">
            <v>HM</v>
          </cell>
          <cell r="Q1855">
            <v>32900</v>
          </cell>
        </row>
        <row r="1856">
          <cell r="E1856" t="str">
            <v>A104</v>
          </cell>
          <cell r="F1856" t="str">
            <v xml:space="preserve">Diagnostic </v>
          </cell>
          <cell r="G1856" t="str">
            <v>Intermediate</v>
          </cell>
          <cell r="H1856" t="str">
            <v>Physiologic Monitoring Systems, Acute Care</v>
          </cell>
          <cell r="I1856" t="str">
            <v>MONITOR MODULAR 8-CH ECG/RR/NIBP/SP02/2TEMP/2IBP</v>
          </cell>
          <cell r="J1856" t="str">
            <v>12-647</v>
          </cell>
          <cell r="K1856" t="str">
            <v>MINDRAY</v>
          </cell>
          <cell r="L1856" t="str">
            <v>BENEVIEW T8</v>
          </cell>
          <cell r="M1856" t="str">
            <v>CF-45122816</v>
          </cell>
          <cell r="N1856" t="str">
            <v>OT</v>
          </cell>
          <cell r="O1856" t="str">
            <v>Dewan Bedah Utama (GOT)</v>
          </cell>
          <cell r="P1856" t="str">
            <v>HM</v>
          </cell>
          <cell r="Q1856">
            <v>32900</v>
          </cell>
        </row>
        <row r="1857">
          <cell r="E1857" t="str">
            <v>A119</v>
          </cell>
          <cell r="F1857" t="str">
            <v xml:space="preserve">Diagnostic </v>
          </cell>
          <cell r="G1857" t="str">
            <v>Intermediate</v>
          </cell>
          <cell r="H1857" t="str">
            <v>Physiologic Monitoring Systems, Acute Care</v>
          </cell>
          <cell r="I1857" t="str">
            <v>MONITOR MODULAR 8-CH ECG/RR/NIBP/SP02/2TEMP/2IBP</v>
          </cell>
          <cell r="J1857" t="str">
            <v>12-647</v>
          </cell>
          <cell r="K1857" t="str">
            <v>MINDRAY</v>
          </cell>
          <cell r="L1857" t="str">
            <v>BENEVIEW T8</v>
          </cell>
          <cell r="M1857" t="str">
            <v>CF-45122782</v>
          </cell>
          <cell r="N1857" t="str">
            <v>OT</v>
          </cell>
          <cell r="O1857" t="str">
            <v>Dewan Bedah Utama (GOT)</v>
          </cell>
          <cell r="P1857" t="str">
            <v>HM</v>
          </cell>
          <cell r="Q1857">
            <v>32900</v>
          </cell>
        </row>
        <row r="1858">
          <cell r="E1858" t="str">
            <v>A125</v>
          </cell>
          <cell r="F1858" t="str">
            <v xml:space="preserve">Diagnostic </v>
          </cell>
          <cell r="G1858" t="str">
            <v>Intermediate</v>
          </cell>
          <cell r="H1858" t="str">
            <v>Physiologic Monitoring Systems, Acute Care</v>
          </cell>
          <cell r="I1858" t="str">
            <v>MONITOR MODULAR 8-CH ECG/RR/NIBP/SP02/2TEMP/2IBP</v>
          </cell>
          <cell r="J1858" t="str">
            <v>12-647</v>
          </cell>
          <cell r="K1858" t="str">
            <v>MINDRAY</v>
          </cell>
          <cell r="L1858" t="str">
            <v>BENEVIEW T8</v>
          </cell>
          <cell r="M1858" t="str">
            <v>CF-45122821</v>
          </cell>
          <cell r="N1858" t="str">
            <v>OT</v>
          </cell>
          <cell r="O1858" t="str">
            <v>Dewan Bedah Utama (GOT)</v>
          </cell>
          <cell r="P1858" t="str">
            <v>HM</v>
          </cell>
          <cell r="Q1858">
            <v>32900</v>
          </cell>
        </row>
        <row r="1859">
          <cell r="E1859" t="str">
            <v>A123</v>
          </cell>
          <cell r="F1859" t="str">
            <v xml:space="preserve">Diagnostic </v>
          </cell>
          <cell r="G1859" t="str">
            <v>Intermediate</v>
          </cell>
          <cell r="H1859" t="str">
            <v>Physiologic Monitoring Systems, Acute Care</v>
          </cell>
          <cell r="I1859" t="str">
            <v>MONITOR MODULAR 8-CH ECG/RR/NIBP/SP02/2TEMP/2IBP</v>
          </cell>
          <cell r="J1859" t="str">
            <v>12-647</v>
          </cell>
          <cell r="K1859" t="str">
            <v>MINDRAY</v>
          </cell>
          <cell r="L1859" t="str">
            <v>BENEVIEW T8</v>
          </cell>
          <cell r="M1859" t="str">
            <v>CF-45122823</v>
          </cell>
          <cell r="N1859" t="str">
            <v>OT</v>
          </cell>
          <cell r="O1859" t="str">
            <v>Dewan Bedah Utama (GOT)</v>
          </cell>
          <cell r="P1859" t="str">
            <v>HM</v>
          </cell>
          <cell r="Q1859">
            <v>32900</v>
          </cell>
        </row>
        <row r="1860">
          <cell r="E1860" t="str">
            <v>A0153</v>
          </cell>
          <cell r="F1860" t="str">
            <v xml:space="preserve">Diagnostic </v>
          </cell>
          <cell r="G1860" t="str">
            <v>Intermediate</v>
          </cell>
          <cell r="H1860" t="str">
            <v>Physiologic Monitoring Systems, Acute Care</v>
          </cell>
          <cell r="I1860" t="str">
            <v>MONITOR MODULAR 8-CH ECG/RR/NIBP/SP02/2TEMP/2IBP</v>
          </cell>
          <cell r="J1860" t="str">
            <v>12-647</v>
          </cell>
          <cell r="K1860" t="str">
            <v>MINDRAY</v>
          </cell>
          <cell r="L1860" t="str">
            <v>BENEVIEW T8</v>
          </cell>
          <cell r="M1860" t="str">
            <v>CF-45122824</v>
          </cell>
          <cell r="N1860" t="str">
            <v>OT</v>
          </cell>
          <cell r="O1860" t="str">
            <v>Dewan Bedah Utama (GOT)</v>
          </cell>
          <cell r="P1860" t="str">
            <v>HM</v>
          </cell>
          <cell r="Q1860">
            <v>32900</v>
          </cell>
        </row>
        <row r="1861">
          <cell r="E1861" t="str">
            <v>A112</v>
          </cell>
          <cell r="F1861" t="str">
            <v xml:space="preserve">Diagnostic </v>
          </cell>
          <cell r="G1861" t="str">
            <v>Intermediate</v>
          </cell>
          <cell r="H1861" t="str">
            <v>Physiologic Monitoring Systems, Acute Care</v>
          </cell>
          <cell r="I1861" t="str">
            <v>MONITOR MODULAR 8-CH ECG/RR/NIBP/SP02/2TEMP/2IBP</v>
          </cell>
          <cell r="J1861" t="str">
            <v>12-647</v>
          </cell>
          <cell r="K1861" t="str">
            <v>MINDRAY</v>
          </cell>
          <cell r="L1861" t="str">
            <v>BENEVIEW T8</v>
          </cell>
          <cell r="M1861" t="str">
            <v>CF-45122811</v>
          </cell>
          <cell r="N1861" t="str">
            <v>OT</v>
          </cell>
          <cell r="O1861" t="str">
            <v>Dewan Bedah Utama (GOT)</v>
          </cell>
          <cell r="P1861" t="str">
            <v>HM</v>
          </cell>
          <cell r="Q1861">
            <v>32900</v>
          </cell>
        </row>
        <row r="1862">
          <cell r="E1862" t="str">
            <v>A116</v>
          </cell>
          <cell r="F1862" t="str">
            <v xml:space="preserve">Diagnostic </v>
          </cell>
          <cell r="G1862" t="str">
            <v>Intermediate</v>
          </cell>
          <cell r="H1862" t="str">
            <v>Physiologic Monitoring Systems, Acute Care</v>
          </cell>
          <cell r="I1862" t="str">
            <v>MONITOR MODULAR 8-CH ECG/RR/NIBP/SP02/2TEMP/2IBP</v>
          </cell>
          <cell r="J1862" t="str">
            <v>12-647</v>
          </cell>
          <cell r="K1862" t="str">
            <v>MINDRAY</v>
          </cell>
          <cell r="L1862" t="str">
            <v>BENEVIEW T8</v>
          </cell>
          <cell r="M1862" t="str">
            <v>CF-45122818</v>
          </cell>
          <cell r="N1862" t="str">
            <v>OT</v>
          </cell>
          <cell r="O1862" t="str">
            <v>Dewan Bedah Utama (GOT)</v>
          </cell>
          <cell r="P1862" t="str">
            <v>HM</v>
          </cell>
          <cell r="Q1862">
            <v>32900</v>
          </cell>
        </row>
        <row r="1863">
          <cell r="E1863" t="str">
            <v>A0158</v>
          </cell>
          <cell r="F1863" t="str">
            <v xml:space="preserve">Diagnostic </v>
          </cell>
          <cell r="G1863" t="str">
            <v>Intermediate</v>
          </cell>
          <cell r="H1863" t="str">
            <v>Physiologic Monitoring Systems, Acute Care</v>
          </cell>
          <cell r="I1863" t="str">
            <v>MONITOR MODULAR 8-CH ECG/RR/NIBP/SP02/2TEMP/2IBP</v>
          </cell>
          <cell r="J1863" t="str">
            <v>12-647</v>
          </cell>
          <cell r="K1863" t="str">
            <v>MINDRAY</v>
          </cell>
          <cell r="L1863" t="str">
            <v>BENEVIEW T8</v>
          </cell>
          <cell r="M1863" t="str">
            <v>CF-45122822</v>
          </cell>
          <cell r="N1863" t="str">
            <v>OT</v>
          </cell>
          <cell r="O1863" t="str">
            <v>Dewan Bedah Utama (GOT)</v>
          </cell>
          <cell r="P1863" t="str">
            <v>HM</v>
          </cell>
          <cell r="Q1863">
            <v>32900</v>
          </cell>
        </row>
        <row r="1864">
          <cell r="E1864" t="str">
            <v>A123</v>
          </cell>
          <cell r="F1864" t="str">
            <v xml:space="preserve">Diagnostic </v>
          </cell>
          <cell r="G1864" t="str">
            <v>Intermediate</v>
          </cell>
          <cell r="H1864" t="str">
            <v>Physiologic Monitoring Systems, Acute Care</v>
          </cell>
          <cell r="I1864" t="str">
            <v>MONITOR MODULAR 8-CH ECG/RR/NIBP/SP02/2TEMP/2IBP</v>
          </cell>
          <cell r="J1864" t="str">
            <v>12-647</v>
          </cell>
          <cell r="K1864" t="str">
            <v>MINDRAY</v>
          </cell>
          <cell r="L1864" t="str">
            <v>BENEVIEW T8</v>
          </cell>
          <cell r="M1864" t="str">
            <v>CF-45122824</v>
          </cell>
          <cell r="N1864" t="str">
            <v>OT</v>
          </cell>
          <cell r="O1864" t="str">
            <v>Dewan Bedah Utama (GOT)</v>
          </cell>
          <cell r="P1864" t="str">
            <v>HM</v>
          </cell>
          <cell r="Q1864">
            <v>32900</v>
          </cell>
        </row>
        <row r="1865">
          <cell r="E1865" t="str">
            <v>A0169</v>
          </cell>
          <cell r="F1865" t="str">
            <v xml:space="preserve">Diagnostic </v>
          </cell>
          <cell r="G1865" t="str">
            <v>Intermediate</v>
          </cell>
          <cell r="H1865" t="str">
            <v>Physiologic Monitoring Systems, Acute Care</v>
          </cell>
          <cell r="I1865" t="str">
            <v>MONITOR MODULAR 8-CH ECG/RR/NIBP/SP02/2TEMP/2IBP</v>
          </cell>
          <cell r="J1865" t="str">
            <v>12-647</v>
          </cell>
          <cell r="K1865" t="str">
            <v>MINDRAY</v>
          </cell>
          <cell r="L1865" t="str">
            <v>BENEVIEW T8</v>
          </cell>
          <cell r="M1865" t="str">
            <v>CF-45122820</v>
          </cell>
          <cell r="N1865" t="str">
            <v>OT</v>
          </cell>
          <cell r="O1865" t="str">
            <v>Dewan Bedah Utama (GOT)</v>
          </cell>
          <cell r="P1865" t="str">
            <v>HM</v>
          </cell>
          <cell r="Q1865">
            <v>32900</v>
          </cell>
        </row>
        <row r="1866">
          <cell r="E1866" t="str">
            <v>A0148</v>
          </cell>
          <cell r="F1866" t="str">
            <v xml:space="preserve">Diagnostic </v>
          </cell>
          <cell r="G1866" t="str">
            <v>Intermediate</v>
          </cell>
          <cell r="H1866" t="str">
            <v>Physiologic Monitoring Systems, Acute Care</v>
          </cell>
          <cell r="I1866" t="str">
            <v>MONITOR MODULAR 8-CH ECG/RR/NIBP/SP02/2TEMP/2IBP</v>
          </cell>
          <cell r="J1866" t="str">
            <v>12-647</v>
          </cell>
          <cell r="K1866" t="str">
            <v>MINDRAY</v>
          </cell>
          <cell r="L1866" t="str">
            <v>BENEVIEW T8</v>
          </cell>
          <cell r="M1866" t="str">
            <v>CF-45122819</v>
          </cell>
          <cell r="N1866" t="str">
            <v>OT</v>
          </cell>
          <cell r="O1866" t="str">
            <v>Dewan Bedah Utama (GOT)</v>
          </cell>
          <cell r="P1866" t="str">
            <v>HM</v>
          </cell>
          <cell r="Q1866">
            <v>32900</v>
          </cell>
        </row>
        <row r="1867">
          <cell r="E1867" t="str">
            <v>A110</v>
          </cell>
          <cell r="F1867" t="str">
            <v xml:space="preserve">Diagnostic </v>
          </cell>
          <cell r="G1867" t="str">
            <v>Intermediate</v>
          </cell>
          <cell r="H1867" t="str">
            <v>Physiologic Monitoring Systems, Acute Care</v>
          </cell>
          <cell r="I1867" t="str">
            <v>MONITOR MODULAR 8-CH ECG/RR/NIBP/SP02/2TEMP/2IBP</v>
          </cell>
          <cell r="J1867" t="str">
            <v>12-647</v>
          </cell>
          <cell r="K1867" t="str">
            <v>MINDRAY</v>
          </cell>
          <cell r="L1867" t="str">
            <v>BENEVIEW T8</v>
          </cell>
          <cell r="M1867" t="str">
            <v>CF-45122814</v>
          </cell>
          <cell r="N1867" t="str">
            <v>OT</v>
          </cell>
          <cell r="O1867" t="str">
            <v>Dewan Bedah Utama (GOT)</v>
          </cell>
          <cell r="P1867" t="str">
            <v>HM</v>
          </cell>
          <cell r="Q1867">
            <v>32900</v>
          </cell>
        </row>
        <row r="1868">
          <cell r="E1868"/>
          <cell r="F1868" t="str">
            <v xml:space="preserve">Diagnostic </v>
          </cell>
          <cell r="G1868" t="str">
            <v>Intermediate</v>
          </cell>
          <cell r="H1868" t="str">
            <v>Physiologic Monitoring Systems, Acute Care</v>
          </cell>
          <cell r="I1868" t="str">
            <v>MONITOR MODULAR 8-CH ECG/RR/NIBP/SP02/2TEMP/2IBP</v>
          </cell>
          <cell r="J1868" t="str">
            <v>12-647</v>
          </cell>
          <cell r="K1868" t="str">
            <v>MINDRAY</v>
          </cell>
          <cell r="L1868" t="str">
            <v>BENEVIEW T8</v>
          </cell>
          <cell r="M1868"/>
          <cell r="N1868" t="str">
            <v>OT</v>
          </cell>
          <cell r="O1868" t="str">
            <v>Dewan Bedah Utama (GOT)</v>
          </cell>
          <cell r="P1868" t="str">
            <v>HM</v>
          </cell>
          <cell r="Q1868">
            <v>32900</v>
          </cell>
        </row>
        <row r="1869">
          <cell r="E1869" t="str">
            <v>KKM/JKN/HSA/10-05-01/H/15/2124</v>
          </cell>
          <cell r="F1869" t="str">
            <v xml:space="preserve">Diagnostic </v>
          </cell>
          <cell r="G1869" t="str">
            <v>Intermediate</v>
          </cell>
          <cell r="H1869" t="str">
            <v>Physiologic Monitoring Systems, Acute Care</v>
          </cell>
          <cell r="I1869" t="str">
            <v>MONITOR 4 CH, ECG/RR/NIBP/SP02/TEMP</v>
          </cell>
          <cell r="J1869" t="str">
            <v>12-647</v>
          </cell>
          <cell r="K1869" t="str">
            <v>MINDRAY</v>
          </cell>
          <cell r="L1869" t="str">
            <v>IMEC 12</v>
          </cell>
          <cell r="M1869" t="str">
            <v>EV-51016567</v>
          </cell>
          <cell r="N1869" t="str">
            <v>ANESTESIOLOGI</v>
          </cell>
          <cell r="O1869" t="str">
            <v>Dewan Bedah Utama (GOT)</v>
          </cell>
          <cell r="P1869" t="str">
            <v>HM</v>
          </cell>
          <cell r="Q1869">
            <v>9000</v>
          </cell>
        </row>
        <row r="1870">
          <cell r="E1870" t="str">
            <v>KKM/JKN/HSA/10-05-01/H/15/2125</v>
          </cell>
          <cell r="F1870" t="str">
            <v xml:space="preserve">Diagnostic </v>
          </cell>
          <cell r="G1870" t="str">
            <v>Intermediate</v>
          </cell>
          <cell r="H1870" t="str">
            <v>Physiologic Monitoring Systems, Acute Care</v>
          </cell>
          <cell r="I1870" t="str">
            <v>MONITOR 4 CH, ECG/RR/NIBP/SP02/TEMP</v>
          </cell>
          <cell r="J1870" t="str">
            <v>12-647</v>
          </cell>
          <cell r="K1870" t="str">
            <v>MINDRAY</v>
          </cell>
          <cell r="L1870" t="str">
            <v>IMEC 12</v>
          </cell>
          <cell r="M1870" t="str">
            <v>EV-51016568</v>
          </cell>
          <cell r="N1870" t="str">
            <v>ANESTESIOLOGI</v>
          </cell>
          <cell r="O1870" t="str">
            <v>Dewan Bedah Utama (GOT)</v>
          </cell>
          <cell r="P1870" t="str">
            <v>HM</v>
          </cell>
          <cell r="Q1870">
            <v>9000</v>
          </cell>
        </row>
        <row r="1871">
          <cell r="E1871"/>
          <cell r="F1871" t="str">
            <v xml:space="preserve">Diagnostic </v>
          </cell>
          <cell r="G1871" t="str">
            <v>Intermediate</v>
          </cell>
          <cell r="H1871" t="str">
            <v>Television Systems</v>
          </cell>
          <cell r="I1871" t="str">
            <v>MONITOR 20"</v>
          </cell>
          <cell r="J1871" t="str">
            <v>16-603</v>
          </cell>
          <cell r="K1871" t="str">
            <v>SONY</v>
          </cell>
          <cell r="L1871" t="str">
            <v>LMD-2110MD</v>
          </cell>
          <cell r="M1871"/>
          <cell r="N1871" t="str">
            <v>ANESTESIOLOGI</v>
          </cell>
          <cell r="O1871" t="str">
            <v>Dewan Bedah Utama (GOT)</v>
          </cell>
          <cell r="P1871" t="str">
            <v>HM</v>
          </cell>
          <cell r="Q1871">
            <v>3080</v>
          </cell>
        </row>
        <row r="1872">
          <cell r="E1872"/>
          <cell r="F1872" t="str">
            <v xml:space="preserve">Diagnostic </v>
          </cell>
          <cell r="G1872" t="str">
            <v>Intermediate</v>
          </cell>
          <cell r="H1872" t="str">
            <v>Television Systems</v>
          </cell>
          <cell r="I1872" t="str">
            <v>MONITOR 20"</v>
          </cell>
          <cell r="J1872" t="str">
            <v>16-603</v>
          </cell>
          <cell r="K1872" t="str">
            <v>SONY</v>
          </cell>
          <cell r="L1872" t="str">
            <v>LMD-2110MD</v>
          </cell>
          <cell r="M1872" t="str">
            <v>3203939S</v>
          </cell>
          <cell r="N1872" t="str">
            <v>ANESTESIOLOGI</v>
          </cell>
          <cell r="O1872" t="str">
            <v>Dewan Bedah Utama (GOT)</v>
          </cell>
          <cell r="P1872" t="str">
            <v>HM</v>
          </cell>
          <cell r="Q1872">
            <v>3080</v>
          </cell>
        </row>
        <row r="1873">
          <cell r="E1873"/>
          <cell r="F1873" t="str">
            <v xml:space="preserve">Diagnostic </v>
          </cell>
          <cell r="G1873" t="str">
            <v>Intermediate</v>
          </cell>
          <cell r="H1873" t="str">
            <v>Television Systems</v>
          </cell>
          <cell r="I1873" t="str">
            <v>MONITOR 20"</v>
          </cell>
          <cell r="J1873" t="str">
            <v>16-603</v>
          </cell>
          <cell r="K1873" t="str">
            <v>SONY</v>
          </cell>
          <cell r="L1873" t="str">
            <v>LMD-2110MD</v>
          </cell>
          <cell r="M1873" t="str">
            <v>3203929S</v>
          </cell>
          <cell r="N1873" t="str">
            <v>ANESTESIOLOGI</v>
          </cell>
          <cell r="O1873" t="str">
            <v>Dewan Bedah Utama (GOT)</v>
          </cell>
          <cell r="P1873" t="str">
            <v>HM</v>
          </cell>
          <cell r="Q1873">
            <v>3080</v>
          </cell>
        </row>
        <row r="1874">
          <cell r="E1874" t="str">
            <v>KKM/JKN/HSA/10-05-01/H/15/1166</v>
          </cell>
          <cell r="F1874" t="str">
            <v xml:space="preserve">Diagnostic </v>
          </cell>
          <cell r="G1874" t="str">
            <v>Intermediate</v>
          </cell>
          <cell r="H1874" t="str">
            <v>Microscopes, Light, Operating</v>
          </cell>
          <cell r="I1874" t="str">
            <v>MICROSCOPE OPERATING, (ENT)</v>
          </cell>
          <cell r="J1874" t="str">
            <v>12-539</v>
          </cell>
          <cell r="K1874" t="str">
            <v>MOLLER WEDEL</v>
          </cell>
          <cell r="L1874" t="str">
            <v xml:space="preserve">Hi-R700 / FS2-23 </v>
          </cell>
          <cell r="M1874" t="str">
            <v>1060/6264</v>
          </cell>
          <cell r="N1874" t="str">
            <v>OTORINOLARINGOLOGI</v>
          </cell>
          <cell r="O1874" t="str">
            <v>Dewan Bedah Utama (GOT)</v>
          </cell>
          <cell r="P1874" t="str">
            <v>HM</v>
          </cell>
          <cell r="Q1874">
            <v>265900</v>
          </cell>
        </row>
        <row r="1875">
          <cell r="E1875"/>
          <cell r="F1875" t="str">
            <v>Therapeutic</v>
          </cell>
          <cell r="G1875" t="str">
            <v>Basic</v>
          </cell>
          <cell r="H1875" t="str">
            <v>Mattress Systems, Alternating-Pressure</v>
          </cell>
          <cell r="I1875" t="str">
            <v>MATTRESS PRESSURE RELIEF</v>
          </cell>
          <cell r="J1875" t="str">
            <v>18-147</v>
          </cell>
          <cell r="K1875" t="str">
            <v>BANTEX</v>
          </cell>
          <cell r="L1875" t="str">
            <v>APM-5000-G</v>
          </cell>
          <cell r="M1875"/>
          <cell r="N1875" t="str">
            <v>ANESTESIOLOGI</v>
          </cell>
          <cell r="O1875" t="str">
            <v>Dewan Bedah Utama (GOT)</v>
          </cell>
          <cell r="P1875" t="str">
            <v>HM</v>
          </cell>
          <cell r="Q1875">
            <v>7250</v>
          </cell>
        </row>
        <row r="1876">
          <cell r="E1876" t="str">
            <v>KKM/JKN/HSA/10-05-01/H/16/174</v>
          </cell>
          <cell r="F1876" t="str">
            <v>Therapeutic</v>
          </cell>
          <cell r="G1876" t="str">
            <v>Basic</v>
          </cell>
          <cell r="H1876" t="str">
            <v>Loupes</v>
          </cell>
          <cell r="I1876" t="str">
            <v>LUP (LOUPE)/EYEMAG PRO F</v>
          </cell>
          <cell r="J1876" t="str">
            <v>15-652</v>
          </cell>
          <cell r="K1876" t="str">
            <v>CARL ZEISS</v>
          </cell>
          <cell r="L1876" t="str">
            <v>TPM</v>
          </cell>
          <cell r="M1876">
            <v>6905414221</v>
          </cell>
          <cell r="N1876" t="str">
            <v>ORTOPEDIK</v>
          </cell>
          <cell r="O1876" t="str">
            <v>Dewan Bedah Utama (GOT)</v>
          </cell>
          <cell r="P1876" t="str">
            <v>HM</v>
          </cell>
          <cell r="Q1876">
            <v>6989</v>
          </cell>
        </row>
        <row r="1877">
          <cell r="E1877" t="str">
            <v>KKM/JKN/HSA/10-01-01/H/15/1330</v>
          </cell>
          <cell r="F1877" t="str">
            <v xml:space="preserve">Diagnostic </v>
          </cell>
          <cell r="G1877" t="str">
            <v>Basic</v>
          </cell>
          <cell r="H1877" t="str">
            <v>Light Sources, Fiberoptic, Flexible Endoscopic</v>
          </cell>
          <cell r="I1877" t="str">
            <v>LIGHT SOURCE XENON 300 WATTS</v>
          </cell>
          <cell r="J1877" t="str">
            <v>12-343</v>
          </cell>
          <cell r="K1877" t="str">
            <v>OLYMPUS</v>
          </cell>
          <cell r="L1877" t="str">
            <v>CLV-190</v>
          </cell>
          <cell r="M1877"/>
          <cell r="N1877" t="str">
            <v>ANESTESIOLOGI</v>
          </cell>
          <cell r="O1877" t="str">
            <v>Dewan Bedah Utama (GOT)</v>
          </cell>
          <cell r="P1877" t="str">
            <v>HM</v>
          </cell>
          <cell r="Q1877">
            <v>24700</v>
          </cell>
        </row>
        <row r="1878">
          <cell r="E1878" t="str">
            <v>KKM/JKN/HSA/10-01-01/H/15/1331</v>
          </cell>
          <cell r="F1878" t="str">
            <v xml:space="preserve">Diagnostic </v>
          </cell>
          <cell r="G1878" t="str">
            <v>Basic</v>
          </cell>
          <cell r="H1878" t="str">
            <v>Light Sources, Fiberoptic, Flexible Endoscopic</v>
          </cell>
          <cell r="I1878" t="str">
            <v>LIGHT SOURCE XENON 300 WATTS</v>
          </cell>
          <cell r="J1878" t="str">
            <v>12-343</v>
          </cell>
          <cell r="K1878" t="str">
            <v>OLYMPUS</v>
          </cell>
          <cell r="L1878" t="str">
            <v>CLV-190</v>
          </cell>
          <cell r="M1878"/>
          <cell r="N1878" t="str">
            <v>ANESTESIOLOGI</v>
          </cell>
          <cell r="O1878" t="str">
            <v>Dewan Bedah Utama (GOT)</v>
          </cell>
          <cell r="P1878" t="str">
            <v>HM</v>
          </cell>
          <cell r="Q1878">
            <v>24700</v>
          </cell>
        </row>
        <row r="1879">
          <cell r="E1879" t="str">
            <v>KKM/JKN/HSA/10-01-01/H/15/1332</v>
          </cell>
          <cell r="F1879" t="str">
            <v xml:space="preserve">Diagnostic </v>
          </cell>
          <cell r="G1879" t="str">
            <v>Basic</v>
          </cell>
          <cell r="H1879" t="str">
            <v>Light Sources, Fiberoptic, Flexible Endoscopic</v>
          </cell>
          <cell r="I1879" t="str">
            <v>LIGHT SOURCE XENON 300 WATTS</v>
          </cell>
          <cell r="J1879" t="str">
            <v>12-343</v>
          </cell>
          <cell r="K1879" t="str">
            <v>OLYMPUS</v>
          </cell>
          <cell r="L1879" t="str">
            <v>CLV-190</v>
          </cell>
          <cell r="M1879"/>
          <cell r="N1879" t="str">
            <v>ANESTESIOLOGI</v>
          </cell>
          <cell r="O1879" t="str">
            <v>Dewan Bedah Utama (GOT)</v>
          </cell>
          <cell r="P1879" t="str">
            <v>HM</v>
          </cell>
          <cell r="Q1879">
            <v>24700</v>
          </cell>
        </row>
        <row r="1880">
          <cell r="E1880" t="str">
            <v>KKM/JKN/HSA/10-05-01/R/15/6818</v>
          </cell>
          <cell r="F1880" t="str">
            <v xml:space="preserve">Diagnostic </v>
          </cell>
          <cell r="G1880" t="str">
            <v>Basic</v>
          </cell>
          <cell r="H1880" t="str">
            <v>Light Sources, Fiberoptic</v>
          </cell>
          <cell r="I1880" t="str">
            <v>LIGHT GUIDE 3.5MM</v>
          </cell>
          <cell r="J1880" t="str">
            <v>12-345</v>
          </cell>
          <cell r="K1880" t="str">
            <v>OLYMPUS</v>
          </cell>
          <cell r="L1880" t="str">
            <v>VARIOUS</v>
          </cell>
          <cell r="M1880"/>
          <cell r="N1880" t="str">
            <v>ANESTESIOLOGI</v>
          </cell>
          <cell r="O1880" t="str">
            <v>Dewan Bedah Utama (GOT)</v>
          </cell>
          <cell r="P1880" t="str">
            <v>ABR</v>
          </cell>
          <cell r="Q1880">
            <v>1930</v>
          </cell>
        </row>
        <row r="1881">
          <cell r="E1881" t="str">
            <v>KKM/JKN/HSA/10-05-01/R/15/6819</v>
          </cell>
          <cell r="F1881" t="str">
            <v xml:space="preserve">Diagnostic </v>
          </cell>
          <cell r="G1881" t="str">
            <v>Basic</v>
          </cell>
          <cell r="H1881" t="str">
            <v>Light Sources, Fiberoptic</v>
          </cell>
          <cell r="I1881" t="str">
            <v>LIGHT GUIDE 3.5MM</v>
          </cell>
          <cell r="J1881" t="str">
            <v>12-345</v>
          </cell>
          <cell r="K1881" t="str">
            <v>OLYMPUS</v>
          </cell>
          <cell r="L1881" t="str">
            <v>VARIOUS</v>
          </cell>
          <cell r="M1881"/>
          <cell r="N1881" t="str">
            <v>ANESTESIOLOGI</v>
          </cell>
          <cell r="O1881" t="str">
            <v>Dewan Bedah Utama (GOT)</v>
          </cell>
          <cell r="P1881" t="str">
            <v>ABR</v>
          </cell>
          <cell r="Q1881">
            <v>1930</v>
          </cell>
        </row>
        <row r="1882">
          <cell r="E1882" t="str">
            <v>KKM/JKN/HSA/10-05-01/R/15/6821</v>
          </cell>
          <cell r="F1882" t="str">
            <v xml:space="preserve">Diagnostic </v>
          </cell>
          <cell r="G1882" t="str">
            <v>Basic</v>
          </cell>
          <cell r="H1882" t="str">
            <v>Light Sources, Fiberoptic</v>
          </cell>
          <cell r="I1882" t="str">
            <v>LIGHT GUIDE 3.5MM</v>
          </cell>
          <cell r="J1882" t="str">
            <v>12-345</v>
          </cell>
          <cell r="K1882" t="str">
            <v>OLYMPUS</v>
          </cell>
          <cell r="L1882" t="str">
            <v>VARIOUS</v>
          </cell>
          <cell r="M1882"/>
          <cell r="N1882" t="str">
            <v>ANESTESIOLOGI</v>
          </cell>
          <cell r="O1882" t="str">
            <v>Dewan Bedah Utama (GOT)</v>
          </cell>
          <cell r="P1882" t="str">
            <v>ABR</v>
          </cell>
          <cell r="Q1882">
            <v>1930</v>
          </cell>
        </row>
        <row r="1883">
          <cell r="E1883"/>
          <cell r="F1883" t="str">
            <v xml:space="preserve">Diagnostic </v>
          </cell>
          <cell r="G1883" t="str">
            <v>Basic</v>
          </cell>
          <cell r="H1883" t="str">
            <v>Laryngoscopes, Rigid</v>
          </cell>
          <cell r="I1883" t="str">
            <v>LARYNGOSCOPE C/W 3 BLADES ADULT</v>
          </cell>
          <cell r="J1883" t="str">
            <v>15-076</v>
          </cell>
          <cell r="K1883" t="str">
            <v>WELCH ALLYN</v>
          </cell>
          <cell r="L1883" t="str">
            <v>WELCH ALLYN</v>
          </cell>
          <cell r="M1883"/>
          <cell r="N1883" t="str">
            <v>ANESTESIOLOGI</v>
          </cell>
          <cell r="O1883" t="str">
            <v>Dewan Bedah Utama (GOT)</v>
          </cell>
          <cell r="P1883" t="str">
            <v>HM</v>
          </cell>
          <cell r="Q1883">
            <v>2000</v>
          </cell>
        </row>
        <row r="1884">
          <cell r="E1884"/>
          <cell r="F1884" t="str">
            <v xml:space="preserve">Diagnostic </v>
          </cell>
          <cell r="G1884" t="str">
            <v>Basic</v>
          </cell>
          <cell r="H1884" t="str">
            <v>Laryngoscopes, Rigid</v>
          </cell>
          <cell r="I1884" t="str">
            <v>LARYNGOSCOPE C/W 3 BLADES ADULT</v>
          </cell>
          <cell r="J1884" t="str">
            <v>15-076</v>
          </cell>
          <cell r="K1884" t="str">
            <v>WELCH ALLYN</v>
          </cell>
          <cell r="L1884" t="str">
            <v>WELCH ALLYN</v>
          </cell>
          <cell r="M1884"/>
          <cell r="N1884" t="str">
            <v>ANESTESIOLOGI</v>
          </cell>
          <cell r="O1884" t="str">
            <v>Dewan Bedah Utama (GOT)</v>
          </cell>
          <cell r="P1884" t="str">
            <v>HM</v>
          </cell>
          <cell r="Q1884">
            <v>2000</v>
          </cell>
        </row>
        <row r="1885">
          <cell r="E1885"/>
          <cell r="F1885" t="str">
            <v xml:space="preserve">Diagnostic </v>
          </cell>
          <cell r="G1885" t="str">
            <v>Basic</v>
          </cell>
          <cell r="H1885" t="str">
            <v>Laryngoscopes, Rigid</v>
          </cell>
          <cell r="I1885" t="str">
            <v>LARYNGOSCOPE C/W 3 BLADES ADULT</v>
          </cell>
          <cell r="J1885" t="str">
            <v>15-076</v>
          </cell>
          <cell r="K1885" t="str">
            <v>WELCH ALLYN</v>
          </cell>
          <cell r="L1885" t="str">
            <v>WELCH ALLYN</v>
          </cell>
          <cell r="M1885"/>
          <cell r="N1885" t="str">
            <v>ANESTESIOLOGI</v>
          </cell>
          <cell r="O1885" t="str">
            <v>Dewan Bedah Utama (GOT)</v>
          </cell>
          <cell r="P1885" t="str">
            <v>HM</v>
          </cell>
          <cell r="Q1885">
            <v>2000</v>
          </cell>
        </row>
        <row r="1886">
          <cell r="E1886"/>
          <cell r="F1886" t="str">
            <v xml:space="preserve">Diagnostic </v>
          </cell>
          <cell r="G1886" t="str">
            <v>Basic</v>
          </cell>
          <cell r="H1886" t="str">
            <v>Laryngoscopes, Rigid</v>
          </cell>
          <cell r="I1886" t="str">
            <v>LARYNGOSCOPE C/W 3 BLADES ADULT</v>
          </cell>
          <cell r="J1886" t="str">
            <v>15-076</v>
          </cell>
          <cell r="K1886" t="str">
            <v>WELCH ALLYN</v>
          </cell>
          <cell r="L1886" t="str">
            <v>WELCH ALLYN</v>
          </cell>
          <cell r="M1886"/>
          <cell r="N1886" t="str">
            <v>ANESTESIOLOGI</v>
          </cell>
          <cell r="O1886" t="str">
            <v>Dewan Bedah Utama (GOT)</v>
          </cell>
          <cell r="P1886" t="str">
            <v>HM</v>
          </cell>
          <cell r="Q1886">
            <v>2000</v>
          </cell>
        </row>
        <row r="1887">
          <cell r="E1887"/>
          <cell r="F1887" t="str">
            <v xml:space="preserve">Diagnostic </v>
          </cell>
          <cell r="G1887" t="str">
            <v>Basic</v>
          </cell>
          <cell r="H1887" t="str">
            <v>Laryngoscopes, Rigid</v>
          </cell>
          <cell r="I1887" t="str">
            <v>LARYNGOSCOPE C/W 3 BLADES ADULT</v>
          </cell>
          <cell r="J1887" t="str">
            <v>15-076</v>
          </cell>
          <cell r="K1887" t="str">
            <v>WELCH ALLYN</v>
          </cell>
          <cell r="L1887" t="str">
            <v>WELCH ALLYN</v>
          </cell>
          <cell r="M1887"/>
          <cell r="N1887" t="str">
            <v>ANESTESIOLOGI</v>
          </cell>
          <cell r="O1887" t="str">
            <v>Dewan Bedah Utama (GOT)</v>
          </cell>
          <cell r="P1887" t="str">
            <v>HM</v>
          </cell>
          <cell r="Q1887">
            <v>2000</v>
          </cell>
        </row>
        <row r="1888">
          <cell r="E1888"/>
          <cell r="F1888" t="str">
            <v xml:space="preserve">Diagnostic </v>
          </cell>
          <cell r="G1888" t="str">
            <v>Basic</v>
          </cell>
          <cell r="H1888" t="str">
            <v>Laryngoscopes, Rigid</v>
          </cell>
          <cell r="I1888" t="str">
            <v>LARYNGOSCOPE C/W 3 BLADES ADULT</v>
          </cell>
          <cell r="J1888" t="str">
            <v>15-076</v>
          </cell>
          <cell r="K1888" t="str">
            <v>WELCH ALLYN</v>
          </cell>
          <cell r="L1888" t="str">
            <v>WELCH ALLYN</v>
          </cell>
          <cell r="M1888"/>
          <cell r="N1888" t="str">
            <v>ANESTESIOLOGI</v>
          </cell>
          <cell r="O1888" t="str">
            <v>Dewan Bedah Utama (GOT)</v>
          </cell>
          <cell r="P1888" t="str">
            <v>HM</v>
          </cell>
          <cell r="Q1888">
            <v>2000</v>
          </cell>
        </row>
        <row r="1889">
          <cell r="E1889"/>
          <cell r="F1889" t="str">
            <v xml:space="preserve">Diagnostic </v>
          </cell>
          <cell r="G1889" t="str">
            <v>Basic</v>
          </cell>
          <cell r="H1889" t="str">
            <v>Laryngoscopes, Rigid</v>
          </cell>
          <cell r="I1889" t="str">
            <v>LARYNGOSCOPE C/W 3 BLADES ADULT</v>
          </cell>
          <cell r="J1889" t="str">
            <v>15-076</v>
          </cell>
          <cell r="K1889" t="str">
            <v>WELCH ALLYN</v>
          </cell>
          <cell r="L1889" t="str">
            <v>WELCH ALLYN</v>
          </cell>
          <cell r="M1889"/>
          <cell r="N1889" t="str">
            <v>ANESTESIOLOGI</v>
          </cell>
          <cell r="O1889" t="str">
            <v>Dewan Bedah Utama (GOT)</v>
          </cell>
          <cell r="P1889" t="str">
            <v>HM</v>
          </cell>
          <cell r="Q1889">
            <v>2000</v>
          </cell>
        </row>
        <row r="1890">
          <cell r="E1890"/>
          <cell r="F1890" t="str">
            <v xml:space="preserve">Diagnostic </v>
          </cell>
          <cell r="G1890" t="str">
            <v>Basic</v>
          </cell>
          <cell r="H1890" t="str">
            <v>Laryngoscopes, Rigid</v>
          </cell>
          <cell r="I1890" t="str">
            <v>LARYNGOSCOPE C/W 3 BLADES ADULT</v>
          </cell>
          <cell r="J1890" t="str">
            <v>15-076</v>
          </cell>
          <cell r="K1890" t="str">
            <v>WELCH ALLYN</v>
          </cell>
          <cell r="L1890" t="str">
            <v>WELCH ALLYN</v>
          </cell>
          <cell r="M1890"/>
          <cell r="N1890" t="str">
            <v>ANESTESIOLOGI</v>
          </cell>
          <cell r="O1890" t="str">
            <v>Dewan Bedah Utama (GOT)</v>
          </cell>
          <cell r="P1890" t="str">
            <v>HM</v>
          </cell>
          <cell r="Q1890">
            <v>2000</v>
          </cell>
        </row>
        <row r="1891">
          <cell r="E1891"/>
          <cell r="F1891" t="str">
            <v xml:space="preserve">Diagnostic </v>
          </cell>
          <cell r="G1891" t="str">
            <v>Basic</v>
          </cell>
          <cell r="H1891" t="str">
            <v>Laryngoscopes, Rigid</v>
          </cell>
          <cell r="I1891" t="str">
            <v>LARYNGOSCOPE C/W 3 BLADES ADULT</v>
          </cell>
          <cell r="J1891" t="str">
            <v>15-076</v>
          </cell>
          <cell r="K1891" t="str">
            <v>WELCH ALLYN</v>
          </cell>
          <cell r="L1891" t="str">
            <v>WELCH ALLYN</v>
          </cell>
          <cell r="M1891"/>
          <cell r="N1891" t="str">
            <v>ANESTESIOLOGI</v>
          </cell>
          <cell r="O1891" t="str">
            <v>Dewan Bedah Utama (GOT)</v>
          </cell>
          <cell r="P1891" t="str">
            <v>HM</v>
          </cell>
          <cell r="Q1891">
            <v>2000</v>
          </cell>
        </row>
        <row r="1892">
          <cell r="E1892"/>
          <cell r="F1892" t="str">
            <v xml:space="preserve">Diagnostic </v>
          </cell>
          <cell r="G1892" t="str">
            <v>Basic</v>
          </cell>
          <cell r="H1892" t="str">
            <v>Laryngoscopes, Rigid</v>
          </cell>
          <cell r="I1892" t="str">
            <v>LARYNGOSCOPE C/W 3 BLADES ADULT</v>
          </cell>
          <cell r="J1892" t="str">
            <v>15-076</v>
          </cell>
          <cell r="K1892" t="str">
            <v>WELCH ALLYN</v>
          </cell>
          <cell r="L1892" t="str">
            <v>WELCH ALLYN</v>
          </cell>
          <cell r="M1892"/>
          <cell r="N1892" t="str">
            <v>ANESTESIOLOGI</v>
          </cell>
          <cell r="O1892" t="str">
            <v>Dewan Bedah Utama (GOT)</v>
          </cell>
          <cell r="P1892" t="str">
            <v>HM</v>
          </cell>
          <cell r="Q1892">
            <v>2000</v>
          </cell>
        </row>
        <row r="1893">
          <cell r="E1893" t="str">
            <v>KKM/JKN/HSA/10-05-01/H/16/8</v>
          </cell>
          <cell r="F1893" t="str">
            <v xml:space="preserve">Diagnostic </v>
          </cell>
          <cell r="G1893" t="str">
            <v>Intermediate</v>
          </cell>
          <cell r="H1893" t="str">
            <v>Laparoscopes</v>
          </cell>
          <cell r="I1893" t="str">
            <v>LAPAROSCOPE/TROCAR</v>
          </cell>
          <cell r="J1893" t="str">
            <v>12-291</v>
          </cell>
          <cell r="K1893" t="str">
            <v>KARL STORZ</v>
          </cell>
          <cell r="L1893" t="str">
            <v>TPM</v>
          </cell>
          <cell r="M1893"/>
          <cell r="N1893" t="str">
            <v>ANESTESIOLOGI</v>
          </cell>
          <cell r="O1893" t="str">
            <v>Dewan Bedah Utama (GOT)</v>
          </cell>
          <cell r="P1893" t="str">
            <v>HM</v>
          </cell>
          <cell r="Q1893">
            <v>2032</v>
          </cell>
        </row>
        <row r="1894">
          <cell r="E1894" t="str">
            <v>KKM/JKN/HSA/10-05-01/H/16/9</v>
          </cell>
          <cell r="F1894" t="str">
            <v xml:space="preserve">Diagnostic </v>
          </cell>
          <cell r="G1894" t="str">
            <v>Intermediate</v>
          </cell>
          <cell r="H1894" t="str">
            <v>Laparoscopes</v>
          </cell>
          <cell r="I1894" t="str">
            <v>LAPAROSCOPE/TROCAR</v>
          </cell>
          <cell r="J1894" t="str">
            <v>12-291</v>
          </cell>
          <cell r="K1894" t="str">
            <v>KARL STORZ</v>
          </cell>
          <cell r="L1894" t="str">
            <v>TPM</v>
          </cell>
          <cell r="M1894"/>
          <cell r="N1894" t="str">
            <v>ANESTESIOLOGI</v>
          </cell>
          <cell r="O1894" t="str">
            <v>Dewan Bedah Utama (GOT)</v>
          </cell>
          <cell r="P1894" t="str">
            <v>HM</v>
          </cell>
          <cell r="Q1894">
            <v>2032</v>
          </cell>
        </row>
        <row r="1895">
          <cell r="E1895" t="str">
            <v>KKM/JKN/HSA/10-05-01/H/15/4876</v>
          </cell>
          <cell r="F1895" t="str">
            <v>Therapeutic</v>
          </cell>
          <cell r="G1895" t="str">
            <v>Basic</v>
          </cell>
          <cell r="H1895" t="str">
            <v>Lights, Surgical</v>
          </cell>
          <cell r="I1895" t="str">
            <v>LAMP OPERATING MAJOR + SATELLITE C/W UPS</v>
          </cell>
          <cell r="J1895" t="str">
            <v>12-282</v>
          </cell>
          <cell r="K1895" t="str">
            <v>TRUMPF MEDIZIN</v>
          </cell>
          <cell r="L1895" t="str">
            <v>TRULIGHT 5300/5300</v>
          </cell>
          <cell r="M1895" t="str">
            <v>102107335 / 102113643</v>
          </cell>
          <cell r="N1895" t="str">
            <v>OT</v>
          </cell>
          <cell r="O1895" t="str">
            <v>Dewan Bedah Utama (GOT)</v>
          </cell>
          <cell r="P1895" t="str">
            <v>HM</v>
          </cell>
          <cell r="Q1895">
            <v>82550</v>
          </cell>
        </row>
        <row r="1896">
          <cell r="E1896" t="str">
            <v>KKM/JKN/HSA/10-05-01/H/15/4877</v>
          </cell>
          <cell r="F1896" t="str">
            <v>Therapeutic</v>
          </cell>
          <cell r="G1896" t="str">
            <v>Basic</v>
          </cell>
          <cell r="H1896" t="str">
            <v>Lights, Surgical</v>
          </cell>
          <cell r="I1896" t="str">
            <v>LAMP OPERATING MAJOR + SATELLITE C/W UPS</v>
          </cell>
          <cell r="J1896" t="str">
            <v>12-282</v>
          </cell>
          <cell r="K1896" t="str">
            <v>TRUMPF MEDIZIN</v>
          </cell>
          <cell r="L1896" t="str">
            <v>TRULIGHT 5300/5300</v>
          </cell>
          <cell r="M1896" t="str">
            <v>102108727 / 102107331</v>
          </cell>
          <cell r="N1896" t="str">
            <v>OT</v>
          </cell>
          <cell r="O1896" t="str">
            <v>Dewan Bedah Utama (GOT)</v>
          </cell>
          <cell r="P1896" t="str">
            <v>HM</v>
          </cell>
          <cell r="Q1896">
            <v>82550</v>
          </cell>
        </row>
        <row r="1897">
          <cell r="E1897" t="str">
            <v>KKM/JKN/HSA/10-05-01/H/15/4878</v>
          </cell>
          <cell r="F1897" t="str">
            <v>Therapeutic</v>
          </cell>
          <cell r="G1897" t="str">
            <v>Basic</v>
          </cell>
          <cell r="H1897" t="str">
            <v>Lights, Surgical</v>
          </cell>
          <cell r="I1897" t="str">
            <v>LAMP OPERATING MAJOR + SATELLITE C/W UPS</v>
          </cell>
          <cell r="J1897" t="str">
            <v>12-282</v>
          </cell>
          <cell r="K1897" t="str">
            <v>TRUMPF MEDIZIN</v>
          </cell>
          <cell r="L1897" t="str">
            <v>TRULIGHT 5300/5300</v>
          </cell>
          <cell r="M1897" t="str">
            <v>102107333 / 102113645</v>
          </cell>
          <cell r="N1897" t="str">
            <v>OT</v>
          </cell>
          <cell r="O1897" t="str">
            <v>Dewan Bedah Utama (GOT)</v>
          </cell>
          <cell r="P1897" t="str">
            <v>HM</v>
          </cell>
          <cell r="Q1897">
            <v>82550</v>
          </cell>
        </row>
        <row r="1898">
          <cell r="E1898" t="str">
            <v>KKM/JKN/HSA/10-05-01/H/15/4879</v>
          </cell>
          <cell r="F1898" t="str">
            <v>Therapeutic</v>
          </cell>
          <cell r="G1898" t="str">
            <v>Basic</v>
          </cell>
          <cell r="H1898" t="str">
            <v>Lights, Surgical</v>
          </cell>
          <cell r="I1898" t="str">
            <v>LAMP OPERATING MAJOR + SATELLITE C/W UPS</v>
          </cell>
          <cell r="J1898" t="str">
            <v>12-282</v>
          </cell>
          <cell r="K1898" t="str">
            <v>TRUMPF MEDIZIN</v>
          </cell>
          <cell r="L1898" t="str">
            <v>TRULIGHT 5300/5300</v>
          </cell>
          <cell r="M1898" t="str">
            <v>102107341 / 102107330</v>
          </cell>
          <cell r="N1898" t="str">
            <v>OT</v>
          </cell>
          <cell r="O1898" t="str">
            <v>Dewan Bedah Utama (GOT)</v>
          </cell>
          <cell r="P1898" t="str">
            <v>HM</v>
          </cell>
          <cell r="Q1898">
            <v>82550</v>
          </cell>
        </row>
        <row r="1899">
          <cell r="E1899" t="str">
            <v>KKM/JKN/HSA/10-05-01/H/15/4880</v>
          </cell>
          <cell r="F1899" t="str">
            <v>Therapeutic</v>
          </cell>
          <cell r="G1899" t="str">
            <v>Basic</v>
          </cell>
          <cell r="H1899" t="str">
            <v>Lights, Surgical</v>
          </cell>
          <cell r="I1899" t="str">
            <v>LAMP OPERATING MAJOR + SATELLITE C/W UPS</v>
          </cell>
          <cell r="J1899" t="str">
            <v>12-282</v>
          </cell>
          <cell r="K1899" t="str">
            <v>TRUMPF MEDIZIN</v>
          </cell>
          <cell r="L1899" t="str">
            <v>TRULIGHT 5300/5300</v>
          </cell>
          <cell r="M1899" t="str">
            <v>102108729 / 102107336</v>
          </cell>
          <cell r="N1899" t="str">
            <v>OT</v>
          </cell>
          <cell r="O1899" t="str">
            <v>Dewan Bedah Utama (GOT)</v>
          </cell>
          <cell r="P1899" t="str">
            <v>HM</v>
          </cell>
          <cell r="Q1899">
            <v>82550</v>
          </cell>
        </row>
        <row r="1900">
          <cell r="E1900" t="str">
            <v>KKM/JKN/HSA/10-05-01/H/15/4881</v>
          </cell>
          <cell r="F1900" t="str">
            <v>Therapeutic</v>
          </cell>
          <cell r="G1900" t="str">
            <v>Basic</v>
          </cell>
          <cell r="H1900" t="str">
            <v>Lights, Surgical</v>
          </cell>
          <cell r="I1900" t="str">
            <v>LAMP OPERATING MAJOR + SATELLITE C/W UPS</v>
          </cell>
          <cell r="J1900" t="str">
            <v>12-282</v>
          </cell>
          <cell r="K1900" t="str">
            <v>TRUMPF MEDIZIN</v>
          </cell>
          <cell r="L1900" t="str">
            <v>TRULIGHT 5300/5300</v>
          </cell>
          <cell r="M1900" t="str">
            <v>102107334 / 102113642</v>
          </cell>
          <cell r="N1900" t="str">
            <v>OT</v>
          </cell>
          <cell r="O1900" t="str">
            <v>Dewan Bedah Utama (GOT)</v>
          </cell>
          <cell r="P1900" t="str">
            <v>HM</v>
          </cell>
          <cell r="Q1900">
            <v>82550</v>
          </cell>
        </row>
        <row r="1901">
          <cell r="E1901" t="str">
            <v>KKM/JKN/HSA/10-05-01/H/15/4882</v>
          </cell>
          <cell r="F1901" t="str">
            <v>Therapeutic</v>
          </cell>
          <cell r="G1901" t="str">
            <v>Basic</v>
          </cell>
          <cell r="H1901" t="str">
            <v>Lights, Surgical</v>
          </cell>
          <cell r="I1901" t="str">
            <v>LAMP OPERATING MAJOR + SATELLITE C/W UPS</v>
          </cell>
          <cell r="J1901" t="str">
            <v>12-282</v>
          </cell>
          <cell r="K1901" t="str">
            <v>TRUMPF MEDIZIN</v>
          </cell>
          <cell r="L1901" t="str">
            <v>TRULIGHT 5300/5300</v>
          </cell>
          <cell r="M1901" t="str">
            <v>102107332 / 102108726</v>
          </cell>
          <cell r="N1901" t="str">
            <v>OT</v>
          </cell>
          <cell r="O1901" t="str">
            <v>Dewan Bedah Utama (GOT)</v>
          </cell>
          <cell r="P1901" t="str">
            <v>HM</v>
          </cell>
          <cell r="Q1901">
            <v>82550</v>
          </cell>
        </row>
        <row r="1902">
          <cell r="E1902" t="str">
            <v>KKM/JKN/HSA/10-05-01/H/15/4883</v>
          </cell>
          <cell r="F1902" t="str">
            <v>Therapeutic</v>
          </cell>
          <cell r="G1902" t="str">
            <v>Basic</v>
          </cell>
          <cell r="H1902" t="str">
            <v>Lights, Surgical</v>
          </cell>
          <cell r="I1902" t="str">
            <v>LAMP OPERATING MAJOR + SATELLITE C/W UPS</v>
          </cell>
          <cell r="J1902" t="str">
            <v>12-282</v>
          </cell>
          <cell r="K1902" t="str">
            <v>TRUMPF MEDIZIN</v>
          </cell>
          <cell r="L1902" t="str">
            <v>TRULIGHT 5300/5300</v>
          </cell>
          <cell r="M1902" t="str">
            <v>102107337 / 102108731</v>
          </cell>
          <cell r="N1902" t="str">
            <v>OT</v>
          </cell>
          <cell r="O1902" t="str">
            <v>Dewan Bedah Utama (GOT)</v>
          </cell>
          <cell r="P1902" t="str">
            <v>HM</v>
          </cell>
          <cell r="Q1902">
            <v>82550</v>
          </cell>
        </row>
        <row r="1903">
          <cell r="E1903" t="str">
            <v>KKM/JKN/HSA/10-05-01/H/15/1699</v>
          </cell>
          <cell r="F1903" t="str">
            <v>Therapeutic</v>
          </cell>
          <cell r="G1903" t="str">
            <v>Intermediate</v>
          </cell>
          <cell r="H1903" t="str">
            <v>Insufflators, Laparoscopic</v>
          </cell>
          <cell r="I1903" t="str">
            <v>INSUFFLATOR CO2/LAPAROSCOPY</v>
          </cell>
          <cell r="J1903" t="str">
            <v>16-849</v>
          </cell>
          <cell r="K1903" t="str">
            <v>OLYMPUS</v>
          </cell>
          <cell r="L1903" t="str">
            <v>UHI-3</v>
          </cell>
          <cell r="M1903"/>
          <cell r="N1903" t="str">
            <v>ANESTESIOLOGI</v>
          </cell>
          <cell r="O1903" t="str">
            <v>Dewan Bedah Utama (GOT)</v>
          </cell>
          <cell r="P1903" t="str">
            <v>HM</v>
          </cell>
          <cell r="Q1903">
            <v>16870</v>
          </cell>
        </row>
        <row r="1904">
          <cell r="E1904" t="str">
            <v>KKM/JKN/HSA/10-05-01/H/15/1700</v>
          </cell>
          <cell r="F1904" t="str">
            <v>Therapeutic</v>
          </cell>
          <cell r="G1904" t="str">
            <v>Intermediate</v>
          </cell>
          <cell r="H1904" t="str">
            <v>Insufflators, Laparoscopic</v>
          </cell>
          <cell r="I1904" t="str">
            <v>INSUFFLATOR CO2/LAPAROSCOPY</v>
          </cell>
          <cell r="J1904" t="str">
            <v>16-849</v>
          </cell>
          <cell r="K1904" t="str">
            <v>OLYMPUS</v>
          </cell>
          <cell r="L1904" t="str">
            <v>UHI-4</v>
          </cell>
          <cell r="M1904"/>
          <cell r="N1904" t="str">
            <v>ANESTESIOLOGI</v>
          </cell>
          <cell r="O1904" t="str">
            <v>Dewan Bedah Utama (GOT)</v>
          </cell>
          <cell r="P1904" t="str">
            <v>HM</v>
          </cell>
          <cell r="Q1904">
            <v>16870</v>
          </cell>
        </row>
        <row r="1905">
          <cell r="E1905" t="str">
            <v>KKM/JKN/HSA/10-05-01/H/15/954</v>
          </cell>
          <cell r="F1905" t="str">
            <v>Therapeutic</v>
          </cell>
          <cell r="G1905" t="str">
            <v>Basic</v>
          </cell>
          <cell r="H1905" t="str">
            <v>Warming Units, Blood/Solution</v>
          </cell>
          <cell r="I1905" t="str">
            <v>INFUSOR HIGH SPEED (RAPID)</v>
          </cell>
          <cell r="J1905" t="str">
            <v>10-447</v>
          </cell>
          <cell r="K1905" t="str">
            <v>ELLTEC LTD</v>
          </cell>
          <cell r="L1905" t="str">
            <v>ANIMEC AM-4</v>
          </cell>
          <cell r="M1905"/>
          <cell r="N1905" t="str">
            <v>ANESTESIOLOGI</v>
          </cell>
          <cell r="O1905" t="str">
            <v>Dewan Bedah Utama (GOT)</v>
          </cell>
          <cell r="P1905" t="str">
            <v>HM</v>
          </cell>
          <cell r="Q1905">
            <v>8800</v>
          </cell>
        </row>
        <row r="1906">
          <cell r="E1906" t="str">
            <v>KKM/JKN/HSA/10-05-01/H/15/2475</v>
          </cell>
          <cell r="F1906" t="str">
            <v xml:space="preserve">Diagnostic </v>
          </cell>
          <cell r="G1906" t="str">
            <v>Basic</v>
          </cell>
          <cell r="H1906" t="str">
            <v>Light Sources, Fiberoptic</v>
          </cell>
          <cell r="I1906" t="str">
            <v>HEADLAMP FIBEROPTIC</v>
          </cell>
          <cell r="J1906" t="str">
            <v>12-345</v>
          </cell>
          <cell r="K1906" t="str">
            <v>HEINE</v>
          </cell>
          <cell r="L1906" t="str">
            <v>3S LED J-008.31.316</v>
          </cell>
          <cell r="M1906"/>
          <cell r="N1906" t="str">
            <v>OTORINOLARINGOLOGI</v>
          </cell>
          <cell r="O1906" t="str">
            <v>Dewan Bedah Utama (GOT)</v>
          </cell>
          <cell r="P1906" t="str">
            <v>HM</v>
          </cell>
          <cell r="Q1906">
            <v>6500</v>
          </cell>
        </row>
        <row r="1907">
          <cell r="E1907"/>
          <cell r="F1907" t="str">
            <v>Therapeutic</v>
          </cell>
          <cell r="G1907" t="str">
            <v>Intermediate</v>
          </cell>
          <cell r="H1907" t="str">
            <v>Ultrasound Surgical Units</v>
          </cell>
          <cell r="I1907" t="str">
            <v>HARMONIC SCALPEL</v>
          </cell>
          <cell r="J1907" t="str">
            <v>18-049</v>
          </cell>
          <cell r="K1907" t="str">
            <v>ETHICON</v>
          </cell>
          <cell r="L1907" t="str">
            <v>EES GENERATOR (GEN11)</v>
          </cell>
          <cell r="M1907">
            <v>1111449201</v>
          </cell>
          <cell r="N1907" t="str">
            <v>ANESTESIOLOGI</v>
          </cell>
          <cell r="O1907" t="str">
            <v>Dewan Bedah Utama (GOT)</v>
          </cell>
          <cell r="P1907" t="str">
            <v>HM</v>
          </cell>
          <cell r="Q1907">
            <v>550000</v>
          </cell>
        </row>
        <row r="1908">
          <cell r="E1908" t="str">
            <v>KKM/JKN/HSA/10-05-01/H/15/1057</v>
          </cell>
          <cell r="F1908" t="str">
            <v xml:space="preserve">Diagnostic </v>
          </cell>
          <cell r="G1908" t="str">
            <v>Intermediate</v>
          </cell>
          <cell r="H1908" t="str">
            <v>Physiologic Monitoring Systems, Acute Care</v>
          </cell>
          <cell r="I1908" t="str">
            <v>EtCO2 MODULE</v>
          </cell>
          <cell r="J1908" t="str">
            <v>12-647</v>
          </cell>
          <cell r="K1908" t="str">
            <v>MINDRAY</v>
          </cell>
          <cell r="L1908" t="str">
            <v>CO2 MODULE</v>
          </cell>
          <cell r="M1908"/>
          <cell r="N1908" t="str">
            <v>ANESTESIOLOGI</v>
          </cell>
          <cell r="O1908" t="str">
            <v>Dewan Bedah Utama (GOT)</v>
          </cell>
          <cell r="P1908" t="str">
            <v>HM</v>
          </cell>
          <cell r="Q1908">
            <v>5900</v>
          </cell>
        </row>
        <row r="1909">
          <cell r="E1909" t="str">
            <v>KKM/JKN/HSA/10-05-01/H/15/1058</v>
          </cell>
          <cell r="F1909" t="str">
            <v xml:space="preserve">Diagnostic </v>
          </cell>
          <cell r="G1909" t="str">
            <v>Intermediate</v>
          </cell>
          <cell r="H1909" t="str">
            <v>Physiologic Monitoring Systems, Acute Care</v>
          </cell>
          <cell r="I1909" t="str">
            <v>EtCO2 MODULE</v>
          </cell>
          <cell r="J1909" t="str">
            <v>12-647</v>
          </cell>
          <cell r="K1909" t="str">
            <v>MINDRAY</v>
          </cell>
          <cell r="L1909" t="str">
            <v>CO2 MODULE</v>
          </cell>
          <cell r="M1909"/>
          <cell r="N1909" t="str">
            <v>ANESTESIOLOGI</v>
          </cell>
          <cell r="O1909" t="str">
            <v>Dewan Bedah Utama (GOT)</v>
          </cell>
          <cell r="P1909" t="str">
            <v>HM</v>
          </cell>
          <cell r="Q1909">
            <v>5900</v>
          </cell>
        </row>
        <row r="1910">
          <cell r="E1910" t="str">
            <v>KKM/JKN/HSA/10-05-01/H/15/1059</v>
          </cell>
          <cell r="F1910" t="str">
            <v xml:space="preserve">Diagnostic </v>
          </cell>
          <cell r="G1910" t="str">
            <v>Intermediate</v>
          </cell>
          <cell r="H1910" t="str">
            <v>Physiologic Monitoring Systems, Acute Care</v>
          </cell>
          <cell r="I1910" t="str">
            <v>EtCO2 MODULE</v>
          </cell>
          <cell r="J1910" t="str">
            <v>12-647</v>
          </cell>
          <cell r="K1910" t="str">
            <v>MINDRAY</v>
          </cell>
          <cell r="L1910" t="str">
            <v>CO2 MODULE</v>
          </cell>
          <cell r="M1910"/>
          <cell r="N1910" t="str">
            <v>ANESTESIOLOGI</v>
          </cell>
          <cell r="O1910" t="str">
            <v>Dewan Bedah Utama (GOT)</v>
          </cell>
          <cell r="P1910" t="str">
            <v>HM</v>
          </cell>
          <cell r="Q1910">
            <v>5900</v>
          </cell>
        </row>
        <row r="1911">
          <cell r="E1911" t="str">
            <v>KKM/JKN/HSA/10-05-01/H/15/1060</v>
          </cell>
          <cell r="F1911" t="str">
            <v xml:space="preserve">Diagnostic </v>
          </cell>
          <cell r="G1911" t="str">
            <v>Intermediate</v>
          </cell>
          <cell r="H1911" t="str">
            <v>Physiologic Monitoring Systems, Acute Care</v>
          </cell>
          <cell r="I1911" t="str">
            <v>EtCO2 MODULE</v>
          </cell>
          <cell r="J1911" t="str">
            <v>12-647</v>
          </cell>
          <cell r="K1911" t="str">
            <v>MINDRAY</v>
          </cell>
          <cell r="L1911" t="str">
            <v>CO2 MODULE</v>
          </cell>
          <cell r="M1911"/>
          <cell r="N1911" t="str">
            <v>ANESTESIOLOGI</v>
          </cell>
          <cell r="O1911" t="str">
            <v>Dewan Bedah Utama (GOT)</v>
          </cell>
          <cell r="P1911" t="str">
            <v>HM</v>
          </cell>
          <cell r="Q1911">
            <v>5900</v>
          </cell>
        </row>
        <row r="1912">
          <cell r="E1912" t="str">
            <v>KKM/JKN/HSA/10-05-01/H/15/1061</v>
          </cell>
          <cell r="F1912" t="str">
            <v xml:space="preserve">Diagnostic </v>
          </cell>
          <cell r="G1912" t="str">
            <v>Intermediate</v>
          </cell>
          <cell r="H1912" t="str">
            <v>Physiologic Monitoring Systems, Acute Care</v>
          </cell>
          <cell r="I1912" t="str">
            <v>EtCO2 MODULE</v>
          </cell>
          <cell r="J1912" t="str">
            <v>12-647</v>
          </cell>
          <cell r="K1912" t="str">
            <v>MINDRAY</v>
          </cell>
          <cell r="L1912" t="str">
            <v>CO2 MODULE</v>
          </cell>
          <cell r="M1912"/>
          <cell r="N1912" t="str">
            <v>ANESTESIOLOGI</v>
          </cell>
          <cell r="O1912" t="str">
            <v>Dewan Bedah Utama (GOT)</v>
          </cell>
          <cell r="P1912" t="str">
            <v>HM</v>
          </cell>
          <cell r="Q1912">
            <v>5900</v>
          </cell>
        </row>
        <row r="1913">
          <cell r="E1913" t="str">
            <v>KKM/JKN/HSA/10-05-01/H/15/1062</v>
          </cell>
          <cell r="F1913" t="str">
            <v xml:space="preserve">Diagnostic </v>
          </cell>
          <cell r="G1913" t="str">
            <v>Intermediate</v>
          </cell>
          <cell r="H1913" t="str">
            <v>Physiologic Monitoring Systems, Acute Care</v>
          </cell>
          <cell r="I1913" t="str">
            <v>EtCO2 MODULE</v>
          </cell>
          <cell r="J1913" t="str">
            <v>12-647</v>
          </cell>
          <cell r="K1913" t="str">
            <v>MINDRAY</v>
          </cell>
          <cell r="L1913" t="str">
            <v>CO2 MODULE</v>
          </cell>
          <cell r="M1913"/>
          <cell r="N1913" t="str">
            <v>ANESTESIOLOGI</v>
          </cell>
          <cell r="O1913" t="str">
            <v>Dewan Bedah Utama (GOT)</v>
          </cell>
          <cell r="P1913" t="str">
            <v>HM</v>
          </cell>
          <cell r="Q1913">
            <v>5900</v>
          </cell>
        </row>
        <row r="1914">
          <cell r="E1914" t="str">
            <v>KKM/JKN/HSA/10-05-01/H/15/1063</v>
          </cell>
          <cell r="F1914" t="str">
            <v xml:space="preserve">Diagnostic </v>
          </cell>
          <cell r="G1914" t="str">
            <v>Intermediate</v>
          </cell>
          <cell r="H1914" t="str">
            <v>Physiologic Monitoring Systems, Acute Care</v>
          </cell>
          <cell r="I1914" t="str">
            <v>EtCO2 MODULE</v>
          </cell>
          <cell r="J1914" t="str">
            <v>12-647</v>
          </cell>
          <cell r="K1914" t="str">
            <v>MINDRAY</v>
          </cell>
          <cell r="L1914" t="str">
            <v>CO2 MODULE</v>
          </cell>
          <cell r="M1914"/>
          <cell r="N1914" t="str">
            <v>ANESTESIOLOGI</v>
          </cell>
          <cell r="O1914" t="str">
            <v>Dewan Bedah Utama (GOT)</v>
          </cell>
          <cell r="P1914" t="str">
            <v>HM</v>
          </cell>
          <cell r="Q1914">
            <v>5900</v>
          </cell>
        </row>
        <row r="1915">
          <cell r="E1915" t="str">
            <v>KKM/JKN/HSA/10-05-01/H/15/570</v>
          </cell>
          <cell r="F1915" t="str">
            <v xml:space="preserve">Diagnostic </v>
          </cell>
          <cell r="G1915" t="str">
            <v>Intermediate</v>
          </cell>
          <cell r="H1915" t="str">
            <v>Electrocardiographs, Multichannel, Interpretative</v>
          </cell>
          <cell r="I1915" t="str">
            <v>ECG RECORDER</v>
          </cell>
          <cell r="J1915" t="str">
            <v>16-231</v>
          </cell>
          <cell r="K1915" t="str">
            <v>GE HEALTHCARE</v>
          </cell>
          <cell r="L1915" t="str">
            <v>MAC 1200</v>
          </cell>
          <cell r="M1915" t="str">
            <v>SMT16127392PA</v>
          </cell>
          <cell r="N1915" t="str">
            <v>ANESTESIOLOGI</v>
          </cell>
          <cell r="O1915" t="str">
            <v>Dewan Bedah Utama (GOT)</v>
          </cell>
          <cell r="P1915" t="str">
            <v>HM</v>
          </cell>
          <cell r="Q1915">
            <v>10000</v>
          </cell>
        </row>
        <row r="1916">
          <cell r="E1916"/>
          <cell r="F1916" t="str">
            <v>Therapeutic</v>
          </cell>
          <cell r="G1916">
            <v>54</v>
          </cell>
          <cell r="H1916" t="str">
            <v>Drills, Bone</v>
          </cell>
          <cell r="I1916" t="str">
            <v>DRILL, SURGICAL, SMALL BONE, PNEUMATIC</v>
          </cell>
          <cell r="J1916" t="str">
            <v>11-331</v>
          </cell>
          <cell r="K1916" t="str">
            <v>SYNTHES</v>
          </cell>
          <cell r="L1916" t="str">
            <v>COMPACT AIR DRIVE II</v>
          </cell>
          <cell r="M1916"/>
          <cell r="N1916" t="str">
            <v>ANESTESIOLOGI</v>
          </cell>
          <cell r="O1916" t="str">
            <v>Dewan Bedah Utama (GOT)</v>
          </cell>
          <cell r="P1916" t="str">
            <v>HM</v>
          </cell>
          <cell r="Q1916">
            <v>80900</v>
          </cell>
        </row>
        <row r="1917">
          <cell r="E1917"/>
          <cell r="F1917" t="str">
            <v>Therapeutic</v>
          </cell>
          <cell r="G1917" t="str">
            <v>Intermediate</v>
          </cell>
          <cell r="H1917" t="str">
            <v>Drills, Bone</v>
          </cell>
          <cell r="I1917" t="str">
            <v>DRILL, SURGICAL, SMALL BONE, PNEUMATIC</v>
          </cell>
          <cell r="J1917" t="str">
            <v>11-331</v>
          </cell>
          <cell r="K1917" t="str">
            <v>SYNTHES</v>
          </cell>
          <cell r="L1917" t="str">
            <v>COMPACT AIR DRIVE II</v>
          </cell>
          <cell r="M1917"/>
          <cell r="N1917" t="str">
            <v>ANESTESIOLOGI</v>
          </cell>
          <cell r="O1917" t="str">
            <v>Dewan Bedah Utama (GOT)</v>
          </cell>
          <cell r="P1917" t="str">
            <v>HM</v>
          </cell>
          <cell r="Q1917">
            <v>80900</v>
          </cell>
        </row>
        <row r="1918">
          <cell r="E1918"/>
          <cell r="F1918" t="str">
            <v>Therapeutic</v>
          </cell>
          <cell r="G1918" t="str">
            <v>Intermediate</v>
          </cell>
          <cell r="H1918" t="str">
            <v>Drills, Bone</v>
          </cell>
          <cell r="I1918" t="str">
            <v>DRILL, SURGICAL, SMALL BONE, PNEUMATIC</v>
          </cell>
          <cell r="J1918" t="str">
            <v>11-331</v>
          </cell>
          <cell r="K1918" t="str">
            <v>SYNTHES</v>
          </cell>
          <cell r="L1918" t="str">
            <v>COMPACT AIR DRIVE II</v>
          </cell>
          <cell r="M1918"/>
          <cell r="N1918" t="str">
            <v>ANESTESIOLOGI</v>
          </cell>
          <cell r="O1918" t="str">
            <v>Dewan Bedah Utama (GOT)</v>
          </cell>
          <cell r="P1918" t="str">
            <v>HM</v>
          </cell>
          <cell r="Q1918">
            <v>80900</v>
          </cell>
        </row>
        <row r="1919">
          <cell r="E1919"/>
          <cell r="F1919" t="str">
            <v>Therapeutic</v>
          </cell>
          <cell r="G1919" t="str">
            <v>Intermediate</v>
          </cell>
          <cell r="H1919" t="str">
            <v>Drills, Bone</v>
          </cell>
          <cell r="I1919" t="str">
            <v>DRILL, SURGICAL, ORTHO. SMALL BONE, ELECTRIC</v>
          </cell>
          <cell r="J1919" t="str">
            <v>11-331</v>
          </cell>
          <cell r="K1919" t="str">
            <v>SYNTHES</v>
          </cell>
          <cell r="L1919" t="str">
            <v>Electric Pen Drive 60,000 RPM</v>
          </cell>
          <cell r="M1919"/>
          <cell r="N1919" t="str">
            <v>ANESTESIOLOGI</v>
          </cell>
          <cell r="O1919" t="str">
            <v>Dewan Bedah Utama (GOT)</v>
          </cell>
          <cell r="P1919" t="str">
            <v>HM</v>
          </cell>
          <cell r="Q1919">
            <v>47600</v>
          </cell>
        </row>
        <row r="1920">
          <cell r="E1920"/>
          <cell r="F1920" t="str">
            <v>Therapeutic</v>
          </cell>
          <cell r="G1920" t="str">
            <v>Intermediate</v>
          </cell>
          <cell r="H1920" t="str">
            <v>Drills, Bone</v>
          </cell>
          <cell r="I1920" t="str">
            <v>DRILL, SURGICAL, ORTHO. SMALL BONE, ELECTRIC</v>
          </cell>
          <cell r="J1920" t="str">
            <v>11-331</v>
          </cell>
          <cell r="K1920" t="str">
            <v>SYNTHES</v>
          </cell>
          <cell r="L1920" t="str">
            <v>Electric Pen Drive 60,000 RPM</v>
          </cell>
          <cell r="M1920"/>
          <cell r="N1920" t="str">
            <v>ANESTESIOLOGI</v>
          </cell>
          <cell r="O1920" t="str">
            <v>Dewan Bedah Utama (GOT)</v>
          </cell>
          <cell r="P1920" t="str">
            <v>HM</v>
          </cell>
          <cell r="Q1920">
            <v>47600</v>
          </cell>
        </row>
        <row r="1921">
          <cell r="E1921"/>
          <cell r="F1921" t="str">
            <v>Therapeutic</v>
          </cell>
          <cell r="G1921" t="str">
            <v>Intermediate</v>
          </cell>
          <cell r="H1921" t="str">
            <v>Hand Drills, Surgical</v>
          </cell>
          <cell r="I1921" t="str">
            <v>DRILL, SURGICAL, MULTIPURP0SE W/IRRIGATION</v>
          </cell>
          <cell r="J1921" t="str">
            <v>17-954</v>
          </cell>
          <cell r="K1921" t="str">
            <v>SYNTHES</v>
          </cell>
          <cell r="L1921" t="str">
            <v>Electric Pen Drive 60,000 RPM</v>
          </cell>
          <cell r="M1921"/>
          <cell r="N1921" t="str">
            <v>ANESTESIOLOGI</v>
          </cell>
          <cell r="O1921" t="str">
            <v>Dewan Bedah Utama (GOT)</v>
          </cell>
          <cell r="P1921" t="str">
            <v>HM</v>
          </cell>
          <cell r="Q1921">
            <v>117000</v>
          </cell>
        </row>
        <row r="1922">
          <cell r="E1922"/>
          <cell r="F1922" t="str">
            <v>Therapeutic</v>
          </cell>
          <cell r="G1922" t="str">
            <v>Intermediate</v>
          </cell>
          <cell r="H1922" t="str">
            <v>Hand Drills, Surgical</v>
          </cell>
          <cell r="I1922" t="str">
            <v>DRILL, SURGICAL, MULTIPURP0SE W/IRRIGATION</v>
          </cell>
          <cell r="J1922" t="str">
            <v>17-954</v>
          </cell>
          <cell r="K1922" t="str">
            <v>SYNTHES</v>
          </cell>
          <cell r="L1922" t="str">
            <v>Electric Pen Drive 60,000 RPM</v>
          </cell>
          <cell r="M1922"/>
          <cell r="N1922" t="str">
            <v>ANESTESIOLOGI</v>
          </cell>
          <cell r="O1922" t="str">
            <v>Dewan Bedah Utama (GOT)</v>
          </cell>
          <cell r="P1922" t="str">
            <v>HM</v>
          </cell>
          <cell r="Q1922">
            <v>117000</v>
          </cell>
        </row>
        <row r="1923">
          <cell r="E1923"/>
          <cell r="F1923" t="str">
            <v>Therapeutic</v>
          </cell>
          <cell r="G1923" t="str">
            <v>Intermediate</v>
          </cell>
          <cell r="H1923" t="str">
            <v>Hand Drills, Surgical</v>
          </cell>
          <cell r="I1923" t="str">
            <v>DRILL, SURGICAL, MULTIPURP0SE W/IRRIGATION</v>
          </cell>
          <cell r="J1923" t="str">
            <v>17-954</v>
          </cell>
          <cell r="K1923" t="str">
            <v>SYNTHES</v>
          </cell>
          <cell r="L1923" t="str">
            <v>Electric Pen Drive 60,000 RPM</v>
          </cell>
          <cell r="M1923"/>
          <cell r="N1923" t="str">
            <v>ANESTESIOLOGI</v>
          </cell>
          <cell r="O1923" t="str">
            <v>Dewan Bedah Utama (GOT)</v>
          </cell>
          <cell r="P1923" t="str">
            <v>HM</v>
          </cell>
          <cell r="Q1923">
            <v>117000</v>
          </cell>
        </row>
        <row r="1924">
          <cell r="E1924" t="str">
            <v>KKM/JKN/HSA/10-05-01/H/15/3632</v>
          </cell>
          <cell r="F1924" t="str">
            <v>Therapeutic</v>
          </cell>
          <cell r="G1924" t="str">
            <v>Intermediate</v>
          </cell>
          <cell r="H1924" t="str">
            <v>Drills, Bone</v>
          </cell>
          <cell r="I1924" t="str">
            <v>DRILL SURGICAL, ORTHO. BIG BONE, ELECTRIC</v>
          </cell>
          <cell r="J1924" t="str">
            <v>11-331</v>
          </cell>
          <cell r="K1924" t="str">
            <v>SYNTHES</v>
          </cell>
          <cell r="L1924" t="str">
            <v>COLIBRI II - BATTERY (FULL SET)</v>
          </cell>
          <cell r="M1924">
            <v>3475</v>
          </cell>
          <cell r="N1924" t="str">
            <v>ANESTESIOLOGI</v>
          </cell>
          <cell r="O1924" t="str">
            <v>Dewan Bedah Utama (GOT)</v>
          </cell>
          <cell r="P1924" t="str">
            <v>HM</v>
          </cell>
          <cell r="Q1924">
            <v>89185</v>
          </cell>
        </row>
        <row r="1925">
          <cell r="E1925" t="str">
            <v>KKM/JKN/HSA/10-05-01/H/15/3633</v>
          </cell>
          <cell r="F1925" t="str">
            <v>Therapeutic</v>
          </cell>
          <cell r="G1925" t="str">
            <v>Intermediate</v>
          </cell>
          <cell r="H1925" t="str">
            <v>Drills, Bone</v>
          </cell>
          <cell r="I1925" t="str">
            <v>DRILL SURGICAL, ORTHO. BIG BONE, ELECTRIC</v>
          </cell>
          <cell r="J1925" t="str">
            <v>11-331</v>
          </cell>
          <cell r="K1925" t="str">
            <v>SYNTHES</v>
          </cell>
          <cell r="L1925" t="str">
            <v>COLIBRI-LIGHT</v>
          </cell>
          <cell r="M1925"/>
          <cell r="N1925" t="str">
            <v>ANESTESIOLOGI</v>
          </cell>
          <cell r="O1925" t="str">
            <v>Dewan Bedah Utama (GOT)</v>
          </cell>
          <cell r="P1925" t="str">
            <v>HM</v>
          </cell>
          <cell r="Q1925">
            <v>89185</v>
          </cell>
        </row>
        <row r="1926">
          <cell r="E1926" t="str">
            <v>KKM/JKN/HSA/10-05-01/H/15/3631</v>
          </cell>
          <cell r="F1926" t="str">
            <v>Therapeutic</v>
          </cell>
          <cell r="G1926" t="str">
            <v>Intermediate</v>
          </cell>
          <cell r="H1926" t="str">
            <v>Drills, Bone</v>
          </cell>
          <cell r="I1926" t="str">
            <v>DRILL SURGICAL, ORTHO. BIG BONE, ELECTRIC</v>
          </cell>
          <cell r="J1926" t="str">
            <v>11-331</v>
          </cell>
          <cell r="K1926" t="str">
            <v>SYNTHES</v>
          </cell>
          <cell r="L1926" t="str">
            <v>COLIBRI-LIGHT</v>
          </cell>
          <cell r="M1926"/>
          <cell r="N1926" t="str">
            <v>ANESTESIOLOGI</v>
          </cell>
          <cell r="O1926" t="str">
            <v>Dewan Bedah Utama (GOT)</v>
          </cell>
          <cell r="P1926" t="str">
            <v>HM</v>
          </cell>
          <cell r="Q1926">
            <v>89185</v>
          </cell>
        </row>
        <row r="1927">
          <cell r="E1927" t="str">
            <v>KKM/JKN/HSA/10-05-01/H/15/4931</v>
          </cell>
          <cell r="F1927" t="str">
            <v>Therapeutic</v>
          </cell>
          <cell r="G1927" t="str">
            <v>Intermediate</v>
          </cell>
          <cell r="H1927" t="str">
            <v>Electrosurgical Units, Monopolar, Argon-Enhanced Coagulation</v>
          </cell>
          <cell r="I1927" t="str">
            <v>DIATHERMY UNIT MONO &amp; BIP0LAR, HIGH P0WER RANGE</v>
          </cell>
          <cell r="J1927" t="str">
            <v>17-739</v>
          </cell>
          <cell r="K1927" t="str">
            <v>ERBE/VIO 300D</v>
          </cell>
          <cell r="L1927" t="str">
            <v>VIO 300D</v>
          </cell>
          <cell r="M1927">
            <v>11373475</v>
          </cell>
          <cell r="N1927" t="str">
            <v>ANESTESIOLOGI</v>
          </cell>
          <cell r="O1927" t="str">
            <v>Dewan Bedah Utama (GOT)</v>
          </cell>
          <cell r="P1927" t="str">
            <v>HM</v>
          </cell>
          <cell r="Q1927">
            <v>33286.5</v>
          </cell>
        </row>
        <row r="1928">
          <cell r="E1928" t="str">
            <v>KKM/JKN/HSA/10-05-01/H/15/4932</v>
          </cell>
          <cell r="F1928" t="str">
            <v>Therapeutic</v>
          </cell>
          <cell r="G1928" t="str">
            <v>Intermediate</v>
          </cell>
          <cell r="H1928" t="str">
            <v>Electrosurgical Units, Monopolar, Argon-Enhanced Coagulation</v>
          </cell>
          <cell r="I1928" t="str">
            <v>DIATHERMY UNIT MONO &amp; BIP0LAR, HIGH P0WER RANGE</v>
          </cell>
          <cell r="J1928" t="str">
            <v>17-739</v>
          </cell>
          <cell r="K1928" t="str">
            <v>ERBE/VIO 300D</v>
          </cell>
          <cell r="L1928" t="str">
            <v>VIO 300D</v>
          </cell>
          <cell r="M1928">
            <v>11383620</v>
          </cell>
          <cell r="N1928" t="str">
            <v>ANESTESIOLOGI</v>
          </cell>
          <cell r="O1928" t="str">
            <v>Dewan Bedah Utama (GOT)</v>
          </cell>
          <cell r="P1928" t="str">
            <v>HM</v>
          </cell>
          <cell r="Q1928">
            <v>33286.5</v>
          </cell>
        </row>
        <row r="1929">
          <cell r="E1929" t="str">
            <v>KKM/JKN/HSA/10-05-01/H/15/4933</v>
          </cell>
          <cell r="F1929" t="str">
            <v>Therapeutic</v>
          </cell>
          <cell r="G1929" t="str">
            <v>Intermediate</v>
          </cell>
          <cell r="H1929" t="str">
            <v>Electrosurgical Units, Monopolar, Argon-Enhanced Coagulation</v>
          </cell>
          <cell r="I1929" t="str">
            <v>DIATHERMY UNIT MONO &amp; BIP0LAR, HIGH P0WER RANGE</v>
          </cell>
          <cell r="J1929" t="str">
            <v>17-739</v>
          </cell>
          <cell r="K1929" t="str">
            <v>ERBE/VIO 300D</v>
          </cell>
          <cell r="L1929" t="str">
            <v>VIO 300D</v>
          </cell>
          <cell r="M1929">
            <v>11383621</v>
          </cell>
          <cell r="N1929" t="str">
            <v>ANESTESIOLOGI</v>
          </cell>
          <cell r="O1929" t="str">
            <v>Dewan Bedah Utama (GOT)</v>
          </cell>
          <cell r="P1929" t="str">
            <v>HM</v>
          </cell>
          <cell r="Q1929">
            <v>33286.5</v>
          </cell>
        </row>
        <row r="1930">
          <cell r="E1930" t="str">
            <v>KKM/JKN/HSA/10-05-01/H/15/4934</v>
          </cell>
          <cell r="F1930" t="str">
            <v>Therapeutic</v>
          </cell>
          <cell r="G1930" t="str">
            <v>Intermediate</v>
          </cell>
          <cell r="H1930" t="str">
            <v>Electrosurgical Units, Monopolar, Argon-Enhanced Coagulation</v>
          </cell>
          <cell r="I1930" t="str">
            <v>DIATHERMY UNIT MONO &amp; BIP0LAR, HIGH P0WER RANGE</v>
          </cell>
          <cell r="J1930" t="str">
            <v>17-739</v>
          </cell>
          <cell r="K1930" t="str">
            <v>ERBE/VIO 300D</v>
          </cell>
          <cell r="L1930" t="str">
            <v>VIO 300D</v>
          </cell>
          <cell r="M1930">
            <v>11373465</v>
          </cell>
          <cell r="N1930" t="str">
            <v>ANESTESIOLOGI</v>
          </cell>
          <cell r="O1930" t="str">
            <v>Dewan Bedah Utama (GOT)</v>
          </cell>
          <cell r="P1930" t="str">
            <v>HM</v>
          </cell>
          <cell r="Q1930">
            <v>33286.5</v>
          </cell>
        </row>
        <row r="1931">
          <cell r="E1931" t="str">
            <v>KKM/JKN/HSA/10-05-01/H/15/4935</v>
          </cell>
          <cell r="F1931" t="str">
            <v>Therapeutic</v>
          </cell>
          <cell r="G1931" t="str">
            <v>Intermediate</v>
          </cell>
          <cell r="H1931" t="str">
            <v>Electrosurgical Units, Monopolar, Argon-Enhanced Coagulation</v>
          </cell>
          <cell r="I1931" t="str">
            <v>DIATHERMY UNIT MONO &amp; BIP0LAR, HIGH P0WER RANGE</v>
          </cell>
          <cell r="J1931" t="str">
            <v>17-739</v>
          </cell>
          <cell r="K1931" t="str">
            <v>ERBE/VIO 300D</v>
          </cell>
          <cell r="L1931" t="str">
            <v>VIO 300D</v>
          </cell>
          <cell r="M1931">
            <v>11373483</v>
          </cell>
          <cell r="N1931" t="str">
            <v>ANESTESIOLOGI</v>
          </cell>
          <cell r="O1931" t="str">
            <v>Dewan Bedah Utama (GOT)</v>
          </cell>
          <cell r="P1931" t="str">
            <v>HM</v>
          </cell>
          <cell r="Q1931">
            <v>33286.5</v>
          </cell>
        </row>
        <row r="1932">
          <cell r="E1932" t="str">
            <v>KKM/JKN/HSA/10-05-01/H/15/4936</v>
          </cell>
          <cell r="F1932" t="str">
            <v>Therapeutic</v>
          </cell>
          <cell r="G1932" t="str">
            <v>Intermediate</v>
          </cell>
          <cell r="H1932" t="str">
            <v>Electrosurgical Units, Monopolar, Argon-Enhanced Coagulation</v>
          </cell>
          <cell r="I1932" t="str">
            <v>DIATHERMY UNIT MONO &amp; BIP0LAR, HIGH P0WER RANGE</v>
          </cell>
          <cell r="J1932" t="str">
            <v>17-739</v>
          </cell>
          <cell r="K1932" t="str">
            <v>ERBE/VIO 300D</v>
          </cell>
          <cell r="L1932" t="str">
            <v>VIO 300D</v>
          </cell>
          <cell r="M1932">
            <v>11383622</v>
          </cell>
          <cell r="N1932" t="str">
            <v>ANESTESIOLOGI</v>
          </cell>
          <cell r="O1932" t="str">
            <v>Dewan Bedah Utama (GOT)</v>
          </cell>
          <cell r="P1932" t="str">
            <v>HM</v>
          </cell>
          <cell r="Q1932">
            <v>33286.5</v>
          </cell>
        </row>
        <row r="1933">
          <cell r="E1933" t="str">
            <v>KKM/JKN/HSA/10-05-01/H/15/4937</v>
          </cell>
          <cell r="F1933" t="str">
            <v>Therapeutic</v>
          </cell>
          <cell r="G1933" t="str">
            <v>Intermediate</v>
          </cell>
          <cell r="H1933" t="str">
            <v>Electrosurgical Units, Monopolar, Argon-Enhanced Coagulation</v>
          </cell>
          <cell r="I1933" t="str">
            <v>DIATHERMY UNIT MONO &amp; BIP0LAR, HIGH P0WER RANGE</v>
          </cell>
          <cell r="J1933" t="str">
            <v>17-739</v>
          </cell>
          <cell r="K1933" t="str">
            <v>ERBE/VIO 300D</v>
          </cell>
          <cell r="L1933" t="str">
            <v>VIO 300D</v>
          </cell>
          <cell r="M1933">
            <v>11373469</v>
          </cell>
          <cell r="N1933" t="str">
            <v>ANESTESIOLOGI</v>
          </cell>
          <cell r="O1933" t="str">
            <v>Dewan Bedah Utama (GOT)</v>
          </cell>
          <cell r="P1933" t="str">
            <v>HM</v>
          </cell>
          <cell r="Q1933">
            <v>33286.5</v>
          </cell>
        </row>
        <row r="1934">
          <cell r="E1934" t="str">
            <v>KKM/JKN/HSA/10-05-01/H/15/4938</v>
          </cell>
          <cell r="F1934" t="str">
            <v>Therapeutic</v>
          </cell>
          <cell r="G1934" t="str">
            <v>Intermediate</v>
          </cell>
          <cell r="H1934" t="str">
            <v>Electrosurgical Units, Monopolar, Argon-Enhanced Coagulation</v>
          </cell>
          <cell r="I1934" t="str">
            <v>DIATHERMY UNIT MONO &amp; BIP0LAR, HIGH P0WER RANGE</v>
          </cell>
          <cell r="J1934" t="str">
            <v>17-739</v>
          </cell>
          <cell r="K1934" t="str">
            <v>ERBE/VIO 300D</v>
          </cell>
          <cell r="L1934" t="str">
            <v>VIO 300D</v>
          </cell>
          <cell r="M1934">
            <v>11373474</v>
          </cell>
          <cell r="N1934" t="str">
            <v>ANESTESIOLOGI</v>
          </cell>
          <cell r="O1934" t="str">
            <v>Dewan Bedah Utama (GOT)</v>
          </cell>
          <cell r="P1934" t="str">
            <v>HM</v>
          </cell>
          <cell r="Q1934">
            <v>33286.5</v>
          </cell>
        </row>
        <row r="1935">
          <cell r="E1935" t="str">
            <v>KKM/JKN/HSA/10-05-01/H/15/4121</v>
          </cell>
          <cell r="F1935" t="str">
            <v>Therapeutic</v>
          </cell>
          <cell r="G1935" t="str">
            <v>Intermediate</v>
          </cell>
          <cell r="H1935" t="str">
            <v>Electrosurgical Units, Monopolar/Bipolar</v>
          </cell>
          <cell r="I1935" t="str">
            <v>DIATHERMY UNIT MONO &amp; BIP0LAR ,MEDIUM P0WER RANGE</v>
          </cell>
          <cell r="J1935" t="str">
            <v>18-231</v>
          </cell>
          <cell r="K1935" t="str">
            <v>ESCHMANN/ E20</v>
          </cell>
          <cell r="L1935" t="str">
            <v>ESCHMANN/ E20</v>
          </cell>
          <cell r="M1935">
            <v>301374</v>
          </cell>
          <cell r="N1935" t="str">
            <v>OFTALMOLOGI</v>
          </cell>
          <cell r="O1935" t="str">
            <v>Dewan Bedah Utama (GOT)</v>
          </cell>
          <cell r="P1935" t="str">
            <v>HM</v>
          </cell>
          <cell r="Q1935">
            <v>31700</v>
          </cell>
        </row>
        <row r="1936">
          <cell r="E1936" t="str">
            <v>KKM/JKN/HSA/10-05-01/H/15/3674</v>
          </cell>
          <cell r="F1936" t="str">
            <v>Therapeutic</v>
          </cell>
          <cell r="G1936" t="str">
            <v>Intermediate</v>
          </cell>
          <cell r="H1936" t="str">
            <v xml:space="preserve">Defibrillators, External, Automated </v>
          </cell>
          <cell r="I1936" t="str">
            <v>DEFIBRILLATOR W/INTERNAL/EXT PADDLES/PACEMAKER</v>
          </cell>
          <cell r="J1936" t="str">
            <v>17-116</v>
          </cell>
          <cell r="K1936" t="str">
            <v>PHILIPS</v>
          </cell>
          <cell r="L1936" t="str">
            <v>EFFICIA DFM100</v>
          </cell>
          <cell r="M1936" t="str">
            <v>CN32601433</v>
          </cell>
          <cell r="N1936" t="str">
            <v>ANESTESIOLOGI</v>
          </cell>
          <cell r="O1936" t="str">
            <v>Dewan Bedah Utama (GOT)</v>
          </cell>
          <cell r="P1936" t="str">
            <v>HM</v>
          </cell>
          <cell r="Q1936">
            <v>14250</v>
          </cell>
        </row>
        <row r="1937">
          <cell r="E1937" t="str">
            <v>KKM/JKN/HSA/10-05-01/H/15/3675</v>
          </cell>
          <cell r="F1937" t="str">
            <v>Therapeutic</v>
          </cell>
          <cell r="G1937" t="str">
            <v>Intermediate</v>
          </cell>
          <cell r="H1937" t="str">
            <v xml:space="preserve">Defibrillators, External, Automated </v>
          </cell>
          <cell r="I1937" t="str">
            <v>DEFIBRILLATOR W/INTERNAL/EXT PADDLES/PACEMAKER</v>
          </cell>
          <cell r="J1937" t="str">
            <v>17-116</v>
          </cell>
          <cell r="K1937" t="str">
            <v>PHILIPS</v>
          </cell>
          <cell r="L1937" t="str">
            <v>EFFICIA DFM100</v>
          </cell>
          <cell r="M1937" t="str">
            <v>CN32601440</v>
          </cell>
          <cell r="N1937" t="str">
            <v>ANESTESIOLOGI</v>
          </cell>
          <cell r="O1937" t="str">
            <v>Dewan Bedah Utama (GOT)</v>
          </cell>
          <cell r="P1937" t="str">
            <v>HM</v>
          </cell>
          <cell r="Q1937">
            <v>14250</v>
          </cell>
        </row>
        <row r="1938">
          <cell r="E1938"/>
          <cell r="F1938" t="str">
            <v>Therapeutic</v>
          </cell>
          <cell r="G1938" t="str">
            <v>Intermediate</v>
          </cell>
          <cell r="H1938" t="str">
            <v xml:space="preserve">Defibrillators, External, Automated </v>
          </cell>
          <cell r="I1938" t="str">
            <v>DEFIBRILLATOR W/INTERNAL/EXT PADDLES/PACEMAKER</v>
          </cell>
          <cell r="J1938" t="str">
            <v>17-116</v>
          </cell>
          <cell r="K1938" t="str">
            <v>PHILIPS</v>
          </cell>
          <cell r="L1938" t="str">
            <v>EFFICIA DFM100</v>
          </cell>
          <cell r="M1938"/>
          <cell r="N1938" t="str">
            <v>ANESTESIOLOGI</v>
          </cell>
          <cell r="O1938" t="str">
            <v>Dewan Bedah Utama (GOT)</v>
          </cell>
          <cell r="P1938" t="str">
            <v>HM</v>
          </cell>
          <cell r="Q1938">
            <v>14250</v>
          </cell>
        </row>
        <row r="1939">
          <cell r="E1939" t="str">
            <v>KKM/JKN/HSA/10-05-01/H/16/41</v>
          </cell>
          <cell r="F1939" t="str">
            <v xml:space="preserve">Diagnostic </v>
          </cell>
          <cell r="G1939" t="str">
            <v>Intermediate</v>
          </cell>
          <cell r="H1939" t="str">
            <v>Cystoscopes, Flexible</v>
          </cell>
          <cell r="I1939" t="str">
            <v>CYSTOSCOPE</v>
          </cell>
          <cell r="J1939" t="str">
            <v>17-144</v>
          </cell>
          <cell r="K1939" t="str">
            <v>KARL STORZ</v>
          </cell>
          <cell r="L1939" t="str">
            <v>TPM</v>
          </cell>
          <cell r="M1939">
            <v>2226988</v>
          </cell>
          <cell r="N1939" t="str">
            <v>ANESTESIOLOGI</v>
          </cell>
          <cell r="O1939" t="str">
            <v>Dewan Bedah Utama (GOT)</v>
          </cell>
          <cell r="P1939" t="str">
            <v>HM</v>
          </cell>
          <cell r="Q1939">
            <v>77079</v>
          </cell>
        </row>
        <row r="1940">
          <cell r="E1940" t="str">
            <v>KKM/JKN/HSA/10-05-01/H/16/42</v>
          </cell>
          <cell r="F1940" t="str">
            <v xml:space="preserve">Diagnostic </v>
          </cell>
          <cell r="G1940" t="str">
            <v>Intermediate</v>
          </cell>
          <cell r="H1940" t="str">
            <v>Cystoscopes, Flexible</v>
          </cell>
          <cell r="I1940" t="str">
            <v>CYSTOSCOPE</v>
          </cell>
          <cell r="J1940" t="str">
            <v>17-144</v>
          </cell>
          <cell r="K1940" t="str">
            <v>KARL STORZ</v>
          </cell>
          <cell r="L1940" t="str">
            <v>TPM</v>
          </cell>
          <cell r="M1940" t="str">
            <v>120AVJ</v>
          </cell>
          <cell r="N1940" t="str">
            <v>ANESTESIOLOGI</v>
          </cell>
          <cell r="O1940" t="str">
            <v>Dewan Bedah Utama (GOT)</v>
          </cell>
          <cell r="P1940" t="str">
            <v>HM</v>
          </cell>
          <cell r="Q1940">
            <v>76395</v>
          </cell>
        </row>
        <row r="1941">
          <cell r="E1941" t="str">
            <v>KKM/JKN/HSA/10-05-01/H/16/43</v>
          </cell>
          <cell r="F1941" t="str">
            <v xml:space="preserve">Diagnostic </v>
          </cell>
          <cell r="G1941" t="str">
            <v>Intermediate</v>
          </cell>
          <cell r="H1941" t="str">
            <v>Choledochoscopes</v>
          </cell>
          <cell r="I1941" t="str">
            <v>CHOLEDOSCHOPE</v>
          </cell>
          <cell r="J1941" t="str">
            <v>10-831</v>
          </cell>
          <cell r="K1941" t="str">
            <v>KARL STORZ</v>
          </cell>
          <cell r="L1941" t="str">
            <v>TPM</v>
          </cell>
          <cell r="M1941">
            <v>2224668</v>
          </cell>
          <cell r="N1941" t="str">
            <v>ANESTESIOLOGI</v>
          </cell>
          <cell r="O1941" t="str">
            <v>Dewan Bedah Utama (GOT)</v>
          </cell>
          <cell r="P1941" t="str">
            <v>HM</v>
          </cell>
          <cell r="Q1941">
            <v>58341</v>
          </cell>
        </row>
        <row r="1942">
          <cell r="E1942" t="str">
            <v>KKM/JKN/HSA/10-05-01/H/15/987</v>
          </cell>
          <cell r="F1942" t="str">
            <v xml:space="preserve">Diagnostic </v>
          </cell>
          <cell r="G1942" t="str">
            <v>Intermediate</v>
          </cell>
          <cell r="H1942" t="str">
            <v>Cameras, Video, Endoscope</v>
          </cell>
          <cell r="I1942" t="str">
            <v>CAMERA VIDEO</v>
          </cell>
          <cell r="J1942" t="str">
            <v>17-002</v>
          </cell>
          <cell r="K1942" t="str">
            <v>OLYMPUS</v>
          </cell>
          <cell r="L1942" t="str">
            <v>OLYMPUS</v>
          </cell>
          <cell r="M1942"/>
          <cell r="N1942" t="str">
            <v>ANESTESIOLOGI</v>
          </cell>
          <cell r="O1942" t="str">
            <v>Dewan Bedah Utama (GOT)</v>
          </cell>
          <cell r="P1942" t="str">
            <v>HM</v>
          </cell>
          <cell r="Q1942">
            <v>20328</v>
          </cell>
        </row>
        <row r="1943">
          <cell r="E1943" t="str">
            <v>KKM/JKN/HSA/10-05-01/H/15/1330</v>
          </cell>
          <cell r="F1943" t="str">
            <v xml:space="preserve">Diagnostic </v>
          </cell>
          <cell r="G1943" t="str">
            <v>Intermediate</v>
          </cell>
          <cell r="H1943" t="str">
            <v>Cameras, Video, Endoscope</v>
          </cell>
          <cell r="I1943" t="str">
            <v>CAMERA VIDEO</v>
          </cell>
          <cell r="J1943" t="str">
            <v>17-002</v>
          </cell>
          <cell r="K1943" t="str">
            <v>OLYMPUS</v>
          </cell>
          <cell r="L1943" t="str">
            <v>OLYMPUS</v>
          </cell>
          <cell r="M1943"/>
          <cell r="N1943" t="str">
            <v>ANESTESIOLOGI</v>
          </cell>
          <cell r="O1943" t="str">
            <v>Dewan Bedah Utama (GOT)</v>
          </cell>
          <cell r="P1943" t="str">
            <v>HM</v>
          </cell>
          <cell r="Q1943">
            <v>20328</v>
          </cell>
        </row>
        <row r="1944">
          <cell r="E1944" t="str">
            <v>KKM/JKN/HSA/10-05-01/H/15/985</v>
          </cell>
          <cell r="F1944" t="str">
            <v xml:space="preserve">Diagnostic </v>
          </cell>
          <cell r="G1944" t="str">
            <v>Intermediate</v>
          </cell>
          <cell r="H1944" t="str">
            <v>Cameras, Video, Endoscope</v>
          </cell>
          <cell r="I1944" t="str">
            <v>CAMERA VIDEO</v>
          </cell>
          <cell r="J1944" t="str">
            <v>17-002</v>
          </cell>
          <cell r="K1944" t="str">
            <v>OLYMPUS</v>
          </cell>
          <cell r="L1944"/>
          <cell r="M1944"/>
          <cell r="N1944" t="str">
            <v>ANESTESIOLOGI</v>
          </cell>
          <cell r="O1944" t="str">
            <v>Dewan Bedah Utama (GOT)</v>
          </cell>
          <cell r="P1944" t="str">
            <v>HM</v>
          </cell>
          <cell r="Q1944">
            <v>20328</v>
          </cell>
        </row>
        <row r="1945">
          <cell r="E1945" t="str">
            <v>KKM/JKN/HSA/10-05-01/H/15/964</v>
          </cell>
          <cell r="F1945" t="str">
            <v xml:space="preserve">Diagnostic </v>
          </cell>
          <cell r="G1945" t="str">
            <v>Intermediate</v>
          </cell>
          <cell r="H1945" t="str">
            <v>Physiologic Monitoring Systems, Acute Care</v>
          </cell>
          <cell r="I1945" t="str">
            <v>BIS/EEG MODULE</v>
          </cell>
          <cell r="J1945" t="str">
            <v>12-647</v>
          </cell>
          <cell r="K1945" t="str">
            <v>MINDRAY</v>
          </cell>
          <cell r="L1945" t="str">
            <v xml:space="preserve"> BIS MODULE</v>
          </cell>
          <cell r="M1945"/>
          <cell r="N1945" t="str">
            <v>ANESTESIOLOGI</v>
          </cell>
          <cell r="O1945" t="str">
            <v>Dewan Bedah Utama (GOT)</v>
          </cell>
          <cell r="P1945" t="str">
            <v>HM</v>
          </cell>
          <cell r="Q1945">
            <v>12400</v>
          </cell>
        </row>
        <row r="1946">
          <cell r="E1946" t="str">
            <v>KKM/JKN/HSA/10-05-01/H/15/965</v>
          </cell>
          <cell r="F1946" t="str">
            <v xml:space="preserve">Diagnostic </v>
          </cell>
          <cell r="G1946" t="str">
            <v>Intermediate</v>
          </cell>
          <cell r="H1946" t="str">
            <v>Physiologic Monitoring Systems, Acute Care</v>
          </cell>
          <cell r="I1946" t="str">
            <v>BIS/EEG MODULE</v>
          </cell>
          <cell r="J1946" t="str">
            <v>12-647</v>
          </cell>
          <cell r="K1946" t="str">
            <v>MINDRAY</v>
          </cell>
          <cell r="L1946" t="str">
            <v xml:space="preserve"> BIS MODULE</v>
          </cell>
          <cell r="M1946"/>
          <cell r="N1946" t="str">
            <v>ANESTESIOLOGI</v>
          </cell>
          <cell r="O1946" t="str">
            <v>Dewan Bedah Utama (GOT)</v>
          </cell>
          <cell r="P1946" t="str">
            <v>HM</v>
          </cell>
          <cell r="Q1946">
            <v>12400</v>
          </cell>
        </row>
        <row r="1947">
          <cell r="E1947" t="str">
            <v>KKM/JKN/HSA/10-05-01/H/15/942</v>
          </cell>
          <cell r="F1947" t="str">
            <v>Therapeutic</v>
          </cell>
          <cell r="G1947" t="str">
            <v>Intermediate</v>
          </cell>
          <cell r="H1947" t="str">
            <v>Infusion Pumps, Syringe</v>
          </cell>
          <cell r="I1947" t="str">
            <v>ANESTHESIA PUMP SYRINGE (STAND ALONE)</v>
          </cell>
          <cell r="J1947" t="str">
            <v>13-217</v>
          </cell>
          <cell r="K1947" t="str">
            <v>FRESENIUS KABI</v>
          </cell>
          <cell r="L1947" t="str">
            <v>INJECTOMAT TIVA AGILIA</v>
          </cell>
          <cell r="M1947">
            <v>22231808</v>
          </cell>
          <cell r="N1947" t="str">
            <v>ANESTESIOLOGI</v>
          </cell>
          <cell r="O1947" t="str">
            <v>Dewan Bedah Utama (GOT)</v>
          </cell>
          <cell r="P1947" t="str">
            <v>HM</v>
          </cell>
          <cell r="Q1947">
            <v>11283</v>
          </cell>
        </row>
        <row r="1948">
          <cell r="E1948" t="str">
            <v>KKM/JKN/HSA/10-05-01/H/15/943</v>
          </cell>
          <cell r="F1948" t="str">
            <v>Therapeutic</v>
          </cell>
          <cell r="G1948" t="str">
            <v>Intermediate</v>
          </cell>
          <cell r="H1948" t="str">
            <v>Infusion Pumps, Syringe</v>
          </cell>
          <cell r="I1948" t="str">
            <v>ANESTHESIA PUMP SYRINGE (STAND ALONE)</v>
          </cell>
          <cell r="J1948" t="str">
            <v>13-217</v>
          </cell>
          <cell r="K1948" t="str">
            <v>FRESENIUS KABI</v>
          </cell>
          <cell r="L1948" t="str">
            <v>INJECTOMAT TIVA AGILIA</v>
          </cell>
          <cell r="M1948">
            <v>22231806</v>
          </cell>
          <cell r="N1948" t="str">
            <v>ANESTESIOLOGI</v>
          </cell>
          <cell r="O1948" t="str">
            <v>Dewan Bedah Utama (GOT)</v>
          </cell>
          <cell r="P1948" t="str">
            <v>HM</v>
          </cell>
          <cell r="Q1948">
            <v>11283</v>
          </cell>
        </row>
        <row r="1949">
          <cell r="E1949" t="str">
            <v>KKM/JKN/HSA/10-05-01/H/15/944</v>
          </cell>
          <cell r="F1949" t="str">
            <v>Therapeutic</v>
          </cell>
          <cell r="G1949" t="str">
            <v>Intermediate</v>
          </cell>
          <cell r="H1949" t="str">
            <v>Infusion Pumps, Syringe</v>
          </cell>
          <cell r="I1949" t="str">
            <v>ANESTHESIA PUMP SYRINGE (STAND ALONE)</v>
          </cell>
          <cell r="J1949" t="str">
            <v>13-217</v>
          </cell>
          <cell r="K1949" t="str">
            <v>FRESENIUS KABI</v>
          </cell>
          <cell r="L1949" t="str">
            <v>INJECTOMAT TIVA AGILIA</v>
          </cell>
          <cell r="M1949">
            <v>22231805</v>
          </cell>
          <cell r="N1949" t="str">
            <v>ANESTESIOLOGI</v>
          </cell>
          <cell r="O1949" t="str">
            <v>Dewan Bedah Utama (GOT)</v>
          </cell>
          <cell r="P1949" t="str">
            <v>HM</v>
          </cell>
          <cell r="Q1949">
            <v>11283</v>
          </cell>
        </row>
        <row r="1950">
          <cell r="E1950" t="str">
            <v>KKM/JKN/HSA/10-05-01/H/15/945</v>
          </cell>
          <cell r="F1950" t="str">
            <v>Therapeutic</v>
          </cell>
          <cell r="G1950" t="str">
            <v>Intermediate</v>
          </cell>
          <cell r="H1950" t="str">
            <v>Infusion Pumps, Syringe</v>
          </cell>
          <cell r="I1950" t="str">
            <v>ANESTHESIA PUMP SYRINGE (STAND ALONE)</v>
          </cell>
          <cell r="J1950" t="str">
            <v>13-217</v>
          </cell>
          <cell r="K1950" t="str">
            <v>FRESENIUS KABI</v>
          </cell>
          <cell r="L1950" t="str">
            <v>INJECTOMAT TIVA AGILIA</v>
          </cell>
          <cell r="M1950">
            <v>22230157</v>
          </cell>
          <cell r="N1950" t="str">
            <v>ANESTESIOLOGI</v>
          </cell>
          <cell r="O1950" t="str">
            <v>Dewan Bedah Utama (GOT)</v>
          </cell>
          <cell r="P1950" t="str">
            <v>HM</v>
          </cell>
          <cell r="Q1950">
            <v>11283</v>
          </cell>
        </row>
        <row r="1951">
          <cell r="E1951" t="str">
            <v>KKM/JKN/HSA/10-05-01/H/15/4011</v>
          </cell>
          <cell r="F1951" t="str">
            <v>Laboratory</v>
          </cell>
          <cell r="G1951" t="str">
            <v>Intermediate</v>
          </cell>
          <cell r="H1951" t="str">
            <v>Analyzers, Laboratory, Blood Gas/pH/Electrolyte</v>
          </cell>
          <cell r="I1951" t="str">
            <v>ANALYSER BLOOD GAS + ISE</v>
          </cell>
          <cell r="J1951" t="str">
            <v>18-618</v>
          </cell>
          <cell r="K1951" t="str">
            <v>NOVA BIOMEDICAL</v>
          </cell>
          <cell r="L1951" t="str">
            <v>NOVA PHOX ANALYSER</v>
          </cell>
          <cell r="M1951" t="str">
            <v>Z11315040</v>
          </cell>
          <cell r="N1951" t="str">
            <v>ANESTESIOLOGI</v>
          </cell>
          <cell r="O1951" t="str">
            <v>Dewan Bedah Utama (GOT)</v>
          </cell>
          <cell r="P1951" t="str">
            <v>HM</v>
          </cell>
          <cell r="Q1951">
            <v>44070</v>
          </cell>
        </row>
        <row r="1952">
          <cell r="E1952" t="str">
            <v>KKM/JKN/HSA/10-05-01/H/15/330</v>
          </cell>
          <cell r="F1952" t="str">
            <v>Therapeutic</v>
          </cell>
          <cell r="G1952" t="str">
            <v>Intermediate</v>
          </cell>
          <cell r="H1952" t="str">
            <v>Anesthesia Units</v>
          </cell>
          <cell r="I1952" t="str">
            <v>ANAESTHETIC MACHINE</v>
          </cell>
          <cell r="J1952" t="str">
            <v>10-134</v>
          </cell>
          <cell r="K1952" t="str">
            <v>DRAGER</v>
          </cell>
          <cell r="L1952" t="str">
            <v>PRIMUS</v>
          </cell>
          <cell r="M1952" t="str">
            <v>ASEK-0153</v>
          </cell>
          <cell r="N1952" t="str">
            <v>ANESTESIOLOGI</v>
          </cell>
          <cell r="O1952" t="str">
            <v>Dewan Bedah Utama (GOT)</v>
          </cell>
          <cell r="P1952" t="str">
            <v>HM</v>
          </cell>
          <cell r="Q1952">
            <v>90000</v>
          </cell>
        </row>
        <row r="1953">
          <cell r="E1953" t="str">
            <v>KKM/JKN/HSA/10-05-01/H/15/331</v>
          </cell>
          <cell r="F1953" t="str">
            <v>Therapeutic</v>
          </cell>
          <cell r="G1953" t="str">
            <v>Intermediate</v>
          </cell>
          <cell r="H1953" t="str">
            <v>Anesthesia Units</v>
          </cell>
          <cell r="I1953" t="str">
            <v>ANAESTHETIC MACHINE</v>
          </cell>
          <cell r="J1953" t="str">
            <v>10-134</v>
          </cell>
          <cell r="K1953" t="str">
            <v>DRAGER</v>
          </cell>
          <cell r="L1953" t="str">
            <v>PRIMUS</v>
          </cell>
          <cell r="M1953" t="str">
            <v>ASEK-0144</v>
          </cell>
          <cell r="N1953" t="str">
            <v>ANESTESIOLOGI</v>
          </cell>
          <cell r="O1953" t="str">
            <v>Dewan Bedah Utama (GOT)</v>
          </cell>
          <cell r="P1953" t="str">
            <v>HM</v>
          </cell>
          <cell r="Q1953">
            <v>90000</v>
          </cell>
        </row>
        <row r="1954">
          <cell r="E1954" t="str">
            <v>KKM/JKN/HSA/10-05-01/H/15/332</v>
          </cell>
          <cell r="F1954" t="str">
            <v>Therapeutic</v>
          </cell>
          <cell r="G1954" t="str">
            <v>Intermediate</v>
          </cell>
          <cell r="H1954" t="str">
            <v>Anesthesia Units</v>
          </cell>
          <cell r="I1954" t="str">
            <v>ANAESTHETIC MACHINE</v>
          </cell>
          <cell r="J1954" t="str">
            <v>10-134</v>
          </cell>
          <cell r="K1954" t="str">
            <v>DRAGER</v>
          </cell>
          <cell r="L1954" t="str">
            <v>PRIMUS</v>
          </cell>
          <cell r="M1954" t="str">
            <v>ASEK-0142</v>
          </cell>
          <cell r="N1954" t="str">
            <v>ANESTESIOLOGI</v>
          </cell>
          <cell r="O1954" t="str">
            <v>Dewan Bedah Utama (GOT)</v>
          </cell>
          <cell r="P1954" t="str">
            <v>HM</v>
          </cell>
          <cell r="Q1954">
            <v>90000</v>
          </cell>
        </row>
        <row r="1955">
          <cell r="E1955" t="str">
            <v>KKM/JKN/HSA/10-05-01/H/15/333</v>
          </cell>
          <cell r="F1955" t="str">
            <v>Therapeutic</v>
          </cell>
          <cell r="G1955" t="str">
            <v>Intermediate</v>
          </cell>
          <cell r="H1955" t="str">
            <v>Anesthesia Units</v>
          </cell>
          <cell r="I1955" t="str">
            <v>ANAESTHETIC MACHINE</v>
          </cell>
          <cell r="J1955" t="str">
            <v>10-134</v>
          </cell>
          <cell r="K1955" t="str">
            <v>DRAGER</v>
          </cell>
          <cell r="L1955" t="str">
            <v>PRIMUS</v>
          </cell>
          <cell r="M1955" t="str">
            <v>ASEK-0141</v>
          </cell>
          <cell r="N1955" t="str">
            <v>ANESTESIOLOGI</v>
          </cell>
          <cell r="O1955" t="str">
            <v>Dewan Bedah Utama (GOT)</v>
          </cell>
          <cell r="P1955" t="str">
            <v>HM</v>
          </cell>
          <cell r="Q1955">
            <v>90000</v>
          </cell>
        </row>
        <row r="1956">
          <cell r="E1956" t="str">
            <v>KKM/JKN/HSA/10-05-01/H/15/334</v>
          </cell>
          <cell r="F1956" t="str">
            <v>Therapeutic</v>
          </cell>
          <cell r="G1956" t="str">
            <v>Intermediate</v>
          </cell>
          <cell r="H1956" t="str">
            <v>Anesthesia Units</v>
          </cell>
          <cell r="I1956" t="str">
            <v>ANAESTHETIC MACHINE</v>
          </cell>
          <cell r="J1956" t="str">
            <v>10-134</v>
          </cell>
          <cell r="K1956" t="str">
            <v>DRAGER</v>
          </cell>
          <cell r="L1956" t="str">
            <v>PRIMUS</v>
          </cell>
          <cell r="M1956" t="str">
            <v>ASEK-0145</v>
          </cell>
          <cell r="N1956" t="str">
            <v>ANESTESIOLOGI</v>
          </cell>
          <cell r="O1956" t="str">
            <v>Dewan Bedah Utama (GOT)</v>
          </cell>
          <cell r="P1956" t="str">
            <v>HM</v>
          </cell>
          <cell r="Q1956">
            <v>90000</v>
          </cell>
        </row>
        <row r="1957">
          <cell r="E1957" t="str">
            <v>KKM/JKN/HSA/10-05-01/H/15/335</v>
          </cell>
          <cell r="F1957" t="str">
            <v>Therapeutic</v>
          </cell>
          <cell r="G1957" t="str">
            <v>Intermediate</v>
          </cell>
          <cell r="H1957" t="str">
            <v>Anesthesia Units</v>
          </cell>
          <cell r="I1957" t="str">
            <v>ANAESTHETIC MACHINE</v>
          </cell>
          <cell r="J1957" t="str">
            <v>10-134</v>
          </cell>
          <cell r="K1957" t="str">
            <v>DRAGER</v>
          </cell>
          <cell r="L1957" t="str">
            <v>PRIMUS</v>
          </cell>
          <cell r="M1957" t="str">
            <v>ASEK-0147</v>
          </cell>
          <cell r="N1957" t="str">
            <v>ANESTESIOLOGI</v>
          </cell>
          <cell r="O1957" t="str">
            <v>Dewan Bedah Utama (GOT)</v>
          </cell>
          <cell r="P1957" t="str">
            <v>HM</v>
          </cell>
          <cell r="Q1957">
            <v>90000</v>
          </cell>
        </row>
        <row r="1958">
          <cell r="E1958" t="str">
            <v>KKM/JKN/HSA/10-05-01/H/15/336</v>
          </cell>
          <cell r="F1958" t="str">
            <v>Therapeutic</v>
          </cell>
          <cell r="G1958" t="str">
            <v>Intermediate</v>
          </cell>
          <cell r="H1958" t="str">
            <v>Anesthesia Units</v>
          </cell>
          <cell r="I1958" t="str">
            <v>ANAESTHETIC MACHINE</v>
          </cell>
          <cell r="J1958" t="str">
            <v>10-134</v>
          </cell>
          <cell r="K1958" t="str">
            <v>DRAGER</v>
          </cell>
          <cell r="L1958" t="str">
            <v>PRIMUS</v>
          </cell>
          <cell r="M1958" t="str">
            <v>ASEK-0140</v>
          </cell>
          <cell r="N1958" t="str">
            <v>ANESTESIOLOGI</v>
          </cell>
          <cell r="O1958" t="str">
            <v>Dewan Bedah Utama (GOT)</v>
          </cell>
          <cell r="P1958" t="str">
            <v>HM</v>
          </cell>
          <cell r="Q1958">
            <v>90000</v>
          </cell>
        </row>
        <row r="1959">
          <cell r="E1959" t="str">
            <v>KKM/JKN/HSA/10-05-01/H/15/337</v>
          </cell>
          <cell r="F1959" t="str">
            <v>Therapeutic</v>
          </cell>
          <cell r="G1959" t="str">
            <v>Intermediate</v>
          </cell>
          <cell r="H1959" t="str">
            <v>Anesthesia Units</v>
          </cell>
          <cell r="I1959" t="str">
            <v>ANAESTHETIC MACHINE</v>
          </cell>
          <cell r="J1959" t="str">
            <v>10-134</v>
          </cell>
          <cell r="K1959" t="str">
            <v>DRAGER</v>
          </cell>
          <cell r="L1959" t="str">
            <v>PRIMUS</v>
          </cell>
          <cell r="M1959" t="str">
            <v>ASEK-0139</v>
          </cell>
          <cell r="N1959" t="str">
            <v>ANESTESIOLOGI</v>
          </cell>
          <cell r="O1959" t="str">
            <v>Dewan Bedah Utama (GOT)</v>
          </cell>
          <cell r="P1959" t="str">
            <v>HM</v>
          </cell>
          <cell r="Q1959">
            <v>90000</v>
          </cell>
        </row>
        <row r="1960">
          <cell r="E1960" t="str">
            <v>KKM/JKN/HSA/10-05-01/H/15/3564</v>
          </cell>
          <cell r="F1960" t="str">
            <v xml:space="preserve">Diagnostic </v>
          </cell>
          <cell r="G1960" t="str">
            <v>Basic</v>
          </cell>
          <cell r="H1960" t="str">
            <v>Amalgamators</v>
          </cell>
          <cell r="I1960" t="str">
            <v>AMALGAMATOR</v>
          </cell>
          <cell r="J1960" t="str">
            <v>10-082</v>
          </cell>
          <cell r="K1960" t="str">
            <v>SATELEC</v>
          </cell>
          <cell r="L1960" t="str">
            <v>SOFTLY CAPSULE</v>
          </cell>
          <cell r="M1960">
            <v>123527</v>
          </cell>
          <cell r="N1960" t="str">
            <v>ANESTESIOLOGI</v>
          </cell>
          <cell r="O1960" t="str">
            <v>Dewan Bedah Utama (GOT)</v>
          </cell>
          <cell r="P1960" t="str">
            <v>HM</v>
          </cell>
          <cell r="Q1960">
            <v>2000</v>
          </cell>
        </row>
        <row r="1961">
          <cell r="E1961" t="str">
            <v>KKM/JKN/HSA/10-05-01/H/15/2437</v>
          </cell>
          <cell r="F1961" t="str">
            <v>Therapeutic</v>
          </cell>
          <cell r="G1961" t="str">
            <v>Basic</v>
          </cell>
          <cell r="H1961" t="str">
            <v>Warming Units, Patient, Forced-Air</v>
          </cell>
          <cell r="I1961" t="str">
            <v>WARMER, CONVECTIVE AIR</v>
          </cell>
          <cell r="J1961" t="str">
            <v>17-950</v>
          </cell>
          <cell r="K1961" t="str">
            <v>CARE ESSENTIAL PTE</v>
          </cell>
          <cell r="L1961" t="str">
            <v>COCOON CWS4000</v>
          </cell>
          <cell r="M1961" t="str">
            <v>CW54-2354-14</v>
          </cell>
          <cell r="N1961" t="str">
            <v>OBSTETRIK &amp; GINEKOLOGI</v>
          </cell>
          <cell r="O1961" t="str">
            <v>Dewan Bedah Bersalin (MOT)</v>
          </cell>
          <cell r="P1961" t="str">
            <v>HM</v>
          </cell>
          <cell r="Q1961">
            <v>6560</v>
          </cell>
        </row>
        <row r="1962">
          <cell r="E1962" t="str">
            <v>KKM/JKN/HSA/10-05-01/H/15/2438</v>
          </cell>
          <cell r="F1962" t="str">
            <v>Therapeutic</v>
          </cell>
          <cell r="G1962" t="str">
            <v>Basic</v>
          </cell>
          <cell r="H1962" t="str">
            <v>Warming Units, Patient, Forced-Air</v>
          </cell>
          <cell r="I1962" t="str">
            <v>WARMER, CONVECTIVE AIR</v>
          </cell>
          <cell r="J1962" t="str">
            <v>17-950</v>
          </cell>
          <cell r="K1962" t="str">
            <v>CARE ESSENTIAL PTE</v>
          </cell>
          <cell r="L1962" t="str">
            <v>COCOON CWS4000</v>
          </cell>
          <cell r="M1962" t="str">
            <v>CW54-2355-14</v>
          </cell>
          <cell r="N1962" t="str">
            <v>OBSTETRIK &amp; GINEKOLOGI</v>
          </cell>
          <cell r="O1962" t="str">
            <v>Dewan Bedah Bersalin (MOT)</v>
          </cell>
          <cell r="P1962" t="str">
            <v>HM</v>
          </cell>
          <cell r="Q1962">
            <v>6560</v>
          </cell>
        </row>
        <row r="1963">
          <cell r="E1963" t="str">
            <v>KKM/JKN/HSA/10-05-01/H/15/5027</v>
          </cell>
          <cell r="F1963" t="str">
            <v>Therapeutic</v>
          </cell>
          <cell r="G1963" t="str">
            <v>Basic</v>
          </cell>
          <cell r="H1963" t="str">
            <v>Warming Units, Blood/Solution</v>
          </cell>
          <cell r="I1963" t="str">
            <v>WARMER BLOOD WATER TYPE</v>
          </cell>
          <cell r="J1963" t="str">
            <v>10-447</v>
          </cell>
          <cell r="K1963" t="str">
            <v>SMITH MEDICAL ASD</v>
          </cell>
          <cell r="L1963" t="str">
            <v>HL-90 HOTLINES BLLOD AND FLUID WARMER</v>
          </cell>
          <cell r="M1963" t="str">
            <v>S101B03263</v>
          </cell>
          <cell r="N1963" t="str">
            <v>OBSTETRIK &amp; GINEKOLOGI</v>
          </cell>
          <cell r="O1963" t="str">
            <v>Dewan Bedah Bersalin (MOT)</v>
          </cell>
          <cell r="P1963" t="str">
            <v>HM</v>
          </cell>
          <cell r="Q1963">
            <v>10639.2</v>
          </cell>
        </row>
        <row r="1964">
          <cell r="E1964" t="str">
            <v>KKM/JKN/HSA/10-05-01/H/15/5028</v>
          </cell>
          <cell r="F1964" t="str">
            <v>Therapeutic</v>
          </cell>
          <cell r="G1964" t="str">
            <v>Basic</v>
          </cell>
          <cell r="H1964" t="str">
            <v>Warming Units, Blood/Solution</v>
          </cell>
          <cell r="I1964" t="str">
            <v>WARMER BLOOD WATER TYPE</v>
          </cell>
          <cell r="J1964" t="str">
            <v>10-447</v>
          </cell>
          <cell r="K1964" t="str">
            <v>SMITH MEDICAL ASD</v>
          </cell>
          <cell r="L1964" t="str">
            <v>HL-90 HOTLINES BLLOD AND FLUID WARMER</v>
          </cell>
          <cell r="M1964" t="str">
            <v>S101B03262</v>
          </cell>
          <cell r="N1964" t="str">
            <v>OBSTETRIK &amp; GINEKOLOGI</v>
          </cell>
          <cell r="O1964" t="str">
            <v>Dewan Bedah Bersalin (MOT)</v>
          </cell>
          <cell r="P1964" t="str">
            <v>HM</v>
          </cell>
          <cell r="Q1964">
            <v>10639.2</v>
          </cell>
        </row>
        <row r="1965">
          <cell r="E1965" t="str">
            <v>KKM/JKN/HSA/10-05-01/H/15/1126</v>
          </cell>
          <cell r="F1965" t="str">
            <v>Therapeutic</v>
          </cell>
          <cell r="G1965" t="str">
            <v>Basic</v>
          </cell>
          <cell r="H1965" t="str">
            <v>Aspirators, Surgical</v>
          </cell>
          <cell r="I1965" t="str">
            <v>SUCTION UNIT 2 X 2L JAR MOBILE</v>
          </cell>
          <cell r="J1965" t="str">
            <v xml:space="preserve">
10-217</v>
          </cell>
          <cell r="K1965" t="str">
            <v xml:space="preserve">OHIO </v>
          </cell>
          <cell r="L1965"/>
          <cell r="M1965" t="str">
            <v>GFHT60018</v>
          </cell>
          <cell r="N1965" t="str">
            <v>OBSTETRIK &amp; GINEKOLOGI</v>
          </cell>
          <cell r="O1965" t="str">
            <v>Dewan Bedah Bersalin (MOT)</v>
          </cell>
          <cell r="P1965" t="str">
            <v>HM</v>
          </cell>
          <cell r="Q1965">
            <v>12150</v>
          </cell>
        </row>
        <row r="1966">
          <cell r="E1966" t="str">
            <v>KKM/JKN/HSA/10-05-01/H/15/1127</v>
          </cell>
          <cell r="F1966" t="str">
            <v>Therapeutic</v>
          </cell>
          <cell r="G1966" t="str">
            <v>Basic</v>
          </cell>
          <cell r="H1966" t="str">
            <v>Aspirators, Surgical</v>
          </cell>
          <cell r="I1966" t="str">
            <v>SUCTION UNIT 2 X 2L JAR MOBILE</v>
          </cell>
          <cell r="J1966" t="str">
            <v xml:space="preserve">
10-217</v>
          </cell>
          <cell r="K1966" t="str">
            <v xml:space="preserve">OHIO </v>
          </cell>
          <cell r="L1966"/>
          <cell r="M1966" t="str">
            <v>GFHT60026</v>
          </cell>
          <cell r="N1966" t="str">
            <v>OBSTETRIK &amp; GINEKOLOGI</v>
          </cell>
          <cell r="O1966" t="str">
            <v>Dewan Bedah Bersalin (MOT)</v>
          </cell>
          <cell r="P1966" t="str">
            <v>HM</v>
          </cell>
          <cell r="Q1966">
            <v>12150</v>
          </cell>
        </row>
        <row r="1967">
          <cell r="E1967" t="str">
            <v>KKM/JKN/HSA/10-05-01/H/15/2148</v>
          </cell>
          <cell r="F1967" t="str">
            <v>Therapeutic</v>
          </cell>
          <cell r="G1967" t="str">
            <v>Basic</v>
          </cell>
          <cell r="H1967" t="str">
            <v>Aspirators</v>
          </cell>
          <cell r="I1967" t="str">
            <v>SUCTION UNIT 1 X 2L JAR MOBILE</v>
          </cell>
          <cell r="J1967" t="str">
            <v>10-208</v>
          </cell>
          <cell r="K1967" t="str">
            <v>GIMA</v>
          </cell>
          <cell r="L1967">
            <v>28212</v>
          </cell>
          <cell r="M1967">
            <v>5922</v>
          </cell>
          <cell r="N1967" t="str">
            <v>OBSTETRIK &amp; GINEKOLOGI</v>
          </cell>
          <cell r="O1967" t="str">
            <v>Dewan Bedah Bersalin (MOT)</v>
          </cell>
          <cell r="P1967" t="str">
            <v>HM</v>
          </cell>
          <cell r="Q1967">
            <v>3386.5</v>
          </cell>
        </row>
        <row r="1968">
          <cell r="E1968" t="str">
            <v>KKM/JKN/HSA/10-05-01/R/15/14850</v>
          </cell>
          <cell r="F1968" t="str">
            <v xml:space="preserve">Diagnostic </v>
          </cell>
          <cell r="G1968" t="str">
            <v>Basic</v>
          </cell>
          <cell r="H1968" t="str">
            <v>Sphygmomanometers, Aneroid</v>
          </cell>
          <cell r="I1968" t="str">
            <v>SPHYGMOMANOMETER ANEROID DESK MODEL</v>
          </cell>
          <cell r="J1968" t="str">
            <v>16-156</v>
          </cell>
          <cell r="K1968" t="str">
            <v>RIESTER</v>
          </cell>
          <cell r="L1968">
            <v>1453</v>
          </cell>
          <cell r="M1968">
            <v>150311410</v>
          </cell>
          <cell r="N1968" t="str">
            <v>OBSTETRIK &amp; GINEKOLOGI</v>
          </cell>
          <cell r="O1968" t="str">
            <v>Dewan Bedah Bersalin (MOT)</v>
          </cell>
          <cell r="P1968" t="str">
            <v>ABR</v>
          </cell>
          <cell r="Q1968">
            <v>452.81</v>
          </cell>
        </row>
        <row r="1969">
          <cell r="E1969" t="str">
            <v>KKM/JKN/HSA/10-05-01/R/15/14851</v>
          </cell>
          <cell r="F1969" t="str">
            <v xml:space="preserve">Diagnostic </v>
          </cell>
          <cell r="G1969" t="str">
            <v>Basic</v>
          </cell>
          <cell r="H1969" t="str">
            <v>Sphygmomanometers, Aneroid</v>
          </cell>
          <cell r="I1969" t="str">
            <v>SPHYGMOMANOMETER ANEROID DESK MODEL</v>
          </cell>
          <cell r="J1969" t="str">
            <v>16-156</v>
          </cell>
          <cell r="K1969" t="str">
            <v>RIESTER</v>
          </cell>
          <cell r="L1969">
            <v>1453</v>
          </cell>
          <cell r="M1969">
            <v>150311434</v>
          </cell>
          <cell r="N1969" t="str">
            <v>OBSTETRIK &amp; GINEKOLOGI</v>
          </cell>
          <cell r="O1969" t="str">
            <v>Dewan Bedah Bersalin (MOT)</v>
          </cell>
          <cell r="P1969" t="str">
            <v>ABR</v>
          </cell>
          <cell r="Q1969">
            <v>452.81</v>
          </cell>
        </row>
        <row r="1970">
          <cell r="E1970" t="str">
            <v>KKM/JKN/HSA/10-05-01/R/15/14855</v>
          </cell>
          <cell r="F1970" t="str">
            <v xml:space="preserve">Diagnostic </v>
          </cell>
          <cell r="G1970" t="str">
            <v>Basic</v>
          </cell>
          <cell r="H1970" t="str">
            <v>Sphygmomanometers, Aneroid</v>
          </cell>
          <cell r="I1970" t="str">
            <v>SPHYGMOMANOMETER ANEROID DESK MODEL</v>
          </cell>
          <cell r="J1970" t="str">
            <v>16-156</v>
          </cell>
          <cell r="K1970" t="str">
            <v>RIESTER</v>
          </cell>
          <cell r="L1970">
            <v>1453</v>
          </cell>
          <cell r="M1970">
            <v>150311423</v>
          </cell>
          <cell r="N1970" t="str">
            <v>OBSTETRIK &amp; GINEKOLOGI</v>
          </cell>
          <cell r="O1970" t="str">
            <v>Dewan Bedah Bersalin (MOT)</v>
          </cell>
          <cell r="P1970" t="str">
            <v>ABR</v>
          </cell>
          <cell r="Q1970">
            <v>452.81</v>
          </cell>
        </row>
        <row r="1971">
          <cell r="E1971" t="str">
            <v>KKM/JKN/HSA/10-05-01/H/15/871</v>
          </cell>
          <cell r="F1971" t="str">
            <v>Therapeutic</v>
          </cell>
          <cell r="G1971" t="str">
            <v>Intermediate</v>
          </cell>
          <cell r="H1971" t="str">
            <v>Infusion Pumps, Syringe</v>
          </cell>
          <cell r="I1971" t="str">
            <v>PUMP SYRINGE BASIC DOSE RATE (STAND ALONE)</v>
          </cell>
          <cell r="J1971" t="str">
            <v>13-217</v>
          </cell>
          <cell r="K1971" t="str">
            <v>FRESENIUS KABI</v>
          </cell>
          <cell r="L1971" t="str">
            <v>INJECTOMAT MC AGILIA</v>
          </cell>
          <cell r="M1971" t="str">
            <v>018230/22231808</v>
          </cell>
          <cell r="N1971" t="str">
            <v>OBSTETRIK &amp; GINEKOLOGI</v>
          </cell>
          <cell r="O1971" t="str">
            <v>Dewan Bedah Bersalin (MOT)</v>
          </cell>
          <cell r="P1971" t="str">
            <v>HM</v>
          </cell>
          <cell r="Q1971">
            <v>4300</v>
          </cell>
        </row>
        <row r="1972">
          <cell r="E1972" t="str">
            <v>KKM/JKN/HSA/10-05-01/H/15/872</v>
          </cell>
          <cell r="F1972" t="str">
            <v>Therapeutic</v>
          </cell>
          <cell r="G1972" t="str">
            <v>Intermediate</v>
          </cell>
          <cell r="H1972" t="str">
            <v>Infusion Pumps, Syringe</v>
          </cell>
          <cell r="I1972" t="str">
            <v>PUMP SYRINGE BASIC DOSE RATE (STAND ALONE)</v>
          </cell>
          <cell r="J1972" t="str">
            <v>13-217</v>
          </cell>
          <cell r="K1972" t="str">
            <v>FRESENIUS KABI</v>
          </cell>
          <cell r="L1972" t="str">
            <v>INJECTOMAT MC AGILIA</v>
          </cell>
          <cell r="M1972" t="str">
            <v>018130/22231838</v>
          </cell>
          <cell r="N1972" t="str">
            <v>OBSTETRIK &amp; GINEKOLOGI</v>
          </cell>
          <cell r="O1972" t="str">
            <v>Dewan Bedah Bersalin (MOT)</v>
          </cell>
          <cell r="P1972" t="str">
            <v>HM</v>
          </cell>
          <cell r="Q1972">
            <v>4300</v>
          </cell>
        </row>
        <row r="1973">
          <cell r="E1973" t="str">
            <v>KKM/JKN/HSA/10-05-01/H/15/2233</v>
          </cell>
          <cell r="F1973" t="str">
            <v>Therapeutic</v>
          </cell>
          <cell r="G1973" t="str">
            <v>Intermediate</v>
          </cell>
          <cell r="H1973" t="str">
            <v>Infusion Pumps, Syringe</v>
          </cell>
          <cell r="I1973" t="str">
            <v>PUMP SYRINGE BASIC (STAND ALONE)</v>
          </cell>
          <cell r="J1973" t="str">
            <v>13-217</v>
          </cell>
          <cell r="K1973" t="str">
            <v>FRESENIUS KABI</v>
          </cell>
          <cell r="L1973" t="str">
            <v>INJECTOMAT AGILIA</v>
          </cell>
          <cell r="M1973" t="str">
            <v>018030 / 22233968</v>
          </cell>
          <cell r="N1973" t="str">
            <v>OBSTETRIK &amp; GINEKOLOGI</v>
          </cell>
          <cell r="O1973" t="str">
            <v>Dewan Bedah Bersalin (MOT)</v>
          </cell>
          <cell r="P1973" t="str">
            <v>HM</v>
          </cell>
          <cell r="Q1973">
            <v>2700</v>
          </cell>
        </row>
        <row r="1974">
          <cell r="E1974" t="str">
            <v>KKM/JKN/HSA/10-05-01/H/15/2234</v>
          </cell>
          <cell r="F1974" t="str">
            <v>Therapeutic</v>
          </cell>
          <cell r="G1974" t="str">
            <v>Intermediate</v>
          </cell>
          <cell r="H1974" t="str">
            <v>Infusion Pumps, Syringe</v>
          </cell>
          <cell r="I1974" t="str">
            <v>PUMP SYRINGE BASIC (STAND ALONE)</v>
          </cell>
          <cell r="J1974" t="str">
            <v>13-217</v>
          </cell>
          <cell r="K1974" t="str">
            <v>FRESENIUS KABI</v>
          </cell>
          <cell r="L1974" t="str">
            <v>INJECTOMAT AGILIA</v>
          </cell>
          <cell r="M1974" t="str">
            <v>018030 / 22233971</v>
          </cell>
          <cell r="N1974" t="str">
            <v>OBSTETRIK &amp; GINEKOLOGI</v>
          </cell>
          <cell r="O1974" t="str">
            <v>Dewan Bedah Bersalin (MOT)</v>
          </cell>
          <cell r="P1974" t="str">
            <v>HM</v>
          </cell>
          <cell r="Q1974">
            <v>2700</v>
          </cell>
        </row>
        <row r="1975">
          <cell r="E1975" t="str">
            <v>KKM/JKN/HSA/10-05-01/H/15/2235</v>
          </cell>
          <cell r="F1975" t="str">
            <v>Therapeutic</v>
          </cell>
          <cell r="G1975" t="str">
            <v>Intermediate</v>
          </cell>
          <cell r="H1975" t="str">
            <v>Infusion Pumps, Syringe</v>
          </cell>
          <cell r="I1975" t="str">
            <v>PUMP SYRINGE BASIC (STAND ALONE)</v>
          </cell>
          <cell r="J1975" t="str">
            <v>13-217</v>
          </cell>
          <cell r="K1975" t="str">
            <v>FRESENIUS KABI</v>
          </cell>
          <cell r="L1975" t="str">
            <v>INJECTOMAT AGILIA</v>
          </cell>
          <cell r="M1975" t="str">
            <v>018030 / 22233939</v>
          </cell>
          <cell r="N1975" t="str">
            <v>OBSTETRIK &amp; GINEKOLOGI</v>
          </cell>
          <cell r="O1975" t="str">
            <v>Dewan Bedah Bersalin (MOT)</v>
          </cell>
          <cell r="P1975" t="str">
            <v>HM</v>
          </cell>
          <cell r="Q1975">
            <v>2700</v>
          </cell>
        </row>
        <row r="1976">
          <cell r="E1976" t="str">
            <v>KKM/JKN/HSA/10-05-01/H/15/2236</v>
          </cell>
          <cell r="F1976" t="str">
            <v>Therapeutic</v>
          </cell>
          <cell r="G1976" t="str">
            <v>Intermediate</v>
          </cell>
          <cell r="H1976" t="str">
            <v>Infusion Pumps, Syringe</v>
          </cell>
          <cell r="I1976" t="str">
            <v>PUMP SYRINGE BASIC (STAND ALONE)</v>
          </cell>
          <cell r="J1976" t="str">
            <v>13-217</v>
          </cell>
          <cell r="K1976" t="str">
            <v>FRESENIUS KABI</v>
          </cell>
          <cell r="L1976" t="str">
            <v>INJECTOMAT AGILIA</v>
          </cell>
          <cell r="M1976" t="str">
            <v>018030/22233940</v>
          </cell>
          <cell r="N1976" t="str">
            <v>OBSTETRIK &amp; GINEKOLOGI</v>
          </cell>
          <cell r="O1976" t="str">
            <v>Dewan Bedah Bersalin (MOT)</v>
          </cell>
          <cell r="P1976" t="str">
            <v>HM</v>
          </cell>
          <cell r="Q1976">
            <v>2700</v>
          </cell>
        </row>
        <row r="1977">
          <cell r="E1977" t="str">
            <v>KKM/JKN/HSA/10-05-01/H/15/2237</v>
          </cell>
          <cell r="F1977" t="str">
            <v>Therapeutic</v>
          </cell>
          <cell r="G1977" t="str">
            <v>Intermediate</v>
          </cell>
          <cell r="H1977" t="str">
            <v>Infusion Pumps, Syringe</v>
          </cell>
          <cell r="I1977" t="str">
            <v>PUMP SYRINGE BASIC (STAND ALONE)</v>
          </cell>
          <cell r="J1977" t="str">
            <v>13-217</v>
          </cell>
          <cell r="K1977" t="str">
            <v>FRESENIUS KABI</v>
          </cell>
          <cell r="L1977" t="str">
            <v>INJECTOMAT AGILIA</v>
          </cell>
          <cell r="M1977" t="str">
            <v>018030 / 22233970</v>
          </cell>
          <cell r="N1977" t="str">
            <v>OBSTETRIK &amp; GINEKOLOGI</v>
          </cell>
          <cell r="O1977" t="str">
            <v>Dewan Bedah Bersalin (MOT)</v>
          </cell>
          <cell r="P1977" t="str">
            <v>HM</v>
          </cell>
          <cell r="Q1977">
            <v>2700</v>
          </cell>
        </row>
        <row r="1978">
          <cell r="E1978" t="str">
            <v>KKM/JKN/HSA/10-05-01/H/15/1570</v>
          </cell>
          <cell r="F1978" t="str">
            <v xml:space="preserve">Diagnostic </v>
          </cell>
          <cell r="G1978" t="str">
            <v>Intermediate</v>
          </cell>
          <cell r="H1978" t="str">
            <v>Monitors, Physiologic, Vital Signs</v>
          </cell>
          <cell r="I1978" t="str">
            <v>MONITOR NIBP/TEMP</v>
          </cell>
          <cell r="J1978" t="str">
            <v>25-209</v>
          </cell>
          <cell r="K1978" t="str">
            <v>WELCH ALLYN</v>
          </cell>
          <cell r="L1978" t="str">
            <v>WELCH ALLYN VSM 300</v>
          </cell>
          <cell r="M1978" t="str">
            <v>JA 123487</v>
          </cell>
          <cell r="N1978" t="str">
            <v>OBSTETRIK &amp; GINEKOLOGI</v>
          </cell>
          <cell r="O1978" t="str">
            <v>Dewan Bedah Bersalin (MOT)</v>
          </cell>
          <cell r="P1978" t="str">
            <v>HM</v>
          </cell>
          <cell r="Q1978">
            <v>4355</v>
          </cell>
        </row>
        <row r="1979">
          <cell r="E1979" t="str">
            <v>KKM/JKN/HSA/10-05-01/H/15/5047</v>
          </cell>
          <cell r="F1979" t="str">
            <v xml:space="preserve">Diagnostic </v>
          </cell>
          <cell r="G1979" t="str">
            <v>Intermediate</v>
          </cell>
          <cell r="H1979" t="str">
            <v>Physiologic Monitoring Systems, Acute Care</v>
          </cell>
          <cell r="I1979" t="str">
            <v>MONITOR MODULAR 8-CH ECG/RR/NIBP/SP02/2TEMP/2IBP</v>
          </cell>
          <cell r="J1979" t="str">
            <v>12-647</v>
          </cell>
          <cell r="K1979" t="str">
            <v>MINDRAY</v>
          </cell>
          <cell r="L1979" t="str">
            <v>BENEVIEW T8</v>
          </cell>
          <cell r="M1979" t="str">
            <v>CF45122767</v>
          </cell>
          <cell r="N1979" t="str">
            <v>OBSTETRIK &amp; GINELOKOGI</v>
          </cell>
          <cell r="O1979" t="str">
            <v>Dewan Bedah Bersalin (MOT)</v>
          </cell>
          <cell r="P1979" t="str">
            <v>HM</v>
          </cell>
          <cell r="Q1979">
            <v>32900</v>
          </cell>
        </row>
        <row r="1980">
          <cell r="E1980" t="str">
            <v>KKM/JKN/HSA/10-05-01/H/15/5048</v>
          </cell>
          <cell r="F1980" t="str">
            <v xml:space="preserve">Diagnostic </v>
          </cell>
          <cell r="G1980" t="str">
            <v>Intermediate</v>
          </cell>
          <cell r="H1980" t="str">
            <v>Physiologic Monitoring Systems, Acute Care</v>
          </cell>
          <cell r="I1980" t="str">
            <v>MONITOR MODULAR 8-CH ECG/RR/NIBP/SP02/2TEMP/2IBP</v>
          </cell>
          <cell r="J1980" t="str">
            <v>12-647</v>
          </cell>
          <cell r="K1980" t="str">
            <v>MINDRAY</v>
          </cell>
          <cell r="L1980" t="str">
            <v>BENEVIEW T8</v>
          </cell>
          <cell r="M1980" t="str">
            <v>CF45122768</v>
          </cell>
          <cell r="N1980" t="str">
            <v>OBSTETRIK &amp; GINELOKOGI</v>
          </cell>
          <cell r="O1980" t="str">
            <v>Dewan Bedah Bersalin (MOT)</v>
          </cell>
          <cell r="P1980" t="str">
            <v>HM</v>
          </cell>
          <cell r="Q1980">
            <v>32900</v>
          </cell>
        </row>
        <row r="1981">
          <cell r="E1981" t="str">
            <v>KKM/JKN/HSA/10-05-01/H/15/5049</v>
          </cell>
          <cell r="F1981" t="str">
            <v xml:space="preserve">Diagnostic </v>
          </cell>
          <cell r="G1981" t="str">
            <v>Intermediate</v>
          </cell>
          <cell r="H1981" t="str">
            <v>Physiologic Monitoring Systems, Acute Care</v>
          </cell>
          <cell r="I1981" t="str">
            <v>MONITOR MODULAR 8-CH ECG/RR/NIBP/SP02/2TEMP/2IBP</v>
          </cell>
          <cell r="J1981" t="str">
            <v>12-647</v>
          </cell>
          <cell r="K1981" t="str">
            <v>MINDRAY</v>
          </cell>
          <cell r="L1981" t="str">
            <v>BENEVIEW T8</v>
          </cell>
          <cell r="M1981" t="str">
            <v>CF45122766</v>
          </cell>
          <cell r="N1981" t="str">
            <v>OBSTETRIK &amp; GINELOKOGI</v>
          </cell>
          <cell r="O1981" t="str">
            <v>Dewan Bedah Bersalin (MOT)</v>
          </cell>
          <cell r="P1981" t="str">
            <v>HM</v>
          </cell>
          <cell r="Q1981">
            <v>32900</v>
          </cell>
        </row>
        <row r="1982">
          <cell r="E1982" t="str">
            <v>KKM/JKN/HSA/10-05-01/H/15/5050</v>
          </cell>
          <cell r="F1982" t="str">
            <v xml:space="preserve">Diagnostic </v>
          </cell>
          <cell r="G1982" t="str">
            <v>Intermediate</v>
          </cell>
          <cell r="H1982" t="str">
            <v>Physiologic Monitoring Systems, Acute Care</v>
          </cell>
          <cell r="I1982" t="str">
            <v>MONITOR MODULAR 8-CH ECG/RR/NIBP/SP02/2TEMP/2IBP</v>
          </cell>
          <cell r="J1982" t="str">
            <v>12-647</v>
          </cell>
          <cell r="K1982" t="str">
            <v>MINDRAY</v>
          </cell>
          <cell r="L1982" t="str">
            <v>BENEVIEW T8</v>
          </cell>
          <cell r="M1982" t="str">
            <v>CF45122765</v>
          </cell>
          <cell r="N1982" t="str">
            <v>OBSTETRIK &amp; GINELOKOGI</v>
          </cell>
          <cell r="O1982" t="str">
            <v>Dewan Bedah Bersalin (MOT)</v>
          </cell>
          <cell r="P1982" t="str">
            <v>HM</v>
          </cell>
          <cell r="Q1982">
            <v>32900</v>
          </cell>
        </row>
        <row r="1983">
          <cell r="E1983" t="str">
            <v>KKM/JKN/HSA/10-05-01/H/15/2110</v>
          </cell>
          <cell r="F1983" t="str">
            <v xml:space="preserve">Diagnostic </v>
          </cell>
          <cell r="G1983" t="str">
            <v>Intermediate</v>
          </cell>
          <cell r="H1983" t="str">
            <v>Physiologic Monitoring Systems, Acute Care</v>
          </cell>
          <cell r="I1983" t="str">
            <v>MONITOR 4 CH, ECG/RR/NIBP/SP02/TEMP</v>
          </cell>
          <cell r="J1983" t="str">
            <v>12-647</v>
          </cell>
          <cell r="K1983" t="str">
            <v>MINDRAY</v>
          </cell>
          <cell r="L1983" t="str">
            <v>IMEC 12</v>
          </cell>
          <cell r="M1983" t="str">
            <v>EV-51016566</v>
          </cell>
          <cell r="N1983" t="str">
            <v>OBSTETRIK &amp; GINELOKOGI</v>
          </cell>
          <cell r="O1983" t="str">
            <v>Dewan Bedah Bersalin (MOT)</v>
          </cell>
          <cell r="P1983" t="str">
            <v>HM</v>
          </cell>
          <cell r="Q1983">
            <v>9000</v>
          </cell>
        </row>
        <row r="1984">
          <cell r="E1984" t="str">
            <v xml:space="preserve"> KKM/JKN/HSA/10-05-01/R/15/17211</v>
          </cell>
          <cell r="F1984" t="str">
            <v>Therapeutic</v>
          </cell>
          <cell r="G1984" t="str">
            <v>Basic</v>
          </cell>
          <cell r="H1984" t="str">
            <v>Pressure Infusors</v>
          </cell>
          <cell r="I1984" t="str">
            <v>INFUSOR PRESSURE</v>
          </cell>
          <cell r="J1984" t="str">
            <v>13-100</v>
          </cell>
          <cell r="K1984" t="str">
            <v>ERKA</v>
          </cell>
          <cell r="L1984"/>
          <cell r="M1984">
            <v>15018098</v>
          </cell>
          <cell r="N1984" t="str">
            <v>OBSTETRIK &amp; GINEKOLOGI</v>
          </cell>
          <cell r="O1984" t="str">
            <v>Dewan Bedah Bersalin (MOT)</v>
          </cell>
          <cell r="P1984" t="str">
            <v>ABR</v>
          </cell>
          <cell r="Q1984">
            <v>611</v>
          </cell>
        </row>
        <row r="1985">
          <cell r="E1985" t="str">
            <v xml:space="preserve"> KKM/JKN/HSA/10-05-01/R/15/17212</v>
          </cell>
          <cell r="F1985" t="str">
            <v>Therapeutic</v>
          </cell>
          <cell r="G1985" t="str">
            <v>Basic</v>
          </cell>
          <cell r="H1985" t="str">
            <v>Pressure Infusors</v>
          </cell>
          <cell r="I1985" t="str">
            <v>INFUSOR PRESSURE</v>
          </cell>
          <cell r="J1985" t="str">
            <v>13-100</v>
          </cell>
          <cell r="K1985" t="str">
            <v>ERKA</v>
          </cell>
          <cell r="L1985"/>
          <cell r="M1985">
            <v>15018068</v>
          </cell>
          <cell r="N1985" t="str">
            <v>OBSTETRIK &amp; GINEKOLOGI</v>
          </cell>
          <cell r="O1985" t="str">
            <v>Dewan Bedah Bersalin (MOT)</v>
          </cell>
          <cell r="P1985" t="str">
            <v>ABR</v>
          </cell>
          <cell r="Q1985">
            <v>611</v>
          </cell>
        </row>
        <row r="1986">
          <cell r="E1986" t="str">
            <v>KKM/JKN/HSA/10-05-01/H/15/5040</v>
          </cell>
          <cell r="F1986" t="str">
            <v>Therapeutic</v>
          </cell>
          <cell r="G1986" t="str">
            <v>Intermediate</v>
          </cell>
          <cell r="H1986" t="str">
            <v>Electrosurgical Units, Monopolar, Argon-Enhanced Coagulation</v>
          </cell>
          <cell r="I1986" t="str">
            <v>DIATHERMY UNIT MONO &amp; BIP0LAR, HIGH P0WER RANGE</v>
          </cell>
          <cell r="J1986" t="str">
            <v>17-739</v>
          </cell>
          <cell r="K1986" t="str">
            <v>ERBE/VIO 300S</v>
          </cell>
          <cell r="L1986" t="str">
            <v>VIO 300D</v>
          </cell>
          <cell r="M1986">
            <v>11373473</v>
          </cell>
          <cell r="N1986" t="str">
            <v>OBSTETRIK &amp; GINEKOLOGI</v>
          </cell>
          <cell r="O1986" t="str">
            <v>Dewan Bedah Bersalin (MOT)</v>
          </cell>
          <cell r="P1986" t="str">
            <v>HM</v>
          </cell>
          <cell r="Q1986">
            <v>33286.5</v>
          </cell>
        </row>
        <row r="1987">
          <cell r="E1987" t="str">
            <v>KKM/JKN/HSA/10-05-01/H/15/5041</v>
          </cell>
          <cell r="F1987" t="str">
            <v>Therapeutic</v>
          </cell>
          <cell r="G1987" t="str">
            <v>Intermediate</v>
          </cell>
          <cell r="H1987" t="str">
            <v>Electrosurgical Units, Monopolar, Argon-Enhanced Coagulation</v>
          </cell>
          <cell r="I1987" t="str">
            <v>DIATHERMY UNIT MONO &amp; BIP0LAR, HIGH P0WER RANGE</v>
          </cell>
          <cell r="J1987" t="str">
            <v>17-739</v>
          </cell>
          <cell r="K1987" t="str">
            <v>ERBE/VIO 300S</v>
          </cell>
          <cell r="L1987" t="str">
            <v>VIO 300D</v>
          </cell>
          <cell r="M1987">
            <v>11373468</v>
          </cell>
          <cell r="N1987" t="str">
            <v>OBSTETRIK &amp; GINEKOLOGI</v>
          </cell>
          <cell r="O1987" t="str">
            <v>Dewan Bedah Bersalin (MOT)</v>
          </cell>
          <cell r="P1987" t="str">
            <v>HM</v>
          </cell>
          <cell r="Q1987">
            <v>33286.5</v>
          </cell>
        </row>
        <row r="1988">
          <cell r="E1988" t="str">
            <v>KKM/JKN/HSA/10-05-01/H/15/3676</v>
          </cell>
          <cell r="F1988" t="str">
            <v>Therapeutic</v>
          </cell>
          <cell r="G1988" t="str">
            <v>Intermediate</v>
          </cell>
          <cell r="H1988" t="str">
            <v xml:space="preserve">Defibrillators, External, Automated </v>
          </cell>
          <cell r="I1988" t="str">
            <v>DEFIBRILLATOR W/INTERNAL/EXT PADDLES/PACEMAKER</v>
          </cell>
          <cell r="J1988" t="str">
            <v>17-116</v>
          </cell>
          <cell r="K1988" t="str">
            <v>PHILIPS</v>
          </cell>
          <cell r="L1988" t="str">
            <v>EFFICIA DFM100</v>
          </cell>
          <cell r="M1988"/>
          <cell r="N1988" t="str">
            <v>OBSTETRIK &amp; GINEKOLOGI</v>
          </cell>
          <cell r="O1988" t="str">
            <v>Dewan Bedah Bersalin (MOT)</v>
          </cell>
          <cell r="P1988" t="str">
            <v>HM</v>
          </cell>
          <cell r="Q1988">
            <v>14250</v>
          </cell>
        </row>
        <row r="1989">
          <cell r="E1989" t="str">
            <v>KKM/JKN/HSA/10-05-01/H/15/3677</v>
          </cell>
          <cell r="F1989" t="str">
            <v>Therapeutic</v>
          </cell>
          <cell r="G1989" t="str">
            <v>Intermediate</v>
          </cell>
          <cell r="H1989" t="str">
            <v xml:space="preserve">Defibrillators, External, Automated </v>
          </cell>
          <cell r="I1989" t="str">
            <v>DEFIBRILLATOR W/INTERNAL/EXT PADDLES/PACEMAKER</v>
          </cell>
          <cell r="J1989" t="str">
            <v>17-116</v>
          </cell>
          <cell r="K1989" t="str">
            <v>PHILIPS</v>
          </cell>
          <cell r="L1989" t="str">
            <v>EFFICIA DFM100</v>
          </cell>
          <cell r="M1989" t="str">
            <v>CN32601415</v>
          </cell>
          <cell r="N1989" t="str">
            <v>OBSTETRIK &amp; GINEKOLOGI</v>
          </cell>
          <cell r="O1989" t="str">
            <v>Dewan Bedah Bersalin (MOT)</v>
          </cell>
          <cell r="P1989" t="str">
            <v>HM</v>
          </cell>
          <cell r="Q1989">
            <v>14250</v>
          </cell>
        </row>
        <row r="1990">
          <cell r="E1990" t="str">
            <v>KKM/JKN/HSA/10-05-01/H/15/941</v>
          </cell>
          <cell r="F1990" t="str">
            <v>Therapeutic</v>
          </cell>
          <cell r="G1990" t="str">
            <v>Intermediate</v>
          </cell>
          <cell r="H1990" t="str">
            <v>Infusion Pumps, Syringe</v>
          </cell>
          <cell r="I1990" t="str">
            <v>ANESTHESIA PUMP SYRINGE (STAND ALONE)</v>
          </cell>
          <cell r="J1990" t="str">
            <v>13-217</v>
          </cell>
          <cell r="K1990" t="str">
            <v>FRESENIUS KABI</v>
          </cell>
          <cell r="L1990" t="str">
            <v>INJECTOMAT TIVA AGILIA</v>
          </cell>
          <cell r="M1990" t="str">
            <v>018230 / 22231807</v>
          </cell>
          <cell r="N1990" t="str">
            <v>OBSTETRIK &amp; GINEKOLOGI</v>
          </cell>
          <cell r="O1990" t="str">
            <v>Dewan Bedah Bersalin (MOT)</v>
          </cell>
          <cell r="P1990" t="str">
            <v>HM</v>
          </cell>
          <cell r="Q1990">
            <v>11283</v>
          </cell>
        </row>
        <row r="1991">
          <cell r="E1991" t="str">
            <v>KKM/JKN/HSA/10-05-01/H/15/5091</v>
          </cell>
          <cell r="F1991" t="str">
            <v xml:space="preserve">Diagnostic </v>
          </cell>
          <cell r="G1991" t="str">
            <v>Basic</v>
          </cell>
          <cell r="H1991" t="str">
            <v>Testers</v>
          </cell>
          <cell r="I1991" t="str">
            <v>Non invasive X-Ray test device - KV meter</v>
          </cell>
          <cell r="J1991" t="str">
            <v>15-605</v>
          </cell>
          <cell r="K1991" t="str">
            <v>Fluke-Biomedical</v>
          </cell>
          <cell r="L1991"/>
          <cell r="M1991">
            <v>2866023</v>
          </cell>
          <cell r="N1991" t="str">
            <v>PENGIMEJAN DAN DIAGNOSTIK</v>
          </cell>
          <cell r="O1991" t="str">
            <v>Bilik Pegawai Sains A03258</v>
          </cell>
          <cell r="P1991" t="str">
            <v>HM</v>
          </cell>
          <cell r="Q1991">
            <v>50000</v>
          </cell>
        </row>
        <row r="1992">
          <cell r="E1992" t="str">
            <v>KKM/JKN/HSA/10-05-01/H/15/5090</v>
          </cell>
          <cell r="F1992" t="str">
            <v xml:space="preserve">Diagnostic </v>
          </cell>
          <cell r="G1992" t="str">
            <v>Basic</v>
          </cell>
          <cell r="H1992" t="str">
            <v>Testers</v>
          </cell>
          <cell r="I1992" t="str">
            <v>Mammo digital KVP meter</v>
          </cell>
          <cell r="J1992" t="str">
            <v>15-605</v>
          </cell>
          <cell r="K1992" t="str">
            <v>Fluke-Biomedical</v>
          </cell>
          <cell r="L1992" t="str">
            <v>07-492</v>
          </cell>
          <cell r="M1992">
            <v>2757013</v>
          </cell>
          <cell r="N1992" t="str">
            <v>PENGIMEJAN DAN DIAGNOSTIK</v>
          </cell>
          <cell r="O1992" t="str">
            <v>Bilik Pegawai Sains A03258</v>
          </cell>
          <cell r="P1992" t="str">
            <v>HM</v>
          </cell>
          <cell r="Q1992">
            <v>25000</v>
          </cell>
        </row>
        <row r="1993">
          <cell r="E1993" t="str">
            <v>KKM/JKN/HSA/10-05-01/H/15/5089</v>
          </cell>
          <cell r="F1993" t="str">
            <v>Radiology</v>
          </cell>
          <cell r="G1993" t="str">
            <v>Basic</v>
          </cell>
          <cell r="H1993" t="str">
            <v>Sensitometers, Radiographic</v>
          </cell>
          <cell r="I1993" t="str">
            <v>Dual color electronic sensitometer</v>
          </cell>
          <cell r="J1993" t="str">
            <v>16-563</v>
          </cell>
          <cell r="K1993" t="str">
            <v>Fluke-Biomedical</v>
          </cell>
          <cell r="L1993" t="str">
            <v>07-417</v>
          </cell>
          <cell r="M1993">
            <v>12916</v>
          </cell>
          <cell r="N1993" t="str">
            <v>PENGIMEJAN DAN DIAGNOSTIK</v>
          </cell>
          <cell r="O1993" t="str">
            <v>Bilik Pegawai Sains A03258</v>
          </cell>
          <cell r="P1993" t="str">
            <v>HM</v>
          </cell>
          <cell r="Q1993">
            <v>4000</v>
          </cell>
        </row>
        <row r="1994">
          <cell r="E1994" t="str">
            <v>KKM/JKN/HSA/10-05-01/H/15/5088</v>
          </cell>
          <cell r="F1994" t="str">
            <v>Radiology</v>
          </cell>
          <cell r="G1994" t="str">
            <v>Intermediate</v>
          </cell>
          <cell r="H1994" t="str">
            <v>Densitometers</v>
          </cell>
          <cell r="I1994" t="str">
            <v>Densitometer</v>
          </cell>
          <cell r="J1994" t="str">
            <v>15-129</v>
          </cell>
          <cell r="K1994" t="str">
            <v>Fluke-Biomedical</v>
          </cell>
          <cell r="L1994"/>
          <cell r="M1994">
            <v>2806041</v>
          </cell>
          <cell r="N1994" t="str">
            <v>PENGIMEJAN DAN DIAGNOSTIK</v>
          </cell>
          <cell r="O1994" t="str">
            <v>Bilik Pegawai Sains A03258</v>
          </cell>
          <cell r="P1994" t="str">
            <v>HM</v>
          </cell>
          <cell r="Q1994">
            <v>5000</v>
          </cell>
        </row>
        <row r="1995">
          <cell r="E1995" t="str">
            <v>JKNS/062678/H/12/203</v>
          </cell>
          <cell r="F1995" t="str">
            <v>Laboratory</v>
          </cell>
          <cell r="G1995" t="str">
            <v>Intermediate</v>
          </cell>
          <cell r="H1995" t="str">
            <v>Microscopes</v>
          </cell>
          <cell r="I1995" t="str">
            <v>Microscope</v>
          </cell>
          <cell r="J1995" t="str">
            <v>12-536</v>
          </cell>
          <cell r="K1995" t="str">
            <v>Carl Zeiss</v>
          </cell>
          <cell r="L1995" t="str">
            <v>Opmi Lumera 700</v>
          </cell>
          <cell r="M1995" t="str">
            <v>6634122024 (038-040482)</v>
          </cell>
          <cell r="N1995"/>
          <cell r="O1995"/>
          <cell r="P1995"/>
          <cell r="Q1995">
            <v>449250.5</v>
          </cell>
        </row>
        <row r="1996">
          <cell r="E1996" t="str">
            <v>KKM/JKN/HSA/10-01-01/R/15/7575</v>
          </cell>
          <cell r="F1996" t="str">
            <v xml:space="preserve">Diagnostic </v>
          </cell>
          <cell r="G1996" t="str">
            <v>Basic</v>
          </cell>
          <cell r="H1996" t="str">
            <v>Light Sources, Fiberoptic, Flexible Endoscopic</v>
          </cell>
          <cell r="I1996" t="str">
            <v>LIGHT SOURCE FIBEROPTIC COMPACT</v>
          </cell>
          <cell r="J1996" t="str">
            <v>12-343</v>
          </cell>
          <cell r="K1996" t="str">
            <v>OLYMPUS</v>
          </cell>
          <cell r="L1996" t="str">
            <v>CLV-S40PRO</v>
          </cell>
          <cell r="M1996"/>
          <cell r="N1996" t="str">
            <v>OTORINOLARINGOLOGI</v>
          </cell>
          <cell r="O1996"/>
          <cell r="P1996" t="str">
            <v>ABR</v>
          </cell>
          <cell r="Q1996">
            <v>1320</v>
          </cell>
        </row>
        <row r="1997">
          <cell r="E1997" t="str">
            <v>KKM/JKN/HSA/10-05-01/H/15/5092</v>
          </cell>
          <cell r="F1997" t="str">
            <v>Radiology</v>
          </cell>
          <cell r="G1997" t="str">
            <v>Basic</v>
          </cell>
          <cell r="H1997" t="str">
            <v>Dosimeters, Radiation</v>
          </cell>
          <cell r="I1997" t="str">
            <v>Dosimeter</v>
          </cell>
          <cell r="J1997" t="str">
            <v>11-295</v>
          </cell>
          <cell r="K1997" t="str">
            <v>ALOKA</v>
          </cell>
          <cell r="L1997" t="str">
            <v>PDM-1278-SA</v>
          </cell>
          <cell r="M1997" t="str">
            <v>Q-7113</v>
          </cell>
          <cell r="N1997" t="str">
            <v>PENGIMEJAN DAN DIAGNOSTIK</v>
          </cell>
          <cell r="O1997"/>
          <cell r="P1997" t="str">
            <v>HM</v>
          </cell>
          <cell r="Q1997">
            <v>4000</v>
          </cell>
        </row>
        <row r="1998">
          <cell r="E1998" t="str">
            <v>KKM/JKN/HSA/10-05-01/H/15/5093</v>
          </cell>
          <cell r="F1998" t="str">
            <v>Radiology</v>
          </cell>
          <cell r="G1998" t="str">
            <v>Basic</v>
          </cell>
          <cell r="H1998" t="str">
            <v>Dosimeters, Radiation</v>
          </cell>
          <cell r="I1998" t="str">
            <v>Dosimeter</v>
          </cell>
          <cell r="J1998" t="str">
            <v>11-295</v>
          </cell>
          <cell r="K1998" t="str">
            <v>ALOKA</v>
          </cell>
          <cell r="L1998" t="str">
            <v>PDM-1278-SA</v>
          </cell>
          <cell r="M1998" t="str">
            <v>Q-7116</v>
          </cell>
          <cell r="N1998" t="str">
            <v>PENGIMEJAN DAN DIAGNOSTIK</v>
          </cell>
          <cell r="O1998"/>
          <cell r="P1998" t="str">
            <v>HM</v>
          </cell>
          <cell r="Q1998">
            <v>4000</v>
          </cell>
        </row>
        <row r="1999">
          <cell r="E1999" t="str">
            <v>KKM/JKN/HSA/10-05-01/H/15/5094</v>
          </cell>
          <cell r="F1999" t="str">
            <v>Radiology</v>
          </cell>
          <cell r="G1999" t="str">
            <v>Basic</v>
          </cell>
          <cell r="H1999" t="str">
            <v>Dosimeters, Radiation</v>
          </cell>
          <cell r="I1999" t="str">
            <v>Dosimeter</v>
          </cell>
          <cell r="J1999" t="str">
            <v>11-295</v>
          </cell>
          <cell r="K1999" t="str">
            <v>ALOKA</v>
          </cell>
          <cell r="L1999" t="str">
            <v>PDM-1278-SA</v>
          </cell>
          <cell r="M1999" t="str">
            <v>Q-7117</v>
          </cell>
          <cell r="N1999" t="str">
            <v>PENGIMEJAN DAN DIAGNOSTIK</v>
          </cell>
          <cell r="O1999"/>
          <cell r="P1999" t="str">
            <v>HM</v>
          </cell>
          <cell r="Q1999">
            <v>4000</v>
          </cell>
        </row>
        <row r="2000">
          <cell r="E2000" t="str">
            <v>KKM/JKN/HSA/10-05-01/H/15/5095</v>
          </cell>
          <cell r="F2000" t="str">
            <v>Radiology</v>
          </cell>
          <cell r="G2000" t="str">
            <v>Basic</v>
          </cell>
          <cell r="H2000" t="str">
            <v>Dosimeters, Radiation</v>
          </cell>
          <cell r="I2000" t="str">
            <v>Dosimeter</v>
          </cell>
          <cell r="J2000" t="str">
            <v>11-295</v>
          </cell>
          <cell r="K2000" t="str">
            <v>ALOKA</v>
          </cell>
          <cell r="L2000" t="str">
            <v>PDM-1278-SA</v>
          </cell>
          <cell r="M2000" t="str">
            <v>Q-7124</v>
          </cell>
          <cell r="N2000" t="str">
            <v>PENGIMEJAN DAN DIAGNOSTIK</v>
          </cell>
          <cell r="O2000"/>
          <cell r="P2000" t="str">
            <v>HM</v>
          </cell>
          <cell r="Q2000">
            <v>4000</v>
          </cell>
        </row>
        <row r="2001">
          <cell r="E2001" t="str">
            <v>KKM/JKN/HSA/10-05-01/H/15/5096</v>
          </cell>
          <cell r="F2001" t="str">
            <v>Radiology</v>
          </cell>
          <cell r="G2001" t="str">
            <v>Basic</v>
          </cell>
          <cell r="H2001" t="str">
            <v>Dosimeters, Radiation</v>
          </cell>
          <cell r="I2001" t="str">
            <v>Dosimeter</v>
          </cell>
          <cell r="J2001" t="str">
            <v>11-295</v>
          </cell>
          <cell r="K2001" t="str">
            <v>ALOKA</v>
          </cell>
          <cell r="L2001" t="str">
            <v>PDM-1278-SA</v>
          </cell>
          <cell r="M2001" t="str">
            <v>Q-7126</v>
          </cell>
          <cell r="N2001" t="str">
            <v>PENGIMEJAN DAN DIAGNOSTIK</v>
          </cell>
          <cell r="O2001"/>
          <cell r="P2001" t="str">
            <v>HM</v>
          </cell>
          <cell r="Q2001">
            <v>4000</v>
          </cell>
        </row>
        <row r="2002">
          <cell r="E2002" t="str">
            <v>KKM/JKN/HSA/10-05-01/H/15/5097</v>
          </cell>
          <cell r="F2002" t="str">
            <v>Radiology</v>
          </cell>
          <cell r="G2002" t="str">
            <v>Basic</v>
          </cell>
          <cell r="H2002" t="str">
            <v>Dosimeters, Radiation</v>
          </cell>
          <cell r="I2002" t="str">
            <v>Dosimeter</v>
          </cell>
          <cell r="J2002" t="str">
            <v>11-295</v>
          </cell>
          <cell r="K2002" t="str">
            <v>ALOKA</v>
          </cell>
          <cell r="L2002" t="str">
            <v>PDM-1278-SA</v>
          </cell>
          <cell r="M2002" t="str">
            <v>Q-7130</v>
          </cell>
          <cell r="N2002" t="str">
            <v>PENGIMEJAN DAN DIAGNOSTIK</v>
          </cell>
          <cell r="O2002"/>
          <cell r="P2002" t="str">
            <v>HM</v>
          </cell>
          <cell r="Q2002">
            <v>4000</v>
          </cell>
        </row>
        <row r="2003">
          <cell r="E2003" t="str">
            <v>KKM/JKN/HSA/10-05-01/H/15/5098</v>
          </cell>
          <cell r="F2003" t="str">
            <v>Radiology</v>
          </cell>
          <cell r="G2003" t="str">
            <v>Basic</v>
          </cell>
          <cell r="H2003" t="str">
            <v>Dosimeters, Radiation</v>
          </cell>
          <cell r="I2003" t="str">
            <v>Dosimeter</v>
          </cell>
          <cell r="J2003" t="str">
            <v>11-295</v>
          </cell>
          <cell r="K2003" t="str">
            <v>ALOKA</v>
          </cell>
          <cell r="L2003" t="str">
            <v>PDM-1278-SA</v>
          </cell>
          <cell r="M2003" t="str">
            <v>Q-7131</v>
          </cell>
          <cell r="N2003" t="str">
            <v>PENGIMEJAN DAN DIAGNOSTIK</v>
          </cell>
          <cell r="O2003"/>
          <cell r="P2003" t="str">
            <v>HM</v>
          </cell>
          <cell r="Q2003">
            <v>4000</v>
          </cell>
        </row>
        <row r="2004">
          <cell r="E2004" t="str">
            <v>KKM/JKN/HSA/10-05-01/H/15/5099</v>
          </cell>
          <cell r="F2004" t="str">
            <v>Radiology</v>
          </cell>
          <cell r="G2004" t="str">
            <v>Basic</v>
          </cell>
          <cell r="H2004" t="str">
            <v>Dosimeters, Radiation</v>
          </cell>
          <cell r="I2004" t="str">
            <v>Dosimeter</v>
          </cell>
          <cell r="J2004" t="str">
            <v>11-295</v>
          </cell>
          <cell r="K2004" t="str">
            <v>ALOKA</v>
          </cell>
          <cell r="L2004" t="str">
            <v>PDM-1278-SA</v>
          </cell>
          <cell r="M2004" t="str">
            <v>Q-7134</v>
          </cell>
          <cell r="N2004" t="str">
            <v>PENGIMEJAN DAN DIAGNOSTIK</v>
          </cell>
          <cell r="O2004"/>
          <cell r="P2004" t="str">
            <v>HM</v>
          </cell>
          <cell r="Q2004">
            <v>4000</v>
          </cell>
        </row>
        <row r="2005">
          <cell r="E2005" t="str">
            <v>KKM/JKN/HSA/10-05-01/H/15/5100</v>
          </cell>
          <cell r="F2005" t="str">
            <v>Radiology</v>
          </cell>
          <cell r="G2005" t="str">
            <v>Basic</v>
          </cell>
          <cell r="H2005" t="str">
            <v>Dosimeters, Radiation</v>
          </cell>
          <cell r="I2005" t="str">
            <v>Dosimeter</v>
          </cell>
          <cell r="J2005" t="str">
            <v>11-295</v>
          </cell>
          <cell r="K2005" t="str">
            <v>ALOKA</v>
          </cell>
          <cell r="L2005" t="str">
            <v>PDM-1278-SA</v>
          </cell>
          <cell r="M2005" t="str">
            <v>Q-7135</v>
          </cell>
          <cell r="N2005" t="str">
            <v>PENGIMEJAN DAN DIAGNOSTIK</v>
          </cell>
          <cell r="O2005"/>
          <cell r="P2005" t="str">
            <v>HM</v>
          </cell>
          <cell r="Q2005">
            <v>4000</v>
          </cell>
        </row>
        <row r="2006">
          <cell r="E2006" t="str">
            <v>KKM/JKN/HSA/10-05-01/H/15/5101</v>
          </cell>
          <cell r="F2006" t="str">
            <v>Radiology</v>
          </cell>
          <cell r="G2006" t="str">
            <v>Basic</v>
          </cell>
          <cell r="H2006" t="str">
            <v>Dosimeters, Radiation</v>
          </cell>
          <cell r="I2006" t="str">
            <v>Dosimeter</v>
          </cell>
          <cell r="J2006" t="str">
            <v>11-295</v>
          </cell>
          <cell r="K2006" t="str">
            <v>ALOKA</v>
          </cell>
          <cell r="L2006" t="str">
            <v>PDM-1278-SA</v>
          </cell>
          <cell r="M2006" t="str">
            <v>Q-7136</v>
          </cell>
          <cell r="N2006" t="str">
            <v>PENGIMEJAN DAN DIAGNOSTIK</v>
          </cell>
          <cell r="O2006"/>
          <cell r="P2006" t="str">
            <v>HM</v>
          </cell>
          <cell r="Q2006">
            <v>4000</v>
          </cell>
        </row>
        <row r="2007">
          <cell r="E2007" t="str">
            <v>KKM/JKN/HSA/10-05-01/R/15/7359</v>
          </cell>
          <cell r="F2007" t="str">
            <v xml:space="preserve">Diagnostic </v>
          </cell>
          <cell r="G2007" t="str">
            <v>Basic</v>
          </cell>
          <cell r="H2007" t="str">
            <v>Ophthalmoscopes/Otoscopes</v>
          </cell>
          <cell r="I2007" t="str">
            <v>DIAGNOSTIC SET ADULT</v>
          </cell>
          <cell r="J2007" t="str">
            <v>18-595</v>
          </cell>
          <cell r="K2007"/>
          <cell r="L2007"/>
          <cell r="M2007"/>
          <cell r="N2007" t="str">
            <v>OBSTETRIK &amp; GINEKOLOGI</v>
          </cell>
          <cell r="O2007"/>
          <cell r="P2007" t="str">
            <v>ABR</v>
          </cell>
          <cell r="Q2007">
            <v>1459.33</v>
          </cell>
        </row>
        <row r="2008">
          <cell r="E2008" t="str">
            <v>KKM/JKN/HSA/10-05-01/R/15/7155</v>
          </cell>
          <cell r="F2008" t="str">
            <v xml:space="preserve">Diagnostic </v>
          </cell>
          <cell r="G2008" t="str">
            <v>Intermediate</v>
          </cell>
          <cell r="H2008" t="str">
            <v>Monitors, Physiologic, Vital Signs</v>
          </cell>
          <cell r="I2008" t="str">
            <v>BLOOD PRESSURE MONITOR NON INVASIVE</v>
          </cell>
          <cell r="J2008" t="str">
            <v>25-209</v>
          </cell>
          <cell r="K2008" t="str">
            <v>WELCH ALLYN</v>
          </cell>
          <cell r="L2008" t="str">
            <v>VSM 300</v>
          </cell>
          <cell r="M2008"/>
          <cell r="N2008" t="str">
            <v>PERUBATAN AM</v>
          </cell>
          <cell r="O2008"/>
          <cell r="P2008" t="str">
            <v>ABR</v>
          </cell>
          <cell r="Q2008">
            <v>1855</v>
          </cell>
        </row>
        <row r="2009">
          <cell r="E2009" t="str">
            <v>KKM/JKN/HSA/10-05-01/H/16/89</v>
          </cell>
          <cell r="F2009" t="str">
            <v xml:space="preserve">Diagnostic </v>
          </cell>
          <cell r="G2009" t="str">
            <v>Intermediate</v>
          </cell>
          <cell r="H2009" t="str">
            <v>Oximeters, Pulse</v>
          </cell>
          <cell r="I2009" t="str">
            <v xml:space="preserve">PULSE OXIMETER AND SIMULATOR </v>
          </cell>
          <cell r="J2009" t="str">
            <v>17-148</v>
          </cell>
          <cell r="K2009" t="str">
            <v xml:space="preserve">MASIMO </v>
          </cell>
          <cell r="L2009" t="str">
            <v>R2932-RADICAL 7TS</v>
          </cell>
          <cell r="M2009"/>
          <cell r="N2009" t="str">
            <v xml:space="preserve">JABATAN OBSTETRIK &amp; GINEKOLOGI </v>
          </cell>
          <cell r="O2009"/>
          <cell r="P2009"/>
          <cell r="Q2009">
            <v>7400</v>
          </cell>
        </row>
        <row r="2010">
          <cell r="E2010" t="str">
            <v>KKM/JKN/HSA/10-05-01/H/16/90</v>
          </cell>
          <cell r="F2010" t="str">
            <v xml:space="preserve">Diagnostic </v>
          </cell>
          <cell r="G2010" t="str">
            <v>Intermediate</v>
          </cell>
          <cell r="H2010" t="str">
            <v>Oximeters, Pulse</v>
          </cell>
          <cell r="I2010" t="str">
            <v xml:space="preserve">PULSE OXIMETER AND SIMULATOR </v>
          </cell>
          <cell r="J2010" t="str">
            <v>17-148</v>
          </cell>
          <cell r="K2010" t="str">
            <v xml:space="preserve">MASIMO </v>
          </cell>
          <cell r="L2010" t="str">
            <v>R2932-RADICAL 7TS</v>
          </cell>
          <cell r="M2010"/>
          <cell r="N2010" t="str">
            <v xml:space="preserve">JABATAN OBSTETRIK &amp; GINEKOLOGI </v>
          </cell>
          <cell r="O2010"/>
          <cell r="P2010"/>
          <cell r="Q2010">
            <v>7400</v>
          </cell>
        </row>
        <row r="2011">
          <cell r="E2011" t="str">
            <v>KKM/JKN/HSA/10-05-01/H/20/9</v>
          </cell>
          <cell r="F2011" t="str">
            <v>Therapeutic</v>
          </cell>
          <cell r="G2011" t="str">
            <v>Intermediate</v>
          </cell>
          <cell r="H2011" t="str">
            <v>Micromotor, Dental</v>
          </cell>
          <cell r="I2011" t="str">
            <v>OPTION 2 SURGIC XT NON OPTIC</v>
          </cell>
          <cell r="J2011" t="str">
            <v>88-013</v>
          </cell>
          <cell r="K2011" t="str">
            <v>SURGIC PRO</v>
          </cell>
          <cell r="L2011" t="str">
            <v>SURGIC AP</v>
          </cell>
          <cell r="M2011"/>
          <cell r="N2011" t="str">
            <v xml:space="preserve">JABATAN BEDAH MULUT </v>
          </cell>
          <cell r="O2011"/>
          <cell r="P2011"/>
          <cell r="Q2011">
            <v>16400</v>
          </cell>
        </row>
        <row r="2012">
          <cell r="E2012" t="str">
            <v>KKM/JKN/HSA/10-05-01/H/20/54</v>
          </cell>
          <cell r="F2012" t="str">
            <v>Therapeutic</v>
          </cell>
          <cell r="G2012" t="str">
            <v>Intermediate</v>
          </cell>
          <cell r="H2012" t="str">
            <v>Ventilators, Transport</v>
          </cell>
          <cell r="I2012" t="str">
            <v>VENTILATOR</v>
          </cell>
          <cell r="J2012" t="str">
            <v>18-098</v>
          </cell>
          <cell r="K2012" t="str">
            <v xml:space="preserve">RESMED ASTRAL </v>
          </cell>
          <cell r="L2012" t="str">
            <v>150 ASIA PASIFIC</v>
          </cell>
          <cell r="M2012"/>
          <cell r="N2012" t="str">
            <v>JABATAN KECEMASAN DAN TRAUMA</v>
          </cell>
          <cell r="O2012"/>
          <cell r="P2012"/>
          <cell r="Q2012">
            <v>55500</v>
          </cell>
        </row>
        <row r="2013">
          <cell r="E2013" t="str">
            <v>KKM/JKN/HSA/10-05-01/H/20/55</v>
          </cell>
          <cell r="F2013" t="str">
            <v>Therapeutic</v>
          </cell>
          <cell r="G2013" t="str">
            <v>Intermediate</v>
          </cell>
          <cell r="H2013" t="str">
            <v>Ventilators, Transport</v>
          </cell>
          <cell r="I2013" t="str">
            <v>VENTILATOR</v>
          </cell>
          <cell r="J2013" t="str">
            <v>18-098</v>
          </cell>
          <cell r="K2013" t="str">
            <v xml:space="preserve">RESMED ASTRAL </v>
          </cell>
          <cell r="L2013" t="str">
            <v>150 ASIA PASIFIC</v>
          </cell>
          <cell r="M2013"/>
          <cell r="N2013" t="str">
            <v>JABATAN KECEMASAN DAN TRAUMA</v>
          </cell>
          <cell r="O2013"/>
          <cell r="P2013"/>
          <cell r="Q2013">
            <v>55500</v>
          </cell>
        </row>
        <row r="2014">
          <cell r="E2014" t="str">
            <v>KKM/JKN/HSA/10-05-01/H/20/57</v>
          </cell>
          <cell r="F2014" t="str">
            <v xml:space="preserve">Diagnostic </v>
          </cell>
          <cell r="G2014" t="str">
            <v>Basic</v>
          </cell>
          <cell r="H2014" t="str">
            <v>Laryngoscopes, Rigid</v>
          </cell>
          <cell r="I2014" t="str">
            <v>LARYNGOSCOPE</v>
          </cell>
          <cell r="J2014" t="str">
            <v>15-076</v>
          </cell>
          <cell r="K2014" t="str">
            <v>KAWE</v>
          </cell>
          <cell r="L2014" t="str">
            <v>N/A</v>
          </cell>
          <cell r="M2014" t="str">
            <v>N/A</v>
          </cell>
          <cell r="N2014" t="str">
            <v xml:space="preserve">JABATAN ANESTESIOLOGI </v>
          </cell>
          <cell r="O2014"/>
          <cell r="P2014"/>
          <cell r="Q2014">
            <v>2000</v>
          </cell>
        </row>
        <row r="2015">
          <cell r="E2015" t="str">
            <v>KKM/JKN/HSA/10-05-01/H/20/63</v>
          </cell>
          <cell r="F2015" t="str">
            <v>Radiology</v>
          </cell>
          <cell r="G2015" t="str">
            <v>Intermediate</v>
          </cell>
          <cell r="H2015" t="str">
            <v>Scanning Systems, Ultrasonic, General-Purpose</v>
          </cell>
          <cell r="I2015" t="str">
            <v>ULTRASOUND SCANNER</v>
          </cell>
          <cell r="J2015" t="str">
            <v>15-976</v>
          </cell>
          <cell r="K2015" t="str">
            <v xml:space="preserve">SIEMENS </v>
          </cell>
          <cell r="L2015" t="str">
            <v>ACUSON JUNIPER</v>
          </cell>
          <cell r="M2015"/>
          <cell r="N2015" t="str">
            <v xml:space="preserve">JABATAN RADIOLOGI </v>
          </cell>
          <cell r="O2015"/>
          <cell r="P2015"/>
          <cell r="Q2015">
            <v>170000</v>
          </cell>
        </row>
        <row r="2016">
          <cell r="E2016" t="str">
            <v>KKM/JKN/HSA/10-05-01/H/20/64</v>
          </cell>
          <cell r="F2016" t="str">
            <v>Radiology</v>
          </cell>
          <cell r="G2016" t="str">
            <v>Intermediate</v>
          </cell>
          <cell r="H2016" t="str">
            <v>Image Digitization Systems, Computed Radiography</v>
          </cell>
          <cell r="I2016" t="str">
            <v>COMPUTED RADIOGRAPHY READER</v>
          </cell>
          <cell r="J2016" t="str">
            <v>17-904</v>
          </cell>
          <cell r="K2016" t="str">
            <v>CARESTREAM</v>
          </cell>
          <cell r="L2016" t="str">
            <v>CR CLASSIC</v>
          </cell>
          <cell r="M2016"/>
          <cell r="N2016" t="str">
            <v xml:space="preserve">JABATAN RADIOLOGI </v>
          </cell>
          <cell r="O2016"/>
          <cell r="P2016"/>
          <cell r="Q2016">
            <v>104000</v>
          </cell>
        </row>
        <row r="2017">
          <cell r="E2017" t="str">
            <v>KKM/JKN/HSA/10-05-01/H/20/144</v>
          </cell>
          <cell r="F2017" t="str">
            <v>Therapeutic</v>
          </cell>
          <cell r="G2017" t="str">
            <v>Intermediate</v>
          </cell>
          <cell r="H2017" t="str">
            <v>Hemodialysis Units</v>
          </cell>
          <cell r="I2017" t="str">
            <v>MESIN HEMODIALYSIS</v>
          </cell>
          <cell r="J2017" t="str">
            <v>11-218</v>
          </cell>
          <cell r="K2017" t="str">
            <v>FRESENIUS</v>
          </cell>
          <cell r="L2017" t="str">
            <v>4008S NG</v>
          </cell>
          <cell r="M2017"/>
          <cell r="N2017" t="str">
            <v xml:space="preserve">UNIT HEMODIALISIS </v>
          </cell>
          <cell r="O2017"/>
          <cell r="P2017"/>
          <cell r="Q2017">
            <v>40000</v>
          </cell>
        </row>
        <row r="2018">
          <cell r="E2018" t="str">
            <v>KKM/JKN/HSA/10-05-01/H/20/117</v>
          </cell>
          <cell r="F2018" t="str">
            <v>Therapeutic</v>
          </cell>
          <cell r="G2018" t="str">
            <v>Intermediate</v>
          </cell>
          <cell r="H2018" t="str">
            <v>Infusion Pumps, Syringe</v>
          </cell>
          <cell r="I2018" t="str">
            <v>SYRINGE INFUSION PUMP</v>
          </cell>
          <cell r="J2018" t="str">
            <v>13-217</v>
          </cell>
          <cell r="K2018" t="str">
            <v xml:space="preserve">MEDCAPTAIN </v>
          </cell>
          <cell r="L2018" t="str">
            <v>SYS-50</v>
          </cell>
          <cell r="M2018"/>
          <cell r="N2018" t="str">
            <v xml:space="preserve">JABATAN PEMBEDAHAN AM </v>
          </cell>
          <cell r="O2018"/>
          <cell r="P2018"/>
          <cell r="Q2018">
            <v>3150</v>
          </cell>
        </row>
        <row r="2019">
          <cell r="E2019" t="str">
            <v>KKM/JKN/HSA/10-05-01/H/20/118</v>
          </cell>
          <cell r="F2019" t="str">
            <v>Therapeutic</v>
          </cell>
          <cell r="G2019" t="str">
            <v>Intermediate</v>
          </cell>
          <cell r="H2019" t="str">
            <v>Infusion Pumps, Syringe</v>
          </cell>
          <cell r="I2019" t="str">
            <v>SYRINGE INFUSION PUMP</v>
          </cell>
          <cell r="J2019" t="str">
            <v>13-217</v>
          </cell>
          <cell r="K2019" t="str">
            <v xml:space="preserve">MEDCAPTAIN </v>
          </cell>
          <cell r="L2019" t="str">
            <v>SYS-50</v>
          </cell>
          <cell r="M2019"/>
          <cell r="N2019" t="str">
            <v xml:space="preserve">JABATAN PEMBEDAHAN AM </v>
          </cell>
          <cell r="O2019"/>
          <cell r="P2019"/>
          <cell r="Q2019">
            <v>3150</v>
          </cell>
        </row>
        <row r="2020">
          <cell r="E2020" t="str">
            <v>KKM/JKN/HSA/10-05-01/H/20/199</v>
          </cell>
          <cell r="F2020" t="str">
            <v>Therapeutic</v>
          </cell>
          <cell r="G2020" t="str">
            <v>Intermediate</v>
          </cell>
          <cell r="H2020" t="str">
            <v>Water Purification Systems, Reverse Osmosis</v>
          </cell>
          <cell r="I2020" t="str">
            <v xml:space="preserve">PORTABLE REVERSE OSMOSIS (RO)WATER SYSTEM </v>
          </cell>
          <cell r="J2020" t="str">
            <v>14-437</v>
          </cell>
          <cell r="K2020" t="str">
            <v>HD INTEGRA</v>
          </cell>
          <cell r="L2020" t="str">
            <v>MRO-HD3</v>
          </cell>
          <cell r="M2020"/>
          <cell r="N2020" t="str">
            <v xml:space="preserve">UNIT HEMODIALISIS </v>
          </cell>
          <cell r="O2020"/>
          <cell r="P2020"/>
          <cell r="Q2020">
            <v>35000</v>
          </cell>
        </row>
        <row r="2021">
          <cell r="E2021" t="str">
            <v>KKM/JKN/HSA/10-05-01/H/20/125</v>
          </cell>
          <cell r="F2021" t="str">
            <v>Therapeutic</v>
          </cell>
          <cell r="G2021" t="str">
            <v>Intermediate</v>
          </cell>
          <cell r="H2021" t="str">
            <v>Infusion Pumps, Syringe</v>
          </cell>
          <cell r="I2021" t="str">
            <v>SYRINGE INFUSION PUMP</v>
          </cell>
          <cell r="J2021" t="str">
            <v>13-217</v>
          </cell>
          <cell r="K2021" t="str">
            <v xml:space="preserve">MEDCAPTAIN </v>
          </cell>
          <cell r="L2021" t="str">
            <v>SYS-50</v>
          </cell>
          <cell r="M2021"/>
          <cell r="N2021" t="str">
            <v xml:space="preserve">JABATAN PERUBATAN AM </v>
          </cell>
          <cell r="O2021"/>
          <cell r="P2021"/>
          <cell r="Q2021">
            <v>3150</v>
          </cell>
        </row>
        <row r="2022">
          <cell r="E2022" t="str">
            <v>KKM/JKN/HSA/10-05-01/H/20/126</v>
          </cell>
          <cell r="F2022" t="str">
            <v>Therapeutic</v>
          </cell>
          <cell r="G2022" t="str">
            <v>Intermediate</v>
          </cell>
          <cell r="H2022" t="str">
            <v>Infusion Pumps, Syringe</v>
          </cell>
          <cell r="I2022" t="str">
            <v>SYRINGE INFUSION PUMP</v>
          </cell>
          <cell r="J2022" t="str">
            <v>13-217</v>
          </cell>
          <cell r="K2022" t="str">
            <v xml:space="preserve">MEDCAPTAIN </v>
          </cell>
          <cell r="L2022" t="str">
            <v>SYS-50</v>
          </cell>
          <cell r="M2022"/>
          <cell r="N2022" t="str">
            <v xml:space="preserve">JABATAN PERUBATAN AM </v>
          </cell>
          <cell r="O2022"/>
          <cell r="P2022"/>
          <cell r="Q2022">
            <v>3150</v>
          </cell>
        </row>
        <row r="2023">
          <cell r="E2023" t="str">
            <v>KKM/JKN/HSA/10-05-01/H/20/134</v>
          </cell>
          <cell r="F2023" t="str">
            <v>Therapeutic</v>
          </cell>
          <cell r="G2023" t="str">
            <v>Intermediate</v>
          </cell>
          <cell r="H2023" t="str">
            <v>Infusion Pumps, General-Purpose</v>
          </cell>
          <cell r="I2023" t="str">
            <v>INFUSION PUMP</v>
          </cell>
          <cell r="J2023" t="str">
            <v>13-215</v>
          </cell>
          <cell r="K2023" t="str">
            <v>MEDCAPTAIN</v>
          </cell>
          <cell r="L2023" t="str">
            <v>MP-60A</v>
          </cell>
          <cell r="M2023"/>
          <cell r="N2023" t="str">
            <v>JABATAN PEDIATRIK</v>
          </cell>
          <cell r="O2023"/>
          <cell r="P2023"/>
          <cell r="Q2023">
            <v>3290</v>
          </cell>
        </row>
        <row r="2024">
          <cell r="E2024" t="str">
            <v>KKM/JKN/HSA/10-05-01/H/20/135</v>
          </cell>
          <cell r="F2024" t="str">
            <v>Therapeutic</v>
          </cell>
          <cell r="G2024" t="str">
            <v>Intermediate</v>
          </cell>
          <cell r="H2024" t="str">
            <v>Infusion Pumps, General-Purpose</v>
          </cell>
          <cell r="I2024" t="str">
            <v>INFUSION PUMP</v>
          </cell>
          <cell r="J2024" t="str">
            <v>13-215</v>
          </cell>
          <cell r="K2024" t="str">
            <v>MEDCAPTAIN</v>
          </cell>
          <cell r="L2024" t="str">
            <v>MP-60A</v>
          </cell>
          <cell r="M2024"/>
          <cell r="N2024" t="str">
            <v>JABATAN PEDIATRIK</v>
          </cell>
          <cell r="O2024"/>
          <cell r="P2024"/>
          <cell r="Q2024">
            <v>3290</v>
          </cell>
        </row>
        <row r="2025">
          <cell r="E2025" t="str">
            <v>KKM/JKN/HSA/10-05-01/H/20/136</v>
          </cell>
          <cell r="F2025" t="str">
            <v>Therapeutic</v>
          </cell>
          <cell r="G2025" t="str">
            <v>Intermediate</v>
          </cell>
          <cell r="H2025" t="str">
            <v>Infusion Pumps, General-Purpose</v>
          </cell>
          <cell r="I2025" t="str">
            <v>INFUSION PUMP</v>
          </cell>
          <cell r="J2025" t="str">
            <v>13-215</v>
          </cell>
          <cell r="K2025" t="str">
            <v xml:space="preserve">MINDRAY </v>
          </cell>
          <cell r="L2025" t="str">
            <v>BENEFUSION VP3</v>
          </cell>
          <cell r="M2025"/>
          <cell r="N2025" t="str">
            <v>JABATAN PEDIATRIK</v>
          </cell>
          <cell r="O2025"/>
          <cell r="P2025"/>
          <cell r="Q2025">
            <v>3180</v>
          </cell>
        </row>
        <row r="2026">
          <cell r="E2026" t="str">
            <v>KKM/JKN/HSA/10-05-01/H/20/137</v>
          </cell>
          <cell r="F2026" t="str">
            <v>Therapeutic</v>
          </cell>
          <cell r="G2026" t="str">
            <v>Intermediate</v>
          </cell>
          <cell r="H2026" t="str">
            <v>Infusion Pumps, General-Purpose</v>
          </cell>
          <cell r="I2026" t="str">
            <v>INFUSION PUMP</v>
          </cell>
          <cell r="J2026" t="str">
            <v>13-215</v>
          </cell>
          <cell r="K2026" t="str">
            <v xml:space="preserve">MINDRAY </v>
          </cell>
          <cell r="L2026" t="str">
            <v>BENEFUSION VP3</v>
          </cell>
          <cell r="M2026"/>
          <cell r="N2026" t="str">
            <v>JABATAN PEDIATRIK</v>
          </cell>
          <cell r="O2026"/>
          <cell r="P2026"/>
          <cell r="Q2026">
            <v>3180</v>
          </cell>
        </row>
        <row r="2027">
          <cell r="E2027" t="str">
            <v>KKM/JKN/HSA/10-05-01/H/20/149</v>
          </cell>
          <cell r="F2027" t="str">
            <v>Therapeutic</v>
          </cell>
          <cell r="G2027" t="str">
            <v>Intermediate</v>
          </cell>
          <cell r="H2027" t="str">
            <v>Infusion Pumps, General-Purpose</v>
          </cell>
          <cell r="I2027" t="str">
            <v>INFUSION PUMP</v>
          </cell>
          <cell r="J2027" t="str">
            <v>13-215</v>
          </cell>
          <cell r="K2027" t="str">
            <v>EN-V7 SMART</v>
          </cell>
          <cell r="L2027" t="str">
            <v>ENMIND</v>
          </cell>
          <cell r="M2027"/>
          <cell r="N2027" t="str">
            <v>JABATAN ORTOPEDIK</v>
          </cell>
          <cell r="O2027"/>
          <cell r="P2027"/>
          <cell r="Q2027">
            <v>3000</v>
          </cell>
        </row>
        <row r="2028">
          <cell r="E2028" t="str">
            <v>KKM/JKN/HSA/10-05-01/H/20/160</v>
          </cell>
          <cell r="F2028" t="str">
            <v>Therapeutic</v>
          </cell>
          <cell r="G2028" t="str">
            <v>Intermediate</v>
          </cell>
          <cell r="H2028" t="str">
            <v>Incubator,Infant</v>
          </cell>
          <cell r="I2028" t="str">
            <v>INFANT INCUBATOR</v>
          </cell>
          <cell r="J2028" t="str">
            <v>12-113</v>
          </cell>
          <cell r="K2028" t="str">
            <v xml:space="preserve">ATOM </v>
          </cell>
          <cell r="L2028" t="str">
            <v xml:space="preserve">BABY CARE NEO SERVO </v>
          </cell>
          <cell r="M2028"/>
          <cell r="N2028" t="str">
            <v>JABATAN PEDIATRIK</v>
          </cell>
          <cell r="O2028"/>
          <cell r="P2028"/>
          <cell r="Q2028">
            <v>24900</v>
          </cell>
        </row>
        <row r="2029">
          <cell r="E2029" t="str">
            <v>KKM/JKN/HSA/10-05-01/H/20/161</v>
          </cell>
          <cell r="F2029" t="str">
            <v>Therapeutic</v>
          </cell>
          <cell r="G2029" t="str">
            <v>Intermediate</v>
          </cell>
          <cell r="H2029" t="str">
            <v>Incubator,Infant</v>
          </cell>
          <cell r="I2029" t="str">
            <v>INFANT INCUBATOR</v>
          </cell>
          <cell r="J2029" t="str">
            <v>12-113</v>
          </cell>
          <cell r="K2029" t="str">
            <v xml:space="preserve">ATOM </v>
          </cell>
          <cell r="L2029" t="str">
            <v xml:space="preserve">BABY CARE NEO SERVO </v>
          </cell>
          <cell r="M2029"/>
          <cell r="N2029" t="str">
            <v>JABATAN PEDIATRIK</v>
          </cell>
          <cell r="O2029"/>
          <cell r="P2029"/>
          <cell r="Q2029">
            <v>24900</v>
          </cell>
        </row>
        <row r="2030">
          <cell r="E2030" t="str">
            <v>KKM/JKN/HSA/10-05-01/H/20/210</v>
          </cell>
          <cell r="F2030" t="str">
            <v>Therapeutic</v>
          </cell>
          <cell r="G2030" t="str">
            <v>Basic</v>
          </cell>
          <cell r="H2030" t="str">
            <v>Phototherapy Units, Visible Light, Hyperbilirubinemia</v>
          </cell>
          <cell r="I2030" t="str">
            <v>PHOTOTHERAPY MACHINE (LAMP)</v>
          </cell>
          <cell r="J2030" t="str">
            <v>17-515</v>
          </cell>
          <cell r="K2030" t="str">
            <v>MEDWARM</v>
          </cell>
          <cell r="L2030" t="str">
            <v>KMF-01</v>
          </cell>
          <cell r="M2030"/>
          <cell r="N2030" t="str">
            <v>JABATAN PEDIATRIK</v>
          </cell>
          <cell r="O2030"/>
          <cell r="P2030"/>
          <cell r="Q2030">
            <v>6500</v>
          </cell>
        </row>
        <row r="2031">
          <cell r="E2031" t="str">
            <v>KKM/JKN/HSA/10-05-01/H/20/211</v>
          </cell>
          <cell r="F2031" t="str">
            <v>Therapeutic</v>
          </cell>
          <cell r="G2031" t="str">
            <v>Basic</v>
          </cell>
          <cell r="H2031" t="str">
            <v>Phototherapy Units, Visible Light, Hyperbilirubinemia</v>
          </cell>
          <cell r="I2031" t="str">
            <v>PHOTOTHERAPY MACHINE (LAMP)</v>
          </cell>
          <cell r="J2031" t="str">
            <v>17-515</v>
          </cell>
          <cell r="K2031" t="str">
            <v>MEDWARM</v>
          </cell>
          <cell r="L2031" t="str">
            <v>KMF-01</v>
          </cell>
          <cell r="M2031"/>
          <cell r="N2031" t="str">
            <v>JABATAN PEDIATRIK</v>
          </cell>
          <cell r="O2031"/>
          <cell r="P2031"/>
          <cell r="Q2031">
            <v>6500</v>
          </cell>
        </row>
        <row r="2032">
          <cell r="E2032" t="str">
            <v>KKM/JKN/HSA/10-05-01/H/20/212</v>
          </cell>
          <cell r="F2032" t="str">
            <v>Radiology</v>
          </cell>
          <cell r="G2032" t="str">
            <v>Intermediate</v>
          </cell>
          <cell r="H2032" t="str">
            <v>Scanning Systems, Ultrasonic, General-Purpose</v>
          </cell>
          <cell r="I2032" t="str">
            <v>ULTRASOUND SCANNER</v>
          </cell>
          <cell r="J2032" t="str">
            <v>15-976</v>
          </cell>
          <cell r="K2032" t="str">
            <v>MINDRAY</v>
          </cell>
          <cell r="L2032" t="str">
            <v>M6</v>
          </cell>
          <cell r="M2032"/>
          <cell r="N2032" t="str">
            <v xml:space="preserve">JABATAN KECEMASAN DAN TRAUMA </v>
          </cell>
          <cell r="O2032"/>
          <cell r="P2032"/>
          <cell r="Q2032">
            <v>74000</v>
          </cell>
        </row>
        <row r="2033">
          <cell r="E2033" t="str">
            <v>KKM/JKN/HSA/10-05-01/H/20/213</v>
          </cell>
          <cell r="F2033" t="str">
            <v xml:space="preserve">Diagnostic </v>
          </cell>
          <cell r="G2033" t="str">
            <v>Intermediate</v>
          </cell>
          <cell r="H2033" t="str">
            <v xml:space="preserve">Laryngoscopes, Rigid, Video </v>
          </cell>
          <cell r="I2033" t="str">
            <v>GLIDESCOPE</v>
          </cell>
          <cell r="J2033" t="str">
            <v>23-532</v>
          </cell>
          <cell r="K2033" t="str">
            <v>VERATHON MEDICAL</v>
          </cell>
          <cell r="L2033" t="str">
            <v>SPECTRUM VIDEO LARYNGOSCOPE</v>
          </cell>
          <cell r="M2033" t="str">
            <v>AN200890</v>
          </cell>
          <cell r="N2033" t="str">
            <v xml:space="preserve">JABATAN KECEMASAN DAN TRAUMA </v>
          </cell>
          <cell r="O2033"/>
          <cell r="P2033"/>
          <cell r="Q2033">
            <v>49900</v>
          </cell>
        </row>
        <row r="2034">
          <cell r="E2034" t="str">
            <v>KKM/JKN/HSA/10-05-01/H/20/228</v>
          </cell>
          <cell r="F2034" t="str">
            <v>Therapeutic</v>
          </cell>
          <cell r="G2034" t="str">
            <v>Basic</v>
          </cell>
          <cell r="H2034" t="str">
            <v>Aspirators</v>
          </cell>
          <cell r="I2034" t="str">
            <v>AEROSOL SUCTION / VACUUM MACHINE</v>
          </cell>
          <cell r="J2034" t="str">
            <v>10-208</v>
          </cell>
          <cell r="K2034" t="str">
            <v xml:space="preserve">COXO </v>
          </cell>
          <cell r="L2034" t="str">
            <v>DENTAL AEROSOL SUCTION SYSTEM</v>
          </cell>
          <cell r="M2034"/>
          <cell r="N2034" t="str">
            <v xml:space="preserve">JABATAN BEDAH MULUT </v>
          </cell>
          <cell r="O2034"/>
          <cell r="P2034"/>
          <cell r="Q2034">
            <v>3200</v>
          </cell>
        </row>
        <row r="2035">
          <cell r="E2035" t="str">
            <v>KKM/JKN/HSA/10-05-01/H/20/230</v>
          </cell>
          <cell r="F2035" t="str">
            <v>Therapeutic</v>
          </cell>
          <cell r="G2035" t="str">
            <v>Intermediate</v>
          </cell>
          <cell r="H2035" t="str">
            <v>Infusion Pumps, Syringe</v>
          </cell>
          <cell r="I2035" t="str">
            <v>SYRINGE INFUSION PUMP</v>
          </cell>
          <cell r="J2035" t="str">
            <v>13-217</v>
          </cell>
          <cell r="K2035" t="str">
            <v>MINDRAY</v>
          </cell>
          <cell r="L2035" t="str">
            <v>SP3</v>
          </cell>
          <cell r="M2035"/>
          <cell r="N2035" t="str">
            <v xml:space="preserve">JABATAN PEMBEDAHAN AM </v>
          </cell>
          <cell r="O2035"/>
          <cell r="P2035"/>
          <cell r="Q2035">
            <v>3000</v>
          </cell>
        </row>
        <row r="2036">
          <cell r="E2036" t="str">
            <v>KKM/JKN/HSA/10-05-01/H/20/231</v>
          </cell>
          <cell r="F2036" t="str">
            <v>Therapeutic</v>
          </cell>
          <cell r="G2036" t="str">
            <v>Intermediate</v>
          </cell>
          <cell r="H2036" t="str">
            <v>Infusion Pumps, Syringe</v>
          </cell>
          <cell r="I2036" t="str">
            <v>SYRINGE INFUSION PUMP</v>
          </cell>
          <cell r="J2036" t="str">
            <v>13-217</v>
          </cell>
          <cell r="K2036" t="str">
            <v>MINDRAY</v>
          </cell>
          <cell r="L2036" t="str">
            <v>SP3</v>
          </cell>
          <cell r="M2036"/>
          <cell r="N2036" t="str">
            <v xml:space="preserve">JABATAN PEMBEDAHAN AM </v>
          </cell>
          <cell r="O2036"/>
          <cell r="P2036"/>
          <cell r="Q2036">
            <v>3000</v>
          </cell>
        </row>
        <row r="2037">
          <cell r="E2037" t="str">
            <v>KKM/JKN/HSA/10-05-01/H/20/232</v>
          </cell>
          <cell r="F2037" t="str">
            <v>Therapeutic</v>
          </cell>
          <cell r="G2037" t="str">
            <v>Intermediate</v>
          </cell>
          <cell r="H2037" t="str">
            <v>Infusion Pumps, Syringe</v>
          </cell>
          <cell r="I2037" t="str">
            <v>SYRINGE INFUSION PUMP</v>
          </cell>
          <cell r="J2037" t="str">
            <v>13-217</v>
          </cell>
          <cell r="K2037" t="str">
            <v>MINDRAY</v>
          </cell>
          <cell r="L2037" t="str">
            <v>SP3</v>
          </cell>
          <cell r="M2037"/>
          <cell r="N2037" t="str">
            <v xml:space="preserve">JABATAN OBSTETRIK &amp; GINEKOLOGI </v>
          </cell>
          <cell r="O2037"/>
          <cell r="P2037"/>
          <cell r="Q2037">
            <v>3000</v>
          </cell>
        </row>
        <row r="2038">
          <cell r="E2038" t="str">
            <v>KKM/JKN/HSA/10-05-01/H/20/233</v>
          </cell>
          <cell r="F2038" t="str">
            <v>Therapeutic</v>
          </cell>
          <cell r="G2038" t="str">
            <v>Intermediate</v>
          </cell>
          <cell r="H2038" t="str">
            <v>Infusion Pumps, Syringe</v>
          </cell>
          <cell r="I2038" t="str">
            <v>SYRINGE INFUSION PUMP</v>
          </cell>
          <cell r="J2038" t="str">
            <v>13-217</v>
          </cell>
          <cell r="K2038" t="str">
            <v>MINDRAY</v>
          </cell>
          <cell r="L2038" t="str">
            <v>SP3</v>
          </cell>
          <cell r="M2038"/>
          <cell r="N2038" t="str">
            <v xml:space="preserve">JABATAN OBSTETRIK &amp; GINEKOLOGI </v>
          </cell>
          <cell r="O2038"/>
          <cell r="P2038"/>
          <cell r="Q2038">
            <v>3000</v>
          </cell>
        </row>
        <row r="2039">
          <cell r="E2039" t="str">
            <v>KKM/JKN/HSA/10-05-01/H/20/236</v>
          </cell>
          <cell r="F2039" t="str">
            <v xml:space="preserve">Diagnostic </v>
          </cell>
          <cell r="G2039" t="str">
            <v>Intermediate</v>
          </cell>
          <cell r="H2039" t="str">
            <v>Physiologic Monitoring Systems, Acute Care</v>
          </cell>
          <cell r="I2039" t="str">
            <v>PATIENT MONITORING EQUIP.(AUTOMATIC MULTIPARAMETER)</v>
          </cell>
          <cell r="J2039" t="str">
            <v>12-647</v>
          </cell>
          <cell r="K2039" t="str">
            <v>NIHON KOHDEN</v>
          </cell>
          <cell r="L2039" t="str">
            <v>SVM7600</v>
          </cell>
          <cell r="M2039"/>
          <cell r="N2039" t="str">
            <v>JABATAN PEDIATRIK</v>
          </cell>
          <cell r="O2039"/>
          <cell r="P2039"/>
          <cell r="Q2039">
            <v>9980</v>
          </cell>
        </row>
        <row r="2040">
          <cell r="E2040" t="str">
            <v>KKM/JKN/HSA/10-05-01/H/20/238</v>
          </cell>
          <cell r="F2040" t="str">
            <v xml:space="preserve">Diagnostic </v>
          </cell>
          <cell r="G2040" t="str">
            <v>Intermediate</v>
          </cell>
          <cell r="H2040" t="str">
            <v>Physiologic Monitoring Systems, Acute Care</v>
          </cell>
          <cell r="I2040" t="str">
            <v>PATIENT MONITORING EQUIP.(AUTOMATIC MULTIPARAMETER)</v>
          </cell>
          <cell r="J2040" t="str">
            <v>12-647</v>
          </cell>
          <cell r="K2040" t="str">
            <v>NIHON KOHDEN</v>
          </cell>
          <cell r="L2040" t="str">
            <v>SVM7600</v>
          </cell>
          <cell r="M2040"/>
          <cell r="N2040" t="str">
            <v>JABATAN PEDIATRIK</v>
          </cell>
          <cell r="O2040"/>
          <cell r="P2040"/>
          <cell r="Q2040">
            <v>9980</v>
          </cell>
        </row>
        <row r="2041">
          <cell r="E2041" t="str">
            <v>KKM/JKN/HSA/10-05-01/H/20/243</v>
          </cell>
          <cell r="F2041" t="str">
            <v>Therapeutic</v>
          </cell>
          <cell r="G2041" t="str">
            <v>Basic</v>
          </cell>
          <cell r="H2041" t="str">
            <v>Aspirators</v>
          </cell>
          <cell r="I2041" t="str">
            <v>AEROSOL SUCTION / VACUUM MACHINE</v>
          </cell>
          <cell r="J2041" t="str">
            <v>10-208</v>
          </cell>
          <cell r="K2041" t="str">
            <v>DYNAMIC</v>
          </cell>
          <cell r="L2041" t="str">
            <v>DS1000</v>
          </cell>
          <cell r="M2041"/>
          <cell r="N2041" t="str">
            <v xml:space="preserve">JABATAN BEDAH MULUT </v>
          </cell>
          <cell r="O2041"/>
          <cell r="P2041"/>
          <cell r="Q2041">
            <v>5100</v>
          </cell>
        </row>
        <row r="2042">
          <cell r="E2042" t="str">
            <v>KKM/JKN/HSA/10-05-01/H/20/244</v>
          </cell>
          <cell r="F2042" t="str">
            <v>Therapeutic</v>
          </cell>
          <cell r="G2042" t="str">
            <v>Basic</v>
          </cell>
          <cell r="H2042" t="str">
            <v>Aspirators</v>
          </cell>
          <cell r="I2042" t="str">
            <v>AEROSOL SUCTION / VACUUM MACHINE</v>
          </cell>
          <cell r="J2042" t="str">
            <v>10-208</v>
          </cell>
          <cell r="K2042" t="str">
            <v>DYNAMIC</v>
          </cell>
          <cell r="L2042" t="str">
            <v>DS1000</v>
          </cell>
          <cell r="M2042"/>
          <cell r="N2042" t="str">
            <v xml:space="preserve">JABATAN BEDAH MULUT </v>
          </cell>
          <cell r="O2042"/>
          <cell r="P2042"/>
          <cell r="Q2042">
            <v>5100</v>
          </cell>
        </row>
        <row r="2043">
          <cell r="E2043" t="str">
            <v>KKM/JKN/HSA/10-05-01/H/20/245</v>
          </cell>
          <cell r="F2043" t="str">
            <v xml:space="preserve">Diagnostic </v>
          </cell>
          <cell r="G2043" t="str">
            <v>Intermediate</v>
          </cell>
          <cell r="H2043" t="str">
            <v>Slit Lamps</v>
          </cell>
          <cell r="I2043" t="str">
            <v>SLIT LAMP</v>
          </cell>
          <cell r="J2043" t="str">
            <v>12-281</v>
          </cell>
          <cell r="K2043" t="str">
            <v>TOPCON</v>
          </cell>
          <cell r="L2043" t="str">
            <v>SL-D701 LED</v>
          </cell>
          <cell r="M2043"/>
          <cell r="N2043" t="str">
            <v>JABATAN OFTALMOLOGI</v>
          </cell>
          <cell r="O2043"/>
          <cell r="P2043"/>
          <cell r="Q2043">
            <v>37980</v>
          </cell>
        </row>
        <row r="2044">
          <cell r="E2044" t="str">
            <v>KKM/JKN/HSA/10-05-01/H/20/246</v>
          </cell>
          <cell r="F2044" t="str">
            <v xml:space="preserve">Diagnostic </v>
          </cell>
          <cell r="G2044" t="str">
            <v>Intermediate</v>
          </cell>
          <cell r="H2044" t="str">
            <v>Slit Lamps</v>
          </cell>
          <cell r="I2044" t="str">
            <v>SLIT LAMP</v>
          </cell>
          <cell r="J2044" t="str">
            <v>12-281</v>
          </cell>
          <cell r="K2044" t="str">
            <v>TOPCON</v>
          </cell>
          <cell r="L2044" t="str">
            <v>SL-D701 LED</v>
          </cell>
          <cell r="M2044"/>
          <cell r="N2044" t="str">
            <v>JABATAN OFTALMOLOGI</v>
          </cell>
          <cell r="O2044"/>
          <cell r="P2044"/>
          <cell r="Q2044">
            <v>37980</v>
          </cell>
        </row>
        <row r="2045">
          <cell r="E2045" t="str">
            <v>KKM/JKN/HSA/10-05-01/H/20/247</v>
          </cell>
          <cell r="F2045" t="str">
            <v xml:space="preserve">Diagnostic </v>
          </cell>
          <cell r="G2045" t="str">
            <v>Basic</v>
          </cell>
          <cell r="H2045" t="str">
            <v>Ophthalmoscopes, Indirect</v>
          </cell>
          <cell r="I2045" t="str">
            <v>KEELER VANTAGE PLUS WIRELESS BIO &amp; CHARGER</v>
          </cell>
          <cell r="J2045" t="str">
            <v>12-818</v>
          </cell>
          <cell r="K2045" t="str">
            <v>KEELER</v>
          </cell>
          <cell r="L2045" t="str">
            <v>VANTAGE PLUS WIRELESS BIO &amp; CHARGER</v>
          </cell>
          <cell r="M2045"/>
          <cell r="N2045" t="str">
            <v>JABATAN OFTALMOLOGI</v>
          </cell>
          <cell r="O2045"/>
          <cell r="P2045"/>
          <cell r="Q2045">
            <v>12000</v>
          </cell>
        </row>
        <row r="2046">
          <cell r="E2046" t="str">
            <v>KKM/JKN/HSA/10-05-01/H/20/248</v>
          </cell>
          <cell r="F2046" t="str">
            <v xml:space="preserve">Diagnostic </v>
          </cell>
          <cell r="G2046" t="str">
            <v>Basic</v>
          </cell>
          <cell r="H2046" t="str">
            <v>Ophthalmoscopes, Indirect</v>
          </cell>
          <cell r="I2046" t="str">
            <v>KEELER VANTAGE PLUS WIRELESS BIO &amp; CHARGER</v>
          </cell>
          <cell r="J2046" t="str">
            <v>12-818</v>
          </cell>
          <cell r="K2046" t="str">
            <v>KEELER</v>
          </cell>
          <cell r="L2046" t="str">
            <v>VANTAGE PLUS WIRELESS BIO &amp; CHARGER</v>
          </cell>
          <cell r="M2046"/>
          <cell r="N2046" t="str">
            <v>JABATAN OFTALMOLOGI</v>
          </cell>
          <cell r="O2046"/>
          <cell r="P2046"/>
          <cell r="Q2046">
            <v>12000</v>
          </cell>
        </row>
        <row r="2047">
          <cell r="E2047" t="str">
            <v>KKM/JKN/HSA/10-05-01/H/20/249</v>
          </cell>
          <cell r="F2047" t="str">
            <v xml:space="preserve">Diagnostic </v>
          </cell>
          <cell r="G2047" t="str">
            <v>Intermediate</v>
          </cell>
          <cell r="H2047" t="str">
            <v>Physiologic Monitoring Systems, Acute Care</v>
          </cell>
          <cell r="I2047" t="str">
            <v>PATIENT MONITORING EQUIP.(AUTOMATIC MULTIPARAMETER)</v>
          </cell>
          <cell r="J2047" t="str">
            <v>12-647</v>
          </cell>
          <cell r="K2047" t="str">
            <v>PHILIPS</v>
          </cell>
          <cell r="L2047" t="str">
            <v>EFFICIA CM10</v>
          </cell>
          <cell r="M2047"/>
          <cell r="N2047" t="str">
            <v>JABATAN KECEMASAN DAN TRAUMA</v>
          </cell>
          <cell r="O2047"/>
          <cell r="P2047"/>
          <cell r="Q2047">
            <v>30000</v>
          </cell>
        </row>
        <row r="2048">
          <cell r="E2048" t="str">
            <v>KKM/JKN/HSA/10-05-01/H/20/254</v>
          </cell>
          <cell r="F2048" t="str">
            <v>Therapeutic</v>
          </cell>
          <cell r="G2048" t="str">
            <v>Intermediate</v>
          </cell>
          <cell r="H2048" t="str">
            <v>Ventilators, Intensive Care</v>
          </cell>
          <cell r="I2048" t="str">
            <v>BIPAP MACHINE</v>
          </cell>
          <cell r="J2048" t="str">
            <v>17-429</v>
          </cell>
          <cell r="K2048" t="str">
            <v>PHILIPS RESPIRONIC/BIPAP VISION A30</v>
          </cell>
          <cell r="L2048" t="str">
            <v>RESPIRONIC BIPAP VISION A30</v>
          </cell>
          <cell r="M2048"/>
          <cell r="N2048" t="str">
            <v>JABATAN PEDIATRIK</v>
          </cell>
          <cell r="O2048"/>
          <cell r="P2048"/>
          <cell r="Q2048">
            <v>30000</v>
          </cell>
        </row>
        <row r="2049">
          <cell r="E2049" t="str">
            <v>KKM/JKN/HSA/10-05-01/H/20/256</v>
          </cell>
          <cell r="F2049" t="str">
            <v xml:space="preserve">Diagnostic </v>
          </cell>
          <cell r="G2049" t="str">
            <v>Intermediate</v>
          </cell>
          <cell r="H2049" t="str">
            <v>Physiologic Monitoring Systems, Acute Care Total</v>
          </cell>
          <cell r="I2049" t="str">
            <v>SPOT VITAL SIGN (NIBP)</v>
          </cell>
          <cell r="J2049" t="str">
            <v>12-647</v>
          </cell>
          <cell r="K2049" t="str">
            <v>EDAN</v>
          </cell>
          <cell r="L2049" t="str">
            <v>M3A</v>
          </cell>
          <cell r="M2049"/>
          <cell r="N2049" t="str">
            <v xml:space="preserve">JABATAN REHABILITASI </v>
          </cell>
          <cell r="O2049"/>
          <cell r="P2049"/>
          <cell r="Q2049">
            <v>5500</v>
          </cell>
        </row>
        <row r="2050">
          <cell r="E2050" t="str">
            <v>KKM/JKN/HSA/10-05-01/H/16/194</v>
          </cell>
          <cell r="F2050" t="str">
            <v xml:space="preserve">Diagnostic </v>
          </cell>
          <cell r="G2050" t="str">
            <v>Intermediate</v>
          </cell>
          <cell r="H2050" t="str">
            <v>Physiologic Monitoring Systems, Acute Care</v>
          </cell>
          <cell r="I2050" t="str">
            <v>PATIENT MONITORING EQUIP. (AUTOMATIC MULTIPARAMETER)</v>
          </cell>
          <cell r="J2050" t="str">
            <v>12-647</v>
          </cell>
          <cell r="K2050" t="str">
            <v>CONTEC</v>
          </cell>
          <cell r="L2050" t="str">
            <v>CMS6500</v>
          </cell>
          <cell r="M2050"/>
          <cell r="N2050" t="str">
            <v>JABATAN PERUBATAN AM</v>
          </cell>
          <cell r="O2050"/>
          <cell r="P2050"/>
          <cell r="Q2050">
            <v>5500</v>
          </cell>
        </row>
        <row r="2051">
          <cell r="E2051" t="str">
            <v>KKM/JKN/HSA/10-05-01/H/16/195</v>
          </cell>
          <cell r="F2051" t="str">
            <v xml:space="preserve">Diagnostic </v>
          </cell>
          <cell r="G2051" t="str">
            <v>Intermediate</v>
          </cell>
          <cell r="H2051" t="str">
            <v>Physiologic Monitoring Systems, Acute Care</v>
          </cell>
          <cell r="I2051" t="str">
            <v>PATIENT MONITORING EQUIP. (AUTOMATIC MULTIPARAMETER)</v>
          </cell>
          <cell r="J2051" t="str">
            <v>12-647</v>
          </cell>
          <cell r="K2051" t="str">
            <v>CONTEC</v>
          </cell>
          <cell r="L2051" t="str">
            <v>CMS6500</v>
          </cell>
          <cell r="M2051"/>
          <cell r="N2051" t="str">
            <v>JABATAN PERUBATAN AM</v>
          </cell>
          <cell r="O2051"/>
          <cell r="P2051"/>
          <cell r="Q2051">
            <v>5500</v>
          </cell>
        </row>
        <row r="2052">
          <cell r="E2052" t="str">
            <v>KKM/JKN/HSA/10-05-01/H/20/75</v>
          </cell>
          <cell r="F2052" t="str">
            <v xml:space="preserve">Diagnostic </v>
          </cell>
          <cell r="G2052" t="str">
            <v>Intermediate</v>
          </cell>
          <cell r="H2052" t="str">
            <v>Oximeters, Pulse</v>
          </cell>
          <cell r="I2052" t="str">
            <v>PULSE OXIMETER AND SIMULATOR</v>
          </cell>
          <cell r="J2052" t="str">
            <v>17-148</v>
          </cell>
          <cell r="K2052" t="str">
            <v>COVIDIEN</v>
          </cell>
          <cell r="L2052" t="str">
            <v>NELLCOR</v>
          </cell>
          <cell r="M2052"/>
          <cell r="N2052" t="str">
            <v xml:space="preserve">JABATAN OBSTETRIK &amp; GINEKOLOGI </v>
          </cell>
          <cell r="O2052"/>
          <cell r="P2052"/>
          <cell r="Q2052">
            <v>7400</v>
          </cell>
        </row>
        <row r="2053">
          <cell r="E2053" t="str">
            <v>KKM/JKN/HSA/10-05-01/H/20/76</v>
          </cell>
          <cell r="F2053" t="str">
            <v xml:space="preserve">Diagnostic </v>
          </cell>
          <cell r="G2053" t="str">
            <v>Intermediate</v>
          </cell>
          <cell r="H2053" t="str">
            <v>Oximeters, Pulse</v>
          </cell>
          <cell r="I2053" t="str">
            <v>PULSE OXIMETER AND SIMULATOR</v>
          </cell>
          <cell r="J2053" t="str">
            <v>17-148</v>
          </cell>
          <cell r="K2053" t="str">
            <v>MEDTRONIC</v>
          </cell>
          <cell r="L2053" t="str">
            <v>NELLCOR</v>
          </cell>
          <cell r="M2053" t="str">
            <v>MBB1915033</v>
          </cell>
          <cell r="N2053" t="str">
            <v xml:space="preserve">JABATAN OBSTETRIK &amp; GINEKOLOGI </v>
          </cell>
          <cell r="O2053"/>
          <cell r="P2053"/>
          <cell r="Q2053">
            <v>7400</v>
          </cell>
        </row>
        <row r="2054">
          <cell r="E2054" t="str">
            <v>KKM/JKN/HSA/10-05-01/H/20/77</v>
          </cell>
          <cell r="F2054" t="str">
            <v xml:space="preserve">Diagnostic </v>
          </cell>
          <cell r="G2054" t="str">
            <v>Intermediate</v>
          </cell>
          <cell r="H2054" t="str">
            <v>Oximeters, Pulse</v>
          </cell>
          <cell r="I2054" t="str">
            <v>PULSE OXIMETER AND SIMULATOR</v>
          </cell>
          <cell r="J2054" t="str">
            <v>17-148</v>
          </cell>
          <cell r="K2054" t="str">
            <v>MEDTRONIC</v>
          </cell>
          <cell r="L2054" t="str">
            <v>NELLCOR</v>
          </cell>
          <cell r="M2054" t="str">
            <v>MBB1915030</v>
          </cell>
          <cell r="N2054" t="str">
            <v xml:space="preserve">JABATAN OBSTETRIK &amp; GINEKOLOGI </v>
          </cell>
          <cell r="O2054"/>
          <cell r="P2054"/>
          <cell r="Q2054">
            <v>7400</v>
          </cell>
        </row>
        <row r="2055">
          <cell r="E2055" t="str">
            <v>KKM/JKN/HSA/10-05-01/H/20/78</v>
          </cell>
          <cell r="F2055" t="str">
            <v xml:space="preserve">Diagnostic </v>
          </cell>
          <cell r="G2055" t="str">
            <v>Intermediate</v>
          </cell>
          <cell r="H2055" t="str">
            <v>Oximeters, Pulse</v>
          </cell>
          <cell r="I2055" t="str">
            <v>PULSE OXIMETER AND SIMULATOR</v>
          </cell>
          <cell r="J2055" t="str">
            <v>17-148</v>
          </cell>
          <cell r="K2055" t="str">
            <v>MEDTRONIC</v>
          </cell>
          <cell r="L2055" t="str">
            <v>NELLCOR</v>
          </cell>
          <cell r="M2055" t="str">
            <v>MBB1915032</v>
          </cell>
          <cell r="N2055" t="str">
            <v>JABATAN PEDIATRIK</v>
          </cell>
          <cell r="O2055"/>
          <cell r="P2055"/>
          <cell r="Q2055">
            <v>7400</v>
          </cell>
        </row>
        <row r="2056">
          <cell r="E2056" t="str">
            <v>KKM/JKN/HSA/10-05-01/H/20/79</v>
          </cell>
          <cell r="F2056" t="str">
            <v xml:space="preserve">Diagnostic </v>
          </cell>
          <cell r="G2056" t="str">
            <v>Intermediate</v>
          </cell>
          <cell r="H2056" t="str">
            <v>Oximeters, Pulse</v>
          </cell>
          <cell r="I2056" t="str">
            <v>PULSE OXIMETER AND SIMULATOR</v>
          </cell>
          <cell r="J2056" t="str">
            <v>17-148</v>
          </cell>
          <cell r="K2056" t="str">
            <v>MEDTRONIC</v>
          </cell>
          <cell r="L2056" t="str">
            <v>NELLCOR</v>
          </cell>
          <cell r="M2056" t="str">
            <v>MBB1915029</v>
          </cell>
          <cell r="N2056" t="str">
            <v>JABATAN ANESTESIOLOGI</v>
          </cell>
          <cell r="O2056"/>
          <cell r="P2056"/>
          <cell r="Q2056">
            <v>7400</v>
          </cell>
        </row>
        <row r="2057">
          <cell r="E2057" t="str">
            <v>KKM/JKN/HSA/10-05-01/H/20/80</v>
          </cell>
          <cell r="F2057" t="str">
            <v>Therapeutic</v>
          </cell>
          <cell r="G2057" t="str">
            <v>Intermediate</v>
          </cell>
          <cell r="H2057" t="str">
            <v>Infusion Pumps, General-Purpose</v>
          </cell>
          <cell r="I2057" t="str">
            <v>INFUSION PUMP</v>
          </cell>
          <cell r="J2057" t="str">
            <v>13-215</v>
          </cell>
          <cell r="K2057" t="str">
            <v xml:space="preserve">MEDCAPTAIN </v>
          </cell>
          <cell r="L2057" t="str">
            <v>MP-60</v>
          </cell>
          <cell r="M2057"/>
          <cell r="N2057" t="str">
            <v>JABATAN PEDIATRIK</v>
          </cell>
          <cell r="O2057"/>
          <cell r="P2057"/>
          <cell r="Q2057">
            <v>4500</v>
          </cell>
        </row>
        <row r="2058">
          <cell r="E2058" t="str">
            <v>KKM/JKN/HSA/10-05-01/H/20/81</v>
          </cell>
          <cell r="F2058" t="str">
            <v>Therapeutic</v>
          </cell>
          <cell r="G2058" t="str">
            <v>Intermediate</v>
          </cell>
          <cell r="H2058" t="str">
            <v>Infusion Pumps, General-Purpose</v>
          </cell>
          <cell r="I2058" t="str">
            <v>INFUSION PUMP</v>
          </cell>
          <cell r="J2058" t="str">
            <v>13-215</v>
          </cell>
          <cell r="K2058" t="str">
            <v xml:space="preserve">MEDCAPTAIN </v>
          </cell>
          <cell r="L2058" t="str">
            <v>MP-60</v>
          </cell>
          <cell r="M2058"/>
          <cell r="N2058" t="str">
            <v>JABATAN PEDIATRIK</v>
          </cell>
          <cell r="O2058"/>
          <cell r="P2058"/>
          <cell r="Q2058">
            <v>4500</v>
          </cell>
        </row>
        <row r="2059">
          <cell r="E2059" t="str">
            <v>KKM/JKN/HSA/10-05-01/H/20/82</v>
          </cell>
          <cell r="F2059" t="str">
            <v>Therapeutic</v>
          </cell>
          <cell r="G2059" t="str">
            <v>Intermediate</v>
          </cell>
          <cell r="H2059" t="str">
            <v>Infusion Pumps, General-Purpose</v>
          </cell>
          <cell r="I2059" t="str">
            <v>INFUSION PUMP</v>
          </cell>
          <cell r="J2059" t="str">
            <v>13-215</v>
          </cell>
          <cell r="K2059" t="str">
            <v xml:space="preserve">MEDCAPTAIN </v>
          </cell>
          <cell r="L2059" t="str">
            <v>MP-60</v>
          </cell>
          <cell r="M2059"/>
          <cell r="N2059" t="str">
            <v>JABATAN PEDIATRIK</v>
          </cell>
          <cell r="O2059"/>
          <cell r="P2059"/>
          <cell r="Q2059">
            <v>4500</v>
          </cell>
        </row>
        <row r="2060">
          <cell r="E2060" t="str">
            <v>KKM/JKN/HSA/10-05-01/H/20/83</v>
          </cell>
          <cell r="F2060" t="str">
            <v>Therapeutic</v>
          </cell>
          <cell r="G2060" t="str">
            <v>Intermediate</v>
          </cell>
          <cell r="H2060" t="str">
            <v>Infusion Pumps, General-Purpose</v>
          </cell>
          <cell r="I2060" t="str">
            <v>INFUSION PUMP</v>
          </cell>
          <cell r="J2060" t="str">
            <v>13-215</v>
          </cell>
          <cell r="K2060" t="str">
            <v xml:space="preserve">MEDCAPTAIN </v>
          </cell>
          <cell r="L2060" t="str">
            <v>MP-60</v>
          </cell>
          <cell r="M2060"/>
          <cell r="N2060" t="str">
            <v>JABATAN PEDIATRIK</v>
          </cell>
          <cell r="O2060"/>
          <cell r="P2060"/>
          <cell r="Q2060">
            <v>4500</v>
          </cell>
        </row>
        <row r="2061">
          <cell r="E2061" t="str">
            <v>KKM/JKN/HSA/10-05-01/H/20/119</v>
          </cell>
          <cell r="F2061" t="str">
            <v>Therapeutic</v>
          </cell>
          <cell r="G2061" t="str">
            <v>Intermediate</v>
          </cell>
          <cell r="H2061" t="str">
            <v>Infusion Pumps, Syringe</v>
          </cell>
          <cell r="I2061" t="str">
            <v>SYRINGE INFUSION PUMP</v>
          </cell>
          <cell r="J2061" t="str">
            <v>13-217</v>
          </cell>
          <cell r="K2061" t="str">
            <v xml:space="preserve">MEDCAPTAIN </v>
          </cell>
          <cell r="L2061" t="str">
            <v>SYS-50</v>
          </cell>
          <cell r="M2061"/>
          <cell r="N2061" t="str">
            <v>JABATAN PERUBATAN AM</v>
          </cell>
          <cell r="O2061"/>
          <cell r="P2061"/>
          <cell r="Q2061">
            <v>3150</v>
          </cell>
        </row>
        <row r="2062">
          <cell r="E2062" t="str">
            <v>KKM/JKN/HSA/10-05-01/H/20/120</v>
          </cell>
          <cell r="F2062" t="str">
            <v>Therapeutic</v>
          </cell>
          <cell r="G2062" t="str">
            <v>Intermediate</v>
          </cell>
          <cell r="H2062" t="str">
            <v>Infusion Pumps, Syringe</v>
          </cell>
          <cell r="I2062" t="str">
            <v>SYRINGE INFUSION PUMP</v>
          </cell>
          <cell r="J2062" t="str">
            <v>13-217</v>
          </cell>
          <cell r="K2062" t="str">
            <v xml:space="preserve">MEDCAPTAIN </v>
          </cell>
          <cell r="L2062" t="str">
            <v>SYS-50</v>
          </cell>
          <cell r="M2062"/>
          <cell r="N2062" t="str">
            <v>JABATAN PERUBATAN AM</v>
          </cell>
          <cell r="O2062"/>
          <cell r="P2062"/>
          <cell r="Q2062">
            <v>3150</v>
          </cell>
        </row>
        <row r="2063">
          <cell r="E2063" t="str">
            <v>KKM/JKN/HSA/10-05-01/H/20/178</v>
          </cell>
          <cell r="F2063" t="str">
            <v xml:space="preserve">Diagnostic </v>
          </cell>
          <cell r="G2063" t="str">
            <v>Intermediate</v>
          </cell>
          <cell r="H2063" t="str">
            <v>Physiologic Monitoring Systems, Acute Care Total</v>
          </cell>
          <cell r="I2063" t="str">
            <v>SPOT VITAL SIGN (NIBP)</v>
          </cell>
          <cell r="J2063" t="str">
            <v>12-647</v>
          </cell>
          <cell r="K2063" t="str">
            <v>MINDRAY</v>
          </cell>
          <cell r="L2063" t="str">
            <v>VS900</v>
          </cell>
          <cell r="M2063"/>
          <cell r="N2063" t="str">
            <v>JABATAN PERUBATAN AM</v>
          </cell>
          <cell r="O2063"/>
          <cell r="P2063"/>
          <cell r="Q2063">
            <v>6500</v>
          </cell>
        </row>
        <row r="2064">
          <cell r="E2064" t="str">
            <v>KKM/JKN/HSA/10-05-01/H/20/193</v>
          </cell>
          <cell r="F2064" t="str">
            <v xml:space="preserve">Diagnostic </v>
          </cell>
          <cell r="G2064" t="str">
            <v>Intermediate</v>
          </cell>
          <cell r="H2064" t="str">
            <v>Physiologic Monitoring Systems, Acute Care Total</v>
          </cell>
          <cell r="I2064" t="str">
            <v>SPOT VITAL SIGN (NIBP)</v>
          </cell>
          <cell r="J2064" t="str">
            <v>12-647</v>
          </cell>
          <cell r="K2064" t="str">
            <v>MINDRAY</v>
          </cell>
          <cell r="L2064" t="str">
            <v>VS600</v>
          </cell>
          <cell r="M2064"/>
          <cell r="N2064" t="str">
            <v>JABATAN KECEMASAN</v>
          </cell>
          <cell r="O2064"/>
          <cell r="P2064"/>
          <cell r="Q2064">
            <v>3983</v>
          </cell>
        </row>
        <row r="2065">
          <cell r="E2065" t="str">
            <v>KKM/JKN/HSA/10-05-01/H/20/195</v>
          </cell>
          <cell r="F2065" t="str">
            <v xml:space="preserve">Diagnostic </v>
          </cell>
          <cell r="G2065" t="str">
            <v>Intermediate</v>
          </cell>
          <cell r="H2065" t="str">
            <v>Physiologic Monitoring Systems, Acute Care Total</v>
          </cell>
          <cell r="I2065" t="str">
            <v>SPOT VITAL SIGN (NIBP)</v>
          </cell>
          <cell r="J2065" t="str">
            <v>12-647</v>
          </cell>
          <cell r="K2065" t="str">
            <v>MINDRAY</v>
          </cell>
          <cell r="L2065" t="str">
            <v>VS600</v>
          </cell>
          <cell r="M2065"/>
          <cell r="N2065" t="str">
            <v>JABATAN ORTOPEDIK</v>
          </cell>
          <cell r="O2065"/>
          <cell r="P2065"/>
          <cell r="Q2065">
            <v>3983</v>
          </cell>
        </row>
        <row r="2066">
          <cell r="E2066" t="str">
            <v>KKM/JKN/HSA/10-05-01/H/20/257</v>
          </cell>
          <cell r="F2066" t="str">
            <v xml:space="preserve">Diagnostic </v>
          </cell>
          <cell r="G2066" t="str">
            <v>Intermediate</v>
          </cell>
          <cell r="H2066" t="str">
            <v>Oximeters, Pulse</v>
          </cell>
          <cell r="I2066" t="str">
            <v xml:space="preserve">PULSE OXIMETER </v>
          </cell>
          <cell r="J2066" t="str">
            <v>17-148</v>
          </cell>
          <cell r="K2066" t="str">
            <v>MASIMO</v>
          </cell>
          <cell r="L2066" t="str">
            <v>RAD-8</v>
          </cell>
          <cell r="M2066"/>
          <cell r="N2066" t="str">
            <v>JABATAN PEDIATRIK</v>
          </cell>
          <cell r="O2066"/>
          <cell r="P2066"/>
          <cell r="Q2066">
            <v>5500</v>
          </cell>
        </row>
        <row r="2067">
          <cell r="E2067" t="str">
            <v>KKM/JKN/HSA/10-05-01/H/20/258</v>
          </cell>
          <cell r="F2067" t="str">
            <v xml:space="preserve">Diagnostic </v>
          </cell>
          <cell r="G2067" t="str">
            <v>Intermediate</v>
          </cell>
          <cell r="H2067" t="str">
            <v>Oximeters, Pulse</v>
          </cell>
          <cell r="I2067" t="str">
            <v xml:space="preserve">PULSE OXIMETER </v>
          </cell>
          <cell r="J2067" t="str">
            <v>17-148</v>
          </cell>
          <cell r="K2067" t="str">
            <v>MASIMO</v>
          </cell>
          <cell r="L2067" t="str">
            <v>RAD-8</v>
          </cell>
          <cell r="M2067"/>
          <cell r="N2067" t="str">
            <v>JABATAN PEDIATRIK</v>
          </cell>
          <cell r="O2067"/>
          <cell r="P2067"/>
          <cell r="Q2067">
            <v>5500</v>
          </cell>
        </row>
        <row r="2068">
          <cell r="E2068" t="str">
            <v>KKM/JKN/HSA/10-05-01/H/20/259</v>
          </cell>
          <cell r="F2068" t="str">
            <v xml:space="preserve">Diagnostic </v>
          </cell>
          <cell r="G2068" t="str">
            <v>Intermediate</v>
          </cell>
          <cell r="H2068" t="str">
            <v>Oximeters, Pulse</v>
          </cell>
          <cell r="I2068" t="str">
            <v xml:space="preserve">PULSE OXIMETER </v>
          </cell>
          <cell r="J2068" t="str">
            <v>17-148</v>
          </cell>
          <cell r="K2068" t="str">
            <v>MASIMO</v>
          </cell>
          <cell r="L2068" t="str">
            <v>RAD-8</v>
          </cell>
          <cell r="M2068"/>
          <cell r="N2068" t="str">
            <v>JABATAN PEDIATRIK</v>
          </cell>
          <cell r="O2068"/>
          <cell r="P2068"/>
          <cell r="Q2068">
            <v>5500</v>
          </cell>
        </row>
        <row r="2069">
          <cell r="E2069" t="str">
            <v>KKM/JKN/HSA/10-05-01/H/20/129</v>
          </cell>
          <cell r="F2069" t="str">
            <v>Therapeutic</v>
          </cell>
          <cell r="G2069" t="str">
            <v>Intermediate</v>
          </cell>
          <cell r="H2069" t="str">
            <v>Infusion Pumps, General-Purpose</v>
          </cell>
          <cell r="I2069" t="str">
            <v>INFUSION PUMP</v>
          </cell>
          <cell r="J2069" t="str">
            <v>13-215</v>
          </cell>
          <cell r="K2069" t="str">
            <v xml:space="preserve">MEDCAPTAIN </v>
          </cell>
          <cell r="L2069" t="str">
            <v>SYS-6010A</v>
          </cell>
          <cell r="M2069"/>
          <cell r="N2069" t="str">
            <v>JABATAN PEDIATRIK</v>
          </cell>
          <cell r="O2069"/>
          <cell r="P2069"/>
          <cell r="Q2069">
            <v>3150</v>
          </cell>
        </row>
        <row r="2070">
          <cell r="E2070" t="str">
            <v>KKM/JKN/HSA/10-05-01/H/20/130</v>
          </cell>
          <cell r="F2070" t="str">
            <v>Therapeutic</v>
          </cell>
          <cell r="G2070" t="str">
            <v>Intermediate</v>
          </cell>
          <cell r="H2070" t="str">
            <v>Infusion Pumps, General-Purpose</v>
          </cell>
          <cell r="I2070" t="str">
            <v>INFUSION PUMP</v>
          </cell>
          <cell r="J2070" t="str">
            <v>13-215</v>
          </cell>
          <cell r="K2070" t="str">
            <v xml:space="preserve">MEDCAPTAIN </v>
          </cell>
          <cell r="L2070" t="str">
            <v>SYS-6010A</v>
          </cell>
          <cell r="M2070"/>
          <cell r="N2070" t="str">
            <v>JABATAN PEDIATRIK</v>
          </cell>
          <cell r="O2070"/>
          <cell r="P2070"/>
          <cell r="Q2070">
            <v>3150</v>
          </cell>
        </row>
        <row r="2071">
          <cell r="E2071" t="str">
            <v>KKM/JKN/HSA/10-05-01/H/20/131</v>
          </cell>
          <cell r="F2071" t="str">
            <v>Therapeutic</v>
          </cell>
          <cell r="G2071" t="str">
            <v>Intermediate</v>
          </cell>
          <cell r="H2071" t="str">
            <v>Infusion Pumps, General-Purpose</v>
          </cell>
          <cell r="I2071" t="str">
            <v>INFUSION PUMP</v>
          </cell>
          <cell r="J2071" t="str">
            <v>13-215</v>
          </cell>
          <cell r="K2071" t="str">
            <v xml:space="preserve">MEDCAPTAIN </v>
          </cell>
          <cell r="L2071" t="str">
            <v>SYS-6010A</v>
          </cell>
          <cell r="M2071"/>
          <cell r="N2071" t="str">
            <v>JABATAN PEDIATRIK</v>
          </cell>
          <cell r="O2071"/>
          <cell r="P2071"/>
          <cell r="Q2071">
            <v>3150</v>
          </cell>
        </row>
        <row r="2072">
          <cell r="E2072" t="str">
            <v>KKM/JKN/HSA/10-05-01/H/20/132</v>
          </cell>
          <cell r="F2072" t="str">
            <v>Therapeutic</v>
          </cell>
          <cell r="G2072" t="str">
            <v>Intermediate</v>
          </cell>
          <cell r="H2072" t="str">
            <v>Infusion Pumps, General-Purpose</v>
          </cell>
          <cell r="I2072" t="str">
            <v>INFUSION PUMP</v>
          </cell>
          <cell r="J2072" t="str">
            <v>13-215</v>
          </cell>
          <cell r="K2072" t="str">
            <v xml:space="preserve">MEDCAPTAIN </v>
          </cell>
          <cell r="L2072" t="str">
            <v>SYS-6010A</v>
          </cell>
          <cell r="M2072"/>
          <cell r="N2072" t="str">
            <v>JABATAN PEDIATRIK</v>
          </cell>
          <cell r="O2072"/>
          <cell r="P2072"/>
          <cell r="Q2072">
            <v>3150</v>
          </cell>
        </row>
        <row r="2073">
          <cell r="E2073" t="str">
            <v>KKM/JKN/HSA/10-05-01/H/20/235</v>
          </cell>
          <cell r="F2073" t="str">
            <v>Therapeutic</v>
          </cell>
          <cell r="G2073" t="str">
            <v>Intermediate</v>
          </cell>
          <cell r="H2073" t="str">
            <v>Infusion Pumps, Syringe</v>
          </cell>
          <cell r="I2073" t="str">
            <v>SYRINGE INFUSION PUMP</v>
          </cell>
          <cell r="J2073" t="str">
            <v>13-217</v>
          </cell>
          <cell r="K2073" t="str">
            <v>MINDRAY</v>
          </cell>
          <cell r="L2073" t="str">
            <v>SP3</v>
          </cell>
          <cell r="M2073"/>
          <cell r="N2073" t="str">
            <v>JABATAN PEDIATRIK</v>
          </cell>
          <cell r="O2073"/>
          <cell r="P2073"/>
          <cell r="Q2073">
            <v>3000</v>
          </cell>
        </row>
        <row r="2074">
          <cell r="E2074" t="str">
            <v>KKM/JKN/HSA/10-05-01/H/20/194</v>
          </cell>
          <cell r="F2074" t="str">
            <v xml:space="preserve">Diagnostic </v>
          </cell>
          <cell r="G2074" t="str">
            <v>Intermediate</v>
          </cell>
          <cell r="H2074" t="str">
            <v>Physiologic Monitoring Systems, Acute Care Total</v>
          </cell>
          <cell r="I2074" t="str">
            <v>SPOT VITAL SIGN (NIBP)</v>
          </cell>
          <cell r="J2074" t="str">
            <v>12-647</v>
          </cell>
          <cell r="K2074" t="str">
            <v>MINDRAY</v>
          </cell>
          <cell r="L2074" t="str">
            <v>VS600</v>
          </cell>
          <cell r="M2074"/>
          <cell r="N2074" t="str">
            <v>JABATAN PEDIATRIK</v>
          </cell>
          <cell r="O2074"/>
          <cell r="P2074"/>
          <cell r="Q2074">
            <v>3983</v>
          </cell>
        </row>
        <row r="2075">
          <cell r="E2075" t="str">
            <v>KKM/JKN/HSA/10-05-01/H/20/250</v>
          </cell>
          <cell r="F2075" t="str">
            <v>Therapeutic</v>
          </cell>
          <cell r="G2075" t="str">
            <v>Basic</v>
          </cell>
          <cell r="H2075" t="str">
            <v>Training Manikins, Cardiopulmonary Resuscitation</v>
          </cell>
          <cell r="I2075" t="str">
            <v xml:space="preserve">HUMAN PATIENT SIMULATOR </v>
          </cell>
          <cell r="J2075" t="str">
            <v>15-309</v>
          </cell>
          <cell r="K2075" t="str">
            <v>LAERDAL MEDICAL</v>
          </cell>
          <cell r="L2075" t="str">
            <v>NEWBORN ANNE</v>
          </cell>
          <cell r="M2075" t="str">
            <v>220UMS3120004</v>
          </cell>
          <cell r="N2075" t="str">
            <v>JABATAN PEDIATRIK</v>
          </cell>
          <cell r="O2075"/>
          <cell r="P2075"/>
          <cell r="Q2075">
            <v>10000</v>
          </cell>
        </row>
        <row r="2076">
          <cell r="E2076" t="str">
            <v>KKM/JKN/HSA/10-05-01/R/20/116</v>
          </cell>
          <cell r="F2076" t="str">
            <v>Therapeutic</v>
          </cell>
          <cell r="G2076" t="str">
            <v>Basic</v>
          </cell>
          <cell r="H2076" t="str">
            <v>Mattress Systems, Alternating-Pressure</v>
          </cell>
          <cell r="I2076" t="str">
            <v>RIPPLE MATTRESS</v>
          </cell>
          <cell r="J2076" t="str">
            <v>18-147</v>
          </cell>
          <cell r="K2076" t="str">
            <v xml:space="preserve">LKL HEALTHCARE </v>
          </cell>
          <cell r="L2076" t="str">
            <v>BX422</v>
          </cell>
          <cell r="M2076"/>
          <cell r="N2076" t="str">
            <v>JABATAN ORTOPEDIK</v>
          </cell>
          <cell r="O2076"/>
          <cell r="P2076"/>
          <cell r="Q2076">
            <v>950</v>
          </cell>
        </row>
        <row r="2077">
          <cell r="E2077" t="str">
            <v>KKM/JKN/HSA/10-05-01/R/20/117</v>
          </cell>
          <cell r="F2077" t="str">
            <v>Therapeutic</v>
          </cell>
          <cell r="G2077" t="str">
            <v>Basic</v>
          </cell>
          <cell r="H2077" t="str">
            <v>Mattress Systems, Alternating-Pressure</v>
          </cell>
          <cell r="I2077" t="str">
            <v>RIPPLE MATTRESS</v>
          </cell>
          <cell r="J2077" t="str">
            <v>18-147</v>
          </cell>
          <cell r="K2077" t="str">
            <v xml:space="preserve">LKL HEALTHCARE </v>
          </cell>
          <cell r="L2077" t="str">
            <v>BX422</v>
          </cell>
          <cell r="M2077"/>
          <cell r="N2077" t="str">
            <v>JABATAN ORTOPEDIK</v>
          </cell>
          <cell r="O2077"/>
          <cell r="P2077"/>
          <cell r="Q2077">
            <v>950</v>
          </cell>
        </row>
        <row r="2078">
          <cell r="E2078" t="str">
            <v>KKM/JKN/HSA/10-05-01/R/20/118</v>
          </cell>
          <cell r="F2078" t="str">
            <v>Therapeutic</v>
          </cell>
          <cell r="G2078" t="str">
            <v>Basic</v>
          </cell>
          <cell r="H2078" t="str">
            <v>Mattress Systems, Alternating-Pressure</v>
          </cell>
          <cell r="I2078" t="str">
            <v>RIPPLE MATTRESS</v>
          </cell>
          <cell r="J2078" t="str">
            <v>18-147</v>
          </cell>
          <cell r="K2078" t="str">
            <v xml:space="preserve">LKL HEALTHCARE </v>
          </cell>
          <cell r="L2078" t="str">
            <v>BX422</v>
          </cell>
          <cell r="M2078"/>
          <cell r="N2078" t="str">
            <v>JABATAN PERUBATAN AM</v>
          </cell>
          <cell r="O2078"/>
          <cell r="P2078"/>
          <cell r="Q2078">
            <v>950</v>
          </cell>
        </row>
        <row r="2079">
          <cell r="E2079" t="str">
            <v>KKM/JKN/HSA/10-05-01/R/20/119</v>
          </cell>
          <cell r="F2079" t="str">
            <v>Therapeutic</v>
          </cell>
          <cell r="G2079" t="str">
            <v>Basic</v>
          </cell>
          <cell r="H2079" t="str">
            <v>Mattress Systems, Alternating-Pressure</v>
          </cell>
          <cell r="I2079" t="str">
            <v>RIPPLE MATTRESS</v>
          </cell>
          <cell r="J2079" t="str">
            <v>18-147</v>
          </cell>
          <cell r="K2079" t="str">
            <v xml:space="preserve">LKL HEALTHCARE </v>
          </cell>
          <cell r="L2079" t="str">
            <v>BX422</v>
          </cell>
          <cell r="M2079"/>
          <cell r="N2079" t="str">
            <v>JABATAN PERUBATAN AM</v>
          </cell>
          <cell r="O2079"/>
          <cell r="P2079"/>
          <cell r="Q2079">
            <v>950</v>
          </cell>
        </row>
        <row r="2080">
          <cell r="E2080" t="str">
            <v>KKM/JKN/HSA/10-05-01/R/20/120</v>
          </cell>
          <cell r="F2080" t="str">
            <v>Therapeutic</v>
          </cell>
          <cell r="G2080" t="str">
            <v>Basic</v>
          </cell>
          <cell r="H2080" t="str">
            <v>Mattress Systems, Alternating-Pressure</v>
          </cell>
          <cell r="I2080" t="str">
            <v>RIPPLE MATTRESS</v>
          </cell>
          <cell r="J2080" t="str">
            <v>18-147</v>
          </cell>
          <cell r="K2080" t="str">
            <v xml:space="preserve">LKL HEALTHCARE </v>
          </cell>
          <cell r="L2080" t="str">
            <v>BX422</v>
          </cell>
          <cell r="M2080"/>
          <cell r="N2080" t="str">
            <v>JABATAN PERUBATAN AM</v>
          </cell>
          <cell r="O2080"/>
          <cell r="P2080"/>
          <cell r="Q2080">
            <v>950</v>
          </cell>
        </row>
        <row r="2081">
          <cell r="E2081" t="str">
            <v>KKM/JKN/HSA/10-05-01/H/20/145</v>
          </cell>
          <cell r="F2081" t="str">
            <v>Therapeutic</v>
          </cell>
          <cell r="G2081" t="str">
            <v>Intermediate</v>
          </cell>
          <cell r="H2081" t="str">
            <v>Infusion Pumps, General-Purpose</v>
          </cell>
          <cell r="I2081" t="str">
            <v>INFUSION PUMP</v>
          </cell>
          <cell r="J2081" t="str">
            <v>13-215</v>
          </cell>
          <cell r="K2081" t="str">
            <v>ENMIND</v>
          </cell>
          <cell r="L2081" t="str">
            <v>EN-V7 SMART</v>
          </cell>
          <cell r="M2081"/>
          <cell r="N2081" t="str">
            <v>JABATAN PERUBATAN AM</v>
          </cell>
          <cell r="O2081"/>
          <cell r="P2081"/>
          <cell r="Q2081">
            <v>3000</v>
          </cell>
        </row>
        <row r="2082">
          <cell r="E2082" t="str">
            <v>KKM/JKN/HSA/10-05-01/H/20/163</v>
          </cell>
          <cell r="F2082" t="str">
            <v>Therapeutic</v>
          </cell>
          <cell r="G2082" t="str">
            <v>Basic</v>
          </cell>
          <cell r="H2082" t="str">
            <v>Phototherapy Units, Visible Light, Hyperbilirubinemia</v>
          </cell>
          <cell r="I2082" t="str">
            <v>PHOTOTHERAPY MACHINE (LAMP)</v>
          </cell>
          <cell r="J2082" t="str">
            <v>17-515</v>
          </cell>
          <cell r="K2082" t="str">
            <v>TENDE</v>
          </cell>
          <cell r="L2082" t="str">
            <v>BABYBLUE</v>
          </cell>
          <cell r="M2082" t="str">
            <v>LPT240-1080</v>
          </cell>
          <cell r="N2082" t="str">
            <v>JABATAN PEDIATRIK</v>
          </cell>
          <cell r="O2082"/>
          <cell r="P2082"/>
          <cell r="Q2082">
            <v>8000</v>
          </cell>
        </row>
        <row r="2083">
          <cell r="E2083" t="str">
            <v>KKM/JKN/HSA/10-05-01/H/20/169</v>
          </cell>
          <cell r="F2083" t="str">
            <v>Therapeutic</v>
          </cell>
          <cell r="G2083" t="str">
            <v>Basic</v>
          </cell>
          <cell r="H2083" t="str">
            <v>Bilirubinometers</v>
          </cell>
          <cell r="I2083" t="str">
            <v xml:space="preserve">JAUNDICE METER </v>
          </cell>
          <cell r="J2083" t="str">
            <v>15-109</v>
          </cell>
          <cell r="K2083" t="str">
            <v>DRAGER</v>
          </cell>
          <cell r="L2083" t="str">
            <v>JM-105</v>
          </cell>
          <cell r="M2083"/>
          <cell r="N2083" t="str">
            <v>JABATAN PEDIATRIK</v>
          </cell>
          <cell r="O2083"/>
          <cell r="P2083"/>
          <cell r="Q2083">
            <v>17500</v>
          </cell>
        </row>
        <row r="2084">
          <cell r="E2084" t="str">
            <v>KKM/JKN/HSA/10-05-01/H/20/171</v>
          </cell>
          <cell r="F2084" t="str">
            <v>Therapeutic</v>
          </cell>
          <cell r="G2084" t="str">
            <v>Basic</v>
          </cell>
          <cell r="H2084" t="str">
            <v>Warming Units, Patient, Radiant, Infant</v>
          </cell>
          <cell r="I2084" t="str">
            <v>INFANT WARMER</v>
          </cell>
          <cell r="J2084" t="str">
            <v>17-956</v>
          </cell>
          <cell r="K2084" t="str">
            <v xml:space="preserve">SUNFLOWER WARMER </v>
          </cell>
          <cell r="L2084" t="str">
            <v>HI LO TILT 230V</v>
          </cell>
          <cell r="M2084"/>
          <cell r="N2084" t="str">
            <v>JABATAN PEDIATRIK</v>
          </cell>
          <cell r="O2084"/>
          <cell r="P2084"/>
          <cell r="Q2084">
            <v>35500</v>
          </cell>
        </row>
        <row r="2085">
          <cell r="E2085" t="str">
            <v>KKM/JKN/HSA/10-05-01/H/20/175</v>
          </cell>
          <cell r="F2085" t="str">
            <v xml:space="preserve">Diagnostic </v>
          </cell>
          <cell r="G2085" t="str">
            <v>Intermediate</v>
          </cell>
          <cell r="H2085" t="str">
            <v>Defibrillator/Pacemakers, External</v>
          </cell>
          <cell r="I2085" t="str">
            <v xml:space="preserve">ECG (EKG) MACHINE </v>
          </cell>
          <cell r="J2085" t="str">
            <v>17-882</v>
          </cell>
          <cell r="K2085" t="str">
            <v>MINDRAY</v>
          </cell>
          <cell r="L2085" t="str">
            <v>BENEHEART R3A</v>
          </cell>
          <cell r="M2085"/>
          <cell r="N2085" t="str">
            <v>JABATAN OBSTETRIK &amp; GINEKOLOGI</v>
          </cell>
          <cell r="O2085"/>
          <cell r="P2085"/>
          <cell r="Q2085">
            <v>5500</v>
          </cell>
        </row>
        <row r="2086">
          <cell r="E2086" t="str">
            <v>KKM/JKN/HSA/10-05-01/H/20/176</v>
          </cell>
          <cell r="F2086" t="str">
            <v xml:space="preserve">Diagnostic </v>
          </cell>
          <cell r="G2086" t="str">
            <v>Intermediate</v>
          </cell>
          <cell r="H2086" t="str">
            <v>Defibrillator/Pacemakers, External</v>
          </cell>
          <cell r="I2086" t="str">
            <v xml:space="preserve">ECG (EKG) MACHINE </v>
          </cell>
          <cell r="J2086" t="str">
            <v>17-882</v>
          </cell>
          <cell r="K2086" t="str">
            <v>MINDRAY</v>
          </cell>
          <cell r="L2086" t="str">
            <v>BENEHEART R3A</v>
          </cell>
          <cell r="M2086"/>
          <cell r="N2086" t="str">
            <v>JABATAN ANESTESIOLOGI</v>
          </cell>
          <cell r="O2086"/>
          <cell r="P2086"/>
          <cell r="Q2086">
            <v>5500</v>
          </cell>
        </row>
        <row r="2087">
          <cell r="E2087" t="str">
            <v>KKM/JKN/HSA/10-05-01/H/20/177</v>
          </cell>
          <cell r="F2087" t="str">
            <v xml:space="preserve">Diagnostic </v>
          </cell>
          <cell r="G2087" t="str">
            <v>Intermediate</v>
          </cell>
          <cell r="H2087" t="str">
            <v>Physiologic Monitoring Systems, Acute Care Total</v>
          </cell>
          <cell r="I2087" t="str">
            <v>SPOT VITAL SIGN (NIBP)</v>
          </cell>
          <cell r="J2087" t="str">
            <v>12-647</v>
          </cell>
          <cell r="K2087" t="str">
            <v xml:space="preserve">MINDRAY </v>
          </cell>
          <cell r="L2087" t="str">
            <v>VS900</v>
          </cell>
          <cell r="M2087"/>
          <cell r="N2087" t="str">
            <v>JABATAN ORTOPEDIK</v>
          </cell>
          <cell r="O2087"/>
          <cell r="P2087"/>
          <cell r="Q2087">
            <v>6500</v>
          </cell>
        </row>
        <row r="2088">
          <cell r="E2088" t="str">
            <v>KKM/JKN/HSA/10-05-01/H/20/179</v>
          </cell>
          <cell r="F2088" t="str">
            <v xml:space="preserve">Diagnostic </v>
          </cell>
          <cell r="G2088" t="str">
            <v>Intermediate</v>
          </cell>
          <cell r="H2088" t="str">
            <v>Physiologic Monitoring Systems, Acute Care Total</v>
          </cell>
          <cell r="I2088" t="str">
            <v>SPOT VITAL SIGN (NIBP)</v>
          </cell>
          <cell r="J2088" t="str">
            <v>12-647</v>
          </cell>
          <cell r="K2088" t="str">
            <v xml:space="preserve">MINDRAY </v>
          </cell>
          <cell r="L2088" t="str">
            <v>VS900</v>
          </cell>
          <cell r="M2088"/>
          <cell r="N2088" t="str">
            <v>JABATAN PERUBATAN AM</v>
          </cell>
          <cell r="O2088"/>
          <cell r="P2088"/>
          <cell r="Q2088">
            <v>6500</v>
          </cell>
        </row>
        <row r="2089">
          <cell r="E2089" t="str">
            <v>KKM/JKN/HSA/10-05-01/H/20/181</v>
          </cell>
          <cell r="F2089" t="str">
            <v xml:space="preserve">Diagnostic </v>
          </cell>
          <cell r="G2089" t="str">
            <v>Intermediate</v>
          </cell>
          <cell r="H2089" t="str">
            <v>Physiologic Monitoring Systems, Acute Care Total</v>
          </cell>
          <cell r="I2089" t="str">
            <v>SPOT VITAL SIGN (NIBP)</v>
          </cell>
          <cell r="J2089" t="str">
            <v>12-647</v>
          </cell>
          <cell r="K2089" t="str">
            <v xml:space="preserve">MINDRAY </v>
          </cell>
          <cell r="L2089" t="str">
            <v>VS900</v>
          </cell>
          <cell r="M2089"/>
          <cell r="N2089" t="str">
            <v>JABATAN OBSTETRIK &amp; GINEKOLOGI</v>
          </cell>
          <cell r="O2089"/>
          <cell r="P2089"/>
          <cell r="Q2089">
            <v>6500</v>
          </cell>
        </row>
        <row r="2090">
          <cell r="E2090" t="str">
            <v>KKM/JKN/HSA/10-05-01/H/20/182</v>
          </cell>
          <cell r="F2090" t="str">
            <v xml:space="preserve">Diagnostic </v>
          </cell>
          <cell r="G2090" t="str">
            <v>Intermediate</v>
          </cell>
          <cell r="H2090" t="str">
            <v>Physiologic Monitoring Systems, Acute Care Total</v>
          </cell>
          <cell r="I2090" t="str">
            <v>SPOT VITAL SIGN (NIBP)</v>
          </cell>
          <cell r="J2090" t="str">
            <v>12-647</v>
          </cell>
          <cell r="K2090" t="str">
            <v xml:space="preserve">MINDRAY </v>
          </cell>
          <cell r="L2090" t="str">
            <v>VS900</v>
          </cell>
          <cell r="M2090"/>
          <cell r="N2090" t="str">
            <v xml:space="preserve">JABATAN KECEMASAN &amp; TRAUMA </v>
          </cell>
          <cell r="O2090"/>
          <cell r="P2090"/>
          <cell r="Q2090">
            <v>6500</v>
          </cell>
        </row>
        <row r="2091">
          <cell r="E2091" t="str">
            <v>KKM/JKN/HSA/10-05-01/H/20/214</v>
          </cell>
          <cell r="F2091" t="str">
            <v xml:space="preserve">Diagnostic </v>
          </cell>
          <cell r="G2091" t="str">
            <v>Intermediate</v>
          </cell>
          <cell r="H2091" t="str">
            <v>Physiologic Monitoring Systems, Acute Care</v>
          </cell>
          <cell r="I2091" t="str">
            <v>PATIENT MONITOR</v>
          </cell>
          <cell r="J2091" t="str">
            <v>12-647</v>
          </cell>
          <cell r="K2091" t="str">
            <v xml:space="preserve">MINDRAY </v>
          </cell>
          <cell r="L2091" t="str">
            <v>VS900</v>
          </cell>
          <cell r="M2091"/>
          <cell r="N2091" t="str">
            <v>JABATAN PERUBATAN AM</v>
          </cell>
          <cell r="O2091"/>
          <cell r="P2091"/>
          <cell r="Q2091">
            <v>28333.34</v>
          </cell>
        </row>
        <row r="2092">
          <cell r="E2092" t="str">
            <v>KKM/JKN/HSA/10-05-01/H/20/215</v>
          </cell>
          <cell r="F2092" t="str">
            <v xml:space="preserve">Diagnostic </v>
          </cell>
          <cell r="G2092" t="str">
            <v>Intermediate</v>
          </cell>
          <cell r="H2092" t="str">
            <v>Physiologic Monitoring Systems, Acute Care</v>
          </cell>
          <cell r="I2092" t="str">
            <v>PATIENT MONITOR</v>
          </cell>
          <cell r="J2092" t="str">
            <v>12-647</v>
          </cell>
          <cell r="K2092" t="str">
            <v xml:space="preserve">PHILIPS </v>
          </cell>
          <cell r="L2092" t="str">
            <v>866061/867036</v>
          </cell>
          <cell r="M2092"/>
          <cell r="N2092" t="str">
            <v>JABATAN PERUBATAN AM</v>
          </cell>
          <cell r="O2092"/>
          <cell r="P2092"/>
          <cell r="Q2092">
            <v>28333.34</v>
          </cell>
        </row>
        <row r="2093">
          <cell r="E2093" t="str">
            <v>KKM/JKN/HSA/10-05-01/H/20/224</v>
          </cell>
          <cell r="F2093" t="str">
            <v>Therapeutic</v>
          </cell>
          <cell r="G2093" t="str">
            <v>Basic</v>
          </cell>
          <cell r="H2093" t="str">
            <v>Warming Units, Patient, Radiant, Infant</v>
          </cell>
          <cell r="I2093" t="str">
            <v>INFANT WARMER</v>
          </cell>
          <cell r="J2093" t="str">
            <v>17-956</v>
          </cell>
          <cell r="K2093" t="str">
            <v xml:space="preserve">PHILIPS </v>
          </cell>
          <cell r="L2093" t="str">
            <v>866061/867036</v>
          </cell>
          <cell r="M2093"/>
          <cell r="N2093" t="str">
            <v>JABATAN ANESTESIOLOGI</v>
          </cell>
          <cell r="O2093"/>
          <cell r="P2093"/>
          <cell r="Q2093">
            <v>24000</v>
          </cell>
        </row>
        <row r="2094">
          <cell r="E2094" t="str">
            <v>KKM/JKN/HSA/10-05-01/H/21/282</v>
          </cell>
          <cell r="F2094" t="str">
            <v xml:space="preserve">Diagnostic </v>
          </cell>
          <cell r="G2094" t="str">
            <v>Intermediate</v>
          </cell>
          <cell r="H2094" t="str">
            <v>Cardiotocographs</v>
          </cell>
          <cell r="I2094" t="str">
            <v>CTG MACHINE/ FETAL MONITOR TOUCH SCREEN</v>
          </cell>
          <cell r="J2094" t="str">
            <v>12-610</v>
          </cell>
          <cell r="K2094" t="str">
            <v>EDAN</v>
          </cell>
          <cell r="L2094" t="str">
            <v>F9</v>
          </cell>
          <cell r="M2094"/>
          <cell r="N2094" t="str">
            <v>JABATAN OBSTETRIK &amp; GINEKOLOGI</v>
          </cell>
          <cell r="O2094"/>
          <cell r="P2094"/>
          <cell r="Q2094">
            <v>14300</v>
          </cell>
        </row>
        <row r="2095">
          <cell r="E2095" t="str">
            <v>KKM/JKN/HSA/10-05-01/H/21/205</v>
          </cell>
          <cell r="F2095" t="str">
            <v xml:space="preserve">Diagnostic </v>
          </cell>
          <cell r="G2095" t="str">
            <v>Intermediate</v>
          </cell>
          <cell r="H2095" t="str">
            <v xml:space="preserve">Electrocardiographs, Multichannel, Interpretative </v>
          </cell>
          <cell r="I2095" t="str">
            <v>ECG MACHINE</v>
          </cell>
          <cell r="J2095" t="str">
            <v>16-231</v>
          </cell>
          <cell r="K2095" t="str">
            <v>EDAN</v>
          </cell>
          <cell r="L2095" t="str">
            <v>SE 301</v>
          </cell>
          <cell r="M2095"/>
          <cell r="N2095" t="str">
            <v>JABATAN OBSTETRIK &amp; GINEKOLOGI</v>
          </cell>
          <cell r="O2095"/>
          <cell r="P2095"/>
          <cell r="Q2095">
            <v>4200</v>
          </cell>
        </row>
        <row r="2096">
          <cell r="E2096" t="str">
            <v>KKM/JKN/HSA/10-05-01/H/21/264</v>
          </cell>
          <cell r="F2096" t="str">
            <v xml:space="preserve">Diagnostic </v>
          </cell>
          <cell r="G2096" t="str">
            <v>Intermediate</v>
          </cell>
          <cell r="H2096" t="str">
            <v xml:space="preserve">Electrocardiographs, Multichannel, Interpretative </v>
          </cell>
          <cell r="I2096" t="str">
            <v>ECG MACHINE</v>
          </cell>
          <cell r="J2096" t="str">
            <v>16-231</v>
          </cell>
          <cell r="K2096" t="str">
            <v>MINDRAY</v>
          </cell>
          <cell r="L2096" t="str">
            <v>BENEHEART R12</v>
          </cell>
          <cell r="M2096"/>
          <cell r="N2096" t="str">
            <v>JABATAN KECEMASAN DAN TRAUMA</v>
          </cell>
          <cell r="O2096"/>
          <cell r="P2096"/>
          <cell r="Q2096">
            <v>12000</v>
          </cell>
        </row>
        <row r="2097">
          <cell r="E2097" t="str">
            <v>KKM/JKN/HSA/10-05-01/H/21/207</v>
          </cell>
          <cell r="F2097" t="str">
            <v xml:space="preserve">Diagnostic </v>
          </cell>
          <cell r="G2097" t="str">
            <v>Intermediate</v>
          </cell>
          <cell r="H2097" t="str">
            <v>Physiologic Monitoring Systems, Acute Care Total</v>
          </cell>
          <cell r="I2097" t="str">
            <v>PATIENT MONITORING EQUIPMENT/ VITAL SIGN</v>
          </cell>
          <cell r="J2097" t="str">
            <v>12-647</v>
          </cell>
          <cell r="K2097" t="str">
            <v>BETTERLIFE MEDICAL TECHNOLOGY</v>
          </cell>
          <cell r="L2097" t="str">
            <v>IRIS 200 VITAL SIGN</v>
          </cell>
          <cell r="M2097"/>
          <cell r="N2097" t="str">
            <v>JABATAN OBSTETRIK &amp; GINEKOLOGI</v>
          </cell>
          <cell r="O2097"/>
          <cell r="P2097"/>
          <cell r="Q2097">
            <v>5066</v>
          </cell>
        </row>
        <row r="2098">
          <cell r="E2098" t="str">
            <v>KKM/JKN/HSA/10-05-01/H/21/208</v>
          </cell>
          <cell r="F2098" t="str">
            <v xml:space="preserve">Diagnostic </v>
          </cell>
          <cell r="G2098" t="str">
            <v>Intermediate</v>
          </cell>
          <cell r="H2098" t="str">
            <v>Physiologic Monitoring Systems, Acute Care Total</v>
          </cell>
          <cell r="I2098" t="str">
            <v>PATIENT MONITORING EQUIPMENT/ VITAL SIGN</v>
          </cell>
          <cell r="J2098" t="str">
            <v>12-647</v>
          </cell>
          <cell r="K2098" t="str">
            <v>BETTERLIFE MEDICAL TECHNOLOGY</v>
          </cell>
          <cell r="L2098" t="str">
            <v>IRIS 200 VITAL SIGN</v>
          </cell>
          <cell r="M2098"/>
          <cell r="N2098" t="str">
            <v>JABATAN PERUBATAN AM</v>
          </cell>
          <cell r="O2098"/>
          <cell r="P2098"/>
          <cell r="Q2098">
            <v>5066</v>
          </cell>
        </row>
        <row r="2099">
          <cell r="E2099" t="str">
            <v>KKM/JKN/HSA/10-05-01/H/21/209</v>
          </cell>
          <cell r="F2099" t="str">
            <v xml:space="preserve">Diagnostic </v>
          </cell>
          <cell r="G2099" t="str">
            <v>Intermediate</v>
          </cell>
          <cell r="H2099" t="str">
            <v>Physiologic Monitoring Systems, Acute Care Total</v>
          </cell>
          <cell r="I2099" t="str">
            <v>PATIENT MONITORING EQUIPMENT/ VITAL SIGN</v>
          </cell>
          <cell r="J2099" t="str">
            <v>12-647</v>
          </cell>
          <cell r="K2099" t="str">
            <v>BETTERLIFE MEDICAL TECHNOLOGY</v>
          </cell>
          <cell r="L2099" t="str">
            <v>IRIS 200 VITAL SIGN</v>
          </cell>
          <cell r="M2099"/>
          <cell r="N2099" t="str">
            <v>JABATAN KECEMASAN DAN TRAUMA</v>
          </cell>
          <cell r="O2099"/>
          <cell r="P2099"/>
          <cell r="Q2099">
            <v>5066</v>
          </cell>
        </row>
        <row r="2100">
          <cell r="E2100" t="str">
            <v>KKM/JKN/HSA/10-05-01/H/21/180</v>
          </cell>
          <cell r="F2100" t="str">
            <v xml:space="preserve">Diagnostic </v>
          </cell>
          <cell r="G2100" t="str">
            <v>Intermediate</v>
          </cell>
          <cell r="H2100" t="str">
            <v>Physiologic Monitoring Systems, Acute Care</v>
          </cell>
          <cell r="I2100" t="str">
            <v>PATIENT MONITORING EQUIPMENT</v>
          </cell>
          <cell r="J2100" t="str">
            <v>12-647</v>
          </cell>
          <cell r="K2100" t="str">
            <v>MINDRAY</v>
          </cell>
          <cell r="L2100" t="str">
            <v>UMEC10</v>
          </cell>
          <cell r="M2100"/>
          <cell r="N2100" t="str">
            <v>JABATAN KECEMASAN DAN TRAUMA</v>
          </cell>
          <cell r="O2100"/>
          <cell r="P2100"/>
          <cell r="Q2100">
            <v>8450</v>
          </cell>
        </row>
        <row r="2101">
          <cell r="E2101" t="str">
            <v>KKM/JKN/HSA/10-05-01/H/21/181</v>
          </cell>
          <cell r="F2101" t="str">
            <v xml:space="preserve">Diagnostic </v>
          </cell>
          <cell r="G2101" t="str">
            <v>Intermediate</v>
          </cell>
          <cell r="H2101" t="str">
            <v>Physiologic Monitoring Systems, Acute Care</v>
          </cell>
          <cell r="I2101" t="str">
            <v>PATIENT MONITORING EQUIPMENT</v>
          </cell>
          <cell r="J2101" t="str">
            <v>12-647</v>
          </cell>
          <cell r="K2101" t="str">
            <v>MINDRAY</v>
          </cell>
          <cell r="L2101" t="str">
            <v>UMEC10</v>
          </cell>
          <cell r="M2101"/>
          <cell r="N2101" t="str">
            <v>JABATAN KECEMASAN DAN TRAUMA</v>
          </cell>
          <cell r="O2101"/>
          <cell r="P2101"/>
          <cell r="Q2101">
            <v>8450</v>
          </cell>
        </row>
        <row r="2102">
          <cell r="E2102" t="str">
            <v>KKM/JKN/HSA/10-05-01/H/21/182</v>
          </cell>
          <cell r="F2102" t="str">
            <v xml:space="preserve">Diagnostic </v>
          </cell>
          <cell r="G2102" t="str">
            <v>Intermediate</v>
          </cell>
          <cell r="H2102" t="str">
            <v>Physiologic Monitoring Systems, Acute Care</v>
          </cell>
          <cell r="I2102" t="str">
            <v>PATIENT MONITORING EQUIPMENT</v>
          </cell>
          <cell r="J2102" t="str">
            <v>12-647</v>
          </cell>
          <cell r="K2102" t="str">
            <v>MINDRAY</v>
          </cell>
          <cell r="L2102" t="str">
            <v>UMEC10</v>
          </cell>
          <cell r="M2102"/>
          <cell r="N2102" t="str">
            <v>JABATAN KECEMASAN DAN TRAUMA</v>
          </cell>
          <cell r="O2102"/>
          <cell r="P2102"/>
          <cell r="Q2102">
            <v>8450</v>
          </cell>
        </row>
        <row r="2103">
          <cell r="E2103" t="str">
            <v>KKM/JKN/HSA/10-05-01/H/21/188</v>
          </cell>
          <cell r="F2103" t="str">
            <v xml:space="preserve">Diagnostic </v>
          </cell>
          <cell r="G2103" t="str">
            <v>Intermediate</v>
          </cell>
          <cell r="H2103" t="str">
            <v>Physiologic Monitoring Systems, Acute Care</v>
          </cell>
          <cell r="I2103" t="str">
            <v>PATIENT MONITORING EQUIPMENT</v>
          </cell>
          <cell r="J2103" t="str">
            <v>12-647</v>
          </cell>
          <cell r="K2103" t="str">
            <v>MINDRAY</v>
          </cell>
          <cell r="L2103" t="str">
            <v>UMEC10</v>
          </cell>
          <cell r="M2103"/>
          <cell r="N2103" t="str">
            <v>JABATAN OBSTETRIK &amp; GINEKOLOGI</v>
          </cell>
          <cell r="O2103"/>
          <cell r="P2103"/>
          <cell r="Q2103">
            <v>7300</v>
          </cell>
        </row>
        <row r="2104">
          <cell r="E2104" t="str">
            <v>KKM/JKN/HSA/10-05-01/H/21/189</v>
          </cell>
          <cell r="F2104" t="str">
            <v xml:space="preserve">Diagnostic </v>
          </cell>
          <cell r="G2104" t="str">
            <v>Intermediate</v>
          </cell>
          <cell r="H2104" t="str">
            <v>Physiologic Monitoring Systems, Acute Care</v>
          </cell>
          <cell r="I2104" t="str">
            <v>PATIENT MONITORING EQUIPMENT</v>
          </cell>
          <cell r="J2104" t="str">
            <v>12-647</v>
          </cell>
          <cell r="K2104" t="str">
            <v>MINDRAY</v>
          </cell>
          <cell r="L2104" t="str">
            <v>UMEC10</v>
          </cell>
          <cell r="M2104"/>
          <cell r="N2104" t="str">
            <v>JABATAN OBSTETRIK &amp; GINEKOLOGI</v>
          </cell>
          <cell r="O2104"/>
          <cell r="P2104"/>
          <cell r="Q2104">
            <v>7300</v>
          </cell>
        </row>
        <row r="2105">
          <cell r="E2105" t="str">
            <v>KKM/JKN/HSA/10-05-01/R/21/111</v>
          </cell>
          <cell r="F2105" t="str">
            <v xml:space="preserve">Diagnostic </v>
          </cell>
          <cell r="G2105" t="str">
            <v>Basic</v>
          </cell>
          <cell r="H2105" t="str">
            <v>Fetal Heart Detectors, Ultrasonic</v>
          </cell>
          <cell r="I2105" t="str">
            <v>FETAL HEART MONITOR</v>
          </cell>
          <cell r="J2105" t="str">
            <v>11-696</v>
          </cell>
          <cell r="K2105" t="str">
            <v>EDAN</v>
          </cell>
          <cell r="L2105" t="str">
            <v>SD1</v>
          </cell>
          <cell r="M2105"/>
          <cell r="N2105" t="str">
            <v>JABATAN OBSTETRIK &amp; GINEKOLOGI</v>
          </cell>
          <cell r="O2105"/>
          <cell r="P2105"/>
          <cell r="Q2105">
            <v>850</v>
          </cell>
        </row>
        <row r="2106">
          <cell r="E2106" t="str">
            <v>KKM/JKN/HSA/10-05-01/R/21/112</v>
          </cell>
          <cell r="F2106" t="str">
            <v xml:space="preserve">Diagnostic </v>
          </cell>
          <cell r="G2106" t="str">
            <v>Basic</v>
          </cell>
          <cell r="H2106" t="str">
            <v>Fetal Heart Detectors, Ultrasonic</v>
          </cell>
          <cell r="I2106" t="str">
            <v>FETAL HEART MONITOR</v>
          </cell>
          <cell r="J2106" t="str">
            <v>11-696</v>
          </cell>
          <cell r="K2106" t="str">
            <v>EDAN</v>
          </cell>
          <cell r="L2106" t="str">
            <v>SD1</v>
          </cell>
          <cell r="M2106"/>
          <cell r="N2106" t="str">
            <v>JABATAN OBSTETRIK &amp; GINEKOLOGI</v>
          </cell>
          <cell r="O2106"/>
          <cell r="P2106"/>
          <cell r="Q2106">
            <v>850</v>
          </cell>
        </row>
        <row r="2107">
          <cell r="E2107" t="str">
            <v>KKM/JKN/HSA/10-05-01/H/21/6</v>
          </cell>
          <cell r="F2107" t="str">
            <v>Therapeutic</v>
          </cell>
          <cell r="G2107" t="str">
            <v>Intermediate</v>
          </cell>
          <cell r="H2107" t="str">
            <v>Ventilators, Transport</v>
          </cell>
          <cell r="I2107" t="str">
            <v>VENTILATOR</v>
          </cell>
          <cell r="J2107" t="str">
            <v>18-098</v>
          </cell>
          <cell r="K2107" t="str">
            <v>EOVE</v>
          </cell>
          <cell r="L2107" t="str">
            <v>EO-150</v>
          </cell>
          <cell r="M2107"/>
          <cell r="N2107" t="str">
            <v>JABATAN ANESTESIOLOGI</v>
          </cell>
          <cell r="O2107"/>
          <cell r="P2107"/>
          <cell r="Q2107">
            <v>63000</v>
          </cell>
        </row>
        <row r="2108">
          <cell r="E2108" t="str">
            <v>KKM/JKN/HSA/10-05-01/H/21/7</v>
          </cell>
          <cell r="F2108" t="str">
            <v>Therapeutic</v>
          </cell>
          <cell r="G2108" t="str">
            <v>Intermediate</v>
          </cell>
          <cell r="H2108" t="str">
            <v>Ventilators, Transport</v>
          </cell>
          <cell r="I2108" t="str">
            <v>VENTILATOR</v>
          </cell>
          <cell r="J2108" t="str">
            <v>18-098</v>
          </cell>
          <cell r="K2108" t="str">
            <v>EOVE</v>
          </cell>
          <cell r="L2108" t="str">
            <v>EO-150</v>
          </cell>
          <cell r="M2108"/>
          <cell r="N2108" t="str">
            <v>JABATAN ANESTESIOLOGI</v>
          </cell>
          <cell r="O2108"/>
          <cell r="P2108"/>
          <cell r="Q2108">
            <v>63000</v>
          </cell>
        </row>
        <row r="2109">
          <cell r="E2109" t="str">
            <v>KKM/JKN/HSA/10-05-01/H/21/8</v>
          </cell>
          <cell r="F2109" t="str">
            <v>Therapeutic</v>
          </cell>
          <cell r="G2109" t="str">
            <v>Intermediate</v>
          </cell>
          <cell r="H2109" t="str">
            <v>Ventilators, Transport</v>
          </cell>
          <cell r="I2109" t="str">
            <v>VENTILATOR</v>
          </cell>
          <cell r="J2109" t="str">
            <v>18-098</v>
          </cell>
          <cell r="K2109" t="str">
            <v>EOVE</v>
          </cell>
          <cell r="L2109" t="str">
            <v>EO-150</v>
          </cell>
          <cell r="M2109"/>
          <cell r="N2109" t="str">
            <v>JABATAN ANESTESIOLOGI</v>
          </cell>
          <cell r="O2109"/>
          <cell r="P2109"/>
          <cell r="Q2109">
            <v>63000</v>
          </cell>
        </row>
        <row r="2110">
          <cell r="E2110" t="str">
            <v>KKM/JKN/HSA/10-05-01/H/20/260</v>
          </cell>
          <cell r="F2110" t="str">
            <v>Therapeutic</v>
          </cell>
          <cell r="G2110" t="str">
            <v>Intermediate</v>
          </cell>
          <cell r="H2110" t="str">
            <v>Ventilators, Transport</v>
          </cell>
          <cell r="I2110" t="str">
            <v>VENTILATOR</v>
          </cell>
          <cell r="J2110" t="str">
            <v>18-098</v>
          </cell>
          <cell r="K2110" t="str">
            <v>EOVE</v>
          </cell>
          <cell r="L2110" t="str">
            <v>EO-150</v>
          </cell>
          <cell r="M2110"/>
          <cell r="N2110" t="str">
            <v>JABATAN ANESTESIOLOGI</v>
          </cell>
          <cell r="O2110"/>
          <cell r="P2110"/>
          <cell r="Q2110">
            <v>63000</v>
          </cell>
        </row>
        <row r="2111">
          <cell r="E2111" t="str">
            <v>KKM/JKN/HSA/10-05-01/H/20/261</v>
          </cell>
          <cell r="F2111" t="str">
            <v>Therapeutic</v>
          </cell>
          <cell r="G2111" t="str">
            <v>Intermediate</v>
          </cell>
          <cell r="H2111" t="str">
            <v>Ventilators, Transport</v>
          </cell>
          <cell r="I2111" t="str">
            <v>VENTILATOR</v>
          </cell>
          <cell r="J2111" t="str">
            <v>18-098</v>
          </cell>
          <cell r="K2111" t="str">
            <v>EOVE</v>
          </cell>
          <cell r="L2111" t="str">
            <v>EO-150</v>
          </cell>
          <cell r="M2111"/>
          <cell r="N2111" t="str">
            <v>JABATAN ANESTESIOLOGI</v>
          </cell>
          <cell r="O2111"/>
          <cell r="P2111"/>
          <cell r="Q2111">
            <v>63000</v>
          </cell>
        </row>
        <row r="2112">
          <cell r="E2112" t="str">
            <v>KKM/JKN/HSA/10-05-01/H/20/262</v>
          </cell>
          <cell r="F2112" t="str">
            <v>Therapeutic</v>
          </cell>
          <cell r="G2112" t="str">
            <v>Intermediate</v>
          </cell>
          <cell r="H2112" t="str">
            <v>Ventilators, Transport</v>
          </cell>
          <cell r="I2112" t="str">
            <v>VENTILATOR</v>
          </cell>
          <cell r="J2112" t="str">
            <v>18-098</v>
          </cell>
          <cell r="K2112" t="str">
            <v>EOVE</v>
          </cell>
          <cell r="L2112" t="str">
            <v>EO-150</v>
          </cell>
          <cell r="M2112"/>
          <cell r="N2112" t="str">
            <v>JABATAN ANESTESIOLOGI</v>
          </cell>
          <cell r="O2112"/>
          <cell r="P2112"/>
          <cell r="Q2112">
            <v>63000</v>
          </cell>
        </row>
        <row r="2113">
          <cell r="E2113" t="str">
            <v>KKM/JKN/HSA/10-05-01/H/21/338</v>
          </cell>
          <cell r="F2113" t="str">
            <v>Therapeutic</v>
          </cell>
          <cell r="G2113" t="str">
            <v>Intermediate</v>
          </cell>
          <cell r="H2113" t="str">
            <v>Ventilators, Intensive Care, Neonatal/Pediatric</v>
          </cell>
          <cell r="I2113" t="str">
            <v>VENTILATOR</v>
          </cell>
          <cell r="J2113" t="str">
            <v>14-361</v>
          </cell>
          <cell r="K2113" t="str">
            <v>BELLAVISTA 1000</v>
          </cell>
          <cell r="L2113" t="str">
            <v>VYAIRE</v>
          </cell>
          <cell r="M2113"/>
          <cell r="N2113" t="str">
            <v>JABATAN PEDIATRIK</v>
          </cell>
          <cell r="O2113"/>
          <cell r="P2113"/>
          <cell r="Q2113">
            <v>125000</v>
          </cell>
        </row>
        <row r="2114">
          <cell r="E2114" t="str">
            <v>KKM/JKN/HSA/10-05-01/H/21/94</v>
          </cell>
          <cell r="F2114" t="str">
            <v>Therapeutic</v>
          </cell>
          <cell r="G2114" t="str">
            <v>Intermediate</v>
          </cell>
          <cell r="H2114" t="str">
            <v>Infusion Pumps, Syringe</v>
          </cell>
          <cell r="I2114" t="str">
            <v>SYRINGE INFUSION PUMP</v>
          </cell>
          <cell r="J2114" t="str">
            <v>13-217</v>
          </cell>
          <cell r="K2114" t="str">
            <v>FRESENIUS KABI</v>
          </cell>
          <cell r="L2114" t="str">
            <v>AGILIA SP MC</v>
          </cell>
          <cell r="M2114"/>
          <cell r="N2114" t="str">
            <v>JABATAN KECEMASAN DAN TRAUMA</v>
          </cell>
          <cell r="O2114"/>
          <cell r="P2114"/>
          <cell r="Q2114">
            <v>3995</v>
          </cell>
        </row>
        <row r="2115">
          <cell r="E2115" t="str">
            <v>KKM/JKN/HSA/10-05-01/H/21/95</v>
          </cell>
          <cell r="F2115" t="str">
            <v>Therapeutic</v>
          </cell>
          <cell r="G2115" t="str">
            <v>Intermediate</v>
          </cell>
          <cell r="H2115" t="str">
            <v>Infusion Pumps, Syringe</v>
          </cell>
          <cell r="I2115" t="str">
            <v>SYRINGE INFUSION PUMP</v>
          </cell>
          <cell r="J2115" t="str">
            <v>13-217</v>
          </cell>
          <cell r="K2115" t="str">
            <v>FRESENIUS KABI</v>
          </cell>
          <cell r="L2115" t="str">
            <v>AGILIA SP MC</v>
          </cell>
          <cell r="M2115"/>
          <cell r="N2115" t="str">
            <v>JABATAN KECEMASAN DAN TRAUMA</v>
          </cell>
          <cell r="O2115"/>
          <cell r="P2115"/>
          <cell r="Q2115">
            <v>3995</v>
          </cell>
        </row>
        <row r="2116">
          <cell r="E2116" t="str">
            <v>KKM/JKN/HSA/10-05-01/H/21/96</v>
          </cell>
          <cell r="F2116" t="str">
            <v>Therapeutic</v>
          </cell>
          <cell r="G2116" t="str">
            <v>Intermediate</v>
          </cell>
          <cell r="H2116" t="str">
            <v>Infusion Pumps, Syringe</v>
          </cell>
          <cell r="I2116" t="str">
            <v>SYRINGE INFUSION PUMP</v>
          </cell>
          <cell r="J2116" t="str">
            <v>13-217</v>
          </cell>
          <cell r="K2116" t="str">
            <v>FRESENIUS KABI</v>
          </cell>
          <cell r="L2116" t="str">
            <v>AGILIA SP MC</v>
          </cell>
          <cell r="M2116"/>
          <cell r="N2116" t="str">
            <v>JABATAN KECEMASAN DAN TRAUMA</v>
          </cell>
          <cell r="O2116"/>
          <cell r="P2116"/>
          <cell r="Q2116">
            <v>3995</v>
          </cell>
        </row>
        <row r="2117">
          <cell r="E2117" t="str">
            <v>KKM/JKN/HSA/10-05-01/H/21/97</v>
          </cell>
          <cell r="F2117" t="str">
            <v>Therapeutic</v>
          </cell>
          <cell r="G2117" t="str">
            <v>Intermediate</v>
          </cell>
          <cell r="H2117" t="str">
            <v>Infusion Pumps, Syringe</v>
          </cell>
          <cell r="I2117" t="str">
            <v>SYRINGE INFUSION PUMP</v>
          </cell>
          <cell r="J2117" t="str">
            <v>13-217</v>
          </cell>
          <cell r="K2117" t="str">
            <v>FRESENIUS KABI</v>
          </cell>
          <cell r="L2117" t="str">
            <v>AGILIA SP MC</v>
          </cell>
          <cell r="M2117"/>
          <cell r="N2117" t="str">
            <v>JABATAN KECEMASAN DAN TRAUMA</v>
          </cell>
          <cell r="O2117"/>
          <cell r="P2117"/>
          <cell r="Q2117">
            <v>3995</v>
          </cell>
        </row>
        <row r="2118">
          <cell r="E2118" t="str">
            <v>KKM/JKN/HSA/10-05-01/H/21/98</v>
          </cell>
          <cell r="F2118" t="str">
            <v>Therapeutic</v>
          </cell>
          <cell r="G2118" t="str">
            <v>Intermediate</v>
          </cell>
          <cell r="H2118" t="str">
            <v>Infusion Pumps, Syringe</v>
          </cell>
          <cell r="I2118" t="str">
            <v>SYRINGE INFUSION PUMP</v>
          </cell>
          <cell r="J2118" t="str">
            <v>13-217</v>
          </cell>
          <cell r="K2118" t="str">
            <v>FRESENIUS KABI</v>
          </cell>
          <cell r="L2118" t="str">
            <v>AGILIA SP MC</v>
          </cell>
          <cell r="M2118"/>
          <cell r="N2118" t="str">
            <v>JABATAN KECEMASAN DAN TRAUMA</v>
          </cell>
          <cell r="O2118"/>
          <cell r="P2118"/>
          <cell r="Q2118">
            <v>3995</v>
          </cell>
        </row>
        <row r="2119">
          <cell r="E2119" t="str">
            <v>KKM/JKN/HSA/10-05-01/H/21/99</v>
          </cell>
          <cell r="F2119" t="str">
            <v>Therapeutic</v>
          </cell>
          <cell r="G2119" t="str">
            <v>Intermediate</v>
          </cell>
          <cell r="H2119" t="str">
            <v>Infusion Pumps, Syringe</v>
          </cell>
          <cell r="I2119" t="str">
            <v>SYRINGE INFUSION PUMP</v>
          </cell>
          <cell r="J2119" t="str">
            <v>13-217</v>
          </cell>
          <cell r="K2119" t="str">
            <v>FRESENIUS KABI</v>
          </cell>
          <cell r="L2119" t="str">
            <v>AGILIA SP MC</v>
          </cell>
          <cell r="M2119"/>
          <cell r="N2119" t="str">
            <v>JABATAN KECEMASAN DAN TRAUMA</v>
          </cell>
          <cell r="O2119"/>
          <cell r="P2119"/>
          <cell r="Q2119">
            <v>3995</v>
          </cell>
        </row>
        <row r="2120">
          <cell r="E2120" t="str">
            <v>KKM/JKN/HSA/10-05-01/H/21/100</v>
          </cell>
          <cell r="F2120" t="str">
            <v>Therapeutic</v>
          </cell>
          <cell r="G2120" t="str">
            <v>Intermediate</v>
          </cell>
          <cell r="H2120" t="str">
            <v>Infusion Pumps, Syringe</v>
          </cell>
          <cell r="I2120" t="str">
            <v>SYRINGE INFUSION PUMP</v>
          </cell>
          <cell r="J2120" t="str">
            <v>13-217</v>
          </cell>
          <cell r="K2120" t="str">
            <v>FRESENIUS KABI</v>
          </cell>
          <cell r="L2120" t="str">
            <v>AGILIA SP MC</v>
          </cell>
          <cell r="M2120"/>
          <cell r="N2120" t="str">
            <v>JABATAN KECEMASAN DAN TRAUMA</v>
          </cell>
          <cell r="O2120"/>
          <cell r="P2120"/>
          <cell r="Q2120">
            <v>3995</v>
          </cell>
        </row>
        <row r="2121">
          <cell r="E2121" t="str">
            <v>KKM/JKN/HSA/10-05-01/H/21/101</v>
          </cell>
          <cell r="F2121" t="str">
            <v>Therapeutic</v>
          </cell>
          <cell r="G2121" t="str">
            <v>Intermediate</v>
          </cell>
          <cell r="H2121" t="str">
            <v>Infusion Pumps, Syringe</v>
          </cell>
          <cell r="I2121" t="str">
            <v>SYRINGE INFUSION PUMP</v>
          </cell>
          <cell r="J2121" t="str">
            <v>13-217</v>
          </cell>
          <cell r="K2121" t="str">
            <v>FRESENIUS KABI</v>
          </cell>
          <cell r="L2121" t="str">
            <v>AGILIA SP MC</v>
          </cell>
          <cell r="M2121"/>
          <cell r="N2121" t="str">
            <v>JABATAN KECEMASAN DAN TRAUMA</v>
          </cell>
          <cell r="O2121"/>
          <cell r="P2121"/>
          <cell r="Q2121">
            <v>3995</v>
          </cell>
        </row>
        <row r="2122">
          <cell r="E2122" t="str">
            <v>KKM/JKN/HSA/10-05-01/H/21/102</v>
          </cell>
          <cell r="F2122" t="str">
            <v>Therapeutic</v>
          </cell>
          <cell r="G2122" t="str">
            <v>Intermediate</v>
          </cell>
          <cell r="H2122" t="str">
            <v>Infusion Pumps, Syringe</v>
          </cell>
          <cell r="I2122" t="str">
            <v>SYRINGE INFUSION PUMP</v>
          </cell>
          <cell r="J2122" t="str">
            <v>13-217</v>
          </cell>
          <cell r="K2122" t="str">
            <v>FRESENIUS KABI</v>
          </cell>
          <cell r="L2122" t="str">
            <v>AGILIA SP MC</v>
          </cell>
          <cell r="M2122"/>
          <cell r="N2122" t="str">
            <v>JABATAN KECEMASAN DAN TRAUMA</v>
          </cell>
          <cell r="O2122"/>
          <cell r="P2122"/>
          <cell r="Q2122">
            <v>3995</v>
          </cell>
        </row>
        <row r="2123">
          <cell r="E2123" t="str">
            <v>KKM/JKN/HSA/10-05-01/H/21/103</v>
          </cell>
          <cell r="F2123" t="str">
            <v>Therapeutic</v>
          </cell>
          <cell r="G2123" t="str">
            <v>Intermediate</v>
          </cell>
          <cell r="H2123" t="str">
            <v>Infusion Pumps, Syringe</v>
          </cell>
          <cell r="I2123" t="str">
            <v>SYRINGE INFUSION PUMP</v>
          </cell>
          <cell r="J2123" t="str">
            <v>13-217</v>
          </cell>
          <cell r="K2123" t="str">
            <v>FRESENIUS KABI</v>
          </cell>
          <cell r="L2123" t="str">
            <v>AGILIA SP MC</v>
          </cell>
          <cell r="M2123"/>
          <cell r="N2123" t="str">
            <v>JABATAN KECEMASAN DAN TRAUMA</v>
          </cell>
          <cell r="O2123"/>
          <cell r="P2123"/>
          <cell r="Q2123">
            <v>3995</v>
          </cell>
        </row>
        <row r="2124">
          <cell r="E2124" t="str">
            <v>KKM/JKN/HSA/10-05-01/H/21/311</v>
          </cell>
          <cell r="F2124" t="str">
            <v>Therapeutic</v>
          </cell>
          <cell r="G2124" t="str">
            <v>Intermediate</v>
          </cell>
          <cell r="H2124" t="str">
            <v>Infusion Pumps, General-Purpose</v>
          </cell>
          <cell r="I2124" t="str">
            <v>INFUSION PUMP</v>
          </cell>
          <cell r="J2124" t="str">
            <v>13-215</v>
          </cell>
          <cell r="K2124" t="str">
            <v>TOP</v>
          </cell>
          <cell r="L2124" t="str">
            <v>TOP-2300</v>
          </cell>
          <cell r="M2124"/>
          <cell r="N2124" t="str">
            <v>JABATAN KECEMASAN DAN TRAUMA</v>
          </cell>
          <cell r="O2124"/>
          <cell r="P2124"/>
          <cell r="Q2124">
            <v>3450</v>
          </cell>
        </row>
        <row r="2125">
          <cell r="E2125" t="str">
            <v>KKM/JKN/HSA/10-05-01/H/21/312</v>
          </cell>
          <cell r="F2125" t="str">
            <v>Therapeutic</v>
          </cell>
          <cell r="G2125" t="str">
            <v>Intermediate</v>
          </cell>
          <cell r="H2125" t="str">
            <v>Infusion Pumps, General-Purpose</v>
          </cell>
          <cell r="I2125" t="str">
            <v>INFUSION PUMP</v>
          </cell>
          <cell r="J2125" t="str">
            <v>13-215</v>
          </cell>
          <cell r="K2125" t="str">
            <v>TOP</v>
          </cell>
          <cell r="L2125" t="str">
            <v>TOP-2300</v>
          </cell>
          <cell r="M2125"/>
          <cell r="N2125" t="str">
            <v>JABATAN KECEMASAN DAN TRAUMA</v>
          </cell>
          <cell r="O2125"/>
          <cell r="P2125"/>
          <cell r="Q2125">
            <v>3450</v>
          </cell>
        </row>
        <row r="2126">
          <cell r="E2126" t="str">
            <v>KKM/JKN/HSA/10-05-01/H/21/313</v>
          </cell>
          <cell r="F2126" t="str">
            <v>Therapeutic</v>
          </cell>
          <cell r="G2126" t="str">
            <v>Intermediate</v>
          </cell>
          <cell r="H2126" t="str">
            <v>Infusion Pumps, General-Purpose</v>
          </cell>
          <cell r="I2126" t="str">
            <v>INFUSION PUMP</v>
          </cell>
          <cell r="J2126" t="str">
            <v>13-215</v>
          </cell>
          <cell r="K2126" t="str">
            <v>TOP</v>
          </cell>
          <cell r="L2126" t="str">
            <v>TOP-2300</v>
          </cell>
          <cell r="M2126"/>
          <cell r="N2126" t="str">
            <v>JABATAN KECEMASAN DAN TRAUMA</v>
          </cell>
          <cell r="O2126"/>
          <cell r="P2126"/>
          <cell r="Q2126">
            <v>3450</v>
          </cell>
        </row>
        <row r="2127">
          <cell r="E2127" t="str">
            <v>KKM/JKN/HSA/10-05-01/H/21/314</v>
          </cell>
          <cell r="F2127" t="str">
            <v>Therapeutic</v>
          </cell>
          <cell r="G2127" t="str">
            <v>Intermediate</v>
          </cell>
          <cell r="H2127" t="str">
            <v>Infusion Pumps, General-Purpose</v>
          </cell>
          <cell r="I2127" t="str">
            <v>INFUSION PUMP</v>
          </cell>
          <cell r="J2127" t="str">
            <v>13-215</v>
          </cell>
          <cell r="K2127" t="str">
            <v>TOP</v>
          </cell>
          <cell r="L2127" t="str">
            <v>TOP-2300</v>
          </cell>
          <cell r="M2127"/>
          <cell r="N2127" t="str">
            <v>JABATAN KECEMASAN DAN TRAUMA</v>
          </cell>
          <cell r="O2127"/>
          <cell r="P2127"/>
          <cell r="Q2127">
            <v>3450</v>
          </cell>
        </row>
        <row r="2128">
          <cell r="E2128" t="str">
            <v>KKM/JKN/HSA/10-05-01/H/21/315</v>
          </cell>
          <cell r="F2128" t="str">
            <v>Therapeutic</v>
          </cell>
          <cell r="G2128" t="str">
            <v>Intermediate</v>
          </cell>
          <cell r="H2128" t="str">
            <v>Infusion Pumps, General-Purpose</v>
          </cell>
          <cell r="I2128" t="str">
            <v>INFUSION PUMP</v>
          </cell>
          <cell r="J2128" t="str">
            <v>13-215</v>
          </cell>
          <cell r="K2128" t="str">
            <v>TOP</v>
          </cell>
          <cell r="L2128" t="str">
            <v>TOP-2300</v>
          </cell>
          <cell r="M2128"/>
          <cell r="N2128" t="str">
            <v>JABATAN KECEMASAN DAN TRAUMA</v>
          </cell>
          <cell r="O2128"/>
          <cell r="P2128"/>
          <cell r="Q2128">
            <v>3450</v>
          </cell>
        </row>
        <row r="2129">
          <cell r="E2129" t="str">
            <v>KKM/JKN/HSA/10-05-01/H/21/316</v>
          </cell>
          <cell r="F2129" t="str">
            <v>Therapeutic</v>
          </cell>
          <cell r="G2129" t="str">
            <v>Intermediate</v>
          </cell>
          <cell r="H2129" t="str">
            <v>Infusion Pumps, General-Purpose</v>
          </cell>
          <cell r="I2129" t="str">
            <v>INFUSION PUMP</v>
          </cell>
          <cell r="J2129" t="str">
            <v>13-215</v>
          </cell>
          <cell r="K2129" t="str">
            <v>TOP</v>
          </cell>
          <cell r="L2129" t="str">
            <v>TOP-2300</v>
          </cell>
          <cell r="M2129"/>
          <cell r="N2129" t="str">
            <v>JABATAN KECEMASAN DAN TRAUMA</v>
          </cell>
          <cell r="O2129"/>
          <cell r="P2129"/>
          <cell r="Q2129">
            <v>3450</v>
          </cell>
        </row>
        <row r="2130">
          <cell r="E2130" t="str">
            <v>KKM/JKN/HSA/10-05-01/H/21/317</v>
          </cell>
          <cell r="F2130" t="str">
            <v>Therapeutic</v>
          </cell>
          <cell r="G2130" t="str">
            <v>Intermediate</v>
          </cell>
          <cell r="H2130" t="str">
            <v>Infusion Pumps, General-Purpose</v>
          </cell>
          <cell r="I2130" t="str">
            <v>INFUSION PUMP</v>
          </cell>
          <cell r="J2130" t="str">
            <v>13-215</v>
          </cell>
          <cell r="K2130" t="str">
            <v>TOP</v>
          </cell>
          <cell r="L2130" t="str">
            <v>TOP-2300</v>
          </cell>
          <cell r="M2130"/>
          <cell r="N2130" t="str">
            <v>JABATAN KECEMASAN DAN TRAUMA</v>
          </cell>
          <cell r="O2130"/>
          <cell r="P2130"/>
          <cell r="Q2130">
            <v>3450</v>
          </cell>
        </row>
        <row r="2131">
          <cell r="E2131" t="str">
            <v>KKM/JKN/HSA/10-05-01/H/21/318</v>
          </cell>
          <cell r="F2131" t="str">
            <v>Therapeutic</v>
          </cell>
          <cell r="G2131" t="str">
            <v>Intermediate</v>
          </cell>
          <cell r="H2131" t="str">
            <v>Infusion Pumps, General-Purpose</v>
          </cell>
          <cell r="I2131" t="str">
            <v>INFUSION PUMP</v>
          </cell>
          <cell r="J2131" t="str">
            <v>13-215</v>
          </cell>
          <cell r="K2131" t="str">
            <v>TOP</v>
          </cell>
          <cell r="L2131" t="str">
            <v>TOP-2300</v>
          </cell>
          <cell r="M2131"/>
          <cell r="N2131" t="str">
            <v>JABATAN KECEMASAN DAN TRAUMA</v>
          </cell>
          <cell r="O2131"/>
          <cell r="P2131"/>
          <cell r="Q2131">
            <v>3450</v>
          </cell>
        </row>
        <row r="2132">
          <cell r="E2132" t="str">
            <v>KKM/JKN/HSA/10-05-01/H/21/319</v>
          </cell>
          <cell r="F2132" t="str">
            <v>Therapeutic</v>
          </cell>
          <cell r="G2132" t="str">
            <v>Intermediate</v>
          </cell>
          <cell r="H2132" t="str">
            <v>Infusion Pumps, General-Purpose</v>
          </cell>
          <cell r="I2132" t="str">
            <v>INFUSION PUMP</v>
          </cell>
          <cell r="J2132" t="str">
            <v>13-215</v>
          </cell>
          <cell r="K2132" t="str">
            <v>TOP</v>
          </cell>
          <cell r="L2132" t="str">
            <v>TOP-2300</v>
          </cell>
          <cell r="M2132"/>
          <cell r="N2132" t="str">
            <v>JABATAN KECEMASAN DAN TRAUMA</v>
          </cell>
          <cell r="O2132"/>
          <cell r="P2132"/>
          <cell r="Q2132">
            <v>3450</v>
          </cell>
        </row>
        <row r="2133">
          <cell r="E2133" t="str">
            <v>KKM/JKN/HSA/10-05-01/H/21/320</v>
          </cell>
          <cell r="F2133" t="str">
            <v>Therapeutic</v>
          </cell>
          <cell r="G2133" t="str">
            <v>Intermediate</v>
          </cell>
          <cell r="H2133" t="str">
            <v>Infusion Pumps, General-Purpose</v>
          </cell>
          <cell r="I2133" t="str">
            <v>INFUSION PUMP</v>
          </cell>
          <cell r="J2133" t="str">
            <v>13-215</v>
          </cell>
          <cell r="K2133" t="str">
            <v>TOP</v>
          </cell>
          <cell r="L2133" t="str">
            <v>TOP-2300</v>
          </cell>
          <cell r="M2133"/>
          <cell r="N2133" t="str">
            <v>JABATAN KECEMASAN DAN TRAUMA</v>
          </cell>
          <cell r="O2133"/>
          <cell r="P2133"/>
          <cell r="Q2133">
            <v>3450</v>
          </cell>
        </row>
        <row r="2134">
          <cell r="E2134" t="str">
            <v>KKM/JKN/HSA/10-05-01/H/21/330</v>
          </cell>
          <cell r="F2134" t="str">
            <v>Therapeutic</v>
          </cell>
          <cell r="G2134" t="str">
            <v>Intermediate</v>
          </cell>
          <cell r="H2134" t="str">
            <v>Infusion Pumps, Syringe</v>
          </cell>
          <cell r="I2134" t="str">
            <v>SYRINGE INFUSION PUMP</v>
          </cell>
          <cell r="J2134" t="str">
            <v>13-217</v>
          </cell>
          <cell r="K2134" t="str">
            <v>FRESENIUS KABI</v>
          </cell>
          <cell r="L2134" t="str">
            <v>AGILIA SP MC</v>
          </cell>
          <cell r="M2134"/>
          <cell r="N2134" t="str">
            <v>JABATAN KECEMASAN DAN TRAUMA</v>
          </cell>
          <cell r="O2134"/>
          <cell r="P2134"/>
          <cell r="Q2134">
            <v>4300</v>
          </cell>
        </row>
        <row r="2135">
          <cell r="E2135" t="str">
            <v>KKM/JKN/HSA/10-05-01/H/21/331</v>
          </cell>
          <cell r="F2135" t="str">
            <v>Therapeutic</v>
          </cell>
          <cell r="G2135" t="str">
            <v>Intermediate</v>
          </cell>
          <cell r="H2135" t="str">
            <v>Infusion Pumps, Syringe</v>
          </cell>
          <cell r="I2135" t="str">
            <v>SYRINGE INFUSION PUMP</v>
          </cell>
          <cell r="J2135" t="str">
            <v>13-217</v>
          </cell>
          <cell r="K2135" t="str">
            <v>FRESENIUS KABI</v>
          </cell>
          <cell r="L2135" t="str">
            <v>AGILIA SP MC</v>
          </cell>
          <cell r="M2135"/>
          <cell r="N2135" t="str">
            <v>JABATAN KECEMASAN DAN TRAUMA</v>
          </cell>
          <cell r="O2135"/>
          <cell r="P2135"/>
          <cell r="Q2135">
            <v>4300</v>
          </cell>
        </row>
        <row r="2136">
          <cell r="E2136" t="str">
            <v>KKM/JKN/HSA/10-05-01/H/21/332</v>
          </cell>
          <cell r="F2136" t="str">
            <v>Therapeutic</v>
          </cell>
          <cell r="G2136" t="str">
            <v>Intermediate</v>
          </cell>
          <cell r="H2136" t="str">
            <v>Infusion Pumps, Syringe</v>
          </cell>
          <cell r="I2136" t="str">
            <v>SYRINGE INFUSION PUMP</v>
          </cell>
          <cell r="J2136" t="str">
            <v>13-217</v>
          </cell>
          <cell r="K2136" t="str">
            <v>FRESENIUS KABI</v>
          </cell>
          <cell r="L2136" t="str">
            <v>AGILIA SP MC</v>
          </cell>
          <cell r="M2136"/>
          <cell r="N2136" t="str">
            <v>JABATAN KECEMASAN DAN TRAUMA</v>
          </cell>
          <cell r="O2136"/>
          <cell r="P2136"/>
          <cell r="Q2136">
            <v>4300</v>
          </cell>
        </row>
        <row r="2137">
          <cell r="E2137" t="str">
            <v>KKM/JKN/HSA/10-05-01/H/21/333</v>
          </cell>
          <cell r="F2137" t="str">
            <v>Therapeutic</v>
          </cell>
          <cell r="G2137" t="str">
            <v>Intermediate</v>
          </cell>
          <cell r="H2137" t="str">
            <v>Infusion Pumps, Syringe</v>
          </cell>
          <cell r="I2137" t="str">
            <v>SYRINGE INFUSION PUMP</v>
          </cell>
          <cell r="J2137" t="str">
            <v>13-217</v>
          </cell>
          <cell r="K2137" t="str">
            <v>FRESENIUS KABI</v>
          </cell>
          <cell r="L2137" t="str">
            <v>AGILIA SP MC</v>
          </cell>
          <cell r="M2137"/>
          <cell r="N2137" t="str">
            <v>JABATAN KECEMASAN DAN TRAUMA</v>
          </cell>
          <cell r="O2137"/>
          <cell r="P2137"/>
          <cell r="Q2137">
            <v>4300</v>
          </cell>
        </row>
        <row r="2138">
          <cell r="E2138" t="str">
            <v>KKM/JKN/HSA/10-05-01/H/21/334</v>
          </cell>
          <cell r="F2138" t="str">
            <v>Therapeutic</v>
          </cell>
          <cell r="G2138" t="str">
            <v>Intermediate</v>
          </cell>
          <cell r="H2138" t="str">
            <v>Infusion Pumps, Syringe</v>
          </cell>
          <cell r="I2138" t="str">
            <v>SYRINGE INFUSION PUMP</v>
          </cell>
          <cell r="J2138" t="str">
            <v>13-217</v>
          </cell>
          <cell r="K2138" t="str">
            <v>FRESENIUS KABI</v>
          </cell>
          <cell r="L2138" t="str">
            <v>AGILIA SP MC</v>
          </cell>
          <cell r="M2138"/>
          <cell r="N2138" t="str">
            <v>JABATAN KECEMASAN DAN TRAUMA</v>
          </cell>
          <cell r="O2138"/>
          <cell r="P2138"/>
          <cell r="Q2138">
            <v>4300</v>
          </cell>
        </row>
        <row r="2139">
          <cell r="E2139" t="str">
            <v>KKM/JKN/HSA/10-05-01/H/21/289</v>
          </cell>
          <cell r="F2139" t="str">
            <v>Therapeutic</v>
          </cell>
          <cell r="G2139" t="str">
            <v>Intermediate</v>
          </cell>
          <cell r="H2139" t="str">
            <v xml:space="preserve">Defibrillators, External, Automated </v>
          </cell>
          <cell r="I2139" t="str">
            <v>DEFIBRILLATOR</v>
          </cell>
          <cell r="J2139" t="str">
            <v>17-116</v>
          </cell>
          <cell r="K2139" t="str">
            <v>PHILIPS HEALTHCARE</v>
          </cell>
          <cell r="L2139" t="str">
            <v>EFFICIA DFM100</v>
          </cell>
          <cell r="M2139"/>
          <cell r="N2139" t="str">
            <v>JABATAN KECEMASAN DAN TRAUMA</v>
          </cell>
          <cell r="O2139"/>
          <cell r="P2139"/>
          <cell r="Q2139">
            <v>24500</v>
          </cell>
        </row>
        <row r="2140">
          <cell r="E2140" t="str">
            <v>KKM/JKN/HSA/10-05-01/H/21/326</v>
          </cell>
          <cell r="F2140" t="str">
            <v>Laboratory</v>
          </cell>
          <cell r="G2140" t="str">
            <v>Intermediate</v>
          </cell>
          <cell r="H2140" t="str">
            <v>Analyzers, Laboratory, Molecular Diagnostic</v>
          </cell>
          <cell r="I2140" t="str">
            <v>GENEXPERT</v>
          </cell>
          <cell r="J2140" t="str">
            <v>20-668</v>
          </cell>
          <cell r="K2140" t="str">
            <v>GENEXPERT IV</v>
          </cell>
          <cell r="L2140" t="str">
            <v>CED.CGXIV-4D</v>
          </cell>
          <cell r="M2140"/>
          <cell r="N2140" t="str">
            <v>JABATAN PATOLOGI</v>
          </cell>
          <cell r="O2140"/>
          <cell r="P2140"/>
          <cell r="Q2140">
            <v>90000</v>
          </cell>
        </row>
        <row r="2141">
          <cell r="E2141" t="str">
            <v>KKM/JKN/HSA/10-05-01/H/20/123</v>
          </cell>
          <cell r="F2141" t="str">
            <v>Therapeutic</v>
          </cell>
          <cell r="G2141" t="str">
            <v>Intermediate</v>
          </cell>
          <cell r="H2141" t="str">
            <v>Infusion Pumps, Syringe</v>
          </cell>
          <cell r="I2141" t="str">
            <v>SYRINGE INFUSION PUMP</v>
          </cell>
          <cell r="J2141" t="str">
            <v>13-217</v>
          </cell>
          <cell r="K2141" t="str">
            <v xml:space="preserve">MEDCAPTAIN </v>
          </cell>
          <cell r="L2141" t="str">
            <v>SYS-50</v>
          </cell>
          <cell r="M2141"/>
          <cell r="N2141" t="str">
            <v>JABATAN PERUBATAN AM</v>
          </cell>
          <cell r="O2141"/>
          <cell r="P2141"/>
          <cell r="Q2141">
            <v>3150</v>
          </cell>
        </row>
        <row r="2142">
          <cell r="E2142" t="str">
            <v>KKM/JKN/HSA/10-05-01/H/20/124</v>
          </cell>
          <cell r="F2142" t="str">
            <v>Therapeutic</v>
          </cell>
          <cell r="G2142" t="str">
            <v>Intermediate</v>
          </cell>
          <cell r="H2142" t="str">
            <v>Infusion Pumps, Syringe</v>
          </cell>
          <cell r="I2142" t="str">
            <v>SYRINGE INFUSION PUMP</v>
          </cell>
          <cell r="J2142" t="str">
            <v>13-217</v>
          </cell>
          <cell r="K2142" t="str">
            <v xml:space="preserve">MEDCAPTAIN </v>
          </cell>
          <cell r="L2142" t="str">
            <v>SYS-50</v>
          </cell>
          <cell r="M2142"/>
          <cell r="N2142" t="str">
            <v>JABATAN PERUBATAN AM</v>
          </cell>
          <cell r="O2142"/>
          <cell r="P2142"/>
          <cell r="Q2142">
            <v>3150</v>
          </cell>
        </row>
        <row r="2143">
          <cell r="E2143" t="str">
            <v>KKM/JKN/HSA/10-05-01/H/20/127</v>
          </cell>
          <cell r="F2143" t="str">
            <v>Therapeutic</v>
          </cell>
          <cell r="G2143" t="str">
            <v>Intermediate</v>
          </cell>
          <cell r="H2143" t="str">
            <v>Infusion Pumps, Syringe</v>
          </cell>
          <cell r="I2143" t="str">
            <v>SYRINGE INFUSION PUMP</v>
          </cell>
          <cell r="J2143" t="str">
            <v>13-217</v>
          </cell>
          <cell r="K2143" t="str">
            <v xml:space="preserve">MEDCAPTAIN </v>
          </cell>
          <cell r="L2143" t="str">
            <v>SYS-50</v>
          </cell>
          <cell r="M2143"/>
          <cell r="N2143" t="str">
            <v>JABATAN PEMBEDAHAN AM</v>
          </cell>
          <cell r="O2143"/>
          <cell r="P2143"/>
          <cell r="Q2143">
            <v>3150</v>
          </cell>
        </row>
        <row r="2144">
          <cell r="E2144" t="str">
            <v>KKM/JKN/HSA/10-05-01/H/20/128</v>
          </cell>
          <cell r="F2144" t="str">
            <v>Therapeutic</v>
          </cell>
          <cell r="G2144" t="str">
            <v>Intermediate</v>
          </cell>
          <cell r="H2144" t="str">
            <v>Infusion Pumps, Syringe</v>
          </cell>
          <cell r="I2144" t="str">
            <v>SYRINGE INFUSION PUMP</v>
          </cell>
          <cell r="J2144" t="str">
            <v>13-217</v>
          </cell>
          <cell r="K2144" t="str">
            <v xml:space="preserve">MEDCAPTAIN </v>
          </cell>
          <cell r="L2144" t="str">
            <v>SYS-50</v>
          </cell>
          <cell r="M2144"/>
          <cell r="N2144" t="str">
            <v>JABATAN PEMBEDAHAN AM</v>
          </cell>
          <cell r="O2144"/>
          <cell r="P2144"/>
          <cell r="Q2144">
            <v>3150</v>
          </cell>
        </row>
        <row r="2145">
          <cell r="E2145" t="str">
            <v>KKM/JKN/HSA/10-05-01/H/21/9</v>
          </cell>
          <cell r="F2145" t="str">
            <v>Therapeutic</v>
          </cell>
          <cell r="G2145" t="str">
            <v>Intermediate</v>
          </cell>
          <cell r="H2145" t="str">
            <v>Water Purification Systems, Reverse Osmosis, Hemodialysis, Portable</v>
          </cell>
          <cell r="I2145" t="str">
            <v>PORTABLE  REVERSE OSMOSIS (RO) WATER SYSTEM</v>
          </cell>
          <cell r="J2145" t="str">
            <v>20-683</v>
          </cell>
          <cell r="K2145" t="str">
            <v>FRESENIUS</v>
          </cell>
          <cell r="L2145" t="str">
            <v>AQUA WTU 125</v>
          </cell>
          <cell r="M2145"/>
          <cell r="N2145" t="str">
            <v>UNIT HEMODIALYSIS</v>
          </cell>
          <cell r="O2145"/>
          <cell r="P2145"/>
          <cell r="Q2145">
            <v>40000</v>
          </cell>
        </row>
        <row r="2146">
          <cell r="E2146" t="str">
            <v>KKM/JKN/HSA/10-05-01/R/20/253</v>
          </cell>
          <cell r="F2146" t="str">
            <v xml:space="preserve">Diagnostic </v>
          </cell>
          <cell r="G2146" t="str">
            <v>Basic</v>
          </cell>
          <cell r="H2146" t="str">
            <v>Fetal Heart Detectors, Ultrasonic</v>
          </cell>
          <cell r="I2146" t="str">
            <v xml:space="preserve">PORTABLE FETAL DOPPLER </v>
          </cell>
          <cell r="J2146" t="str">
            <v>11-696</v>
          </cell>
          <cell r="K2146" t="str">
            <v>EDAN</v>
          </cell>
          <cell r="L2146" t="str">
            <v>SONOTRAX BASIC A</v>
          </cell>
          <cell r="M2146"/>
          <cell r="N2146" t="str">
            <v>JABATAN OBSTETRIK &amp; GINEKOLOGI</v>
          </cell>
          <cell r="O2146"/>
          <cell r="P2146"/>
          <cell r="Q2146">
            <v>633</v>
          </cell>
        </row>
        <row r="2147">
          <cell r="E2147" t="str">
            <v>KKM/JKN/HSA/10-05-01/R/20/254</v>
          </cell>
          <cell r="F2147" t="str">
            <v xml:space="preserve">Diagnostic </v>
          </cell>
          <cell r="G2147" t="str">
            <v>Basic</v>
          </cell>
          <cell r="H2147" t="str">
            <v>Fetal Heart Detectors, Ultrasonic</v>
          </cell>
          <cell r="I2147" t="str">
            <v xml:space="preserve">PORTABLE FETAL DOPPLER </v>
          </cell>
          <cell r="J2147" t="str">
            <v>11-696</v>
          </cell>
          <cell r="K2147" t="str">
            <v>EDAN</v>
          </cell>
          <cell r="L2147" t="str">
            <v>SONOTRAX BASIC A</v>
          </cell>
          <cell r="M2147"/>
          <cell r="N2147" t="str">
            <v>JABATAN OBSTETRIK &amp; GINEKOLOGI</v>
          </cell>
          <cell r="O2147"/>
          <cell r="P2147"/>
          <cell r="Q2147">
            <v>633</v>
          </cell>
        </row>
        <row r="2148">
          <cell r="E2148" t="str">
            <v>KKM/JKN/HSA/10-05-01/R/20/255</v>
          </cell>
          <cell r="F2148" t="str">
            <v xml:space="preserve">Diagnostic </v>
          </cell>
          <cell r="G2148" t="str">
            <v>Basic</v>
          </cell>
          <cell r="H2148" t="str">
            <v>Fetal Heart Detectors, Ultrasonic</v>
          </cell>
          <cell r="I2148" t="str">
            <v xml:space="preserve">PORTABLE FETAL DOPPLER </v>
          </cell>
          <cell r="J2148" t="str">
            <v>11-696</v>
          </cell>
          <cell r="K2148" t="str">
            <v>EDAN</v>
          </cell>
          <cell r="L2148" t="str">
            <v>SONOTRAX BASIC A</v>
          </cell>
          <cell r="M2148"/>
          <cell r="N2148" t="str">
            <v>JABATAN OBSTETRIK &amp; GINEKOLOGI</v>
          </cell>
          <cell r="O2148"/>
          <cell r="P2148"/>
          <cell r="Q2148">
            <v>633</v>
          </cell>
        </row>
        <row r="2149">
          <cell r="E2149" t="str">
            <v>KKM/JKN/HSA/10-05-10/H/21/87</v>
          </cell>
          <cell r="F2149" t="str">
            <v>Therapeutic</v>
          </cell>
          <cell r="G2149" t="str">
            <v>Basic</v>
          </cell>
          <cell r="H2149" t="str">
            <v>Aspirators</v>
          </cell>
          <cell r="I2149" t="str">
            <v xml:space="preserve">AEROSOL SUCTION </v>
          </cell>
          <cell r="J2149" t="str">
            <v>10-208</v>
          </cell>
          <cell r="K2149" t="str">
            <v>GREELOY</v>
          </cell>
          <cell r="L2149" t="str">
            <v>GS-E1000</v>
          </cell>
          <cell r="M2149"/>
          <cell r="N2149" t="str">
            <v>JABATAN PERGIGIAN PEDIATRIK</v>
          </cell>
          <cell r="O2149"/>
          <cell r="P2149"/>
          <cell r="Q2149">
            <v>5000</v>
          </cell>
        </row>
        <row r="2150">
          <cell r="E2150" t="str">
            <v>KKM/JKN/HSA/10-05-10/H/21/197</v>
          </cell>
          <cell r="F2150" t="str">
            <v>Therapeutic</v>
          </cell>
          <cell r="G2150" t="str">
            <v>Basic</v>
          </cell>
          <cell r="H2150" t="str">
            <v>Mattress Systems, Alternating-Pressure</v>
          </cell>
          <cell r="I2150" t="str">
            <v>RIPPLE MATTRESS</v>
          </cell>
          <cell r="J2150" t="str">
            <v>18-147</v>
          </cell>
          <cell r="K2150" t="str">
            <v>LINET</v>
          </cell>
          <cell r="L2150" t="str">
            <v>AIR2 CARE MATTRESS</v>
          </cell>
          <cell r="M2150"/>
          <cell r="N2150" t="str">
            <v>JABATAN ANESTESIOLOGI DAN RAWATAN RAPI</v>
          </cell>
          <cell r="O2150"/>
          <cell r="P2150"/>
          <cell r="Q2150">
            <v>5000</v>
          </cell>
        </row>
        <row r="2151">
          <cell r="E2151" t="str">
            <v>KKM/JKN/HSA/10-05-10/H/21/198</v>
          </cell>
          <cell r="F2151" t="str">
            <v>Therapeutic</v>
          </cell>
          <cell r="G2151" t="str">
            <v>Basic</v>
          </cell>
          <cell r="H2151" t="str">
            <v>Mattress Systems, Alternating-Pressure</v>
          </cell>
          <cell r="I2151" t="str">
            <v>RIPPLE MATTRESS</v>
          </cell>
          <cell r="J2151" t="str">
            <v>18-147</v>
          </cell>
          <cell r="K2151" t="str">
            <v>LINET</v>
          </cell>
          <cell r="L2151" t="str">
            <v>AIR2 CARE MATTRESS</v>
          </cell>
          <cell r="M2151"/>
          <cell r="N2151" t="str">
            <v>JABATAN ANESTESIOLOGI DAN RAWATAN RAPI</v>
          </cell>
          <cell r="O2151"/>
          <cell r="P2151"/>
          <cell r="Q2151">
            <v>5000</v>
          </cell>
        </row>
        <row r="2152">
          <cell r="E2152" t="str">
            <v>KKM/JKN/HSA/10-05-10/H/21/199</v>
          </cell>
          <cell r="F2152" t="str">
            <v>Therapeutic</v>
          </cell>
          <cell r="G2152" t="str">
            <v>Basic</v>
          </cell>
          <cell r="H2152" t="str">
            <v>Mattress Systems, Alternating-Pressure</v>
          </cell>
          <cell r="I2152" t="str">
            <v>RIPPLE MATTRESS</v>
          </cell>
          <cell r="J2152" t="str">
            <v>18-147</v>
          </cell>
          <cell r="K2152" t="str">
            <v>LINET</v>
          </cell>
          <cell r="L2152" t="str">
            <v>AIR2 CARE MATTRESS</v>
          </cell>
          <cell r="M2152"/>
          <cell r="N2152" t="str">
            <v>JABATAN ANESTESIOLOGI DAN RAWATAN RAPI</v>
          </cell>
          <cell r="O2152"/>
          <cell r="P2152"/>
          <cell r="Q2152">
            <v>5000</v>
          </cell>
        </row>
        <row r="2153">
          <cell r="E2153" t="str">
            <v>KKM/JKN/HSA/10-05-10/H/21/200</v>
          </cell>
          <cell r="F2153" t="str">
            <v>Therapeutic</v>
          </cell>
          <cell r="G2153" t="str">
            <v>Basic</v>
          </cell>
          <cell r="H2153" t="str">
            <v>Mattress Systems, Alternating-Pressure</v>
          </cell>
          <cell r="I2153" t="str">
            <v>RIPPLE MATTRESS</v>
          </cell>
          <cell r="J2153" t="str">
            <v>18-147</v>
          </cell>
          <cell r="K2153" t="str">
            <v>LINET</v>
          </cell>
          <cell r="L2153" t="str">
            <v>AIR2 CARE MATTRESS</v>
          </cell>
          <cell r="M2153"/>
          <cell r="N2153" t="str">
            <v>JABATAN ANESTESIOLOGI DAN RAWATAN RAPI</v>
          </cell>
          <cell r="O2153"/>
          <cell r="P2153"/>
          <cell r="Q2153">
            <v>5000</v>
          </cell>
        </row>
        <row r="2154">
          <cell r="E2154" t="str">
            <v>KKM/JKN/HSA/10-05-10/H/21/201</v>
          </cell>
          <cell r="F2154" t="str">
            <v>Therapeutic</v>
          </cell>
          <cell r="G2154" t="str">
            <v>Basic</v>
          </cell>
          <cell r="H2154" t="str">
            <v>Mattress Systems, Alternating-Pressure</v>
          </cell>
          <cell r="I2154" t="str">
            <v>RIPPLE MATTRESS</v>
          </cell>
          <cell r="J2154" t="str">
            <v>18-147</v>
          </cell>
          <cell r="K2154" t="str">
            <v>LINET</v>
          </cell>
          <cell r="L2154" t="str">
            <v>AIR2 CARE MATTRESS</v>
          </cell>
          <cell r="M2154"/>
          <cell r="N2154" t="str">
            <v>JABATAN ANESTESIOLOGI DAN RAWATAN RAPI</v>
          </cell>
          <cell r="O2154"/>
          <cell r="P2154"/>
          <cell r="Q2154">
            <v>5000</v>
          </cell>
        </row>
        <row r="2155">
          <cell r="E2155" t="str">
            <v>KKM/JKN/HSA/10-05-10/H/21/137</v>
          </cell>
          <cell r="F2155" t="str">
            <v>Radiology</v>
          </cell>
          <cell r="G2155" t="str">
            <v>Intermediate</v>
          </cell>
          <cell r="H2155" t="str">
            <v>Scanning Systems, Ultrasonic, General-Purpose</v>
          </cell>
          <cell r="I2155" t="str">
            <v>ULTRASOUND SCANNER</v>
          </cell>
          <cell r="J2155" t="str">
            <v>15-976</v>
          </cell>
          <cell r="K2155" t="str">
            <v>VERSANA ACTIVE</v>
          </cell>
          <cell r="L2155" t="str">
            <v>H48722BA</v>
          </cell>
          <cell r="M2155"/>
          <cell r="N2155" t="str">
            <v>JABATAN ANESTESIOLOGI DAN RAWATAN RAPI</v>
          </cell>
          <cell r="O2155"/>
          <cell r="P2155"/>
          <cell r="Q2155">
            <v>68000</v>
          </cell>
        </row>
        <row r="2156">
          <cell r="E2156" t="str">
            <v>KKM/JKN/HSA/10-05-10/H/21/130</v>
          </cell>
          <cell r="F2156" t="str">
            <v>Therapeutic</v>
          </cell>
          <cell r="G2156" t="str">
            <v>Intermediate</v>
          </cell>
          <cell r="H2156" t="str">
            <v>Infusion Pumps, Syringe</v>
          </cell>
          <cell r="I2156" t="str">
            <v>FLUID MANAGEMENT SYSTEM</v>
          </cell>
          <cell r="J2156" t="str">
            <v>13-217</v>
          </cell>
          <cell r="K2156" t="str">
            <v xml:space="preserve">MEDCAPTAIN </v>
          </cell>
          <cell r="L2156" t="str">
            <v>HP SERIES FLUID MANAGEMENT SYSTEM</v>
          </cell>
          <cell r="M2156"/>
          <cell r="N2156" t="str">
            <v>JABATAN ANESTESIOLOGI DAN RAWATAN RAPI</v>
          </cell>
          <cell r="O2156"/>
          <cell r="P2156"/>
          <cell r="Q2156">
            <v>25500</v>
          </cell>
        </row>
        <row r="2157">
          <cell r="E2157" t="str">
            <v>KKM/JKN/HSA/10-05-10/H/21/131</v>
          </cell>
          <cell r="F2157" t="str">
            <v>Therapeutic</v>
          </cell>
          <cell r="G2157" t="str">
            <v>Intermediate</v>
          </cell>
          <cell r="H2157" t="str">
            <v>Infusion Pumps, Syringe</v>
          </cell>
          <cell r="I2157" t="str">
            <v>FLUID MANAGEMENT SYSTEM</v>
          </cell>
          <cell r="J2157" t="str">
            <v>13-217</v>
          </cell>
          <cell r="K2157" t="str">
            <v xml:space="preserve">MEDCAPTAIN </v>
          </cell>
          <cell r="L2157" t="str">
            <v>HP SERIES FLUID MANAGEMENT SYSTEM</v>
          </cell>
          <cell r="M2157"/>
          <cell r="N2157" t="str">
            <v>JABATAN ANESTESIOLOGI DAN RAWATAN RAPI</v>
          </cell>
          <cell r="O2157"/>
          <cell r="P2157"/>
          <cell r="Q2157">
            <v>25500</v>
          </cell>
        </row>
        <row r="2158">
          <cell r="E2158" t="str">
            <v>KKM/JKN/HSA/10-05-10/H/21/132</v>
          </cell>
          <cell r="F2158" t="str">
            <v>Therapeutic</v>
          </cell>
          <cell r="G2158" t="str">
            <v>Intermediate</v>
          </cell>
          <cell r="H2158" t="str">
            <v>Infusion Pumps, Syringe</v>
          </cell>
          <cell r="I2158" t="str">
            <v>FLUID MANAGEMENT SYSTEM</v>
          </cell>
          <cell r="J2158" t="str">
            <v>13-217</v>
          </cell>
          <cell r="K2158" t="str">
            <v xml:space="preserve">MEDCAPTAIN </v>
          </cell>
          <cell r="L2158" t="str">
            <v>HP SERIES FLUID MANAGEMENT SYSTEM</v>
          </cell>
          <cell r="M2158"/>
          <cell r="N2158" t="str">
            <v>JABATAN ANESTESIOLOGI DAN RAWATAN RAPI</v>
          </cell>
          <cell r="O2158"/>
          <cell r="P2158"/>
          <cell r="Q2158">
            <v>25500</v>
          </cell>
        </row>
        <row r="2159">
          <cell r="E2159" t="str">
            <v>KKM/JKN/HSA/10-05-10/H/21/133</v>
          </cell>
          <cell r="F2159" t="str">
            <v>Therapeutic</v>
          </cell>
          <cell r="G2159" t="str">
            <v>Intermediate</v>
          </cell>
          <cell r="H2159" t="str">
            <v>Infusion Pumps, Syringe</v>
          </cell>
          <cell r="I2159" t="str">
            <v>FLUID MANAGEMENT SYSTEM</v>
          </cell>
          <cell r="J2159" t="str">
            <v>13-217</v>
          </cell>
          <cell r="K2159" t="str">
            <v xml:space="preserve">MEDCAPTAIN </v>
          </cell>
          <cell r="L2159" t="str">
            <v>HP SERIES FLUID MANAGEMENT SYSTEM</v>
          </cell>
          <cell r="M2159"/>
          <cell r="N2159" t="str">
            <v>JABATAN ANESTESIOLOGI DAN RAWATAN RAPI</v>
          </cell>
          <cell r="O2159"/>
          <cell r="P2159"/>
          <cell r="Q2159">
            <v>25500</v>
          </cell>
        </row>
        <row r="2160">
          <cell r="E2160" t="str">
            <v>KKM/JKN/HSA/10-05-10/H/21/134</v>
          </cell>
          <cell r="F2160" t="str">
            <v>Therapeutic</v>
          </cell>
          <cell r="G2160" t="str">
            <v>Intermediate</v>
          </cell>
          <cell r="H2160" t="str">
            <v>Infusion Pumps, Syringe</v>
          </cell>
          <cell r="I2160" t="str">
            <v>FLUID MANAGEMENT SYSTEM</v>
          </cell>
          <cell r="J2160" t="str">
            <v>13-217</v>
          </cell>
          <cell r="K2160" t="str">
            <v xml:space="preserve">MEDCAPTAIN </v>
          </cell>
          <cell r="L2160" t="str">
            <v>HP SERIES FLUID MANAGEMENT SYSTEM</v>
          </cell>
          <cell r="M2160"/>
          <cell r="N2160" t="str">
            <v>JABATAN ANESTESIOLOGI DAN RAWATAN RAPI</v>
          </cell>
          <cell r="O2160"/>
          <cell r="P2160"/>
          <cell r="Q2160">
            <v>25500</v>
          </cell>
        </row>
        <row r="2161">
          <cell r="E2161" t="str">
            <v>KKM/JKN/HSA/10-05-10/H/21/138</v>
          </cell>
          <cell r="F2161" t="str">
            <v>Therapeutic</v>
          </cell>
          <cell r="G2161" t="str">
            <v>Intermediate</v>
          </cell>
          <cell r="H2161" t="str">
            <v>Infusion Pumps, General-Purpose</v>
          </cell>
          <cell r="I2161" t="str">
            <v>VOLUMETRIC PUMP</v>
          </cell>
          <cell r="J2161" t="str">
            <v>13-215</v>
          </cell>
          <cell r="K2161" t="str">
            <v>B.BRAUN</v>
          </cell>
          <cell r="L2161" t="str">
            <v>INFUSOMAT COMPACT PLUS P-</v>
          </cell>
          <cell r="M2161"/>
          <cell r="N2161" t="str">
            <v>JABATAN ANESTESIOLOGI DAN RAWATAN RAPI</v>
          </cell>
          <cell r="O2161"/>
          <cell r="P2161"/>
          <cell r="Q2161">
            <v>5300</v>
          </cell>
        </row>
        <row r="2162">
          <cell r="E2162" t="str">
            <v>KKM/JKN/HSA/10-05-10/H/21/139</v>
          </cell>
          <cell r="F2162" t="str">
            <v>Therapeutic</v>
          </cell>
          <cell r="G2162" t="str">
            <v>Intermediate</v>
          </cell>
          <cell r="H2162" t="str">
            <v>Infusion Pumps, General-Purpose</v>
          </cell>
          <cell r="I2162" t="str">
            <v>VOLUMETRIC PUMP</v>
          </cell>
          <cell r="J2162" t="str">
            <v>13-215</v>
          </cell>
          <cell r="K2162" t="str">
            <v>B.BRAUN</v>
          </cell>
          <cell r="L2162" t="str">
            <v>INFUSOMAT COMPACT PLUS P-</v>
          </cell>
          <cell r="M2162"/>
          <cell r="N2162" t="str">
            <v>JABATAN ANESTESIOLOGI DAN RAWATAN RAPI</v>
          </cell>
          <cell r="O2162"/>
          <cell r="P2162"/>
          <cell r="Q2162">
            <v>5300</v>
          </cell>
        </row>
        <row r="2163">
          <cell r="E2163" t="str">
            <v>KKM/JKN/HSA/10-05-10/H/21/211</v>
          </cell>
          <cell r="F2163" t="str">
            <v xml:space="preserve">Diagnostic </v>
          </cell>
          <cell r="G2163" t="str">
            <v>Intermediate</v>
          </cell>
          <cell r="H2163" t="str">
            <v>Laryngoscopes, Rigid, Video</v>
          </cell>
          <cell r="I2163" t="str">
            <v>LARYNGOSCOPE</v>
          </cell>
          <cell r="J2163" t="str">
            <v>23-532</v>
          </cell>
          <cell r="K2163" t="str">
            <v>VERATHON MEDICAL</v>
          </cell>
          <cell r="L2163" t="str">
            <v xml:space="preserve">GLIDESCOPE GO </v>
          </cell>
          <cell r="M2163"/>
          <cell r="N2163" t="str">
            <v>JABATAN KECEMASAN DAN TRAUMA</v>
          </cell>
          <cell r="O2163"/>
          <cell r="P2163"/>
          <cell r="Q2163">
            <v>15000</v>
          </cell>
        </row>
        <row r="2164">
          <cell r="E2164" t="str">
            <v>KKM/JKN/HSA/10-05-10/H/21/204</v>
          </cell>
          <cell r="F2164" t="str">
            <v xml:space="preserve">Diagnostic </v>
          </cell>
          <cell r="G2164" t="str">
            <v>Intermediate</v>
          </cell>
          <cell r="H2164" t="str">
            <v xml:space="preserve">Electrocardiographs, Multichannel, Interpretative </v>
          </cell>
          <cell r="I2164" t="str">
            <v>ECG MACHINE</v>
          </cell>
          <cell r="J2164" t="str">
            <v>16-231</v>
          </cell>
          <cell r="K2164" t="str">
            <v>EDAN</v>
          </cell>
          <cell r="L2164" t="str">
            <v>SE 301</v>
          </cell>
          <cell r="M2164"/>
          <cell r="N2164" t="str">
            <v>JABATAN ANESTESIOLOGI DAN RAWATAN RAPI</v>
          </cell>
          <cell r="O2164"/>
          <cell r="P2164"/>
          <cell r="Q2164">
            <v>4200</v>
          </cell>
        </row>
        <row r="2165">
          <cell r="E2165" t="str">
            <v>KKM/JKN/HSA/10-05-10/H/21/107</v>
          </cell>
          <cell r="F2165" t="str">
            <v>Therapeutic</v>
          </cell>
          <cell r="G2165" t="str">
            <v>Intermediate</v>
          </cell>
          <cell r="H2165" t="str">
            <v>Ventilators, Intensive Care, Neonatal/Pediatric</v>
          </cell>
          <cell r="I2165" t="str">
            <v>INFANT VENTILATOR</v>
          </cell>
          <cell r="J2165" t="str">
            <v>14-361</v>
          </cell>
          <cell r="K2165" t="str">
            <v>WILAMED</v>
          </cell>
          <cell r="L2165" t="str">
            <v>WILAFLOW ELITE</v>
          </cell>
          <cell r="M2165"/>
          <cell r="N2165" t="str">
            <v>JABATAN PEDIATRIK</v>
          </cell>
          <cell r="O2165"/>
          <cell r="P2165"/>
          <cell r="Q2165">
            <v>55000</v>
          </cell>
        </row>
        <row r="2166">
          <cell r="E2166" t="str">
            <v>KKM/JKN/HSA/10-05-10/H/21/108</v>
          </cell>
          <cell r="F2166" t="str">
            <v>Therapeutic</v>
          </cell>
          <cell r="G2166" t="str">
            <v>Intermediate</v>
          </cell>
          <cell r="H2166" t="str">
            <v>Ventilators, Intensive Care, Neonatal/Pediatric</v>
          </cell>
          <cell r="I2166" t="str">
            <v>INFANT VENTILATOR</v>
          </cell>
          <cell r="J2166" t="str">
            <v>14-361</v>
          </cell>
          <cell r="K2166" t="str">
            <v>WILAMED</v>
          </cell>
          <cell r="L2166" t="str">
            <v>WILAFLOW ELITE</v>
          </cell>
          <cell r="M2166"/>
          <cell r="N2166" t="str">
            <v>JABATAN PEDIATRIK</v>
          </cell>
          <cell r="O2166"/>
          <cell r="P2166"/>
          <cell r="Q2166">
            <v>55000</v>
          </cell>
        </row>
        <row r="2167">
          <cell r="E2167" t="str">
            <v>KKM/JKN/HSA/10-05-10/H/21/109</v>
          </cell>
          <cell r="F2167" t="str">
            <v>Therapeutic</v>
          </cell>
          <cell r="G2167" t="str">
            <v>Intermediate</v>
          </cell>
          <cell r="H2167" t="str">
            <v>Ventilators, Intensive Care, Neonatal/Pediatric</v>
          </cell>
          <cell r="I2167" t="str">
            <v>INFANT VENTILATOR</v>
          </cell>
          <cell r="J2167" t="str">
            <v>14-361</v>
          </cell>
          <cell r="K2167" t="str">
            <v>WILAMED</v>
          </cell>
          <cell r="L2167" t="str">
            <v>WILAFLOW ELITE</v>
          </cell>
          <cell r="M2167"/>
          <cell r="N2167" t="str">
            <v>JABATAN PEDIATRIK</v>
          </cell>
          <cell r="O2167"/>
          <cell r="P2167"/>
          <cell r="Q2167">
            <v>55000</v>
          </cell>
        </row>
        <row r="2168">
          <cell r="E2168" t="str">
            <v>KKM/JKN/HSA/10-05-10/H/21/104</v>
          </cell>
          <cell r="F2168" t="str">
            <v>Therapeutic</v>
          </cell>
          <cell r="G2168" t="str">
            <v>Intermediate</v>
          </cell>
          <cell r="H2168" t="str">
            <v>Ventilators, Intensive Care, Neonatal/Pediatric</v>
          </cell>
          <cell r="I2168" t="str">
            <v>INFANT VENTILATOR</v>
          </cell>
          <cell r="J2168" t="str">
            <v>14-361</v>
          </cell>
          <cell r="K2168" t="str">
            <v>DRAEGER</v>
          </cell>
          <cell r="L2168" t="str">
            <v>VN600</v>
          </cell>
          <cell r="M2168"/>
          <cell r="N2168" t="str">
            <v>JABATAN PEDIATRIK</v>
          </cell>
          <cell r="O2168"/>
          <cell r="P2168"/>
          <cell r="Q2168">
            <v>130000</v>
          </cell>
        </row>
        <row r="2169">
          <cell r="E2169" t="str">
            <v>KKM/JKN/HSA/10-05-10/H/21/105</v>
          </cell>
          <cell r="F2169" t="str">
            <v>Therapeutic</v>
          </cell>
          <cell r="G2169" t="str">
            <v>Intermediate</v>
          </cell>
          <cell r="H2169" t="str">
            <v>Ventilators, Intensive Care, Neonatal/Pediatric</v>
          </cell>
          <cell r="I2169" t="str">
            <v>INFANT VENTILATOR</v>
          </cell>
          <cell r="J2169" t="str">
            <v>14-361</v>
          </cell>
          <cell r="K2169" t="str">
            <v>DRAEGER</v>
          </cell>
          <cell r="L2169" t="str">
            <v>VN600</v>
          </cell>
          <cell r="M2169"/>
          <cell r="N2169" t="str">
            <v>JABATAN PEDIATRIK</v>
          </cell>
          <cell r="O2169"/>
          <cell r="P2169"/>
          <cell r="Q2169">
            <v>130000</v>
          </cell>
        </row>
        <row r="2170">
          <cell r="E2170" t="str">
            <v>KKM/JKN/HSA/10-05-10/H/21/106</v>
          </cell>
          <cell r="F2170" t="str">
            <v>Therapeutic</v>
          </cell>
          <cell r="G2170" t="str">
            <v>Intermediate</v>
          </cell>
          <cell r="H2170" t="str">
            <v>Ventilators, Intensive Care, Neonatal/Pediatric</v>
          </cell>
          <cell r="I2170" t="str">
            <v>INFANT VENTILATOR</v>
          </cell>
          <cell r="J2170" t="str">
            <v>14-361</v>
          </cell>
          <cell r="K2170" t="str">
            <v>DRAEGER</v>
          </cell>
          <cell r="L2170" t="str">
            <v>VN600</v>
          </cell>
          <cell r="M2170"/>
          <cell r="N2170" t="str">
            <v>JABATAN PEDIATRIK</v>
          </cell>
          <cell r="O2170"/>
          <cell r="P2170"/>
          <cell r="Q2170">
            <v>130000</v>
          </cell>
        </row>
        <row r="2171">
          <cell r="E2171" t="str">
            <v>KKM/JKN/HSA/10-05-01/H/21/203</v>
          </cell>
          <cell r="F2171" t="str">
            <v>Therapeutic</v>
          </cell>
          <cell r="G2171" t="str">
            <v>Intermediate</v>
          </cell>
          <cell r="H2171" t="str">
            <v>Hemodialysis Units</v>
          </cell>
          <cell r="I2171" t="str">
            <v>MESIN HEMODIALYSIS</v>
          </cell>
          <cell r="J2171" t="str">
            <v>11-218</v>
          </cell>
          <cell r="K2171" t="str">
            <v>FRESENIUS</v>
          </cell>
          <cell r="L2171" t="str">
            <v>5008S ADVANCE THERAPY SYSTEM</v>
          </cell>
          <cell r="M2171"/>
          <cell r="N2171" t="str">
            <v>UNIT HEMODIALYSIS</v>
          </cell>
          <cell r="O2171"/>
          <cell r="P2171"/>
          <cell r="Q2171">
            <v>69900</v>
          </cell>
        </row>
        <row r="2172">
          <cell r="E2172" t="str">
            <v>KKM/JKN/HSA/10-05-01/H/21/140</v>
          </cell>
          <cell r="F2172" t="str">
            <v>Therapeutic</v>
          </cell>
          <cell r="G2172" t="str">
            <v>Intermediate</v>
          </cell>
          <cell r="H2172" t="str">
            <v>Ventilators, Intensive Care</v>
          </cell>
          <cell r="I2172" t="str">
            <v>VENTILATOR</v>
          </cell>
          <cell r="J2172" t="str">
            <v>17-429</v>
          </cell>
          <cell r="K2172" t="str">
            <v>RESMED STELLAR</v>
          </cell>
          <cell r="L2172" t="str">
            <v>ASIA PACIFIC G2</v>
          </cell>
          <cell r="M2172"/>
          <cell r="N2172" t="str">
            <v>JABATAN PEDIATRIK</v>
          </cell>
          <cell r="O2172"/>
          <cell r="P2172"/>
          <cell r="Q2172">
            <v>26000</v>
          </cell>
        </row>
        <row r="2173">
          <cell r="E2173" t="str">
            <v>KKM/JKN/HSA/10-05-01/H/21/141</v>
          </cell>
          <cell r="F2173" t="str">
            <v>Therapeutic</v>
          </cell>
          <cell r="G2173" t="str">
            <v>Intermediate</v>
          </cell>
          <cell r="H2173" t="str">
            <v>Ventilators, Intensive Care</v>
          </cell>
          <cell r="I2173" t="str">
            <v>VENTILATOR</v>
          </cell>
          <cell r="J2173" t="str">
            <v>17-429</v>
          </cell>
          <cell r="K2173" t="str">
            <v>RESMED STELLAR</v>
          </cell>
          <cell r="L2173" t="str">
            <v>ASIA PACIFIC G2</v>
          </cell>
          <cell r="M2173"/>
          <cell r="N2173" t="str">
            <v>JABATAN PEDIATRIK</v>
          </cell>
          <cell r="O2173"/>
          <cell r="P2173"/>
          <cell r="Q2173">
            <v>26000</v>
          </cell>
        </row>
        <row r="2174">
          <cell r="E2174" t="str">
            <v>KKM/JKN/HSA/10-05-01/H/21/142</v>
          </cell>
          <cell r="F2174" t="str">
            <v>Therapeutic</v>
          </cell>
          <cell r="G2174" t="str">
            <v>Intermediate</v>
          </cell>
          <cell r="H2174" t="str">
            <v>Ventilators, Intensive Care</v>
          </cell>
          <cell r="I2174" t="str">
            <v>VENTILATOR</v>
          </cell>
          <cell r="J2174" t="str">
            <v>17-429</v>
          </cell>
          <cell r="K2174" t="str">
            <v>RESMED STELLAR</v>
          </cell>
          <cell r="L2174" t="str">
            <v>ASIA PACIFIC G2</v>
          </cell>
          <cell r="M2174"/>
          <cell r="N2174" t="str">
            <v>JABATAN PEDIATRIK</v>
          </cell>
          <cell r="O2174"/>
          <cell r="P2174"/>
          <cell r="Q2174">
            <v>26000</v>
          </cell>
        </row>
        <row r="2175">
          <cell r="E2175" t="str">
            <v>KKM/JKN/HSA/10-05-01/H/21/187</v>
          </cell>
          <cell r="F2175" t="str">
            <v>Therapeutic</v>
          </cell>
          <cell r="G2175" t="str">
            <v>Intermediate</v>
          </cell>
          <cell r="H2175" t="str">
            <v>Peritoneal Dialysis Units</v>
          </cell>
          <cell r="I2175" t="str">
            <v xml:space="preserve">CONTINUOUS RENAL REPLACEMENT THERAPY </v>
          </cell>
          <cell r="J2175" t="str">
            <v>11-226</v>
          </cell>
          <cell r="K2175" t="str">
            <v>FRESENIUS</v>
          </cell>
          <cell r="L2175" t="str">
            <v>MULTIFLITRATE PRO M205001</v>
          </cell>
          <cell r="M2175"/>
          <cell r="N2175" t="str">
            <v>UNIT HEMODIALYSIS</v>
          </cell>
          <cell r="O2175"/>
          <cell r="P2175"/>
          <cell r="Q2175">
            <v>117707.5</v>
          </cell>
        </row>
        <row r="2176">
          <cell r="E2176" t="str">
            <v>KKM/JKN/HSA/10-05-01/H/21/202</v>
          </cell>
          <cell r="F2176" t="str">
            <v>Therapeutic</v>
          </cell>
          <cell r="G2176" t="str">
            <v>Intermediate</v>
          </cell>
          <cell r="H2176" t="str">
            <v>Ventilators, Transport</v>
          </cell>
          <cell r="I2176" t="str">
            <v>VENTILATOR</v>
          </cell>
          <cell r="J2176" t="str">
            <v>18-098</v>
          </cell>
          <cell r="K2176" t="str">
            <v>DRAEGER</v>
          </cell>
          <cell r="L2176" t="str">
            <v>OXYLOG 3000 PLUS</v>
          </cell>
          <cell r="M2176"/>
          <cell r="N2176" t="str">
            <v>JABATAN KECEMASAN DAN TRAUMA</v>
          </cell>
          <cell r="O2176"/>
          <cell r="P2176"/>
          <cell r="Q2176">
            <v>60000</v>
          </cell>
        </row>
        <row r="2177">
          <cell r="E2177" t="str">
            <v>KKM/JKN/HSA/10-05-01/H/21/110</v>
          </cell>
          <cell r="F2177" t="str">
            <v>Therapeutic</v>
          </cell>
          <cell r="G2177" t="str">
            <v>Intermediate</v>
          </cell>
          <cell r="H2177" t="str">
            <v>Humidifiers, Heated</v>
          </cell>
          <cell r="I2177" t="str">
            <v>SECHRIST VENTILATOR</v>
          </cell>
          <cell r="J2177" t="str">
            <v>12-050</v>
          </cell>
          <cell r="K2177" t="str">
            <v>FISHER &amp; PAYKEL</v>
          </cell>
          <cell r="L2177" t="str">
            <v>AIRVO 2</v>
          </cell>
          <cell r="M2177"/>
          <cell r="N2177" t="str">
            <v>JABATAN KECEMASAN DAN TRAUMA</v>
          </cell>
          <cell r="O2177"/>
          <cell r="P2177"/>
          <cell r="Q2177">
            <v>24365.25</v>
          </cell>
        </row>
        <row r="2178">
          <cell r="E2178" t="str">
            <v>KKM/JKN/HSA/10-05-01/H/21/111</v>
          </cell>
          <cell r="F2178" t="str">
            <v>Therapeutic</v>
          </cell>
          <cell r="G2178" t="str">
            <v>Intermediate</v>
          </cell>
          <cell r="H2178" t="str">
            <v>Humidifiers, Heated</v>
          </cell>
          <cell r="I2178" t="str">
            <v>SECHRIST VENTILATOR</v>
          </cell>
          <cell r="J2178" t="str">
            <v>12-050</v>
          </cell>
          <cell r="K2178" t="str">
            <v>FISHER &amp; PAYKEL</v>
          </cell>
          <cell r="L2178" t="str">
            <v>AIRVO 2</v>
          </cell>
          <cell r="M2178"/>
          <cell r="N2178" t="str">
            <v>JABATAN KECEMASAN DAN TRAUMA</v>
          </cell>
          <cell r="O2178"/>
          <cell r="P2178"/>
          <cell r="Q2178">
            <v>24365.25</v>
          </cell>
        </row>
        <row r="2179">
          <cell r="E2179" t="str">
            <v>KKM/JKN/HSA/10-05-01/H/21/112</v>
          </cell>
          <cell r="F2179" t="str">
            <v>Therapeutic</v>
          </cell>
          <cell r="G2179" t="str">
            <v>Intermediate</v>
          </cell>
          <cell r="H2179" t="str">
            <v>Humidifiers, Heated</v>
          </cell>
          <cell r="I2179" t="str">
            <v>SECHRIST VENTILATOR</v>
          </cell>
          <cell r="J2179" t="str">
            <v>12-050</v>
          </cell>
          <cell r="K2179" t="str">
            <v>FISHER &amp; PAYKEL</v>
          </cell>
          <cell r="L2179" t="str">
            <v>AIRVO 2</v>
          </cell>
          <cell r="M2179"/>
          <cell r="N2179" t="str">
            <v>JABATAN KECEMASAN DAN TRAUMA</v>
          </cell>
          <cell r="O2179"/>
          <cell r="P2179"/>
          <cell r="Q2179">
            <v>24365.25</v>
          </cell>
        </row>
        <row r="2180">
          <cell r="E2180" t="str">
            <v>KKM/JKN/HSA/10-05-01/H/20/69</v>
          </cell>
          <cell r="F2180" t="str">
            <v>Therapeutic</v>
          </cell>
          <cell r="G2180" t="str">
            <v>Intermediate</v>
          </cell>
          <cell r="H2180" t="str">
            <v>Infusion Pumps, Syringe</v>
          </cell>
          <cell r="I2180" t="str">
            <v>SYRINGE INFUSION PUMP</v>
          </cell>
          <cell r="J2180" t="str">
            <v>13-217</v>
          </cell>
          <cell r="K2180" t="str">
            <v>MEDCAPTAIN</v>
          </cell>
          <cell r="L2180" t="str">
            <v>MP-30</v>
          </cell>
          <cell r="M2180"/>
          <cell r="N2180" t="str">
            <v>JABATAN PERUBATAN AM</v>
          </cell>
          <cell r="O2180"/>
          <cell r="P2180"/>
          <cell r="Q2180">
            <v>4000</v>
          </cell>
        </row>
        <row r="2181">
          <cell r="E2181" t="str">
            <v>KKM/JKN/HSA/10-05-01/H/20/70</v>
          </cell>
          <cell r="F2181" t="str">
            <v>Therapeutic</v>
          </cell>
          <cell r="G2181" t="str">
            <v>Intermediate</v>
          </cell>
          <cell r="H2181" t="str">
            <v>Infusion Pumps, Syringe</v>
          </cell>
          <cell r="I2181" t="str">
            <v>SYRINGE INFUSION PUMP</v>
          </cell>
          <cell r="J2181" t="str">
            <v>13-217</v>
          </cell>
          <cell r="K2181" t="str">
            <v>MEDCAPTAIN</v>
          </cell>
          <cell r="L2181" t="str">
            <v>MP-30</v>
          </cell>
          <cell r="M2181"/>
          <cell r="N2181" t="str">
            <v>JABATAN PERUBATAN AM</v>
          </cell>
          <cell r="O2181"/>
          <cell r="P2181"/>
          <cell r="Q2181">
            <v>4000</v>
          </cell>
        </row>
        <row r="2182">
          <cell r="E2182" t="str">
            <v>KKM/JKN/HSA/10-05-01/H/20/71</v>
          </cell>
          <cell r="F2182" t="str">
            <v>Therapeutic</v>
          </cell>
          <cell r="G2182" t="str">
            <v>Intermediate</v>
          </cell>
          <cell r="H2182" t="str">
            <v>Infusion Pumps, Syringe</v>
          </cell>
          <cell r="I2182" t="str">
            <v>SYRINGE INFUSION PUMP</v>
          </cell>
          <cell r="J2182" t="str">
            <v>13-217</v>
          </cell>
          <cell r="K2182" t="str">
            <v>MEDCAPTAIN</v>
          </cell>
          <cell r="L2182" t="str">
            <v>MP-30</v>
          </cell>
          <cell r="M2182"/>
          <cell r="N2182" t="str">
            <v>JABATAN PERUBATAN AM</v>
          </cell>
          <cell r="O2182"/>
          <cell r="P2182"/>
          <cell r="Q2182">
            <v>4000</v>
          </cell>
        </row>
        <row r="2183">
          <cell r="E2183" t="str">
            <v>KKM/JKN/HSA/10-05-01/H/20/72</v>
          </cell>
          <cell r="F2183" t="str">
            <v>Therapeutic</v>
          </cell>
          <cell r="G2183" t="str">
            <v>Intermediate</v>
          </cell>
          <cell r="H2183" t="str">
            <v>Infusion Pumps, Syringe</v>
          </cell>
          <cell r="I2183" t="str">
            <v>SYRINGE INFUSION PUMP</v>
          </cell>
          <cell r="J2183" t="str">
            <v>13-217</v>
          </cell>
          <cell r="K2183" t="str">
            <v>MEDCAPTAIN</v>
          </cell>
          <cell r="L2183" t="str">
            <v>MP-30</v>
          </cell>
          <cell r="M2183"/>
          <cell r="N2183" t="str">
            <v>JABATAN PERUBATAN AM</v>
          </cell>
          <cell r="O2183"/>
          <cell r="P2183"/>
          <cell r="Q2183">
            <v>4000</v>
          </cell>
        </row>
        <row r="2184">
          <cell r="E2184" t="str">
            <v>KKM/JKN/HSA/10-05-01/H/20/73</v>
          </cell>
          <cell r="F2184" t="str">
            <v>Therapeutic</v>
          </cell>
          <cell r="G2184" t="str">
            <v>Intermediate</v>
          </cell>
          <cell r="H2184" t="str">
            <v>Infusion Pumps, Syringe</v>
          </cell>
          <cell r="I2184" t="str">
            <v>SYRINGE INFUSION PUMP</v>
          </cell>
          <cell r="J2184" t="str">
            <v>13-217</v>
          </cell>
          <cell r="K2184" t="str">
            <v>MEDCAPTAIN</v>
          </cell>
          <cell r="L2184" t="str">
            <v>MP-30</v>
          </cell>
          <cell r="M2184"/>
          <cell r="N2184" t="str">
            <v>JABATAN PERUBATAN AM</v>
          </cell>
          <cell r="O2184"/>
          <cell r="P2184"/>
          <cell r="Q2184">
            <v>4000</v>
          </cell>
        </row>
        <row r="2185">
          <cell r="E2185" t="str">
            <v>KKM/JKN/HSA/10-05-01/H/20/74</v>
          </cell>
          <cell r="F2185" t="str">
            <v>Therapeutic</v>
          </cell>
          <cell r="G2185" t="str">
            <v>Intermediate</v>
          </cell>
          <cell r="H2185" t="str">
            <v>Infusion Pumps, Syringe</v>
          </cell>
          <cell r="I2185" t="str">
            <v>SYRINGE INFUSION PUMP</v>
          </cell>
          <cell r="J2185" t="str">
            <v>13-217</v>
          </cell>
          <cell r="K2185" t="str">
            <v>MEDCAPTAIN</v>
          </cell>
          <cell r="L2185" t="str">
            <v>MP-30</v>
          </cell>
          <cell r="M2185"/>
          <cell r="N2185" t="str">
            <v>JABATAN PERUBATAN AM</v>
          </cell>
          <cell r="O2185"/>
          <cell r="P2185"/>
          <cell r="Q2185">
            <v>4000</v>
          </cell>
        </row>
        <row r="2186">
          <cell r="E2186" t="str">
            <v>KKM/JKN/HSA/10-05-01/H/20/225</v>
          </cell>
          <cell r="F2186" t="str">
            <v xml:space="preserve">Diagnostic </v>
          </cell>
          <cell r="G2186" t="str">
            <v>Intermediate</v>
          </cell>
          <cell r="H2186" t="str">
            <v>Physiologic Monitoring Systems, Acute Care</v>
          </cell>
          <cell r="I2186" t="str">
            <v>PATIENT MONITORING EQUIPMENT</v>
          </cell>
          <cell r="J2186" t="str">
            <v>12-647</v>
          </cell>
          <cell r="K2186" t="str">
            <v>MINDRAY</v>
          </cell>
          <cell r="L2186" t="str">
            <v>M2K3B-CTO-S01 (UMEC 12)</v>
          </cell>
          <cell r="M2186"/>
          <cell r="N2186" t="str">
            <v>JABATAN PERUBATAN AM</v>
          </cell>
          <cell r="O2186"/>
          <cell r="P2186"/>
          <cell r="Q2186">
            <v>23333.33</v>
          </cell>
        </row>
        <row r="2187">
          <cell r="E2187" t="str">
            <v>KKM/JKN/HSA/10-05-01/H/20/226</v>
          </cell>
          <cell r="F2187" t="str">
            <v xml:space="preserve">Diagnostic </v>
          </cell>
          <cell r="G2187" t="str">
            <v>Intermediate</v>
          </cell>
          <cell r="H2187" t="str">
            <v>Physiologic Monitoring Systems, Acute Care</v>
          </cell>
          <cell r="I2187" t="str">
            <v>PATIENT MONITORING EQUIPMENT</v>
          </cell>
          <cell r="J2187" t="str">
            <v>12-647</v>
          </cell>
          <cell r="K2187" t="str">
            <v>MINDRAY</v>
          </cell>
          <cell r="L2187" t="str">
            <v>M2K3B-CTO-S01 (UMEC 12)</v>
          </cell>
          <cell r="M2187"/>
          <cell r="N2187" t="str">
            <v>JABATAN PERUBATAN AM</v>
          </cell>
          <cell r="O2187"/>
          <cell r="P2187"/>
          <cell r="Q2187">
            <v>23333.33</v>
          </cell>
        </row>
        <row r="2188">
          <cell r="E2188" t="str">
            <v>KKM/JKN/HSA/10-05-01/H/20/227</v>
          </cell>
          <cell r="F2188" t="str">
            <v xml:space="preserve">Diagnostic </v>
          </cell>
          <cell r="G2188" t="str">
            <v>Intermediate</v>
          </cell>
          <cell r="H2188" t="str">
            <v>Physiologic Monitoring Systems, Acute Care</v>
          </cell>
          <cell r="I2188" t="str">
            <v>PATIENT MONITORING EQUIPMENT</v>
          </cell>
          <cell r="J2188" t="str">
            <v>12-647</v>
          </cell>
          <cell r="K2188" t="str">
            <v>MINDRAY</v>
          </cell>
          <cell r="L2188" t="str">
            <v>M2K3B-CTO-S01 (UMEC 12)</v>
          </cell>
          <cell r="M2188"/>
          <cell r="N2188" t="str">
            <v>JABATAN PERUBATAN AM</v>
          </cell>
          <cell r="O2188"/>
          <cell r="P2188"/>
          <cell r="Q2188">
            <v>23333.33</v>
          </cell>
        </row>
        <row r="2189">
          <cell r="E2189" t="str">
            <v>KKM/JKN/HSA/10-05-01/H/21/26</v>
          </cell>
          <cell r="F2189" t="str">
            <v>Therapeutic</v>
          </cell>
          <cell r="G2189" t="str">
            <v>Intermediate</v>
          </cell>
          <cell r="H2189" t="str">
            <v>Infusion Pumps, General-Purpose</v>
          </cell>
          <cell r="I2189" t="str">
            <v>VOLUMETRIC PUMP</v>
          </cell>
          <cell r="J2189" t="str">
            <v>13-215</v>
          </cell>
          <cell r="K2189" t="str">
            <v>BBRAUN</v>
          </cell>
          <cell r="L2189" t="str">
            <v>INFUSOMAT SPACE P</v>
          </cell>
          <cell r="M2189"/>
          <cell r="N2189" t="str">
            <v>JABATAN ANESTESIOLOGI DAN RAWATAN RAPI</v>
          </cell>
          <cell r="O2189"/>
          <cell r="P2189"/>
          <cell r="Q2189">
            <v>5300</v>
          </cell>
        </row>
        <row r="2190">
          <cell r="E2190" t="str">
            <v>KKM/JKN/HSA/10-05-01/H/21/27</v>
          </cell>
          <cell r="F2190" t="str">
            <v>Therapeutic</v>
          </cell>
          <cell r="G2190" t="str">
            <v>Intermediate</v>
          </cell>
          <cell r="H2190" t="str">
            <v>Infusion Pumps, General-Purpose</v>
          </cell>
          <cell r="I2190" t="str">
            <v>VOLUMETRIC PUMP</v>
          </cell>
          <cell r="J2190" t="str">
            <v>13-215</v>
          </cell>
          <cell r="K2190" t="str">
            <v>BBRAUN</v>
          </cell>
          <cell r="L2190" t="str">
            <v>INFUSOMAT SPACE P</v>
          </cell>
          <cell r="M2190"/>
          <cell r="N2190" t="str">
            <v>JABATAN ANESTESIOLOGI DAN RAWATAN RAPI</v>
          </cell>
          <cell r="O2190"/>
          <cell r="P2190"/>
          <cell r="Q2190">
            <v>5300</v>
          </cell>
        </row>
        <row r="2191">
          <cell r="E2191" t="str">
            <v>KKM/JKN/HSA/10-05-01/H/21/28</v>
          </cell>
          <cell r="F2191" t="str">
            <v>Therapeutic</v>
          </cell>
          <cell r="G2191" t="str">
            <v>Intermediate</v>
          </cell>
          <cell r="H2191" t="str">
            <v>Infusion Pumps, General-Purpose</v>
          </cell>
          <cell r="I2191" t="str">
            <v>VOLUMETRIC PUMP</v>
          </cell>
          <cell r="J2191" t="str">
            <v>13-215</v>
          </cell>
          <cell r="K2191" t="str">
            <v>BBRAUN</v>
          </cell>
          <cell r="L2191" t="str">
            <v>INFUSOMAT SPACE P</v>
          </cell>
          <cell r="M2191"/>
          <cell r="N2191" t="str">
            <v>JABATAN ANESTESIOLOGI DAN RAWATAN RAPI</v>
          </cell>
          <cell r="O2191"/>
          <cell r="P2191"/>
          <cell r="Q2191">
            <v>5300</v>
          </cell>
        </row>
        <row r="2192">
          <cell r="E2192" t="str">
            <v>KKM/JKN/HSA/10-05-01/H/21/29</v>
          </cell>
          <cell r="F2192" t="str">
            <v>Therapeutic</v>
          </cell>
          <cell r="G2192" t="str">
            <v>Intermediate</v>
          </cell>
          <cell r="H2192" t="str">
            <v>Ventilators, Intensive Care</v>
          </cell>
          <cell r="I2192" t="str">
            <v>VENTILATOR</v>
          </cell>
          <cell r="J2192" t="str">
            <v>17-429</v>
          </cell>
          <cell r="K2192" t="str">
            <v>MINDRAY</v>
          </cell>
          <cell r="L2192" t="str">
            <v>SV600</v>
          </cell>
          <cell r="M2192"/>
          <cell r="N2192" t="str">
            <v>JABATAN ANESTESIOLOGI DAN RAWATAN RAPI</v>
          </cell>
          <cell r="O2192"/>
          <cell r="P2192"/>
          <cell r="Q2192">
            <v>105000</v>
          </cell>
        </row>
        <row r="2193">
          <cell r="E2193" t="str">
            <v>KKM/JKN/HSA/10-05-01/H/21/30</v>
          </cell>
          <cell r="F2193" t="str">
            <v>Therapeutic</v>
          </cell>
          <cell r="G2193" t="str">
            <v>Intermediate</v>
          </cell>
          <cell r="H2193" t="str">
            <v>Ventilators, Intensive Care</v>
          </cell>
          <cell r="I2193" t="str">
            <v>VENTILATOR</v>
          </cell>
          <cell r="J2193" t="str">
            <v>17-429</v>
          </cell>
          <cell r="K2193" t="str">
            <v>MINDRAY</v>
          </cell>
          <cell r="L2193" t="str">
            <v>SV600</v>
          </cell>
          <cell r="M2193"/>
          <cell r="N2193" t="str">
            <v>JABATAN ANESTESIOLOGI DAN RAWATAN RAPI</v>
          </cell>
          <cell r="O2193"/>
          <cell r="P2193"/>
          <cell r="Q2193">
            <v>105000</v>
          </cell>
        </row>
        <row r="2194">
          <cell r="E2194" t="str">
            <v>KKM/JKN/HSA/10-05-01/H/21/31</v>
          </cell>
          <cell r="F2194" t="str">
            <v>Therapeutic</v>
          </cell>
          <cell r="G2194" t="str">
            <v>Intermediate</v>
          </cell>
          <cell r="H2194" t="str">
            <v>Ventilators, Intensive Care</v>
          </cell>
          <cell r="I2194" t="str">
            <v>VENTILATOR</v>
          </cell>
          <cell r="J2194" t="str">
            <v>17-429</v>
          </cell>
          <cell r="K2194" t="str">
            <v>MAQUET</v>
          </cell>
          <cell r="L2194" t="str">
            <v>SERVO-U</v>
          </cell>
          <cell r="M2194"/>
          <cell r="N2194" t="str">
            <v>JABATAN ANESTESIOLOGI DAN RAWATAN RAPI</v>
          </cell>
          <cell r="O2194"/>
          <cell r="P2194"/>
          <cell r="Q2194">
            <v>138000</v>
          </cell>
        </row>
        <row r="2195">
          <cell r="E2195" t="str">
            <v>KKM/JKN/HSA/10-05-01/H/21/32</v>
          </cell>
          <cell r="F2195" t="str">
            <v>Therapeutic</v>
          </cell>
          <cell r="G2195" t="str">
            <v>Intermediate</v>
          </cell>
          <cell r="H2195" t="str">
            <v>Ventilators, Intensive Care</v>
          </cell>
          <cell r="I2195" t="str">
            <v>VENTILATOR</v>
          </cell>
          <cell r="J2195" t="str">
            <v>17-429</v>
          </cell>
          <cell r="K2195" t="str">
            <v>MAQUET</v>
          </cell>
          <cell r="L2195" t="str">
            <v>SERVO-U</v>
          </cell>
          <cell r="M2195"/>
          <cell r="N2195" t="str">
            <v>JABATAN ANESTESIOLOGI DAN RAWATAN RAPI</v>
          </cell>
          <cell r="O2195"/>
          <cell r="P2195"/>
          <cell r="Q2195">
            <v>138000</v>
          </cell>
        </row>
        <row r="2196">
          <cell r="E2196" t="str">
            <v>KKM/JKN/HSA/10-05-01/H/21/33</v>
          </cell>
          <cell r="F2196" t="str">
            <v xml:space="preserve">Diagnostic </v>
          </cell>
          <cell r="G2196" t="str">
            <v>Intermediate</v>
          </cell>
          <cell r="H2196" t="str">
            <v xml:space="preserve">Laryngoscopes, Rigid, Video </v>
          </cell>
          <cell r="I2196" t="str">
            <v>VIDEO LARYNGOSCOPE</v>
          </cell>
          <cell r="J2196" t="str">
            <v>23-532</v>
          </cell>
          <cell r="K2196" t="str">
            <v>KARL STORZ</v>
          </cell>
          <cell r="L2196" t="str">
            <v>C-MAC</v>
          </cell>
          <cell r="M2196"/>
          <cell r="N2196" t="str">
            <v>JABATAN ANESTESIOLOGI DAN RAWATAN RAPI</v>
          </cell>
          <cell r="O2196"/>
          <cell r="P2196"/>
          <cell r="Q2196">
            <v>126000</v>
          </cell>
        </row>
        <row r="2197">
          <cell r="E2197" t="str">
            <v>KKM/JKN/HSA/10-05-01/H/21/34</v>
          </cell>
          <cell r="F2197" t="str">
            <v>Therapeutic</v>
          </cell>
          <cell r="G2197" t="str">
            <v>Basic</v>
          </cell>
          <cell r="H2197" t="str">
            <v>Pumps, Enteral Feeding</v>
          </cell>
          <cell r="I2197" t="str">
            <v>ENTERAL FEEDING PUMP</v>
          </cell>
          <cell r="J2197" t="str">
            <v>13-209</v>
          </cell>
          <cell r="K2197" t="str">
            <v>KANGAROO</v>
          </cell>
          <cell r="L2197" t="str">
            <v xml:space="preserve"> ePUMP</v>
          </cell>
          <cell r="M2197"/>
          <cell r="N2197" t="str">
            <v>JABATAN ANESTESIOLOGI DAN RAWATAN RAPI</v>
          </cell>
          <cell r="O2197"/>
          <cell r="P2197"/>
          <cell r="Q2197">
            <v>4200</v>
          </cell>
        </row>
        <row r="2198">
          <cell r="E2198" t="str">
            <v>KKM/JKN/HSA/10-05-01/H/21/35</v>
          </cell>
          <cell r="F2198" t="str">
            <v>Therapeutic</v>
          </cell>
          <cell r="G2198" t="str">
            <v>Basic</v>
          </cell>
          <cell r="H2198" t="str">
            <v>Pumps, Enteral Feeding</v>
          </cell>
          <cell r="I2198" t="str">
            <v>ENTERAL FEEDING PUMP</v>
          </cell>
          <cell r="J2198" t="str">
            <v>13-209</v>
          </cell>
          <cell r="K2198" t="str">
            <v>KANGAROO</v>
          </cell>
          <cell r="L2198" t="str">
            <v xml:space="preserve"> ePUMP</v>
          </cell>
          <cell r="M2198"/>
          <cell r="N2198" t="str">
            <v>JABATAN ANESTESIOLOGI DAN RAWATAN RAPI</v>
          </cell>
          <cell r="O2198"/>
          <cell r="P2198"/>
          <cell r="Q2198">
            <v>4200</v>
          </cell>
        </row>
        <row r="2199">
          <cell r="E2199" t="str">
            <v>KKM/JKN/HSA/10-05-01/H/21/36</v>
          </cell>
          <cell r="F2199" t="str">
            <v>Therapeutic</v>
          </cell>
          <cell r="G2199" t="str">
            <v>Basic</v>
          </cell>
          <cell r="H2199" t="str">
            <v>Pumps, Enteral Feeding</v>
          </cell>
          <cell r="I2199" t="str">
            <v>ENTERAL FEEDING PUMP</v>
          </cell>
          <cell r="J2199" t="str">
            <v>13-209</v>
          </cell>
          <cell r="K2199" t="str">
            <v>KANGAROO</v>
          </cell>
          <cell r="L2199" t="str">
            <v xml:space="preserve"> ePUMP</v>
          </cell>
          <cell r="M2199"/>
          <cell r="N2199" t="str">
            <v>JABATAN ANESTESIOLOGI DAN RAWATAN RAPI</v>
          </cell>
          <cell r="O2199"/>
          <cell r="P2199"/>
          <cell r="Q2199">
            <v>4200</v>
          </cell>
        </row>
        <row r="2200">
          <cell r="E2200" t="str">
            <v>KKM/JKN/HSA/10-05-01/H/21/37</v>
          </cell>
          <cell r="F2200" t="str">
            <v>Therapeutic</v>
          </cell>
          <cell r="G2200" t="str">
            <v>Basic</v>
          </cell>
          <cell r="H2200" t="str">
            <v>Pumps, Enteral Feeding</v>
          </cell>
          <cell r="I2200" t="str">
            <v>ENTERAL FEEDING PUMP</v>
          </cell>
          <cell r="J2200" t="str">
            <v>13-209</v>
          </cell>
          <cell r="K2200" t="str">
            <v>KANGAROO</v>
          </cell>
          <cell r="L2200" t="str">
            <v xml:space="preserve"> ePUMP</v>
          </cell>
          <cell r="M2200"/>
          <cell r="N2200" t="str">
            <v>JABATAN ANESTESIOLOGI DAN RAWATAN RAPI</v>
          </cell>
          <cell r="O2200"/>
          <cell r="P2200"/>
          <cell r="Q2200">
            <v>4200</v>
          </cell>
        </row>
        <row r="2201">
          <cell r="E2201" t="str">
            <v>KKM/JKN/HSA/10-05-01/H/21/38</v>
          </cell>
          <cell r="F2201" t="str">
            <v>Therapeutic</v>
          </cell>
          <cell r="G2201" t="str">
            <v>Basic</v>
          </cell>
          <cell r="H2201" t="str">
            <v>Pumps, Enteral Feeding</v>
          </cell>
          <cell r="I2201" t="str">
            <v>ENTERAL FEEDING PUMP</v>
          </cell>
          <cell r="J2201" t="str">
            <v>13-209</v>
          </cell>
          <cell r="K2201" t="str">
            <v>KANGAROO</v>
          </cell>
          <cell r="L2201" t="str">
            <v xml:space="preserve"> ePUMP</v>
          </cell>
          <cell r="M2201"/>
          <cell r="N2201" t="str">
            <v>JABATAN ANESTESIOLOGI DAN RAWATAN RAPI</v>
          </cell>
          <cell r="O2201"/>
          <cell r="P2201"/>
          <cell r="Q2201">
            <v>4200</v>
          </cell>
        </row>
        <row r="2202">
          <cell r="E2202" t="str">
            <v>KKM/JKN/HSA/10-05-01/H/21/39</v>
          </cell>
          <cell r="F2202" t="str">
            <v>Therapeutic</v>
          </cell>
          <cell r="G2202" t="str">
            <v>Intermediate</v>
          </cell>
          <cell r="H2202" t="str">
            <v>Infusion Pumps, Syringe</v>
          </cell>
          <cell r="I2202" t="str">
            <v>SYRINGE INFUSION PUMP</v>
          </cell>
          <cell r="J2202" t="str">
            <v>13-217</v>
          </cell>
          <cell r="K2202" t="str">
            <v>MEDCAPTAIN</v>
          </cell>
          <cell r="L2202" t="str">
            <v>MP-30</v>
          </cell>
          <cell r="M2202"/>
          <cell r="N2202" t="str">
            <v>JABATAN ANESTESIOLOGI DAN RAWATAN RAPI</v>
          </cell>
          <cell r="O2202"/>
          <cell r="P2202"/>
          <cell r="Q2202">
            <v>2800</v>
          </cell>
        </row>
        <row r="2203">
          <cell r="E2203" t="str">
            <v>KKM/JKN/HSA/10-05-01/H/21/40</v>
          </cell>
          <cell r="F2203" t="str">
            <v>Therapeutic</v>
          </cell>
          <cell r="G2203" t="str">
            <v>Intermediate</v>
          </cell>
          <cell r="H2203" t="str">
            <v>Infusion Pumps, Syringe</v>
          </cell>
          <cell r="I2203" t="str">
            <v>SYRINGE INFUSION PUMP</v>
          </cell>
          <cell r="J2203" t="str">
            <v>13-217</v>
          </cell>
          <cell r="K2203" t="str">
            <v>MEDCAPTAIN</v>
          </cell>
          <cell r="L2203" t="str">
            <v>MP-30</v>
          </cell>
          <cell r="M2203"/>
          <cell r="N2203" t="str">
            <v>JABATAN ANESTESIOLOGI DAN RAWATAN RAPI</v>
          </cell>
          <cell r="O2203"/>
          <cell r="P2203"/>
          <cell r="Q2203">
            <v>2800</v>
          </cell>
        </row>
        <row r="2204">
          <cell r="E2204" t="str">
            <v>KKM/JKN/HSA/10-05-01/H/21/41</v>
          </cell>
          <cell r="F2204" t="str">
            <v>Therapeutic</v>
          </cell>
          <cell r="G2204" t="str">
            <v>Intermediate</v>
          </cell>
          <cell r="H2204" t="str">
            <v>Infusion Pumps, Syringe</v>
          </cell>
          <cell r="I2204" t="str">
            <v>SYRINGE INFUSION PUMP</v>
          </cell>
          <cell r="J2204" t="str">
            <v>13-217</v>
          </cell>
          <cell r="K2204" t="str">
            <v>MEDCAPTAIN</v>
          </cell>
          <cell r="L2204" t="str">
            <v>MP-30</v>
          </cell>
          <cell r="M2204"/>
          <cell r="N2204" t="str">
            <v>JABATAN ANESTESIOLOGI DAN RAWATAN RAPI</v>
          </cell>
          <cell r="O2204"/>
          <cell r="P2204"/>
          <cell r="Q2204">
            <v>2800</v>
          </cell>
        </row>
        <row r="2205">
          <cell r="E2205" t="str">
            <v>KKM/JKN/HSA/10-05-01/H/21/42</v>
          </cell>
          <cell r="F2205" t="str">
            <v>Therapeutic</v>
          </cell>
          <cell r="G2205" t="str">
            <v>Intermediate</v>
          </cell>
          <cell r="H2205" t="str">
            <v>Infusion Pumps, Syringe</v>
          </cell>
          <cell r="I2205" t="str">
            <v>SYRINGE INFUSION PUMP</v>
          </cell>
          <cell r="J2205" t="str">
            <v>13-217</v>
          </cell>
          <cell r="K2205" t="str">
            <v>MEDCAPTAIN</v>
          </cell>
          <cell r="L2205" t="str">
            <v>MP-30</v>
          </cell>
          <cell r="M2205"/>
          <cell r="N2205" t="str">
            <v>JABATAN ANESTESIOLOGI DAN RAWATAN RAPI</v>
          </cell>
          <cell r="O2205"/>
          <cell r="P2205"/>
          <cell r="Q2205">
            <v>2800</v>
          </cell>
        </row>
        <row r="2206">
          <cell r="E2206" t="str">
            <v>KKM/JKN/HSA/10-05-01/H/21/43</v>
          </cell>
          <cell r="F2206" t="str">
            <v>Therapeutic</v>
          </cell>
          <cell r="G2206" t="str">
            <v>Intermediate</v>
          </cell>
          <cell r="H2206" t="str">
            <v>Infusion Pumps, Syringe</v>
          </cell>
          <cell r="I2206" t="str">
            <v>SYRINGE INFUSION PUMP</v>
          </cell>
          <cell r="J2206" t="str">
            <v>13-217</v>
          </cell>
          <cell r="K2206" t="str">
            <v>MEDCAPTAIN</v>
          </cell>
          <cell r="L2206" t="str">
            <v>MP-30</v>
          </cell>
          <cell r="M2206"/>
          <cell r="N2206" t="str">
            <v>JABATAN ANESTESIOLOGI DAN RAWATAN RAPI</v>
          </cell>
          <cell r="O2206"/>
          <cell r="P2206"/>
          <cell r="Q2206">
            <v>2800</v>
          </cell>
        </row>
        <row r="2207">
          <cell r="E2207" t="str">
            <v>KKM/JKN/HSA/10-05-01/H/21/44</v>
          </cell>
          <cell r="F2207" t="str">
            <v>Therapeutic</v>
          </cell>
          <cell r="G2207" t="str">
            <v>Intermediate</v>
          </cell>
          <cell r="H2207" t="str">
            <v>Infusion Pumps, Syringe</v>
          </cell>
          <cell r="I2207" t="str">
            <v>SYRINGE INFUSION PUMP</v>
          </cell>
          <cell r="J2207" t="str">
            <v>13-217</v>
          </cell>
          <cell r="K2207" t="str">
            <v>MEDCAPTAIN</v>
          </cell>
          <cell r="L2207" t="str">
            <v>MP-30</v>
          </cell>
          <cell r="M2207"/>
          <cell r="N2207" t="str">
            <v>JABATAN ANESTESIOLOGI DAN RAWATAN RAPI</v>
          </cell>
          <cell r="O2207"/>
          <cell r="P2207"/>
          <cell r="Q2207">
            <v>2800</v>
          </cell>
        </row>
        <row r="2208">
          <cell r="E2208" t="str">
            <v>KKM/JKN/HSA/10-05-01/H/21/45</v>
          </cell>
          <cell r="F2208" t="str">
            <v>Therapeutic</v>
          </cell>
          <cell r="G2208" t="str">
            <v>Intermediate</v>
          </cell>
          <cell r="H2208" t="str">
            <v>Infusion Pumps, Syringe</v>
          </cell>
          <cell r="I2208" t="str">
            <v>SYRINGE INFUSION PUMP</v>
          </cell>
          <cell r="J2208" t="str">
            <v>13-217</v>
          </cell>
          <cell r="K2208" t="str">
            <v>MEDCAPTAIN</v>
          </cell>
          <cell r="L2208" t="str">
            <v>MP-30</v>
          </cell>
          <cell r="M2208"/>
          <cell r="N2208" t="str">
            <v>JABATAN ANESTESIOLOGI DAN RAWATAN RAPI</v>
          </cell>
          <cell r="O2208"/>
          <cell r="P2208"/>
          <cell r="Q2208">
            <v>2800</v>
          </cell>
        </row>
        <row r="2209">
          <cell r="E2209" t="str">
            <v>KKM/JKN/HSA/10-05-01/H/21/46</v>
          </cell>
          <cell r="F2209" t="str">
            <v>Therapeutic</v>
          </cell>
          <cell r="G2209" t="str">
            <v>Intermediate</v>
          </cell>
          <cell r="H2209" t="str">
            <v>Infusion Pumps, Syringe</v>
          </cell>
          <cell r="I2209" t="str">
            <v>SYRINGE INFUSION PUMP</v>
          </cell>
          <cell r="J2209" t="str">
            <v>13-217</v>
          </cell>
          <cell r="K2209" t="str">
            <v>MEDCAPTAIN</v>
          </cell>
          <cell r="L2209" t="str">
            <v>MP-30</v>
          </cell>
          <cell r="M2209"/>
          <cell r="N2209" t="str">
            <v>JABATAN ANESTESIOLOGI DAN RAWATAN RAPI</v>
          </cell>
          <cell r="O2209"/>
          <cell r="P2209"/>
          <cell r="Q2209">
            <v>2800</v>
          </cell>
        </row>
        <row r="2210">
          <cell r="E2210" t="str">
            <v>KKM/JKN/HSA/10-05-01/H/21/47</v>
          </cell>
          <cell r="F2210" t="str">
            <v>Therapeutic</v>
          </cell>
          <cell r="G2210" t="str">
            <v>Intermediate</v>
          </cell>
          <cell r="H2210" t="str">
            <v>Infusion Pumps, Syringe</v>
          </cell>
          <cell r="I2210" t="str">
            <v>SYRINGE INFUSION PUMP</v>
          </cell>
          <cell r="J2210" t="str">
            <v>13-217</v>
          </cell>
          <cell r="K2210" t="str">
            <v>MEDCAPTAIN</v>
          </cell>
          <cell r="L2210" t="str">
            <v>MP-30</v>
          </cell>
          <cell r="M2210"/>
          <cell r="N2210" t="str">
            <v>JABATAN ANESTESIOLOGI DAN RAWATAN RAPI</v>
          </cell>
          <cell r="O2210"/>
          <cell r="P2210"/>
          <cell r="Q2210">
            <v>2800</v>
          </cell>
        </row>
        <row r="2211">
          <cell r="E2211" t="str">
            <v>KKM/JKN/HSA/10-05-01/H/21/48</v>
          </cell>
          <cell r="F2211" t="str">
            <v>Therapeutic</v>
          </cell>
          <cell r="G2211" t="str">
            <v>Intermediate</v>
          </cell>
          <cell r="H2211" t="str">
            <v>Infusion Pumps, Syringe</v>
          </cell>
          <cell r="I2211" t="str">
            <v>SYRINGE INFUSION PUMP</v>
          </cell>
          <cell r="J2211" t="str">
            <v>13-217</v>
          </cell>
          <cell r="K2211" t="str">
            <v>MEDCAPTAIN</v>
          </cell>
          <cell r="L2211" t="str">
            <v>MP-30</v>
          </cell>
          <cell r="M2211"/>
          <cell r="N2211" t="str">
            <v>JABATAN ANESTESIOLOGI DAN RAWATAN RAPI</v>
          </cell>
          <cell r="O2211"/>
          <cell r="P2211"/>
          <cell r="Q2211">
            <v>2800</v>
          </cell>
        </row>
        <row r="2212">
          <cell r="E2212" t="str">
            <v>KKM/JKN/HSA/10-05-01/H/21/49</v>
          </cell>
          <cell r="F2212" t="str">
            <v>Therapeutic</v>
          </cell>
          <cell r="G2212" t="str">
            <v>Intermediate</v>
          </cell>
          <cell r="H2212" t="str">
            <v>Infusion Pumps, Syringe</v>
          </cell>
          <cell r="I2212" t="str">
            <v>SYRINGE INFUSION PUMP</v>
          </cell>
          <cell r="J2212" t="str">
            <v>13-217</v>
          </cell>
          <cell r="K2212" t="str">
            <v>MEDCAPTAIN</v>
          </cell>
          <cell r="L2212" t="str">
            <v>MP-30</v>
          </cell>
          <cell r="M2212"/>
          <cell r="N2212" t="str">
            <v>JABATAN ANESTESIOLOGI DAN RAWATAN RAPI</v>
          </cell>
          <cell r="O2212"/>
          <cell r="P2212"/>
          <cell r="Q2212">
            <v>2800</v>
          </cell>
        </row>
        <row r="2213">
          <cell r="E2213" t="str">
            <v>KKM/JKN/HSA/10-05-01/H/21/50</v>
          </cell>
          <cell r="F2213" t="str">
            <v>Therapeutic</v>
          </cell>
          <cell r="G2213" t="str">
            <v>Intermediate</v>
          </cell>
          <cell r="H2213" t="str">
            <v>Infusion Pumps, Syringe</v>
          </cell>
          <cell r="I2213" t="str">
            <v>SYRINGE INFUSION PUMP</v>
          </cell>
          <cell r="J2213" t="str">
            <v>13-217</v>
          </cell>
          <cell r="K2213" t="str">
            <v>MEDCAPTAIN</v>
          </cell>
          <cell r="L2213" t="str">
            <v>MP-30</v>
          </cell>
          <cell r="M2213"/>
          <cell r="N2213" t="str">
            <v>JABATAN ANESTESIOLOGI DAN RAWATAN RAPI</v>
          </cell>
          <cell r="O2213"/>
          <cell r="P2213"/>
          <cell r="Q2213">
            <v>2800</v>
          </cell>
        </row>
        <row r="2214">
          <cell r="E2214" t="str">
            <v>KKM/JKN/HSA/10-05-01/H/21/51</v>
          </cell>
          <cell r="F2214" t="str">
            <v>Therapeutic</v>
          </cell>
          <cell r="G2214" t="str">
            <v>Intermediate</v>
          </cell>
          <cell r="H2214" t="str">
            <v>Infusion Pumps, Syringe</v>
          </cell>
          <cell r="I2214" t="str">
            <v>SYRINGE INFUSION PUMP</v>
          </cell>
          <cell r="J2214" t="str">
            <v>13-217</v>
          </cell>
          <cell r="K2214" t="str">
            <v>MEDCAPTAIN</v>
          </cell>
          <cell r="L2214" t="str">
            <v>MP-30</v>
          </cell>
          <cell r="M2214"/>
          <cell r="N2214" t="str">
            <v>JABATAN ANESTESIOLOGI DAN RAWATAN RAPI</v>
          </cell>
          <cell r="O2214"/>
          <cell r="P2214"/>
          <cell r="Q2214">
            <v>2800</v>
          </cell>
        </row>
        <row r="2215">
          <cell r="E2215" t="str">
            <v>KKM/JKN/HSA/10-05-01/H/21/52</v>
          </cell>
          <cell r="F2215" t="str">
            <v>Therapeutic</v>
          </cell>
          <cell r="G2215" t="str">
            <v>Intermediate</v>
          </cell>
          <cell r="H2215" t="str">
            <v>Infusion Pumps, Syringe</v>
          </cell>
          <cell r="I2215" t="str">
            <v>SYRINGE INFUSION PUMP</v>
          </cell>
          <cell r="J2215" t="str">
            <v>13-217</v>
          </cell>
          <cell r="K2215" t="str">
            <v>MEDCAPTAIN</v>
          </cell>
          <cell r="L2215" t="str">
            <v>MP-30</v>
          </cell>
          <cell r="M2215"/>
          <cell r="N2215" t="str">
            <v>JABATAN ANESTESIOLOGI DAN RAWATAN RAPI</v>
          </cell>
          <cell r="O2215"/>
          <cell r="P2215"/>
          <cell r="Q2215">
            <v>2800</v>
          </cell>
        </row>
        <row r="2216">
          <cell r="E2216" t="str">
            <v>KKM/JKN/HSA/10-05-01/H/21/53</v>
          </cell>
          <cell r="F2216" t="str">
            <v>Therapeutic</v>
          </cell>
          <cell r="G2216" t="str">
            <v>Intermediate</v>
          </cell>
          <cell r="H2216" t="str">
            <v>Infusion Pumps, Syringe</v>
          </cell>
          <cell r="I2216" t="str">
            <v>SYRINGE INFUSION PUMP</v>
          </cell>
          <cell r="J2216" t="str">
            <v>13-217</v>
          </cell>
          <cell r="K2216" t="str">
            <v>MEDCAPTAIN</v>
          </cell>
          <cell r="L2216" t="str">
            <v>MP-30</v>
          </cell>
          <cell r="M2216"/>
          <cell r="N2216" t="str">
            <v>JABATAN ANESTESIOLOGI DAN RAWATAN RAPI</v>
          </cell>
          <cell r="O2216"/>
          <cell r="P2216"/>
          <cell r="Q2216">
            <v>2800</v>
          </cell>
        </row>
        <row r="2217">
          <cell r="E2217" t="str">
            <v>KKM/JKN/HSA/10-05-01/H/21/54</v>
          </cell>
          <cell r="F2217" t="str">
            <v>Therapeutic</v>
          </cell>
          <cell r="G2217" t="str">
            <v>Intermediate</v>
          </cell>
          <cell r="H2217" t="str">
            <v>Infusion Pumps, Syringe</v>
          </cell>
          <cell r="I2217" t="str">
            <v>SYRINGE INFUSION PUMP</v>
          </cell>
          <cell r="J2217" t="str">
            <v>13-217</v>
          </cell>
          <cell r="K2217" t="str">
            <v>MEDCAPTAIN</v>
          </cell>
          <cell r="L2217" t="str">
            <v>MP-30</v>
          </cell>
          <cell r="M2217"/>
          <cell r="N2217" t="str">
            <v>JABATAN ANESTESIOLOGI DAN RAWATAN RAPI</v>
          </cell>
          <cell r="O2217"/>
          <cell r="P2217"/>
          <cell r="Q2217">
            <v>2800</v>
          </cell>
        </row>
        <row r="2218">
          <cell r="E2218" t="str">
            <v>KKM/JKN/HSA/10-05-01/H/21/55</v>
          </cell>
          <cell r="F2218" t="str">
            <v>Therapeutic</v>
          </cell>
          <cell r="G2218" t="str">
            <v>Intermediate</v>
          </cell>
          <cell r="H2218" t="str">
            <v>Infusion Pumps, Syringe</v>
          </cell>
          <cell r="I2218" t="str">
            <v>SYRINGE INFUSION PUMP</v>
          </cell>
          <cell r="J2218" t="str">
            <v>13-217</v>
          </cell>
          <cell r="K2218" t="str">
            <v>MEDCAPTAIN</v>
          </cell>
          <cell r="L2218" t="str">
            <v>MP-30</v>
          </cell>
          <cell r="M2218"/>
          <cell r="N2218" t="str">
            <v>JABATAN ANESTESIOLOGI DAN RAWATAN RAPI</v>
          </cell>
          <cell r="O2218"/>
          <cell r="P2218"/>
          <cell r="Q2218">
            <v>2800</v>
          </cell>
        </row>
        <row r="2219">
          <cell r="E2219" t="str">
            <v>KKM/JKN/HSA/10-05-01/H/21/56</v>
          </cell>
          <cell r="F2219" t="str">
            <v>Therapeutic</v>
          </cell>
          <cell r="G2219" t="str">
            <v>Intermediate</v>
          </cell>
          <cell r="H2219" t="str">
            <v>Infusion Pumps, Syringe</v>
          </cell>
          <cell r="I2219" t="str">
            <v>SYRINGE INFUSION PUMP</v>
          </cell>
          <cell r="J2219" t="str">
            <v>13-217</v>
          </cell>
          <cell r="K2219" t="str">
            <v>MEDCAPTAIN</v>
          </cell>
          <cell r="L2219" t="str">
            <v>MP-30</v>
          </cell>
          <cell r="M2219"/>
          <cell r="N2219" t="str">
            <v>JABATAN ANESTESIOLOGI DAN RAWATAN RAPI</v>
          </cell>
          <cell r="O2219"/>
          <cell r="P2219"/>
          <cell r="Q2219">
            <v>2800</v>
          </cell>
        </row>
        <row r="2220">
          <cell r="E2220" t="str">
            <v>KKM/JKN/HSA/10-05-01/H/21/57</v>
          </cell>
          <cell r="F2220" t="str">
            <v>Therapeutic</v>
          </cell>
          <cell r="G2220" t="str">
            <v>Intermediate</v>
          </cell>
          <cell r="H2220" t="str">
            <v>Infusion Pumps, Syringe</v>
          </cell>
          <cell r="I2220" t="str">
            <v>SYRINGE INFUSION PUMP</v>
          </cell>
          <cell r="J2220" t="str">
            <v>13-217</v>
          </cell>
          <cell r="K2220" t="str">
            <v>MEDCAPTAIN</v>
          </cell>
          <cell r="L2220" t="str">
            <v>MP-30</v>
          </cell>
          <cell r="M2220"/>
          <cell r="N2220" t="str">
            <v>JABATAN ANESTESIOLOGI DAN RAWATAN RAPI</v>
          </cell>
          <cell r="O2220"/>
          <cell r="P2220"/>
          <cell r="Q2220">
            <v>2800</v>
          </cell>
        </row>
        <row r="2221">
          <cell r="E2221" t="str">
            <v>KKM/JKN/HSA/10-05-01/H/21/58</v>
          </cell>
          <cell r="F2221" t="str">
            <v>Therapeutic</v>
          </cell>
          <cell r="G2221" t="str">
            <v>Intermediate</v>
          </cell>
          <cell r="H2221" t="str">
            <v>Infusion Pumps, Syringe</v>
          </cell>
          <cell r="I2221" t="str">
            <v>SYRINGE INFUSION PUMP</v>
          </cell>
          <cell r="J2221" t="str">
            <v>13-217</v>
          </cell>
          <cell r="K2221" t="str">
            <v>MEDCAPTAIN</v>
          </cell>
          <cell r="L2221" t="str">
            <v>MP-30</v>
          </cell>
          <cell r="M2221"/>
          <cell r="N2221" t="str">
            <v>JABATAN ANESTESIOLOGI DAN RAWATAN RAPI</v>
          </cell>
          <cell r="O2221"/>
          <cell r="P2221"/>
          <cell r="Q2221">
            <v>2800</v>
          </cell>
        </row>
        <row r="2222">
          <cell r="E2222" t="str">
            <v>KKM/JKN/HSA/10-05-01/H/21/59</v>
          </cell>
          <cell r="F2222" t="str">
            <v>Therapeutic</v>
          </cell>
          <cell r="G2222" t="str">
            <v>Intermediate</v>
          </cell>
          <cell r="H2222" t="str">
            <v>Infusion Pumps, Syringe</v>
          </cell>
          <cell r="I2222" t="str">
            <v>SYRINGE INFUSION PUMP</v>
          </cell>
          <cell r="J2222" t="str">
            <v>13-217</v>
          </cell>
          <cell r="K2222" t="str">
            <v>MEDCAPTAIN</v>
          </cell>
          <cell r="L2222" t="str">
            <v>MP-30</v>
          </cell>
          <cell r="M2222"/>
          <cell r="N2222" t="str">
            <v>JABATAN ANESTESIOLOGI DAN RAWATAN RAPI</v>
          </cell>
          <cell r="O2222"/>
          <cell r="P2222"/>
          <cell r="Q2222">
            <v>2800</v>
          </cell>
        </row>
        <row r="2223">
          <cell r="E2223" t="str">
            <v>KKM/JKN/HSA/10-05-01/H/21/60</v>
          </cell>
          <cell r="F2223" t="str">
            <v>Therapeutic</v>
          </cell>
          <cell r="G2223" t="str">
            <v>Intermediate</v>
          </cell>
          <cell r="H2223" t="str">
            <v>Infusion Pumps, Syringe</v>
          </cell>
          <cell r="I2223" t="str">
            <v>SYRINGE INFUSION PUMP</v>
          </cell>
          <cell r="J2223" t="str">
            <v>13-217</v>
          </cell>
          <cell r="K2223" t="str">
            <v>MEDCAPTAIN</v>
          </cell>
          <cell r="L2223" t="str">
            <v>MP-30</v>
          </cell>
          <cell r="M2223"/>
          <cell r="N2223" t="str">
            <v>JABATAN ANESTESIOLOGI DAN RAWATAN RAPI</v>
          </cell>
          <cell r="O2223"/>
          <cell r="P2223"/>
          <cell r="Q2223">
            <v>2800</v>
          </cell>
        </row>
        <row r="2224">
          <cell r="E2224" t="str">
            <v>KKM/JKN/HSA/10-05-01/H/21/61</v>
          </cell>
          <cell r="F2224" t="str">
            <v>Therapeutic</v>
          </cell>
          <cell r="G2224" t="str">
            <v>Intermediate</v>
          </cell>
          <cell r="H2224" t="str">
            <v>Infusion Pumps, Syringe</v>
          </cell>
          <cell r="I2224" t="str">
            <v>SYRINGE INFUSION PUMP</v>
          </cell>
          <cell r="J2224" t="str">
            <v>13-217</v>
          </cell>
          <cell r="K2224" t="str">
            <v>MEDCAPTAIN</v>
          </cell>
          <cell r="L2224" t="str">
            <v>MP-30</v>
          </cell>
          <cell r="M2224"/>
          <cell r="N2224" t="str">
            <v>JABATAN ANESTESIOLOGI DAN RAWATAN RAPI</v>
          </cell>
          <cell r="O2224"/>
          <cell r="P2224"/>
          <cell r="Q2224">
            <v>2800</v>
          </cell>
        </row>
        <row r="2225">
          <cell r="E2225" t="str">
            <v>KKM/JKN/HSA/10-05-01/H/21/62</v>
          </cell>
          <cell r="F2225" t="str">
            <v>Therapeutic</v>
          </cell>
          <cell r="G2225" t="str">
            <v>Intermediate</v>
          </cell>
          <cell r="H2225" t="str">
            <v>Infusion Pumps, Syringe</v>
          </cell>
          <cell r="I2225" t="str">
            <v>SYRINGE INFUSION PUMP</v>
          </cell>
          <cell r="J2225" t="str">
            <v>13-217</v>
          </cell>
          <cell r="K2225" t="str">
            <v>MEDCAPTAIN</v>
          </cell>
          <cell r="L2225" t="str">
            <v>MP-30</v>
          </cell>
          <cell r="M2225"/>
          <cell r="N2225" t="str">
            <v>JABATAN ANESTESIOLOGI DAN RAWATAN RAPI</v>
          </cell>
          <cell r="O2225"/>
          <cell r="P2225"/>
          <cell r="Q2225">
            <v>2800</v>
          </cell>
        </row>
        <row r="2226">
          <cell r="E2226" t="str">
            <v>KKM/JKN/HSA/10-05-01/H/21/63</v>
          </cell>
          <cell r="F2226" t="str">
            <v>Therapeutic</v>
          </cell>
          <cell r="G2226" t="str">
            <v>Intermediate</v>
          </cell>
          <cell r="H2226" t="str">
            <v>Infusion Pumps, Syringe</v>
          </cell>
          <cell r="I2226" t="str">
            <v>SYRINGE INFUSION PUMP</v>
          </cell>
          <cell r="J2226" t="str">
            <v>13-217</v>
          </cell>
          <cell r="K2226" t="str">
            <v>MEDCAPTAIN</v>
          </cell>
          <cell r="L2226" t="str">
            <v>MP-30</v>
          </cell>
          <cell r="M2226"/>
          <cell r="N2226" t="str">
            <v>JABATAN ANESTESIOLOGI DAN RAWATAN RAPI</v>
          </cell>
          <cell r="O2226"/>
          <cell r="P2226"/>
          <cell r="Q2226">
            <v>2800</v>
          </cell>
        </row>
        <row r="2227">
          <cell r="E2227" t="str">
            <v>KKM/JKN/HSA/10-05-01/H/21/64</v>
          </cell>
          <cell r="F2227" t="str">
            <v>Therapeutic</v>
          </cell>
          <cell r="G2227" t="str">
            <v>Intermediate</v>
          </cell>
          <cell r="H2227" t="str">
            <v>Infusion Pumps, Syringe</v>
          </cell>
          <cell r="I2227" t="str">
            <v>SYRINGE INFUSION PUMP</v>
          </cell>
          <cell r="J2227" t="str">
            <v>13-217</v>
          </cell>
          <cell r="K2227" t="str">
            <v>MEDCAPTAIN</v>
          </cell>
          <cell r="L2227" t="str">
            <v>MP-30</v>
          </cell>
          <cell r="M2227"/>
          <cell r="N2227" t="str">
            <v>JABATAN ANESTESIOLOGI DAN RAWATAN RAPI</v>
          </cell>
          <cell r="O2227"/>
          <cell r="P2227"/>
          <cell r="Q2227">
            <v>2800</v>
          </cell>
        </row>
        <row r="2228">
          <cell r="E2228" t="str">
            <v>KKM/JKN/HSA/10-05-01/H/21/65</v>
          </cell>
          <cell r="F2228" t="str">
            <v>Therapeutic</v>
          </cell>
          <cell r="G2228" t="str">
            <v>Intermediate</v>
          </cell>
          <cell r="H2228" t="str">
            <v>Infusion Pumps, Syringe</v>
          </cell>
          <cell r="I2228" t="str">
            <v>SYRINGE INFUSION PUMP</v>
          </cell>
          <cell r="J2228" t="str">
            <v>13-217</v>
          </cell>
          <cell r="K2228" t="str">
            <v>MEDCAPTAIN</v>
          </cell>
          <cell r="L2228" t="str">
            <v>MP-30</v>
          </cell>
          <cell r="M2228"/>
          <cell r="N2228" t="str">
            <v>JABATAN ANESTESIOLOGI DAN RAWATAN RAPI</v>
          </cell>
          <cell r="O2228"/>
          <cell r="P2228"/>
          <cell r="Q2228">
            <v>2800</v>
          </cell>
        </row>
        <row r="2229">
          <cell r="E2229" t="str">
            <v>KKM/JKN/HSA/10-05-01/H/21/66</v>
          </cell>
          <cell r="F2229" t="str">
            <v>Therapeutic</v>
          </cell>
          <cell r="G2229" t="str">
            <v>Intermediate</v>
          </cell>
          <cell r="H2229" t="str">
            <v>Infusion Pumps, Syringe</v>
          </cell>
          <cell r="I2229" t="str">
            <v>SYRINGE INFUSION PUMP</v>
          </cell>
          <cell r="J2229" t="str">
            <v>13-217</v>
          </cell>
          <cell r="K2229" t="str">
            <v>MEDCAPTAIN</v>
          </cell>
          <cell r="L2229" t="str">
            <v>MP-30</v>
          </cell>
          <cell r="M2229"/>
          <cell r="N2229" t="str">
            <v>JABATAN ANESTESIOLOGI DAN RAWATAN RAPI</v>
          </cell>
          <cell r="O2229"/>
          <cell r="P2229"/>
          <cell r="Q2229">
            <v>2800</v>
          </cell>
        </row>
        <row r="2230">
          <cell r="E2230" t="str">
            <v>KKM/JKN/HSA/10-05-01/H/21/67</v>
          </cell>
          <cell r="F2230" t="str">
            <v>Therapeutic</v>
          </cell>
          <cell r="G2230" t="str">
            <v>Intermediate</v>
          </cell>
          <cell r="H2230" t="str">
            <v>Infusion Pumps, Syringe</v>
          </cell>
          <cell r="I2230" t="str">
            <v>SYRINGE INFUSION PUMP</v>
          </cell>
          <cell r="J2230" t="str">
            <v>13-217</v>
          </cell>
          <cell r="K2230" t="str">
            <v>MEDCAPTAIN</v>
          </cell>
          <cell r="L2230" t="str">
            <v>MP-30</v>
          </cell>
          <cell r="M2230"/>
          <cell r="N2230" t="str">
            <v>JABATAN ANESTESIOLOGI DAN RAWATAN RAPI</v>
          </cell>
          <cell r="O2230"/>
          <cell r="P2230"/>
          <cell r="Q2230">
            <v>2800</v>
          </cell>
        </row>
        <row r="2231">
          <cell r="E2231" t="str">
            <v>KKM/JKN/HSA/10-05-01/H/21/68</v>
          </cell>
          <cell r="F2231" t="str">
            <v>Therapeutic</v>
          </cell>
          <cell r="G2231" t="str">
            <v>Intermediate</v>
          </cell>
          <cell r="H2231" t="str">
            <v>Infusion Pumps, Syringe</v>
          </cell>
          <cell r="I2231" t="str">
            <v>SYRINGE INFUSION PUMP</v>
          </cell>
          <cell r="J2231" t="str">
            <v>13-217</v>
          </cell>
          <cell r="K2231" t="str">
            <v>MEDCAPTAIN</v>
          </cell>
          <cell r="L2231" t="str">
            <v>MP-30</v>
          </cell>
          <cell r="M2231"/>
          <cell r="N2231" t="str">
            <v>JABATAN ANESTESIOLOGI DAN RAWATAN RAPI</v>
          </cell>
          <cell r="O2231"/>
          <cell r="P2231"/>
          <cell r="Q2231">
            <v>2800</v>
          </cell>
        </row>
        <row r="2232">
          <cell r="E2232" t="str">
            <v>KKM/JKN/HSA/10-05-01/H/21/69</v>
          </cell>
          <cell r="F2232" t="str">
            <v>Therapeutic</v>
          </cell>
          <cell r="G2232" t="str">
            <v>Intermediate</v>
          </cell>
          <cell r="H2232" t="str">
            <v>Infusion Pumps, Syringe</v>
          </cell>
          <cell r="I2232" t="str">
            <v>SYRINGE INFUSION PUMP</v>
          </cell>
          <cell r="J2232" t="str">
            <v>13-217</v>
          </cell>
          <cell r="K2232" t="str">
            <v>MEDCAPTAIN</v>
          </cell>
          <cell r="L2232" t="str">
            <v>MP-30</v>
          </cell>
          <cell r="M2232"/>
          <cell r="N2232" t="str">
            <v>JABATAN ANESTESIOLOGI DAN RAWATAN RAPI</v>
          </cell>
          <cell r="O2232"/>
          <cell r="P2232"/>
          <cell r="Q2232">
            <v>2800</v>
          </cell>
        </row>
        <row r="2233">
          <cell r="E2233" t="str">
            <v>KKM/JKN/HSA/10-05-01/H/21/70</v>
          </cell>
          <cell r="F2233" t="str">
            <v>Therapeutic</v>
          </cell>
          <cell r="G2233" t="str">
            <v>Intermediate</v>
          </cell>
          <cell r="H2233" t="str">
            <v>Infusion Pumps, Syringe</v>
          </cell>
          <cell r="I2233" t="str">
            <v>SYRINGE INFUSION PUMP</v>
          </cell>
          <cell r="J2233" t="str">
            <v>13-217</v>
          </cell>
          <cell r="K2233" t="str">
            <v>MEDCAPTAIN</v>
          </cell>
          <cell r="L2233" t="str">
            <v>MP-30</v>
          </cell>
          <cell r="M2233"/>
          <cell r="N2233" t="str">
            <v>JABATAN ANESTESIOLOGI DAN RAWATAN RAPI</v>
          </cell>
          <cell r="O2233"/>
          <cell r="P2233"/>
          <cell r="Q2233">
            <v>2800</v>
          </cell>
        </row>
        <row r="2234">
          <cell r="E2234" t="str">
            <v>KKM/JKN/HSA/10-05-01/H/21/71</v>
          </cell>
          <cell r="F2234" t="str">
            <v>Therapeutic</v>
          </cell>
          <cell r="G2234" t="str">
            <v>Intermediate</v>
          </cell>
          <cell r="H2234" t="str">
            <v>Infusion Pumps, Syringe</v>
          </cell>
          <cell r="I2234" t="str">
            <v>SYRINGE INFUSION PUMP</v>
          </cell>
          <cell r="J2234" t="str">
            <v>13-217</v>
          </cell>
          <cell r="K2234" t="str">
            <v>MEDCAPTAIN</v>
          </cell>
          <cell r="L2234" t="str">
            <v>MP-30</v>
          </cell>
          <cell r="M2234"/>
          <cell r="N2234" t="str">
            <v>JABATAN ANESTESIOLOGI DAN RAWATAN RAPI</v>
          </cell>
          <cell r="O2234"/>
          <cell r="P2234"/>
          <cell r="Q2234">
            <v>2800</v>
          </cell>
        </row>
        <row r="2235">
          <cell r="E2235" t="str">
            <v>KKM/JKN/HSA/10-05-01/H/21/72</v>
          </cell>
          <cell r="F2235" t="str">
            <v>Therapeutic</v>
          </cell>
          <cell r="G2235" t="str">
            <v>Intermediate</v>
          </cell>
          <cell r="H2235" t="str">
            <v>Infusion Pumps, Syringe</v>
          </cell>
          <cell r="I2235" t="str">
            <v>SYRINGE INFUSION PUMP</v>
          </cell>
          <cell r="J2235" t="str">
            <v>13-217</v>
          </cell>
          <cell r="K2235" t="str">
            <v>MEDCAPTAIN</v>
          </cell>
          <cell r="L2235" t="str">
            <v>MP-30</v>
          </cell>
          <cell r="M2235"/>
          <cell r="N2235" t="str">
            <v>JABATAN ANESTESIOLOGI DAN RAWATAN RAPI</v>
          </cell>
          <cell r="O2235"/>
          <cell r="P2235"/>
          <cell r="Q2235">
            <v>2800</v>
          </cell>
        </row>
        <row r="2236">
          <cell r="E2236" t="str">
            <v>KKM/JKN/HSA/10-05-01/H/21/73</v>
          </cell>
          <cell r="F2236" t="str">
            <v>Therapeutic</v>
          </cell>
          <cell r="G2236" t="str">
            <v>Intermediate</v>
          </cell>
          <cell r="H2236" t="str">
            <v>Infusion Pumps, Syringe</v>
          </cell>
          <cell r="I2236" t="str">
            <v>SYRINGE INFUSION PUMP</v>
          </cell>
          <cell r="J2236" t="str">
            <v>13-217</v>
          </cell>
          <cell r="K2236" t="str">
            <v>MEDCAPTAIN</v>
          </cell>
          <cell r="L2236" t="str">
            <v>MP-30</v>
          </cell>
          <cell r="M2236"/>
          <cell r="N2236" t="str">
            <v>JABATAN ANESTESIOLOGI DAN RAWATAN RAPI</v>
          </cell>
          <cell r="O2236"/>
          <cell r="P2236"/>
          <cell r="Q2236">
            <v>2800</v>
          </cell>
        </row>
        <row r="2237">
          <cell r="E2237" t="str">
            <v>KKM/JKN/HSA/10-05-01/H/21/74</v>
          </cell>
          <cell r="F2237" t="str">
            <v>Therapeutic</v>
          </cell>
          <cell r="G2237" t="str">
            <v>Intermediate</v>
          </cell>
          <cell r="H2237" t="str">
            <v>Infusion Pumps, Syringe</v>
          </cell>
          <cell r="I2237" t="str">
            <v>SYRINGE INFUSION PUMP</v>
          </cell>
          <cell r="J2237" t="str">
            <v>13-217</v>
          </cell>
          <cell r="K2237" t="str">
            <v>MEDCAPTAIN</v>
          </cell>
          <cell r="L2237" t="str">
            <v>MP-30</v>
          </cell>
          <cell r="M2237"/>
          <cell r="N2237" t="str">
            <v>JABATAN ANESTESIOLOGI DAN RAWATAN RAPI</v>
          </cell>
          <cell r="O2237"/>
          <cell r="P2237"/>
          <cell r="Q2237">
            <v>2800</v>
          </cell>
        </row>
        <row r="2238">
          <cell r="E2238" t="str">
            <v>KKM/JKN/HSA/10-05-01/H/21/75</v>
          </cell>
          <cell r="F2238" t="str">
            <v>Therapeutic</v>
          </cell>
          <cell r="G2238" t="str">
            <v>Intermediate</v>
          </cell>
          <cell r="H2238" t="str">
            <v>Infusion Pumps, Syringe</v>
          </cell>
          <cell r="I2238" t="str">
            <v>SYRINGE INFUSION PUMP</v>
          </cell>
          <cell r="J2238" t="str">
            <v>13-217</v>
          </cell>
          <cell r="K2238" t="str">
            <v>MEDCAPTAIN</v>
          </cell>
          <cell r="L2238" t="str">
            <v>MP-30</v>
          </cell>
          <cell r="M2238"/>
          <cell r="N2238" t="str">
            <v>JABATAN ANESTESIOLOGI DAN RAWATAN RAPI</v>
          </cell>
          <cell r="O2238"/>
          <cell r="P2238"/>
          <cell r="Q2238">
            <v>2800</v>
          </cell>
        </row>
        <row r="2239">
          <cell r="E2239" t="str">
            <v>KKM/JKN/HSA/10-05-01/H/21/76</v>
          </cell>
          <cell r="F2239" t="str">
            <v>Therapeutic</v>
          </cell>
          <cell r="G2239" t="str">
            <v>Intermediate</v>
          </cell>
          <cell r="H2239" t="str">
            <v>Infusion Pumps, Syringe</v>
          </cell>
          <cell r="I2239" t="str">
            <v>SYRINGE INFUSION PUMP</v>
          </cell>
          <cell r="J2239" t="str">
            <v>13-217</v>
          </cell>
          <cell r="K2239" t="str">
            <v>MEDCAPTAIN</v>
          </cell>
          <cell r="L2239" t="str">
            <v>MP-30</v>
          </cell>
          <cell r="M2239"/>
          <cell r="N2239" t="str">
            <v>JABATAN ANESTESIOLOGI DAN RAWATAN RAPI</v>
          </cell>
          <cell r="O2239"/>
          <cell r="P2239"/>
          <cell r="Q2239">
            <v>2800</v>
          </cell>
        </row>
        <row r="2240">
          <cell r="E2240" t="str">
            <v>KKM/JKN/HSA/10-05-01/H/21/77</v>
          </cell>
          <cell r="F2240" t="str">
            <v>Therapeutic</v>
          </cell>
          <cell r="G2240" t="str">
            <v>Intermediate</v>
          </cell>
          <cell r="H2240" t="str">
            <v>Infusion Pumps, Syringe</v>
          </cell>
          <cell r="I2240" t="str">
            <v>SYRINGE INFUSION PUMP</v>
          </cell>
          <cell r="J2240" t="str">
            <v>13-217</v>
          </cell>
          <cell r="K2240" t="str">
            <v>MEDCAPTAIN</v>
          </cell>
          <cell r="L2240" t="str">
            <v>MP-30</v>
          </cell>
          <cell r="M2240"/>
          <cell r="N2240" t="str">
            <v>JABATAN ANESTESIOLOGI DAN RAWATAN RAPI</v>
          </cell>
          <cell r="O2240"/>
          <cell r="P2240"/>
          <cell r="Q2240">
            <v>2800</v>
          </cell>
        </row>
        <row r="2241">
          <cell r="E2241" t="str">
            <v>KKM/JKN/HSA/10-05-01/H/21/78</v>
          </cell>
          <cell r="F2241" t="str">
            <v>Therapeutic</v>
          </cell>
          <cell r="G2241" t="str">
            <v>Intermediate</v>
          </cell>
          <cell r="H2241" t="str">
            <v>Infusion Pumps, Syringe</v>
          </cell>
          <cell r="I2241" t="str">
            <v>SYRINGE INFUSION PUMP</v>
          </cell>
          <cell r="J2241" t="str">
            <v>13-217</v>
          </cell>
          <cell r="K2241" t="str">
            <v>MEDCAPTAIN</v>
          </cell>
          <cell r="L2241" t="str">
            <v>MP-30</v>
          </cell>
          <cell r="M2241"/>
          <cell r="N2241" t="str">
            <v>JABATAN ANESTESIOLOGI DAN RAWATAN RAPI</v>
          </cell>
          <cell r="O2241"/>
          <cell r="P2241"/>
          <cell r="Q2241">
            <v>2800</v>
          </cell>
        </row>
        <row r="2242">
          <cell r="E2242" t="str">
            <v>KKM/JKN/HSA/10-05-01/H/21/79</v>
          </cell>
          <cell r="F2242" t="str">
            <v>Therapeutic</v>
          </cell>
          <cell r="G2242" t="str">
            <v>Intermediate</v>
          </cell>
          <cell r="H2242" t="str">
            <v>Ventilators, Intensive Care</v>
          </cell>
          <cell r="I2242" t="str">
            <v>VENTILATOR</v>
          </cell>
          <cell r="J2242" t="str">
            <v>17-429</v>
          </cell>
          <cell r="K2242" t="str">
            <v>MINDRAY</v>
          </cell>
          <cell r="L2242" t="str">
            <v>SV600</v>
          </cell>
          <cell r="M2242"/>
          <cell r="N2242" t="str">
            <v>JABATAN ANESTESIOLOGI DAN RAWATAN RAPI</v>
          </cell>
          <cell r="O2242"/>
          <cell r="P2242"/>
          <cell r="Q2242">
            <v>105000</v>
          </cell>
        </row>
        <row r="2243">
          <cell r="E2243" t="str">
            <v>KKM/JKN/HSA/10-05-01/H/21/267</v>
          </cell>
          <cell r="F2243" t="str">
            <v>Therapeutic</v>
          </cell>
          <cell r="G2243" t="str">
            <v>Intermediate</v>
          </cell>
          <cell r="H2243" t="str">
            <v>Humidifiers, Heated</v>
          </cell>
          <cell r="I2243" t="str">
            <v>RESPIRATION HUMIDIFIER</v>
          </cell>
          <cell r="J2243" t="str">
            <v>12-050</v>
          </cell>
          <cell r="K2243" t="str">
            <v>BMC</v>
          </cell>
          <cell r="L2243" t="str">
            <v>H-80A</v>
          </cell>
          <cell r="M2243"/>
          <cell r="N2243" t="str">
            <v>JABATAN ANESTESIOLOGI DAN RAWATAN RAPI</v>
          </cell>
          <cell r="O2243"/>
          <cell r="P2243"/>
          <cell r="Q2243">
            <v>21000</v>
          </cell>
        </row>
        <row r="2244">
          <cell r="E2244" t="str">
            <v>KKM/JKN/HSA/10-05-01/H/22/1</v>
          </cell>
          <cell r="F2244" t="str">
            <v>Radiology</v>
          </cell>
          <cell r="G2244" t="str">
            <v>Intermediate</v>
          </cell>
          <cell r="H2244" t="str">
            <v>Scanning Systems, Ultrasonic, General-Purpose</v>
          </cell>
          <cell r="I2244" t="str">
            <v>ULTRASOUND SCANNER</v>
          </cell>
          <cell r="J2244" t="str">
            <v>15-976</v>
          </cell>
          <cell r="K2244" t="str">
            <v>GE</v>
          </cell>
          <cell r="L2244" t="str">
            <v>VERSANA ACTIVE 4D READY</v>
          </cell>
          <cell r="M2244"/>
          <cell r="N2244" t="str">
            <v>JABATAN PERUBATAN AM</v>
          </cell>
          <cell r="O2244"/>
          <cell r="P2244"/>
          <cell r="Q2244">
            <v>60000</v>
          </cell>
        </row>
        <row r="2245">
          <cell r="E2245" t="str">
            <v>KKM/JKN/HSA/10-05-01/H/21/328</v>
          </cell>
          <cell r="F2245" t="str">
            <v>Therapeutic</v>
          </cell>
          <cell r="G2245" t="str">
            <v>Intermediate</v>
          </cell>
          <cell r="H2245" t="str">
            <v>Incubator,Infant</v>
          </cell>
          <cell r="I2245" t="str">
            <v>INKUBATOR</v>
          </cell>
          <cell r="J2245" t="str">
            <v>12-113</v>
          </cell>
          <cell r="K2245" t="str">
            <v>ATOM</v>
          </cell>
          <cell r="L2245" t="str">
            <v>AIR INCU I</v>
          </cell>
          <cell r="M2245"/>
          <cell r="N2245" t="str">
            <v>JABATAN PEDIATRIK</v>
          </cell>
          <cell r="O2245"/>
          <cell r="P2245"/>
          <cell r="Q2245">
            <v>28000</v>
          </cell>
        </row>
        <row r="2246">
          <cell r="E2246" t="str">
            <v>KKM/JKN/HSA/10-05-01/H/21/441</v>
          </cell>
          <cell r="F2246" t="str">
            <v>Therapeutic</v>
          </cell>
          <cell r="G2246" t="str">
            <v>Intermediate</v>
          </cell>
          <cell r="H2246" t="str">
            <v>Incubator,Infant</v>
          </cell>
          <cell r="I2246" t="str">
            <v>INFANT INCUBATOR</v>
          </cell>
          <cell r="J2246" t="str">
            <v>12-113</v>
          </cell>
          <cell r="K2246" t="str">
            <v>DRAGER</v>
          </cell>
          <cell r="L2246" t="str">
            <v>ISOLETTE 8000 PLUS</v>
          </cell>
          <cell r="M2246"/>
          <cell r="N2246" t="str">
            <v>JABATAN PEDIATRIK</v>
          </cell>
          <cell r="O2246"/>
          <cell r="P2246"/>
          <cell r="Q2246">
            <v>43000</v>
          </cell>
        </row>
        <row r="2247">
          <cell r="E2247" t="str">
            <v>KKM/JKN/HSA/10-05-01/H/21/442</v>
          </cell>
          <cell r="F2247" t="str">
            <v>Therapeutic</v>
          </cell>
          <cell r="G2247" t="str">
            <v>Intermediate</v>
          </cell>
          <cell r="H2247" t="str">
            <v>Incubator,Infant</v>
          </cell>
          <cell r="I2247" t="str">
            <v>INFANT INCUBATOR</v>
          </cell>
          <cell r="J2247" t="str">
            <v>12-113</v>
          </cell>
          <cell r="K2247" t="str">
            <v>DRAGER</v>
          </cell>
          <cell r="L2247" t="str">
            <v>ISOLETTE 8000 PLUS</v>
          </cell>
          <cell r="M2247"/>
          <cell r="N2247" t="str">
            <v>JABATAN PEDIATRIK</v>
          </cell>
          <cell r="O2247"/>
          <cell r="P2247"/>
          <cell r="Q2247">
            <v>43000</v>
          </cell>
        </row>
        <row r="2248">
          <cell r="E2248" t="str">
            <v>KKM/JKN/HSA/10-05-01/H/21/443</v>
          </cell>
          <cell r="F2248" t="str">
            <v>Therapeutic</v>
          </cell>
          <cell r="G2248" t="str">
            <v>Intermediate</v>
          </cell>
          <cell r="H2248" t="str">
            <v>Incubator,Infant</v>
          </cell>
          <cell r="I2248" t="str">
            <v>INFANT INCUBATOR</v>
          </cell>
          <cell r="J2248" t="str">
            <v>12-113</v>
          </cell>
          <cell r="K2248" t="str">
            <v>DRAGER</v>
          </cell>
          <cell r="L2248" t="str">
            <v>ISOLETTE 8000 PLUS</v>
          </cell>
          <cell r="M2248"/>
          <cell r="N2248" t="str">
            <v>JABATAN PEDIATRIK</v>
          </cell>
          <cell r="O2248"/>
          <cell r="P2248"/>
          <cell r="Q2248">
            <v>43000</v>
          </cell>
        </row>
        <row r="2249">
          <cell r="E2249" t="str">
            <v>KKM/JKN/HSA/10-05-01/H/21/439</v>
          </cell>
          <cell r="F2249" t="str">
            <v>Therapeutic</v>
          </cell>
          <cell r="G2249" t="str">
            <v>Intermediate</v>
          </cell>
          <cell r="H2249" t="str">
            <v>Incubator,Infant</v>
          </cell>
          <cell r="I2249" t="str">
            <v>INFANT INCUBATOR</v>
          </cell>
          <cell r="J2249" t="str">
            <v>12-113</v>
          </cell>
          <cell r="K2249" t="str">
            <v>DRAGER</v>
          </cell>
          <cell r="L2249" t="str">
            <v>ISOLETTE 8000 PLUS</v>
          </cell>
          <cell r="M2249"/>
          <cell r="N2249" t="str">
            <v>JABATAN PEDIATRIK</v>
          </cell>
          <cell r="O2249"/>
          <cell r="P2249"/>
          <cell r="Q2249">
            <v>43000</v>
          </cell>
        </row>
        <row r="2250">
          <cell r="E2250" t="str">
            <v>KKM/JKN/HSA/10-05-01/H/21/440</v>
          </cell>
          <cell r="F2250" t="str">
            <v>Therapeutic</v>
          </cell>
          <cell r="G2250" t="str">
            <v>Intermediate</v>
          </cell>
          <cell r="H2250" t="str">
            <v>Incubator,Infant</v>
          </cell>
          <cell r="I2250" t="str">
            <v>INFANT INCUBATOR</v>
          </cell>
          <cell r="J2250" t="str">
            <v>12-113</v>
          </cell>
          <cell r="K2250" t="str">
            <v>DRAGER</v>
          </cell>
          <cell r="L2250" t="str">
            <v>ISOLETTE 8000 PLUS</v>
          </cell>
          <cell r="M2250"/>
          <cell r="N2250" t="str">
            <v>JABATAN PEDIATRIK</v>
          </cell>
          <cell r="O2250"/>
          <cell r="P2250"/>
          <cell r="Q2250">
            <v>43000</v>
          </cell>
        </row>
        <row r="2251">
          <cell r="E2251" t="str">
            <v>KKM/JKN/HSA/10-05-01/R/22/28</v>
          </cell>
          <cell r="F2251" t="str">
            <v xml:space="preserve">Diagnostic </v>
          </cell>
          <cell r="G2251" t="str">
            <v>Basic</v>
          </cell>
          <cell r="H2251" t="str">
            <v>Laryngoscopes, Rigid</v>
          </cell>
          <cell r="I2251" t="str">
            <v>LARYNGOSCOPE/
PEADIATRIC LARYNGOSCOPE</v>
          </cell>
          <cell r="J2251" t="str">
            <v>15-076</v>
          </cell>
          <cell r="K2251" t="str">
            <v>PEADIATRIC LARYNGOSCOPE</v>
          </cell>
          <cell r="L2251" t="str">
            <v>PEADIATRIC LARYNGOSCOPE</v>
          </cell>
          <cell r="M2251"/>
          <cell r="N2251" t="str">
            <v>JABATAN KECEMASAN &amp; TRAUMA</v>
          </cell>
          <cell r="O2251"/>
          <cell r="P2251"/>
          <cell r="Q2251">
            <v>900</v>
          </cell>
        </row>
        <row r="2252">
          <cell r="E2252" t="str">
            <v>KKM/JKN/HSA/10-05-01/H/22/2</v>
          </cell>
          <cell r="F2252" t="str">
            <v>Therapeutic</v>
          </cell>
          <cell r="G2252" t="str">
            <v>Intermediate</v>
          </cell>
          <cell r="H2252" t="str">
            <v>Incubators, Infant, Transport</v>
          </cell>
          <cell r="I2252" t="str">
            <v>TRANSCAPSULE (INCUBATOR) TRANSPORT</v>
          </cell>
          <cell r="J2252" t="str">
            <v>12-114</v>
          </cell>
          <cell r="K2252" t="str">
            <v>DRAGER</v>
          </cell>
          <cell r="L2252" t="str">
            <v>T1500</v>
          </cell>
          <cell r="M2252"/>
          <cell r="N2252" t="str">
            <v>JABATAN PEDIATRIK</v>
          </cell>
          <cell r="O2252"/>
          <cell r="P2252"/>
          <cell r="Q2252">
            <v>40000</v>
          </cell>
        </row>
        <row r="2253">
          <cell r="E2253" t="str">
            <v>KKM/JKN/HSA/10-05-01/H/22/3</v>
          </cell>
          <cell r="F2253" t="str">
            <v>Therapeutic</v>
          </cell>
          <cell r="G2253" t="str">
            <v>Basic</v>
          </cell>
          <cell r="H2253" t="str">
            <v>Warming Units, Patient, Radiant, Infant</v>
          </cell>
          <cell r="I2253" t="str">
            <v>INFANT WARMER (RADIANT)</v>
          </cell>
          <cell r="J2253" t="str">
            <v>17-956</v>
          </cell>
          <cell r="K2253" t="str">
            <v>GE HEALTHCARE</v>
          </cell>
          <cell r="L2253" t="str">
            <v>PANDA FREESTANDING WARMER</v>
          </cell>
          <cell r="M2253"/>
          <cell r="N2253" t="str">
            <v>JABATAN PEDIATRIK</v>
          </cell>
          <cell r="O2253"/>
          <cell r="P2253"/>
          <cell r="Q2253">
            <v>18500</v>
          </cell>
        </row>
        <row r="2254">
          <cell r="E2254" t="str">
            <v>KKM/JKN/HSA/10-05-01/H/21/11</v>
          </cell>
          <cell r="F2254" t="str">
            <v>Therapeutic</v>
          </cell>
          <cell r="G2254" t="str">
            <v>Intermediate</v>
          </cell>
          <cell r="H2254" t="str">
            <v>Respirators, Air-Purifying</v>
          </cell>
          <cell r="I2254" t="str">
            <v>POWERED AIR PURIFYING RESPIRATOR (PAPR)</v>
          </cell>
          <cell r="J2254" t="str">
            <v>18-094</v>
          </cell>
          <cell r="K2254" t="str">
            <v>SHINE</v>
          </cell>
          <cell r="L2254" t="str">
            <v>P-SH100</v>
          </cell>
          <cell r="M2254"/>
          <cell r="N2254" t="str">
            <v>JABATAN ANESTESIOLOGI</v>
          </cell>
          <cell r="O2254"/>
          <cell r="P2254"/>
          <cell r="Q2254">
            <v>7980</v>
          </cell>
        </row>
        <row r="2255">
          <cell r="E2255" t="str">
            <v>KKM/JKN/HSA/10-05-01/H/21/12</v>
          </cell>
          <cell r="F2255" t="str">
            <v>Therapeutic</v>
          </cell>
          <cell r="G2255" t="str">
            <v>Intermediate</v>
          </cell>
          <cell r="H2255" t="str">
            <v>Respirators, Air-Purifying</v>
          </cell>
          <cell r="I2255" t="str">
            <v>POWERED AIR PURIFYING RESPIRATOR (PAPR)</v>
          </cell>
          <cell r="J2255" t="str">
            <v>18-094</v>
          </cell>
          <cell r="K2255" t="str">
            <v>SHINE</v>
          </cell>
          <cell r="L2255" t="str">
            <v>P-SH100</v>
          </cell>
          <cell r="M2255"/>
          <cell r="N2255" t="str">
            <v>JABATAN ANESTESIOLOGI</v>
          </cell>
          <cell r="O2255"/>
          <cell r="P2255"/>
          <cell r="Q2255">
            <v>7980</v>
          </cell>
        </row>
        <row r="2256">
          <cell r="E2256" t="str">
            <v>KKM/JKN/HSA/10-05-01/H/21/13</v>
          </cell>
          <cell r="F2256" t="str">
            <v>Therapeutic</v>
          </cell>
          <cell r="G2256" t="str">
            <v>Intermediate</v>
          </cell>
          <cell r="H2256" t="str">
            <v>Respirators, Air-Purifying</v>
          </cell>
          <cell r="I2256" t="str">
            <v>POWERED AIR PURIFYING RESPIRATOR (PAPR)</v>
          </cell>
          <cell r="J2256" t="str">
            <v>18-094</v>
          </cell>
          <cell r="K2256" t="str">
            <v>SHINE</v>
          </cell>
          <cell r="L2256" t="str">
            <v>P-SH100</v>
          </cell>
          <cell r="M2256"/>
          <cell r="N2256" t="str">
            <v>JABATAN ANESTESIOLOGI</v>
          </cell>
          <cell r="O2256"/>
          <cell r="P2256"/>
          <cell r="Q2256">
            <v>7980</v>
          </cell>
        </row>
        <row r="2257">
          <cell r="E2257" t="str">
            <v>KKM/JKN/HSA/10-05-01/H/21/14</v>
          </cell>
          <cell r="F2257" t="str">
            <v>Therapeutic</v>
          </cell>
          <cell r="G2257" t="str">
            <v>Intermediate</v>
          </cell>
          <cell r="H2257" t="str">
            <v>Respirators, Air-Purifying</v>
          </cell>
          <cell r="I2257" t="str">
            <v>POWERED AIR PURIFYING RESPIRATOR (PAPR)</v>
          </cell>
          <cell r="J2257" t="str">
            <v>18-094</v>
          </cell>
          <cell r="K2257" t="str">
            <v>SHINE</v>
          </cell>
          <cell r="L2257" t="str">
            <v>P-SH100</v>
          </cell>
          <cell r="M2257"/>
          <cell r="N2257" t="str">
            <v>JABATAN ANESTESIOLOGI</v>
          </cell>
          <cell r="O2257"/>
          <cell r="P2257"/>
          <cell r="Q2257">
            <v>7980</v>
          </cell>
        </row>
        <row r="2258">
          <cell r="E2258" t="str">
            <v>KKM/JKN/HSA/10-05-01/H/21/15</v>
          </cell>
          <cell r="F2258" t="str">
            <v>Therapeutic</v>
          </cell>
          <cell r="G2258" t="str">
            <v>Intermediate</v>
          </cell>
          <cell r="H2258" t="str">
            <v>Respirators, Air-Purifying</v>
          </cell>
          <cell r="I2258" t="str">
            <v>POWERED AIR PURIFYING RESPIRATOR (PAPR)</v>
          </cell>
          <cell r="J2258" t="str">
            <v>18-094</v>
          </cell>
          <cell r="K2258" t="str">
            <v>SHINE</v>
          </cell>
          <cell r="L2258" t="str">
            <v>P-SH100</v>
          </cell>
          <cell r="M2258"/>
          <cell r="N2258" t="str">
            <v>JABATAN ANESTESIOLOGI</v>
          </cell>
          <cell r="O2258"/>
          <cell r="P2258"/>
          <cell r="Q2258">
            <v>7980</v>
          </cell>
        </row>
        <row r="2259">
          <cell r="E2259" t="str">
            <v>KKM/JKN/HSA/10-05-01/H/21/16</v>
          </cell>
          <cell r="F2259" t="str">
            <v>Therapeutic</v>
          </cell>
          <cell r="G2259" t="str">
            <v>Intermediate</v>
          </cell>
          <cell r="H2259" t="str">
            <v>Respirators, Air-Purifying</v>
          </cell>
          <cell r="I2259" t="str">
            <v>POWERED AIR PURIFYING RESPIRATOR (PAPR)</v>
          </cell>
          <cell r="J2259" t="str">
            <v>18-094</v>
          </cell>
          <cell r="K2259" t="str">
            <v>SHINE</v>
          </cell>
          <cell r="L2259" t="str">
            <v>P-SH100</v>
          </cell>
          <cell r="M2259"/>
          <cell r="N2259" t="str">
            <v>JABATAN ANESTESIOLOGI</v>
          </cell>
          <cell r="O2259"/>
          <cell r="P2259"/>
          <cell r="Q2259">
            <v>7980</v>
          </cell>
        </row>
        <row r="2260">
          <cell r="E2260" t="str">
            <v>KKM/JKN/HSA/10-05-01/H/21/17</v>
          </cell>
          <cell r="F2260" t="str">
            <v>Therapeutic</v>
          </cell>
          <cell r="G2260" t="str">
            <v>Intermediate</v>
          </cell>
          <cell r="H2260" t="str">
            <v>Respirators, Air-Purifying</v>
          </cell>
          <cell r="I2260" t="str">
            <v>POWERED AIR PURIFYING RESPIRATOR (PAPR)</v>
          </cell>
          <cell r="J2260" t="str">
            <v>18-094</v>
          </cell>
          <cell r="K2260" t="str">
            <v>SHINE</v>
          </cell>
          <cell r="L2260" t="str">
            <v>P-SH100</v>
          </cell>
          <cell r="M2260"/>
          <cell r="N2260" t="str">
            <v>JABATAN ANESTESIOLOGI</v>
          </cell>
          <cell r="O2260"/>
          <cell r="P2260"/>
          <cell r="Q2260">
            <v>7980</v>
          </cell>
        </row>
        <row r="2261">
          <cell r="E2261" t="str">
            <v>KKM/JKN/HSA/10-05-01/H/21/18</v>
          </cell>
          <cell r="F2261" t="str">
            <v>Therapeutic</v>
          </cell>
          <cell r="G2261" t="str">
            <v>Intermediate</v>
          </cell>
          <cell r="H2261" t="str">
            <v>Respirators, Air-Purifying</v>
          </cell>
          <cell r="I2261" t="str">
            <v>POWERED AIR PURIFYING RESPIRATOR (PAPR)</v>
          </cell>
          <cell r="J2261" t="str">
            <v>18-094</v>
          </cell>
          <cell r="K2261" t="str">
            <v>SHINE</v>
          </cell>
          <cell r="L2261" t="str">
            <v>P-SH100</v>
          </cell>
          <cell r="M2261"/>
          <cell r="N2261" t="str">
            <v>JABATAN ANESTESIOLOGI</v>
          </cell>
          <cell r="O2261"/>
          <cell r="P2261"/>
          <cell r="Q2261">
            <v>7980</v>
          </cell>
        </row>
        <row r="2262">
          <cell r="E2262" t="str">
            <v>KKM/JKN/HSA/10-05-01/H/21/123</v>
          </cell>
          <cell r="F2262" t="str">
            <v>Therapeutic</v>
          </cell>
          <cell r="G2262" t="str">
            <v>Intermediate</v>
          </cell>
          <cell r="H2262" t="str">
            <v>Ventilators, Intensive Care</v>
          </cell>
          <cell r="I2262" t="str">
            <v>VENTILATOR</v>
          </cell>
          <cell r="J2262" t="str">
            <v>17-429</v>
          </cell>
          <cell r="K2262" t="str">
            <v>MINDRAY</v>
          </cell>
          <cell r="L2262" t="str">
            <v>SV600</v>
          </cell>
          <cell r="M2262"/>
          <cell r="N2262" t="str">
            <v>JABATAN ANESTESIOLOGI</v>
          </cell>
          <cell r="O2262"/>
          <cell r="P2262"/>
          <cell r="Q2262">
            <v>105000</v>
          </cell>
        </row>
        <row r="2263">
          <cell r="E2263" t="str">
            <v>KKM/JKN/HSA/10-05-01/H/21/124</v>
          </cell>
          <cell r="F2263" t="str">
            <v>Therapeutic</v>
          </cell>
          <cell r="G2263" t="str">
            <v>Intermediate</v>
          </cell>
          <cell r="H2263" t="str">
            <v>Ventilators, Intensive Care</v>
          </cell>
          <cell r="I2263" t="str">
            <v>VENTILATOR</v>
          </cell>
          <cell r="J2263" t="str">
            <v>17-429</v>
          </cell>
          <cell r="K2263" t="str">
            <v>MINDRAY</v>
          </cell>
          <cell r="L2263" t="str">
            <v>SV600</v>
          </cell>
          <cell r="M2263"/>
          <cell r="N2263" t="str">
            <v>JABATAN ANESTESIOLOGI</v>
          </cell>
          <cell r="O2263"/>
          <cell r="P2263"/>
          <cell r="Q2263">
            <v>105000</v>
          </cell>
        </row>
        <row r="2264">
          <cell r="E2264" t="str">
            <v>KKM/JKN/HSA/10-05-01/H/21/125</v>
          </cell>
          <cell r="F2264" t="str">
            <v>Therapeutic</v>
          </cell>
          <cell r="G2264" t="str">
            <v>Intermediate</v>
          </cell>
          <cell r="H2264" t="str">
            <v>Ventilators, Intensive Care</v>
          </cell>
          <cell r="I2264" t="str">
            <v>VENTILATOR</v>
          </cell>
          <cell r="J2264" t="str">
            <v>17-429</v>
          </cell>
          <cell r="K2264" t="str">
            <v>MINDRAY</v>
          </cell>
          <cell r="L2264" t="str">
            <v>SV600</v>
          </cell>
          <cell r="M2264"/>
          <cell r="N2264" t="str">
            <v>JABATAN ANESTESIOLOGI</v>
          </cell>
          <cell r="O2264"/>
          <cell r="P2264"/>
          <cell r="Q2264">
            <v>105000</v>
          </cell>
        </row>
        <row r="2265">
          <cell r="E2265" t="str">
            <v>KKM/JKN/HSA/10-05-01/H/21/126</v>
          </cell>
          <cell r="F2265" t="str">
            <v>Therapeutic</v>
          </cell>
          <cell r="G2265" t="str">
            <v>Intermediate</v>
          </cell>
          <cell r="H2265" t="str">
            <v>Ventilators, Intensive Care</v>
          </cell>
          <cell r="I2265" t="str">
            <v>VENTILATOR</v>
          </cell>
          <cell r="J2265" t="str">
            <v>17-429</v>
          </cell>
          <cell r="K2265" t="str">
            <v>MINDRAY</v>
          </cell>
          <cell r="L2265" t="str">
            <v>SV600</v>
          </cell>
          <cell r="M2265"/>
          <cell r="N2265" t="str">
            <v>JABATAN ANESTESIOLOGI</v>
          </cell>
          <cell r="O2265"/>
          <cell r="P2265"/>
          <cell r="Q2265">
            <v>105000</v>
          </cell>
        </row>
        <row r="2266">
          <cell r="E2266" t="str">
            <v>KKM/JKN/HSA/10-05-01/H/21/127</v>
          </cell>
          <cell r="F2266" t="str">
            <v>Therapeutic</v>
          </cell>
          <cell r="G2266" t="str">
            <v>Intermediate</v>
          </cell>
          <cell r="H2266" t="str">
            <v>Ventilators, Intensive Care</v>
          </cell>
          <cell r="I2266" t="str">
            <v>VENTILATOR</v>
          </cell>
          <cell r="J2266" t="str">
            <v>17-429</v>
          </cell>
          <cell r="K2266" t="str">
            <v>MINDRAY</v>
          </cell>
          <cell r="L2266" t="str">
            <v>SV600</v>
          </cell>
          <cell r="M2266"/>
          <cell r="N2266" t="str">
            <v>JABATAN ANESTESIOLOGI</v>
          </cell>
          <cell r="O2266"/>
          <cell r="P2266"/>
          <cell r="Q2266">
            <v>105000</v>
          </cell>
        </row>
        <row r="2267">
          <cell r="E2267" t="str">
            <v>KKM/JKN/HSA/10-05-01/H/21/341</v>
          </cell>
          <cell r="F2267" t="str">
            <v>Therapeutic</v>
          </cell>
          <cell r="G2267" t="str">
            <v>Intermediate</v>
          </cell>
          <cell r="H2267" t="str">
            <v>Ventilators, Transport</v>
          </cell>
          <cell r="I2267" t="str">
            <v>TRANSPORT VENTILATOR</v>
          </cell>
          <cell r="J2267" t="str">
            <v>18-098</v>
          </cell>
          <cell r="K2267" t="str">
            <v>OXIVENT</v>
          </cell>
          <cell r="L2267" t="str">
            <v>OXI4PLUS</v>
          </cell>
          <cell r="M2267"/>
          <cell r="N2267" t="str">
            <v>JABATAN KECEMASAN &amp; TRAUMA</v>
          </cell>
          <cell r="O2267"/>
          <cell r="P2267"/>
          <cell r="Q2267">
            <v>59800</v>
          </cell>
        </row>
        <row r="2268">
          <cell r="E2268" t="str">
            <v>KKM/JKN/HSA/10-05-01/H/21/342</v>
          </cell>
          <cell r="F2268" t="str">
            <v>Therapeutic</v>
          </cell>
          <cell r="G2268" t="str">
            <v>Intermediate</v>
          </cell>
          <cell r="H2268" t="str">
            <v>Ventilators, Transport</v>
          </cell>
          <cell r="I2268" t="str">
            <v>TRANSPORT VENTILATOR</v>
          </cell>
          <cell r="J2268" t="str">
            <v>18-098</v>
          </cell>
          <cell r="K2268" t="str">
            <v>OXIVENT</v>
          </cell>
          <cell r="L2268" t="str">
            <v>OXI4PLUS</v>
          </cell>
          <cell r="M2268"/>
          <cell r="N2268" t="str">
            <v>JABATAN KECEMASAN &amp; TRAUMA</v>
          </cell>
          <cell r="O2268"/>
          <cell r="P2268"/>
          <cell r="Q2268">
            <v>59800</v>
          </cell>
        </row>
        <row r="2269">
          <cell r="E2269" t="str">
            <v>KKM/JKN/HSA/10-05-01/H/21/265</v>
          </cell>
          <cell r="F2269" t="str">
            <v>Therapeutic</v>
          </cell>
          <cell r="G2269" t="str">
            <v>Intermediate</v>
          </cell>
          <cell r="H2269" t="str">
            <v>Defibrillator/Pacemakers, External</v>
          </cell>
          <cell r="I2269" t="str">
            <v>DEFIBRILLATOR PACER ANALYZER</v>
          </cell>
          <cell r="J2269" t="str">
            <v>17-882</v>
          </cell>
          <cell r="K2269" t="str">
            <v>MINDRAY</v>
          </cell>
          <cell r="L2269" t="str">
            <v>D3</v>
          </cell>
          <cell r="M2269"/>
          <cell r="N2269" t="str">
            <v>JABATAN PEMBEDAHAN AM</v>
          </cell>
          <cell r="O2269"/>
          <cell r="P2269"/>
          <cell r="Q2269">
            <v>16500</v>
          </cell>
        </row>
        <row r="2270">
          <cell r="E2270" t="str">
            <v>KKM/JKN/HSA/10-05-01/H/21/206</v>
          </cell>
          <cell r="F2270" t="str">
            <v xml:space="preserve">Diagnostic </v>
          </cell>
          <cell r="G2270" t="str">
            <v>Intermediate</v>
          </cell>
          <cell r="H2270" t="str">
            <v xml:space="preserve">Electrocardiographs, Multichannel, Interpretative </v>
          </cell>
          <cell r="I2270" t="str">
            <v>ECG (EKG) MACHINE</v>
          </cell>
          <cell r="J2270" t="str">
            <v>16-231</v>
          </cell>
          <cell r="K2270" t="str">
            <v>EDAN</v>
          </cell>
          <cell r="L2270" t="str">
            <v>SE 301</v>
          </cell>
          <cell r="M2270"/>
          <cell r="N2270" t="str">
            <v>JABATAN PEMBEDAHAN AM</v>
          </cell>
          <cell r="O2270"/>
          <cell r="P2270"/>
          <cell r="Q2270">
            <v>4200</v>
          </cell>
        </row>
        <row r="2271">
          <cell r="E2271" t="str">
            <v>KKM/JKN/HSA/10-05-01/H/21/335</v>
          </cell>
          <cell r="F2271" t="str">
            <v xml:space="preserve">Diagnostic </v>
          </cell>
          <cell r="G2271" t="str">
            <v>Intermediate</v>
          </cell>
          <cell r="H2271" t="str">
            <v>Physiologic Monitoring Systems, Acute Care</v>
          </cell>
          <cell r="I2271" t="str">
            <v>PATIENT MONITOR EQUIPMENT / VITAL SIGN MONITOR</v>
          </cell>
          <cell r="J2271" t="str">
            <v>12-647</v>
          </cell>
          <cell r="K2271" t="str">
            <v>MINDRAY</v>
          </cell>
          <cell r="L2271" t="str">
            <v>UMEC 15</v>
          </cell>
          <cell r="M2271"/>
          <cell r="N2271" t="str">
            <v>JABATAN PEDIATRIK</v>
          </cell>
          <cell r="O2271"/>
          <cell r="P2271"/>
          <cell r="Q2271">
            <v>19610</v>
          </cell>
        </row>
        <row r="2272">
          <cell r="E2272" t="str">
            <v>KKM/JKN/HSA/10-05-01/H/21/336</v>
          </cell>
          <cell r="F2272" t="str">
            <v xml:space="preserve">Diagnostic </v>
          </cell>
          <cell r="G2272" t="str">
            <v>Intermediate</v>
          </cell>
          <cell r="H2272" t="str">
            <v>Physiologic Monitoring Systems, Acute Care</v>
          </cell>
          <cell r="I2272" t="str">
            <v>PATIENT MONITOR EQUIPMENT / VITAL SIGN MONITOR</v>
          </cell>
          <cell r="J2272" t="str">
            <v>12-647</v>
          </cell>
          <cell r="K2272" t="str">
            <v>MINDRAY</v>
          </cell>
          <cell r="L2272" t="str">
            <v>UMEC 15</v>
          </cell>
          <cell r="M2272"/>
          <cell r="N2272" t="str">
            <v>JABATAN PEDIATRIK</v>
          </cell>
          <cell r="O2272"/>
          <cell r="P2272"/>
          <cell r="Q2272">
            <v>19610</v>
          </cell>
        </row>
        <row r="2273">
          <cell r="E2273" t="str">
            <v>KKM/JKN/HSA/10-05-01/H/21/339</v>
          </cell>
          <cell r="F2273" t="str">
            <v>Therapeutic</v>
          </cell>
          <cell r="G2273" t="str">
            <v>Intermediate</v>
          </cell>
          <cell r="H2273" t="str">
            <v>Ventilators, Intensive Care, Neonatal/Pediatric, High-Frequency</v>
          </cell>
          <cell r="I2273" t="str">
            <v>VENTILATOR (NEONATAL)</v>
          </cell>
          <cell r="J2273" t="str">
            <v>18-793</v>
          </cell>
          <cell r="K2273" t="str">
            <v>ACUTRONIC</v>
          </cell>
          <cell r="L2273" t="str">
            <v>FABIAN HFOi VENTILATOR</v>
          </cell>
          <cell r="M2273"/>
          <cell r="N2273" t="str">
            <v>JABATAN PEDIATRIK</v>
          </cell>
          <cell r="O2273"/>
          <cell r="P2273"/>
          <cell r="Q2273">
            <v>137000</v>
          </cell>
        </row>
        <row r="2274">
          <cell r="E2274" t="str">
            <v>KKM/JKN/HSA/10-05-01/H/21/337</v>
          </cell>
          <cell r="F2274" t="str">
            <v>Therapeutic</v>
          </cell>
          <cell r="G2274" t="str">
            <v>Intermediate</v>
          </cell>
          <cell r="H2274" t="str">
            <v>Ventilators, Intensive Care, Neonatal/Pediatric, High-Frequency</v>
          </cell>
          <cell r="I2274" t="str">
            <v>VENTILATOR / FABIAN THERAPY</v>
          </cell>
          <cell r="J2274" t="str">
            <v>18-793</v>
          </cell>
          <cell r="K2274" t="str">
            <v>ACUTRONIC</v>
          </cell>
          <cell r="L2274" t="str">
            <v>FABIAN THERAPY EVOLUTION VENTILATOR</v>
          </cell>
          <cell r="M2274"/>
          <cell r="N2274" t="str">
            <v>JABATAN PEDIATRIK</v>
          </cell>
          <cell r="O2274"/>
          <cell r="P2274"/>
          <cell r="Q2274">
            <v>56800</v>
          </cell>
        </row>
        <row r="2275">
          <cell r="E2275" t="str">
            <v>KKM/JKN/HSA/10-05-01/R/22/11</v>
          </cell>
          <cell r="F2275" t="str">
            <v>Therapeutic</v>
          </cell>
          <cell r="G2275" t="str">
            <v>Basic</v>
          </cell>
          <cell r="H2275" t="str">
            <v>Mattress Systems, Alternating-Pressure</v>
          </cell>
          <cell r="I2275" t="str">
            <v>RIPPLE MATTRESS</v>
          </cell>
          <cell r="J2275" t="str">
            <v>18-147</v>
          </cell>
          <cell r="K2275" t="str">
            <v>LKL</v>
          </cell>
          <cell r="L2275" t="str">
            <v>BX422</v>
          </cell>
          <cell r="M2275"/>
          <cell r="N2275" t="str">
            <v>JABATAN ANESTESIOLOGI</v>
          </cell>
          <cell r="O2275"/>
          <cell r="P2275"/>
          <cell r="Q2275">
            <v>950</v>
          </cell>
        </row>
        <row r="2276">
          <cell r="E2276" t="str">
            <v>KKM/JKN/HSA/10-05-01/R/22/12</v>
          </cell>
          <cell r="F2276" t="str">
            <v>Therapeutic</v>
          </cell>
          <cell r="G2276" t="str">
            <v>Basic</v>
          </cell>
          <cell r="H2276" t="str">
            <v>Mattress Systems, Alternating-Pressure</v>
          </cell>
          <cell r="I2276" t="str">
            <v>RIPPLE MATTRESS</v>
          </cell>
          <cell r="J2276" t="str">
            <v>18-147</v>
          </cell>
          <cell r="K2276" t="str">
            <v>LKL</v>
          </cell>
          <cell r="L2276" t="str">
            <v>BX422</v>
          </cell>
          <cell r="M2276"/>
          <cell r="N2276" t="str">
            <v>JABATAN ANESTESIOLOGI</v>
          </cell>
          <cell r="O2276"/>
          <cell r="P2276"/>
          <cell r="Q2276">
            <v>950</v>
          </cell>
        </row>
        <row r="2277">
          <cell r="E2277" t="str">
            <v>KKM/JKN/HSA/10-05-01/R/22/13</v>
          </cell>
          <cell r="F2277" t="str">
            <v>Therapeutic</v>
          </cell>
          <cell r="G2277" t="str">
            <v>Basic</v>
          </cell>
          <cell r="H2277" t="str">
            <v>Mattress Systems, Alternating-Pressure</v>
          </cell>
          <cell r="I2277" t="str">
            <v>RIPPLE MATTRESS</v>
          </cell>
          <cell r="J2277" t="str">
            <v>18-147</v>
          </cell>
          <cell r="K2277" t="str">
            <v>LKL</v>
          </cell>
          <cell r="L2277" t="str">
            <v>BX422</v>
          </cell>
          <cell r="M2277"/>
          <cell r="N2277" t="str">
            <v>JABATAN ANESTESIOLOGI</v>
          </cell>
          <cell r="O2277"/>
          <cell r="P2277"/>
          <cell r="Q2277">
            <v>950</v>
          </cell>
        </row>
        <row r="2278">
          <cell r="E2278" t="str">
            <v>KKM/JKN/HSA/10-05-01/R/22/14</v>
          </cell>
          <cell r="F2278" t="str">
            <v>Therapeutic</v>
          </cell>
          <cell r="G2278" t="str">
            <v>Basic</v>
          </cell>
          <cell r="H2278" t="str">
            <v>Mattress Systems, Alternating-Pressure</v>
          </cell>
          <cell r="I2278" t="str">
            <v>RIPPLE MATTRESS</v>
          </cell>
          <cell r="J2278" t="str">
            <v>18-147</v>
          </cell>
          <cell r="K2278" t="str">
            <v>LKL</v>
          </cell>
          <cell r="L2278" t="str">
            <v>BX422</v>
          </cell>
          <cell r="M2278"/>
          <cell r="N2278" t="str">
            <v>JABATAN ANESTESIOLOGI</v>
          </cell>
          <cell r="O2278"/>
          <cell r="P2278"/>
          <cell r="Q2278">
            <v>950</v>
          </cell>
        </row>
        <row r="2279">
          <cell r="E2279" t="str">
            <v>KKM/JKN/HSA/10-05-01/R/22/15</v>
          </cell>
          <cell r="F2279" t="str">
            <v>Therapeutic</v>
          </cell>
          <cell r="G2279" t="str">
            <v>Basic</v>
          </cell>
          <cell r="H2279" t="str">
            <v>Mattress Systems, Alternating-Pressure</v>
          </cell>
          <cell r="I2279" t="str">
            <v>RIPPLE MATTRESS</v>
          </cell>
          <cell r="J2279" t="str">
            <v>18-147</v>
          </cell>
          <cell r="K2279" t="str">
            <v>LKL</v>
          </cell>
          <cell r="L2279" t="str">
            <v>BX422</v>
          </cell>
          <cell r="M2279"/>
          <cell r="N2279" t="str">
            <v>JABATAN ANESTESIOLOGI</v>
          </cell>
          <cell r="O2279"/>
          <cell r="P2279"/>
          <cell r="Q2279">
            <v>950</v>
          </cell>
        </row>
        <row r="2280">
          <cell r="E2280" t="str">
            <v>KKM/JKN/HSA/10-05-01/R/22/16</v>
          </cell>
          <cell r="F2280" t="str">
            <v xml:space="preserve">Diagnostic </v>
          </cell>
          <cell r="G2280" t="str">
            <v>Basic</v>
          </cell>
          <cell r="H2280" t="str">
            <v>Fetal Heart Detectors, Ultrasonic</v>
          </cell>
          <cell r="I2280" t="str">
            <v>FETAL HEART MONITOR</v>
          </cell>
          <cell r="J2280" t="str">
            <v>11-696</v>
          </cell>
          <cell r="K2280" t="str">
            <v>EDAN</v>
          </cell>
          <cell r="L2280" t="str">
            <v>SONOTRAX BASIC A</v>
          </cell>
          <cell r="M2280"/>
          <cell r="N2280" t="str">
            <v>JABATAN OBSTETRIK &amp; GINEKOLOGI</v>
          </cell>
          <cell r="O2280"/>
          <cell r="P2280"/>
          <cell r="Q2280">
            <v>950</v>
          </cell>
        </row>
        <row r="2281">
          <cell r="E2281" t="str">
            <v>KKM/JKN/HSA/10-05-01/R/22/17</v>
          </cell>
          <cell r="F2281" t="str">
            <v xml:space="preserve">Diagnostic </v>
          </cell>
          <cell r="G2281" t="str">
            <v>Basic</v>
          </cell>
          <cell r="H2281" t="str">
            <v>Fetal Heart Detectors, Ultrasonic</v>
          </cell>
          <cell r="I2281" t="str">
            <v>FETAL HEART MONITOR</v>
          </cell>
          <cell r="J2281" t="str">
            <v>11-696</v>
          </cell>
          <cell r="K2281" t="str">
            <v>EDAN</v>
          </cell>
          <cell r="L2281" t="str">
            <v>SONOTRAX BASIC A</v>
          </cell>
          <cell r="M2281"/>
          <cell r="N2281" t="str">
            <v>JABATAN OBSTETRIK &amp; GINEKOLOGI</v>
          </cell>
          <cell r="O2281"/>
          <cell r="P2281"/>
          <cell r="Q2281">
            <v>950</v>
          </cell>
        </row>
        <row r="2282">
          <cell r="E2282" t="str">
            <v>KKM/JKN/HSA/10-05-01/R/22/18</v>
          </cell>
          <cell r="F2282" t="str">
            <v xml:space="preserve">Diagnostic </v>
          </cell>
          <cell r="G2282" t="str">
            <v>Basic</v>
          </cell>
          <cell r="H2282" t="str">
            <v>Fetal Heart Detectors, Ultrasonic</v>
          </cell>
          <cell r="I2282" t="str">
            <v>FETAL HEART MONITOR</v>
          </cell>
          <cell r="J2282" t="str">
            <v>11-696</v>
          </cell>
          <cell r="K2282" t="str">
            <v>EDAN</v>
          </cell>
          <cell r="L2282" t="str">
            <v>SONOTRAX BASIC A</v>
          </cell>
          <cell r="M2282"/>
          <cell r="N2282" t="str">
            <v>JABATAN OBSTETRIK &amp; GINEKOLOGI</v>
          </cell>
          <cell r="O2282"/>
          <cell r="P2282"/>
          <cell r="Q2282">
            <v>950</v>
          </cell>
        </row>
        <row r="2283">
          <cell r="E2283" t="str">
            <v>KKM/JKN/HSA/10-05-01/R/22/19</v>
          </cell>
          <cell r="F2283" t="str">
            <v xml:space="preserve">Diagnostic </v>
          </cell>
          <cell r="G2283" t="str">
            <v>Basic</v>
          </cell>
          <cell r="H2283" t="str">
            <v>Fetal Heart Detectors, Ultrasonic</v>
          </cell>
          <cell r="I2283" t="str">
            <v>FETAL HEART MONITOR</v>
          </cell>
          <cell r="J2283" t="str">
            <v>11-696</v>
          </cell>
          <cell r="K2283" t="str">
            <v>EDAN</v>
          </cell>
          <cell r="L2283" t="str">
            <v>SONOTRAX BASIC A</v>
          </cell>
          <cell r="M2283"/>
          <cell r="N2283" t="str">
            <v>JABATAN OBSTETRIK &amp; GINEKOLOGI</v>
          </cell>
          <cell r="O2283"/>
          <cell r="P2283"/>
          <cell r="Q2283">
            <v>950</v>
          </cell>
        </row>
        <row r="2284">
          <cell r="E2284" t="str">
            <v>KKM/JKN/HSA/10-05-01/H/22/19</v>
          </cell>
          <cell r="F2284" t="str">
            <v>Therapeutic</v>
          </cell>
          <cell r="G2284" t="str">
            <v>Intermediate</v>
          </cell>
          <cell r="H2284" t="str">
            <v>Ventilators, Transport</v>
          </cell>
          <cell r="I2284" t="str">
            <v>VENTILATOR</v>
          </cell>
          <cell r="J2284" t="str">
            <v>18-098</v>
          </cell>
          <cell r="K2284" t="str">
            <v>RESMED</v>
          </cell>
          <cell r="L2284" t="str">
            <v>STELLAR 150</v>
          </cell>
          <cell r="M2284"/>
          <cell r="N2284" t="str">
            <v>JABATAN PEDIATRIK</v>
          </cell>
          <cell r="O2284"/>
          <cell r="P2284"/>
          <cell r="Q2284">
            <v>26000</v>
          </cell>
        </row>
        <row r="2285">
          <cell r="E2285" t="str">
            <v>KKM/JKN/HSA/10-05-01/H/22/20</v>
          </cell>
          <cell r="F2285" t="str">
            <v>Therapeutic</v>
          </cell>
          <cell r="G2285" t="str">
            <v>Intermediate</v>
          </cell>
          <cell r="H2285" t="str">
            <v>Ventilators, Transport</v>
          </cell>
          <cell r="I2285" t="str">
            <v>VENTILATOR</v>
          </cell>
          <cell r="J2285" t="str">
            <v>18-098</v>
          </cell>
          <cell r="K2285" t="str">
            <v>RESMED</v>
          </cell>
          <cell r="L2285" t="str">
            <v>STELLAR 150</v>
          </cell>
          <cell r="M2285"/>
          <cell r="N2285" t="str">
            <v>JABATAN PEDIATRIK</v>
          </cell>
          <cell r="O2285"/>
          <cell r="P2285"/>
          <cell r="Q2285">
            <v>26000</v>
          </cell>
        </row>
        <row r="2286">
          <cell r="E2286" t="str">
            <v>KKM/JKN/HSA/10-05-01/H/22/21</v>
          </cell>
          <cell r="F2286" t="str">
            <v>Therapeutic</v>
          </cell>
          <cell r="G2286" t="str">
            <v>Intermediate</v>
          </cell>
          <cell r="H2286" t="str">
            <v>Ventilators, Transport</v>
          </cell>
          <cell r="I2286" t="str">
            <v>VENTILATOR</v>
          </cell>
          <cell r="J2286" t="str">
            <v>18-098</v>
          </cell>
          <cell r="K2286" t="str">
            <v>RESMED</v>
          </cell>
          <cell r="L2286" t="str">
            <v>STELLAR 150</v>
          </cell>
          <cell r="M2286"/>
          <cell r="N2286" t="str">
            <v>JABATAN PEDIATRIK</v>
          </cell>
          <cell r="O2286"/>
          <cell r="P2286"/>
          <cell r="Q2286">
            <v>26000</v>
          </cell>
        </row>
        <row r="2287">
          <cell r="E2287" t="str">
            <v>KKM/JKN/HSA/10-05-01/H/21/143</v>
          </cell>
          <cell r="F2287" t="str">
            <v>Therapeutic</v>
          </cell>
          <cell r="G2287" t="str">
            <v>Intermediate</v>
          </cell>
          <cell r="H2287" t="str">
            <v>Infusion Pumps, Syringe</v>
          </cell>
          <cell r="I2287" t="str">
            <v>SYRINGE INFUSION PUMP</v>
          </cell>
          <cell r="J2287" t="str">
            <v>13-217</v>
          </cell>
          <cell r="K2287" t="str">
            <v>MINDRAY</v>
          </cell>
          <cell r="L2287" t="str">
            <v>8521B-CTO-S01</v>
          </cell>
          <cell r="M2287"/>
          <cell r="N2287" t="str">
            <v>JABATAN PERUBATAN AM</v>
          </cell>
          <cell r="O2287"/>
          <cell r="P2287"/>
          <cell r="Q2287">
            <v>4200</v>
          </cell>
        </row>
        <row r="2288">
          <cell r="E2288" t="str">
            <v>KKM/JKN/HSA/10-05-01/H/21/455</v>
          </cell>
          <cell r="F2288" t="str">
            <v>Therapeutic</v>
          </cell>
          <cell r="G2288" t="str">
            <v>Basic</v>
          </cell>
          <cell r="H2288" t="str">
            <v>Warming Units, Patient, Radiant, Infant</v>
          </cell>
          <cell r="I2288" t="str">
            <v>INFANT WARMER (RADIANT)</v>
          </cell>
          <cell r="J2288" t="str">
            <v>17-956</v>
          </cell>
          <cell r="K2288" t="str">
            <v>ATOM</v>
          </cell>
          <cell r="L2288" t="str">
            <v>SUNFLOWER WARMER STAND</v>
          </cell>
          <cell r="M2288"/>
          <cell r="N2288" t="str">
            <v>JABATAN PEDIATRIK</v>
          </cell>
          <cell r="O2288"/>
          <cell r="P2288"/>
          <cell r="Q2288">
            <v>18000</v>
          </cell>
        </row>
        <row r="2289">
          <cell r="E2289" t="str">
            <v>KKM/JKN/HSA/10-05-01/H/22/2</v>
          </cell>
          <cell r="F2289" t="str">
            <v xml:space="preserve">Diagnostic </v>
          </cell>
          <cell r="G2289" t="str">
            <v>Intermediate</v>
          </cell>
          <cell r="H2289" t="str">
            <v>Physiologic Monitoring Systems, Acute Care</v>
          </cell>
          <cell r="I2289" t="str">
            <v>PATIENT MONITOR EQUIPMENT</v>
          </cell>
          <cell r="J2289" t="str">
            <v>12-647</v>
          </cell>
          <cell r="K2289" t="str">
            <v>EDAN</v>
          </cell>
          <cell r="L2289" t="str">
            <v>X SERIES X12</v>
          </cell>
          <cell r="M2289"/>
          <cell r="N2289" t="str">
            <v>JABATAN PEDIATRIK</v>
          </cell>
          <cell r="O2289"/>
          <cell r="P2289"/>
          <cell r="Q2289">
            <v>7280</v>
          </cell>
        </row>
        <row r="2290">
          <cell r="E2290" t="str">
            <v>KKM/JKN/HSA/10-05-01/H/22/5</v>
          </cell>
          <cell r="F2290" t="str">
            <v xml:space="preserve">Diagnostic </v>
          </cell>
          <cell r="G2290" t="str">
            <v>Intermediate</v>
          </cell>
          <cell r="H2290" t="str">
            <v>Physiologic Monitoring Systems, Acute Care</v>
          </cell>
          <cell r="I2290" t="str">
            <v>PATIENT MONITOR EQUIPMENT</v>
          </cell>
          <cell r="J2290" t="str">
            <v>12-647</v>
          </cell>
          <cell r="K2290" t="str">
            <v>MINDRAY</v>
          </cell>
          <cell r="L2290" t="str">
            <v>M2K3B-CTO-S01</v>
          </cell>
          <cell r="M2290"/>
          <cell r="N2290" t="str">
            <v>JABATAN PEDIATRIK</v>
          </cell>
          <cell r="O2290"/>
          <cell r="P2290"/>
          <cell r="Q2290">
            <v>9000</v>
          </cell>
        </row>
        <row r="2291">
          <cell r="E2291" t="str">
            <v>KKM/JKN/HSA/10-05-01/H/22/4</v>
          </cell>
          <cell r="F2291" t="str">
            <v xml:space="preserve">Diagnostic </v>
          </cell>
          <cell r="G2291" t="str">
            <v>Intermediate</v>
          </cell>
          <cell r="H2291" t="str">
            <v>Physiologic Monitoring Systems, Acute Care</v>
          </cell>
          <cell r="I2291" t="str">
            <v>PATIENT MONITOR EQUIPMENT</v>
          </cell>
          <cell r="J2291" t="str">
            <v>12-647</v>
          </cell>
          <cell r="K2291" t="str">
            <v>MINDRAY</v>
          </cell>
          <cell r="L2291" t="str">
            <v>M2K3B-CTO-S01</v>
          </cell>
          <cell r="M2291"/>
          <cell r="N2291" t="str">
            <v>JABATAN PEDIATRIK</v>
          </cell>
          <cell r="O2291"/>
          <cell r="P2291"/>
          <cell r="Q2291">
            <v>9000</v>
          </cell>
        </row>
        <row r="2292">
          <cell r="E2292" t="str">
            <v>KKM/JKN/HSA/10-05-01/H/22/39</v>
          </cell>
          <cell r="F2292" t="str">
            <v xml:space="preserve">Diagnostic </v>
          </cell>
          <cell r="G2292" t="str">
            <v>Intermediate</v>
          </cell>
          <cell r="H2292" t="str">
            <v>Cardiotocographs</v>
          </cell>
          <cell r="I2292" t="str">
            <v>CTG MACHINE</v>
          </cell>
          <cell r="J2292" t="str">
            <v>12-610</v>
          </cell>
          <cell r="K2292" t="str">
            <v>EDAN</v>
          </cell>
          <cell r="L2292" t="str">
            <v>F9</v>
          </cell>
          <cell r="M2292"/>
          <cell r="N2292" t="str">
            <v>JABATAN OBSTETRIK &amp; GINEKOLOGI</v>
          </cell>
          <cell r="O2292"/>
          <cell r="P2292"/>
          <cell r="Q2292">
            <v>18000</v>
          </cell>
        </row>
        <row r="2293">
          <cell r="E2293" t="str">
            <v>KKM/JKN/HSA/10-05-01/H/22/40</v>
          </cell>
          <cell r="F2293" t="str">
            <v xml:space="preserve">Diagnostic </v>
          </cell>
          <cell r="G2293" t="str">
            <v>Intermediate</v>
          </cell>
          <cell r="H2293" t="str">
            <v>Cardiotocographs</v>
          </cell>
          <cell r="I2293" t="str">
            <v>CTG MACHINE</v>
          </cell>
          <cell r="J2293" t="str">
            <v>12-610</v>
          </cell>
          <cell r="K2293" t="str">
            <v>EDAN</v>
          </cell>
          <cell r="L2293" t="str">
            <v>F9</v>
          </cell>
          <cell r="M2293"/>
          <cell r="N2293" t="str">
            <v>JABATAN OBSTETRIK &amp; GINEKOLOGI</v>
          </cell>
          <cell r="O2293"/>
          <cell r="P2293"/>
          <cell r="Q2293">
            <v>18000</v>
          </cell>
        </row>
        <row r="2294">
          <cell r="E2294" t="str">
            <v>KKM/JKN/HSA/10-05-01/R/22/31</v>
          </cell>
          <cell r="F2294" t="str">
            <v xml:space="preserve">Diagnostic </v>
          </cell>
          <cell r="G2294" t="str">
            <v>Basic</v>
          </cell>
          <cell r="H2294" t="str">
            <v>Laryngoscopes, Rigid</v>
          </cell>
          <cell r="I2294" t="str">
            <v>LARYNGOSCOPE</v>
          </cell>
          <cell r="J2294" t="str">
            <v>15-076</v>
          </cell>
          <cell r="K2294" t="str">
            <v>PARKER</v>
          </cell>
          <cell r="L2294" t="str">
            <v>REUSABLE FIBREOPTIC MACINTOSH</v>
          </cell>
          <cell r="M2294"/>
          <cell r="N2294" t="str">
            <v>PAKAR PERUBATAN SURGERI AM</v>
          </cell>
          <cell r="O2294"/>
          <cell r="P2294"/>
          <cell r="Q2294">
            <v>1250</v>
          </cell>
        </row>
        <row r="2295">
          <cell r="E2295" t="str">
            <v>KKM/JKN/HSA/10-05-01/H/22/328</v>
          </cell>
          <cell r="F2295" t="str">
            <v>Therapeutic</v>
          </cell>
          <cell r="G2295" t="str">
            <v>Intermediate</v>
          </cell>
          <cell r="H2295" t="str">
            <v>Incubator,Infant</v>
          </cell>
          <cell r="I2295" t="str">
            <v>INCUBATOR</v>
          </cell>
          <cell r="J2295" t="str">
            <v>12-113</v>
          </cell>
          <cell r="K2295" t="str">
            <v>ATOM</v>
          </cell>
          <cell r="L2295" t="str">
            <v>AIR INCU I</v>
          </cell>
          <cell r="M2295"/>
          <cell r="N2295" t="str">
            <v>JABATAN PEDIATRIK</v>
          </cell>
          <cell r="O2295"/>
          <cell r="P2295"/>
          <cell r="Q2295">
            <v>28000</v>
          </cell>
        </row>
        <row r="2296">
          <cell r="E2296" t="str">
            <v>KKM/JKN/HSA/10-05-01/H/21/452</v>
          </cell>
          <cell r="F2296" t="str">
            <v>Therapeutic</v>
          </cell>
          <cell r="G2296" t="str">
            <v>Intermediate</v>
          </cell>
          <cell r="H2296" t="str">
            <v>Concentrators, Oxygen</v>
          </cell>
          <cell r="I2296" t="str">
            <v>OXYGEN CONCENTRATOR</v>
          </cell>
          <cell r="J2296" t="str">
            <v>12-873</v>
          </cell>
          <cell r="K2296" t="str">
            <v>ANGEL</v>
          </cell>
          <cell r="L2296" t="str">
            <v>002-5AH</v>
          </cell>
          <cell r="M2296"/>
          <cell r="N2296" t="str">
            <v>PAKAR PERUBATAN SURGERI AM</v>
          </cell>
          <cell r="O2296"/>
          <cell r="P2296"/>
          <cell r="Q2296">
            <v>3650</v>
          </cell>
        </row>
        <row r="2297">
          <cell r="E2297" t="str">
            <v>KKM/JKN/HSA/10-05-01/H/21/453</v>
          </cell>
          <cell r="F2297" t="str">
            <v>Therapeutic</v>
          </cell>
          <cell r="G2297" t="str">
            <v>Intermediate</v>
          </cell>
          <cell r="H2297" t="str">
            <v>Concentrators, Oxygen</v>
          </cell>
          <cell r="I2297" t="str">
            <v>OXYGEN CONCENTRATOR</v>
          </cell>
          <cell r="J2297" t="str">
            <v>12-873</v>
          </cell>
          <cell r="K2297" t="str">
            <v>ANGEL</v>
          </cell>
          <cell r="L2297" t="str">
            <v>002-5AH</v>
          </cell>
          <cell r="M2297"/>
          <cell r="N2297" t="str">
            <v>PAKAR PERUBATAN SURGERI AM</v>
          </cell>
          <cell r="O2297"/>
          <cell r="P2297"/>
          <cell r="Q2297">
            <v>3650</v>
          </cell>
        </row>
        <row r="2298">
          <cell r="E2298" t="str">
            <v>KKM/JKN/HSA/10-05-01/H/21/227</v>
          </cell>
          <cell r="F2298" t="str">
            <v>Therapeutic</v>
          </cell>
          <cell r="G2298" t="str">
            <v>Intermediate</v>
          </cell>
          <cell r="H2298" t="str">
            <v>Infusion Pumps, General-Purpose</v>
          </cell>
          <cell r="I2298" t="str">
            <v>VOLUMETRIC PUMP</v>
          </cell>
          <cell r="J2298" t="str">
            <v>13-215</v>
          </cell>
          <cell r="K2298" t="str">
            <v>MEDCAPTAIN</v>
          </cell>
          <cell r="L2298" t="str">
            <v>SYS 6010A</v>
          </cell>
          <cell r="M2298"/>
          <cell r="N2298" t="str">
            <v>JABATAN ORTOPEDIK</v>
          </cell>
          <cell r="O2298"/>
          <cell r="P2298"/>
          <cell r="Q2298">
            <v>2400</v>
          </cell>
        </row>
        <row r="2299">
          <cell r="E2299" t="str">
            <v>KKM/JKN/HSA/10-05-01/H/21/228</v>
          </cell>
          <cell r="F2299" t="str">
            <v>Therapeutic</v>
          </cell>
          <cell r="G2299" t="str">
            <v>Intermediate</v>
          </cell>
          <cell r="H2299" t="str">
            <v>Infusion Pumps, General-Purpose</v>
          </cell>
          <cell r="I2299" t="str">
            <v>VOLUMETRIC PUMP</v>
          </cell>
          <cell r="J2299" t="str">
            <v>13-215</v>
          </cell>
          <cell r="K2299" t="str">
            <v>MEDCAPTAIN</v>
          </cell>
          <cell r="L2299" t="str">
            <v>SYS 6010A</v>
          </cell>
          <cell r="M2299"/>
          <cell r="N2299" t="str">
            <v>JABATAN ORTOPEDIK</v>
          </cell>
          <cell r="O2299"/>
          <cell r="P2299"/>
          <cell r="Q2299">
            <v>2400</v>
          </cell>
        </row>
        <row r="2300">
          <cell r="E2300" t="str">
            <v>KKM/JKN/HSA/10-05-01/H/21/229</v>
          </cell>
          <cell r="F2300" t="str">
            <v>Therapeutic</v>
          </cell>
          <cell r="G2300" t="str">
            <v>Intermediate</v>
          </cell>
          <cell r="H2300" t="str">
            <v>Infusion Pumps, General-Purpose</v>
          </cell>
          <cell r="I2300" t="str">
            <v>VOLUMETRIC PUMP</v>
          </cell>
          <cell r="J2300" t="str">
            <v>13-215</v>
          </cell>
          <cell r="K2300" t="str">
            <v>MEDCAPTAIN</v>
          </cell>
          <cell r="L2300" t="str">
            <v>SYS 6010A</v>
          </cell>
          <cell r="M2300"/>
          <cell r="N2300" t="str">
            <v>JABATAN ORTOPEDIK</v>
          </cell>
          <cell r="O2300"/>
          <cell r="P2300"/>
          <cell r="Q2300">
            <v>2400</v>
          </cell>
        </row>
        <row r="2301">
          <cell r="E2301" t="str">
            <v>KKM/JKN/HSA/10-05-01/H/21/231</v>
          </cell>
          <cell r="F2301" t="str">
            <v>Therapeutic</v>
          </cell>
          <cell r="G2301" t="str">
            <v>Intermediate</v>
          </cell>
          <cell r="H2301" t="str">
            <v>Infusion Pumps, General-Purpose</v>
          </cell>
          <cell r="I2301" t="str">
            <v>VOLUMETRIC PUMP</v>
          </cell>
          <cell r="J2301" t="str">
            <v>13-215</v>
          </cell>
          <cell r="K2301" t="str">
            <v>MEDCAPTAIN</v>
          </cell>
          <cell r="L2301" t="str">
            <v>SYS 6010A</v>
          </cell>
          <cell r="M2301"/>
          <cell r="N2301" t="str">
            <v>JABATAN OBSTETRIK &amp; GINEKOLOGI</v>
          </cell>
          <cell r="O2301"/>
          <cell r="P2301"/>
          <cell r="Q2301">
            <v>2400</v>
          </cell>
        </row>
        <row r="2302">
          <cell r="E2302" t="str">
            <v>KKM/JKN/HSA/10-05-01/H/21/232</v>
          </cell>
          <cell r="F2302" t="str">
            <v>Therapeutic</v>
          </cell>
          <cell r="G2302" t="str">
            <v>Intermediate</v>
          </cell>
          <cell r="H2302" t="str">
            <v>Infusion Pumps, General-Purpose</v>
          </cell>
          <cell r="I2302" t="str">
            <v>VOLUMETRIC PUMP</v>
          </cell>
          <cell r="J2302" t="str">
            <v>13-215</v>
          </cell>
          <cell r="K2302" t="str">
            <v>MEDCAPTAIN</v>
          </cell>
          <cell r="L2302" t="str">
            <v>SYS 6010A</v>
          </cell>
          <cell r="M2302"/>
          <cell r="N2302" t="str">
            <v>JABATAN OBSTETRIK &amp; GINEKOLOGI</v>
          </cell>
          <cell r="O2302"/>
          <cell r="P2302"/>
          <cell r="Q2302">
            <v>2400</v>
          </cell>
        </row>
        <row r="2303">
          <cell r="E2303" t="str">
            <v>KKM/JKN/HSA/10-05-01/H/21/233</v>
          </cell>
          <cell r="F2303" t="str">
            <v>Therapeutic</v>
          </cell>
          <cell r="G2303" t="str">
            <v>Intermediate</v>
          </cell>
          <cell r="H2303" t="str">
            <v>Infusion Pumps, General-Purpose</v>
          </cell>
          <cell r="I2303" t="str">
            <v>VOLUMETRIC PUMP</v>
          </cell>
          <cell r="J2303" t="str">
            <v>13-215</v>
          </cell>
          <cell r="K2303" t="str">
            <v>MEDCAPTAIN</v>
          </cell>
          <cell r="L2303" t="str">
            <v>SYS 6010A</v>
          </cell>
          <cell r="M2303"/>
          <cell r="N2303" t="str">
            <v>JABATAN OBSTETRIK &amp; GINEKOLOGI</v>
          </cell>
          <cell r="O2303"/>
          <cell r="P2303"/>
          <cell r="Q2303">
            <v>2400</v>
          </cell>
        </row>
        <row r="2304">
          <cell r="E2304" t="str">
            <v>KKM/JKN/HSA/10-05-01/H/21/234</v>
          </cell>
          <cell r="F2304" t="str">
            <v>Therapeutic</v>
          </cell>
          <cell r="G2304" t="str">
            <v>Intermediate</v>
          </cell>
          <cell r="H2304" t="str">
            <v>Infusion Pumps, General-Purpose</v>
          </cell>
          <cell r="I2304" t="str">
            <v>VOLUMETRIC PUMP</v>
          </cell>
          <cell r="J2304" t="str">
            <v>13-215</v>
          </cell>
          <cell r="K2304" t="str">
            <v>MEDCAPTAIN</v>
          </cell>
          <cell r="L2304" t="str">
            <v>SYS 6010A</v>
          </cell>
          <cell r="M2304"/>
          <cell r="N2304" t="str">
            <v>JABATAN PERUBATAN AM</v>
          </cell>
          <cell r="O2304"/>
          <cell r="P2304"/>
          <cell r="Q2304">
            <v>2400</v>
          </cell>
        </row>
        <row r="2305">
          <cell r="E2305" t="str">
            <v>KKM/JKN/HSA/10-05-01/H/21/235</v>
          </cell>
          <cell r="F2305" t="str">
            <v>Therapeutic</v>
          </cell>
          <cell r="G2305" t="str">
            <v>Intermediate</v>
          </cell>
          <cell r="H2305" t="str">
            <v>Infusion Pumps, General-Purpose</v>
          </cell>
          <cell r="I2305" t="str">
            <v>VOLUMETRIC PUMP</v>
          </cell>
          <cell r="J2305" t="str">
            <v>13-215</v>
          </cell>
          <cell r="K2305" t="str">
            <v>MEDCAPTAIN</v>
          </cell>
          <cell r="L2305" t="str">
            <v>SYS 6010A</v>
          </cell>
          <cell r="M2305"/>
          <cell r="N2305" t="str">
            <v>JABATAN PERUBATAN AM</v>
          </cell>
          <cell r="O2305"/>
          <cell r="P2305"/>
          <cell r="Q2305">
            <v>2400</v>
          </cell>
        </row>
        <row r="2306">
          <cell r="E2306" t="str">
            <v>KKM/JKN/HSA/10-05-01/H/21/236</v>
          </cell>
          <cell r="F2306" t="str">
            <v>Therapeutic</v>
          </cell>
          <cell r="G2306" t="str">
            <v>Intermediate</v>
          </cell>
          <cell r="H2306" t="str">
            <v>Infusion Pumps, General-Purpose</v>
          </cell>
          <cell r="I2306" t="str">
            <v>VOLUMETRIC PUMP</v>
          </cell>
          <cell r="J2306" t="str">
            <v>13-215</v>
          </cell>
          <cell r="K2306" t="str">
            <v>MEDCAPTAIN</v>
          </cell>
          <cell r="L2306" t="str">
            <v>SYS 6010A</v>
          </cell>
          <cell r="M2306"/>
          <cell r="N2306" t="str">
            <v>JABATAN PERUBATAN AM</v>
          </cell>
          <cell r="O2306"/>
          <cell r="P2306"/>
          <cell r="Q2306">
            <v>2400</v>
          </cell>
        </row>
        <row r="2307">
          <cell r="E2307" t="str">
            <v>KKM/JKN/HSA/10-05-01/H/21/237</v>
          </cell>
          <cell r="F2307" t="str">
            <v>Therapeutic</v>
          </cell>
          <cell r="G2307" t="str">
            <v>Intermediate</v>
          </cell>
          <cell r="H2307" t="str">
            <v>Infusion Pumps, General-Purpose</v>
          </cell>
          <cell r="I2307" t="str">
            <v>VOLUMETRIC PUMP</v>
          </cell>
          <cell r="J2307" t="str">
            <v>13-215</v>
          </cell>
          <cell r="K2307" t="str">
            <v>MEDCAPTAIN</v>
          </cell>
          <cell r="L2307" t="str">
            <v>SYS 6010A</v>
          </cell>
          <cell r="M2307"/>
          <cell r="N2307" t="str">
            <v>JABATAN PERUBATAN AM</v>
          </cell>
          <cell r="O2307"/>
          <cell r="P2307"/>
          <cell r="Q2307">
            <v>2400</v>
          </cell>
        </row>
        <row r="2308">
          <cell r="E2308" t="str">
            <v>KKM/JKN/HSA/10-05-01/H/21/238</v>
          </cell>
          <cell r="F2308" t="str">
            <v>Therapeutic</v>
          </cell>
          <cell r="G2308" t="str">
            <v>Intermediate</v>
          </cell>
          <cell r="H2308" t="str">
            <v>Infusion Pumps, General-Purpose</v>
          </cell>
          <cell r="I2308" t="str">
            <v>VOLUMETRIC PUMP</v>
          </cell>
          <cell r="J2308" t="str">
            <v>13-215</v>
          </cell>
          <cell r="K2308" t="str">
            <v>MEDCAPTAIN</v>
          </cell>
          <cell r="L2308" t="str">
            <v>SYS 6010A</v>
          </cell>
          <cell r="M2308"/>
          <cell r="N2308" t="str">
            <v>JABATAN PERUBATAN AM</v>
          </cell>
          <cell r="O2308"/>
          <cell r="P2308"/>
          <cell r="Q2308">
            <v>2400</v>
          </cell>
        </row>
        <row r="2309">
          <cell r="E2309" t="str">
            <v>KKM/JKN/HSA/10-05-01/H/21/239</v>
          </cell>
          <cell r="F2309" t="str">
            <v>Therapeutic</v>
          </cell>
          <cell r="G2309" t="str">
            <v>Intermediate</v>
          </cell>
          <cell r="H2309" t="str">
            <v>Infusion Pumps, General-Purpose</v>
          </cell>
          <cell r="I2309" t="str">
            <v>VOLUMETRIC PUMP</v>
          </cell>
          <cell r="J2309" t="str">
            <v>13-215</v>
          </cell>
          <cell r="K2309" t="str">
            <v>MEDCAPTAIN</v>
          </cell>
          <cell r="L2309" t="str">
            <v>SYS 6010A</v>
          </cell>
          <cell r="M2309"/>
          <cell r="N2309" t="str">
            <v>JABATAN PERUBATAN AM</v>
          </cell>
          <cell r="O2309"/>
          <cell r="P2309"/>
          <cell r="Q2309">
            <v>2400</v>
          </cell>
        </row>
        <row r="2310">
          <cell r="E2310" t="str">
            <v>KKM/JKN/HSA/10-05-01/H/21/240</v>
          </cell>
          <cell r="F2310" t="str">
            <v>Therapeutic</v>
          </cell>
          <cell r="G2310" t="str">
            <v>Intermediate</v>
          </cell>
          <cell r="H2310" t="str">
            <v>Infusion Pumps, General-Purpose</v>
          </cell>
          <cell r="I2310" t="str">
            <v>VOLUMETRIC PUMP</v>
          </cell>
          <cell r="J2310" t="str">
            <v>13-215</v>
          </cell>
          <cell r="K2310" t="str">
            <v>MEDCAPTAIN</v>
          </cell>
          <cell r="L2310" t="str">
            <v>SYS 6010A</v>
          </cell>
          <cell r="M2310"/>
          <cell r="N2310" t="str">
            <v>JABATAN PERUBATAN AM</v>
          </cell>
          <cell r="O2310"/>
          <cell r="P2310"/>
          <cell r="Q2310">
            <v>2400</v>
          </cell>
        </row>
        <row r="2311">
          <cell r="E2311" t="str">
            <v>KKM/JKN/HSA/10-05-01/H/21/241</v>
          </cell>
          <cell r="F2311" t="str">
            <v>Therapeutic</v>
          </cell>
          <cell r="G2311" t="str">
            <v>Intermediate</v>
          </cell>
          <cell r="H2311" t="str">
            <v>Infusion Pumps, General-Purpose</v>
          </cell>
          <cell r="I2311" t="str">
            <v>VOLUMETRIC PUMP</v>
          </cell>
          <cell r="J2311" t="str">
            <v>13-215</v>
          </cell>
          <cell r="K2311" t="str">
            <v>MEDCAPTAIN</v>
          </cell>
          <cell r="L2311" t="str">
            <v>SYS 6010A</v>
          </cell>
          <cell r="M2311"/>
          <cell r="N2311" t="str">
            <v>JABATAN PERUBATAN AM</v>
          </cell>
          <cell r="O2311"/>
          <cell r="P2311"/>
          <cell r="Q2311">
            <v>2400</v>
          </cell>
        </row>
        <row r="2312">
          <cell r="E2312" t="str">
            <v>KKM/JKN/HSA/10-05-01/H/21/242</v>
          </cell>
          <cell r="F2312" t="str">
            <v>Therapeutic</v>
          </cell>
          <cell r="G2312" t="str">
            <v>Intermediate</v>
          </cell>
          <cell r="H2312" t="str">
            <v>Infusion Pumps, General-Purpose</v>
          </cell>
          <cell r="I2312" t="str">
            <v>VOLUMETRIC PUMP</v>
          </cell>
          <cell r="J2312" t="str">
            <v>13-215</v>
          </cell>
          <cell r="K2312" t="str">
            <v>MEDCAPTAIN</v>
          </cell>
          <cell r="L2312" t="str">
            <v>SYS 6010A</v>
          </cell>
          <cell r="M2312"/>
          <cell r="N2312" t="str">
            <v>JABATAN PERUBATAN AM</v>
          </cell>
          <cell r="O2312"/>
          <cell r="P2312"/>
          <cell r="Q2312">
            <v>2400</v>
          </cell>
        </row>
        <row r="2313">
          <cell r="E2313" t="str">
            <v>KKM/JKN/HSA/10-05-01/H/21/243</v>
          </cell>
          <cell r="F2313" t="str">
            <v>Therapeutic</v>
          </cell>
          <cell r="G2313" t="str">
            <v>Intermediate</v>
          </cell>
          <cell r="H2313" t="str">
            <v>Infusion Pumps, General-Purpose</v>
          </cell>
          <cell r="I2313" t="str">
            <v>VOLUMETRIC PUMP</v>
          </cell>
          <cell r="J2313" t="str">
            <v>13-215</v>
          </cell>
          <cell r="K2313" t="str">
            <v>MEDCAPTAIN</v>
          </cell>
          <cell r="L2313" t="str">
            <v>SYS 6010A</v>
          </cell>
          <cell r="M2313"/>
          <cell r="N2313" t="str">
            <v>JABATAN PERUBATAN AM</v>
          </cell>
          <cell r="O2313"/>
          <cell r="P2313"/>
          <cell r="Q2313">
            <v>2400</v>
          </cell>
        </row>
        <row r="2314">
          <cell r="E2314" t="str">
            <v>KKM/JKN/HSA/10-05-01/H/21/244</v>
          </cell>
          <cell r="F2314" t="str">
            <v>Therapeutic</v>
          </cell>
          <cell r="G2314" t="str">
            <v>Intermediate</v>
          </cell>
          <cell r="H2314" t="str">
            <v>Infusion Pumps, General-Purpose</v>
          </cell>
          <cell r="I2314" t="str">
            <v>VOLUMETRIC PUMP</v>
          </cell>
          <cell r="J2314" t="str">
            <v>13-215</v>
          </cell>
          <cell r="K2314" t="str">
            <v>MEDCAPTAIN</v>
          </cell>
          <cell r="L2314" t="str">
            <v>SYS 6010A</v>
          </cell>
          <cell r="M2314"/>
          <cell r="N2314" t="str">
            <v>JABATAN PERUBATAN AM</v>
          </cell>
          <cell r="O2314"/>
          <cell r="P2314"/>
          <cell r="Q2314">
            <v>2400</v>
          </cell>
        </row>
        <row r="2315">
          <cell r="E2315" t="str">
            <v>KKM/JKN/HSA/10-05-01/H/21/245</v>
          </cell>
          <cell r="F2315" t="str">
            <v>Therapeutic</v>
          </cell>
          <cell r="G2315" t="str">
            <v>Intermediate</v>
          </cell>
          <cell r="H2315" t="str">
            <v>Infusion Pumps, General-Purpose</v>
          </cell>
          <cell r="I2315" t="str">
            <v>VOLUMETRIC PUMP</v>
          </cell>
          <cell r="J2315" t="str">
            <v>13-215</v>
          </cell>
          <cell r="K2315" t="str">
            <v>MEDCAPTAIN</v>
          </cell>
          <cell r="L2315" t="str">
            <v>SYS 6010A</v>
          </cell>
          <cell r="M2315"/>
          <cell r="N2315" t="str">
            <v>JABATAN PERUBATAN AM</v>
          </cell>
          <cell r="O2315"/>
          <cell r="P2315"/>
          <cell r="Q2315">
            <v>2400</v>
          </cell>
        </row>
        <row r="2316">
          <cell r="E2316" t="str">
            <v>KKM/JKN/HSA/10-05-01/H/21/246</v>
          </cell>
          <cell r="F2316" t="str">
            <v>Therapeutic</v>
          </cell>
          <cell r="G2316" t="str">
            <v>Intermediate</v>
          </cell>
          <cell r="H2316" t="str">
            <v>Infusion Pumps, General-Purpose</v>
          </cell>
          <cell r="I2316" t="str">
            <v>VOLUMETRIC PUMP</v>
          </cell>
          <cell r="J2316" t="str">
            <v>13-215</v>
          </cell>
          <cell r="K2316" t="str">
            <v>MEDCAPTAIN</v>
          </cell>
          <cell r="L2316" t="str">
            <v>SYS 6010A</v>
          </cell>
          <cell r="M2316"/>
          <cell r="N2316" t="str">
            <v>JABATAN PERUBATAN AM</v>
          </cell>
          <cell r="O2316"/>
          <cell r="P2316"/>
          <cell r="Q2316">
            <v>2400</v>
          </cell>
        </row>
        <row r="2317">
          <cell r="E2317" t="str">
            <v>KKM/JKN/HSA/10-05-01/H/21/247</v>
          </cell>
          <cell r="F2317" t="str">
            <v>Therapeutic</v>
          </cell>
          <cell r="G2317" t="str">
            <v>Intermediate</v>
          </cell>
          <cell r="H2317" t="str">
            <v>Infusion Pumps, General-Purpose</v>
          </cell>
          <cell r="I2317" t="str">
            <v>VOLUMETRIC PUMP</v>
          </cell>
          <cell r="J2317" t="str">
            <v>13-215</v>
          </cell>
          <cell r="K2317" t="str">
            <v>MEDCAPTAIN</v>
          </cell>
          <cell r="L2317" t="str">
            <v>SYS 6010A</v>
          </cell>
          <cell r="M2317"/>
          <cell r="N2317" t="str">
            <v>JABATAN PERUBATAN AM</v>
          </cell>
          <cell r="O2317"/>
          <cell r="P2317"/>
          <cell r="Q2317">
            <v>2400</v>
          </cell>
        </row>
        <row r="2318">
          <cell r="E2318" t="str">
            <v>KKM/JKN/HSA/10-05-01/H/21/248</v>
          </cell>
          <cell r="F2318" t="str">
            <v>Therapeutic</v>
          </cell>
          <cell r="G2318" t="str">
            <v>Intermediate</v>
          </cell>
          <cell r="H2318" t="str">
            <v>Infusion Pumps, General-Purpose</v>
          </cell>
          <cell r="I2318" t="str">
            <v>VOLUMETRIC PUMP</v>
          </cell>
          <cell r="J2318" t="str">
            <v>13-215</v>
          </cell>
          <cell r="K2318" t="str">
            <v>MEDCAPTAIN</v>
          </cell>
          <cell r="L2318" t="str">
            <v>SYS 6010A</v>
          </cell>
          <cell r="M2318"/>
          <cell r="N2318" t="str">
            <v>JABATAN PERUBATAN AM</v>
          </cell>
          <cell r="O2318"/>
          <cell r="P2318"/>
          <cell r="Q2318">
            <v>2400</v>
          </cell>
        </row>
        <row r="2319">
          <cell r="E2319" t="str">
            <v>KKM/JKN/HSA/10-05-01/H/21/249</v>
          </cell>
          <cell r="F2319" t="str">
            <v>Therapeutic</v>
          </cell>
          <cell r="G2319" t="str">
            <v>Intermediate</v>
          </cell>
          <cell r="H2319" t="str">
            <v>Infusion Pumps, General-Purpose</v>
          </cell>
          <cell r="I2319" t="str">
            <v>VOLUMETRIC PUMP</v>
          </cell>
          <cell r="J2319" t="str">
            <v>13-215</v>
          </cell>
          <cell r="K2319" t="str">
            <v>MEDCAPTAIN</v>
          </cell>
          <cell r="L2319" t="str">
            <v>SYS 6010A</v>
          </cell>
          <cell r="M2319"/>
          <cell r="N2319" t="str">
            <v>JABATAN PERUBATAN AM</v>
          </cell>
          <cell r="O2319"/>
          <cell r="P2319"/>
          <cell r="Q2319">
            <v>2400</v>
          </cell>
        </row>
        <row r="2320">
          <cell r="E2320" t="str">
            <v>KKM/JKN/HSA/10-05-01/H/21/250</v>
          </cell>
          <cell r="F2320" t="str">
            <v>Therapeutic</v>
          </cell>
          <cell r="G2320" t="str">
            <v>Intermediate</v>
          </cell>
          <cell r="H2320" t="str">
            <v>Infusion Pumps, General-Purpose</v>
          </cell>
          <cell r="I2320" t="str">
            <v>VOLUMETRIC PUMP</v>
          </cell>
          <cell r="J2320" t="str">
            <v>13-215</v>
          </cell>
          <cell r="K2320" t="str">
            <v>MEDCAPTAIN</v>
          </cell>
          <cell r="L2320" t="str">
            <v>SYS 6010A</v>
          </cell>
          <cell r="M2320"/>
          <cell r="N2320" t="str">
            <v>JABATAN PERUBATAN AM</v>
          </cell>
          <cell r="O2320"/>
          <cell r="P2320"/>
          <cell r="Q2320">
            <v>2400</v>
          </cell>
        </row>
        <row r="2321">
          <cell r="E2321" t="str">
            <v>KKM/JKN/HSA/10-05-01/H/21/251</v>
          </cell>
          <cell r="F2321" t="str">
            <v>Therapeutic</v>
          </cell>
          <cell r="G2321" t="str">
            <v>Intermediate</v>
          </cell>
          <cell r="H2321" t="str">
            <v>Infusion Pumps, General-Purpose</v>
          </cell>
          <cell r="I2321" t="str">
            <v>VOLUMETRIC PUMP</v>
          </cell>
          <cell r="J2321" t="str">
            <v>13-215</v>
          </cell>
          <cell r="K2321" t="str">
            <v>MEDCAPTAIN</v>
          </cell>
          <cell r="L2321" t="str">
            <v>SYS 6010A</v>
          </cell>
          <cell r="M2321"/>
          <cell r="N2321" t="str">
            <v>JABATAN PERUBATAN AM</v>
          </cell>
          <cell r="O2321"/>
          <cell r="P2321"/>
          <cell r="Q2321">
            <v>2400</v>
          </cell>
        </row>
        <row r="2322">
          <cell r="E2322" t="str">
            <v>KKM/JKN/HSA/10-05-01/H/21/252</v>
          </cell>
          <cell r="F2322" t="str">
            <v>Therapeutic</v>
          </cell>
          <cell r="G2322" t="str">
            <v>Intermediate</v>
          </cell>
          <cell r="H2322" t="str">
            <v>Infusion Pumps, General-Purpose</v>
          </cell>
          <cell r="I2322" t="str">
            <v>VOLUMETRIC PUMP</v>
          </cell>
          <cell r="J2322" t="str">
            <v>13-215</v>
          </cell>
          <cell r="K2322" t="str">
            <v>MEDCAPTAIN</v>
          </cell>
          <cell r="L2322" t="str">
            <v>SYS 6010A</v>
          </cell>
          <cell r="M2322"/>
          <cell r="N2322" t="str">
            <v>JABATAN PERUBATAN AM</v>
          </cell>
          <cell r="O2322"/>
          <cell r="P2322"/>
          <cell r="Q2322">
            <v>2400</v>
          </cell>
        </row>
        <row r="2323">
          <cell r="E2323" t="str">
            <v>KKM/JKN/HSA/10-05-01/H/21/253</v>
          </cell>
          <cell r="F2323" t="str">
            <v>Therapeutic</v>
          </cell>
          <cell r="G2323" t="str">
            <v>Intermediate</v>
          </cell>
          <cell r="H2323" t="str">
            <v>Infusion Pumps, General-Purpose</v>
          </cell>
          <cell r="I2323" t="str">
            <v>VOLUMETRIC PUMP</v>
          </cell>
          <cell r="J2323" t="str">
            <v>13-215</v>
          </cell>
          <cell r="K2323" t="str">
            <v>MEDCAPTAIN</v>
          </cell>
          <cell r="L2323" t="str">
            <v>SYS 6010A</v>
          </cell>
          <cell r="M2323"/>
          <cell r="N2323" t="str">
            <v>JABATAN PERUBATAN AM</v>
          </cell>
          <cell r="O2323"/>
          <cell r="P2323"/>
          <cell r="Q2323">
            <v>2400</v>
          </cell>
        </row>
        <row r="2324">
          <cell r="E2324" t="str">
            <v>KKM/JKN/HSA/10-05-01/H/21/254</v>
          </cell>
          <cell r="F2324" t="str">
            <v>Therapeutic</v>
          </cell>
          <cell r="G2324" t="str">
            <v>Intermediate</v>
          </cell>
          <cell r="H2324" t="str">
            <v>Infusion Pumps, General-Purpose</v>
          </cell>
          <cell r="I2324" t="str">
            <v>VOLUMETRIC PUMP</v>
          </cell>
          <cell r="J2324" t="str">
            <v>13-215</v>
          </cell>
          <cell r="K2324" t="str">
            <v>MEDCAPTAIN</v>
          </cell>
          <cell r="L2324" t="str">
            <v>SYS 6010A</v>
          </cell>
          <cell r="M2324"/>
          <cell r="N2324" t="str">
            <v>JABATAN PERUBATAN AM</v>
          </cell>
          <cell r="O2324"/>
          <cell r="P2324"/>
          <cell r="Q2324">
            <v>2400</v>
          </cell>
        </row>
        <row r="2325">
          <cell r="E2325" t="str">
            <v>KKM/JKN/HSA/10-05-01/H/21/255</v>
          </cell>
          <cell r="F2325" t="str">
            <v>Therapeutic</v>
          </cell>
          <cell r="G2325" t="str">
            <v>Intermediate</v>
          </cell>
          <cell r="H2325" t="str">
            <v>Infusion Pumps, General-Purpose</v>
          </cell>
          <cell r="I2325" t="str">
            <v>VOLUMETRIC PUMP</v>
          </cell>
          <cell r="J2325" t="str">
            <v>13-215</v>
          </cell>
          <cell r="K2325" t="str">
            <v>MEDCAPTAIN</v>
          </cell>
          <cell r="L2325" t="str">
            <v>SYS 6010A</v>
          </cell>
          <cell r="M2325"/>
          <cell r="N2325" t="str">
            <v>JABATAN PERUBATAN AM</v>
          </cell>
          <cell r="O2325"/>
          <cell r="P2325"/>
          <cell r="Q2325">
            <v>2400</v>
          </cell>
        </row>
        <row r="2326">
          <cell r="E2326" t="str">
            <v>KKM/JKN/HSA/10-05-01/H/21/256</v>
          </cell>
          <cell r="F2326" t="str">
            <v>Therapeutic</v>
          </cell>
          <cell r="G2326" t="str">
            <v>Intermediate</v>
          </cell>
          <cell r="H2326" t="str">
            <v>Infusion Pumps, General-Purpose</v>
          </cell>
          <cell r="I2326" t="str">
            <v>VOLUMETRIC PUMP</v>
          </cell>
          <cell r="J2326" t="str">
            <v>13-215</v>
          </cell>
          <cell r="K2326" t="str">
            <v>MEDCAPTAIN</v>
          </cell>
          <cell r="L2326" t="str">
            <v>SYS 6010A</v>
          </cell>
          <cell r="M2326"/>
          <cell r="N2326" t="str">
            <v>JABATAN PERUBATAN AM</v>
          </cell>
          <cell r="O2326"/>
          <cell r="P2326"/>
          <cell r="Q2326">
            <v>2400</v>
          </cell>
        </row>
        <row r="2327">
          <cell r="E2327" t="str">
            <v>KKM/JKN/HSA/10-05-01/H/21/286</v>
          </cell>
          <cell r="F2327" t="str">
            <v>Diagnostic</v>
          </cell>
          <cell r="G2327" t="str">
            <v>Intermediate</v>
          </cell>
          <cell r="H2327" t="str">
            <v>Physiologic Monitoring Systems, Acute Care</v>
          </cell>
          <cell r="I2327" t="str">
            <v>PATIENT MONITORING EQUIPMENT</v>
          </cell>
          <cell r="J2327" t="str">
            <v>12-647</v>
          </cell>
          <cell r="K2327" t="str">
            <v>HUNTLEIGH</v>
          </cell>
          <cell r="L2327" t="str">
            <v>SC1200</v>
          </cell>
          <cell r="M2327"/>
          <cell r="N2327" t="str">
            <v xml:space="preserve">JABATAN PERUBATAN AM </v>
          </cell>
          <cell r="O2327"/>
          <cell r="P2327"/>
          <cell r="Q2327">
            <v>16000</v>
          </cell>
        </row>
        <row r="2328">
          <cell r="E2328" t="str">
            <v>KKM/JKN/HSA/10-05-01/H/21/287</v>
          </cell>
          <cell r="F2328" t="str">
            <v>Diagnostic</v>
          </cell>
          <cell r="G2328" t="str">
            <v>Intermediate</v>
          </cell>
          <cell r="H2328" t="str">
            <v>Physiologic Monitoring Systems, Acute Care</v>
          </cell>
          <cell r="I2328" t="str">
            <v>PATIENT MONITORING EQUIPMENT</v>
          </cell>
          <cell r="J2328" t="str">
            <v>12-647</v>
          </cell>
          <cell r="K2328" t="str">
            <v>HUNTLEIGH</v>
          </cell>
          <cell r="L2328" t="str">
            <v>SC1200</v>
          </cell>
          <cell r="M2328"/>
          <cell r="N2328" t="str">
            <v xml:space="preserve">JABATAN PERUBATAN AM </v>
          </cell>
          <cell r="O2328"/>
          <cell r="P2328"/>
          <cell r="Q2328">
            <v>16000</v>
          </cell>
        </row>
        <row r="2329">
          <cell r="E2329" t="str">
            <v>KKM/JKN/HSA/10-05-01/H/21/288</v>
          </cell>
          <cell r="F2329" t="str">
            <v>Diagnostic</v>
          </cell>
          <cell r="G2329" t="str">
            <v>Intermediate</v>
          </cell>
          <cell r="H2329" t="str">
            <v>Physiologic Monitoring Systems, Acute Care</v>
          </cell>
          <cell r="I2329" t="str">
            <v>PATIENT MONITORING EQUIPMENT</v>
          </cell>
          <cell r="J2329" t="str">
            <v>12-647</v>
          </cell>
          <cell r="K2329" t="str">
            <v>HUNTLEIGH</v>
          </cell>
          <cell r="L2329" t="str">
            <v>SC1200</v>
          </cell>
          <cell r="M2329"/>
          <cell r="N2329" t="str">
            <v xml:space="preserve">JABATAN PERUBATAN AM </v>
          </cell>
          <cell r="O2329"/>
          <cell r="P2329"/>
          <cell r="Q2329">
            <v>16000</v>
          </cell>
        </row>
        <row r="2330">
          <cell r="E2330" t="str">
            <v>KKM/JKN/HSA/10-05-01/H/21/303</v>
          </cell>
          <cell r="F2330" t="str">
            <v>Therapeutic</v>
          </cell>
          <cell r="G2330" t="str">
            <v>Intermediate</v>
          </cell>
          <cell r="H2330" t="str">
            <v>Infusion Pumps, Syringe</v>
          </cell>
          <cell r="I2330" t="str">
            <v>SYRINGE INFUSION PUMP</v>
          </cell>
          <cell r="J2330" t="str">
            <v>13-217</v>
          </cell>
          <cell r="K2330" t="str">
            <v>MEDCAPTAIN</v>
          </cell>
          <cell r="L2330" t="str">
            <v>SYS50</v>
          </cell>
          <cell r="M2330"/>
          <cell r="N2330" t="str">
            <v xml:space="preserve">JABATAN PERUBATAN AM </v>
          </cell>
          <cell r="O2330"/>
          <cell r="P2330"/>
          <cell r="Q2330">
            <v>2800</v>
          </cell>
        </row>
        <row r="2331">
          <cell r="E2331" t="str">
            <v>KKM/JKN/HSA/10-05-01/H/21/304</v>
          </cell>
          <cell r="F2331" t="str">
            <v>Therapeutic</v>
          </cell>
          <cell r="G2331" t="str">
            <v>Intermediate</v>
          </cell>
          <cell r="H2331" t="str">
            <v>Infusion Pumps, Syringe</v>
          </cell>
          <cell r="I2331" t="str">
            <v>SYRINGE INFUSION PUMP</v>
          </cell>
          <cell r="J2331" t="str">
            <v>13-217</v>
          </cell>
          <cell r="K2331" t="str">
            <v>MEDCAPTAIN</v>
          </cell>
          <cell r="L2331" t="str">
            <v>SYS50</v>
          </cell>
          <cell r="M2331"/>
          <cell r="N2331" t="str">
            <v xml:space="preserve">JABATAN PERUBATAN AM </v>
          </cell>
          <cell r="O2331"/>
          <cell r="P2331"/>
          <cell r="Q2331">
            <v>2800</v>
          </cell>
        </row>
        <row r="2332">
          <cell r="E2332" t="str">
            <v>KKM/JKN/HSA/10-05-01/H/21/305</v>
          </cell>
          <cell r="F2332" t="str">
            <v>Therapeutic</v>
          </cell>
          <cell r="G2332" t="str">
            <v>Intermediate</v>
          </cell>
          <cell r="H2332" t="str">
            <v>Infusion Pumps, Syringe</v>
          </cell>
          <cell r="I2332" t="str">
            <v>SYRINGE INFUSION PUMP</v>
          </cell>
          <cell r="J2332" t="str">
            <v>13-217</v>
          </cell>
          <cell r="K2332" t="str">
            <v>MEDCAPTAIN</v>
          </cell>
          <cell r="L2332" t="str">
            <v>SYS50</v>
          </cell>
          <cell r="M2332"/>
          <cell r="N2332" t="str">
            <v xml:space="preserve">JABATAN PERUBATAN AM </v>
          </cell>
          <cell r="O2332"/>
          <cell r="P2332"/>
          <cell r="Q2332">
            <v>2800</v>
          </cell>
        </row>
        <row r="2333">
          <cell r="E2333" t="str">
            <v>KKM/JKN/HSA/10-05-01/H/22/85</v>
          </cell>
          <cell r="F2333" t="str">
            <v>Therapeutic</v>
          </cell>
          <cell r="G2333" t="str">
            <v>Basic</v>
          </cell>
          <cell r="H2333" t="str">
            <v>Phototherapy Units, Visible Light, Hyperbilirubinemia</v>
          </cell>
          <cell r="I2333" t="str">
            <v>PHOTOTHERAPY MACHINE</v>
          </cell>
          <cell r="J2333" t="str">
            <v>17-515</v>
          </cell>
          <cell r="K2333" t="str">
            <v>MEDWARM</v>
          </cell>
          <cell r="L2333" t="str">
            <v>KMF-01</v>
          </cell>
          <cell r="M2333"/>
          <cell r="N2333" t="str">
            <v>JABATAN PEDIATRIK</v>
          </cell>
          <cell r="O2333"/>
          <cell r="P2333"/>
          <cell r="Q2333">
            <v>7100</v>
          </cell>
        </row>
        <row r="2334">
          <cell r="E2334" t="str">
            <v>KKM/JKN/HSA/10-05-01/H/22/84</v>
          </cell>
          <cell r="F2334" t="str">
            <v>Therapeutic</v>
          </cell>
          <cell r="G2334" t="str">
            <v>Basic</v>
          </cell>
          <cell r="H2334" t="str">
            <v>Phototherapy Units, Visible Light, Hyperbilirubinemia</v>
          </cell>
          <cell r="I2334" t="str">
            <v>PHOTOTHERAPY MACHINE</v>
          </cell>
          <cell r="J2334" t="str">
            <v>17-515</v>
          </cell>
          <cell r="K2334" t="str">
            <v>MEDWARM</v>
          </cell>
          <cell r="L2334" t="str">
            <v>KMF-01</v>
          </cell>
          <cell r="M2334"/>
          <cell r="N2334" t="str">
            <v>JABATAN PEDIATRIK</v>
          </cell>
          <cell r="O2334"/>
          <cell r="P2334"/>
          <cell r="Q2334">
            <v>7100</v>
          </cell>
        </row>
        <row r="2335">
          <cell r="E2335" t="str">
            <v>KKM/JKN/HSA/10-05-01/H/22/83</v>
          </cell>
          <cell r="F2335" t="str">
            <v>Therapeutic</v>
          </cell>
          <cell r="G2335" t="str">
            <v>Basic</v>
          </cell>
          <cell r="H2335" t="str">
            <v>Phototherapy Units, Visible Light, Hyperbilirubinemia</v>
          </cell>
          <cell r="I2335" t="str">
            <v>PHOTOTHERAPY MACHINE</v>
          </cell>
          <cell r="J2335" t="str">
            <v>17-515</v>
          </cell>
          <cell r="K2335" t="str">
            <v>MEDWARM</v>
          </cell>
          <cell r="L2335" t="str">
            <v>KMF-01</v>
          </cell>
          <cell r="M2335"/>
          <cell r="N2335" t="str">
            <v>JABATAN PEDIATRIK</v>
          </cell>
          <cell r="O2335"/>
          <cell r="P2335"/>
          <cell r="Q2335">
            <v>7100</v>
          </cell>
        </row>
        <row r="2336">
          <cell r="E2336" t="str">
            <v>KKM/JKN/HSA/10-05-01/H/22/86</v>
          </cell>
          <cell r="F2336" t="str">
            <v>Therapeutic</v>
          </cell>
          <cell r="G2336" t="str">
            <v>Basic</v>
          </cell>
          <cell r="H2336" t="str">
            <v>Warming Units, Patient, Radiant, Infant</v>
          </cell>
          <cell r="I2336" t="str">
            <v>INFANT WARMER RADIANT</v>
          </cell>
          <cell r="J2336" t="str">
            <v>17-956</v>
          </cell>
          <cell r="K2336" t="str">
            <v>SHVABE-ZURICH</v>
          </cell>
          <cell r="L2336" t="str">
            <v>BONO</v>
          </cell>
          <cell r="M2336"/>
          <cell r="N2336" t="str">
            <v>JABATAN PEDIATRIK</v>
          </cell>
          <cell r="O2336"/>
          <cell r="P2336"/>
          <cell r="Q2336">
            <v>23950</v>
          </cell>
        </row>
        <row r="2337">
          <cell r="E2337" t="str">
            <v>KKM/JKN/HSA/10-05-01/H/22/52</v>
          </cell>
          <cell r="F2337" t="str">
            <v>Therapeutic</v>
          </cell>
          <cell r="G2337" t="str">
            <v>Intermediate</v>
          </cell>
          <cell r="H2337" t="str">
            <v>Incubator,Infant</v>
          </cell>
          <cell r="I2337" t="str">
            <v>INFANT INCUBATOR</v>
          </cell>
          <cell r="J2337" t="str">
            <v>12-113</v>
          </cell>
          <cell r="K2337" t="str">
            <v>DRAEGER</v>
          </cell>
          <cell r="L2337" t="str">
            <v>ISOLETTE C200</v>
          </cell>
          <cell r="M2337"/>
          <cell r="N2337" t="str">
            <v>JABATAN PEDIATRIK</v>
          </cell>
          <cell r="O2337"/>
          <cell r="P2337"/>
          <cell r="Q2337">
            <v>39000</v>
          </cell>
        </row>
        <row r="2338">
          <cell r="E2338" t="str">
            <v>KKM/JKN/HSA/10-05-01/H/22/88</v>
          </cell>
          <cell r="F2338" t="str">
            <v>Therapeutic</v>
          </cell>
          <cell r="G2338" t="str">
            <v>Intermediate</v>
          </cell>
          <cell r="H2338" t="str">
            <v>Ventilators, Intensive Care, Neonatal/Pediatric</v>
          </cell>
          <cell r="I2338" t="str">
            <v>INTENSIVE CARE VENTILATOR</v>
          </cell>
          <cell r="J2338" t="str">
            <v>14-361</v>
          </cell>
          <cell r="K2338" t="str">
            <v>DRAEGER</v>
          </cell>
          <cell r="L2338" t="str">
            <v>SAVINA 300</v>
          </cell>
          <cell r="M2338"/>
          <cell r="N2338" t="str">
            <v>JABATAN ANESTESIOLOGI DAN RAWATAN RAPI</v>
          </cell>
          <cell r="O2338"/>
          <cell r="P2338"/>
          <cell r="Q2338">
            <v>85000</v>
          </cell>
        </row>
        <row r="2339">
          <cell r="E2339" t="str">
            <v>KKM/JKN/HSA/10-05-01/H/22/87</v>
          </cell>
          <cell r="F2339" t="str">
            <v>Therapeutic</v>
          </cell>
          <cell r="G2339" t="str">
            <v>Intermediate</v>
          </cell>
          <cell r="H2339" t="str">
            <v>Ventilators, Intensive Care, Neonatal/Pediatric</v>
          </cell>
          <cell r="I2339" t="str">
            <v>VENTILATOR</v>
          </cell>
          <cell r="J2339" t="str">
            <v>14-361</v>
          </cell>
          <cell r="K2339" t="str">
            <v>LOWENSTEIN MEDICAL</v>
          </cell>
          <cell r="L2339" t="str">
            <v>ELISA 300</v>
          </cell>
          <cell r="M2339"/>
          <cell r="N2339" t="str">
            <v>JABATAN ANESTESIOLOGI DAN RAWATAN RAPI</v>
          </cell>
          <cell r="O2339"/>
          <cell r="P2339"/>
          <cell r="Q2339">
            <v>100000</v>
          </cell>
        </row>
        <row r="2340">
          <cell r="E2340" t="str">
            <v>KKM/JKN/HSA/10-05-01/H/21/454</v>
          </cell>
          <cell r="F2340" t="str">
            <v>Diagnostic</v>
          </cell>
          <cell r="G2340" t="str">
            <v>Intermediate</v>
          </cell>
          <cell r="H2340" t="str">
            <v>Cardiotocographs</v>
          </cell>
          <cell r="I2340" t="str">
            <v>CTG MACHINE</v>
          </cell>
          <cell r="J2340" t="str">
            <v>12-610</v>
          </cell>
          <cell r="K2340" t="str">
            <v>EDAN ANTEPARTUM</v>
          </cell>
          <cell r="L2340" t="str">
            <v>F6</v>
          </cell>
          <cell r="M2340"/>
          <cell r="N2340" t="str">
            <v>JABATAN OBSTETRIK &amp; GINEKOLOGI</v>
          </cell>
          <cell r="O2340"/>
          <cell r="P2340"/>
          <cell r="Q2340">
            <v>15000</v>
          </cell>
        </row>
        <row r="2341">
          <cell r="E2341" t="str">
            <v>KKM/JKN/HSA/10-05-01/H/22/51</v>
          </cell>
          <cell r="F2341" t="str">
            <v>Diagnostic</v>
          </cell>
          <cell r="G2341" t="str">
            <v>Basic</v>
          </cell>
          <cell r="H2341" t="str">
            <v>Sound Level Meter</v>
          </cell>
          <cell r="I2341" t="str">
            <v>SOUND LEVEL METER</v>
          </cell>
          <cell r="J2341" t="str">
            <v>88-038</v>
          </cell>
          <cell r="K2341" t="str">
            <v>FAB</v>
          </cell>
          <cell r="L2341" t="str">
            <v>ACOUSTIC VOICE ASSESMENT SYSTEM</v>
          </cell>
          <cell r="M2341"/>
          <cell r="N2341" t="str">
            <v>JABATAN OTORINOLARINGOLOGI</v>
          </cell>
          <cell r="O2341"/>
          <cell r="P2341"/>
          <cell r="Q2341">
            <v>49990</v>
          </cell>
        </row>
        <row r="2342">
          <cell r="E2342" t="str">
            <v>KKM/JKN/HSA/10-05-01/H/22/99</v>
          </cell>
          <cell r="F2342" t="str">
            <v>Therapeutic</v>
          </cell>
          <cell r="G2342" t="str">
            <v>Intermediate</v>
          </cell>
          <cell r="H2342" t="str">
            <v>Ventilators, Transport</v>
          </cell>
          <cell r="I2342" t="str">
            <v>VENTILATOR</v>
          </cell>
          <cell r="J2342" t="str">
            <v>18-098</v>
          </cell>
          <cell r="K2342" t="str">
            <v>OXIVENT</v>
          </cell>
          <cell r="L2342" t="str">
            <v>OX14-PLUS</v>
          </cell>
          <cell r="M2342"/>
          <cell r="N2342" t="str">
            <v>JABATAN KECEMASAN DAN TRAUMA</v>
          </cell>
          <cell r="O2342"/>
          <cell r="P2342"/>
          <cell r="Q2342">
            <v>59800</v>
          </cell>
        </row>
        <row r="2343">
          <cell r="E2343" t="str">
            <v>KKM/JKN/HSA/10-05-01/H/22/341</v>
          </cell>
          <cell r="F2343" t="str">
            <v>Therapeutic</v>
          </cell>
          <cell r="G2343" t="str">
            <v>Intermediate</v>
          </cell>
          <cell r="H2343" t="str">
            <v>Ventilators, Transport</v>
          </cell>
          <cell r="I2343" t="str">
            <v>VENTILATOR</v>
          </cell>
          <cell r="J2343" t="str">
            <v>18-098</v>
          </cell>
          <cell r="K2343" t="str">
            <v>OXIVENT</v>
          </cell>
          <cell r="L2343" t="str">
            <v>OX14-PLUS</v>
          </cell>
          <cell r="M2343"/>
          <cell r="N2343" t="str">
            <v>JABATAN KECEMASAN DAN TRAUMA</v>
          </cell>
          <cell r="O2343"/>
          <cell r="P2343"/>
          <cell r="Q2343">
            <v>59800</v>
          </cell>
        </row>
        <row r="2344">
          <cell r="E2344" t="str">
            <v>KKM/JKN/HSA/10-05-01/H/22/342</v>
          </cell>
          <cell r="F2344" t="str">
            <v>Therapeutic</v>
          </cell>
          <cell r="G2344" t="str">
            <v>Intermediate</v>
          </cell>
          <cell r="H2344" t="str">
            <v>Ventilators, Transport</v>
          </cell>
          <cell r="I2344" t="str">
            <v>VENTILATOR</v>
          </cell>
          <cell r="J2344" t="str">
            <v>18-098</v>
          </cell>
          <cell r="K2344" t="str">
            <v>OXIVENT</v>
          </cell>
          <cell r="L2344" t="str">
            <v>OX14-PLUS</v>
          </cell>
          <cell r="M2344"/>
          <cell r="N2344" t="str">
            <v>JABATAN KECEMASAN DAN TRAUMA</v>
          </cell>
          <cell r="O2344"/>
          <cell r="P2344"/>
          <cell r="Q2344">
            <v>59800</v>
          </cell>
        </row>
        <row r="2345">
          <cell r="E2345" t="str">
            <v>KKM/JKN/HSA/10-05-01/H/20/121</v>
          </cell>
          <cell r="F2345" t="str">
            <v>Therapeutic</v>
          </cell>
          <cell r="G2345" t="str">
            <v>Intermediate</v>
          </cell>
          <cell r="H2345" t="str">
            <v>Infusion Pumps, Syringe</v>
          </cell>
          <cell r="I2345" t="str">
            <v>SYRINGE INFUSION PUMP</v>
          </cell>
          <cell r="J2345" t="str">
            <v>13-217</v>
          </cell>
          <cell r="K2345" t="str">
            <v>MEDCAPTAIN</v>
          </cell>
          <cell r="L2345" t="str">
            <v>SYS50</v>
          </cell>
          <cell r="M2345"/>
          <cell r="N2345" t="str">
            <v>JABATAN PERUBATAN AM</v>
          </cell>
          <cell r="O2345"/>
          <cell r="P2345"/>
          <cell r="Q2345">
            <v>3150</v>
          </cell>
        </row>
        <row r="2346">
          <cell r="E2346" t="str">
            <v>KKM/JKN/HSA/10-05-01/H/20/122</v>
          </cell>
          <cell r="F2346" t="str">
            <v>Therapeutic</v>
          </cell>
          <cell r="G2346" t="str">
            <v>Intermediate</v>
          </cell>
          <cell r="H2346" t="str">
            <v>Infusion Pumps, Syringe</v>
          </cell>
          <cell r="I2346" t="str">
            <v>SYRINGE INFUSION PUMP</v>
          </cell>
          <cell r="J2346" t="str">
            <v>13-217</v>
          </cell>
          <cell r="K2346" t="str">
            <v>MEDCAPTAIN</v>
          </cell>
          <cell r="L2346" t="str">
            <v>SYS50</v>
          </cell>
          <cell r="M2346"/>
          <cell r="N2346" t="str">
            <v>JABATAN PERUBATAN AM</v>
          </cell>
          <cell r="O2346"/>
          <cell r="P2346"/>
          <cell r="Q2346">
            <v>3150</v>
          </cell>
        </row>
        <row r="2347">
          <cell r="E2347" t="str">
            <v>KKM/JKN/HSA/10-05-01/H/21/81</v>
          </cell>
          <cell r="F2347" t="str">
            <v>Radiology</v>
          </cell>
          <cell r="G2347" t="str">
            <v>Intermediate</v>
          </cell>
          <cell r="H2347" t="str">
            <v>Scanning Systems, Ultrasonic, General-Purpose</v>
          </cell>
          <cell r="I2347" t="str">
            <v>ULTRASOUND SCANNER</v>
          </cell>
          <cell r="J2347" t="str">
            <v>15-976</v>
          </cell>
          <cell r="K2347" t="str">
            <v>GE HEALTHCARE</v>
          </cell>
          <cell r="L2347" t="str">
            <v>VENUE GO</v>
          </cell>
          <cell r="M2347"/>
          <cell r="N2347" t="str">
            <v>JABATAN ANESTESIOLOGI DAN RAWATAN RAPI</v>
          </cell>
          <cell r="O2347"/>
          <cell r="P2347"/>
          <cell r="Q2347">
            <v>150000</v>
          </cell>
        </row>
        <row r="2348">
          <cell r="E2348" t="str">
            <v>KKM/JKN/HSA/10-05-01/H/22/97</v>
          </cell>
          <cell r="F2348" t="str">
            <v>Therapeutic</v>
          </cell>
          <cell r="G2348" t="str">
            <v>Intermediate</v>
          </cell>
          <cell r="H2348" t="str">
            <v>Infusion Pumps, General-Purpose</v>
          </cell>
          <cell r="I2348" t="str">
            <v>INFUSION PUMP</v>
          </cell>
          <cell r="J2348" t="str">
            <v>13-215</v>
          </cell>
          <cell r="K2348" t="str">
            <v>LIFEPUMP MEDITECH</v>
          </cell>
          <cell r="L2348" t="str">
            <v>SC113</v>
          </cell>
          <cell r="M2348"/>
          <cell r="N2348" t="str">
            <v>JABATAN PEMBEDAHAN AM</v>
          </cell>
          <cell r="O2348"/>
          <cell r="P2348"/>
          <cell r="Q2348">
            <v>2800</v>
          </cell>
        </row>
        <row r="2349">
          <cell r="E2349" t="str">
            <v>KKM/JKN/HSA/10-05-01/H/22/96</v>
          </cell>
          <cell r="F2349" t="str">
            <v>Therapeutic</v>
          </cell>
          <cell r="G2349" t="str">
            <v>Intermediate</v>
          </cell>
          <cell r="H2349" t="str">
            <v>Infusion Pumps, General-Purpose</v>
          </cell>
          <cell r="I2349" t="str">
            <v>INFUSION PUMP</v>
          </cell>
          <cell r="J2349" t="str">
            <v>13-215</v>
          </cell>
          <cell r="K2349" t="str">
            <v>LIFEPUMP MEDITECH</v>
          </cell>
          <cell r="L2349" t="str">
            <v>SC113</v>
          </cell>
          <cell r="M2349"/>
          <cell r="N2349" t="str">
            <v>JABATAN PEMBEDAHAN AM</v>
          </cell>
          <cell r="O2349"/>
          <cell r="P2349"/>
          <cell r="Q2349">
            <v>2800</v>
          </cell>
        </row>
        <row r="2350">
          <cell r="E2350" t="str">
            <v>KKM/JKN/HSA/10-05-01/H/22/95</v>
          </cell>
          <cell r="F2350" t="str">
            <v>Therapeutic</v>
          </cell>
          <cell r="G2350" t="str">
            <v>Intermediate</v>
          </cell>
          <cell r="H2350" t="str">
            <v>Infusion Pumps, General-Purpose</v>
          </cell>
          <cell r="I2350" t="str">
            <v>INFUSION PUMP</v>
          </cell>
          <cell r="J2350" t="str">
            <v>13-215</v>
          </cell>
          <cell r="K2350" t="str">
            <v>LIFEPUMP MEDITECH</v>
          </cell>
          <cell r="L2350" t="str">
            <v>SC113</v>
          </cell>
          <cell r="M2350"/>
          <cell r="N2350" t="str">
            <v>JABATAN PEMBEDAHAN AM</v>
          </cell>
          <cell r="O2350"/>
          <cell r="P2350"/>
          <cell r="Q2350">
            <v>2800</v>
          </cell>
        </row>
        <row r="2351">
          <cell r="E2351" t="str">
            <v>KKM/JKN/HSA/10-05-01/H/22/94</v>
          </cell>
          <cell r="F2351" t="str">
            <v>Therapeutic</v>
          </cell>
          <cell r="G2351" t="str">
            <v>Intermediate</v>
          </cell>
          <cell r="H2351" t="str">
            <v>Infusion Pumps, General-Purpose</v>
          </cell>
          <cell r="I2351" t="str">
            <v>INFUSION PUMP</v>
          </cell>
          <cell r="J2351" t="str">
            <v>13-215</v>
          </cell>
          <cell r="K2351" t="str">
            <v>LIFEPUMP MEDITECH</v>
          </cell>
          <cell r="L2351" t="str">
            <v>SC113</v>
          </cell>
          <cell r="M2351"/>
          <cell r="N2351" t="str">
            <v>JABATAN PEMBEDAHAN AM</v>
          </cell>
          <cell r="O2351"/>
          <cell r="P2351"/>
          <cell r="Q2351">
            <v>2800</v>
          </cell>
        </row>
        <row r="2352">
          <cell r="E2352" t="str">
            <v>KKM/JKN/HSA/10-05-01/H/22/93</v>
          </cell>
          <cell r="F2352" t="str">
            <v>Therapeutic</v>
          </cell>
          <cell r="G2352" t="str">
            <v>Intermediate</v>
          </cell>
          <cell r="H2352" t="str">
            <v>Infusion Pumps, General-Purpose</v>
          </cell>
          <cell r="I2352" t="str">
            <v>INFUSION PUMP</v>
          </cell>
          <cell r="J2352" t="str">
            <v>13-215</v>
          </cell>
          <cell r="K2352" t="str">
            <v>LIFEPUMP MEDITECH</v>
          </cell>
          <cell r="L2352" t="str">
            <v>SC113</v>
          </cell>
          <cell r="M2352"/>
          <cell r="N2352" t="str">
            <v>JABATAN PEMBEDAHAN AM</v>
          </cell>
          <cell r="O2352"/>
          <cell r="P2352"/>
          <cell r="Q2352">
            <v>2800</v>
          </cell>
        </row>
        <row r="2353">
          <cell r="E2353" t="str">
            <v>KKM/JKN/HSA/10-05-01/H/21/1</v>
          </cell>
          <cell r="F2353" t="str">
            <v>Therapeutic</v>
          </cell>
          <cell r="G2353" t="str">
            <v>Basic</v>
          </cell>
          <cell r="H2353" t="str">
            <v>Pumps, Enteral Feeding</v>
          </cell>
          <cell r="I2353" t="str">
            <v>ENTERAL FEEDING PUMP</v>
          </cell>
          <cell r="J2353" t="str">
            <v>13-209</v>
          </cell>
          <cell r="K2353" t="str">
            <v>SINO</v>
          </cell>
          <cell r="L2353" t="str">
            <v>SN-600N</v>
          </cell>
          <cell r="M2353"/>
          <cell r="N2353" t="str">
            <v>JABATAN PEDIATRIK</v>
          </cell>
          <cell r="O2353"/>
          <cell r="P2353"/>
          <cell r="Q2353">
            <v>3000</v>
          </cell>
        </row>
        <row r="2354">
          <cell r="E2354" t="str">
            <v>KKM/JKN/HSA/10-05-01/H/22/132</v>
          </cell>
          <cell r="F2354" t="str">
            <v>Therapeutic</v>
          </cell>
          <cell r="G2354" t="str">
            <v>Intermediate</v>
          </cell>
          <cell r="H2354" t="str">
            <v>Physiologic Monitoring Systems, Acute Care</v>
          </cell>
          <cell r="I2354" t="str">
            <v>PATIENT MONITORING EQUIPMENT</v>
          </cell>
          <cell r="J2354" t="str">
            <v>12-647</v>
          </cell>
          <cell r="K2354" t="str">
            <v>MINDRAY</v>
          </cell>
          <cell r="L2354" t="str">
            <v>UMEC10</v>
          </cell>
          <cell r="M2354"/>
          <cell r="N2354" t="str">
            <v>JABATAN PEDIATRIK</v>
          </cell>
          <cell r="O2354"/>
          <cell r="P2354"/>
          <cell r="Q2354">
            <v>8500</v>
          </cell>
        </row>
        <row r="2355">
          <cell r="E2355" t="str">
            <v>KKM/JKN/HSA/10-05-01/H/22/133</v>
          </cell>
          <cell r="F2355" t="str">
            <v>Diagnostic</v>
          </cell>
          <cell r="G2355" t="str">
            <v>Intermediate</v>
          </cell>
          <cell r="H2355" t="str">
            <v>Physiologic Monitoring Systems, Acute Care</v>
          </cell>
          <cell r="I2355" t="str">
            <v>PATIENT MONITORING EQUIPMENT</v>
          </cell>
          <cell r="J2355" t="str">
            <v>12-647</v>
          </cell>
          <cell r="K2355" t="str">
            <v>MINDRAY</v>
          </cell>
          <cell r="L2355" t="str">
            <v>UMEC10</v>
          </cell>
          <cell r="M2355"/>
          <cell r="N2355" t="str">
            <v>JABATAN PEDIATRIK</v>
          </cell>
          <cell r="O2355"/>
          <cell r="P2355"/>
          <cell r="Q2355">
            <v>8500</v>
          </cell>
        </row>
        <row r="2356">
          <cell r="E2356" t="str">
            <v>KKM/JKN/HSA/10-05-01/H/22/134</v>
          </cell>
          <cell r="F2356" t="str">
            <v>Diagnostic</v>
          </cell>
          <cell r="G2356" t="str">
            <v>Intermediate</v>
          </cell>
          <cell r="H2356" t="str">
            <v>Physiologic Monitoring Systems, Acute Care</v>
          </cell>
          <cell r="I2356" t="str">
            <v>PATIENT MONITORING EQUIPMENT</v>
          </cell>
          <cell r="J2356" t="str">
            <v>12-647</v>
          </cell>
          <cell r="K2356" t="str">
            <v>MINDRAY</v>
          </cell>
          <cell r="L2356" t="str">
            <v>UMEC12</v>
          </cell>
          <cell r="M2356"/>
          <cell r="N2356" t="str">
            <v>JABATAN PEDIATRIK</v>
          </cell>
          <cell r="O2356"/>
          <cell r="P2356"/>
          <cell r="Q2356">
            <v>8500</v>
          </cell>
        </row>
        <row r="2357">
          <cell r="E2357" t="str">
            <v>KKM/JKN/HSA/10-05-01/H/22/135</v>
          </cell>
          <cell r="F2357" t="str">
            <v>Diagnostic</v>
          </cell>
          <cell r="G2357" t="str">
            <v>Intermediate</v>
          </cell>
          <cell r="H2357" t="str">
            <v>Physiologic Monitoring Systems, Acute Care</v>
          </cell>
          <cell r="I2357" t="str">
            <v>PATIENT MONITORING EQUIPMENT</v>
          </cell>
          <cell r="J2357" t="str">
            <v>12-647</v>
          </cell>
          <cell r="K2357" t="str">
            <v>MINDRAY</v>
          </cell>
          <cell r="L2357" t="str">
            <v>UMEC12</v>
          </cell>
          <cell r="M2357"/>
          <cell r="N2357" t="str">
            <v>JABATAN PEDIATRIK</v>
          </cell>
          <cell r="O2357"/>
          <cell r="P2357"/>
          <cell r="Q2357">
            <v>8500</v>
          </cell>
        </row>
        <row r="2358">
          <cell r="E2358" t="str">
            <v>KKM/JKN/HSA/10-05-01/H/23/1</v>
          </cell>
          <cell r="F2358" t="str">
            <v>Diagnostic</v>
          </cell>
          <cell r="G2358" t="str">
            <v>Intermediate</v>
          </cell>
          <cell r="H2358" t="str">
            <v>Slit Lamps</v>
          </cell>
          <cell r="I2358" t="str">
            <v>SLIT LAMP</v>
          </cell>
          <cell r="J2358" t="str">
            <v>12-281</v>
          </cell>
          <cell r="K2358" t="str">
            <v>TOPCON</v>
          </cell>
          <cell r="L2358" t="str">
            <v>SL-D7</v>
          </cell>
          <cell r="M2358"/>
          <cell r="N2358" t="str">
            <v>JABATAN OFTALMOLOGI</v>
          </cell>
          <cell r="O2358"/>
          <cell r="P2358"/>
          <cell r="Q2358">
            <v>38500</v>
          </cell>
        </row>
        <row r="2359">
          <cell r="E2359" t="str">
            <v>KKM/JKN/HSA/10-05-01/H/21/89</v>
          </cell>
          <cell r="F2359" t="str">
            <v>Therapeutic</v>
          </cell>
          <cell r="G2359" t="str">
            <v>Intermediate</v>
          </cell>
          <cell r="H2359" t="str">
            <v>Water Purification Systems, Reverse Osmosis, Hemodialysis, Portable</v>
          </cell>
          <cell r="I2359" t="str">
            <v>PORTABLE REVERSE OSMOSIS</v>
          </cell>
          <cell r="J2359" t="str">
            <v>20-683</v>
          </cell>
          <cell r="K2359" t="str">
            <v>CANTEL MEDICAL USA</v>
          </cell>
          <cell r="L2359" t="str">
            <v>MILLENIUM HX</v>
          </cell>
          <cell r="M2359"/>
          <cell r="N2359" t="str">
            <v>UNIT HEMODIALISIS</v>
          </cell>
          <cell r="O2359"/>
          <cell r="P2359"/>
          <cell r="Q2359">
            <v>37800</v>
          </cell>
        </row>
        <row r="2360">
          <cell r="E2360" t="str">
            <v>KKM/JKN/HSA/10-05-01/R/21/90</v>
          </cell>
          <cell r="F2360" t="str">
            <v>Therapeutic</v>
          </cell>
          <cell r="G2360" t="str">
            <v>Intermediate</v>
          </cell>
          <cell r="H2360" t="str">
            <v>Hemodialysis Units</v>
          </cell>
          <cell r="I2360" t="str">
            <v>MESIN HEMODIALISIS</v>
          </cell>
          <cell r="J2360" t="str">
            <v>11-218</v>
          </cell>
          <cell r="K2360" t="str">
            <v>FRESENIUS</v>
          </cell>
          <cell r="L2360" t="str">
            <v>4008S V10</v>
          </cell>
          <cell r="M2360"/>
          <cell r="N2360" t="str">
            <v>UNIT HEMODIALISIS</v>
          </cell>
          <cell r="O2360"/>
          <cell r="P2360"/>
          <cell r="Q2360">
            <v>42000</v>
          </cell>
        </row>
        <row r="2361">
          <cell r="E2361" t="str">
            <v>KKM/JKN/HSA/10-05-01/H/21/321</v>
          </cell>
          <cell r="F2361" t="str">
            <v>Therapeutic</v>
          </cell>
          <cell r="G2361" t="str">
            <v>Intermediate</v>
          </cell>
          <cell r="H2361" t="str">
            <v>Ventilators, Intensive Care, Neonatal/Pediatric</v>
          </cell>
          <cell r="I2361" t="str">
            <v>VENTILATOR</v>
          </cell>
          <cell r="J2361" t="str">
            <v>14-361</v>
          </cell>
          <cell r="K2361" t="str">
            <v>DRAEGER</v>
          </cell>
          <cell r="L2361" t="str">
            <v>SAVINA 300</v>
          </cell>
          <cell r="M2361"/>
          <cell r="N2361" t="str">
            <v>JABATAN PEDIATRIK</v>
          </cell>
          <cell r="O2361"/>
          <cell r="P2361"/>
          <cell r="Q2361">
            <v>75000</v>
          </cell>
        </row>
        <row r="2362">
          <cell r="E2362" t="str">
            <v>KKM/JKN/HSA/10-05-01/H/21/322</v>
          </cell>
          <cell r="F2362" t="str">
            <v>Therapeutic</v>
          </cell>
          <cell r="G2362" t="str">
            <v>Intermediate</v>
          </cell>
          <cell r="H2362" t="str">
            <v>Ventilators, Intensive Care, Neonatal/Pediatric</v>
          </cell>
          <cell r="I2362" t="str">
            <v>VENTILATOR</v>
          </cell>
          <cell r="J2362" t="str">
            <v>14-361</v>
          </cell>
          <cell r="K2362" t="str">
            <v>DRAEGER</v>
          </cell>
          <cell r="L2362" t="str">
            <v>SAVINA 300</v>
          </cell>
          <cell r="M2362"/>
          <cell r="N2362" t="str">
            <v>JABATAN PEDIATRIK</v>
          </cell>
          <cell r="O2362"/>
          <cell r="P2362"/>
          <cell r="Q2362">
            <v>75000</v>
          </cell>
        </row>
        <row r="2363">
          <cell r="E2363" t="str">
            <v>KKM/JKN/HSA/10-05-01/H/21/323</v>
          </cell>
          <cell r="F2363" t="str">
            <v>Therapeutic</v>
          </cell>
          <cell r="G2363" t="str">
            <v>Intermediate</v>
          </cell>
          <cell r="H2363" t="str">
            <v>Ventilators, Transport</v>
          </cell>
          <cell r="I2363" t="str">
            <v>VENTILATOR</v>
          </cell>
          <cell r="J2363" t="str">
            <v>18-098</v>
          </cell>
          <cell r="K2363" t="str">
            <v>PHILIPS RESPIRONICS</v>
          </cell>
          <cell r="L2363" t="str">
            <v>TRILOGY EV 300</v>
          </cell>
          <cell r="M2363"/>
          <cell r="N2363" t="str">
            <v>JABATAN PEDIATRIK</v>
          </cell>
          <cell r="O2363"/>
          <cell r="P2363"/>
          <cell r="Q2363">
            <v>59000</v>
          </cell>
        </row>
        <row r="2364">
          <cell r="E2364" t="str">
            <v>KKM/JKN/HSA/10-05-01/H/22/125</v>
          </cell>
          <cell r="F2364" t="str">
            <v>Diagnostic</v>
          </cell>
          <cell r="G2364" t="str">
            <v>Intermediate</v>
          </cell>
          <cell r="H2364" t="str">
            <v>Scanning Systems, Ultrasonic, General-Purpose</v>
          </cell>
          <cell r="I2364" t="str">
            <v>ULTRASOUND SCANNER</v>
          </cell>
          <cell r="J2364" t="str">
            <v>15-976</v>
          </cell>
          <cell r="K2364" t="str">
            <v>QUANTEL MEDICAL</v>
          </cell>
          <cell r="L2364" t="str">
            <v>COMPACT TOUCH2 ULTRASOUND A/B SCAN</v>
          </cell>
          <cell r="M2364"/>
          <cell r="N2364" t="str">
            <v>JABATAN OFTALMOLOGI</v>
          </cell>
          <cell r="O2364"/>
          <cell r="P2364"/>
          <cell r="Q2364">
            <v>49990</v>
          </cell>
        </row>
        <row r="2365">
          <cell r="E2365" t="str">
            <v>KKM/JKN/HSA/10-05-01/H/22/126</v>
          </cell>
          <cell r="F2365" t="str">
            <v>Radiology</v>
          </cell>
          <cell r="G2365" t="str">
            <v>Intermediate</v>
          </cell>
          <cell r="H2365" t="str">
            <v>Scanning Systems, Ultrasonic, General-Purpose</v>
          </cell>
          <cell r="I2365" t="str">
            <v>ULTRASOUND SCANNER</v>
          </cell>
          <cell r="J2365" t="str">
            <v>15-976</v>
          </cell>
          <cell r="K2365" t="str">
            <v>SONOSCAPE</v>
          </cell>
          <cell r="L2365" t="str">
            <v>E2</v>
          </cell>
          <cell r="M2365"/>
          <cell r="N2365" t="str">
            <v xml:space="preserve">JABATAN OBSTETRIK &amp; GINEKOLOGI </v>
          </cell>
          <cell r="O2365"/>
          <cell r="P2365"/>
          <cell r="Q2365">
            <v>49000</v>
          </cell>
        </row>
        <row r="2366">
          <cell r="E2366" t="str">
            <v>KKM/JKN/HSA/10-05-01/H/22/127</v>
          </cell>
          <cell r="F2366" t="str">
            <v>Therapeutic</v>
          </cell>
          <cell r="G2366" t="str">
            <v>Intermediate</v>
          </cell>
          <cell r="H2366" t="str">
            <v>Vibrators</v>
          </cell>
          <cell r="I2366" t="str">
            <v>CHEST VIBRATOR</v>
          </cell>
          <cell r="J2366" t="str">
            <v>14-369</v>
          </cell>
          <cell r="K2366" t="str">
            <v>LEGA</v>
          </cell>
          <cell r="L2366" t="str">
            <v>LEGA A</v>
          </cell>
          <cell r="M2366"/>
          <cell r="N2366" t="str">
            <v>JABATAN PERUBATAN REHABILITASI</v>
          </cell>
          <cell r="O2366"/>
          <cell r="P2366"/>
          <cell r="Q2366">
            <v>5200</v>
          </cell>
        </row>
        <row r="2367">
          <cell r="E2367" t="str">
            <v>KKM/JKN/HSA/10-05-01/H/21/278</v>
          </cell>
          <cell r="F2367" t="str">
            <v>Diagnostic</v>
          </cell>
          <cell r="G2367" t="str">
            <v>Intermediate</v>
          </cell>
          <cell r="H2367" t="str">
            <v>Physiologic Monitoring Systems, Acute Care</v>
          </cell>
          <cell r="I2367" t="str">
            <v>PATIENT MONITORING EQUIPMENT</v>
          </cell>
          <cell r="J2367" t="str">
            <v>12-647</v>
          </cell>
          <cell r="K2367" t="str">
            <v>MINDRAY</v>
          </cell>
          <cell r="L2367" t="str">
            <v>M1K6B-PA00097</v>
          </cell>
          <cell r="M2367"/>
          <cell r="N2367" t="str">
            <v>JABATAN KECEMASAN DAN TRAUMA</v>
          </cell>
          <cell r="O2367"/>
          <cell r="P2367"/>
          <cell r="Q2367">
            <v>8500</v>
          </cell>
        </row>
        <row r="2368">
          <cell r="E2368" t="str">
            <v>KKM/JKN/HSA/10-05-01/H/21/279</v>
          </cell>
          <cell r="F2368" t="str">
            <v>Diagnostic</v>
          </cell>
          <cell r="G2368" t="str">
            <v>Intermediate</v>
          </cell>
          <cell r="H2368" t="str">
            <v>Physiologic Monitoring Systems, Acute Care</v>
          </cell>
          <cell r="I2368" t="str">
            <v>PATIENT MONITORING EQUIPMENT</v>
          </cell>
          <cell r="J2368" t="str">
            <v>12-647</v>
          </cell>
          <cell r="K2368" t="str">
            <v>MINDRAY</v>
          </cell>
          <cell r="L2368" t="str">
            <v>M1K6B-PA00097</v>
          </cell>
          <cell r="M2368"/>
          <cell r="N2368" t="str">
            <v>JABATAN KECEMASAN DAN TRAUMA</v>
          </cell>
          <cell r="O2368"/>
          <cell r="P2368"/>
          <cell r="Q2368">
            <v>8500</v>
          </cell>
        </row>
        <row r="2369">
          <cell r="E2369" t="str">
            <v>KKM/JKN/HSA/10-05-01/H/21/280</v>
          </cell>
          <cell r="F2369" t="str">
            <v>Diagnostic</v>
          </cell>
          <cell r="G2369" t="str">
            <v>Intermediate</v>
          </cell>
          <cell r="H2369" t="str">
            <v>Physiologic Monitoring Systems, Acute Care</v>
          </cell>
          <cell r="I2369" t="str">
            <v>PATIENT MONITORING EQUIPMENT</v>
          </cell>
          <cell r="J2369" t="str">
            <v>12-647</v>
          </cell>
          <cell r="K2369" t="str">
            <v>MINDRAY</v>
          </cell>
          <cell r="L2369" t="str">
            <v>M1K6B-PA00097</v>
          </cell>
          <cell r="M2369"/>
          <cell r="N2369" t="str">
            <v>JABATAN KECEMASAN DAN TRAUMA</v>
          </cell>
          <cell r="O2369"/>
          <cell r="P2369"/>
          <cell r="Q2369">
            <v>8500</v>
          </cell>
        </row>
        <row r="2370">
          <cell r="E2370" t="str">
            <v>KKM/JKN/HSA/10-05-01/H/20/116</v>
          </cell>
          <cell r="F2370" t="str">
            <v>Therapeutic</v>
          </cell>
          <cell r="G2370" t="str">
            <v>Intermediate</v>
          </cell>
          <cell r="H2370" t="str">
            <v>Ventilators, Intensive Care, Neonatal/Pediatric</v>
          </cell>
          <cell r="I2370" t="str">
            <v>VENTILATOR</v>
          </cell>
          <cell r="J2370" t="str">
            <v>14-361</v>
          </cell>
          <cell r="K2370" t="str">
            <v>DRAEGER</v>
          </cell>
          <cell r="L2370" t="str">
            <v>SAVINA 300</v>
          </cell>
          <cell r="M2370"/>
          <cell r="N2370" t="str">
            <v>JABATAN ANESTESIOLOGI DAN RAWATAN RAPI</v>
          </cell>
          <cell r="O2370"/>
          <cell r="P2370"/>
          <cell r="Q2370">
            <v>85000</v>
          </cell>
        </row>
        <row r="2371">
          <cell r="E2371" t="str">
            <v>KKM/JKN/HSA/10-05-01/H/20/229</v>
          </cell>
          <cell r="F2371" t="str">
            <v>Therapeutic</v>
          </cell>
          <cell r="G2371" t="str">
            <v>Intermediate</v>
          </cell>
          <cell r="H2371" t="str">
            <v>Infusion Pumps, Syringe</v>
          </cell>
          <cell r="I2371" t="str">
            <v>SYRINGE INFUSION PUMP</v>
          </cell>
          <cell r="J2371" t="str">
            <v>13-217</v>
          </cell>
          <cell r="K2371" t="str">
            <v>MINDRAY</v>
          </cell>
          <cell r="L2371" t="str">
            <v>SP3</v>
          </cell>
          <cell r="M2371"/>
          <cell r="N2371" t="str">
            <v>JABATAN PEMBEDAHAN AM</v>
          </cell>
          <cell r="O2371"/>
          <cell r="P2371"/>
          <cell r="Q2371">
            <v>3000</v>
          </cell>
        </row>
        <row r="2372">
          <cell r="E2372" t="str">
            <v>KKM/JKN/HSA/10-05-01/H/20/234</v>
          </cell>
          <cell r="F2372" t="str">
            <v>Therapeutic</v>
          </cell>
          <cell r="G2372" t="str">
            <v>Intermediate</v>
          </cell>
          <cell r="H2372" t="str">
            <v>Infusion Pumps, Syringe</v>
          </cell>
          <cell r="I2372" t="str">
            <v>SYRINGE INFUSION PUMP</v>
          </cell>
          <cell r="J2372" t="str">
            <v>13-217</v>
          </cell>
          <cell r="K2372" t="str">
            <v>MINDRAY</v>
          </cell>
          <cell r="L2372" t="str">
            <v>SP3</v>
          </cell>
          <cell r="M2372"/>
          <cell r="N2372" t="str">
            <v>JABATAN PERUBATAN AM</v>
          </cell>
          <cell r="O2372"/>
          <cell r="P2372"/>
          <cell r="Q2372">
            <v>3000</v>
          </cell>
        </row>
        <row r="2373">
          <cell r="E2373" t="str">
            <v>KKM/JKN/HSA/10-05-01/H/22/6</v>
          </cell>
          <cell r="F2373" t="str">
            <v>Therapeutic</v>
          </cell>
          <cell r="G2373" t="str">
            <v>Intermediate</v>
          </cell>
          <cell r="H2373" t="str">
            <v>Infusion Pumps, Syringe</v>
          </cell>
          <cell r="I2373" t="str">
            <v>SYRINGE INFUSION PUMP</v>
          </cell>
          <cell r="J2373" t="str">
            <v>13-217</v>
          </cell>
          <cell r="K2373" t="str">
            <v>TERUMO</v>
          </cell>
          <cell r="L2373" t="str">
            <v>TE*SS730N02</v>
          </cell>
          <cell r="M2373"/>
          <cell r="N2373" t="str">
            <v>JABATAN PEMBEDAHAN AM</v>
          </cell>
          <cell r="O2373"/>
          <cell r="P2373"/>
          <cell r="Q2373">
            <v>3300</v>
          </cell>
        </row>
        <row r="2374">
          <cell r="E2374" t="str">
            <v>KKM/JKN/HSA/10-05-01/H/22/7</v>
          </cell>
          <cell r="F2374" t="str">
            <v>Therapeutic</v>
          </cell>
          <cell r="G2374" t="str">
            <v>Intermediate</v>
          </cell>
          <cell r="H2374" t="str">
            <v>Infusion Pumps, Syringe</v>
          </cell>
          <cell r="I2374" t="str">
            <v>SYRINGE INFUSION PUMP</v>
          </cell>
          <cell r="J2374" t="str">
            <v>13-217</v>
          </cell>
          <cell r="K2374" t="str">
            <v>TERUMO</v>
          </cell>
          <cell r="L2374" t="str">
            <v>TE*SS730N02</v>
          </cell>
          <cell r="M2374"/>
          <cell r="N2374" t="str">
            <v>JABATAN PEMBEDAHAN AM</v>
          </cell>
          <cell r="O2374"/>
          <cell r="P2374"/>
          <cell r="Q2374">
            <v>3300</v>
          </cell>
        </row>
        <row r="2375">
          <cell r="E2375" t="str">
            <v>KKM/JKN/HSA/10-05-01/H/22/8</v>
          </cell>
          <cell r="F2375" t="str">
            <v>Therapeutic</v>
          </cell>
          <cell r="G2375" t="str">
            <v>Intermediate</v>
          </cell>
          <cell r="H2375" t="str">
            <v>Infusion Pumps, Syringe</v>
          </cell>
          <cell r="I2375" t="str">
            <v>SYRINGE INFUSION PUMP</v>
          </cell>
          <cell r="J2375" t="str">
            <v>13-217</v>
          </cell>
          <cell r="K2375" t="str">
            <v>TERUMO</v>
          </cell>
          <cell r="L2375" t="str">
            <v>TE*SS730N02</v>
          </cell>
          <cell r="M2375"/>
          <cell r="N2375" t="str">
            <v>JABATAN PEMBEDAHAN AM</v>
          </cell>
          <cell r="O2375"/>
          <cell r="P2375"/>
          <cell r="Q2375">
            <v>3300</v>
          </cell>
        </row>
        <row r="2376">
          <cell r="E2376" t="str">
            <v>KKM/JKN/HSA/10-05-01/H/22/9</v>
          </cell>
          <cell r="F2376" t="str">
            <v>Therapeutic</v>
          </cell>
          <cell r="G2376" t="str">
            <v>Intermediate</v>
          </cell>
          <cell r="H2376" t="str">
            <v>Infusion Pumps, Syringe</v>
          </cell>
          <cell r="I2376" t="str">
            <v>SYRINGE INFUSION PUMP</v>
          </cell>
          <cell r="J2376" t="str">
            <v>13-217</v>
          </cell>
          <cell r="K2376" t="str">
            <v>TERUMO</v>
          </cell>
          <cell r="L2376" t="str">
            <v>TE*SS730N02</v>
          </cell>
          <cell r="M2376"/>
          <cell r="N2376" t="str">
            <v>JABATAN PEMBEDAHAN AM</v>
          </cell>
          <cell r="O2376"/>
          <cell r="P2376"/>
          <cell r="Q2376">
            <v>3300</v>
          </cell>
        </row>
        <row r="2377">
          <cell r="E2377" t="str">
            <v>KKM/JKN/HSA/10-05-01/H/20/216</v>
          </cell>
          <cell r="F2377" t="str">
            <v>Diagnostic</v>
          </cell>
          <cell r="G2377" t="str">
            <v>Intermediate</v>
          </cell>
          <cell r="H2377" t="str">
            <v>Physiologic Monitoring Systems, Acute Care</v>
          </cell>
          <cell r="I2377" t="str">
            <v>PATIENT MONITORING EQUIPMENT</v>
          </cell>
          <cell r="J2377" t="str">
            <v>12-647</v>
          </cell>
          <cell r="K2377" t="str">
            <v>PHILIPS</v>
          </cell>
          <cell r="L2377" t="str">
            <v>866061 / 867036</v>
          </cell>
          <cell r="M2377"/>
          <cell r="N2377" t="str">
            <v>JABATAN PERUBATAN AM</v>
          </cell>
          <cell r="O2377"/>
          <cell r="P2377"/>
          <cell r="Q2377">
            <v>28333.34</v>
          </cell>
        </row>
        <row r="2378">
          <cell r="E2378" t="str">
            <v>KKM/JKN/HSA/10-05-01/H/21/306</v>
          </cell>
          <cell r="F2378" t="str">
            <v>Diagnostic</v>
          </cell>
          <cell r="G2378" t="str">
            <v>Intermediate</v>
          </cell>
          <cell r="H2378" t="str">
            <v>Physiologic Monitoring Systems, Acute Care</v>
          </cell>
          <cell r="I2378" t="str">
            <v>PATIENT MONITORING EQUIPMENT</v>
          </cell>
          <cell r="J2378" t="str">
            <v>12-647</v>
          </cell>
          <cell r="K2378" t="str">
            <v>BETTERLIFE MEDICAL TECHNOLOGY</v>
          </cell>
          <cell r="L2378" t="str">
            <v>IRIS 200</v>
          </cell>
          <cell r="M2378"/>
          <cell r="N2378" t="str">
            <v>JABATAN PEMBEDAHAN AM</v>
          </cell>
          <cell r="O2378"/>
          <cell r="P2378"/>
          <cell r="Q2378">
            <v>5066</v>
          </cell>
        </row>
        <row r="2379">
          <cell r="E2379" t="str">
            <v>KKM/JKN/HSA/10-05-01/H/21/307</v>
          </cell>
          <cell r="F2379" t="str">
            <v>Diagnostic</v>
          </cell>
          <cell r="G2379" t="str">
            <v>Intermediate</v>
          </cell>
          <cell r="H2379" t="str">
            <v>Physiologic Monitoring Systems, Acute Care</v>
          </cell>
          <cell r="I2379" t="str">
            <v>PATIENT MONITORING EQUIPMENT</v>
          </cell>
          <cell r="J2379" t="str">
            <v>12-647</v>
          </cell>
          <cell r="K2379" t="str">
            <v>BETTERLIFE MEDICAL TECHNOLOGY</v>
          </cell>
          <cell r="L2379" t="str">
            <v>IRIS 200</v>
          </cell>
          <cell r="M2379"/>
          <cell r="N2379" t="str">
            <v>JABATAN PEMBEDAHAN AM</v>
          </cell>
          <cell r="O2379"/>
          <cell r="P2379"/>
          <cell r="Q2379">
            <v>5066</v>
          </cell>
        </row>
        <row r="2380">
          <cell r="E2380" t="str">
            <v>KKM/JKN/HSA/10-05-01/H/21/308</v>
          </cell>
          <cell r="F2380" t="str">
            <v>Diagnostic</v>
          </cell>
          <cell r="G2380" t="str">
            <v>Intermediate</v>
          </cell>
          <cell r="H2380" t="str">
            <v>Physiologic Monitoring Systems, Acute Care</v>
          </cell>
          <cell r="I2380" t="str">
            <v>PATIENT MONITORING EQUIPMENT</v>
          </cell>
          <cell r="J2380" t="str">
            <v>12-647</v>
          </cell>
          <cell r="K2380" t="str">
            <v>BETTERLIFE MEDICAL TECHNOLOGY</v>
          </cell>
          <cell r="L2380" t="str">
            <v>IRIS 200</v>
          </cell>
          <cell r="M2380"/>
          <cell r="N2380" t="str">
            <v>JABATAN PEMBEDAHAN AM</v>
          </cell>
          <cell r="O2380"/>
          <cell r="P2380"/>
          <cell r="Q2380">
            <v>5066</v>
          </cell>
        </row>
        <row r="2381">
          <cell r="E2381" t="str">
            <v>KKM/JKN/HSA/10-05-01/H/21/193</v>
          </cell>
          <cell r="F2381" t="str">
            <v>Therapeutic</v>
          </cell>
          <cell r="G2381" t="str">
            <v>Intermediate</v>
          </cell>
          <cell r="H2381" t="str">
            <v>Respirators, Air-Purifying</v>
          </cell>
          <cell r="I2381" t="str">
            <v>POWERED AIR PURIFYING RESPIRATOR (PAPR)</v>
          </cell>
          <cell r="J2381" t="str">
            <v>18-094</v>
          </cell>
          <cell r="K2381" t="str">
            <v>SHINE</v>
          </cell>
          <cell r="L2381" t="str">
            <v>P-SH100</v>
          </cell>
          <cell r="M2381"/>
          <cell r="N2381" t="str">
            <v>JABATAN FORENSIK</v>
          </cell>
          <cell r="O2381"/>
          <cell r="P2381"/>
          <cell r="Q2381">
            <v>4300</v>
          </cell>
        </row>
        <row r="2382">
          <cell r="E2382" t="str">
            <v>KKM/JKN/HSA/10-05-01/H/21/194</v>
          </cell>
          <cell r="F2382" t="str">
            <v>Therapeutic</v>
          </cell>
          <cell r="G2382" t="str">
            <v>Intermediate</v>
          </cell>
          <cell r="H2382" t="str">
            <v>Respirators, Air-Purifying</v>
          </cell>
          <cell r="I2382" t="str">
            <v>POWERED AIR PURIFYING RESPIRATOR (PAPR)</v>
          </cell>
          <cell r="J2382" t="str">
            <v>18-094</v>
          </cell>
          <cell r="K2382" t="str">
            <v>SHINE</v>
          </cell>
          <cell r="L2382" t="str">
            <v>P-SH100</v>
          </cell>
          <cell r="M2382"/>
          <cell r="N2382" t="str">
            <v>JABATAN FORENSIK</v>
          </cell>
          <cell r="O2382"/>
          <cell r="P2382"/>
          <cell r="Q2382">
            <v>4300</v>
          </cell>
        </row>
        <row r="2383">
          <cell r="E2383" t="str">
            <v>KKM/JKN/HSA/10-05-01/H/21/195</v>
          </cell>
          <cell r="F2383" t="str">
            <v>Therapeutic</v>
          </cell>
          <cell r="G2383" t="str">
            <v>Intermediate</v>
          </cell>
          <cell r="H2383" t="str">
            <v>Respirators, Air-Purifying</v>
          </cell>
          <cell r="I2383" t="str">
            <v>POWERED AIR PURIFYING RESPIRATOR (PAPR)</v>
          </cell>
          <cell r="J2383" t="str">
            <v>18-094</v>
          </cell>
          <cell r="K2383" t="str">
            <v>SHINE</v>
          </cell>
          <cell r="L2383" t="str">
            <v>P-SH100</v>
          </cell>
          <cell r="M2383"/>
          <cell r="N2383" t="str">
            <v>JABATAN FORENSIK</v>
          </cell>
          <cell r="O2383"/>
          <cell r="P2383"/>
          <cell r="Q2383">
            <v>4300</v>
          </cell>
        </row>
        <row r="2384">
          <cell r="E2384" t="str">
            <v>KKM/JKN/HSA/10-05-01/H/21/196</v>
          </cell>
          <cell r="F2384" t="str">
            <v>Therapeutic</v>
          </cell>
          <cell r="G2384" t="str">
            <v>Intermediate</v>
          </cell>
          <cell r="H2384" t="str">
            <v>Respirators, Air-Purifying</v>
          </cell>
          <cell r="I2384" t="str">
            <v>POWERED AIR PURIFYING RESPIRATOR (PAPR)</v>
          </cell>
          <cell r="J2384" t="str">
            <v>18-094</v>
          </cell>
          <cell r="K2384" t="str">
            <v>SHINE</v>
          </cell>
          <cell r="L2384" t="str">
            <v>P-SH100</v>
          </cell>
          <cell r="M2384"/>
          <cell r="N2384" t="str">
            <v>JABATAN FORENSIK</v>
          </cell>
          <cell r="O2384"/>
          <cell r="P2384"/>
          <cell r="Q2384">
            <v>4300</v>
          </cell>
        </row>
        <row r="2385">
          <cell r="E2385" t="str">
            <v>KKM/JKN/HSA/10-05-01/H/22/106</v>
          </cell>
          <cell r="F2385" t="str">
            <v>Therapeutic</v>
          </cell>
          <cell r="G2385" t="str">
            <v>Intermediate</v>
          </cell>
          <cell r="H2385" t="str">
            <v>Infusion Pumps, Syringe</v>
          </cell>
          <cell r="I2385" t="str">
            <v>SYRINGE INFUSION PUMP</v>
          </cell>
          <cell r="J2385" t="str">
            <v>13-217</v>
          </cell>
          <cell r="K2385" t="str">
            <v>BBRAUN</v>
          </cell>
          <cell r="L2385" t="str">
            <v>PERFUSOR COMPACT PLUS</v>
          </cell>
          <cell r="M2385"/>
          <cell r="N2385" t="str">
            <v>JABATAN PEMBEDAHAN AM</v>
          </cell>
          <cell r="O2385"/>
          <cell r="P2385"/>
          <cell r="Q2385">
            <v>3900</v>
          </cell>
        </row>
        <row r="2386">
          <cell r="E2386" t="str">
            <v>KKM/JKN/HSA/10-05-01/H/22/107</v>
          </cell>
          <cell r="F2386" t="str">
            <v>Therapeutic</v>
          </cell>
          <cell r="G2386" t="str">
            <v>Intermediate</v>
          </cell>
          <cell r="H2386" t="str">
            <v>Infusion Pumps, Syringe</v>
          </cell>
          <cell r="I2386" t="str">
            <v>SYRINGE INFUSION PUMP</v>
          </cell>
          <cell r="J2386" t="str">
            <v>13-217</v>
          </cell>
          <cell r="K2386" t="str">
            <v>BBRAUN</v>
          </cell>
          <cell r="L2386" t="str">
            <v>PERFUSOR COMPACT PLUS</v>
          </cell>
          <cell r="M2386"/>
          <cell r="N2386" t="str">
            <v>JABATAN PEMBEDAHAN AM</v>
          </cell>
          <cell r="O2386"/>
          <cell r="P2386"/>
          <cell r="Q2386">
            <v>3900</v>
          </cell>
        </row>
        <row r="2387">
          <cell r="E2387" t="str">
            <v>KKM/JKN/HSA/10-05-01/H/22/109</v>
          </cell>
          <cell r="F2387" t="str">
            <v>Therapeutic</v>
          </cell>
          <cell r="G2387" t="str">
            <v>Intermediate</v>
          </cell>
          <cell r="H2387" t="str">
            <v>Infusion Pumps, Syringe</v>
          </cell>
          <cell r="I2387" t="str">
            <v>SYRINGE INFUSION PUMP</v>
          </cell>
          <cell r="J2387" t="str">
            <v>13-217</v>
          </cell>
          <cell r="K2387" t="str">
            <v>BBRAUN</v>
          </cell>
          <cell r="L2387" t="str">
            <v>PERFUSOR COMPACT PLUS</v>
          </cell>
          <cell r="M2387"/>
          <cell r="N2387" t="str">
            <v>JABATAN PEMBEDAHAN AM</v>
          </cell>
          <cell r="O2387"/>
          <cell r="P2387"/>
          <cell r="Q2387">
            <v>3900</v>
          </cell>
        </row>
        <row r="2388">
          <cell r="E2388" t="str">
            <v>KKM/JKN/HSA/10-05-01/H/22/110</v>
          </cell>
          <cell r="F2388" t="str">
            <v>Therapeutic</v>
          </cell>
          <cell r="G2388" t="str">
            <v>Intermediate</v>
          </cell>
          <cell r="H2388" t="str">
            <v>Infusion Pumps, Syringe</v>
          </cell>
          <cell r="I2388" t="str">
            <v>SYRINGE INFUSION PUMP</v>
          </cell>
          <cell r="J2388" t="str">
            <v>13-217</v>
          </cell>
          <cell r="K2388" t="str">
            <v>BBRAUN</v>
          </cell>
          <cell r="L2388" t="str">
            <v>PERFUSOR COMPACT PLUS</v>
          </cell>
          <cell r="M2388"/>
          <cell r="N2388" t="str">
            <v>JABATAN ANESTESIOLOGI DAN RAWATAN RAPI</v>
          </cell>
          <cell r="O2388"/>
          <cell r="P2388"/>
          <cell r="Q2388">
            <v>3900</v>
          </cell>
        </row>
        <row r="2389">
          <cell r="E2389" t="str">
            <v>KKM/JKN/HSA/10-05-01/H/22/112</v>
          </cell>
          <cell r="F2389" t="str">
            <v>Therapeutic</v>
          </cell>
          <cell r="G2389" t="str">
            <v>Intermediate</v>
          </cell>
          <cell r="H2389" t="str">
            <v>Infusion Pumps, Syringe</v>
          </cell>
          <cell r="I2389" t="str">
            <v>SYRINGE INFUSION PUMP</v>
          </cell>
          <cell r="J2389" t="str">
            <v>13-217</v>
          </cell>
          <cell r="K2389" t="str">
            <v>BBRAUN</v>
          </cell>
          <cell r="L2389" t="str">
            <v>PERFUSOR COMPACT PLUS</v>
          </cell>
          <cell r="M2389"/>
          <cell r="N2389" t="str">
            <v>JABATAN ANESTESIOLOGI DAN RAWATAN RAPI</v>
          </cell>
          <cell r="O2389"/>
          <cell r="P2389"/>
          <cell r="Q2389">
            <v>3900</v>
          </cell>
        </row>
        <row r="2390">
          <cell r="E2390" t="str">
            <v>KKM/JKN/HSA/10-05-01/R/23/1</v>
          </cell>
          <cell r="F2390" t="str">
            <v>Diagnostic</v>
          </cell>
          <cell r="G2390" t="str">
            <v>Basic</v>
          </cell>
          <cell r="H2390" t="str">
            <v>Fetal Heart Detectors, Ultrasonic</v>
          </cell>
          <cell r="I2390" t="str">
            <v>PORTABLE FETAL DOPPLER</v>
          </cell>
          <cell r="J2390" t="str">
            <v>11-696</v>
          </cell>
          <cell r="K2390" t="str">
            <v>EDAN</v>
          </cell>
          <cell r="L2390" t="str">
            <v>SD3</v>
          </cell>
          <cell r="M2390"/>
          <cell r="N2390" t="str">
            <v>JABATAN OBSTETRIK &amp; GINEKOLOGI</v>
          </cell>
          <cell r="O2390"/>
          <cell r="P2390"/>
          <cell r="Q2390">
            <v>1700</v>
          </cell>
        </row>
        <row r="2391">
          <cell r="E2391" t="str">
            <v>KKM/JKN/HSA/10-05-01/R/23/2</v>
          </cell>
          <cell r="F2391" t="str">
            <v>Diagnostic</v>
          </cell>
          <cell r="G2391" t="str">
            <v>Basic</v>
          </cell>
          <cell r="H2391" t="str">
            <v>Fetal Heart Detectors, Ultrasonic</v>
          </cell>
          <cell r="I2391" t="str">
            <v>PORTABLE FETAL DOPPLER</v>
          </cell>
          <cell r="J2391" t="str">
            <v>11-696</v>
          </cell>
          <cell r="K2391" t="str">
            <v>EDAN</v>
          </cell>
          <cell r="L2391" t="str">
            <v>SD3</v>
          </cell>
          <cell r="M2391"/>
          <cell r="N2391" t="str">
            <v>JABATAN OBSTETRIK &amp; GINEKOLOGI</v>
          </cell>
          <cell r="O2391"/>
          <cell r="P2391"/>
          <cell r="Q2391">
            <v>1700</v>
          </cell>
        </row>
        <row r="2392">
          <cell r="E2392" t="str">
            <v>KKM/JKN/HSA/10-05-01/R/23/3</v>
          </cell>
          <cell r="F2392" t="str">
            <v>Diagnostic</v>
          </cell>
          <cell r="G2392" t="str">
            <v>Basic</v>
          </cell>
          <cell r="H2392" t="str">
            <v>Fetal Heart Detectors, Ultrasonic</v>
          </cell>
          <cell r="I2392" t="str">
            <v>PORTABLE FETAL DOPPLER</v>
          </cell>
          <cell r="J2392" t="str">
            <v>11-696</v>
          </cell>
          <cell r="K2392" t="str">
            <v>EDAN</v>
          </cell>
          <cell r="L2392" t="str">
            <v>SD3</v>
          </cell>
          <cell r="M2392"/>
          <cell r="N2392" t="str">
            <v>JABATAN OBSTETRIK &amp; GINEKOLOGI</v>
          </cell>
          <cell r="O2392"/>
          <cell r="P2392"/>
          <cell r="Q2392">
            <v>1700</v>
          </cell>
        </row>
        <row r="2393">
          <cell r="E2393" t="str">
            <v>KKM/JKN/HSA/10-05-01/R/23/4</v>
          </cell>
          <cell r="F2393" t="str">
            <v>Diagnostic</v>
          </cell>
          <cell r="G2393" t="str">
            <v>Basic</v>
          </cell>
          <cell r="H2393" t="str">
            <v>Fetal Heart Detectors, Ultrasonic</v>
          </cell>
          <cell r="I2393" t="str">
            <v>PORTABLE FETAL DOPPLER</v>
          </cell>
          <cell r="J2393" t="str">
            <v>11-696</v>
          </cell>
          <cell r="K2393" t="str">
            <v>EDAN</v>
          </cell>
          <cell r="L2393" t="str">
            <v>SD3</v>
          </cell>
          <cell r="M2393"/>
          <cell r="N2393" t="str">
            <v>JABATAN OBSTETRIK &amp; GINEKOLOGI</v>
          </cell>
          <cell r="O2393"/>
          <cell r="P2393"/>
          <cell r="Q2393">
            <v>1700</v>
          </cell>
        </row>
        <row r="2394">
          <cell r="E2394" t="str">
            <v>KKM/JKN/HSA/10-05-01/R/23/5</v>
          </cell>
          <cell r="F2394" t="str">
            <v>Diagnostic</v>
          </cell>
          <cell r="G2394" t="str">
            <v>Basic</v>
          </cell>
          <cell r="H2394" t="str">
            <v>Fetal Heart Detectors, Ultrasonic</v>
          </cell>
          <cell r="I2394" t="str">
            <v>PORTABLE FETAL DOPPLER</v>
          </cell>
          <cell r="J2394" t="str">
            <v>11-696</v>
          </cell>
          <cell r="K2394" t="str">
            <v>EDAN</v>
          </cell>
          <cell r="L2394" t="str">
            <v>SD3</v>
          </cell>
          <cell r="M2394"/>
          <cell r="N2394" t="str">
            <v>JABATAN OBSTETRIK &amp; GINEKOLOGI</v>
          </cell>
          <cell r="O2394"/>
          <cell r="P2394"/>
          <cell r="Q2394">
            <v>1700</v>
          </cell>
        </row>
        <row r="2395">
          <cell r="E2395" t="str">
            <v>KKM/JKN/HSA/10-05-01/R/23/6</v>
          </cell>
          <cell r="F2395" t="str">
            <v>Diagnostic</v>
          </cell>
          <cell r="G2395" t="str">
            <v>Basic</v>
          </cell>
          <cell r="H2395" t="str">
            <v>Fetal Heart Detectors, Ultrasonic</v>
          </cell>
          <cell r="I2395" t="str">
            <v>PORTABLE FETAL DOPPLER</v>
          </cell>
          <cell r="J2395" t="str">
            <v>11-696</v>
          </cell>
          <cell r="K2395" t="str">
            <v>EDAN</v>
          </cell>
          <cell r="L2395" t="str">
            <v>SD3</v>
          </cell>
          <cell r="M2395"/>
          <cell r="N2395" t="str">
            <v>JABATAN ANESTESIOLOGI DAN RAWATAN RAPI</v>
          </cell>
          <cell r="O2395"/>
          <cell r="P2395"/>
          <cell r="Q2395">
            <v>1700</v>
          </cell>
        </row>
        <row r="2396">
          <cell r="E2396" t="str">
            <v>KKM/JKN/HSA/10-05-01/R/23/7</v>
          </cell>
          <cell r="F2396" t="str">
            <v>Diagnostic</v>
          </cell>
          <cell r="G2396" t="str">
            <v>Basic</v>
          </cell>
          <cell r="H2396" t="str">
            <v>Fetal Heart Detectors, Ultrasonic</v>
          </cell>
          <cell r="I2396" t="str">
            <v>PORTABLE FETAL DOPPLER</v>
          </cell>
          <cell r="J2396" t="str">
            <v>11-696</v>
          </cell>
          <cell r="K2396" t="str">
            <v>EDAN</v>
          </cell>
          <cell r="L2396" t="str">
            <v>SD3</v>
          </cell>
          <cell r="M2396"/>
          <cell r="N2396" t="str">
            <v>JABATAN OBSTETRIK &amp; GINEKOLOGI</v>
          </cell>
          <cell r="O2396"/>
          <cell r="P2396"/>
          <cell r="Q2396">
            <v>1700</v>
          </cell>
        </row>
        <row r="2397">
          <cell r="E2397" t="str">
            <v>KKM/JKN/HSA/10-05-01/R/23/8</v>
          </cell>
          <cell r="F2397" t="str">
            <v>Diagnostic</v>
          </cell>
          <cell r="G2397" t="str">
            <v>Basic</v>
          </cell>
          <cell r="H2397" t="str">
            <v>Fetal Heart Detectors, Ultrasonic</v>
          </cell>
          <cell r="I2397" t="str">
            <v>PORTABLE FETAL DOPPLER</v>
          </cell>
          <cell r="J2397" t="str">
            <v>11-696</v>
          </cell>
          <cell r="K2397" t="str">
            <v>EDAN</v>
          </cell>
          <cell r="L2397" t="str">
            <v>SD3</v>
          </cell>
          <cell r="M2397"/>
          <cell r="N2397" t="str">
            <v>JABATAN OBSTETRIK &amp; GINEKOLOGI</v>
          </cell>
          <cell r="O2397"/>
          <cell r="P2397"/>
          <cell r="Q2397">
            <v>1700</v>
          </cell>
        </row>
        <row r="2398">
          <cell r="E2398" t="str">
            <v>KKM/JKN/HSA/10-05-01/R/23/9</v>
          </cell>
          <cell r="F2398" t="str">
            <v>Diagnostic</v>
          </cell>
          <cell r="G2398" t="str">
            <v>Basic</v>
          </cell>
          <cell r="H2398" t="str">
            <v>Fetal Heart Detectors, Ultrasonic</v>
          </cell>
          <cell r="I2398" t="str">
            <v>PORTABLE FETAL DOPPLER</v>
          </cell>
          <cell r="J2398" t="str">
            <v>11-696</v>
          </cell>
          <cell r="K2398" t="str">
            <v>EDAN</v>
          </cell>
          <cell r="L2398" t="str">
            <v>SD3</v>
          </cell>
          <cell r="M2398"/>
          <cell r="N2398" t="str">
            <v>JABATAN OBSTETRIK &amp; GINEKOLOGI</v>
          </cell>
          <cell r="O2398"/>
          <cell r="P2398"/>
          <cell r="Q2398">
            <v>1700</v>
          </cell>
        </row>
        <row r="2399">
          <cell r="E2399" t="str">
            <v>KKM/JKN/HSA/10-05-01/R/23/10</v>
          </cell>
          <cell r="F2399" t="str">
            <v>Diagnostic</v>
          </cell>
          <cell r="G2399" t="str">
            <v>Basic</v>
          </cell>
          <cell r="H2399" t="str">
            <v>Fetal Heart Detectors, Ultrasonic</v>
          </cell>
          <cell r="I2399" t="str">
            <v>PORTABLE FETAL DOPPLER</v>
          </cell>
          <cell r="J2399" t="str">
            <v>11-696</v>
          </cell>
          <cell r="K2399" t="str">
            <v>EDAN</v>
          </cell>
          <cell r="L2399" t="str">
            <v>SD3</v>
          </cell>
          <cell r="M2399"/>
          <cell r="N2399" t="str">
            <v>JABATAN OBSTETRIK &amp; GINEKOLOGI</v>
          </cell>
          <cell r="O2399"/>
          <cell r="P2399"/>
          <cell r="Q2399">
            <v>1700</v>
          </cell>
        </row>
        <row r="2400">
          <cell r="E2400" t="str">
            <v>KKM/JKN/HSA/10-05-01/H/23/40</v>
          </cell>
          <cell r="F2400" t="str">
            <v>Therapeutic</v>
          </cell>
          <cell r="G2400" t="str">
            <v>Intermediate</v>
          </cell>
          <cell r="H2400" t="str">
            <v>Handpieces, Surgical</v>
          </cell>
          <cell r="I2400" t="str">
            <v>MICRODEBRIDER ELECTRIC HIGH SPEED DRILL</v>
          </cell>
          <cell r="J2400" t="str">
            <v>17-949</v>
          </cell>
          <cell r="K2400" t="str">
            <v>MEDTRONIC</v>
          </cell>
          <cell r="L2400" t="str">
            <v>EC300</v>
          </cell>
          <cell r="M2400"/>
          <cell r="N2400" t="str">
            <v>JABATAN PEMBEDAHAN AM</v>
          </cell>
          <cell r="O2400"/>
          <cell r="P2400"/>
          <cell r="Q2400">
            <v>198250.34</v>
          </cell>
        </row>
        <row r="2401">
          <cell r="E2401" t="str">
            <v>KKM/JKN/HSA/10-05-01/H/23/39</v>
          </cell>
          <cell r="F2401" t="str">
            <v>Therapeutic</v>
          </cell>
          <cell r="G2401" t="str">
            <v>High</v>
          </cell>
          <cell r="H2401" t="str">
            <v>Lasers, Nd:YAG, Frequency-Doubled</v>
          </cell>
          <cell r="I2401" t="str">
            <v>LASER INDIRECT OFTHALMOSCAPE SLIT LAMP LASER</v>
          </cell>
          <cell r="J2401" t="str">
            <v>18-216</v>
          </cell>
          <cell r="K2401" t="str">
            <v>QUANTEL MEDICAL FRANCE</v>
          </cell>
          <cell r="L2401" t="str">
            <v>VITRA2/ CAPSULO</v>
          </cell>
          <cell r="M2401"/>
          <cell r="N2401" t="str">
            <v>JABATAN OFTALMOLOGI</v>
          </cell>
          <cell r="O2401"/>
          <cell r="P2401"/>
          <cell r="Q2401">
            <v>249600</v>
          </cell>
        </row>
        <row r="2402">
          <cell r="E2402" t="str">
            <v>KKM/JKN/HSA/10-05-01/H/22/139</v>
          </cell>
          <cell r="F2402" t="str">
            <v>Therapeutic</v>
          </cell>
          <cell r="G2402" t="str">
            <v>Intermediate</v>
          </cell>
          <cell r="H2402" t="str">
            <v>Humidifiers, Heated</v>
          </cell>
          <cell r="I2402" t="str">
            <v>RESPIRATORY HUMIDIFIER/HIGH FLOW HUMIDIFIER</v>
          </cell>
          <cell r="J2402" t="str">
            <v>12-050</v>
          </cell>
          <cell r="K2402" t="str">
            <v>BMC</v>
          </cell>
          <cell r="L2402" t="str">
            <v>H-80A</v>
          </cell>
          <cell r="M2402"/>
          <cell r="N2402" t="str">
            <v>JABATAN PEDIATRIK</v>
          </cell>
          <cell r="O2402"/>
          <cell r="P2402"/>
          <cell r="Q2402">
            <v>21000</v>
          </cell>
        </row>
        <row r="2403">
          <cell r="E2403" t="str">
            <v>KKM/JKN/HSA/10-05-01/H/22/140</v>
          </cell>
          <cell r="F2403" t="str">
            <v>Therapeutic</v>
          </cell>
          <cell r="G2403" t="str">
            <v>Intermediate</v>
          </cell>
          <cell r="H2403" t="str">
            <v>Humidifiers, Heated</v>
          </cell>
          <cell r="I2403" t="str">
            <v>RESPIRATORY HUMIDIFIER/HIGH FLOW HUMIDIFIER</v>
          </cell>
          <cell r="J2403" t="str">
            <v>12-050</v>
          </cell>
          <cell r="K2403" t="str">
            <v>BMC</v>
          </cell>
          <cell r="L2403" t="str">
            <v>H-80A</v>
          </cell>
          <cell r="M2403"/>
          <cell r="N2403" t="str">
            <v>JABATAN PEDIATRIK</v>
          </cell>
          <cell r="O2403"/>
          <cell r="P2403"/>
          <cell r="Q2403">
            <v>21000</v>
          </cell>
        </row>
        <row r="2404">
          <cell r="E2404" t="str">
            <v>KKM/JKN/HSA/10-05-01/H/22/136</v>
          </cell>
          <cell r="F2404" t="str">
            <v>Therapeutic</v>
          </cell>
          <cell r="G2404" t="str">
            <v>Intermediate</v>
          </cell>
          <cell r="H2404" t="str">
            <v>Ventilators, Intensive Care, Neonatal/Pediatric</v>
          </cell>
          <cell r="I2404" t="str">
            <v>CPAP MACHINE</v>
          </cell>
          <cell r="J2404" t="str">
            <v>14-361</v>
          </cell>
          <cell r="K2404" t="str">
            <v>WILAMED</v>
          </cell>
          <cell r="L2404" t="str">
            <v>WILAFLOW ELITE</v>
          </cell>
          <cell r="M2404"/>
          <cell r="N2404" t="str">
            <v>JABATAN PEDIATRIK</v>
          </cell>
          <cell r="O2404"/>
          <cell r="P2404"/>
          <cell r="Q2404">
            <v>58000</v>
          </cell>
        </row>
        <row r="2405">
          <cell r="E2405" t="str">
            <v>KKM/JKN/HSA/10-05-01/R/23/24</v>
          </cell>
          <cell r="F2405" t="str">
            <v>Diagnostic</v>
          </cell>
          <cell r="G2405" t="str">
            <v>Intermediate</v>
          </cell>
          <cell r="H2405" t="str">
            <v>Analyzers, Physiologic, Body Composition</v>
          </cell>
          <cell r="I2405" t="str">
            <v>BODY FAT ANALYZER</v>
          </cell>
          <cell r="J2405" t="str">
            <v>17-417</v>
          </cell>
          <cell r="K2405" t="str">
            <v>OMRON</v>
          </cell>
          <cell r="L2405" t="str">
            <v>HBF-702T</v>
          </cell>
          <cell r="M2405"/>
          <cell r="N2405" t="str">
            <v>UNIT PENDIDIKAN KESIHATAN</v>
          </cell>
          <cell r="O2405"/>
          <cell r="P2405"/>
          <cell r="Q2405">
            <v>1200</v>
          </cell>
        </row>
        <row r="2406">
          <cell r="E2406" t="str">
            <v>KKM/JKN/HSA/10-05-01/H/23/5</v>
          </cell>
          <cell r="F2406" t="str">
            <v>Therapeutic</v>
          </cell>
          <cell r="G2406" t="str">
            <v>Intermediate</v>
          </cell>
          <cell r="H2406" t="str">
            <v xml:space="preserve">Defibrillators, External, Automated </v>
          </cell>
          <cell r="I2406" t="str">
            <v>DEFIBRILLATOR</v>
          </cell>
          <cell r="J2406" t="str">
            <v>17-116</v>
          </cell>
          <cell r="K2406" t="str">
            <v>PHILLIPS</v>
          </cell>
          <cell r="L2406" t="str">
            <v>EFFICIA DFM100</v>
          </cell>
          <cell r="M2406"/>
          <cell r="N2406" t="str">
            <v>JABATAN OBSTETRIK DAN GINEKOLOGI</v>
          </cell>
          <cell r="O2406"/>
          <cell r="P2406"/>
          <cell r="Q2406">
            <v>24000</v>
          </cell>
        </row>
        <row r="2407">
          <cell r="E2407" t="str">
            <v>KKM/JKN/HSA/10-05-01/H/23/41</v>
          </cell>
          <cell r="F2407" t="str">
            <v>Diagnostic</v>
          </cell>
          <cell r="G2407" t="str">
            <v>Basic</v>
          </cell>
          <cell r="H2407" t="str">
            <v>Laryngoscopes, Rigid, Video</v>
          </cell>
          <cell r="I2407" t="str">
            <v>RHINOSCOPE</v>
          </cell>
          <cell r="J2407" t="str">
            <v>23-532</v>
          </cell>
          <cell r="K2407" t="str">
            <v xml:space="preserve">KARL STORZ </v>
          </cell>
          <cell r="L2407" t="str">
            <v>11102 CMM</v>
          </cell>
          <cell r="M2407"/>
          <cell r="N2407" t="str">
            <v>JABATAN OTORINOLARINGOLOGI</v>
          </cell>
          <cell r="O2407"/>
          <cell r="P2407"/>
          <cell r="Q2407">
            <v>125999.34</v>
          </cell>
        </row>
        <row r="2408">
          <cell r="E2408" t="str">
            <v>KKM/JKN/HSA/10-05-01/H/21/210</v>
          </cell>
          <cell r="F2408" t="str">
            <v>Diagnostic</v>
          </cell>
          <cell r="G2408" t="str">
            <v>Intermediate</v>
          </cell>
          <cell r="H2408" t="str">
            <v>Infusion Pumps, General-Purpose</v>
          </cell>
          <cell r="I2408" t="str">
            <v>VITAL SIGN PATIENT MONITOR</v>
          </cell>
          <cell r="J2408" t="str">
            <v>13-215</v>
          </cell>
          <cell r="K2408" t="str">
            <v>BETTERLIFE MEDICAL TECHNOLOGY</v>
          </cell>
          <cell r="L2408" t="str">
            <v>IRIS 200</v>
          </cell>
          <cell r="M2408"/>
          <cell r="N2408" t="str">
            <v>JABATAN PEMBEDAHAN AM</v>
          </cell>
          <cell r="O2408"/>
          <cell r="P2408"/>
          <cell r="Q2408">
            <v>5066</v>
          </cell>
        </row>
        <row r="2409">
          <cell r="E2409" t="str">
            <v>KKM/JKN/HSA/ 10-05-01/H/22/98</v>
          </cell>
          <cell r="F2409" t="str">
            <v>Therapeutic</v>
          </cell>
          <cell r="G2409" t="str">
            <v>Intermediate</v>
          </cell>
          <cell r="H2409" t="str">
            <v>Ventilators, Transport</v>
          </cell>
          <cell r="I2409" t="str">
            <v>VENTILATOR</v>
          </cell>
          <cell r="J2409" t="str">
            <v>18-098</v>
          </cell>
          <cell r="K2409" t="str">
            <v>MONNAL</v>
          </cell>
          <cell r="L2409" t="str">
            <v>T60</v>
          </cell>
          <cell r="M2409"/>
          <cell r="N2409" t="str">
            <v>JABATAN KECEMASAN DAN TRAUMA</v>
          </cell>
          <cell r="O2409"/>
          <cell r="P2409"/>
          <cell r="Q2409">
            <v>72000</v>
          </cell>
        </row>
        <row r="2410">
          <cell r="E2410" t="str">
            <v>KKM/JKN/HSA/10-05-01/H/22/105</v>
          </cell>
          <cell r="F2410" t="str">
            <v>Therapeutic</v>
          </cell>
          <cell r="G2410" t="str">
            <v>Intermediate</v>
          </cell>
          <cell r="H2410" t="str">
            <v>Defibrillators, External, Manual</v>
          </cell>
          <cell r="I2410" t="str">
            <v>DEFIBRILLATOR</v>
          </cell>
          <cell r="J2410" t="str">
            <v>11-134</v>
          </cell>
          <cell r="K2410" t="str">
            <v xml:space="preserve">ZOLL MEDICAL </v>
          </cell>
          <cell r="L2410" t="str">
            <v>ZOLL M2</v>
          </cell>
          <cell r="M2410"/>
          <cell r="N2410" t="str">
            <v>JABATAN KECEMASAN DAN TRAUMA</v>
          </cell>
          <cell r="O2410"/>
          <cell r="P2410"/>
          <cell r="Q2410">
            <v>18600</v>
          </cell>
        </row>
        <row r="2411">
          <cell r="E2411" t="str">
            <v>KKM/JKN/HSA/10-05-01/H/23/28</v>
          </cell>
          <cell r="F2411" t="str">
            <v>Diagnostic</v>
          </cell>
          <cell r="G2411" t="str">
            <v>Intermediate</v>
          </cell>
          <cell r="H2411" t="str">
            <v>Physiologic Monitoring Systems, Acute Care Total</v>
          </cell>
          <cell r="I2411" t="str">
            <v>SPOT VITAL SIGN (NIBP)</v>
          </cell>
          <cell r="J2411" t="str">
            <v>12-647</v>
          </cell>
          <cell r="K2411" t="str">
            <v>EDAN</v>
          </cell>
          <cell r="L2411" t="str">
            <v>iM3</v>
          </cell>
          <cell r="M2411"/>
          <cell r="N2411" t="str">
            <v>JABATAN OBSTETRIK DAN GINEKOLOGI</v>
          </cell>
          <cell r="O2411"/>
          <cell r="P2411"/>
          <cell r="Q2411">
            <v>4850</v>
          </cell>
        </row>
        <row r="2412">
          <cell r="E2412" t="str">
            <v>KKM/JKN/HSA/10-05-01/H/23/29</v>
          </cell>
          <cell r="F2412" t="str">
            <v>Diagnostic</v>
          </cell>
          <cell r="G2412" t="str">
            <v>Intermediate</v>
          </cell>
          <cell r="H2412" t="str">
            <v>Physiologic Monitoring Systems, Acute Care Total</v>
          </cell>
          <cell r="I2412" t="str">
            <v>SPOT VITAL SIGN (NIBP)</v>
          </cell>
          <cell r="J2412" t="str">
            <v>12-647</v>
          </cell>
          <cell r="K2412" t="str">
            <v>EDAN</v>
          </cell>
          <cell r="L2412" t="str">
            <v>iM3</v>
          </cell>
          <cell r="M2412"/>
          <cell r="N2412" t="str">
            <v>JABATAN OBSTETRIK DAN GINEKOLOGI</v>
          </cell>
          <cell r="O2412"/>
          <cell r="P2412"/>
          <cell r="Q2412">
            <v>4850</v>
          </cell>
        </row>
        <row r="2413">
          <cell r="E2413" t="str">
            <v>KKM/JKN/HSA/10-05-01/H/23/30</v>
          </cell>
          <cell r="F2413" t="str">
            <v>Diagnostic</v>
          </cell>
          <cell r="G2413" t="str">
            <v>Intermediate</v>
          </cell>
          <cell r="H2413" t="str">
            <v>Physiologic Monitoring Systems, Acute Care Total</v>
          </cell>
          <cell r="I2413" t="str">
            <v>SPOT VITAL SIGN (NIBP)</v>
          </cell>
          <cell r="J2413" t="str">
            <v>12-647</v>
          </cell>
          <cell r="K2413" t="str">
            <v>EDAN</v>
          </cell>
          <cell r="L2413" t="str">
            <v>iM3</v>
          </cell>
          <cell r="M2413"/>
          <cell r="N2413" t="str">
            <v>JABATAN OBSTETRIK DAN GINEKOLOGI</v>
          </cell>
          <cell r="O2413"/>
          <cell r="P2413"/>
          <cell r="Q2413">
            <v>4850</v>
          </cell>
        </row>
        <row r="2414">
          <cell r="E2414" t="str">
            <v>KKM/JKN/HSA/10-05-01/H/23/31</v>
          </cell>
          <cell r="F2414" t="str">
            <v>Diagnostic</v>
          </cell>
          <cell r="G2414" t="str">
            <v>Intermediate</v>
          </cell>
          <cell r="H2414" t="str">
            <v>Physiologic Monitoring Systems, Acute Care Total</v>
          </cell>
          <cell r="I2414" t="str">
            <v>SPOT VITAL SIGN (NIBP)</v>
          </cell>
          <cell r="J2414" t="str">
            <v>12-647</v>
          </cell>
          <cell r="K2414" t="str">
            <v>EDAN</v>
          </cell>
          <cell r="L2414" t="str">
            <v>iM3</v>
          </cell>
          <cell r="M2414"/>
          <cell r="N2414" t="str">
            <v>JABATAN OBSTETRIK DAN GINEKOLOGI</v>
          </cell>
          <cell r="O2414"/>
          <cell r="P2414"/>
          <cell r="Q2414">
            <v>4850</v>
          </cell>
        </row>
        <row r="2415">
          <cell r="E2415" t="str">
            <v>KKM/JKN/HSA/10-05-01/H/23/32</v>
          </cell>
          <cell r="F2415" t="str">
            <v>Diagnostic</v>
          </cell>
          <cell r="G2415" t="str">
            <v>Intermediate</v>
          </cell>
          <cell r="H2415" t="str">
            <v>Physiologic Monitoring Systems, Acute Care Total</v>
          </cell>
          <cell r="I2415" t="str">
            <v>SPOT VITAL SIGN (NIBP)</v>
          </cell>
          <cell r="J2415" t="str">
            <v>12-647</v>
          </cell>
          <cell r="K2415" t="str">
            <v>EDAN</v>
          </cell>
          <cell r="L2415" t="str">
            <v>iM3</v>
          </cell>
          <cell r="M2415"/>
          <cell r="N2415" t="str">
            <v>JABATAN OBSTETRIK DAN GINEKOLOGI</v>
          </cell>
          <cell r="O2415"/>
          <cell r="P2415"/>
          <cell r="Q2415">
            <v>4850</v>
          </cell>
        </row>
        <row r="2416">
          <cell r="E2416" t="str">
            <v>KKM/JKN/HSA/10-05-01/H/23/33</v>
          </cell>
          <cell r="F2416" t="str">
            <v>Diagnostic</v>
          </cell>
          <cell r="G2416" t="str">
            <v>Intermediate</v>
          </cell>
          <cell r="H2416" t="str">
            <v>Physiologic Monitoring Systems, Acute Care Total</v>
          </cell>
          <cell r="I2416" t="str">
            <v>SPOT VITAL SIGN (NIBP)</v>
          </cell>
          <cell r="J2416" t="str">
            <v>12-647</v>
          </cell>
          <cell r="K2416" t="str">
            <v>EDAN</v>
          </cell>
          <cell r="L2416" t="str">
            <v>iM3</v>
          </cell>
          <cell r="M2416"/>
          <cell r="N2416" t="str">
            <v>JABATAN OBSTETRIK DAN GINEKOLOGI</v>
          </cell>
          <cell r="O2416"/>
          <cell r="P2416"/>
          <cell r="Q2416">
            <v>4850</v>
          </cell>
        </row>
        <row r="2417">
          <cell r="E2417" t="str">
            <v>KKM/JKN/HSA/10-05-01/H/23/34</v>
          </cell>
          <cell r="F2417" t="str">
            <v>Diagnostic</v>
          </cell>
          <cell r="G2417" t="str">
            <v>Intermediate</v>
          </cell>
          <cell r="H2417" t="str">
            <v>Physiologic Monitoring Systems, Acute Care Total</v>
          </cell>
          <cell r="I2417" t="str">
            <v>SPOT VITAL SIGN (NIBP)</v>
          </cell>
          <cell r="J2417" t="str">
            <v>12-647</v>
          </cell>
          <cell r="K2417" t="str">
            <v>EDAN</v>
          </cell>
          <cell r="L2417" t="str">
            <v>iM3</v>
          </cell>
          <cell r="M2417"/>
          <cell r="N2417" t="str">
            <v>JABATAN OBSTETRIK DAN GINEKOLOGI</v>
          </cell>
          <cell r="O2417"/>
          <cell r="P2417"/>
          <cell r="Q2417">
            <v>4850</v>
          </cell>
        </row>
        <row r="2418">
          <cell r="E2418" t="str">
            <v>KKM/JKN/HSA/10-05-01/H/23/35</v>
          </cell>
          <cell r="F2418" t="str">
            <v>Diagnostic</v>
          </cell>
          <cell r="G2418" t="str">
            <v>Intermediate</v>
          </cell>
          <cell r="H2418" t="str">
            <v>Physiologic Monitoring Systems, Acute Care Total</v>
          </cell>
          <cell r="I2418" t="str">
            <v>SPOT VITAL SIGN (NIBP)</v>
          </cell>
          <cell r="J2418" t="str">
            <v>12-647</v>
          </cell>
          <cell r="K2418" t="str">
            <v>EDAN</v>
          </cell>
          <cell r="L2418" t="str">
            <v>iM3</v>
          </cell>
          <cell r="M2418"/>
          <cell r="N2418" t="str">
            <v>JABATAN OBSTETRIK DAN GINEKOLOGI</v>
          </cell>
          <cell r="O2418"/>
          <cell r="P2418"/>
          <cell r="Q2418">
            <v>4850</v>
          </cell>
        </row>
        <row r="2419">
          <cell r="E2419" t="str">
            <v>KKM/JKN/HSA/10-05-01/H/18/111</v>
          </cell>
          <cell r="F2419" t="str">
            <v>Laboratory</v>
          </cell>
          <cell r="G2419" t="str">
            <v>Basic</v>
          </cell>
          <cell r="H2419" t="str">
            <v>Centrifuges, Tabletop, Low-Speed, Refrigerated</v>
          </cell>
          <cell r="I2419" t="str">
            <v>LAB CENTRIFUGE</v>
          </cell>
          <cell r="J2419" t="str">
            <v>18-265</v>
          </cell>
          <cell r="K2419" t="str">
            <v>EPPENDORF</v>
          </cell>
          <cell r="L2419" t="str">
            <v>5702R</v>
          </cell>
          <cell r="M2419"/>
          <cell r="N2419" t="str">
            <v>UNIT KUALITI</v>
          </cell>
          <cell r="O2419"/>
          <cell r="P2419"/>
          <cell r="Q2419">
            <v>29460</v>
          </cell>
        </row>
        <row r="2420">
          <cell r="E2420" t="str">
            <v>KKM/JKN/HSA/10-05-01/H/20/114</v>
          </cell>
          <cell r="F2420" t="str">
            <v>Therapeutic</v>
          </cell>
          <cell r="G2420" t="str">
            <v>Intermediate</v>
          </cell>
          <cell r="H2420" t="str">
            <v>Ventilators, Intensive Care, Neonatal/Pediatric</v>
          </cell>
          <cell r="I2420" t="str">
            <v>VENTILATOR</v>
          </cell>
          <cell r="J2420" t="str">
            <v>14-361</v>
          </cell>
          <cell r="K2420" t="str">
            <v>SAVINA</v>
          </cell>
          <cell r="L2420">
            <v>300</v>
          </cell>
          <cell r="M2420"/>
          <cell r="N2420" t="str">
            <v>JABATAN ANESTHESIA &amp; RAWATAN RAPI</v>
          </cell>
          <cell r="O2420"/>
          <cell r="P2420"/>
          <cell r="Q2420">
            <v>85000</v>
          </cell>
        </row>
        <row r="2421">
          <cell r="E2421" t="str">
            <v>KKM/JKN/HSA/10-05-01/H/20/115</v>
          </cell>
          <cell r="F2421" t="str">
            <v>Therapeutic</v>
          </cell>
          <cell r="G2421" t="str">
            <v>Intermediate</v>
          </cell>
          <cell r="H2421" t="str">
            <v>Ventilators, Intensive Care, Neonatal/Pediatric</v>
          </cell>
          <cell r="I2421" t="str">
            <v>VENTILATOR</v>
          </cell>
          <cell r="J2421" t="str">
            <v>14-361</v>
          </cell>
          <cell r="K2421" t="str">
            <v>SAVINA</v>
          </cell>
          <cell r="L2421">
            <v>300</v>
          </cell>
          <cell r="M2421"/>
          <cell r="N2421" t="str">
            <v>JABATAN ANESTHESIA &amp; RAWATAN RAPI</v>
          </cell>
          <cell r="O2421"/>
          <cell r="P2421"/>
          <cell r="Q2421">
            <v>85000</v>
          </cell>
        </row>
        <row r="2422">
          <cell r="E2422" t="str">
            <v>KKM/JKN/HSA/10-05-01/H/20/116</v>
          </cell>
          <cell r="F2422" t="str">
            <v>Therapeutic</v>
          </cell>
          <cell r="G2422" t="str">
            <v>Intermediate</v>
          </cell>
          <cell r="H2422" t="str">
            <v>Ventilators, Intensive Care, Neonatal/Pediatric</v>
          </cell>
          <cell r="I2422" t="str">
            <v>VENTILATOR</v>
          </cell>
          <cell r="J2422" t="str">
            <v>14-361</v>
          </cell>
          <cell r="K2422" t="str">
            <v>SAVINA</v>
          </cell>
          <cell r="L2422">
            <v>300</v>
          </cell>
          <cell r="M2422"/>
          <cell r="N2422" t="str">
            <v>JABATAN ANESTHESIA &amp; RAWATAN RAPI</v>
          </cell>
          <cell r="O2422"/>
          <cell r="P2422"/>
          <cell r="Q2422">
            <v>85000</v>
          </cell>
        </row>
        <row r="2423">
          <cell r="E2423" t="str">
            <v>KKM/JKN/HSA/10-05-01/H/20/138</v>
          </cell>
          <cell r="F2423" t="str">
            <v>Therapeutic</v>
          </cell>
          <cell r="G2423" t="str">
            <v>Intermediate</v>
          </cell>
          <cell r="H2423" t="str">
            <v>Ventilators, Transport</v>
          </cell>
          <cell r="I2423" t="str">
            <v>VENTILATOR</v>
          </cell>
          <cell r="J2423" t="str">
            <v>18-098</v>
          </cell>
          <cell r="K2423" t="str">
            <v>PHILIPS</v>
          </cell>
          <cell r="L2423" t="str">
            <v>V60 PLUS</v>
          </cell>
          <cell r="M2423"/>
          <cell r="N2423" t="str">
            <v>JABATAN ANESTHESIA &amp; RAWATAN RAPI</v>
          </cell>
          <cell r="O2423"/>
          <cell r="P2423"/>
          <cell r="Q2423">
            <v>97000</v>
          </cell>
        </row>
        <row r="2424">
          <cell r="E2424" t="str">
            <v>KKM/JKN/HSA/10-05-01/H/20/162</v>
          </cell>
          <cell r="F2424" t="str">
            <v>Therapeutic</v>
          </cell>
          <cell r="G2424" t="str">
            <v>Intermediate</v>
          </cell>
          <cell r="H2424" t="str">
            <v>Ventilators, Intensive Care, Neonatal/Pediatric</v>
          </cell>
          <cell r="I2424" t="str">
            <v>VENTILATOR</v>
          </cell>
          <cell r="J2424" t="str">
            <v>14-361</v>
          </cell>
          <cell r="K2424" t="str">
            <v>LOWEINSTEIN MEDICAL</v>
          </cell>
          <cell r="L2424" t="str">
            <v>ELISA 600</v>
          </cell>
          <cell r="M2424"/>
          <cell r="N2424" t="str">
            <v>JABATAN ANESTHESIA &amp; RAWATAN RAPI</v>
          </cell>
          <cell r="O2424"/>
          <cell r="P2424"/>
          <cell r="Q2424">
            <v>120000</v>
          </cell>
        </row>
        <row r="2425">
          <cell r="E2425" t="str">
            <v>KKM/JKN/HSA/10-05-01/H/20/219</v>
          </cell>
          <cell r="F2425" t="str">
            <v>Therapeutic</v>
          </cell>
          <cell r="G2425" t="str">
            <v>Intermediate</v>
          </cell>
          <cell r="H2425" t="str">
            <v>Ventilators, Transport</v>
          </cell>
          <cell r="I2425" t="str">
            <v>VENTILATOR</v>
          </cell>
          <cell r="J2425" t="str">
            <v>18-098</v>
          </cell>
          <cell r="K2425" t="str">
            <v>PHILIPS</v>
          </cell>
          <cell r="L2425" t="str">
            <v>RESPIRONICS TRILOGY 202</v>
          </cell>
          <cell r="M2425"/>
          <cell r="N2425" t="str">
            <v>JABATAN ANESTHESIA &amp; RAWATAN RAPI</v>
          </cell>
          <cell r="O2425"/>
          <cell r="P2425"/>
          <cell r="Q2425">
            <v>40000</v>
          </cell>
        </row>
        <row r="2426">
          <cell r="E2426" t="str">
            <v>KKM/JKN/HSA/10-05-01/H/20/220</v>
          </cell>
          <cell r="F2426" t="str">
            <v>Therapeutic</v>
          </cell>
          <cell r="G2426" t="str">
            <v>Intermediate</v>
          </cell>
          <cell r="H2426" t="str">
            <v>Ventilators, Transport</v>
          </cell>
          <cell r="I2426" t="str">
            <v>VENTILATOR</v>
          </cell>
          <cell r="J2426" t="str">
            <v>18-098</v>
          </cell>
          <cell r="K2426" t="str">
            <v>PHILIPS</v>
          </cell>
          <cell r="L2426" t="str">
            <v>V60 PLUS</v>
          </cell>
          <cell r="M2426"/>
          <cell r="N2426" t="str">
            <v>JABATAN ANESTHESIA &amp; RAWATAN RAPI</v>
          </cell>
          <cell r="O2426"/>
          <cell r="P2426"/>
          <cell r="Q2426">
            <v>70000</v>
          </cell>
        </row>
        <row r="2427">
          <cell r="E2427" t="str">
            <v>KKM/JKN/HSA/10-05-01/H/21/82</v>
          </cell>
          <cell r="F2427" t="str">
            <v>Therapeutic</v>
          </cell>
          <cell r="G2427" t="str">
            <v>Intermediate</v>
          </cell>
          <cell r="H2427" t="str">
            <v>Ventilators, Intensive Care</v>
          </cell>
          <cell r="I2427" t="str">
            <v>VENTILATOR</v>
          </cell>
          <cell r="J2427" t="str">
            <v>17-429</v>
          </cell>
          <cell r="K2427" t="str">
            <v>MINDRAY</v>
          </cell>
          <cell r="L2427" t="str">
            <v>SV600</v>
          </cell>
          <cell r="M2427"/>
          <cell r="N2427" t="str">
            <v>JABATAN ANESTHESIA &amp; RAWATAN RAPI</v>
          </cell>
          <cell r="O2427"/>
          <cell r="P2427"/>
          <cell r="Q2427">
            <v>105000</v>
          </cell>
        </row>
        <row r="2428">
          <cell r="E2428" t="str">
            <v>KKM/JKN/HSA/10-05-01/H/21/83</v>
          </cell>
          <cell r="F2428" t="str">
            <v>Therapeutic</v>
          </cell>
          <cell r="G2428" t="str">
            <v>Intermediate</v>
          </cell>
          <cell r="H2428" t="str">
            <v>Ventilators, Intensive Care</v>
          </cell>
          <cell r="I2428" t="str">
            <v>VENTILATOR</v>
          </cell>
          <cell r="J2428" t="str">
            <v>17-429</v>
          </cell>
          <cell r="K2428" t="str">
            <v>MINDRAY</v>
          </cell>
          <cell r="L2428" t="str">
            <v>SV600</v>
          </cell>
          <cell r="M2428"/>
          <cell r="N2428" t="str">
            <v>JABATAN ANESTHESIA &amp; RAWATAN RAPI</v>
          </cell>
          <cell r="O2428"/>
          <cell r="P2428"/>
          <cell r="Q2428">
            <v>105000</v>
          </cell>
        </row>
        <row r="2429">
          <cell r="E2429" t="str">
            <v>KKM/JKN/HSA/10-05-01/H/21/84</v>
          </cell>
          <cell r="F2429" t="str">
            <v>Therapeutic</v>
          </cell>
          <cell r="G2429" t="str">
            <v>Intermediate</v>
          </cell>
          <cell r="H2429" t="str">
            <v>Ventilators, Intensive Care</v>
          </cell>
          <cell r="I2429" t="str">
            <v>VENTILATOR</v>
          </cell>
          <cell r="J2429" t="str">
            <v>17-429</v>
          </cell>
          <cell r="K2429" t="str">
            <v>MINDRAY</v>
          </cell>
          <cell r="L2429" t="str">
            <v>SV600</v>
          </cell>
          <cell r="M2429"/>
          <cell r="N2429" t="str">
            <v>JABATAN ANESTHESIA &amp; RAWATAN RAPI</v>
          </cell>
          <cell r="O2429"/>
          <cell r="P2429"/>
          <cell r="Q2429">
            <v>105000</v>
          </cell>
        </row>
        <row r="2430">
          <cell r="E2430" t="str">
            <v>KKM/JKN/HSA/10-05-01/H/21/85</v>
          </cell>
          <cell r="F2430" t="str">
            <v>Therapeutic</v>
          </cell>
          <cell r="G2430" t="str">
            <v>Intermediate</v>
          </cell>
          <cell r="H2430" t="str">
            <v>Ventilators, Intensive Care</v>
          </cell>
          <cell r="I2430" t="str">
            <v>VENTILATOR</v>
          </cell>
          <cell r="J2430" t="str">
            <v>17-429</v>
          </cell>
          <cell r="K2430" t="str">
            <v>MINDRAY</v>
          </cell>
          <cell r="L2430" t="str">
            <v>SV600</v>
          </cell>
          <cell r="M2430"/>
          <cell r="N2430" t="str">
            <v>JABATAN ANESTHESIA &amp; RAWATAN RAPI</v>
          </cell>
          <cell r="O2430"/>
          <cell r="P2430"/>
          <cell r="Q2430">
            <v>105000</v>
          </cell>
        </row>
        <row r="2431">
          <cell r="E2431" t="str">
            <v>KKM/JKN/HSA/10-05-01/H/21/86</v>
          </cell>
          <cell r="F2431" t="str">
            <v>Therapeutic</v>
          </cell>
          <cell r="G2431" t="str">
            <v>Intermediate</v>
          </cell>
          <cell r="H2431" t="str">
            <v>Ventilators, Intensive Care</v>
          </cell>
          <cell r="I2431" t="str">
            <v>VENTILATOR</v>
          </cell>
          <cell r="J2431" t="str">
            <v>17-429</v>
          </cell>
          <cell r="K2431" t="str">
            <v>MINDRAY</v>
          </cell>
          <cell r="L2431" t="str">
            <v>SV600</v>
          </cell>
          <cell r="M2431"/>
          <cell r="N2431" t="str">
            <v>JABATAN ANESTHESIA &amp; RAWATAN RAPI</v>
          </cell>
          <cell r="O2431"/>
          <cell r="P2431"/>
          <cell r="Q2431">
            <v>105000</v>
          </cell>
        </row>
        <row r="2432">
          <cell r="E2432" t="str">
            <v>KKM/JKN/HSA/10-05-01/H/22/21</v>
          </cell>
          <cell r="F2432" t="str">
            <v>Therapeutic</v>
          </cell>
          <cell r="G2432" t="str">
            <v>Intermediate</v>
          </cell>
          <cell r="H2432" t="str">
            <v>Ventilators, Transport</v>
          </cell>
          <cell r="I2432" t="str">
            <v>VENTILATOR</v>
          </cell>
          <cell r="J2432" t="str">
            <v>18-098</v>
          </cell>
          <cell r="K2432" t="str">
            <v>RESMED</v>
          </cell>
          <cell r="L2432" t="str">
            <v>STELLAR 150 ASIA PACIFIC G2</v>
          </cell>
          <cell r="M2432"/>
          <cell r="N2432" t="str">
            <v>JABATAN PEDIATRIK</v>
          </cell>
          <cell r="O2432"/>
          <cell r="P2432"/>
          <cell r="Q2432">
            <v>26000</v>
          </cell>
        </row>
        <row r="2433">
          <cell r="E2433" t="str">
            <v>KKM/JKN/HSA/10-05-01/H/23/6</v>
          </cell>
          <cell r="F2433" t="str">
            <v>Radiology</v>
          </cell>
          <cell r="G2433" t="str">
            <v>Intermediate</v>
          </cell>
          <cell r="H2433" t="str">
            <v>Scanning Systems, Ultrasonic, General-Purpose</v>
          </cell>
          <cell r="I2433" t="str">
            <v>ULTRASOUND SCANNER</v>
          </cell>
          <cell r="J2433" t="str">
            <v>15-976</v>
          </cell>
          <cell r="K2433" t="str">
            <v>VOLUSON P8 BT18</v>
          </cell>
          <cell r="L2433" t="str">
            <v>GE HEALTHCARE</v>
          </cell>
          <cell r="M2433"/>
          <cell r="N2433" t="str">
            <v>JABATAN OBSTETRIK DAN GINEKOLOGI</v>
          </cell>
          <cell r="O2433"/>
          <cell r="P2433"/>
          <cell r="Q2433">
            <v>149800</v>
          </cell>
        </row>
        <row r="2434">
          <cell r="E2434" t="str">
            <v>KKM/JKN/HSA/10-05-01/H/23/7</v>
          </cell>
          <cell r="F2434" t="str">
            <v>Radiology</v>
          </cell>
          <cell r="G2434" t="str">
            <v>Intermediate</v>
          </cell>
          <cell r="H2434" t="str">
            <v>Scanning Systems, Ultrasonic, General-Purpose</v>
          </cell>
          <cell r="I2434" t="str">
            <v>ULTRASOUND SCANNER</v>
          </cell>
          <cell r="J2434" t="str">
            <v>15-976</v>
          </cell>
          <cell r="K2434" t="str">
            <v>VERSANA BALANCE</v>
          </cell>
          <cell r="L2434" t="str">
            <v>GE HEALTHCARE</v>
          </cell>
          <cell r="M2434"/>
          <cell r="N2434" t="str">
            <v>JABATAN OBSTETRIK DAN GINEKOLOGI</v>
          </cell>
          <cell r="O2434"/>
          <cell r="P2434"/>
          <cell r="Q2434">
            <v>97500</v>
          </cell>
        </row>
        <row r="2435">
          <cell r="E2435" t="str">
            <v>KKM/JKN/HSA/10-05-01/H/23/8</v>
          </cell>
          <cell r="F2435" t="str">
            <v>Radiology</v>
          </cell>
          <cell r="G2435" t="str">
            <v>Intermediate</v>
          </cell>
          <cell r="H2435" t="str">
            <v>Scanning Systems, Ultrasonic, General-Purpose</v>
          </cell>
          <cell r="I2435" t="str">
            <v>ULTRASOUND SCANNER</v>
          </cell>
          <cell r="J2435" t="str">
            <v>15-976</v>
          </cell>
          <cell r="K2435" t="str">
            <v>VERSANA BALANCE</v>
          </cell>
          <cell r="L2435" t="str">
            <v>GE HEALTHCARE</v>
          </cell>
          <cell r="M2435"/>
          <cell r="N2435" t="str">
            <v>JABATAN OBSTETRIK DAN GINEKOLOGI</v>
          </cell>
          <cell r="O2435"/>
          <cell r="P2435"/>
          <cell r="Q2435">
            <v>97500</v>
          </cell>
        </row>
        <row r="2436">
          <cell r="E2436" t="str">
            <v>KKM/JKN/HSA/10-05-01/H/20/89</v>
          </cell>
          <cell r="F2436" t="str">
            <v>Diagnostic</v>
          </cell>
          <cell r="G2436" t="str">
            <v>Intermediate</v>
          </cell>
          <cell r="H2436" t="str">
            <v>Physiologic Monitoring Systems, Acute Care Total</v>
          </cell>
          <cell r="I2436" t="str">
            <v>SPOT VITAL SIGN (NIBP)</v>
          </cell>
          <cell r="J2436" t="str">
            <v>12-647</v>
          </cell>
          <cell r="K2436" t="str">
            <v>EDAN</v>
          </cell>
          <cell r="L2436" t="str">
            <v>M3</v>
          </cell>
          <cell r="M2436"/>
          <cell r="N2436" t="str">
            <v>JABATAN PERUBATAN AM</v>
          </cell>
          <cell r="O2436"/>
          <cell r="P2436"/>
          <cell r="Q2436">
            <v>5800</v>
          </cell>
        </row>
        <row r="2437">
          <cell r="E2437" t="str">
            <v>KKM/JKN/HSA/10-05-01/H/23/27</v>
          </cell>
          <cell r="F2437" t="str">
            <v>Diagnostic</v>
          </cell>
          <cell r="G2437" t="str">
            <v>Intermediate</v>
          </cell>
          <cell r="H2437" t="str">
            <v>Physiologic Monitoring Systems, Acute Care Total</v>
          </cell>
          <cell r="I2437" t="str">
            <v>SPOT VITAL SIGN (NIBP)</v>
          </cell>
          <cell r="J2437" t="str">
            <v>12-647</v>
          </cell>
          <cell r="K2437" t="str">
            <v>EDAN</v>
          </cell>
          <cell r="L2437" t="str">
            <v>iM3</v>
          </cell>
          <cell r="M2437"/>
          <cell r="N2437" t="str">
            <v>JABATAN OBSTETRIK DAN GINEKOLOGI</v>
          </cell>
          <cell r="O2437"/>
          <cell r="P2437"/>
          <cell r="Q2437">
            <v>4850</v>
          </cell>
        </row>
        <row r="2438">
          <cell r="E2438" t="str">
            <v>KKM/JKN/HSA/10-05-01/H/23/36</v>
          </cell>
          <cell r="F2438" t="str">
            <v>Therapeutic</v>
          </cell>
          <cell r="G2438" t="str">
            <v>Intermediate</v>
          </cell>
          <cell r="H2438" t="str">
            <v>Incubators, Infant, Transport</v>
          </cell>
          <cell r="I2438" t="str">
            <v>INFANT INCUBATOR</v>
          </cell>
          <cell r="J2438" t="str">
            <v>12-114</v>
          </cell>
          <cell r="K2438" t="str">
            <v>ATOM MEDICAL</v>
          </cell>
          <cell r="L2438" t="str">
            <v>INCUARCH</v>
          </cell>
          <cell r="M2438"/>
          <cell r="N2438" t="str">
            <v>JABATAN OBSTETRIK DAN GINEKOLOGI</v>
          </cell>
          <cell r="O2438"/>
          <cell r="P2438"/>
          <cell r="Q2438">
            <v>49000</v>
          </cell>
        </row>
        <row r="2439">
          <cell r="E2439" t="str">
            <v>KKM/JKN/HSA/10-05-01/H/23/37</v>
          </cell>
          <cell r="F2439" t="str">
            <v>Therapeutic</v>
          </cell>
          <cell r="G2439" t="str">
            <v>Intermediate</v>
          </cell>
          <cell r="H2439" t="str">
            <v>Warming Units, Patient, Radiant, Infant</v>
          </cell>
          <cell r="I2439" t="str">
            <v>INFANT INCUBATOR</v>
          </cell>
          <cell r="J2439" t="str">
            <v>17-956</v>
          </cell>
          <cell r="K2439" t="str">
            <v>ATOM MEDICAL</v>
          </cell>
          <cell r="L2439" t="str">
            <v>SUNFLOWER WARMER CABINET/TILT</v>
          </cell>
          <cell r="M2439"/>
          <cell r="N2439" t="str">
            <v>JABATAN OBSTETRIK DAN GINEKOLOGI</v>
          </cell>
          <cell r="O2439"/>
          <cell r="P2439"/>
          <cell r="Q2439">
            <v>32100</v>
          </cell>
        </row>
        <row r="2440">
          <cell r="E2440" t="str">
            <v>KKM/JKN/HSA/10-05-01/H/23/38</v>
          </cell>
          <cell r="F2440" t="str">
            <v>Therapeutic</v>
          </cell>
          <cell r="G2440" t="str">
            <v>Intermediate</v>
          </cell>
          <cell r="H2440" t="str">
            <v>Warming Units, Patient, Radiant, Infant</v>
          </cell>
          <cell r="I2440" t="str">
            <v>INFANT INCUBATOR</v>
          </cell>
          <cell r="J2440" t="str">
            <v>17-956</v>
          </cell>
          <cell r="K2440" t="str">
            <v>ATOM MEDICAL</v>
          </cell>
          <cell r="L2440" t="str">
            <v>SUNFLOWER WARMER CABINET/TILT</v>
          </cell>
          <cell r="M2440"/>
          <cell r="N2440" t="str">
            <v>JABATAN OBSTETRIK DAN GINEKOLOGI</v>
          </cell>
          <cell r="O2440"/>
          <cell r="P2440"/>
          <cell r="Q2440">
            <v>32100</v>
          </cell>
        </row>
        <row r="2441">
          <cell r="E2441" t="str">
            <v>KKM/JKN/HSA/10-05-01/H/23/42</v>
          </cell>
          <cell r="F2441" t="str">
            <v>Radiology</v>
          </cell>
          <cell r="G2441" t="str">
            <v>Intermediate</v>
          </cell>
          <cell r="H2441" t="str">
            <v>Radiographic Units, Mobile</v>
          </cell>
          <cell r="I2441" t="str">
            <v>X-RAY CARM</v>
          </cell>
          <cell r="J2441" t="str">
            <v>13-272</v>
          </cell>
          <cell r="K2441" t="str">
            <v>SIEMENS</v>
          </cell>
          <cell r="L2441" t="str">
            <v>SIREMOBIL COMPACT</v>
          </cell>
          <cell r="M2441"/>
          <cell r="N2441" t="str">
            <v>JABATAN ORTOPEDIK</v>
          </cell>
          <cell r="O2441"/>
          <cell r="P2441"/>
          <cell r="Q2441">
            <v>332177.94</v>
          </cell>
        </row>
        <row r="2442">
          <cell r="E2442" t="str">
            <v>KKM/JKN/HSA/10-05-01/H/23/43</v>
          </cell>
          <cell r="F2442" t="str">
            <v>Diagnostic</v>
          </cell>
          <cell r="G2442" t="str">
            <v>Intermediate</v>
          </cell>
          <cell r="H2442"/>
          <cell r="I2442" t="str">
            <v>VIDEO HEAD IMPULSE TEST</v>
          </cell>
          <cell r="J2442"/>
          <cell r="K2442" t="str">
            <v>SYNAPSYS</v>
          </cell>
          <cell r="L2442" t="str">
            <v>VIDEO HEAD IMPULSE TEST (VHIT) SET</v>
          </cell>
          <cell r="M2442"/>
          <cell r="N2442" t="str">
            <v>JABATAN OTORINOLARINGOLOGI</v>
          </cell>
          <cell r="O2442"/>
          <cell r="P2442"/>
          <cell r="Q2442">
            <v>94900.44</v>
          </cell>
        </row>
        <row r="2443">
          <cell r="E2443" t="str">
            <v>KKM/JKN/HSA/10-05-01/H/23/44</v>
          </cell>
          <cell r="F2443" t="str">
            <v>Diagnostic</v>
          </cell>
          <cell r="G2443" t="str">
            <v>Intermediate</v>
          </cell>
          <cell r="H2443"/>
          <cell r="I2443" t="str">
            <v>VIDEO NYSTAGMOGRAPHY</v>
          </cell>
          <cell r="J2443"/>
          <cell r="K2443" t="str">
            <v>SYNAPSYS</v>
          </cell>
          <cell r="L2443" t="str">
            <v>VIDEO NYSTAGMOGRAPHY</v>
          </cell>
          <cell r="M2443"/>
          <cell r="N2443" t="str">
            <v>JABATAN OTORINOLARINGOLOGI</v>
          </cell>
          <cell r="O2443"/>
          <cell r="P2443"/>
          <cell r="Q2443">
            <v>24900.44</v>
          </cell>
        </row>
        <row r="2444">
          <cell r="E2444" t="str">
            <v>KKM/JKN/HSA/10-05-01/H/23/9</v>
          </cell>
          <cell r="F2444" t="str">
            <v>Diagnostic</v>
          </cell>
          <cell r="G2444" t="str">
            <v>Intermediate</v>
          </cell>
          <cell r="H2444" t="str">
            <v>Cardiotocographs</v>
          </cell>
          <cell r="I2444" t="str">
            <v>CARDIOTOCOGRAPH MACHINE</v>
          </cell>
          <cell r="J2444" t="str">
            <v>12-610</v>
          </cell>
          <cell r="K2444" t="str">
            <v>EDAN</v>
          </cell>
          <cell r="L2444" t="str">
            <v>F6 (INTRAPARTUM TWIN)</v>
          </cell>
          <cell r="M2444"/>
          <cell r="N2444" t="str">
            <v>JABATAN OBSTETRIK DAN GINEKOLOGI</v>
          </cell>
          <cell r="O2444"/>
          <cell r="P2444"/>
          <cell r="Q2444">
            <v>20500</v>
          </cell>
        </row>
        <row r="2445">
          <cell r="E2445" t="str">
            <v>KKM/JKN/HSA/10-05-01/H/23/10</v>
          </cell>
          <cell r="F2445" t="str">
            <v>Diagnostic</v>
          </cell>
          <cell r="G2445" t="str">
            <v>Intermediate</v>
          </cell>
          <cell r="H2445" t="str">
            <v>Cardiotocographs</v>
          </cell>
          <cell r="I2445" t="str">
            <v>CARDIOTOCOGRAPH MACHINE</v>
          </cell>
          <cell r="J2445" t="str">
            <v>12-610</v>
          </cell>
          <cell r="K2445" t="str">
            <v>EDAN</v>
          </cell>
          <cell r="L2445" t="str">
            <v>F6 (INTRAPARTUM TWIN)</v>
          </cell>
          <cell r="M2445"/>
          <cell r="N2445" t="str">
            <v>JABATAN OBSTETRIK DAN GINEKOLOGI</v>
          </cell>
          <cell r="O2445"/>
          <cell r="P2445"/>
          <cell r="Q2445">
            <v>20500</v>
          </cell>
        </row>
        <row r="2446">
          <cell r="E2446" t="str">
            <v>KKM/JKN/HSA/10-05-01/H/23/11</v>
          </cell>
          <cell r="F2446" t="str">
            <v>Diagnostic</v>
          </cell>
          <cell r="G2446" t="str">
            <v>Intermediate</v>
          </cell>
          <cell r="H2446" t="str">
            <v>Cardiotocographs</v>
          </cell>
          <cell r="I2446" t="str">
            <v>CARDIOTOCOGRAPH MACHINE</v>
          </cell>
          <cell r="J2446" t="str">
            <v>12-610</v>
          </cell>
          <cell r="K2446" t="str">
            <v>EDAN</v>
          </cell>
          <cell r="L2446" t="str">
            <v>F6 (INTRAPARTUM TWIN)</v>
          </cell>
          <cell r="M2446"/>
          <cell r="N2446" t="str">
            <v>JABATAN OBSTETRIK DAN GINEKOLOGI</v>
          </cell>
          <cell r="O2446"/>
          <cell r="P2446"/>
          <cell r="Q2446">
            <v>20500</v>
          </cell>
        </row>
        <row r="2447">
          <cell r="E2447" t="str">
            <v>KKM/JKN/HSA/10-05-01/H/23/12</v>
          </cell>
          <cell r="F2447" t="str">
            <v>Diagnostic</v>
          </cell>
          <cell r="G2447" t="str">
            <v>Intermediate</v>
          </cell>
          <cell r="H2447" t="str">
            <v>Cardiotocographs</v>
          </cell>
          <cell r="I2447" t="str">
            <v>CARDIOTOCOGRAPH MACHINE</v>
          </cell>
          <cell r="J2447" t="str">
            <v>12-610</v>
          </cell>
          <cell r="K2447" t="str">
            <v>EDAN</v>
          </cell>
          <cell r="L2447" t="str">
            <v>F6 (INTRAPARTUM TWIN)</v>
          </cell>
          <cell r="M2447"/>
          <cell r="N2447" t="str">
            <v>JABATAN OBSTETRIK DAN GINEKOLOGI</v>
          </cell>
          <cell r="O2447"/>
          <cell r="P2447"/>
          <cell r="Q2447">
            <v>20500</v>
          </cell>
        </row>
        <row r="2448">
          <cell r="E2448" t="str">
            <v>KKM/JKN/HSA/10-05-01/H/23/13</v>
          </cell>
          <cell r="F2448" t="str">
            <v>Diagnostic</v>
          </cell>
          <cell r="G2448" t="str">
            <v>Intermediate</v>
          </cell>
          <cell r="H2448" t="str">
            <v>Cardiotocographs</v>
          </cell>
          <cell r="I2448" t="str">
            <v>CARDIOTOCOGRAPH MACHINE</v>
          </cell>
          <cell r="J2448" t="str">
            <v>12-610</v>
          </cell>
          <cell r="K2448" t="str">
            <v>EDAN</v>
          </cell>
          <cell r="L2448" t="str">
            <v>F6 (INTRAPARTUM TWIN)</v>
          </cell>
          <cell r="M2448"/>
          <cell r="N2448" t="str">
            <v>JABATAN OBSTETRIK DAN GINEKOLOGI</v>
          </cell>
          <cell r="O2448"/>
          <cell r="P2448"/>
          <cell r="Q2448">
            <v>20500</v>
          </cell>
        </row>
        <row r="2449">
          <cell r="E2449" t="str">
            <v>KKM/JKN/HSA/10-05-01/H/23/14</v>
          </cell>
          <cell r="F2449" t="str">
            <v>Diagnostic</v>
          </cell>
          <cell r="G2449" t="str">
            <v>Intermediate</v>
          </cell>
          <cell r="H2449" t="str">
            <v>Cardiotocographs</v>
          </cell>
          <cell r="I2449" t="str">
            <v>CARDIOTOCOGRAPH MACHINE</v>
          </cell>
          <cell r="J2449" t="str">
            <v>12-610</v>
          </cell>
          <cell r="K2449" t="str">
            <v>EDAN</v>
          </cell>
          <cell r="L2449" t="str">
            <v>F6 (INTRAPARTUM TWIN)</v>
          </cell>
          <cell r="M2449"/>
          <cell r="N2449" t="str">
            <v>JABATAN OBSTETRIK DAN GINEKOLOGI</v>
          </cell>
          <cell r="O2449"/>
          <cell r="P2449"/>
          <cell r="Q2449">
            <v>20500</v>
          </cell>
        </row>
        <row r="2450">
          <cell r="E2450" t="str">
            <v>KKM/JKN/HSA/10-05-01/H/23/15</v>
          </cell>
          <cell r="F2450" t="str">
            <v>Diagnostic</v>
          </cell>
          <cell r="G2450" t="str">
            <v>Intermediate</v>
          </cell>
          <cell r="H2450" t="str">
            <v>Cardiotocographs</v>
          </cell>
          <cell r="I2450" t="str">
            <v>CARDIOTOCOGRAPH MACHINE</v>
          </cell>
          <cell r="J2450" t="str">
            <v>12-610</v>
          </cell>
          <cell r="K2450" t="str">
            <v>EDAN</v>
          </cell>
          <cell r="L2450" t="str">
            <v>F6 (INTRAPARTUM TWIN)</v>
          </cell>
          <cell r="M2450"/>
          <cell r="N2450" t="str">
            <v>JABATAN OBSTETRIK DAN GINEKOLOGI</v>
          </cell>
          <cell r="O2450"/>
          <cell r="P2450"/>
          <cell r="Q2450">
            <v>20500</v>
          </cell>
        </row>
        <row r="2451">
          <cell r="E2451" t="str">
            <v>KKM/JKN/HSA/10-05-01/H/23/16</v>
          </cell>
          <cell r="F2451" t="str">
            <v>Diagnostic</v>
          </cell>
          <cell r="G2451" t="str">
            <v>Intermediate</v>
          </cell>
          <cell r="H2451" t="str">
            <v>Cardiotocographs</v>
          </cell>
          <cell r="I2451" t="str">
            <v>CARDIOTOCOGRAPH MACHINE</v>
          </cell>
          <cell r="J2451" t="str">
            <v>12-610</v>
          </cell>
          <cell r="K2451" t="str">
            <v>EDAN</v>
          </cell>
          <cell r="L2451" t="str">
            <v>F6 (INTRAPARTUM TWIN)</v>
          </cell>
          <cell r="M2451"/>
          <cell r="N2451" t="str">
            <v>JABATAN OBSTETRIK DAN GINEKOLOGI</v>
          </cell>
          <cell r="O2451"/>
          <cell r="P2451"/>
          <cell r="Q2451">
            <v>20500</v>
          </cell>
        </row>
        <row r="2452">
          <cell r="E2452" t="str">
            <v>KKM/JKN/HSA/10-05-01/H/23/17</v>
          </cell>
          <cell r="F2452" t="str">
            <v>Diagnostic</v>
          </cell>
          <cell r="G2452" t="str">
            <v>Intermediate</v>
          </cell>
          <cell r="H2452" t="str">
            <v>Cardiotocographs</v>
          </cell>
          <cell r="I2452" t="str">
            <v>CARDIOTOCOGRAPH MACHINE</v>
          </cell>
          <cell r="J2452" t="str">
            <v>12-610</v>
          </cell>
          <cell r="K2452" t="str">
            <v>EDAN</v>
          </cell>
          <cell r="L2452" t="str">
            <v>F6 (INTEPARTUM TWIN)</v>
          </cell>
          <cell r="M2452"/>
          <cell r="N2452" t="str">
            <v>JABATAN OBSTETRIK DAN GINEKOLOGI</v>
          </cell>
          <cell r="O2452"/>
          <cell r="P2452"/>
          <cell r="Q2452">
            <v>13000</v>
          </cell>
        </row>
        <row r="2453">
          <cell r="E2453" t="str">
            <v>KKM/JKN/HSA/10-05-01/H/23/18</v>
          </cell>
          <cell r="F2453" t="str">
            <v>Diagnostic</v>
          </cell>
          <cell r="G2453" t="str">
            <v>Intermediate</v>
          </cell>
          <cell r="H2453" t="str">
            <v>Cardiotocographs</v>
          </cell>
          <cell r="I2453" t="str">
            <v>CARDIOTOCOGRAPH MACHINE</v>
          </cell>
          <cell r="J2453" t="str">
            <v>12-610</v>
          </cell>
          <cell r="K2453" t="str">
            <v>EDAN</v>
          </cell>
          <cell r="L2453" t="str">
            <v>F6 (INTEPARTUM TWIN)</v>
          </cell>
          <cell r="M2453"/>
          <cell r="N2453" t="str">
            <v>JABATAN OBSTETRIK DAN GINEKOLOGI</v>
          </cell>
          <cell r="O2453"/>
          <cell r="P2453"/>
          <cell r="Q2453">
            <v>13000</v>
          </cell>
        </row>
        <row r="2454">
          <cell r="E2454" t="str">
            <v>KKM/JKN/HSA/10-05-01/H/23/19</v>
          </cell>
          <cell r="F2454" t="str">
            <v>Diagnostic</v>
          </cell>
          <cell r="G2454" t="str">
            <v>Intermediate</v>
          </cell>
          <cell r="H2454" t="str">
            <v>Cardiotocographs</v>
          </cell>
          <cell r="I2454" t="str">
            <v>CARDIOTOCOGRAPH MACHINE</v>
          </cell>
          <cell r="J2454" t="str">
            <v>12-610</v>
          </cell>
          <cell r="K2454" t="str">
            <v>EDAN</v>
          </cell>
          <cell r="L2454" t="str">
            <v>F6 (INTEPARTUM TWIN)</v>
          </cell>
          <cell r="M2454"/>
          <cell r="N2454" t="str">
            <v>JABATAN OBSTETRIK DAN GINEKOLOGI</v>
          </cell>
          <cell r="O2454"/>
          <cell r="P2454"/>
          <cell r="Q2454">
            <v>13000</v>
          </cell>
        </row>
        <row r="2455">
          <cell r="E2455" t="str">
            <v>KKM/JKN/HSA/10-05-01/H/23/20</v>
          </cell>
          <cell r="F2455" t="str">
            <v>Diagnostic</v>
          </cell>
          <cell r="G2455" t="str">
            <v>Intermediate</v>
          </cell>
          <cell r="H2455" t="str">
            <v>Cardiotocographs</v>
          </cell>
          <cell r="I2455" t="str">
            <v>CARDIOTOCOGRAPH MACHINE</v>
          </cell>
          <cell r="J2455" t="str">
            <v>12-610</v>
          </cell>
          <cell r="K2455" t="str">
            <v>EDAN</v>
          </cell>
          <cell r="L2455" t="str">
            <v>F6 (INTEPARTUM TWIN)</v>
          </cell>
          <cell r="M2455"/>
          <cell r="N2455" t="str">
            <v>JABATAN OBSTETRIK DAN GINEKOLOGI</v>
          </cell>
          <cell r="O2455"/>
          <cell r="P2455"/>
          <cell r="Q2455">
            <v>13000</v>
          </cell>
        </row>
        <row r="2456">
          <cell r="E2456" t="str">
            <v>KKM/JKNS/HAS/10-05-01/R/15/11804</v>
          </cell>
          <cell r="F2456" t="str">
            <v>Diagnostic</v>
          </cell>
          <cell r="G2456" t="str">
            <v>Basic</v>
          </cell>
          <cell r="H2456" t="str">
            <v>Scales, Infant</v>
          </cell>
          <cell r="I2456" t="str">
            <v>DIGITAL BABY WEIGHING SCALE</v>
          </cell>
          <cell r="J2456" t="str">
            <v>13-462</v>
          </cell>
          <cell r="K2456" t="str">
            <v>TANITA</v>
          </cell>
          <cell r="L2456">
            <v>1583</v>
          </cell>
          <cell r="M2456"/>
          <cell r="N2456" t="str">
            <v>JABATAN OBSTETRIK DAN GINEKOLOGI</v>
          </cell>
          <cell r="O2456"/>
          <cell r="P2456"/>
          <cell r="Q2456">
            <v>860</v>
          </cell>
        </row>
        <row r="2457">
          <cell r="E2457" t="str">
            <v>KKM/JKNS/HAS/10-05-01/R/15/11805</v>
          </cell>
          <cell r="F2457" t="str">
            <v>Diagnostic</v>
          </cell>
          <cell r="G2457" t="str">
            <v>Basic</v>
          </cell>
          <cell r="H2457" t="str">
            <v>Scales, Infant</v>
          </cell>
          <cell r="I2457" t="str">
            <v>DIGITAL BABY WEIGHING SCALE</v>
          </cell>
          <cell r="J2457" t="str">
            <v>13-462</v>
          </cell>
          <cell r="K2457" t="str">
            <v>TANITA</v>
          </cell>
          <cell r="L2457">
            <v>1583</v>
          </cell>
          <cell r="M2457"/>
          <cell r="N2457" t="str">
            <v>JABATAN OBSTETRIK DAN GINEKOLOGI</v>
          </cell>
          <cell r="O2457"/>
          <cell r="P2457"/>
          <cell r="Q2457">
            <v>860</v>
          </cell>
        </row>
        <row r="2458">
          <cell r="E2458" t="str">
            <v>KKM/JKNS/HAS/10-05-01/R/15/11806</v>
          </cell>
          <cell r="F2458" t="str">
            <v>Diagnostic</v>
          </cell>
          <cell r="G2458" t="str">
            <v>Basic</v>
          </cell>
          <cell r="H2458" t="str">
            <v>Scales, Infant</v>
          </cell>
          <cell r="I2458" t="str">
            <v>DIGITAL BABY WEIGHING SCALE</v>
          </cell>
          <cell r="J2458" t="str">
            <v>13-462</v>
          </cell>
          <cell r="K2458" t="str">
            <v>TANITA</v>
          </cell>
          <cell r="L2458">
            <v>1583</v>
          </cell>
          <cell r="M2458"/>
          <cell r="N2458" t="str">
            <v>JABATAN OBSTETRIK DAN GINEKOLOGI</v>
          </cell>
          <cell r="O2458"/>
          <cell r="P2458"/>
          <cell r="Q2458">
            <v>860</v>
          </cell>
        </row>
        <row r="2459">
          <cell r="E2459" t="str">
            <v>KKM/JKNS/HAS/10-05-01/R/15/11807</v>
          </cell>
          <cell r="F2459" t="str">
            <v>Diagnostic</v>
          </cell>
          <cell r="G2459" t="str">
            <v>Basic</v>
          </cell>
          <cell r="H2459" t="str">
            <v>Scales, Infant</v>
          </cell>
          <cell r="I2459" t="str">
            <v>DIGITAL BABY WEIGHING SCALE</v>
          </cell>
          <cell r="J2459" t="str">
            <v>13-462</v>
          </cell>
          <cell r="K2459" t="str">
            <v>TANITA</v>
          </cell>
          <cell r="L2459">
            <v>1583</v>
          </cell>
          <cell r="M2459"/>
          <cell r="N2459" t="str">
            <v>JABATAN OBSTETRIK DAN GINEKOLOGI</v>
          </cell>
          <cell r="O2459"/>
          <cell r="P2459"/>
          <cell r="Q2459">
            <v>860</v>
          </cell>
        </row>
        <row r="2460">
          <cell r="E2460" t="str">
            <v>KKM/JKNS/HAS/10-05-01/R/15/11808</v>
          </cell>
          <cell r="F2460" t="str">
            <v>Diagnostic</v>
          </cell>
          <cell r="G2460" t="str">
            <v>Basic</v>
          </cell>
          <cell r="H2460" t="str">
            <v>Scales, Infant</v>
          </cell>
          <cell r="I2460" t="str">
            <v>DIGITAL BABY WEIGHING SCALE</v>
          </cell>
          <cell r="J2460" t="str">
            <v>13-462</v>
          </cell>
          <cell r="K2460" t="str">
            <v>TANITA</v>
          </cell>
          <cell r="L2460">
            <v>1583</v>
          </cell>
          <cell r="M2460"/>
          <cell r="N2460" t="str">
            <v>JABATAN OBSTETRIK DAN GINEKOLOGI</v>
          </cell>
          <cell r="O2460"/>
          <cell r="P2460"/>
          <cell r="Q2460">
            <v>860</v>
          </cell>
        </row>
        <row r="2461">
          <cell r="E2461" t="str">
            <v>KKM/JKNS/HAS/10-05-01/R/15/11809</v>
          </cell>
          <cell r="F2461" t="str">
            <v>Diagnostic</v>
          </cell>
          <cell r="G2461" t="str">
            <v>Basic</v>
          </cell>
          <cell r="H2461" t="str">
            <v>Scales, Infant</v>
          </cell>
          <cell r="I2461" t="str">
            <v>DIGITAL BABY WEIGHING SCALE</v>
          </cell>
          <cell r="J2461" t="str">
            <v>13-462</v>
          </cell>
          <cell r="K2461" t="str">
            <v>TANITA</v>
          </cell>
          <cell r="L2461">
            <v>1583</v>
          </cell>
          <cell r="M2461"/>
          <cell r="N2461" t="str">
            <v>JABATAN OBSTETRIK DAN GINEKOLOGI</v>
          </cell>
          <cell r="O2461"/>
          <cell r="P2461"/>
          <cell r="Q2461">
            <v>860</v>
          </cell>
        </row>
        <row r="2462">
          <cell r="E2462" t="str">
            <v>KKM/JKNS/HAS/10-05-01/R/15/11810</v>
          </cell>
          <cell r="F2462" t="str">
            <v>Diagnostic</v>
          </cell>
          <cell r="G2462" t="str">
            <v>Basic</v>
          </cell>
          <cell r="H2462" t="str">
            <v>Scales, Infant</v>
          </cell>
          <cell r="I2462" t="str">
            <v>DIGITAL BABY WEIGHING SCALE</v>
          </cell>
          <cell r="J2462" t="str">
            <v>13-462</v>
          </cell>
          <cell r="K2462" t="str">
            <v>TANITA</v>
          </cell>
          <cell r="L2462">
            <v>1583</v>
          </cell>
          <cell r="M2462"/>
          <cell r="N2462" t="str">
            <v>JABATAN OBSTETRIK DAN GINEKOLOGI</v>
          </cell>
          <cell r="O2462"/>
          <cell r="P2462"/>
          <cell r="Q2462">
            <v>860</v>
          </cell>
        </row>
        <row r="2463">
          <cell r="E2463" t="str">
            <v>KKM/JKNS/HAS/10-05-01/R/15/11811</v>
          </cell>
          <cell r="F2463" t="str">
            <v>Diagnostic</v>
          </cell>
          <cell r="G2463" t="str">
            <v>Basic</v>
          </cell>
          <cell r="H2463" t="str">
            <v>Scales, Infant</v>
          </cell>
          <cell r="I2463" t="str">
            <v>DIGITAL BABY WEIGHING SCALE</v>
          </cell>
          <cell r="J2463" t="str">
            <v>13-462</v>
          </cell>
          <cell r="K2463" t="str">
            <v>TANITA</v>
          </cell>
          <cell r="L2463">
            <v>1583</v>
          </cell>
          <cell r="M2463"/>
          <cell r="N2463" t="str">
            <v>JABATAN OBSTETRIK DAN GINEKOLOGI</v>
          </cell>
          <cell r="O2463"/>
          <cell r="P2463"/>
          <cell r="Q2463">
            <v>860</v>
          </cell>
        </row>
        <row r="2464">
          <cell r="E2464" t="str">
            <v>KKM/JKNS/HAS/10-05-01/R/15/11812</v>
          </cell>
          <cell r="F2464" t="str">
            <v>Diagnostic</v>
          </cell>
          <cell r="G2464" t="str">
            <v>Basic</v>
          </cell>
          <cell r="H2464" t="str">
            <v>Scales, Infant</v>
          </cell>
          <cell r="I2464" t="str">
            <v>DIGITAL BABY WEIGHING SCALE</v>
          </cell>
          <cell r="J2464" t="str">
            <v>13-462</v>
          </cell>
          <cell r="K2464" t="str">
            <v>TANITA</v>
          </cell>
          <cell r="L2464">
            <v>1583</v>
          </cell>
          <cell r="M2464"/>
          <cell r="N2464" t="str">
            <v>JABATAN OBSTETRIK DAN GINEKOLOGI</v>
          </cell>
          <cell r="O2464"/>
          <cell r="P2464"/>
          <cell r="Q2464">
            <v>860</v>
          </cell>
        </row>
        <row r="2465">
          <cell r="E2465" t="str">
            <v>KKM/JKN/HSA/10-05-01/H/20/121</v>
          </cell>
          <cell r="F2465" t="str">
            <v>Therapeutic</v>
          </cell>
          <cell r="G2465" t="str">
            <v>Intermediate</v>
          </cell>
          <cell r="H2465" t="str">
            <v>Infusion Pumps, Syringe</v>
          </cell>
          <cell r="I2465" t="str">
            <v>SYRINGE INFUSION PUMP</v>
          </cell>
          <cell r="J2465" t="str">
            <v>13-217</v>
          </cell>
          <cell r="K2465" t="str">
            <v>MEDCAPTAIN</v>
          </cell>
          <cell r="L2465" t="str">
            <v>SYS-50</v>
          </cell>
          <cell r="M2465"/>
          <cell r="N2465" t="str">
            <v>JABATAN PERUBATAN AM</v>
          </cell>
          <cell r="O2465"/>
          <cell r="P2465"/>
          <cell r="Q2465">
            <v>3150</v>
          </cell>
        </row>
        <row r="2466">
          <cell r="E2466" t="str">
            <v>KKM/JKN/HSA/10-05-01/H/20/122</v>
          </cell>
          <cell r="F2466" t="str">
            <v>Therapeutic</v>
          </cell>
          <cell r="G2466" t="str">
            <v>Intermediate</v>
          </cell>
          <cell r="H2466" t="str">
            <v>Infusion Pumps, Syringe</v>
          </cell>
          <cell r="I2466" t="str">
            <v>SYRINGE INFUSION PUMP</v>
          </cell>
          <cell r="J2466" t="str">
            <v>13-217</v>
          </cell>
          <cell r="K2466" t="str">
            <v>MEDCAPTAIN</v>
          </cell>
          <cell r="L2466" t="str">
            <v>SYS-50</v>
          </cell>
          <cell r="M2466"/>
          <cell r="N2466" t="str">
            <v>JABATAN PERUBATAN AM</v>
          </cell>
          <cell r="O2466"/>
          <cell r="P2466"/>
          <cell r="Q2466">
            <v>3150</v>
          </cell>
        </row>
        <row r="2467">
          <cell r="E2467" t="str">
            <v>KKM/JKN/HSA/10-05-01/H/20/174</v>
          </cell>
          <cell r="F2467" t="str">
            <v>Diagnostic</v>
          </cell>
          <cell r="G2467" t="str">
            <v>Intermediate</v>
          </cell>
          <cell r="H2467" t="str">
            <v xml:space="preserve">Electrocardiographs, Multichannel, Interpretative </v>
          </cell>
          <cell r="I2467" t="str">
            <v>ECG MACHINE</v>
          </cell>
          <cell r="J2467" t="str">
            <v>16-231</v>
          </cell>
          <cell r="K2467" t="str">
            <v>MINDRAY</v>
          </cell>
          <cell r="L2467" t="str">
            <v>BENEHEART R3A</v>
          </cell>
          <cell r="M2467"/>
          <cell r="N2467" t="str">
            <v>JABATAN OTORINOLARINGOLOGI</v>
          </cell>
          <cell r="O2467"/>
          <cell r="P2467"/>
          <cell r="Q2467">
            <v>5500</v>
          </cell>
        </row>
        <row r="2468">
          <cell r="E2468" t="str">
            <v>KKM/JKN/HSA/10-05-01/H/21/191</v>
          </cell>
          <cell r="F2468" t="str">
            <v>Therapeutic</v>
          </cell>
          <cell r="G2468" t="str">
            <v>Intermediate</v>
          </cell>
          <cell r="H2468" t="str">
            <v>Respirators, Air-Purifying</v>
          </cell>
          <cell r="I2468" t="str">
            <v>POWERED AIR PURIFYING RESPIRATOR (PAPR)</v>
          </cell>
          <cell r="J2468" t="str">
            <v>18-094</v>
          </cell>
          <cell r="K2468" t="str">
            <v>SHINE</v>
          </cell>
          <cell r="L2468" t="str">
            <v>P-SH100</v>
          </cell>
          <cell r="M2468"/>
          <cell r="N2468" t="str">
            <v>JABATAN PERUBATAN AM</v>
          </cell>
          <cell r="O2468"/>
          <cell r="P2468"/>
          <cell r="Q2468">
            <v>4300</v>
          </cell>
        </row>
        <row r="2469">
          <cell r="E2469" t="str">
            <v>KKM/JKN/HSA/10-05-01/H/21/192</v>
          </cell>
          <cell r="F2469" t="str">
            <v>Therapeutic</v>
          </cell>
          <cell r="G2469" t="str">
            <v>Intermediate</v>
          </cell>
          <cell r="H2469" t="str">
            <v>Respirators, Air-Purifying</v>
          </cell>
          <cell r="I2469" t="str">
            <v>POWERED AIR PURIFYING RESPIRATOR (PAPR)</v>
          </cell>
          <cell r="J2469" t="str">
            <v>18-094</v>
          </cell>
          <cell r="K2469" t="str">
            <v>SHINE</v>
          </cell>
          <cell r="L2469" t="str">
            <v>P-SH100</v>
          </cell>
          <cell r="M2469"/>
          <cell r="N2469" t="str">
            <v>JABATAN PERUBATAN AM</v>
          </cell>
          <cell r="O2469"/>
          <cell r="P2469"/>
          <cell r="Q2469">
            <v>4300</v>
          </cell>
        </row>
        <row r="2470">
          <cell r="E2470" t="str">
            <v>KKM/JKN/HSA/10-05-01/H/21/190</v>
          </cell>
          <cell r="F2470" t="str">
            <v>Therapeutic</v>
          </cell>
          <cell r="G2470" t="str">
            <v>Intermediate</v>
          </cell>
          <cell r="H2470" t="str">
            <v>Respirators, Air-Purifying</v>
          </cell>
          <cell r="I2470" t="str">
            <v>POWERED AIR PURIFYING RESPIRATOR (PAPR)</v>
          </cell>
          <cell r="J2470" t="str">
            <v>18-094</v>
          </cell>
          <cell r="K2470" t="str">
            <v>SHINE</v>
          </cell>
          <cell r="L2470" t="str">
            <v>P-SH100</v>
          </cell>
          <cell r="M2470"/>
          <cell r="N2470" t="str">
            <v>JABATAN PERUBATAN AM</v>
          </cell>
          <cell r="O2470"/>
          <cell r="P2470"/>
          <cell r="Q2470">
            <v>4300</v>
          </cell>
        </row>
        <row r="2471">
          <cell r="E2471" t="str">
            <v>KKM/JKN/HSA/10-05-01/H/21/347</v>
          </cell>
          <cell r="F2471" t="str">
            <v>Therapeutic</v>
          </cell>
          <cell r="G2471" t="str">
            <v>Intermediate</v>
          </cell>
          <cell r="H2471" t="str">
            <v>Concentrators, Oxygen</v>
          </cell>
          <cell r="I2471" t="str">
            <v>OXYGEN CONCENTRATOR</v>
          </cell>
          <cell r="J2471" t="str">
            <v>12-873</v>
          </cell>
          <cell r="K2471" t="str">
            <v>OWGELS</v>
          </cell>
          <cell r="L2471" t="str">
            <v>OZ-5-01GW0</v>
          </cell>
          <cell r="M2471"/>
          <cell r="N2471" t="str">
            <v>JABATAN KECEMASAN DAN TRAUMA</v>
          </cell>
          <cell r="O2471"/>
          <cell r="P2471"/>
          <cell r="Q2471">
            <v>4199</v>
          </cell>
        </row>
        <row r="2472">
          <cell r="E2472" t="str">
            <v>KKM/JKN/HSA/10-05-01/H/21/346</v>
          </cell>
          <cell r="F2472" t="str">
            <v>Therapeutic</v>
          </cell>
          <cell r="G2472" t="str">
            <v>Intermediate</v>
          </cell>
          <cell r="H2472" t="str">
            <v>Concentrators, Oxygen</v>
          </cell>
          <cell r="I2472" t="str">
            <v>OXYGEN CONCENTRATOR</v>
          </cell>
          <cell r="J2472" t="str">
            <v>12-873</v>
          </cell>
          <cell r="K2472" t="str">
            <v>OWGELS</v>
          </cell>
          <cell r="L2472" t="str">
            <v>OZ-5-01GW0</v>
          </cell>
          <cell r="M2472"/>
          <cell r="N2472" t="str">
            <v>JABATAN KECEMASAN DAN TRAUMA</v>
          </cell>
          <cell r="O2472"/>
          <cell r="P2472"/>
          <cell r="Q2472">
            <v>4199</v>
          </cell>
        </row>
        <row r="2473">
          <cell r="E2473" t="str">
            <v>KKM/JKN/HSA/10-05-01/H/21/345</v>
          </cell>
          <cell r="F2473" t="str">
            <v>Therapeutic</v>
          </cell>
          <cell r="G2473" t="str">
            <v>Intermediate</v>
          </cell>
          <cell r="H2473" t="str">
            <v>Concentrators, Oxygen</v>
          </cell>
          <cell r="I2473" t="str">
            <v>OXYGEN CONCENTRATOR</v>
          </cell>
          <cell r="J2473" t="str">
            <v>12-873</v>
          </cell>
          <cell r="K2473" t="str">
            <v>OWGELS</v>
          </cell>
          <cell r="L2473" t="str">
            <v>OZ-5-01GW0</v>
          </cell>
          <cell r="M2473"/>
          <cell r="N2473" t="str">
            <v>JABATAN KECEMASAN DAN TRAUMA</v>
          </cell>
          <cell r="O2473"/>
          <cell r="P2473"/>
          <cell r="Q2473">
            <v>4199</v>
          </cell>
        </row>
        <row r="2474">
          <cell r="E2474" t="str">
            <v>KKM/JKN/HSA/10-05-01/H/21/344</v>
          </cell>
          <cell r="F2474" t="str">
            <v>Therapeutic</v>
          </cell>
          <cell r="G2474" t="str">
            <v>Intermediate</v>
          </cell>
          <cell r="H2474" t="str">
            <v>Concentrators, Oxygen</v>
          </cell>
          <cell r="I2474" t="str">
            <v>OXYGEN CONCENTRATOR</v>
          </cell>
          <cell r="J2474" t="str">
            <v>12-873</v>
          </cell>
          <cell r="K2474" t="str">
            <v>OWGELS</v>
          </cell>
          <cell r="L2474" t="str">
            <v>OZ-5-01GW0</v>
          </cell>
          <cell r="M2474"/>
          <cell r="N2474" t="str">
            <v>JABATAN KECEMASAN DAN TRAUMA</v>
          </cell>
          <cell r="O2474"/>
          <cell r="P2474"/>
          <cell r="Q2474">
            <v>4199</v>
          </cell>
        </row>
        <row r="2475">
          <cell r="E2475" t="str">
            <v>KKM/JKN/HSA/10-05-01/H/21/343</v>
          </cell>
          <cell r="F2475" t="str">
            <v>Therapeutic</v>
          </cell>
          <cell r="G2475" t="str">
            <v>Intermediate</v>
          </cell>
          <cell r="H2475" t="str">
            <v>Concentrators, Oxygen</v>
          </cell>
          <cell r="I2475" t="str">
            <v>OXYGEN CONCENTRATOR</v>
          </cell>
          <cell r="J2475" t="str">
            <v>12-873</v>
          </cell>
          <cell r="K2475" t="str">
            <v>OWGELS</v>
          </cell>
          <cell r="L2475" t="str">
            <v>OZ-5-01GW0</v>
          </cell>
          <cell r="M2475"/>
          <cell r="N2475" t="str">
            <v>JABATAN KECEMASAN DAN TRAUMA</v>
          </cell>
          <cell r="O2475"/>
          <cell r="P2475"/>
          <cell r="Q2475">
            <v>4199</v>
          </cell>
        </row>
        <row r="2476">
          <cell r="E2476" t="str">
            <v>KKM/JKN/HSA/10-05-01/H/23/45</v>
          </cell>
          <cell r="F2476" t="str">
            <v>Diagnostic</v>
          </cell>
          <cell r="G2476" t="str">
            <v>Intermediate</v>
          </cell>
          <cell r="H2476" t="str">
            <v>Physiologic Monitoring Systems, Acute Care</v>
          </cell>
          <cell r="I2476" t="str">
            <v>PATIENT MONITORING EQUIPMENT</v>
          </cell>
          <cell r="J2476" t="str">
            <v>12-647</v>
          </cell>
          <cell r="K2476" t="str">
            <v>MINDRAY</v>
          </cell>
          <cell r="L2476" t="str">
            <v>EPM10</v>
          </cell>
          <cell r="M2476"/>
          <cell r="N2476" t="str">
            <v>JABATAN PERUBATAN AM</v>
          </cell>
          <cell r="O2476"/>
          <cell r="P2476"/>
          <cell r="Q2476">
            <v>11000</v>
          </cell>
        </row>
        <row r="2477">
          <cell r="E2477" t="str">
            <v>KKM/JKN/HSA/10-05-01/H/23/46</v>
          </cell>
          <cell r="F2477" t="str">
            <v>Diagnostic</v>
          </cell>
          <cell r="G2477" t="str">
            <v>Intermediate</v>
          </cell>
          <cell r="H2477" t="str">
            <v>Physiologic Monitoring Systems, Acute Care</v>
          </cell>
          <cell r="I2477" t="str">
            <v>PATIENT MONITORING EQUIPMENT</v>
          </cell>
          <cell r="J2477" t="str">
            <v>12-647</v>
          </cell>
          <cell r="K2477" t="str">
            <v>MINDRAY</v>
          </cell>
          <cell r="L2477" t="str">
            <v>EPM10</v>
          </cell>
          <cell r="M2477"/>
          <cell r="N2477" t="str">
            <v>JABATAN PERUBATAN AM</v>
          </cell>
          <cell r="O2477"/>
          <cell r="P2477"/>
          <cell r="Q2477">
            <v>11000</v>
          </cell>
        </row>
        <row r="2478">
          <cell r="E2478" t="str">
            <v>KKM/JKN/HSA/10-05-01/H/23/62</v>
          </cell>
          <cell r="F2478" t="str">
            <v>Diagnostic</v>
          </cell>
          <cell r="G2478" t="str">
            <v>Intermediate</v>
          </cell>
          <cell r="H2478" t="str">
            <v>Gastroscopes, Flexible, Video</v>
          </cell>
          <cell r="I2478" t="str">
            <v xml:space="preserve">GASTROINTESTINAL VIDEO SCOPE </v>
          </cell>
          <cell r="J2478" t="str">
            <v>17-663</v>
          </cell>
          <cell r="K2478" t="str">
            <v>OLYMPUS</v>
          </cell>
          <cell r="L2478" t="str">
            <v>EXERA III</v>
          </cell>
          <cell r="M2478"/>
          <cell r="N2478" t="str">
            <v>JABATAN PEMBEDAHAN AM</v>
          </cell>
          <cell r="O2478"/>
          <cell r="P2478"/>
          <cell r="Q2478">
            <v>93380</v>
          </cell>
        </row>
        <row r="2479">
          <cell r="E2479" t="str">
            <v>KKM/JKN/HSA/10-05-01/H/23/67</v>
          </cell>
          <cell r="F2479" t="str">
            <v>Therapeutic</v>
          </cell>
          <cell r="G2479" t="str">
            <v>Intermediate</v>
          </cell>
          <cell r="H2479" t="str">
            <v>Electrosurgical Units, Monopolar/Bipolar</v>
          </cell>
          <cell r="I2479" t="str">
            <v>DENTAL ELECTROSURGERY SET</v>
          </cell>
          <cell r="J2479" t="str">
            <v>18-231</v>
          </cell>
          <cell r="K2479" t="str">
            <v>SATELEC</v>
          </cell>
          <cell r="L2479" t="str">
            <v>SERVOTOME</v>
          </cell>
          <cell r="M2479"/>
          <cell r="N2479" t="str">
            <v>JABATAN BEDAH MULUT &amp; MAKSILOFASIAL</v>
          </cell>
          <cell r="O2479"/>
          <cell r="P2479"/>
          <cell r="Q2479">
            <v>8600</v>
          </cell>
        </row>
        <row r="2480">
          <cell r="E2480" t="str">
            <v>KKM/JKN/HSA/10-05-01/H/23/77</v>
          </cell>
          <cell r="F2480" t="str">
            <v>Therapeutic</v>
          </cell>
          <cell r="G2480" t="str">
            <v>Intermediate</v>
          </cell>
          <cell r="H2480" t="str">
            <v>Stimulators, Electrical, Peripheral Nerve, Analgesic, Transcutaneous</v>
          </cell>
          <cell r="I2480" t="str">
            <v>NEUROMUSCULAR STIMULATORS</v>
          </cell>
          <cell r="J2480" t="str">
            <v>13-782</v>
          </cell>
          <cell r="K2480" t="str">
            <v>AVAZZIA</v>
          </cell>
          <cell r="L2480" t="str">
            <v>PRO-SPORT III KIT BEST-AV2</v>
          </cell>
          <cell r="M2480"/>
          <cell r="N2480" t="str">
            <v>JABATAN PEMBEDAHAN AM</v>
          </cell>
          <cell r="O2480"/>
          <cell r="P2480"/>
          <cell r="Q2480">
            <v>25000</v>
          </cell>
        </row>
        <row r="2481">
          <cell r="E2481" t="str">
            <v>KKM/JKN/HSA/10-05-01/H/23/73</v>
          </cell>
          <cell r="F2481" t="str">
            <v>Therapeutic</v>
          </cell>
          <cell r="G2481" t="str">
            <v>Intermediate</v>
          </cell>
          <cell r="H2481" t="str">
            <v xml:space="preserve">Defibrillators, External, Automated </v>
          </cell>
          <cell r="I2481" t="str">
            <v>AUTOMATIC EXTERNAL DEFIBRILLATOR</v>
          </cell>
          <cell r="J2481" t="str">
            <v>17-116</v>
          </cell>
          <cell r="K2481" t="str">
            <v>ZOLL</v>
          </cell>
          <cell r="L2481" t="str">
            <v>AED PLUS</v>
          </cell>
          <cell r="M2481"/>
          <cell r="N2481" t="str">
            <v>JABATAN KECEMASAN DAN TRAUMA</v>
          </cell>
          <cell r="O2481"/>
          <cell r="P2481"/>
          <cell r="Q2481">
            <v>8300</v>
          </cell>
        </row>
        <row r="2482">
          <cell r="E2482" t="str">
            <v>KKM/JKN/HSA/10-05-01/H/21/277</v>
          </cell>
          <cell r="F2482" t="str">
            <v>Therapeutic</v>
          </cell>
          <cell r="G2482" t="str">
            <v>Intermediate</v>
          </cell>
          <cell r="H2482" t="str">
            <v>Infusion Pumps, Syringe</v>
          </cell>
          <cell r="I2482" t="str">
            <v>SYRINGE INFUSION PUMP</v>
          </cell>
          <cell r="J2482" t="str">
            <v>13-217</v>
          </cell>
          <cell r="K2482" t="str">
            <v>MEDCAPTAIN</v>
          </cell>
          <cell r="L2482" t="str">
            <v>SYS 50</v>
          </cell>
          <cell r="M2482"/>
          <cell r="N2482" t="str">
            <v>JABATAN PERUBATAN AM</v>
          </cell>
          <cell r="O2482"/>
          <cell r="P2482"/>
          <cell r="Q2482">
            <v>3500</v>
          </cell>
        </row>
        <row r="2483">
          <cell r="E2483" t="str">
            <v>KKM/JKN/HSA/10-05-01/H/21/276</v>
          </cell>
          <cell r="F2483" t="str">
            <v>Therapeutic</v>
          </cell>
          <cell r="G2483" t="str">
            <v>Intermediate</v>
          </cell>
          <cell r="H2483" t="str">
            <v>Infusion Pumps, Syringe</v>
          </cell>
          <cell r="I2483" t="str">
            <v>SYRINGE INFUSION PUMP</v>
          </cell>
          <cell r="J2483" t="str">
            <v>13-217</v>
          </cell>
          <cell r="K2483" t="str">
            <v>MEDCAPTAIN</v>
          </cell>
          <cell r="L2483" t="str">
            <v>SYS 50</v>
          </cell>
          <cell r="M2483"/>
          <cell r="N2483" t="str">
            <v>JABATAN PERUBATAN AM</v>
          </cell>
          <cell r="O2483"/>
          <cell r="P2483"/>
          <cell r="Q2483">
            <v>3500</v>
          </cell>
        </row>
        <row r="2484">
          <cell r="E2484" t="str">
            <v>KKM/JKN/HSA/10-05-01/H/21/275</v>
          </cell>
          <cell r="F2484" t="str">
            <v>Therapeutic</v>
          </cell>
          <cell r="G2484" t="str">
            <v>Intermediate</v>
          </cell>
          <cell r="H2484" t="str">
            <v>Infusion Pumps, Syringe</v>
          </cell>
          <cell r="I2484" t="str">
            <v>SYRINGE INFUSION PUMP</v>
          </cell>
          <cell r="J2484" t="str">
            <v>13-217</v>
          </cell>
          <cell r="K2484" t="str">
            <v>MEDCAPTAIN</v>
          </cell>
          <cell r="L2484" t="str">
            <v>SYS 50</v>
          </cell>
          <cell r="M2484"/>
          <cell r="N2484" t="str">
            <v>JABATAN PERUBATAN AM</v>
          </cell>
          <cell r="O2484"/>
          <cell r="P2484"/>
          <cell r="Q2484">
            <v>3500</v>
          </cell>
        </row>
        <row r="2485">
          <cell r="E2485" t="str">
            <v>KKM/JKN/HSA/10-05-01/H/21/274</v>
          </cell>
          <cell r="F2485" t="str">
            <v>Therapeutic</v>
          </cell>
          <cell r="G2485" t="str">
            <v>Intermediate</v>
          </cell>
          <cell r="H2485" t="str">
            <v>Infusion Pumps, Syringe</v>
          </cell>
          <cell r="I2485" t="str">
            <v>SYRINGE INFUSION PUMP</v>
          </cell>
          <cell r="J2485" t="str">
            <v>13-217</v>
          </cell>
          <cell r="K2485" t="str">
            <v>MEDCAPTAIN</v>
          </cell>
          <cell r="L2485" t="str">
            <v>SYS 50</v>
          </cell>
          <cell r="M2485"/>
          <cell r="N2485" t="str">
            <v>JABATAN PERUBATAN AM</v>
          </cell>
          <cell r="O2485"/>
          <cell r="P2485"/>
          <cell r="Q2485">
            <v>3500</v>
          </cell>
        </row>
        <row r="2486">
          <cell r="E2486" t="str">
            <v>KKM/JKN/HSA/10-05-01/H/22/144</v>
          </cell>
          <cell r="F2486" t="str">
            <v>Diagnostic</v>
          </cell>
          <cell r="G2486" t="str">
            <v>Intermediate</v>
          </cell>
          <cell r="H2486" t="str">
            <v>Physiologic Monitoring Systems, Acute Care</v>
          </cell>
          <cell r="I2486" t="str">
            <v>PATIENT MONITORING EQUIPMENT</v>
          </cell>
          <cell r="J2486" t="str">
            <v>12-647</v>
          </cell>
          <cell r="K2486" t="str">
            <v>MEDIANA</v>
          </cell>
          <cell r="L2486" t="str">
            <v>V10M</v>
          </cell>
          <cell r="M2486"/>
          <cell r="N2486" t="str">
            <v>JABATAN PEMBEDAHAN AM</v>
          </cell>
          <cell r="O2486"/>
          <cell r="P2486"/>
          <cell r="Q2486">
            <v>8700</v>
          </cell>
        </row>
        <row r="2487">
          <cell r="E2487" t="str">
            <v>KKM/JKN/HSA/10-05-01/H/23/26</v>
          </cell>
          <cell r="F2487" t="str">
            <v>Diagnostic</v>
          </cell>
          <cell r="G2487" t="str">
            <v>Intermediate</v>
          </cell>
          <cell r="H2487" t="str">
            <v xml:space="preserve">Electrocardiographs, Multichannel, Interpretative </v>
          </cell>
          <cell r="I2487" t="str">
            <v>ELECTROCARDIOGRAPH</v>
          </cell>
          <cell r="J2487" t="str">
            <v>16-231</v>
          </cell>
          <cell r="K2487" t="str">
            <v>EDAN</v>
          </cell>
          <cell r="L2487" t="str">
            <v>SE-3</v>
          </cell>
          <cell r="M2487"/>
          <cell r="N2487" t="str">
            <v>JABATAN OBSTETRIK DAN GINEKOLOGI</v>
          </cell>
          <cell r="O2487"/>
          <cell r="P2487"/>
          <cell r="Q2487">
            <v>3600</v>
          </cell>
        </row>
        <row r="2488">
          <cell r="E2488" t="str">
            <v>KKM/JKN/HSA/10-05-01/H/16/193</v>
          </cell>
          <cell r="F2488" t="str">
            <v>Therapeutic</v>
          </cell>
          <cell r="G2488" t="str">
            <v>Intermediate</v>
          </cell>
          <cell r="H2488" t="str">
            <v>Defibrillators, External, Manual</v>
          </cell>
          <cell r="I2488" t="str">
            <v>DEFIBRILLATOR</v>
          </cell>
          <cell r="J2488" t="str">
            <v>11-134</v>
          </cell>
          <cell r="K2488" t="str">
            <v xml:space="preserve">ZOLL MEDICAL </v>
          </cell>
          <cell r="L2488" t="str">
            <v>X SERIES</v>
          </cell>
          <cell r="M2488"/>
          <cell r="N2488" t="str">
            <v>JABATAN KECEMASAN DAN TRAUMA</v>
          </cell>
          <cell r="O2488"/>
          <cell r="P2488"/>
          <cell r="Q2488">
            <v>65000</v>
          </cell>
        </row>
        <row r="2489">
          <cell r="E2489" t="str">
            <v>KKM/JKN/HSA/10-05-01/H/20/239</v>
          </cell>
          <cell r="F2489" t="str">
            <v>Diagnostic</v>
          </cell>
          <cell r="G2489" t="str">
            <v>Intermediate</v>
          </cell>
          <cell r="H2489" t="str">
            <v>Physiologic Monitoring Systems, Acute Care</v>
          </cell>
          <cell r="I2489" t="str">
            <v>PATIENT MONITOR</v>
          </cell>
          <cell r="J2489" t="str">
            <v>12-647</v>
          </cell>
          <cell r="K2489" t="str">
            <v>NIHON KOHDEN</v>
          </cell>
          <cell r="L2489" t="str">
            <v>SVM7600</v>
          </cell>
          <cell r="M2489"/>
          <cell r="N2489" t="str">
            <v>JABATAN ORTOPEDIK</v>
          </cell>
          <cell r="O2489"/>
          <cell r="P2489"/>
          <cell r="Q2489">
            <v>9980</v>
          </cell>
        </row>
        <row r="2490">
          <cell r="E2490" t="str">
            <v>KKM/JKN/HSA/10-05-01/H/20/268</v>
          </cell>
          <cell r="F2490" t="str">
            <v>Therapeutic</v>
          </cell>
          <cell r="G2490" t="str">
            <v>Intermediate</v>
          </cell>
          <cell r="H2490" t="str">
            <v>Ventilators, Intensive Care, Neonatal/Pediatric</v>
          </cell>
          <cell r="I2490" t="str">
            <v>VENTILATOR</v>
          </cell>
          <cell r="J2490" t="str">
            <v>14-361</v>
          </cell>
          <cell r="K2490" t="str">
            <v>DRAEGER</v>
          </cell>
          <cell r="L2490" t="str">
            <v>SAVINA 300</v>
          </cell>
          <cell r="M2490"/>
          <cell r="N2490" t="str">
            <v>JABATAN ANESTESIOLOGI DAN RAWATAN RAPI</v>
          </cell>
          <cell r="O2490"/>
          <cell r="P2490"/>
          <cell r="Q2490">
            <v>50000</v>
          </cell>
        </row>
        <row r="2491">
          <cell r="E2491" t="str">
            <v>KKM/JKN/HSA/10-05-01/H/23/47</v>
          </cell>
          <cell r="F2491" t="str">
            <v>Therapeutic</v>
          </cell>
          <cell r="G2491" t="str">
            <v>Basic</v>
          </cell>
          <cell r="H2491" t="str">
            <v>Warming Units, Patient, Radiant, Infant</v>
          </cell>
          <cell r="I2491" t="str">
            <v>INFANT WARMER</v>
          </cell>
          <cell r="J2491" t="str">
            <v>17-956</v>
          </cell>
          <cell r="K2491" t="str">
            <v>ATOM</v>
          </cell>
          <cell r="L2491" t="str">
            <v>SUNFLOWER FREE STANDING WARMER</v>
          </cell>
          <cell r="M2491"/>
          <cell r="N2491" t="str">
            <v>JABATAN OBSTETRIK DAN GINEKOLOGI</v>
          </cell>
          <cell r="O2491"/>
          <cell r="P2491"/>
          <cell r="Q2491">
            <v>19266</v>
          </cell>
        </row>
        <row r="2492">
          <cell r="E2492" t="str">
            <v>KKM/JKN/HSA/10-05-01/H/23/48</v>
          </cell>
          <cell r="F2492" t="str">
            <v>Therapeutic</v>
          </cell>
          <cell r="G2492" t="str">
            <v>Basic</v>
          </cell>
          <cell r="H2492" t="str">
            <v>Warming Units, Patient, Radiant, Infant</v>
          </cell>
          <cell r="I2492" t="str">
            <v>INFANT WARMER</v>
          </cell>
          <cell r="J2492" t="str">
            <v>17-956</v>
          </cell>
          <cell r="K2492" t="str">
            <v>ATOM</v>
          </cell>
          <cell r="L2492" t="str">
            <v>SUNFLOWER FREE STANDING WARMER</v>
          </cell>
          <cell r="M2492"/>
          <cell r="N2492" t="str">
            <v>JABATAN OBSTETRIK DAN GINEKOLOGI</v>
          </cell>
          <cell r="O2492"/>
          <cell r="P2492"/>
          <cell r="Q2492">
            <v>19266</v>
          </cell>
        </row>
        <row r="2493">
          <cell r="E2493" t="str">
            <v>KKM/JKN/HSA/10-05-01/H/23/49</v>
          </cell>
          <cell r="F2493" t="str">
            <v>Therapeutic</v>
          </cell>
          <cell r="G2493" t="str">
            <v>Basic</v>
          </cell>
          <cell r="H2493" t="str">
            <v>Warming Units, Patient, Radiant, Infant</v>
          </cell>
          <cell r="I2493" t="str">
            <v>INFANT WARMER</v>
          </cell>
          <cell r="J2493" t="str">
            <v>17-956</v>
          </cell>
          <cell r="K2493" t="str">
            <v>ATOM</v>
          </cell>
          <cell r="L2493" t="str">
            <v>SUNFLOWER FREE STANDING WARMER</v>
          </cell>
          <cell r="M2493"/>
          <cell r="N2493" t="str">
            <v>JABATAN OBSTETRIK DAN GINEKOLOGI</v>
          </cell>
          <cell r="O2493"/>
          <cell r="P2493"/>
          <cell r="Q2493">
            <v>19266</v>
          </cell>
        </row>
        <row r="2494">
          <cell r="E2494" t="str">
            <v>KKM/JKN/HSA/10-05-01/H/23/50</v>
          </cell>
          <cell r="F2494" t="str">
            <v>Therapeutic</v>
          </cell>
          <cell r="G2494" t="str">
            <v>Basic</v>
          </cell>
          <cell r="H2494" t="str">
            <v>Warming Units, Patient, Radiant, Infant</v>
          </cell>
          <cell r="I2494" t="str">
            <v>INFANT WARMER</v>
          </cell>
          <cell r="J2494" t="str">
            <v>17-956</v>
          </cell>
          <cell r="K2494" t="str">
            <v>ATOM</v>
          </cell>
          <cell r="L2494" t="str">
            <v>SUNFLOWER FREE STANDING WARMER</v>
          </cell>
          <cell r="M2494"/>
          <cell r="N2494" t="str">
            <v>JABATAN OBSTETRIK DAN GINEKOLOGI</v>
          </cell>
          <cell r="O2494"/>
          <cell r="P2494"/>
          <cell r="Q2494">
            <v>19266</v>
          </cell>
        </row>
        <row r="2495">
          <cell r="E2495" t="str">
            <v>KKM/JKN/HSA/10-05-01/H/23/51</v>
          </cell>
          <cell r="F2495" t="str">
            <v>Therapeutic</v>
          </cell>
          <cell r="G2495" t="str">
            <v>Basic</v>
          </cell>
          <cell r="H2495" t="str">
            <v>Warming Units, Patient, Radiant, Infant</v>
          </cell>
          <cell r="I2495" t="str">
            <v>INFANT WARMER</v>
          </cell>
          <cell r="J2495" t="str">
            <v>17-956</v>
          </cell>
          <cell r="K2495" t="str">
            <v>ATOM</v>
          </cell>
          <cell r="L2495" t="str">
            <v>SUNFLOWER FREE STANDING WARMER</v>
          </cell>
          <cell r="M2495"/>
          <cell r="N2495" t="str">
            <v>JABATAN OBSTETRIK DAN GINEKOLOGI</v>
          </cell>
          <cell r="O2495"/>
          <cell r="P2495"/>
          <cell r="Q2495">
            <v>19266</v>
          </cell>
        </row>
        <row r="2496">
          <cell r="E2496" t="str">
            <v>KKM/JKN/HSA/10-05-01/H/23/52</v>
          </cell>
          <cell r="F2496" t="str">
            <v>Therapeutic</v>
          </cell>
          <cell r="G2496" t="str">
            <v>Basic</v>
          </cell>
          <cell r="H2496" t="str">
            <v>Warming Units, Patient, Radiant, Infant</v>
          </cell>
          <cell r="I2496" t="str">
            <v>INFANT WARMER</v>
          </cell>
          <cell r="J2496" t="str">
            <v>17-956</v>
          </cell>
          <cell r="K2496" t="str">
            <v>ATOM</v>
          </cell>
          <cell r="L2496" t="str">
            <v>SUNFLOWER FREE STANDING WARMER</v>
          </cell>
          <cell r="M2496"/>
          <cell r="N2496" t="str">
            <v>JABATAN OBSTETRIK DAN GINEKOLOGI</v>
          </cell>
          <cell r="O2496"/>
          <cell r="P2496"/>
          <cell r="Q2496">
            <v>19266</v>
          </cell>
        </row>
        <row r="2497">
          <cell r="E2497" t="str">
            <v>KKM/JKN/HSA/10-05-01/H/23/53</v>
          </cell>
          <cell r="F2497" t="str">
            <v>Therapeutic</v>
          </cell>
          <cell r="G2497" t="str">
            <v>Basic</v>
          </cell>
          <cell r="H2497" t="str">
            <v>Warming Units, Patient, Radiant, Infant</v>
          </cell>
          <cell r="I2497" t="str">
            <v>INFANT WARMER</v>
          </cell>
          <cell r="J2497" t="str">
            <v>17-956</v>
          </cell>
          <cell r="K2497" t="str">
            <v>ATOM</v>
          </cell>
          <cell r="L2497" t="str">
            <v>SUNFLOWER FREE STANDING WARMER</v>
          </cell>
          <cell r="M2497"/>
          <cell r="N2497" t="str">
            <v>JABATAN OBSTETRIK DAN GINEKOLOGI</v>
          </cell>
          <cell r="O2497"/>
          <cell r="P2497"/>
          <cell r="Q2497">
            <v>19266</v>
          </cell>
        </row>
        <row r="2498">
          <cell r="E2498" t="str">
            <v>KKM/JKN/HSA/10-05-01/H/23/54</v>
          </cell>
          <cell r="F2498" t="str">
            <v>Therapeutic</v>
          </cell>
          <cell r="G2498" t="str">
            <v>Basic</v>
          </cell>
          <cell r="H2498" t="str">
            <v>Warming Units, Patient, Radiant, Infant</v>
          </cell>
          <cell r="I2498" t="str">
            <v>INFANT WARMER</v>
          </cell>
          <cell r="J2498" t="str">
            <v>17-956</v>
          </cell>
          <cell r="K2498" t="str">
            <v>ATOM</v>
          </cell>
          <cell r="L2498" t="str">
            <v>SUNFLOWER FREE STANDING WARMER</v>
          </cell>
          <cell r="M2498"/>
          <cell r="N2498" t="str">
            <v>JABATAN OBSTETRIK DAN GINEKOLOGI</v>
          </cell>
          <cell r="O2498"/>
          <cell r="P2498"/>
          <cell r="Q2498">
            <v>19266</v>
          </cell>
        </row>
        <row r="2499">
          <cell r="E2499" t="str">
            <v>KKM/JKN/HSA/10-05-01/H/23/55</v>
          </cell>
          <cell r="F2499" t="str">
            <v>Therapeutic</v>
          </cell>
          <cell r="G2499" t="str">
            <v>Basic</v>
          </cell>
          <cell r="H2499" t="str">
            <v>Warming Units, Patient, Radiant, Infant</v>
          </cell>
          <cell r="I2499" t="str">
            <v>INFANT WARMER</v>
          </cell>
          <cell r="J2499" t="str">
            <v>17-956</v>
          </cell>
          <cell r="K2499" t="str">
            <v>ATOM</v>
          </cell>
          <cell r="L2499" t="str">
            <v>SUNFLOWER FREE STANDING WARMER</v>
          </cell>
          <cell r="M2499"/>
          <cell r="N2499" t="str">
            <v>JABATAN OBSTETRIK DAN GINEKOLOGI</v>
          </cell>
          <cell r="O2499"/>
          <cell r="P2499"/>
          <cell r="Q2499">
            <v>19266</v>
          </cell>
        </row>
        <row r="2500">
          <cell r="E2500" t="str">
            <v>KKM/JKN/HSA/10-05-01/H/23/56</v>
          </cell>
          <cell r="F2500" t="str">
            <v>Therapeutic</v>
          </cell>
          <cell r="G2500" t="str">
            <v>Basic</v>
          </cell>
          <cell r="H2500" t="str">
            <v>Warming Units, Patient, Radiant, Infant</v>
          </cell>
          <cell r="I2500" t="str">
            <v>INFANT WARMER</v>
          </cell>
          <cell r="J2500" t="str">
            <v>17-956</v>
          </cell>
          <cell r="K2500" t="str">
            <v>ATOM</v>
          </cell>
          <cell r="L2500" t="str">
            <v>SUNFLOWER FREE STANDING WARMER</v>
          </cell>
          <cell r="M2500"/>
          <cell r="N2500" t="str">
            <v>JABATAN OBSTETRIK DAN GINEKOLOGI</v>
          </cell>
          <cell r="O2500"/>
          <cell r="P2500"/>
          <cell r="Q2500">
            <v>19266</v>
          </cell>
        </row>
        <row r="2501">
          <cell r="E2501" t="str">
            <v>KKM/JKN/HSA/10-05-01/H/23/57</v>
          </cell>
          <cell r="F2501" t="str">
            <v>Therapeutic</v>
          </cell>
          <cell r="G2501" t="str">
            <v>Basic</v>
          </cell>
          <cell r="H2501" t="str">
            <v>Warming Units, Patient, Radiant, Infant</v>
          </cell>
          <cell r="I2501" t="str">
            <v>INFANT WARMER</v>
          </cell>
          <cell r="J2501" t="str">
            <v>17-956</v>
          </cell>
          <cell r="K2501" t="str">
            <v>ATOM</v>
          </cell>
          <cell r="L2501" t="str">
            <v>SUNFLOWER FREE STANDING WARMER</v>
          </cell>
          <cell r="M2501"/>
          <cell r="N2501" t="str">
            <v>JABATAN OBSTETRIK DAN GINEKOLOGI</v>
          </cell>
          <cell r="O2501"/>
          <cell r="P2501"/>
          <cell r="Q2501">
            <v>19266</v>
          </cell>
        </row>
        <row r="2502">
          <cell r="E2502" t="str">
            <v>KKM/JKN/HSA/10-05-01/H/23/58</v>
          </cell>
          <cell r="F2502" t="str">
            <v>Therapeutic</v>
          </cell>
          <cell r="G2502" t="str">
            <v>Basic</v>
          </cell>
          <cell r="H2502" t="str">
            <v>Warming Units, Patient, Radiant, Infant</v>
          </cell>
          <cell r="I2502" t="str">
            <v>INFANT WARMER</v>
          </cell>
          <cell r="J2502" t="str">
            <v>17-956</v>
          </cell>
          <cell r="K2502" t="str">
            <v>ATOM</v>
          </cell>
          <cell r="L2502" t="str">
            <v>SUNFLOWER FREE STANDING WARMER</v>
          </cell>
          <cell r="M2502"/>
          <cell r="N2502" t="str">
            <v>JABATAN OBSTETRIK DAN GINEKOLOGI</v>
          </cell>
          <cell r="O2502"/>
          <cell r="P2502"/>
          <cell r="Q2502">
            <v>19266</v>
          </cell>
        </row>
        <row r="2503">
          <cell r="E2503" t="str">
            <v>KKM/JKN/HSA/10-05-01/H/15/3917</v>
          </cell>
          <cell r="F2503" t="str">
            <v>Laboratory</v>
          </cell>
          <cell r="G2503" t="str">
            <v>Basic</v>
          </cell>
          <cell r="H2503" t="str">
            <v>Crimpers</v>
          </cell>
          <cell r="I2503" t="str">
            <v>STERILE TUBING WELDER</v>
          </cell>
          <cell r="J2503" t="str">
            <v>16-463</v>
          </cell>
          <cell r="K2503" t="str">
            <v>TERUMO</v>
          </cell>
          <cell r="L2503" t="str">
            <v>TSCD II</v>
          </cell>
          <cell r="M2503"/>
          <cell r="N2503" t="str">
            <v>JABATAN PATOLOGI</v>
          </cell>
          <cell r="O2503"/>
          <cell r="P2503"/>
          <cell r="Q2503">
            <v>36279</v>
          </cell>
        </row>
        <row r="2504">
          <cell r="E2504" t="str">
            <v>KKM/JKN/HSA/10-05-01/H/20/269</v>
          </cell>
          <cell r="F2504" t="str">
            <v>Diagnostic</v>
          </cell>
          <cell r="G2504" t="str">
            <v>Intermediate</v>
          </cell>
          <cell r="H2504" t="str">
            <v>Physiologic Monitoring Systems, Acute Care</v>
          </cell>
          <cell r="I2504" t="str">
            <v>PATIENT MONITORING EQUIPMENT</v>
          </cell>
          <cell r="J2504" t="str">
            <v>12-647</v>
          </cell>
          <cell r="K2504" t="str">
            <v>MINDRAY</v>
          </cell>
          <cell r="L2504" t="str">
            <v>IPM 12</v>
          </cell>
          <cell r="M2504"/>
          <cell r="N2504" t="str">
            <v>JABATAN ANESTESIOLOGI DAN RAWATAN RAPI</v>
          </cell>
          <cell r="O2504"/>
          <cell r="P2504"/>
          <cell r="Q2504">
            <v>19200</v>
          </cell>
        </row>
        <row r="2505">
          <cell r="E2505" t="str">
            <v>KKM/JKN/HSA/10-05-01/H/20/270</v>
          </cell>
          <cell r="F2505" t="str">
            <v>Diagnostic</v>
          </cell>
          <cell r="G2505" t="str">
            <v>Intermediate</v>
          </cell>
          <cell r="H2505" t="str">
            <v>Physiologic Monitoring Systems, Acute Care</v>
          </cell>
          <cell r="I2505" t="str">
            <v>PATIENT MONITORING EQUIPMENT</v>
          </cell>
          <cell r="J2505" t="str">
            <v>12-647</v>
          </cell>
          <cell r="K2505" t="str">
            <v>MINDRAY</v>
          </cell>
          <cell r="L2505" t="str">
            <v>IPM 12</v>
          </cell>
          <cell r="M2505"/>
          <cell r="N2505" t="str">
            <v>JABATAN ANESTESIOLOGI DAN RAWATAN RAPI</v>
          </cell>
          <cell r="O2505"/>
          <cell r="P2505"/>
          <cell r="Q2505">
            <v>19200</v>
          </cell>
        </row>
        <row r="2506">
          <cell r="E2506" t="str">
            <v>KKM/JKN/HSA/10-05-01/H/20/271</v>
          </cell>
          <cell r="F2506" t="str">
            <v>Diagnostic</v>
          </cell>
          <cell r="G2506" t="str">
            <v>Intermediate</v>
          </cell>
          <cell r="H2506" t="str">
            <v>Physiologic Monitoring Systems, Acute Care</v>
          </cell>
          <cell r="I2506" t="str">
            <v>PATIENT MONITORING EQUIPMENT</v>
          </cell>
          <cell r="J2506" t="str">
            <v>12-647</v>
          </cell>
          <cell r="K2506" t="str">
            <v>MINDRAY</v>
          </cell>
          <cell r="L2506" t="str">
            <v>IPM 12</v>
          </cell>
          <cell r="M2506"/>
          <cell r="N2506" t="str">
            <v>JABATAN ANESTESIOLOGI DAN RAWATAN RAPI</v>
          </cell>
          <cell r="O2506"/>
          <cell r="P2506"/>
          <cell r="Q2506">
            <v>19200</v>
          </cell>
        </row>
        <row r="2507">
          <cell r="E2507" t="str">
            <v>KKM/JKN/HSA/10-05-01/H/22/147</v>
          </cell>
          <cell r="F2507" t="str">
            <v>Therapeutic</v>
          </cell>
          <cell r="G2507" t="str">
            <v>Intermediate</v>
          </cell>
          <cell r="H2507" t="str">
            <v>Defibrillators, External, Manual</v>
          </cell>
          <cell r="I2507" t="str">
            <v>DEFIBRILLATOR</v>
          </cell>
          <cell r="J2507" t="str">
            <v>11-134</v>
          </cell>
          <cell r="K2507" t="str">
            <v>CU MEDICAL</v>
          </cell>
          <cell r="L2507" t="str">
            <v>CU-HD1</v>
          </cell>
          <cell r="M2507"/>
          <cell r="N2507" t="str">
            <v>JABATAN ANESTESIOLOGI DAN RAWATAN RAPI</v>
          </cell>
          <cell r="O2507"/>
          <cell r="P2507"/>
          <cell r="Q2507">
            <v>27500</v>
          </cell>
        </row>
        <row r="2508">
          <cell r="E2508" t="str">
            <v>KKM/JKN/HSA/10-05-01/H/15/5085</v>
          </cell>
          <cell r="F2508" t="str">
            <v>Diagnostic</v>
          </cell>
          <cell r="G2508" t="str">
            <v>Intermediate</v>
          </cell>
          <cell r="H2508" t="str">
            <v xml:space="preserve">Electrocardiographs, Multichannel, Interpretative </v>
          </cell>
          <cell r="I2508" t="str">
            <v>ECG</v>
          </cell>
          <cell r="J2508" t="str">
            <v>16-231</v>
          </cell>
          <cell r="K2508" t="str">
            <v>GE HEALTHCARE</v>
          </cell>
          <cell r="L2508" t="str">
            <v>MAC400</v>
          </cell>
          <cell r="M2508"/>
          <cell r="N2508" t="str">
            <v>JABATAN OBSTETRIK DAN GINEKOLOGI</v>
          </cell>
          <cell r="O2508"/>
          <cell r="P2508"/>
          <cell r="Q2508">
            <v>2750</v>
          </cell>
        </row>
        <row r="2509">
          <cell r="E2509" t="str">
            <v>KKM/JKN/HSA/10-05-01/H/22/146</v>
          </cell>
          <cell r="F2509" t="str">
            <v>Therapeutic</v>
          </cell>
          <cell r="G2509" t="str">
            <v>Intermediate</v>
          </cell>
          <cell r="H2509" t="str">
            <v>Defibrillators, External, Manual</v>
          </cell>
          <cell r="I2509" t="str">
            <v>DEFIBRILLATOR</v>
          </cell>
          <cell r="J2509" t="str">
            <v>11-134</v>
          </cell>
          <cell r="K2509" t="str">
            <v>CU MEDICAL</v>
          </cell>
          <cell r="L2509" t="str">
            <v>CU-HD1</v>
          </cell>
          <cell r="M2509"/>
          <cell r="N2509" t="str">
            <v>JABATAN PERUBATAN AM</v>
          </cell>
          <cell r="O2509"/>
          <cell r="P2509"/>
          <cell r="Q2509">
            <v>27500</v>
          </cell>
        </row>
        <row r="2510">
          <cell r="E2510" t="str">
            <v>KKM/JKN/HSA/10-05-01/H/24/2</v>
          </cell>
          <cell r="F2510" t="str">
            <v>Diagnostic</v>
          </cell>
          <cell r="G2510" t="str">
            <v>Intermediate</v>
          </cell>
          <cell r="H2510" t="str">
            <v>Oximeters, Pulse</v>
          </cell>
          <cell r="I2510" t="str">
            <v>RESPIRATORY MONITORING</v>
          </cell>
          <cell r="J2510" t="str">
            <v>17-148</v>
          </cell>
          <cell r="K2510" t="str">
            <v>MASIMO</v>
          </cell>
          <cell r="L2510" t="str">
            <v>RAD-97</v>
          </cell>
          <cell r="M2510"/>
          <cell r="N2510" t="str">
            <v>JABATAN PEDIATRIK</v>
          </cell>
          <cell r="O2510"/>
          <cell r="P2510"/>
          <cell r="Q2510">
            <v>9990</v>
          </cell>
        </row>
        <row r="2511">
          <cell r="E2511" t="str">
            <v>KKM/JKN/HSA/10-05-01/H/24/3</v>
          </cell>
          <cell r="F2511" t="str">
            <v>Diagnostic</v>
          </cell>
          <cell r="G2511" t="str">
            <v>Intermediate</v>
          </cell>
          <cell r="H2511" t="str">
            <v>Oximeters, Pulse</v>
          </cell>
          <cell r="I2511" t="str">
            <v>RESPIRATORY MONITORING</v>
          </cell>
          <cell r="J2511" t="str">
            <v>17-148</v>
          </cell>
          <cell r="K2511" t="str">
            <v>MASIMO</v>
          </cell>
          <cell r="L2511" t="str">
            <v>RAD-97</v>
          </cell>
          <cell r="M2511"/>
          <cell r="N2511" t="str">
            <v>JABATAN PEDIATRIK</v>
          </cell>
          <cell r="O2511"/>
          <cell r="P2511"/>
          <cell r="Q2511">
            <v>9990</v>
          </cell>
        </row>
        <row r="2512">
          <cell r="E2512" t="str">
            <v>KKM/JKN/HSA/10-05-01/H/22/139</v>
          </cell>
          <cell r="F2512" t="str">
            <v>Therapeutic</v>
          </cell>
          <cell r="G2512" t="str">
            <v>Intermediate</v>
          </cell>
          <cell r="H2512" t="str">
            <v>Humidifiers, Heated</v>
          </cell>
          <cell r="I2512" t="str">
            <v>RESPIRATORY HUMIDIFIER</v>
          </cell>
          <cell r="J2512" t="str">
            <v>12-050</v>
          </cell>
          <cell r="K2512" t="str">
            <v>BMC MEDICAL</v>
          </cell>
          <cell r="L2512" t="str">
            <v>H-80A</v>
          </cell>
          <cell r="M2512"/>
          <cell r="N2512" t="str">
            <v>JABATAN PEDIATRIK</v>
          </cell>
          <cell r="O2512"/>
          <cell r="P2512"/>
          <cell r="Q2512">
            <v>21000</v>
          </cell>
        </row>
        <row r="2513">
          <cell r="E2513" t="str">
            <v>KKM/JKN/HSA/10-05-01/H/21/290</v>
          </cell>
          <cell r="F2513" t="str">
            <v>Therapeutic</v>
          </cell>
          <cell r="G2513" t="str">
            <v>Basic</v>
          </cell>
          <cell r="H2513" t="str">
            <v>Phototherapy Units, Visible Light, Hyperbilirubinemia</v>
          </cell>
          <cell r="I2513" t="str">
            <v>PHOTOTHERAPY MACHINE (LAMP)</v>
          </cell>
          <cell r="J2513" t="str">
            <v>17-515</v>
          </cell>
          <cell r="K2513" t="str">
            <v>ISTANBUL MEDIKAL</v>
          </cell>
          <cell r="L2513" t="str">
            <v>PHOTOTHERAPY UNIT</v>
          </cell>
          <cell r="M2513"/>
          <cell r="N2513" t="str">
            <v>JABATAN PEDIATRIK</v>
          </cell>
          <cell r="O2513"/>
          <cell r="P2513"/>
          <cell r="Q2513">
            <v>7100</v>
          </cell>
        </row>
        <row r="2514">
          <cell r="E2514" t="str">
            <v>KKM/JKN/HSA/10-05-01/H/21/291</v>
          </cell>
          <cell r="F2514" t="str">
            <v>Therapeutic</v>
          </cell>
          <cell r="G2514" t="str">
            <v>Basic</v>
          </cell>
          <cell r="H2514" t="str">
            <v>Phototherapy Units, Visible Light, Hyperbilirubinemia</v>
          </cell>
          <cell r="I2514" t="str">
            <v>PHOTOTHERAPY MACHINE (LAMP)</v>
          </cell>
          <cell r="J2514" t="str">
            <v>17-515</v>
          </cell>
          <cell r="K2514" t="str">
            <v>ISTANBUL MEDIKAL</v>
          </cell>
          <cell r="L2514" t="str">
            <v>PHOTOTHERAPY UNIT</v>
          </cell>
          <cell r="M2514"/>
          <cell r="N2514" t="str">
            <v>JABATAN PEDIATRIK</v>
          </cell>
          <cell r="O2514"/>
          <cell r="P2514"/>
          <cell r="Q2514">
            <v>7100</v>
          </cell>
        </row>
        <row r="2515">
          <cell r="E2515" t="str">
            <v>KKM/JKN/HSA/10-05-01/H/21/310</v>
          </cell>
          <cell r="F2515" t="str">
            <v>Diagnostic</v>
          </cell>
          <cell r="G2515" t="str">
            <v>Intermediate</v>
          </cell>
          <cell r="H2515" t="str">
            <v>Physiologic Monitoring Systems, Acute Care</v>
          </cell>
          <cell r="I2515" t="str">
            <v>PATIENT MONITORING</v>
          </cell>
          <cell r="J2515" t="str">
            <v>12-647</v>
          </cell>
          <cell r="K2515" t="str">
            <v>BETTERLIFE MEDICAL TECHNOLOGY</v>
          </cell>
          <cell r="L2515" t="str">
            <v>IRIS 200 VITAL SIGN</v>
          </cell>
          <cell r="M2515"/>
          <cell r="N2515" t="str">
            <v>JABATAN ANAESTHESIA</v>
          </cell>
          <cell r="O2515"/>
          <cell r="P2515"/>
          <cell r="Q2515">
            <v>5066</v>
          </cell>
        </row>
        <row r="2516">
          <cell r="E2516" t="str">
            <v>KKM/JKN/HSA/10-05-01/H/22/11</v>
          </cell>
          <cell r="F2516" t="str">
            <v>Therapeutic</v>
          </cell>
          <cell r="G2516" t="str">
            <v>Intermediate</v>
          </cell>
          <cell r="H2516" t="str">
            <v>Infusion Pumps, General-Purpose</v>
          </cell>
          <cell r="I2516" t="str">
            <v>INFUSION PUMP</v>
          </cell>
          <cell r="J2516" t="str">
            <v>13-215</v>
          </cell>
          <cell r="K2516" t="str">
            <v>TOP</v>
          </cell>
          <cell r="L2516" t="str">
            <v>TOP 2300</v>
          </cell>
          <cell r="M2516"/>
          <cell r="N2516" t="str">
            <v>JABATAN ORTOPEDIK</v>
          </cell>
          <cell r="O2516"/>
          <cell r="P2516"/>
          <cell r="Q2516">
            <v>3800</v>
          </cell>
        </row>
        <row r="2517">
          <cell r="E2517" t="str">
            <v>KKM/JKN/HSA/10-05-01/H/22/12</v>
          </cell>
          <cell r="F2517" t="str">
            <v>Therapeutic</v>
          </cell>
          <cell r="G2517" t="str">
            <v>Intermediate</v>
          </cell>
          <cell r="H2517" t="str">
            <v>Infusion Pumps, General-Purpose</v>
          </cell>
          <cell r="I2517" t="str">
            <v>INFUSION PUMP</v>
          </cell>
          <cell r="J2517" t="str">
            <v>13-215</v>
          </cell>
          <cell r="K2517" t="str">
            <v>TOP</v>
          </cell>
          <cell r="L2517" t="str">
            <v>TOP 2300</v>
          </cell>
          <cell r="M2517"/>
          <cell r="N2517" t="str">
            <v>JABATAN ORTOPEDIK</v>
          </cell>
          <cell r="O2517"/>
          <cell r="P2517"/>
          <cell r="Q2517">
            <v>3800</v>
          </cell>
        </row>
        <row r="2518">
          <cell r="E2518" t="str">
            <v>KKM/JKN/HSA/10-05-01/H/22/13</v>
          </cell>
          <cell r="F2518" t="str">
            <v>Therapeutic</v>
          </cell>
          <cell r="G2518" t="str">
            <v>Intermediate</v>
          </cell>
          <cell r="H2518" t="str">
            <v>Infusion Pumps, General-Purpose</v>
          </cell>
          <cell r="I2518" t="str">
            <v>INFUSION PUMP</v>
          </cell>
          <cell r="J2518" t="str">
            <v>13-215</v>
          </cell>
          <cell r="K2518" t="str">
            <v>TOP</v>
          </cell>
          <cell r="L2518" t="str">
            <v>TOP 2300</v>
          </cell>
          <cell r="M2518"/>
          <cell r="N2518" t="str">
            <v>JABATAN ORTOPEDIK</v>
          </cell>
          <cell r="O2518"/>
          <cell r="P2518"/>
          <cell r="Q2518">
            <v>3800</v>
          </cell>
        </row>
        <row r="2519">
          <cell r="E2519" t="str">
            <v>KKM/JKN/HSA/10-05-01/H/22/14</v>
          </cell>
          <cell r="F2519" t="str">
            <v>Therapeutic</v>
          </cell>
          <cell r="G2519" t="str">
            <v>Intermediate</v>
          </cell>
          <cell r="H2519" t="str">
            <v>Infusion Pumps, General-Purpose</v>
          </cell>
          <cell r="I2519" t="str">
            <v>INFUSION PUMP</v>
          </cell>
          <cell r="J2519" t="str">
            <v>13-215</v>
          </cell>
          <cell r="K2519" t="str">
            <v>TOP</v>
          </cell>
          <cell r="L2519" t="str">
            <v>TOP 2300</v>
          </cell>
          <cell r="M2519"/>
          <cell r="N2519" t="str">
            <v>JABATAN ORTOPEDIK</v>
          </cell>
          <cell r="O2519"/>
          <cell r="P2519"/>
          <cell r="Q2519">
            <v>3800</v>
          </cell>
        </row>
        <row r="2520">
          <cell r="E2520" t="str">
            <v>KKM/JKN/HSA/10-05-01/H/22/15</v>
          </cell>
          <cell r="F2520" t="str">
            <v>Therapeutic</v>
          </cell>
          <cell r="G2520" t="str">
            <v>Intermediate</v>
          </cell>
          <cell r="H2520" t="str">
            <v>Infusion Pumps, General-Purpose</v>
          </cell>
          <cell r="I2520" t="str">
            <v>INFUSION PUMP</v>
          </cell>
          <cell r="J2520" t="str">
            <v>13-215</v>
          </cell>
          <cell r="K2520" t="str">
            <v>TOP</v>
          </cell>
          <cell r="L2520" t="str">
            <v>TOP 2300</v>
          </cell>
          <cell r="M2520"/>
          <cell r="N2520" t="str">
            <v>JABATAN ORTOPEDIK</v>
          </cell>
          <cell r="O2520"/>
          <cell r="P2520"/>
          <cell r="Q2520">
            <v>3800</v>
          </cell>
        </row>
        <row r="2521">
          <cell r="E2521" t="str">
            <v>KKM/JKN/HSA/10-05-01/H/15/5274</v>
          </cell>
          <cell r="F2521" t="str">
            <v>Therapeutic</v>
          </cell>
          <cell r="G2521" t="str">
            <v>Intermediate</v>
          </cell>
          <cell r="H2521" t="str">
            <v>Hand Drills, Surgical</v>
          </cell>
          <cell r="I2521" t="str">
            <v>PNEUMATIC HIGH SPEED DRILL</v>
          </cell>
          <cell r="J2521" t="str">
            <v>17-954</v>
          </cell>
          <cell r="K2521" t="str">
            <v>ANSPACH</v>
          </cell>
          <cell r="L2521" t="str">
            <v>DRILL NEURO SET</v>
          </cell>
          <cell r="M2521"/>
          <cell r="N2521" t="str">
            <v>PAKAR PERUBATAN SURGERI AM</v>
          </cell>
          <cell r="O2521"/>
          <cell r="P2521"/>
          <cell r="Q2521">
            <v>117000</v>
          </cell>
        </row>
        <row r="2522">
          <cell r="E2522" t="str">
            <v>KKM/JKN/HSA/10-05-01/H/15/21/230</v>
          </cell>
          <cell r="F2522" t="str">
            <v>Therapeutic</v>
          </cell>
          <cell r="G2522" t="str">
            <v>Intermediate</v>
          </cell>
          <cell r="H2522" t="str">
            <v>Infusion Pumps, General-Purpose</v>
          </cell>
          <cell r="I2522" t="str">
            <v>INFUSION PUMP</v>
          </cell>
          <cell r="J2522" t="str">
            <v>13-215</v>
          </cell>
          <cell r="K2522" t="str">
            <v>MEDCAPTAIN</v>
          </cell>
          <cell r="L2522" t="str">
            <v>SYS 6010A</v>
          </cell>
          <cell r="M2522"/>
          <cell r="N2522" t="str">
            <v>JABATAN PERUBATAN OBSTETRIK &amp; GINEKOLOGI</v>
          </cell>
          <cell r="O2522"/>
          <cell r="P2522"/>
          <cell r="Q2522">
            <v>2400</v>
          </cell>
        </row>
        <row r="2523">
          <cell r="E2523" t="str">
            <v>KKM/JKN/HAS/10-05-01/R/20/179</v>
          </cell>
          <cell r="F2523" t="str">
            <v>Diagnostic</v>
          </cell>
          <cell r="G2523" t="str">
            <v>Intermediate</v>
          </cell>
          <cell r="H2523" t="str">
            <v>Physiologic Monitoring Systems, Acute Care Total</v>
          </cell>
          <cell r="I2523" t="str">
            <v>SPOT VITAL SIGN (NIBP)</v>
          </cell>
          <cell r="J2523" t="str">
            <v>12-647</v>
          </cell>
          <cell r="K2523" t="str">
            <v>PHILIPS</v>
          </cell>
          <cell r="L2523" t="str">
            <v>SURESIGNS VS2+</v>
          </cell>
          <cell r="M2523"/>
          <cell r="N2523" t="str">
            <v>JABATAN KECEMASAN DAN TRAUMA</v>
          </cell>
          <cell r="O2523"/>
          <cell r="P2523"/>
          <cell r="Q2523">
            <v>1190</v>
          </cell>
        </row>
        <row r="2524">
          <cell r="E2524" t="str">
            <v>KKM/JKN/HAS/10-05-01/R/20/180</v>
          </cell>
          <cell r="F2524" t="str">
            <v>Diagnostic</v>
          </cell>
          <cell r="G2524" t="str">
            <v>Intermediate</v>
          </cell>
          <cell r="H2524" t="str">
            <v>Physiologic Monitoring Systems, Acute Care Total</v>
          </cell>
          <cell r="I2524" t="str">
            <v>SPOT VITAL SIGN (NIBP)</v>
          </cell>
          <cell r="J2524" t="str">
            <v>12-647</v>
          </cell>
          <cell r="K2524" t="str">
            <v>PHILIPS</v>
          </cell>
          <cell r="L2524" t="str">
            <v>SURESIGNS VS2+</v>
          </cell>
          <cell r="M2524"/>
          <cell r="N2524" t="str">
            <v>JABATAN KECEMASAN DAN TRAUMA</v>
          </cell>
          <cell r="O2524"/>
          <cell r="P2524"/>
          <cell r="Q2524">
            <v>1190</v>
          </cell>
        </row>
        <row r="2525">
          <cell r="E2525" t="str">
            <v>KKM/JKN/HAS/10-05-01/R/20/181</v>
          </cell>
          <cell r="F2525" t="str">
            <v>Diagnostic</v>
          </cell>
          <cell r="G2525" t="str">
            <v>Intermediate</v>
          </cell>
          <cell r="H2525" t="str">
            <v>Physiologic Monitoring Systems, Acute Care Total</v>
          </cell>
          <cell r="I2525" t="str">
            <v>SPOT VITAL SIGN (NIBP)</v>
          </cell>
          <cell r="J2525" t="str">
            <v>12-647</v>
          </cell>
          <cell r="K2525" t="str">
            <v>PHILIPS</v>
          </cell>
          <cell r="L2525" t="str">
            <v>SURESIGNS VS2+</v>
          </cell>
          <cell r="M2525"/>
          <cell r="N2525" t="str">
            <v>JABATAN KECEMASAN DAN TRAUMA</v>
          </cell>
          <cell r="O2525"/>
          <cell r="P2525"/>
          <cell r="Q2525">
            <v>1190</v>
          </cell>
        </row>
        <row r="2526">
          <cell r="E2526" t="str">
            <v>KKM/JKN/HAS/10-05-01/R/20/182</v>
          </cell>
          <cell r="F2526" t="str">
            <v>Diagnostic</v>
          </cell>
          <cell r="G2526" t="str">
            <v>Intermediate</v>
          </cell>
          <cell r="H2526" t="str">
            <v>Physiologic Monitoring Systems, Acute Care Total</v>
          </cell>
          <cell r="I2526" t="str">
            <v>SPOT VITAL SIGN (NIBP)</v>
          </cell>
          <cell r="J2526" t="str">
            <v>12-647</v>
          </cell>
          <cell r="K2526" t="str">
            <v>PHILIPS</v>
          </cell>
          <cell r="L2526" t="str">
            <v>SURESIGNS VS2+</v>
          </cell>
          <cell r="M2526"/>
          <cell r="N2526" t="str">
            <v>JABATAN KECEMASAN DAN TRAUMA</v>
          </cell>
          <cell r="O2526"/>
          <cell r="P2526"/>
          <cell r="Q2526">
            <v>1190</v>
          </cell>
        </row>
        <row r="2527">
          <cell r="E2527" t="str">
            <v>KKM/JKN/HAS/10-05-01/R/20/183</v>
          </cell>
          <cell r="F2527" t="str">
            <v>Diagnostic</v>
          </cell>
          <cell r="G2527" t="str">
            <v>Intermediate</v>
          </cell>
          <cell r="H2527" t="str">
            <v>Physiologic Monitoring Systems, Acute Care Total</v>
          </cell>
          <cell r="I2527" t="str">
            <v>SPOT VITAL SIGN (NIBP)</v>
          </cell>
          <cell r="J2527" t="str">
            <v>12-647</v>
          </cell>
          <cell r="K2527" t="str">
            <v>PHILIPS</v>
          </cell>
          <cell r="L2527" t="str">
            <v>SURESIGNS VS2+</v>
          </cell>
          <cell r="M2527"/>
          <cell r="N2527" t="str">
            <v>JABATAN KECEMASAN DAN TRAUMA</v>
          </cell>
          <cell r="O2527"/>
          <cell r="P2527"/>
          <cell r="Q2527">
            <v>1190</v>
          </cell>
        </row>
        <row r="2528">
          <cell r="E2528" t="str">
            <v>KKM/JKN/HSA/10-05-01/H/24/9</v>
          </cell>
          <cell r="F2528" t="str">
            <v>Diagnostic</v>
          </cell>
          <cell r="G2528" t="str">
            <v>Intermediate</v>
          </cell>
          <cell r="H2528" t="str">
            <v>Physiologic Monitoring Systems, Acute Care Total</v>
          </cell>
          <cell r="I2528" t="str">
            <v>SPOT VITAL SIGN</v>
          </cell>
          <cell r="J2528"/>
          <cell r="K2528" t="str">
            <v>MINDRAY</v>
          </cell>
          <cell r="L2528" t="str">
            <v>EPM10</v>
          </cell>
          <cell r="M2528"/>
          <cell r="N2528" t="str">
            <v>UNIT HEMODIALYSIS</v>
          </cell>
          <cell r="O2528"/>
          <cell r="P2528"/>
          <cell r="Q2528">
            <v>11000</v>
          </cell>
        </row>
        <row r="2529">
          <cell r="E2529" t="str">
            <v>KKM/JKN/HSA/10-05-01/H/24/14</v>
          </cell>
          <cell r="F2529" t="str">
            <v>Diagnostic</v>
          </cell>
          <cell r="G2529" t="str">
            <v>Basic</v>
          </cell>
          <cell r="H2529" t="str">
            <v>Auditory Functioning Screening Devices, Newborn</v>
          </cell>
          <cell r="I2529" t="str">
            <v>OTOACOUSTIC EMISSION (OAE) SCREENING SYSTEM</v>
          </cell>
          <cell r="J2529" t="str">
            <v>20-167</v>
          </cell>
          <cell r="K2529" t="str">
            <v>INTERACOUSTICS</v>
          </cell>
          <cell r="L2529" t="str">
            <v>OTOREAD SCREENING DPOAE</v>
          </cell>
          <cell r="M2529" t="str">
            <v>IA3008558</v>
          </cell>
          <cell r="N2529" t="str">
            <v>JABATAN OTORINOLARINGOLOGI (ORL)</v>
          </cell>
          <cell r="O2529" t="str">
            <v>Klinik Otorinolaringologi (ORL)</v>
          </cell>
          <cell r="P2529"/>
          <cell r="Q2529">
            <v>17000</v>
          </cell>
        </row>
        <row r="2530">
          <cell r="E2530" t="str">
            <v>KKM/JKN/HSA/10-05-01/H/24/21</v>
          </cell>
          <cell r="F2530" t="str">
            <v>Therapeutic</v>
          </cell>
          <cell r="G2530" t="str">
            <v>Basic</v>
          </cell>
          <cell r="H2530" t="str">
            <v>Flint Therapy Unit (No UMDNS)</v>
          </cell>
          <cell r="I2530" t="str">
            <v>FLINT THERAPY UNIT</v>
          </cell>
          <cell r="J2530" t="str">
            <v>NO UMDNS</v>
          </cell>
          <cell r="K2530" t="str">
            <v>FLINT REHABILITATION DEVICES LLC</v>
          </cell>
          <cell r="L2530" t="str">
            <v>FM11</v>
          </cell>
          <cell r="M2530" t="str">
            <v>FM2024090024</v>
          </cell>
          <cell r="N2530" t="str">
            <v>JABATAN REHABILITASI</v>
          </cell>
          <cell r="O2530"/>
          <cell r="P2530"/>
          <cell r="Q2530">
            <v>7600</v>
          </cell>
        </row>
        <row r="2531">
          <cell r="E2531" t="str">
            <v>KKM/JKN/HSA/10-05-01/R/24/106</v>
          </cell>
          <cell r="F2531" t="str">
            <v>Therapeutic</v>
          </cell>
          <cell r="G2531" t="str">
            <v>Basic</v>
          </cell>
          <cell r="H2531" t="str">
            <v>Goniometers</v>
          </cell>
          <cell r="I2531" t="str">
            <v>DIGITAL GONIOMETER</v>
          </cell>
          <cell r="J2531">
            <v>11897</v>
          </cell>
          <cell r="K2531" t="str">
            <v>HALO</v>
          </cell>
          <cell r="L2531" t="str">
            <v>DIGITAL GONIOMETER</v>
          </cell>
          <cell r="M2531" t="str">
            <v>HG1DBU2229</v>
          </cell>
          <cell r="N2531" t="str">
            <v>JABATAN REHABILITASI</v>
          </cell>
          <cell r="O2531"/>
          <cell r="P2531"/>
          <cell r="Q2531">
            <v>1600</v>
          </cell>
        </row>
        <row r="2532">
          <cell r="E2532" t="str">
            <v>KKM/JKNS/HSA/10-05-01/H/24/26</v>
          </cell>
          <cell r="F2532" t="str">
            <v>Radiology</v>
          </cell>
          <cell r="G2532" t="str">
            <v>Intermediate</v>
          </cell>
          <cell r="H2532" t="str">
            <v>Scanning Systems, Laser, Optical Tomography</v>
          </cell>
          <cell r="I2532" t="str">
            <v>OPTICAL COHERENCE TOMOGRAPHY MACHINE</v>
          </cell>
          <cell r="J2532" t="str">
            <v>18-191</v>
          </cell>
          <cell r="K2532" t="str">
            <v>HEIDELBERG</v>
          </cell>
          <cell r="L2532" t="str">
            <v>OCT SPECTRALIS</v>
          </cell>
          <cell r="M2532" t="str">
            <v>SPEC-CAM-12393-S2610</v>
          </cell>
          <cell r="N2532" t="str">
            <v>JABATAN OFTALMOLOGI</v>
          </cell>
          <cell r="O2532" t="str">
            <v>OPHTHAL CLINIC</v>
          </cell>
          <cell r="P2532"/>
          <cell r="Q2532">
            <v>471485.56</v>
          </cell>
        </row>
        <row r="2533">
          <cell r="E2533" t="str">
            <v>KKM/JKNS/HSA/10-05-01/H/24/15</v>
          </cell>
          <cell r="F2533" t="str">
            <v>Diagnostic</v>
          </cell>
          <cell r="G2533" t="str">
            <v>Basic</v>
          </cell>
          <cell r="H2533" t="str">
            <v>Auditory Functioning Screening Devices, Newborn</v>
          </cell>
          <cell r="I2533" t="str">
            <v>OTOACOUSTIC EMISSION (OAE) SCREENING SYSTEM</v>
          </cell>
          <cell r="J2533" t="str">
            <v>20-167</v>
          </cell>
          <cell r="K2533" t="str">
            <v>GRASON-STADLER</v>
          </cell>
          <cell r="L2533" t="str">
            <v>GSI CORTI</v>
          </cell>
          <cell r="M2533" t="str">
            <v>G11010317</v>
          </cell>
          <cell r="N2533" t="str">
            <v>JABATAN OTORINOLARINGOLOGI (ORL)</v>
          </cell>
          <cell r="O2533" t="str">
            <v>Klinik Otorinolaringologi (ORL)</v>
          </cell>
          <cell r="P2533"/>
          <cell r="Q2533">
            <v>19900</v>
          </cell>
        </row>
        <row r="2534">
          <cell r="E2534" t="str">
            <v>KKM/JKNS/HSA/10-05-01/H/24/16</v>
          </cell>
          <cell r="F2534" t="str">
            <v>Diagnostic</v>
          </cell>
          <cell r="G2534" t="str">
            <v>Basic</v>
          </cell>
          <cell r="H2534" t="str">
            <v>Auditory Functioning Screening Devices, Newborn</v>
          </cell>
          <cell r="I2534" t="str">
            <v>OTOACOUSTIC EMISSION (OAE) SCREENING SYSTEM</v>
          </cell>
          <cell r="J2534" t="str">
            <v>20-167</v>
          </cell>
          <cell r="K2534" t="str">
            <v>GRASON-STADLER</v>
          </cell>
          <cell r="L2534" t="str">
            <v>GSI CORTI</v>
          </cell>
          <cell r="M2534" t="str">
            <v>G11010318</v>
          </cell>
          <cell r="N2534" t="str">
            <v>JABATAN OTORINOLARINGOLOGI (ORL)</v>
          </cell>
          <cell r="O2534" t="str">
            <v>Klinik Otorinolaringologi (ORL)</v>
          </cell>
          <cell r="P2534"/>
          <cell r="Q2534">
            <v>19900</v>
          </cell>
        </row>
        <row r="2535">
          <cell r="E2535" t="str">
            <v>KKM/JKNS/HSA/10-05-01/H/24/25</v>
          </cell>
          <cell r="F2535" t="str">
            <v>Diagnostic</v>
          </cell>
          <cell r="G2535" t="str">
            <v>Intermediate</v>
          </cell>
          <cell r="H2535" t="str">
            <v>Lensometer (No UMDNS)</v>
          </cell>
          <cell r="I2535" t="str">
            <v>LENSOMETER</v>
          </cell>
          <cell r="J2535" t="str">
            <v>NO UMDNS</v>
          </cell>
          <cell r="K2535" t="str">
            <v>HUVITZ</v>
          </cell>
          <cell r="L2535" t="str">
            <v>HLM-700P</v>
          </cell>
          <cell r="M2535" t="str">
            <v>7LM00P23D0044</v>
          </cell>
          <cell r="N2535" t="str">
            <v>JABATAN OFTALMOLOGI</v>
          </cell>
          <cell r="O2535"/>
          <cell r="P2535"/>
          <cell r="Q2535">
            <v>10000</v>
          </cell>
        </row>
        <row r="2536">
          <cell r="E2536" t="str">
            <v>KKM/JKNS/HSA/10-05-01/H/24/17</v>
          </cell>
          <cell r="F2536" t="str">
            <v>Diagnostic</v>
          </cell>
          <cell r="G2536" t="str">
            <v>Intermediate</v>
          </cell>
          <cell r="H2536" t="str">
            <v>Analyser, Physiologic Middle Ear</v>
          </cell>
          <cell r="I2536" t="str">
            <v>EAR ANALYSER</v>
          </cell>
          <cell r="J2536">
            <v>15634</v>
          </cell>
          <cell r="K2536" t="str">
            <v>MAICO</v>
          </cell>
          <cell r="L2536" t="str">
            <v>EASYSCREEN</v>
          </cell>
          <cell r="M2536" t="str">
            <v>7LM00P23D0044</v>
          </cell>
          <cell r="N2536" t="str">
            <v>JABATAN OTORINOLARINGOLOGI (ORL)</v>
          </cell>
          <cell r="O2536" t="str">
            <v>OPHTHAL CLINIC</v>
          </cell>
          <cell r="P2536"/>
          <cell r="Q2536">
            <v>49999</v>
          </cell>
        </row>
        <row r="2537">
          <cell r="E2537" t="str">
            <v>KKM/JKNS/HSA/10-05-01/H/22/67</v>
          </cell>
          <cell r="F2537" t="str">
            <v>Diagnostic</v>
          </cell>
          <cell r="G2537" t="str">
            <v>Basic</v>
          </cell>
          <cell r="H2537" t="str">
            <v>Analyzers, Point of Care, Breath, Carbon Monoxide</v>
          </cell>
          <cell r="I2537" t="str">
            <v>PICO SMOKERLYZER</v>
          </cell>
          <cell r="J2537" t="str">
            <v>20-198</v>
          </cell>
          <cell r="K2537" t="str">
            <v>BEDFONT SCIENTIFIC</v>
          </cell>
          <cell r="L2537" t="str">
            <v>PiCO TM</v>
          </cell>
          <cell r="M2537">
            <v>15618</v>
          </cell>
          <cell r="N2537" t="str">
            <v>UNIT KESIHATAN AWAN</v>
          </cell>
          <cell r="O2537" t="str">
            <v>Unit Kesihatan Awam/Pendidikan Kesihatan</v>
          </cell>
          <cell r="P2537" t="str">
            <v>HM</v>
          </cell>
          <cell r="Q2537">
            <v>3580</v>
          </cell>
        </row>
      </sheetData>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HEDULE PPM 2026"/>
      <sheetName val="PPM JAN 2026"/>
    </sheetNames>
    <sheetDataSet>
      <sheetData sheetId="0">
        <row r="1">
          <cell r="E1"/>
          <cell r="F1"/>
          <cell r="G1"/>
          <cell r="H1"/>
          <cell r="I1"/>
          <cell r="J1"/>
        </row>
        <row r="2">
          <cell r="D2"/>
          <cell r="E2" t="str">
            <v>PPM SCHEDULE BEMS</v>
          </cell>
          <cell r="F2"/>
          <cell r="G2"/>
          <cell r="H2"/>
          <cell r="I2"/>
          <cell r="J2"/>
        </row>
        <row r="3">
          <cell r="D3"/>
          <cell r="E3" t="str">
            <v>PLAN PREVENTIVE MAINTENANCE 2026</v>
          </cell>
          <cell r="F3"/>
          <cell r="G3"/>
          <cell r="H3"/>
          <cell r="I3"/>
          <cell r="J3"/>
          <cell r="K3"/>
          <cell r="L3"/>
          <cell r="M3"/>
        </row>
        <row r="4">
          <cell r="D4"/>
          <cell r="E4" t="str">
            <v>BIOMEDICAL ENGINEERING MAINTENANCE SERVICES (BEMS)</v>
          </cell>
          <cell r="F4"/>
          <cell r="G4"/>
          <cell r="H4"/>
          <cell r="I4"/>
          <cell r="J4"/>
          <cell r="K4"/>
          <cell r="L4"/>
          <cell r="M4"/>
        </row>
        <row r="5">
          <cell r="D5"/>
          <cell r="E5"/>
          <cell r="F5"/>
          <cell r="G5"/>
          <cell r="H5"/>
          <cell r="I5"/>
          <cell r="J5"/>
          <cell r="K5"/>
          <cell r="L5"/>
          <cell r="M5"/>
        </row>
        <row r="6">
          <cell r="D6"/>
          <cell r="E6"/>
          <cell r="F6"/>
          <cell r="G6"/>
          <cell r="H6"/>
          <cell r="I6"/>
          <cell r="J6"/>
          <cell r="K6"/>
          <cell r="L6"/>
          <cell r="M6"/>
        </row>
        <row r="7">
          <cell r="D7" t="str">
            <v>Asset No</v>
          </cell>
          <cell r="E7" t="str">
            <v>Type Description</v>
          </cell>
          <cell r="F7" t="str">
            <v xml:space="preserve">Brand </v>
          </cell>
          <cell r="G7" t="str">
            <v>Model</v>
          </cell>
          <cell r="H7" t="str">
            <v>Serial Number</v>
          </cell>
          <cell r="I7" t="str">
            <v>PPM Frequency</v>
          </cell>
          <cell r="J7" t="str">
            <v>1st PPM 2025</v>
          </cell>
          <cell r="K7" t="str">
            <v>2nd PPM 2025</v>
          </cell>
          <cell r="L7" t="str">
            <v>3rd PPM 2025</v>
          </cell>
          <cell r="M7" t="str">
            <v>4th PPM 2025</v>
          </cell>
          <cell r="N7" t="str">
            <v>Department</v>
          </cell>
          <cell r="O7" t="str">
            <v>User Area</v>
          </cell>
        </row>
        <row r="8">
          <cell r="D8" t="str">
            <v>KKM/JKN/HSA/10-05-01/H/15/2801</v>
          </cell>
          <cell r="E8" t="str">
            <v>ECG (EKG) MACHINE</v>
          </cell>
          <cell r="F8" t="str">
            <v>GE HEALTHCARE</v>
          </cell>
          <cell r="G8" t="str">
            <v>MAC400</v>
          </cell>
          <cell r="H8" t="str">
            <v>SCT11486303PA</v>
          </cell>
          <cell r="I8" t="str">
            <v>ANNUALLY</v>
          </cell>
          <cell r="J8">
            <v>45990</v>
          </cell>
          <cell r="K8"/>
          <cell r="L8"/>
          <cell r="M8"/>
          <cell r="N8" t="str">
            <v>JABATAN KECEMASAN &amp; TRAUMA</v>
          </cell>
          <cell r="O8" t="str">
            <v>Jabatan Kecemasan &amp; Trauma (ED)</v>
          </cell>
        </row>
        <row r="9">
          <cell r="D9" t="str">
            <v>KKM/JKN/HSA/10-05-01/H/21/330</v>
          </cell>
          <cell r="E9" t="str">
            <v>SYRINGE INFUSION PUMP</v>
          </cell>
          <cell r="F9" t="str">
            <v>FRESENIUS KABI</v>
          </cell>
          <cell r="G9" t="str">
            <v>AGILIA SP MC</v>
          </cell>
          <cell r="H9">
            <v>24903753</v>
          </cell>
          <cell r="I9" t="str">
            <v>ANNUALLY</v>
          </cell>
          <cell r="J9">
            <v>45920</v>
          </cell>
          <cell r="K9"/>
          <cell r="L9"/>
          <cell r="M9"/>
          <cell r="N9" t="str">
            <v>JABATAN KECEMASAN &amp; TRAUMA</v>
          </cell>
          <cell r="O9" t="str">
            <v>Jabatan Kecemasan &amp; Trauma (ED)</v>
          </cell>
        </row>
        <row r="10">
          <cell r="D10" t="str">
            <v>KKM/JKN/HSA/10-05-01/H/21/331</v>
          </cell>
          <cell r="E10" t="str">
            <v>SYRINGE INFUSION PUMP</v>
          </cell>
          <cell r="F10" t="str">
            <v>FRESENIUS KABI</v>
          </cell>
          <cell r="G10" t="str">
            <v>AGILIA SP MC</v>
          </cell>
          <cell r="H10" t="str">
            <v>24903754</v>
          </cell>
          <cell r="I10" t="str">
            <v>ANNUALLY</v>
          </cell>
          <cell r="J10">
            <v>45920</v>
          </cell>
          <cell r="K10"/>
          <cell r="L10"/>
          <cell r="M10"/>
          <cell r="N10" t="str">
            <v>JABATAN KECEMASAN &amp; TRAUMA</v>
          </cell>
          <cell r="O10" t="str">
            <v>Jabatan Kecemasan &amp; Trauma (ED)</v>
          </cell>
        </row>
        <row r="11">
          <cell r="D11" t="str">
            <v>KKM/JKN/HSA/10-05-01/H/21/332</v>
          </cell>
          <cell r="E11" t="str">
            <v>SYRINGE INFUSION PUMP</v>
          </cell>
          <cell r="F11" t="str">
            <v>FRESENIUS KABI</v>
          </cell>
          <cell r="G11" t="str">
            <v>AGILIA SP MC</v>
          </cell>
          <cell r="H11">
            <v>24903755</v>
          </cell>
          <cell r="I11" t="str">
            <v>ANNUALLY</v>
          </cell>
          <cell r="J11">
            <v>45920</v>
          </cell>
          <cell r="K11"/>
          <cell r="L11"/>
          <cell r="M11"/>
          <cell r="N11" t="str">
            <v>JABATAN KECEMASAN &amp; TRAUMA</v>
          </cell>
          <cell r="O11" t="str">
            <v>Jabatan Kecemasan &amp; Trauma (ED)</v>
          </cell>
        </row>
        <row r="12">
          <cell r="D12" t="str">
            <v>KKM/JKN/HSA/10-05-01/H/21/333</v>
          </cell>
          <cell r="E12" t="str">
            <v>SYRINGE INFUSION PUMP</v>
          </cell>
          <cell r="F12" t="str">
            <v>FRESENIUS KABI</v>
          </cell>
          <cell r="G12" t="str">
            <v>AGILIA SP MC</v>
          </cell>
          <cell r="H12">
            <v>24903756</v>
          </cell>
          <cell r="I12" t="str">
            <v>ANNUALLY</v>
          </cell>
          <cell r="J12">
            <v>45920</v>
          </cell>
          <cell r="K12"/>
          <cell r="L12"/>
          <cell r="M12"/>
          <cell r="N12" t="str">
            <v>JABATAN KECEMASAN &amp; TRAUMA</v>
          </cell>
          <cell r="O12" t="str">
            <v>Jabatan Kecemasan &amp; Trauma (ED)</v>
          </cell>
        </row>
        <row r="13">
          <cell r="D13" t="str">
            <v>KKM/JKN/HSA/10-05-01/H/21/334</v>
          </cell>
          <cell r="E13" t="str">
            <v>SYRINGE INFUSION PUMP</v>
          </cell>
          <cell r="F13" t="str">
            <v>FRESENIUS KABI</v>
          </cell>
          <cell r="G13" t="str">
            <v>AGILIA SP MC</v>
          </cell>
          <cell r="H13">
            <v>24903757</v>
          </cell>
          <cell r="I13" t="str">
            <v>ANNUALLY</v>
          </cell>
          <cell r="J13">
            <v>45920</v>
          </cell>
          <cell r="K13"/>
          <cell r="L13"/>
          <cell r="M13"/>
          <cell r="N13" t="str">
            <v>JABATAN KECEMASAN &amp; TRAUMA</v>
          </cell>
          <cell r="O13" t="str">
            <v>Jabatan Kecemasan &amp; Trauma (ED)</v>
          </cell>
        </row>
        <row r="14">
          <cell r="D14" t="str">
            <v>KKM/JKN/HSA/10-05-01/R/15/16384</v>
          </cell>
          <cell r="E14" t="str">
            <v>BALANCE ELECTRONIC</v>
          </cell>
          <cell r="F14" t="str">
            <v>SHIMADZU</v>
          </cell>
          <cell r="G14" t="str">
            <v>TX2202L</v>
          </cell>
          <cell r="H14" t="str">
            <v>D517705028</v>
          </cell>
          <cell r="I14" t="str">
            <v>ANNUALLY</v>
          </cell>
          <cell r="J14">
            <v>45878</v>
          </cell>
          <cell r="K14"/>
          <cell r="L14"/>
          <cell r="M14"/>
          <cell r="N14" t="str">
            <v>JABATAN FARMASI</v>
          </cell>
          <cell r="O14" t="str">
            <v>IN PATIENT PHARMACY</v>
          </cell>
        </row>
        <row r="15">
          <cell r="D15" t="str">
            <v>KKM/JKN/HSA/10-05-01/H/15/1662</v>
          </cell>
          <cell r="E15" t="str">
            <v>DENTAL IMPLANT SYSTEM</v>
          </cell>
          <cell r="F15" t="str">
            <v xml:space="preserve"> BIOHORIZONS</v>
          </cell>
          <cell r="G15" t="str">
            <v>S1923</v>
          </cell>
          <cell r="H15" t="str">
            <v>IR1942015-00-01</v>
          </cell>
          <cell r="I15" t="str">
            <v>ANNUALLY</v>
          </cell>
          <cell r="J15">
            <v>46037</v>
          </cell>
          <cell r="K15"/>
          <cell r="L15"/>
          <cell r="M15"/>
          <cell r="N15" t="str">
            <v>JABATAN BEDAH MULUT</v>
          </cell>
          <cell r="O15" t="str">
            <v>Klinik Bedah Mulut &amp; Klinik Pergigian Pediatrik</v>
          </cell>
        </row>
        <row r="16">
          <cell r="D16" t="str">
            <v>KKM/JKN/HSA/10-05-01/H/15/5105</v>
          </cell>
          <cell r="E16" t="str">
            <v>SURGICAL MOTOR SYSTEM</v>
          </cell>
          <cell r="F16" t="str">
            <v>ZIMMER DENTAL</v>
          </cell>
          <cell r="G16" t="str">
            <v>ZIMMER W &amp; H IMPLANMED MICROMOTOR UNIT</v>
          </cell>
          <cell r="H16">
            <v>5784</v>
          </cell>
          <cell r="I16" t="str">
            <v>ANNUALLY</v>
          </cell>
          <cell r="J16">
            <v>45903</v>
          </cell>
          <cell r="K16"/>
          <cell r="L16"/>
          <cell r="M16"/>
          <cell r="N16" t="str">
            <v>JABATAN BEDAH MULUT</v>
          </cell>
          <cell r="O16" t="str">
            <v>Klinik Bedah Mulut &amp; Klinik Pergigian Pediatrik</v>
          </cell>
        </row>
        <row r="17">
          <cell r="D17" t="str">
            <v>KKM/JKN/HSA/10-05-01/R/15/6750</v>
          </cell>
          <cell r="E17" t="str">
            <v>OTOSCOPE</v>
          </cell>
          <cell r="F17" t="str">
            <v>RUDOLF RIESTER, GMBH</v>
          </cell>
          <cell r="G17" t="str">
            <v>ECONOM XL 3.5V 2053-209</v>
          </cell>
          <cell r="H17" t="str">
            <v>N/A</v>
          </cell>
          <cell r="I17" t="str">
            <v>ANNUALLY</v>
          </cell>
          <cell r="J17">
            <v>45940</v>
          </cell>
          <cell r="K17"/>
          <cell r="L17"/>
          <cell r="M17"/>
          <cell r="N17" t="str">
            <v>JABATAN PEDIATRIK</v>
          </cell>
          <cell r="O17" t="str">
            <v>Klinik Pediatrik (PAEDIATRIC CLINIC)</v>
          </cell>
        </row>
        <row r="18">
          <cell r="D18" t="str">
            <v>KKM/JKN/HSA/10-05-01/H/15/2153</v>
          </cell>
          <cell r="E18" t="str">
            <v>SUCTION APPARATUS</v>
          </cell>
          <cell r="F18" t="str">
            <v>CAMI</v>
          </cell>
          <cell r="G18" t="str">
            <v>ASKIR 30</v>
          </cell>
          <cell r="H18" t="str">
            <v>05923</v>
          </cell>
          <cell r="I18" t="str">
            <v>ANNUALLY</v>
          </cell>
          <cell r="J18">
            <v>45719</v>
          </cell>
          <cell r="K18"/>
          <cell r="L18"/>
          <cell r="M18"/>
          <cell r="N18" t="str">
            <v>JABATAN PEDIATRIK</v>
          </cell>
          <cell r="O18" t="str">
            <v>Klinik Pediatrik (PAEDIATRIC CLINIC)</v>
          </cell>
        </row>
        <row r="19">
          <cell r="D19" t="str">
            <v>KKM/JKN/HSA/10-05-01/H/15/3966</v>
          </cell>
          <cell r="E19" t="str">
            <v>INKUBATOR (INCUBATOR)</v>
          </cell>
          <cell r="F19" t="str">
            <v>BINDER</v>
          </cell>
          <cell r="G19" t="str">
            <v>BD 115</v>
          </cell>
          <cell r="H19" t="str">
            <v>13-11002</v>
          </cell>
          <cell r="I19" t="str">
            <v>SEMI ANNUALLY</v>
          </cell>
          <cell r="J19">
            <v>46031</v>
          </cell>
          <cell r="K19">
            <v>46211</v>
          </cell>
          <cell r="L19"/>
          <cell r="M19"/>
          <cell r="N19" t="str">
            <v>JABATAN PATOLOGI</v>
          </cell>
          <cell r="O19" t="str">
            <v>PATHOLOGY</v>
          </cell>
        </row>
        <row r="20">
          <cell r="D20" t="str">
            <v>KKM/JKN/HSA/10-05-01/H/15/3970</v>
          </cell>
          <cell r="E20" t="str">
            <v>HOT AIR DRIER</v>
          </cell>
          <cell r="F20" t="str">
            <v>BINDER</v>
          </cell>
          <cell r="G20" t="str">
            <v>FD 115</v>
          </cell>
          <cell r="H20" t="str">
            <v>13-09186</v>
          </cell>
          <cell r="I20" t="str">
            <v>SEMI ANNUALLY</v>
          </cell>
          <cell r="J20">
            <v>46037</v>
          </cell>
          <cell r="K20">
            <v>46217</v>
          </cell>
          <cell r="L20"/>
          <cell r="M20"/>
          <cell r="N20" t="str">
            <v>JABATAN PATOLOGI</v>
          </cell>
          <cell r="O20" t="str">
            <v>PATHOLOGY</v>
          </cell>
        </row>
        <row r="21">
          <cell r="D21" t="str">
            <v>KKM/JKN/HSA/10-05-01/H/15/3967</v>
          </cell>
          <cell r="E21" t="str">
            <v>INKUBATOR (INCUBATOR)</v>
          </cell>
          <cell r="F21" t="str">
            <v>BINDER</v>
          </cell>
          <cell r="G21" t="str">
            <v>BD 115</v>
          </cell>
          <cell r="H21" t="str">
            <v>13-11003</v>
          </cell>
          <cell r="I21" t="str">
            <v>SEMI ANNUALLY</v>
          </cell>
          <cell r="J21">
            <v>46031</v>
          </cell>
          <cell r="K21">
            <v>46211</v>
          </cell>
          <cell r="L21"/>
          <cell r="M21"/>
          <cell r="N21" t="str">
            <v>JABATAN PATOLOGI</v>
          </cell>
          <cell r="O21" t="str">
            <v>PATHOLOGY</v>
          </cell>
        </row>
        <row r="22">
          <cell r="D22" t="str">
            <v>KKM/JKN/HSA/10-05-01/H/15/3971</v>
          </cell>
          <cell r="E22" t="str">
            <v>HOT AIR DRIER</v>
          </cell>
          <cell r="F22" t="str">
            <v>BINDER</v>
          </cell>
          <cell r="G22" t="str">
            <v>FD 115</v>
          </cell>
          <cell r="H22" t="str">
            <v>13-09161</v>
          </cell>
          <cell r="I22" t="str">
            <v>SEMI ANNUALLY</v>
          </cell>
          <cell r="J22">
            <v>46037</v>
          </cell>
          <cell r="K22">
            <v>46217</v>
          </cell>
          <cell r="L22"/>
          <cell r="M22"/>
          <cell r="N22" t="str">
            <v>JABATAN PATOLOGI</v>
          </cell>
          <cell r="O22" t="str">
            <v>PATHOLOGY</v>
          </cell>
        </row>
        <row r="23">
          <cell r="D23" t="str">
            <v>KKM/JKN/HSA/10-05-01/R/15/1439-01</v>
          </cell>
          <cell r="E23" t="str">
            <v>MONITOR 20"</v>
          </cell>
          <cell r="F23" t="str">
            <v>SONY</v>
          </cell>
          <cell r="G23" t="str">
            <v>LMD-2110MD</v>
          </cell>
          <cell r="H23" t="str">
            <v>3203926S</v>
          </cell>
          <cell r="I23" t="str">
            <v>ANNUALLY</v>
          </cell>
          <cell r="J23">
            <v>45904</v>
          </cell>
          <cell r="K23"/>
          <cell r="L23"/>
          <cell r="M23"/>
          <cell r="N23" t="str">
            <v>JABATAN PERUBATAN AM</v>
          </cell>
          <cell r="O23" t="str">
            <v>Unit Rawatan Perubatan Harian (MDC)</v>
          </cell>
        </row>
        <row r="24">
          <cell r="D24" t="str">
            <v xml:space="preserve">KKM/JKN/HSA/10-05-01/H/15/2419 </v>
          </cell>
          <cell r="E24" t="str">
            <v>TABLE, OPERATING, O &amp; G, ELECTRIC</v>
          </cell>
          <cell r="F24" t="str">
            <v>TRUMPF</v>
          </cell>
          <cell r="G24" t="str">
            <v>MARS.2.02</v>
          </cell>
          <cell r="H24">
            <v>102107234</v>
          </cell>
          <cell r="I24" t="str">
            <v>ANNUALLY</v>
          </cell>
          <cell r="J24">
            <v>45832</v>
          </cell>
          <cell r="K24"/>
          <cell r="L24"/>
          <cell r="M24"/>
          <cell r="N24" t="str">
            <v>JABATAN ANESTHESIA</v>
          </cell>
          <cell r="O24" t="str">
            <v>Dewan Bedah Bersalin (MOT)</v>
          </cell>
        </row>
        <row r="25">
          <cell r="D25" t="str">
            <v xml:space="preserve">KKM/JKN/HSA/10-05-01/H/15/2420 </v>
          </cell>
          <cell r="E25" t="str">
            <v>TABLE, OPERATING, O &amp; G, ELECTRIC</v>
          </cell>
          <cell r="F25" t="str">
            <v>TRUMPF</v>
          </cell>
          <cell r="G25" t="str">
            <v>MARS.2.02</v>
          </cell>
          <cell r="H25">
            <v>102071008</v>
          </cell>
          <cell r="I25" t="str">
            <v>ANNUALLY</v>
          </cell>
          <cell r="J25">
            <v>45832</v>
          </cell>
          <cell r="K25"/>
          <cell r="L25"/>
          <cell r="M25"/>
          <cell r="N25" t="str">
            <v>JABATAN ANESTHESIA</v>
          </cell>
          <cell r="O25" t="str">
            <v>Dewan Bedah Bersalin (MOT)</v>
          </cell>
        </row>
        <row r="26">
          <cell r="D26" t="str">
            <v>KKM/JKN/HSA/10-05-01/H/15/5020</v>
          </cell>
          <cell r="E26" t="str">
            <v>WARMER BLOOD DRY HEAT TYPE</v>
          </cell>
          <cell r="F26" t="str">
            <v>BARKEY</v>
          </cell>
          <cell r="G26" t="str">
            <v>S.LINE</v>
          </cell>
          <cell r="H26">
            <v>1207670</v>
          </cell>
          <cell r="I26" t="str">
            <v>ANNUALLY</v>
          </cell>
          <cell r="J26">
            <v>45883</v>
          </cell>
          <cell r="K26"/>
          <cell r="L26"/>
          <cell r="M26"/>
          <cell r="N26" t="str">
            <v>JABATAN ANESTHESIA</v>
          </cell>
          <cell r="O26" t="str">
            <v>Dewan Bedah Bersalin (MOT)</v>
          </cell>
        </row>
        <row r="27">
          <cell r="D27" t="str">
            <v>KKM/JKN/HSA/10-05-01/H/15/5021</v>
          </cell>
          <cell r="E27" t="str">
            <v>WARMER BLOOD DRY HEAT TYPE</v>
          </cell>
          <cell r="F27" t="str">
            <v>BARKEY</v>
          </cell>
          <cell r="G27" t="str">
            <v>S.LINE</v>
          </cell>
          <cell r="H27">
            <v>1207671</v>
          </cell>
          <cell r="I27" t="str">
            <v>ANNUALLY</v>
          </cell>
          <cell r="J27">
            <v>45888</v>
          </cell>
          <cell r="K27"/>
          <cell r="L27"/>
          <cell r="M27"/>
          <cell r="N27" t="str">
            <v>JABATAN ANESTHESIA</v>
          </cell>
          <cell r="O27" t="str">
            <v>Dewan Bedah Bersalin (MOT)</v>
          </cell>
        </row>
        <row r="28">
          <cell r="D28" t="str">
            <v>KKM/JKN/HSA/10-05-01/H/15/5027</v>
          </cell>
          <cell r="E28" t="str">
            <v>WARMER BLOOD WATER TYPE</v>
          </cell>
          <cell r="F28" t="str">
            <v>SMITH MEDICAL ASD</v>
          </cell>
          <cell r="G28" t="str">
            <v>HL-90 HOTLINES BLLOD AND FLUID WARMER</v>
          </cell>
          <cell r="H28" t="str">
            <v>S101B03263</v>
          </cell>
          <cell r="I28" t="str">
            <v>ANNUALLY</v>
          </cell>
          <cell r="J28">
            <v>45791</v>
          </cell>
          <cell r="K28"/>
          <cell r="L28"/>
          <cell r="M28"/>
          <cell r="N28" t="str">
            <v>JABATAN ANESTHESIA</v>
          </cell>
          <cell r="O28" t="str">
            <v>Dewan Bedah Bersalin (MOT)</v>
          </cell>
        </row>
        <row r="29">
          <cell r="D29" t="str">
            <v>KKM/JKN/HSA/10-05-01/H/15/5028</v>
          </cell>
          <cell r="E29" t="str">
            <v>WARMER BLOOD WATER TYPE</v>
          </cell>
          <cell r="F29" t="str">
            <v>SMITH MEDICAL ASD</v>
          </cell>
          <cell r="G29" t="str">
            <v>HL-90 HOTLINES BLLOD AND FLUID WARMER</v>
          </cell>
          <cell r="H29" t="str">
            <v>S101B03262</v>
          </cell>
          <cell r="I29" t="str">
            <v>ANNUALLY</v>
          </cell>
          <cell r="J29">
            <v>45888</v>
          </cell>
          <cell r="K29"/>
          <cell r="L29"/>
          <cell r="M29"/>
          <cell r="N29" t="str">
            <v>JABATAN ANESTHESIA</v>
          </cell>
          <cell r="O29" t="str">
            <v>Dewan Bedah Bersalin (MOT)</v>
          </cell>
        </row>
        <row r="30">
          <cell r="D30" t="str">
            <v>KKM/JKN/HSA/10-05-01/H/15/5047</v>
          </cell>
          <cell r="E30" t="str">
            <v>MONITOR MODULAR 8-CH ECG/RR/NIBP/SPO2/2TEMP/2IBP</v>
          </cell>
          <cell r="F30" t="str">
            <v>MINDRAY</v>
          </cell>
          <cell r="G30" t="str">
            <v>BENEVIEW T8</v>
          </cell>
          <cell r="H30" t="str">
            <v>CF45122767</v>
          </cell>
          <cell r="I30" t="str">
            <v>ANNUALLY</v>
          </cell>
          <cell r="J30">
            <v>45762</v>
          </cell>
          <cell r="K30"/>
          <cell r="L30"/>
          <cell r="M30"/>
          <cell r="N30" t="str">
            <v>JABATAN ANESTHESIA</v>
          </cell>
          <cell r="O30" t="str">
            <v>Dewan Bedah Bersalin (MOT)</v>
          </cell>
        </row>
        <row r="31">
          <cell r="D31" t="str">
            <v>KKM/JKN/HSA/10-05-01/H/15/5048</v>
          </cell>
          <cell r="E31" t="str">
            <v>MONITOR MODULAR 8-CH ECG/RR/NIBP/SPO2/2TEMP/2IBP</v>
          </cell>
          <cell r="F31" t="str">
            <v>MINDRAY</v>
          </cell>
          <cell r="G31" t="str">
            <v>BENEVIEW T8</v>
          </cell>
          <cell r="H31" t="str">
            <v>CF45122768</v>
          </cell>
          <cell r="I31" t="str">
            <v>ANNUALLY</v>
          </cell>
          <cell r="J31">
            <v>45728</v>
          </cell>
          <cell r="K31"/>
          <cell r="L31"/>
          <cell r="M31"/>
          <cell r="N31" t="str">
            <v>JABATAN ANESTHESIA</v>
          </cell>
          <cell r="O31" t="str">
            <v>Dewan Bedah Bersalin (MOT)</v>
          </cell>
        </row>
        <row r="32">
          <cell r="D32" t="str">
            <v>KKM/JKN/HSA/10-05-01/H/15/5049</v>
          </cell>
          <cell r="E32" t="str">
            <v>MONITOR MODULAR 8-CH ECG/RR/NIBP/SPO2/2TEMP/2IBP</v>
          </cell>
          <cell r="F32" t="str">
            <v>MINDRAY</v>
          </cell>
          <cell r="G32" t="str">
            <v>BENEVIEW T8</v>
          </cell>
          <cell r="H32" t="str">
            <v>CF45122766</v>
          </cell>
          <cell r="I32" t="str">
            <v>ANNUALLY</v>
          </cell>
          <cell r="J32">
            <v>45736</v>
          </cell>
          <cell r="K32"/>
          <cell r="L32"/>
          <cell r="M32"/>
          <cell r="N32" t="str">
            <v>JABATAN ANESTHESIA</v>
          </cell>
          <cell r="O32" t="str">
            <v>Dewan Bedah Bersalin (MOT)</v>
          </cell>
        </row>
        <row r="33">
          <cell r="D33" t="str">
            <v>KKM/JKN/HSA/10-05-01/H/15/5050</v>
          </cell>
          <cell r="E33" t="str">
            <v>MONITOR MODULAR 8-CH ECG/RR/NIBP/SPO2/2TEMP/2IBP</v>
          </cell>
          <cell r="F33" t="str">
            <v>MINDRAY</v>
          </cell>
          <cell r="G33" t="str">
            <v>BENEVIEW T8</v>
          </cell>
          <cell r="H33" t="str">
            <v>CF45122765</v>
          </cell>
          <cell r="I33" t="str">
            <v>ANNUALLY</v>
          </cell>
          <cell r="J33">
            <v>45736</v>
          </cell>
          <cell r="K33"/>
          <cell r="L33"/>
          <cell r="M33"/>
          <cell r="N33" t="str">
            <v>JABATAN ANESTHESIA</v>
          </cell>
          <cell r="O33" t="str">
            <v>Dewan Bedah Bersalin (MOT)</v>
          </cell>
        </row>
        <row r="34">
          <cell r="D34" t="str">
            <v>KKM/JKN/HSA/10-05-01/R/15/17037</v>
          </cell>
          <cell r="E34" t="str">
            <v>NEBULISER COMPRESSOR</v>
          </cell>
          <cell r="F34" t="str">
            <v>PHILIPS</v>
          </cell>
          <cell r="G34" t="str">
            <v>KK INNOSPIRE DELUXE</v>
          </cell>
          <cell r="H34">
            <v>22833</v>
          </cell>
          <cell r="I34" t="str">
            <v>ANNUALLY</v>
          </cell>
          <cell r="J34">
            <v>45790</v>
          </cell>
          <cell r="K34"/>
          <cell r="L34"/>
          <cell r="M34"/>
          <cell r="N34" t="str">
            <v>JABATAN ANESTHESIA</v>
          </cell>
          <cell r="O34" t="str">
            <v>Dewan Bedah Bersalin (MOT)</v>
          </cell>
        </row>
        <row r="35">
          <cell r="D35" t="str">
            <v>KKM/JKN/HSA/10-05-01/R/15/17038</v>
          </cell>
          <cell r="E35" t="str">
            <v>NEBULISER COMPRESSOR</v>
          </cell>
          <cell r="F35" t="str">
            <v>PHILIPS</v>
          </cell>
          <cell r="G35" t="str">
            <v>KK INNOSPIRE DELUXE</v>
          </cell>
          <cell r="H35">
            <v>22860</v>
          </cell>
          <cell r="I35" t="str">
            <v>ANNUALLY</v>
          </cell>
          <cell r="J35">
            <v>45790</v>
          </cell>
          <cell r="K35"/>
          <cell r="L35"/>
          <cell r="M35"/>
          <cell r="N35" t="str">
            <v>JABATAN ANESTHESIA</v>
          </cell>
          <cell r="O35" t="str">
            <v>Dewan Bedah Bersalin (MOT)</v>
          </cell>
        </row>
        <row r="36">
          <cell r="D36" t="str">
            <v>KKM/JKN/HSA/10-05-01/R/15/17212</v>
          </cell>
          <cell r="E36" t="str">
            <v>INFUSOR PRESSURE</v>
          </cell>
          <cell r="F36" t="str">
            <v>ERKA</v>
          </cell>
          <cell r="G36" t="str">
            <v>N/A</v>
          </cell>
          <cell r="H36">
            <v>15018068</v>
          </cell>
          <cell r="I36" t="str">
            <v>ANNUALLY</v>
          </cell>
          <cell r="J36">
            <v>45742</v>
          </cell>
          <cell r="K36"/>
          <cell r="L36"/>
          <cell r="M36"/>
          <cell r="N36" t="str">
            <v>JABATAN ANESTHESIA</v>
          </cell>
          <cell r="O36" t="str">
            <v>Dewan Bedah Bersalin (MOT)</v>
          </cell>
        </row>
        <row r="37">
          <cell r="D37" t="str">
            <v>KKM/JKN/HSA/10-05-01/H/15/1126</v>
          </cell>
          <cell r="E37" t="str">
            <v>SUCTION APPARATUS</v>
          </cell>
          <cell r="F37" t="str">
            <v>OHIO</v>
          </cell>
          <cell r="G37" t="str">
            <v>ALLIED HEALTHCARE/ 01-23-3839</v>
          </cell>
          <cell r="H37" t="str">
            <v>GFHT60018</v>
          </cell>
          <cell r="I37" t="str">
            <v>ANNUALLY</v>
          </cell>
          <cell r="J37">
            <v>45760</v>
          </cell>
          <cell r="K37"/>
          <cell r="L37"/>
          <cell r="M37"/>
          <cell r="N37" t="str">
            <v>JABATAN ANESTHESIA</v>
          </cell>
          <cell r="O37" t="str">
            <v>Dewan Bedah Bersalin (MOT)</v>
          </cell>
        </row>
        <row r="38">
          <cell r="D38" t="str">
            <v>KKM/JKN/HSA/10-05-01/H/15/1127</v>
          </cell>
          <cell r="E38" t="str">
            <v>SUCTION APPARATUS</v>
          </cell>
          <cell r="F38" t="str">
            <v>OHIO</v>
          </cell>
          <cell r="G38" t="str">
            <v>ALLIED HEALTHCARE/ 01-23-3840</v>
          </cell>
          <cell r="H38" t="str">
            <v>GFHT60026</v>
          </cell>
          <cell r="I38" t="str">
            <v>ANNUALLY</v>
          </cell>
          <cell r="J38">
            <v>45760</v>
          </cell>
          <cell r="K38"/>
          <cell r="L38"/>
          <cell r="M38"/>
          <cell r="N38" t="str">
            <v>JABATAN ANESTHESIA</v>
          </cell>
          <cell r="O38" t="str">
            <v>Dewan Bedah Bersalin (MOT)</v>
          </cell>
        </row>
        <row r="39">
          <cell r="D39" t="str">
            <v>KKM/JKN/HSA/10-05-01/H/15/1585</v>
          </cell>
          <cell r="E39" t="str">
            <v>INFANT WARMER (RADIANT)</v>
          </cell>
          <cell r="F39" t="str">
            <v>DRAEGER</v>
          </cell>
          <cell r="G39" t="str">
            <v>RESUSCITAIRE RW-82</v>
          </cell>
          <cell r="H39" t="str">
            <v>AU01149</v>
          </cell>
          <cell r="I39" t="str">
            <v>ANNUALLY</v>
          </cell>
          <cell r="J39">
            <v>45825</v>
          </cell>
          <cell r="K39"/>
          <cell r="L39"/>
          <cell r="M39"/>
          <cell r="N39" t="str">
            <v>JABATAN ANESTHESIA</v>
          </cell>
          <cell r="O39" t="str">
            <v>Dewan Bedah Bersalin (MOT)</v>
          </cell>
        </row>
        <row r="40">
          <cell r="D40" t="str">
            <v>KKM/JKN/HSA/10-05-01/H/15/1586</v>
          </cell>
          <cell r="E40" t="str">
            <v>INFANT WARMER (RADIANT)</v>
          </cell>
          <cell r="F40" t="str">
            <v>DRAEGER</v>
          </cell>
          <cell r="G40" t="str">
            <v>RESUSCITAIRE RW-82</v>
          </cell>
          <cell r="H40" t="str">
            <v>AU 01154</v>
          </cell>
          <cell r="I40" t="str">
            <v>ANNUALLY</v>
          </cell>
          <cell r="J40">
            <v>45825</v>
          </cell>
          <cell r="K40"/>
          <cell r="L40"/>
          <cell r="M40"/>
          <cell r="N40" t="str">
            <v>JABATAN ANESTHESIA</v>
          </cell>
          <cell r="O40" t="str">
            <v>Dewan Bedah Bersalin (MOT)</v>
          </cell>
        </row>
        <row r="41">
          <cell r="D41" t="str">
            <v>KKM/JKN/HSA/10-05-01/H/15/2110</v>
          </cell>
          <cell r="E41" t="str">
            <v>PATIENT MONITORING EQUIP.(AUTOMATIC MULTIPARAMETER)</v>
          </cell>
          <cell r="F41" t="str">
            <v>MINDRAY</v>
          </cell>
          <cell r="G41" t="str">
            <v>IMEC 12</v>
          </cell>
          <cell r="H41" t="str">
            <v>EV-51016566</v>
          </cell>
          <cell r="I41" t="str">
            <v>ANNUALLY</v>
          </cell>
          <cell r="J41">
            <v>45856</v>
          </cell>
          <cell r="K41"/>
          <cell r="L41"/>
          <cell r="M41"/>
          <cell r="N41" t="str">
            <v>JABATAN ANESTHESIA</v>
          </cell>
          <cell r="O41" t="str">
            <v>Dewan Bedah Bersalin (MOT)</v>
          </cell>
        </row>
        <row r="42">
          <cell r="D42" t="str">
            <v>KKM/JKN/HSA/10-05-01/H/15/2148</v>
          </cell>
          <cell r="E42" t="str">
            <v>SUCTION APPARATUS</v>
          </cell>
          <cell r="F42" t="str">
            <v>CAMI</v>
          </cell>
          <cell r="G42" t="str">
            <v>ASKIR 30</v>
          </cell>
          <cell r="H42" t="str">
            <v>05922</v>
          </cell>
          <cell r="I42" t="str">
            <v>ANNUALLY</v>
          </cell>
          <cell r="J42">
            <v>45748</v>
          </cell>
          <cell r="K42"/>
          <cell r="L42"/>
          <cell r="M42"/>
          <cell r="N42" t="str">
            <v>JABATAN ANESTHESIA</v>
          </cell>
          <cell r="O42" t="str">
            <v>Dewan Bedah Bersalin (MOT)</v>
          </cell>
        </row>
        <row r="43">
          <cell r="D43" t="str">
            <v>KKM/JKN/HSA/10-05-01/H/15/2437</v>
          </cell>
          <cell r="E43" t="str">
            <v>PATIENT WARMER (BLANKET)</v>
          </cell>
          <cell r="F43" t="str">
            <v>CARE ESSENTIAL PTE</v>
          </cell>
          <cell r="G43" t="str">
            <v>COCOON CWS4000</v>
          </cell>
          <cell r="H43" t="str">
            <v>CWS4-2354-14</v>
          </cell>
          <cell r="I43" t="str">
            <v>ANNUALLY</v>
          </cell>
          <cell r="J43">
            <v>45839</v>
          </cell>
          <cell r="K43"/>
          <cell r="L43"/>
          <cell r="M43"/>
          <cell r="N43" t="str">
            <v>JABATAN ANESTHESIA</v>
          </cell>
          <cell r="O43" t="str">
            <v>Dewan Bedah Bersalin (MOT)</v>
          </cell>
        </row>
        <row r="44">
          <cell r="D44" t="str">
            <v>KKM/JKN/HSA/10-05-01/H/15/2438</v>
          </cell>
          <cell r="E44" t="str">
            <v>PATIENT WARMER (BLANKET)</v>
          </cell>
          <cell r="F44" t="str">
            <v>CARE ESSENTIAL PTE</v>
          </cell>
          <cell r="G44" t="str">
            <v>COCOON CWS4000</v>
          </cell>
          <cell r="H44" t="str">
            <v>CWS4-2355-14</v>
          </cell>
          <cell r="I44" t="str">
            <v>ANNUALLY</v>
          </cell>
          <cell r="J44">
            <v>45839</v>
          </cell>
          <cell r="K44"/>
          <cell r="L44"/>
          <cell r="M44"/>
          <cell r="N44" t="str">
            <v>JABATAN ANESTHESIA</v>
          </cell>
          <cell r="O44" t="str">
            <v>Dewan Bedah Bersalin (MOT)</v>
          </cell>
        </row>
        <row r="45">
          <cell r="D45" t="str">
            <v>KKM/JKN/HSA/10-05-01/H/15/328</v>
          </cell>
          <cell r="E45" t="str">
            <v>ANESTHESIA MACHINE/UNIT</v>
          </cell>
          <cell r="F45" t="str">
            <v>DRAEGER</v>
          </cell>
          <cell r="G45" t="str">
            <v>PRIMUS</v>
          </cell>
          <cell r="H45" t="str">
            <v>ASH 0219</v>
          </cell>
          <cell r="I45" t="str">
            <v>SEMI ANNUALLY</v>
          </cell>
          <cell r="J45">
            <v>45790</v>
          </cell>
          <cell r="K45">
            <v>45973</v>
          </cell>
          <cell r="L45"/>
          <cell r="M45"/>
          <cell r="N45" t="str">
            <v>JABATAN ANESTHESIA</v>
          </cell>
          <cell r="O45" t="str">
            <v>Dewan Bedah Bersalin (MOT)</v>
          </cell>
        </row>
        <row r="46">
          <cell r="D46" t="str">
            <v>KKM/JKN/HSA/10-05-01/H/15/329</v>
          </cell>
          <cell r="E46" t="str">
            <v>ANESTHESIA MACHINE/UNIT</v>
          </cell>
          <cell r="F46" t="str">
            <v>DRAEGER</v>
          </cell>
          <cell r="G46" t="str">
            <v>PRIMUS</v>
          </cell>
          <cell r="H46" t="str">
            <v>ASHC-0183</v>
          </cell>
          <cell r="I46" t="str">
            <v>SEMI ANNUALLY</v>
          </cell>
          <cell r="J46">
            <v>45790</v>
          </cell>
          <cell r="K46">
            <v>45973</v>
          </cell>
          <cell r="L46"/>
          <cell r="M46"/>
          <cell r="N46" t="str">
            <v>JABATAN ANESTHESIA</v>
          </cell>
          <cell r="O46" t="str">
            <v>Dewan Bedah Bersalin (MOT)</v>
          </cell>
        </row>
        <row r="47">
          <cell r="D47" t="str">
            <v>KKM/JKN/HSA/10-05-01/H/15/3676</v>
          </cell>
          <cell r="E47" t="str">
            <v>DEFIBRILLATOR</v>
          </cell>
          <cell r="F47" t="str">
            <v>PHILIPS</v>
          </cell>
          <cell r="G47" t="str">
            <v>EFFICIA DFM100</v>
          </cell>
          <cell r="H47" t="str">
            <v>CN32601426</v>
          </cell>
          <cell r="I47" t="str">
            <v>SEMI ANNUALLY</v>
          </cell>
          <cell r="J47">
            <v>45814</v>
          </cell>
          <cell r="K47">
            <v>45996</v>
          </cell>
          <cell r="L47"/>
          <cell r="M47"/>
          <cell r="N47" t="str">
            <v>JABATAN OBSTETRIK &amp; GINEKOLOGI</v>
          </cell>
          <cell r="O47" t="str">
            <v>PAC</v>
          </cell>
        </row>
        <row r="48">
          <cell r="D48" t="str">
            <v>KKM/JKN/HSA/10-05-01/H/15/3677</v>
          </cell>
          <cell r="E48" t="str">
            <v>DEFIBRILLATOR</v>
          </cell>
          <cell r="F48" t="str">
            <v>PHILIPS</v>
          </cell>
          <cell r="G48" t="str">
            <v>EFFICIA DFM100</v>
          </cell>
          <cell r="H48" t="str">
            <v>CN32601415</v>
          </cell>
          <cell r="I48" t="str">
            <v>SEMI ANNUALLY</v>
          </cell>
          <cell r="J48">
            <v>45814</v>
          </cell>
          <cell r="K48">
            <v>45996</v>
          </cell>
          <cell r="L48"/>
          <cell r="M48"/>
          <cell r="N48" t="str">
            <v>JABATAN ANESTHESIA</v>
          </cell>
          <cell r="O48" t="str">
            <v>Dewan Bedah Bersalin (MOT)</v>
          </cell>
        </row>
        <row r="49">
          <cell r="D49" t="str">
            <v>KKM/JKN/HSA/10-05-01/H/15/4884</v>
          </cell>
          <cell r="E49" t="str">
            <v>OPERATION LIGHT</v>
          </cell>
          <cell r="F49" t="str">
            <v>TRUMPF MEDIZIN SYSTEME GMBH</v>
          </cell>
          <cell r="G49" t="str">
            <v>TRULIGHT 5320</v>
          </cell>
          <cell r="H49">
            <v>102113644</v>
          </cell>
          <cell r="I49" t="str">
            <v>ANNUALLY</v>
          </cell>
          <cell r="J49">
            <v>45743</v>
          </cell>
          <cell r="K49"/>
          <cell r="L49"/>
          <cell r="M49"/>
          <cell r="N49" t="str">
            <v>JABATAN ANESTHESIA</v>
          </cell>
          <cell r="O49" t="str">
            <v>Dewan Bedah Bersalin (MOT)</v>
          </cell>
        </row>
        <row r="50">
          <cell r="D50" t="str">
            <v>KKM/JKN/HSA/10-05-01/H/15/4885</v>
          </cell>
          <cell r="E50" t="str">
            <v>OPERATION TABLE</v>
          </cell>
          <cell r="F50" t="str">
            <v>TRUMPF MEDIZIN SYSTEME GMBH</v>
          </cell>
          <cell r="G50" t="str">
            <v>MARS</v>
          </cell>
          <cell r="H50">
            <v>102071008</v>
          </cell>
          <cell r="I50" t="str">
            <v>ANNUALLY</v>
          </cell>
          <cell r="J50">
            <v>45743</v>
          </cell>
          <cell r="K50"/>
          <cell r="L50"/>
          <cell r="M50"/>
          <cell r="N50" t="str">
            <v>JABATAN ANESTHESIA</v>
          </cell>
          <cell r="O50" t="str">
            <v>Dewan Bedah Bersalin (MOT)</v>
          </cell>
        </row>
        <row r="51">
          <cell r="D51" t="str">
            <v>KKM/JKN/HSA/10-05-01/H/15/5019</v>
          </cell>
          <cell r="E51" t="str">
            <v>BLOOD FLUID WARMER</v>
          </cell>
          <cell r="F51" t="str">
            <v>BARKEY</v>
          </cell>
          <cell r="G51" t="str">
            <v>AUTOCONTROL 3XPT</v>
          </cell>
          <cell r="H51">
            <v>1207672</v>
          </cell>
          <cell r="I51" t="str">
            <v>ANNUALLY</v>
          </cell>
          <cell r="J51">
            <v>45877</v>
          </cell>
          <cell r="K51"/>
          <cell r="L51"/>
          <cell r="M51"/>
          <cell r="N51" t="str">
            <v>JABATAN ANESTHESIA</v>
          </cell>
          <cell r="O51" t="str">
            <v>Dewan Bedah Bersalin (MOT)</v>
          </cell>
        </row>
        <row r="52">
          <cell r="D52" t="str">
            <v>KKM/JKN/HSA/10-05-01/H/15/5040</v>
          </cell>
          <cell r="E52" t="str">
            <v>ELECTROSURGICAL UNIT</v>
          </cell>
          <cell r="F52" t="str">
            <v>ERBE ELEKTROMEDIZIN</v>
          </cell>
          <cell r="G52" t="str">
            <v>VIO 300S</v>
          </cell>
          <cell r="H52">
            <v>11373473</v>
          </cell>
          <cell r="I52" t="str">
            <v>ANNUALLY</v>
          </cell>
          <cell r="J52">
            <v>45721</v>
          </cell>
          <cell r="K52"/>
          <cell r="L52"/>
          <cell r="M52"/>
          <cell r="N52" t="str">
            <v>JABATAN ANESTHESIA</v>
          </cell>
          <cell r="O52" t="str">
            <v>Dewan Bedah Bersalin (MOT)</v>
          </cell>
        </row>
        <row r="53">
          <cell r="D53" t="str">
            <v>KKM/JKN/HSA/10-05-01/H/15/5041</v>
          </cell>
          <cell r="E53" t="str">
            <v>ELECTROSURGICAL UNIT</v>
          </cell>
          <cell r="F53" t="str">
            <v>ERBE ELEKTROMEDIZIN</v>
          </cell>
          <cell r="G53" t="str">
            <v>VIO 300S</v>
          </cell>
          <cell r="H53">
            <v>11373468</v>
          </cell>
          <cell r="I53" t="str">
            <v>ANNUALLY</v>
          </cell>
          <cell r="J53">
            <v>45726</v>
          </cell>
          <cell r="K53"/>
          <cell r="L53"/>
          <cell r="M53"/>
          <cell r="N53" t="str">
            <v>JABATAN ANESTHESIA</v>
          </cell>
          <cell r="O53" t="str">
            <v>Dewan Bedah Bersalin (MOT)</v>
          </cell>
        </row>
        <row r="54">
          <cell r="D54" t="str">
            <v>KKM/JKN/HSA/10-05-01/H/15/871</v>
          </cell>
          <cell r="E54" t="str">
            <v>SYRINGE INFUSION PUMP</v>
          </cell>
          <cell r="F54" t="str">
            <v>FRESENIUS KABI</v>
          </cell>
          <cell r="G54" t="str">
            <v>INJECTOMAT MC AGILIA</v>
          </cell>
          <cell r="H54">
            <v>22231663</v>
          </cell>
          <cell r="I54" t="str">
            <v>ANNUALLY</v>
          </cell>
          <cell r="J54">
            <v>45760</v>
          </cell>
          <cell r="K54"/>
          <cell r="L54"/>
          <cell r="M54"/>
          <cell r="N54" t="str">
            <v>JABATAN ANESTHESIA</v>
          </cell>
          <cell r="O54" t="str">
            <v>Dewan Bedah Bersalin (MOT)</v>
          </cell>
        </row>
        <row r="55">
          <cell r="D55" t="str">
            <v>KKM/JKN/HSA/10-05-01/H/15/872</v>
          </cell>
          <cell r="E55" t="str">
            <v>SYRINGE INFUSION PUMP</v>
          </cell>
          <cell r="F55" t="str">
            <v>FRESENIUS KABI</v>
          </cell>
          <cell r="G55" t="str">
            <v>INJECTOMAT MC AGILIA</v>
          </cell>
          <cell r="H55">
            <v>22231838</v>
          </cell>
          <cell r="I55" t="str">
            <v>ANNUALLY</v>
          </cell>
          <cell r="J55">
            <v>45754</v>
          </cell>
          <cell r="K55"/>
          <cell r="L55"/>
          <cell r="M55"/>
          <cell r="N55" t="str">
            <v>JABATAN ANESTHESIA</v>
          </cell>
          <cell r="O55" t="str">
            <v>Dewan Bedah Bersalin (MOT)</v>
          </cell>
        </row>
        <row r="56">
          <cell r="D56" t="str">
            <v>KKM/JKN/HSA/10-05-01/R/15/14850</v>
          </cell>
          <cell r="E56" t="str">
            <v>BLOOD PRESSURE MONITOR (SPHYGMOMANOMETER)</v>
          </cell>
          <cell r="F56" t="str">
            <v xml:space="preserve"> ANEROID DESK MODEL</v>
          </cell>
          <cell r="G56" t="str">
            <v>RIESTER BIG BEN</v>
          </cell>
          <cell r="H56">
            <v>150311410</v>
          </cell>
          <cell r="I56" t="str">
            <v>ANNUALLY</v>
          </cell>
          <cell r="J56">
            <v>45765</v>
          </cell>
          <cell r="K56"/>
          <cell r="L56"/>
          <cell r="M56"/>
          <cell r="N56" t="str">
            <v>JABATAN ANESTHESIA</v>
          </cell>
          <cell r="O56" t="str">
            <v>Dewan Bedah Bersalin (MOT)</v>
          </cell>
        </row>
        <row r="57">
          <cell r="D57" t="str">
            <v>KKM/JKN/HSA/10-05-01/R/15/14851</v>
          </cell>
          <cell r="E57" t="str">
            <v>BLOOD PRESSURE MONITOR (SPHYGMOMANOMETER)</v>
          </cell>
          <cell r="F57" t="str">
            <v xml:space="preserve"> ANEROID DESK MODEL</v>
          </cell>
          <cell r="G57" t="str">
            <v>RIESTER BIG BEN</v>
          </cell>
          <cell r="H57">
            <v>150311434</v>
          </cell>
          <cell r="I57" t="str">
            <v>ANNUALLY</v>
          </cell>
          <cell r="J57">
            <v>45765</v>
          </cell>
          <cell r="K57"/>
          <cell r="L57"/>
          <cell r="M57"/>
          <cell r="N57" t="str">
            <v>JABATAN ANESTHESIA</v>
          </cell>
          <cell r="O57" t="str">
            <v>Dewan Bedah Bersalin (MOT)</v>
          </cell>
        </row>
        <row r="58">
          <cell r="D58" t="str">
            <v>KKM/JKN/HSA/10-05-01/R/15/14855</v>
          </cell>
          <cell r="E58" t="str">
            <v>BLOOD PRESSURE MONITOR (SPHYGMOMANOMETER)</v>
          </cell>
          <cell r="F58" t="str">
            <v xml:space="preserve"> ANEROID DESK MODEL</v>
          </cell>
          <cell r="G58" t="str">
            <v>RIESTER BIG BEN</v>
          </cell>
          <cell r="H58" t="str">
            <v>N/A</v>
          </cell>
          <cell r="I58" t="str">
            <v>ANNUALLY</v>
          </cell>
          <cell r="J58">
            <v>45761</v>
          </cell>
          <cell r="K58"/>
          <cell r="L58"/>
          <cell r="M58"/>
          <cell r="N58" t="str">
            <v>JABATAN ANESTHESIA</v>
          </cell>
          <cell r="O58" t="str">
            <v>Dewan Bedah Bersalin (MOT)</v>
          </cell>
        </row>
        <row r="59">
          <cell r="D59" t="str">
            <v>HSAS10002</v>
          </cell>
          <cell r="E59" t="str">
            <v>SHAVER UNIT FOR ARTHROSCOPY</v>
          </cell>
          <cell r="F59" t="str">
            <v>CONMED LINVATEC</v>
          </cell>
          <cell r="G59" t="str">
            <v>E9000G</v>
          </cell>
          <cell r="H59" t="str">
            <v>2014-039</v>
          </cell>
          <cell r="I59" t="str">
            <v>ANNUALLY</v>
          </cell>
          <cell r="J59">
            <v>45939</v>
          </cell>
          <cell r="K59"/>
          <cell r="L59"/>
          <cell r="M59"/>
          <cell r="N59" t="str">
            <v>JABATAN ANESTHESIA</v>
          </cell>
          <cell r="O59" t="str">
            <v>Dewan Bedah Utama (GOT)</v>
          </cell>
        </row>
        <row r="60">
          <cell r="D60" t="str">
            <v>HSAS10004</v>
          </cell>
          <cell r="E60" t="str">
            <v>MATTRESS PRESSURE RELIEF</v>
          </cell>
          <cell r="F60" t="str">
            <v>BANTEX</v>
          </cell>
          <cell r="G60" t="str">
            <v>APM-5000-G</v>
          </cell>
          <cell r="H60" t="str">
            <v>N/A</v>
          </cell>
          <cell r="I60" t="str">
            <v>ANNUALLY</v>
          </cell>
          <cell r="J60">
            <v>45939</v>
          </cell>
          <cell r="K60"/>
          <cell r="L60"/>
          <cell r="M60"/>
          <cell r="N60" t="str">
            <v>JABATAN ANESTHESIA</v>
          </cell>
          <cell r="O60" t="str">
            <v>Dewan Bedah Utama (GOT)</v>
          </cell>
        </row>
        <row r="61">
          <cell r="D61" t="str">
            <v>HSAS10010</v>
          </cell>
          <cell r="E61" t="str">
            <v>DRILL, SURGICAL, MULTIPURPOSE W/IRRIGATION</v>
          </cell>
          <cell r="F61" t="str">
            <v>SYNTHES</v>
          </cell>
          <cell r="G61" t="str">
            <v>Electric Pen Drive 60,000 RPM</v>
          </cell>
          <cell r="H61">
            <v>5797</v>
          </cell>
          <cell r="I61" t="str">
            <v>ANNUALLY</v>
          </cell>
          <cell r="J61">
            <v>45924</v>
          </cell>
          <cell r="K61"/>
          <cell r="L61"/>
          <cell r="M61"/>
          <cell r="N61" t="str">
            <v>JABATAN ANESTHESIA</v>
          </cell>
          <cell r="O61" t="str">
            <v>Dewan Bedah Utama (GOT)</v>
          </cell>
        </row>
        <row r="62">
          <cell r="D62" t="str">
            <v>HSAS10012</v>
          </cell>
          <cell r="E62" t="str">
            <v>DRILL, SURGICAL, MULTIPURPOSE W/IRRIGATION</v>
          </cell>
          <cell r="F62" t="str">
            <v>SYNTHES</v>
          </cell>
          <cell r="G62" t="str">
            <v>Electric Pen Drive 60,000 RPM</v>
          </cell>
          <cell r="H62">
            <v>5802</v>
          </cell>
          <cell r="I62" t="str">
            <v>ANNUALLY</v>
          </cell>
          <cell r="J62">
            <v>45924</v>
          </cell>
          <cell r="K62"/>
          <cell r="L62"/>
          <cell r="M62"/>
          <cell r="N62" t="str">
            <v>JABATAN ANESTHESIA</v>
          </cell>
          <cell r="O62" t="str">
            <v>Dewan Bedah Utama (GOT)</v>
          </cell>
        </row>
        <row r="63">
          <cell r="D63" t="str">
            <v>HSAS10013</v>
          </cell>
          <cell r="E63" t="str">
            <v>DRILL, SURGICAL, MULTIPURPOSE W/IRRIGATION</v>
          </cell>
          <cell r="F63" t="str">
            <v>SYNTHES</v>
          </cell>
          <cell r="G63" t="str">
            <v>Electric Pen Drive 60,000 RPM</v>
          </cell>
          <cell r="H63">
            <v>5795</v>
          </cell>
          <cell r="I63" t="str">
            <v>ANNUALLY</v>
          </cell>
          <cell r="J63">
            <v>45924</v>
          </cell>
          <cell r="K63"/>
          <cell r="L63"/>
          <cell r="M63"/>
          <cell r="N63" t="str">
            <v>JABATAN ANESTHESIA</v>
          </cell>
          <cell r="O63" t="str">
            <v>Dewan Bedah Utama (GOT)</v>
          </cell>
        </row>
        <row r="64">
          <cell r="D64" t="str">
            <v>HSAS10014</v>
          </cell>
          <cell r="E64" t="str">
            <v>DRILL, SURGICAL, ORTHO. SMALL BONE, ELECTRIC</v>
          </cell>
          <cell r="F64" t="str">
            <v>SYNTHES</v>
          </cell>
          <cell r="G64" t="str">
            <v>Electric Pen Drive 60,000 RPM</v>
          </cell>
          <cell r="H64">
            <v>5801</v>
          </cell>
          <cell r="I64" t="str">
            <v>ANNUALLY</v>
          </cell>
          <cell r="J64">
            <v>45924</v>
          </cell>
          <cell r="K64"/>
          <cell r="L64"/>
          <cell r="M64"/>
          <cell r="N64" t="str">
            <v>JABATAN ANESTHESIA</v>
          </cell>
          <cell r="O64" t="str">
            <v>Dewan Bedah Utama (GOT)</v>
          </cell>
        </row>
        <row r="65">
          <cell r="D65" t="str">
            <v>HSAS10015</v>
          </cell>
          <cell r="E65" t="str">
            <v>DRILL, SURGICAL, ORTHO. SMALL BONE, ELECTRIC</v>
          </cell>
          <cell r="F65" t="str">
            <v>SYNTHES</v>
          </cell>
          <cell r="G65" t="str">
            <v>Electric Pen Drive 60,000 RPM</v>
          </cell>
          <cell r="H65">
            <v>5804</v>
          </cell>
          <cell r="I65" t="str">
            <v>ANNUALLY</v>
          </cell>
          <cell r="J65">
            <v>45924</v>
          </cell>
          <cell r="K65"/>
          <cell r="L65"/>
          <cell r="M65"/>
          <cell r="N65" t="str">
            <v>JABATAN ANESTHESIA</v>
          </cell>
          <cell r="O65" t="str">
            <v>Dewan Bedah Utama (GOT)</v>
          </cell>
        </row>
        <row r="66">
          <cell r="D66" t="str">
            <v>HSAS10016</v>
          </cell>
          <cell r="E66" t="str">
            <v>DRILL, SURGICAL, SMALL BONE, PNEUMATIC</v>
          </cell>
          <cell r="F66" t="str">
            <v>SYNTHES</v>
          </cell>
          <cell r="G66" t="str">
            <v>COMPACT AIR DRIVE II</v>
          </cell>
          <cell r="H66">
            <v>34144</v>
          </cell>
          <cell r="I66" t="str">
            <v>ANNUALLY</v>
          </cell>
          <cell r="J66">
            <v>45966</v>
          </cell>
          <cell r="K66"/>
          <cell r="L66"/>
          <cell r="M66"/>
          <cell r="N66" t="str">
            <v>JABATAN ANESTHESIA</v>
          </cell>
          <cell r="O66" t="str">
            <v>Dewan Bedah Utama (GOT)</v>
          </cell>
        </row>
        <row r="67">
          <cell r="D67" t="str">
            <v>HSAS10017</v>
          </cell>
          <cell r="E67" t="str">
            <v>DRILL, SURGICAL, SMALL BONE, PNEUMATIC</v>
          </cell>
          <cell r="F67" t="str">
            <v>SYNTHES</v>
          </cell>
          <cell r="G67" t="str">
            <v>COMPACT AIR DRIVE II</v>
          </cell>
          <cell r="H67">
            <v>34150</v>
          </cell>
          <cell r="I67" t="str">
            <v>ANNUALLY</v>
          </cell>
          <cell r="J67">
            <v>45966</v>
          </cell>
          <cell r="K67"/>
          <cell r="L67"/>
          <cell r="M67"/>
          <cell r="N67" t="str">
            <v>JABATAN ANESTHESIA</v>
          </cell>
          <cell r="O67" t="str">
            <v>Dewan Bedah Utama (GOT)</v>
          </cell>
        </row>
        <row r="68">
          <cell r="D68" t="str">
            <v>HSAS10018</v>
          </cell>
          <cell r="E68" t="str">
            <v>DRILL, SURGICAL, SMALL BONE, PNEUMATIC</v>
          </cell>
          <cell r="F68" t="str">
            <v>SYNTHES</v>
          </cell>
          <cell r="G68" t="str">
            <v>COMPACT AIR DRIVE II</v>
          </cell>
          <cell r="H68">
            <v>34156</v>
          </cell>
          <cell r="I68" t="str">
            <v>ANNUALLY</v>
          </cell>
          <cell r="J68">
            <v>45966</v>
          </cell>
          <cell r="K68"/>
          <cell r="L68"/>
          <cell r="M68"/>
          <cell r="N68" t="str">
            <v>JABATAN ANESTHESIA</v>
          </cell>
          <cell r="O68" t="str">
            <v>Dewan Bedah Utama (GOT)</v>
          </cell>
        </row>
        <row r="69">
          <cell r="D69" t="str">
            <v>HSAS10044</v>
          </cell>
          <cell r="E69" t="str">
            <v>MONITOR MODULAR 8-CH ECG/RR/NIBP/SPO2/2TEMP/2IBP</v>
          </cell>
          <cell r="F69" t="str">
            <v>MINDRAY</v>
          </cell>
          <cell r="G69" t="str">
            <v>BENEVIEW T8</v>
          </cell>
          <cell r="H69" t="str">
            <v>N/A</v>
          </cell>
          <cell r="I69" t="str">
            <v>ANNUALLY</v>
          </cell>
          <cell r="J69">
            <v>45978</v>
          </cell>
          <cell r="K69"/>
          <cell r="L69"/>
          <cell r="M69"/>
          <cell r="N69" t="str">
            <v>JABATAN ANESTHESIA</v>
          </cell>
          <cell r="O69" t="str">
            <v>Dewan Bedah Utama (GOT)</v>
          </cell>
        </row>
        <row r="70">
          <cell r="D70" t="str">
            <v>HSAS10051</v>
          </cell>
          <cell r="E70" t="str">
            <v>MONITOR MODULAR 8-CH ECG/RR/NIBP/SPO2/2TEMP/2IBP</v>
          </cell>
          <cell r="F70" t="str">
            <v>MINDRAY</v>
          </cell>
          <cell r="G70" t="str">
            <v>BENEVIEW T8</v>
          </cell>
          <cell r="H70" t="str">
            <v>CF-45122811</v>
          </cell>
          <cell r="I70" t="str">
            <v>ANNUALLY</v>
          </cell>
          <cell r="J70">
            <v>45914</v>
          </cell>
          <cell r="K70"/>
          <cell r="L70"/>
          <cell r="M70"/>
          <cell r="N70" t="str">
            <v>JABATAN ANESTHESIA</v>
          </cell>
          <cell r="O70" t="str">
            <v>Dewan Bedah Utama (GOT)</v>
          </cell>
        </row>
        <row r="71">
          <cell r="D71" t="str">
            <v>HSAS10052</v>
          </cell>
          <cell r="E71" t="str">
            <v>MONITOR 20"</v>
          </cell>
          <cell r="F71" t="str">
            <v>SONY</v>
          </cell>
          <cell r="G71" t="str">
            <v>LMD-2110MD</v>
          </cell>
          <cell r="H71" t="str">
            <v>N/A</v>
          </cell>
          <cell r="I71" t="str">
            <v>ANNUALLY</v>
          </cell>
          <cell r="J71">
            <v>45914</v>
          </cell>
          <cell r="K71"/>
          <cell r="L71"/>
          <cell r="M71"/>
          <cell r="N71" t="str">
            <v>JABATAN ANESTHESIA</v>
          </cell>
          <cell r="O71" t="str">
            <v>Dewan Bedah Utama (GOT)</v>
          </cell>
        </row>
        <row r="72">
          <cell r="D72" t="str">
            <v>HSAS10053</v>
          </cell>
          <cell r="E72" t="str">
            <v>MONITOR 20"</v>
          </cell>
          <cell r="F72" t="str">
            <v>SONY</v>
          </cell>
          <cell r="G72" t="str">
            <v>LMD-2110MD</v>
          </cell>
          <cell r="H72" t="str">
            <v>N/A</v>
          </cell>
          <cell r="I72" t="str">
            <v>ANNUALLY</v>
          </cell>
          <cell r="J72">
            <v>45914</v>
          </cell>
          <cell r="K72"/>
          <cell r="L72"/>
          <cell r="M72"/>
          <cell r="N72" t="str">
            <v>JABATAN ANESTHESIA</v>
          </cell>
          <cell r="O72" t="str">
            <v>Dewan Bedah Utama (GOT)</v>
          </cell>
        </row>
        <row r="73">
          <cell r="D73" t="str">
            <v>HSAS10054</v>
          </cell>
          <cell r="E73" t="str">
            <v>MONITOR MODULAR 8-CH ECG/RR/NIBP/SPO2/2TEMP/2IBP</v>
          </cell>
          <cell r="F73" t="str">
            <v>MINDRAY</v>
          </cell>
          <cell r="G73" t="str">
            <v>BENEVIEW T8</v>
          </cell>
          <cell r="H73" t="str">
            <v>CF-45122818</v>
          </cell>
          <cell r="I73" t="str">
            <v>ANNUALLY</v>
          </cell>
          <cell r="J73">
            <v>45914</v>
          </cell>
          <cell r="K73"/>
          <cell r="L73"/>
          <cell r="M73"/>
          <cell r="N73" t="str">
            <v>JABATAN ANESTHESIA</v>
          </cell>
          <cell r="O73" t="str">
            <v>Dewan Bedah Utama (GOT)</v>
          </cell>
        </row>
        <row r="74">
          <cell r="D74" t="str">
            <v>HSAS10056</v>
          </cell>
          <cell r="E74" t="str">
            <v>MONITOR MODULAR 8-CH ECG/RR/NIBP/SPO2/2TEMP/2IBP</v>
          </cell>
          <cell r="F74" t="str">
            <v>MINDRAY</v>
          </cell>
          <cell r="G74" t="str">
            <v>BENEVIEW T8</v>
          </cell>
          <cell r="H74" t="str">
            <v>CF-45122824</v>
          </cell>
          <cell r="I74" t="str">
            <v>ANNUALLY</v>
          </cell>
          <cell r="J74">
            <v>45799</v>
          </cell>
          <cell r="K74"/>
          <cell r="L74"/>
          <cell r="M74"/>
          <cell r="N74" t="str">
            <v>JABATAN ANESTHESIA</v>
          </cell>
          <cell r="O74" t="str">
            <v>Dewan Bedah Utama (GOT)</v>
          </cell>
        </row>
        <row r="75">
          <cell r="D75" t="str">
            <v>HSAS10057</v>
          </cell>
          <cell r="E75" t="str">
            <v>MONITOR MODULAR 8-CH ECG/RR/NIBP/SPO2/2TEMP/2IBP</v>
          </cell>
          <cell r="F75" t="str">
            <v>MINDRAY</v>
          </cell>
          <cell r="G75" t="str">
            <v>BENEVIEW T8</v>
          </cell>
          <cell r="H75" t="str">
            <v>CF-45122820</v>
          </cell>
          <cell r="I75" t="str">
            <v>ANNUALLY</v>
          </cell>
          <cell r="J75">
            <v>45914</v>
          </cell>
          <cell r="K75"/>
          <cell r="L75"/>
          <cell r="M75"/>
          <cell r="N75" t="str">
            <v>JABATAN ANESTHESIA</v>
          </cell>
          <cell r="O75" t="str">
            <v>Dewan Bedah Utama (GOT)</v>
          </cell>
        </row>
        <row r="76">
          <cell r="D76" t="str">
            <v>HSAS10059</v>
          </cell>
          <cell r="E76" t="str">
            <v>MONITOR 20"</v>
          </cell>
          <cell r="F76" t="str">
            <v>SONY</v>
          </cell>
          <cell r="G76" t="str">
            <v>LMD-2110MD</v>
          </cell>
          <cell r="H76" t="str">
            <v>N/A</v>
          </cell>
          <cell r="I76" t="str">
            <v>ANNUALLY</v>
          </cell>
          <cell r="J76">
            <v>45919</v>
          </cell>
          <cell r="K76"/>
          <cell r="L76"/>
          <cell r="M76"/>
          <cell r="N76" t="str">
            <v>JABATAN ANESTHESIA</v>
          </cell>
          <cell r="O76" t="str">
            <v>Dewan Bedah Utama (GOT)</v>
          </cell>
        </row>
        <row r="77">
          <cell r="D77" t="str">
            <v>HSAS10065</v>
          </cell>
          <cell r="E77" t="str">
            <v>MONITOR MODULAR 8-CH ECG/RR/NIBP/SPO2/2TEMP/2IBP</v>
          </cell>
          <cell r="F77" t="str">
            <v>MINDRAY</v>
          </cell>
          <cell r="G77" t="str">
            <v>BENEVIEW T8</v>
          </cell>
          <cell r="H77" t="str">
            <v>N/A</v>
          </cell>
          <cell r="I77" t="str">
            <v>ANNUALLY</v>
          </cell>
          <cell r="J77">
            <v>45919</v>
          </cell>
          <cell r="K77"/>
          <cell r="L77"/>
          <cell r="M77"/>
          <cell r="N77" t="str">
            <v>JABATAN ANESTHESIA</v>
          </cell>
          <cell r="O77" t="str">
            <v>Dewan Bedah Utama (GOT)</v>
          </cell>
        </row>
        <row r="78">
          <cell r="D78" t="str">
            <v>HSAS10066</v>
          </cell>
          <cell r="E78" t="str">
            <v>MONITOR MODULAR 8-CH ECG/RR/NIBP/SPO2/2TEMP/2IBP</v>
          </cell>
          <cell r="F78" t="str">
            <v>MINDRAY</v>
          </cell>
          <cell r="G78" t="str">
            <v>BENEVIEW T8</v>
          </cell>
          <cell r="H78" t="str">
            <v>CF-45122809</v>
          </cell>
          <cell r="I78" t="str">
            <v>ANNUALLY</v>
          </cell>
          <cell r="J78">
            <v>45803</v>
          </cell>
          <cell r="K78"/>
          <cell r="L78"/>
          <cell r="M78"/>
          <cell r="N78" t="str">
            <v>JABATAN ANESTHESIA</v>
          </cell>
          <cell r="O78" t="str">
            <v>Dewan Bedah Utama (GOT)</v>
          </cell>
        </row>
        <row r="79">
          <cell r="D79" t="str">
            <v>HSAS10067</v>
          </cell>
          <cell r="E79" t="str">
            <v>MONITOR MODULAR 8-CH ECG/RR/NIBP/SPO2/2TEMP/2IBP</v>
          </cell>
          <cell r="F79" t="str">
            <v>MINDRAY</v>
          </cell>
          <cell r="G79" t="str">
            <v>BENEVIEW T8</v>
          </cell>
          <cell r="H79" t="str">
            <v>CF-45122812</v>
          </cell>
          <cell r="I79" t="str">
            <v>ANNUALLY</v>
          </cell>
          <cell r="J79">
            <v>45807</v>
          </cell>
          <cell r="K79"/>
          <cell r="L79"/>
          <cell r="M79"/>
          <cell r="N79" t="str">
            <v>JABATAN ANESTHESIA</v>
          </cell>
          <cell r="O79" t="str">
            <v>Dewan Bedah Utama (GOT)</v>
          </cell>
        </row>
        <row r="80">
          <cell r="D80" t="str">
            <v>HSAS10068</v>
          </cell>
          <cell r="E80" t="str">
            <v>MONITOR MODULAR 8-CH ECG/RR/NIBP/SPO2/2TEMP/2IBP</v>
          </cell>
          <cell r="F80" t="str">
            <v>MINDRAY</v>
          </cell>
          <cell r="G80" t="str">
            <v>BENEVIEW T8</v>
          </cell>
          <cell r="H80" t="str">
            <v>CF-45122781</v>
          </cell>
          <cell r="I80" t="str">
            <v>ANNUALLY</v>
          </cell>
          <cell r="J80">
            <v>45807</v>
          </cell>
          <cell r="K80"/>
          <cell r="L80"/>
          <cell r="M80"/>
          <cell r="N80" t="str">
            <v>JABATAN ANESTHESIA</v>
          </cell>
          <cell r="O80" t="str">
            <v>Dewan Bedah Utama (GOT)</v>
          </cell>
        </row>
        <row r="81">
          <cell r="D81" t="str">
            <v>HSAS10070</v>
          </cell>
          <cell r="E81" t="str">
            <v>MONITOR MODULAR 8-CH ECG/RR/NIBP/SPO2/2TEMP/2IBP</v>
          </cell>
          <cell r="F81" t="str">
            <v>MINDRAY</v>
          </cell>
          <cell r="G81" t="str">
            <v>BENEVIEW T8</v>
          </cell>
          <cell r="H81" t="str">
            <v>CF-45122773</v>
          </cell>
          <cell r="I81" t="str">
            <v>ANNUALLY</v>
          </cell>
          <cell r="J81">
            <v>45904</v>
          </cell>
          <cell r="K81"/>
          <cell r="L81"/>
          <cell r="M81"/>
          <cell r="N81" t="str">
            <v>JABATAN ANESTHESIA</v>
          </cell>
          <cell r="O81" t="str">
            <v>Dewan Bedah Utama (GOT)</v>
          </cell>
        </row>
        <row r="82">
          <cell r="D82" t="str">
            <v>HSAS10074</v>
          </cell>
          <cell r="E82" t="str">
            <v>LARYNGOSCOPE C/W 3 BLADES ADULT</v>
          </cell>
          <cell r="F82" t="str">
            <v>WELCH ALLYN</v>
          </cell>
          <cell r="G82" t="str">
            <v>WELCH ALLYN</v>
          </cell>
          <cell r="H82" t="str">
            <v>N/A</v>
          </cell>
          <cell r="I82" t="str">
            <v>ANNUALLY</v>
          </cell>
          <cell r="J82">
            <v>45934</v>
          </cell>
          <cell r="K82"/>
          <cell r="L82"/>
          <cell r="M82"/>
          <cell r="N82" t="str">
            <v>JABATAN ANESTHESIA</v>
          </cell>
          <cell r="O82" t="str">
            <v>Dewan Bedah Utama (GOT)</v>
          </cell>
        </row>
        <row r="83">
          <cell r="D83" t="str">
            <v>HSAS10075</v>
          </cell>
          <cell r="E83" t="str">
            <v>MONITOR MODULAR 8-CH ECG/RR/NIBP/SPO2/2TEMP/2IBP</v>
          </cell>
          <cell r="F83" t="str">
            <v>MINDRAY</v>
          </cell>
          <cell r="G83" t="str">
            <v>BENEVIEW T8</v>
          </cell>
          <cell r="H83" t="str">
            <v>CF-45122782</v>
          </cell>
          <cell r="I83" t="str">
            <v>ANNUALLY</v>
          </cell>
          <cell r="J83">
            <v>45807</v>
          </cell>
          <cell r="K83"/>
          <cell r="L83"/>
          <cell r="M83"/>
          <cell r="N83" t="str">
            <v>JABATAN ANESTHESIA</v>
          </cell>
          <cell r="O83" t="str">
            <v>Dewan Bedah Utama (GOT)</v>
          </cell>
        </row>
        <row r="84">
          <cell r="D84" t="str">
            <v>HSAS10076</v>
          </cell>
          <cell r="E84" t="str">
            <v>LARYNGOSCOPE C/W 3 BLADES ADULT</v>
          </cell>
          <cell r="F84" t="str">
            <v>WELCH ALLYN</v>
          </cell>
          <cell r="G84" t="str">
            <v>WELCH ALLYN</v>
          </cell>
          <cell r="H84" t="str">
            <v>N/A</v>
          </cell>
          <cell r="I84" t="str">
            <v>ANNUALLY</v>
          </cell>
          <cell r="J84">
            <v>45934</v>
          </cell>
          <cell r="K84"/>
          <cell r="L84"/>
          <cell r="M84"/>
          <cell r="N84" t="str">
            <v>JABATAN ANESTHESIA</v>
          </cell>
          <cell r="O84" t="str">
            <v>Dewan Bedah Utama (GOT)</v>
          </cell>
        </row>
        <row r="85">
          <cell r="D85" t="str">
            <v>HSAS10078</v>
          </cell>
          <cell r="E85" t="str">
            <v>LARYNGOSCOPE C/W 3 BLADES ADULT</v>
          </cell>
          <cell r="F85" t="str">
            <v>WELCH ALLYN</v>
          </cell>
          <cell r="G85" t="str">
            <v>WELCH ALLYN</v>
          </cell>
          <cell r="H85" t="str">
            <v>N/A</v>
          </cell>
          <cell r="I85" t="str">
            <v>ANNUALLY</v>
          </cell>
          <cell r="J85">
            <v>45934</v>
          </cell>
          <cell r="K85"/>
          <cell r="L85"/>
          <cell r="M85"/>
          <cell r="N85" t="str">
            <v>JABATAN ANESTHESIA</v>
          </cell>
          <cell r="O85" t="str">
            <v>Dewan Bedah Utama (GOT)</v>
          </cell>
        </row>
        <row r="86">
          <cell r="D86" t="str">
            <v>HSAS10079</v>
          </cell>
          <cell r="E86" t="str">
            <v>LARYNGOSCOPE C/W 3 BLADES ADULT</v>
          </cell>
          <cell r="F86" t="str">
            <v>WELCH ALLYN</v>
          </cell>
          <cell r="G86" t="str">
            <v>WELCH ALLYN</v>
          </cell>
          <cell r="H86" t="str">
            <v>N/A</v>
          </cell>
          <cell r="I86" t="str">
            <v>ANNUALLY</v>
          </cell>
          <cell r="J86">
            <v>45934</v>
          </cell>
          <cell r="K86"/>
          <cell r="L86"/>
          <cell r="M86"/>
          <cell r="N86" t="str">
            <v>JABATAN ANESTHESIA</v>
          </cell>
          <cell r="O86" t="str">
            <v>Dewan Bedah Utama (GOT)</v>
          </cell>
        </row>
        <row r="87">
          <cell r="D87" t="str">
            <v>HSAS10080</v>
          </cell>
          <cell r="E87" t="str">
            <v>MONITOR MODULAR 8-CH ECG/RR/NIBP/SPO2/2TEMP/2IBP</v>
          </cell>
          <cell r="F87" t="str">
            <v>MINDRAY</v>
          </cell>
          <cell r="G87" t="str">
            <v>BENEVIEW T8</v>
          </cell>
          <cell r="H87" t="str">
            <v>CF-45122821</v>
          </cell>
          <cell r="I87" t="str">
            <v>ANNUALLY</v>
          </cell>
          <cell r="J87">
            <v>45807</v>
          </cell>
          <cell r="K87"/>
          <cell r="L87"/>
          <cell r="M87"/>
          <cell r="N87" t="str">
            <v>JABATAN ANESTHESIA</v>
          </cell>
          <cell r="O87" t="str">
            <v>Dewan Bedah Utama (GOT)</v>
          </cell>
        </row>
        <row r="88">
          <cell r="D88" t="str">
            <v>HSAS10081</v>
          </cell>
          <cell r="E88" t="str">
            <v>LARYNGOSCOPE C/W 3 BLADES ADULT</v>
          </cell>
          <cell r="F88" t="str">
            <v>WELCH ALLYN</v>
          </cell>
          <cell r="G88" t="str">
            <v>WELCH ALLYN</v>
          </cell>
          <cell r="H88" t="str">
            <v>N/A</v>
          </cell>
          <cell r="I88" t="str">
            <v>ANNUALLY</v>
          </cell>
          <cell r="J88">
            <v>45934</v>
          </cell>
          <cell r="K88"/>
          <cell r="L88"/>
          <cell r="M88"/>
          <cell r="N88" t="str">
            <v>JABATAN ANESTHESIA</v>
          </cell>
          <cell r="O88" t="str">
            <v>Dewan Bedah Utama (GOT)</v>
          </cell>
        </row>
        <row r="89">
          <cell r="D89" t="str">
            <v>HSAS10082</v>
          </cell>
          <cell r="E89" t="str">
            <v>LARYNGOSCOPE C/W 3 BLADES ADULT</v>
          </cell>
          <cell r="F89" t="str">
            <v>WELCH ALLYN</v>
          </cell>
          <cell r="G89" t="str">
            <v>WELCH ALLYN</v>
          </cell>
          <cell r="H89" t="str">
            <v>N/A</v>
          </cell>
          <cell r="I89" t="str">
            <v>ANNUALLY</v>
          </cell>
          <cell r="J89">
            <v>45934</v>
          </cell>
          <cell r="K89"/>
          <cell r="L89"/>
          <cell r="M89"/>
          <cell r="N89" t="str">
            <v>JABATAN ANESTHESIA</v>
          </cell>
          <cell r="O89" t="str">
            <v>Dewan Bedah Utama (GOT)</v>
          </cell>
        </row>
        <row r="90">
          <cell r="D90" t="str">
            <v>HSAS10083</v>
          </cell>
          <cell r="E90" t="str">
            <v>LARYNGOSCOPE C/W 3 BLADES ADULT</v>
          </cell>
          <cell r="F90" t="str">
            <v>WELCH ALLYN</v>
          </cell>
          <cell r="G90" t="str">
            <v>WELCH ALLYN</v>
          </cell>
          <cell r="H90" t="str">
            <v>N/A</v>
          </cell>
          <cell r="I90" t="str">
            <v>ANNUALLY</v>
          </cell>
          <cell r="J90">
            <v>45944</v>
          </cell>
          <cell r="K90"/>
          <cell r="L90"/>
          <cell r="M90"/>
          <cell r="N90" t="str">
            <v>JABATAN ANESTHESIA</v>
          </cell>
          <cell r="O90" t="str">
            <v>Dewan Bedah Utama (GOT)</v>
          </cell>
        </row>
        <row r="91">
          <cell r="D91" t="str">
            <v>HSAS10086</v>
          </cell>
          <cell r="E91" t="str">
            <v>LARYNGOSCOPE C/W 3 BLADES ADULT</v>
          </cell>
          <cell r="F91" t="str">
            <v>WELCH ALLYN</v>
          </cell>
          <cell r="G91" t="str">
            <v>WELCH ALLYN</v>
          </cell>
          <cell r="H91" t="str">
            <v>N/A</v>
          </cell>
          <cell r="I91" t="str">
            <v>ANNUALLY</v>
          </cell>
          <cell r="J91">
            <v>45944</v>
          </cell>
          <cell r="K91"/>
          <cell r="L91"/>
          <cell r="M91"/>
          <cell r="N91" t="str">
            <v>JABATAN ANESTHESIA</v>
          </cell>
          <cell r="O91" t="str">
            <v>Dewan Bedah Utama (GOT)</v>
          </cell>
        </row>
        <row r="92">
          <cell r="D92" t="str">
            <v>HSAS10087</v>
          </cell>
          <cell r="E92" t="str">
            <v>LARYNGOSCOPE C/W 3 BLADES ADULT</v>
          </cell>
          <cell r="F92" t="str">
            <v>WELCH ALLYN</v>
          </cell>
          <cell r="G92" t="str">
            <v>WELCH ALLYN</v>
          </cell>
          <cell r="H92" t="str">
            <v>N/A</v>
          </cell>
          <cell r="I92" t="str">
            <v>ANNUALLY</v>
          </cell>
          <cell r="J92">
            <v>45944</v>
          </cell>
          <cell r="K92"/>
          <cell r="L92"/>
          <cell r="M92"/>
          <cell r="N92" t="str">
            <v>JABATAN ANESTHESIA</v>
          </cell>
          <cell r="O92" t="str">
            <v>Dewan Bedah Utama (GOT)</v>
          </cell>
        </row>
        <row r="93">
          <cell r="D93" t="str">
            <v>HSAS10090</v>
          </cell>
          <cell r="E93" t="str">
            <v>LARYNGOSCOPE C/W 3 BLADES ADULT</v>
          </cell>
          <cell r="F93" t="str">
            <v>WELCH ALLYN</v>
          </cell>
          <cell r="G93" t="str">
            <v>WELCH ALLYN</v>
          </cell>
          <cell r="H93" t="str">
            <v>N/A</v>
          </cell>
          <cell r="I93" t="str">
            <v>ANNUALLY</v>
          </cell>
          <cell r="J93">
            <v>45944</v>
          </cell>
          <cell r="K93"/>
          <cell r="L93"/>
          <cell r="M93"/>
          <cell r="N93" t="str">
            <v>JABATAN ANESTHESIA</v>
          </cell>
          <cell r="O93" t="str">
            <v>Dewan Bedah Utama (GOT)</v>
          </cell>
        </row>
        <row r="94">
          <cell r="D94" t="str">
            <v>HSAS10097</v>
          </cell>
          <cell r="E94" t="str">
            <v>PUMP LIQUID MEDIA, ARTHROSCOPY</v>
          </cell>
          <cell r="F94" t="str">
            <v>CONMED LINVATEC</v>
          </cell>
          <cell r="G94" t="str">
            <v>10k</v>
          </cell>
          <cell r="H94" t="str">
            <v>N/A</v>
          </cell>
          <cell r="I94" t="str">
            <v>ANNUALLY</v>
          </cell>
          <cell r="J94">
            <v>45964</v>
          </cell>
          <cell r="K94"/>
          <cell r="L94"/>
          <cell r="M94"/>
          <cell r="N94" t="str">
            <v>JABATAN ANESTHESIA</v>
          </cell>
          <cell r="O94" t="str">
            <v>Dewan Bedah Utama (GOT)</v>
          </cell>
        </row>
        <row r="95">
          <cell r="D95" t="str">
            <v>HSAS10098 (HSAS13581)</v>
          </cell>
          <cell r="E95" t="str">
            <v>Ortho drill</v>
          </cell>
          <cell r="F95" t="str">
            <v>Asculap</v>
          </cell>
          <cell r="G95" t="str">
            <v>Acculan</v>
          </cell>
          <cell r="H95" t="str">
            <v>001851</v>
          </cell>
          <cell r="I95" t="str">
            <v>ANNUALLY</v>
          </cell>
          <cell r="J95">
            <v>45964</v>
          </cell>
          <cell r="K95"/>
          <cell r="L95"/>
          <cell r="M95"/>
          <cell r="N95" t="str">
            <v>JABATAN ANESTHESIA</v>
          </cell>
          <cell r="O95" t="str">
            <v>Dewan Bedah Utama (GOT)</v>
          </cell>
        </row>
        <row r="96">
          <cell r="D96" t="str">
            <v>HSAS10099 (HSAS13582)</v>
          </cell>
          <cell r="E96" t="str">
            <v>Ortho drill</v>
          </cell>
          <cell r="F96" t="str">
            <v>Asculap</v>
          </cell>
          <cell r="G96" t="str">
            <v>Aculan</v>
          </cell>
          <cell r="H96" t="str">
            <v>000692</v>
          </cell>
          <cell r="I96" t="str">
            <v>ANNUALLY</v>
          </cell>
          <cell r="J96">
            <v>45964</v>
          </cell>
          <cell r="K96"/>
          <cell r="L96"/>
          <cell r="M96"/>
          <cell r="N96" t="str">
            <v>JABATAN ANESTHESIA</v>
          </cell>
          <cell r="O96" t="str">
            <v>Dewan Bedah Utama (GOT)</v>
          </cell>
        </row>
        <row r="97">
          <cell r="D97" t="str">
            <v>HSAS10100 (HSAS13585)</v>
          </cell>
          <cell r="E97" t="str">
            <v>Ortho drill</v>
          </cell>
          <cell r="F97" t="str">
            <v>Asculap</v>
          </cell>
          <cell r="G97" t="str">
            <v>Aculan</v>
          </cell>
          <cell r="H97" t="str">
            <v>001852</v>
          </cell>
          <cell r="I97" t="str">
            <v>ANNUALLY</v>
          </cell>
          <cell r="J97">
            <v>45964</v>
          </cell>
          <cell r="K97"/>
          <cell r="L97"/>
          <cell r="M97"/>
          <cell r="N97" t="str">
            <v>JABATAN ANESTHESIA</v>
          </cell>
          <cell r="O97" t="str">
            <v>Dewan Bedah Utama (GOT)</v>
          </cell>
        </row>
        <row r="98">
          <cell r="D98" t="str">
            <v>HSAS10101</v>
          </cell>
          <cell r="E98" t="str">
            <v>HARMONIC SCALPEL</v>
          </cell>
          <cell r="F98" t="str">
            <v>ETHICON</v>
          </cell>
          <cell r="G98" t="str">
            <v>EES GENERATOR (GEN11)</v>
          </cell>
          <cell r="H98">
            <v>1111449201</v>
          </cell>
          <cell r="I98" t="str">
            <v>ANNUALLY</v>
          </cell>
          <cell r="J98">
            <v>45966</v>
          </cell>
          <cell r="K98"/>
          <cell r="L98"/>
          <cell r="M98"/>
          <cell r="N98" t="str">
            <v>JABATAN ANESTHESIA</v>
          </cell>
          <cell r="O98" t="str">
            <v>Dewan Bedah Utama (GOT)</v>
          </cell>
        </row>
        <row r="99">
          <cell r="D99" t="str">
            <v>KKM/JKN/HSA/062678/H/12/203</v>
          </cell>
          <cell r="E99" t="str">
            <v>MICROSCOPE</v>
          </cell>
          <cell r="F99" t="str">
            <v>CARL ZEISS</v>
          </cell>
          <cell r="G99" t="str">
            <v>OPMI LUMERA 700</v>
          </cell>
          <cell r="H99" t="str">
            <v>6634122024 (038-040482)</v>
          </cell>
          <cell r="I99" t="str">
            <v>ANNUALLY</v>
          </cell>
          <cell r="J99">
            <v>45970</v>
          </cell>
          <cell r="K99"/>
          <cell r="L99"/>
          <cell r="M99"/>
          <cell r="N99" t="str">
            <v>JABATAN ANESTHESIA</v>
          </cell>
          <cell r="O99" t="str">
            <v>Dewan Bedah Utama (GOT)</v>
          </cell>
        </row>
        <row r="100">
          <cell r="D100" t="str">
            <v xml:space="preserve">KKM/JKN/HSA/10-05-01/H/15/2533 </v>
          </cell>
          <cell r="E100" t="str">
            <v>X-RAY MESIN C ARM</v>
          </cell>
          <cell r="F100" t="str">
            <v>SIEMENS</v>
          </cell>
          <cell r="G100" t="str">
            <v>SIREMOBIL COMPACT L</v>
          </cell>
          <cell r="H100">
            <v>32447</v>
          </cell>
          <cell r="I100" t="str">
            <v>SEMI ANNUALLY</v>
          </cell>
          <cell r="J100">
            <v>45724</v>
          </cell>
          <cell r="K100">
            <v>45907</v>
          </cell>
          <cell r="L100"/>
          <cell r="M100"/>
          <cell r="N100" t="str">
            <v>JABATAN ANESTHESIA</v>
          </cell>
          <cell r="O100" t="str">
            <v>Dewan Bedah Utama (GOT)</v>
          </cell>
        </row>
        <row r="101">
          <cell r="D101" t="str">
            <v>KKM/JKN/HSA/10-05-01/H/15/4877</v>
          </cell>
          <cell r="E101" t="str">
            <v>LAMP OPERATING MAJOR + SATELLITE C/W UPS</v>
          </cell>
          <cell r="F101" t="str">
            <v>TRUMPF MEDIZIN</v>
          </cell>
          <cell r="G101" t="str">
            <v>TRULIGHT 5300/5300</v>
          </cell>
          <cell r="H101" t="str">
            <v>102108727 / 102107331</v>
          </cell>
          <cell r="I101" t="str">
            <v>ANNUALLY</v>
          </cell>
          <cell r="J101">
            <v>45738</v>
          </cell>
          <cell r="K101"/>
          <cell r="L101"/>
          <cell r="M101"/>
          <cell r="N101" t="str">
            <v>JABATAN ANESTHESIA</v>
          </cell>
          <cell r="O101" t="str">
            <v>Dewan Bedah Utama (GOT)</v>
          </cell>
        </row>
        <row r="102">
          <cell r="D102" t="str">
            <v>KKM/JKN/HSA/10-05-01/H/15/4879</v>
          </cell>
          <cell r="E102" t="str">
            <v>LAMP OPERATING MAJOR + SATELLITE C/W UPS</v>
          </cell>
          <cell r="F102" t="str">
            <v>TRUMPF MEDIZIN</v>
          </cell>
          <cell r="G102" t="str">
            <v>TRULIGHT 5300/5300</v>
          </cell>
          <cell r="H102" t="str">
            <v>102107341 / 102107330</v>
          </cell>
          <cell r="I102" t="str">
            <v>ANNUALLY</v>
          </cell>
          <cell r="J102">
            <v>45738</v>
          </cell>
          <cell r="K102"/>
          <cell r="L102"/>
          <cell r="M102"/>
          <cell r="N102" t="str">
            <v>JABATAN ANESTHESIA</v>
          </cell>
          <cell r="O102" t="str">
            <v>Dewan Bedah Utama (GOT)</v>
          </cell>
        </row>
        <row r="103">
          <cell r="D103" t="str">
            <v>KKM/JKN/HSA/10-05-01/H/15/4881</v>
          </cell>
          <cell r="E103" t="str">
            <v>LAMP OPERATING MAJOR + SATELLITE C/W UPS</v>
          </cell>
          <cell r="F103" t="str">
            <v>TRUMPF MEDIZIN</v>
          </cell>
          <cell r="G103" t="str">
            <v>TRULIGHT 5300/5300</v>
          </cell>
          <cell r="H103" t="str">
            <v>102107334 / 102113642</v>
          </cell>
          <cell r="I103" t="str">
            <v>ANNUALLY</v>
          </cell>
          <cell r="J103">
            <v>45738</v>
          </cell>
          <cell r="K103"/>
          <cell r="L103"/>
          <cell r="M103"/>
          <cell r="N103" t="str">
            <v>JABATAN ANESTHESIA</v>
          </cell>
          <cell r="O103" t="str">
            <v>Dewan Bedah Utama (GOT)</v>
          </cell>
        </row>
        <row r="104">
          <cell r="D104" t="str">
            <v>KKM/JKN/HSA/10-05-01/H/15/4882</v>
          </cell>
          <cell r="E104" t="str">
            <v>LAMP OPERATING MAJOR + SATELLITE C/W UPS</v>
          </cell>
          <cell r="F104" t="str">
            <v>TRUMPF MEDIZIN</v>
          </cell>
          <cell r="G104" t="str">
            <v>TRULIGHT 5300/5300</v>
          </cell>
          <cell r="H104" t="str">
            <v>102107332 / 102108726</v>
          </cell>
          <cell r="I104" t="str">
            <v>ANNUALLY</v>
          </cell>
          <cell r="J104">
            <v>45832</v>
          </cell>
          <cell r="K104"/>
          <cell r="L104"/>
          <cell r="M104"/>
          <cell r="N104" t="str">
            <v>JABATAN ANESTHESIA</v>
          </cell>
          <cell r="O104" t="str">
            <v>Dewan Bedah Utama (GOT)</v>
          </cell>
        </row>
        <row r="105">
          <cell r="D105" t="str">
            <v>KKM/JKN/HSA/10-05-01/H/15/4883</v>
          </cell>
          <cell r="E105" t="str">
            <v>LAMP OPERATING MAJOR + SATELLITE C/W UPS</v>
          </cell>
          <cell r="F105" t="str">
            <v>TRUMPF MEDIZIN</v>
          </cell>
          <cell r="G105" t="str">
            <v>TRULIGHT 5300/5300</v>
          </cell>
          <cell r="H105" t="str">
            <v>102107337 / 102108731</v>
          </cell>
          <cell r="I105" t="str">
            <v>ANNUALLY</v>
          </cell>
          <cell r="J105">
            <v>45832</v>
          </cell>
          <cell r="K105"/>
          <cell r="L105"/>
          <cell r="M105"/>
          <cell r="N105" t="str">
            <v>JABATAN ANESTHESIA</v>
          </cell>
          <cell r="O105" t="str">
            <v>Dewan Bedah Utama (GOT)</v>
          </cell>
        </row>
        <row r="106">
          <cell r="D106" t="str">
            <v>KKM/JKN/HSA/10-05-01/H/15/5058</v>
          </cell>
          <cell r="E106" t="str">
            <v>VITRECTOMY MICRO UNIT ANT/POST</v>
          </cell>
          <cell r="F106" t="str">
            <v>BAUSCH LOMB</v>
          </cell>
          <cell r="G106" t="str">
            <v>STELLARIS PC</v>
          </cell>
          <cell r="H106" t="str">
            <v>SPC 01868</v>
          </cell>
          <cell r="I106" t="str">
            <v>ANNUALLY</v>
          </cell>
          <cell r="J106">
            <v>45990</v>
          </cell>
          <cell r="K106"/>
          <cell r="L106"/>
          <cell r="M106"/>
          <cell r="N106" t="str">
            <v>JABATAN ANESTHESIA</v>
          </cell>
          <cell r="O106" t="str">
            <v>Dewan Bedah Utama (GOT)</v>
          </cell>
        </row>
        <row r="107">
          <cell r="D107" t="str">
            <v>KKM/JKN/HSA/10-05-01/H/15/5110</v>
          </cell>
          <cell r="E107" t="str">
            <v>TOURNIQUET PNEUMATIC ONE CUFF</v>
          </cell>
          <cell r="F107" t="str">
            <v>ZIMMER</v>
          </cell>
          <cell r="G107" t="str">
            <v>ATS4000TS</v>
          </cell>
          <cell r="H107">
            <v>401506200016</v>
          </cell>
          <cell r="I107" t="str">
            <v>ANNUALLY</v>
          </cell>
          <cell r="J107">
            <v>45882</v>
          </cell>
          <cell r="K107"/>
          <cell r="L107"/>
          <cell r="M107"/>
          <cell r="N107" t="str">
            <v>JABATAN ANESTHESIA</v>
          </cell>
          <cell r="O107" t="str">
            <v>Dewan Bedah Utama (GOT)</v>
          </cell>
        </row>
        <row r="108">
          <cell r="D108" t="str">
            <v>KKM/JKN/HSA/10-05-01/H/15/5111</v>
          </cell>
          <cell r="E108" t="str">
            <v>TOURNIQUET PNEUMATIC ONE CUFF</v>
          </cell>
          <cell r="F108" t="str">
            <v>ZIMMER</v>
          </cell>
          <cell r="G108" t="str">
            <v>ATS4000TS</v>
          </cell>
          <cell r="H108" t="str">
            <v>401506200015</v>
          </cell>
          <cell r="I108" t="str">
            <v>ANNUALLY</v>
          </cell>
          <cell r="J108">
            <v>45823</v>
          </cell>
          <cell r="K108"/>
          <cell r="L108"/>
          <cell r="M108"/>
          <cell r="N108" t="str">
            <v>JABATAN ANESTHESIA</v>
          </cell>
          <cell r="O108" t="str">
            <v>Dewan Bedah Utama (GOT)</v>
          </cell>
        </row>
        <row r="109">
          <cell r="D109" t="str">
            <v>KKM/JKN/HSA/10-05-01/H/16/43</v>
          </cell>
          <cell r="E109" t="str">
            <v>CHOLEDOSCHOPE</v>
          </cell>
          <cell r="F109" t="str">
            <v>KARL STORZ</v>
          </cell>
          <cell r="G109" t="str">
            <v>TPM</v>
          </cell>
          <cell r="H109">
            <v>2224668</v>
          </cell>
          <cell r="I109" t="str">
            <v>ANNUALLY</v>
          </cell>
          <cell r="J109">
            <v>45891</v>
          </cell>
          <cell r="K109"/>
          <cell r="L109"/>
          <cell r="M109"/>
          <cell r="N109" t="str">
            <v>JABATAN ANESTHESIA</v>
          </cell>
          <cell r="O109" t="str">
            <v>Dewan Bedah Utama (GOT)</v>
          </cell>
        </row>
        <row r="110">
          <cell r="D110" t="str">
            <v>KKM/JKN/HSA/10-05-01/R/15/17357</v>
          </cell>
          <cell r="E110" t="str">
            <v>VIDEO RECORDER</v>
          </cell>
          <cell r="F110" t="str">
            <v>PANASONIC</v>
          </cell>
          <cell r="G110" t="str">
            <v>DMR-EH59</v>
          </cell>
          <cell r="H110" t="str">
            <v>VN4HC001015</v>
          </cell>
          <cell r="I110" t="str">
            <v>ANNUALLY</v>
          </cell>
          <cell r="J110">
            <v>45920</v>
          </cell>
          <cell r="K110"/>
          <cell r="L110"/>
          <cell r="M110"/>
          <cell r="N110" t="str">
            <v>JABATAN ANESTHESIA</v>
          </cell>
          <cell r="O110" t="str">
            <v>Dewan Bedah Utama (GOT)</v>
          </cell>
        </row>
        <row r="111">
          <cell r="D111" t="str">
            <v>KKM/JKN/HSA/10-05-01/R/15/17358</v>
          </cell>
          <cell r="E111" t="str">
            <v>VIDEO RECORDER</v>
          </cell>
          <cell r="F111" t="str">
            <v>PANASONIC</v>
          </cell>
          <cell r="G111" t="str">
            <v>DMR-EH59</v>
          </cell>
          <cell r="H111" t="str">
            <v>VN4HC001036</v>
          </cell>
          <cell r="I111" t="str">
            <v>ANNUALLY</v>
          </cell>
          <cell r="J111">
            <v>45920</v>
          </cell>
          <cell r="K111"/>
          <cell r="L111"/>
          <cell r="M111"/>
          <cell r="N111" t="str">
            <v>JABATAN ANESTHESIA</v>
          </cell>
          <cell r="O111" t="str">
            <v>Dewan Bedah Utama (GOT)</v>
          </cell>
        </row>
        <row r="112">
          <cell r="D112" t="str">
            <v>KKM/JKN/HSA/10-05-01/R/15/6818</v>
          </cell>
          <cell r="E112" t="str">
            <v>LIGHT GUIDE 3.5MM</v>
          </cell>
          <cell r="F112" t="str">
            <v>OLYMPUS</v>
          </cell>
          <cell r="G112" t="str">
            <v>CLV-190</v>
          </cell>
          <cell r="H112" t="str">
            <v>N/A</v>
          </cell>
          <cell r="I112" t="str">
            <v>ANNUALLY</v>
          </cell>
          <cell r="J112">
            <v>45944</v>
          </cell>
          <cell r="K112"/>
          <cell r="L112"/>
          <cell r="M112"/>
          <cell r="N112" t="str">
            <v>JABATAN ANESTHESIA</v>
          </cell>
          <cell r="O112" t="str">
            <v>Dewan Bedah Utama (GOT)</v>
          </cell>
        </row>
        <row r="113">
          <cell r="D113" t="str">
            <v>KKM/JKN/HSA/10-05-01/R/15/6819</v>
          </cell>
          <cell r="E113" t="str">
            <v>LIGHT GUIDE 3.5MM</v>
          </cell>
          <cell r="F113" t="str">
            <v>OLYMPUS</v>
          </cell>
          <cell r="G113" t="str">
            <v>CLV-190</v>
          </cell>
          <cell r="H113" t="str">
            <v>N/A</v>
          </cell>
          <cell r="I113" t="str">
            <v>ANNUALLY</v>
          </cell>
          <cell r="J113">
            <v>45944</v>
          </cell>
          <cell r="K113"/>
          <cell r="L113"/>
          <cell r="M113"/>
          <cell r="N113" t="str">
            <v>JABATAN ANESTHESIA</v>
          </cell>
          <cell r="O113" t="str">
            <v>Dewan Bedah Utama (GOT)</v>
          </cell>
        </row>
        <row r="114">
          <cell r="D114" t="str">
            <v>KKM/JKN/HSA/10-05-01/R/15/6821</v>
          </cell>
          <cell r="E114" t="str">
            <v>LIGHT GUIDE 3.5MM</v>
          </cell>
          <cell r="F114" t="str">
            <v>OLYMPUS</v>
          </cell>
          <cell r="G114" t="str">
            <v>VARIOUS</v>
          </cell>
          <cell r="H114" t="str">
            <v>N/A</v>
          </cell>
          <cell r="I114" t="str">
            <v>ANNUALLY</v>
          </cell>
          <cell r="J114">
            <v>45931</v>
          </cell>
          <cell r="K114"/>
          <cell r="L114"/>
          <cell r="M114"/>
          <cell r="N114" t="str">
            <v>JABATAN ANESTHESIA</v>
          </cell>
          <cell r="O114" t="str">
            <v>Dewan Bedah Utama (GOT)</v>
          </cell>
        </row>
        <row r="115">
          <cell r="D115" t="str">
            <v>KKM/JKN/HSA/10-05-01/R/15/7338</v>
          </cell>
          <cell r="E115" t="str">
            <v>SUCTION UNIT TWIN JAR PIPELINE</v>
          </cell>
          <cell r="F115" t="str">
            <v>CLEMENTS MEDICAL EQUIP</v>
          </cell>
          <cell r="G115" t="str">
            <v xml:space="preserve"> SUC89240</v>
          </cell>
          <cell r="H115" t="str">
            <v>N/A</v>
          </cell>
          <cell r="I115" t="str">
            <v>ANNUALLY</v>
          </cell>
          <cell r="J115">
            <v>46014</v>
          </cell>
          <cell r="K115"/>
          <cell r="L115"/>
          <cell r="M115"/>
          <cell r="N115" t="str">
            <v>JABATAN ANESTHESIA</v>
          </cell>
          <cell r="O115" t="str">
            <v>Dewan Bedah Utama (GOT)</v>
          </cell>
        </row>
        <row r="116">
          <cell r="D116" t="str">
            <v>KKM/JKN/HSA/10-05-01/R/15/7340</v>
          </cell>
          <cell r="E116" t="str">
            <v>SUCTION UNIT TWIN JAR PIPELINE</v>
          </cell>
          <cell r="F116" t="str">
            <v>CLEMENTS MEDICAL EQUIP</v>
          </cell>
          <cell r="G116" t="str">
            <v xml:space="preserve"> SUC89240</v>
          </cell>
          <cell r="H116" t="str">
            <v>N/A</v>
          </cell>
          <cell r="I116" t="str">
            <v>ANNUALLY</v>
          </cell>
          <cell r="J116">
            <v>46014</v>
          </cell>
          <cell r="K116"/>
          <cell r="L116"/>
          <cell r="M116"/>
          <cell r="N116" t="str">
            <v>JABATAN ANESTHESIA</v>
          </cell>
          <cell r="O116" t="str">
            <v>Dewan Bedah Utama (GOT)</v>
          </cell>
        </row>
        <row r="117">
          <cell r="D117" t="str">
            <v>KKM/JKN/HSA/10-05-01/R/15/7341</v>
          </cell>
          <cell r="E117" t="str">
            <v>SUCTION UNIT TWIN JAR PIPELINE</v>
          </cell>
          <cell r="F117" t="str">
            <v>CLEMENTS MEDICAL EQUIP</v>
          </cell>
          <cell r="G117" t="str">
            <v xml:space="preserve"> SUC89240</v>
          </cell>
          <cell r="H117" t="str">
            <v>N/A</v>
          </cell>
          <cell r="I117" t="str">
            <v>ANNUALLY</v>
          </cell>
          <cell r="J117">
            <v>46014</v>
          </cell>
          <cell r="K117"/>
          <cell r="L117"/>
          <cell r="M117"/>
          <cell r="N117" t="str">
            <v>JABATAN ANESTHESIA</v>
          </cell>
          <cell r="O117" t="str">
            <v>Dewan Bedah Utama (GOT)</v>
          </cell>
        </row>
        <row r="118">
          <cell r="D118" t="str">
            <v>HSAS10055</v>
          </cell>
          <cell r="E118" t="str">
            <v>PATIENT MONITORING EQUIP.(AUTOMATIC MULTIPARAMETER)</v>
          </cell>
          <cell r="F118" t="str">
            <v>MINDRAY</v>
          </cell>
          <cell r="G118" t="str">
            <v>BENEVIEW T8</v>
          </cell>
          <cell r="H118" t="str">
            <v>CF-45122822</v>
          </cell>
          <cell r="I118" t="str">
            <v>ANNUALLY</v>
          </cell>
          <cell r="J118">
            <v>45838</v>
          </cell>
          <cell r="K118"/>
          <cell r="L118"/>
          <cell r="M118"/>
          <cell r="N118" t="str">
            <v>JABATAN ANESTHESIA</v>
          </cell>
          <cell r="O118" t="str">
            <v>Dewan Bedah Utama (GOT)</v>
          </cell>
        </row>
        <row r="119">
          <cell r="D119" t="str">
            <v>HSAS10058</v>
          </cell>
          <cell r="E119" t="str">
            <v>PATIENT MONITORING EQUIP.(AUTOMATIC MULTIPARAMETER)</v>
          </cell>
          <cell r="F119" t="str">
            <v>MINDRAY</v>
          </cell>
          <cell r="G119" t="str">
            <v>BENEVIEW T8/T1</v>
          </cell>
          <cell r="H119" t="str">
            <v>CF-45122819</v>
          </cell>
          <cell r="I119" t="str">
            <v>ANNUALLY</v>
          </cell>
          <cell r="J119">
            <v>45842</v>
          </cell>
          <cell r="K119"/>
          <cell r="L119"/>
          <cell r="M119"/>
          <cell r="N119" t="str">
            <v>JABATAN ANESTHESIA</v>
          </cell>
          <cell r="O119" t="str">
            <v>Dewan Bedah Utama (GOT)</v>
          </cell>
        </row>
        <row r="120">
          <cell r="D120" t="str">
            <v>HSAS10063</v>
          </cell>
          <cell r="E120" t="str">
            <v>PATIENT MONITORING EQUIP.(AUTOMATIC MULTIPARAMETER)</v>
          </cell>
          <cell r="F120" t="str">
            <v>MINDRAY</v>
          </cell>
          <cell r="G120" t="str">
            <v>BENEVIEW T8</v>
          </cell>
          <cell r="H120" t="str">
            <v>CF-45122814</v>
          </cell>
          <cell r="I120" t="str">
            <v>ANNUALLY</v>
          </cell>
          <cell r="J120">
            <v>45882</v>
          </cell>
          <cell r="K120"/>
          <cell r="L120"/>
          <cell r="M120"/>
          <cell r="N120" t="str">
            <v>JABATAN ANESTHESIA</v>
          </cell>
          <cell r="O120" t="str">
            <v>Dewan Bedah Utama (GOT)</v>
          </cell>
        </row>
        <row r="121">
          <cell r="D121" t="str">
            <v>HSAS10071</v>
          </cell>
          <cell r="E121" t="str">
            <v>PATIENT MONITORING EQUIP.(AUTOMATIC MULTIPARAMETER)</v>
          </cell>
          <cell r="F121" t="str">
            <v>MINDRAY</v>
          </cell>
          <cell r="G121" t="str">
            <v>BENEVIEW T8</v>
          </cell>
          <cell r="H121" t="str">
            <v>CF-45122815</v>
          </cell>
          <cell r="I121" t="str">
            <v>ANNUALLY</v>
          </cell>
          <cell r="J121">
            <v>45856</v>
          </cell>
          <cell r="K121"/>
          <cell r="L121"/>
          <cell r="M121"/>
          <cell r="N121" t="str">
            <v>JABATAN ANESTHESIA</v>
          </cell>
          <cell r="O121" t="str">
            <v>Dewan Bedah Utama (GOT)</v>
          </cell>
        </row>
        <row r="122">
          <cell r="D122" t="str">
            <v>HSAS10072</v>
          </cell>
          <cell r="E122" t="str">
            <v>PATIENT MONITORING EQUIP.(AUTOMATIC MULTIPARAMETER)</v>
          </cell>
          <cell r="F122" t="str">
            <v>MINDRAY</v>
          </cell>
          <cell r="G122" t="str">
            <v>BENEVIEW T8</v>
          </cell>
          <cell r="H122" t="str">
            <v>CF-45122816</v>
          </cell>
          <cell r="I122" t="str">
            <v>ANNUALLY</v>
          </cell>
          <cell r="J122">
            <v>45856</v>
          </cell>
          <cell r="K122"/>
          <cell r="L122"/>
          <cell r="M122"/>
          <cell r="N122" t="str">
            <v>JABATAN ANESTHESIA</v>
          </cell>
          <cell r="O122" t="str">
            <v>Dewan Bedah Utama (GOT)</v>
          </cell>
        </row>
        <row r="123">
          <cell r="D123" t="str">
            <v>HSAS10084</v>
          </cell>
          <cell r="E123" t="str">
            <v>PATIENT MONITORING EQUIP.(AUTOMATIC MULTIPARAMETER)</v>
          </cell>
          <cell r="F123" t="str">
            <v>MINDRAY</v>
          </cell>
          <cell r="G123" t="str">
            <v>BENEVIEW T8</v>
          </cell>
          <cell r="H123" t="str">
            <v>CF-45122823</v>
          </cell>
          <cell r="I123" t="str">
            <v>ANNUALLY</v>
          </cell>
          <cell r="J123">
            <v>45832</v>
          </cell>
          <cell r="K123"/>
          <cell r="L123"/>
          <cell r="M123"/>
          <cell r="N123" t="str">
            <v>JABATAN ANESTHESIA</v>
          </cell>
          <cell r="O123" t="str">
            <v>Dewan Bedah Utama (GOT)</v>
          </cell>
        </row>
        <row r="124">
          <cell r="D124" t="str">
            <v>HSAS10085</v>
          </cell>
          <cell r="E124" t="str">
            <v>PATIENT MONITORING EQUIP.(AUTOMATIC MULTIPARAMETER)</v>
          </cell>
          <cell r="F124" t="str">
            <v>MINDRAY</v>
          </cell>
          <cell r="G124" t="str">
            <v>BENEVIEW T8/T1</v>
          </cell>
          <cell r="H124" t="str">
            <v>CF-45122824</v>
          </cell>
          <cell r="I124" t="str">
            <v>ANNUALLY</v>
          </cell>
          <cell r="J124">
            <v>45799</v>
          </cell>
          <cell r="K124"/>
          <cell r="L124"/>
          <cell r="M124"/>
          <cell r="N124" t="str">
            <v>JABATAN ANESTHESIA</v>
          </cell>
          <cell r="O124" t="str">
            <v>Dewan Bedah Utama (GOT)</v>
          </cell>
        </row>
        <row r="125">
          <cell r="D125" t="str">
            <v>KKM/JKN/HSA/10-01-01/H/15/1328</v>
          </cell>
          <cell r="E125" t="str">
            <v>LIGHT SOURCE XENON 300 WATTS</v>
          </cell>
          <cell r="F125" t="str">
            <v>OLYMPUS</v>
          </cell>
          <cell r="G125" t="str">
            <v>CLV-S40PRO</v>
          </cell>
          <cell r="H125">
            <v>7456971</v>
          </cell>
          <cell r="I125" t="str">
            <v>ANNUALLY</v>
          </cell>
          <cell r="J125">
            <v>45823</v>
          </cell>
          <cell r="K125"/>
          <cell r="L125"/>
          <cell r="M125"/>
          <cell r="N125" t="str">
            <v>JABATAN PERUBATAN AM</v>
          </cell>
          <cell r="O125" t="str">
            <v>Unit Rawatan Perubatan Harian (MDC)</v>
          </cell>
        </row>
        <row r="126">
          <cell r="D126" t="str">
            <v>KKM/JKN/HSA/10-01-01/H/15/1332</v>
          </cell>
          <cell r="E126" t="str">
            <v>LIGHT SOURCE XENON 300 WATTS</v>
          </cell>
          <cell r="F126" t="str">
            <v>OLYMPUS</v>
          </cell>
          <cell r="G126" t="str">
            <v>CLV-190</v>
          </cell>
          <cell r="H126" t="str">
            <v>N/A</v>
          </cell>
          <cell r="I126" t="str">
            <v>ANNUALLY</v>
          </cell>
          <cell r="J126">
            <v>45852</v>
          </cell>
          <cell r="K126"/>
          <cell r="L126"/>
          <cell r="M126"/>
          <cell r="N126" t="str">
            <v>JABATAN ANESTHESIA</v>
          </cell>
          <cell r="O126" t="str">
            <v>Dewan Bedah Utama (GOT)</v>
          </cell>
        </row>
        <row r="127">
          <cell r="D127" t="str">
            <v>KKM/JKN/HSA/10-05-01/H/14/1</v>
          </cell>
          <cell r="E127" t="str">
            <v>ULTRASOUND SCANNER</v>
          </cell>
          <cell r="F127" t="str">
            <v>ESAOTE</v>
          </cell>
          <cell r="G127" t="str">
            <v>MY LAB TOUCH</v>
          </cell>
          <cell r="H127" t="str">
            <v xml:space="preserve">91403225 </v>
          </cell>
          <cell r="I127" t="str">
            <v>ANNUALLY</v>
          </cell>
          <cell r="J127">
            <v>45757</v>
          </cell>
          <cell r="K127"/>
          <cell r="L127"/>
          <cell r="M127"/>
          <cell r="N127" t="str">
            <v>JABATAN ANESTHESIA</v>
          </cell>
          <cell r="O127" t="str">
            <v>Dewan Bedah Utama (GOT)</v>
          </cell>
        </row>
        <row r="128">
          <cell r="D128" t="str">
            <v>KKM/JKN/HSA/10-05-01/H/14/2</v>
          </cell>
          <cell r="E128" t="str">
            <v>ULTRASOUND SCANNER</v>
          </cell>
          <cell r="F128" t="str">
            <v>ESAOTE</v>
          </cell>
          <cell r="G128" t="str">
            <v>MY LAB ALPHA</v>
          </cell>
          <cell r="H128" t="str">
            <v>00787</v>
          </cell>
          <cell r="I128" t="str">
            <v>ANNUALLY</v>
          </cell>
          <cell r="J128">
            <v>45757</v>
          </cell>
          <cell r="K128"/>
          <cell r="L128"/>
          <cell r="M128"/>
          <cell r="N128" t="str">
            <v>JABATAN ANESTHESIA</v>
          </cell>
          <cell r="O128" t="str">
            <v>Dewan Bedah Utama (GOT)</v>
          </cell>
        </row>
        <row r="129">
          <cell r="D129" t="str">
            <v>KKM/JKN/HSA/10-05-01/H/15/1023</v>
          </cell>
          <cell r="E129" t="str">
            <v>PATIENT MONITORING EQUIP.(AUTOMATIC MULTIPARAMETER)</v>
          </cell>
          <cell r="F129" t="str">
            <v>WELCH ALLYN</v>
          </cell>
          <cell r="G129" t="str">
            <v>WELCH ALLYN VSM 300</v>
          </cell>
          <cell r="H129" t="str">
            <v>JA123469</v>
          </cell>
          <cell r="I129" t="str">
            <v>ANNUALLY</v>
          </cell>
          <cell r="J129">
            <v>45845</v>
          </cell>
          <cell r="K129"/>
          <cell r="L129"/>
          <cell r="M129"/>
          <cell r="N129" t="str">
            <v>JABATAN ANESTHESIA</v>
          </cell>
          <cell r="O129" t="str">
            <v>Dewan Bedah Utama (GOT)</v>
          </cell>
        </row>
        <row r="130">
          <cell r="D130" t="str">
            <v>KKM/JKN/HSA/10-05-01/H/15/1056</v>
          </cell>
          <cell r="E130" t="str">
            <v>PATIENT MONITORING EQUIP.(AUTOMATIC MULTIPARAMETER)</v>
          </cell>
          <cell r="F130" t="str">
            <v>MINDRAY</v>
          </cell>
          <cell r="G130" t="str">
            <v>CO2 MODULE</v>
          </cell>
          <cell r="H130" t="str">
            <v>CF-45122817</v>
          </cell>
          <cell r="I130" t="str">
            <v>ANNUALLY</v>
          </cell>
          <cell r="J130">
            <v>45837</v>
          </cell>
          <cell r="K130"/>
          <cell r="L130"/>
          <cell r="M130"/>
          <cell r="N130" t="str">
            <v>JABATAN ANESTHESIA</v>
          </cell>
          <cell r="O130" t="str">
            <v>Dewan Bedah Utama (GOT)</v>
          </cell>
        </row>
        <row r="131">
          <cell r="D131" t="str">
            <v>KKM/JKN/HSA/10-05-01/H/15/1057</v>
          </cell>
          <cell r="E131" t="str">
            <v>PATIENT MONITORING EQUIP.(AUTOMATIC MULTIPARAMETER)</v>
          </cell>
          <cell r="F131" t="str">
            <v>MINDRAY</v>
          </cell>
          <cell r="G131" t="str">
            <v>CO2 MODULE</v>
          </cell>
          <cell r="H131" t="str">
            <v>N/A</v>
          </cell>
          <cell r="I131" t="str">
            <v>ANNUALLY</v>
          </cell>
          <cell r="J131">
            <v>45837</v>
          </cell>
          <cell r="K131"/>
          <cell r="L131"/>
          <cell r="M131"/>
          <cell r="N131" t="str">
            <v>JABATAN ANESTHESIA</v>
          </cell>
          <cell r="O131" t="str">
            <v>Dewan Bedah Utama (GOT)</v>
          </cell>
        </row>
        <row r="132">
          <cell r="D132" t="str">
            <v>KKM/JKN/HSA/10-05-01/H/15/1058</v>
          </cell>
          <cell r="E132" t="str">
            <v>PATIENT MONITORING EQUIP.(AUTOMATIC MULTIPARAMETER)</v>
          </cell>
          <cell r="F132" t="str">
            <v>MINDRAY</v>
          </cell>
          <cell r="G132" t="str">
            <v>CO2 MODULE</v>
          </cell>
          <cell r="H132" t="str">
            <v>CF-45122812</v>
          </cell>
          <cell r="I132" t="str">
            <v>ANNUALLY</v>
          </cell>
          <cell r="J132">
            <v>45837</v>
          </cell>
          <cell r="K132"/>
          <cell r="L132"/>
          <cell r="M132"/>
          <cell r="N132" t="str">
            <v>JABATAN ANESTHESIA</v>
          </cell>
          <cell r="O132" t="str">
            <v>Dewan Bedah Utama (GOT)</v>
          </cell>
        </row>
        <row r="133">
          <cell r="D133" t="str">
            <v>KKM/JKN/HSA/10-05-01/H/15/1059</v>
          </cell>
          <cell r="E133" t="str">
            <v>PATIENT MONITORING EQUIP.(AUTOMATIC MULTIPARAMETER)</v>
          </cell>
          <cell r="F133" t="str">
            <v>MINDRAY</v>
          </cell>
          <cell r="G133" t="str">
            <v>CO2 MODULE</v>
          </cell>
          <cell r="H133" t="str">
            <v>CF-45122782</v>
          </cell>
          <cell r="I133" t="str">
            <v>ANNUALLY</v>
          </cell>
          <cell r="J133">
            <v>45837</v>
          </cell>
          <cell r="K133"/>
          <cell r="L133"/>
          <cell r="M133"/>
          <cell r="N133" t="str">
            <v>JABATAN ANESTHESIA</v>
          </cell>
          <cell r="O133" t="str">
            <v>Dewan Bedah Utama (GOT)</v>
          </cell>
        </row>
        <row r="134">
          <cell r="D134" t="str">
            <v>KKM/JKN/HSA/10-05-01/H/15/1060</v>
          </cell>
          <cell r="E134" t="str">
            <v>PATIENT MONITORING EQUIP.(AUTOMATIC MULTIPARAMETER)</v>
          </cell>
          <cell r="F134" t="str">
            <v>MINDRAY</v>
          </cell>
          <cell r="G134" t="str">
            <v>CO2 MODULE</v>
          </cell>
          <cell r="H134" t="str">
            <v>N/A</v>
          </cell>
          <cell r="I134" t="str">
            <v>ANNUALLY</v>
          </cell>
          <cell r="J134">
            <v>45830</v>
          </cell>
          <cell r="K134"/>
          <cell r="L134"/>
          <cell r="M134"/>
          <cell r="N134" t="str">
            <v>JABATAN ANESTHESIA</v>
          </cell>
          <cell r="O134" t="str">
            <v>Dewan Bedah Utama (GOT)</v>
          </cell>
        </row>
        <row r="135">
          <cell r="D135" t="str">
            <v>KKM/JKN/HSA/10-05-01/H/15/1061</v>
          </cell>
          <cell r="E135" t="str">
            <v>PATIENT MONITORING EQUIP.(AUTOMATIC MULTIPARAMETER)</v>
          </cell>
          <cell r="F135" t="str">
            <v>MINDRAY</v>
          </cell>
          <cell r="G135" t="str">
            <v>CO2 MODULE</v>
          </cell>
          <cell r="H135" t="str">
            <v>N/A</v>
          </cell>
          <cell r="I135" t="str">
            <v>ANNUALLY</v>
          </cell>
          <cell r="J135">
            <v>45830</v>
          </cell>
          <cell r="K135"/>
          <cell r="L135"/>
          <cell r="M135"/>
          <cell r="N135" t="str">
            <v>JABATAN ANESTHESIA</v>
          </cell>
          <cell r="O135" t="str">
            <v>Dewan Bedah Utama (GOT)</v>
          </cell>
        </row>
        <row r="136">
          <cell r="D136" t="str">
            <v>KKM/JKN/HSA/10-05-01/H/15/1062</v>
          </cell>
          <cell r="E136" t="str">
            <v>PATIENT MONITORING EQUIP.(AUTOMATIC MULTIPARAMETER)</v>
          </cell>
          <cell r="F136" t="str">
            <v>MINDRAY</v>
          </cell>
          <cell r="G136" t="str">
            <v>CO2 MODULE</v>
          </cell>
          <cell r="H136" t="str">
            <v>N/A</v>
          </cell>
          <cell r="I136" t="str">
            <v>ANNUALLY</v>
          </cell>
          <cell r="J136">
            <v>45830</v>
          </cell>
          <cell r="K136"/>
          <cell r="L136"/>
          <cell r="M136"/>
          <cell r="N136" t="str">
            <v>JABATAN ANESTHESIA</v>
          </cell>
          <cell r="O136" t="str">
            <v>Dewan Bedah Utama (GOT)</v>
          </cell>
        </row>
        <row r="137">
          <cell r="D137" t="str">
            <v>KKM/JKN/HSA/10-05-01/H/15/1063</v>
          </cell>
          <cell r="E137" t="str">
            <v>PATIENT MONITORING EQUIP.(AUTOMATIC MULTIPARAMETER)</v>
          </cell>
          <cell r="F137" t="str">
            <v>MINDRAY</v>
          </cell>
          <cell r="G137" t="str">
            <v>CO2 MODULE</v>
          </cell>
          <cell r="H137" t="str">
            <v>N/A</v>
          </cell>
          <cell r="I137" t="str">
            <v>ANNUALLY</v>
          </cell>
          <cell r="J137">
            <v>45830</v>
          </cell>
          <cell r="K137"/>
          <cell r="L137"/>
          <cell r="M137"/>
          <cell r="N137" t="str">
            <v>JABATAN ANESTHESIA</v>
          </cell>
          <cell r="O137" t="str">
            <v>Dewan Bedah Utama (GOT)</v>
          </cell>
        </row>
        <row r="138">
          <cell r="D138" t="str">
            <v>KKM/JKN/HSA/10-05-01/H/15/1093</v>
          </cell>
          <cell r="E138" t="str">
            <v>SUCTION APPARATUS</v>
          </cell>
          <cell r="F138" t="str">
            <v>OLYMPUS</v>
          </cell>
          <cell r="G138" t="str">
            <v>SSU-2</v>
          </cell>
          <cell r="H138">
            <v>21423615</v>
          </cell>
          <cell r="I138" t="str">
            <v>ANNUALLY</v>
          </cell>
          <cell r="J138">
            <v>45751</v>
          </cell>
          <cell r="K138"/>
          <cell r="L138"/>
          <cell r="M138"/>
          <cell r="N138" t="str">
            <v>JABATAN ANESTHESIA</v>
          </cell>
          <cell r="O138" t="str">
            <v>Dewan Bedah Utama (GOT)</v>
          </cell>
        </row>
        <row r="139">
          <cell r="D139" t="str">
            <v>KKM/JKN/HSA/10-05-01/H/15/1130</v>
          </cell>
          <cell r="E139" t="str">
            <v>SUCTION APPARATUS</v>
          </cell>
          <cell r="F139" t="str">
            <v>OHIO</v>
          </cell>
          <cell r="G139" t="str">
            <v>ALLIED HEALTHCARE/ 01-23-3840</v>
          </cell>
          <cell r="H139" t="str">
            <v>GFHU60061</v>
          </cell>
          <cell r="I139" t="str">
            <v>ANNUALLY</v>
          </cell>
          <cell r="J139">
            <v>45827</v>
          </cell>
          <cell r="K139"/>
          <cell r="L139"/>
          <cell r="M139"/>
          <cell r="N139" t="str">
            <v>JABATAN ANESTHESIA</v>
          </cell>
          <cell r="O139" t="str">
            <v>Dewan Bedah Utama (GOT)</v>
          </cell>
        </row>
        <row r="140">
          <cell r="D140" t="str">
            <v>KKM/JKN/HSA/10-05-01/H/15/1131</v>
          </cell>
          <cell r="E140" t="str">
            <v>SUCTION APPARATUS</v>
          </cell>
          <cell r="F140" t="str">
            <v>OHIO</v>
          </cell>
          <cell r="G140" t="str">
            <v>ALLIED HEALTHCARE/ 01-23-3840</v>
          </cell>
          <cell r="H140" t="str">
            <v>GFHT60017</v>
          </cell>
          <cell r="I140" t="str">
            <v>ANNUALLY</v>
          </cell>
          <cell r="J140">
            <v>45756</v>
          </cell>
          <cell r="K140"/>
          <cell r="L140"/>
          <cell r="M140"/>
          <cell r="N140" t="str">
            <v>JABATAN ANESTHESIA</v>
          </cell>
          <cell r="O140" t="str">
            <v>Dewan Bedah Utama (GOT)</v>
          </cell>
        </row>
        <row r="141">
          <cell r="D141" t="str">
            <v>KKM/JKN/HSA/10-05-01/H/15/1132</v>
          </cell>
          <cell r="E141" t="str">
            <v>SUCTION APPARATUS</v>
          </cell>
          <cell r="F141" t="str">
            <v>OHIO</v>
          </cell>
          <cell r="G141" t="str">
            <v>A1229</v>
          </cell>
          <cell r="H141" t="str">
            <v>GFHU60074</v>
          </cell>
          <cell r="I141" t="str">
            <v>ANNUALLY</v>
          </cell>
          <cell r="J141">
            <v>45931</v>
          </cell>
          <cell r="K141"/>
          <cell r="L141"/>
          <cell r="M141"/>
          <cell r="N141" t="str">
            <v>JABATAN ANESTHESIA</v>
          </cell>
          <cell r="O141" t="str">
            <v>Dewan Bedah Utama (GOT)</v>
          </cell>
        </row>
        <row r="142">
          <cell r="D142" t="str">
            <v>KKM/JKN/HSA/10-05-01/H/15/1134</v>
          </cell>
          <cell r="E142" t="str">
            <v>VACUUM REGULATOR PORATBLE</v>
          </cell>
          <cell r="F142" t="str">
            <v>OHIO</v>
          </cell>
          <cell r="G142" t="str">
            <v>CVRA1229</v>
          </cell>
          <cell r="H142" t="str">
            <v>GFHU60079</v>
          </cell>
          <cell r="I142" t="str">
            <v>ANNUALLY</v>
          </cell>
          <cell r="J142">
            <v>45715</v>
          </cell>
          <cell r="K142"/>
          <cell r="L142"/>
          <cell r="M142"/>
          <cell r="N142" t="str">
            <v>JABATAN ANESTHESIA</v>
          </cell>
          <cell r="O142" t="str">
            <v>Dewan Bedah Utama (GOT)</v>
          </cell>
        </row>
        <row r="143">
          <cell r="D143" t="str">
            <v>KKM/JKN/HSA/10-05-01/H/15/1135</v>
          </cell>
          <cell r="E143" t="str">
            <v>SUCTION APPARATUS</v>
          </cell>
          <cell r="F143" t="str">
            <v>OHIO</v>
          </cell>
          <cell r="G143" t="str">
            <v>ALLIED HEALTHCARE/ 01-23-3840</v>
          </cell>
          <cell r="H143" t="str">
            <v>GFHT60016</v>
          </cell>
          <cell r="I143" t="str">
            <v>ANNUALLY</v>
          </cell>
          <cell r="J143">
            <v>45809</v>
          </cell>
          <cell r="K143"/>
          <cell r="L143"/>
          <cell r="M143"/>
          <cell r="N143" t="str">
            <v>JABATAN ANESTHESIA</v>
          </cell>
          <cell r="O143" t="str">
            <v>Dewan Bedah Utama (GOT)</v>
          </cell>
        </row>
        <row r="144">
          <cell r="D144" t="str">
            <v>KKM/JKN/HSA/10-05-01/H/15/1136</v>
          </cell>
          <cell r="E144" t="str">
            <v>SUCTION APPARATUS</v>
          </cell>
          <cell r="F144" t="str">
            <v>OHIO</v>
          </cell>
          <cell r="G144" t="str">
            <v>A1229</v>
          </cell>
          <cell r="H144" t="str">
            <v>GFHU60076</v>
          </cell>
          <cell r="I144" t="str">
            <v>ANNUALLY</v>
          </cell>
          <cell r="J144">
            <v>45827</v>
          </cell>
          <cell r="K144"/>
          <cell r="L144"/>
          <cell r="M144"/>
          <cell r="N144" t="str">
            <v>JABATAN ANESTHESIA</v>
          </cell>
          <cell r="O144" t="str">
            <v>Dewan Bedah Utama (GOT)</v>
          </cell>
        </row>
        <row r="145">
          <cell r="D145" t="str">
            <v>KKM/JKN/HSA/10-05-01/H/15/1137</v>
          </cell>
          <cell r="E145" t="str">
            <v>SUCTION APPARATUS</v>
          </cell>
          <cell r="F145" t="str">
            <v>OHIO</v>
          </cell>
          <cell r="G145" t="str">
            <v>A1229</v>
          </cell>
          <cell r="H145" t="str">
            <v>GFHU60078</v>
          </cell>
          <cell r="I145" t="str">
            <v>ANNUALLY</v>
          </cell>
          <cell r="J145">
            <v>45827</v>
          </cell>
          <cell r="K145"/>
          <cell r="L145"/>
          <cell r="M145"/>
          <cell r="N145" t="str">
            <v>JABATAN ANESTHESIA</v>
          </cell>
          <cell r="O145" t="str">
            <v>Dewan Bedah Utama (GOT)</v>
          </cell>
        </row>
        <row r="146">
          <cell r="D146" t="str">
            <v>KKM/JKN/HSA/10-05-01/H/15/1138</v>
          </cell>
          <cell r="E146" t="str">
            <v>VACUUM REGULATOR PORATBLE</v>
          </cell>
          <cell r="F146" t="str">
            <v>OHIO</v>
          </cell>
          <cell r="G146" t="str">
            <v>CVRA1229</v>
          </cell>
          <cell r="H146" t="str">
            <v>GFHU60075</v>
          </cell>
          <cell r="I146" t="str">
            <v>ANNUALLY</v>
          </cell>
          <cell r="J146">
            <v>45715</v>
          </cell>
          <cell r="K146"/>
          <cell r="L146"/>
          <cell r="M146"/>
          <cell r="N146" t="str">
            <v>JABATAN ANESTHESIA</v>
          </cell>
          <cell r="O146" t="str">
            <v>Dewan Bedah Utama (GOT)</v>
          </cell>
        </row>
        <row r="147">
          <cell r="D147" t="str">
            <v>KKM/JKN/HSA/10-05-01/H/15/1139</v>
          </cell>
          <cell r="E147" t="str">
            <v>SUCTION APPARATUS</v>
          </cell>
          <cell r="F147" t="str">
            <v>OHIO</v>
          </cell>
          <cell r="G147" t="str">
            <v>A1229</v>
          </cell>
          <cell r="H147" t="str">
            <v>GFHU60052</v>
          </cell>
          <cell r="I147" t="str">
            <v>ANNUALLY</v>
          </cell>
          <cell r="J147">
            <v>45827</v>
          </cell>
          <cell r="K147"/>
          <cell r="L147"/>
          <cell r="M147"/>
          <cell r="N147" t="str">
            <v>JABATAN ANESTHESIA</v>
          </cell>
          <cell r="O147" t="str">
            <v>Dewan Bedah Utama (GOT)</v>
          </cell>
        </row>
        <row r="148">
          <cell r="D148" t="str">
            <v>KKM/JKN/HSA/10-05-01/H/15/1166</v>
          </cell>
          <cell r="E148" t="str">
            <v>SURGICAL MICROSCOPE</v>
          </cell>
          <cell r="F148" t="str">
            <v>MOLLER WEDEL</v>
          </cell>
          <cell r="G148" t="str">
            <v>Hi-R700 / FS2-23 / SONY PROFESSIONAL RECORDER</v>
          </cell>
          <cell r="H148" t="str">
            <v>1060</v>
          </cell>
          <cell r="I148" t="str">
            <v>ANNUALLY</v>
          </cell>
          <cell r="J148">
            <v>46024</v>
          </cell>
          <cell r="K148"/>
          <cell r="L148"/>
          <cell r="M148"/>
          <cell r="N148" t="str">
            <v>JABATAN ANESTHESIA</v>
          </cell>
          <cell r="O148" t="str">
            <v>Dewan Bedah Utama (GOT)</v>
          </cell>
        </row>
        <row r="149">
          <cell r="D149" t="str">
            <v>KKM/JKN/HSA/10-05-01/H/15/1276</v>
          </cell>
          <cell r="E149" t="str">
            <v>OPERATION TABLE</v>
          </cell>
          <cell r="F149" t="str">
            <v>TRUMPF MEDIZIN SYSTEME GMBH</v>
          </cell>
          <cell r="G149" t="str">
            <v>MERKUR 2.1S 4544057</v>
          </cell>
          <cell r="H149" t="str">
            <v>102088179</v>
          </cell>
          <cell r="I149" t="str">
            <v>ANNUALLY</v>
          </cell>
          <cell r="J149">
            <v>45741</v>
          </cell>
          <cell r="K149"/>
          <cell r="L149"/>
          <cell r="M149"/>
          <cell r="N149" t="str">
            <v>JABATAN ANESTHESIA</v>
          </cell>
          <cell r="O149" t="str">
            <v>Dewan Bedah Utama (GOT)</v>
          </cell>
        </row>
        <row r="150">
          <cell r="D150" t="str">
            <v>KKM/JKN/HSA/10-05-01/H/15/1277</v>
          </cell>
          <cell r="E150" t="str">
            <v>OPERATION TABLE</v>
          </cell>
          <cell r="F150" t="str">
            <v>TRUMPF MEDIZIN SYSTEME GMBH</v>
          </cell>
          <cell r="G150" t="str">
            <v>MARS.2.02</v>
          </cell>
          <cell r="H150" t="str">
            <v>102116106</v>
          </cell>
          <cell r="I150" t="str">
            <v>ANNUALLY</v>
          </cell>
          <cell r="J150">
            <v>45741</v>
          </cell>
          <cell r="K150"/>
          <cell r="L150"/>
          <cell r="M150"/>
          <cell r="N150" t="str">
            <v>JABATAN ANESTHESIA</v>
          </cell>
          <cell r="O150" t="str">
            <v>Dewan Bedah Utama (GOT)</v>
          </cell>
        </row>
        <row r="151">
          <cell r="D151" t="str">
            <v>KKM/JKN/HSA/10-05-01/H/15/1278</v>
          </cell>
          <cell r="E151" t="str">
            <v>OPERATION TABLE</v>
          </cell>
          <cell r="F151" t="str">
            <v>TRUMPF MEDIZIN SYSTEME GMBH</v>
          </cell>
          <cell r="G151" t="str">
            <v>MARS.2.02</v>
          </cell>
          <cell r="H151" t="str">
            <v>102107279</v>
          </cell>
          <cell r="I151" t="str">
            <v>ANNUALLY</v>
          </cell>
          <cell r="J151">
            <v>45734</v>
          </cell>
          <cell r="K151"/>
          <cell r="L151"/>
          <cell r="M151"/>
          <cell r="N151" t="str">
            <v>JABATAN ANESTHESIA</v>
          </cell>
          <cell r="O151" t="str">
            <v>Dewan Bedah Utama (GOT)</v>
          </cell>
        </row>
        <row r="152">
          <cell r="D152" t="str">
            <v>KKM/JKN/HSA/10-05-01/H/15/1330</v>
          </cell>
          <cell r="E152" t="str">
            <v>LIGHT SOURCE</v>
          </cell>
          <cell r="F152" t="str">
            <v>OLYMPUS</v>
          </cell>
          <cell r="G152" t="str">
            <v>OLYMPUS/ CLV-190</v>
          </cell>
          <cell r="H152" t="str">
            <v>7456955</v>
          </cell>
          <cell r="I152" t="str">
            <v>ANNUALLY</v>
          </cell>
          <cell r="J152">
            <v>45852</v>
          </cell>
          <cell r="K152"/>
          <cell r="L152"/>
          <cell r="M152"/>
          <cell r="N152" t="str">
            <v>JABATAN ANESTHESIA</v>
          </cell>
          <cell r="O152" t="str">
            <v>Dewan Bedah Utama (GOT)</v>
          </cell>
        </row>
        <row r="153">
          <cell r="D153" t="str">
            <v>KKM/JKN/HSA/10-05-01/H/15/1584</v>
          </cell>
          <cell r="E153" t="str">
            <v>INFANT WARMER (RADIANT)</v>
          </cell>
          <cell r="F153" t="str">
            <v>DRAEGER</v>
          </cell>
          <cell r="G153" t="str">
            <v>RESUSCITAIRE RW-82</v>
          </cell>
          <cell r="H153" t="str">
            <v>AU 01152</v>
          </cell>
          <cell r="I153" t="str">
            <v>ANNUALLY</v>
          </cell>
          <cell r="J153">
            <v>45825</v>
          </cell>
          <cell r="K153"/>
          <cell r="L153"/>
          <cell r="M153"/>
          <cell r="N153" t="str">
            <v>JABATAN ANESTHESIA</v>
          </cell>
          <cell r="O153" t="str">
            <v>Dewan Bedah Utama (GOT)</v>
          </cell>
        </row>
        <row r="154">
          <cell r="D154" t="str">
            <v>KKM/JKN/HSA/10-05-01/H/15/1595</v>
          </cell>
          <cell r="E154" t="str">
            <v>PATIENT MONITORING EQUIP.(AUTOMATIC MULTIPARAMETER)</v>
          </cell>
          <cell r="F154" t="str">
            <v>WELCH ALLYN</v>
          </cell>
          <cell r="G154" t="str">
            <v>WELCH ALLYN VSM 300</v>
          </cell>
          <cell r="H154" t="str">
            <v>JA 123469</v>
          </cell>
          <cell r="I154" t="str">
            <v>ANNUALLY</v>
          </cell>
          <cell r="J154">
            <v>45849</v>
          </cell>
          <cell r="K154"/>
          <cell r="L154"/>
          <cell r="M154"/>
          <cell r="N154" t="str">
            <v>JABATAN ANESTHESIA</v>
          </cell>
          <cell r="O154" t="str">
            <v>Dewan Bedah Utama (GOT)</v>
          </cell>
        </row>
        <row r="155">
          <cell r="D155" t="str">
            <v>KKM/JKN/HSA/10-05-01/H/15/1656</v>
          </cell>
          <cell r="E155" t="str">
            <v>GASTROINTESTINAL VEDIOSCOPE / GASTROSCOPE</v>
          </cell>
          <cell r="F155" t="str">
            <v>OLYMPUS</v>
          </cell>
          <cell r="G155" t="str">
            <v>GIF-XP190N</v>
          </cell>
          <cell r="H155">
            <v>2400923</v>
          </cell>
          <cell r="I155" t="str">
            <v>ANNUALLY</v>
          </cell>
          <cell r="J155">
            <v>45845</v>
          </cell>
          <cell r="K155"/>
          <cell r="L155"/>
          <cell r="M155"/>
          <cell r="N155" t="str">
            <v>JABATAN ANESTHESIA</v>
          </cell>
          <cell r="O155" t="str">
            <v>Dewan Bedah Utama (GOT)</v>
          </cell>
        </row>
        <row r="156">
          <cell r="D156" t="str">
            <v>KKM/JKN/HSA/10-05-01/H/15/1699</v>
          </cell>
          <cell r="E156" t="str">
            <v>INSUFFLATOR</v>
          </cell>
          <cell r="F156" t="str">
            <v>OLYMPUS</v>
          </cell>
          <cell r="G156" t="str">
            <v>UHI-3</v>
          </cell>
          <cell r="H156">
            <v>7434877</v>
          </cell>
          <cell r="I156" t="str">
            <v>ANNUALLY</v>
          </cell>
          <cell r="J156">
            <v>45799</v>
          </cell>
          <cell r="K156"/>
          <cell r="L156"/>
          <cell r="M156"/>
          <cell r="N156" t="str">
            <v>JABATAN ANESTHESIA</v>
          </cell>
          <cell r="O156" t="str">
            <v>Dewan Bedah Utama (GOT)</v>
          </cell>
        </row>
        <row r="157">
          <cell r="D157" t="str">
            <v>KKM/JKN/HSA/10-05-01/H/15/1700</v>
          </cell>
          <cell r="E157" t="str">
            <v>INSUFFLATOR</v>
          </cell>
          <cell r="F157" t="str">
            <v>OLYMPUS</v>
          </cell>
          <cell r="G157" t="str">
            <v>UHI-3</v>
          </cell>
          <cell r="H157">
            <v>7434900</v>
          </cell>
          <cell r="I157" t="str">
            <v>ANNUALLY</v>
          </cell>
          <cell r="J157">
            <v>45798</v>
          </cell>
          <cell r="K157"/>
          <cell r="L157"/>
          <cell r="M157"/>
          <cell r="N157" t="str">
            <v>JABATAN ANESTHESIA</v>
          </cell>
          <cell r="O157" t="str">
            <v>Dewan Bedah Utama (GOT)</v>
          </cell>
        </row>
        <row r="158">
          <cell r="D158" t="str">
            <v>KKM/JKN/HSA/10-05-01/H/15/2124</v>
          </cell>
          <cell r="E158" t="str">
            <v>PATIENT MONITORING EQUIP.(AUTOMATIC MULTIPARAMETER)</v>
          </cell>
          <cell r="F158" t="str">
            <v>MINDRAY</v>
          </cell>
          <cell r="G158" t="str">
            <v>N/A</v>
          </cell>
          <cell r="H158" t="str">
            <v>EV-51016567</v>
          </cell>
          <cell r="I158" t="str">
            <v>ANNUALLY</v>
          </cell>
          <cell r="J158">
            <v>45754</v>
          </cell>
          <cell r="K158"/>
          <cell r="L158"/>
          <cell r="M158"/>
          <cell r="N158" t="str">
            <v>JABATAN ANESTHESIA</v>
          </cell>
          <cell r="O158" t="str">
            <v>Dewan Bedah Utama (GOT)</v>
          </cell>
        </row>
        <row r="159">
          <cell r="D159" t="str">
            <v>KKM/JKN/HSA/10-05-01/H/15/2125</v>
          </cell>
          <cell r="E159" t="str">
            <v>PATIENT MONITORING EQUIP.(AUTOMATIC MULTIPARAMETER)</v>
          </cell>
          <cell r="F159" t="str">
            <v>MINDRAY</v>
          </cell>
          <cell r="G159" t="str">
            <v>N/A</v>
          </cell>
          <cell r="H159" t="str">
            <v>EV-51016568</v>
          </cell>
          <cell r="I159" t="str">
            <v>ANNUALLY</v>
          </cell>
          <cell r="J159">
            <v>45840</v>
          </cell>
          <cell r="K159"/>
          <cell r="L159"/>
          <cell r="M159"/>
          <cell r="N159" t="str">
            <v>JABATAN ANESTHESIA</v>
          </cell>
          <cell r="O159" t="str">
            <v>Dewan Bedah Utama (GOT)</v>
          </cell>
        </row>
        <row r="160">
          <cell r="D160" t="str">
            <v>KKM/JKN/HSA/10-05-01/H/15/2149</v>
          </cell>
          <cell r="E160" t="str">
            <v>SUCTION APPARATUS</v>
          </cell>
          <cell r="F160" t="str">
            <v>CAMI</v>
          </cell>
          <cell r="G160" t="str">
            <v>ASKIR C30</v>
          </cell>
          <cell r="H160" t="str">
            <v>5925</v>
          </cell>
          <cell r="I160" t="str">
            <v>ANNUALLY</v>
          </cell>
          <cell r="J160">
            <v>45748</v>
          </cell>
          <cell r="K160"/>
          <cell r="L160"/>
          <cell r="M160"/>
          <cell r="N160" t="str">
            <v>JABATAN ANESTHESIA</v>
          </cell>
          <cell r="O160" t="str">
            <v>Dewan Bedah Utama (GOT)</v>
          </cell>
        </row>
        <row r="161">
          <cell r="D161" t="str">
            <v>KKM/JKN/HSA/10-05-01/H/15/2150</v>
          </cell>
          <cell r="E161" t="str">
            <v>SUCTION APPARATUS</v>
          </cell>
          <cell r="F161" t="str">
            <v>CAMI</v>
          </cell>
          <cell r="G161" t="str">
            <v>ASKIR 30</v>
          </cell>
          <cell r="H161" t="str">
            <v>5926</v>
          </cell>
          <cell r="I161" t="str">
            <v>ANNUALLY</v>
          </cell>
          <cell r="J161">
            <v>45748</v>
          </cell>
          <cell r="K161"/>
          <cell r="L161"/>
          <cell r="M161"/>
          <cell r="N161" t="str">
            <v>JABATAN ANESTHESIA</v>
          </cell>
          <cell r="O161" t="str">
            <v>Dewan Bedah Utama (GOT)</v>
          </cell>
        </row>
        <row r="162">
          <cell r="D162" t="str">
            <v>KKM/JKN/HSA/10-05-01/H/15/2413</v>
          </cell>
          <cell r="E162" t="str">
            <v>OPERATION TABLE</v>
          </cell>
          <cell r="F162" t="str">
            <v>TRUMPF MEDIZIN SYSTEME GMBH</v>
          </cell>
          <cell r="G162" t="str">
            <v>MARS.2.02</v>
          </cell>
          <cell r="H162" t="str">
            <v>102089729</v>
          </cell>
          <cell r="I162" t="str">
            <v>ANNUALLY</v>
          </cell>
          <cell r="J162">
            <v>45736</v>
          </cell>
          <cell r="K162"/>
          <cell r="L162"/>
          <cell r="M162"/>
          <cell r="N162" t="str">
            <v>JABATAN ANESTHESIA</v>
          </cell>
          <cell r="O162" t="str">
            <v>Dewan Bedah Utama (GOT)</v>
          </cell>
        </row>
        <row r="163">
          <cell r="D163" t="str">
            <v>KKM/JKN/HSA/10-05-01/H/15/2414</v>
          </cell>
          <cell r="E163" t="str">
            <v>OPERATION TABLE</v>
          </cell>
          <cell r="F163" t="str">
            <v>TRUMPF MEDIZIN SYSTEME GMBH</v>
          </cell>
          <cell r="G163" t="str">
            <v>MARS.2.02</v>
          </cell>
          <cell r="H163" t="str">
            <v>102071009</v>
          </cell>
          <cell r="I163" t="str">
            <v>ANNUALLY</v>
          </cell>
          <cell r="J163">
            <v>45736</v>
          </cell>
          <cell r="K163"/>
          <cell r="L163"/>
          <cell r="M163"/>
          <cell r="N163" t="str">
            <v>JABATAN ANESTHESIA</v>
          </cell>
          <cell r="O163" t="str">
            <v>Dewan Bedah Utama (GOT)</v>
          </cell>
        </row>
        <row r="164">
          <cell r="D164" t="str">
            <v>KKM/JKN/HSA/10-05-01/H/15/2415</v>
          </cell>
          <cell r="E164" t="str">
            <v>OPERATION TABLE</v>
          </cell>
          <cell r="F164" t="str">
            <v>TRUMPF MEDIZIN SYSTEME GMBH</v>
          </cell>
          <cell r="G164" t="str">
            <v>MARS.2.02</v>
          </cell>
          <cell r="H164" t="str">
            <v>102071013</v>
          </cell>
          <cell r="I164" t="str">
            <v>ANNUALLY</v>
          </cell>
          <cell r="J164">
            <v>45736</v>
          </cell>
          <cell r="K164"/>
          <cell r="L164"/>
          <cell r="M164"/>
          <cell r="N164" t="str">
            <v>JABATAN ANESTHESIA</v>
          </cell>
          <cell r="O164" t="str">
            <v>Dewan Bedah Utama (GOT)</v>
          </cell>
        </row>
        <row r="165">
          <cell r="D165" t="str">
            <v>KKM/JKN/HSA/10-05-01/H/15/2416</v>
          </cell>
          <cell r="E165" t="str">
            <v>OPERATION TABLE</v>
          </cell>
          <cell r="F165" t="str">
            <v>TRUMPF MEDIZIN SYSTEME GMBH</v>
          </cell>
          <cell r="G165" t="str">
            <v>MARS.2.02</v>
          </cell>
          <cell r="H165" t="str">
            <v>102071011</v>
          </cell>
          <cell r="I165" t="str">
            <v>ANNUALLY</v>
          </cell>
          <cell r="J165">
            <v>45736</v>
          </cell>
          <cell r="K165"/>
          <cell r="L165"/>
          <cell r="M165"/>
          <cell r="N165" t="str">
            <v>JABATAN ANESTHESIA</v>
          </cell>
          <cell r="O165" t="str">
            <v>Dewan Bedah Utama (GOT)</v>
          </cell>
        </row>
        <row r="166">
          <cell r="D166" t="str">
            <v>KKM/JKN/HSA/10-05-01/H/15/2417</v>
          </cell>
          <cell r="E166" t="str">
            <v>OPERATION TABLE</v>
          </cell>
          <cell r="F166" t="str">
            <v>TRUMPF MEDIZIN SYSTEME GMBH</v>
          </cell>
          <cell r="G166" t="str">
            <v>MARS.2.02</v>
          </cell>
          <cell r="H166" t="str">
            <v>102089726</v>
          </cell>
          <cell r="I166" t="str">
            <v>ANNUALLY</v>
          </cell>
          <cell r="J166">
            <v>45736</v>
          </cell>
          <cell r="K166"/>
          <cell r="L166"/>
          <cell r="M166"/>
          <cell r="N166" t="str">
            <v>JABATAN ANESTHESIA</v>
          </cell>
          <cell r="O166" t="str">
            <v>Dewan Bedah Utama (GOT)</v>
          </cell>
        </row>
        <row r="167">
          <cell r="D167" t="str">
            <v>KKM/JKN/HSA/10-05-01/H/15/2418</v>
          </cell>
          <cell r="E167" t="str">
            <v>OPERATION TABLE</v>
          </cell>
          <cell r="F167" t="str">
            <v>TRUMPF MEDIZIN SYSTEME GMBH</v>
          </cell>
          <cell r="G167" t="str">
            <v>MARS.2.02</v>
          </cell>
          <cell r="H167" t="str">
            <v>102079725</v>
          </cell>
          <cell r="I167" t="str">
            <v>ANNUALLY</v>
          </cell>
          <cell r="J167">
            <v>45736</v>
          </cell>
          <cell r="K167"/>
          <cell r="L167"/>
          <cell r="M167"/>
          <cell r="N167" t="str">
            <v>JABATAN ANESTHESIA</v>
          </cell>
          <cell r="O167" t="str">
            <v>Dewan Bedah Utama (GOT)</v>
          </cell>
        </row>
        <row r="168">
          <cell r="D168" t="str">
            <v>KKM/JKN/HSA/10-05-01/H/15/2439</v>
          </cell>
          <cell r="E168" t="str">
            <v>PATIENT WARMER (BLANKET)</v>
          </cell>
          <cell r="F168" t="str">
            <v>CARE ESSENTIAL PTE</v>
          </cell>
          <cell r="G168" t="str">
            <v>COCOON CWS4000</v>
          </cell>
          <cell r="H168" t="str">
            <v>CWS4-2350-14</v>
          </cell>
          <cell r="I168" t="str">
            <v>ANNUALLY</v>
          </cell>
          <cell r="J168">
            <v>45840</v>
          </cell>
          <cell r="K168"/>
          <cell r="L168"/>
          <cell r="M168"/>
          <cell r="N168" t="str">
            <v>JABATAN ANESTHESIA</v>
          </cell>
          <cell r="O168" t="str">
            <v>Dewan Bedah Utama (GOT)</v>
          </cell>
        </row>
        <row r="169">
          <cell r="D169" t="str">
            <v>KKM/JKN/HSA/10-05-01/H/15/2440</v>
          </cell>
          <cell r="E169" t="str">
            <v>WARMER BLANKET</v>
          </cell>
          <cell r="F169" t="str">
            <v>CARE ESSENTIAL PTE</v>
          </cell>
          <cell r="G169" t="str">
            <v>COCOON CWS4000</v>
          </cell>
          <cell r="H169" t="str">
            <v>CWS4-2917-15</v>
          </cell>
          <cell r="I169" t="str">
            <v>ANNUALLY</v>
          </cell>
          <cell r="J169">
            <v>45748</v>
          </cell>
          <cell r="K169"/>
          <cell r="L169"/>
          <cell r="M169"/>
          <cell r="N169" t="str">
            <v>JABATAN ANESTHESIA</v>
          </cell>
          <cell r="O169" t="str">
            <v>Dewan Bedah Utama (GOT)</v>
          </cell>
        </row>
        <row r="170">
          <cell r="D170" t="str">
            <v>KKM/JKN/HSA/10-05-01/H/15/2441</v>
          </cell>
          <cell r="E170" t="str">
            <v>PATIENT WARMER (BLANKET)</v>
          </cell>
          <cell r="F170" t="str">
            <v>CARE ESSENTIAL PTE</v>
          </cell>
          <cell r="G170" t="str">
            <v>COCOON CWS4000</v>
          </cell>
          <cell r="H170" t="str">
            <v>CWS4-3550-15</v>
          </cell>
          <cell r="I170" t="str">
            <v>ANNUALLY</v>
          </cell>
          <cell r="J170">
            <v>45840</v>
          </cell>
          <cell r="K170"/>
          <cell r="L170"/>
          <cell r="M170"/>
          <cell r="N170" t="str">
            <v>JABATAN ANESTHESIA</v>
          </cell>
          <cell r="O170" t="str">
            <v>Dewan Bedah Utama (GOT)</v>
          </cell>
        </row>
        <row r="171">
          <cell r="D171" t="str">
            <v>KKM/JKN/HSA/10-05-01/H/15/2442</v>
          </cell>
          <cell r="E171" t="str">
            <v>PATIENT WARMER (BLANKET)</v>
          </cell>
          <cell r="F171" t="str">
            <v>CARE ESSENTIAL PTE</v>
          </cell>
          <cell r="G171" t="str">
            <v>COCOON CWS4000</v>
          </cell>
          <cell r="H171" t="str">
            <v>CWS4-3549-15</v>
          </cell>
          <cell r="I171" t="str">
            <v>ANNUALLY</v>
          </cell>
          <cell r="J171">
            <v>45840</v>
          </cell>
          <cell r="K171"/>
          <cell r="L171"/>
          <cell r="M171"/>
          <cell r="N171" t="str">
            <v>JABATAN ANESTHESIA</v>
          </cell>
          <cell r="O171" t="str">
            <v>Dewan Bedah Utama (GOT)</v>
          </cell>
        </row>
        <row r="172">
          <cell r="D172" t="str">
            <v>KKM/JKN/HSA/10-05-01/H/15/2443</v>
          </cell>
          <cell r="E172" t="str">
            <v>PATIENT WARMER (BLANKET)</v>
          </cell>
          <cell r="F172" t="str">
            <v>CARE ESSENTIAL PTE</v>
          </cell>
          <cell r="G172" t="str">
            <v>COCOON CWS4000</v>
          </cell>
          <cell r="H172" t="str">
            <v>CWS4-2345-14</v>
          </cell>
          <cell r="I172" t="str">
            <v>ANNUALLY</v>
          </cell>
          <cell r="J172">
            <v>45840</v>
          </cell>
          <cell r="K172"/>
          <cell r="L172"/>
          <cell r="M172"/>
          <cell r="N172" t="str">
            <v>JABATAN ANESTHESIA</v>
          </cell>
          <cell r="O172" t="str">
            <v>Dewan Bedah Utama (GOT)</v>
          </cell>
        </row>
        <row r="173">
          <cell r="D173" t="str">
            <v>KKM/JKN/HSA/10-05-01/H/15/2444</v>
          </cell>
          <cell r="E173" t="str">
            <v>PATIENT WARMER (BLANKET)</v>
          </cell>
          <cell r="F173" t="str">
            <v>CARE ESSENTIAL PTE</v>
          </cell>
          <cell r="G173" t="str">
            <v>COCOON CWS4000</v>
          </cell>
          <cell r="H173" t="str">
            <v>CWS4-3548-15</v>
          </cell>
          <cell r="I173" t="str">
            <v>ANNUALLY</v>
          </cell>
          <cell r="J173">
            <v>45840</v>
          </cell>
          <cell r="K173"/>
          <cell r="L173"/>
          <cell r="M173"/>
          <cell r="N173" t="str">
            <v>JABATAN ANESTHESIA</v>
          </cell>
          <cell r="O173" t="str">
            <v>Dewan Bedah Utama (GOT)</v>
          </cell>
        </row>
        <row r="174">
          <cell r="D174" t="str">
            <v>KKM/JKN/HSA/10-05-01/H/15/2445</v>
          </cell>
          <cell r="E174" t="str">
            <v>PATIENT WARMER (BLANKET)</v>
          </cell>
          <cell r="F174" t="str">
            <v>CARE ESSENTIAL PTE</v>
          </cell>
          <cell r="G174" t="str">
            <v>COCOON CWS4000</v>
          </cell>
          <cell r="H174" t="str">
            <v>CWS4-2346-14</v>
          </cell>
          <cell r="I174" t="str">
            <v>ANNUALLY</v>
          </cell>
          <cell r="J174">
            <v>45840</v>
          </cell>
          <cell r="K174"/>
          <cell r="L174"/>
          <cell r="M174"/>
          <cell r="N174" t="str">
            <v>JABATAN ANESTHESIA</v>
          </cell>
          <cell r="O174" t="str">
            <v>Dewan Bedah Utama (GOT)</v>
          </cell>
        </row>
        <row r="175">
          <cell r="D175" t="str">
            <v>KKM/JKN/HSA/10-05-01/H/15/2446</v>
          </cell>
          <cell r="E175" t="str">
            <v>PATIENT WARMER (BLANKET)</v>
          </cell>
          <cell r="F175" t="str">
            <v>CARE ESSENTIAL PTE</v>
          </cell>
          <cell r="G175" t="str">
            <v>COCOON CWS4000</v>
          </cell>
          <cell r="H175" t="str">
            <v>CWS4-3547-15</v>
          </cell>
          <cell r="I175" t="str">
            <v>ANNUALLY</v>
          </cell>
          <cell r="J175">
            <v>45838</v>
          </cell>
          <cell r="K175"/>
          <cell r="L175"/>
          <cell r="M175"/>
          <cell r="N175" t="str">
            <v>JABATAN ANESTHESIA</v>
          </cell>
          <cell r="O175" t="str">
            <v>Dewan Bedah Utama (GOT)</v>
          </cell>
        </row>
        <row r="176">
          <cell r="D176" t="str">
            <v>KKM/JKN/HSA/10-05-01/H/15/2447</v>
          </cell>
          <cell r="E176" t="str">
            <v>PATIENT WARMER (BLANKET)</v>
          </cell>
          <cell r="F176" t="str">
            <v>CARE ESSENTIAL PTE</v>
          </cell>
          <cell r="G176" t="str">
            <v>COCOON CWS4000</v>
          </cell>
          <cell r="H176" t="str">
            <v>CWS4-2353-14</v>
          </cell>
          <cell r="I176" t="str">
            <v>ANNUALLY</v>
          </cell>
          <cell r="J176">
            <v>45838</v>
          </cell>
          <cell r="K176"/>
          <cell r="L176"/>
          <cell r="M176"/>
          <cell r="N176" t="str">
            <v>JABATAN ANESTHESIA</v>
          </cell>
          <cell r="O176" t="str">
            <v>Dewan Bedah Utama (GOT)</v>
          </cell>
        </row>
        <row r="177">
          <cell r="D177" t="str">
            <v>KKM/JKN/HSA/10-05-01/H/15/2448</v>
          </cell>
          <cell r="E177" t="str">
            <v>PATIENT WARMER (BLANKET)</v>
          </cell>
          <cell r="F177" t="str">
            <v>CARE ESSENTIAL PTE</v>
          </cell>
          <cell r="G177" t="str">
            <v>COCOON CWS4000</v>
          </cell>
          <cell r="H177" t="str">
            <v>CWS4-2349-14</v>
          </cell>
          <cell r="I177" t="str">
            <v>ANNUALLY</v>
          </cell>
          <cell r="J177">
            <v>45838</v>
          </cell>
          <cell r="K177"/>
          <cell r="L177"/>
          <cell r="M177"/>
          <cell r="N177" t="str">
            <v>JABATAN ANESTHESIA</v>
          </cell>
          <cell r="O177" t="str">
            <v>Dewan Bedah Utama (GOT)</v>
          </cell>
        </row>
        <row r="178">
          <cell r="D178" t="str">
            <v>KKM/JKN/HSA/10-05-01/H/15/2449</v>
          </cell>
          <cell r="E178" t="str">
            <v>PATIENT WARMER (BLANKET)</v>
          </cell>
          <cell r="F178" t="str">
            <v>CARE ESSENTIAL PTE</v>
          </cell>
          <cell r="G178" t="str">
            <v>COCOON CWS4000</v>
          </cell>
          <cell r="H178" t="str">
            <v>CWS4-3551-15</v>
          </cell>
          <cell r="I178" t="str">
            <v>ANNUALLY</v>
          </cell>
          <cell r="J178">
            <v>45715</v>
          </cell>
          <cell r="K178"/>
          <cell r="L178"/>
          <cell r="M178"/>
          <cell r="N178" t="str">
            <v>JABATAN ANESTHESIA</v>
          </cell>
          <cell r="O178" t="str">
            <v>Dewan Bedah Utama (GOT)</v>
          </cell>
        </row>
        <row r="179">
          <cell r="D179" t="str">
            <v>KKM/JKN/HSA/10-05-01/H/15/2450</v>
          </cell>
          <cell r="E179" t="str">
            <v>PATIENT WARMER (BLANKET)</v>
          </cell>
          <cell r="F179" t="str">
            <v>CARE ESSENTIAL PTE</v>
          </cell>
          <cell r="G179" t="str">
            <v>COCOON CWS4000</v>
          </cell>
          <cell r="H179" t="str">
            <v>CWS4-2359-14</v>
          </cell>
          <cell r="I179" t="str">
            <v>ANNUALLY</v>
          </cell>
          <cell r="J179">
            <v>45838</v>
          </cell>
          <cell r="K179"/>
          <cell r="L179"/>
          <cell r="M179"/>
          <cell r="N179" t="str">
            <v>JABATAN ANESTHESIA</v>
          </cell>
          <cell r="O179" t="str">
            <v>Dewan Bedah Utama (GOT)</v>
          </cell>
        </row>
        <row r="180">
          <cell r="D180" t="str">
            <v>KKM/JKN/HSA/10-05-01/H/15/2451</v>
          </cell>
          <cell r="E180" t="str">
            <v>PATIENT WARMER (BLANKET)</v>
          </cell>
          <cell r="F180" t="str">
            <v>CARE ESSENTIAL PTE</v>
          </cell>
          <cell r="G180" t="str">
            <v>COCOON CWS4000</v>
          </cell>
          <cell r="H180" t="str">
            <v>CWS4-2358-14</v>
          </cell>
          <cell r="I180" t="str">
            <v>ANNUALLY</v>
          </cell>
          <cell r="J180">
            <v>45838</v>
          </cell>
          <cell r="K180"/>
          <cell r="L180"/>
          <cell r="M180"/>
          <cell r="N180" t="str">
            <v>JABATAN ANESTHESIA</v>
          </cell>
          <cell r="O180" t="str">
            <v>Dewan Bedah Utama (GOT)</v>
          </cell>
        </row>
        <row r="181">
          <cell r="D181" t="str">
            <v>KKM/JKN/HSA/10-05-01/H/15/2452</v>
          </cell>
          <cell r="E181" t="str">
            <v>PATIENT WARMER (BLANKET)</v>
          </cell>
          <cell r="F181" t="str">
            <v>CARE ESSENTIAL PTE</v>
          </cell>
          <cell r="G181" t="str">
            <v>COCOON CWS4000</v>
          </cell>
          <cell r="H181" t="str">
            <v>CWS4-2917-15</v>
          </cell>
          <cell r="I181" t="str">
            <v>ANNUALLY</v>
          </cell>
          <cell r="J181">
            <v>45838</v>
          </cell>
          <cell r="K181"/>
          <cell r="L181"/>
          <cell r="M181"/>
          <cell r="N181" t="str">
            <v>JABATAN ANESTHESIA</v>
          </cell>
          <cell r="O181" t="str">
            <v>Dewan Bedah Utama (GOT)</v>
          </cell>
        </row>
        <row r="182">
          <cell r="D182" t="str">
            <v>KKM/JKN/HSA/10-05-01/H/15/2475</v>
          </cell>
          <cell r="E182" t="str">
            <v>HEADLIGHTS</v>
          </cell>
          <cell r="F182" t="str">
            <v>HEINE</v>
          </cell>
          <cell r="G182" t="str">
            <v>3S LED J-008.31.316</v>
          </cell>
          <cell r="H182" t="str">
            <v>N/A</v>
          </cell>
          <cell r="I182" t="str">
            <v>ANNUALLY</v>
          </cell>
          <cell r="J182">
            <v>45887</v>
          </cell>
          <cell r="K182"/>
          <cell r="L182"/>
          <cell r="M182"/>
          <cell r="N182" t="str">
            <v>JABATAN ANESTHESIA</v>
          </cell>
          <cell r="O182" t="str">
            <v>Dewan Bedah Utama (GOT)</v>
          </cell>
        </row>
        <row r="183">
          <cell r="D183" t="str">
            <v>KKM/JKN/HSA/10-05-01/H/15/306</v>
          </cell>
          <cell r="E183" t="str">
            <v>VENTILATOR</v>
          </cell>
          <cell r="F183" t="str">
            <v>DRAEGER</v>
          </cell>
          <cell r="G183" t="str">
            <v>OXYLOG 3000 PLUS</v>
          </cell>
          <cell r="H183" t="str">
            <v>ASEJ-0134</v>
          </cell>
          <cell r="I183" t="str">
            <v>SEMI ANNUALLY</v>
          </cell>
          <cell r="J183">
            <v>45772</v>
          </cell>
          <cell r="K183">
            <v>45954</v>
          </cell>
          <cell r="L183"/>
          <cell r="M183"/>
          <cell r="N183" t="str">
            <v>JABATAN ANESTHESIA</v>
          </cell>
          <cell r="O183" t="str">
            <v>Dewan Bedah Utama (GOT)</v>
          </cell>
        </row>
        <row r="184">
          <cell r="D184" t="str">
            <v>KKM/JKN/HSA/10-05-01/H/15/307</v>
          </cell>
          <cell r="E184" t="str">
            <v>VENTILATOR</v>
          </cell>
          <cell r="F184" t="str">
            <v>DRAEGER</v>
          </cell>
          <cell r="G184" t="str">
            <v>OXYLOG 3000 PLUS</v>
          </cell>
          <cell r="H184" t="str">
            <v>ASEJ-0133</v>
          </cell>
          <cell r="I184" t="str">
            <v>SEMI ANNUALLY</v>
          </cell>
          <cell r="J184">
            <v>45772</v>
          </cell>
          <cell r="K184">
            <v>45954</v>
          </cell>
          <cell r="L184"/>
          <cell r="M184"/>
          <cell r="N184" t="str">
            <v>JABATAN ANESTHESIA</v>
          </cell>
          <cell r="O184" t="str">
            <v>Dewan Bedah Utama (GOT)</v>
          </cell>
        </row>
        <row r="185">
          <cell r="D185" t="str">
            <v>KKM/JKN/HSA/10-05-01/H/15/330</v>
          </cell>
          <cell r="E185" t="str">
            <v>ANESTHESIA MACHINE/UNIT</v>
          </cell>
          <cell r="F185" t="str">
            <v>DRAEGER</v>
          </cell>
          <cell r="G185" t="str">
            <v>PRIMUS</v>
          </cell>
          <cell r="H185" t="str">
            <v>ASEK-0153</v>
          </cell>
          <cell r="I185" t="str">
            <v>SEMI ANNUALLY</v>
          </cell>
          <cell r="J185">
            <v>45790</v>
          </cell>
          <cell r="K185">
            <v>45973</v>
          </cell>
          <cell r="L185"/>
          <cell r="M185"/>
          <cell r="N185" t="str">
            <v>JABATAN ANESTHESIA</v>
          </cell>
          <cell r="O185" t="str">
            <v>Dewan Bedah Utama (GOT)</v>
          </cell>
        </row>
        <row r="186">
          <cell r="D186" t="str">
            <v>KKM/JKN/HSA/10-05-01/H/15/331</v>
          </cell>
          <cell r="E186" t="str">
            <v>ANESTHESIA MACHINE/UNIT</v>
          </cell>
          <cell r="F186" t="str">
            <v>DRAEGER</v>
          </cell>
          <cell r="G186" t="str">
            <v>PRIMUS</v>
          </cell>
          <cell r="H186" t="str">
            <v>ASEK-0144</v>
          </cell>
          <cell r="I186" t="str">
            <v>SEMI ANNUALLY</v>
          </cell>
          <cell r="J186">
            <v>45790</v>
          </cell>
          <cell r="K186">
            <v>45973</v>
          </cell>
          <cell r="L186"/>
          <cell r="M186"/>
          <cell r="N186" t="str">
            <v>JABATAN ANESTHESIA</v>
          </cell>
          <cell r="O186" t="str">
            <v>Dewan Bedah Utama (GOT)</v>
          </cell>
        </row>
        <row r="187">
          <cell r="D187" t="str">
            <v>KKM/JKN/HSA/10-05-01/H/15/332</v>
          </cell>
          <cell r="E187" t="str">
            <v>ANESTHESIA MACHINE/UNIT</v>
          </cell>
          <cell r="F187" t="str">
            <v>DRAEGER</v>
          </cell>
          <cell r="G187" t="str">
            <v>PRIMUS</v>
          </cell>
          <cell r="H187" t="str">
            <v>ASEK-0142</v>
          </cell>
          <cell r="I187" t="str">
            <v>SEMI ANNUALLY</v>
          </cell>
          <cell r="J187">
            <v>45765</v>
          </cell>
          <cell r="K187">
            <v>45947</v>
          </cell>
          <cell r="L187"/>
          <cell r="M187"/>
          <cell r="N187" t="str">
            <v>JABATAN ANESTHESIA</v>
          </cell>
          <cell r="O187" t="str">
            <v>Dewan Bedah Utama (GOT)</v>
          </cell>
        </row>
        <row r="188">
          <cell r="D188" t="str">
            <v>KKM/JKN/HSA/10-05-01/H/15/333</v>
          </cell>
          <cell r="E188" t="str">
            <v>ANESTHESIA MACHINE/UNIT</v>
          </cell>
          <cell r="F188" t="str">
            <v>DRAEGER</v>
          </cell>
          <cell r="G188" t="str">
            <v>PRIMUS</v>
          </cell>
          <cell r="H188" t="str">
            <v>ASEK-0141</v>
          </cell>
          <cell r="I188" t="str">
            <v>SEMI ANNUALLY</v>
          </cell>
          <cell r="J188">
            <v>45765</v>
          </cell>
          <cell r="K188">
            <v>45947</v>
          </cell>
          <cell r="L188"/>
          <cell r="M188"/>
          <cell r="N188" t="str">
            <v>JABATAN ANESTHESIA</v>
          </cell>
          <cell r="O188" t="str">
            <v>Dewan Bedah Utama (GOT)</v>
          </cell>
        </row>
        <row r="189">
          <cell r="D189" t="str">
            <v>KKM/JKN/HSA/10-05-01/H/15/334</v>
          </cell>
          <cell r="E189" t="str">
            <v>ANESTHESIA MACHINE/UNIT</v>
          </cell>
          <cell r="F189" t="str">
            <v>DRAEGER</v>
          </cell>
          <cell r="G189" t="str">
            <v>PRIMUS</v>
          </cell>
          <cell r="H189" t="str">
            <v>ASEK-0145</v>
          </cell>
          <cell r="I189" t="str">
            <v>SEMI ANNUALLY</v>
          </cell>
          <cell r="J189">
            <v>45762</v>
          </cell>
          <cell r="K189">
            <v>45944</v>
          </cell>
          <cell r="L189"/>
          <cell r="M189"/>
          <cell r="N189" t="str">
            <v>JABATAN ANESTHESIA</v>
          </cell>
          <cell r="O189" t="str">
            <v>Dewan Bedah Utama (GOT)</v>
          </cell>
        </row>
        <row r="190">
          <cell r="D190" t="str">
            <v>KKM/JKN/HSA/10-05-01/H/15/335</v>
          </cell>
          <cell r="E190" t="str">
            <v>ANESTHESIA MACHINE/UNIT</v>
          </cell>
          <cell r="F190" t="str">
            <v>DRAEGER</v>
          </cell>
          <cell r="G190" t="str">
            <v>PRIMUS</v>
          </cell>
          <cell r="H190" t="str">
            <v>ASEK-0147</v>
          </cell>
          <cell r="I190" t="str">
            <v>SEMI ANNUALLY</v>
          </cell>
          <cell r="J190">
            <v>45762</v>
          </cell>
          <cell r="K190">
            <v>45944</v>
          </cell>
          <cell r="L190"/>
          <cell r="M190"/>
          <cell r="N190" t="str">
            <v>JABATAN ANESTHESIA</v>
          </cell>
          <cell r="O190" t="str">
            <v>Dewan Bedah Utama (GOT)</v>
          </cell>
        </row>
        <row r="191">
          <cell r="D191" t="str">
            <v>KKM/JKN/HSA/10-05-01/H/15/336</v>
          </cell>
          <cell r="E191" t="str">
            <v>ANESTHESIA MACHINE/UNIT</v>
          </cell>
          <cell r="F191" t="str">
            <v>DRAEGER</v>
          </cell>
          <cell r="G191" t="str">
            <v>PRIMUS</v>
          </cell>
          <cell r="H191" t="str">
            <v>ASEK-0140</v>
          </cell>
          <cell r="I191" t="str">
            <v>SEMI ANNUALLY</v>
          </cell>
          <cell r="J191">
            <v>45771</v>
          </cell>
          <cell r="K191">
            <v>45953</v>
          </cell>
          <cell r="L191"/>
          <cell r="M191"/>
          <cell r="N191" t="str">
            <v>JABATAN ANESTHESIA</v>
          </cell>
          <cell r="O191" t="str">
            <v>Dewan Bedah Utama (GOT)</v>
          </cell>
        </row>
        <row r="192">
          <cell r="D192" t="str">
            <v>KKM/JKN/HSA/10-05-01/H/15/337</v>
          </cell>
          <cell r="E192" t="str">
            <v>ANESTHESIA MACHINE/UNIT</v>
          </cell>
          <cell r="F192" t="str">
            <v>DRAEGER</v>
          </cell>
          <cell r="G192" t="str">
            <v>PRIMUS</v>
          </cell>
          <cell r="H192" t="str">
            <v>ASEK-0139</v>
          </cell>
          <cell r="I192" t="str">
            <v>SEMI ANNUALLY</v>
          </cell>
          <cell r="J192">
            <v>45771</v>
          </cell>
          <cell r="K192">
            <v>45953</v>
          </cell>
          <cell r="L192"/>
          <cell r="M192"/>
          <cell r="N192" t="str">
            <v>JABATAN ANESTHESIA</v>
          </cell>
          <cell r="O192" t="str">
            <v>Dewan Bedah Utama (GOT)</v>
          </cell>
        </row>
        <row r="193">
          <cell r="D193" t="str">
            <v>KKM/JKN/HSA/10-05-01/H/15/338</v>
          </cell>
          <cell r="E193" t="str">
            <v>ELECTRICAL NERVE STIMULATOR</v>
          </cell>
          <cell r="F193" t="str">
            <v>LIFETECH</v>
          </cell>
          <cell r="G193" t="str">
            <v>EZ-STIM 2</v>
          </cell>
          <cell r="H193" t="str">
            <v>13019</v>
          </cell>
          <cell r="I193" t="str">
            <v>ANNUALLY</v>
          </cell>
          <cell r="J193">
            <v>45861</v>
          </cell>
          <cell r="K193"/>
          <cell r="L193"/>
          <cell r="M193"/>
          <cell r="N193" t="str">
            <v>JABATAN ANESTHESIA</v>
          </cell>
          <cell r="O193" t="str">
            <v>Dewan Bedah Utama (GOT)</v>
          </cell>
        </row>
        <row r="194">
          <cell r="D194" t="str">
            <v>KKM/JKN/HSA/10-05-01/H/15/339</v>
          </cell>
          <cell r="E194" t="str">
            <v>ELECTRICAL NERVE STIMULATOR</v>
          </cell>
          <cell r="F194" t="str">
            <v>LIFETECH</v>
          </cell>
          <cell r="G194" t="str">
            <v>EZ-STIM 2</v>
          </cell>
          <cell r="H194" t="str">
            <v>13020</v>
          </cell>
          <cell r="I194" t="str">
            <v>ANNUALLY</v>
          </cell>
          <cell r="J194">
            <v>45861</v>
          </cell>
          <cell r="K194"/>
          <cell r="L194"/>
          <cell r="M194"/>
          <cell r="N194" t="str">
            <v>JABATAN ANESTHESIA</v>
          </cell>
          <cell r="O194" t="str">
            <v>Dewan Bedah Utama (GOT)</v>
          </cell>
        </row>
        <row r="195">
          <cell r="D195" t="str">
            <v>KKM/JKN/HSA/10-05-01/H/15/340</v>
          </cell>
          <cell r="E195" t="str">
            <v>ELECTRICAL NERVE STIMULATOR</v>
          </cell>
          <cell r="F195" t="str">
            <v>LIFETECH</v>
          </cell>
          <cell r="G195" t="str">
            <v>EZ-STIM 2</v>
          </cell>
          <cell r="H195" t="str">
            <v>13022</v>
          </cell>
          <cell r="I195" t="str">
            <v>ANNUALLY</v>
          </cell>
          <cell r="J195">
            <v>45861</v>
          </cell>
          <cell r="K195"/>
          <cell r="L195"/>
          <cell r="M195"/>
          <cell r="N195" t="str">
            <v>JABATAN ANESTHESIA</v>
          </cell>
          <cell r="O195" t="str">
            <v>Dewan Bedah Utama (GOT)</v>
          </cell>
        </row>
        <row r="196">
          <cell r="D196" t="str">
            <v>KKM/JKN/HSA/10-05-01/H/15/341</v>
          </cell>
          <cell r="E196" t="str">
            <v>ELECTRICAL NERVE STIMULATOR</v>
          </cell>
          <cell r="F196" t="str">
            <v>LIFETECH</v>
          </cell>
          <cell r="G196" t="str">
            <v>EZ-STIM 2</v>
          </cell>
          <cell r="H196" t="str">
            <v>13021</v>
          </cell>
          <cell r="I196" t="str">
            <v>ANNUALLY</v>
          </cell>
          <cell r="J196">
            <v>45861</v>
          </cell>
          <cell r="K196"/>
          <cell r="L196"/>
          <cell r="M196"/>
          <cell r="N196" t="str">
            <v>JABATAN ANESTHESIA</v>
          </cell>
          <cell r="O196" t="str">
            <v>Dewan Bedah Utama (GOT)</v>
          </cell>
        </row>
        <row r="197">
          <cell r="D197" t="str">
            <v>KKM/JKN/HSA/10-05-01/H/15/342</v>
          </cell>
          <cell r="E197" t="str">
            <v>ELECTRICAL NERVE STIMULATOR</v>
          </cell>
          <cell r="F197" t="str">
            <v>LIFETECH</v>
          </cell>
          <cell r="G197" t="str">
            <v>EZ-STIM 2</v>
          </cell>
          <cell r="H197">
            <v>13023</v>
          </cell>
          <cell r="I197" t="str">
            <v>ANNUALLY</v>
          </cell>
          <cell r="J197">
            <v>45861</v>
          </cell>
          <cell r="K197"/>
          <cell r="L197"/>
          <cell r="M197"/>
          <cell r="N197" t="str">
            <v>JABATAN ANESTHESIA</v>
          </cell>
          <cell r="O197" t="str">
            <v>Dewan Bedah Utama (GOT)</v>
          </cell>
        </row>
        <row r="198">
          <cell r="D198" t="str">
            <v>KKM/JKN/HSA/10-05-01/H/15/3631</v>
          </cell>
          <cell r="E198" t="str">
            <v>ORTHOPEDIC GRAP DRILL</v>
          </cell>
          <cell r="F198" t="str">
            <v>SYNTHES</v>
          </cell>
          <cell r="G198" t="str">
            <v>COLIBRI-II</v>
          </cell>
          <cell r="H198">
            <v>3479</v>
          </cell>
          <cell r="I198" t="str">
            <v>ANNUALLY</v>
          </cell>
          <cell r="J198">
            <v>46045</v>
          </cell>
          <cell r="K198"/>
          <cell r="L198"/>
          <cell r="M198"/>
          <cell r="N198" t="str">
            <v>JABATAN ANESTHESIA</v>
          </cell>
          <cell r="O198" t="str">
            <v>Dewan Bedah Utama (GOT)</v>
          </cell>
        </row>
        <row r="199">
          <cell r="D199" t="str">
            <v>KKM/JKN/HSA/10-05-01/H/15/3632</v>
          </cell>
          <cell r="E199" t="str">
            <v>ORTHOPEDIC GRAP DRILL</v>
          </cell>
          <cell r="F199" t="str">
            <v>SYNTHES</v>
          </cell>
          <cell r="G199" t="str">
            <v>COLIBRI-II</v>
          </cell>
          <cell r="H199">
            <v>3475</v>
          </cell>
          <cell r="I199" t="str">
            <v>ANNUALLY</v>
          </cell>
          <cell r="J199">
            <v>46045</v>
          </cell>
          <cell r="K199"/>
          <cell r="L199"/>
          <cell r="M199"/>
          <cell r="N199" t="str">
            <v>JABATAN ANESTHESIA</v>
          </cell>
          <cell r="O199" t="str">
            <v>Dewan Bedah Utama (GOT)</v>
          </cell>
        </row>
        <row r="200">
          <cell r="D200" t="str">
            <v>KKM/JKN/HSA/10-05-01/H/15/3633</v>
          </cell>
          <cell r="E200" t="str">
            <v>ORTHOPEDIC GRAP DRILL</v>
          </cell>
          <cell r="F200" t="str">
            <v>SYNTHES</v>
          </cell>
          <cell r="G200" t="str">
            <v>COLIBRI-II</v>
          </cell>
          <cell r="H200">
            <v>6940</v>
          </cell>
          <cell r="I200" t="str">
            <v>ANNUALLY</v>
          </cell>
          <cell r="J200">
            <v>46045</v>
          </cell>
          <cell r="K200"/>
          <cell r="L200"/>
          <cell r="M200"/>
          <cell r="N200" t="str">
            <v>JABATAN ANESTHESIA</v>
          </cell>
          <cell r="O200" t="str">
            <v>Dewan Bedah Utama (GOT)</v>
          </cell>
        </row>
        <row r="201">
          <cell r="D201" t="str">
            <v>KKM/JKN/HSA/10-05-01/H/15/3674</v>
          </cell>
          <cell r="E201" t="str">
            <v>DEFIBRILLATOR</v>
          </cell>
          <cell r="F201" t="str">
            <v>PHILIPS</v>
          </cell>
          <cell r="G201" t="str">
            <v>EFFICIA DFM100</v>
          </cell>
          <cell r="H201" t="str">
            <v>CN32601433</v>
          </cell>
          <cell r="I201" t="str">
            <v>SEMI ANNUALLY</v>
          </cell>
          <cell r="J201">
            <v>45814</v>
          </cell>
          <cell r="K201">
            <v>45996</v>
          </cell>
          <cell r="L201"/>
          <cell r="M201"/>
          <cell r="N201" t="str">
            <v>JABATAN ANESTHESIA</v>
          </cell>
          <cell r="O201" t="str">
            <v>Dewan Bedah Utama (GOT)</v>
          </cell>
        </row>
        <row r="202">
          <cell r="D202" t="str">
            <v>KKM/JKN/HSA/10-05-01/H/15/3675</v>
          </cell>
          <cell r="E202" t="str">
            <v>DEFIBRILLATOR</v>
          </cell>
          <cell r="F202" t="str">
            <v>PHILIPS</v>
          </cell>
          <cell r="G202" t="str">
            <v>EFFICIA DFM100</v>
          </cell>
          <cell r="H202" t="str">
            <v>CN32601440</v>
          </cell>
          <cell r="I202" t="str">
            <v>SEMI ANNUALLY</v>
          </cell>
          <cell r="J202">
            <v>45814</v>
          </cell>
          <cell r="K202">
            <v>45996</v>
          </cell>
          <cell r="L202"/>
          <cell r="M202"/>
          <cell r="N202" t="str">
            <v>JABATAN ANESTHESIA</v>
          </cell>
          <cell r="O202" t="str">
            <v>Dewan Bedah Utama (GOT)</v>
          </cell>
        </row>
        <row r="203">
          <cell r="D203" t="str">
            <v>KKM/JKN/HSA/10-05-01/H/15/4134</v>
          </cell>
          <cell r="E203" t="str">
            <v>PATIENT MONITORING EQUIP.(AUTOMATIC MULTIPARAMETER)</v>
          </cell>
          <cell r="F203" t="str">
            <v>MINDRAY</v>
          </cell>
          <cell r="G203" t="str">
            <v>IPM 12</v>
          </cell>
          <cell r="H203" t="str">
            <v>FH-51016109</v>
          </cell>
          <cell r="I203" t="str">
            <v>SEMI ANNUALLY</v>
          </cell>
          <cell r="J203">
            <v>45761</v>
          </cell>
          <cell r="K203">
            <v>45943</v>
          </cell>
          <cell r="L203"/>
          <cell r="M203"/>
          <cell r="N203" t="str">
            <v>JABATAN ANESTHESIA</v>
          </cell>
          <cell r="O203" t="str">
            <v>Dewan Bedah Utama (GOT)</v>
          </cell>
        </row>
        <row r="204">
          <cell r="D204" t="str">
            <v>KKM/JKN/HSA/10-05-01/H/15/4135</v>
          </cell>
          <cell r="E204" t="str">
            <v>PATIENT MONITORING EQUIP.(AUTOMATIC MULTIPARAMETER)</v>
          </cell>
          <cell r="F204" t="str">
            <v>MINDRAY</v>
          </cell>
          <cell r="G204" t="str">
            <v>IPM 12</v>
          </cell>
          <cell r="H204" t="str">
            <v>FH-51016101</v>
          </cell>
          <cell r="I204" t="str">
            <v>SEMI ANNUALLY</v>
          </cell>
          <cell r="J204">
            <v>45761</v>
          </cell>
          <cell r="K204">
            <v>45943</v>
          </cell>
          <cell r="L204"/>
          <cell r="M204"/>
          <cell r="N204" t="str">
            <v>JABATAN ANESTHESIA</v>
          </cell>
          <cell r="O204" t="str">
            <v>Dewan Bedah Utama (GOT)</v>
          </cell>
        </row>
        <row r="205">
          <cell r="D205" t="str">
            <v>KKM/JKN/HSA/10-05-01/H/15/4136</v>
          </cell>
          <cell r="E205" t="str">
            <v>PATIENT MONITORING EQUIP.(AUTOMATIC MULTIPARAMETER)</v>
          </cell>
          <cell r="F205" t="str">
            <v>MINDRAY</v>
          </cell>
          <cell r="G205" t="str">
            <v>IPM 12</v>
          </cell>
          <cell r="H205" t="str">
            <v>FH-51016105</v>
          </cell>
          <cell r="I205" t="str">
            <v>SEMI ANNUALLY</v>
          </cell>
          <cell r="J205">
            <v>45761</v>
          </cell>
          <cell r="K205">
            <v>45943</v>
          </cell>
          <cell r="L205"/>
          <cell r="M205"/>
          <cell r="N205" t="str">
            <v>JABATAN ANESTHESIA</v>
          </cell>
          <cell r="O205" t="str">
            <v>Dewan Bedah Utama (GOT)</v>
          </cell>
        </row>
        <row r="206">
          <cell r="D206" t="str">
            <v>KKM/JKN/HSA/10-05-01/H/15/4137</v>
          </cell>
          <cell r="E206" t="str">
            <v>PATIENT MONITORING EQUIP.(AUTOMATIC MULTIPARAMETER)</v>
          </cell>
          <cell r="F206" t="str">
            <v>MINDRAY</v>
          </cell>
          <cell r="G206" t="str">
            <v>IPM 12</v>
          </cell>
          <cell r="H206" t="str">
            <v>FH-51016112</v>
          </cell>
          <cell r="I206" t="str">
            <v>SEMI ANNUALLY</v>
          </cell>
          <cell r="J206">
            <v>45761</v>
          </cell>
          <cell r="K206">
            <v>45943</v>
          </cell>
          <cell r="L206"/>
          <cell r="M206"/>
          <cell r="N206" t="str">
            <v>JABATAN ANESTHESIA</v>
          </cell>
          <cell r="O206" t="str">
            <v>Dewan Bedah Utama (GOT)</v>
          </cell>
        </row>
        <row r="207">
          <cell r="D207" t="str">
            <v>KKM/JKN/HSA/10-05-01/H/15/4138</v>
          </cell>
          <cell r="E207" t="str">
            <v>PATIENT MONITORING EQUIP.(AUTOMATIC MULTIPARAMETER)</v>
          </cell>
          <cell r="F207" t="str">
            <v>MINDRAY</v>
          </cell>
          <cell r="G207" t="str">
            <v>IPM 12</v>
          </cell>
          <cell r="H207" t="str">
            <v>FH-51016104</v>
          </cell>
          <cell r="I207" t="str">
            <v>SEMI ANNUALLY</v>
          </cell>
          <cell r="J207">
            <v>45761</v>
          </cell>
          <cell r="K207">
            <v>45943</v>
          </cell>
          <cell r="L207"/>
          <cell r="M207"/>
          <cell r="N207" t="str">
            <v>JABATAN ANESTHESIA</v>
          </cell>
          <cell r="O207" t="str">
            <v>Dewan Bedah Utama (GOT)</v>
          </cell>
        </row>
        <row r="208">
          <cell r="D208" t="str">
            <v>KKM/JKN/HSA/10-05-01/H/15/4139</v>
          </cell>
          <cell r="E208" t="str">
            <v>PATIENT MONITORING EQUIP.(AUTOMATIC MULTIPARAMETER)</v>
          </cell>
          <cell r="F208" t="str">
            <v>MINDRAY</v>
          </cell>
          <cell r="G208" t="str">
            <v>IPM 12</v>
          </cell>
          <cell r="H208" t="str">
            <v>FH-51016103</v>
          </cell>
          <cell r="I208" t="str">
            <v>SEMI ANNUALLY</v>
          </cell>
          <cell r="J208">
            <v>45775</v>
          </cell>
          <cell r="K208">
            <v>45957</v>
          </cell>
          <cell r="L208"/>
          <cell r="M208"/>
          <cell r="N208" t="str">
            <v>JABATAN ANESTHESIA</v>
          </cell>
          <cell r="O208" t="str">
            <v>Dewan Bedah Utama (GOT)</v>
          </cell>
        </row>
        <row r="209">
          <cell r="D209" t="str">
            <v>KKM/JKN/HSA/10-05-01/H/15/4140</v>
          </cell>
          <cell r="E209" t="str">
            <v>PATIENT MONITORING EQUIP.(AUTOMATIC MULTIPARAMETER)</v>
          </cell>
          <cell r="F209" t="str">
            <v>MINDRAY</v>
          </cell>
          <cell r="G209" t="str">
            <v>IPM 12</v>
          </cell>
          <cell r="H209" t="str">
            <v>FH-51016111</v>
          </cell>
          <cell r="I209" t="str">
            <v>SEMI ANNUALLY</v>
          </cell>
          <cell r="J209">
            <v>45775</v>
          </cell>
          <cell r="K209">
            <v>45957</v>
          </cell>
          <cell r="L209"/>
          <cell r="M209"/>
          <cell r="N209" t="str">
            <v>JABATAN ANESTHESIA</v>
          </cell>
          <cell r="O209" t="str">
            <v>Dewan Bedah Utama (GOT)</v>
          </cell>
        </row>
        <row r="210">
          <cell r="D210" t="str">
            <v>KKM/JKN/HSA/10-05-01/H/15/4263</v>
          </cell>
          <cell r="E210" t="str">
            <v>BLOOD FLUID WARMER</v>
          </cell>
          <cell r="F210" t="str">
            <v>BARKEY</v>
          </cell>
          <cell r="G210" t="str">
            <v>AUTOCONTROL 3XPT</v>
          </cell>
          <cell r="H210" t="str">
            <v>1207681</v>
          </cell>
          <cell r="I210" t="str">
            <v>ANNUALLY</v>
          </cell>
          <cell r="J210">
            <v>45936</v>
          </cell>
          <cell r="K210"/>
          <cell r="L210"/>
          <cell r="M210"/>
          <cell r="N210" t="str">
            <v>JABATAN ANESTHESIA</v>
          </cell>
          <cell r="O210" t="str">
            <v>Dewan Bedah Utama (GOT)</v>
          </cell>
        </row>
        <row r="211">
          <cell r="D211" t="str">
            <v>KKM/JKN/HSA/10-05-01/H/15/4265</v>
          </cell>
          <cell r="E211" t="str">
            <v>BLOOD FLUID WARMER</v>
          </cell>
          <cell r="F211" t="str">
            <v>BARKEY</v>
          </cell>
          <cell r="G211" t="str">
            <v>AUTOCONTROL 3XPT</v>
          </cell>
          <cell r="H211" t="str">
            <v>1207677</v>
          </cell>
          <cell r="I211" t="str">
            <v>ANNUALLY</v>
          </cell>
          <cell r="J211">
            <v>45877</v>
          </cell>
          <cell r="K211"/>
          <cell r="L211"/>
          <cell r="M211"/>
          <cell r="N211" t="str">
            <v>JABATAN ANESTHESIA</v>
          </cell>
          <cell r="O211" t="str">
            <v>Dewan Bedah Utama (GOT)</v>
          </cell>
        </row>
        <row r="212">
          <cell r="D212" t="str">
            <v>KKM/JKN/HSA/10-05-01/H/15/4266</v>
          </cell>
          <cell r="E212" t="str">
            <v>BLOOD FLUID WARMER</v>
          </cell>
          <cell r="F212" t="str">
            <v>BARKEY</v>
          </cell>
          <cell r="G212" t="str">
            <v>AUTOCONTROL 3XPT</v>
          </cell>
          <cell r="H212" t="str">
            <v>1207679</v>
          </cell>
          <cell r="I212" t="str">
            <v>ANNUALLY</v>
          </cell>
          <cell r="J212">
            <v>45833</v>
          </cell>
          <cell r="K212"/>
          <cell r="L212"/>
          <cell r="M212"/>
          <cell r="N212" t="str">
            <v>JABATAN ANESTHESIA</v>
          </cell>
          <cell r="O212" t="str">
            <v>Dewan Bedah Utama (GOT)</v>
          </cell>
        </row>
        <row r="213">
          <cell r="D213" t="str">
            <v>KKM/JKN/HSA/10-05-01/H/15/4268</v>
          </cell>
          <cell r="E213" t="str">
            <v>BLOOD FLUID WARMER</v>
          </cell>
          <cell r="F213" t="str">
            <v>BARKEY</v>
          </cell>
          <cell r="G213" t="str">
            <v>AUTOCONTROL 3XPT</v>
          </cell>
          <cell r="H213" t="str">
            <v>1207668</v>
          </cell>
          <cell r="I213" t="str">
            <v>ANNUALLY</v>
          </cell>
          <cell r="J213">
            <v>45833</v>
          </cell>
          <cell r="K213"/>
          <cell r="L213"/>
          <cell r="M213"/>
          <cell r="N213" t="str">
            <v>JABATAN ANESTHESIA</v>
          </cell>
          <cell r="O213" t="str">
            <v>Dewan Bedah Utama (GOT)</v>
          </cell>
        </row>
        <row r="214">
          <cell r="D214" t="str">
            <v>KKM/JKN/HSA/10-05-01/H/15/4269</v>
          </cell>
          <cell r="E214" t="str">
            <v>BLOOD FLUID WARMER</v>
          </cell>
          <cell r="F214" t="str">
            <v>BARKEY</v>
          </cell>
          <cell r="G214" t="str">
            <v>AUTOCONTROL 3XPT</v>
          </cell>
          <cell r="H214" t="str">
            <v>1207690</v>
          </cell>
          <cell r="I214" t="str">
            <v>ANNUALLY</v>
          </cell>
          <cell r="J214">
            <v>45790</v>
          </cell>
          <cell r="K214"/>
          <cell r="L214"/>
          <cell r="M214"/>
          <cell r="N214" t="str">
            <v>JABATAN ANESTHESIA</v>
          </cell>
          <cell r="O214" t="str">
            <v>Dewan Bedah Utama (GOT)</v>
          </cell>
        </row>
        <row r="215">
          <cell r="D215" t="str">
            <v>KKM/JKN/HSA/10-05-01/H/15/4272</v>
          </cell>
          <cell r="E215" t="str">
            <v>BLOOD FLUID WARMER</v>
          </cell>
          <cell r="F215" t="str">
            <v>BARKEY</v>
          </cell>
          <cell r="G215" t="str">
            <v>AUTOCONTROL 3XPT</v>
          </cell>
          <cell r="H215" t="str">
            <v>1207710</v>
          </cell>
          <cell r="I215" t="str">
            <v>ANNUALLY</v>
          </cell>
          <cell r="J215">
            <v>45877</v>
          </cell>
          <cell r="K215"/>
          <cell r="L215"/>
          <cell r="M215"/>
          <cell r="N215" t="str">
            <v>JABATAN ANESTHESIA</v>
          </cell>
          <cell r="O215" t="str">
            <v>Dewan Bedah Utama (GOT)</v>
          </cell>
        </row>
        <row r="216">
          <cell r="D216" t="str">
            <v>KKM/JKN/HSA/10-05-01/H/15/4273</v>
          </cell>
          <cell r="E216" t="str">
            <v>BLOOD FLUID WARMER</v>
          </cell>
          <cell r="F216" t="str">
            <v>BARKEY</v>
          </cell>
          <cell r="G216" t="str">
            <v>AUTOCONTROL 3XPT</v>
          </cell>
          <cell r="H216" t="str">
            <v>1207673</v>
          </cell>
          <cell r="I216" t="str">
            <v>ANNUALLY</v>
          </cell>
          <cell r="J216">
            <v>45937</v>
          </cell>
          <cell r="K216"/>
          <cell r="L216"/>
          <cell r="M216"/>
          <cell r="N216" t="str">
            <v>JABATAN ANESTHESIA</v>
          </cell>
          <cell r="O216" t="str">
            <v>Dewan Bedah Utama (GOT)</v>
          </cell>
        </row>
        <row r="217">
          <cell r="D217" t="str">
            <v>KKM/JKN/HSA/10-05-01/H/15/434</v>
          </cell>
          <cell r="E217" t="str">
            <v>SMOKE EVACUATOR</v>
          </cell>
          <cell r="F217" t="str">
            <v>ERBE ELEKTROMEDIZIN</v>
          </cell>
          <cell r="G217" t="str">
            <v>IES 2 SYSTEM</v>
          </cell>
          <cell r="H217" t="str">
            <v>11329044</v>
          </cell>
          <cell r="I217" t="str">
            <v>ANNUALLY</v>
          </cell>
          <cell r="J217">
            <v>46024</v>
          </cell>
          <cell r="K217"/>
          <cell r="L217"/>
          <cell r="M217"/>
          <cell r="N217" t="str">
            <v>JABATAN ANESTHESIA</v>
          </cell>
          <cell r="O217" t="str">
            <v>Dewan Bedah Utama (GOT)</v>
          </cell>
        </row>
        <row r="218">
          <cell r="D218" t="str">
            <v>KKM/JKN/HSA/10-05-01/H/15/4876</v>
          </cell>
          <cell r="E218" t="str">
            <v>OPERATION LIGHT</v>
          </cell>
          <cell r="F218" t="str">
            <v>TRUMPF MEDIZIN SYSTEME GMBH</v>
          </cell>
          <cell r="G218" t="str">
            <v>TRULIGHT 5310/5320</v>
          </cell>
          <cell r="H218" t="str">
            <v>102107335 / 102113643</v>
          </cell>
          <cell r="I218" t="str">
            <v>ANNUALLY</v>
          </cell>
          <cell r="J218">
            <v>45741</v>
          </cell>
          <cell r="K218"/>
          <cell r="L218"/>
          <cell r="M218"/>
          <cell r="N218" t="str">
            <v>JABATAN ANESTHESIA</v>
          </cell>
          <cell r="O218" t="str">
            <v>Dewan Bedah Utama (GOT)</v>
          </cell>
        </row>
        <row r="219">
          <cell r="D219" t="str">
            <v>KKM/JKN/HSA/10-05-01/H/15/4878</v>
          </cell>
          <cell r="E219" t="str">
            <v>OPERATION LIGHT</v>
          </cell>
          <cell r="F219" t="str">
            <v>TRUMPF MEDIZIN SYSTEME GMBH</v>
          </cell>
          <cell r="G219" t="str">
            <v>TRULIGHT 5310/5320</v>
          </cell>
          <cell r="H219" t="str">
            <v>102107333 / 102113645</v>
          </cell>
          <cell r="I219" t="str">
            <v>ANNUALLY</v>
          </cell>
          <cell r="J219">
            <v>45738</v>
          </cell>
          <cell r="K219"/>
          <cell r="L219"/>
          <cell r="M219"/>
          <cell r="N219" t="str">
            <v>JABATAN ANESTHESIA</v>
          </cell>
          <cell r="O219" t="str">
            <v>Dewan Bedah Utama (GOT)</v>
          </cell>
        </row>
        <row r="220">
          <cell r="D220" t="str">
            <v>KKM/JKN/HSA/10-05-01/H/15/4880</v>
          </cell>
          <cell r="E220" t="str">
            <v>OPERATION LIGHT</v>
          </cell>
          <cell r="F220" t="str">
            <v>TRUMPF MEDIZIN SYSTEME GMBH</v>
          </cell>
          <cell r="G220" t="str">
            <v>TRULIGHT 5320/5310</v>
          </cell>
          <cell r="H220" t="str">
            <v>102108729 / 102107336</v>
          </cell>
          <cell r="I220" t="str">
            <v>ANNUALLY</v>
          </cell>
          <cell r="J220">
            <v>45738</v>
          </cell>
          <cell r="K220"/>
          <cell r="L220"/>
          <cell r="M220"/>
          <cell r="N220" t="str">
            <v>JABATAN ANESTHESIA</v>
          </cell>
          <cell r="O220" t="str">
            <v>Dewan Bedah Utama (GOT)</v>
          </cell>
        </row>
        <row r="221">
          <cell r="D221" t="str">
            <v>KKM/JKN/HSA/10-05-01/H/15/4931</v>
          </cell>
          <cell r="E221" t="str">
            <v>ELECTROSURGICAL UNIT</v>
          </cell>
          <cell r="F221" t="str">
            <v>ERBE ELEKTROMEDIZIN</v>
          </cell>
          <cell r="G221" t="str">
            <v>VIO 300S</v>
          </cell>
          <cell r="H221" t="str">
            <v>11373475</v>
          </cell>
          <cell r="I221" t="str">
            <v>SEMI ANNUALLY</v>
          </cell>
          <cell r="J221">
            <v>45749</v>
          </cell>
          <cell r="K221">
            <v>45931</v>
          </cell>
          <cell r="L221"/>
          <cell r="M221"/>
          <cell r="N221" t="str">
            <v>JABATAN ANESTHESIA</v>
          </cell>
          <cell r="O221" t="str">
            <v>Dewan Bedah Utama (GOT)</v>
          </cell>
        </row>
        <row r="222">
          <cell r="D222" t="str">
            <v>KKM/JKN/HSA/10-05-01/H/15/4932</v>
          </cell>
          <cell r="E222" t="str">
            <v>ELECTROSURGICAL UNIT</v>
          </cell>
          <cell r="F222" t="str">
            <v>ERBE ELEKTROMEDIZIN</v>
          </cell>
          <cell r="G222" t="str">
            <v>VIO 300S</v>
          </cell>
          <cell r="H222" t="str">
            <v>11383620</v>
          </cell>
          <cell r="I222" t="str">
            <v>SEMI ANNUALLY</v>
          </cell>
          <cell r="J222">
            <v>45749</v>
          </cell>
          <cell r="K222">
            <v>45931</v>
          </cell>
          <cell r="L222"/>
          <cell r="M222"/>
          <cell r="N222" t="str">
            <v>JABATAN ANESTHESIA</v>
          </cell>
          <cell r="O222" t="str">
            <v>Dewan Bedah Utama (GOT)</v>
          </cell>
        </row>
        <row r="223">
          <cell r="D223" t="str">
            <v>KKM/JKN/HSA/10-05-01/H/15/4933</v>
          </cell>
          <cell r="E223" t="str">
            <v>ELECTROSURGICAL UNIT</v>
          </cell>
          <cell r="F223" t="str">
            <v>ERBE ELEKTROMEDIZIN</v>
          </cell>
          <cell r="G223" t="str">
            <v>VIO 300S</v>
          </cell>
          <cell r="H223" t="str">
            <v>11383621</v>
          </cell>
          <cell r="I223" t="str">
            <v>SEMI ANNUALLY</v>
          </cell>
          <cell r="J223">
            <v>45810</v>
          </cell>
          <cell r="K223">
            <v>45992</v>
          </cell>
          <cell r="L223"/>
          <cell r="M223"/>
          <cell r="N223" t="str">
            <v>JABATAN ANESTHESIA</v>
          </cell>
          <cell r="O223" t="str">
            <v>Dewan Bedah Utama (GOT)</v>
          </cell>
        </row>
        <row r="224">
          <cell r="D224" t="str">
            <v>KKM/JKN/HSA/10-05-01/H/15/4934</v>
          </cell>
          <cell r="E224" t="str">
            <v>ELECTROSURGICAL UNIT</v>
          </cell>
          <cell r="F224" t="str">
            <v>ERBE ELEKTROMEDIZIN</v>
          </cell>
          <cell r="G224" t="str">
            <v>VIO 300D</v>
          </cell>
          <cell r="H224" t="str">
            <v>11373465</v>
          </cell>
          <cell r="I224" t="str">
            <v>SEMI ANNUALLY</v>
          </cell>
          <cell r="J224">
            <v>45749</v>
          </cell>
          <cell r="K224">
            <v>45931</v>
          </cell>
          <cell r="L224"/>
          <cell r="M224"/>
          <cell r="N224" t="str">
            <v>JABATAN ANESTHESIA</v>
          </cell>
          <cell r="O224" t="str">
            <v>Dewan Bedah Utama (GOT)</v>
          </cell>
        </row>
        <row r="225">
          <cell r="D225" t="str">
            <v>KKM/JKN/HSA/10-05-01/H/15/4935</v>
          </cell>
          <cell r="E225" t="str">
            <v>ELECTROSURGICAL UNIT</v>
          </cell>
          <cell r="F225" t="str">
            <v>ERBE ELEKTROMEDIZIN</v>
          </cell>
          <cell r="G225" t="str">
            <v>VIO 300S</v>
          </cell>
          <cell r="H225" t="str">
            <v>11373483</v>
          </cell>
          <cell r="I225" t="str">
            <v>SEMI ANNUALLY</v>
          </cell>
          <cell r="J225">
            <v>45749</v>
          </cell>
          <cell r="K225">
            <v>45931</v>
          </cell>
          <cell r="L225"/>
          <cell r="M225"/>
          <cell r="N225" t="str">
            <v>JABATAN ANESTHESIA</v>
          </cell>
          <cell r="O225" t="str">
            <v>Dewan Bedah Utama (GOT)</v>
          </cell>
        </row>
        <row r="226">
          <cell r="D226" t="str">
            <v>KKM/JKN/HSA/10-05-01/H/15/4936</v>
          </cell>
          <cell r="E226" t="str">
            <v>ELECTROSURGICAL UNIT</v>
          </cell>
          <cell r="F226" t="str">
            <v>ERBE ELEKTROMEDIZIN</v>
          </cell>
          <cell r="G226" t="str">
            <v>VIO 300S</v>
          </cell>
          <cell r="H226" t="str">
            <v>11383622</v>
          </cell>
          <cell r="I226" t="str">
            <v>SEMI ANNUALLY</v>
          </cell>
          <cell r="J226">
            <v>45749</v>
          </cell>
          <cell r="K226">
            <v>45931</v>
          </cell>
          <cell r="L226"/>
          <cell r="M226"/>
          <cell r="N226" t="str">
            <v>JABATAN ANESTHESIA</v>
          </cell>
          <cell r="O226" t="str">
            <v>Dewan Bedah Utama (GOT)</v>
          </cell>
        </row>
        <row r="227">
          <cell r="D227" t="str">
            <v>KKM/JKN/HSA/10-05-01/H/15/4937</v>
          </cell>
          <cell r="E227" t="str">
            <v>ELECTROSURGICAL UNIT</v>
          </cell>
          <cell r="F227" t="str">
            <v>ERBE ELEKTROMEDIZIN</v>
          </cell>
          <cell r="G227" t="str">
            <v>VIO 300S</v>
          </cell>
          <cell r="H227" t="str">
            <v>11373469</v>
          </cell>
          <cell r="I227" t="str">
            <v>SEMI ANNUALLY</v>
          </cell>
          <cell r="J227">
            <v>45749</v>
          </cell>
          <cell r="K227">
            <v>45931</v>
          </cell>
          <cell r="L227"/>
          <cell r="M227"/>
          <cell r="N227" t="str">
            <v>JABATAN ANESTHESIA</v>
          </cell>
          <cell r="O227" t="str">
            <v>Dewan Bedah Utama (GOT)</v>
          </cell>
        </row>
        <row r="228">
          <cell r="D228" t="str">
            <v>KKM/JKN/HSA/10-05-01/H/15/4938</v>
          </cell>
          <cell r="E228" t="str">
            <v>ELECTROSURGICAL UNIT</v>
          </cell>
          <cell r="F228" t="str">
            <v>ERBE ELEKTROMEDIZIN</v>
          </cell>
          <cell r="G228" t="str">
            <v>VIO 300S</v>
          </cell>
          <cell r="H228" t="str">
            <v>11373474</v>
          </cell>
          <cell r="I228" t="str">
            <v>SEMI ANNUALLY</v>
          </cell>
          <cell r="J228">
            <v>45799</v>
          </cell>
          <cell r="K228">
            <v>45982</v>
          </cell>
          <cell r="L228"/>
          <cell r="M228"/>
          <cell r="N228" t="str">
            <v>JABATAN ANESTHESIA</v>
          </cell>
          <cell r="O228" t="str">
            <v>Dewan Bedah Utama (GOT)</v>
          </cell>
        </row>
        <row r="229">
          <cell r="D229" t="str">
            <v>KKM/JKN/HSA/10-05-01/H/15/5109</v>
          </cell>
          <cell r="E229" t="str">
            <v>TORNIQUET</v>
          </cell>
          <cell r="F229" t="str">
            <v>ZIMMER SURGICAL</v>
          </cell>
          <cell r="G229" t="str">
            <v>ATS4000TS</v>
          </cell>
          <cell r="H229" t="str">
            <v>401506200018</v>
          </cell>
          <cell r="I229" t="str">
            <v>ANNUALLY</v>
          </cell>
          <cell r="J229">
            <v>45818</v>
          </cell>
          <cell r="K229"/>
          <cell r="L229"/>
          <cell r="M229"/>
          <cell r="N229" t="str">
            <v>JABATAN ANESTHESIA</v>
          </cell>
          <cell r="O229" t="str">
            <v>Dewan Bedah Utama (GOT)</v>
          </cell>
        </row>
        <row r="230">
          <cell r="D230" t="str">
            <v>KKM/JKN/HSA/10-05-01/H/15/570</v>
          </cell>
          <cell r="E230" t="str">
            <v>ELECTROCARDIOGRAPH</v>
          </cell>
          <cell r="F230" t="str">
            <v>GE HEALTHCARE</v>
          </cell>
          <cell r="G230" t="str">
            <v>MAC 1200</v>
          </cell>
          <cell r="H230" t="str">
            <v>SMT16127392PA</v>
          </cell>
          <cell r="I230" t="str">
            <v>ANNUALLY</v>
          </cell>
          <cell r="J230">
            <v>45826</v>
          </cell>
          <cell r="K230"/>
          <cell r="L230"/>
          <cell r="M230"/>
          <cell r="N230" t="str">
            <v>JABATAN ANESTHESIA</v>
          </cell>
          <cell r="O230" t="str">
            <v>Dewan Bedah Utama (GOT)</v>
          </cell>
        </row>
        <row r="231">
          <cell r="D231" t="str">
            <v>KKM/JKN/HSA/10-05-01/H/15/584</v>
          </cell>
          <cell r="E231" t="str">
            <v>PATIENT MONITORING EQUIP.(AUTOMATIC MULTIPARAMETER)</v>
          </cell>
          <cell r="F231" t="str">
            <v>MINDRAY</v>
          </cell>
          <cell r="G231" t="str">
            <v>BENEVIEW T1</v>
          </cell>
          <cell r="H231" t="str">
            <v>FB45005707</v>
          </cell>
          <cell r="I231" t="str">
            <v>ANNUALLY</v>
          </cell>
          <cell r="J231">
            <v>45869</v>
          </cell>
          <cell r="K231"/>
          <cell r="L231"/>
          <cell r="M231"/>
          <cell r="N231" t="str">
            <v>JABATAN ANESTHESIA</v>
          </cell>
          <cell r="O231" t="str">
            <v>Dewan Bedah Utama (GOT)</v>
          </cell>
        </row>
        <row r="232">
          <cell r="D232" t="str">
            <v>KKM/JKN/HSA/10-05-01/H/15/597</v>
          </cell>
          <cell r="E232" t="str">
            <v>SYRINGE INFUSION PUMP</v>
          </cell>
          <cell r="F232" t="str">
            <v>FRESENIUS KABI</v>
          </cell>
          <cell r="G232" t="str">
            <v>INJECTOMAT MC AGILIA</v>
          </cell>
          <cell r="H232" t="str">
            <v>22231715</v>
          </cell>
          <cell r="I232" t="str">
            <v>ANNUALLY</v>
          </cell>
          <cell r="J232">
            <v>45761</v>
          </cell>
          <cell r="K232"/>
          <cell r="L232"/>
          <cell r="M232"/>
          <cell r="N232" t="str">
            <v>JABATAN ANESTHESIA</v>
          </cell>
          <cell r="O232" t="str">
            <v>Dewan Bedah Utama (GOT)</v>
          </cell>
        </row>
        <row r="233">
          <cell r="D233" t="str">
            <v>KKM/JKN/HSA/10-05-01/H/15/598</v>
          </cell>
          <cell r="E233" t="str">
            <v>SYRINGE INFUSION PUMP</v>
          </cell>
          <cell r="F233" t="str">
            <v>FRESENIUS KABI</v>
          </cell>
          <cell r="G233" t="str">
            <v>INJECTOMAT MC AGILIA</v>
          </cell>
          <cell r="H233" t="str">
            <v>22231821</v>
          </cell>
          <cell r="I233" t="str">
            <v>ANNUALLY</v>
          </cell>
          <cell r="J233">
            <v>45761</v>
          </cell>
          <cell r="K233"/>
          <cell r="L233"/>
          <cell r="M233"/>
          <cell r="N233" t="str">
            <v>JABATAN ANESTHESIA</v>
          </cell>
          <cell r="O233" t="str">
            <v>Dewan Bedah Utama (GOT)</v>
          </cell>
        </row>
        <row r="234">
          <cell r="D234" t="str">
            <v>KKM/JKN/HSA/10-05-01/H/15/599</v>
          </cell>
          <cell r="E234" t="str">
            <v>SYRINGE INFUSION PUMP</v>
          </cell>
          <cell r="F234" t="str">
            <v>FRESENIUS KABI</v>
          </cell>
          <cell r="G234" t="str">
            <v>INJECTOMAT MC AGILIA</v>
          </cell>
          <cell r="H234">
            <v>22231670</v>
          </cell>
          <cell r="I234" t="str">
            <v>ANNUALLY</v>
          </cell>
          <cell r="J234">
            <v>45761</v>
          </cell>
          <cell r="K234"/>
          <cell r="L234"/>
          <cell r="M234"/>
          <cell r="N234" t="str">
            <v>JABATAN ANESTHESIA</v>
          </cell>
          <cell r="O234" t="str">
            <v>Dewan Bedah Utama (GOT)</v>
          </cell>
        </row>
        <row r="235">
          <cell r="D235" t="str">
            <v>KKM/JKN/HSA/10-05-01/H/15/609</v>
          </cell>
          <cell r="E235" t="str">
            <v>SYRINGE INFUSION PUMP</v>
          </cell>
          <cell r="F235" t="str">
            <v>FRESENIUS KABI</v>
          </cell>
          <cell r="G235" t="str">
            <v>INJECTOMAT MC AGILIA</v>
          </cell>
          <cell r="H235" t="str">
            <v>22231839</v>
          </cell>
          <cell r="I235" t="str">
            <v>ANNUALLY</v>
          </cell>
          <cell r="J235">
            <v>45768</v>
          </cell>
          <cell r="K235"/>
          <cell r="L235"/>
          <cell r="M235"/>
          <cell r="N235" t="str">
            <v>JABATAN ANESTHESIA</v>
          </cell>
          <cell r="O235" t="str">
            <v>Dewan Bedah Utama (GOT)</v>
          </cell>
        </row>
        <row r="236">
          <cell r="D236" t="str">
            <v>KKM/JKN/HSA/10-05-01/H/15/610</v>
          </cell>
          <cell r="E236" t="str">
            <v>SYRINGE INFUSION PUMP</v>
          </cell>
          <cell r="F236" t="str">
            <v>FRESENIUS KABI</v>
          </cell>
          <cell r="G236" t="str">
            <v>INJECTOMAT MC AGILIA</v>
          </cell>
          <cell r="H236" t="str">
            <v>22231662</v>
          </cell>
          <cell r="I236" t="str">
            <v>ANNUALLY</v>
          </cell>
          <cell r="J236">
            <v>45768</v>
          </cell>
          <cell r="K236"/>
          <cell r="L236"/>
          <cell r="M236"/>
          <cell r="N236" t="str">
            <v>JABATAN ANESTHESIA</v>
          </cell>
          <cell r="O236" t="str">
            <v>Dewan Bedah Utama (GOT)</v>
          </cell>
        </row>
        <row r="237">
          <cell r="D237" t="str">
            <v>KKM/JKN/HSA/10-05-01/H/15/612</v>
          </cell>
          <cell r="E237" t="str">
            <v>SYRINGE INFUSION PUMP</v>
          </cell>
          <cell r="F237" t="str">
            <v>FRESENIUS KABI</v>
          </cell>
          <cell r="G237" t="str">
            <v>INJECTOMAT MC AGILIA</v>
          </cell>
          <cell r="H237" t="str">
            <v>22231675</v>
          </cell>
          <cell r="I237" t="str">
            <v>ANNUALLY</v>
          </cell>
          <cell r="J237">
            <v>45768</v>
          </cell>
          <cell r="K237"/>
          <cell r="L237"/>
          <cell r="M237"/>
          <cell r="N237" t="str">
            <v>JABATAN ANESTHESIA</v>
          </cell>
          <cell r="O237" t="str">
            <v>Dewan Bedah Utama (GOT)</v>
          </cell>
        </row>
        <row r="238">
          <cell r="D238" t="str">
            <v>KKM/JKN/HSA/10-05-01/H/15/614</v>
          </cell>
          <cell r="E238" t="str">
            <v>SYRINGE INFUSION PUMP</v>
          </cell>
          <cell r="F238" t="str">
            <v>FRESENIUS KABI</v>
          </cell>
          <cell r="G238" t="str">
            <v>INJECTOMAT MC AGILIA</v>
          </cell>
          <cell r="H238" t="str">
            <v>22231821</v>
          </cell>
          <cell r="I238" t="str">
            <v>ANNUALLY</v>
          </cell>
          <cell r="J238">
            <v>45782</v>
          </cell>
          <cell r="K238"/>
          <cell r="L238"/>
          <cell r="M238"/>
          <cell r="N238" t="str">
            <v>JABATAN ANESTHESIA</v>
          </cell>
          <cell r="O238" t="str">
            <v>Dewan Bedah Utama (GOT)</v>
          </cell>
        </row>
        <row r="239">
          <cell r="D239" t="str">
            <v>KKM/JKN/HSA/10-05-01/H/15/616</v>
          </cell>
          <cell r="E239" t="str">
            <v>SYRINGE INFUSION PUMP</v>
          </cell>
          <cell r="F239" t="str">
            <v>FRESENIUS KABI</v>
          </cell>
          <cell r="G239" t="str">
            <v>INJECTOMAT MC AGILIA</v>
          </cell>
          <cell r="H239" t="str">
            <v>22231848</v>
          </cell>
          <cell r="I239" t="str">
            <v>ANNUALLY</v>
          </cell>
          <cell r="J239">
            <v>45782</v>
          </cell>
          <cell r="K239"/>
          <cell r="L239"/>
          <cell r="M239"/>
          <cell r="N239" t="str">
            <v>JABATAN ANESTHESIA</v>
          </cell>
          <cell r="O239" t="str">
            <v>Dewan Bedah Utama (GOT)</v>
          </cell>
        </row>
        <row r="240">
          <cell r="D240" t="str">
            <v>KKM/JKN/HSA/10-05-01/H/15/617</v>
          </cell>
          <cell r="E240" t="str">
            <v>SYRINGE INFUSION PUMP</v>
          </cell>
          <cell r="F240" t="str">
            <v>FRESENIUS KABI</v>
          </cell>
          <cell r="G240" t="str">
            <v>INJECTOMAT MC AGILIA</v>
          </cell>
          <cell r="H240" t="str">
            <v>22231613</v>
          </cell>
          <cell r="I240" t="str">
            <v>ANNUALLY</v>
          </cell>
          <cell r="J240">
            <v>45782</v>
          </cell>
          <cell r="K240"/>
          <cell r="L240"/>
          <cell r="M240"/>
          <cell r="N240" t="str">
            <v>JABATAN ANESTHESIA</v>
          </cell>
          <cell r="O240" t="str">
            <v>Dewan Bedah Utama (GOT)</v>
          </cell>
        </row>
        <row r="241">
          <cell r="D241" t="str">
            <v>KKM/JKN/HSA/10-05-01/H/15/942</v>
          </cell>
          <cell r="E241" t="str">
            <v>SYRINGE INFUSION PUMP</v>
          </cell>
          <cell r="F241" t="str">
            <v>FRESENIUS KABI</v>
          </cell>
          <cell r="G241" t="str">
            <v>INJECTOMAT AGILIA TIVA GB</v>
          </cell>
          <cell r="H241" t="str">
            <v>22230157</v>
          </cell>
          <cell r="I241" t="str">
            <v>ANNUALLY</v>
          </cell>
          <cell r="J241">
            <v>45761</v>
          </cell>
          <cell r="K241"/>
          <cell r="L241"/>
          <cell r="M241"/>
          <cell r="N241" t="str">
            <v>JABATAN ANESTHESIA</v>
          </cell>
          <cell r="O241" t="str">
            <v>Dewan Bedah Utama (GOT)</v>
          </cell>
        </row>
        <row r="242">
          <cell r="D242" t="str">
            <v>KKM/JKN/HSA/10-05-01/H/15/943</v>
          </cell>
          <cell r="E242" t="str">
            <v>SYRINGE INFUSION PUMP</v>
          </cell>
          <cell r="F242" t="str">
            <v>FRESENIUS KABI</v>
          </cell>
          <cell r="G242" t="str">
            <v>INJECTOMAT AGILIA TIVA GB</v>
          </cell>
          <cell r="H242" t="str">
            <v>22231806</v>
          </cell>
          <cell r="I242" t="str">
            <v>ANNUALLY</v>
          </cell>
          <cell r="J242">
            <v>45761</v>
          </cell>
          <cell r="K242"/>
          <cell r="L242"/>
          <cell r="M242"/>
          <cell r="N242" t="str">
            <v>JABATAN ANESTHESIA</v>
          </cell>
          <cell r="O242" t="str">
            <v>Dewan Bedah Utama (GOT)</v>
          </cell>
        </row>
        <row r="243">
          <cell r="D243" t="str">
            <v>KKM/JKN/HSA/10-05-01/H/15/944</v>
          </cell>
          <cell r="E243" t="str">
            <v>SYRINGE INFUSION PUMP</v>
          </cell>
          <cell r="F243" t="str">
            <v>FRESENIUS KABI</v>
          </cell>
          <cell r="G243" t="str">
            <v>INJECTOMAT AGILIA TIVA GB</v>
          </cell>
          <cell r="H243" t="str">
            <v>22231805</v>
          </cell>
          <cell r="I243" t="str">
            <v>ANNUALLY</v>
          </cell>
          <cell r="J243">
            <v>45768</v>
          </cell>
          <cell r="K243"/>
          <cell r="L243"/>
          <cell r="M243"/>
          <cell r="N243" t="str">
            <v>JABATAN ANESTHESIA</v>
          </cell>
          <cell r="O243" t="str">
            <v>Dewan Bedah Utama (GOT)</v>
          </cell>
        </row>
        <row r="244">
          <cell r="D244" t="str">
            <v>KKM/JKN/HSA/10-05-01/H/15/945</v>
          </cell>
          <cell r="E244" t="str">
            <v>SYRINGE INFUSION PUMP</v>
          </cell>
          <cell r="F244" t="str">
            <v>FRESENIUS KABI</v>
          </cell>
          <cell r="G244" t="str">
            <v>INJECTOMAT AGILIA TIVA GB</v>
          </cell>
          <cell r="H244" t="str">
            <v>22230157</v>
          </cell>
          <cell r="I244" t="str">
            <v>ANNUALLY</v>
          </cell>
          <cell r="J244">
            <v>45768</v>
          </cell>
          <cell r="K244"/>
          <cell r="L244"/>
          <cell r="M244"/>
          <cell r="N244" t="str">
            <v>JABATAN ANESTHESIA</v>
          </cell>
          <cell r="O244" t="str">
            <v>Dewan Bedah Utama (GOT)</v>
          </cell>
        </row>
        <row r="245">
          <cell r="D245" t="str">
            <v>KKM/JKN/HSA/10-05-01/H/15/954</v>
          </cell>
          <cell r="E245" t="str">
            <v>BLOOD FLUID WARMER</v>
          </cell>
          <cell r="F245" t="str">
            <v>BARKEY</v>
          </cell>
          <cell r="G245" t="str">
            <v>AUTOCONTROL 3XPT</v>
          </cell>
          <cell r="H245" t="str">
            <v>1207684</v>
          </cell>
          <cell r="I245" t="str">
            <v>ANNUALLY</v>
          </cell>
          <cell r="J245">
            <v>46028</v>
          </cell>
          <cell r="K245"/>
          <cell r="L245"/>
          <cell r="M245"/>
          <cell r="N245" t="str">
            <v>JABATAN ANESTHESIA</v>
          </cell>
          <cell r="O245" t="str">
            <v>Dewan Bedah Utama (GOT)</v>
          </cell>
        </row>
        <row r="246">
          <cell r="D246" t="str">
            <v>KKM/JKN/HSA/10-05-01/H/15/964</v>
          </cell>
          <cell r="E246" t="str">
            <v>ELECTROENCEPHALOGRAM (EEG MONITOR)</v>
          </cell>
          <cell r="F246" t="str">
            <v>MINDRAY</v>
          </cell>
          <cell r="G246" t="str">
            <v>BIS MODULE</v>
          </cell>
          <cell r="H246" t="str">
            <v>N/A</v>
          </cell>
          <cell r="I246" t="str">
            <v>ANNUALLY</v>
          </cell>
          <cell r="J246">
            <v>45846</v>
          </cell>
          <cell r="K246"/>
          <cell r="L246"/>
          <cell r="M246"/>
          <cell r="N246" t="str">
            <v>JABATAN ANESTHESIA</v>
          </cell>
          <cell r="O246" t="str">
            <v>Dewan Bedah Utama (GOT)</v>
          </cell>
        </row>
        <row r="247">
          <cell r="D247" t="str">
            <v>KKM/JKN/HSA/10-05-01/H/15/965</v>
          </cell>
          <cell r="E247" t="str">
            <v>ELECTROENCEPHALOGRAM (EEG MONITOR)</v>
          </cell>
          <cell r="F247" t="str">
            <v>MINDRAY</v>
          </cell>
          <cell r="G247" t="str">
            <v>BIS MODULE</v>
          </cell>
          <cell r="H247" t="str">
            <v>N/A</v>
          </cell>
          <cell r="I247" t="str">
            <v>ANNUALLY</v>
          </cell>
          <cell r="J247">
            <v>45846</v>
          </cell>
          <cell r="K247"/>
          <cell r="L247"/>
          <cell r="M247"/>
          <cell r="N247" t="str">
            <v>JABATAN ANESTHESIA</v>
          </cell>
          <cell r="O247" t="str">
            <v>Dewan Bedah Utama (GOT)</v>
          </cell>
        </row>
        <row r="248">
          <cell r="D248" t="str">
            <v>KKM/JKN/HSA/10-05-01/H/15/985</v>
          </cell>
          <cell r="E248" t="str">
            <v>ELECTROSURGICAL UNIT</v>
          </cell>
          <cell r="F248" t="str">
            <v>OLYMPUS</v>
          </cell>
          <cell r="G248" t="str">
            <v>ESG-400</v>
          </cell>
          <cell r="H248" t="str">
            <v>14281W14000</v>
          </cell>
          <cell r="I248" t="str">
            <v>ANNUALLY</v>
          </cell>
          <cell r="J248">
            <v>45807</v>
          </cell>
          <cell r="K248"/>
          <cell r="L248"/>
          <cell r="M248"/>
          <cell r="N248" t="str">
            <v>JABATAN ANESTHESIA</v>
          </cell>
          <cell r="O248" t="str">
            <v>Dewan Bedah Utama (GOT)</v>
          </cell>
        </row>
        <row r="249">
          <cell r="D249" t="str">
            <v>KKM/JKN/HSA/10-05-01/H/15/987</v>
          </cell>
          <cell r="E249" t="str">
            <v>LAPAROSCOPE</v>
          </cell>
          <cell r="F249" t="str">
            <v>OLYMPUS</v>
          </cell>
          <cell r="G249" t="str">
            <v>ESG-400</v>
          </cell>
          <cell r="H249" t="str">
            <v>7487860</v>
          </cell>
          <cell r="I249" t="str">
            <v>ANNUALLY</v>
          </cell>
          <cell r="J249">
            <v>45807</v>
          </cell>
          <cell r="K249"/>
          <cell r="L249"/>
          <cell r="M249"/>
          <cell r="N249" t="str">
            <v>JABATAN ANESTHESIA</v>
          </cell>
          <cell r="O249" t="str">
            <v>Dewan Bedah Utama (GOT)</v>
          </cell>
        </row>
        <row r="250">
          <cell r="D250" t="str">
            <v>KKM/JKN/HSA/10-05-01/H/16/174</v>
          </cell>
          <cell r="E250" t="str">
            <v xml:space="preserve">EYEMAG LOUPE </v>
          </cell>
          <cell r="F250" t="str">
            <v>CARL ZEISS</v>
          </cell>
          <cell r="G250" t="str">
            <v>EYEMAG PRO F WITH 3.5X MAG &amp; 400 W.D</v>
          </cell>
          <cell r="H250" t="str">
            <v>6905414221</v>
          </cell>
          <cell r="I250" t="str">
            <v>ANNUALLY</v>
          </cell>
          <cell r="J250">
            <v>45716</v>
          </cell>
          <cell r="K250"/>
          <cell r="L250"/>
          <cell r="M250"/>
          <cell r="N250" t="str">
            <v>JABATAN ANESTHESIA</v>
          </cell>
          <cell r="O250" t="str">
            <v>Dewan Bedah Utama (GOT)</v>
          </cell>
        </row>
        <row r="251">
          <cell r="D251" t="str">
            <v>KKM/JKN/HSA/10-05-01/H/16/20</v>
          </cell>
          <cell r="E251" t="str">
            <v>SINUSCOPE SET</v>
          </cell>
          <cell r="F251" t="str">
            <v>OLYMPUS</v>
          </cell>
          <cell r="G251" t="str">
            <v>NASOENDOSCOPE</v>
          </cell>
          <cell r="H251" t="str">
            <v>706278</v>
          </cell>
          <cell r="I251" t="str">
            <v>SEMI ANNUALLY</v>
          </cell>
          <cell r="J251">
            <v>45813</v>
          </cell>
          <cell r="K251">
            <v>45995</v>
          </cell>
          <cell r="L251"/>
          <cell r="M251"/>
          <cell r="N251" t="str">
            <v>JABATAN ANESTHESIA</v>
          </cell>
          <cell r="O251" t="str">
            <v>Dewan Bedah Utama (GOT)</v>
          </cell>
        </row>
        <row r="252">
          <cell r="D252" t="str">
            <v>KKM/JKN/HSA/10-05-01/H/16/21</v>
          </cell>
          <cell r="E252" t="str">
            <v>SINUSCOPE SET</v>
          </cell>
          <cell r="F252" t="str">
            <v>OLYMPUS</v>
          </cell>
          <cell r="G252" t="str">
            <v>NASOENDOSCOPE</v>
          </cell>
          <cell r="H252" t="str">
            <v>701483</v>
          </cell>
          <cell r="I252" t="str">
            <v>SEMI ANNUALLY</v>
          </cell>
          <cell r="J252">
            <v>45813</v>
          </cell>
          <cell r="K252">
            <v>45995</v>
          </cell>
          <cell r="L252"/>
          <cell r="M252"/>
          <cell r="N252" t="str">
            <v>JABATAN ANESTHESIA</v>
          </cell>
          <cell r="O252" t="str">
            <v>Dewan Bedah Utama (GOT)</v>
          </cell>
        </row>
        <row r="253">
          <cell r="D253" t="str">
            <v>KKM/JKN/HSA/10-05-01/H/16/41</v>
          </cell>
          <cell r="E253" t="str">
            <v>CYSTOSCOPE</v>
          </cell>
          <cell r="F253" t="str">
            <v>KARL STORZ</v>
          </cell>
          <cell r="G253" t="str">
            <v>11272C1</v>
          </cell>
          <cell r="H253" t="str">
            <v>2226988</v>
          </cell>
          <cell r="I253" t="str">
            <v>SEMI ANNUALLY</v>
          </cell>
          <cell r="J253">
            <v>45763</v>
          </cell>
          <cell r="K253">
            <v>45945</v>
          </cell>
          <cell r="L253"/>
          <cell r="M253"/>
          <cell r="N253" t="str">
            <v>JABATAN ANESTHESIA</v>
          </cell>
          <cell r="O253" t="str">
            <v>Dewan Bedah Utama (GOT)</v>
          </cell>
        </row>
        <row r="254">
          <cell r="D254" t="str">
            <v>KKM/JKN/HSA/10-05-01/H/16/42</v>
          </cell>
          <cell r="E254" t="str">
            <v>CYSTOSCOPE</v>
          </cell>
          <cell r="F254" t="str">
            <v>KARL STORZ</v>
          </cell>
          <cell r="G254" t="str">
            <v>NOT AVAILABLE</v>
          </cell>
          <cell r="H254" t="str">
            <v>120AVJ</v>
          </cell>
          <cell r="I254" t="str">
            <v>SEMI ANNUALLY</v>
          </cell>
          <cell r="J254">
            <v>45763</v>
          </cell>
          <cell r="K254">
            <v>45945</v>
          </cell>
          <cell r="L254"/>
          <cell r="M254"/>
          <cell r="N254" t="str">
            <v>JABATAN ANESTHESIA</v>
          </cell>
          <cell r="O254" t="str">
            <v>Dewan Bedah Utama (GOT)</v>
          </cell>
        </row>
        <row r="255">
          <cell r="D255" t="str">
            <v>KKM/JKN/HSA/10-05-01/H/16/70</v>
          </cell>
          <cell r="E255" t="str">
            <v>INTUBATION SCOPE</v>
          </cell>
          <cell r="F255" t="str">
            <v>C-MAC</v>
          </cell>
          <cell r="G255" t="str">
            <v>C-MAC 8403 ZX</v>
          </cell>
          <cell r="H255" t="str">
            <v>UT9564</v>
          </cell>
          <cell r="I255" t="str">
            <v>ANNUALLY</v>
          </cell>
          <cell r="J255">
            <v>45911</v>
          </cell>
          <cell r="K255"/>
          <cell r="L255"/>
          <cell r="M255"/>
          <cell r="N255" t="str">
            <v>JABATAN ANESTHESIA</v>
          </cell>
          <cell r="O255" t="str">
            <v>Dewan Bedah Utama (GOT)</v>
          </cell>
        </row>
        <row r="256">
          <cell r="D256" t="str">
            <v>KKM/JKN/HSA/10-05-01/H/16/73</v>
          </cell>
          <cell r="E256" t="str">
            <v>INTERMITTENT PNEUMATIC COMPRESSION SYSTEM</v>
          </cell>
          <cell r="F256" t="str">
            <v xml:space="preserve">FLOWTRON </v>
          </cell>
          <cell r="G256" t="str">
            <v>ACS 900</v>
          </cell>
          <cell r="H256" t="str">
            <v>N/A</v>
          </cell>
          <cell r="I256" t="str">
            <v>ANNUALLY</v>
          </cell>
          <cell r="J256">
            <v>45905</v>
          </cell>
          <cell r="K256"/>
          <cell r="L256"/>
          <cell r="M256"/>
          <cell r="N256" t="str">
            <v>JABATAN ANESTHESIA</v>
          </cell>
          <cell r="O256" t="str">
            <v>Dewan Bedah Utama (GOT)</v>
          </cell>
        </row>
        <row r="257">
          <cell r="D257" t="str">
            <v>KKM/JKN/HSA/10-05-01/H/16/74</v>
          </cell>
          <cell r="E257" t="str">
            <v>INTERMITTENT PNEUMATIC COMPRESSION SYSTEM</v>
          </cell>
          <cell r="F257" t="str">
            <v xml:space="preserve">FLOWTRON </v>
          </cell>
          <cell r="G257" t="str">
            <v>ACS 900</v>
          </cell>
          <cell r="H257" t="str">
            <v>N/A</v>
          </cell>
          <cell r="I257" t="str">
            <v>ANNUALLY</v>
          </cell>
          <cell r="J257">
            <v>45905</v>
          </cell>
          <cell r="K257"/>
          <cell r="L257"/>
          <cell r="M257"/>
          <cell r="N257" t="str">
            <v>JABATAN ANESTHESIA</v>
          </cell>
          <cell r="O257" t="str">
            <v>Dewan Bedah Utama (GOT)</v>
          </cell>
        </row>
        <row r="258">
          <cell r="D258" t="str">
            <v>KKM/JKN/HSA/10-05-01/H/16/75</v>
          </cell>
          <cell r="E258" t="str">
            <v>INTERMITTENT PNEUMATIC COMPRESSION SYSTEM</v>
          </cell>
          <cell r="F258" t="str">
            <v xml:space="preserve">FLOWTRON </v>
          </cell>
          <cell r="G258" t="str">
            <v>ACS 900</v>
          </cell>
          <cell r="H258" t="str">
            <v>N/A</v>
          </cell>
          <cell r="I258" t="str">
            <v>ANNUALLY</v>
          </cell>
          <cell r="J258">
            <v>45905</v>
          </cell>
          <cell r="K258"/>
          <cell r="L258"/>
          <cell r="M258"/>
          <cell r="N258" t="str">
            <v>JABATAN ANESTHESIA</v>
          </cell>
          <cell r="O258" t="str">
            <v>Dewan Bedah Utama (GOT)</v>
          </cell>
        </row>
        <row r="259">
          <cell r="D259" t="str">
            <v>KKM/JKN/HSA/10-05-01/H/16/76</v>
          </cell>
          <cell r="E259" t="str">
            <v>INTERMITTENT PNEUMATIC COMPRESSION SYSTEM</v>
          </cell>
          <cell r="F259" t="str">
            <v xml:space="preserve">FLOWTRON </v>
          </cell>
          <cell r="G259" t="str">
            <v>ACS 900</v>
          </cell>
          <cell r="H259" t="str">
            <v>N/A</v>
          </cell>
          <cell r="I259" t="str">
            <v>ANNUALLY</v>
          </cell>
          <cell r="J259">
            <v>45905</v>
          </cell>
          <cell r="K259"/>
          <cell r="L259"/>
          <cell r="M259"/>
          <cell r="N259" t="str">
            <v>JABATAN ANESTHESIA</v>
          </cell>
          <cell r="O259" t="str">
            <v>Dewan Bedah Utama (GOT)</v>
          </cell>
        </row>
        <row r="260">
          <cell r="D260" t="str">
            <v>KKM/JKN/HSA/10-05-01/H/16/77</v>
          </cell>
          <cell r="E260" t="str">
            <v>INTERMITTENT PNEUMATIC COMPRESSION SYSTEM</v>
          </cell>
          <cell r="F260" t="str">
            <v xml:space="preserve">FLOWTRON </v>
          </cell>
          <cell r="G260" t="str">
            <v>ACS 900</v>
          </cell>
          <cell r="H260" t="str">
            <v>N/A</v>
          </cell>
          <cell r="I260" t="str">
            <v>ANNUALLY</v>
          </cell>
          <cell r="J260">
            <v>45905</v>
          </cell>
          <cell r="K260"/>
          <cell r="L260"/>
          <cell r="M260"/>
          <cell r="N260" t="str">
            <v>JABATAN ANESTHESIA</v>
          </cell>
          <cell r="O260" t="str">
            <v>Dewan Bedah Utama (GOT)</v>
          </cell>
        </row>
        <row r="261">
          <cell r="D261" t="str">
            <v>KKM/JKN/HSA/10-05-01/H/16/79</v>
          </cell>
          <cell r="E261" t="str">
            <v>INTERMITTENT PNEUMATIC COMPRESSION SYSTEM</v>
          </cell>
          <cell r="F261" t="str">
            <v xml:space="preserve">FLOWTRON </v>
          </cell>
          <cell r="G261" t="str">
            <v>ACS 900</v>
          </cell>
          <cell r="H261" t="str">
            <v>N/A</v>
          </cell>
          <cell r="I261" t="str">
            <v>ANNUALLY</v>
          </cell>
          <cell r="J261">
            <v>45905</v>
          </cell>
          <cell r="K261"/>
          <cell r="L261"/>
          <cell r="M261"/>
          <cell r="N261" t="str">
            <v>JABATAN ANESTHESIA</v>
          </cell>
          <cell r="O261" t="str">
            <v>Dewan Bedah Utama (GOT)</v>
          </cell>
        </row>
        <row r="262">
          <cell r="D262" t="str">
            <v>KKM/JKN/HSA/10-05-01/H/16/8</v>
          </cell>
          <cell r="E262" t="str">
            <v>LAPAROSCOPE</v>
          </cell>
          <cell r="F262" t="str">
            <v>KARL STORZ</v>
          </cell>
          <cell r="G262" t="str">
            <v>N/A</v>
          </cell>
          <cell r="H262" t="str">
            <v>N/A</v>
          </cell>
          <cell r="I262" t="str">
            <v>ANNUALLY</v>
          </cell>
          <cell r="J262">
            <v>45960</v>
          </cell>
          <cell r="K262"/>
          <cell r="L262"/>
          <cell r="M262"/>
          <cell r="N262" t="str">
            <v>JABATAN ANESTHESIA</v>
          </cell>
          <cell r="O262" t="str">
            <v>Dewan Bedah Utama (GOT)</v>
          </cell>
        </row>
        <row r="263">
          <cell r="D263" t="str">
            <v>KKM/JKN/HSA/10-05-01/H/16/80</v>
          </cell>
          <cell r="E263" t="str">
            <v>INTERMITTENT PNEUMATIC COMPRESSION SYSTEM</v>
          </cell>
          <cell r="F263" t="str">
            <v xml:space="preserve">FLOWTRON </v>
          </cell>
          <cell r="G263" t="str">
            <v>ACS 900</v>
          </cell>
          <cell r="H263" t="str">
            <v>N/A</v>
          </cell>
          <cell r="I263" t="str">
            <v>ANNUALLY</v>
          </cell>
          <cell r="J263">
            <v>45905</v>
          </cell>
          <cell r="K263"/>
          <cell r="L263"/>
          <cell r="M263"/>
          <cell r="N263" t="str">
            <v>JABATAN ANESTHESIA</v>
          </cell>
          <cell r="O263" t="str">
            <v>Dewan Bedah Utama (GOT)</v>
          </cell>
        </row>
        <row r="264">
          <cell r="D264" t="str">
            <v>KKM/JKN/HSA/10-05-01/H/16/81</v>
          </cell>
          <cell r="E264" t="str">
            <v>INTERMITTENT PNEUMATIC COMPRESSION SYSTEM</v>
          </cell>
          <cell r="F264" t="str">
            <v xml:space="preserve">FLOWTRON </v>
          </cell>
          <cell r="G264" t="str">
            <v>ACS 900</v>
          </cell>
          <cell r="H264" t="str">
            <v>N/A</v>
          </cell>
          <cell r="I264" t="str">
            <v>ANNUALLY</v>
          </cell>
          <cell r="J264">
            <v>45905</v>
          </cell>
          <cell r="K264"/>
          <cell r="L264"/>
          <cell r="M264"/>
          <cell r="N264" t="str">
            <v>JABATAN ANESTHESIA</v>
          </cell>
          <cell r="O264" t="str">
            <v>Dewan Bedah Utama (GOT)</v>
          </cell>
        </row>
        <row r="265">
          <cell r="D265" t="str">
            <v>KKM/JKN/HSA/10-05-01/H/16/9</v>
          </cell>
          <cell r="E265" t="str">
            <v>LAPAROSCOPE</v>
          </cell>
          <cell r="F265" t="str">
            <v>KARL STORZ</v>
          </cell>
          <cell r="G265" t="str">
            <v>N/A</v>
          </cell>
          <cell r="H265" t="str">
            <v>N/A</v>
          </cell>
          <cell r="I265" t="str">
            <v>ANNUALLY</v>
          </cell>
          <cell r="J265">
            <v>45960</v>
          </cell>
          <cell r="K265"/>
          <cell r="L265"/>
          <cell r="M265"/>
          <cell r="N265" t="str">
            <v>JABATAN ANESTHESIA</v>
          </cell>
          <cell r="O265" t="str">
            <v>Dewan Bedah Utama (GOT)</v>
          </cell>
        </row>
        <row r="266">
          <cell r="D266" t="str">
            <v>KKM/JKN/HSA/10-05-01/H/18/144</v>
          </cell>
          <cell r="E266" t="str">
            <v>DENTAL HANDPIECE</v>
          </cell>
          <cell r="F266" t="str">
            <v>SAEYANG</v>
          </cell>
          <cell r="G266" t="str">
            <v>ENDO @ CLASS</v>
          </cell>
          <cell r="H266">
            <v>1876567</v>
          </cell>
          <cell r="I266" t="str">
            <v>ANNUALLY</v>
          </cell>
          <cell r="J266">
            <v>45914</v>
          </cell>
          <cell r="K266"/>
          <cell r="L266"/>
          <cell r="M266"/>
          <cell r="N266" t="str">
            <v>JABATAN ANESTHESIA</v>
          </cell>
          <cell r="O266" t="str">
            <v>Dewan Bedah Utama (GOT)</v>
          </cell>
        </row>
        <row r="267">
          <cell r="D267" t="str">
            <v>KKM/JKN/HSA/10-05-01/R/15/14883</v>
          </cell>
          <cell r="E267" t="str">
            <v>BLOOD PRESSURE MONITOR (SPHYGMOMANOMETER)</v>
          </cell>
          <cell r="F267" t="str">
            <v xml:space="preserve"> ANEROID DESK MODEL</v>
          </cell>
          <cell r="G267" t="str">
            <v xml:space="preserve">RIESTER RUDOLF </v>
          </cell>
          <cell r="H267" t="str">
            <v>150311411</v>
          </cell>
          <cell r="I267" t="str">
            <v>ANNUALLY</v>
          </cell>
          <cell r="J267">
            <v>46052</v>
          </cell>
          <cell r="K267"/>
          <cell r="L267"/>
          <cell r="M267"/>
          <cell r="N267" t="str">
            <v>JABATAN ANESTHESIA</v>
          </cell>
          <cell r="O267" t="str">
            <v>Dewan Bedah Utama (GOT)</v>
          </cell>
        </row>
        <row r="268">
          <cell r="D268" t="str">
            <v>KKM/JKN/HSA/10-05-01/H/20/57</v>
          </cell>
          <cell r="E268" t="str">
            <v>LARYNGOSCOPE</v>
          </cell>
          <cell r="F268" t="str">
            <v>KAWE</v>
          </cell>
          <cell r="G268" t="str">
            <v>N/A</v>
          </cell>
          <cell r="H268" t="str">
            <v>N/A</v>
          </cell>
          <cell r="I268" t="str">
            <v>ANNUALLY</v>
          </cell>
          <cell r="J268">
            <v>45690</v>
          </cell>
          <cell r="K268"/>
          <cell r="L268"/>
          <cell r="M268"/>
          <cell r="N268" t="str">
            <v>JABATAN ANESTHESIA</v>
          </cell>
          <cell r="O268" t="str">
            <v>Dewan Bedah Utama (GOT)</v>
          </cell>
        </row>
        <row r="269">
          <cell r="D269" t="str">
            <v>KKM/JKN/HSA/10-05-01/H/20/79</v>
          </cell>
          <cell r="E269" t="str">
            <v>PULSE OXIMETER AND SIMULATOR</v>
          </cell>
          <cell r="F269" t="str">
            <v>NELLCOR</v>
          </cell>
          <cell r="G269" t="str">
            <v>NELLCOR</v>
          </cell>
          <cell r="H269" t="str">
            <v>MBB1915029</v>
          </cell>
          <cell r="I269" t="str">
            <v>ANNUALLY</v>
          </cell>
          <cell r="J269">
            <v>45724</v>
          </cell>
          <cell r="K269"/>
          <cell r="L269"/>
          <cell r="M269"/>
          <cell r="N269" t="str">
            <v>JABATAN ANESTHESIA</v>
          </cell>
          <cell r="O269" t="str">
            <v>Dewan Bedah Utama (GOT)</v>
          </cell>
        </row>
        <row r="270">
          <cell r="D270" t="str">
            <v>KKM/JKN/HSA/10-05-01/H/20/176</v>
          </cell>
          <cell r="E270" t="str">
            <v xml:space="preserve">ECG (EKG) MACHINE </v>
          </cell>
          <cell r="F270" t="str">
            <v>MINDRAY</v>
          </cell>
          <cell r="G270" t="str">
            <v>BENEHEART R3A</v>
          </cell>
          <cell r="H270" t="str">
            <v>FV03035197</v>
          </cell>
          <cell r="I270" t="str">
            <v>ANNUALLY</v>
          </cell>
          <cell r="J270">
            <v>45748</v>
          </cell>
          <cell r="K270"/>
          <cell r="L270"/>
          <cell r="M270"/>
          <cell r="N270" t="str">
            <v>JABATAN ANESTHESIA</v>
          </cell>
          <cell r="O270" t="str">
            <v>Dewan Bedah Utama (GOT)</v>
          </cell>
        </row>
        <row r="271">
          <cell r="D271" t="str">
            <v>KKM/JKN/HSA/10-05-01/H/20/224</v>
          </cell>
          <cell r="E271" t="str">
            <v>INFANT WARMER</v>
          </cell>
          <cell r="F271" t="str">
            <v>SUNFLOWER WARMER</v>
          </cell>
          <cell r="G271" t="str">
            <v>HI LO TILT 230V</v>
          </cell>
          <cell r="H271">
            <v>191100419</v>
          </cell>
          <cell r="I271" t="str">
            <v>ANNUALLY</v>
          </cell>
          <cell r="J271">
            <v>45748</v>
          </cell>
          <cell r="K271"/>
          <cell r="L271"/>
          <cell r="M271"/>
          <cell r="N271" t="str">
            <v>JABATAN ANESTHESIA</v>
          </cell>
          <cell r="O271" t="str">
            <v>Dewan Bedah Utama (GOT)</v>
          </cell>
        </row>
        <row r="272">
          <cell r="D272" t="str">
            <v>HSAS10040</v>
          </cell>
          <cell r="E272" t="str">
            <v>MONITOR PRE-CONFIG 6-CH ECG/RR/SPO2/NIBP/2TEMP/2IBP/12L/ARRHYTH</v>
          </cell>
          <cell r="F272" t="str">
            <v>MINDRAY</v>
          </cell>
          <cell r="G272" t="str">
            <v>IPM 12</v>
          </cell>
          <cell r="H272" t="str">
            <v>N/A</v>
          </cell>
          <cell r="I272" t="str">
            <v>SEMI ANNUALLY</v>
          </cell>
          <cell r="J272">
            <v>45791</v>
          </cell>
          <cell r="K272">
            <v>45974</v>
          </cell>
          <cell r="L272"/>
          <cell r="M272"/>
          <cell r="N272" t="str">
            <v>JABATAN ANESTHESIA</v>
          </cell>
          <cell r="O272" t="str">
            <v>Dewan Bedah Utama (GOT)</v>
          </cell>
        </row>
        <row r="273">
          <cell r="D273" t="str">
            <v>HSAS10041</v>
          </cell>
          <cell r="E273" t="str">
            <v>MONITOR PRE-CONFIG 6-CH ECG/RR/SPO2/NIBP/2TEMP/2IBP/12L/ARRHYTH</v>
          </cell>
          <cell r="F273" t="str">
            <v>MINDRAY</v>
          </cell>
          <cell r="G273" t="str">
            <v>IPM 12</v>
          </cell>
          <cell r="H273" t="str">
            <v>N/A</v>
          </cell>
          <cell r="I273" t="str">
            <v>SEMI ANNUALLY</v>
          </cell>
          <cell r="J273">
            <v>45794</v>
          </cell>
          <cell r="K273">
            <v>45977</v>
          </cell>
          <cell r="L273"/>
          <cell r="M273"/>
          <cell r="N273" t="str">
            <v>JABATAN ANESTHESIA</v>
          </cell>
          <cell r="O273" t="str">
            <v>Dewan Bedah Utama (GOT)</v>
          </cell>
        </row>
        <row r="274">
          <cell r="D274" t="str">
            <v>HSAS10042</v>
          </cell>
          <cell r="E274" t="str">
            <v>MONITOR PRE-CONFIG 6-CH ECG/RR/SPO2/NIBP/2TEMP/2IBP/12L/ARRHYTH</v>
          </cell>
          <cell r="F274" t="str">
            <v>MINDRAY</v>
          </cell>
          <cell r="G274" t="str">
            <v>IPM 12</v>
          </cell>
          <cell r="H274" t="str">
            <v>N/A</v>
          </cell>
          <cell r="I274" t="str">
            <v>SEMI ANNUALLY</v>
          </cell>
          <cell r="J274">
            <v>45794</v>
          </cell>
          <cell r="K274">
            <v>45977</v>
          </cell>
          <cell r="L274"/>
          <cell r="M274"/>
          <cell r="N274" t="str">
            <v>JABATAN ANESTHESIA</v>
          </cell>
          <cell r="O274" t="str">
            <v>Dewan Bedah Utama (GOT)</v>
          </cell>
        </row>
        <row r="275">
          <cell r="D275" t="str">
            <v>HSAS10043</v>
          </cell>
          <cell r="E275" t="str">
            <v>MONITOR PRE-CONFIG 6-CH ECG/RR/SPO2/NIBP/2TEMP/2IBP/12L/ARRHYTH</v>
          </cell>
          <cell r="F275" t="str">
            <v>MINDRAY</v>
          </cell>
          <cell r="G275" t="str">
            <v>IPM 12</v>
          </cell>
          <cell r="H275" t="str">
            <v>N/A</v>
          </cell>
          <cell r="I275" t="str">
            <v>SEMI ANNUALLY</v>
          </cell>
          <cell r="J275">
            <v>45794</v>
          </cell>
          <cell r="K275">
            <v>45977</v>
          </cell>
          <cell r="L275"/>
          <cell r="M275"/>
          <cell r="N275" t="str">
            <v>JABATAN ANESTHESIA</v>
          </cell>
          <cell r="O275" t="str">
            <v>Dewan Bedah Utama (GOT)</v>
          </cell>
        </row>
        <row r="276">
          <cell r="D276" t="str">
            <v>HSAS10034</v>
          </cell>
          <cell r="E276" t="str">
            <v>LARYNGOSCOPE C/W 3 BLADES ADULT</v>
          </cell>
          <cell r="F276" t="str">
            <v>WELCH ALLYN</v>
          </cell>
          <cell r="G276" t="str">
            <v>WELCH ALLYN</v>
          </cell>
          <cell r="H276" t="str">
            <v>N/A</v>
          </cell>
          <cell r="I276" t="str">
            <v>ANNUALLY</v>
          </cell>
          <cell r="J276">
            <v>45975</v>
          </cell>
          <cell r="K276"/>
          <cell r="L276"/>
          <cell r="M276"/>
          <cell r="N276" t="str">
            <v>JABATAN OBSTETRIK &amp; GINEKOLOGI</v>
          </cell>
          <cell r="O276" t="str">
            <v>Dewan Bersalin (LDU)</v>
          </cell>
        </row>
        <row r="277">
          <cell r="D277" t="str">
            <v>HSAS10035</v>
          </cell>
          <cell r="E277" t="str">
            <v>LARYNGOSCOPE C/W 3 BLADES ADULT</v>
          </cell>
          <cell r="F277" t="str">
            <v>WELCH ALLYN</v>
          </cell>
          <cell r="G277" t="str">
            <v>WELCH ALLYN</v>
          </cell>
          <cell r="H277" t="str">
            <v>N/A</v>
          </cell>
          <cell r="I277" t="str">
            <v>ANNUALLY</v>
          </cell>
          <cell r="J277">
            <v>45975</v>
          </cell>
          <cell r="K277"/>
          <cell r="L277"/>
          <cell r="M277"/>
          <cell r="N277" t="str">
            <v>JABATAN OBSTETRIK &amp; GINEKOLOGI</v>
          </cell>
          <cell r="O277" t="str">
            <v>Dewan Bersalin (LDU)</v>
          </cell>
        </row>
        <row r="278">
          <cell r="D278" t="str">
            <v>HSAS10036</v>
          </cell>
          <cell r="E278" t="str">
            <v>LARYNGOSCOPE C/W 3 BLADES ADULT</v>
          </cell>
          <cell r="F278" t="str">
            <v>WELCH ALLYN</v>
          </cell>
          <cell r="G278" t="str">
            <v>WELCH ALLYN</v>
          </cell>
          <cell r="H278" t="str">
            <v>N/A</v>
          </cell>
          <cell r="I278" t="str">
            <v>ANNUALLY</v>
          </cell>
          <cell r="J278">
            <v>45975</v>
          </cell>
          <cell r="K278"/>
          <cell r="L278"/>
          <cell r="M278"/>
          <cell r="N278" t="str">
            <v>JABATAN OBSTETRIK &amp; GINEKOLOGI</v>
          </cell>
          <cell r="O278" t="str">
            <v>Dewan Bersalin (LDU)</v>
          </cell>
        </row>
        <row r="279">
          <cell r="D279" t="str">
            <v>HSAS10037</v>
          </cell>
          <cell r="E279" t="str">
            <v>LARYNGOSCOPE C/W 3 BLADES ADULT</v>
          </cell>
          <cell r="F279" t="str">
            <v>WELCH ALLYN</v>
          </cell>
          <cell r="G279" t="str">
            <v>WELCH ALLYN</v>
          </cell>
          <cell r="H279" t="str">
            <v>N/A</v>
          </cell>
          <cell r="I279" t="str">
            <v>ANNUALLY</v>
          </cell>
          <cell r="J279">
            <v>45975</v>
          </cell>
          <cell r="K279"/>
          <cell r="L279"/>
          <cell r="M279"/>
          <cell r="N279" t="str">
            <v>JABATAN OBSTETRIK &amp; GINEKOLOGI</v>
          </cell>
          <cell r="O279" t="str">
            <v>Dewan Bersalin (LDU)</v>
          </cell>
        </row>
        <row r="280">
          <cell r="D280" t="str">
            <v>KKM/JKN/HSA/10-05-01/H/15/4298</v>
          </cell>
          <cell r="E280" t="str">
            <v>MONITOR ANTEPARTUM W/INTEGRAL PRINTER</v>
          </cell>
          <cell r="F280" t="str">
            <v>GE HEALTHCARE</v>
          </cell>
          <cell r="G280" t="str">
            <v>COROMETRICS 172</v>
          </cell>
          <cell r="H280" t="str">
            <v>SAS13306884PA</v>
          </cell>
          <cell r="I280" t="str">
            <v>ANNUALLY</v>
          </cell>
          <cell r="J280">
            <v>45719</v>
          </cell>
          <cell r="K280"/>
          <cell r="L280"/>
          <cell r="M280"/>
          <cell r="N280" t="str">
            <v>JABATAN OBSTETRIK &amp; GINEKOLOGI</v>
          </cell>
          <cell r="O280" t="str">
            <v>Dewan Bersalin (LDU)</v>
          </cell>
        </row>
        <row r="281">
          <cell r="D281" t="str">
            <v>KKM/JKN/HSA/10-05-01/R/15/17088</v>
          </cell>
          <cell r="E281" t="str">
            <v>DIAGNOSTIC SET ADULT</v>
          </cell>
          <cell r="F281" t="str">
            <v>WELCH ALLYN</v>
          </cell>
          <cell r="G281" t="str">
            <v>97150-BI</v>
          </cell>
          <cell r="H281" t="str">
            <v>N/A</v>
          </cell>
          <cell r="I281" t="str">
            <v>ANNUALLY</v>
          </cell>
          <cell r="J281">
            <v>45902</v>
          </cell>
          <cell r="K281"/>
          <cell r="L281"/>
          <cell r="M281"/>
          <cell r="N281" t="str">
            <v>JABATAN PEMBEDAHAN AM</v>
          </cell>
          <cell r="O281" t="str">
            <v>Klinik Pembedahan Am (GEN SURGICAL CLINIC)</v>
          </cell>
        </row>
        <row r="282">
          <cell r="D282" t="str">
            <v>KKM/JKN/HSA/10-05-01/H/15/1168</v>
          </cell>
          <cell r="E282" t="str">
            <v>SUCTION APPARATUS</v>
          </cell>
          <cell r="F282" t="str">
            <v>MEDELA</v>
          </cell>
          <cell r="G282" t="str">
            <v>BASIC</v>
          </cell>
          <cell r="H282" t="str">
            <v>1501433</v>
          </cell>
          <cell r="I282" t="str">
            <v>ANNUALLY</v>
          </cell>
          <cell r="J282">
            <v>45820</v>
          </cell>
          <cell r="K282"/>
          <cell r="L282"/>
          <cell r="M282"/>
          <cell r="N282" t="str">
            <v>JABATAN OBSTETRIK &amp; GINEKOLOGI</v>
          </cell>
          <cell r="O282" t="str">
            <v>Dewan Bersalin (LDU)</v>
          </cell>
        </row>
        <row r="283">
          <cell r="D283" t="str">
            <v>KKM/JKN/HSA/10-05-01/H/15/1169</v>
          </cell>
          <cell r="E283" t="str">
            <v>SUCTION APPARATUS</v>
          </cell>
          <cell r="F283" t="str">
            <v>MEDELA</v>
          </cell>
          <cell r="G283" t="str">
            <v>BASIC</v>
          </cell>
          <cell r="H283" t="str">
            <v>1501404</v>
          </cell>
          <cell r="I283" t="str">
            <v>ANNUALLY</v>
          </cell>
          <cell r="J283">
            <v>45820</v>
          </cell>
          <cell r="K283"/>
          <cell r="L283"/>
          <cell r="M283"/>
          <cell r="N283" t="str">
            <v>JABATAN OBSTETRIK &amp; GINEKOLOGI</v>
          </cell>
          <cell r="O283" t="str">
            <v>Dewan Bersalin (LDU)</v>
          </cell>
        </row>
        <row r="284">
          <cell r="D284" t="str">
            <v>KKM/JKN/HSA/10-05-01/H/15/1170</v>
          </cell>
          <cell r="E284" t="str">
            <v>SUCTION APPARATUS</v>
          </cell>
          <cell r="F284" t="str">
            <v>MEDELA</v>
          </cell>
          <cell r="G284" t="str">
            <v>BASIC</v>
          </cell>
          <cell r="H284" t="str">
            <v>1501406</v>
          </cell>
          <cell r="I284" t="str">
            <v>ANNUALLY</v>
          </cell>
          <cell r="J284">
            <v>45820</v>
          </cell>
          <cell r="K284"/>
          <cell r="L284"/>
          <cell r="M284"/>
          <cell r="N284" t="str">
            <v>JABATAN OBSTETRIK &amp; GINEKOLOGI</v>
          </cell>
          <cell r="O284" t="str">
            <v>Dewan Bersalin (LDU)</v>
          </cell>
        </row>
        <row r="285">
          <cell r="D285" t="str">
            <v>KKM/JKN/HSA/10-05-01/H/15/1208</v>
          </cell>
          <cell r="E285" t="str">
            <v>INFUSION PUMP</v>
          </cell>
          <cell r="F285" t="str">
            <v>FRESENIUS KABI</v>
          </cell>
          <cell r="G285" t="str">
            <v>LINK 8+ AGILIA/MOBILE STAND</v>
          </cell>
          <cell r="H285" t="str">
            <v>019130 / 22170252</v>
          </cell>
          <cell r="I285" t="str">
            <v>ANNUALLY</v>
          </cell>
          <cell r="J285">
            <v>45861</v>
          </cell>
          <cell r="K285"/>
          <cell r="L285"/>
          <cell r="M285"/>
          <cell r="N285" t="str">
            <v>JABATAN OBSTETRIK &amp; GINEKOLOGI</v>
          </cell>
          <cell r="O285" t="str">
            <v>Dewan Bersalin (LDU)</v>
          </cell>
        </row>
        <row r="286">
          <cell r="D286" t="str">
            <v>KKM/JKN/HSA/10-05-01/H/15/1209</v>
          </cell>
          <cell r="E286" t="str">
            <v>INFUSION PUMP</v>
          </cell>
          <cell r="F286" t="str">
            <v>FRESENIUS KABI</v>
          </cell>
          <cell r="G286" t="str">
            <v>LINK 8+ AGILIA/MOBILE STAND</v>
          </cell>
          <cell r="H286" t="str">
            <v>019130 / 22235949</v>
          </cell>
          <cell r="I286" t="str">
            <v>ANNUALLY</v>
          </cell>
          <cell r="J286">
            <v>45861</v>
          </cell>
          <cell r="K286"/>
          <cell r="L286"/>
          <cell r="M286"/>
          <cell r="N286" t="str">
            <v>JABATAN OBSTETRIK &amp; GINEKOLOGI</v>
          </cell>
          <cell r="O286" t="str">
            <v>Dewan Bersalin (LDU)</v>
          </cell>
        </row>
        <row r="287">
          <cell r="D287" t="str">
            <v>KKM/JKN/HSA/10-05-01/H/15/1210</v>
          </cell>
          <cell r="E287" t="str">
            <v>INFUSION PUMP</v>
          </cell>
          <cell r="F287" t="str">
            <v>FRESENIUS KABI</v>
          </cell>
          <cell r="G287" t="str">
            <v>LINK 8+ AGILIA/MOBILE STAND</v>
          </cell>
          <cell r="H287" t="str">
            <v>019130 / 22235922</v>
          </cell>
          <cell r="I287" t="str">
            <v>ANNUALLY</v>
          </cell>
          <cell r="J287">
            <v>45861</v>
          </cell>
          <cell r="K287"/>
          <cell r="L287"/>
          <cell r="M287"/>
          <cell r="N287" t="str">
            <v>JABATAN OBSTETRIK &amp; GINEKOLOGI</v>
          </cell>
          <cell r="O287" t="str">
            <v>Dewan Bersalin (LDU)</v>
          </cell>
        </row>
        <row r="288">
          <cell r="D288" t="str">
            <v>KKM/JKN/HSA/10-05-01/H/15/1211</v>
          </cell>
          <cell r="E288" t="str">
            <v>INFUSION PUMP</v>
          </cell>
          <cell r="F288" t="str">
            <v>FRESENIUS KABI</v>
          </cell>
          <cell r="G288" t="str">
            <v>LINK 8+ AGILIA/MOBILE STAND</v>
          </cell>
          <cell r="H288" t="str">
            <v>019130 / 22235930</v>
          </cell>
          <cell r="I288" t="str">
            <v>ANNUALLY</v>
          </cell>
          <cell r="J288">
            <v>45904</v>
          </cell>
          <cell r="K288"/>
          <cell r="L288"/>
          <cell r="M288"/>
          <cell r="N288" t="str">
            <v>JABATAN OBSTETRIK &amp; GINEKOLOGI</v>
          </cell>
          <cell r="O288" t="str">
            <v>Dewan Bersalin (LDU)</v>
          </cell>
        </row>
        <row r="289">
          <cell r="D289" t="str">
            <v>KKM/JKN/HSA/10-05-01/H/15/1212</v>
          </cell>
          <cell r="E289" t="str">
            <v>INFUSION PUMP</v>
          </cell>
          <cell r="F289" t="str">
            <v>FRESENIUS KABI</v>
          </cell>
          <cell r="G289" t="str">
            <v>LINK 8+ AGILIA/MOBILE STAND</v>
          </cell>
          <cell r="H289" t="str">
            <v>019130 / 22235256</v>
          </cell>
          <cell r="I289" t="str">
            <v>ANNUALLY</v>
          </cell>
          <cell r="J289">
            <v>45904</v>
          </cell>
          <cell r="K289"/>
          <cell r="L289"/>
          <cell r="M289"/>
          <cell r="N289" t="str">
            <v>JABATAN OBSTETRIK &amp; GINEKOLOGI</v>
          </cell>
          <cell r="O289" t="str">
            <v>Dewan Bersalin (LDU)</v>
          </cell>
        </row>
        <row r="290">
          <cell r="D290" t="str">
            <v>KKM/JKN/HSA/10-05-01/H/15/1213</v>
          </cell>
          <cell r="E290" t="str">
            <v>INFUSION PUMP</v>
          </cell>
          <cell r="F290" t="str">
            <v>FRESENIUS KABI</v>
          </cell>
          <cell r="G290" t="str">
            <v>LINK 8+ AGILIA/MOBILE STAND</v>
          </cell>
          <cell r="H290" t="str">
            <v>019130 / 22235957</v>
          </cell>
          <cell r="I290" t="str">
            <v>ANNUALLY</v>
          </cell>
          <cell r="J290">
            <v>45904</v>
          </cell>
          <cell r="K290"/>
          <cell r="L290"/>
          <cell r="M290"/>
          <cell r="N290" t="str">
            <v>JABATAN OBSTETRIK &amp; GINEKOLOGI</v>
          </cell>
          <cell r="O290" t="str">
            <v>Dewan Bersalin (LDU)</v>
          </cell>
        </row>
        <row r="291">
          <cell r="D291" t="str">
            <v>KKM/JKN/HSA/10-05-01/H/15/1214</v>
          </cell>
          <cell r="E291" t="str">
            <v>INFUSION PUMP</v>
          </cell>
          <cell r="F291" t="str">
            <v>FRESENIUS KABI</v>
          </cell>
          <cell r="G291" t="str">
            <v>LINK 8+ AGILIA/MOBILE STAND</v>
          </cell>
          <cell r="H291" t="str">
            <v>019130 / 22235300</v>
          </cell>
          <cell r="I291" t="str">
            <v>ANNUALLY</v>
          </cell>
          <cell r="J291">
            <v>45904</v>
          </cell>
          <cell r="K291"/>
          <cell r="L291"/>
          <cell r="M291"/>
          <cell r="N291" t="str">
            <v>JABATAN OBSTETRIK &amp; GINEKOLOGI</v>
          </cell>
          <cell r="O291" t="str">
            <v>Dewan Bersalin (LDU)</v>
          </cell>
        </row>
        <row r="292">
          <cell r="D292" t="str">
            <v>KKM/JKN/HSA/10-05-01/H/15/1215</v>
          </cell>
          <cell r="E292" t="str">
            <v>INFUSION PUMP</v>
          </cell>
          <cell r="F292" t="str">
            <v>FRESENIUS KABI</v>
          </cell>
          <cell r="G292" t="str">
            <v>LINK 8+ AGILIA/MOBILE STAND</v>
          </cell>
          <cell r="H292" t="str">
            <v>019130 / 22235941</v>
          </cell>
          <cell r="I292" t="str">
            <v>ANNUALLY</v>
          </cell>
          <cell r="J292">
            <v>45904</v>
          </cell>
          <cell r="K292"/>
          <cell r="L292"/>
          <cell r="M292"/>
          <cell r="N292" t="str">
            <v>JABATAN OBSTETRIK &amp; GINEKOLOGI</v>
          </cell>
          <cell r="O292" t="str">
            <v>Dewan Bersalin (LDU)</v>
          </cell>
        </row>
        <row r="293">
          <cell r="D293" t="str">
            <v>KKM/JKN/HSA/10-05-01/H/15/1216</v>
          </cell>
          <cell r="E293" t="str">
            <v>INFUSION PUMP</v>
          </cell>
          <cell r="F293" t="str">
            <v>FRESENIUS KABI</v>
          </cell>
          <cell r="G293" t="str">
            <v>LINK 8+ AGILIA/MOBILE STAND</v>
          </cell>
          <cell r="H293" t="str">
            <v>019130 / 22170886</v>
          </cell>
          <cell r="I293" t="str">
            <v>ANNUALLY</v>
          </cell>
          <cell r="J293">
            <v>45904</v>
          </cell>
          <cell r="K293"/>
          <cell r="L293"/>
          <cell r="M293"/>
          <cell r="N293" t="str">
            <v>JABATAN OBSTETRIK &amp; GINEKOLOGI</v>
          </cell>
          <cell r="O293" t="str">
            <v>Dewan Bersalin (LDU)</v>
          </cell>
        </row>
        <row r="294">
          <cell r="D294" t="str">
            <v>KKM/JKN/HSA/10-05-01/H/15/1217</v>
          </cell>
          <cell r="E294" t="str">
            <v>INFUSION PUMP</v>
          </cell>
          <cell r="F294" t="str">
            <v>FRESENIUS KABI</v>
          </cell>
          <cell r="G294" t="str">
            <v>LINK 8+ AGILIA/MOBILE STAND</v>
          </cell>
          <cell r="H294" t="str">
            <v>019130 / 22235942</v>
          </cell>
          <cell r="I294" t="str">
            <v>ANNUALLY</v>
          </cell>
          <cell r="J294">
            <v>45905</v>
          </cell>
          <cell r="K294"/>
          <cell r="L294"/>
          <cell r="M294"/>
          <cell r="N294" t="str">
            <v>JABATAN OBSTETRIK &amp; GINEKOLOGI</v>
          </cell>
          <cell r="O294" t="str">
            <v>Dewan Bersalin (LDU)</v>
          </cell>
        </row>
        <row r="295">
          <cell r="D295" t="str">
            <v>KKM/JKN/HSA/10-05-01/H/15/1218</v>
          </cell>
          <cell r="E295" t="str">
            <v>INFUSION PUMP</v>
          </cell>
          <cell r="F295" t="str">
            <v>FRESENIUS KABI</v>
          </cell>
          <cell r="G295" t="str">
            <v>LINK 8+ AGILIA/MOBILE STAND</v>
          </cell>
          <cell r="H295" t="str">
            <v>019130 / 22235262</v>
          </cell>
          <cell r="I295" t="str">
            <v>ANNUALLY</v>
          </cell>
          <cell r="J295">
            <v>45905</v>
          </cell>
          <cell r="K295"/>
          <cell r="L295"/>
          <cell r="M295"/>
          <cell r="N295" t="str">
            <v>JABATAN OBSTETRIK &amp; GINEKOLOGI</v>
          </cell>
          <cell r="O295" t="str">
            <v>Dewan Bersalin (LDU)</v>
          </cell>
        </row>
        <row r="296">
          <cell r="D296" t="str">
            <v>KKM/JKN/HSA/10-05-01/H/15/1219</v>
          </cell>
          <cell r="E296" t="str">
            <v>INFUSION PUMP</v>
          </cell>
          <cell r="F296" t="str">
            <v>FRESENIUS KABI</v>
          </cell>
          <cell r="G296" t="str">
            <v>LINK 8+ AGILIA/MOBILE STAND</v>
          </cell>
          <cell r="H296" t="str">
            <v>019130 / 22235257</v>
          </cell>
          <cell r="I296" t="str">
            <v>ANNUALLY</v>
          </cell>
          <cell r="J296">
            <v>45905</v>
          </cell>
          <cell r="K296"/>
          <cell r="L296"/>
          <cell r="M296"/>
          <cell r="N296" t="str">
            <v>JABATAN OBSTETRIK &amp; GINEKOLOGI</v>
          </cell>
          <cell r="O296" t="str">
            <v>Dewan Bersalin (LDU)</v>
          </cell>
        </row>
        <row r="297">
          <cell r="D297" t="str">
            <v>KKM/JKN/HSA/10-05-01/H/15/1220</v>
          </cell>
          <cell r="E297" t="str">
            <v>INFUSION PUMP</v>
          </cell>
          <cell r="F297" t="str">
            <v>FRESENIUS KABI</v>
          </cell>
          <cell r="G297" t="str">
            <v>LINK 8+ AGILIA/MOBILE STAND</v>
          </cell>
          <cell r="H297" t="str">
            <v>019130 / 22235247</v>
          </cell>
          <cell r="I297" t="str">
            <v>ANNUALLY</v>
          </cell>
          <cell r="J297">
            <v>45905</v>
          </cell>
          <cell r="K297"/>
          <cell r="L297"/>
          <cell r="M297"/>
          <cell r="N297" t="str">
            <v>JABATAN OBSTETRIK &amp; GINEKOLOGI</v>
          </cell>
          <cell r="O297" t="str">
            <v>Dewan Bersalin (LDU)</v>
          </cell>
        </row>
        <row r="298">
          <cell r="D298" t="str">
            <v>KKM/JKN/HSA/10-05-01/H/15/1570</v>
          </cell>
          <cell r="E298" t="str">
            <v>PATIENT MONITORING EQUIP.(AUTOMATIC MULTIPARAMETER)</v>
          </cell>
          <cell r="F298" t="str">
            <v>WELCH ALLYN</v>
          </cell>
          <cell r="G298" t="str">
            <v>WELCH ALLYN VSM 300</v>
          </cell>
          <cell r="H298" t="str">
            <v>JA 123487</v>
          </cell>
          <cell r="I298" t="str">
            <v>ANNUALLY</v>
          </cell>
          <cell r="J298">
            <v>45842</v>
          </cell>
          <cell r="K298"/>
          <cell r="L298"/>
          <cell r="M298"/>
          <cell r="N298" t="str">
            <v>JABATAN OBSTETRIK &amp; GINEKOLOGI</v>
          </cell>
          <cell r="O298" t="str">
            <v>Dewan Bersalin (LDU)</v>
          </cell>
        </row>
        <row r="299">
          <cell r="D299" t="str">
            <v>KKM/JKN/HSA/10-05-01/H/15/1571</v>
          </cell>
          <cell r="E299" t="str">
            <v>PATIENT MONITORING EQUIP.(AUTOMATIC MULTIPARAMETER)</v>
          </cell>
          <cell r="F299" t="str">
            <v>WELCH ALLYN</v>
          </cell>
          <cell r="G299" t="str">
            <v>WELCH ALLYN VSM 300</v>
          </cell>
          <cell r="H299" t="str">
            <v>JA 123479</v>
          </cell>
          <cell r="I299" t="str">
            <v>ANNUALLY</v>
          </cell>
          <cell r="J299">
            <v>45841</v>
          </cell>
          <cell r="K299"/>
          <cell r="L299"/>
          <cell r="M299"/>
          <cell r="N299" t="str">
            <v>JABATAN OBSTETRIK &amp; GINEKOLOGI</v>
          </cell>
          <cell r="O299" t="str">
            <v>Dewan Bersalin (LDU)</v>
          </cell>
        </row>
        <row r="300">
          <cell r="D300" t="str">
            <v>KKM/JKN/HSA/10-05-01/H/15/1572</v>
          </cell>
          <cell r="E300" t="str">
            <v>PATIENT MONITORING EQUIP.(AUTOMATIC MULTIPARAMETER)</v>
          </cell>
          <cell r="F300" t="str">
            <v>WELCH ALLYN</v>
          </cell>
          <cell r="G300" t="str">
            <v>WELCH ALLYN VSM 300</v>
          </cell>
          <cell r="H300" t="str">
            <v>JA 123473</v>
          </cell>
          <cell r="I300" t="str">
            <v>ANNUALLY</v>
          </cell>
          <cell r="J300">
            <v>45841</v>
          </cell>
          <cell r="K300"/>
          <cell r="L300"/>
          <cell r="M300"/>
          <cell r="N300" t="str">
            <v>JABATAN OBSTETRIK &amp; GINEKOLOGI</v>
          </cell>
          <cell r="O300" t="str">
            <v>Dewan Bersalin (LDU)</v>
          </cell>
        </row>
        <row r="301">
          <cell r="D301" t="str">
            <v>KKM/JKN/HSA/10-05-01/H/15/1573</v>
          </cell>
          <cell r="E301" t="str">
            <v>PATIENT MONITORING EQUIP.(AUTOMATIC MULTIPARAMETER)</v>
          </cell>
          <cell r="F301" t="str">
            <v>WELCH ALLYN</v>
          </cell>
          <cell r="G301" t="str">
            <v>WELCH ALLYN VSM 300</v>
          </cell>
          <cell r="H301" t="str">
            <v>JA 123461</v>
          </cell>
          <cell r="I301" t="str">
            <v>ANNUALLY</v>
          </cell>
          <cell r="J301">
            <v>45848</v>
          </cell>
          <cell r="K301"/>
          <cell r="L301"/>
          <cell r="M301"/>
          <cell r="N301" t="str">
            <v>JABATAN OBSTETRIK &amp; GINEKOLOGI</v>
          </cell>
          <cell r="O301" t="str">
            <v>Dewan Bersalin (LDU)</v>
          </cell>
        </row>
        <row r="302">
          <cell r="D302" t="str">
            <v>KKM/JKN/HSA/10-05-01/H/15/1574</v>
          </cell>
          <cell r="E302" t="str">
            <v>PATIENT MONITORING EQUIP.(AUTOMATIC MULTIPARAMETER)</v>
          </cell>
          <cell r="F302" t="str">
            <v>WELCH ALLYN</v>
          </cell>
          <cell r="G302" t="str">
            <v>WELCH ALLYN VSM 300</v>
          </cell>
          <cell r="H302" t="str">
            <v>JA 123478</v>
          </cell>
          <cell r="I302" t="str">
            <v>ANNUALLY</v>
          </cell>
          <cell r="J302">
            <v>45848</v>
          </cell>
          <cell r="K302"/>
          <cell r="L302"/>
          <cell r="M302"/>
          <cell r="N302" t="str">
            <v>JABATAN OBSTETRIK &amp; GINEKOLOGI</v>
          </cell>
          <cell r="O302" t="str">
            <v>Dewan Bersalin (LDU)</v>
          </cell>
        </row>
        <row r="303">
          <cell r="D303" t="str">
            <v>KKM/JKN/HSA/10-05-01/H/15/1575</v>
          </cell>
          <cell r="E303" t="str">
            <v>PATIENT MONITORING EQUIP.(AUTOMATIC MULTIPARAMETER)</v>
          </cell>
          <cell r="F303" t="str">
            <v>WELCH ALLYN</v>
          </cell>
          <cell r="G303" t="str">
            <v>WELCH ALLYN VSM 300</v>
          </cell>
          <cell r="H303" t="str">
            <v>JA 123482</v>
          </cell>
          <cell r="I303" t="str">
            <v>ANNUALLY</v>
          </cell>
          <cell r="J303">
            <v>45848</v>
          </cell>
          <cell r="K303"/>
          <cell r="L303"/>
          <cell r="M303"/>
          <cell r="N303" t="str">
            <v>JABATAN OBSTETRIK &amp; GINEKOLOGI</v>
          </cell>
          <cell r="O303" t="str">
            <v>Dewan Bersalin (LDU)</v>
          </cell>
        </row>
        <row r="304">
          <cell r="D304" t="str">
            <v>KKM/JKN/HSA/10-05-01/H/15/1576</v>
          </cell>
          <cell r="E304" t="str">
            <v>PATIENT MONITORING EQUIP.(AUTOMATIC MULTIPARAMETER)</v>
          </cell>
          <cell r="F304" t="str">
            <v>WELCH ALLYN</v>
          </cell>
          <cell r="G304" t="str">
            <v>WELCH ALLYN VSM 300</v>
          </cell>
          <cell r="H304" t="str">
            <v>JA 123468</v>
          </cell>
          <cell r="I304" t="str">
            <v>ANNUALLY</v>
          </cell>
          <cell r="J304">
            <v>45848</v>
          </cell>
          <cell r="K304"/>
          <cell r="L304"/>
          <cell r="M304"/>
          <cell r="N304" t="str">
            <v>JABATAN OBSTETRIK &amp; GINEKOLOGI</v>
          </cell>
          <cell r="O304" t="str">
            <v>Dewan Bersalin (LDU)</v>
          </cell>
        </row>
        <row r="305">
          <cell r="D305" t="str">
            <v>KKM/JKN/HSA/10-05-01/H/15/1577</v>
          </cell>
          <cell r="E305" t="str">
            <v>PATIENT MONITORING EQUIP.(AUTOMATIC MULTIPARAMETER)</v>
          </cell>
          <cell r="F305" t="str">
            <v>WELCH ALLYN</v>
          </cell>
          <cell r="G305" t="str">
            <v>WELCH ALLYN VSM 300</v>
          </cell>
          <cell r="H305" t="str">
            <v>JA123474</v>
          </cell>
          <cell r="I305" t="str">
            <v>ANNUALLY</v>
          </cell>
          <cell r="J305">
            <v>45848</v>
          </cell>
          <cell r="K305"/>
          <cell r="L305"/>
          <cell r="M305"/>
          <cell r="N305" t="str">
            <v>JABATAN OBSTETRIK &amp; GINEKOLOGI</v>
          </cell>
          <cell r="O305" t="str">
            <v>Dewan Bersalin (LDU)</v>
          </cell>
        </row>
        <row r="306">
          <cell r="D306" t="str">
            <v>KKM/JKN/HSA/10-05-01/H/15/1578</v>
          </cell>
          <cell r="E306" t="str">
            <v>PATIENT MONITORING EQUIP.(AUTOMATIC MULTIPARAMETER)</v>
          </cell>
          <cell r="F306" t="str">
            <v>WELCH ALLYN</v>
          </cell>
          <cell r="G306" t="str">
            <v>WELCH ALLYN VSM 300</v>
          </cell>
          <cell r="H306" t="str">
            <v>JA 123464</v>
          </cell>
          <cell r="I306" t="str">
            <v>ANNUALLY</v>
          </cell>
          <cell r="J306">
            <v>45848</v>
          </cell>
          <cell r="K306"/>
          <cell r="L306"/>
          <cell r="M306"/>
          <cell r="N306" t="str">
            <v>JABATAN OBSTETRIK &amp; GINEKOLOGI</v>
          </cell>
          <cell r="O306" t="str">
            <v>Dewan Bersalin (LDU)</v>
          </cell>
        </row>
        <row r="307">
          <cell r="D307" t="str">
            <v>KKM/JKN/HSA/10-05-01/H/15/1579</v>
          </cell>
          <cell r="E307" t="str">
            <v>PATIENT MONITORING EQUIP.(AUTOMATIC MULTIPARAMETER)</v>
          </cell>
          <cell r="F307" t="str">
            <v>WELCH ALLYN</v>
          </cell>
          <cell r="G307" t="str">
            <v>WELCH ALLYN VSM 300</v>
          </cell>
          <cell r="H307" t="str">
            <v>JA 123455</v>
          </cell>
          <cell r="I307" t="str">
            <v>ANNUALLY</v>
          </cell>
          <cell r="J307">
            <v>45841</v>
          </cell>
          <cell r="K307"/>
          <cell r="L307"/>
          <cell r="M307"/>
          <cell r="N307" t="str">
            <v>JABATAN OBSTETRIK &amp; GINEKOLOGI</v>
          </cell>
          <cell r="O307" t="str">
            <v>Dewan Bersalin (LDU)</v>
          </cell>
        </row>
        <row r="308">
          <cell r="D308" t="str">
            <v>KKM/JKN/HSA/10-05-01/H/15/1581</v>
          </cell>
          <cell r="E308" t="str">
            <v>INFANT WARMER (RADIANT)</v>
          </cell>
          <cell r="F308" t="str">
            <v>DRAEGER</v>
          </cell>
          <cell r="G308" t="str">
            <v>RESUSCITAIRE RW-82</v>
          </cell>
          <cell r="H308" t="str">
            <v>AU 01151</v>
          </cell>
          <cell r="I308" t="str">
            <v>ANNUALLY</v>
          </cell>
          <cell r="J308">
            <v>45756</v>
          </cell>
          <cell r="K308"/>
          <cell r="L308"/>
          <cell r="M308"/>
          <cell r="N308" t="str">
            <v>JABATAN OBSTETRIK &amp; GINEKOLOGI</v>
          </cell>
          <cell r="O308" t="str">
            <v>Dewan Bersalin (LDU)</v>
          </cell>
        </row>
        <row r="309">
          <cell r="D309" t="str">
            <v>KKM/JKN/HSA/10-05-01/H/15/1582</v>
          </cell>
          <cell r="E309" t="str">
            <v>INFANT WARMER (RADIANT)</v>
          </cell>
          <cell r="F309" t="str">
            <v>DRAEGER</v>
          </cell>
          <cell r="G309" t="str">
            <v>RESUSCITAIRE RW-82</v>
          </cell>
          <cell r="H309" t="str">
            <v>AU 01150</v>
          </cell>
          <cell r="I309" t="str">
            <v>ANNUALLY</v>
          </cell>
          <cell r="J309">
            <v>45764</v>
          </cell>
          <cell r="K309"/>
          <cell r="L309"/>
          <cell r="M309"/>
          <cell r="N309" t="str">
            <v>JABATAN OBSTETRIK &amp; GINEKOLOGI</v>
          </cell>
          <cell r="O309" t="str">
            <v>Dewan Bersalin (LDU)</v>
          </cell>
        </row>
        <row r="310">
          <cell r="D310" t="str">
            <v>KKM/JKN/HSA/10-05-01/H/15/1583</v>
          </cell>
          <cell r="E310" t="str">
            <v>INFANT WARMER (RADIANT)</v>
          </cell>
          <cell r="F310" t="str">
            <v>DRAEGER</v>
          </cell>
          <cell r="G310" t="str">
            <v>RESUSCITAIRE RW-82</v>
          </cell>
          <cell r="H310" t="str">
            <v>AU 01148</v>
          </cell>
          <cell r="I310" t="str">
            <v>ANNUALLY</v>
          </cell>
          <cell r="J310">
            <v>45764</v>
          </cell>
          <cell r="K310"/>
          <cell r="L310"/>
          <cell r="M310"/>
          <cell r="N310" t="str">
            <v>JABATAN OBSTETRIK &amp; GINEKOLOGI</v>
          </cell>
          <cell r="O310" t="str">
            <v>Dewan Bersalin (LDU)</v>
          </cell>
        </row>
        <row r="311">
          <cell r="D311" t="str">
            <v>KKM/JKN/HSA/10-05-01/H/15/191</v>
          </cell>
          <cell r="E311" t="str">
            <v>LARYNGOSCOPE</v>
          </cell>
          <cell r="F311" t="str">
            <v>WELCH ALLYN</v>
          </cell>
          <cell r="G311" t="str">
            <v>01-6081,01-69214,01-69213 &amp;01-69212</v>
          </cell>
          <cell r="H311" t="str">
            <v>60813</v>
          </cell>
          <cell r="I311" t="str">
            <v>ANNUALLY</v>
          </cell>
          <cell r="J311">
            <v>45848</v>
          </cell>
          <cell r="K311"/>
          <cell r="L311"/>
          <cell r="M311"/>
          <cell r="N311" t="str">
            <v>JABATAN OBSTETRIK &amp; GINEKOLOGI</v>
          </cell>
          <cell r="O311" t="str">
            <v>Dewan Bersalin (LDU)</v>
          </cell>
        </row>
        <row r="312">
          <cell r="D312" t="str">
            <v>KKM/JKN/HSA/10-05-01/H/15/192</v>
          </cell>
          <cell r="E312" t="str">
            <v>LARYNGOSCOPE</v>
          </cell>
          <cell r="F312" t="str">
            <v>WELCH ALLYN</v>
          </cell>
          <cell r="G312" t="str">
            <v>01-6081,01-69214,01-69213 &amp;01-69212</v>
          </cell>
          <cell r="H312" t="str">
            <v>N/A</v>
          </cell>
          <cell r="I312" t="str">
            <v>ANNUALLY</v>
          </cell>
          <cell r="J312">
            <v>45848</v>
          </cell>
          <cell r="K312"/>
          <cell r="L312"/>
          <cell r="M312"/>
          <cell r="N312" t="str">
            <v>JABATAN OBSTETRIK &amp; GINEKOLOGI</v>
          </cell>
          <cell r="O312" t="str">
            <v>Dewan Bersalin (LDU)</v>
          </cell>
        </row>
        <row r="313">
          <cell r="D313" t="str">
            <v>KKM/JKN/HSA/10-05-01/H/15/2111</v>
          </cell>
          <cell r="E313" t="str">
            <v>PATIENT MONITORING EQUIP.(AUTOMATIC MULTIPARAMETER)</v>
          </cell>
          <cell r="F313" t="str">
            <v>MINDRAY</v>
          </cell>
          <cell r="G313" t="str">
            <v>IMEC 12</v>
          </cell>
          <cell r="H313" t="str">
            <v>EV 45011622</v>
          </cell>
          <cell r="I313" t="str">
            <v>ANNUALLY</v>
          </cell>
          <cell r="J313">
            <v>45856</v>
          </cell>
          <cell r="K313"/>
          <cell r="L313"/>
          <cell r="M313"/>
          <cell r="N313" t="str">
            <v>JABATAN OBSTETRIK &amp; GINEKOLOGI</v>
          </cell>
          <cell r="O313" t="str">
            <v>Dewan Bersalin (LDU)</v>
          </cell>
        </row>
        <row r="314">
          <cell r="D314" t="str">
            <v>KKM/JKN/HSA/10-05-01/H/15/2118</v>
          </cell>
          <cell r="E314" t="str">
            <v>PATIENT MONITORING EQUIP.(AUTOMATIC MULTIPARAMETER)</v>
          </cell>
          <cell r="F314" t="str">
            <v>MINDRAY</v>
          </cell>
          <cell r="G314" t="str">
            <v>IMEC 12</v>
          </cell>
          <cell r="H314" t="str">
            <v>EV 45011621</v>
          </cell>
          <cell r="I314" t="str">
            <v>ANNUALLY</v>
          </cell>
          <cell r="J314">
            <v>45856</v>
          </cell>
          <cell r="K314"/>
          <cell r="L314"/>
          <cell r="M314"/>
          <cell r="N314" t="str">
            <v>JABATAN OBSTETRIK &amp; GINEKOLOGI</v>
          </cell>
          <cell r="O314" t="str">
            <v>Dewan Bersalin (LDU)</v>
          </cell>
        </row>
        <row r="315">
          <cell r="D315" t="str">
            <v>KKM/JKN/HSA/10-05-01/H/15/2119</v>
          </cell>
          <cell r="E315" t="str">
            <v>PATIENT MONITORING EQUIP.(AUTOMATIC MULTIPARAMETER)</v>
          </cell>
          <cell r="F315" t="str">
            <v>MINDRAY</v>
          </cell>
          <cell r="G315" t="str">
            <v>IMEC 12</v>
          </cell>
          <cell r="H315" t="str">
            <v>EV 4501123</v>
          </cell>
          <cell r="I315" t="str">
            <v>ANNUALLY</v>
          </cell>
          <cell r="J315">
            <v>45856</v>
          </cell>
          <cell r="K315"/>
          <cell r="L315"/>
          <cell r="M315"/>
          <cell r="N315" t="str">
            <v>JABATAN OBSTETRIK &amp; GINEKOLOGI</v>
          </cell>
          <cell r="O315" t="str">
            <v>Dewan Bersalin (LDU)</v>
          </cell>
        </row>
        <row r="316">
          <cell r="D316" t="str">
            <v>KKM/JKN/HSA/10-05-01/H/15/2120</v>
          </cell>
          <cell r="E316" t="str">
            <v>PATIENT MONITORING EQUIP.(AUTOMATIC MULTIPARAMETER)</v>
          </cell>
          <cell r="F316" t="str">
            <v>MINDRAY</v>
          </cell>
          <cell r="G316" t="str">
            <v>IMEC 12</v>
          </cell>
          <cell r="H316" t="str">
            <v>EV 45011624</v>
          </cell>
          <cell r="I316" t="str">
            <v>ANNUALLY</v>
          </cell>
          <cell r="J316">
            <v>45856</v>
          </cell>
          <cell r="K316"/>
          <cell r="L316"/>
          <cell r="M316"/>
          <cell r="N316" t="str">
            <v>JABATAN OBSTETRIK &amp; GINEKOLOGI</v>
          </cell>
          <cell r="O316" t="str">
            <v>Dewan Bersalin (LDU)</v>
          </cell>
        </row>
        <row r="317">
          <cell r="D317" t="str">
            <v>KKM/JKN/HSA/10-05-01/H/15/2233</v>
          </cell>
          <cell r="E317" t="str">
            <v>SYRINGE INFUSION PUMP</v>
          </cell>
          <cell r="F317" t="str">
            <v>FRESENIUS KABI</v>
          </cell>
          <cell r="G317" t="str">
            <v>INJECTOMAT AGILIA</v>
          </cell>
          <cell r="H317" t="str">
            <v>018030 / 22233968</v>
          </cell>
          <cell r="I317" t="str">
            <v>ANNUALLY</v>
          </cell>
          <cell r="J317">
            <v>45894</v>
          </cell>
          <cell r="K317"/>
          <cell r="L317"/>
          <cell r="M317"/>
          <cell r="N317" t="str">
            <v>JABATAN OBSTETRIK &amp; GINEKOLOGI</v>
          </cell>
          <cell r="O317" t="str">
            <v>Dewan Bersalin (LDU)</v>
          </cell>
        </row>
        <row r="318">
          <cell r="D318" t="str">
            <v>KKM/JKN/HSA/10-05-01/H/15/2234</v>
          </cell>
          <cell r="E318" t="str">
            <v>SYRINGE INFUSION PUMP</v>
          </cell>
          <cell r="F318" t="str">
            <v>FRESENIUS KABI</v>
          </cell>
          <cell r="G318" t="str">
            <v>INJECTOMAT AGILIA</v>
          </cell>
          <cell r="H318" t="str">
            <v>018030 / 22233971</v>
          </cell>
          <cell r="I318" t="str">
            <v>ANNUALLY</v>
          </cell>
          <cell r="J318">
            <v>45894</v>
          </cell>
          <cell r="K318"/>
          <cell r="L318"/>
          <cell r="M318"/>
          <cell r="N318" t="str">
            <v>JABATAN OBSTETRIK &amp; GINEKOLOGI</v>
          </cell>
          <cell r="O318" t="str">
            <v>Dewan Bersalin (LDU)</v>
          </cell>
        </row>
        <row r="319">
          <cell r="D319" t="str">
            <v>KKM/JKN/HSA/10-05-01/H/15/2235</v>
          </cell>
          <cell r="E319" t="str">
            <v>SYRINGE INFUSION PUMP</v>
          </cell>
          <cell r="F319" t="str">
            <v>FRESENIUS KABI</v>
          </cell>
          <cell r="G319" t="str">
            <v>INJECTOMAT AGILIA</v>
          </cell>
          <cell r="H319" t="str">
            <v>018030 / 22233939</v>
          </cell>
          <cell r="I319" t="str">
            <v>ANNUALLY</v>
          </cell>
          <cell r="J319">
            <v>45894</v>
          </cell>
          <cell r="K319"/>
          <cell r="L319"/>
          <cell r="M319"/>
          <cell r="N319" t="str">
            <v>JABATAN OBSTETRIK &amp; GINEKOLOGI</v>
          </cell>
          <cell r="O319" t="str">
            <v>Dewan Bersalin (LDU)</v>
          </cell>
        </row>
        <row r="320">
          <cell r="D320" t="str">
            <v>KKM/JKN/HSA/10-05-01/H/15/2236</v>
          </cell>
          <cell r="E320" t="str">
            <v>SYRINGE INFUSION PUMP</v>
          </cell>
          <cell r="F320" t="str">
            <v>FRESENIUS KABI</v>
          </cell>
          <cell r="G320" t="str">
            <v>INJECTOMAT AGILIA</v>
          </cell>
          <cell r="H320" t="str">
            <v>018030/22233940</v>
          </cell>
          <cell r="I320" t="str">
            <v>ANNUALLY</v>
          </cell>
          <cell r="J320">
            <v>45862</v>
          </cell>
          <cell r="K320"/>
          <cell r="L320"/>
          <cell r="M320"/>
          <cell r="N320" t="str">
            <v>JABATAN OBSTETRIK &amp; GINEKOLOGI</v>
          </cell>
          <cell r="O320" t="str">
            <v>Dewan Bersalin (LDU)</v>
          </cell>
        </row>
        <row r="321">
          <cell r="D321" t="str">
            <v>KKM/JKN/HSA/10-05-01/H/15/2237</v>
          </cell>
          <cell r="E321" t="str">
            <v>SYRINGE INFUSION PUMP</v>
          </cell>
          <cell r="F321" t="str">
            <v>FRESENIUS KABI</v>
          </cell>
          <cell r="G321" t="str">
            <v>INJECTOMAT AGILIA</v>
          </cell>
          <cell r="H321" t="str">
            <v>018030/22233970</v>
          </cell>
          <cell r="I321" t="str">
            <v>ANNUALLY</v>
          </cell>
          <cell r="J321">
            <v>45853</v>
          </cell>
          <cell r="K321"/>
          <cell r="L321"/>
          <cell r="M321"/>
          <cell r="N321" t="str">
            <v>JABATAN OBSTETRIK &amp; GINEKOLOGI</v>
          </cell>
          <cell r="O321" t="str">
            <v>Dewan Bersalin (LDU)</v>
          </cell>
        </row>
        <row r="322">
          <cell r="D322" t="str">
            <v>KKM/JKN/HSA/10-05-01/H/15/2436</v>
          </cell>
          <cell r="E322" t="str">
            <v>PATIENT WARMER (BLANKET)</v>
          </cell>
          <cell r="F322" t="str">
            <v>CARE ESSENTIAL PTE</v>
          </cell>
          <cell r="G322" t="str">
            <v>COCOON CWS4000</v>
          </cell>
          <cell r="H322" t="str">
            <v>CWS4-2356-14</v>
          </cell>
          <cell r="I322" t="str">
            <v>ANNUALLY</v>
          </cell>
          <cell r="J322">
            <v>45839</v>
          </cell>
          <cell r="K322"/>
          <cell r="L322"/>
          <cell r="M322"/>
          <cell r="N322" t="str">
            <v>JABATAN OBSTETRIK &amp; GINEKOLOGI</v>
          </cell>
          <cell r="O322" t="str">
            <v>Dewan Bersalin (LDU)</v>
          </cell>
        </row>
        <row r="323">
          <cell r="D323" t="str">
            <v>KKM/JKN/HSA/10-05-01/H/15/4236</v>
          </cell>
          <cell r="E323" t="str">
            <v>PUMP BREAST ELECTRIC</v>
          </cell>
          <cell r="F323" t="str">
            <v>MEDELA</v>
          </cell>
          <cell r="G323" t="str">
            <v>MEDELA LACTINA ELECTRIC PLUS</v>
          </cell>
          <cell r="H323" t="str">
            <v>668862</v>
          </cell>
          <cell r="I323" t="str">
            <v>ANNUALLY</v>
          </cell>
          <cell r="J323">
            <v>45699</v>
          </cell>
          <cell r="K323"/>
          <cell r="L323"/>
          <cell r="M323"/>
          <cell r="N323" t="str">
            <v>JABATAN OBSTETRIK &amp; GINEKOLOGI</v>
          </cell>
          <cell r="O323" t="str">
            <v>Dewan Bersalin (LDU)</v>
          </cell>
        </row>
        <row r="324">
          <cell r="D324" t="str">
            <v>KKM/JKN/HSA/10-05-01/H/15/4914</v>
          </cell>
          <cell r="E324" t="str">
            <v>BLOOD FLUID WARMER</v>
          </cell>
          <cell r="F324" t="str">
            <v>BARKEY</v>
          </cell>
          <cell r="G324" t="str">
            <v>AUTOCONTROL 3XPT</v>
          </cell>
          <cell r="H324" t="str">
            <v>1207676</v>
          </cell>
          <cell r="I324" t="str">
            <v>ANNUALLY</v>
          </cell>
          <cell r="J324">
            <v>45875</v>
          </cell>
          <cell r="K324"/>
          <cell r="L324"/>
          <cell r="M324"/>
          <cell r="N324" t="str">
            <v>JABATAN OBSTETRIK &amp; GINEKOLOGI</v>
          </cell>
          <cell r="O324" t="str">
            <v>Dewan Bersalin (LDU)</v>
          </cell>
        </row>
        <row r="325">
          <cell r="D325" t="str">
            <v>KKM/JKN/HSA/10-05-01/H/15/5085</v>
          </cell>
          <cell r="E325" t="str">
            <v>ELECTROCARDIOGRAPH</v>
          </cell>
          <cell r="F325" t="str">
            <v>GE HEALTHCARE</v>
          </cell>
          <cell r="G325" t="str">
            <v>MAC400</v>
          </cell>
          <cell r="H325" t="str">
            <v>SCT11496321PA</v>
          </cell>
          <cell r="I325" t="str">
            <v>ANNUALLY</v>
          </cell>
          <cell r="J325">
            <v>46029</v>
          </cell>
          <cell r="K325"/>
          <cell r="L325"/>
          <cell r="M325"/>
          <cell r="N325" t="str">
            <v>JABATAN OBSTETRIK &amp; GINEKOLOGI</v>
          </cell>
          <cell r="O325" t="str">
            <v>Dewan Bersalin (LDU)</v>
          </cell>
        </row>
        <row r="326">
          <cell r="D326" t="str">
            <v>KKM/JKN/HSA/10-05-01/H/15/524</v>
          </cell>
          <cell r="E326" t="str">
            <v>INFANT WARMER (RADIANT)</v>
          </cell>
          <cell r="F326" t="str">
            <v>FISHER &amp; PAYKEL HEALTHCARE</v>
          </cell>
          <cell r="G326" t="str">
            <v>IW910/ 920 MOBILE INFANT WARMER</v>
          </cell>
          <cell r="H326" t="str">
            <v>130918000817</v>
          </cell>
          <cell r="I326" t="str">
            <v>ANNUALLY</v>
          </cell>
          <cell r="J326">
            <v>45783</v>
          </cell>
          <cell r="K326"/>
          <cell r="L326"/>
          <cell r="M326"/>
          <cell r="N326" t="str">
            <v>JABATAN OBSTETRIK &amp; GINEKOLOGI</v>
          </cell>
          <cell r="O326" t="str">
            <v>Dewan Bersalin (LDU)</v>
          </cell>
        </row>
        <row r="327">
          <cell r="D327" t="str">
            <v>KKM/JKN/HSA/10-05-01/H/15/525</v>
          </cell>
          <cell r="E327" t="str">
            <v>INFANT WARMER (RADIANT)</v>
          </cell>
          <cell r="F327" t="str">
            <v>FISHER &amp; PAYKEL HEALTHCARE</v>
          </cell>
          <cell r="G327" t="str">
            <v>IW910/ 920 MOBILE INFANT WARMER</v>
          </cell>
          <cell r="H327" t="str">
            <v>130919000831</v>
          </cell>
          <cell r="I327" t="str">
            <v>ANNUALLY</v>
          </cell>
          <cell r="J327">
            <v>45783</v>
          </cell>
          <cell r="K327"/>
          <cell r="L327"/>
          <cell r="M327"/>
          <cell r="N327" t="str">
            <v>JABATAN OBSTETRIK &amp; GINEKOLOGI</v>
          </cell>
          <cell r="O327" t="str">
            <v>Dewan Bersalin (LDU)</v>
          </cell>
        </row>
        <row r="328">
          <cell r="D328" t="str">
            <v>KKM/JKN/HSA/10-05-01/H/15/526</v>
          </cell>
          <cell r="E328" t="str">
            <v>INFANT WARMER (RADIANT)</v>
          </cell>
          <cell r="F328" t="str">
            <v>FISHER &amp; PAYKEL HEALTHCARE</v>
          </cell>
          <cell r="G328" t="str">
            <v>IW910/ 920 MOBILE INFANT WARMER</v>
          </cell>
          <cell r="H328" t="str">
            <v>130916000808</v>
          </cell>
          <cell r="I328" t="str">
            <v>ANNUALLY</v>
          </cell>
          <cell r="J328">
            <v>45783</v>
          </cell>
          <cell r="K328"/>
          <cell r="L328"/>
          <cell r="M328"/>
          <cell r="N328" t="str">
            <v>JABATAN OBSTETRIK &amp; GINEKOLOGI</v>
          </cell>
          <cell r="O328" t="str">
            <v>Dewan Bersalin (LDU)</v>
          </cell>
        </row>
        <row r="329">
          <cell r="D329" t="str">
            <v>KKM/JKN/HSA/10-05-01/H/15/528</v>
          </cell>
          <cell r="E329" t="str">
            <v>INFANT WARMER (RADIANT)</v>
          </cell>
          <cell r="F329" t="str">
            <v>FISHER &amp; PAYKEL HEALTHCARE</v>
          </cell>
          <cell r="G329" t="str">
            <v>IW910/ 920 MOBILE INFANT WARMER</v>
          </cell>
          <cell r="H329" t="str">
            <v>130919000830</v>
          </cell>
          <cell r="I329" t="str">
            <v>ANNUALLY</v>
          </cell>
          <cell r="J329">
            <v>45797</v>
          </cell>
          <cell r="K329"/>
          <cell r="L329"/>
          <cell r="M329"/>
          <cell r="N329" t="str">
            <v>JABATAN OBSTETRIK &amp; GINEKOLOGI</v>
          </cell>
          <cell r="O329" t="str">
            <v>Dewan Bersalin (LDU)</v>
          </cell>
        </row>
        <row r="330">
          <cell r="D330" t="str">
            <v>KKM/JKN/HSA/10-05-01/H/15/531</v>
          </cell>
          <cell r="E330" t="str">
            <v>INFANT WARMER (RADIANT)</v>
          </cell>
          <cell r="F330" t="str">
            <v>FISHER &amp; PAYKEL HEALTHCARE</v>
          </cell>
          <cell r="G330" t="str">
            <v>IW910/ 920 MOBILE INFANT WARMER</v>
          </cell>
          <cell r="H330" t="str">
            <v>130918000820</v>
          </cell>
          <cell r="I330" t="str">
            <v>ANNUALLY</v>
          </cell>
          <cell r="J330">
            <v>45797</v>
          </cell>
          <cell r="K330"/>
          <cell r="L330"/>
          <cell r="M330"/>
          <cell r="N330" t="str">
            <v>JABATAN OBSTETRIK &amp; GINEKOLOGI</v>
          </cell>
          <cell r="O330" t="str">
            <v>Dewan Bersalin (LDU)</v>
          </cell>
        </row>
        <row r="331">
          <cell r="D331" t="str">
            <v>KKM/JKN/HSA/10-05-01/H/15/532</v>
          </cell>
          <cell r="E331" t="str">
            <v>INFANT WARMER (RADIANT)</v>
          </cell>
          <cell r="F331" t="str">
            <v>FISHER &amp; PAYKEL HEALTHCARE</v>
          </cell>
          <cell r="G331" t="str">
            <v>IW910/ 920 MOBILE INFANT WARMER</v>
          </cell>
          <cell r="H331" t="str">
            <v>130916000807</v>
          </cell>
          <cell r="I331" t="str">
            <v>ANNUALLY</v>
          </cell>
          <cell r="J331">
            <v>45797</v>
          </cell>
          <cell r="K331"/>
          <cell r="L331"/>
          <cell r="M331"/>
          <cell r="N331" t="str">
            <v>JABATAN OBSTETRIK &amp; GINEKOLOGI</v>
          </cell>
          <cell r="O331" t="str">
            <v>Dewan Bersalin (LDU)</v>
          </cell>
        </row>
        <row r="332">
          <cell r="D332" t="str">
            <v>KKM/JKN/HSA/10-05-01/H/15/536</v>
          </cell>
          <cell r="E332" t="str">
            <v>INFANT WARMER (RADIANT)</v>
          </cell>
          <cell r="F332" t="str">
            <v>FISHER &amp; PAYKEL HEALTHCARE</v>
          </cell>
          <cell r="G332" t="str">
            <v>IW910/ 920 MOBILE INFANT WARMER</v>
          </cell>
          <cell r="H332" t="str">
            <v>130916000815</v>
          </cell>
          <cell r="I332" t="str">
            <v>ANNUALLY</v>
          </cell>
          <cell r="J332">
            <v>45807</v>
          </cell>
          <cell r="K332"/>
          <cell r="L332"/>
          <cell r="M332"/>
          <cell r="N332" t="str">
            <v>JABATAN OBSTETRIK &amp; GINEKOLOGI</v>
          </cell>
          <cell r="O332" t="str">
            <v>Dewan Bersalin (LDU)</v>
          </cell>
        </row>
        <row r="333">
          <cell r="D333" t="str">
            <v>KKM/JKN/HSA/10-05-01/H/15/537</v>
          </cell>
          <cell r="E333" t="str">
            <v>INFANT WARMER (RADIANT)</v>
          </cell>
          <cell r="F333" t="str">
            <v>FISHER &amp; PAYKEL HEALTHCARE</v>
          </cell>
          <cell r="G333" t="str">
            <v>IW910/ 920 MOBILE INFANT WARMER</v>
          </cell>
          <cell r="H333" t="str">
            <v>130918000816</v>
          </cell>
          <cell r="I333" t="str">
            <v>ANNUALLY</v>
          </cell>
          <cell r="J333">
            <v>45807</v>
          </cell>
          <cell r="K333"/>
          <cell r="L333"/>
          <cell r="M333"/>
          <cell r="N333" t="str">
            <v>JABATAN OBSTETRIK &amp; GINEKOLOGI</v>
          </cell>
          <cell r="O333" t="str">
            <v>Dewan Bersalin (LDU)</v>
          </cell>
        </row>
        <row r="334">
          <cell r="D334" t="str">
            <v>KKM/JKN/HSA/10-05-01/H/15/538</v>
          </cell>
          <cell r="E334" t="str">
            <v>INFANT WARMER (RADIANT)</v>
          </cell>
          <cell r="F334" t="str">
            <v>FISHER &amp; PAYKEL HEALTHCARE</v>
          </cell>
          <cell r="G334" t="str">
            <v>IW910/ 920 MOBILE INFANT WARMER</v>
          </cell>
          <cell r="H334" t="str">
            <v>130916000805</v>
          </cell>
          <cell r="I334" t="str">
            <v>ANNUALLY</v>
          </cell>
          <cell r="J334">
            <v>45777</v>
          </cell>
          <cell r="K334"/>
          <cell r="L334"/>
          <cell r="M334"/>
          <cell r="N334" t="str">
            <v>JABATAN OBSTETRIK &amp; GINEKOLOGI</v>
          </cell>
          <cell r="O334" t="str">
            <v>Dewan Bersalin (LDU)</v>
          </cell>
        </row>
        <row r="335">
          <cell r="D335" t="str">
            <v>KKM/JKN/HSA/10-05-01/H/15/539</v>
          </cell>
          <cell r="E335" t="str">
            <v>INFANT WARMER (RADIANT)</v>
          </cell>
          <cell r="F335" t="str">
            <v>FISHER &amp; PAYKEL HEALTHCARE</v>
          </cell>
          <cell r="G335" t="str">
            <v>IW910/ 920 MOBILE INFANT WARMER</v>
          </cell>
          <cell r="H335" t="str">
            <v>130919000829</v>
          </cell>
          <cell r="I335" t="str">
            <v>ANNUALLY</v>
          </cell>
          <cell r="J335">
            <v>45772</v>
          </cell>
          <cell r="K335"/>
          <cell r="L335"/>
          <cell r="M335"/>
          <cell r="N335" t="str">
            <v>JABATAN OBSTETRIK &amp; GINEKOLOGI</v>
          </cell>
          <cell r="O335" t="str">
            <v>Dewan Bersalin (LDU)</v>
          </cell>
        </row>
        <row r="336">
          <cell r="D336" t="str">
            <v>KKM/JKN/HSA/10-05-01/H/15/540</v>
          </cell>
          <cell r="E336" t="str">
            <v>INFANT WARMER (RADIANT)</v>
          </cell>
          <cell r="F336" t="str">
            <v>FISHER &amp; PAYKEL HEALTHCARE</v>
          </cell>
          <cell r="G336" t="str">
            <v>IW910/ 920 MOBILE INFANT WARMER</v>
          </cell>
          <cell r="H336" t="str">
            <v>130918000825</v>
          </cell>
          <cell r="I336" t="str">
            <v>ANNUALLY</v>
          </cell>
          <cell r="J336">
            <v>45771</v>
          </cell>
          <cell r="K336"/>
          <cell r="L336"/>
          <cell r="M336"/>
          <cell r="N336" t="str">
            <v>JABATAN OBSTETRIK &amp; GINEKOLOGI</v>
          </cell>
          <cell r="O336" t="str">
            <v>Dewan Bersalin (LDU)</v>
          </cell>
        </row>
        <row r="337">
          <cell r="D337" t="str">
            <v>KKM/JKN/HSA/10-05-01/H/15/541</v>
          </cell>
          <cell r="E337" t="str">
            <v>INFANT WARMER (RADIANT)</v>
          </cell>
          <cell r="F337" t="str">
            <v>FISHER &amp; PAYKEL HEALTHCARE</v>
          </cell>
          <cell r="G337" t="str">
            <v>IW910/ 920 MOBILE INFANT WARMER</v>
          </cell>
          <cell r="H337" t="str">
            <v>130919000833</v>
          </cell>
          <cell r="I337" t="str">
            <v>ANNUALLY</v>
          </cell>
          <cell r="J337">
            <v>45771</v>
          </cell>
          <cell r="K337"/>
          <cell r="L337"/>
          <cell r="M337"/>
          <cell r="N337" t="str">
            <v>JABATAN OBSTETRIK &amp; GINEKOLOGI</v>
          </cell>
          <cell r="O337" t="str">
            <v>Dewan Bersalin (LDU)</v>
          </cell>
        </row>
        <row r="338">
          <cell r="D338" t="str">
            <v>KKM/JKN/HSA/10-05-01/H/15/542</v>
          </cell>
          <cell r="E338" t="str">
            <v>INFANT WARMER (RADIANT)</v>
          </cell>
          <cell r="F338" t="str">
            <v>FISHER &amp; PAYKEL HEALTHCARE</v>
          </cell>
          <cell r="G338" t="str">
            <v>IW910/ 920 MOBILE INFANT WARMER</v>
          </cell>
          <cell r="H338" t="str">
            <v>130919000828</v>
          </cell>
          <cell r="I338" t="str">
            <v>ANNUALLY</v>
          </cell>
          <cell r="J338">
            <v>45771</v>
          </cell>
          <cell r="K338"/>
          <cell r="L338"/>
          <cell r="M338"/>
          <cell r="N338" t="str">
            <v>JABATAN OBSTETRIK &amp; GINEKOLOGI</v>
          </cell>
          <cell r="O338" t="str">
            <v>Dewan Bersalin (LDU)</v>
          </cell>
        </row>
        <row r="339">
          <cell r="D339" t="str">
            <v>KKM/JKN/HSA/10-05-01/H/15/555</v>
          </cell>
          <cell r="E339" t="str">
            <v>INFANT INCUBATOR</v>
          </cell>
          <cell r="F339" t="str">
            <v>DRAEGER</v>
          </cell>
          <cell r="G339" t="str">
            <v>ISOLETTE TI500 W BABYPAC</v>
          </cell>
          <cell r="H339" t="str">
            <v>AU 09341</v>
          </cell>
          <cell r="I339" t="str">
            <v>SEMI ANNUALLY</v>
          </cell>
          <cell r="J339">
            <v>45824</v>
          </cell>
          <cell r="K339">
            <v>46006</v>
          </cell>
          <cell r="L339"/>
          <cell r="M339"/>
          <cell r="N339" t="str">
            <v>JABATAN OBSTETRIK &amp; GINEKOLOGI</v>
          </cell>
          <cell r="O339" t="str">
            <v>Dewan Bersalin (LDU)</v>
          </cell>
        </row>
        <row r="340">
          <cell r="D340" t="str">
            <v>KKM/JKN/HSA/10-05-01/H/15/556</v>
          </cell>
          <cell r="E340" t="str">
            <v>INFANT INCUBATOR</v>
          </cell>
          <cell r="F340" t="str">
            <v>DRAEGER</v>
          </cell>
          <cell r="G340" t="str">
            <v>ISOLETTE TI500 W BABYPAC</v>
          </cell>
          <cell r="H340" t="str">
            <v>AU 09339</v>
          </cell>
          <cell r="I340" t="str">
            <v>SEMI ANNUALLY</v>
          </cell>
          <cell r="J340">
            <v>45824</v>
          </cell>
          <cell r="K340">
            <v>46006</v>
          </cell>
          <cell r="L340"/>
          <cell r="M340"/>
          <cell r="N340" t="str">
            <v>JABATAN OBSTETRIK &amp; GINEKOLOGI</v>
          </cell>
          <cell r="O340" t="str">
            <v>Dewan Bersalin (LDU)</v>
          </cell>
        </row>
        <row r="341">
          <cell r="D341" t="str">
            <v>KKM/JKN/HSA/10-05-01/H/15/582</v>
          </cell>
          <cell r="E341" t="str">
            <v>PATIENT MONITORING EQUIP.(AUTOMATIC MULTIPARAMETER)</v>
          </cell>
          <cell r="F341" t="str">
            <v>MINDRAY</v>
          </cell>
          <cell r="G341" t="str">
            <v>BENEVIEW T1</v>
          </cell>
          <cell r="H341" t="str">
            <v>FB51008815</v>
          </cell>
          <cell r="I341" t="str">
            <v>ANNUALLY</v>
          </cell>
          <cell r="J341">
            <v>45847</v>
          </cell>
          <cell r="K341"/>
          <cell r="L341"/>
          <cell r="M341"/>
          <cell r="N341" t="str">
            <v>JABATAN OBSTETRIK &amp; GINEKOLOGI</v>
          </cell>
          <cell r="O341" t="str">
            <v>Dewan Bersalin (LDU)</v>
          </cell>
        </row>
        <row r="342">
          <cell r="D342" t="str">
            <v>KKM/JKN/HSA/10-05-01/H/15/594</v>
          </cell>
          <cell r="E342" t="str">
            <v>FETAL HEART MONITOR (DAPTONE)</v>
          </cell>
          <cell r="F342" t="str">
            <v>GE HEALTHCARE</v>
          </cell>
          <cell r="G342" t="str">
            <v>COROMETRICS 172</v>
          </cell>
          <cell r="H342" t="str">
            <v>SAS 13360951 PA</v>
          </cell>
          <cell r="I342" t="str">
            <v>ANNUALLY</v>
          </cell>
          <cell r="J342">
            <v>45714</v>
          </cell>
          <cell r="K342"/>
          <cell r="L342"/>
          <cell r="M342"/>
          <cell r="N342" t="str">
            <v>JABATAN OBSTETRIK &amp; GINEKOLOGI</v>
          </cell>
          <cell r="O342" t="str">
            <v>Dewan Bersalin (LDU)</v>
          </cell>
        </row>
        <row r="343">
          <cell r="D343" t="str">
            <v>KKM/JKN/HSA/10-05-01/H/15/761</v>
          </cell>
          <cell r="E343" t="str">
            <v>FETAL HEART MONITOR (CTG)</v>
          </cell>
          <cell r="F343" t="str">
            <v>GE HEALTHCARE</v>
          </cell>
          <cell r="G343" t="str">
            <v>COROMETRICS 174</v>
          </cell>
          <cell r="H343" t="str">
            <v>SAS 13340753 PA</v>
          </cell>
          <cell r="I343" t="str">
            <v>ANNUALLY</v>
          </cell>
          <cell r="J343">
            <v>45709</v>
          </cell>
          <cell r="K343"/>
          <cell r="L343"/>
          <cell r="M343"/>
          <cell r="N343" t="str">
            <v>JABATAN OBSTETRIK &amp; GINEKOLOGI</v>
          </cell>
          <cell r="O343" t="str">
            <v>Dewan Bersalin (LDU)</v>
          </cell>
        </row>
        <row r="344">
          <cell r="D344" t="str">
            <v>KKM/JKN/HSA/10-05-01/H/15/765</v>
          </cell>
          <cell r="E344" t="str">
            <v>FETAL HEART MONITOR (CTG)</v>
          </cell>
          <cell r="F344" t="str">
            <v>GE HEALTHCARE</v>
          </cell>
          <cell r="G344" t="str">
            <v>COROMETRICS 174</v>
          </cell>
          <cell r="H344" t="str">
            <v>SAS 13300641 PA</v>
          </cell>
          <cell r="I344" t="str">
            <v>ANNUALLY</v>
          </cell>
          <cell r="J344">
            <v>45708</v>
          </cell>
          <cell r="K344"/>
          <cell r="L344"/>
          <cell r="M344"/>
          <cell r="N344" t="str">
            <v>JABATAN OBSTETRIK &amp; GINEKOLOGI</v>
          </cell>
          <cell r="O344" t="str">
            <v>Dewan Bersalin (LDU)</v>
          </cell>
        </row>
        <row r="345">
          <cell r="D345" t="str">
            <v>KKM/JKN/HSA/10-05-01/H/15/769</v>
          </cell>
          <cell r="E345" t="str">
            <v>FETAL HEART MONITOR (DAPTONE)</v>
          </cell>
          <cell r="F345" t="str">
            <v>GE HEALTHCARE</v>
          </cell>
          <cell r="G345" t="str">
            <v>COROMETRICS 174</v>
          </cell>
          <cell r="H345" t="str">
            <v>SAS 13350785 PA</v>
          </cell>
          <cell r="I345" t="str">
            <v>ANNUALLY</v>
          </cell>
          <cell r="J345">
            <v>45707</v>
          </cell>
          <cell r="K345"/>
          <cell r="L345"/>
          <cell r="M345"/>
          <cell r="N345" t="str">
            <v>JABATAN OBSTETRIK &amp; GINEKOLOGI</v>
          </cell>
          <cell r="O345" t="str">
            <v>Dewan Bersalin (LDU)</v>
          </cell>
        </row>
        <row r="346">
          <cell r="D346" t="str">
            <v>KKM/JKN/HSA/10-05-01/H/15/941</v>
          </cell>
          <cell r="E346" t="str">
            <v>SYRINGE INFUSION PUMP</v>
          </cell>
          <cell r="F346" t="str">
            <v>FRESENIUS KABI</v>
          </cell>
          <cell r="G346" t="str">
            <v>INJECTOMAT AGILIA TIVA GB</v>
          </cell>
          <cell r="H346" t="str">
            <v>018230 / 22231807</v>
          </cell>
          <cell r="I346" t="str">
            <v>ANNUALLY</v>
          </cell>
          <cell r="J346">
            <v>45754</v>
          </cell>
          <cell r="K346"/>
          <cell r="L346"/>
          <cell r="M346"/>
          <cell r="N346" t="str">
            <v>JABATAN OBSTETRIK &amp; GINEKOLOGI</v>
          </cell>
          <cell r="O346" t="str">
            <v>Dewan Bersalin (LDU)</v>
          </cell>
        </row>
        <row r="347">
          <cell r="D347" t="str">
            <v>KKM/JKN/HSA/10-05-01/H/16/83</v>
          </cell>
          <cell r="E347" t="str">
            <v>PULSE OXIMETER AND SIMULATOR</v>
          </cell>
          <cell r="F347" t="str">
            <v>MASIMO</v>
          </cell>
          <cell r="G347" t="str">
            <v>RADICAL 7TS</v>
          </cell>
          <cell r="H347" t="str">
            <v>DS-HH1000051595</v>
          </cell>
          <cell r="I347" t="str">
            <v>ANNUALLY</v>
          </cell>
          <cell r="J347">
            <v>45910</v>
          </cell>
          <cell r="K347"/>
          <cell r="L347"/>
          <cell r="M347"/>
          <cell r="N347" t="str">
            <v>JABATAN OBSTETRIK &amp; GINEKOLOGI</v>
          </cell>
          <cell r="O347" t="str">
            <v>Dewan Bersalin (LDU)</v>
          </cell>
        </row>
        <row r="348">
          <cell r="D348" t="str">
            <v>KKM/JKN/HSA/10-05-01/H/16/84</v>
          </cell>
          <cell r="E348" t="str">
            <v>PULSE OXIMETER AND SIMULATOR</v>
          </cell>
          <cell r="F348" t="str">
            <v>MASIMO</v>
          </cell>
          <cell r="G348" t="str">
            <v>RADICAL 7TS</v>
          </cell>
          <cell r="H348" t="str">
            <v>DS-236163/HH-1000059364</v>
          </cell>
          <cell r="I348" t="str">
            <v>ANNUALLY</v>
          </cell>
          <cell r="J348">
            <v>45910</v>
          </cell>
          <cell r="K348"/>
          <cell r="L348"/>
          <cell r="M348"/>
          <cell r="N348" t="str">
            <v>JABATAN OBSTETRIK &amp; GINEKOLOGI</v>
          </cell>
          <cell r="O348" t="str">
            <v>Dewan Bersalin (LDU)</v>
          </cell>
        </row>
        <row r="349">
          <cell r="D349" t="str">
            <v>KKM/JKN/HSA/10-05-01/H/16/85</v>
          </cell>
          <cell r="E349" t="str">
            <v>PULSE OXIMETER AND SIMULATOR</v>
          </cell>
          <cell r="F349" t="str">
            <v>MASIMO</v>
          </cell>
          <cell r="G349" t="str">
            <v>RADICAL 7TS</v>
          </cell>
          <cell r="H349" t="str">
            <v>DS-239958/HH-1000051583</v>
          </cell>
          <cell r="I349" t="str">
            <v>ANNUALLY</v>
          </cell>
          <cell r="J349">
            <v>45910</v>
          </cell>
          <cell r="K349"/>
          <cell r="L349"/>
          <cell r="M349"/>
          <cell r="N349" t="str">
            <v>JABATAN OBSTETRIK &amp; GINEKOLOGI</v>
          </cell>
          <cell r="O349" t="str">
            <v>Dewan Bersalin (LDU)</v>
          </cell>
        </row>
        <row r="350">
          <cell r="D350" t="str">
            <v>KKM/JKN/HSA/10-05-01/R/15/14846</v>
          </cell>
          <cell r="E350" t="str">
            <v>BLOOD PRESSURE MONITOR (SPHYGMOMANOMETER)</v>
          </cell>
          <cell r="F350" t="str">
            <v xml:space="preserve"> ANEROID DESK MODEL</v>
          </cell>
          <cell r="G350" t="str">
            <v xml:space="preserve">RIESTER RUDOLF </v>
          </cell>
          <cell r="H350" t="str">
            <v>160311437</v>
          </cell>
          <cell r="I350" t="str">
            <v>ANNUALLY</v>
          </cell>
          <cell r="J350">
            <v>45832</v>
          </cell>
          <cell r="K350"/>
          <cell r="L350"/>
          <cell r="M350"/>
          <cell r="N350" t="str">
            <v>JABATAN OBSTETRIK &amp; GINEKOLOGI</v>
          </cell>
          <cell r="O350" t="str">
            <v>Dewan Bersalin (LDU)</v>
          </cell>
        </row>
        <row r="351">
          <cell r="D351" t="str">
            <v>KKM/JKN/HSA/10-05-01/R/15/14847</v>
          </cell>
          <cell r="E351" t="str">
            <v>BLOOD PRESSURE MONITOR (SPHYGMOMANOMETER)</v>
          </cell>
          <cell r="F351" t="str">
            <v xml:space="preserve"> ANEROID DESK MODEL</v>
          </cell>
          <cell r="G351" t="str">
            <v xml:space="preserve">RIESTER RUDOLF </v>
          </cell>
          <cell r="H351" t="str">
            <v>150311421</v>
          </cell>
          <cell r="I351" t="str">
            <v>ANNUALLY</v>
          </cell>
          <cell r="J351">
            <v>45832</v>
          </cell>
          <cell r="K351"/>
          <cell r="L351"/>
          <cell r="M351"/>
          <cell r="N351" t="str">
            <v>JABATAN OBSTETRIK &amp; GINEKOLOGI</v>
          </cell>
          <cell r="O351" t="str">
            <v>Dewan Bersalin (LDU)</v>
          </cell>
        </row>
        <row r="352">
          <cell r="D352" t="str">
            <v>KKM/JKN/HSA/10-05-01/R/15/14848</v>
          </cell>
          <cell r="E352" t="str">
            <v>BLOOD PRESSURE MONITOR (SPHYGMOMANOMETER)</v>
          </cell>
          <cell r="F352" t="str">
            <v xml:space="preserve"> ANEROID DESK MODEL</v>
          </cell>
          <cell r="G352" t="str">
            <v xml:space="preserve">RIESTER RUDOLF </v>
          </cell>
          <cell r="H352" t="str">
            <v>150311415</v>
          </cell>
          <cell r="I352" t="str">
            <v>ANNUALLY</v>
          </cell>
          <cell r="J352">
            <v>45765</v>
          </cell>
          <cell r="K352"/>
          <cell r="L352"/>
          <cell r="M352"/>
          <cell r="N352" t="str">
            <v>JABATAN OBSTETRIK &amp; GINEKOLOGI</v>
          </cell>
          <cell r="O352" t="str">
            <v>Dewan Bersalin (LDU)</v>
          </cell>
        </row>
        <row r="353">
          <cell r="D353" t="str">
            <v>KKM/JKN/HSA/10-05-01/R/15/14849</v>
          </cell>
          <cell r="E353" t="str">
            <v>BLOOD PRESSURE MONITOR (SPHYGMOMANOMETER)</v>
          </cell>
          <cell r="F353" t="str">
            <v xml:space="preserve"> ANEROID DESK MODEL</v>
          </cell>
          <cell r="G353" t="str">
            <v xml:space="preserve">RIESTER RUDOLF </v>
          </cell>
          <cell r="H353" t="str">
            <v>150311430</v>
          </cell>
          <cell r="I353" t="str">
            <v>ANNUALLY</v>
          </cell>
          <cell r="J353">
            <v>45765</v>
          </cell>
          <cell r="K353"/>
          <cell r="L353"/>
          <cell r="M353"/>
          <cell r="N353" t="str">
            <v>JABATAN OBSTETRIK &amp; GINEKOLOGI</v>
          </cell>
          <cell r="O353" t="str">
            <v>Dewan Bersalin (LDU)</v>
          </cell>
        </row>
        <row r="354">
          <cell r="D354" t="str">
            <v>KKM/JKN/HSA/10-05-01/R/15/14852</v>
          </cell>
          <cell r="E354" t="str">
            <v>BLOOD PRESSURE MONITOR (SPHYGMOMANOMETER)</v>
          </cell>
          <cell r="F354" t="str">
            <v xml:space="preserve"> ANEROID DESK MODEL</v>
          </cell>
          <cell r="G354" t="str">
            <v xml:space="preserve">RIESTER RUDOLF </v>
          </cell>
          <cell r="H354" t="str">
            <v>150311432</v>
          </cell>
          <cell r="I354" t="str">
            <v>ANNUALLY</v>
          </cell>
          <cell r="J354">
            <v>45790</v>
          </cell>
          <cell r="K354"/>
          <cell r="L354"/>
          <cell r="M354"/>
          <cell r="N354" t="str">
            <v>JABATAN OBSTETRIK &amp; GINEKOLOGI</v>
          </cell>
          <cell r="O354" t="str">
            <v>Dewan Bersalin (LDU)</v>
          </cell>
        </row>
        <row r="355">
          <cell r="D355" t="str">
            <v>KKM/JKN/HSA/10-05-01/R/15/14853</v>
          </cell>
          <cell r="E355" t="str">
            <v>BLOOD PRESSURE MONITOR (SPHYGMOMANOMETER)</v>
          </cell>
          <cell r="F355" t="str">
            <v xml:space="preserve"> ANEROID DESK MODEL</v>
          </cell>
          <cell r="G355" t="str">
            <v xml:space="preserve">RIESTER RUDOLF </v>
          </cell>
          <cell r="H355" t="str">
            <v>150311404</v>
          </cell>
          <cell r="I355" t="str">
            <v>ANNUALLY</v>
          </cell>
          <cell r="J355">
            <v>45790</v>
          </cell>
          <cell r="K355"/>
          <cell r="L355"/>
          <cell r="M355"/>
          <cell r="N355" t="str">
            <v>JABATAN OBSTETRIK &amp; GINEKOLOGI</v>
          </cell>
          <cell r="O355" t="str">
            <v>Dewan Bersalin (LDU)</v>
          </cell>
        </row>
        <row r="356">
          <cell r="D356" t="str">
            <v>KKM/JKN/HSA/10-05-01/R/15/14854</v>
          </cell>
          <cell r="E356" t="str">
            <v>BLOOD PRESSURE MONITOR (SPHYGMOMANOMETER)</v>
          </cell>
          <cell r="F356" t="str">
            <v xml:space="preserve"> ANEROID DESK MODEL</v>
          </cell>
          <cell r="G356" t="str">
            <v xml:space="preserve">RIESTER RUDOLF </v>
          </cell>
          <cell r="H356" t="str">
            <v>150311426</v>
          </cell>
          <cell r="I356" t="str">
            <v>ANNUALLY</v>
          </cell>
          <cell r="J356">
            <v>45790</v>
          </cell>
          <cell r="K356"/>
          <cell r="L356"/>
          <cell r="M356"/>
          <cell r="N356" t="str">
            <v>JABATAN OBSTETRIK &amp; GINEKOLOGI</v>
          </cell>
          <cell r="O356" t="str">
            <v>Dewan Bersalin (LDU)</v>
          </cell>
        </row>
        <row r="357">
          <cell r="D357" t="str">
            <v>KKM/JKN/HSA/10-05-01/R/15/14860</v>
          </cell>
          <cell r="E357" t="str">
            <v>BLOOD PRESSURE MONITOR (SPHYGMOMANOMETER)</v>
          </cell>
          <cell r="F357" t="str">
            <v xml:space="preserve"> ANEROID DESK MODEL</v>
          </cell>
          <cell r="G357" t="str">
            <v xml:space="preserve">RIESTER RUDOLF </v>
          </cell>
          <cell r="H357" t="str">
            <v>N/A</v>
          </cell>
          <cell r="I357" t="str">
            <v>ANNUALLY</v>
          </cell>
          <cell r="J357">
            <v>45757</v>
          </cell>
          <cell r="K357"/>
          <cell r="L357"/>
          <cell r="M357"/>
          <cell r="N357" t="str">
            <v>JABATAN OBSTETRIK &amp; GINEKOLOGI</v>
          </cell>
          <cell r="O357" t="str">
            <v>Dewan Bersalin (LDU)</v>
          </cell>
        </row>
        <row r="358">
          <cell r="D358" t="str">
            <v>KKM/JKN/HSA/10-05-01/R/15/14863</v>
          </cell>
          <cell r="E358" t="str">
            <v>BLOOD PRESSURE MONITOR (SPHYGMOMANOMETER)</v>
          </cell>
          <cell r="F358" t="str">
            <v xml:space="preserve"> ANEROID DESK MODEL</v>
          </cell>
          <cell r="G358" t="str">
            <v xml:space="preserve">RIESTER RUDOLF </v>
          </cell>
          <cell r="H358" t="str">
            <v>150311428</v>
          </cell>
          <cell r="I358" t="str">
            <v>ANNUALLY</v>
          </cell>
          <cell r="J358">
            <v>46035</v>
          </cell>
          <cell r="K358"/>
          <cell r="L358"/>
          <cell r="M358"/>
          <cell r="N358" t="str">
            <v>JABATAN OBSTETRIK &amp; GINEKOLOGI</v>
          </cell>
          <cell r="O358" t="str">
            <v>Dewan Bersalin (LDU)</v>
          </cell>
        </row>
        <row r="359">
          <cell r="D359" t="str">
            <v>KKM/JKN/HSA/10-05-01/R/15/14864</v>
          </cell>
          <cell r="E359" t="str">
            <v>BLOOD PRESSURE MONITOR (SPHYGMOMANOMETER)</v>
          </cell>
          <cell r="F359" t="str">
            <v xml:space="preserve"> ANEROID DESK MODEL</v>
          </cell>
          <cell r="G359" t="str">
            <v xml:space="preserve">RIESTER RUDOLF </v>
          </cell>
          <cell r="H359" t="str">
            <v>150311403</v>
          </cell>
          <cell r="I359" t="str">
            <v>ANNUALLY</v>
          </cell>
          <cell r="J359">
            <v>45742</v>
          </cell>
          <cell r="K359"/>
          <cell r="L359"/>
          <cell r="M359"/>
          <cell r="N359" t="str">
            <v>JABATAN OBSTETRIK &amp; GINEKOLOGI</v>
          </cell>
          <cell r="O359" t="str">
            <v>Dewan Bersalin (LDU)</v>
          </cell>
        </row>
        <row r="360">
          <cell r="D360" t="str">
            <v>KKM/JKN/HSA/10-05-01/R/15/14870</v>
          </cell>
          <cell r="E360" t="str">
            <v>BLOOD PRESSURE MONITOR (SPHYGMOMANOMETER)</v>
          </cell>
          <cell r="F360" t="str">
            <v xml:space="preserve"> ANEROID DESK MODEL</v>
          </cell>
          <cell r="G360" t="str">
            <v xml:space="preserve">RIESTER RUDOLF </v>
          </cell>
          <cell r="H360" t="str">
            <v>N/A</v>
          </cell>
          <cell r="I360" t="str">
            <v>ANNUALLY</v>
          </cell>
          <cell r="J360">
            <v>45726</v>
          </cell>
          <cell r="K360"/>
          <cell r="L360"/>
          <cell r="M360"/>
          <cell r="N360" t="str">
            <v>JABATAN OBSTETRIK &amp; GINEKOLOGI</v>
          </cell>
          <cell r="O360" t="str">
            <v>Dewan Bersalin (LDU)</v>
          </cell>
        </row>
        <row r="361">
          <cell r="D361" t="str">
            <v>KKM/JKN/HSA/10-05-01/R/15/15084</v>
          </cell>
          <cell r="E361" t="str">
            <v>PORTABLE FETAL DOPPLER/CAPNOGRAPH</v>
          </cell>
          <cell r="F361" t="str">
            <v>SONOTRAX</v>
          </cell>
          <cell r="G361" t="str">
            <v>SONOTRAX</v>
          </cell>
          <cell r="H361" t="str">
            <v>N/A</v>
          </cell>
          <cell r="I361" t="str">
            <v>ANNUALLY</v>
          </cell>
          <cell r="J361">
            <v>46030</v>
          </cell>
          <cell r="K361"/>
          <cell r="L361"/>
          <cell r="M361"/>
          <cell r="N361" t="str">
            <v>JABATAN OBSTETRIK &amp; GINEKOLOGI</v>
          </cell>
          <cell r="O361" t="str">
            <v>Dewan Bersalin (LDU)</v>
          </cell>
        </row>
        <row r="362">
          <cell r="D362" t="str">
            <v>KKM/JKN/HSA/10-05-01/R/15/15086</v>
          </cell>
          <cell r="E362" t="str">
            <v>PORTABLE FETAL DOPPLER/CAPNOGRAPH</v>
          </cell>
          <cell r="F362" t="str">
            <v>SONOTRAX</v>
          </cell>
          <cell r="G362" t="str">
            <v>SONOTRAX</v>
          </cell>
          <cell r="H362" t="str">
            <v>N/A</v>
          </cell>
          <cell r="I362" t="str">
            <v>ANNUALLY</v>
          </cell>
          <cell r="J362">
            <v>46030</v>
          </cell>
          <cell r="K362"/>
          <cell r="L362"/>
          <cell r="M362"/>
          <cell r="N362" t="str">
            <v>JABATAN OBSTETRIK &amp; GINEKOLOGI</v>
          </cell>
          <cell r="O362" t="str">
            <v>Dewan Bersalin (LDU)</v>
          </cell>
        </row>
        <row r="363">
          <cell r="D363" t="str">
            <v>KKM/JKN/HSA/10-05-01/R/15/7025</v>
          </cell>
          <cell r="E363" t="str">
            <v>INFANT/ BABY SCALER</v>
          </cell>
          <cell r="F363" t="str">
            <v>DETECTO</v>
          </cell>
          <cell r="G363" t="str">
            <v>MB130</v>
          </cell>
          <cell r="H363" t="str">
            <v>C12025819</v>
          </cell>
          <cell r="I363" t="str">
            <v>ANNUALLY</v>
          </cell>
          <cell r="J363">
            <v>46045</v>
          </cell>
          <cell r="K363"/>
          <cell r="L363"/>
          <cell r="M363"/>
          <cell r="N363" t="str">
            <v>JABATAN OBSTETRIK &amp; GINEKOLOGI</v>
          </cell>
          <cell r="O363" t="str">
            <v>Dewan Bersalin (LDU)</v>
          </cell>
        </row>
        <row r="364">
          <cell r="D364" t="str">
            <v>KKM/JKN/HSA/10-05-01/R/15/7026</v>
          </cell>
          <cell r="E364" t="str">
            <v>INFANT/ BABY SCALER</v>
          </cell>
          <cell r="F364" t="str">
            <v>DETECTO</v>
          </cell>
          <cell r="G364" t="str">
            <v>MB130</v>
          </cell>
          <cell r="H364" t="str">
            <v>C12025897</v>
          </cell>
          <cell r="I364" t="str">
            <v>ANNUALLY</v>
          </cell>
          <cell r="J364">
            <v>46045</v>
          </cell>
          <cell r="K364"/>
          <cell r="L364"/>
          <cell r="M364"/>
          <cell r="N364" t="str">
            <v>JABATAN OBSTETRIK &amp; GINEKOLOGI</v>
          </cell>
          <cell r="O364" t="str">
            <v>Dewan Bersalin (LDU)</v>
          </cell>
        </row>
        <row r="365">
          <cell r="D365" t="str">
            <v>KKM/JKN/HSA/10-05-01/R/15/7027</v>
          </cell>
          <cell r="E365" t="str">
            <v>INFANT/ BABY SCALER</v>
          </cell>
          <cell r="F365" t="str">
            <v>DETECTO</v>
          </cell>
          <cell r="G365" t="str">
            <v>MB130</v>
          </cell>
          <cell r="H365" t="str">
            <v>C12025867</v>
          </cell>
          <cell r="I365" t="str">
            <v>ANNUALLY</v>
          </cell>
          <cell r="J365">
            <v>46045</v>
          </cell>
          <cell r="K365"/>
          <cell r="L365"/>
          <cell r="M365"/>
          <cell r="N365" t="str">
            <v>JABATAN OBSTETRIK &amp; GINEKOLOGI</v>
          </cell>
          <cell r="O365" t="str">
            <v>Dewan Bersalin (LDU)</v>
          </cell>
        </row>
        <row r="366">
          <cell r="D366" t="str">
            <v>KKM/JKN/HSA/10-05-01/R/15/7028</v>
          </cell>
          <cell r="E366" t="str">
            <v>INFANT/ BABY SCALER</v>
          </cell>
          <cell r="F366" t="str">
            <v>DETECTO</v>
          </cell>
          <cell r="G366" t="str">
            <v>MB130</v>
          </cell>
          <cell r="H366" t="str">
            <v>N/A</v>
          </cell>
          <cell r="I366" t="str">
            <v>ANNUALLY</v>
          </cell>
          <cell r="J366">
            <v>46045</v>
          </cell>
          <cell r="K366"/>
          <cell r="L366"/>
          <cell r="M366"/>
          <cell r="N366" t="str">
            <v>JABATAN OBSTETRIK &amp; GINEKOLOGI</v>
          </cell>
          <cell r="O366" t="str">
            <v>Dewan Bersalin (LDU)</v>
          </cell>
        </row>
        <row r="367">
          <cell r="D367" t="str">
            <v>KKM/JKN/HSA/10-05-01/H/20/75</v>
          </cell>
          <cell r="E367" t="str">
            <v>PULSE OXIMETER AND SIMULATOR</v>
          </cell>
          <cell r="F367" t="str">
            <v>NELLCOR</v>
          </cell>
          <cell r="G367" t="str">
            <v>NELLCOR</v>
          </cell>
          <cell r="H367" t="str">
            <v>MBB1915031</v>
          </cell>
          <cell r="I367" t="str">
            <v>ANNUALLY</v>
          </cell>
          <cell r="J367">
            <v>45724</v>
          </cell>
          <cell r="K367"/>
          <cell r="L367"/>
          <cell r="M367"/>
          <cell r="N367" t="str">
            <v>JABATAN OBSTETRIK &amp; GINEKOLOGI</v>
          </cell>
          <cell r="O367" t="str">
            <v>Dewan Bersalin (LDU)</v>
          </cell>
        </row>
        <row r="368">
          <cell r="D368" t="str">
            <v>KKM/JKN/HSA/10-05-01/H/20/76</v>
          </cell>
          <cell r="E368" t="str">
            <v>PULSE OXIMETER AND SIMULATOR</v>
          </cell>
          <cell r="F368" t="str">
            <v>NELLCOR</v>
          </cell>
          <cell r="G368" t="str">
            <v>NELLCOR</v>
          </cell>
          <cell r="H368" t="str">
            <v>MBB1915033</v>
          </cell>
          <cell r="I368" t="str">
            <v>ANNUALLY</v>
          </cell>
          <cell r="J368">
            <v>45724</v>
          </cell>
          <cell r="K368"/>
          <cell r="L368"/>
          <cell r="M368"/>
          <cell r="N368" t="str">
            <v>JABATAN OBSTETRIK &amp; GINEKOLOGI</v>
          </cell>
          <cell r="O368" t="str">
            <v>Dewan Bersalin (LDU)</v>
          </cell>
        </row>
        <row r="369">
          <cell r="D369" t="str">
            <v>KKM/JKN/HSA/10-05-01/H/20/77</v>
          </cell>
          <cell r="E369" t="str">
            <v>PULSE OXIMETER AND SIMULATOR</v>
          </cell>
          <cell r="F369" t="str">
            <v>NELLCOR</v>
          </cell>
          <cell r="G369" t="str">
            <v>NELLCOR</v>
          </cell>
          <cell r="H369" t="str">
            <v>MBB1915030</v>
          </cell>
          <cell r="I369" t="str">
            <v>ANNUALLY</v>
          </cell>
          <cell r="J369">
            <v>45724</v>
          </cell>
          <cell r="K369"/>
          <cell r="L369"/>
          <cell r="M369"/>
          <cell r="N369" t="str">
            <v>JABATAN OBSTETRIK &amp; GINEKOLOGI</v>
          </cell>
          <cell r="O369" t="str">
            <v>Dewan Bersalin (LDU)</v>
          </cell>
        </row>
        <row r="370">
          <cell r="D370" t="str">
            <v>KKM/JKN/HSA/10-05-01/H/21/282</v>
          </cell>
          <cell r="E370" t="str">
            <v>CTG MACHINE/ FETAL MONITOR TOUCH SCREEN</v>
          </cell>
          <cell r="F370" t="str">
            <v>EDAN</v>
          </cell>
          <cell r="G370" t="str">
            <v>F9</v>
          </cell>
          <cell r="H370" t="str">
            <v>M21901540005</v>
          </cell>
          <cell r="I370" t="str">
            <v>ANNUALLY</v>
          </cell>
          <cell r="J370">
            <v>45927</v>
          </cell>
          <cell r="K370"/>
          <cell r="L370"/>
          <cell r="M370"/>
          <cell r="N370" t="str">
            <v>JABATAN OBSTETRIK &amp; GINEKOLOGI</v>
          </cell>
          <cell r="O370" t="str">
            <v>Dewan Bersalin (LDU)</v>
          </cell>
        </row>
        <row r="371">
          <cell r="D371" t="str">
            <v>KKM/JKN/HSA/10-05-01/H/21/188</v>
          </cell>
          <cell r="E371" t="str">
            <v>PATIENT MONITORING EQUIPMENT</v>
          </cell>
          <cell r="F371" t="str">
            <v>MINDRAY</v>
          </cell>
          <cell r="G371" t="str">
            <v>M1K6B-CTO-SO1</v>
          </cell>
          <cell r="H371" t="str">
            <v>KN-17113675</v>
          </cell>
          <cell r="I371" t="str">
            <v>ANNUALLY</v>
          </cell>
          <cell r="J371">
            <v>45879</v>
          </cell>
          <cell r="K371"/>
          <cell r="L371"/>
          <cell r="M371"/>
          <cell r="N371" t="str">
            <v>JABATAN OBSTETRIK &amp; GINEKOLOGI</v>
          </cell>
          <cell r="O371" t="str">
            <v>Dewan Bersalin (LDU)</v>
          </cell>
        </row>
        <row r="372">
          <cell r="D372" t="str">
            <v>HSAS10001</v>
          </cell>
          <cell r="E372" t="str">
            <v>ANALGESIA UNIT 2 GAS</v>
          </cell>
          <cell r="F372" t="str">
            <v>BOC MDICAL</v>
          </cell>
          <cell r="G372" t="str">
            <v>ENTONOX DEMAND VALVE</v>
          </cell>
          <cell r="H372" t="str">
            <v>N/A</v>
          </cell>
          <cell r="I372" t="str">
            <v>ANNUALLY</v>
          </cell>
          <cell r="J372">
            <v>45939</v>
          </cell>
          <cell r="K372"/>
          <cell r="L372"/>
          <cell r="M372"/>
          <cell r="N372" t="str">
            <v>JABATAN KECEMASAN &amp; TRAUMA</v>
          </cell>
          <cell r="O372" t="str">
            <v>Jabatan Kecemasan &amp; Trauma (ED)</v>
          </cell>
        </row>
        <row r="373">
          <cell r="D373" t="str">
            <v>HSAS10038</v>
          </cell>
          <cell r="E373" t="str">
            <v>SPHYGMOMANOMETER ANEROID DESK MODEL</v>
          </cell>
          <cell r="F373" t="str">
            <v>RIESTER</v>
          </cell>
          <cell r="G373">
            <v>1453</v>
          </cell>
          <cell r="H373" t="str">
            <v>N/A</v>
          </cell>
          <cell r="I373" t="str">
            <v>ANNUALLY</v>
          </cell>
          <cell r="J373">
            <v>45975</v>
          </cell>
          <cell r="K373"/>
          <cell r="L373"/>
          <cell r="M373"/>
          <cell r="N373" t="str">
            <v>JABATAN KECEMASAN &amp; TRAUMA</v>
          </cell>
          <cell r="O373" t="str">
            <v>Jabatan Kecemasan &amp; Trauma (ED)</v>
          </cell>
        </row>
        <row r="374">
          <cell r="D374" t="str">
            <v xml:space="preserve">KKM/JKN/HSA/10-05-01/H/15/2804 </v>
          </cell>
          <cell r="E374" t="str">
            <v>ANALGESIA UNIT 2 GAS</v>
          </cell>
          <cell r="F374" t="str">
            <v>BOC MDICAL</v>
          </cell>
          <cell r="G374" t="str">
            <v>ENTONOX DEMAND VALVE</v>
          </cell>
          <cell r="H374" t="str">
            <v>N/A</v>
          </cell>
          <cell r="I374" t="str">
            <v>ANNUALLY</v>
          </cell>
          <cell r="J374">
            <v>45694</v>
          </cell>
          <cell r="K374"/>
          <cell r="L374"/>
          <cell r="M374"/>
          <cell r="N374" t="str">
            <v>JABATAN KECEMASAN &amp; TRAUMA</v>
          </cell>
          <cell r="O374" t="str">
            <v>Jabatan Kecemasan &amp; Trauma (ED)</v>
          </cell>
        </row>
        <row r="375">
          <cell r="D375" t="str">
            <v>KKM/JKN/HSA/10-05-01/H/15/308</v>
          </cell>
          <cell r="E375" t="str">
            <v>VENTILATOR PORTABLE</v>
          </cell>
          <cell r="F375" t="str">
            <v>DRAEGER</v>
          </cell>
          <cell r="G375" t="str">
            <v>OXYLOG 2000 PLUS</v>
          </cell>
          <cell r="H375" t="str">
            <v>ASEJ-0033</v>
          </cell>
          <cell r="I375" t="str">
            <v>ANNUALLY</v>
          </cell>
          <cell r="J375">
            <v>45954</v>
          </cell>
          <cell r="K375"/>
          <cell r="L375"/>
          <cell r="M375"/>
          <cell r="N375" t="str">
            <v>JABATAN KECEMASAN &amp; TRAUMA</v>
          </cell>
          <cell r="O375" t="str">
            <v>Jabatan Kecemasan &amp; Trauma (ED)</v>
          </cell>
        </row>
        <row r="376">
          <cell r="D376" t="str">
            <v>KKM/JKN/HSA/10-05-01/H/15/3550</v>
          </cell>
          <cell r="E376" t="str">
            <v>PORTABLE PNEUMATIC POWERED RESUSCITATOR/OXYGEN RESUSCITATOR</v>
          </cell>
          <cell r="F376" t="str">
            <v>N/A</v>
          </cell>
          <cell r="G376" t="str">
            <v>UV0005(B) (4) / MEDITECH</v>
          </cell>
          <cell r="H376" t="str">
            <v>N/A</v>
          </cell>
          <cell r="I376" t="str">
            <v>ANNUALLY</v>
          </cell>
          <cell r="J376">
            <v>45749</v>
          </cell>
          <cell r="K376"/>
          <cell r="L376"/>
          <cell r="M376"/>
          <cell r="N376" t="str">
            <v>JABATAN KECEMASAN &amp; TRAUMA</v>
          </cell>
          <cell r="O376" t="str">
            <v>Jabatan Kecemasan &amp; Trauma (ED)</v>
          </cell>
        </row>
        <row r="377">
          <cell r="D377" t="str">
            <v>KKM/JKN/HSA/10-05-01/H/15/3636</v>
          </cell>
          <cell r="E377" t="str">
            <v>RESUSCITATION MODEL BABY WITH CASE</v>
          </cell>
          <cell r="F377" t="str">
            <v>GENERAL DOCTOR</v>
          </cell>
          <cell r="G377" t="str">
            <v>GD/CPR500</v>
          </cell>
          <cell r="H377" t="str">
            <v>N/A</v>
          </cell>
          <cell r="I377" t="str">
            <v>ANNUALLY</v>
          </cell>
          <cell r="J377">
            <v>45938</v>
          </cell>
          <cell r="K377"/>
          <cell r="L377"/>
          <cell r="M377"/>
          <cell r="N377" t="str">
            <v>JABATAN KECEMASAN &amp; TRAUMA</v>
          </cell>
          <cell r="O377" t="str">
            <v>Jabatan Kecemasan &amp; Trauma (ED)</v>
          </cell>
        </row>
        <row r="378">
          <cell r="D378" t="str">
            <v>KKM/JKN/HSA/10-05-01/H/15/3655</v>
          </cell>
          <cell r="E378" t="str">
            <v>AMBULANCE STRETCHER</v>
          </cell>
          <cell r="F378" t="str">
            <v>N/A</v>
          </cell>
          <cell r="G378" t="str">
            <v>UV0004(B) (9) / SPENCER</v>
          </cell>
          <cell r="H378" t="str">
            <v>N/A</v>
          </cell>
          <cell r="I378" t="str">
            <v>ANNUALLY</v>
          </cell>
          <cell r="J378">
            <v>45749</v>
          </cell>
          <cell r="K378"/>
          <cell r="L378"/>
          <cell r="M378"/>
          <cell r="N378" t="str">
            <v>JABATAN KECEMASAN &amp; TRAUMA</v>
          </cell>
          <cell r="O378" t="str">
            <v>ED - PRE HOSPITAL AMBULANCE CALL CENTRE (L03-ED-A-02)</v>
          </cell>
        </row>
        <row r="379">
          <cell r="D379" t="str">
            <v>KKM/JKN/HSA/10-05-01/H/15/3656</v>
          </cell>
          <cell r="E379" t="str">
            <v>AMBULANCE STRETCHER</v>
          </cell>
          <cell r="F379" t="str">
            <v>N/A</v>
          </cell>
          <cell r="G379" t="str">
            <v>UV0004(B) (9) / SPENCER</v>
          </cell>
          <cell r="H379" t="str">
            <v>N/A</v>
          </cell>
          <cell r="I379" t="str">
            <v>ANNUALLY</v>
          </cell>
          <cell r="J379">
            <v>45749</v>
          </cell>
          <cell r="K379"/>
          <cell r="L379"/>
          <cell r="M379"/>
          <cell r="N379" t="str">
            <v>JABATAN KECEMASAN &amp; TRAUMA</v>
          </cell>
          <cell r="O379" t="str">
            <v>ED - PRE HOSPITAL AMBULANCE CALL CENTRE (L03-ED-A-02)</v>
          </cell>
        </row>
        <row r="380">
          <cell r="D380" t="str">
            <v>KKM/JKN/HSA/10-05-01/H/15/3657</v>
          </cell>
          <cell r="E380" t="str">
            <v>RESUSCITATION MODEL BABY WITH CASE</v>
          </cell>
          <cell r="F380" t="str">
            <v>GENERAL DOCTOR</v>
          </cell>
          <cell r="G380" t="str">
            <v>GD/CPR10150</v>
          </cell>
          <cell r="H380" t="str">
            <v>N/A</v>
          </cell>
          <cell r="I380" t="str">
            <v>ANNUALLY</v>
          </cell>
          <cell r="J380">
            <v>45749</v>
          </cell>
          <cell r="K380"/>
          <cell r="L380"/>
          <cell r="M380"/>
          <cell r="N380" t="str">
            <v>JABATAN KECEMASAN &amp; TRAUMA</v>
          </cell>
          <cell r="O380" t="str">
            <v>Jabatan Kecemasan &amp; Trauma (ED)</v>
          </cell>
        </row>
        <row r="381">
          <cell r="D381" t="str">
            <v>KKM/JKN/HSA/10-05-01/H/15/4870</v>
          </cell>
          <cell r="E381" t="str">
            <v>ASR SIMULATOR MANNEQUIN WITH MONITOR</v>
          </cell>
          <cell r="F381" t="str">
            <v>LAERDAL</v>
          </cell>
          <cell r="G381" t="str">
            <v>205-05050</v>
          </cell>
          <cell r="H381" t="str">
            <v>N/A</v>
          </cell>
          <cell r="I381" t="str">
            <v>ANNUALLY</v>
          </cell>
          <cell r="J381">
            <v>45749</v>
          </cell>
          <cell r="K381"/>
          <cell r="L381"/>
          <cell r="M381"/>
          <cell r="N381" t="str">
            <v>JABATAN KECEMASAN &amp; TRAUMA</v>
          </cell>
          <cell r="O381" t="str">
            <v>Jabatan Kecemasan &amp; Trauma (ED)</v>
          </cell>
        </row>
        <row r="382">
          <cell r="D382" t="str">
            <v xml:space="preserve">KKM/JKN/HSA/10-05-01/H/15/4892 </v>
          </cell>
          <cell r="E382" t="str">
            <v>DENTAL CHAIR, OFFICER</v>
          </cell>
          <cell r="F382" t="str">
            <v>TAURUS SANTE</v>
          </cell>
          <cell r="G382" t="str">
            <v>SHINHUNG OF RAF SYNERGY</v>
          </cell>
          <cell r="H382" t="str">
            <v>SOC1408018</v>
          </cell>
          <cell r="I382" t="str">
            <v>ANNUALLY</v>
          </cell>
          <cell r="J382">
            <v>45984</v>
          </cell>
          <cell r="K382"/>
          <cell r="L382"/>
          <cell r="M382"/>
          <cell r="N382" t="str">
            <v>JABATAN KECEMASAN &amp; TRAUMA</v>
          </cell>
          <cell r="O382" t="str">
            <v>Jabatan Kecemasan &amp; Trauma (ED)</v>
          </cell>
        </row>
        <row r="383">
          <cell r="D383" t="str">
            <v>KKM/JKN/HSA/10-05-01/H/15/4908</v>
          </cell>
          <cell r="E383" t="str">
            <v>DIAGNOSTIC SET RECHARGABLE WALL MTD</v>
          </cell>
          <cell r="F383" t="str">
            <v>RUDOLF RIESTER, GMBH</v>
          </cell>
          <cell r="G383"/>
          <cell r="H383" t="str">
            <v>042667</v>
          </cell>
          <cell r="I383" t="str">
            <v>ANNUALLY</v>
          </cell>
          <cell r="J383">
            <v>45753</v>
          </cell>
          <cell r="K383"/>
          <cell r="L383"/>
          <cell r="M383"/>
          <cell r="N383" t="str">
            <v>JABATAN KECEMASAN &amp; TRAUMA</v>
          </cell>
          <cell r="O383" t="str">
            <v>Jabatan Kecemasan &amp; Trauma (ED)</v>
          </cell>
        </row>
        <row r="384">
          <cell r="D384" t="str">
            <v>KKM/JKN/HSA/10-05-01/H/15/4909</v>
          </cell>
          <cell r="E384" t="str">
            <v>DIAGNOSTIC SET RECHARGABLE WALL MTD</v>
          </cell>
          <cell r="F384" t="str">
            <v>RUDOLF RIESTER, GMBH</v>
          </cell>
          <cell r="G384" t="str">
            <v xml:space="preserve">RI FORMER WALL MODEL </v>
          </cell>
          <cell r="H384" t="str">
            <v>042664</v>
          </cell>
          <cell r="I384" t="str">
            <v>ANNUALLY</v>
          </cell>
          <cell r="J384">
            <v>45753</v>
          </cell>
          <cell r="K384"/>
          <cell r="L384"/>
          <cell r="M384"/>
          <cell r="N384" t="str">
            <v>JABATAN KECEMASAN &amp; TRAUMA</v>
          </cell>
          <cell r="O384" t="str">
            <v>Jabatan Kecemasan &amp; Trauma (ED)</v>
          </cell>
        </row>
        <row r="385">
          <cell r="D385" t="str">
            <v>KKM/JKN/HSA/10-05-01/H/15/4910</v>
          </cell>
          <cell r="E385" t="str">
            <v>DIAGNOSTIC SET RECHARGABLE WALL MTD</v>
          </cell>
          <cell r="F385" t="str">
            <v>RUDOLF RIESTER, GMBH</v>
          </cell>
          <cell r="G385" t="str">
            <v xml:space="preserve">RI FORMER WALL MODEL </v>
          </cell>
          <cell r="H385" t="str">
            <v>042665</v>
          </cell>
          <cell r="I385" t="str">
            <v>ANNUALLY</v>
          </cell>
          <cell r="J385">
            <v>45753</v>
          </cell>
          <cell r="K385"/>
          <cell r="L385"/>
          <cell r="M385"/>
          <cell r="N385" t="str">
            <v>JABATAN KECEMASAN &amp; TRAUMA</v>
          </cell>
          <cell r="O385" t="str">
            <v>Jabatan Kecemasan &amp; Trauma (ED)</v>
          </cell>
        </row>
        <row r="386">
          <cell r="D386" t="str">
            <v>KKM/JKN/HSA/10-05-01/H/15/4911</v>
          </cell>
          <cell r="E386" t="str">
            <v>DIAGNOSTIC SET RECHARGABLE WALL MTD</v>
          </cell>
          <cell r="F386" t="str">
            <v>RUDOLF RIESTER, GMBH</v>
          </cell>
          <cell r="G386" t="str">
            <v xml:space="preserve">RI FORMER WALL MODEL </v>
          </cell>
          <cell r="H386" t="str">
            <v>042663</v>
          </cell>
          <cell r="I386" t="str">
            <v>ANNUALLY</v>
          </cell>
          <cell r="J386">
            <v>45753</v>
          </cell>
          <cell r="K386"/>
          <cell r="L386"/>
          <cell r="M386"/>
          <cell r="N386" t="str">
            <v>JABATAN KECEMASAN &amp; TRAUMA</v>
          </cell>
          <cell r="O386" t="str">
            <v>Jabatan Kecemasan &amp; Trauma (ED)</v>
          </cell>
        </row>
        <row r="387">
          <cell r="D387" t="str">
            <v>KKM/JKN/HSA/10-05-01/H/15/4912</v>
          </cell>
          <cell r="E387" t="str">
            <v>DIAGNOSTIC SET RECHARGABLE WALL MTD</v>
          </cell>
          <cell r="F387" t="str">
            <v>RUDOLF RIESTER, GMBH</v>
          </cell>
          <cell r="G387" t="str">
            <v xml:space="preserve">RI FORMER WALL MODEL </v>
          </cell>
          <cell r="H387" t="str">
            <v>042668</v>
          </cell>
          <cell r="I387" t="str">
            <v>ANNUALLY</v>
          </cell>
          <cell r="J387">
            <v>45753</v>
          </cell>
          <cell r="K387"/>
          <cell r="L387"/>
          <cell r="M387"/>
          <cell r="N387" t="str">
            <v>JABATAN KECEMASAN &amp; TRAUMA</v>
          </cell>
          <cell r="O387" t="str">
            <v>Jabatan Kecemasan &amp; Trauma (ED)</v>
          </cell>
        </row>
        <row r="388">
          <cell r="D388" t="str">
            <v>KKM/JKN/HSA/10-05-01/H/15/5002</v>
          </cell>
          <cell r="E388" t="str">
            <v>DIAGNOSTIC SET RECHARGABLE WALL MTD</v>
          </cell>
          <cell r="F388" t="str">
            <v>RUDOLF RIESTER, GMBH</v>
          </cell>
          <cell r="G388" t="str">
            <v xml:space="preserve">RI FORMER WALL MODEL </v>
          </cell>
          <cell r="H388" t="str">
            <v>N/A</v>
          </cell>
          <cell r="I388" t="str">
            <v>ANNUALLY</v>
          </cell>
          <cell r="J388">
            <v>45880</v>
          </cell>
          <cell r="K388"/>
          <cell r="L388"/>
          <cell r="M388"/>
          <cell r="N388" t="str">
            <v>JABATAN KECEMASAN &amp; TRAUMA</v>
          </cell>
          <cell r="O388" t="str">
            <v>Jabatan Kecemasan &amp; Trauma (ED)</v>
          </cell>
        </row>
        <row r="389">
          <cell r="D389" t="str">
            <v>KKM/JKN/HSA/10-05-01/H/15/5003</v>
          </cell>
          <cell r="E389" t="str">
            <v>DIAGNOSTIC SET RECHARGABLE WALL MTD</v>
          </cell>
          <cell r="F389" t="str">
            <v>RUDOLF RIESTER, GMBH</v>
          </cell>
          <cell r="G389" t="str">
            <v xml:space="preserve">RI FORMER WALL MODEL </v>
          </cell>
          <cell r="H389" t="str">
            <v>N/A</v>
          </cell>
          <cell r="I389" t="str">
            <v>ANNUALLY</v>
          </cell>
          <cell r="J389">
            <v>45880</v>
          </cell>
          <cell r="K389"/>
          <cell r="L389"/>
          <cell r="M389"/>
          <cell r="N389" t="str">
            <v>JABATAN KECEMASAN &amp; TRAUMA</v>
          </cell>
          <cell r="O389" t="str">
            <v>Jabatan Kecemasan &amp; Trauma (ED)</v>
          </cell>
        </row>
        <row r="390">
          <cell r="D390" t="str">
            <v>KKM/JKN/HSA/10-05-01/H/15/5007</v>
          </cell>
          <cell r="E390" t="str">
            <v>MONITOR MODULAR 8-CH ECG/RR/NIBP/SPO2/2TEMP/2IBP</v>
          </cell>
          <cell r="F390" t="str">
            <v>MINDRAY</v>
          </cell>
          <cell r="G390" t="str">
            <v>BENEVIEW T8/T1</v>
          </cell>
          <cell r="H390" t="str">
            <v>CF 45122760</v>
          </cell>
          <cell r="I390" t="str">
            <v>ANNUALLY</v>
          </cell>
          <cell r="J390">
            <v>45812</v>
          </cell>
          <cell r="K390"/>
          <cell r="L390"/>
          <cell r="M390"/>
          <cell r="N390" t="str">
            <v>JABATAN KECEMASAN &amp; TRAUMA</v>
          </cell>
          <cell r="O390" t="str">
            <v>Jabatan Kecemasan &amp; Trauma (ED)</v>
          </cell>
        </row>
        <row r="391">
          <cell r="D391" t="str">
            <v>KKM/JKN/HSA/10-05-01/H/15/5008</v>
          </cell>
          <cell r="E391" t="str">
            <v>MONITOR MODULAR 8-CH ECG/RR/NIBP/SPO2/2TEMP/2IBP</v>
          </cell>
          <cell r="F391" t="str">
            <v>MINDRAY</v>
          </cell>
          <cell r="G391" t="str">
            <v>BENEVIEW T8/T1</v>
          </cell>
          <cell r="H391" t="str">
            <v>CF 45122763</v>
          </cell>
          <cell r="I391" t="str">
            <v>ANNUALLY</v>
          </cell>
          <cell r="J391">
            <v>45812</v>
          </cell>
          <cell r="K391"/>
          <cell r="L391"/>
          <cell r="M391"/>
          <cell r="N391" t="str">
            <v>JABATAN KECEMASAN &amp; TRAUMA</v>
          </cell>
          <cell r="O391" t="str">
            <v>Jabatan Kecemasan &amp; Trauma (ED)</v>
          </cell>
        </row>
        <row r="392">
          <cell r="D392" t="str">
            <v>KKM/JKN/HSA/10-05-01/H/15/5009</v>
          </cell>
          <cell r="E392" t="str">
            <v>MONITOR MODULAR 8-CH ECG/RR/NIBP/SPO2/2TEMP/2IBP</v>
          </cell>
          <cell r="F392" t="str">
            <v>MINDRAY</v>
          </cell>
          <cell r="G392" t="str">
            <v>BENEVIEW T8/T1</v>
          </cell>
          <cell r="H392" t="str">
            <v>CF 45122764</v>
          </cell>
          <cell r="I392" t="str">
            <v>ANNUALLY</v>
          </cell>
          <cell r="J392">
            <v>45812</v>
          </cell>
          <cell r="K392"/>
          <cell r="L392"/>
          <cell r="M392"/>
          <cell r="N392" t="str">
            <v>JABATAN KECEMASAN &amp; TRAUMA</v>
          </cell>
          <cell r="O392" t="str">
            <v>Jabatan Kecemasan &amp; Trauma (ED)</v>
          </cell>
        </row>
        <row r="393">
          <cell r="D393" t="str">
            <v>KKM/JKN/HSA/10-05-01/H/15/5010</v>
          </cell>
          <cell r="E393" t="str">
            <v>MONITOR MODULAR 8-CH ECG/RR/NIBP/SPO2/2TEMP/2IBP</v>
          </cell>
          <cell r="F393" t="str">
            <v>MINDRAY</v>
          </cell>
          <cell r="G393" t="str">
            <v>BENEVIEW T8/T1</v>
          </cell>
          <cell r="H393" t="str">
            <v>CF 45122761</v>
          </cell>
          <cell r="I393" t="str">
            <v>ANNUALLY</v>
          </cell>
          <cell r="J393">
            <v>45812</v>
          </cell>
          <cell r="K393"/>
          <cell r="L393"/>
          <cell r="M393"/>
          <cell r="N393" t="str">
            <v>JABATAN KECEMASAN &amp; TRAUMA</v>
          </cell>
          <cell r="O393" t="str">
            <v>Jabatan Kecemasan &amp; Trauma (ED)</v>
          </cell>
        </row>
        <row r="394">
          <cell r="D394" t="str">
            <v>KKM/JKN/HSA/10-05-01/H/15/5011</v>
          </cell>
          <cell r="E394" t="str">
            <v>MONITOR MODULAR 8-CH ECG/RR/NIBP/SPO2/2TEMP/2IBP</v>
          </cell>
          <cell r="F394" t="str">
            <v>MINDRAY</v>
          </cell>
          <cell r="G394" t="str">
            <v>BENEVIEW T8/T1</v>
          </cell>
          <cell r="H394" t="str">
            <v>CF 45122762</v>
          </cell>
          <cell r="I394" t="str">
            <v>ANNUALLY</v>
          </cell>
          <cell r="J394">
            <v>45812</v>
          </cell>
          <cell r="K394"/>
          <cell r="L394"/>
          <cell r="M394"/>
          <cell r="N394" t="str">
            <v>JABATAN KECEMASAN &amp; TRAUMA</v>
          </cell>
          <cell r="O394" t="str">
            <v>Jabatan Kecemasan &amp; Trauma (ED)</v>
          </cell>
        </row>
        <row r="395">
          <cell r="D395" t="str">
            <v>KKM/JKN/HSA/10-05-01/H/15/5012</v>
          </cell>
          <cell r="E395" t="str">
            <v>MONITOR, TRANSPORT</v>
          </cell>
          <cell r="F395" t="str">
            <v>MINDRAY</v>
          </cell>
          <cell r="G395" t="str">
            <v xml:space="preserve"> BENEVIEW T1</v>
          </cell>
          <cell r="H395" t="str">
            <v>FBL3B002888</v>
          </cell>
          <cell r="I395" t="str">
            <v>ANNUALLY</v>
          </cell>
          <cell r="J395">
            <v>45812</v>
          </cell>
          <cell r="K395"/>
          <cell r="L395"/>
          <cell r="M395"/>
          <cell r="N395" t="str">
            <v>JABATAN KECEMASAN &amp; TRAUMA</v>
          </cell>
          <cell r="O395" t="str">
            <v>Jabatan Kecemasan &amp; Trauma (ED)</v>
          </cell>
        </row>
        <row r="396">
          <cell r="D396" t="str">
            <v>KKM/JKN/HSA/10-05-01/H/15/5013</v>
          </cell>
          <cell r="E396" t="str">
            <v>MONITOR, TRANSPORT</v>
          </cell>
          <cell r="F396" t="str">
            <v>MINDRAY</v>
          </cell>
          <cell r="G396" t="str">
            <v xml:space="preserve"> BENEVIEW T1</v>
          </cell>
          <cell r="H396" t="str">
            <v>N/A</v>
          </cell>
          <cell r="I396" t="str">
            <v>ANNUALLY</v>
          </cell>
          <cell r="J396">
            <v>45812</v>
          </cell>
          <cell r="K396"/>
          <cell r="L396"/>
          <cell r="M396"/>
          <cell r="N396" t="str">
            <v>JABATAN KECEMASAN &amp; TRAUMA</v>
          </cell>
          <cell r="O396" t="str">
            <v>Jabatan Kecemasan &amp; Trauma (ED)</v>
          </cell>
        </row>
        <row r="397">
          <cell r="D397" t="str">
            <v>KKM/JKN/HSA/10-05-01/H/15/5014</v>
          </cell>
          <cell r="E397" t="str">
            <v>MONITOR, TRANSPORT</v>
          </cell>
          <cell r="F397" t="str">
            <v>MINDRAY</v>
          </cell>
          <cell r="G397" t="str">
            <v xml:space="preserve"> BENEVIEW T1</v>
          </cell>
          <cell r="H397" t="str">
            <v>N/A</v>
          </cell>
          <cell r="I397" t="str">
            <v>ANNUALLY</v>
          </cell>
          <cell r="J397">
            <v>45812</v>
          </cell>
          <cell r="K397"/>
          <cell r="L397"/>
          <cell r="M397"/>
          <cell r="N397" t="str">
            <v>JABATAN KECEMASAN &amp; TRAUMA</v>
          </cell>
          <cell r="O397" t="str">
            <v>Jabatan Kecemasan &amp; Trauma (ED)</v>
          </cell>
        </row>
        <row r="398">
          <cell r="D398" t="str">
            <v>KKM/JKN/HSA/10-05-01/H/15/5038</v>
          </cell>
          <cell r="E398" t="str">
            <v>WARMER BLOOD WATER TYPE</v>
          </cell>
          <cell r="F398" t="str">
            <v>SMITH MEDICAL ASD</v>
          </cell>
          <cell r="G398" t="str">
            <v>HOTLINE HL-90</v>
          </cell>
          <cell r="H398" t="str">
            <v>B101B03988</v>
          </cell>
          <cell r="I398" t="str">
            <v>ANNUALLY</v>
          </cell>
          <cell r="J398">
            <v>45890</v>
          </cell>
          <cell r="K398"/>
          <cell r="L398"/>
          <cell r="M398"/>
          <cell r="N398" t="str">
            <v>JABATAN KECEMASAN &amp; TRAUMA</v>
          </cell>
          <cell r="O398" t="str">
            <v>Jabatan Kecemasan &amp; Trauma (ED)</v>
          </cell>
        </row>
        <row r="399">
          <cell r="D399" t="str">
            <v>KKM/JKN/HSA/10-05-01/H/15/5039</v>
          </cell>
          <cell r="E399" t="str">
            <v>WARMER BLOOD DRY HEAT TYPE</v>
          </cell>
          <cell r="F399" t="str">
            <v>BARKEY</v>
          </cell>
          <cell r="G399" t="str">
            <v>S.LINE</v>
          </cell>
          <cell r="H399">
            <v>1207674</v>
          </cell>
          <cell r="I399" t="str">
            <v>ANNUALLY</v>
          </cell>
          <cell r="J399">
            <v>45990</v>
          </cell>
          <cell r="K399"/>
          <cell r="L399"/>
          <cell r="M399"/>
          <cell r="N399" t="str">
            <v>JABATAN KECEMASAN &amp; TRAUMA</v>
          </cell>
          <cell r="O399" t="str">
            <v>Jabatan Kecemasan &amp; Trauma (ED)</v>
          </cell>
        </row>
        <row r="400">
          <cell r="D400" t="str">
            <v>KKM/JKN/HSA/10-05-01/H/16/181</v>
          </cell>
          <cell r="E400" t="str">
            <v>SUCTION APPARATUS/SPENCER</v>
          </cell>
          <cell r="F400" t="str">
            <v xml:space="preserve">SPENCER </v>
          </cell>
          <cell r="G400" t="str">
            <v>SC75560D-AMBU JET P 1000B 10G</v>
          </cell>
          <cell r="H400" t="str">
            <v>PRS 004232</v>
          </cell>
          <cell r="I400" t="str">
            <v>ANNUALLY</v>
          </cell>
          <cell r="J400">
            <v>45878</v>
          </cell>
          <cell r="K400"/>
          <cell r="L400"/>
          <cell r="M400"/>
          <cell r="N400" t="str">
            <v>JABATAN KECEMASAN &amp; TRAUMA</v>
          </cell>
          <cell r="O400" t="str">
            <v>Jabatan Kecemasan &amp; Trauma (ED)</v>
          </cell>
        </row>
        <row r="401">
          <cell r="D401" t="str">
            <v>KKM/JKN/HSA/10-05-01/H/17/1</v>
          </cell>
          <cell r="E401" t="str">
            <v>ECG  (EKG) MACHINE/ECG 1200G</v>
          </cell>
          <cell r="F401" t="str">
            <v xml:space="preserve"> ECG 1200G</v>
          </cell>
          <cell r="G401" t="str">
            <v>N/A</v>
          </cell>
          <cell r="H401">
            <v>17070400003</v>
          </cell>
          <cell r="I401" t="str">
            <v>ANNUALLY</v>
          </cell>
          <cell r="J401">
            <v>45891</v>
          </cell>
          <cell r="K401"/>
          <cell r="L401"/>
          <cell r="M401"/>
          <cell r="N401" t="str">
            <v>JABATAN KECEMASAN &amp; TRAUMA</v>
          </cell>
          <cell r="O401" t="str">
            <v>Jabatan Kecemasan &amp; Trauma (ED)</v>
          </cell>
        </row>
        <row r="402">
          <cell r="D402" t="str">
            <v>KKM/JKN/HSA/10-05-01/H/17/4</v>
          </cell>
          <cell r="E402" t="str">
            <v>ULTRASOUND SCANNER/MINDRAY M9</v>
          </cell>
          <cell r="F402" t="str">
            <v>MINDRAY M9</v>
          </cell>
          <cell r="G402" t="str">
            <v>TPM</v>
          </cell>
          <cell r="H402" t="str">
            <v>7B-77001394</v>
          </cell>
          <cell r="I402" t="str">
            <v>ANNUALLY</v>
          </cell>
          <cell r="J402">
            <v>45891</v>
          </cell>
          <cell r="K402"/>
          <cell r="L402"/>
          <cell r="M402"/>
          <cell r="N402" t="str">
            <v>JABATAN KECEMASAN &amp; TRAUMA</v>
          </cell>
          <cell r="O402" t="str">
            <v>Jabatan Kecemasan &amp; Trauma (ED)</v>
          </cell>
        </row>
        <row r="403">
          <cell r="D403" t="str">
            <v>KKM/JKN/HSA/10-05-01/H/17/41</v>
          </cell>
          <cell r="E403" t="str">
            <v>AUTOMATIC EXTERNAL DEFIBRILLATOR (AED)</v>
          </cell>
          <cell r="F403" t="str">
            <v>SAVER ONE</v>
          </cell>
          <cell r="G403" t="str">
            <v>SAVER ONE SVD-B004</v>
          </cell>
          <cell r="H403" t="str">
            <v>26SD005061700052</v>
          </cell>
          <cell r="I403" t="str">
            <v>ANNUALLY</v>
          </cell>
          <cell r="J403">
            <v>45827</v>
          </cell>
          <cell r="K403"/>
          <cell r="L403"/>
          <cell r="M403"/>
          <cell r="N403" t="str">
            <v>JABATAN KECEMASAN &amp; TRAUMA</v>
          </cell>
          <cell r="O403" t="str">
            <v>Jabatan Kecemasan &amp; Trauma (ED)</v>
          </cell>
        </row>
        <row r="404">
          <cell r="D404" t="str">
            <v>KKM/JKN/HSA/10-05-01/H/17/42</v>
          </cell>
          <cell r="E404" t="str">
            <v>AUTOMATIC EXTERNAL DEFIBRILLATOR (AED)</v>
          </cell>
          <cell r="F404" t="str">
            <v>SAVER ONE</v>
          </cell>
          <cell r="G404" t="str">
            <v>SAVER ONE SVD-B004</v>
          </cell>
          <cell r="H404" t="str">
            <v>26SD005061700054</v>
          </cell>
          <cell r="I404" t="str">
            <v>ANNUALLY</v>
          </cell>
          <cell r="J404">
            <v>45827</v>
          </cell>
          <cell r="K404"/>
          <cell r="L404"/>
          <cell r="M404"/>
          <cell r="N404" t="str">
            <v>JABATAN KECEMASAN &amp; TRAUMA</v>
          </cell>
          <cell r="O404" t="str">
            <v>Jabatan Kecemasan &amp; Trauma (ED)</v>
          </cell>
        </row>
        <row r="405">
          <cell r="D405" t="str">
            <v>KKM/JKN/HSA/10-05-01/H/17/44</v>
          </cell>
          <cell r="E405" t="str">
            <v>BLOOD PRESURE MONITOR MACHINE</v>
          </cell>
          <cell r="F405" t="str">
            <v xml:space="preserve">WELCH ALLYN </v>
          </cell>
          <cell r="G405" t="str">
            <v>7000-APM / RX ONLY</v>
          </cell>
          <cell r="H405" t="str">
            <v>(21)100035674116</v>
          </cell>
          <cell r="I405" t="str">
            <v>ANNUALLY</v>
          </cell>
          <cell r="J405">
            <v>45929</v>
          </cell>
          <cell r="K405"/>
          <cell r="L405"/>
          <cell r="M405"/>
          <cell r="N405" t="str">
            <v>JABATAN KECEMASAN &amp; TRAUMA</v>
          </cell>
          <cell r="O405" t="str">
            <v>Jabatan Kecemasan &amp; Trauma (ED)</v>
          </cell>
        </row>
        <row r="406">
          <cell r="D406" t="str">
            <v>KKM/JKN/HSA/10-05-01/H/17/45</v>
          </cell>
          <cell r="E406" t="str">
            <v>BLOOD PRESURE MONITOR MACHINE</v>
          </cell>
          <cell r="F406" t="str">
            <v xml:space="preserve">WELCH ALLYN </v>
          </cell>
          <cell r="G406" t="str">
            <v>7000-APM / RX ONLY</v>
          </cell>
          <cell r="H406" t="str">
            <v>(21)100032494016</v>
          </cell>
          <cell r="I406" t="str">
            <v>ANNUALLY</v>
          </cell>
          <cell r="J406">
            <v>45931</v>
          </cell>
          <cell r="K406"/>
          <cell r="L406"/>
          <cell r="M406"/>
          <cell r="N406" t="str">
            <v>JABATAN KECEMASAN &amp; TRAUMA</v>
          </cell>
          <cell r="O406" t="str">
            <v>Jabatan Kecemasan &amp; Trauma (ED)</v>
          </cell>
        </row>
        <row r="407">
          <cell r="D407" t="str">
            <v>KKM/JKN/HSA/10-05-01/H/17/46</v>
          </cell>
          <cell r="E407" t="str">
            <v>DEFIBRILLATOR/ZOLL/ X SERIES</v>
          </cell>
          <cell r="F407" t="str">
            <v>ZOLL</v>
          </cell>
          <cell r="G407" t="str">
            <v>ZOOL R SERIES</v>
          </cell>
          <cell r="H407" t="str">
            <v>AF17D065620</v>
          </cell>
          <cell r="I407" t="str">
            <v>ANNUALLY</v>
          </cell>
          <cell r="J407">
            <v>45895</v>
          </cell>
          <cell r="K407"/>
          <cell r="L407"/>
          <cell r="M407"/>
          <cell r="N407" t="str">
            <v>JABATAN KECEMASAN &amp; TRAUMA</v>
          </cell>
          <cell r="O407" t="str">
            <v>Jabatan Kecemasan &amp; Trauma (ED)</v>
          </cell>
        </row>
        <row r="408">
          <cell r="D408" t="str">
            <v>KKM/JKN/HSA/10-05-01/H/18/127</v>
          </cell>
          <cell r="E408" t="str">
            <v>ECG  (EKG) MACHINE</v>
          </cell>
          <cell r="F408" t="str">
            <v>NIHON KOHDEN</v>
          </cell>
          <cell r="G408" t="str">
            <v>CARDIOFAX S ECG-1250K</v>
          </cell>
          <cell r="H408">
            <v>110586</v>
          </cell>
          <cell r="I408" t="str">
            <v>SEMI ANNUALLY</v>
          </cell>
          <cell r="J408">
            <v>45714</v>
          </cell>
          <cell r="K408">
            <v>45894</v>
          </cell>
          <cell r="L408"/>
          <cell r="M408"/>
          <cell r="N408" t="str">
            <v>JABATAN KECEMASAN &amp; TRAUMA</v>
          </cell>
          <cell r="O408" t="str">
            <v>Jabatan Kecemasan &amp; Trauma (ED)</v>
          </cell>
        </row>
        <row r="409">
          <cell r="D409" t="str">
            <v>KKM/JKN/HSA/10-05-01/H/18/128</v>
          </cell>
          <cell r="E409" t="str">
            <v>ECG  (EKG) MACHINE</v>
          </cell>
          <cell r="F409" t="str">
            <v>NIHON KOHDEN</v>
          </cell>
          <cell r="G409" t="str">
            <v>CARDIOFAX S ECG-1250K</v>
          </cell>
          <cell r="H409">
            <v>110584</v>
          </cell>
          <cell r="I409" t="str">
            <v>SEMI ANNUALLY</v>
          </cell>
          <cell r="J409">
            <v>45714</v>
          </cell>
          <cell r="K409">
            <v>45894</v>
          </cell>
          <cell r="L409"/>
          <cell r="M409"/>
          <cell r="N409" t="str">
            <v>JABATAN KECEMASAN &amp; TRAUMA</v>
          </cell>
          <cell r="O409" t="str">
            <v>Jabatan Kecemasan &amp; Trauma (ED)</v>
          </cell>
        </row>
        <row r="410">
          <cell r="D410" t="str">
            <v>KKM/JKN/HSA/10-05-01/H/18/136</v>
          </cell>
          <cell r="E410" t="str">
            <v>VENTILATOR</v>
          </cell>
          <cell r="F410" t="str">
            <v>MONNAL</v>
          </cell>
          <cell r="G410" t="str">
            <v>MONNAL T60</v>
          </cell>
          <cell r="H410" t="str">
            <v>MT60-06256</v>
          </cell>
          <cell r="I410" t="str">
            <v>SEMI ANNUALLY</v>
          </cell>
          <cell r="J410">
            <v>45714</v>
          </cell>
          <cell r="K410">
            <v>45894</v>
          </cell>
          <cell r="L410"/>
          <cell r="M410"/>
          <cell r="N410" t="str">
            <v>JABATAN KECEMASAN &amp; TRAUMA</v>
          </cell>
          <cell r="O410" t="str">
            <v>Jabatan Kecemasan &amp; Trauma (ED)</v>
          </cell>
        </row>
        <row r="411">
          <cell r="D411" t="str">
            <v>KKM/JKN/HSA/10-05-01/H/18/137</v>
          </cell>
          <cell r="E411" t="str">
            <v>PATIENT MONITORING EQUIP</v>
          </cell>
          <cell r="F411" t="str">
            <v>NIHON KOHDEN</v>
          </cell>
          <cell r="G411" t="str">
            <v xml:space="preserve"> SVM-7621</v>
          </cell>
          <cell r="H411">
            <v>2650</v>
          </cell>
          <cell r="I411" t="str">
            <v>ANNUALLY</v>
          </cell>
          <cell r="J411">
            <v>45895</v>
          </cell>
          <cell r="K411"/>
          <cell r="L411"/>
          <cell r="M411"/>
          <cell r="N411" t="str">
            <v>JABATAN KECEMASAN &amp; TRAUMA</v>
          </cell>
          <cell r="O411" t="str">
            <v>Jabatan Kecemasan &amp; Trauma (ED)</v>
          </cell>
        </row>
        <row r="412">
          <cell r="D412" t="str">
            <v>KKM/JKN/HSA/10-05-01/H/18/138</v>
          </cell>
          <cell r="E412" t="str">
            <v>PATIENT MONITORING EQUIP</v>
          </cell>
          <cell r="F412" t="str">
            <v>NIHON KOHDEN</v>
          </cell>
          <cell r="G412" t="str">
            <v xml:space="preserve"> SVM-7621</v>
          </cell>
          <cell r="H412">
            <v>2813</v>
          </cell>
          <cell r="I412" t="str">
            <v>ANNUALLY</v>
          </cell>
          <cell r="J412">
            <v>45895</v>
          </cell>
          <cell r="K412"/>
          <cell r="L412"/>
          <cell r="M412"/>
          <cell r="N412" t="str">
            <v>JABATAN KECEMASAN &amp; TRAUMA</v>
          </cell>
          <cell r="O412" t="str">
            <v>Jabatan Kecemasan &amp; Trauma (ED)</v>
          </cell>
        </row>
        <row r="413">
          <cell r="D413" t="str">
            <v>KKM/JKN/HSA/10-05-01/H/18/140</v>
          </cell>
          <cell r="E413" t="str">
            <v>INFUSION PUMP</v>
          </cell>
          <cell r="F413" t="str">
            <v>TOP</v>
          </cell>
          <cell r="G413" t="str">
            <v>TOP-2300</v>
          </cell>
          <cell r="H413" t="str">
            <v>18A0668</v>
          </cell>
          <cell r="I413" t="str">
            <v>ANNUALLY</v>
          </cell>
          <cell r="J413">
            <v>45936</v>
          </cell>
          <cell r="K413"/>
          <cell r="L413"/>
          <cell r="M413"/>
          <cell r="N413" t="str">
            <v>JABATAN KECEMASAN &amp; TRAUMA</v>
          </cell>
          <cell r="O413" t="str">
            <v>Jabatan Kecemasan &amp; Trauma (ED)</v>
          </cell>
        </row>
        <row r="414">
          <cell r="D414" t="str">
            <v>KKM/JKN/HSA/10-05-01/H/18/141</v>
          </cell>
          <cell r="E414" t="str">
            <v>INFUSION PUMP</v>
          </cell>
          <cell r="F414" t="str">
            <v>TOP</v>
          </cell>
          <cell r="G414" t="str">
            <v>TOP-2300</v>
          </cell>
          <cell r="H414" t="str">
            <v>18A0669</v>
          </cell>
          <cell r="I414" t="str">
            <v>ANNUALLY</v>
          </cell>
          <cell r="J414">
            <v>45936</v>
          </cell>
          <cell r="K414"/>
          <cell r="L414"/>
          <cell r="M414"/>
          <cell r="N414" t="str">
            <v>JABATAN KECEMASAN &amp; TRAUMA</v>
          </cell>
          <cell r="O414" t="str">
            <v>Jabatan Kecemasan &amp; Trauma (ED)</v>
          </cell>
        </row>
        <row r="415">
          <cell r="D415" t="str">
            <v>KKM/JKN/HSA/10-05-01/H/18/142</v>
          </cell>
          <cell r="E415" t="str">
            <v>INFUSION PUMP</v>
          </cell>
          <cell r="F415" t="str">
            <v>TOP</v>
          </cell>
          <cell r="G415" t="str">
            <v>TOP-2300</v>
          </cell>
          <cell r="H415" t="str">
            <v>18A0670</v>
          </cell>
          <cell r="I415" t="str">
            <v>ANNUALLY</v>
          </cell>
          <cell r="J415">
            <v>45936</v>
          </cell>
          <cell r="K415"/>
          <cell r="L415"/>
          <cell r="M415"/>
          <cell r="N415" t="str">
            <v>JABATAN KECEMASAN &amp; TRAUMA</v>
          </cell>
          <cell r="O415" t="str">
            <v>Jabatan Kecemasan &amp; Trauma (ED)</v>
          </cell>
        </row>
        <row r="416">
          <cell r="D416" t="str">
            <v>KKM/JKN/HSA/10-05-01/H/18/143</v>
          </cell>
          <cell r="E416" t="str">
            <v>GLIDESCOPE</v>
          </cell>
          <cell r="F416" t="str">
            <v>VERATHON</v>
          </cell>
          <cell r="G416" t="str">
            <v>GLIDESCOPE SPECTRUM</v>
          </cell>
          <cell r="H416" t="str">
            <v>AN184442</v>
          </cell>
          <cell r="I416" t="str">
            <v>ANNUALLY</v>
          </cell>
          <cell r="J416">
            <v>45936</v>
          </cell>
          <cell r="K416"/>
          <cell r="L416"/>
          <cell r="M416"/>
          <cell r="N416" t="str">
            <v>JABATAN KECEMASAN &amp; TRAUMA</v>
          </cell>
          <cell r="O416" t="str">
            <v>Jabatan Kecemasan &amp; Trauma (ED)</v>
          </cell>
        </row>
        <row r="417">
          <cell r="D417" t="str">
            <v>KKM/JKN/HSA/10-05-01/H/18/145</v>
          </cell>
          <cell r="E417" t="str">
            <v>AUTOPULSE MECHANICAL CPR SYSTEM</v>
          </cell>
          <cell r="F417" t="str">
            <v>N/A</v>
          </cell>
          <cell r="G417" t="str">
            <v>N/A</v>
          </cell>
          <cell r="H417">
            <v>41889</v>
          </cell>
          <cell r="I417" t="str">
            <v>ANNUALLY</v>
          </cell>
          <cell r="J417">
            <v>45895</v>
          </cell>
          <cell r="K417"/>
          <cell r="L417"/>
          <cell r="M417"/>
          <cell r="N417" t="str">
            <v>JABATAN KECEMASAN &amp; TRAUMA</v>
          </cell>
          <cell r="O417" t="str">
            <v>Jabatan Kecemasan &amp; Trauma (ED)</v>
          </cell>
        </row>
        <row r="418">
          <cell r="D418" t="str">
            <v>KKM/JKN/HSA/10-05-01/R/15/17039</v>
          </cell>
          <cell r="E418" t="str">
            <v>NEBULISER COMPRESSOR</v>
          </cell>
          <cell r="F418" t="str">
            <v>PHILIPS</v>
          </cell>
          <cell r="G418" t="str">
            <v>KK INNOSPIRE DELUXE</v>
          </cell>
          <cell r="H418" t="str">
            <v>N/A</v>
          </cell>
          <cell r="I418" t="str">
            <v>ANNUALLY</v>
          </cell>
          <cell r="J418">
            <v>45721</v>
          </cell>
          <cell r="K418"/>
          <cell r="L418"/>
          <cell r="M418"/>
          <cell r="N418" t="str">
            <v>JABATAN KECEMASAN &amp; TRAUMA</v>
          </cell>
          <cell r="O418" t="str">
            <v>Jabatan Kecemasan &amp; Trauma (ED)</v>
          </cell>
        </row>
        <row r="419">
          <cell r="D419" t="str">
            <v>KKM/JKN/HSA/10-05-01/R/15/17040</v>
          </cell>
          <cell r="E419" t="str">
            <v>NEBULISER COMPRESSOR</v>
          </cell>
          <cell r="F419" t="str">
            <v>PHILIPS</v>
          </cell>
          <cell r="G419" t="str">
            <v>KK INNOSPIRE DELUXE</v>
          </cell>
          <cell r="H419" t="str">
            <v>N/A</v>
          </cell>
          <cell r="I419" t="str">
            <v>ANNUALLY</v>
          </cell>
          <cell r="J419">
            <v>45721</v>
          </cell>
          <cell r="K419"/>
          <cell r="L419"/>
          <cell r="M419"/>
          <cell r="N419" t="str">
            <v>JABATAN KECEMASAN &amp; TRAUMA</v>
          </cell>
          <cell r="O419" t="str">
            <v>Jabatan Kecemasan &amp; Trauma (ED)</v>
          </cell>
        </row>
        <row r="420">
          <cell r="D420" t="str">
            <v>KKM/JKN/HSA/10-05-01/R/15/17058</v>
          </cell>
          <cell r="E420" t="str">
            <v>DIAGNOSTIC SET ADULT</v>
          </cell>
          <cell r="F420" t="str">
            <v>RUDOLF RIESTER, GMBH</v>
          </cell>
          <cell r="G420" t="str">
            <v>RI-SCOPE ENT 3761</v>
          </cell>
          <cell r="H420" t="str">
            <v>N/A</v>
          </cell>
          <cell r="I420" t="str">
            <v>ANNUALLY</v>
          </cell>
          <cell r="J420">
            <v>45790</v>
          </cell>
          <cell r="K420"/>
          <cell r="L420"/>
          <cell r="M420"/>
          <cell r="N420" t="str">
            <v>JABATAN KECEMASAN &amp; TRAUMA</v>
          </cell>
          <cell r="O420" t="str">
            <v>Jabatan Kecemasan &amp; Trauma (ED)</v>
          </cell>
        </row>
        <row r="421">
          <cell r="D421" t="str">
            <v>KKM/JKN/HSA/10-05-01/R/15/17059</v>
          </cell>
          <cell r="E421" t="str">
            <v>DIAGNOSTIC SET ADULT</v>
          </cell>
          <cell r="F421" t="str">
            <v>RUDOLF RIESTER, GMBH</v>
          </cell>
          <cell r="G421" t="str">
            <v>RI-SCOPE ENT 3761</v>
          </cell>
          <cell r="H421" t="str">
            <v>N/A</v>
          </cell>
          <cell r="I421" t="str">
            <v>ANNUALLY</v>
          </cell>
          <cell r="J421">
            <v>45794</v>
          </cell>
          <cell r="K421"/>
          <cell r="L421"/>
          <cell r="M421"/>
          <cell r="N421" t="str">
            <v>JABATAN KECEMASAN &amp; TRAUMA</v>
          </cell>
          <cell r="O421" t="str">
            <v>Jabatan Kecemasan &amp; Trauma (ED)</v>
          </cell>
        </row>
        <row r="422">
          <cell r="D422" t="str">
            <v>KKM/JKN/HSA/10-05-01/R/15/17060</v>
          </cell>
          <cell r="E422" t="str">
            <v>DIAGNOSTIC SET ADULT</v>
          </cell>
          <cell r="F422" t="str">
            <v>WELCH ALLYN</v>
          </cell>
          <cell r="G422" t="str">
            <v>97150-BI</v>
          </cell>
          <cell r="H422" t="str">
            <v>N/A</v>
          </cell>
          <cell r="I422" t="str">
            <v>ANNUALLY</v>
          </cell>
          <cell r="J422">
            <v>45721</v>
          </cell>
          <cell r="K422"/>
          <cell r="L422"/>
          <cell r="M422"/>
          <cell r="N422" t="str">
            <v>JABATAN KECEMASAN &amp; TRAUMA</v>
          </cell>
          <cell r="O422" t="str">
            <v>Jabatan Kecemasan &amp; Trauma (ED)</v>
          </cell>
        </row>
        <row r="423">
          <cell r="D423" t="str">
            <v>KKM/JKN/HSA/10-05-01/R/15/17061</v>
          </cell>
          <cell r="E423" t="str">
            <v>DIAGNOSTIC SET ADULT</v>
          </cell>
          <cell r="F423" t="str">
            <v>WELCH ALLYN</v>
          </cell>
          <cell r="G423" t="str">
            <v>97150-BI</v>
          </cell>
          <cell r="H423" t="str">
            <v>N/A</v>
          </cell>
          <cell r="I423" t="str">
            <v>ANNUALLY</v>
          </cell>
          <cell r="J423">
            <v>45721</v>
          </cell>
          <cell r="K423"/>
          <cell r="L423"/>
          <cell r="M423"/>
          <cell r="N423" t="str">
            <v>JABATAN KECEMASAN &amp; TRAUMA</v>
          </cell>
          <cell r="O423" t="str">
            <v>Jabatan Kecemasan &amp; Trauma (ED)</v>
          </cell>
        </row>
        <row r="424">
          <cell r="D424" t="str">
            <v>KKM/JKN/HSA/10-05-01/R/15/17065</v>
          </cell>
          <cell r="E424" t="str">
            <v>DIAGNOSTIC SET ADULT</v>
          </cell>
          <cell r="F424" t="str">
            <v>WELCH ALLYN</v>
          </cell>
          <cell r="G424" t="str">
            <v>97150-BI</v>
          </cell>
          <cell r="H424" t="str">
            <v>N/A</v>
          </cell>
          <cell r="I424" t="str">
            <v>ANNUALLY</v>
          </cell>
          <cell r="J424">
            <v>45721</v>
          </cell>
          <cell r="K424"/>
          <cell r="L424"/>
          <cell r="M424"/>
          <cell r="N424" t="str">
            <v>JABATAN KECEMASAN &amp; TRAUMA</v>
          </cell>
          <cell r="O424" t="str">
            <v>Jabatan Kecemasan &amp; Trauma (ED)</v>
          </cell>
        </row>
        <row r="425">
          <cell r="D425" t="str">
            <v>KKM/JKN/HSA/10-05-01/R/15/17066</v>
          </cell>
          <cell r="E425" t="str">
            <v>DIAGNOSTIC SET ADULT</v>
          </cell>
          <cell r="F425" t="str">
            <v>WELCH ALLYN</v>
          </cell>
          <cell r="G425" t="str">
            <v>97150-BI</v>
          </cell>
          <cell r="H425" t="str">
            <v>N/A</v>
          </cell>
          <cell r="I425" t="str">
            <v>ANNUALLY</v>
          </cell>
          <cell r="J425">
            <v>45721</v>
          </cell>
          <cell r="K425"/>
          <cell r="L425"/>
          <cell r="M425"/>
          <cell r="N425" t="str">
            <v>JABATAN KECEMASAN &amp; TRAUMA</v>
          </cell>
          <cell r="O425" t="str">
            <v>Jabatan Kecemasan &amp; Trauma (ED)</v>
          </cell>
        </row>
        <row r="426">
          <cell r="D426" t="str">
            <v>KKM/JKN/HSA/10-05-01/R/15/6743</v>
          </cell>
          <cell r="E426" t="str">
            <v>DIAGNOSTIC SET PAEDIATRIC</v>
          </cell>
          <cell r="F426" t="str">
            <v>RUDOLF RIESTER, GMBH</v>
          </cell>
          <cell r="G426" t="str">
            <v>ECONOM XL 3.5V 2053-202</v>
          </cell>
          <cell r="H426" t="str">
            <v>N/A</v>
          </cell>
          <cell r="I426" t="str">
            <v>ANNUALLY</v>
          </cell>
          <cell r="J426">
            <v>45905</v>
          </cell>
          <cell r="K426"/>
          <cell r="L426"/>
          <cell r="M426"/>
          <cell r="N426" t="str">
            <v>JABATAN KECEMASAN &amp; TRAUMA</v>
          </cell>
          <cell r="O426" t="str">
            <v>Jabatan Kecemasan &amp; Trauma (ED)</v>
          </cell>
        </row>
        <row r="427">
          <cell r="D427" t="str">
            <v>KKM/JKN/HSA/10-05-01/R/15/6756</v>
          </cell>
          <cell r="E427" t="str">
            <v>DIAGNOSTIC SET PAEDIATRIC</v>
          </cell>
          <cell r="F427" t="str">
            <v>RUDOLF RIESTER, GMBH</v>
          </cell>
          <cell r="G427" t="str">
            <v>ECONOM XL 3.5V 2053-202</v>
          </cell>
          <cell r="H427" t="str">
            <v>N/A</v>
          </cell>
          <cell r="I427" t="str">
            <v>ANNUALLY</v>
          </cell>
          <cell r="J427">
            <v>45909</v>
          </cell>
          <cell r="K427"/>
          <cell r="L427"/>
          <cell r="M427"/>
          <cell r="N427" t="str">
            <v>JABATAN KECEMASAN &amp; TRAUMA</v>
          </cell>
          <cell r="O427" t="str">
            <v>Jabatan Kecemasan &amp; Trauma (ED)</v>
          </cell>
        </row>
        <row r="428">
          <cell r="D428" t="str">
            <v>KKM/JKN/HSA/10-05-01/R/15/7023</v>
          </cell>
          <cell r="E428" t="str">
            <v>PRINTER FOR PRE-CONFIGURED MONITOR</v>
          </cell>
          <cell r="F428" t="str">
            <v>MINDRAY</v>
          </cell>
          <cell r="G428" t="str">
            <v>TR6B</v>
          </cell>
          <cell r="H428" t="str">
            <v>N/A</v>
          </cell>
          <cell r="I428" t="str">
            <v>ANNUALLY</v>
          </cell>
          <cell r="J428">
            <v>45878</v>
          </cell>
          <cell r="K428"/>
          <cell r="L428"/>
          <cell r="M428"/>
          <cell r="N428" t="str">
            <v>JABATAN KECEMASAN &amp; TRAUMA</v>
          </cell>
          <cell r="O428" t="str">
            <v>Jabatan Kecemasan &amp; Trauma (ED)</v>
          </cell>
        </row>
        <row r="429">
          <cell r="D429" t="str">
            <v>KKM/JKN/HSA/10-05-01/R/15/7353</v>
          </cell>
          <cell r="E429" t="str">
            <v>DIAGNOSTIC SET PAEDIATRIC</v>
          </cell>
          <cell r="F429" t="str">
            <v>RUDOLF RIESTER, GMBH</v>
          </cell>
          <cell r="G429" t="str">
            <v>ECONOM XL 3.5V 2053-216</v>
          </cell>
          <cell r="H429" t="str">
            <v>N/A</v>
          </cell>
          <cell r="I429" t="str">
            <v>ANNUALLY</v>
          </cell>
          <cell r="J429">
            <v>45878</v>
          </cell>
          <cell r="K429"/>
          <cell r="L429"/>
          <cell r="M429"/>
          <cell r="N429" t="str">
            <v>JABATAN PERUBATAN AM</v>
          </cell>
          <cell r="O429" t="str">
            <v>Unit Rawatan Perubatan Harian (MDC)</v>
          </cell>
        </row>
        <row r="430">
          <cell r="D430" t="str">
            <v>KKM/JKN/HSA/10-05-01/H/15/1125</v>
          </cell>
          <cell r="E430" t="str">
            <v>SUCTION APPARATUS</v>
          </cell>
          <cell r="F430" t="str">
            <v>OHIO</v>
          </cell>
          <cell r="G430" t="str">
            <v>ALLIED HEALTHCARE/ 01-23-3840</v>
          </cell>
          <cell r="H430" t="str">
            <v>GFHT60019</v>
          </cell>
          <cell r="I430" t="str">
            <v>ANNUALLY</v>
          </cell>
          <cell r="J430">
            <v>45694</v>
          </cell>
          <cell r="K430"/>
          <cell r="L430"/>
          <cell r="M430"/>
          <cell r="N430" t="str">
            <v>JABATAN KECEMASAN &amp; TRAUMA</v>
          </cell>
          <cell r="O430" t="str">
            <v>Jabatan Kecemasan &amp; Trauma (ED)</v>
          </cell>
        </row>
        <row r="431">
          <cell r="D431" t="str">
            <v>KKM/JKN/HSA/10-05-01/H/15/1167</v>
          </cell>
          <cell r="E431" t="str">
            <v>SUCTION APPARATUS</v>
          </cell>
          <cell r="F431" t="str">
            <v>CLEMENTS MEDICAL EQUIP</v>
          </cell>
          <cell r="G431" t="str">
            <v>HiVacSUC84109</v>
          </cell>
          <cell r="H431" t="str">
            <v>N/A</v>
          </cell>
          <cell r="I431" t="str">
            <v>ANNUALLY</v>
          </cell>
          <cell r="J431">
            <v>45721</v>
          </cell>
          <cell r="K431"/>
          <cell r="L431"/>
          <cell r="M431"/>
          <cell r="N431" t="str">
            <v>JABATAN KECEMASAN &amp; TRAUMA</v>
          </cell>
          <cell r="O431" t="str">
            <v>Jabatan Kecemasan &amp; Trauma (ED)</v>
          </cell>
        </row>
        <row r="432">
          <cell r="D432" t="str">
            <v>KKM/JKN/HSA/10-05-01/H/15/1171</v>
          </cell>
          <cell r="E432" t="str">
            <v>INFUSION PUMP</v>
          </cell>
          <cell r="F432" t="str">
            <v>FRESENIUS KABI</v>
          </cell>
          <cell r="G432" t="str">
            <v>LINK 8+ AGILIA/MOBILE STAND</v>
          </cell>
          <cell r="H432" t="str">
            <v>019130/22235962</v>
          </cell>
          <cell r="I432" t="str">
            <v>ANNUALLY</v>
          </cell>
          <cell r="J432">
            <v>45755</v>
          </cell>
          <cell r="K432"/>
          <cell r="L432"/>
          <cell r="M432"/>
          <cell r="N432" t="str">
            <v>JABATAN KECEMASAN &amp; TRAUMA</v>
          </cell>
          <cell r="O432" t="str">
            <v>Jabatan Kecemasan &amp; Trauma (ED)</v>
          </cell>
        </row>
        <row r="433">
          <cell r="D433" t="str">
            <v>KKM/JKN/HSA/10-05-01/H/15/1172</v>
          </cell>
          <cell r="E433" t="str">
            <v>INFUSION PUMP</v>
          </cell>
          <cell r="F433" t="str">
            <v>FRESENIUS KABI</v>
          </cell>
          <cell r="G433" t="str">
            <v>LINK 8+ AGILIA/MOBILE STAND</v>
          </cell>
          <cell r="H433" t="str">
            <v>019130/3335961</v>
          </cell>
          <cell r="I433" t="str">
            <v>ANNUALLY</v>
          </cell>
          <cell r="J433">
            <v>45755</v>
          </cell>
          <cell r="K433"/>
          <cell r="L433"/>
          <cell r="M433"/>
          <cell r="N433" t="str">
            <v>JABATAN KECEMASAN &amp; TRAUMA</v>
          </cell>
          <cell r="O433" t="str">
            <v>Jabatan Kecemasan &amp; Trauma (ED)</v>
          </cell>
        </row>
        <row r="434">
          <cell r="D434" t="str">
            <v>KKM/JKN/HSA/10-05-01/H/15/1173</v>
          </cell>
          <cell r="E434" t="str">
            <v>INFUSION PUMP</v>
          </cell>
          <cell r="F434" t="str">
            <v>FRESENIUS KABI</v>
          </cell>
          <cell r="G434" t="str">
            <v>LINK 8+ AGILIA/MOBILE STAND</v>
          </cell>
          <cell r="H434" t="str">
            <v>019130/22170893</v>
          </cell>
          <cell r="I434" t="str">
            <v>ANNUALLY</v>
          </cell>
          <cell r="J434">
            <v>45755</v>
          </cell>
          <cell r="K434"/>
          <cell r="L434"/>
          <cell r="M434"/>
          <cell r="N434" t="str">
            <v>JABATAN KECEMASAN &amp; TRAUMA</v>
          </cell>
          <cell r="O434" t="str">
            <v>Jabatan Kecemasan &amp; Trauma (ED)</v>
          </cell>
        </row>
        <row r="435">
          <cell r="D435" t="str">
            <v>KKM/JKN/HSA/10-05-01/H/15/1174</v>
          </cell>
          <cell r="E435" t="str">
            <v>INFUSION PUMP</v>
          </cell>
          <cell r="F435" t="str">
            <v>FRESENIUS KABI</v>
          </cell>
          <cell r="G435" t="str">
            <v>LINK 8+ AGILIA/MOBILE STAND</v>
          </cell>
          <cell r="H435" t="str">
            <v>019130/22235245</v>
          </cell>
          <cell r="I435" t="str">
            <v>ANNUALLY</v>
          </cell>
          <cell r="J435">
            <v>45755</v>
          </cell>
          <cell r="K435"/>
          <cell r="L435"/>
          <cell r="M435"/>
          <cell r="N435" t="str">
            <v>JABATAN KECEMASAN &amp; TRAUMA</v>
          </cell>
          <cell r="O435" t="str">
            <v>Jabatan Kecemasan &amp; Trauma (ED)</v>
          </cell>
        </row>
        <row r="436">
          <cell r="D436" t="str">
            <v>KKM/JKN/HSA/10-05-01/H/15/1580</v>
          </cell>
          <cell r="E436" t="str">
            <v>INFANT WARMER (RADIANT)</v>
          </cell>
          <cell r="F436" t="str">
            <v>DRAEGER</v>
          </cell>
          <cell r="G436" t="str">
            <v>RESUSCITAIRE RW-82</v>
          </cell>
          <cell r="H436" t="str">
            <v>AU01146</v>
          </cell>
          <cell r="I436" t="str">
            <v>ANNUALLY</v>
          </cell>
          <cell r="J436">
            <v>45698</v>
          </cell>
          <cell r="K436"/>
          <cell r="L436"/>
          <cell r="M436"/>
          <cell r="N436" t="str">
            <v>JABATAN KECEMASAN &amp; TRAUMA</v>
          </cell>
          <cell r="O436" t="str">
            <v>Jabatan Kecemasan &amp; Trauma (ED)</v>
          </cell>
        </row>
        <row r="437">
          <cell r="D437" t="str">
            <v>KKM/JKN/HSA/10-05-01/H/15/2084</v>
          </cell>
          <cell r="E437" t="str">
            <v>PATIENT MONITORING EQUIP.(AUTOMATIC MULTIPARAMETER)</v>
          </cell>
          <cell r="F437" t="str">
            <v>MINDRAY</v>
          </cell>
          <cell r="G437" t="str">
            <v>IMEC 12</v>
          </cell>
          <cell r="H437" t="str">
            <v>EV-45011620</v>
          </cell>
          <cell r="I437" t="str">
            <v>ANNUALLY</v>
          </cell>
          <cell r="J437">
            <v>45779</v>
          </cell>
          <cell r="K437"/>
          <cell r="L437"/>
          <cell r="M437"/>
          <cell r="N437" t="str">
            <v>JABATAN KECEMASAN &amp; TRAUMA</v>
          </cell>
          <cell r="O437" t="str">
            <v>Jabatan Kecemasan &amp; Trauma (ED)</v>
          </cell>
        </row>
        <row r="438">
          <cell r="D438" t="str">
            <v>KKM/JKN/HSA/10-05-01/H/15/2085</v>
          </cell>
          <cell r="E438" t="str">
            <v>PATIENT MONITORING EQUIP.(AUTOMATIC MULTIPARAMETER)</v>
          </cell>
          <cell r="F438" t="str">
            <v>MINDRAY</v>
          </cell>
          <cell r="G438" t="str">
            <v>IMEC 12</v>
          </cell>
          <cell r="H438" t="str">
            <v>EV-45011619</v>
          </cell>
          <cell r="I438" t="str">
            <v>ANNUALLY</v>
          </cell>
          <cell r="J438">
            <v>45779</v>
          </cell>
          <cell r="K438"/>
          <cell r="L438"/>
          <cell r="M438"/>
          <cell r="N438" t="str">
            <v>JABATAN KECEMASAN &amp; TRAUMA</v>
          </cell>
          <cell r="O438" t="str">
            <v>Jabatan Kecemasan &amp; Trauma (ED)</v>
          </cell>
        </row>
        <row r="439">
          <cell r="D439" t="str">
            <v>KKM/JKN/HSA/10-05-01/H/15/2086</v>
          </cell>
          <cell r="E439" t="str">
            <v>PATIENT MONITORING EQUIP.(AUTOMATIC MULTIPARAMETER)</v>
          </cell>
          <cell r="F439" t="str">
            <v>MINDRAY</v>
          </cell>
          <cell r="G439" t="str">
            <v>IMEC 12</v>
          </cell>
          <cell r="H439" t="str">
            <v>EV-45011606</v>
          </cell>
          <cell r="I439" t="str">
            <v>ANNUALLY</v>
          </cell>
          <cell r="J439">
            <v>45779</v>
          </cell>
          <cell r="K439"/>
          <cell r="L439"/>
          <cell r="M439"/>
          <cell r="N439" t="str">
            <v>JABATAN KECEMASAN &amp; TRAUMA</v>
          </cell>
          <cell r="O439" t="str">
            <v>Jabatan Kecemasan &amp; Trauma (ED)</v>
          </cell>
        </row>
        <row r="440">
          <cell r="D440" t="str">
            <v>KKM/JKN/HSA/10-05-01/H/15/2087</v>
          </cell>
          <cell r="E440" t="str">
            <v>PATIENT MONITORING EQUIP.(AUTOMATIC MULTIPARAMETER)</v>
          </cell>
          <cell r="F440" t="str">
            <v>MINDRAY</v>
          </cell>
          <cell r="G440" t="str">
            <v>IMEC 12</v>
          </cell>
          <cell r="H440" t="str">
            <v>EV-45011616</v>
          </cell>
          <cell r="I440" t="str">
            <v>ANNUALLY</v>
          </cell>
          <cell r="J440">
            <v>45779</v>
          </cell>
          <cell r="K440"/>
          <cell r="L440"/>
          <cell r="M440"/>
          <cell r="N440" t="str">
            <v>JABATAN KECEMASAN &amp; TRAUMA</v>
          </cell>
          <cell r="O440" t="str">
            <v>Jabatan Kecemasan &amp; Trauma (ED)</v>
          </cell>
        </row>
        <row r="441">
          <cell r="D441" t="str">
            <v>KKM/JKN/HSA/10-05-01/H/15/2088</v>
          </cell>
          <cell r="E441" t="str">
            <v>PATIENT MONITORING EQUIP.(AUTOMATIC MULTIPARAMETER)</v>
          </cell>
          <cell r="F441" t="str">
            <v>MINDRAY</v>
          </cell>
          <cell r="G441" t="str">
            <v>IMEC 12</v>
          </cell>
          <cell r="H441" t="str">
            <v>EV-45011617</v>
          </cell>
          <cell r="I441" t="str">
            <v>ANNUALLY</v>
          </cell>
          <cell r="J441">
            <v>45781</v>
          </cell>
          <cell r="K441"/>
          <cell r="L441"/>
          <cell r="M441"/>
          <cell r="N441" t="str">
            <v>JABATAN KECEMASAN &amp; TRAUMA</v>
          </cell>
          <cell r="O441" t="str">
            <v>Jabatan Kecemasan &amp; Trauma (ED)</v>
          </cell>
        </row>
        <row r="442">
          <cell r="D442" t="str">
            <v>KKM/JKN/HSA/10-05-01/H/15/2089</v>
          </cell>
          <cell r="E442" t="str">
            <v>PATIENT MONITORING EQUIP.(AUTOMATIC MULTIPARAMETER)</v>
          </cell>
          <cell r="F442" t="str">
            <v>MINDRAY</v>
          </cell>
          <cell r="G442" t="str">
            <v>IMEC 12</v>
          </cell>
          <cell r="H442" t="str">
            <v>EV-45011608</v>
          </cell>
          <cell r="I442" t="str">
            <v>ANNUALLY</v>
          </cell>
          <cell r="J442">
            <v>45781</v>
          </cell>
          <cell r="K442"/>
          <cell r="L442"/>
          <cell r="M442"/>
          <cell r="N442" t="str">
            <v>JABATAN KECEMASAN &amp; TRAUMA</v>
          </cell>
          <cell r="O442" t="str">
            <v>Jabatan Kecemasan &amp; Trauma (ED)</v>
          </cell>
        </row>
        <row r="443">
          <cell r="D443" t="str">
            <v>KKM/JKN/HSA/10-05-01/H/15/2090</v>
          </cell>
          <cell r="E443" t="str">
            <v>PATIENT MONITORING EQUIP.(AUTOMATIC MULTIPARAMETER)</v>
          </cell>
          <cell r="F443" t="str">
            <v>MINDRAY</v>
          </cell>
          <cell r="G443" t="str">
            <v>IMEC 12</v>
          </cell>
          <cell r="H443" t="str">
            <v>EV-45011618</v>
          </cell>
          <cell r="I443" t="str">
            <v>ANNUALLY</v>
          </cell>
          <cell r="J443">
            <v>45781</v>
          </cell>
          <cell r="K443"/>
          <cell r="L443"/>
          <cell r="M443"/>
          <cell r="N443" t="str">
            <v>JABATAN KECEMASAN &amp; TRAUMA</v>
          </cell>
          <cell r="O443" t="str">
            <v>Jabatan Kecemasan &amp; Trauma (ED)</v>
          </cell>
        </row>
        <row r="444">
          <cell r="D444" t="str">
            <v>KKM/JKN/HSA/10-05-01/H/15/2091</v>
          </cell>
          <cell r="E444" t="str">
            <v>PATIENT MONITORING EQUIP.(AUTOMATIC MULTIPARAMETER)</v>
          </cell>
          <cell r="F444" t="str">
            <v>MINDRAY</v>
          </cell>
          <cell r="G444" t="str">
            <v>IMEC 12</v>
          </cell>
          <cell r="H444" t="str">
            <v>EV-45011610</v>
          </cell>
          <cell r="I444" t="str">
            <v>ANNUALLY</v>
          </cell>
          <cell r="J444">
            <v>45781</v>
          </cell>
          <cell r="K444"/>
          <cell r="L444"/>
          <cell r="M444"/>
          <cell r="N444" t="str">
            <v>JABATAN KECEMASAN &amp; TRAUMA</v>
          </cell>
          <cell r="O444" t="str">
            <v>Jabatan Kecemasan &amp; Trauma (ED)</v>
          </cell>
        </row>
        <row r="445">
          <cell r="D445" t="str">
            <v>KKM/JKN/HSA/10-05-01/H/15/2092</v>
          </cell>
          <cell r="E445" t="str">
            <v>PATIENT MONITORING EQUIP.(AUTOMATIC MULTIPARAMETER)</v>
          </cell>
          <cell r="F445" t="str">
            <v>MINDRAY</v>
          </cell>
          <cell r="G445" t="str">
            <v>IMEC 12</v>
          </cell>
          <cell r="H445" t="str">
            <v>EV-45011645</v>
          </cell>
          <cell r="I445" t="str">
            <v>ANNUALLY</v>
          </cell>
          <cell r="J445">
            <v>45781</v>
          </cell>
          <cell r="K445"/>
          <cell r="L445"/>
          <cell r="M445"/>
          <cell r="N445" t="str">
            <v>JABATAN KECEMASAN &amp; TRAUMA</v>
          </cell>
          <cell r="O445" t="str">
            <v>Jabatan Kecemasan &amp; Trauma (ED)</v>
          </cell>
        </row>
        <row r="446">
          <cell r="D446" t="str">
            <v>KKM/JKN/HSA/10-05-01/H/15/2093</v>
          </cell>
          <cell r="E446" t="str">
            <v>PATIENT MONITORING EQUIP.(AUTOMATIC MULTIPARAMETER)</v>
          </cell>
          <cell r="F446" t="str">
            <v>MINDRAY</v>
          </cell>
          <cell r="G446" t="str">
            <v>IMEC12</v>
          </cell>
          <cell r="H446" t="str">
            <v>EV-45011612</v>
          </cell>
          <cell r="I446" t="str">
            <v>ANNUALLY</v>
          </cell>
          <cell r="J446">
            <v>45758</v>
          </cell>
          <cell r="K446"/>
          <cell r="L446"/>
          <cell r="M446"/>
          <cell r="N446" t="str">
            <v>JABATAN KECEMASAN &amp; TRAUMA</v>
          </cell>
          <cell r="O446" t="str">
            <v>Jabatan Kecemasan &amp; Trauma (ED)</v>
          </cell>
        </row>
        <row r="447">
          <cell r="D447" t="str">
            <v>KKM/JKN/HSA/10-05-01/H/15/2094</v>
          </cell>
          <cell r="E447" t="str">
            <v>PATIENT MONITORING EQUIP.(AUTOMATIC MULTIPARAMETER)</v>
          </cell>
          <cell r="F447" t="str">
            <v>MINDRAY</v>
          </cell>
          <cell r="G447" t="str">
            <v>IMEC 12</v>
          </cell>
          <cell r="H447" t="str">
            <v>EV-45011614</v>
          </cell>
          <cell r="I447" t="str">
            <v>ANNUALLY</v>
          </cell>
          <cell r="J447">
            <v>45758</v>
          </cell>
          <cell r="K447"/>
          <cell r="L447"/>
          <cell r="M447"/>
          <cell r="N447" t="str">
            <v>JABATAN KECEMASAN &amp; TRAUMA</v>
          </cell>
          <cell r="O447" t="str">
            <v>Jabatan Kecemasan &amp; Trauma (ED)</v>
          </cell>
        </row>
        <row r="448">
          <cell r="D448" t="str">
            <v>KKM/JKN/HSA/10-05-01/H/15/2095</v>
          </cell>
          <cell r="E448" t="str">
            <v>PATIENT MONITORING EQUIP.(AUTOMATIC MULTIPARAMETER)</v>
          </cell>
          <cell r="F448" t="str">
            <v>MINDRAY</v>
          </cell>
          <cell r="G448" t="str">
            <v>IMEC 12</v>
          </cell>
          <cell r="H448" t="str">
            <v>EV-45011615</v>
          </cell>
          <cell r="I448" t="str">
            <v>ANNUALLY</v>
          </cell>
          <cell r="J448">
            <v>45758</v>
          </cell>
          <cell r="K448"/>
          <cell r="L448"/>
          <cell r="M448"/>
          <cell r="N448" t="str">
            <v>JABATAN KECEMASAN &amp; TRAUMA</v>
          </cell>
          <cell r="O448" t="str">
            <v>Jabatan Kecemasan &amp; Trauma (ED)</v>
          </cell>
        </row>
        <row r="449">
          <cell r="D449" t="str">
            <v>KKM/JKN/HSA/10-05-01/H/15/2096</v>
          </cell>
          <cell r="E449" t="str">
            <v>PATIENT MONITORING EQUIP.(AUTOMATIC MULTIPARAMETER)</v>
          </cell>
          <cell r="F449" t="str">
            <v>MINDRAY</v>
          </cell>
          <cell r="G449" t="str">
            <v>IMEC 12</v>
          </cell>
          <cell r="H449" t="str">
            <v>EV-45011613</v>
          </cell>
          <cell r="I449" t="str">
            <v>ANNUALLY</v>
          </cell>
          <cell r="J449">
            <v>45759</v>
          </cell>
          <cell r="K449"/>
          <cell r="L449"/>
          <cell r="M449"/>
          <cell r="N449" t="str">
            <v>JABATAN KECEMASAN &amp; TRAUMA</v>
          </cell>
          <cell r="O449" t="str">
            <v>Jabatan Kecemasan &amp; Trauma (ED)</v>
          </cell>
        </row>
        <row r="450">
          <cell r="D450" t="str">
            <v>KKM/JKN/HSA/10-05-01/H/15/2097</v>
          </cell>
          <cell r="E450" t="str">
            <v>PATIENT MONITORING EQUIP.(AUTOMATIC MULTIPARAMETER)</v>
          </cell>
          <cell r="F450" t="str">
            <v>MINDRAY</v>
          </cell>
          <cell r="G450" t="str">
            <v>IMEC 12</v>
          </cell>
          <cell r="H450" t="str">
            <v>EV-45011607</v>
          </cell>
          <cell r="I450" t="str">
            <v>ANNUALLY</v>
          </cell>
          <cell r="J450">
            <v>45759</v>
          </cell>
          <cell r="K450"/>
          <cell r="L450"/>
          <cell r="M450"/>
          <cell r="N450" t="str">
            <v>JABATAN KECEMASAN &amp; TRAUMA</v>
          </cell>
          <cell r="O450" t="str">
            <v>Jabatan Kecemasan &amp; Trauma (ED)</v>
          </cell>
        </row>
        <row r="451">
          <cell r="D451" t="str">
            <v>KKM/JKN/HSA/10-05-01/H/15/2098</v>
          </cell>
          <cell r="E451" t="str">
            <v>PATIENT MONITORING EQUIP.(AUTOMATIC MULTIPARAMETER)</v>
          </cell>
          <cell r="F451" t="str">
            <v>MINDRAY</v>
          </cell>
          <cell r="G451" t="str">
            <v>IMEC 12</v>
          </cell>
          <cell r="H451" t="str">
            <v>EV-45011609</v>
          </cell>
          <cell r="I451" t="str">
            <v>ANNUALLY</v>
          </cell>
          <cell r="J451">
            <v>45759</v>
          </cell>
          <cell r="K451"/>
          <cell r="L451"/>
          <cell r="M451"/>
          <cell r="N451" t="str">
            <v>JABATAN KECEMASAN &amp; TRAUMA</v>
          </cell>
          <cell r="O451" t="str">
            <v>Jabatan Kecemasan &amp; Trauma (ED)</v>
          </cell>
        </row>
        <row r="452">
          <cell r="D452" t="str">
            <v>KKM/JKN/HSA/10-05-01/H/15/2099</v>
          </cell>
          <cell r="E452" t="str">
            <v>PATIENT MONITORING EQUIP.(AUTOMATIC MULTIPARAMETER)</v>
          </cell>
          <cell r="F452" t="str">
            <v>MINDRAY</v>
          </cell>
          <cell r="G452" t="str">
            <v>IMEC 12</v>
          </cell>
          <cell r="H452" t="str">
            <v>EV-45011611</v>
          </cell>
          <cell r="I452" t="str">
            <v>ANNUALLY</v>
          </cell>
          <cell r="J452">
            <v>45759</v>
          </cell>
          <cell r="K452"/>
          <cell r="L452"/>
          <cell r="M452"/>
          <cell r="N452" t="str">
            <v>JABATAN KECEMASAN &amp; TRAUMA</v>
          </cell>
          <cell r="O452" t="str">
            <v>Jabatan Kecemasan &amp; Trauma (ED)</v>
          </cell>
        </row>
        <row r="453">
          <cell r="D453" t="str">
            <v>KKM/JKN/HSA/10-05-01/H/15/2121</v>
          </cell>
          <cell r="E453" t="str">
            <v>SUCTION APPARATUS</v>
          </cell>
          <cell r="F453" t="str">
            <v>CAMI</v>
          </cell>
          <cell r="G453" t="str">
            <v>ASKIR 30</v>
          </cell>
          <cell r="H453" t="str">
            <v>5930</v>
          </cell>
          <cell r="I453" t="str">
            <v>ANNUALLY</v>
          </cell>
          <cell r="J453">
            <v>45786</v>
          </cell>
          <cell r="K453"/>
          <cell r="L453"/>
          <cell r="M453"/>
          <cell r="N453" t="str">
            <v>JABATAN KECEMASAN &amp; TRAUMA</v>
          </cell>
          <cell r="O453" t="str">
            <v>Jabatan Kecemasan &amp; Trauma (ED)</v>
          </cell>
        </row>
        <row r="454">
          <cell r="D454" t="str">
            <v>KKM/JKN/HSA/10-05-01/H/15/2122</v>
          </cell>
          <cell r="E454" t="str">
            <v>SUCTION APPARATUS</v>
          </cell>
          <cell r="F454" t="str">
            <v>CAMI</v>
          </cell>
          <cell r="G454" t="str">
            <v>ASKIR 30</v>
          </cell>
          <cell r="H454" t="str">
            <v>5895</v>
          </cell>
          <cell r="I454" t="str">
            <v>ANNUALLY</v>
          </cell>
          <cell r="J454">
            <v>45786</v>
          </cell>
          <cell r="K454"/>
          <cell r="L454"/>
          <cell r="M454"/>
          <cell r="N454" t="str">
            <v>JABATAN KECEMASAN &amp; TRAUMA</v>
          </cell>
          <cell r="O454" t="str">
            <v>Jabatan Kecemasan &amp; Trauma (ED)</v>
          </cell>
        </row>
        <row r="455">
          <cell r="D455" t="str">
            <v>KKM/JKN/HSA/10-05-01/H/15/2123</v>
          </cell>
          <cell r="E455" t="str">
            <v>SUCTION APPARATUS</v>
          </cell>
          <cell r="F455" t="str">
            <v>CAMI</v>
          </cell>
          <cell r="G455" t="str">
            <v>ASKIR 30</v>
          </cell>
          <cell r="H455" t="str">
            <v>5929</v>
          </cell>
          <cell r="I455" t="str">
            <v>ANNUALLY</v>
          </cell>
          <cell r="J455">
            <v>45786</v>
          </cell>
          <cell r="K455"/>
          <cell r="L455"/>
          <cell r="M455"/>
          <cell r="N455" t="str">
            <v>JABATAN KECEMASAN &amp; TRAUMA</v>
          </cell>
          <cell r="O455" t="str">
            <v>Jabatan Kecemasan &amp; Trauma (ED)</v>
          </cell>
        </row>
        <row r="456">
          <cell r="D456" t="str">
            <v>KKM/JKN/HSA/10-05-01/H/15/2126</v>
          </cell>
          <cell r="E456" t="str">
            <v>SUCTION APPARATUS</v>
          </cell>
          <cell r="F456" t="str">
            <v>CAMI</v>
          </cell>
          <cell r="G456" t="str">
            <v>ASKIR 30</v>
          </cell>
          <cell r="H456" t="str">
            <v>5900</v>
          </cell>
          <cell r="I456" t="str">
            <v>ANNUALLY</v>
          </cell>
          <cell r="J456">
            <v>45786</v>
          </cell>
          <cell r="K456"/>
          <cell r="L456"/>
          <cell r="M456"/>
          <cell r="N456" t="str">
            <v>JABATAN KECEMASAN &amp; TRAUMA</v>
          </cell>
          <cell r="O456" t="str">
            <v>Jabatan Kecemasan &amp; Trauma (ED)</v>
          </cell>
        </row>
        <row r="457">
          <cell r="D457" t="str">
            <v>KKM/JKN/HSA/10-05-01/H/15/2431</v>
          </cell>
          <cell r="E457" t="str">
            <v>PATIENT WARMER (BLANKET)</v>
          </cell>
          <cell r="F457" t="str">
            <v>CARE ESSENTIAL PTE</v>
          </cell>
          <cell r="G457" t="str">
            <v>COCOON CWS4000</v>
          </cell>
          <cell r="H457" t="str">
            <v>CWS4-2360-14</v>
          </cell>
          <cell r="I457" t="str">
            <v>ANNUALLY</v>
          </cell>
          <cell r="J457">
            <v>45786</v>
          </cell>
          <cell r="K457"/>
          <cell r="L457"/>
          <cell r="M457"/>
          <cell r="N457" t="str">
            <v>JABATAN KECEMASAN &amp; TRAUMA</v>
          </cell>
          <cell r="O457" t="str">
            <v>Jabatan Kecemasan &amp; Trauma (ED)</v>
          </cell>
        </row>
        <row r="458">
          <cell r="D458" t="str">
            <v>KKM/JKN/HSA/10-05-01/H/15/2432</v>
          </cell>
          <cell r="E458" t="str">
            <v>PATIENT WARMER (BLANKET)</v>
          </cell>
          <cell r="F458" t="str">
            <v>CARE ESSENTIAL PTE</v>
          </cell>
          <cell r="G458" t="str">
            <v>COCOON CWS4000</v>
          </cell>
          <cell r="H458" t="str">
            <v>CWS4-2348-14</v>
          </cell>
          <cell r="I458" t="str">
            <v>ANNUALLY</v>
          </cell>
          <cell r="J458">
            <v>45786</v>
          </cell>
          <cell r="K458"/>
          <cell r="L458"/>
          <cell r="M458"/>
          <cell r="N458" t="str">
            <v>JABATAN KECEMASAN &amp; TRAUMA</v>
          </cell>
          <cell r="O458" t="str">
            <v>Jabatan Kecemasan &amp; Trauma (ED)</v>
          </cell>
        </row>
        <row r="459">
          <cell r="D459" t="str">
            <v>KKM/JKN/HSA/10-05-01/H/15/2433</v>
          </cell>
          <cell r="E459" t="str">
            <v>PATIENT WARMER (BLANKET)</v>
          </cell>
          <cell r="F459" t="str">
            <v>CARE ESSENTIAL PTE</v>
          </cell>
          <cell r="G459" t="str">
            <v>COCOON CWS4000</v>
          </cell>
          <cell r="H459" t="str">
            <v>CWS4-2352-14</v>
          </cell>
          <cell r="I459" t="str">
            <v>ANNUALLY</v>
          </cell>
          <cell r="J459">
            <v>45786</v>
          </cell>
          <cell r="K459"/>
          <cell r="L459"/>
          <cell r="M459"/>
          <cell r="N459" t="str">
            <v>JABATAN KECEMASAN &amp; TRAUMA</v>
          </cell>
          <cell r="O459" t="str">
            <v>Jabatan Kecemasan &amp; Trauma (ED)</v>
          </cell>
        </row>
        <row r="460">
          <cell r="D460" t="str">
            <v>KKM/JKN/HSA/10-05-01/H/15/2434</v>
          </cell>
          <cell r="E460" t="str">
            <v>PATIENT WARMER (BLANKET)</v>
          </cell>
          <cell r="F460" t="str">
            <v>CARE ESSENTIAL PTE</v>
          </cell>
          <cell r="G460" t="str">
            <v>COCOON CWS4000</v>
          </cell>
          <cell r="H460" t="str">
            <v>CWS4-2351-14</v>
          </cell>
          <cell r="I460" t="str">
            <v>ANNUALLY</v>
          </cell>
          <cell r="J460">
            <v>45786</v>
          </cell>
          <cell r="K460"/>
          <cell r="L460"/>
          <cell r="M460"/>
          <cell r="N460" t="str">
            <v>JABATAN KECEMASAN &amp; TRAUMA</v>
          </cell>
          <cell r="O460" t="str">
            <v>Jabatan Kecemasan &amp; Trauma (ED)</v>
          </cell>
        </row>
        <row r="461">
          <cell r="D461" t="str">
            <v>KKM/JKN/HSA/10-05-01/H/15/2467</v>
          </cell>
          <cell r="E461" t="str">
            <v>ULTRASOUND SCANNER</v>
          </cell>
          <cell r="F461" t="str">
            <v>SIEMENS</v>
          </cell>
          <cell r="G461" t="str">
            <v>ACUSON X300 PE</v>
          </cell>
          <cell r="H461" t="str">
            <v>348423</v>
          </cell>
          <cell r="I461" t="str">
            <v>SEMI ANNUALLY</v>
          </cell>
          <cell r="J461">
            <v>45763</v>
          </cell>
          <cell r="K461">
            <v>45945</v>
          </cell>
          <cell r="L461"/>
          <cell r="M461"/>
          <cell r="N461" t="str">
            <v>JABATAN KECEMASAN &amp; TRAUMA</v>
          </cell>
          <cell r="O461" t="str">
            <v>Jabatan Kecemasan &amp; Trauma (ED)</v>
          </cell>
        </row>
        <row r="462">
          <cell r="D462" t="str">
            <v>KKM/JKN/HSA/10-05-01/H/15/2778</v>
          </cell>
          <cell r="E462" t="str">
            <v>INFUSION PUMP</v>
          </cell>
          <cell r="F462" t="str">
            <v>FRESENIUS KABI</v>
          </cell>
          <cell r="G462" t="str">
            <v>MODULE MVP+MS</v>
          </cell>
          <cell r="H462" t="str">
            <v>083091/22202940</v>
          </cell>
          <cell r="I462" t="str">
            <v>ANNUALLY</v>
          </cell>
          <cell r="J462">
            <v>45852</v>
          </cell>
          <cell r="K462"/>
          <cell r="L462"/>
          <cell r="M462"/>
          <cell r="N462" t="str">
            <v>JABATAN KECEMASAN &amp; TRAUMA</v>
          </cell>
          <cell r="O462" t="str">
            <v>Jabatan Kecemasan &amp; Trauma (ED)</v>
          </cell>
        </row>
        <row r="463">
          <cell r="D463" t="str">
            <v>KKM/JKN/HSA/10-05-01/H/15/2780</v>
          </cell>
          <cell r="E463" t="str">
            <v>INFUSION PUMP</v>
          </cell>
          <cell r="F463" t="str">
            <v>FRESENIUS KABI</v>
          </cell>
          <cell r="G463" t="str">
            <v>MODULE MVP+MS</v>
          </cell>
          <cell r="H463" t="str">
            <v>083091/22202939</v>
          </cell>
          <cell r="I463" t="str">
            <v>ANNUALLY</v>
          </cell>
          <cell r="J463">
            <v>45852</v>
          </cell>
          <cell r="K463"/>
          <cell r="L463"/>
          <cell r="M463"/>
          <cell r="N463" t="str">
            <v>JABATAN KECEMASAN &amp; TRAUMA</v>
          </cell>
          <cell r="O463" t="str">
            <v>Jabatan Kecemasan &amp; Trauma (ED)</v>
          </cell>
        </row>
        <row r="464">
          <cell r="D464" t="str">
            <v>KKM/JKN/HSA/10-05-01/H/15/2802</v>
          </cell>
          <cell r="E464" t="str">
            <v>ECG (EKG) MACHINE</v>
          </cell>
          <cell r="F464" t="str">
            <v>GE HEALTHCARE</v>
          </cell>
          <cell r="G464" t="str">
            <v>MAC400</v>
          </cell>
          <cell r="H464" t="str">
            <v>SCT11496322PA</v>
          </cell>
          <cell r="I464" t="str">
            <v>ANNUALLY</v>
          </cell>
          <cell r="J464">
            <v>45792</v>
          </cell>
          <cell r="K464"/>
          <cell r="L464"/>
          <cell r="M464"/>
          <cell r="N464" t="str">
            <v>JABATAN KECEMASAN &amp; TRAUMA</v>
          </cell>
          <cell r="O464" t="str">
            <v>Jabatan Kecemasan &amp; Trauma (ED)</v>
          </cell>
        </row>
        <row r="465">
          <cell r="D465" t="str">
            <v>KKM/JKN/HSA/10-05-01/H/15/2803</v>
          </cell>
          <cell r="E465" t="str">
            <v>ECG (EKG) MACHINE</v>
          </cell>
          <cell r="F465" t="str">
            <v>GE HEALTHCARE</v>
          </cell>
          <cell r="G465" t="str">
            <v>MAC400</v>
          </cell>
          <cell r="H465" t="str">
            <v>SCT11486311PA</v>
          </cell>
          <cell r="I465" t="str">
            <v>ANNUALLY</v>
          </cell>
          <cell r="J465">
            <v>45792</v>
          </cell>
          <cell r="K465"/>
          <cell r="L465"/>
          <cell r="M465"/>
          <cell r="N465" t="str">
            <v>JABATAN KECEMASAN &amp; TRAUMA</v>
          </cell>
          <cell r="O465" t="str">
            <v>Jabatan Kecemasan &amp; Trauma (ED)</v>
          </cell>
        </row>
        <row r="466">
          <cell r="D466" t="str">
            <v>KKM/JKN/HSA/10-05-01/H/15/2806</v>
          </cell>
          <cell r="E466" t="str">
            <v>PATIENT MONITORING EQUIP.(AUTOMATIC MULTIPARAMETER)</v>
          </cell>
          <cell r="F466" t="str">
            <v>MINDRAY</v>
          </cell>
          <cell r="G466" t="str">
            <v>IPM 12</v>
          </cell>
          <cell r="H466" t="str">
            <v>FH-51016108</v>
          </cell>
          <cell r="I466" t="str">
            <v>ANNUALLY</v>
          </cell>
          <cell r="J466">
            <v>45779</v>
          </cell>
          <cell r="K466"/>
          <cell r="L466"/>
          <cell r="M466"/>
          <cell r="N466" t="str">
            <v>JABATAN KECEMASAN &amp; TRAUMA</v>
          </cell>
          <cell r="O466" t="str">
            <v>Jabatan Kecemasan &amp; Trauma (ED)</v>
          </cell>
        </row>
        <row r="467">
          <cell r="D467" t="str">
            <v>KKM/JKN/HSA/10-05-01/H/15/2807</v>
          </cell>
          <cell r="E467" t="str">
            <v>DEFIBRILLATOR</v>
          </cell>
          <cell r="F467" t="str">
            <v>PHILIPS</v>
          </cell>
          <cell r="G467" t="str">
            <v>EFFICIA DFM100</v>
          </cell>
          <cell r="H467" t="str">
            <v>CN32601424</v>
          </cell>
          <cell r="I467" t="str">
            <v>SEMI ANNUALLY</v>
          </cell>
          <cell r="J467">
            <v>45728</v>
          </cell>
          <cell r="K467">
            <v>45911</v>
          </cell>
          <cell r="L467"/>
          <cell r="M467"/>
          <cell r="N467" t="str">
            <v>JABATAN KECEMASAN &amp; TRAUMA</v>
          </cell>
          <cell r="O467" t="str">
            <v>Jabatan Kecemasan &amp; Trauma (ED)</v>
          </cell>
        </row>
        <row r="468">
          <cell r="D468" t="str">
            <v>KKM/JKN/HSA/10-05-01/H/15/2810</v>
          </cell>
          <cell r="E468" t="str">
            <v>CENTRAL MONITORING SYSTEM</v>
          </cell>
          <cell r="F468" t="str">
            <v>MINDRAY</v>
          </cell>
          <cell r="G468" t="str">
            <v>HP LASERJET PRINTER</v>
          </cell>
          <cell r="H468" t="str">
            <v>VNHHJ14787</v>
          </cell>
          <cell r="I468" t="str">
            <v>ANNUALLY</v>
          </cell>
          <cell r="J468">
            <v>45884</v>
          </cell>
          <cell r="K468"/>
          <cell r="L468"/>
          <cell r="M468"/>
          <cell r="N468" t="str">
            <v>JABATAN KECEMASAN &amp; TRAUMA</v>
          </cell>
          <cell r="O468" t="str">
            <v>Jabatan Kecemasan &amp; Trauma (ED)</v>
          </cell>
        </row>
        <row r="469">
          <cell r="D469" t="str">
            <v>KKM/JKN/HSA/10-05-01/H/15/2811</v>
          </cell>
          <cell r="E469" t="str">
            <v>LARYNGOSCOPE</v>
          </cell>
          <cell r="F469" t="str">
            <v>WELCH ALLYN</v>
          </cell>
          <cell r="G469" t="str">
            <v>N/A</v>
          </cell>
          <cell r="H469" t="str">
            <v>N/A</v>
          </cell>
          <cell r="I469" t="str">
            <v>ANNUALLY</v>
          </cell>
          <cell r="J469">
            <v>45977</v>
          </cell>
          <cell r="K469"/>
          <cell r="L469"/>
          <cell r="M469"/>
          <cell r="N469" t="str">
            <v>JABATAN KECEMASAN &amp; TRAUMA</v>
          </cell>
          <cell r="O469" t="str">
            <v>Jabatan Kecemasan &amp; Trauma (ED)</v>
          </cell>
        </row>
        <row r="470">
          <cell r="D470" t="str">
            <v>KKM/JKN/HSA/10-05-01/H/15/2812</v>
          </cell>
          <cell r="E470" t="str">
            <v>LARYNGOSCOPE</v>
          </cell>
          <cell r="F470" t="str">
            <v>WELCH ALLYN</v>
          </cell>
          <cell r="G470" t="str">
            <v>N/A</v>
          </cell>
          <cell r="H470" t="str">
            <v>N/A</v>
          </cell>
          <cell r="I470" t="str">
            <v>ANNUALLY</v>
          </cell>
          <cell r="J470">
            <v>45977</v>
          </cell>
          <cell r="K470"/>
          <cell r="L470"/>
          <cell r="M470"/>
          <cell r="N470" t="str">
            <v>JABATAN KECEMASAN &amp; TRAUMA</v>
          </cell>
          <cell r="O470" t="str">
            <v>Jabatan Kecemasan &amp; Trauma (ED)</v>
          </cell>
        </row>
        <row r="471">
          <cell r="D471" t="str">
            <v>KKM/JKN/HSA/10-05-01/H/15/2813</v>
          </cell>
          <cell r="E471" t="str">
            <v>LARYNGOSCOPE</v>
          </cell>
          <cell r="F471" t="str">
            <v>WELCH ALLYN</v>
          </cell>
          <cell r="G471" t="str">
            <v>N/A</v>
          </cell>
          <cell r="H471" t="str">
            <v>N/A</v>
          </cell>
          <cell r="I471" t="str">
            <v>ANNUALLY</v>
          </cell>
          <cell r="J471">
            <v>45977</v>
          </cell>
          <cell r="K471"/>
          <cell r="L471"/>
          <cell r="M471"/>
          <cell r="N471" t="str">
            <v>JABATAN KECEMASAN &amp; TRAUMA</v>
          </cell>
          <cell r="O471" t="str">
            <v>Jabatan Kecemasan &amp; Trauma (ED)</v>
          </cell>
        </row>
        <row r="472">
          <cell r="D472" t="str">
            <v>KKM/JKN/HSA/10-05-01/H/15/2814</v>
          </cell>
          <cell r="E472" t="str">
            <v>LARYNGOSCOPE</v>
          </cell>
          <cell r="F472" t="str">
            <v>WELCH ALLYN</v>
          </cell>
          <cell r="G472" t="str">
            <v>N/A</v>
          </cell>
          <cell r="H472" t="str">
            <v>N/A</v>
          </cell>
          <cell r="I472" t="str">
            <v>ANNUALLY</v>
          </cell>
          <cell r="J472">
            <v>45977</v>
          </cell>
          <cell r="K472"/>
          <cell r="L472"/>
          <cell r="M472"/>
          <cell r="N472" t="str">
            <v>JABATAN KECEMASAN &amp; TRAUMA</v>
          </cell>
          <cell r="O472" t="str">
            <v>Jabatan Kecemasan &amp; Trauma (ED)</v>
          </cell>
        </row>
        <row r="473">
          <cell r="D473" t="str">
            <v>KKM/JKN/HSA/10-05-01/H/15/2826</v>
          </cell>
          <cell r="E473" t="str">
            <v>CAST CUTTER &amp; DUST EXTRACTION SYSTEM</v>
          </cell>
          <cell r="F473" t="str">
            <v>OSCIMED</v>
          </cell>
          <cell r="G473" t="str">
            <v>OSCIMED PSV/SC 206-V90-UK</v>
          </cell>
          <cell r="H473" t="str">
            <v>N/A</v>
          </cell>
          <cell r="I473" t="str">
            <v>ANNUALLY</v>
          </cell>
          <cell r="J473">
            <v>45974</v>
          </cell>
          <cell r="K473"/>
          <cell r="L473"/>
          <cell r="M473"/>
          <cell r="N473" t="str">
            <v>JABATAN KECEMASAN &amp; TRAUMA</v>
          </cell>
          <cell r="O473" t="str">
            <v>Jabatan Kecemasan &amp; Trauma (ED)</v>
          </cell>
        </row>
        <row r="474">
          <cell r="D474" t="str">
            <v>KKM/JKN/HSA/10-05-01/H/15/303</v>
          </cell>
          <cell r="E474" t="str">
            <v>VENTILATOR</v>
          </cell>
          <cell r="F474" t="str">
            <v>DRAEGER</v>
          </cell>
          <cell r="G474" t="str">
            <v>OXYLOG 2000 PLUS</v>
          </cell>
          <cell r="H474" t="str">
            <v>ASEJ-0033</v>
          </cell>
          <cell r="I474" t="str">
            <v>SEMI ANNUALLY</v>
          </cell>
          <cell r="J474">
            <v>45714</v>
          </cell>
          <cell r="K474">
            <v>45894</v>
          </cell>
          <cell r="L474"/>
          <cell r="M474"/>
          <cell r="N474" t="str">
            <v>JABATAN KECEMASAN &amp; TRAUMA</v>
          </cell>
          <cell r="O474" t="str">
            <v>Jabatan Kecemasan &amp; Trauma (ED)</v>
          </cell>
        </row>
        <row r="475">
          <cell r="D475" t="str">
            <v>KKM/JKN/HSA/10-05-01/H/15/309</v>
          </cell>
          <cell r="E475" t="str">
            <v>VENTILATOR</v>
          </cell>
          <cell r="F475" t="str">
            <v>DRAEGER</v>
          </cell>
          <cell r="G475" t="str">
            <v>OXYLOG 2000 PLUS</v>
          </cell>
          <cell r="H475" t="str">
            <v>ASEJ-0034</v>
          </cell>
          <cell r="I475" t="str">
            <v>ANNUALLY</v>
          </cell>
          <cell r="J475">
            <v>45982</v>
          </cell>
          <cell r="K475"/>
          <cell r="L475"/>
          <cell r="M475"/>
          <cell r="N475" t="str">
            <v>JABATAN KECEMASAN &amp; TRAUMA</v>
          </cell>
          <cell r="O475" t="str">
            <v>Jabatan Kecemasan &amp; Trauma (ED)</v>
          </cell>
        </row>
        <row r="476">
          <cell r="D476" t="str">
            <v>KKM/JKN/HSA/10-05-01/H/15/310</v>
          </cell>
          <cell r="E476" t="str">
            <v>VENTILATOR</v>
          </cell>
          <cell r="F476" t="str">
            <v>DRAEGER</v>
          </cell>
          <cell r="G476" t="str">
            <v>OXYLOG 2000 PLUS</v>
          </cell>
          <cell r="H476" t="str">
            <v>ASEJ-0036</v>
          </cell>
          <cell r="I476" t="str">
            <v>ANNUALLY</v>
          </cell>
          <cell r="J476">
            <v>45983</v>
          </cell>
          <cell r="K476"/>
          <cell r="L476"/>
          <cell r="M476"/>
          <cell r="N476" t="str">
            <v>JABATAN KECEMASAN &amp; TRAUMA</v>
          </cell>
          <cell r="O476" t="str">
            <v>Jabatan Kecemasan &amp; Trauma (ED)</v>
          </cell>
        </row>
        <row r="477">
          <cell r="D477" t="str">
            <v>KKM/JKN/HSA/10-05-01/H/15/311</v>
          </cell>
          <cell r="E477" t="str">
            <v>VENTILATOR</v>
          </cell>
          <cell r="F477" t="str">
            <v>DRAEGER</v>
          </cell>
          <cell r="G477" t="str">
            <v>OXYLOG 2000 PLUS</v>
          </cell>
          <cell r="H477" t="str">
            <v>ASEJ-0035</v>
          </cell>
          <cell r="I477" t="str">
            <v>ANNUALLY</v>
          </cell>
          <cell r="J477">
            <v>45983</v>
          </cell>
          <cell r="K477"/>
          <cell r="L477"/>
          <cell r="M477"/>
          <cell r="N477" t="str">
            <v>JABATAN KECEMASAN &amp; TRAUMA</v>
          </cell>
          <cell r="O477" t="str">
            <v>Jabatan Kecemasan &amp; Trauma (ED)</v>
          </cell>
        </row>
        <row r="478">
          <cell r="D478" t="str">
            <v>KKM/JKN/HSA/10-05-01/H/15/3551</v>
          </cell>
          <cell r="E478" t="str">
            <v>PORTABLE PNEUMATIC POWERED RESUSCITATOR/OXYGEN RESUSCITATOR</v>
          </cell>
          <cell r="F478" t="str">
            <v>MEDITECH</v>
          </cell>
          <cell r="G478" t="str">
            <v>MICROVENT AIRMIX</v>
          </cell>
          <cell r="H478" t="str">
            <v>N/A</v>
          </cell>
          <cell r="I478" t="str">
            <v>ANNUALLY</v>
          </cell>
          <cell r="J478">
            <v>45694</v>
          </cell>
          <cell r="K478"/>
          <cell r="L478"/>
          <cell r="M478"/>
          <cell r="N478" t="str">
            <v>JABATAN KECEMASAN &amp; TRAUMA</v>
          </cell>
          <cell r="O478" t="str">
            <v>Jabatan Kecemasan &amp; Trauma (ED)</v>
          </cell>
        </row>
        <row r="479">
          <cell r="D479" t="str">
            <v>KKM/JKN/HSA/10-05-01/H/15/3552</v>
          </cell>
          <cell r="E479" t="str">
            <v>PORTABLE PNEUMATIC POWERED RESUSCITATOR/OXYGEN RESUSCITATOR</v>
          </cell>
          <cell r="F479" t="str">
            <v>MEDITECH</v>
          </cell>
          <cell r="G479" t="str">
            <v>MICROVENT AIRMIX</v>
          </cell>
          <cell r="H479" t="str">
            <v>N/A</v>
          </cell>
          <cell r="I479" t="str">
            <v>ANNUALLY</v>
          </cell>
          <cell r="J479">
            <v>46011</v>
          </cell>
          <cell r="K479"/>
          <cell r="L479"/>
          <cell r="M479"/>
          <cell r="N479" t="str">
            <v>JABATAN KECEMASAN &amp; TRAUMA</v>
          </cell>
          <cell r="O479" t="str">
            <v>Jabatan Kecemasan &amp; Trauma (ED)</v>
          </cell>
        </row>
        <row r="480">
          <cell r="D480" t="str">
            <v>KKM/JKN/HSA/10-05-01/H/15/3553</v>
          </cell>
          <cell r="E480" t="str">
            <v>PORTABLE PNEUMATIC POWERED RESUSCITATOR/OXYGEN RESUSCITATOR</v>
          </cell>
          <cell r="F480" t="str">
            <v>MEDITECH</v>
          </cell>
          <cell r="G480" t="str">
            <v>MICROVENT AIRMIX</v>
          </cell>
          <cell r="H480" t="str">
            <v>N/A</v>
          </cell>
          <cell r="I480" t="str">
            <v>ANNUALLY</v>
          </cell>
          <cell r="J480">
            <v>46011</v>
          </cell>
          <cell r="K480"/>
          <cell r="L480"/>
          <cell r="M480"/>
          <cell r="N480" t="str">
            <v>JABATAN KECEMASAN &amp; TRAUMA</v>
          </cell>
          <cell r="O480" t="str">
            <v>Jabatan Kecemasan &amp; Trauma (ED)</v>
          </cell>
        </row>
        <row r="481">
          <cell r="D481" t="str">
            <v>KKM/JKN/HSA/10-05-01/H/15/3554</v>
          </cell>
          <cell r="E481" t="str">
            <v>PORTABLE PNEUMATIC POWERED RESUSCITATOR/OXYGEN RESUSCITATOR</v>
          </cell>
          <cell r="F481" t="str">
            <v>MEDITECH</v>
          </cell>
          <cell r="G481" t="str">
            <v>MICROVENT AIRMIX</v>
          </cell>
          <cell r="H481" t="str">
            <v>N/A</v>
          </cell>
          <cell r="I481" t="str">
            <v>ANNUALLY</v>
          </cell>
          <cell r="J481">
            <v>46011</v>
          </cell>
          <cell r="K481"/>
          <cell r="L481"/>
          <cell r="M481"/>
          <cell r="N481" t="str">
            <v>JABATAN KECEMASAN &amp; TRAUMA</v>
          </cell>
          <cell r="O481" t="str">
            <v>Jabatan Kecemasan &amp; Trauma (ED)</v>
          </cell>
        </row>
        <row r="482">
          <cell r="D482" t="str">
            <v>KKM/JKN/HSA/10-05-01/H/15/3555</v>
          </cell>
          <cell r="E482" t="str">
            <v>PORTABLE PNEUMATIC POWERED RESUSCITATOR/OXYGEN RESUSCITATOR</v>
          </cell>
          <cell r="F482" t="str">
            <v>MEDITECH</v>
          </cell>
          <cell r="G482" t="str">
            <v>MICROVENT AIRMIX</v>
          </cell>
          <cell r="H482" t="str">
            <v>N/A</v>
          </cell>
          <cell r="I482" t="str">
            <v>ANNUALLY</v>
          </cell>
          <cell r="J482">
            <v>46011</v>
          </cell>
          <cell r="K482"/>
          <cell r="L482"/>
          <cell r="M482"/>
          <cell r="N482" t="str">
            <v>JABATAN KECEMASAN &amp; TRAUMA</v>
          </cell>
          <cell r="O482" t="str">
            <v>Jabatan Kecemasan &amp; Trauma (ED)</v>
          </cell>
        </row>
        <row r="483">
          <cell r="D483" t="str">
            <v>KKM/JKN/HSA/10-05-01/H/15/3556</v>
          </cell>
          <cell r="E483" t="str">
            <v>PORTABLE PNEUMATIC POWERED RESUSCITATOR/OXYGEN RESUSCITATOR</v>
          </cell>
          <cell r="F483" t="str">
            <v>MEDITECH</v>
          </cell>
          <cell r="G483" t="str">
            <v>MICROVENT AIRMIX</v>
          </cell>
          <cell r="H483" t="str">
            <v>N/A</v>
          </cell>
          <cell r="I483" t="str">
            <v>ANNUALLY</v>
          </cell>
          <cell r="J483">
            <v>46011</v>
          </cell>
          <cell r="K483"/>
          <cell r="L483"/>
          <cell r="M483"/>
          <cell r="N483" t="str">
            <v>JABATAN KECEMASAN &amp; TRAUMA</v>
          </cell>
          <cell r="O483" t="str">
            <v>Jabatan Kecemasan &amp; Trauma (ED)</v>
          </cell>
        </row>
        <row r="484">
          <cell r="D484" t="str">
            <v>KKM/JKN/HSA/10-05-01/H/15/3557</v>
          </cell>
          <cell r="E484" t="str">
            <v>PORTABLE PNEUMATIC POWERED RESUSCITATOR/OXYGEN RESUSCITATOR</v>
          </cell>
          <cell r="F484" t="str">
            <v>MEDITECH</v>
          </cell>
          <cell r="G484" t="str">
            <v>MICROVENT AIRMIX</v>
          </cell>
          <cell r="H484" t="str">
            <v>N/A</v>
          </cell>
          <cell r="I484" t="str">
            <v>ANNUALLY</v>
          </cell>
          <cell r="J484">
            <v>46011</v>
          </cell>
          <cell r="K484"/>
          <cell r="L484"/>
          <cell r="M484"/>
          <cell r="N484" t="str">
            <v>JABATAN KECEMASAN &amp; TRAUMA</v>
          </cell>
          <cell r="O484" t="str">
            <v>Jabatan Kecemasan &amp; Trauma (ED)</v>
          </cell>
        </row>
        <row r="485">
          <cell r="D485" t="str">
            <v>KKM/JKN/HSA/10-05-01/H/15/3593</v>
          </cell>
          <cell r="E485" t="str">
            <v>TRANSPORT VITAL SIGN MONITIR 5 PARAMETER</v>
          </cell>
          <cell r="F485" t="str">
            <v xml:space="preserve"> VITAL SIGN MONITOR</v>
          </cell>
          <cell r="G485" t="str">
            <v>UM300-10</v>
          </cell>
          <cell r="H485" t="str">
            <v>M653.13020.0034</v>
          </cell>
          <cell r="I485" t="str">
            <v>ANNUALLY</v>
          </cell>
          <cell r="J485">
            <v>45820</v>
          </cell>
          <cell r="K485"/>
          <cell r="L485"/>
          <cell r="M485"/>
          <cell r="N485" t="str">
            <v>JABATAN KECEMASAN &amp; TRAUMA</v>
          </cell>
          <cell r="O485" t="str">
            <v>Jabatan Kecemasan &amp; Trauma (ED)</v>
          </cell>
        </row>
        <row r="486">
          <cell r="D486" t="str">
            <v>KKM/JKN/HSA/10-05-01/H/15/3596</v>
          </cell>
          <cell r="E486" t="str">
            <v>TRANSPORT VITAL SIGN MONITIR 5 PARAMETER</v>
          </cell>
          <cell r="F486" t="str">
            <v xml:space="preserve"> VITAL SIGN MONITOR</v>
          </cell>
          <cell r="G486" t="str">
            <v>UM300-10</v>
          </cell>
          <cell r="H486" t="str">
            <v>M653.13020.0038</v>
          </cell>
          <cell r="I486" t="str">
            <v>ANNUALLY</v>
          </cell>
          <cell r="J486">
            <v>45820</v>
          </cell>
          <cell r="K486"/>
          <cell r="L486"/>
          <cell r="M486"/>
          <cell r="N486" t="str">
            <v>JABATAN KECEMASAN &amp; TRAUMA</v>
          </cell>
          <cell r="O486" t="str">
            <v>Jabatan Kecemasan &amp; Trauma (ED)</v>
          </cell>
        </row>
        <row r="487">
          <cell r="D487" t="str">
            <v>KKM/JKN/HSA/10-05-01/H/15/3598</v>
          </cell>
          <cell r="E487" t="str">
            <v>TRANSPORT VITAL SIGN MONITIR 5 PARAMETER</v>
          </cell>
          <cell r="F487" t="str">
            <v xml:space="preserve"> VITAL SIGN MONITOR</v>
          </cell>
          <cell r="G487" t="str">
            <v>UM300-10</v>
          </cell>
          <cell r="H487" t="str">
            <v>N/A</v>
          </cell>
          <cell r="I487" t="str">
            <v>ANNUALLY</v>
          </cell>
          <cell r="J487">
            <v>45820</v>
          </cell>
          <cell r="K487"/>
          <cell r="L487"/>
          <cell r="M487"/>
          <cell r="N487" t="str">
            <v>JABATAN KECEMASAN &amp; TRAUMA</v>
          </cell>
          <cell r="O487" t="str">
            <v>Jabatan Kecemasan &amp; Trauma (ED)</v>
          </cell>
        </row>
        <row r="488">
          <cell r="D488" t="str">
            <v>KKM/JKN/HSA/10-05-01/H/15/3603</v>
          </cell>
          <cell r="E488" t="str">
            <v>SUCTION APPARATUS</v>
          </cell>
          <cell r="F488" t="str">
            <v>BOSCAROL</v>
          </cell>
          <cell r="G488" t="str">
            <v>BSU158</v>
          </cell>
          <cell r="H488" t="str">
            <v>1101411861</v>
          </cell>
          <cell r="I488" t="str">
            <v>ANNUALLY</v>
          </cell>
          <cell r="J488">
            <v>45822</v>
          </cell>
          <cell r="K488"/>
          <cell r="L488"/>
          <cell r="M488"/>
          <cell r="N488" t="str">
            <v>JABATAN KECEMASAN &amp; TRAUMA</v>
          </cell>
          <cell r="O488" t="str">
            <v>Jabatan Kecemasan &amp; Trauma (ED)</v>
          </cell>
        </row>
        <row r="489">
          <cell r="D489" t="str">
            <v>KKM/JKN/HSA/10-05-01/H/15/3604</v>
          </cell>
          <cell r="E489" t="str">
            <v>SUCTION APPARATUS</v>
          </cell>
          <cell r="F489" t="str">
            <v>BOSCAROL</v>
          </cell>
          <cell r="G489" t="str">
            <v>BSU158</v>
          </cell>
          <cell r="H489" t="str">
            <v>1101411862</v>
          </cell>
          <cell r="I489" t="str">
            <v>ANNUALLY</v>
          </cell>
          <cell r="J489">
            <v>45822</v>
          </cell>
          <cell r="K489"/>
          <cell r="L489"/>
          <cell r="M489"/>
          <cell r="N489" t="str">
            <v>JABATAN KECEMASAN &amp; TRAUMA</v>
          </cell>
          <cell r="O489" t="str">
            <v>Jabatan Kecemasan &amp; Trauma (ED)</v>
          </cell>
        </row>
        <row r="490">
          <cell r="D490" t="str">
            <v>KKM/JKN/HSA/10-05-01/H/15/3605</v>
          </cell>
          <cell r="E490" t="str">
            <v>SUCTION APPARATUS</v>
          </cell>
          <cell r="F490" t="str">
            <v>BOSCAROL</v>
          </cell>
          <cell r="G490" t="str">
            <v>BSU158</v>
          </cell>
          <cell r="H490" t="str">
            <v>1101411863</v>
          </cell>
          <cell r="I490" t="str">
            <v>ANNUALLY</v>
          </cell>
          <cell r="J490">
            <v>45822</v>
          </cell>
          <cell r="K490"/>
          <cell r="L490"/>
          <cell r="M490"/>
          <cell r="N490" t="str">
            <v>JABATAN KECEMASAN &amp; TRAUMA</v>
          </cell>
          <cell r="O490" t="str">
            <v>Jabatan Kecemasan &amp; Trauma (ED)</v>
          </cell>
        </row>
        <row r="491">
          <cell r="D491" t="str">
            <v>KKM/JKN/HSA/10-05-01/H/15/3606</v>
          </cell>
          <cell r="E491" t="str">
            <v>SUCTION APPARATUS</v>
          </cell>
          <cell r="F491" t="str">
            <v>BOSCAROL</v>
          </cell>
          <cell r="G491" t="str">
            <v>BSU158</v>
          </cell>
          <cell r="H491" t="str">
            <v>1101411869</v>
          </cell>
          <cell r="I491" t="str">
            <v>ANNUALLY</v>
          </cell>
          <cell r="J491">
            <v>45821</v>
          </cell>
          <cell r="K491"/>
          <cell r="L491"/>
          <cell r="M491"/>
          <cell r="N491" t="str">
            <v>JABATAN KECEMASAN &amp; TRAUMA</v>
          </cell>
          <cell r="O491" t="str">
            <v>Jabatan Kecemasan &amp; Trauma (ED)</v>
          </cell>
        </row>
        <row r="492">
          <cell r="D492" t="str">
            <v>KKM/JKN/HSA/10-05-01/H/15/3607</v>
          </cell>
          <cell r="E492" t="str">
            <v>SUCTION APPARATUS</v>
          </cell>
          <cell r="F492" t="str">
            <v>BOSCAROL</v>
          </cell>
          <cell r="G492" t="str">
            <v>BSU158</v>
          </cell>
          <cell r="H492" t="str">
            <v>1101411864</v>
          </cell>
          <cell r="I492" t="str">
            <v>ANNUALLY</v>
          </cell>
          <cell r="J492">
            <v>45821</v>
          </cell>
          <cell r="K492"/>
          <cell r="L492"/>
          <cell r="M492"/>
          <cell r="N492" t="str">
            <v>JABATAN KECEMASAN &amp; TRAUMA</v>
          </cell>
          <cell r="O492" t="str">
            <v>Jabatan Kecemasan &amp; Trauma (ED)</v>
          </cell>
        </row>
        <row r="493">
          <cell r="D493" t="str">
            <v>KKM/JKN/HSA/10-05-01/H/15/3608</v>
          </cell>
          <cell r="E493" t="str">
            <v>SUCTION APPARATUS</v>
          </cell>
          <cell r="F493" t="str">
            <v>BOSCAROL</v>
          </cell>
          <cell r="G493" t="str">
            <v>BSU158</v>
          </cell>
          <cell r="H493" t="str">
            <v>1101411680</v>
          </cell>
          <cell r="I493" t="str">
            <v>ANNUALLY</v>
          </cell>
          <cell r="J493">
            <v>45821</v>
          </cell>
          <cell r="K493"/>
          <cell r="L493"/>
          <cell r="M493"/>
          <cell r="N493" t="str">
            <v>JABATAN KECEMASAN &amp; TRAUMA</v>
          </cell>
          <cell r="O493" t="str">
            <v>Jabatan Kecemasan &amp; Trauma (ED)</v>
          </cell>
        </row>
        <row r="494">
          <cell r="D494" t="str">
            <v>KKM/JKN/HSA/10-05-01/H/15/3609</v>
          </cell>
          <cell r="E494" t="str">
            <v>SUCTION APPARATUS</v>
          </cell>
          <cell r="F494" t="str">
            <v>BOSCAROL</v>
          </cell>
          <cell r="G494" t="str">
            <v>BSU158</v>
          </cell>
          <cell r="H494" t="str">
            <v>1101411866</v>
          </cell>
          <cell r="I494" t="str">
            <v>ANNUALLY</v>
          </cell>
          <cell r="J494">
            <v>45821</v>
          </cell>
          <cell r="K494"/>
          <cell r="L494"/>
          <cell r="M494"/>
          <cell r="N494" t="str">
            <v>JABATAN KECEMASAN &amp; TRAUMA</v>
          </cell>
          <cell r="O494" t="str">
            <v>Jabatan Kecemasan &amp; Trauma (ED)</v>
          </cell>
        </row>
        <row r="495">
          <cell r="D495" t="str">
            <v>KKM/JKN/HSA/10-05-01/H/15/3610</v>
          </cell>
          <cell r="E495" t="str">
            <v>SUCTION APPARATUS</v>
          </cell>
          <cell r="F495" t="str">
            <v>BOSCAROL</v>
          </cell>
          <cell r="G495" t="str">
            <v>BSU158</v>
          </cell>
          <cell r="H495" t="str">
            <v>1101411868</v>
          </cell>
          <cell r="I495" t="str">
            <v>ANNUALLY</v>
          </cell>
          <cell r="J495">
            <v>45821</v>
          </cell>
          <cell r="K495"/>
          <cell r="L495"/>
          <cell r="M495"/>
          <cell r="N495" t="str">
            <v>JABATAN KECEMASAN &amp; TRAUMA</v>
          </cell>
          <cell r="O495" t="str">
            <v>Jabatan Kecemasan &amp; Trauma (ED)</v>
          </cell>
        </row>
        <row r="496">
          <cell r="D496" t="str">
            <v>KKM/JKN/HSA/10-05-01/H/15/3611</v>
          </cell>
          <cell r="E496" t="str">
            <v>PORTABLE PNEUMATIC POWERED RESUSCITATOR/OXYGEN RESUSCITATOR</v>
          </cell>
          <cell r="F496" t="str">
            <v>ALLIED HEALTHCARE</v>
          </cell>
          <cell r="G496" t="str">
            <v>L270-220-STL</v>
          </cell>
          <cell r="H496" t="str">
            <v>0851014</v>
          </cell>
          <cell r="I496" t="str">
            <v>ANNUALLY</v>
          </cell>
          <cell r="J496">
            <v>45815</v>
          </cell>
          <cell r="K496"/>
          <cell r="L496"/>
          <cell r="M496"/>
          <cell r="N496" t="str">
            <v>JABATAN KECEMASAN &amp; TRAUMA</v>
          </cell>
          <cell r="O496" t="str">
            <v>Jabatan Kecemasan &amp; Trauma (ED)</v>
          </cell>
        </row>
        <row r="497">
          <cell r="D497" t="str">
            <v>KKM/JKN/HSA/10-05-01/H/15/3612</v>
          </cell>
          <cell r="E497" t="str">
            <v>PORTABLE PNEUMATIC POWERED RESUSCITATOR/OXYGEN RESUSCITATOR</v>
          </cell>
          <cell r="F497" t="str">
            <v>ALLIED HEALTHCARE</v>
          </cell>
          <cell r="G497" t="str">
            <v>L270-220-STL</v>
          </cell>
          <cell r="H497" t="str">
            <v>0611014</v>
          </cell>
          <cell r="I497" t="str">
            <v>ANNUALLY</v>
          </cell>
          <cell r="J497">
            <v>45815</v>
          </cell>
          <cell r="K497"/>
          <cell r="L497"/>
          <cell r="M497"/>
          <cell r="N497" t="str">
            <v>JABATAN KECEMASAN &amp; TRAUMA</v>
          </cell>
          <cell r="O497" t="str">
            <v>Jabatan Kecemasan &amp; Trauma (ED)</v>
          </cell>
        </row>
        <row r="498">
          <cell r="D498" t="str">
            <v>KKM/JKN/HSA/10-05-01/H/15/3613</v>
          </cell>
          <cell r="E498" t="str">
            <v>PORTABLE PNEUMATIC POWERED RESUSCITATOR/OXYGEN RESUSCITATOR</v>
          </cell>
          <cell r="F498" t="str">
            <v>ALLIED HEALTHCARE</v>
          </cell>
          <cell r="G498" t="str">
            <v>L270-220-STL</v>
          </cell>
          <cell r="H498" t="str">
            <v>10142081</v>
          </cell>
          <cell r="I498" t="str">
            <v>ANNUALLY</v>
          </cell>
          <cell r="J498">
            <v>45815</v>
          </cell>
          <cell r="K498"/>
          <cell r="L498"/>
          <cell r="M498"/>
          <cell r="N498" t="str">
            <v>JABATAN KECEMASAN &amp; TRAUMA</v>
          </cell>
          <cell r="O498" t="str">
            <v>Jabatan Kecemasan &amp; Trauma (ED)</v>
          </cell>
        </row>
        <row r="499">
          <cell r="D499" t="str">
            <v>KKM/JKN/HSA/10-05-01/H/15/3614</v>
          </cell>
          <cell r="E499" t="str">
            <v>PORTABLE PNEUMATIC POWERED RESUSCITATOR/OXYGEN RESUSCITATOR</v>
          </cell>
          <cell r="F499" t="str">
            <v>ALLIED HEALTHCARE</v>
          </cell>
          <cell r="G499" t="str">
            <v>L270-220-STL</v>
          </cell>
          <cell r="H499" t="str">
            <v>10141373</v>
          </cell>
          <cell r="I499" t="str">
            <v>ANNUALLY</v>
          </cell>
          <cell r="J499">
            <v>45815</v>
          </cell>
          <cell r="K499"/>
          <cell r="L499"/>
          <cell r="M499"/>
          <cell r="N499" t="str">
            <v>JABATAN KECEMASAN &amp; TRAUMA</v>
          </cell>
          <cell r="O499" t="str">
            <v>Jabatan Kecemasan &amp; Trauma (ED)</v>
          </cell>
        </row>
        <row r="500">
          <cell r="D500" t="str">
            <v>KKM/JKN/HSA/10-05-01/H/15/3615</v>
          </cell>
          <cell r="E500" t="str">
            <v>PORTABLE PNEUMATIC POWERED RESUSCITATOR/OXYGEN RESUSCITATOR</v>
          </cell>
          <cell r="F500" t="str">
            <v>ALLIED HEALTHCARE</v>
          </cell>
          <cell r="G500" t="str">
            <v>L270-220-STL</v>
          </cell>
          <cell r="H500" t="str">
            <v>0081014</v>
          </cell>
          <cell r="I500" t="str">
            <v>ANNUALLY</v>
          </cell>
          <cell r="J500">
            <v>45815</v>
          </cell>
          <cell r="K500"/>
          <cell r="L500"/>
          <cell r="M500"/>
          <cell r="N500" t="str">
            <v>JABATAN KECEMASAN &amp; TRAUMA</v>
          </cell>
          <cell r="O500" t="str">
            <v>Jabatan Kecemasan &amp; Trauma (ED)</v>
          </cell>
        </row>
        <row r="501">
          <cell r="D501" t="str">
            <v>KKM/JKN/HSA/10-05-01/H/15/3616</v>
          </cell>
          <cell r="E501" t="str">
            <v>PORTABLE PNEUMATIC POWERED RESUSCITATOR/OXYGEN RESUSCITATOR</v>
          </cell>
          <cell r="F501" t="str">
            <v>ALLIED HEALTHCARE</v>
          </cell>
          <cell r="G501" t="str">
            <v>L270-220-STL</v>
          </cell>
          <cell r="H501" t="str">
            <v>0514100</v>
          </cell>
          <cell r="I501" t="str">
            <v>ANNUALLY</v>
          </cell>
          <cell r="J501">
            <v>45815</v>
          </cell>
          <cell r="K501"/>
          <cell r="L501"/>
          <cell r="M501"/>
          <cell r="N501" t="str">
            <v>JABATAN KECEMASAN &amp; TRAUMA</v>
          </cell>
          <cell r="O501" t="str">
            <v>Jabatan Kecemasan &amp; Trauma (ED)</v>
          </cell>
        </row>
        <row r="502">
          <cell r="D502" t="str">
            <v>KKM/JKN/HSA/10-05-01/H/15/3617</v>
          </cell>
          <cell r="E502" t="str">
            <v>PORTABLE PNEUMATIC POWERED RESUSCITATOR/OXYGEN RESUSCITATOR</v>
          </cell>
          <cell r="F502" t="str">
            <v>ALLIED HEALTHCARE</v>
          </cell>
          <cell r="G502" t="str">
            <v>L270-220-STL</v>
          </cell>
          <cell r="H502" t="str">
            <v>10142137</v>
          </cell>
          <cell r="I502" t="str">
            <v>ANNUALLY</v>
          </cell>
          <cell r="J502">
            <v>45815</v>
          </cell>
          <cell r="K502"/>
          <cell r="L502"/>
          <cell r="M502"/>
          <cell r="N502" t="str">
            <v>JABATAN KECEMASAN &amp; TRAUMA</v>
          </cell>
          <cell r="O502" t="str">
            <v>Jabatan Kecemasan &amp; Trauma (ED)</v>
          </cell>
        </row>
        <row r="503">
          <cell r="D503" t="str">
            <v>KKM/JKN/HSA/10-05-01/H/15/3618</v>
          </cell>
          <cell r="E503" t="str">
            <v>PORTABLE PNEUMATIC POWERED RESUSCITATOR/OXYGEN RESUSCITATOR</v>
          </cell>
          <cell r="F503" t="str">
            <v>ALLIED HEALTHCARE</v>
          </cell>
          <cell r="G503" t="str">
            <v>L270-220-STL</v>
          </cell>
          <cell r="H503" t="str">
            <v>0514117</v>
          </cell>
          <cell r="I503" t="str">
            <v>ANNUALLY</v>
          </cell>
          <cell r="J503">
            <v>45815</v>
          </cell>
          <cell r="K503"/>
          <cell r="L503"/>
          <cell r="M503"/>
          <cell r="N503" t="str">
            <v>JABATAN KECEMASAN &amp; TRAUMA</v>
          </cell>
          <cell r="O503" t="str">
            <v>Jabatan Kecemasan &amp; Trauma (ED)</v>
          </cell>
        </row>
        <row r="504">
          <cell r="D504" t="str">
            <v>KKM/JKN/HSA/10-05-01/H/15/3647</v>
          </cell>
          <cell r="E504" t="str">
            <v>TRAUMA KIT FIRST RESPONDER BAG</v>
          </cell>
          <cell r="F504" t="str">
            <v>PARAMEDIC BAG</v>
          </cell>
          <cell r="G504" t="str">
            <v>KS/TB11</v>
          </cell>
          <cell r="H504" t="str">
            <v>N/A</v>
          </cell>
          <cell r="I504" t="str">
            <v>ANNUALLY</v>
          </cell>
          <cell r="J504">
            <v>46034</v>
          </cell>
          <cell r="K504"/>
          <cell r="L504"/>
          <cell r="M504"/>
          <cell r="N504" t="str">
            <v>JABATAN KECEMASAN &amp; TRAUMA</v>
          </cell>
          <cell r="O504" t="str">
            <v>Jabatan Kecemasan &amp; Trauma (ED)</v>
          </cell>
        </row>
        <row r="505">
          <cell r="D505" t="str">
            <v>KKM/JKN/HSA/10-05-01/H/15/3648</v>
          </cell>
          <cell r="E505" t="str">
            <v>TRAUMA KIT FIRST RESPONDER BAG</v>
          </cell>
          <cell r="F505" t="str">
            <v>PARAMEDIC BAG</v>
          </cell>
          <cell r="G505" t="str">
            <v>KS/TB11</v>
          </cell>
          <cell r="H505" t="str">
            <v>N/A</v>
          </cell>
          <cell r="I505" t="str">
            <v>ANNUALLY</v>
          </cell>
          <cell r="J505">
            <v>46034</v>
          </cell>
          <cell r="K505"/>
          <cell r="L505"/>
          <cell r="M505"/>
          <cell r="N505" t="str">
            <v>JABATAN KECEMASAN &amp; TRAUMA</v>
          </cell>
          <cell r="O505" t="str">
            <v>Jabatan Kecemasan &amp; Trauma (ED)</v>
          </cell>
        </row>
        <row r="506">
          <cell r="D506" t="str">
            <v>KKM/JKN/HSA/10-05-01/H/15/3649</v>
          </cell>
          <cell r="E506" t="str">
            <v>TRAUMA KIT FIRST RESPONDER BAG</v>
          </cell>
          <cell r="F506" t="str">
            <v>PARAMEDIC BAG</v>
          </cell>
          <cell r="G506" t="str">
            <v>KS/TB11</v>
          </cell>
          <cell r="H506" t="str">
            <v>N/A</v>
          </cell>
          <cell r="I506" t="str">
            <v>ANNUALLY</v>
          </cell>
          <cell r="J506">
            <v>46034</v>
          </cell>
          <cell r="K506"/>
          <cell r="L506"/>
          <cell r="M506"/>
          <cell r="N506" t="str">
            <v>JABATAN KECEMASAN &amp; TRAUMA</v>
          </cell>
          <cell r="O506" t="str">
            <v>Jabatan Kecemasan &amp; Trauma (ED)</v>
          </cell>
        </row>
        <row r="507">
          <cell r="D507" t="str">
            <v>KKM/JKN/HSA/10-05-01/H/15/3650</v>
          </cell>
          <cell r="E507" t="str">
            <v>TRAUMA KIT FIRST RESPONDER BAG</v>
          </cell>
          <cell r="F507" t="str">
            <v>PARAMEDIC BAG</v>
          </cell>
          <cell r="G507" t="str">
            <v>KS/TB11</v>
          </cell>
          <cell r="H507" t="str">
            <v>N/A</v>
          </cell>
          <cell r="I507" t="str">
            <v>ANNUALLY</v>
          </cell>
          <cell r="J507">
            <v>46034</v>
          </cell>
          <cell r="K507"/>
          <cell r="L507"/>
          <cell r="M507"/>
          <cell r="N507" t="str">
            <v>JABATAN KECEMASAN &amp; TRAUMA</v>
          </cell>
          <cell r="O507" t="str">
            <v>Jabatan Kecemasan &amp; Trauma (ED)</v>
          </cell>
        </row>
        <row r="508">
          <cell r="D508" t="str">
            <v>KKM/JKN/HSA/10-05-01/H/15/3651</v>
          </cell>
          <cell r="E508" t="str">
            <v>TRAUMA KIT FIRST RESPONDER BAG</v>
          </cell>
          <cell r="F508" t="str">
            <v>PARAMEDIC BAG</v>
          </cell>
          <cell r="G508" t="str">
            <v>KS/TB11</v>
          </cell>
          <cell r="H508" t="str">
            <v>N/A</v>
          </cell>
          <cell r="I508" t="str">
            <v>ANNUALLY</v>
          </cell>
          <cell r="J508">
            <v>46034</v>
          </cell>
          <cell r="K508"/>
          <cell r="L508"/>
          <cell r="M508"/>
          <cell r="N508" t="str">
            <v>JABATAN KECEMASAN &amp; TRAUMA</v>
          </cell>
          <cell r="O508" t="str">
            <v>Jabatan Kecemasan &amp; Trauma (ED)</v>
          </cell>
        </row>
        <row r="509">
          <cell r="D509" t="str">
            <v>KKM/JKN/HSA/10-05-01/H/15/3652</v>
          </cell>
          <cell r="E509" t="str">
            <v>TRAUMA KIT FIRST RESPONDER BAG</v>
          </cell>
          <cell r="F509" t="str">
            <v>PARAMEDIC BAG</v>
          </cell>
          <cell r="G509" t="str">
            <v>KS/TB11</v>
          </cell>
          <cell r="H509" t="str">
            <v>N/A</v>
          </cell>
          <cell r="I509" t="str">
            <v>ANNUALLY</v>
          </cell>
          <cell r="J509">
            <v>46034</v>
          </cell>
          <cell r="K509"/>
          <cell r="L509"/>
          <cell r="M509"/>
          <cell r="N509" t="str">
            <v>JABATAN KECEMASAN &amp; TRAUMA</v>
          </cell>
          <cell r="O509" t="str">
            <v>Jabatan Kecemasan &amp; Trauma (ED)</v>
          </cell>
        </row>
        <row r="510">
          <cell r="D510" t="str">
            <v>KKM/JKN/HSA/10-05-01/H/15/3653</v>
          </cell>
          <cell r="E510" t="str">
            <v>TRAUMA KIT FIRST RESPONDER BAG</v>
          </cell>
          <cell r="F510" t="str">
            <v>PARAMEDIC BAG</v>
          </cell>
          <cell r="G510" t="str">
            <v>KS/TB11</v>
          </cell>
          <cell r="H510" t="str">
            <v>N/A</v>
          </cell>
          <cell r="I510" t="str">
            <v>ANNUALLY</v>
          </cell>
          <cell r="J510">
            <v>46034</v>
          </cell>
          <cell r="K510"/>
          <cell r="L510"/>
          <cell r="M510"/>
          <cell r="N510" t="str">
            <v>JABATAN KECEMASAN &amp; TRAUMA</v>
          </cell>
          <cell r="O510" t="str">
            <v>Jabatan Kecemasan &amp; Trauma (ED)</v>
          </cell>
        </row>
        <row r="511">
          <cell r="D511" t="str">
            <v>KKM/JKN/HSA/10-05-01/H/15/3654</v>
          </cell>
          <cell r="E511" t="str">
            <v>TRAUMA KIT FIRST RESPONDER BAG</v>
          </cell>
          <cell r="F511" t="str">
            <v>PARAMEDIC BAG</v>
          </cell>
          <cell r="G511" t="str">
            <v>KS/TB11</v>
          </cell>
          <cell r="H511" t="str">
            <v>N/A</v>
          </cell>
          <cell r="I511" t="str">
            <v>ANNUALLY</v>
          </cell>
          <cell r="J511">
            <v>46034</v>
          </cell>
          <cell r="K511"/>
          <cell r="L511"/>
          <cell r="M511"/>
          <cell r="N511" t="str">
            <v>JABATAN KECEMASAN &amp; TRAUMA</v>
          </cell>
          <cell r="O511" t="str">
            <v>Jabatan Kecemasan &amp; Trauma (ED)</v>
          </cell>
        </row>
        <row r="512">
          <cell r="D512" t="str">
            <v>KKM/JKN/HSA/10-05-01/H/15/3659</v>
          </cell>
          <cell r="E512" t="str">
            <v>DEFIBRILLATOR</v>
          </cell>
          <cell r="F512" t="str">
            <v>PHILIPS</v>
          </cell>
          <cell r="G512" t="str">
            <v>EFFICIA DFM100</v>
          </cell>
          <cell r="H512" t="str">
            <v>CN32601439</v>
          </cell>
          <cell r="I512" t="str">
            <v>SEMI ANNUALLY</v>
          </cell>
          <cell r="J512">
            <v>45711</v>
          </cell>
          <cell r="K512">
            <v>45891</v>
          </cell>
          <cell r="L512"/>
          <cell r="M512"/>
          <cell r="N512" t="str">
            <v>JABATAN KECEMASAN &amp; TRAUMA</v>
          </cell>
          <cell r="O512" t="str">
            <v>Jabatan Kecemasan &amp; Trauma (ED)</v>
          </cell>
        </row>
        <row r="513">
          <cell r="D513" t="str">
            <v>KKM/JKN/HSA/10-05-01/H/15/3660</v>
          </cell>
          <cell r="E513" t="str">
            <v>DEFIBRILLATOR</v>
          </cell>
          <cell r="F513" t="str">
            <v>PHILIPS</v>
          </cell>
          <cell r="G513" t="str">
            <v>EFFICIA DFM100</v>
          </cell>
          <cell r="H513" t="str">
            <v>CN32601432</v>
          </cell>
          <cell r="I513" t="str">
            <v>SEMI ANNUALLY</v>
          </cell>
          <cell r="J513">
            <v>45711</v>
          </cell>
          <cell r="K513">
            <v>45891</v>
          </cell>
          <cell r="L513"/>
          <cell r="M513"/>
          <cell r="N513" t="str">
            <v>JABATAN KECEMASAN &amp; TRAUMA</v>
          </cell>
          <cell r="O513" t="str">
            <v>Jabatan Kecemasan &amp; Trauma (ED)</v>
          </cell>
        </row>
        <row r="514">
          <cell r="D514" t="str">
            <v>KKM/JKN/HSA/10-05-01/H/15/3661</v>
          </cell>
          <cell r="E514" t="str">
            <v>DEFIBRILLATOR</v>
          </cell>
          <cell r="F514" t="str">
            <v>PHILIPS</v>
          </cell>
          <cell r="G514" t="str">
            <v>EFFICIA DFM100</v>
          </cell>
          <cell r="H514" t="str">
            <v>CN32601421</v>
          </cell>
          <cell r="I514" t="str">
            <v>SEMI ANNUALLY</v>
          </cell>
          <cell r="J514">
            <v>45711</v>
          </cell>
          <cell r="K514">
            <v>45891</v>
          </cell>
          <cell r="L514"/>
          <cell r="M514"/>
          <cell r="N514" t="str">
            <v>JABATAN KECEMASAN &amp; TRAUMA</v>
          </cell>
          <cell r="O514" t="str">
            <v>Jabatan Kecemasan &amp; Trauma (ED)</v>
          </cell>
        </row>
        <row r="515">
          <cell r="D515" t="str">
            <v>KKM/JKN/HSA/10-05-01/H/15/37</v>
          </cell>
          <cell r="E515" t="str">
            <v>VENTILATOR</v>
          </cell>
          <cell r="F515" t="str">
            <v>PHILIPS RESPIRONICS</v>
          </cell>
          <cell r="G515" t="str">
            <v>V60</v>
          </cell>
          <cell r="H515" t="str">
            <v>201015223</v>
          </cell>
          <cell r="I515" t="str">
            <v>SEMI ANNUALLY</v>
          </cell>
          <cell r="J515">
            <v>45698</v>
          </cell>
          <cell r="K515">
            <v>45878</v>
          </cell>
          <cell r="L515"/>
          <cell r="M515"/>
          <cell r="N515" t="str">
            <v>JABATAN KECEMASAN &amp; TRAUMA</v>
          </cell>
          <cell r="O515" t="str">
            <v>Jabatan Kecemasan &amp; Trauma (ED)</v>
          </cell>
        </row>
        <row r="516">
          <cell r="D516" t="str">
            <v>KKM/JKN/HSA/10-05-01/H/15/38</v>
          </cell>
          <cell r="E516" t="str">
            <v>HEMATOLOGY ANALYSER</v>
          </cell>
          <cell r="F516" t="str">
            <v>SYSMEX</v>
          </cell>
          <cell r="G516" t="str">
            <v>XP-100</v>
          </cell>
          <cell r="H516" t="str">
            <v>A9200</v>
          </cell>
          <cell r="I516" t="str">
            <v>SEMI ANNUALLY</v>
          </cell>
          <cell r="J516">
            <v>45804</v>
          </cell>
          <cell r="K516">
            <v>45987</v>
          </cell>
          <cell r="L516"/>
          <cell r="M516"/>
          <cell r="N516" t="str">
            <v>JABATAN KECEMASAN &amp; TRAUMA</v>
          </cell>
          <cell r="O516" t="str">
            <v>Jabatan Kecemasan &amp; Trauma (ED)</v>
          </cell>
        </row>
        <row r="517">
          <cell r="D517" t="str">
            <v>KKM/JKN/HSA/10-05-01/H/15/427</v>
          </cell>
          <cell r="E517" t="str">
            <v>DIAGNOSTIC SET</v>
          </cell>
          <cell r="F517" t="str">
            <v>RUDOLF RIESTER, GMBH</v>
          </cell>
          <cell r="G517" t="str">
            <v>RI-SCOPE DE LUXE 3772</v>
          </cell>
          <cell r="H517" t="str">
            <v>N/A</v>
          </cell>
          <cell r="I517" t="str">
            <v>ANNUALLY</v>
          </cell>
          <cell r="J517">
            <v>45707</v>
          </cell>
          <cell r="K517"/>
          <cell r="L517"/>
          <cell r="M517"/>
          <cell r="N517" t="str">
            <v>JABATAN KECEMASAN &amp; TRAUMA</v>
          </cell>
          <cell r="O517" t="str">
            <v>Jabatan Kecemasan &amp; Trauma (ED)</v>
          </cell>
        </row>
        <row r="518">
          <cell r="D518" t="str">
            <v>KKM/JKN/HSA/10-05-01/H/15/438</v>
          </cell>
          <cell r="E518" t="str">
            <v>SYRINGE INFUSION PUMP</v>
          </cell>
          <cell r="F518" t="str">
            <v>FRESENIUS KABI</v>
          </cell>
          <cell r="G518" t="str">
            <v>INJECTOMAT MC AGILIA</v>
          </cell>
          <cell r="H518" t="str">
            <v>018310/22230709</v>
          </cell>
          <cell r="I518" t="str">
            <v>ANNUALLY</v>
          </cell>
          <cell r="J518">
            <v>46029</v>
          </cell>
          <cell r="K518"/>
          <cell r="L518"/>
          <cell r="M518"/>
          <cell r="N518" t="str">
            <v>JABATAN KECEMASAN &amp; TRAUMA</v>
          </cell>
          <cell r="O518" t="str">
            <v>Jabatan Kecemasan &amp; Trauma (ED)</v>
          </cell>
        </row>
        <row r="519">
          <cell r="D519" t="str">
            <v>KKM/JKN/HSA/10-05-01/H/15/439</v>
          </cell>
          <cell r="E519" t="str">
            <v>SYRINGE INFUSION PUMP</v>
          </cell>
          <cell r="F519" t="str">
            <v>FRESENIUS KABI</v>
          </cell>
          <cell r="G519" t="str">
            <v>INJECTOMAT MC AGILIA</v>
          </cell>
          <cell r="H519" t="str">
            <v>018310/22231572</v>
          </cell>
          <cell r="I519" t="str">
            <v>ANNUALLY</v>
          </cell>
          <cell r="J519">
            <v>46029</v>
          </cell>
          <cell r="K519"/>
          <cell r="L519"/>
          <cell r="M519"/>
          <cell r="N519" t="str">
            <v>JABATAN KECEMASAN &amp; TRAUMA</v>
          </cell>
          <cell r="O519" t="str">
            <v>Jabatan Kecemasan &amp; Trauma (ED)</v>
          </cell>
        </row>
        <row r="520">
          <cell r="D520" t="str">
            <v>KKM/JKN/HSA/10-05-01/H/15/440</v>
          </cell>
          <cell r="E520" t="str">
            <v>SYRINGE INFUSION PUMP</v>
          </cell>
          <cell r="F520" t="str">
            <v>FRESENIUS KABI</v>
          </cell>
          <cell r="G520" t="str">
            <v>INJECTOMAT MC AGILIA</v>
          </cell>
          <cell r="H520" t="str">
            <v>018310/22230710</v>
          </cell>
          <cell r="I520" t="str">
            <v>ANNUALLY</v>
          </cell>
          <cell r="J520">
            <v>46029</v>
          </cell>
          <cell r="K520"/>
          <cell r="L520"/>
          <cell r="M520"/>
          <cell r="N520" t="str">
            <v>JABATAN KECEMASAN &amp; TRAUMA</v>
          </cell>
          <cell r="O520" t="str">
            <v>Jabatan Kecemasan &amp; Trauma (ED)</v>
          </cell>
        </row>
        <row r="521">
          <cell r="D521" t="str">
            <v>KKM/JKN/HSA/10-05-01/H/15/441</v>
          </cell>
          <cell r="E521" t="str">
            <v>SYRINGE INFUSION PUMP</v>
          </cell>
          <cell r="F521" t="str">
            <v>FRESENIUS KABI</v>
          </cell>
          <cell r="G521" t="str">
            <v>INJECTOMAT MC AGILIA</v>
          </cell>
          <cell r="H521" t="str">
            <v>018310/22230760</v>
          </cell>
          <cell r="I521" t="str">
            <v>ANNUALLY</v>
          </cell>
          <cell r="J521">
            <v>46038</v>
          </cell>
          <cell r="K521"/>
          <cell r="L521"/>
          <cell r="M521"/>
          <cell r="N521" t="str">
            <v>JABATAN KECEMASAN &amp; TRAUMA</v>
          </cell>
          <cell r="O521" t="str">
            <v>Jabatan Kecemasan &amp; Trauma (ED)</v>
          </cell>
        </row>
        <row r="522">
          <cell r="D522" t="str">
            <v>KKM/JKN/HSA/10-05-01/H/15/442</v>
          </cell>
          <cell r="E522" t="str">
            <v>SYRINGE INFUSION PUMP</v>
          </cell>
          <cell r="F522" t="str">
            <v>FRESENIUS KABI</v>
          </cell>
          <cell r="G522" t="str">
            <v>INJECTOMAT MC AGILIA</v>
          </cell>
          <cell r="H522" t="str">
            <v>018310/22231562</v>
          </cell>
          <cell r="I522" t="str">
            <v>ANNUALLY</v>
          </cell>
          <cell r="J522">
            <v>46038</v>
          </cell>
          <cell r="K522"/>
          <cell r="L522"/>
          <cell r="M522"/>
          <cell r="N522" t="str">
            <v>JABATAN KECEMASAN &amp; TRAUMA</v>
          </cell>
          <cell r="O522" t="str">
            <v>Jabatan Kecemasan &amp; Trauma (ED)</v>
          </cell>
        </row>
        <row r="523">
          <cell r="D523" t="str">
            <v>KKM/JKN/HSA/10-05-01/H/15/443</v>
          </cell>
          <cell r="E523" t="str">
            <v>SYRINGE INFUSION PUMP</v>
          </cell>
          <cell r="F523" t="str">
            <v>FRESENIUS KABI</v>
          </cell>
          <cell r="G523" t="str">
            <v>INJECTOMAT MC AGILIA</v>
          </cell>
          <cell r="H523" t="str">
            <v>018310/22231583</v>
          </cell>
          <cell r="I523" t="str">
            <v>ANNUALLY</v>
          </cell>
          <cell r="J523">
            <v>46038</v>
          </cell>
          <cell r="K523"/>
          <cell r="L523"/>
          <cell r="M523"/>
          <cell r="N523" t="str">
            <v>JABATAN KECEMASAN &amp; TRAUMA</v>
          </cell>
          <cell r="O523" t="str">
            <v>Jabatan Kecemasan &amp; Trauma (ED)</v>
          </cell>
        </row>
        <row r="524">
          <cell r="D524" t="str">
            <v>KKM/JKN/HSA/10-05-01/H/15/444</v>
          </cell>
          <cell r="E524" t="str">
            <v>SYRINGE INFUSION PUMP</v>
          </cell>
          <cell r="F524" t="str">
            <v>FRESENIUS KABI</v>
          </cell>
          <cell r="G524" t="str">
            <v>INJECTOMAT MC AGILIA</v>
          </cell>
          <cell r="H524" t="str">
            <v>018310/22231731</v>
          </cell>
          <cell r="I524" t="str">
            <v>ANNUALLY</v>
          </cell>
          <cell r="J524">
            <v>46038</v>
          </cell>
          <cell r="K524"/>
          <cell r="L524"/>
          <cell r="M524"/>
          <cell r="N524" t="str">
            <v>JABATAN KECEMASAN &amp; TRAUMA</v>
          </cell>
          <cell r="O524" t="str">
            <v>Jabatan Kecemasan &amp; Trauma (ED)</v>
          </cell>
        </row>
        <row r="525">
          <cell r="D525" t="str">
            <v>KKM/JKN/HSA/10-05-01/H/15/445</v>
          </cell>
          <cell r="E525" t="str">
            <v>SYRINGE INFUSION PUMP</v>
          </cell>
          <cell r="F525" t="str">
            <v>FRESENIUS KABI</v>
          </cell>
          <cell r="G525" t="str">
            <v>INJECTOMAT MC AGILIA</v>
          </cell>
          <cell r="H525" t="str">
            <v>018310/22231693</v>
          </cell>
          <cell r="I525" t="str">
            <v>ANNUALLY</v>
          </cell>
          <cell r="J525">
            <v>46038</v>
          </cell>
          <cell r="K525"/>
          <cell r="L525"/>
          <cell r="M525"/>
          <cell r="N525" t="str">
            <v>JABATAN KECEMASAN &amp; TRAUMA</v>
          </cell>
          <cell r="O525" t="str">
            <v>Jabatan Kecemasan &amp; Trauma (ED)</v>
          </cell>
        </row>
        <row r="526">
          <cell r="D526" t="str">
            <v>KKM/JKN/HSA/10-05-01/H/15/446</v>
          </cell>
          <cell r="E526" t="str">
            <v>SYRINGE INFUSION PUMP</v>
          </cell>
          <cell r="F526" t="str">
            <v>FRESENIUS KABI</v>
          </cell>
          <cell r="G526" t="str">
            <v>INJECTOMAT MC AGILIA</v>
          </cell>
          <cell r="H526" t="str">
            <v>018310/22231552</v>
          </cell>
          <cell r="I526" t="str">
            <v>ANNUALLY</v>
          </cell>
          <cell r="J526">
            <v>46038</v>
          </cell>
          <cell r="K526"/>
          <cell r="L526"/>
          <cell r="M526"/>
          <cell r="N526" t="str">
            <v>JABATAN KECEMASAN &amp; TRAUMA</v>
          </cell>
          <cell r="O526" t="str">
            <v>Jabatan Kecemasan &amp; Trauma (ED)</v>
          </cell>
        </row>
        <row r="527">
          <cell r="D527" t="str">
            <v>KKM/JKN/HSA/10-05-01/H/15/447</v>
          </cell>
          <cell r="E527" t="str">
            <v>SYRINGE INFUSION PUMP</v>
          </cell>
          <cell r="F527" t="str">
            <v>FRESENIUS KABI</v>
          </cell>
          <cell r="G527" t="str">
            <v>INJECTOMAT MC AGILIA</v>
          </cell>
          <cell r="H527" t="str">
            <v>018310/22231537</v>
          </cell>
          <cell r="I527" t="str">
            <v>ANNUALLY</v>
          </cell>
          <cell r="J527">
            <v>46041</v>
          </cell>
          <cell r="K527"/>
          <cell r="L527"/>
          <cell r="M527"/>
          <cell r="N527" t="str">
            <v>JABATAN KECEMASAN &amp; TRAUMA</v>
          </cell>
          <cell r="O527" t="str">
            <v>Jabatan Kecemasan &amp; Trauma (ED)</v>
          </cell>
        </row>
        <row r="528">
          <cell r="D528" t="str">
            <v xml:space="preserve">KKM/JKN/HSA/10-05-01/H/15/466 </v>
          </cell>
          <cell r="E528" t="str">
            <v>SUCTION APPARATUS</v>
          </cell>
          <cell r="F528" t="str">
            <v>DURR DENTAL AG</v>
          </cell>
          <cell r="G528" t="str">
            <v>V 300 S</v>
          </cell>
          <cell r="H528" t="str">
            <v>E257782008</v>
          </cell>
          <cell r="I528" t="str">
            <v>ANNUALLY</v>
          </cell>
          <cell r="J528">
            <v>45730</v>
          </cell>
          <cell r="K528"/>
          <cell r="L528"/>
          <cell r="M528"/>
          <cell r="N528" t="str">
            <v>JABATAN KECEMASAN &amp; TRAUMA</v>
          </cell>
          <cell r="O528" t="str">
            <v>Jabatan Kecemasan &amp; Trauma (ED)</v>
          </cell>
        </row>
        <row r="529">
          <cell r="D529" t="str">
            <v>KKM/JKN/HSA/10-05-01/H/15/4858</v>
          </cell>
          <cell r="E529" t="str">
            <v>AUTOMATIC EXTERNAL DEFIBRILLATOR (AED)</v>
          </cell>
          <cell r="F529" t="str">
            <v>AMI ITALIA</v>
          </cell>
          <cell r="G529" t="str">
            <v>SAVER ONE</v>
          </cell>
          <cell r="H529" t="str">
            <v>36SP004091400011</v>
          </cell>
          <cell r="I529" t="str">
            <v>ANNUALLY</v>
          </cell>
          <cell r="J529">
            <v>45827</v>
          </cell>
          <cell r="K529"/>
          <cell r="L529"/>
          <cell r="M529"/>
          <cell r="N529" t="str">
            <v>JABATAN KECEMASAN &amp; TRAUMA</v>
          </cell>
          <cell r="O529" t="str">
            <v>Jabatan Kecemasan &amp; Trauma (ED)</v>
          </cell>
        </row>
        <row r="530">
          <cell r="D530" t="str">
            <v>KKM/JKN/HSA/10-05-01/H/15/4859</v>
          </cell>
          <cell r="E530" t="str">
            <v>AUTOMATIC EXTERNAL DEFIBRILLATOR (AED)</v>
          </cell>
          <cell r="F530" t="str">
            <v>AMI ITALIA</v>
          </cell>
          <cell r="G530" t="str">
            <v>SAVER ONE</v>
          </cell>
          <cell r="H530" t="str">
            <v>52SP003121500001</v>
          </cell>
          <cell r="I530" t="str">
            <v>ANNUALLY</v>
          </cell>
          <cell r="J530">
            <v>45827</v>
          </cell>
          <cell r="K530"/>
          <cell r="L530"/>
          <cell r="M530"/>
          <cell r="N530" t="str">
            <v>JABATAN KECEMASAN &amp; TRAUMA</v>
          </cell>
          <cell r="O530" t="str">
            <v>Jabatan Kecemasan &amp; Trauma (ED)</v>
          </cell>
        </row>
        <row r="531">
          <cell r="D531" t="str">
            <v>KKM/JKN/HSA/10-05-01/H/15/4861</v>
          </cell>
          <cell r="E531" t="str">
            <v>AUTOMATIC EXTERNAL DEFIBRILLATOR (AED)</v>
          </cell>
          <cell r="F531" t="str">
            <v>AMI ITALIA</v>
          </cell>
          <cell r="G531" t="str">
            <v>SAVER ONE</v>
          </cell>
          <cell r="H531" t="str">
            <v>49SP003121500004</v>
          </cell>
          <cell r="I531" t="str">
            <v>ANNUALLY</v>
          </cell>
          <cell r="J531">
            <v>45827</v>
          </cell>
          <cell r="K531"/>
          <cell r="L531"/>
          <cell r="M531"/>
          <cell r="N531" t="str">
            <v>JABATAN KECEMASAN &amp; TRAUMA</v>
          </cell>
          <cell r="O531" t="str">
            <v>Jabatan Kecemasan &amp; Trauma (ED)</v>
          </cell>
        </row>
        <row r="532">
          <cell r="D532" t="str">
            <v>KKM/JKN/HSA/10-05-01/H/15/4862</v>
          </cell>
          <cell r="E532" t="str">
            <v>AUTOMATIC EXTERNAL DEFIBRILLATOR (AED)</v>
          </cell>
          <cell r="F532" t="str">
            <v>AMI ITALIA</v>
          </cell>
          <cell r="G532" t="str">
            <v>SAVER ONE</v>
          </cell>
          <cell r="H532" t="str">
            <v>49SP003121500001</v>
          </cell>
          <cell r="I532" t="str">
            <v>ANNUALLY</v>
          </cell>
          <cell r="J532">
            <v>45828</v>
          </cell>
          <cell r="K532"/>
          <cell r="L532"/>
          <cell r="M532"/>
          <cell r="N532" t="str">
            <v>JABATAN KECEMASAN &amp; TRAUMA</v>
          </cell>
          <cell r="O532" t="str">
            <v>Jabatan Kecemasan &amp; Trauma (ED)</v>
          </cell>
        </row>
        <row r="533">
          <cell r="D533" t="str">
            <v>KKM/JKN/HSA/10-05-01/H/15/4863</v>
          </cell>
          <cell r="E533" t="str">
            <v>AUTOMATIC EXTERNAL DEFIBRILLATOR (AED)</v>
          </cell>
          <cell r="F533" t="str">
            <v>AMI ITALIA</v>
          </cell>
          <cell r="G533" t="str">
            <v>SAVER ONE</v>
          </cell>
          <cell r="H533" t="str">
            <v>49SP003121500007</v>
          </cell>
          <cell r="I533" t="str">
            <v>ANNUALLY</v>
          </cell>
          <cell r="J533">
            <v>45828</v>
          </cell>
          <cell r="K533"/>
          <cell r="L533"/>
          <cell r="M533"/>
          <cell r="N533" t="str">
            <v>JABATAN KECEMASAN &amp; TRAUMA</v>
          </cell>
          <cell r="O533" t="str">
            <v>Jabatan Kecemasan &amp; Trauma (ED)</v>
          </cell>
        </row>
        <row r="534">
          <cell r="D534" t="str">
            <v>KKM/JKN/HSA/10-05-01/H/15/4864</v>
          </cell>
          <cell r="E534" t="str">
            <v>AUTOMATIC EXTERNAL DEFIBRILLATOR (AED)</v>
          </cell>
          <cell r="F534" t="str">
            <v>AMI ITALIA</v>
          </cell>
          <cell r="G534" t="str">
            <v>SAVER ONE</v>
          </cell>
          <cell r="H534" t="str">
            <v>49SP003121500008</v>
          </cell>
          <cell r="I534" t="str">
            <v>ANNUALLY</v>
          </cell>
          <cell r="J534">
            <v>45828</v>
          </cell>
          <cell r="K534"/>
          <cell r="L534"/>
          <cell r="M534"/>
          <cell r="N534" t="str">
            <v>JABATAN KECEMASAN &amp; TRAUMA</v>
          </cell>
          <cell r="O534" t="str">
            <v>Jabatan Kecemasan &amp; Trauma (ED)</v>
          </cell>
        </row>
        <row r="535">
          <cell r="D535" t="str">
            <v>KKM/JKN/HSA/10-05-01/H/15/4865</v>
          </cell>
          <cell r="E535" t="str">
            <v>AUTOMATIC EXTERNAL DEFIBRILLATOR (AED)</v>
          </cell>
          <cell r="F535" t="str">
            <v>AMI ITALIA</v>
          </cell>
          <cell r="G535" t="str">
            <v>SAVER ONE</v>
          </cell>
          <cell r="H535" t="str">
            <v>49SP003121500006</v>
          </cell>
          <cell r="I535" t="str">
            <v>ANNUALLY</v>
          </cell>
          <cell r="J535">
            <v>45828</v>
          </cell>
          <cell r="K535"/>
          <cell r="L535"/>
          <cell r="M535"/>
          <cell r="N535" t="str">
            <v>JABATAN KECEMASAN &amp; TRAUMA</v>
          </cell>
          <cell r="O535" t="str">
            <v>Jabatan Kecemasan &amp; Trauma (ED)</v>
          </cell>
        </row>
        <row r="536">
          <cell r="D536" t="str">
            <v>KKM/JKN/HSA/10-05-01/H/15/4866</v>
          </cell>
          <cell r="E536" t="str">
            <v>AUTOMATIC EXTERNAL DEFIBRILLATOR (AED)</v>
          </cell>
          <cell r="F536" t="str">
            <v>AMI ITALIA</v>
          </cell>
          <cell r="G536" t="str">
            <v>SAVER ONE</v>
          </cell>
          <cell r="H536" t="str">
            <v>49SP003121500005</v>
          </cell>
          <cell r="I536" t="str">
            <v>ANNUALLY</v>
          </cell>
          <cell r="J536">
            <v>45828</v>
          </cell>
          <cell r="K536"/>
          <cell r="L536"/>
          <cell r="M536"/>
          <cell r="N536" t="str">
            <v>JABATAN KECEMASAN &amp; TRAUMA</v>
          </cell>
          <cell r="O536" t="str">
            <v>Jabatan Kecemasan &amp; Trauma (ED)</v>
          </cell>
        </row>
        <row r="537">
          <cell r="D537" t="str">
            <v xml:space="preserve">KKM/JKN/HSA/10-05-01/H/15/4893 </v>
          </cell>
          <cell r="E537" t="str">
            <v>COMPRESSOR AIR (DENTAL)</v>
          </cell>
          <cell r="F537" t="str">
            <v>DURR DENTAL AG</v>
          </cell>
          <cell r="G537" t="str">
            <v>TORNADO 2 WITH MEMBRANE DRYER</v>
          </cell>
          <cell r="H537" t="str">
            <v>E258933042</v>
          </cell>
          <cell r="I537" t="str">
            <v>SEMI ANNUALLY</v>
          </cell>
          <cell r="J537">
            <v>46049</v>
          </cell>
          <cell r="K537">
            <v>46227</v>
          </cell>
          <cell r="L537"/>
          <cell r="M537"/>
          <cell r="N537" t="str">
            <v>JABATAN BEDAH MULUT</v>
          </cell>
          <cell r="O537" t="str">
            <v>Jabatan Kecemasan &amp; Trauma (ED)</v>
          </cell>
        </row>
        <row r="538">
          <cell r="D538" t="str">
            <v>KKM/JKN/HSA/10-05-01/H/15/5034</v>
          </cell>
          <cell r="E538" t="str">
            <v>BLOOD FLUID WARMER</v>
          </cell>
          <cell r="F538" t="str">
            <v>ANIMEC</v>
          </cell>
          <cell r="G538" t="str">
            <v>AM301</v>
          </cell>
          <cell r="H538" t="str">
            <v>2015M0060</v>
          </cell>
          <cell r="I538" t="str">
            <v>ANNUALLY</v>
          </cell>
          <cell r="J538">
            <v>45974</v>
          </cell>
          <cell r="K538"/>
          <cell r="L538"/>
          <cell r="M538"/>
          <cell r="N538" t="str">
            <v>JABATAN KECEMASAN &amp; TRAUMA</v>
          </cell>
          <cell r="O538" t="str">
            <v>Jabatan Kecemasan &amp; Trauma (ED)</v>
          </cell>
        </row>
        <row r="539">
          <cell r="D539" t="str">
            <v>KKM/JKN/HSA/10-05-01/H/15/5035</v>
          </cell>
          <cell r="E539" t="str">
            <v>BLOOD FLUID WARMER</v>
          </cell>
          <cell r="F539" t="str">
            <v>ANIMEC</v>
          </cell>
          <cell r="G539" t="str">
            <v>AM301</v>
          </cell>
          <cell r="H539" t="str">
            <v>2015M0058</v>
          </cell>
          <cell r="I539" t="str">
            <v>ANNUALLY</v>
          </cell>
          <cell r="J539">
            <v>45975</v>
          </cell>
          <cell r="K539"/>
          <cell r="L539"/>
          <cell r="M539"/>
          <cell r="N539" t="str">
            <v>JABATAN KECEMASAN &amp; TRAUMA</v>
          </cell>
          <cell r="O539" t="str">
            <v>Jabatan Kecemasan &amp; Trauma (ED)</v>
          </cell>
        </row>
        <row r="540">
          <cell r="D540" t="str">
            <v>KKM/JKN/HSA/10-05-01/H/15/5036</v>
          </cell>
          <cell r="E540" t="str">
            <v>BLOOD FLUID WARMER</v>
          </cell>
          <cell r="F540" t="str">
            <v xml:space="preserve">BARKEY </v>
          </cell>
          <cell r="G540" t="str">
            <v>AUTOCONTROL 3XPT</v>
          </cell>
          <cell r="H540" t="str">
            <v>2015M0057</v>
          </cell>
          <cell r="I540" t="str">
            <v>ANNUALLY</v>
          </cell>
          <cell r="J540">
            <v>45974</v>
          </cell>
          <cell r="K540"/>
          <cell r="L540"/>
          <cell r="M540"/>
          <cell r="N540" t="str">
            <v>JABATAN KECEMASAN &amp; TRAUMA</v>
          </cell>
          <cell r="O540" t="str">
            <v>Jabatan Kecemasan &amp; Trauma (ED)</v>
          </cell>
        </row>
        <row r="541">
          <cell r="D541" t="str">
            <v>KKM/JKN/HSA/10-05-01/H/15/5037</v>
          </cell>
          <cell r="E541" t="str">
            <v>HOTLINE FLUID WARMER</v>
          </cell>
          <cell r="F541" t="str">
            <v>SMITHS MEDICAL ASD, INC</v>
          </cell>
          <cell r="G541" t="str">
            <v>HOTLINE HL-90</v>
          </cell>
          <cell r="H541" t="str">
            <v>S101B03987</v>
          </cell>
          <cell r="I541" t="str">
            <v>ANNUALLY</v>
          </cell>
          <cell r="J541">
            <v>45707</v>
          </cell>
          <cell r="K541"/>
          <cell r="L541"/>
          <cell r="M541"/>
          <cell r="N541" t="str">
            <v>JABATAN KECEMASAN &amp; TRAUMA</v>
          </cell>
          <cell r="O541" t="str">
            <v>Jabatan Kecemasan &amp; Trauma (ED)</v>
          </cell>
        </row>
        <row r="542">
          <cell r="D542" t="str">
            <v>KKM/JKN/HSA/10-05-01/H/15/554</v>
          </cell>
          <cell r="E542" t="str">
            <v>INFANT INCUBATOR</v>
          </cell>
          <cell r="F542" t="str">
            <v>DRAEGER</v>
          </cell>
          <cell r="G542" t="str">
            <v>ISOLETTE TI500 W BABYPAC</v>
          </cell>
          <cell r="H542" t="str">
            <v>AU09338</v>
          </cell>
          <cell r="I542" t="str">
            <v>SEMI ANNUALLY</v>
          </cell>
          <cell r="J542">
            <v>45763</v>
          </cell>
          <cell r="K542">
            <v>45945</v>
          </cell>
          <cell r="L542"/>
          <cell r="M542"/>
          <cell r="N542" t="str">
            <v>JABATAN KECEMASAN &amp; TRAUMA</v>
          </cell>
          <cell r="O542" t="str">
            <v>Jabatan Kecemasan &amp; Trauma (ED)</v>
          </cell>
        </row>
        <row r="543">
          <cell r="D543" t="str">
            <v>KKM/JKN/HSA/10-05-01/H/15/564</v>
          </cell>
          <cell r="E543" t="str">
            <v>ECG (EKG) MACHINE</v>
          </cell>
          <cell r="F543" t="str">
            <v>GE HEALTHCARE</v>
          </cell>
          <cell r="G543" t="str">
            <v>MAC 1200</v>
          </cell>
          <cell r="H543" t="str">
            <v>550661839</v>
          </cell>
          <cell r="I543" t="str">
            <v>ANNUALLY</v>
          </cell>
          <cell r="J543">
            <v>45792</v>
          </cell>
          <cell r="K543"/>
          <cell r="L543"/>
          <cell r="M543"/>
          <cell r="N543" t="str">
            <v>JABATAN KECEMASAN &amp; TRAUMA</v>
          </cell>
          <cell r="O543" t="str">
            <v>Jabatan Kecemasan &amp; Trauma (ED)</v>
          </cell>
        </row>
        <row r="544">
          <cell r="D544" t="str">
            <v>KKM/JKN/HSA/10-05-01/H/15/565</v>
          </cell>
          <cell r="E544" t="str">
            <v>ECG (EKG) MACHINE</v>
          </cell>
          <cell r="F544" t="str">
            <v>GE HEALTHCARE</v>
          </cell>
          <cell r="G544" t="str">
            <v>MAC 1200</v>
          </cell>
          <cell r="H544" t="str">
            <v>550061839</v>
          </cell>
          <cell r="I544" t="str">
            <v>ANNUALLY</v>
          </cell>
          <cell r="J544">
            <v>45792</v>
          </cell>
          <cell r="K544"/>
          <cell r="L544"/>
          <cell r="M544"/>
          <cell r="N544" t="str">
            <v>JABATAN KECEMASAN &amp; TRAUMA</v>
          </cell>
          <cell r="O544" t="str">
            <v>Jabatan Kecemasan &amp; Trauma (ED)</v>
          </cell>
        </row>
        <row r="545">
          <cell r="D545" t="str">
            <v>KKM/JKN/HSA/10-05-01/H/15/605</v>
          </cell>
          <cell r="E545" t="str">
            <v>DEFIBRILLATOR</v>
          </cell>
          <cell r="F545" t="str">
            <v>PHILIPS</v>
          </cell>
          <cell r="G545" t="str">
            <v>EFFICIA DFM100</v>
          </cell>
          <cell r="H545" t="str">
            <v>CN32601422</v>
          </cell>
          <cell r="I545" t="str">
            <v>SEMI ANNUALLY</v>
          </cell>
          <cell r="J545">
            <v>45730</v>
          </cell>
          <cell r="K545">
            <v>45913</v>
          </cell>
          <cell r="L545"/>
          <cell r="M545"/>
          <cell r="N545" t="str">
            <v>JABATAN KECEMASAN &amp; TRAUMA</v>
          </cell>
          <cell r="O545" t="str">
            <v>Jabatan Kecemasan &amp; Trauma (ED)</v>
          </cell>
        </row>
        <row r="546">
          <cell r="D546" t="str">
            <v>KKM/JKN/HSA/10-05-01/H/15/879</v>
          </cell>
          <cell r="E546" t="str">
            <v>CENTRAL MONITORING SYSTEM</v>
          </cell>
          <cell r="F546" t="str">
            <v>MINDRAY</v>
          </cell>
          <cell r="G546" t="str">
            <v>HYPERVISOR VI</v>
          </cell>
          <cell r="H546" t="str">
            <v>4CV4122BUB</v>
          </cell>
          <cell r="I546" t="str">
            <v>ANNUALLY</v>
          </cell>
          <cell r="J546">
            <v>45807</v>
          </cell>
          <cell r="K546"/>
          <cell r="L546"/>
          <cell r="M546"/>
          <cell r="N546" t="str">
            <v>JABATAN KECEMASAN &amp; TRAUMA</v>
          </cell>
          <cell r="O546" t="str">
            <v>Jabatan Kecemasan &amp; Trauma (ED)</v>
          </cell>
        </row>
        <row r="547">
          <cell r="D547" t="str">
            <v>KKM/JKN/HSA/10-05-01/H/15/939</v>
          </cell>
          <cell r="E547" t="str">
            <v>SYRINGE INFUSION PUMP</v>
          </cell>
          <cell r="F547" t="str">
            <v>FRESENIUS KABI</v>
          </cell>
          <cell r="G547" t="str">
            <v>MODULE DPS</v>
          </cell>
          <cell r="H547" t="str">
            <v>082594/22233525</v>
          </cell>
          <cell r="I547" t="str">
            <v>ANNUALLY</v>
          </cell>
          <cell r="J547">
            <v>45859</v>
          </cell>
          <cell r="K547"/>
          <cell r="L547"/>
          <cell r="M547"/>
          <cell r="N547" t="str">
            <v>JABATAN KECEMASAN &amp; TRAUMA</v>
          </cell>
          <cell r="O547" t="str">
            <v>Jabatan Kecemasan &amp; Trauma (ED)</v>
          </cell>
        </row>
        <row r="548">
          <cell r="D548" t="str">
            <v>KKM/JKN/HSA/10-05-01/H/15/971</v>
          </cell>
          <cell r="E548" t="str">
            <v>PULSE OXIMETER AND SIMULATOR</v>
          </cell>
          <cell r="F548" t="str">
            <v>GE HEALTHCARE</v>
          </cell>
          <cell r="G548" t="str">
            <v>TRUST PULSE OXIMETER</v>
          </cell>
          <cell r="H548" t="str">
            <v>FC14251565A</v>
          </cell>
          <cell r="I548" t="str">
            <v>ANNUALLY</v>
          </cell>
          <cell r="J548">
            <v>46010</v>
          </cell>
          <cell r="K548"/>
          <cell r="L548"/>
          <cell r="M548"/>
          <cell r="N548" t="str">
            <v>JABATAN KECEMASAN &amp; TRAUMA</v>
          </cell>
          <cell r="O548" t="str">
            <v>Jabatan Kecemasan &amp; Trauma (ED)</v>
          </cell>
        </row>
        <row r="549">
          <cell r="D549" t="str">
            <v>KKM/JKN/HSA/10-05-01/H/15/972</v>
          </cell>
          <cell r="E549" t="str">
            <v>PULSE OXIMETER AND SIMULATOR</v>
          </cell>
          <cell r="F549" t="str">
            <v>GE HEALTHCARE</v>
          </cell>
          <cell r="G549" t="str">
            <v>TRUST PULSE OXIMETER</v>
          </cell>
          <cell r="H549" t="str">
            <v>N/A</v>
          </cell>
          <cell r="I549" t="str">
            <v>ANNUALLY</v>
          </cell>
          <cell r="J549">
            <v>46010</v>
          </cell>
          <cell r="K549"/>
          <cell r="L549"/>
          <cell r="M549"/>
          <cell r="N549" t="str">
            <v>JABATAN KECEMASAN &amp; TRAUMA</v>
          </cell>
          <cell r="O549" t="str">
            <v>Jabatan Kecemasan &amp; Trauma (ED)</v>
          </cell>
        </row>
        <row r="550">
          <cell r="D550" t="str">
            <v>KKM/JKN/HSA/10-05-01/H/16/122</v>
          </cell>
          <cell r="E550" t="str">
            <v>DEFIBRILLATOR</v>
          </cell>
          <cell r="F550" t="str">
            <v>PHILIPS</v>
          </cell>
          <cell r="G550" t="str">
            <v>HEARTSTART MRX (M3535A)</v>
          </cell>
          <cell r="H550" t="str">
            <v>US00602236</v>
          </cell>
          <cell r="I550" t="str">
            <v>SEMI ANNUALLY</v>
          </cell>
          <cell r="J550">
            <v>45763</v>
          </cell>
          <cell r="K550">
            <v>45945</v>
          </cell>
          <cell r="L550"/>
          <cell r="M550"/>
          <cell r="N550" t="str">
            <v>JABATAN KECEMASAN &amp; TRAUMA</v>
          </cell>
          <cell r="O550" t="str">
            <v>Jabatan Kecemasan &amp; Trauma (ED)</v>
          </cell>
        </row>
        <row r="551">
          <cell r="D551" t="str">
            <v>KKM/JKN/HSA/10-05-01/H/16/180</v>
          </cell>
          <cell r="E551" t="str">
            <v>VENTILATOR</v>
          </cell>
          <cell r="F551" t="str">
            <v>WIENMANN</v>
          </cell>
          <cell r="G551" t="str">
            <v>MEDUMAT STANDARD</v>
          </cell>
          <cell r="H551" t="str">
            <v>1476</v>
          </cell>
          <cell r="I551" t="str">
            <v>SEMI ANNUALLY</v>
          </cell>
          <cell r="J551">
            <v>46035</v>
          </cell>
          <cell r="K551">
            <v>46213</v>
          </cell>
          <cell r="L551"/>
          <cell r="M551"/>
          <cell r="N551" t="str">
            <v>JABATAN KECEMASAN &amp; TRAUMA</v>
          </cell>
          <cell r="O551" t="str">
            <v>Jabatan Kecemasan &amp; Trauma (ED)</v>
          </cell>
        </row>
        <row r="552">
          <cell r="D552" t="str">
            <v>KKM/JKN/HSA/10-05-01/H/16/182</v>
          </cell>
          <cell r="E552" t="str">
            <v>SYRINGE INFUSION PUMP</v>
          </cell>
          <cell r="F552" t="str">
            <v>UAB VILTAG MEDA</v>
          </cell>
          <cell r="G552" t="str">
            <v>SPE-105PLUS</v>
          </cell>
          <cell r="H552" t="str">
            <v>AOP166910</v>
          </cell>
          <cell r="I552" t="str">
            <v>ANNUALLY</v>
          </cell>
          <cell r="J552">
            <v>45804</v>
          </cell>
          <cell r="K552"/>
          <cell r="L552"/>
          <cell r="M552"/>
          <cell r="N552" t="str">
            <v>JABATAN KECEMASAN &amp; TRAUMA</v>
          </cell>
          <cell r="O552" t="str">
            <v>Jabatan Kecemasan &amp; Trauma (ED)</v>
          </cell>
        </row>
        <row r="553">
          <cell r="D553" t="str">
            <v>KKM/JKN/HSA/10-05-01/H/16/183</v>
          </cell>
          <cell r="E553" t="str">
            <v>SYRINGE INFUSION PUMP</v>
          </cell>
          <cell r="F553" t="str">
            <v>UAB VILTAG MEDA</v>
          </cell>
          <cell r="G553" t="str">
            <v>SPE-105PLUS</v>
          </cell>
          <cell r="H553" t="str">
            <v>AOP166980</v>
          </cell>
          <cell r="I553" t="str">
            <v>ANNUALLY</v>
          </cell>
          <cell r="J553">
            <v>45804</v>
          </cell>
          <cell r="K553"/>
          <cell r="L553"/>
          <cell r="M553"/>
          <cell r="N553" t="str">
            <v>JABATAN KECEMASAN &amp; TRAUMA</v>
          </cell>
          <cell r="O553" t="str">
            <v>Jabatan Kecemasan &amp; Trauma (ED)</v>
          </cell>
        </row>
        <row r="554">
          <cell r="D554" t="str">
            <v>KKM/JKN/HSA/10-05-01/H/16/64</v>
          </cell>
          <cell r="E554" t="str">
            <v>VIDEO LARYNGOSCOPE</v>
          </cell>
          <cell r="F554" t="str">
            <v>KING VISION</v>
          </cell>
          <cell r="G554" t="str">
            <v>KVIS01</v>
          </cell>
          <cell r="H554" t="str">
            <v>C11527A154704</v>
          </cell>
          <cell r="I554" t="str">
            <v>ANNUALLY</v>
          </cell>
          <cell r="J554">
            <v>45804</v>
          </cell>
          <cell r="K554"/>
          <cell r="L554"/>
          <cell r="M554"/>
          <cell r="N554" t="str">
            <v>JABATAN KECEMASAN &amp; TRAUMA</v>
          </cell>
          <cell r="O554" t="str">
            <v>Jabatan Kecemasan &amp; Trauma (ED)</v>
          </cell>
        </row>
        <row r="555">
          <cell r="D555" t="str">
            <v>KKM/JKN/HSA/10-05-01/H/16/65</v>
          </cell>
          <cell r="E555" t="str">
            <v>PATIENT MONITORING EQUIP.(AUTOMATIC MULTIPARAMETER)</v>
          </cell>
          <cell r="F555" t="str">
            <v>MEDIANA</v>
          </cell>
          <cell r="G555" t="str">
            <v>M20</v>
          </cell>
          <cell r="H555" t="str">
            <v>1554120003</v>
          </cell>
          <cell r="I555" t="str">
            <v>ANNUALLY</v>
          </cell>
          <cell r="J555">
            <v>45782</v>
          </cell>
          <cell r="K555"/>
          <cell r="L555"/>
          <cell r="M555"/>
          <cell r="N555" t="str">
            <v>JABATAN KECEMASAN &amp; TRAUMA</v>
          </cell>
          <cell r="O555" t="str">
            <v>Jabatan Kecemasan &amp; Trauma (ED)</v>
          </cell>
        </row>
        <row r="556">
          <cell r="D556" t="str">
            <v>KKM/JKN/HSA/10-05-01/H/16/66</v>
          </cell>
          <cell r="E556" t="str">
            <v>PATIENT MONITORING EQUIP.(AUTOMATIC MULTIPARAMETER)</v>
          </cell>
          <cell r="F556" t="str">
            <v>MEDIANA</v>
          </cell>
          <cell r="G556" t="str">
            <v>M20</v>
          </cell>
          <cell r="H556" t="str">
            <v>1554120004</v>
          </cell>
          <cell r="I556" t="str">
            <v>ANNUALLY</v>
          </cell>
          <cell r="J556">
            <v>45782</v>
          </cell>
          <cell r="K556"/>
          <cell r="L556"/>
          <cell r="M556"/>
          <cell r="N556" t="str">
            <v>JABATAN KECEMASAN &amp; TRAUMA</v>
          </cell>
          <cell r="O556" t="str">
            <v>Jabatan Kecemasan &amp; Trauma (ED)</v>
          </cell>
        </row>
        <row r="557">
          <cell r="D557" t="str">
            <v>KKM/JKN/HSA/10-05-01/H/17/29</v>
          </cell>
          <cell r="E557" t="str">
            <v>PATIENT MONITORING EQUIP.(AUTOMATIC MULTIPARAMETER)</v>
          </cell>
          <cell r="F557" t="str">
            <v>UTAS CO</v>
          </cell>
          <cell r="G557" t="str">
            <v>PM-2000A PRO</v>
          </cell>
          <cell r="H557" t="str">
            <v>301235-M13405910002-01</v>
          </cell>
          <cell r="I557" t="str">
            <v>ANNUALLY</v>
          </cell>
          <cell r="J557">
            <v>45763</v>
          </cell>
          <cell r="K557"/>
          <cell r="L557"/>
          <cell r="M557"/>
          <cell r="N557" t="str">
            <v>JABATAN KECEMASAN &amp; TRAUMA</v>
          </cell>
          <cell r="O557" t="str">
            <v>Jabatan Kecemasan &amp; Trauma (ED)</v>
          </cell>
        </row>
        <row r="558">
          <cell r="D558" t="str">
            <v>KKM/JKN/HSA/10-05-01/H/17/30</v>
          </cell>
          <cell r="E558" t="str">
            <v>PATIENT MONITORING EQUIP.(AUTOMATIC MULTIPARAMETER)</v>
          </cell>
          <cell r="F558" t="str">
            <v>N/A</v>
          </cell>
          <cell r="G558" t="str">
            <v>ADVANCED</v>
          </cell>
          <cell r="H558" t="str">
            <v>301235-M13405910001</v>
          </cell>
          <cell r="I558" t="str">
            <v>ANNUALLY</v>
          </cell>
          <cell r="J558">
            <v>45763</v>
          </cell>
          <cell r="K558"/>
          <cell r="L558"/>
          <cell r="M558"/>
          <cell r="N558" t="str">
            <v>JABATAN KECEMASAN &amp; TRAUMA</v>
          </cell>
          <cell r="O558" t="str">
            <v>Jabatan Kecemasan &amp; Trauma (ED)</v>
          </cell>
        </row>
        <row r="559">
          <cell r="D559" t="str">
            <v>KKM/JKN/HSA/10-05-01/H/17/6</v>
          </cell>
          <cell r="E559" t="str">
            <v>DEFIBRILLATOR</v>
          </cell>
          <cell r="F559" t="str">
            <v>ZOLL</v>
          </cell>
          <cell r="G559" t="str">
            <v>X SERIES</v>
          </cell>
          <cell r="H559" t="str">
            <v>(21) AR17G025395</v>
          </cell>
          <cell r="I559" t="str">
            <v>SEMI ANNUALLY</v>
          </cell>
          <cell r="J559">
            <v>45701</v>
          </cell>
          <cell r="K559">
            <v>45881</v>
          </cell>
          <cell r="L559"/>
          <cell r="M559"/>
          <cell r="N559" t="str">
            <v>JABATAN KECEMASAN &amp; TRAUMA</v>
          </cell>
          <cell r="O559" t="str">
            <v>Jabatan Kecemasan &amp; Trauma (ED)</v>
          </cell>
        </row>
        <row r="560">
          <cell r="D560" t="str">
            <v>KKM/JKN/HSA/10-05-01/R/15/6987</v>
          </cell>
          <cell r="E560" t="str">
            <v>CENTRAL MONITORING SYSTEM</v>
          </cell>
          <cell r="F560" t="str">
            <v>MINDRAY</v>
          </cell>
          <cell r="G560" t="str">
            <v>HYPERVISOR VI</v>
          </cell>
          <cell r="H560" t="str">
            <v>N/A</v>
          </cell>
          <cell r="I560" t="str">
            <v>ANNUALLY</v>
          </cell>
          <cell r="J560">
            <v>45766</v>
          </cell>
          <cell r="K560"/>
          <cell r="L560"/>
          <cell r="M560"/>
          <cell r="N560" t="str">
            <v>JABATAN KECEMASAN &amp; TRAUMA</v>
          </cell>
          <cell r="O560" t="str">
            <v>Jabatan Kecemasan &amp; Trauma (ED)</v>
          </cell>
        </row>
        <row r="561">
          <cell r="D561" t="str">
            <v>KKM/JKN/HSA/10-05-01/R/15/7024</v>
          </cell>
          <cell r="E561" t="str">
            <v>INFANT/ BABY SCALER</v>
          </cell>
          <cell r="F561" t="str">
            <v>DETECTO</v>
          </cell>
          <cell r="G561" t="str">
            <v>N/A</v>
          </cell>
          <cell r="H561" t="str">
            <v>N/A</v>
          </cell>
          <cell r="I561" t="str">
            <v>ANNUALLY</v>
          </cell>
          <cell r="J561">
            <v>45983</v>
          </cell>
          <cell r="K561"/>
          <cell r="L561"/>
          <cell r="M561"/>
          <cell r="N561" t="str">
            <v>JABATAN KECEMASAN &amp; TRAUMA</v>
          </cell>
          <cell r="O561" t="str">
            <v>Jabatan Kecemasan &amp; Trauma (ED)</v>
          </cell>
        </row>
        <row r="562">
          <cell r="D562" t="str">
            <v>KKM/JKN/HSA/10-05-01/R/15/7125</v>
          </cell>
          <cell r="E562" t="str">
            <v>PULP TESTER</v>
          </cell>
          <cell r="F562" t="str">
            <v>PRODONT</v>
          </cell>
          <cell r="G562" t="str">
            <v>N/A</v>
          </cell>
          <cell r="H562" t="str">
            <v>N/A</v>
          </cell>
          <cell r="I562" t="str">
            <v>ANNUALLY</v>
          </cell>
          <cell r="J562">
            <v>46034</v>
          </cell>
          <cell r="K562"/>
          <cell r="L562"/>
          <cell r="M562"/>
          <cell r="N562" t="str">
            <v>JABATAN KECEMASAN &amp; TRAUMA</v>
          </cell>
          <cell r="O562" t="str">
            <v>Jabatan Kecemasan &amp; Trauma (ED)</v>
          </cell>
        </row>
        <row r="563">
          <cell r="D563" t="str">
            <v>KKM/JKN/HSA/10-05-01/H/20/54</v>
          </cell>
          <cell r="E563" t="str">
            <v>VENTILATOR</v>
          </cell>
          <cell r="F563" t="str">
            <v xml:space="preserve">RESMED ASTRAL </v>
          </cell>
          <cell r="G563" t="str">
            <v>150 ASIA PASIFIC</v>
          </cell>
          <cell r="H563">
            <v>22201120929</v>
          </cell>
          <cell r="I563" t="str">
            <v>SEMI ANNUALLY</v>
          </cell>
          <cell r="J563">
            <v>45690</v>
          </cell>
          <cell r="K563">
            <v>45870</v>
          </cell>
          <cell r="L563"/>
          <cell r="M563"/>
          <cell r="N563" t="str">
            <v>JABATAN KECEMASAN &amp; TRAUMA</v>
          </cell>
          <cell r="O563" t="str">
            <v>Jabatan Kecemasan &amp; Trauma (ED)</v>
          </cell>
        </row>
        <row r="564">
          <cell r="D564" t="str">
            <v>KKM/JKN/HSA/10-05-01/H/20/55</v>
          </cell>
          <cell r="E564" t="str">
            <v>VENTILATOR</v>
          </cell>
          <cell r="F564" t="str">
            <v xml:space="preserve">RESMED ASTRAL </v>
          </cell>
          <cell r="G564" t="str">
            <v>150 ASIA PASIFIC</v>
          </cell>
          <cell r="H564">
            <v>22201157622</v>
          </cell>
          <cell r="I564" t="str">
            <v>SEMI ANNUALLY</v>
          </cell>
          <cell r="J564">
            <v>45690</v>
          </cell>
          <cell r="K564">
            <v>45870</v>
          </cell>
          <cell r="L564"/>
          <cell r="M564"/>
          <cell r="N564" t="str">
            <v>JABATAN KECEMASAN &amp; TRAUMA</v>
          </cell>
          <cell r="O564" t="str">
            <v>Jabatan Kecemasan &amp; Trauma (ED)</v>
          </cell>
        </row>
        <row r="565">
          <cell r="D565" t="str">
            <v>KKM/JKN/HSA/10-05-01/H/20/212</v>
          </cell>
          <cell r="E565" t="str">
            <v>ULTRASOUND SCANNER</v>
          </cell>
          <cell r="F565" t="str">
            <v>MINDRAY</v>
          </cell>
          <cell r="G565" t="str">
            <v>M6</v>
          </cell>
          <cell r="H565" t="str">
            <v>9U-06002216</v>
          </cell>
          <cell r="I565" t="str">
            <v>SEMI ANNUALLY</v>
          </cell>
          <cell r="J565">
            <v>46051</v>
          </cell>
          <cell r="K565">
            <v>46231</v>
          </cell>
          <cell r="L565"/>
          <cell r="M565"/>
          <cell r="N565" t="str">
            <v>JABATAN KECEMASAN &amp; TRAUMA</v>
          </cell>
          <cell r="O565" t="str">
            <v>Jabatan Kecemasan &amp; Trauma (ED)</v>
          </cell>
        </row>
        <row r="566">
          <cell r="D566" t="str">
            <v>KKM/JKN/HSA/10-05-01/H/20/213</v>
          </cell>
          <cell r="E566" t="str">
            <v>GLIDESCOPE</v>
          </cell>
          <cell r="F566" t="str">
            <v>VERATHON</v>
          </cell>
          <cell r="G566" t="str">
            <v>SPECTRUM</v>
          </cell>
          <cell r="H566" t="str">
            <v>AN200890</v>
          </cell>
          <cell r="I566" t="str">
            <v>ANNUALLY</v>
          </cell>
          <cell r="J566">
            <v>45993</v>
          </cell>
          <cell r="K566"/>
          <cell r="L566"/>
          <cell r="M566"/>
          <cell r="N566" t="str">
            <v>JABATAN KECEMASAN &amp; TRAUMA</v>
          </cell>
          <cell r="O566" t="str">
            <v>Jabatan Kecemasan &amp; Trauma (ED)</v>
          </cell>
        </row>
        <row r="567">
          <cell r="D567" t="str">
            <v>KKM/JKN/HSA/10-05-01/H/20/249</v>
          </cell>
          <cell r="E567" t="str">
            <v>PATIENT MONITORING EQUIP.(AUTOMATIC MULTIPARAMETER)</v>
          </cell>
          <cell r="F567" t="str">
            <v>PHILIPS</v>
          </cell>
          <cell r="G567" t="str">
            <v>EFFICIA CM10</v>
          </cell>
          <cell r="H567" t="str">
            <v>CN92382061</v>
          </cell>
          <cell r="I567" t="str">
            <v>ANNUALLY</v>
          </cell>
          <cell r="J567">
            <v>45993</v>
          </cell>
          <cell r="K567"/>
          <cell r="L567"/>
          <cell r="M567"/>
          <cell r="N567" t="str">
            <v>JABATAN KECEMASAN &amp; TRAUMA</v>
          </cell>
          <cell r="O567" t="str">
            <v>Jabatan Kecemasan &amp; Trauma (ED)</v>
          </cell>
        </row>
        <row r="568">
          <cell r="D568" t="str">
            <v>KKM/JKN/HSA/10-05-01/H/20/193</v>
          </cell>
          <cell r="E568" t="str">
            <v>SPOT VITAL SIGN (NIBP)</v>
          </cell>
          <cell r="F568" t="str">
            <v>MINDRAY</v>
          </cell>
          <cell r="G568" t="str">
            <v>VS600</v>
          </cell>
          <cell r="H568" t="str">
            <v>FU-03020914</v>
          </cell>
          <cell r="I568" t="str">
            <v>ANNUALLY</v>
          </cell>
          <cell r="J568">
            <v>46035</v>
          </cell>
          <cell r="K568"/>
          <cell r="L568"/>
          <cell r="M568"/>
          <cell r="N568" t="str">
            <v>JABATAN KECEMASAN &amp; TRAUMA</v>
          </cell>
          <cell r="O568" t="str">
            <v>Jabatan Kecemasan &amp; Trauma (ED)</v>
          </cell>
        </row>
        <row r="569">
          <cell r="D569" t="str">
            <v>KKM/JKN/HSA/10-05-01/H/20/182</v>
          </cell>
          <cell r="E569" t="str">
            <v>SPOT VITAL SIGN (NIBP)</v>
          </cell>
          <cell r="F569" t="str">
            <v xml:space="preserve">MINDRAY </v>
          </cell>
          <cell r="G569" t="str">
            <v>VS900</v>
          </cell>
          <cell r="H569" t="str">
            <v>FV03035199</v>
          </cell>
          <cell r="I569" t="str">
            <v>ANNUALLY</v>
          </cell>
          <cell r="J569">
            <v>45694</v>
          </cell>
          <cell r="K569"/>
          <cell r="L569"/>
          <cell r="M569"/>
          <cell r="N569" t="str">
            <v>JABATAN KECEMASAN &amp; TRAUMA</v>
          </cell>
          <cell r="O569" t="str">
            <v>Jabatan Kecemasan &amp; Trauma (ED)</v>
          </cell>
        </row>
        <row r="570">
          <cell r="D570" t="str">
            <v>KKM/JKN/HSA/10-05-01/H/21/264</v>
          </cell>
          <cell r="E570" t="str">
            <v>ECG MACHINE</v>
          </cell>
          <cell r="F570" t="str">
            <v>MINDRAY</v>
          </cell>
          <cell r="G570" t="str">
            <v>BENEHEART R12</v>
          </cell>
          <cell r="H570" t="str">
            <v>FN-12025592</v>
          </cell>
          <cell r="I570" t="str">
            <v>ANNUALLY</v>
          </cell>
          <cell r="J570">
            <v>45908</v>
          </cell>
          <cell r="K570"/>
          <cell r="L570"/>
          <cell r="M570"/>
          <cell r="N570" t="str">
            <v>JABATAN KECEMASAN &amp; TRAUMA</v>
          </cell>
          <cell r="O570" t="str">
            <v>Jabatan Kecemasan &amp; Trauma (ED)</v>
          </cell>
        </row>
        <row r="571">
          <cell r="D571" t="str">
            <v>KKM/JKN/HSA/10-05-01/H/21/209</v>
          </cell>
          <cell r="E571" t="str">
            <v>VITAL SIGN MONITORS</v>
          </cell>
          <cell r="F571" t="str">
            <v>BETTERLIFE MEDICAL TECHNOLOGY</v>
          </cell>
          <cell r="G571" t="str">
            <v>IRIS 200 VITAL SIGN</v>
          </cell>
          <cell r="H571" t="str">
            <v>M10C-2107B15 (11382)</v>
          </cell>
          <cell r="I571" t="str">
            <v>ANNUALLY</v>
          </cell>
          <cell r="J571">
            <v>45873</v>
          </cell>
          <cell r="K571"/>
          <cell r="L571"/>
          <cell r="M571"/>
          <cell r="N571" t="str">
            <v>JABATAN KECEMASAN &amp; TRAUMA</v>
          </cell>
          <cell r="O571" t="str">
            <v>Jabatan Kecemasan &amp; Trauma (ED)</v>
          </cell>
        </row>
        <row r="572">
          <cell r="D572" t="str">
            <v>KKM/JKN/HSA/10-05-01/H/21/180</v>
          </cell>
          <cell r="E572" t="str">
            <v>PATIENT MONITORING EQUIPMENT</v>
          </cell>
          <cell r="F572" t="str">
            <v>MINDRAY</v>
          </cell>
          <cell r="G572" t="str">
            <v>MIK6B-PA000092 (TS BASIC)</v>
          </cell>
          <cell r="H572" t="str">
            <v>KN-11095337</v>
          </cell>
          <cell r="I572" t="str">
            <v>ANNUALLY</v>
          </cell>
          <cell r="J572">
            <v>45852</v>
          </cell>
          <cell r="K572"/>
          <cell r="L572"/>
          <cell r="M572"/>
          <cell r="N572" t="str">
            <v>JABATAN KECEMASAN &amp; TRAUMA</v>
          </cell>
          <cell r="O572" t="str">
            <v>Jabatan Kecemasan &amp; Trauma (ED)</v>
          </cell>
        </row>
        <row r="573">
          <cell r="D573" t="str">
            <v>KKM/JKN/HSA/10-05-01/H/21/181</v>
          </cell>
          <cell r="E573" t="str">
            <v>PATIENT MONITORING EQUIPMENT</v>
          </cell>
          <cell r="F573" t="str">
            <v>MINDRAY</v>
          </cell>
          <cell r="G573" t="str">
            <v>MIK6B-PA000092 (TS BASIC)</v>
          </cell>
          <cell r="H573" t="str">
            <v>KN-11095338</v>
          </cell>
          <cell r="I573" t="str">
            <v>ANNUALLY</v>
          </cell>
          <cell r="J573">
            <v>45852</v>
          </cell>
          <cell r="K573"/>
          <cell r="L573"/>
          <cell r="M573"/>
          <cell r="N573" t="str">
            <v>JABATAN KECEMASAN &amp; TRAUMA</v>
          </cell>
          <cell r="O573" t="str">
            <v>Jabatan Kecemasan &amp; Trauma (ED)</v>
          </cell>
        </row>
        <row r="574">
          <cell r="D574" t="str">
            <v>KKM/JKN/HSA/10-05-01/H/21/182</v>
          </cell>
          <cell r="E574" t="str">
            <v>PATIENT MONITORING EQUIPMENT</v>
          </cell>
          <cell r="F574" t="str">
            <v>MINDRAY</v>
          </cell>
          <cell r="G574" t="str">
            <v>MIK6B-PA000092 (TS BASIC)</v>
          </cell>
          <cell r="H574" t="str">
            <v>KN-11095339</v>
          </cell>
          <cell r="I574" t="str">
            <v>ANNUALLY</v>
          </cell>
          <cell r="J574">
            <v>45852</v>
          </cell>
          <cell r="K574"/>
          <cell r="L574"/>
          <cell r="M574"/>
          <cell r="N574" t="str">
            <v>JABATAN KECEMASAN &amp; TRAUMA</v>
          </cell>
          <cell r="O574" t="str">
            <v>Jabatan Kecemasan &amp; Trauma (ED)</v>
          </cell>
        </row>
        <row r="575">
          <cell r="D575" t="str">
            <v>KKM/JKN/HSA/10-05-01/H/21/94</v>
          </cell>
          <cell r="E575" t="str">
            <v>SYRINGE INFUSION PUMP</v>
          </cell>
          <cell r="F575" t="str">
            <v>FRESENIUS KABI</v>
          </cell>
          <cell r="G575" t="str">
            <v>AGILIA SP MC</v>
          </cell>
          <cell r="H575" t="str">
            <v>24729875</v>
          </cell>
          <cell r="I575" t="str">
            <v>ANNUALLY</v>
          </cell>
          <cell r="J575">
            <v>45838</v>
          </cell>
          <cell r="K575"/>
          <cell r="L575"/>
          <cell r="M575"/>
          <cell r="N575" t="str">
            <v>JABATAN KECEMASAN &amp; TRAUMA</v>
          </cell>
          <cell r="O575" t="str">
            <v>Jabatan Kecemasan &amp; Trauma (ED)</v>
          </cell>
        </row>
        <row r="576">
          <cell r="D576" t="str">
            <v>KKM/JKN/HSA/10-05-01/H/21/95</v>
          </cell>
          <cell r="E576" t="str">
            <v>SYRINGE INFUSION PUMP</v>
          </cell>
          <cell r="F576" t="str">
            <v>FRESENIUS KABI</v>
          </cell>
          <cell r="G576" t="str">
            <v>AGILIA SP MC</v>
          </cell>
          <cell r="H576" t="str">
            <v>24729821</v>
          </cell>
          <cell r="I576" t="str">
            <v>ANNUALLY</v>
          </cell>
          <cell r="J576">
            <v>45838</v>
          </cell>
          <cell r="K576"/>
          <cell r="L576"/>
          <cell r="M576"/>
          <cell r="N576" t="str">
            <v>JABATAN KECEMASAN &amp; TRAUMA</v>
          </cell>
          <cell r="O576" t="str">
            <v>Jabatan Kecemasan &amp; Trauma (ED)</v>
          </cell>
        </row>
        <row r="577">
          <cell r="D577" t="str">
            <v>KKM/JKN/HSA/10-05-01/H/21/96</v>
          </cell>
          <cell r="E577" t="str">
            <v>SYRINGE INFUSION PUMP</v>
          </cell>
          <cell r="F577" t="str">
            <v>FRESENIUS KABI</v>
          </cell>
          <cell r="G577" t="str">
            <v>AGILIA SP MC</v>
          </cell>
          <cell r="H577" t="str">
            <v>24729822</v>
          </cell>
          <cell r="I577" t="str">
            <v>ANNUALLY</v>
          </cell>
          <cell r="J577">
            <v>45838</v>
          </cell>
          <cell r="K577"/>
          <cell r="L577"/>
          <cell r="M577"/>
          <cell r="N577" t="str">
            <v>JABATAN KECEMASAN &amp; TRAUMA</v>
          </cell>
          <cell r="O577" t="str">
            <v>Jabatan Kecemasan &amp; Trauma (ED)</v>
          </cell>
        </row>
        <row r="578">
          <cell r="D578" t="str">
            <v>KKM/JKN/HSA/10-05-01/H/21/97</v>
          </cell>
          <cell r="E578" t="str">
            <v>SYRINGE INFUSION PUMP</v>
          </cell>
          <cell r="F578" t="str">
            <v>FRESENIUS KABI</v>
          </cell>
          <cell r="G578" t="str">
            <v>AGILIA SP MC</v>
          </cell>
          <cell r="H578" t="str">
            <v>24729831</v>
          </cell>
          <cell r="I578" t="str">
            <v>ANNUALLY</v>
          </cell>
          <cell r="J578">
            <v>45838</v>
          </cell>
          <cell r="K578"/>
          <cell r="L578"/>
          <cell r="M578"/>
          <cell r="N578" t="str">
            <v>JABATAN KECEMASAN &amp; TRAUMA</v>
          </cell>
          <cell r="O578" t="str">
            <v>Jabatan Kecemasan &amp; Trauma (ED)</v>
          </cell>
        </row>
        <row r="579">
          <cell r="D579" t="str">
            <v>KKM/JKN/HSA/10-05-01/H/21/98</v>
          </cell>
          <cell r="E579" t="str">
            <v>SYRINGE INFUSION PUMP</v>
          </cell>
          <cell r="F579" t="str">
            <v>FRESENIUS KABI</v>
          </cell>
          <cell r="G579" t="str">
            <v>AGILIA SP MC</v>
          </cell>
          <cell r="H579" t="str">
            <v>24729834</v>
          </cell>
          <cell r="I579" t="str">
            <v>ANNUALLY</v>
          </cell>
          <cell r="J579">
            <v>45838</v>
          </cell>
          <cell r="K579"/>
          <cell r="L579"/>
          <cell r="M579"/>
          <cell r="N579" t="str">
            <v>JABATAN KECEMASAN &amp; TRAUMA</v>
          </cell>
          <cell r="O579" t="str">
            <v>Jabatan Kecemasan &amp; Trauma (ED)</v>
          </cell>
        </row>
        <row r="580">
          <cell r="D580" t="str">
            <v>KKM/JKN/HSA/10-05-01/H/21/99</v>
          </cell>
          <cell r="E580" t="str">
            <v>SYRINGE INFUSION PUMP</v>
          </cell>
          <cell r="F580" t="str">
            <v>FRESENIUS KABI</v>
          </cell>
          <cell r="G580" t="str">
            <v>AGILIA SP MC</v>
          </cell>
          <cell r="H580" t="str">
            <v>24729836</v>
          </cell>
          <cell r="I580" t="str">
            <v>ANNUALLY</v>
          </cell>
          <cell r="J580">
            <v>45838</v>
          </cell>
          <cell r="K580"/>
          <cell r="L580"/>
          <cell r="M580"/>
          <cell r="N580" t="str">
            <v>JABATAN KECEMASAN &amp; TRAUMA</v>
          </cell>
          <cell r="O580" t="str">
            <v>Jabatan Kecemasan &amp; Trauma (ED)</v>
          </cell>
        </row>
        <row r="581">
          <cell r="D581" t="str">
            <v>KKM/JKN/HSA/10-05-01/H/21/100</v>
          </cell>
          <cell r="E581" t="str">
            <v>SYRINGE INFUSION PUMP</v>
          </cell>
          <cell r="F581" t="str">
            <v>FRESENIUS KABI</v>
          </cell>
          <cell r="G581" t="str">
            <v>AGILIA SP MC</v>
          </cell>
          <cell r="H581" t="str">
            <v>24729852</v>
          </cell>
          <cell r="I581" t="str">
            <v>ANNUALLY</v>
          </cell>
          <cell r="J581">
            <v>45838</v>
          </cell>
          <cell r="K581"/>
          <cell r="L581"/>
          <cell r="M581"/>
          <cell r="N581" t="str">
            <v>JABATAN KECEMASAN &amp; TRAUMA</v>
          </cell>
          <cell r="O581" t="str">
            <v>Jabatan Kecemasan &amp; Trauma (ED)</v>
          </cell>
        </row>
        <row r="582">
          <cell r="D582" t="str">
            <v>KKM/JKN/HSA/10-05-01/H/21/101</v>
          </cell>
          <cell r="E582" t="str">
            <v>SYRINGE INFUSION PUMP</v>
          </cell>
          <cell r="F582" t="str">
            <v>FRESENIUS KABI</v>
          </cell>
          <cell r="G582" t="str">
            <v>AGILIA SP MC</v>
          </cell>
          <cell r="H582" t="str">
            <v>24729840</v>
          </cell>
          <cell r="I582" t="str">
            <v>ANNUALLY</v>
          </cell>
          <cell r="J582">
            <v>45838</v>
          </cell>
          <cell r="K582"/>
          <cell r="L582"/>
          <cell r="M582"/>
          <cell r="N582" t="str">
            <v>JABATAN KECEMASAN &amp; TRAUMA</v>
          </cell>
          <cell r="O582" t="str">
            <v>Jabatan Kecemasan &amp; Trauma (ED)</v>
          </cell>
        </row>
        <row r="583">
          <cell r="D583" t="str">
            <v>KKM/JKN/HSA/10-05-01/H/21/102</v>
          </cell>
          <cell r="E583" t="str">
            <v>SYRINGE INFUSION PUMP</v>
          </cell>
          <cell r="F583" t="str">
            <v>FRESENIUS KABI</v>
          </cell>
          <cell r="G583" t="str">
            <v>AGILIA SP MC</v>
          </cell>
          <cell r="H583" t="str">
            <v>24729841</v>
          </cell>
          <cell r="I583" t="str">
            <v>ANNUALLY</v>
          </cell>
          <cell r="J583">
            <v>45838</v>
          </cell>
          <cell r="K583"/>
          <cell r="L583"/>
          <cell r="M583"/>
          <cell r="N583" t="str">
            <v>JABATAN KECEMASAN &amp; TRAUMA</v>
          </cell>
          <cell r="O583" t="str">
            <v>Jabatan Kecemasan &amp; Trauma (ED)</v>
          </cell>
        </row>
        <row r="584">
          <cell r="D584" t="str">
            <v>KKM/JKN/HSA/10-05-01/H/21/103</v>
          </cell>
          <cell r="E584" t="str">
            <v>SYRINGE INFUSION PUMP</v>
          </cell>
          <cell r="F584" t="str">
            <v>FRESENIUS KABI</v>
          </cell>
          <cell r="G584" t="str">
            <v>AGILIA SP MC</v>
          </cell>
          <cell r="H584" t="str">
            <v>24729871</v>
          </cell>
          <cell r="I584" t="str">
            <v>ANNUALLY</v>
          </cell>
          <cell r="J584">
            <v>45838</v>
          </cell>
          <cell r="K584"/>
          <cell r="L584"/>
          <cell r="M584"/>
          <cell r="N584" t="str">
            <v>JABATAN KECEMASAN &amp; TRAUMA</v>
          </cell>
          <cell r="O584" t="str">
            <v>Jabatan Kecemasan &amp; Trauma (ED)</v>
          </cell>
        </row>
        <row r="585">
          <cell r="D585" t="str">
            <v>KKM/JKN/HSA/10-05-01/H/21/311</v>
          </cell>
          <cell r="E585" t="str">
            <v>INFUSION PUMP</v>
          </cell>
          <cell r="F585" t="str">
            <v xml:space="preserve">TOP </v>
          </cell>
          <cell r="G585" t="str">
            <v>TOP-2300</v>
          </cell>
          <cell r="H585" t="str">
            <v>20G4262</v>
          </cell>
          <cell r="I585" t="str">
            <v>ANNUALLY</v>
          </cell>
          <cell r="J585">
            <v>45950</v>
          </cell>
          <cell r="K585"/>
          <cell r="L585"/>
          <cell r="M585"/>
          <cell r="N585" t="str">
            <v>JABATAN KECEMASAN &amp; TRAUMA</v>
          </cell>
          <cell r="O585" t="str">
            <v>Jabatan Kecemasan &amp; Trauma (ED)</v>
          </cell>
        </row>
        <row r="586">
          <cell r="D586" t="str">
            <v>KKM/JKN/HSA/10-05-01/H/21/312</v>
          </cell>
          <cell r="E586" t="str">
            <v>INFUSION PUMP</v>
          </cell>
          <cell r="F586" t="str">
            <v xml:space="preserve">TOP </v>
          </cell>
          <cell r="G586" t="str">
            <v>TOP-2300</v>
          </cell>
          <cell r="H586" t="str">
            <v>20G4263</v>
          </cell>
          <cell r="I586" t="str">
            <v>ANNUALLY</v>
          </cell>
          <cell r="J586">
            <v>45950</v>
          </cell>
          <cell r="K586"/>
          <cell r="L586"/>
          <cell r="M586"/>
          <cell r="N586" t="str">
            <v>JABATAN KECEMASAN &amp; TRAUMA</v>
          </cell>
          <cell r="O586" t="str">
            <v>Jabatan Kecemasan &amp; Trauma (ED)</v>
          </cell>
        </row>
        <row r="587">
          <cell r="D587" t="str">
            <v>KKM/JKN/HSA/10-05-01/H/21/313</v>
          </cell>
          <cell r="E587" t="str">
            <v>INFUSION PUMP</v>
          </cell>
          <cell r="F587" t="str">
            <v xml:space="preserve">TOP </v>
          </cell>
          <cell r="G587" t="str">
            <v>TOP-2300</v>
          </cell>
          <cell r="H587" t="str">
            <v>20G4264</v>
          </cell>
          <cell r="I587" t="str">
            <v>ANNUALLY</v>
          </cell>
          <cell r="J587">
            <v>45950</v>
          </cell>
          <cell r="K587"/>
          <cell r="L587"/>
          <cell r="M587"/>
          <cell r="N587" t="str">
            <v>JABATAN KECEMASAN &amp; TRAUMA</v>
          </cell>
          <cell r="O587" t="str">
            <v>Jabatan Kecemasan &amp; Trauma (ED)</v>
          </cell>
        </row>
        <row r="588">
          <cell r="D588" t="str">
            <v>KKM/JKN/HSA/10-05-01/H/21/314</v>
          </cell>
          <cell r="E588" t="str">
            <v>INFUSION PUMP</v>
          </cell>
          <cell r="F588" t="str">
            <v xml:space="preserve">TOP </v>
          </cell>
          <cell r="G588" t="str">
            <v>TOP-2300</v>
          </cell>
          <cell r="H588" t="str">
            <v>20G4265</v>
          </cell>
          <cell r="I588" t="str">
            <v>ANNUALLY</v>
          </cell>
          <cell r="J588">
            <v>45950</v>
          </cell>
          <cell r="K588"/>
          <cell r="L588"/>
          <cell r="M588"/>
          <cell r="N588" t="str">
            <v>JABATAN KECEMASAN &amp; TRAUMA</v>
          </cell>
          <cell r="O588" t="str">
            <v>Jabatan Kecemasan &amp; Trauma (ED)</v>
          </cell>
        </row>
        <row r="589">
          <cell r="D589" t="str">
            <v>KKM/JKN/HSA/10-05-01/H/21/315</v>
          </cell>
          <cell r="E589" t="str">
            <v>INFUSION PUMP</v>
          </cell>
          <cell r="F589" t="str">
            <v xml:space="preserve">TOP </v>
          </cell>
          <cell r="G589" t="str">
            <v>TOP-2300</v>
          </cell>
          <cell r="H589" t="str">
            <v>20G4266</v>
          </cell>
          <cell r="I589" t="str">
            <v>ANNUALLY</v>
          </cell>
          <cell r="J589">
            <v>45950</v>
          </cell>
          <cell r="K589"/>
          <cell r="L589"/>
          <cell r="M589"/>
          <cell r="N589" t="str">
            <v>JABATAN KECEMASAN &amp; TRAUMA</v>
          </cell>
          <cell r="O589" t="str">
            <v>Jabatan Kecemasan &amp; Trauma (ED)</v>
          </cell>
        </row>
        <row r="590">
          <cell r="D590" t="str">
            <v>KKM/JKN/HSA/10-05-01/H/21/316</v>
          </cell>
          <cell r="E590" t="str">
            <v>INFUSION PUMP</v>
          </cell>
          <cell r="F590" t="str">
            <v xml:space="preserve">TOP </v>
          </cell>
          <cell r="G590" t="str">
            <v>TOP-2300</v>
          </cell>
          <cell r="H590" t="str">
            <v>20G4267</v>
          </cell>
          <cell r="I590" t="str">
            <v>ANNUALLY</v>
          </cell>
          <cell r="J590">
            <v>45950</v>
          </cell>
          <cell r="K590"/>
          <cell r="L590"/>
          <cell r="M590"/>
          <cell r="N590" t="str">
            <v>JABATAN KECEMASAN &amp; TRAUMA</v>
          </cell>
          <cell r="O590" t="str">
            <v>Jabatan Kecemasan &amp; Trauma (ED)</v>
          </cell>
        </row>
        <row r="591">
          <cell r="D591" t="str">
            <v>KKM/JKN/HSA/10-05-01/H/21/317</v>
          </cell>
          <cell r="E591" t="str">
            <v>INFUSION PUMP</v>
          </cell>
          <cell r="F591" t="str">
            <v xml:space="preserve">TOP </v>
          </cell>
          <cell r="G591" t="str">
            <v>TOP-2300</v>
          </cell>
          <cell r="H591" t="str">
            <v>20G4268</v>
          </cell>
          <cell r="I591" t="str">
            <v>ANNUALLY</v>
          </cell>
          <cell r="J591">
            <v>45950</v>
          </cell>
          <cell r="K591"/>
          <cell r="L591"/>
          <cell r="M591"/>
          <cell r="N591" t="str">
            <v>JABATAN KECEMASAN &amp; TRAUMA</v>
          </cell>
          <cell r="O591" t="str">
            <v>Jabatan Kecemasan &amp; Trauma (ED)</v>
          </cell>
        </row>
        <row r="592">
          <cell r="D592" t="str">
            <v>KKM/JKN/HSA/10-05-01/H/21/318</v>
          </cell>
          <cell r="E592" t="str">
            <v>INFUSION PUMP</v>
          </cell>
          <cell r="F592" t="str">
            <v xml:space="preserve">TOP </v>
          </cell>
          <cell r="G592" t="str">
            <v>TOP-2300</v>
          </cell>
          <cell r="H592" t="str">
            <v>20G4269</v>
          </cell>
          <cell r="I592" t="str">
            <v>ANNUALLY</v>
          </cell>
          <cell r="J592">
            <v>45950</v>
          </cell>
          <cell r="K592"/>
          <cell r="L592"/>
          <cell r="M592"/>
          <cell r="N592" t="str">
            <v>JABATAN KECEMASAN &amp; TRAUMA</v>
          </cell>
          <cell r="O592" t="str">
            <v>Jabatan Kecemasan &amp; Trauma (ED)</v>
          </cell>
        </row>
        <row r="593">
          <cell r="D593" t="str">
            <v>KKM/JKN/HSA/10-05-01/H/21/319</v>
          </cell>
          <cell r="E593" t="str">
            <v>INFUSION PUMP</v>
          </cell>
          <cell r="F593" t="str">
            <v xml:space="preserve">TOP </v>
          </cell>
          <cell r="G593" t="str">
            <v>TOP-2300</v>
          </cell>
          <cell r="H593" t="str">
            <v>20G4270</v>
          </cell>
          <cell r="I593" t="str">
            <v>ANNUALLY</v>
          </cell>
          <cell r="J593">
            <v>45950</v>
          </cell>
          <cell r="K593"/>
          <cell r="L593"/>
          <cell r="M593"/>
          <cell r="N593" t="str">
            <v>JABATAN KECEMASAN &amp; TRAUMA</v>
          </cell>
          <cell r="O593" t="str">
            <v>Jabatan Kecemasan &amp; Trauma (ED)</v>
          </cell>
        </row>
        <row r="594">
          <cell r="D594" t="str">
            <v>KKM/JKN/HSA/10-05-01/H/21/320</v>
          </cell>
          <cell r="E594" t="str">
            <v>INFUSION PUMP</v>
          </cell>
          <cell r="F594" t="str">
            <v xml:space="preserve">TOP </v>
          </cell>
          <cell r="G594" t="str">
            <v>TOP-2300</v>
          </cell>
          <cell r="H594" t="str">
            <v>20G4271</v>
          </cell>
          <cell r="I594" t="str">
            <v>ANNUALLY</v>
          </cell>
          <cell r="J594">
            <v>45950</v>
          </cell>
          <cell r="K594"/>
          <cell r="L594"/>
          <cell r="M594"/>
          <cell r="N594" t="str">
            <v>JABATAN KECEMASAN &amp; TRAUMA</v>
          </cell>
          <cell r="O594" t="str">
            <v>Jabatan Kecemasan &amp; Trauma (ED)</v>
          </cell>
        </row>
        <row r="595">
          <cell r="D595" t="str">
            <v>KKM/JKN/HSA/10-05-01/H/21/289</v>
          </cell>
          <cell r="E595" t="str">
            <v>DEFIBRILLATOR</v>
          </cell>
          <cell r="F595" t="str">
            <v>PHILIPS HEALTHCARE</v>
          </cell>
          <cell r="G595" t="str">
            <v>EFFICIA DFM100</v>
          </cell>
          <cell r="H595" t="str">
            <v>CN32659832</v>
          </cell>
          <cell r="I595" t="str">
            <v>SEMI ANNUALLY</v>
          </cell>
          <cell r="J595">
            <v>45787</v>
          </cell>
          <cell r="K595">
            <v>45786</v>
          </cell>
          <cell r="L595"/>
          <cell r="M595"/>
          <cell r="N595" t="str">
            <v>JABATAN KECEMASAN &amp; TRAUMA</v>
          </cell>
          <cell r="O595" t="str">
            <v>Jabatan Kecemasan &amp; Trauma (ED)</v>
          </cell>
        </row>
        <row r="596">
          <cell r="D596" t="str">
            <v>HSAS10045</v>
          </cell>
          <cell r="E596" t="str">
            <v>MONITOR MODULAR 8-CH ECG/RR/NIBP/SPO2/2TEMP/2IBP</v>
          </cell>
          <cell r="F596" t="str">
            <v>MINDRAY</v>
          </cell>
          <cell r="G596" t="str">
            <v>BENEVIEW T8</v>
          </cell>
          <cell r="H596" t="str">
            <v>N/A</v>
          </cell>
          <cell r="I596" t="str">
            <v>ANNUALLY</v>
          </cell>
          <cell r="J596">
            <v>45978</v>
          </cell>
          <cell r="K596"/>
          <cell r="L596"/>
          <cell r="M596"/>
          <cell r="N596" t="str">
            <v>JABATAN ANESTHESIA</v>
          </cell>
          <cell r="O596" t="str">
            <v>High Dependency Ward (HDW)</v>
          </cell>
        </row>
        <row r="597">
          <cell r="D597" t="str">
            <v>HSAS10046</v>
          </cell>
          <cell r="E597" t="str">
            <v>MONITOR MODULAR 8-CH ECG/RR/NIBP/SPO2/2TEMP/2IBP</v>
          </cell>
          <cell r="F597" t="str">
            <v>MINDRAY</v>
          </cell>
          <cell r="G597" t="str">
            <v>BENEVIEW T8</v>
          </cell>
          <cell r="H597" t="str">
            <v>N/A</v>
          </cell>
          <cell r="I597" t="str">
            <v>ANNUALLY</v>
          </cell>
          <cell r="J597">
            <v>45978</v>
          </cell>
          <cell r="K597"/>
          <cell r="L597"/>
          <cell r="M597"/>
          <cell r="N597" t="str">
            <v>JABATAN ANESTHESIA</v>
          </cell>
          <cell r="O597" t="str">
            <v>High Dependency Ward (HDW)</v>
          </cell>
        </row>
        <row r="598">
          <cell r="D598" t="str">
            <v>HSAS10069</v>
          </cell>
          <cell r="E598" t="str">
            <v>FLUID MANAGEMENT SYSTEM INTENSIVE COMPLETE SYS</v>
          </cell>
          <cell r="F598" t="str">
            <v>N/A</v>
          </cell>
          <cell r="G598" t="str">
            <v>N/A</v>
          </cell>
          <cell r="H598" t="str">
            <v>N/A</v>
          </cell>
          <cell r="I598" t="str">
            <v>ANNUALLY</v>
          </cell>
          <cell r="J598">
            <v>45919</v>
          </cell>
          <cell r="K598"/>
          <cell r="L598"/>
          <cell r="M598"/>
          <cell r="N598" t="str">
            <v>JABATAN ANESTHESIA</v>
          </cell>
          <cell r="O598" t="str">
            <v>High Dependency Ward (HDW)</v>
          </cell>
        </row>
        <row r="599">
          <cell r="D599" t="str">
            <v>HSAS10091</v>
          </cell>
          <cell r="E599" t="str">
            <v>DOCKING SYSTEM</v>
          </cell>
          <cell r="F599" t="str">
            <v>N/A</v>
          </cell>
          <cell r="G599" t="str">
            <v>N/A</v>
          </cell>
          <cell r="H599" t="str">
            <v>N/A</v>
          </cell>
          <cell r="I599" t="str">
            <v>ANNUALLY</v>
          </cell>
          <cell r="J599">
            <v>45944</v>
          </cell>
          <cell r="K599"/>
          <cell r="L599"/>
          <cell r="M599"/>
          <cell r="N599" t="str">
            <v>JABATAN ANESTHESIA</v>
          </cell>
          <cell r="O599" t="str">
            <v>High Dependency Ward (HDW)</v>
          </cell>
        </row>
        <row r="600">
          <cell r="D600" t="str">
            <v>HSAS10095</v>
          </cell>
          <cell r="E600" t="str">
            <v>LASER PRINTER FOR CENTRAL STATION</v>
          </cell>
          <cell r="F600" t="str">
            <v>MINDRAY</v>
          </cell>
          <cell r="G600" t="str">
            <v>HP LASERJET PRINTER</v>
          </cell>
          <cell r="H600" t="str">
            <v>N/A</v>
          </cell>
          <cell r="I600" t="str">
            <v>ANNUALLY</v>
          </cell>
          <cell r="J600">
            <v>45964</v>
          </cell>
          <cell r="K600"/>
          <cell r="L600"/>
          <cell r="M600"/>
          <cell r="N600" t="str">
            <v>JABATAN ANESTHESIA</v>
          </cell>
          <cell r="O600" t="str">
            <v>High Dependency Ward (HDW)</v>
          </cell>
        </row>
        <row r="601">
          <cell r="D601" t="str">
            <v>KKM/JKN/HSA/10-05-01/R/15/17098</v>
          </cell>
          <cell r="E601" t="str">
            <v>DIAGNOSTIC SET ADULT</v>
          </cell>
          <cell r="F601" t="str">
            <v>WELCH ALLYN</v>
          </cell>
          <cell r="G601" t="str">
            <v>97150-BI</v>
          </cell>
          <cell r="H601" t="str">
            <v>N/A</v>
          </cell>
          <cell r="I601" t="str">
            <v>ANNUALLY</v>
          </cell>
          <cell r="J601">
            <v>45716</v>
          </cell>
          <cell r="K601"/>
          <cell r="L601"/>
          <cell r="M601"/>
          <cell r="N601" t="str">
            <v>JABATAN ANESTHESIA</v>
          </cell>
          <cell r="O601" t="str">
            <v>High Dependency Ward (HDW)</v>
          </cell>
        </row>
        <row r="602">
          <cell r="D602" t="str">
            <v>KKM/JKN/HSA/10-05-01/R/15/7360</v>
          </cell>
          <cell r="E602" t="str">
            <v>DIAGNOSTIC SET ADULT</v>
          </cell>
          <cell r="F602" t="str">
            <v>RUDOLF RIESTER, GMBH</v>
          </cell>
          <cell r="G602" t="str">
            <v>RI-SCOPE ENT 3761</v>
          </cell>
          <cell r="H602" t="str">
            <v>N/A</v>
          </cell>
          <cell r="I602" t="str">
            <v>ANNUALLY</v>
          </cell>
          <cell r="J602">
            <v>45777</v>
          </cell>
          <cell r="K602"/>
          <cell r="L602"/>
          <cell r="M602"/>
          <cell r="N602" t="str">
            <v>JABATAN ANESTHESIA</v>
          </cell>
          <cell r="O602" t="str">
            <v>High Dependency Ward (HDW)</v>
          </cell>
        </row>
        <row r="603">
          <cell r="D603" t="str">
            <v>KKM/JKN/HSA/10-05-01/H/15/1098</v>
          </cell>
          <cell r="E603" t="str">
            <v>SUCTION APPARATUS</v>
          </cell>
          <cell r="F603" t="str">
            <v>GOMCO</v>
          </cell>
          <cell r="G603" t="str">
            <v>ALLIED HEALTHCARE/ 01-33-6050</v>
          </cell>
          <cell r="H603" t="str">
            <v>20141117004</v>
          </cell>
          <cell r="I603" t="str">
            <v>ANNUALLY</v>
          </cell>
          <cell r="J603">
            <v>45869</v>
          </cell>
          <cell r="K603"/>
          <cell r="L603"/>
          <cell r="M603"/>
          <cell r="N603" t="str">
            <v>JABATAN ANESTHESIA</v>
          </cell>
          <cell r="O603" t="str">
            <v>High Dependency Ward (HDW)</v>
          </cell>
        </row>
        <row r="604">
          <cell r="D604" t="str">
            <v>KKM/JKN/HSA/10-05-01/H/15/1099</v>
          </cell>
          <cell r="E604" t="str">
            <v>SUCTION APPARATUS</v>
          </cell>
          <cell r="F604" t="str">
            <v>GOMCO</v>
          </cell>
          <cell r="G604" t="str">
            <v>ALLIED HEALTHCARE/ 01-33-6050</v>
          </cell>
          <cell r="H604" t="str">
            <v>20141117001</v>
          </cell>
          <cell r="I604" t="str">
            <v>ANNUALLY</v>
          </cell>
          <cell r="J604">
            <v>45869</v>
          </cell>
          <cell r="K604"/>
          <cell r="L604"/>
          <cell r="M604"/>
          <cell r="N604" t="str">
            <v>JABATAN ANESTHESIA</v>
          </cell>
          <cell r="O604" t="str">
            <v>High Dependency Ward (HDW)</v>
          </cell>
        </row>
        <row r="605">
          <cell r="D605" t="str">
            <v>KKM/JKN/HSA/10-05-01/H/15/1100</v>
          </cell>
          <cell r="E605" t="str">
            <v>SUCTION APPARATUS</v>
          </cell>
          <cell r="F605" t="str">
            <v>GOMCO</v>
          </cell>
          <cell r="G605" t="str">
            <v>6050 THORACIC DRAINAGE</v>
          </cell>
          <cell r="H605" t="str">
            <v>20141117002</v>
          </cell>
          <cell r="I605" t="str">
            <v>ANNUALLY</v>
          </cell>
          <cell r="J605">
            <v>45869</v>
          </cell>
          <cell r="K605"/>
          <cell r="L605"/>
          <cell r="M605"/>
          <cell r="N605" t="str">
            <v>JABATAN ANESTHESIA</v>
          </cell>
          <cell r="O605" t="str">
            <v>High Dependency Ward (HDW)</v>
          </cell>
        </row>
        <row r="606">
          <cell r="D606" t="str">
            <v>KKM/JKN/HSA/10-05-01/H/15/1101</v>
          </cell>
          <cell r="E606" t="str">
            <v>SUCTION APPARATUS</v>
          </cell>
          <cell r="F606" t="str">
            <v>GOMCO</v>
          </cell>
          <cell r="G606" t="str">
            <v>ALLIED HEALTHCARE/ 01-33-6050</v>
          </cell>
          <cell r="H606" t="str">
            <v>20141117005</v>
          </cell>
          <cell r="I606" t="str">
            <v>ANNUALLY</v>
          </cell>
          <cell r="J606">
            <v>45869</v>
          </cell>
          <cell r="K606"/>
          <cell r="L606"/>
          <cell r="M606"/>
          <cell r="N606" t="str">
            <v>JABATAN ANESTHESIA</v>
          </cell>
          <cell r="O606" t="str">
            <v>High Dependency Ward (HDW)</v>
          </cell>
        </row>
        <row r="607">
          <cell r="D607" t="str">
            <v>KKM/JKN/HSA/10-05-01/H/15/1182</v>
          </cell>
          <cell r="E607" t="str">
            <v>INFUSION PUMP</v>
          </cell>
          <cell r="F607" t="str">
            <v>FRESENIUS KABI</v>
          </cell>
          <cell r="G607" t="str">
            <v>LINK 8+ AGILIA/ MOBILE STAND</v>
          </cell>
          <cell r="H607" t="str">
            <v>22233476</v>
          </cell>
          <cell r="I607" t="str">
            <v>ANNUALLY</v>
          </cell>
          <cell r="J607">
            <v>45877</v>
          </cell>
          <cell r="K607"/>
          <cell r="L607"/>
          <cell r="M607"/>
          <cell r="N607" t="str">
            <v>JABATAN ANESTHESIA</v>
          </cell>
          <cell r="O607" t="str">
            <v>High Dependency Ward (HDW)</v>
          </cell>
        </row>
        <row r="608">
          <cell r="D608" t="str">
            <v>KKM/JKN/HSA/10-05-01/H/15/1183</v>
          </cell>
          <cell r="E608" t="str">
            <v>INFUSION PUMP</v>
          </cell>
          <cell r="F608" t="str">
            <v>FRESENIUS KABI</v>
          </cell>
          <cell r="G608" t="str">
            <v>LINK 8+ AGILIA/ MOBILE STAND</v>
          </cell>
          <cell r="H608" t="str">
            <v>22233475</v>
          </cell>
          <cell r="I608" t="str">
            <v>ANNUALLY</v>
          </cell>
          <cell r="J608">
            <v>45877</v>
          </cell>
          <cell r="K608"/>
          <cell r="L608"/>
          <cell r="M608"/>
          <cell r="N608" t="str">
            <v>JABATAN ANESTHESIA</v>
          </cell>
          <cell r="O608" t="str">
            <v>High Dependency Ward (HDW)</v>
          </cell>
        </row>
        <row r="609">
          <cell r="D609" t="str">
            <v>KKM/JKN/HSA/10-05-01/H/15/1184</v>
          </cell>
          <cell r="E609" t="str">
            <v>INFUSION PUMP</v>
          </cell>
          <cell r="F609" t="str">
            <v>FRESENIUS KABI</v>
          </cell>
          <cell r="G609" t="str">
            <v>LINK 8+ AGILIA/ MOBILE STAND</v>
          </cell>
          <cell r="H609" t="str">
            <v>21961898</v>
          </cell>
          <cell r="I609" t="str">
            <v>ANNUALLY</v>
          </cell>
          <cell r="J609">
            <v>45877</v>
          </cell>
          <cell r="K609"/>
          <cell r="L609"/>
          <cell r="M609"/>
          <cell r="N609" t="str">
            <v>JABATAN ANESTHESIA</v>
          </cell>
          <cell r="O609" t="str">
            <v>High Dependency Ward (HDW)</v>
          </cell>
        </row>
        <row r="610">
          <cell r="D610" t="str">
            <v>KKM/JKN/HSA/10-05-01/H/15/1185</v>
          </cell>
          <cell r="E610" t="str">
            <v>INFUSION PUMP</v>
          </cell>
          <cell r="F610" t="str">
            <v>FRESENIUS KABI</v>
          </cell>
          <cell r="G610" t="str">
            <v>LINK 8+ AGILIA/ MOBILE STAND</v>
          </cell>
          <cell r="H610" t="str">
            <v>22233487</v>
          </cell>
          <cell r="I610" t="str">
            <v>ANNUALLY</v>
          </cell>
          <cell r="J610">
            <v>45877</v>
          </cell>
          <cell r="K610"/>
          <cell r="L610"/>
          <cell r="M610"/>
          <cell r="N610" t="str">
            <v>JABATAN ANESTHESIA</v>
          </cell>
          <cell r="O610" t="str">
            <v>High Dependency Ward (HDW)</v>
          </cell>
        </row>
        <row r="611">
          <cell r="D611" t="str">
            <v>KKM/JKN/HSA/10-05-01/H/15/1186</v>
          </cell>
          <cell r="E611" t="str">
            <v>INFUSION PUMP</v>
          </cell>
          <cell r="F611" t="str">
            <v>FRESENIUS KABI</v>
          </cell>
          <cell r="G611" t="str">
            <v>LINK 8+ AGILIA/ MOBILE STAND</v>
          </cell>
          <cell r="H611" t="str">
            <v>22233478</v>
          </cell>
          <cell r="I611" t="str">
            <v>ANNUALLY</v>
          </cell>
          <cell r="J611">
            <v>45877</v>
          </cell>
          <cell r="K611"/>
          <cell r="L611"/>
          <cell r="M611"/>
          <cell r="N611" t="str">
            <v>JABATAN ANESTHESIA</v>
          </cell>
          <cell r="O611" t="str">
            <v>High Dependency Ward (HDW)</v>
          </cell>
        </row>
        <row r="612">
          <cell r="D612" t="str">
            <v>KKM/JKN/HSA/10-05-01/H/15/1187</v>
          </cell>
          <cell r="E612" t="str">
            <v>INFUSION PUMP</v>
          </cell>
          <cell r="F612" t="str">
            <v>FRESENIUS KABI</v>
          </cell>
          <cell r="G612" t="str">
            <v>MC AGILIA</v>
          </cell>
          <cell r="H612" t="str">
            <v>22170234</v>
          </cell>
          <cell r="I612" t="str">
            <v>ANNUALLY</v>
          </cell>
          <cell r="J612">
            <v>45695</v>
          </cell>
          <cell r="K612"/>
          <cell r="L612"/>
          <cell r="M612"/>
          <cell r="N612" t="str">
            <v>JABATAN ANESTHESIA</v>
          </cell>
          <cell r="O612" t="str">
            <v>High Dependency Ward (HDW)</v>
          </cell>
        </row>
        <row r="613">
          <cell r="D613" t="str">
            <v>KKM/JKN/HSA/10-05-01/H/15/1188</v>
          </cell>
          <cell r="E613" t="str">
            <v>INFUSION PUMP</v>
          </cell>
          <cell r="F613" t="str">
            <v>FRESENIUS KABI</v>
          </cell>
          <cell r="G613" t="str">
            <v>MC AGILIA</v>
          </cell>
          <cell r="H613" t="str">
            <v>222359838</v>
          </cell>
          <cell r="I613" t="str">
            <v>ANNUALLY</v>
          </cell>
          <cell r="J613">
            <v>45695</v>
          </cell>
          <cell r="K613"/>
          <cell r="L613"/>
          <cell r="M613"/>
          <cell r="N613" t="str">
            <v>JABATAN ANESTHESIA</v>
          </cell>
          <cell r="O613" t="str">
            <v>High Dependency Ward (HDW)</v>
          </cell>
        </row>
        <row r="614">
          <cell r="D614" t="str">
            <v>KKM/JKN/HSA/10-05-01/H/15/1189</v>
          </cell>
          <cell r="E614" t="str">
            <v>INFUSION PUMP</v>
          </cell>
          <cell r="F614" t="str">
            <v>FRESENIUS KABI</v>
          </cell>
          <cell r="G614" t="str">
            <v>MC AGILIA</v>
          </cell>
          <cell r="H614" t="str">
            <v>N/A</v>
          </cell>
          <cell r="I614" t="str">
            <v>ANNUALLY</v>
          </cell>
          <cell r="J614">
            <v>45695</v>
          </cell>
          <cell r="K614"/>
          <cell r="L614"/>
          <cell r="M614"/>
          <cell r="N614" t="str">
            <v>JABATAN ANESTHESIA</v>
          </cell>
          <cell r="O614" t="str">
            <v>High Dependency Ward (HDW)</v>
          </cell>
        </row>
        <row r="615">
          <cell r="D615" t="str">
            <v>KKM/JKN/HSA/10-05-01/H/15/1190</v>
          </cell>
          <cell r="E615" t="str">
            <v>INFUSION PUMP</v>
          </cell>
          <cell r="F615" t="str">
            <v>FRESENIUS KABI</v>
          </cell>
          <cell r="G615" t="str">
            <v>MC AGILIA</v>
          </cell>
          <cell r="H615" t="str">
            <v>22235266</v>
          </cell>
          <cell r="I615" t="str">
            <v>ANNUALLY</v>
          </cell>
          <cell r="J615">
            <v>45695</v>
          </cell>
          <cell r="K615"/>
          <cell r="L615"/>
          <cell r="M615"/>
          <cell r="N615" t="str">
            <v>JABATAN ANESTHESIA</v>
          </cell>
          <cell r="O615" t="str">
            <v>High Dependency Ward (HDW)</v>
          </cell>
        </row>
        <row r="616">
          <cell r="D616" t="str">
            <v>KKM/JKN/HSA/10-05-01/H/15/1191</v>
          </cell>
          <cell r="E616" t="str">
            <v>INFUSION PUMP</v>
          </cell>
          <cell r="F616" t="str">
            <v>FRESENIUS KABI</v>
          </cell>
          <cell r="G616" t="str">
            <v>MC AGILIA</v>
          </cell>
          <cell r="H616" t="str">
            <v>22235925</v>
          </cell>
          <cell r="I616" t="str">
            <v>ANNUALLY</v>
          </cell>
          <cell r="J616">
            <v>45693</v>
          </cell>
          <cell r="K616"/>
          <cell r="L616"/>
          <cell r="M616"/>
          <cell r="N616" t="str">
            <v>JABATAN ANESTHESIA</v>
          </cell>
          <cell r="O616" t="str">
            <v>High Dependency Ward (HDW)</v>
          </cell>
        </row>
        <row r="617">
          <cell r="D617" t="str">
            <v>KKM/JKN/HSA/10-05-01/H/15/1192</v>
          </cell>
          <cell r="E617" t="str">
            <v>DOCKING SYSTEM INFUSION/SYRINGE PUMP</v>
          </cell>
          <cell r="F617" t="str">
            <v>FRESENIUS KABI</v>
          </cell>
          <cell r="G617" t="str">
            <v>MC AGILIA</v>
          </cell>
          <cell r="H617" t="str">
            <v>22235263</v>
          </cell>
          <cell r="I617" t="str">
            <v>ANNUALLY</v>
          </cell>
          <cell r="J617">
            <v>45693</v>
          </cell>
          <cell r="K617"/>
          <cell r="L617"/>
          <cell r="M617"/>
          <cell r="N617" t="str">
            <v>JABATAN ANESTHESIA</v>
          </cell>
          <cell r="O617" t="str">
            <v>High Dependency Ward (HDW)</v>
          </cell>
        </row>
        <row r="618">
          <cell r="D618" t="str">
            <v>KKM/JKN/HSA/10-05-01/H/15/1193</v>
          </cell>
          <cell r="E618" t="str">
            <v>DOCKING SYSTEM INFUSION/SYRINGE PUMP</v>
          </cell>
          <cell r="F618" t="str">
            <v>FRESENIUS KABI</v>
          </cell>
          <cell r="G618" t="str">
            <v>LINK 8+ AGILIA/ MOBILE STAND</v>
          </cell>
          <cell r="H618" t="str">
            <v>22235926</v>
          </cell>
          <cell r="I618" t="str">
            <v>ANNUALLY</v>
          </cell>
          <cell r="J618">
            <v>45846</v>
          </cell>
          <cell r="K618"/>
          <cell r="L618"/>
          <cell r="M618"/>
          <cell r="N618" t="str">
            <v>JABATAN ANESTHESIA</v>
          </cell>
          <cell r="O618" t="str">
            <v>High Dependency Ward (HDW)</v>
          </cell>
        </row>
        <row r="619">
          <cell r="D619" t="str">
            <v>KKM/JKN/HSA/10-05-01/H/15/1194</v>
          </cell>
          <cell r="E619" t="str">
            <v>INFUSION PUMP</v>
          </cell>
          <cell r="F619" t="str">
            <v>FRESENIUS KABI</v>
          </cell>
          <cell r="G619" t="str">
            <v>LINK 8+ AGILIA/ MOBILE STAND</v>
          </cell>
          <cell r="H619" t="str">
            <v>019130-22235248</v>
          </cell>
          <cell r="I619" t="str">
            <v>ANNUALLY</v>
          </cell>
          <cell r="J619">
            <v>45846</v>
          </cell>
          <cell r="K619"/>
          <cell r="L619"/>
          <cell r="M619"/>
          <cell r="N619" t="str">
            <v>JABATAN ANESTHESIA</v>
          </cell>
          <cell r="O619" t="str">
            <v>High Dependency Ward (HDW)</v>
          </cell>
        </row>
        <row r="620">
          <cell r="D620" t="str">
            <v>KKM/JKN/HSA/10-05-01/H/15/1195</v>
          </cell>
          <cell r="E620" t="str">
            <v>INFUSION PUMP</v>
          </cell>
          <cell r="F620" t="str">
            <v>FRESENIUS KABI</v>
          </cell>
          <cell r="G620" t="str">
            <v>LINK 8+ AGILIA/ MOBILE STAND</v>
          </cell>
          <cell r="H620" t="str">
            <v>22235249</v>
          </cell>
          <cell r="I620" t="str">
            <v>ANNUALLY</v>
          </cell>
          <cell r="J620">
            <v>45846</v>
          </cell>
          <cell r="K620"/>
          <cell r="L620"/>
          <cell r="M620"/>
          <cell r="N620" t="str">
            <v>JABATAN ANESTHESIA</v>
          </cell>
          <cell r="O620" t="str">
            <v>High Dependency Ward (HDW)</v>
          </cell>
        </row>
        <row r="621">
          <cell r="D621" t="str">
            <v>KKM/JKN/HSA/10-05-01/H/15/1196</v>
          </cell>
          <cell r="E621" t="str">
            <v>INFUSION PUMP</v>
          </cell>
          <cell r="F621" t="str">
            <v>FRESENIUS KABI</v>
          </cell>
          <cell r="G621" t="str">
            <v>LINK 8+ AGILIA/ MOBILE STAND</v>
          </cell>
          <cell r="H621" t="str">
            <v>22235243</v>
          </cell>
          <cell r="I621" t="str">
            <v>ANNUALLY</v>
          </cell>
          <cell r="J621">
            <v>45846</v>
          </cell>
          <cell r="K621"/>
          <cell r="L621"/>
          <cell r="M621"/>
          <cell r="N621" t="str">
            <v>JABATAN ANESTHESIA</v>
          </cell>
          <cell r="O621" t="str">
            <v>High Dependency Ward (HDW)</v>
          </cell>
        </row>
        <row r="622">
          <cell r="D622" t="str">
            <v>KKM/JKN/HSA/10-05-01/H/15/1197</v>
          </cell>
          <cell r="E622" t="str">
            <v>INFUSION PUMP</v>
          </cell>
          <cell r="F622" t="str">
            <v>FRESENIUS KABI</v>
          </cell>
          <cell r="G622" t="str">
            <v>LINK 8+ AGILIA/ MOBILE STAND</v>
          </cell>
          <cell r="H622" t="str">
            <v>N/A</v>
          </cell>
          <cell r="I622" t="str">
            <v>ANNUALLY</v>
          </cell>
          <cell r="J622">
            <v>45846</v>
          </cell>
          <cell r="K622"/>
          <cell r="L622"/>
          <cell r="M622"/>
          <cell r="N622" t="str">
            <v>JABATAN ANESTHESIA</v>
          </cell>
          <cell r="O622" t="str">
            <v>High Dependency Ward (HDW)</v>
          </cell>
        </row>
        <row r="623">
          <cell r="D623" t="str">
            <v>KKM/JKN/HSA/10-05-01/H/15/1774</v>
          </cell>
          <cell r="E623" t="str">
            <v>ENTERAL FEEDING PUMP</v>
          </cell>
          <cell r="F623" t="str">
            <v>FRESENIUS KABI</v>
          </cell>
          <cell r="G623" t="str">
            <v>APPLIX VISION</v>
          </cell>
          <cell r="H623" t="str">
            <v>7751811/2223611</v>
          </cell>
          <cell r="I623" t="str">
            <v>ANNUALLY</v>
          </cell>
          <cell r="J623">
            <v>45880</v>
          </cell>
          <cell r="K623"/>
          <cell r="L623"/>
          <cell r="M623"/>
          <cell r="N623" t="str">
            <v>JABATAN ANESTHESIA</v>
          </cell>
          <cell r="O623" t="str">
            <v>High Dependency Ward (HDW)</v>
          </cell>
        </row>
        <row r="624">
          <cell r="D624" t="str">
            <v>KKM/JKN/HSA/10-05-01/H/15/1775</v>
          </cell>
          <cell r="E624" t="str">
            <v>ENTERAL FEEDING PUMP</v>
          </cell>
          <cell r="F624" t="str">
            <v>FRESENIUS KABI</v>
          </cell>
          <cell r="G624" t="str">
            <v>APPLIX VISION</v>
          </cell>
          <cell r="H624" t="str">
            <v>7751811/22232613</v>
          </cell>
          <cell r="I624" t="str">
            <v>ANNUALLY</v>
          </cell>
          <cell r="J624">
            <v>45880</v>
          </cell>
          <cell r="K624"/>
          <cell r="L624"/>
          <cell r="M624"/>
          <cell r="N624" t="str">
            <v>JABATAN ANESTHESIA</v>
          </cell>
          <cell r="O624" t="str">
            <v>High Dependency Ward (HDW)</v>
          </cell>
        </row>
        <row r="625">
          <cell r="D625" t="str">
            <v>KKM/JKN/HSA/10-05-01/H/15/1776</v>
          </cell>
          <cell r="E625" t="str">
            <v>ENTERAL FEEDING PUMP</v>
          </cell>
          <cell r="F625" t="str">
            <v>FRESENIUS KABI</v>
          </cell>
          <cell r="G625" t="str">
            <v>APPLIX VISION</v>
          </cell>
          <cell r="H625" t="str">
            <v>22232616</v>
          </cell>
          <cell r="I625" t="str">
            <v>ANNUALLY</v>
          </cell>
          <cell r="J625">
            <v>45880</v>
          </cell>
          <cell r="K625"/>
          <cell r="L625"/>
          <cell r="M625"/>
          <cell r="N625" t="str">
            <v>JABATAN ANESTHESIA</v>
          </cell>
          <cell r="O625" t="str">
            <v>High Dependency Ward (HDW)</v>
          </cell>
        </row>
        <row r="626">
          <cell r="D626" t="str">
            <v>KKM/JKN/HSA/10-05-01/H/15/1777</v>
          </cell>
          <cell r="E626" t="str">
            <v>ENTERAL FEEDING PUMP</v>
          </cell>
          <cell r="F626" t="str">
            <v>FRESENIUS KABI</v>
          </cell>
          <cell r="G626" t="str">
            <v>APPLIX VISION</v>
          </cell>
          <cell r="H626" t="str">
            <v>22232612</v>
          </cell>
          <cell r="I626" t="str">
            <v>ANNUALLY</v>
          </cell>
          <cell r="J626">
            <v>45877</v>
          </cell>
          <cell r="K626"/>
          <cell r="L626"/>
          <cell r="M626"/>
          <cell r="N626" t="str">
            <v>JABATAN ANESTHESIA</v>
          </cell>
          <cell r="O626" t="str">
            <v>High Dependency Ward (HDW)</v>
          </cell>
        </row>
        <row r="627">
          <cell r="D627" t="str">
            <v>KKM/JKN/HSA/10-05-01/H/15/2147</v>
          </cell>
          <cell r="E627" t="str">
            <v>SUCTION APPARATUS</v>
          </cell>
          <cell r="F627" t="str">
            <v>CAMI</v>
          </cell>
          <cell r="G627" t="str">
            <v>ASKIR 30</v>
          </cell>
          <cell r="H627" t="str">
            <v>5924</v>
          </cell>
          <cell r="I627" t="str">
            <v>ANNUALLY</v>
          </cell>
          <cell r="J627">
            <v>45748</v>
          </cell>
          <cell r="K627"/>
          <cell r="L627"/>
          <cell r="M627"/>
          <cell r="N627" t="str">
            <v>JABATAN ANESTHESIA</v>
          </cell>
          <cell r="O627" t="str">
            <v>High Dependency Ward (HDW)</v>
          </cell>
        </row>
        <row r="628">
          <cell r="D628" t="str">
            <v>KKM/JKN/HSA/10-05-01/H/15/2435</v>
          </cell>
          <cell r="E628" t="str">
            <v>PATIENT WARMER (BLANKET)</v>
          </cell>
          <cell r="F628" t="str">
            <v>CARE ESSENTIAL PTE</v>
          </cell>
          <cell r="G628" t="str">
            <v>COCOON CWS4000</v>
          </cell>
          <cell r="H628" t="str">
            <v>N/A</v>
          </cell>
          <cell r="I628" t="str">
            <v>ANNUALLY</v>
          </cell>
          <cell r="J628">
            <v>45839</v>
          </cell>
          <cell r="K628"/>
          <cell r="L628"/>
          <cell r="M628"/>
          <cell r="N628" t="str">
            <v>JABATAN ANESTHESIA</v>
          </cell>
          <cell r="O628" t="str">
            <v>High Dependency Ward (HDW)</v>
          </cell>
        </row>
        <row r="629">
          <cell r="D629" t="str">
            <v>KKM/JKN/HSA/10-05-01/H/15/2776</v>
          </cell>
          <cell r="E629" t="str">
            <v>INFUSION PUMP</v>
          </cell>
          <cell r="F629" t="str">
            <v>FRESENIUS KABI</v>
          </cell>
          <cell r="G629" t="str">
            <v>MODULE MVP+MS</v>
          </cell>
          <cell r="H629" t="str">
            <v>083091/22202936</v>
          </cell>
          <cell r="I629" t="str">
            <v>ANNUALLY</v>
          </cell>
          <cell r="J629">
            <v>45852</v>
          </cell>
          <cell r="K629"/>
          <cell r="L629"/>
          <cell r="M629"/>
          <cell r="N629" t="str">
            <v>JABATAN ANESTHESIA</v>
          </cell>
          <cell r="O629" t="str">
            <v>High Dependency Ward (HDW)</v>
          </cell>
        </row>
        <row r="630">
          <cell r="D630" t="str">
            <v>KKM/JKN/HSA/10-05-01/H/15/2777</v>
          </cell>
          <cell r="E630" t="str">
            <v>INFUSION PUMP</v>
          </cell>
          <cell r="F630" t="str">
            <v>FRESENIUS KABI</v>
          </cell>
          <cell r="G630" t="str">
            <v>MODULE MVP+MS</v>
          </cell>
          <cell r="H630" t="str">
            <v>22202937</v>
          </cell>
          <cell r="I630" t="str">
            <v>ANNUALLY</v>
          </cell>
          <cell r="J630">
            <v>45852</v>
          </cell>
          <cell r="K630"/>
          <cell r="L630"/>
          <cell r="M630"/>
          <cell r="N630" t="str">
            <v>JABATAN ANESTHESIA</v>
          </cell>
          <cell r="O630" t="str">
            <v>High Dependency Ward (HDW)</v>
          </cell>
        </row>
        <row r="631">
          <cell r="D631" t="str">
            <v>KKM/JKN/HSA/10-05-01/H/15/2782</v>
          </cell>
          <cell r="E631" t="str">
            <v>RIPPLE MATTRESS</v>
          </cell>
          <cell r="F631" t="str">
            <v>BANTEX</v>
          </cell>
          <cell r="G631" t="str">
            <v>APM-5000-G</v>
          </cell>
          <cell r="H631" t="str">
            <v>EZ141105011</v>
          </cell>
          <cell r="I631" t="str">
            <v>ANNUALLY</v>
          </cell>
          <cell r="J631">
            <v>45837</v>
          </cell>
          <cell r="K631"/>
          <cell r="L631"/>
          <cell r="M631"/>
          <cell r="N631" t="str">
            <v>JABATAN ANESTHESIA</v>
          </cell>
          <cell r="O631" t="str">
            <v>High Dependency Ward (HDW)</v>
          </cell>
        </row>
        <row r="632">
          <cell r="D632" t="str">
            <v>KKM/JKN/HSA/10-05-01/H/15/2783</v>
          </cell>
          <cell r="E632" t="str">
            <v>RIPPLE MATTRESS</v>
          </cell>
          <cell r="F632" t="str">
            <v>BANTEX</v>
          </cell>
          <cell r="G632" t="str">
            <v>APM-5000-G</v>
          </cell>
          <cell r="H632" t="str">
            <v>EZ141105007</v>
          </cell>
          <cell r="I632" t="str">
            <v>ANNUALLY</v>
          </cell>
          <cell r="J632">
            <v>45837</v>
          </cell>
          <cell r="K632"/>
          <cell r="L632"/>
          <cell r="M632"/>
          <cell r="N632" t="str">
            <v>JABATAN ANESTHESIA</v>
          </cell>
          <cell r="O632" t="str">
            <v>High Dependency Ward (HDW)</v>
          </cell>
        </row>
        <row r="633">
          <cell r="D633" t="str">
            <v>KKM/JKN/HSA/10-05-01/H/15/2784</v>
          </cell>
          <cell r="E633" t="str">
            <v>RIPPLE MATTRESS</v>
          </cell>
          <cell r="F633" t="str">
            <v>BANTEX</v>
          </cell>
          <cell r="G633" t="str">
            <v>APM-5000-G</v>
          </cell>
          <cell r="H633" t="str">
            <v>EZ141105012</v>
          </cell>
          <cell r="I633" t="str">
            <v>ANNUALLY</v>
          </cell>
          <cell r="J633">
            <v>45837</v>
          </cell>
          <cell r="K633"/>
          <cell r="L633"/>
          <cell r="M633"/>
          <cell r="N633" t="str">
            <v>JABATAN ANESTHESIA</v>
          </cell>
          <cell r="O633" t="str">
            <v>High Dependency Ward (HDW)</v>
          </cell>
        </row>
        <row r="634">
          <cell r="D634" t="str">
            <v>KKM/JKN/HSA/10-05-01/H/15/2785</v>
          </cell>
          <cell r="E634" t="str">
            <v>RIPPLE MATTRESS</v>
          </cell>
          <cell r="F634" t="str">
            <v>BANTEX</v>
          </cell>
          <cell r="G634" t="str">
            <v>APM-5000-G</v>
          </cell>
          <cell r="H634" t="str">
            <v>EZ140800749</v>
          </cell>
          <cell r="I634" t="str">
            <v>ANNUALLY</v>
          </cell>
          <cell r="J634">
            <v>45837</v>
          </cell>
          <cell r="K634"/>
          <cell r="L634"/>
          <cell r="M634"/>
          <cell r="N634" t="str">
            <v>JABATAN ANESTHESIA</v>
          </cell>
          <cell r="O634" t="str">
            <v>High Dependency Ward (HDW)</v>
          </cell>
        </row>
        <row r="635">
          <cell r="D635" t="str">
            <v>KKM/JKN/HSA/10-05-01/H/15/2786</v>
          </cell>
          <cell r="E635" t="str">
            <v>RIPPLE MATTRESS</v>
          </cell>
          <cell r="F635" t="str">
            <v>BANTEX</v>
          </cell>
          <cell r="G635" t="str">
            <v>APM-5000-G</v>
          </cell>
          <cell r="H635" t="str">
            <v>EZ141104996</v>
          </cell>
          <cell r="I635" t="str">
            <v>ANNUALLY</v>
          </cell>
          <cell r="J635">
            <v>45837</v>
          </cell>
          <cell r="K635"/>
          <cell r="L635"/>
          <cell r="M635"/>
          <cell r="N635" t="str">
            <v>JABATAN ANESTHESIA</v>
          </cell>
          <cell r="O635" t="str">
            <v>High Dependency Ward (HDW)</v>
          </cell>
        </row>
        <row r="636">
          <cell r="D636" t="str">
            <v>KKM/JKN/HSA/10-05-01/H/15/2787</v>
          </cell>
          <cell r="E636" t="str">
            <v>RIPPLE MATTRESS</v>
          </cell>
          <cell r="F636" t="str">
            <v>BANTEX</v>
          </cell>
          <cell r="G636" t="str">
            <v>APM-5000-G</v>
          </cell>
          <cell r="H636" t="str">
            <v>EZ141105009</v>
          </cell>
          <cell r="I636" t="str">
            <v>ANNUALLY</v>
          </cell>
          <cell r="J636">
            <v>45837</v>
          </cell>
          <cell r="K636"/>
          <cell r="L636"/>
          <cell r="M636"/>
          <cell r="N636" t="str">
            <v>JABATAN ANESTHESIA</v>
          </cell>
          <cell r="O636" t="str">
            <v>High Dependency Ward (HDW)</v>
          </cell>
        </row>
        <row r="637">
          <cell r="D637" t="str">
            <v>KKM/JKN/HSA/10-05-01/H/15/315</v>
          </cell>
          <cell r="E637" t="str">
            <v>VENTILATOR</v>
          </cell>
          <cell r="F637" t="str">
            <v>DRAEGER</v>
          </cell>
          <cell r="G637" t="str">
            <v>SAVINA 300</v>
          </cell>
          <cell r="H637" t="str">
            <v>ASHC-0084</v>
          </cell>
          <cell r="I637" t="str">
            <v>ANNUALLY</v>
          </cell>
          <cell r="J637">
            <v>45820</v>
          </cell>
          <cell r="K637"/>
          <cell r="L637"/>
          <cell r="M637"/>
          <cell r="N637" t="str">
            <v>JABATAN ANESTHESIA</v>
          </cell>
          <cell r="O637" t="str">
            <v>High Dependency Ward (HDW)</v>
          </cell>
        </row>
        <row r="638">
          <cell r="D638" t="str">
            <v>KKM/JKN/HSA/10-05-01/H/15/316</v>
          </cell>
          <cell r="E638" t="str">
            <v>VENTILATOR</v>
          </cell>
          <cell r="F638" t="str">
            <v>DRAEGER</v>
          </cell>
          <cell r="G638" t="str">
            <v>SAVINA 300</v>
          </cell>
          <cell r="H638" t="str">
            <v>ASHD-0027</v>
          </cell>
          <cell r="I638" t="str">
            <v>ANNUALLY</v>
          </cell>
          <cell r="J638">
            <v>45820</v>
          </cell>
          <cell r="K638"/>
          <cell r="L638"/>
          <cell r="M638"/>
          <cell r="N638" t="str">
            <v>JABATAN ANESTHESIA</v>
          </cell>
          <cell r="O638" t="str">
            <v>High Dependency Ward (HDW)</v>
          </cell>
        </row>
        <row r="639">
          <cell r="D639" t="str">
            <v>KKM/JKN/HSA/10-05-01/H/15/317</v>
          </cell>
          <cell r="E639" t="str">
            <v>VENTILATOR</v>
          </cell>
          <cell r="F639" t="str">
            <v>DRAEGER</v>
          </cell>
          <cell r="G639" t="str">
            <v>SAVINA 300</v>
          </cell>
          <cell r="H639" t="str">
            <v>ASHC-0082</v>
          </cell>
          <cell r="I639" t="str">
            <v>ANNUALLY</v>
          </cell>
          <cell r="J639">
            <v>45820</v>
          </cell>
          <cell r="K639"/>
          <cell r="L639"/>
          <cell r="M639"/>
          <cell r="N639" t="str">
            <v>JABATAN ANESTHESIA</v>
          </cell>
          <cell r="O639" t="str">
            <v>High Dependency Ward (HDW)</v>
          </cell>
        </row>
        <row r="640">
          <cell r="D640" t="str">
            <v>KKM/JKN/HSA/10-05-01/H/15/319</v>
          </cell>
          <cell r="E640" t="str">
            <v>VENTILATOR</v>
          </cell>
          <cell r="F640" t="str">
            <v>DRAEGER</v>
          </cell>
          <cell r="G640" t="str">
            <v>SAVINA 300</v>
          </cell>
          <cell r="H640" t="str">
            <v>ASHC-0086</v>
          </cell>
          <cell r="I640" t="str">
            <v>ANNUALLY</v>
          </cell>
          <cell r="J640">
            <v>45824</v>
          </cell>
          <cell r="K640"/>
          <cell r="L640"/>
          <cell r="M640"/>
          <cell r="N640" t="str">
            <v>JABATAN ANESTHESIA</v>
          </cell>
          <cell r="O640" t="str">
            <v>High Dependency Ward (HDW)</v>
          </cell>
        </row>
        <row r="641">
          <cell r="D641" t="str">
            <v>KKM/JKN/HSA/10-05-01/H/15/320</v>
          </cell>
          <cell r="E641" t="str">
            <v>VENTILATOR</v>
          </cell>
          <cell r="F641" t="str">
            <v>DRAEGER</v>
          </cell>
          <cell r="G641" t="str">
            <v>SAVINA 300</v>
          </cell>
          <cell r="H641" t="str">
            <v>ASHC-0087</v>
          </cell>
          <cell r="I641" t="str">
            <v>ANNUALLY</v>
          </cell>
          <cell r="J641">
            <v>45824</v>
          </cell>
          <cell r="K641"/>
          <cell r="L641"/>
          <cell r="M641"/>
          <cell r="N641" t="str">
            <v>JABATAN ANESTHESIA</v>
          </cell>
          <cell r="O641" t="str">
            <v>High Dependency Ward (HDW)</v>
          </cell>
        </row>
        <row r="642">
          <cell r="D642" t="str">
            <v>KKM/JKN/HSA/10-05-01/H/15/3669</v>
          </cell>
          <cell r="E642" t="str">
            <v>DEFIBRILLATOR</v>
          </cell>
          <cell r="F642" t="str">
            <v>PHILIPS</v>
          </cell>
          <cell r="G642" t="str">
            <v>EFFICIA DFM100</v>
          </cell>
          <cell r="H642" t="str">
            <v>CN32601423</v>
          </cell>
          <cell r="I642" t="str">
            <v>SEMI ANNUALLY</v>
          </cell>
          <cell r="J642">
            <v>45784</v>
          </cell>
          <cell r="K642">
            <v>45967</v>
          </cell>
          <cell r="L642"/>
          <cell r="M642"/>
          <cell r="N642" t="str">
            <v>JABATAN ANESTHESIA</v>
          </cell>
          <cell r="O642" t="str">
            <v>High Dependency Ward (HDW)</v>
          </cell>
        </row>
        <row r="643">
          <cell r="D643" t="str">
            <v>KKM/JKN/HSA/10-05-01/H/15/3670</v>
          </cell>
          <cell r="E643" t="str">
            <v>DEFIBRILLATOR</v>
          </cell>
          <cell r="F643" t="str">
            <v>PHILIPS</v>
          </cell>
          <cell r="G643" t="str">
            <v>EFFICIA DFM100</v>
          </cell>
          <cell r="H643" t="str">
            <v>CN32601429</v>
          </cell>
          <cell r="I643" t="str">
            <v>SEMI ANNUALLY</v>
          </cell>
          <cell r="J643">
            <v>45813</v>
          </cell>
          <cell r="K643">
            <v>45995</v>
          </cell>
          <cell r="L643"/>
          <cell r="M643"/>
          <cell r="N643" t="str">
            <v>JABATAN ANESTHESIA</v>
          </cell>
          <cell r="O643" t="str">
            <v>High Dependency Ward (HDW)</v>
          </cell>
        </row>
        <row r="644">
          <cell r="D644" t="str">
            <v>KKM/JKN/HSA/10-05-01/H/15/4141</v>
          </cell>
          <cell r="E644" t="str">
            <v>PATIENT MONITORING EQUIP.(AUTOMATIC MULTIPARAMETER)</v>
          </cell>
          <cell r="F644" t="str">
            <v>MINDRAY</v>
          </cell>
          <cell r="G644" t="str">
            <v>IPM 12</v>
          </cell>
          <cell r="H644" t="str">
            <v>FH-51016102</v>
          </cell>
          <cell r="I644" t="str">
            <v>SEMI ANNUALLY</v>
          </cell>
          <cell r="J644">
            <v>45775</v>
          </cell>
          <cell r="K644">
            <v>45957</v>
          </cell>
          <cell r="L644"/>
          <cell r="M644"/>
          <cell r="N644" t="str">
            <v>JABATAN ANESTHESIA</v>
          </cell>
          <cell r="O644" t="str">
            <v>High Dependency Ward (HDW)</v>
          </cell>
        </row>
        <row r="645">
          <cell r="D645" t="str">
            <v>KKM/JKN/HSA/10-05-01/H/15/450</v>
          </cell>
          <cell r="E645" t="str">
            <v>SYRINGE INFUSION PUMP</v>
          </cell>
          <cell r="F645" t="str">
            <v>FRESENIUS KABI</v>
          </cell>
          <cell r="G645" t="str">
            <v>INJECTOMAT MC AGILIA</v>
          </cell>
          <cell r="H645" t="str">
            <v>01830/22231686</v>
          </cell>
          <cell r="I645" t="str">
            <v>ANNUALLY</v>
          </cell>
          <cell r="J645">
            <v>45799</v>
          </cell>
          <cell r="K645"/>
          <cell r="L645"/>
          <cell r="M645"/>
          <cell r="N645" t="str">
            <v>JABATAN ANESTHESIA</v>
          </cell>
          <cell r="O645" t="str">
            <v>High Dependency Ward (HDW)</v>
          </cell>
        </row>
        <row r="646">
          <cell r="D646" t="str">
            <v>KKM/JKN/HSA/10-05-01/H/15/451</v>
          </cell>
          <cell r="E646" t="str">
            <v>SYRINGE INFUSION PUMP</v>
          </cell>
          <cell r="F646" t="str">
            <v>FRESENIUS KABI</v>
          </cell>
          <cell r="G646" t="str">
            <v>INJECTOMAT MC AGILIA</v>
          </cell>
          <cell r="H646" t="str">
            <v>018130/22231639</v>
          </cell>
          <cell r="I646" t="str">
            <v>ANNUALLY</v>
          </cell>
          <cell r="J646">
            <v>45799</v>
          </cell>
          <cell r="K646"/>
          <cell r="L646"/>
          <cell r="M646"/>
          <cell r="N646" t="str">
            <v>JABATAN ANESTHESIA</v>
          </cell>
          <cell r="O646" t="str">
            <v>High Dependency Ward (HDW)</v>
          </cell>
        </row>
        <row r="647">
          <cell r="D647" t="str">
            <v>KKM/JKN/HSA/10-05-01/H/15/453</v>
          </cell>
          <cell r="E647" t="str">
            <v>SYRINGE INFUSION PUMP</v>
          </cell>
          <cell r="F647" t="str">
            <v>FRESENIUS KABI</v>
          </cell>
          <cell r="G647" t="str">
            <v>INJECTOMAT MC AGILIA</v>
          </cell>
          <cell r="H647" t="str">
            <v>018130/22231641</v>
          </cell>
          <cell r="I647" t="str">
            <v>ANNUALLY</v>
          </cell>
          <cell r="J647">
            <v>45709</v>
          </cell>
          <cell r="K647"/>
          <cell r="L647"/>
          <cell r="M647"/>
          <cell r="N647" t="str">
            <v>JABATAN ANESTHESIA</v>
          </cell>
          <cell r="O647" t="str">
            <v>High Dependency Ward (HDW)</v>
          </cell>
        </row>
        <row r="648">
          <cell r="D648" t="str">
            <v>KKM/JKN/HSA/10-05-01/H/15/461</v>
          </cell>
          <cell r="E648" t="str">
            <v>SYRINGE INFUSION PUMP</v>
          </cell>
          <cell r="F648" t="str">
            <v>FRESENIUS KABI</v>
          </cell>
          <cell r="G648" t="str">
            <v>INJECTOMAT MC AGILIA</v>
          </cell>
          <cell r="H648" t="str">
            <v>018130/22231856</v>
          </cell>
          <cell r="I648" t="str">
            <v>ANNUALLY</v>
          </cell>
          <cell r="J648">
            <v>45709</v>
          </cell>
          <cell r="K648"/>
          <cell r="L648"/>
          <cell r="M648"/>
          <cell r="N648" t="str">
            <v>JABATAN ANESTHESIA</v>
          </cell>
          <cell r="O648" t="str">
            <v>High Dependency Ward (HDW)</v>
          </cell>
        </row>
        <row r="649">
          <cell r="D649" t="str">
            <v>KKM/JKN/HSA/10-05-01/H/15/462</v>
          </cell>
          <cell r="E649" t="str">
            <v>SYRINGE INFUSION PUMP</v>
          </cell>
          <cell r="F649" t="str">
            <v>FRESENIUS KABI</v>
          </cell>
          <cell r="G649" t="str">
            <v>INJECTOMAT MC AGILIA</v>
          </cell>
          <cell r="H649" t="str">
            <v>018130/22231723</v>
          </cell>
          <cell r="I649" t="str">
            <v>ANNUALLY</v>
          </cell>
          <cell r="J649">
            <v>45709</v>
          </cell>
          <cell r="K649"/>
          <cell r="L649"/>
          <cell r="M649"/>
          <cell r="N649" t="str">
            <v>JABATAN ANESTHESIA</v>
          </cell>
          <cell r="O649" t="str">
            <v>High Dependency Ward (HDW)</v>
          </cell>
        </row>
        <row r="650">
          <cell r="D650" t="str">
            <v>KKM/JKN/HSA/10-05-01/H/15/5112</v>
          </cell>
          <cell r="E650" t="str">
            <v>FEEDING PUMP</v>
          </cell>
          <cell r="F650" t="str">
            <v>FRESENIUS KABI</v>
          </cell>
          <cell r="G650" t="str">
            <v>APPLIX VISION</v>
          </cell>
          <cell r="H650" t="str">
            <v>22232621</v>
          </cell>
          <cell r="I650" t="str">
            <v>ANNUALLY</v>
          </cell>
          <cell r="J650">
            <v>45881</v>
          </cell>
          <cell r="K650"/>
          <cell r="L650"/>
          <cell r="M650"/>
          <cell r="N650" t="str">
            <v>JABATAN ANESTHESIA</v>
          </cell>
          <cell r="O650" t="str">
            <v>High Dependency Ward (HDW)</v>
          </cell>
        </row>
        <row r="651">
          <cell r="D651" t="str">
            <v>KKM/JKN/HSA/10-05-01/H/15/5116</v>
          </cell>
          <cell r="E651" t="str">
            <v>FEEDING PUMP</v>
          </cell>
          <cell r="F651" t="str">
            <v>FRESENIUS KABI</v>
          </cell>
          <cell r="G651" t="str">
            <v>APPLIX VISION</v>
          </cell>
          <cell r="H651" t="str">
            <v>22232617</v>
          </cell>
          <cell r="I651" t="str">
            <v>ANNUALLY</v>
          </cell>
          <cell r="J651">
            <v>45881</v>
          </cell>
          <cell r="K651"/>
          <cell r="L651"/>
          <cell r="M651"/>
          <cell r="N651" t="str">
            <v>JABATAN ANESTHESIA</v>
          </cell>
          <cell r="O651" t="str">
            <v>High Dependency Ward (HDW)</v>
          </cell>
        </row>
        <row r="652">
          <cell r="D652" t="str">
            <v>KKM/JKN/HSA/10-05-01/H/15/567</v>
          </cell>
          <cell r="E652" t="str">
            <v>ECG (EKG) MACHINE</v>
          </cell>
          <cell r="F652" t="str">
            <v>GE HEALTHCARE</v>
          </cell>
          <cell r="G652" t="str">
            <v>MAC 2000</v>
          </cell>
          <cell r="H652" t="str">
            <v>N/A</v>
          </cell>
          <cell r="I652" t="str">
            <v>ANNUALLY</v>
          </cell>
          <cell r="J652">
            <v>45847</v>
          </cell>
          <cell r="K652"/>
          <cell r="L652"/>
          <cell r="M652"/>
          <cell r="N652" t="str">
            <v>JABATAN ANESTHESIA</v>
          </cell>
          <cell r="O652" t="str">
            <v>High Dependency Ward (HDW)</v>
          </cell>
        </row>
        <row r="653">
          <cell r="D653" t="str">
            <v>KKM/JKN/HSA/10-05-01/H/15/665</v>
          </cell>
          <cell r="E653" t="str">
            <v>SYRINGE INFUSION PUMP</v>
          </cell>
          <cell r="F653" t="str">
            <v>FRESENIUS KABI</v>
          </cell>
          <cell r="G653" t="str">
            <v>INJECTOMAT MC AGILIA</v>
          </cell>
          <cell r="H653" t="str">
            <v>018130/22231678</v>
          </cell>
          <cell r="I653" t="str">
            <v>ANNUALLY</v>
          </cell>
          <cell r="J653">
            <v>45709</v>
          </cell>
          <cell r="K653"/>
          <cell r="L653"/>
          <cell r="M653"/>
          <cell r="N653" t="str">
            <v>JABATAN ANESTHESIA</v>
          </cell>
          <cell r="O653" t="str">
            <v>High Dependency Ward (HDW)</v>
          </cell>
        </row>
        <row r="654">
          <cell r="D654" t="str">
            <v>KKM/JKN/HSA/10-05-01/H/15/666</v>
          </cell>
          <cell r="E654" t="str">
            <v>SYRINGE INFUSION PUMP</v>
          </cell>
          <cell r="F654" t="str">
            <v>FRESENIUS KABI</v>
          </cell>
          <cell r="G654" t="str">
            <v>INJECTOMAT MC AGILIA</v>
          </cell>
          <cell r="H654" t="str">
            <v>018130/22231826</v>
          </cell>
          <cell r="I654" t="str">
            <v>ANNUALLY</v>
          </cell>
          <cell r="J654">
            <v>45716</v>
          </cell>
          <cell r="K654"/>
          <cell r="L654"/>
          <cell r="M654"/>
          <cell r="N654" t="str">
            <v>JABATAN ANESTHESIA</v>
          </cell>
          <cell r="O654" t="str">
            <v>High Dependency Ward (HDW)</v>
          </cell>
        </row>
        <row r="655">
          <cell r="D655" t="str">
            <v>KKM/JKN/HSA/10-05-01/H/15/668</v>
          </cell>
          <cell r="E655" t="str">
            <v>SYRINGE INFUSION PUMP</v>
          </cell>
          <cell r="F655" t="str">
            <v>FRESENIUS KABI</v>
          </cell>
          <cell r="G655" t="str">
            <v>INJECTOMAT MC AGILIA</v>
          </cell>
          <cell r="H655" t="str">
            <v>018130/22231685</v>
          </cell>
          <cell r="I655" t="str">
            <v>ANNUALLY</v>
          </cell>
          <cell r="J655">
            <v>45716</v>
          </cell>
          <cell r="K655"/>
          <cell r="L655"/>
          <cell r="M655"/>
          <cell r="N655" t="str">
            <v>JABATAN ANESTHESIA</v>
          </cell>
          <cell r="O655" t="str">
            <v>High Dependency Ward (HDW)</v>
          </cell>
        </row>
        <row r="656">
          <cell r="D656" t="str">
            <v>KKM/JKN/HSA/10-05-01/H/15/669</v>
          </cell>
          <cell r="E656" t="str">
            <v>SYRINGE INFUSION PUMP</v>
          </cell>
          <cell r="F656" t="str">
            <v>FRESENIUS KABI</v>
          </cell>
          <cell r="G656" t="str">
            <v>INJECTOMAT MC AGILIA</v>
          </cell>
          <cell r="H656" t="str">
            <v>018130/22231830</v>
          </cell>
          <cell r="I656" t="str">
            <v>ANNUALLY</v>
          </cell>
          <cell r="J656">
            <v>45716</v>
          </cell>
          <cell r="K656"/>
          <cell r="L656"/>
          <cell r="M656"/>
          <cell r="N656" t="str">
            <v>JABATAN ANESTHESIA</v>
          </cell>
          <cell r="O656" t="str">
            <v>High Dependency Ward (HDW)</v>
          </cell>
        </row>
        <row r="657">
          <cell r="D657" t="str">
            <v>KKM/JKN/HSA/10-05-01/H/15/670</v>
          </cell>
          <cell r="E657" t="str">
            <v>SYRINGE INFUSION PUMP</v>
          </cell>
          <cell r="F657" t="str">
            <v>FRESENIUS KABI</v>
          </cell>
          <cell r="G657" t="str">
            <v>INJECTOMAT MC AGILIA</v>
          </cell>
          <cell r="H657" t="str">
            <v>22231572</v>
          </cell>
          <cell r="I657" t="str">
            <v>ANNUALLY</v>
          </cell>
          <cell r="J657">
            <v>45716</v>
          </cell>
          <cell r="K657"/>
          <cell r="L657"/>
          <cell r="M657"/>
          <cell r="N657" t="str">
            <v>JABATAN ANESTHESIA</v>
          </cell>
          <cell r="O657" t="str">
            <v>High Dependency Ward (HDW)</v>
          </cell>
        </row>
        <row r="658">
          <cell r="D658" t="str">
            <v>KKM/JKN/HSA/10-05-01/H/15/671</v>
          </cell>
          <cell r="E658" t="str">
            <v>SYRINGE INFUSION PUMP</v>
          </cell>
          <cell r="F658" t="str">
            <v>FRESENIUS KABI</v>
          </cell>
          <cell r="G658" t="str">
            <v>INJECTOMAT MC AGILIA</v>
          </cell>
          <cell r="H658" t="str">
            <v>22231665</v>
          </cell>
          <cell r="I658" t="str">
            <v>ANNUALLY</v>
          </cell>
          <cell r="J658">
            <v>45723</v>
          </cell>
          <cell r="K658"/>
          <cell r="L658"/>
          <cell r="M658"/>
          <cell r="N658" t="str">
            <v>JABATAN ANESTHESIA</v>
          </cell>
          <cell r="O658" t="str">
            <v>High Dependency Ward (HDW)</v>
          </cell>
        </row>
        <row r="659">
          <cell r="D659" t="str">
            <v>KKM/JKN/HSA/10-05-01/H/15/672</v>
          </cell>
          <cell r="E659" t="str">
            <v>SYRINGE INFUSION PUMP</v>
          </cell>
          <cell r="F659" t="str">
            <v>FRESENIUS KABI</v>
          </cell>
          <cell r="G659" t="str">
            <v>INJECTOMAT MC AGILIA</v>
          </cell>
          <cell r="H659" t="str">
            <v>22231831</v>
          </cell>
          <cell r="I659" t="str">
            <v>ANNUALLY</v>
          </cell>
          <cell r="J659">
            <v>45723</v>
          </cell>
          <cell r="K659"/>
          <cell r="L659"/>
          <cell r="M659"/>
          <cell r="N659" t="str">
            <v>JABATAN ANESTHESIA</v>
          </cell>
          <cell r="O659" t="str">
            <v>High Dependency Ward (HDW)</v>
          </cell>
        </row>
        <row r="660">
          <cell r="D660" t="str">
            <v>KKM/JKN/HSA/10-05-01/H/15/673</v>
          </cell>
          <cell r="E660" t="str">
            <v>SYRINGE INFUSION PUMP</v>
          </cell>
          <cell r="F660" t="str">
            <v>FRESENIUS KABI</v>
          </cell>
          <cell r="G660" t="str">
            <v>INJECTOMAT MC AGILIA</v>
          </cell>
          <cell r="H660" t="str">
            <v>22231565</v>
          </cell>
          <cell r="I660" t="str">
            <v>ANNUALLY</v>
          </cell>
          <cell r="J660">
            <v>45723</v>
          </cell>
          <cell r="K660"/>
          <cell r="L660"/>
          <cell r="M660"/>
          <cell r="N660" t="str">
            <v>JABATAN ANESTHESIA</v>
          </cell>
          <cell r="O660" t="str">
            <v>High Dependency Ward (HDW)</v>
          </cell>
        </row>
        <row r="661">
          <cell r="D661" t="str">
            <v>KKM/JKN/HSA/10-05-01/H/15/674</v>
          </cell>
          <cell r="E661" t="str">
            <v>SYRINGE INFUSION PUMP</v>
          </cell>
          <cell r="F661" t="str">
            <v>FRESENIUS KABI</v>
          </cell>
          <cell r="G661" t="str">
            <v>INJECTOMAT MC AGILIA</v>
          </cell>
          <cell r="H661" t="str">
            <v>22231704</v>
          </cell>
          <cell r="I661" t="str">
            <v>ANNUALLY</v>
          </cell>
          <cell r="J661">
            <v>45723</v>
          </cell>
          <cell r="K661"/>
          <cell r="L661"/>
          <cell r="M661"/>
          <cell r="N661" t="str">
            <v>JABATAN ANESTHESIA</v>
          </cell>
          <cell r="O661" t="str">
            <v>High Dependency Ward (HDW)</v>
          </cell>
        </row>
        <row r="662">
          <cell r="D662" t="str">
            <v>KKM/JKN/HSA/10-05-01/H/15/675</v>
          </cell>
          <cell r="E662" t="str">
            <v>SYRINGE INFUSION PUMP</v>
          </cell>
          <cell r="F662" t="str">
            <v>FRESENIUS KABI</v>
          </cell>
          <cell r="G662" t="str">
            <v>INJECTOMAT MC AGILIA</v>
          </cell>
          <cell r="H662" t="str">
            <v>22231853</v>
          </cell>
          <cell r="I662" t="str">
            <v>ANNUALLY</v>
          </cell>
          <cell r="J662">
            <v>45723</v>
          </cell>
          <cell r="K662"/>
          <cell r="L662"/>
          <cell r="M662"/>
          <cell r="N662" t="str">
            <v>JABATAN ANESTHESIA</v>
          </cell>
          <cell r="O662" t="str">
            <v>High Dependency Ward (HDW)</v>
          </cell>
        </row>
        <row r="663">
          <cell r="D663" t="str">
            <v>KKM/JKN/HSA/10-05-01/H/15/676</v>
          </cell>
          <cell r="E663" t="str">
            <v>SYRINGE INFUSION PUMP</v>
          </cell>
          <cell r="F663" t="str">
            <v>FRESENIUS KABI</v>
          </cell>
          <cell r="G663" t="str">
            <v>INJECTOMAT MC AGILIA</v>
          </cell>
          <cell r="H663" t="str">
            <v>22230717</v>
          </cell>
          <cell r="I663" t="str">
            <v>ANNUALLY</v>
          </cell>
          <cell r="J663">
            <v>45730</v>
          </cell>
          <cell r="K663"/>
          <cell r="L663"/>
          <cell r="M663"/>
          <cell r="N663" t="str">
            <v>JABATAN ANESTHESIA</v>
          </cell>
          <cell r="O663" t="str">
            <v>High Dependency Ward (HDW)</v>
          </cell>
        </row>
        <row r="664">
          <cell r="D664" t="str">
            <v>KKM/JKN/HSA/10-05-01/H/15/677</v>
          </cell>
          <cell r="E664" t="str">
            <v>SYRINGE INFUSION PUMP</v>
          </cell>
          <cell r="F664" t="str">
            <v>FRESENIUS KABI</v>
          </cell>
          <cell r="G664" t="str">
            <v>INJECTOMAT MC AGILIA</v>
          </cell>
          <cell r="H664" t="str">
            <v>018130/22231674</v>
          </cell>
          <cell r="I664" t="str">
            <v>ANNUALLY</v>
          </cell>
          <cell r="J664">
            <v>45730</v>
          </cell>
          <cell r="K664"/>
          <cell r="L664"/>
          <cell r="M664"/>
          <cell r="N664" t="str">
            <v>JABATAN ANESTHESIA</v>
          </cell>
          <cell r="O664" t="str">
            <v>High Dependency Ward (HDW)</v>
          </cell>
        </row>
        <row r="665">
          <cell r="D665" t="str">
            <v>KKM/JKN/HSA/10-05-01/H/15/678</v>
          </cell>
          <cell r="E665" t="str">
            <v>SYRINGE INFUSION PUMP</v>
          </cell>
          <cell r="F665" t="str">
            <v>FRESENIUS KABI</v>
          </cell>
          <cell r="G665" t="str">
            <v>INJECTOMAT MC AGILIA</v>
          </cell>
          <cell r="H665" t="str">
            <v>22231667</v>
          </cell>
          <cell r="I665" t="str">
            <v>ANNUALLY</v>
          </cell>
          <cell r="J665">
            <v>45730</v>
          </cell>
          <cell r="K665"/>
          <cell r="L665"/>
          <cell r="M665"/>
          <cell r="N665" t="str">
            <v>JABATAN ANESTHESIA</v>
          </cell>
          <cell r="O665" t="str">
            <v>High Dependency Ward (HDW)</v>
          </cell>
        </row>
        <row r="666">
          <cell r="D666" t="str">
            <v>KKM/JKN/HSA/10-05-01/H/15/679</v>
          </cell>
          <cell r="E666" t="str">
            <v>SYRINGE INFUSION PUMP</v>
          </cell>
          <cell r="F666" t="str">
            <v>FRESENIUS KABI</v>
          </cell>
          <cell r="G666" t="str">
            <v>INJECTOMAT MC AGILIA</v>
          </cell>
          <cell r="H666" t="str">
            <v>22231702</v>
          </cell>
          <cell r="I666" t="str">
            <v>ANNUALLY</v>
          </cell>
          <cell r="J666">
            <v>45730</v>
          </cell>
          <cell r="K666"/>
          <cell r="L666"/>
          <cell r="M666"/>
          <cell r="N666" t="str">
            <v>JABATAN ANESTHESIA</v>
          </cell>
          <cell r="O666" t="str">
            <v>High Dependency Ward (HDW)</v>
          </cell>
        </row>
        <row r="667">
          <cell r="D667" t="str">
            <v>KKM/JKN/HSA/10-05-01/H/15/680</v>
          </cell>
          <cell r="E667" t="str">
            <v>SYRINGE INFUSION PUMP</v>
          </cell>
          <cell r="F667" t="str">
            <v>FRESENIUS KABI</v>
          </cell>
          <cell r="G667" t="str">
            <v>INJECTOMAT MC AGILIA</v>
          </cell>
          <cell r="H667" t="str">
            <v>22231619</v>
          </cell>
          <cell r="I667" t="str">
            <v>ANNUALLY</v>
          </cell>
          <cell r="J667">
            <v>45730</v>
          </cell>
          <cell r="K667"/>
          <cell r="L667"/>
          <cell r="M667"/>
          <cell r="N667" t="str">
            <v>JABATAN ANESTHESIA</v>
          </cell>
          <cell r="O667" t="str">
            <v>High Dependency Ward (HDW)</v>
          </cell>
        </row>
        <row r="668">
          <cell r="D668" t="str">
            <v>KKM/JKN/HSA/10-05-01/H/15/681</v>
          </cell>
          <cell r="E668" t="str">
            <v>SYRINGE INFUSION PUMP</v>
          </cell>
          <cell r="F668" t="str">
            <v>FRESENIUS KABI</v>
          </cell>
          <cell r="G668" t="str">
            <v>INJECTOMAT MC AGILIA</v>
          </cell>
          <cell r="H668" t="str">
            <v>22230715</v>
          </cell>
          <cell r="I668" t="str">
            <v>ANNUALLY</v>
          </cell>
          <cell r="J668">
            <v>45737</v>
          </cell>
          <cell r="K668"/>
          <cell r="L668"/>
          <cell r="M668"/>
          <cell r="N668" t="str">
            <v>JABATAN ANESTHESIA</v>
          </cell>
          <cell r="O668" t="str">
            <v>High Dependency Ward (HDW)</v>
          </cell>
        </row>
        <row r="669">
          <cell r="D669" t="str">
            <v>KKM/JKN/HSA/10-05-01/H/15/682</v>
          </cell>
          <cell r="E669" t="str">
            <v>SYRINGE INFUSION PUMP</v>
          </cell>
          <cell r="F669" t="str">
            <v>FRESENIUS KABI</v>
          </cell>
          <cell r="G669" t="str">
            <v>INJECTOMAT MC AGILIA</v>
          </cell>
          <cell r="H669" t="str">
            <v>N/A</v>
          </cell>
          <cell r="I669" t="str">
            <v>ANNUALLY</v>
          </cell>
          <cell r="J669">
            <v>45737</v>
          </cell>
          <cell r="K669"/>
          <cell r="L669"/>
          <cell r="M669"/>
          <cell r="N669" t="str">
            <v>JABATAN ANESTHESIA</v>
          </cell>
          <cell r="O669" t="str">
            <v>High Dependency Ward (HDW)</v>
          </cell>
        </row>
        <row r="670">
          <cell r="D670" t="str">
            <v>KKM/JKN/HSA/10-05-01/H/15/683</v>
          </cell>
          <cell r="E670" t="str">
            <v>SYRINGE INFUSION PUMP</v>
          </cell>
          <cell r="F670" t="str">
            <v>FRESENIUS KABI</v>
          </cell>
          <cell r="G670" t="str">
            <v>INJECTOMAT MC AGILIA</v>
          </cell>
          <cell r="H670" t="str">
            <v>22231714</v>
          </cell>
          <cell r="I670" t="str">
            <v>ANNUALLY</v>
          </cell>
          <cell r="J670">
            <v>45737</v>
          </cell>
          <cell r="K670"/>
          <cell r="L670"/>
          <cell r="M670"/>
          <cell r="N670" t="str">
            <v>JABATAN ANESTHESIA</v>
          </cell>
          <cell r="O670" t="str">
            <v>High Dependency Ward (HDW)</v>
          </cell>
        </row>
        <row r="671">
          <cell r="D671" t="str">
            <v>KKM/JKN/HSA/10-05-01/H/15/684</v>
          </cell>
          <cell r="E671" t="str">
            <v>SYRINGE INFUSION PUMP</v>
          </cell>
          <cell r="F671" t="str">
            <v>FRESENIUS KABI</v>
          </cell>
          <cell r="G671" t="str">
            <v>INJECTOMAT MC AGILIA</v>
          </cell>
          <cell r="H671" t="str">
            <v>22231639</v>
          </cell>
          <cell r="I671" t="str">
            <v>ANNUALLY</v>
          </cell>
          <cell r="J671">
            <v>45737</v>
          </cell>
          <cell r="K671"/>
          <cell r="L671"/>
          <cell r="M671"/>
          <cell r="N671" t="str">
            <v>JABATAN ANESTHESIA</v>
          </cell>
          <cell r="O671" t="str">
            <v>High Dependency Ward (HDW)</v>
          </cell>
        </row>
        <row r="672">
          <cell r="D672" t="str">
            <v>KKM/JKN/HSA/10-05-01/H/15/685</v>
          </cell>
          <cell r="E672" t="str">
            <v>SYRINGE INFUSION PUMP</v>
          </cell>
          <cell r="F672" t="str">
            <v>FRESENIUS KABI</v>
          </cell>
          <cell r="G672" t="str">
            <v>INJECTOMAT MC AGILIA</v>
          </cell>
          <cell r="H672" t="str">
            <v>N/A</v>
          </cell>
          <cell r="I672" t="str">
            <v>ANNUALLY</v>
          </cell>
          <cell r="J672">
            <v>45737</v>
          </cell>
          <cell r="K672"/>
          <cell r="L672"/>
          <cell r="M672"/>
          <cell r="N672" t="str">
            <v>JABATAN ANESTHESIA</v>
          </cell>
          <cell r="O672" t="str">
            <v>High Dependency Ward (HDW)</v>
          </cell>
        </row>
        <row r="673">
          <cell r="D673" t="str">
            <v>KKM/JKN/HSA/10-05-01/H/15/873</v>
          </cell>
          <cell r="E673" t="str">
            <v>CENTRAL MONITORING SYSTEM</v>
          </cell>
          <cell r="F673" t="str">
            <v>MINDRAY</v>
          </cell>
          <cell r="G673" t="str">
            <v>HYPERVISOR VI</v>
          </cell>
          <cell r="H673" t="str">
            <v>V-45109259 / CNC4280WM6</v>
          </cell>
          <cell r="I673" t="str">
            <v>ANNUALLY</v>
          </cell>
          <cell r="J673">
            <v>45866</v>
          </cell>
          <cell r="K673"/>
          <cell r="L673"/>
          <cell r="M673"/>
          <cell r="N673" t="str">
            <v>JABATAN ANESTHESIA</v>
          </cell>
          <cell r="O673" t="str">
            <v>High Dependency Ward (HDW)</v>
          </cell>
        </row>
        <row r="674">
          <cell r="D674" t="str">
            <v>KKM/JKN/HSA/10-05-01/H/15/917</v>
          </cell>
          <cell r="E674" t="str">
            <v>SYRINGE INFUSION PUMP</v>
          </cell>
          <cell r="F674" t="str">
            <v>FRESENIUS KABI</v>
          </cell>
          <cell r="G674" t="str">
            <v>MODULE DPS</v>
          </cell>
          <cell r="H674" t="str">
            <v>22051521</v>
          </cell>
          <cell r="I674" t="str">
            <v>ANNUALLY</v>
          </cell>
          <cell r="J674">
            <v>45860</v>
          </cell>
          <cell r="K674"/>
          <cell r="L674"/>
          <cell r="M674"/>
          <cell r="N674" t="str">
            <v>JABATAN ANESTHESIA</v>
          </cell>
          <cell r="O674" t="str">
            <v>High Dependency Ward (HDW)</v>
          </cell>
        </row>
        <row r="675">
          <cell r="D675" t="str">
            <v>KKM/JKN/HSA/10-05-01/H/15/918</v>
          </cell>
          <cell r="E675" t="str">
            <v>SYRINGE INFUSION PUMP</v>
          </cell>
          <cell r="F675" t="str">
            <v>FRESENIUS KABI</v>
          </cell>
          <cell r="G675" t="str">
            <v>MODULE DPS</v>
          </cell>
          <cell r="H675" t="str">
            <v>22233517</v>
          </cell>
          <cell r="I675" t="str">
            <v>ANNUALLY</v>
          </cell>
          <cell r="J675">
            <v>45860</v>
          </cell>
          <cell r="K675"/>
          <cell r="L675"/>
          <cell r="M675"/>
          <cell r="N675" t="str">
            <v>JABATAN ANESTHESIA</v>
          </cell>
          <cell r="O675" t="str">
            <v>High Dependency Ward (HDW)</v>
          </cell>
        </row>
        <row r="676">
          <cell r="D676" t="str">
            <v>KKM/JKN/HSA/10-05-01/H/15/919</v>
          </cell>
          <cell r="E676" t="str">
            <v>SYRINGE INFUSION PUMP</v>
          </cell>
          <cell r="F676" t="str">
            <v>FRESENIUS KABI</v>
          </cell>
          <cell r="G676" t="str">
            <v>MODULE DPS</v>
          </cell>
          <cell r="H676" t="str">
            <v>22233515</v>
          </cell>
          <cell r="I676" t="str">
            <v>ANNUALLY</v>
          </cell>
          <cell r="J676">
            <v>45860</v>
          </cell>
          <cell r="K676"/>
          <cell r="L676"/>
          <cell r="M676"/>
          <cell r="N676" t="str">
            <v>JABATAN ANESTHESIA</v>
          </cell>
          <cell r="O676" t="str">
            <v>High Dependency Ward (HDW)</v>
          </cell>
        </row>
        <row r="677">
          <cell r="D677" t="str">
            <v>KKM/JKN/HSA/10-05-01/H/15/920</v>
          </cell>
          <cell r="E677" t="str">
            <v>SYRINGE INFUSION PUMP</v>
          </cell>
          <cell r="F677" t="str">
            <v>FRESENIUS KABI</v>
          </cell>
          <cell r="G677" t="str">
            <v>MODULE DPS</v>
          </cell>
          <cell r="H677" t="str">
            <v>22233527</v>
          </cell>
          <cell r="I677" t="str">
            <v>ANNUALLY</v>
          </cell>
          <cell r="J677">
            <v>45860</v>
          </cell>
          <cell r="K677"/>
          <cell r="L677"/>
          <cell r="M677"/>
          <cell r="N677" t="str">
            <v>JABATAN ANESTHESIA</v>
          </cell>
          <cell r="O677" t="str">
            <v>High Dependency Ward (HDW)</v>
          </cell>
        </row>
        <row r="678">
          <cell r="D678" t="str">
            <v>KKM/JKN/HSA/10-05-01/H/15/921</v>
          </cell>
          <cell r="E678" t="str">
            <v>SYRINGE INFUSION PUMP</v>
          </cell>
          <cell r="F678" t="str">
            <v>FRESENIUS KABI</v>
          </cell>
          <cell r="G678" t="str">
            <v>MODULE DPS</v>
          </cell>
          <cell r="H678" t="str">
            <v>21513158</v>
          </cell>
          <cell r="I678" t="str">
            <v>ANNUALLY</v>
          </cell>
          <cell r="J678">
            <v>45860</v>
          </cell>
          <cell r="K678"/>
          <cell r="L678"/>
          <cell r="M678"/>
          <cell r="N678" t="str">
            <v>JABATAN ANESTHESIA</v>
          </cell>
          <cell r="O678" t="str">
            <v>High Dependency Ward (HDW)</v>
          </cell>
        </row>
        <row r="679">
          <cell r="D679" t="str">
            <v>KKM/JKN/HSA/10-05-01/H/15/922</v>
          </cell>
          <cell r="E679" t="str">
            <v>SYRINGE INFUSION PUMP</v>
          </cell>
          <cell r="F679" t="str">
            <v>FRESENIUS KABI</v>
          </cell>
          <cell r="G679" t="str">
            <v>MODULE DPS</v>
          </cell>
          <cell r="H679" t="str">
            <v>22233509</v>
          </cell>
          <cell r="I679" t="str">
            <v>ANNUALLY</v>
          </cell>
          <cell r="J679">
            <v>45860</v>
          </cell>
          <cell r="K679"/>
          <cell r="L679"/>
          <cell r="M679"/>
          <cell r="N679" t="str">
            <v>JABATAN ANESTHESIA</v>
          </cell>
          <cell r="O679" t="str">
            <v>High Dependency Ward (HDW)</v>
          </cell>
        </row>
        <row r="680">
          <cell r="D680" t="str">
            <v>KKM/JKN/HSA/10-05-01/H/15/923</v>
          </cell>
          <cell r="E680" t="str">
            <v>SYRINGE INFUSION PUMP</v>
          </cell>
          <cell r="F680" t="str">
            <v>FRESENIUS KABI</v>
          </cell>
          <cell r="G680" t="str">
            <v>MODULE DPS</v>
          </cell>
          <cell r="H680" t="str">
            <v>22233511</v>
          </cell>
          <cell r="I680" t="str">
            <v>ANNUALLY</v>
          </cell>
          <cell r="J680">
            <v>45860</v>
          </cell>
          <cell r="K680"/>
          <cell r="L680"/>
          <cell r="M680"/>
          <cell r="N680" t="str">
            <v>JABATAN ANESTHESIA</v>
          </cell>
          <cell r="O680" t="str">
            <v>High Dependency Ward (HDW)</v>
          </cell>
        </row>
        <row r="681">
          <cell r="D681" t="str">
            <v>KKM/JKN/HSA/10-05-01/H/15/924</v>
          </cell>
          <cell r="E681" t="str">
            <v>SYRINGE INFUSION PUMP</v>
          </cell>
          <cell r="F681" t="str">
            <v>FRESENIUS KABI</v>
          </cell>
          <cell r="G681" t="str">
            <v>MODULE DPS</v>
          </cell>
          <cell r="H681" t="str">
            <v>22233505</v>
          </cell>
          <cell r="I681" t="str">
            <v>ANNUALLY</v>
          </cell>
          <cell r="J681">
            <v>45860</v>
          </cell>
          <cell r="K681"/>
          <cell r="L681"/>
          <cell r="M681"/>
          <cell r="N681" t="str">
            <v>JABATAN ANESTHESIA</v>
          </cell>
          <cell r="O681" t="str">
            <v>High Dependency Ward (HDW)</v>
          </cell>
        </row>
        <row r="682">
          <cell r="D682" t="str">
            <v>KKM/JKN/HSA/10-05-01/H/16/72</v>
          </cell>
          <cell r="E682" t="str">
            <v>PNEUMATIC COMPRESSION DEVICES</v>
          </cell>
          <cell r="F682" t="str">
            <v>ARJOHUNTLEIGH</v>
          </cell>
          <cell r="G682" t="str">
            <v>FLOWTRON ACS900</v>
          </cell>
          <cell r="H682" t="str">
            <v>1500040025</v>
          </cell>
          <cell r="I682" t="str">
            <v>ANNUALLY</v>
          </cell>
          <cell r="J682">
            <v>45692</v>
          </cell>
          <cell r="K682"/>
          <cell r="L682"/>
          <cell r="M682"/>
          <cell r="N682" t="str">
            <v>JABATAN ANESTHESIA</v>
          </cell>
          <cell r="O682" t="str">
            <v>High Dependency Ward (HDW)</v>
          </cell>
        </row>
        <row r="683">
          <cell r="D683" t="str">
            <v>KKM/JKN/HSA/10-05-01/H/16/78</v>
          </cell>
          <cell r="E683" t="str">
            <v>PNEUMATIC COMPRESSION DEVICES</v>
          </cell>
          <cell r="F683" t="str">
            <v>ARJOHUNTLEIGH</v>
          </cell>
          <cell r="G683" t="str">
            <v>FLOWTRON ACS900</v>
          </cell>
          <cell r="H683" t="str">
            <v>1500040046</v>
          </cell>
          <cell r="I683" t="str">
            <v>ANNUALLY</v>
          </cell>
          <cell r="J683">
            <v>45699</v>
          </cell>
          <cell r="K683"/>
          <cell r="L683"/>
          <cell r="M683"/>
          <cell r="N683" t="str">
            <v>JABATAN ANESTHESIA</v>
          </cell>
          <cell r="O683" t="str">
            <v>High Dependency Ward (HDW)</v>
          </cell>
        </row>
        <row r="684">
          <cell r="D684" t="str">
            <v>KKM/JKN/HSA/10-05-01/H/16/94</v>
          </cell>
          <cell r="E684" t="str">
            <v>PATIENT WARMER (BLANKET)</v>
          </cell>
          <cell r="F684" t="str">
            <v>MISTRAL AIR PLUS WARMING</v>
          </cell>
          <cell r="G684" t="str">
            <v>N/A</v>
          </cell>
          <cell r="H684" t="str">
            <v>160747778</v>
          </cell>
          <cell r="I684" t="str">
            <v>ANNUALLY</v>
          </cell>
          <cell r="J684">
            <v>45975</v>
          </cell>
          <cell r="K684"/>
          <cell r="L684"/>
          <cell r="M684"/>
          <cell r="N684" t="str">
            <v>JABATAN ANESTHESIA</v>
          </cell>
          <cell r="O684" t="str">
            <v>High Dependency Ward (HDW)</v>
          </cell>
        </row>
        <row r="685">
          <cell r="D685" t="str">
            <v>KKM/JKN/HSA/10-05-01/H/16/95</v>
          </cell>
          <cell r="E685" t="str">
            <v>PATIENT WARMER (BLANKET)</v>
          </cell>
          <cell r="F685" t="str">
            <v>MISTRAL AIR PLUS WARMING</v>
          </cell>
          <cell r="G685" t="str">
            <v>N/A</v>
          </cell>
          <cell r="H685" t="str">
            <v>160747779</v>
          </cell>
          <cell r="I685" t="str">
            <v>ANNUALLY</v>
          </cell>
          <cell r="J685">
            <v>45975</v>
          </cell>
          <cell r="K685"/>
          <cell r="L685"/>
          <cell r="M685"/>
          <cell r="N685" t="str">
            <v>JABATAN ANESTHESIA</v>
          </cell>
          <cell r="O685" t="str">
            <v>High Dependency Ward (HDW)</v>
          </cell>
        </row>
        <row r="686">
          <cell r="D686" t="str">
            <v>KKM/JKN/HSA/10-05-01/R/15/6989</v>
          </cell>
          <cell r="E686" t="str">
            <v>CENTRAL MONITORING SYSTEM</v>
          </cell>
          <cell r="F686" t="str">
            <v>MINDRAY</v>
          </cell>
          <cell r="G686" t="str">
            <v>HYPERVISOR IV</v>
          </cell>
          <cell r="H686" t="str">
            <v>4CV4122V5S</v>
          </cell>
          <cell r="I686" t="str">
            <v>ANNUALLY</v>
          </cell>
          <cell r="J686">
            <v>45833</v>
          </cell>
          <cell r="K686"/>
          <cell r="L686"/>
          <cell r="M686"/>
          <cell r="N686" t="str">
            <v>JABATAN ANESTHESIA</v>
          </cell>
          <cell r="O686" t="str">
            <v>High Dependency Ward (HDW)</v>
          </cell>
        </row>
        <row r="687">
          <cell r="D687" t="str">
            <v>KKM/JKN/HSA/10-05-01/H/16/104</v>
          </cell>
          <cell r="E687" t="str">
            <v>HOMOGENIZER</v>
          </cell>
          <cell r="F687" t="str">
            <v>DYNA SYSTEM</v>
          </cell>
          <cell r="G687" t="str">
            <v>SS2 SERIES</v>
          </cell>
          <cell r="H687" t="str">
            <v>SD02933</v>
          </cell>
          <cell r="I687" t="str">
            <v>ANNUALLY</v>
          </cell>
          <cell r="J687">
            <v>45770</v>
          </cell>
          <cell r="K687"/>
          <cell r="L687"/>
          <cell r="M687"/>
          <cell r="N687" t="str">
            <v>JABATAN FARMASI</v>
          </cell>
          <cell r="O687" t="str">
            <v>IN PATIENT PHARMACY</v>
          </cell>
        </row>
        <row r="688">
          <cell r="D688" t="str">
            <v>KKM/JKN/HSA/10-05-01/H/16/25</v>
          </cell>
          <cell r="E688" t="str">
            <v>HOT PLATE BLOCK</v>
          </cell>
          <cell r="F688" t="str">
            <v>PROTECH</v>
          </cell>
          <cell r="G688" t="str">
            <v>HP-3001</v>
          </cell>
          <cell r="H688" t="str">
            <v>300114095/ 216</v>
          </cell>
          <cell r="I688" t="str">
            <v>ANNUALLY</v>
          </cell>
          <cell r="J688">
            <v>45805</v>
          </cell>
          <cell r="K688"/>
          <cell r="L688"/>
          <cell r="M688"/>
          <cell r="N688" t="str">
            <v>JABATAN FARMASI</v>
          </cell>
          <cell r="O688" t="str">
            <v>IN PATIENT PHARMACY</v>
          </cell>
        </row>
        <row r="689">
          <cell r="D689" t="str">
            <v>KKM/JKN/HSA/10-05-01/H/16/26</v>
          </cell>
          <cell r="E689" t="str">
            <v>UNIVERSAL OVEN</v>
          </cell>
          <cell r="F689" t="str">
            <v>PROTECH</v>
          </cell>
          <cell r="G689" t="str">
            <v>FAC-100</v>
          </cell>
          <cell r="H689" t="str">
            <v>10013745/915</v>
          </cell>
          <cell r="I689" t="str">
            <v>ANNUALLY</v>
          </cell>
          <cell r="J689">
            <v>45805</v>
          </cell>
          <cell r="K689"/>
          <cell r="L689"/>
          <cell r="M689"/>
          <cell r="N689" t="str">
            <v>JABATAN FARMASI</v>
          </cell>
          <cell r="O689" t="str">
            <v>IN PATIENT PHARMACY</v>
          </cell>
        </row>
        <row r="690">
          <cell r="D690" t="str">
            <v>KKM/JKN/HSA/10-05-01/H/16/54</v>
          </cell>
          <cell r="E690" t="str">
            <v>LAB MIXER</v>
          </cell>
          <cell r="F690" t="str">
            <v>HOBART</v>
          </cell>
          <cell r="G690" t="str">
            <v>H-120</v>
          </cell>
          <cell r="H690" t="str">
            <v>31-1518-456</v>
          </cell>
          <cell r="I690" t="str">
            <v>ANNUALLY</v>
          </cell>
          <cell r="J690">
            <v>45805</v>
          </cell>
          <cell r="K690"/>
          <cell r="L690"/>
          <cell r="M690"/>
          <cell r="N690" t="str">
            <v>JABATAN FARMASI</v>
          </cell>
          <cell r="O690" t="str">
            <v>IN PATIENT PHARMACY</v>
          </cell>
        </row>
        <row r="691">
          <cell r="D691" t="str">
            <v>KKM/JKN/HSA/10-05-01/H/16/55</v>
          </cell>
          <cell r="E691" t="str">
            <v>HOMOGENIZER</v>
          </cell>
          <cell r="F691" t="str">
            <v>DYNA SYSTEM</v>
          </cell>
          <cell r="G691" t="str">
            <v>BT200-03</v>
          </cell>
          <cell r="H691" t="str">
            <v>JLT 08002</v>
          </cell>
          <cell r="I691" t="str">
            <v>ANNUALLY</v>
          </cell>
          <cell r="J691">
            <v>45805</v>
          </cell>
          <cell r="K691"/>
          <cell r="L691"/>
          <cell r="M691"/>
          <cell r="N691" t="str">
            <v>JABATAN FARMASI</v>
          </cell>
          <cell r="O691" t="str">
            <v>IN PATIENT PHARMACY</v>
          </cell>
        </row>
        <row r="692">
          <cell r="D692" t="str">
            <v>KKM/JKN/HSA/10-05-01/R/15/16383</v>
          </cell>
          <cell r="E692" t="str">
            <v>BALANCES ELECTRONICS</v>
          </cell>
          <cell r="F692" t="str">
            <v>SHIMADZU CORPORATION</v>
          </cell>
          <cell r="G692" t="str">
            <v>TX323L</v>
          </cell>
          <cell r="H692" t="str">
            <v>D465430125</v>
          </cell>
          <cell r="I692" t="str">
            <v>ANNUALLY</v>
          </cell>
          <cell r="J692">
            <v>45729</v>
          </cell>
          <cell r="K692"/>
          <cell r="L692"/>
          <cell r="M692"/>
          <cell r="N692" t="str">
            <v>JABATAN FARMASI</v>
          </cell>
          <cell r="O692" t="str">
            <v>IN PATIENT PHARMACY</v>
          </cell>
        </row>
        <row r="693">
          <cell r="D693" t="str">
            <v>KKM/JKN/HSA/10-05-01/H/15/4860</v>
          </cell>
          <cell r="E693" t="str">
            <v>WATER DISTILLER</v>
          </cell>
          <cell r="F693" t="str">
            <v>ELGA</v>
          </cell>
          <cell r="G693" t="str">
            <v>PURELAB PRIMA 7BP + LA611</v>
          </cell>
          <cell r="H693" t="str">
            <v>D517705028</v>
          </cell>
          <cell r="I693" t="str">
            <v>ANNUALLY</v>
          </cell>
          <cell r="J693">
            <v>45944</v>
          </cell>
          <cell r="K693"/>
          <cell r="L693"/>
          <cell r="M693"/>
          <cell r="N693" t="str">
            <v>JABATAN FARMASI</v>
          </cell>
          <cell r="O693" t="str">
            <v>IN PATIENT PHARMACY</v>
          </cell>
        </row>
        <row r="694">
          <cell r="D694" t="str">
            <v>HSAS10119</v>
          </cell>
          <cell r="E694" t="str">
            <v>WATER PURIFICATION SYSTEMS, DEIONIZATION</v>
          </cell>
          <cell r="F694" t="str">
            <v>ELGA</v>
          </cell>
          <cell r="G694" t="str">
            <v>B118/A</v>
          </cell>
          <cell r="H694" t="str">
            <v>MET0002270</v>
          </cell>
          <cell r="I694" t="str">
            <v>ANNUALLY</v>
          </cell>
          <cell r="J694">
            <v>45968</v>
          </cell>
          <cell r="K694"/>
          <cell r="L694"/>
          <cell r="M694"/>
          <cell r="N694" t="str">
            <v>CSSD</v>
          </cell>
          <cell r="O694" t="str">
            <v>Jabatan Bekalan Bahan Steril (CSSD)</v>
          </cell>
        </row>
        <row r="695">
          <cell r="D695" t="str">
            <v>HSAS10120</v>
          </cell>
          <cell r="E695" t="str">
            <v>WATER PURIFICATION SYSTEMS, DEIONIZATION</v>
          </cell>
          <cell r="F695" t="str">
            <v>ELGA</v>
          </cell>
          <cell r="G695" t="str">
            <v>B118/A</v>
          </cell>
          <cell r="H695" t="str">
            <v>MET00002268</v>
          </cell>
          <cell r="I695" t="str">
            <v>ANNUALLY</v>
          </cell>
          <cell r="J695">
            <v>45968</v>
          </cell>
          <cell r="K695"/>
          <cell r="L695"/>
          <cell r="M695"/>
          <cell r="N695" t="str">
            <v>CSSD</v>
          </cell>
          <cell r="O695" t="str">
            <v>Jabatan Bekalan Bahan Steril (CSSD)</v>
          </cell>
        </row>
        <row r="696">
          <cell r="D696" t="str">
            <v>KKM/JKN/HSA/10-05-01/H/15/2534</v>
          </cell>
          <cell r="E696" t="str">
            <v>MOBILE X-RAY MACHINE</v>
          </cell>
          <cell r="F696" t="str">
            <v>SIEMENS</v>
          </cell>
          <cell r="G696" t="str">
            <v>MOBILETT XP HYBRID</v>
          </cell>
          <cell r="H696" t="str">
            <v>4004</v>
          </cell>
          <cell r="I696" t="str">
            <v>SEMI ANNUALLY</v>
          </cell>
          <cell r="J696">
            <v>45729</v>
          </cell>
          <cell r="K696">
            <v>45912</v>
          </cell>
          <cell r="L696"/>
          <cell r="M696"/>
          <cell r="N696" t="str">
            <v>JABATAN PENGIMEJAN &amp; DIAGNOSTIK</v>
          </cell>
          <cell r="O696" t="str">
            <v>Jabatan Pengimejan &amp; Diagnostik</v>
          </cell>
        </row>
        <row r="697">
          <cell r="D697" t="str">
            <v>KKM/JKN/HSA/10-05-01/H/15/2535</v>
          </cell>
          <cell r="E697" t="str">
            <v>MOBILE X-RAY MACHINE</v>
          </cell>
          <cell r="F697" t="str">
            <v>SIEMENS</v>
          </cell>
          <cell r="G697" t="str">
            <v>MOBILETT XP HYBRID</v>
          </cell>
          <cell r="H697" t="str">
            <v>4002</v>
          </cell>
          <cell r="I697" t="str">
            <v>SEMI ANNUALLY</v>
          </cell>
          <cell r="J697">
            <v>45719</v>
          </cell>
          <cell r="K697">
            <v>45902</v>
          </cell>
          <cell r="L697"/>
          <cell r="M697"/>
          <cell r="N697" t="str">
            <v>JABATAN PENGIMEJAN &amp; DIAGNOSTIK</v>
          </cell>
          <cell r="O697" t="str">
            <v>Jabatan Pengimejan &amp; Diagnostik</v>
          </cell>
        </row>
        <row r="698">
          <cell r="D698" t="str">
            <v xml:space="preserve">KKM/JKN/HSA/10-05-01/H/15/2537 </v>
          </cell>
          <cell r="E698" t="str">
            <v>MOBILE X-RAY MACHINE</v>
          </cell>
          <cell r="F698" t="str">
            <v>SIEMENS</v>
          </cell>
          <cell r="G698" t="str">
            <v>MOBILETT XP HYBRID</v>
          </cell>
          <cell r="H698" t="str">
            <v>4001</v>
          </cell>
          <cell r="I698" t="str">
            <v>SEMI ANNUALLY</v>
          </cell>
          <cell r="J698">
            <v>45719</v>
          </cell>
          <cell r="K698">
            <v>45902</v>
          </cell>
          <cell r="L698"/>
          <cell r="M698"/>
          <cell r="N698" t="str">
            <v>JABATAN PENGIMEJAN &amp; DIAGNOSTIK</v>
          </cell>
          <cell r="O698" t="str">
            <v>Jabatan Pengimejan &amp; Diagnostik</v>
          </cell>
        </row>
        <row r="699">
          <cell r="D699" t="str">
            <v xml:space="preserve">KKM/JKN/HSA/10-05-01/H/15/2540 </v>
          </cell>
          <cell r="E699" t="str">
            <v>DICOM NETWORK PRINTER</v>
          </cell>
          <cell r="F699" t="str">
            <v>CARESTREAM</v>
          </cell>
          <cell r="G699" t="str">
            <v>DIRECTVIEW 6850</v>
          </cell>
          <cell r="H699" t="str">
            <v>S54805190</v>
          </cell>
          <cell r="I699" t="str">
            <v>SEMI ANNUALLY</v>
          </cell>
          <cell r="J699">
            <v>45790</v>
          </cell>
          <cell r="K699">
            <v>45973</v>
          </cell>
          <cell r="L699"/>
          <cell r="M699"/>
          <cell r="N699" t="str">
            <v>JABATAN PENGIMEJAN &amp; DIAGNOSTIK</v>
          </cell>
          <cell r="O699" t="str">
            <v>Jabatan Pengimejan &amp; Diagnostik</v>
          </cell>
        </row>
        <row r="700">
          <cell r="D700" t="str">
            <v>KKM/JKN/HSA/10-05-01/H/15/2541</v>
          </cell>
          <cell r="E700" t="str">
            <v>DICOM NETWORK PRINTER</v>
          </cell>
          <cell r="F700" t="str">
            <v>CARESTREAM</v>
          </cell>
          <cell r="G700" t="str">
            <v>DIRECTVIEW 6850</v>
          </cell>
          <cell r="H700" t="str">
            <v>S54805189</v>
          </cell>
          <cell r="I700" t="str">
            <v>SEMI ANNUALLY</v>
          </cell>
          <cell r="J700">
            <v>45791</v>
          </cell>
          <cell r="K700">
            <v>45974</v>
          </cell>
          <cell r="L700"/>
          <cell r="M700"/>
          <cell r="N700" t="str">
            <v>JABATAN PENGIMEJAN &amp; DIAGNOSTIK</v>
          </cell>
          <cell r="O700" t="str">
            <v>Jabatan Pengimejan &amp; Diagnostik</v>
          </cell>
        </row>
        <row r="701">
          <cell r="D701" t="str">
            <v xml:space="preserve">KKM/JKN/HSA/10-05-01/H/15/2542 </v>
          </cell>
          <cell r="E701" t="str">
            <v>COMPUTER RADIOGRAPHY (MULTI LOADER &amp; WORKSTATION)</v>
          </cell>
          <cell r="F701" t="str">
            <v>CARESTREAM</v>
          </cell>
          <cell r="G701" t="str">
            <v>DIRECTVIEW CLASSIC CR</v>
          </cell>
          <cell r="H701" t="str">
            <v>K54843126</v>
          </cell>
          <cell r="I701" t="str">
            <v>SEMI ANNUALLY</v>
          </cell>
          <cell r="J701">
            <v>45792</v>
          </cell>
          <cell r="K701">
            <v>45975</v>
          </cell>
          <cell r="L701"/>
          <cell r="M701"/>
          <cell r="N701" t="str">
            <v>JABATAN PENGIMEJAN &amp; DIAGNOSTIK</v>
          </cell>
          <cell r="O701" t="str">
            <v>Jabatan Pengimejan &amp; Diagnostik</v>
          </cell>
        </row>
        <row r="702">
          <cell r="D702" t="str">
            <v xml:space="preserve">KKM/JKN/HSA/10-05-01/H/15/2543 </v>
          </cell>
          <cell r="E702" t="str">
            <v>COMPUTER RADIOGRAPHY (MULTI LOADER &amp; WORKSTATION)</v>
          </cell>
          <cell r="F702" t="str">
            <v>CARESTREAM</v>
          </cell>
          <cell r="G702" t="str">
            <v>DIRECTVIEW CLASSIC CR</v>
          </cell>
          <cell r="H702" t="str">
            <v>K54843122</v>
          </cell>
          <cell r="I702" t="str">
            <v>SEMI ANNUALLY</v>
          </cell>
          <cell r="J702">
            <v>45793</v>
          </cell>
          <cell r="K702">
            <v>45976</v>
          </cell>
          <cell r="L702"/>
          <cell r="M702"/>
          <cell r="N702" t="str">
            <v>JABATAN PENGIMEJAN &amp; DIAGNOSTIK</v>
          </cell>
          <cell r="O702" t="str">
            <v>Jabatan Pengimejan &amp; Diagnostik</v>
          </cell>
        </row>
        <row r="703">
          <cell r="D703" t="str">
            <v>KKM/JKN/HSA/10-05-01/H/15/4996</v>
          </cell>
          <cell r="E703" t="str">
            <v>TOURNIQUET FOR VENOGRAM</v>
          </cell>
          <cell r="F703" t="str">
            <v>VBM</v>
          </cell>
          <cell r="G703">
            <v>2500</v>
          </cell>
          <cell r="H703" t="str">
            <v>401506200019</v>
          </cell>
          <cell r="I703" t="str">
            <v>ANNUALLY</v>
          </cell>
          <cell r="J703">
            <v>46031</v>
          </cell>
          <cell r="K703"/>
          <cell r="L703"/>
          <cell r="M703"/>
          <cell r="N703" t="str">
            <v>JABATAN PENGIMEJAN &amp; DIAGNOSTIK</v>
          </cell>
          <cell r="O703" t="str">
            <v>Jabatan Pengimejan &amp; Diagnostik</v>
          </cell>
        </row>
        <row r="704">
          <cell r="D704" t="str">
            <v>KKM/JKN/HSA/10-05-01/H/15/4999</v>
          </cell>
          <cell r="E704" t="str">
            <v>MOBILE X-RAY MACHINE</v>
          </cell>
          <cell r="F704" t="str">
            <v>SIEMENS</v>
          </cell>
          <cell r="G704" t="str">
            <v>MOBILETT XP HYDBRID</v>
          </cell>
          <cell r="H704" t="str">
            <v>4003</v>
          </cell>
          <cell r="I704" t="str">
            <v>SEMI ANNUALLY</v>
          </cell>
          <cell r="J704">
            <v>45718</v>
          </cell>
          <cell r="K704">
            <v>45901</v>
          </cell>
          <cell r="L704"/>
          <cell r="M704"/>
          <cell r="N704" t="str">
            <v>JABATAN PENGIMEJAN &amp; DIAGNOSTIK</v>
          </cell>
          <cell r="O704" t="str">
            <v>Jabatan Pengimejan &amp; Diagnostik</v>
          </cell>
        </row>
        <row r="705">
          <cell r="D705" t="str">
            <v>KKM/JKN/HSA/10-05-01/H/15/5022</v>
          </cell>
          <cell r="E705" t="str">
            <v>WARMER BLOOD DRY HEAT TYPE</v>
          </cell>
          <cell r="F705" t="str">
            <v>BARKEY</v>
          </cell>
          <cell r="G705" t="str">
            <v>S.LINE</v>
          </cell>
          <cell r="H705" t="str">
            <v>1207691/ 2305950</v>
          </cell>
          <cell r="I705" t="str">
            <v>ANNUALLY</v>
          </cell>
          <cell r="J705">
            <v>45888</v>
          </cell>
          <cell r="K705"/>
          <cell r="L705"/>
          <cell r="M705"/>
          <cell r="N705" t="str">
            <v>JABATAN PENGIMEJAN &amp; DIAGNOSTIK</v>
          </cell>
          <cell r="O705" t="str">
            <v>Jabatan Pengimejan &amp; Diagnostik</v>
          </cell>
        </row>
        <row r="706">
          <cell r="D706" t="str">
            <v>KKM/JKN/HSA/10-05-01/H/15/5088</v>
          </cell>
          <cell r="E706" t="str">
            <v>DENSITOMETER</v>
          </cell>
          <cell r="F706" t="str">
            <v>FLUKE BIOMEDICAL</v>
          </cell>
          <cell r="G706" t="str">
            <v>N/A</v>
          </cell>
          <cell r="H706">
            <v>2806041</v>
          </cell>
          <cell r="I706" t="str">
            <v>ANNUALLY</v>
          </cell>
          <cell r="J706">
            <v>45823</v>
          </cell>
          <cell r="K706"/>
          <cell r="L706"/>
          <cell r="M706"/>
          <cell r="N706" t="str">
            <v>JABATAN PENGIMEJAN &amp; DIAGNOSTIK</v>
          </cell>
          <cell r="O706" t="str">
            <v>Jabatan Pengimejan &amp; Diagnostik</v>
          </cell>
        </row>
        <row r="707">
          <cell r="D707" t="str">
            <v>KKM/JKN/HSA/10-05-01/H/15/5089</v>
          </cell>
          <cell r="E707" t="str">
            <v>DUAL COLOR ELECTRONIC SENSITOMETER</v>
          </cell>
          <cell r="F707" t="str">
            <v>FLUKE BIOMEDICAL</v>
          </cell>
          <cell r="G707" t="str">
            <v>07-417</v>
          </cell>
          <cell r="H707">
            <v>12916</v>
          </cell>
          <cell r="I707" t="str">
            <v>ANNUALLY</v>
          </cell>
          <cell r="J707">
            <v>45823</v>
          </cell>
          <cell r="K707"/>
          <cell r="L707"/>
          <cell r="M707"/>
          <cell r="N707" t="str">
            <v>JABATAN PENGIMEJAN &amp; DIAGNOSTIK</v>
          </cell>
          <cell r="O707" t="str">
            <v>Jabatan Pengimejan &amp; Diagnostik</v>
          </cell>
        </row>
        <row r="708">
          <cell r="D708" t="str">
            <v>KKM/JKN/HSA/10-05-01/H/15/5090</v>
          </cell>
          <cell r="E708" t="str">
            <v>MAMMO DIGITAL KVP METER</v>
          </cell>
          <cell r="F708" t="str">
            <v>FLUKE BIOMEDICAL</v>
          </cell>
          <cell r="G708" t="str">
            <v>07-492</v>
          </cell>
          <cell r="H708">
            <v>2757013</v>
          </cell>
          <cell r="I708" t="str">
            <v>ANNUALLY</v>
          </cell>
          <cell r="J708">
            <v>45823</v>
          </cell>
          <cell r="K708"/>
          <cell r="L708"/>
          <cell r="M708"/>
          <cell r="N708" t="str">
            <v>JABATAN PENGIMEJAN &amp; DIAGNOSTIK</v>
          </cell>
          <cell r="O708" t="str">
            <v>Jabatan Pengimejan &amp; Diagnostik</v>
          </cell>
        </row>
        <row r="709">
          <cell r="D709" t="str">
            <v>KKM/JKN/HSA/10-05-01/H/15/5091</v>
          </cell>
          <cell r="E709" t="str">
            <v>VICTOREEN NON INVASIVE TEST DEVICE</v>
          </cell>
          <cell r="F709" t="str">
            <v>FLUKE BIOMEDICAL</v>
          </cell>
          <cell r="G709" t="str">
            <v>4000M+</v>
          </cell>
          <cell r="H709" t="str">
            <v>2866023</v>
          </cell>
          <cell r="I709" t="str">
            <v>ANNUALLY</v>
          </cell>
          <cell r="J709">
            <v>45836</v>
          </cell>
          <cell r="K709"/>
          <cell r="L709"/>
          <cell r="M709"/>
          <cell r="N709" t="str">
            <v>JABATAN PENGIMEJAN &amp; DIAGNOSTIK</v>
          </cell>
          <cell r="O709" t="str">
            <v>Jabatan Pengimejan &amp; Diagnostik</v>
          </cell>
        </row>
        <row r="710">
          <cell r="D710" t="str">
            <v>KKM/JKN/HSA/10-05-01/H/15/5092</v>
          </cell>
          <cell r="E710" t="str">
            <v>DOSIMETER (CALIBRATION)</v>
          </cell>
          <cell r="F710" t="str">
            <v>ALOKA</v>
          </cell>
          <cell r="G710" t="str">
            <v>PDM-1278-SA</v>
          </cell>
          <cell r="H710" t="str">
            <v>Q-7113</v>
          </cell>
          <cell r="I710" t="str">
            <v>ANNUALLY</v>
          </cell>
          <cell r="J710">
            <v>45963</v>
          </cell>
          <cell r="K710"/>
          <cell r="L710"/>
          <cell r="M710"/>
          <cell r="N710" t="str">
            <v>JABATAN PENGIMEJAN &amp; DIAGNOSTIK</v>
          </cell>
          <cell r="O710" t="str">
            <v>Jabatan Pengimejan &amp; Diagnostik</v>
          </cell>
        </row>
        <row r="711">
          <cell r="D711" t="str">
            <v>KKM/JKN/HSA/10-05-01/H/15/5093</v>
          </cell>
          <cell r="E711" t="str">
            <v>DOSIMETER (CALIBRATION)</v>
          </cell>
          <cell r="F711" t="str">
            <v>ALOKA</v>
          </cell>
          <cell r="G711" t="str">
            <v>PDM-1278-SA</v>
          </cell>
          <cell r="H711" t="str">
            <v>Q-7116</v>
          </cell>
          <cell r="I711" t="str">
            <v>ANNUALLY</v>
          </cell>
          <cell r="J711">
            <v>45830</v>
          </cell>
          <cell r="K711"/>
          <cell r="L711"/>
          <cell r="M711"/>
          <cell r="N711" t="str">
            <v>JABATAN PENGIMEJAN &amp; DIAGNOSTIK</v>
          </cell>
          <cell r="O711" t="str">
            <v>Jabatan Pengimejan &amp; Diagnostik</v>
          </cell>
        </row>
        <row r="712">
          <cell r="D712" t="str">
            <v>KKM/JKN/HSA/10-05-01/H/15/5094</v>
          </cell>
          <cell r="E712" t="str">
            <v>DOSIMETER (CALIBRATION)</v>
          </cell>
          <cell r="F712" t="str">
            <v>ALOKA</v>
          </cell>
          <cell r="G712" t="str">
            <v>PDM-1278-SA</v>
          </cell>
          <cell r="H712" t="str">
            <v>Q-7117</v>
          </cell>
          <cell r="I712" t="str">
            <v>ANNUALLY</v>
          </cell>
          <cell r="J712">
            <v>45830</v>
          </cell>
          <cell r="K712"/>
          <cell r="L712"/>
          <cell r="M712"/>
          <cell r="N712" t="str">
            <v>JABATAN PENGIMEJAN &amp; DIAGNOSTIK</v>
          </cell>
          <cell r="O712" t="str">
            <v>Jabatan Pengimejan &amp; Diagnostik</v>
          </cell>
        </row>
        <row r="713">
          <cell r="D713" t="str">
            <v>KKM/JKN/HSA/10-05-01/H/15/5095</v>
          </cell>
          <cell r="E713" t="str">
            <v>DOSIMETER (CALIBRATION)</v>
          </cell>
          <cell r="F713" t="str">
            <v>ALOKA</v>
          </cell>
          <cell r="G713" t="str">
            <v>PDM-1278-SA</v>
          </cell>
          <cell r="H713" t="str">
            <v>Q-7124</v>
          </cell>
          <cell r="I713" t="str">
            <v>ANNUALLY</v>
          </cell>
          <cell r="J713">
            <v>45963</v>
          </cell>
          <cell r="K713"/>
          <cell r="L713"/>
          <cell r="M713"/>
          <cell r="N713" t="str">
            <v>JABATAN PENGIMEJAN &amp; DIAGNOSTIK</v>
          </cell>
          <cell r="O713" t="str">
            <v>Jabatan Pengimejan &amp; Diagnostik</v>
          </cell>
        </row>
        <row r="714">
          <cell r="D714" t="str">
            <v>KKM/JKN/HSA/10-05-01/H/15/5096</v>
          </cell>
          <cell r="E714" t="str">
            <v>DOSIMETER (CALIBRATION)</v>
          </cell>
          <cell r="F714" t="str">
            <v>ALOKA</v>
          </cell>
          <cell r="G714" t="str">
            <v>PDM-1278-SA</v>
          </cell>
          <cell r="H714" t="str">
            <v>Q-7126</v>
          </cell>
          <cell r="I714" t="str">
            <v>ANNUALLY</v>
          </cell>
          <cell r="J714">
            <v>45830</v>
          </cell>
          <cell r="K714"/>
          <cell r="L714"/>
          <cell r="M714"/>
          <cell r="N714" t="str">
            <v>JABATAN PENGIMEJAN &amp; DIAGNOSTIK</v>
          </cell>
          <cell r="O714" t="str">
            <v>Jabatan Pengimejan &amp; Diagnostik</v>
          </cell>
        </row>
        <row r="715">
          <cell r="D715" t="str">
            <v>KKM/JKN/HSA/10-05-01/H/15/5097</v>
          </cell>
          <cell r="E715" t="str">
            <v>DOSIMETER (CALIBRATION)</v>
          </cell>
          <cell r="F715" t="str">
            <v>ALOKA</v>
          </cell>
          <cell r="G715" t="str">
            <v>PDM-1278-SA</v>
          </cell>
          <cell r="H715" t="str">
            <v>Q-7130</v>
          </cell>
          <cell r="I715" t="str">
            <v>ANNUALLY</v>
          </cell>
          <cell r="J715">
            <v>45963</v>
          </cell>
          <cell r="K715"/>
          <cell r="L715"/>
          <cell r="M715"/>
          <cell r="N715" t="str">
            <v>JABATAN PENGIMEJAN &amp; DIAGNOSTIK</v>
          </cell>
          <cell r="O715" t="str">
            <v>Jabatan Pengimejan &amp; Diagnostik</v>
          </cell>
        </row>
        <row r="716">
          <cell r="D716" t="str">
            <v>KKM/JKN/HSA/10-05-01/H/15/5098</v>
          </cell>
          <cell r="E716" t="str">
            <v>DOSIMETER (CALIBRATION)</v>
          </cell>
          <cell r="F716" t="str">
            <v>ALOKA</v>
          </cell>
          <cell r="G716" t="str">
            <v>PDM-1278-SA</v>
          </cell>
          <cell r="H716" t="str">
            <v>Q-7131</v>
          </cell>
          <cell r="I716" t="str">
            <v>ANNUALLY</v>
          </cell>
          <cell r="J716">
            <v>45963</v>
          </cell>
          <cell r="K716"/>
          <cell r="L716"/>
          <cell r="M716"/>
          <cell r="N716" t="str">
            <v>JABATAN PENGIMEJAN &amp; DIAGNOSTIK</v>
          </cell>
          <cell r="O716" t="str">
            <v>Jabatan Pengimejan &amp; Diagnostik</v>
          </cell>
        </row>
        <row r="717">
          <cell r="D717" t="str">
            <v>KKM/JKN/HSA/10-05-01/H/15/5099</v>
          </cell>
          <cell r="E717" t="str">
            <v>DOSIMETER (CALIBRATION)</v>
          </cell>
          <cell r="F717" t="str">
            <v>ALOKA</v>
          </cell>
          <cell r="G717" t="str">
            <v>PDM-1278-SA</v>
          </cell>
          <cell r="H717" t="str">
            <v>Q-7134</v>
          </cell>
          <cell r="I717" t="str">
            <v>ANNUALLY</v>
          </cell>
          <cell r="J717">
            <v>45963</v>
          </cell>
          <cell r="K717"/>
          <cell r="L717"/>
          <cell r="M717"/>
          <cell r="N717" t="str">
            <v>JABATAN PENGIMEJAN &amp; DIAGNOSTIK</v>
          </cell>
          <cell r="O717" t="str">
            <v>Jabatan Pengimejan &amp; Diagnostik</v>
          </cell>
        </row>
        <row r="718">
          <cell r="D718" t="str">
            <v>KKM/JKN/HSA/10-05-01/H/15/5100</v>
          </cell>
          <cell r="E718" t="str">
            <v>DOSIMETER (CALIBRATION)</v>
          </cell>
          <cell r="F718" t="str">
            <v>ALOKA</v>
          </cell>
          <cell r="G718" t="str">
            <v>PDM-1278-SA</v>
          </cell>
          <cell r="H718" t="str">
            <v>Q-7135</v>
          </cell>
          <cell r="I718" t="str">
            <v>ANNUALLY</v>
          </cell>
          <cell r="J718">
            <v>45830</v>
          </cell>
          <cell r="K718"/>
          <cell r="L718"/>
          <cell r="M718"/>
          <cell r="N718" t="str">
            <v>JABATAN PENGIMEJAN &amp; DIAGNOSTIK</v>
          </cell>
          <cell r="O718" t="str">
            <v>Jabatan Pengimejan &amp; Diagnostik</v>
          </cell>
        </row>
        <row r="719">
          <cell r="D719" t="str">
            <v>KKM/JKN/HSA/10-05-01/H/15/5101</v>
          </cell>
          <cell r="E719" t="str">
            <v>DOSIMETER (CALIBRATION)</v>
          </cell>
          <cell r="F719" t="str">
            <v>ALOKA</v>
          </cell>
          <cell r="G719" t="str">
            <v>PDM-1278-SA</v>
          </cell>
          <cell r="H719" t="str">
            <v>Q-7136</v>
          </cell>
          <cell r="I719" t="str">
            <v>ANNUALLY</v>
          </cell>
          <cell r="J719">
            <v>45830</v>
          </cell>
          <cell r="K719"/>
          <cell r="L719"/>
          <cell r="M719"/>
          <cell r="N719" t="str">
            <v>JABATAN PENGIMEJAN &amp; DIAGNOSTIK</v>
          </cell>
          <cell r="O719" t="str">
            <v>Jabatan Pengimejan &amp; Diagnostik</v>
          </cell>
        </row>
        <row r="720">
          <cell r="D720" t="str">
            <v>KKM/JKN/HSA/10-05-01/H/16/192</v>
          </cell>
          <cell r="E720" t="str">
            <v>CARESTREAM DIRECTVIEW CLASSIC SYSTEM</v>
          </cell>
          <cell r="F720" t="str">
            <v>CARESTREAM</v>
          </cell>
          <cell r="G720" t="str">
            <v>CR LONG-LENGTH VERTICAL CASSETTE HOLDER</v>
          </cell>
          <cell r="H720">
            <v>3539</v>
          </cell>
          <cell r="I720" t="str">
            <v>ANNUALLY</v>
          </cell>
          <cell r="J720">
            <v>45986</v>
          </cell>
          <cell r="K720"/>
          <cell r="L720"/>
          <cell r="M720"/>
          <cell r="N720" t="str">
            <v>JABATAN PENGIMEJAN &amp; DIAGNOSTIK</v>
          </cell>
          <cell r="O720" t="str">
            <v>Jabatan Pengimejan &amp; Diagnostik</v>
          </cell>
        </row>
        <row r="721">
          <cell r="D721" t="str">
            <v>KKM/JKN/HSA/10-05-01/H/19/25</v>
          </cell>
          <cell r="E721" t="str">
            <v>CAST CUTTER &amp; DUST EXTRACTION SYSTEM</v>
          </cell>
          <cell r="F721" t="str">
            <v>DE SOUTTER</v>
          </cell>
          <cell r="G721" t="str">
            <v>N/A</v>
          </cell>
          <cell r="H721" t="str">
            <v>193100046</v>
          </cell>
          <cell r="I721" t="str">
            <v>ANNUALLY</v>
          </cell>
          <cell r="J721">
            <v>45870</v>
          </cell>
          <cell r="K721"/>
          <cell r="L721"/>
          <cell r="M721"/>
          <cell r="N721" t="str">
            <v>JABATAN PENGIMEJAN &amp; DIAGNOSTIK</v>
          </cell>
          <cell r="O721" t="str">
            <v>Jabatan Pengimejan &amp; Diagnostik</v>
          </cell>
        </row>
        <row r="722">
          <cell r="D722" t="str">
            <v>KKM/JKN/HSA/10-05-01/R/15/15383</v>
          </cell>
          <cell r="E722" t="str">
            <v>VIDEO RECORDER</v>
          </cell>
          <cell r="F722" t="str">
            <v>PANASONIC</v>
          </cell>
          <cell r="G722" t="str">
            <v>DMR-EH59</v>
          </cell>
          <cell r="H722" t="str">
            <v>VN4H0001004</v>
          </cell>
          <cell r="I722" t="str">
            <v>ANNUALLY</v>
          </cell>
          <cell r="J722">
            <v>45905</v>
          </cell>
          <cell r="K722"/>
          <cell r="L722"/>
          <cell r="M722"/>
          <cell r="N722" t="str">
            <v>JABATAN PERUBATAN AM</v>
          </cell>
          <cell r="O722" t="str">
            <v>Unit Rawatan Perubatan Harian (MDC)</v>
          </cell>
        </row>
        <row r="723">
          <cell r="D723" t="str">
            <v>KKM/JKN/HSA/10-05-01/H/15/1018</v>
          </cell>
          <cell r="E723" t="str">
            <v>PATIENT MONITORING EQUIP.(AUTOMATIC MULTIPARAMETER)</v>
          </cell>
          <cell r="F723" t="str">
            <v>WELCH ALLYN</v>
          </cell>
          <cell r="G723" t="str">
            <v>WELCH ALLYN VSM 300</v>
          </cell>
          <cell r="H723" t="str">
            <v>JA123459</v>
          </cell>
          <cell r="I723" t="str">
            <v>ANNUALLY</v>
          </cell>
          <cell r="J723">
            <v>45860</v>
          </cell>
          <cell r="K723"/>
          <cell r="L723"/>
          <cell r="M723"/>
          <cell r="N723" t="str">
            <v>JABATAN PENGIMEJAN &amp; DIAGNOSTIK</v>
          </cell>
          <cell r="O723" t="str">
            <v>Jabatan Pengimejan &amp; Diagnostik</v>
          </cell>
        </row>
        <row r="724">
          <cell r="D724" t="str">
            <v>KKM/JKN/HSA/10-05-01/H/15/1599</v>
          </cell>
          <cell r="E724" t="str">
            <v>PATIENT MONITORING EQUIP.(AUTOMATIC MULTIPARAMETER)</v>
          </cell>
          <cell r="F724" t="str">
            <v>WELCH ALLYN</v>
          </cell>
          <cell r="G724" t="str">
            <v>WELCH ALLYN VSM 300</v>
          </cell>
          <cell r="H724" t="str">
            <v>JA 123486</v>
          </cell>
          <cell r="I724" t="str">
            <v>ANNUALLY</v>
          </cell>
          <cell r="J724">
            <v>45819</v>
          </cell>
          <cell r="K724"/>
          <cell r="L724"/>
          <cell r="M724"/>
          <cell r="N724" t="str">
            <v>JABATAN PENGIMEJAN &amp; DIAGNOSTIK</v>
          </cell>
          <cell r="O724" t="str">
            <v>Jabatan Pengimejan &amp; Diagnostik</v>
          </cell>
        </row>
        <row r="725">
          <cell r="D725" t="str">
            <v>KKM/JKN/HSA/10-05-01/H/15/2469</v>
          </cell>
          <cell r="E725" t="str">
            <v>ULTRASOUND SCANNER</v>
          </cell>
          <cell r="F725" t="str">
            <v>SIEMENS</v>
          </cell>
          <cell r="G725" t="str">
            <v>ACUSON X700</v>
          </cell>
          <cell r="H725" t="str">
            <v>356299</v>
          </cell>
          <cell r="I725" t="str">
            <v>SEMI ANNUALLY</v>
          </cell>
          <cell r="J725">
            <v>45755</v>
          </cell>
          <cell r="K725">
            <v>45937</v>
          </cell>
          <cell r="L725"/>
          <cell r="M725"/>
          <cell r="N725" t="str">
            <v>JABATAN PENGIMEJAN &amp; DIAGNOSTIK</v>
          </cell>
          <cell r="O725" t="str">
            <v>Jabatan Pengimejan &amp; Diagnostik</v>
          </cell>
        </row>
        <row r="726">
          <cell r="D726" t="str">
            <v>KKM/JKN/HSA/10-05-01/H/15/2470</v>
          </cell>
          <cell r="E726" t="str">
            <v>ULTRASOUND SCANNER</v>
          </cell>
          <cell r="F726" t="str">
            <v>SIEMENS</v>
          </cell>
          <cell r="G726" t="str">
            <v>ACUSON X1000</v>
          </cell>
          <cell r="H726" t="str">
            <v>210762</v>
          </cell>
          <cell r="I726" t="str">
            <v>SEMI ANNUALLY</v>
          </cell>
          <cell r="J726">
            <v>45755</v>
          </cell>
          <cell r="K726">
            <v>45937</v>
          </cell>
          <cell r="L726"/>
          <cell r="M726"/>
          <cell r="N726" t="str">
            <v>JABATAN PENGIMEJAN &amp; DIAGNOSTIK</v>
          </cell>
          <cell r="O726" t="str">
            <v>Jabatan Pengimejan &amp; Diagnostik</v>
          </cell>
        </row>
        <row r="727">
          <cell r="D727" t="str">
            <v xml:space="preserve">KKM/JKN/HSA/10-05-01/H/15/2538 </v>
          </cell>
          <cell r="E727" t="str">
            <v>MAMMOGRAPHY WITH BIOPSY, DIGITAL</v>
          </cell>
          <cell r="F727" t="str">
            <v>SIEMENS</v>
          </cell>
          <cell r="G727" t="str">
            <v>MAMMOMAT INSPIRATION W BIOPSY</v>
          </cell>
          <cell r="H727" t="str">
            <v>530703/6039</v>
          </cell>
          <cell r="I727" t="str">
            <v>SEMI ANNUALLY</v>
          </cell>
          <cell r="J727">
            <v>45734</v>
          </cell>
          <cell r="K727">
            <v>45917</v>
          </cell>
          <cell r="L727"/>
          <cell r="M727"/>
          <cell r="N727" t="str">
            <v>JABATAN PENGIMEJAN &amp; DIAGNOSTIK</v>
          </cell>
          <cell r="O727" t="str">
            <v>Jabatan Pengimejan &amp; Diagnostik</v>
          </cell>
        </row>
        <row r="728">
          <cell r="D728" t="str">
            <v xml:space="preserve">KKM/JKN/HSA/10-05-01/H/15/2539 </v>
          </cell>
          <cell r="E728" t="str">
            <v>FLUOROSCOPY SYSTEM  DIGITAL ,W/ ANGIO  FACILITIES AND 2nd TUBE</v>
          </cell>
          <cell r="F728" t="str">
            <v>SIEMENS</v>
          </cell>
          <cell r="G728" t="str">
            <v>AXIOM LUMINOUS TF</v>
          </cell>
          <cell r="H728">
            <v>403021346</v>
          </cell>
          <cell r="I728" t="str">
            <v>SEMI ANNUALLY</v>
          </cell>
          <cell r="J728">
            <v>45739</v>
          </cell>
          <cell r="K728">
            <v>45922</v>
          </cell>
          <cell r="L728"/>
          <cell r="M728"/>
          <cell r="N728" t="str">
            <v>JABATAN PENGIMEJAN &amp; DIAGNOSTIK</v>
          </cell>
          <cell r="O728" t="str">
            <v>Jabatan Pengimejan &amp; Diagnostik</v>
          </cell>
        </row>
        <row r="729">
          <cell r="D729" t="str">
            <v>KKM/JKN/HSA/10-05-01/H/15/2544</v>
          </cell>
          <cell r="E729" t="str">
            <v>COMPUTED TOMOGRAPHY</v>
          </cell>
          <cell r="F729" t="str">
            <v>SIEMENS</v>
          </cell>
          <cell r="G729" t="str">
            <v>SOMATOM DEFINITION AS</v>
          </cell>
          <cell r="H729" t="str">
            <v>67381</v>
          </cell>
          <cell r="I729" t="str">
            <v>SEMI ANNUALLY</v>
          </cell>
          <cell r="J729">
            <v>46049</v>
          </cell>
          <cell r="K729">
            <v>46227</v>
          </cell>
          <cell r="L729"/>
          <cell r="M729"/>
          <cell r="N729" t="str">
            <v>JABATAN PENGIMEJAN &amp; DIAGNOSTIK</v>
          </cell>
          <cell r="O729" t="str">
            <v>Jabatan Pengimejan &amp; Diagnostik</v>
          </cell>
        </row>
        <row r="730">
          <cell r="D730" t="str">
            <v>KKM/JKN/HSA/10-05-01/H/15/2545</v>
          </cell>
          <cell r="E730" t="str">
            <v>DENTAL X-RAY MACHINE</v>
          </cell>
          <cell r="F730" t="str">
            <v>GENDEX</v>
          </cell>
          <cell r="G730" t="str">
            <v>EXPERT DC</v>
          </cell>
          <cell r="H730" t="str">
            <v>3014474</v>
          </cell>
          <cell r="I730" t="str">
            <v>SEMI ANNUALLY</v>
          </cell>
          <cell r="J730">
            <v>45783</v>
          </cell>
          <cell r="K730">
            <v>45966</v>
          </cell>
          <cell r="L730"/>
          <cell r="M730"/>
          <cell r="N730" t="str">
            <v>JABATAN PENGIMEJAN &amp; DIAGNOSTIK</v>
          </cell>
          <cell r="O730" t="str">
            <v>Jabatan Pengimejan &amp; Diagnostik</v>
          </cell>
        </row>
        <row r="731">
          <cell r="D731" t="str">
            <v>KKM/JKN/HSA/10-05-01/H/15/4872</v>
          </cell>
          <cell r="E731" t="str">
            <v>GENERAL X-RAY</v>
          </cell>
          <cell r="F731" t="str">
            <v>SIEMENS</v>
          </cell>
          <cell r="G731" t="str">
            <v>MULTIXTOP</v>
          </cell>
          <cell r="H731" t="str">
            <v>2881</v>
          </cell>
          <cell r="I731" t="str">
            <v>SEMI ANNUALLY</v>
          </cell>
          <cell r="J731">
            <v>45727</v>
          </cell>
          <cell r="K731">
            <v>45910</v>
          </cell>
          <cell r="L731"/>
          <cell r="M731"/>
          <cell r="N731" t="str">
            <v>JABATAN PENGIMEJAN &amp; DIAGNOSTIK</v>
          </cell>
          <cell r="O731" t="str">
            <v>Jabatan Pengimejan &amp; Diagnostik</v>
          </cell>
        </row>
        <row r="732">
          <cell r="D732" t="str">
            <v>KKM/JKN/HSA/10-05-01/H/15/4873</v>
          </cell>
          <cell r="E732" t="str">
            <v>GENERAL X-RAY</v>
          </cell>
          <cell r="F732" t="str">
            <v>SIEMENS</v>
          </cell>
          <cell r="G732" t="str">
            <v>MULTIXTOP</v>
          </cell>
          <cell r="H732" t="str">
            <v>2878</v>
          </cell>
          <cell r="I732" t="str">
            <v>SEMI ANNUALLY</v>
          </cell>
          <cell r="J732">
            <v>45727</v>
          </cell>
          <cell r="K732">
            <v>45910</v>
          </cell>
          <cell r="L732"/>
          <cell r="M732"/>
          <cell r="N732" t="str">
            <v>JABATAN PENGIMEJAN &amp; DIAGNOSTIK</v>
          </cell>
          <cell r="O732" t="str">
            <v>Jabatan Pengimejan &amp; Diagnostik</v>
          </cell>
        </row>
        <row r="733">
          <cell r="D733" t="str">
            <v>KKM/JKN/HSA/10-05-01/H/15/4874</v>
          </cell>
          <cell r="E733" t="str">
            <v>GENERAL X-RAY</v>
          </cell>
          <cell r="F733" t="str">
            <v>SIEMENS</v>
          </cell>
          <cell r="G733" t="str">
            <v>MULTIXTOP</v>
          </cell>
          <cell r="H733" t="str">
            <v>2879</v>
          </cell>
          <cell r="I733" t="str">
            <v>SEMI ANNUALLY</v>
          </cell>
          <cell r="J733">
            <v>45728</v>
          </cell>
          <cell r="K733">
            <v>45911</v>
          </cell>
          <cell r="L733"/>
          <cell r="M733"/>
          <cell r="N733" t="str">
            <v>JABATAN PENGIMEJAN &amp; DIAGNOSTIK</v>
          </cell>
          <cell r="O733" t="str">
            <v>Jabatan Pengimejan &amp; Diagnostik</v>
          </cell>
        </row>
        <row r="734">
          <cell r="D734" t="str">
            <v>KKM/JKN/HSA/10-05-01/H/15/4875</v>
          </cell>
          <cell r="E734" t="str">
            <v>DENTAL X-RAY</v>
          </cell>
          <cell r="F734" t="str">
            <v>GENDEX</v>
          </cell>
          <cell r="G734" t="str">
            <v>GENDEX DP700</v>
          </cell>
          <cell r="H734" t="str">
            <v>GE1200655</v>
          </cell>
          <cell r="I734" t="str">
            <v>SEMI ANNUALLY</v>
          </cell>
          <cell r="J734">
            <v>45778</v>
          </cell>
          <cell r="K734">
            <v>45961</v>
          </cell>
          <cell r="L734"/>
          <cell r="M734"/>
          <cell r="N734" t="str">
            <v>JABATAN PENGIMEJAN &amp; DIAGNOSTIK</v>
          </cell>
          <cell r="O734" t="str">
            <v>Jabatan Pengimejan &amp; Diagnostik</v>
          </cell>
        </row>
        <row r="735">
          <cell r="D735" t="str">
            <v>KKM/JKN/HSA/10-05-01/H/16/161</v>
          </cell>
          <cell r="E735" t="str">
            <v>BOTTLE WARMER</v>
          </cell>
          <cell r="F735" t="str">
            <v>KEEWELL</v>
          </cell>
          <cell r="G735" t="str">
            <v>KGW-2</v>
          </cell>
          <cell r="H735" t="str">
            <v>KGW214040009</v>
          </cell>
          <cell r="I735" t="str">
            <v>ANNUALLY</v>
          </cell>
          <cell r="J735">
            <v>46027</v>
          </cell>
          <cell r="K735"/>
          <cell r="L735"/>
          <cell r="M735"/>
          <cell r="N735" t="str">
            <v>JABATAN PENGIMEJAN &amp; DIAGNOSTIK</v>
          </cell>
          <cell r="O735" t="str">
            <v>Jabatan Pengimejan &amp; Diagnostik</v>
          </cell>
        </row>
        <row r="736">
          <cell r="D736" t="str">
            <v>KKM/JKN/HSA/10-05-01/H/16/162</v>
          </cell>
          <cell r="E736" t="str">
            <v>BOTTLE WARMER</v>
          </cell>
          <cell r="F736" t="str">
            <v>KEEWELL</v>
          </cell>
          <cell r="G736" t="str">
            <v>KGW-2</v>
          </cell>
          <cell r="H736" t="str">
            <v>KGW214040008</v>
          </cell>
          <cell r="I736" t="str">
            <v>ANNUALLY</v>
          </cell>
          <cell r="J736">
            <v>46027</v>
          </cell>
          <cell r="K736"/>
          <cell r="L736"/>
          <cell r="M736"/>
          <cell r="N736" t="str">
            <v>JABATAN PENGIMEJAN &amp; DIAGNOSTIK</v>
          </cell>
          <cell r="O736" t="str">
            <v>Jabatan Pengimejan &amp; Diagnostik</v>
          </cell>
        </row>
        <row r="737">
          <cell r="D737" t="str">
            <v>KKM/JKN/HSA/10-05-01/H/20/63</v>
          </cell>
          <cell r="E737" t="str">
            <v>ULTRASOUND SCANNER</v>
          </cell>
          <cell r="F737" t="str">
            <v xml:space="preserve">SIEMENS </v>
          </cell>
          <cell r="G737" t="str">
            <v>ACUSON JUNIPER</v>
          </cell>
          <cell r="H737">
            <v>553271</v>
          </cell>
          <cell r="I737" t="str">
            <v>SEMI ANNUALLY</v>
          </cell>
          <cell r="J737">
            <v>45806</v>
          </cell>
          <cell r="K737">
            <v>45989</v>
          </cell>
          <cell r="L737"/>
          <cell r="M737"/>
          <cell r="N737" t="str">
            <v>JABATAN PENGIMEJAN &amp; DIAGNOSTIK</v>
          </cell>
          <cell r="O737" t="str">
            <v>Jabatan Pengimejan &amp; Diagnostik</v>
          </cell>
        </row>
        <row r="738">
          <cell r="D738" t="str">
            <v>KKM/JKN/HSA/10-05-01/H/20/64</v>
          </cell>
          <cell r="E738" t="str">
            <v>COMPUTED RADIOGRAPHY READER</v>
          </cell>
          <cell r="F738" t="str">
            <v>CARESTREAM</v>
          </cell>
          <cell r="G738" t="str">
            <v>CR CLASSIC + DIRECTVIEW</v>
          </cell>
          <cell r="H738" t="str">
            <v>4004824/59545467</v>
          </cell>
          <cell r="I738" t="str">
            <v>SEMI ANNUALLY</v>
          </cell>
          <cell r="J738">
            <v>45827</v>
          </cell>
          <cell r="K738">
            <v>46009</v>
          </cell>
          <cell r="L738"/>
          <cell r="M738"/>
          <cell r="N738" t="str">
            <v>JABATAN PENGIMEJAN &amp; DIAGNOSTIK</v>
          </cell>
          <cell r="O738" t="str">
            <v>Jabatan Pengimejan &amp; Diagnostik</v>
          </cell>
        </row>
        <row r="739">
          <cell r="D739" t="str">
            <v>KKM/JKN/HSA/10-05-01/H/15/2466</v>
          </cell>
          <cell r="E739" t="str">
            <v>ULTRASOUND SCANNER</v>
          </cell>
          <cell r="F739" t="str">
            <v>SIEMENS</v>
          </cell>
          <cell r="G739" t="str">
            <v>ACUSON X150</v>
          </cell>
          <cell r="H739" t="str">
            <v>336230</v>
          </cell>
          <cell r="I739" t="str">
            <v>ANNUALLY</v>
          </cell>
          <cell r="J739">
            <v>45825</v>
          </cell>
          <cell r="K739"/>
          <cell r="L739"/>
          <cell r="M739"/>
          <cell r="N739" t="str">
            <v>JABATAN PENGIMEJAN &amp; DIAGNOSTIK</v>
          </cell>
          <cell r="O739" t="str">
            <v>Jabatan Pengimejan &amp; Diagnostik</v>
          </cell>
        </row>
        <row r="740">
          <cell r="D740" t="str">
            <v>KKM/JKN/HSA/10-05-01/H/15/4856</v>
          </cell>
          <cell r="E740" t="str">
            <v>BIO-FEEDBACK UNIT (sEMG)</v>
          </cell>
          <cell r="F740" t="str">
            <v>SCHUHFRIED</v>
          </cell>
          <cell r="G740" t="str">
            <v>2000 X-PERT</v>
          </cell>
          <cell r="H740" t="str">
            <v>N/A</v>
          </cell>
          <cell r="I740" t="str">
            <v>ANNUALLY</v>
          </cell>
          <cell r="J740">
            <v>45826</v>
          </cell>
          <cell r="K740"/>
          <cell r="L740"/>
          <cell r="M740"/>
          <cell r="N740" t="str">
            <v>JABATAN REHABILITASI</v>
          </cell>
          <cell r="O740" t="str">
            <v>Jabatan Perubatan Rehabilitasi</v>
          </cell>
        </row>
        <row r="741">
          <cell r="D741" t="str">
            <v>KKM/JKN/HSA/10-05-01/H/15/1064</v>
          </cell>
          <cell r="E741" t="str">
            <v>MULE SYSTEM</v>
          </cell>
          <cell r="F741" t="str">
            <v>BIOMETRICS</v>
          </cell>
          <cell r="G741" t="str">
            <v>INTER X</v>
          </cell>
          <cell r="H741" t="str">
            <v>M 16483</v>
          </cell>
          <cell r="I741" t="str">
            <v>ANNUALLY</v>
          </cell>
          <cell r="J741">
            <v>45830</v>
          </cell>
          <cell r="K741"/>
          <cell r="L741"/>
          <cell r="M741"/>
          <cell r="N741" t="str">
            <v>JABATAN REHABILITASI</v>
          </cell>
          <cell r="O741" t="str">
            <v>Jabatan Perubatan Rehabilitasi</v>
          </cell>
        </row>
        <row r="742">
          <cell r="D742" t="str">
            <v>KKM/JKN/HSA/10-05-01/H/15/1065</v>
          </cell>
          <cell r="E742" t="str">
            <v>MULE SYSTEM</v>
          </cell>
          <cell r="F742" t="str">
            <v>BIOMETRICS</v>
          </cell>
          <cell r="G742" t="str">
            <v>INTER X</v>
          </cell>
          <cell r="H742" t="str">
            <v>M 16484</v>
          </cell>
          <cell r="I742" t="str">
            <v>ANNUALLY</v>
          </cell>
          <cell r="J742">
            <v>45830</v>
          </cell>
          <cell r="K742"/>
          <cell r="L742"/>
          <cell r="M742"/>
          <cell r="N742" t="str">
            <v>JABATAN REHABILITASI</v>
          </cell>
          <cell r="O742" t="str">
            <v>Jabatan Perubatan Rehabilitasi</v>
          </cell>
        </row>
        <row r="743">
          <cell r="D743" t="str">
            <v>KKM/JKN/HSA/10-05-01/H/15/1128</v>
          </cell>
          <cell r="E743" t="str">
            <v>SUCTION APPARATUS</v>
          </cell>
          <cell r="F743" t="str">
            <v>OHIO</v>
          </cell>
          <cell r="G743" t="str">
            <v>ALLIED HEALTHCARE/   01-23-3840</v>
          </cell>
          <cell r="H743" t="str">
            <v>GFHU60050</v>
          </cell>
          <cell r="I743" t="str">
            <v>ANNUALLY</v>
          </cell>
          <cell r="J743">
            <v>45812</v>
          </cell>
          <cell r="K743"/>
          <cell r="L743"/>
          <cell r="M743"/>
          <cell r="N743" t="str">
            <v>JABATAN REHABILITASI</v>
          </cell>
          <cell r="O743" t="str">
            <v>Jabatan Perubatan Rehabilitasi</v>
          </cell>
        </row>
        <row r="744">
          <cell r="D744" t="str">
            <v>KKM/JKN/HSA/10-05-01/H/15/1354</v>
          </cell>
          <cell r="E744" t="str">
            <v>TRICYCLE EXERCISE CHILDREN</v>
          </cell>
          <cell r="F744" t="str">
            <v>SAMMONS PRESTON</v>
          </cell>
          <cell r="G744">
            <v>4552</v>
          </cell>
          <cell r="H744" t="str">
            <v>N/A</v>
          </cell>
          <cell r="I744" t="str">
            <v>ANNUALLY</v>
          </cell>
          <cell r="J744">
            <v>45845</v>
          </cell>
          <cell r="K744"/>
          <cell r="L744"/>
          <cell r="M744"/>
          <cell r="N744" t="str">
            <v>JABATAN REHABILITASI</v>
          </cell>
          <cell r="O744" t="str">
            <v>Jabatan Perubatan Rehabilitasi</v>
          </cell>
        </row>
        <row r="745">
          <cell r="D745" t="str">
            <v>KKM/JKN/HSA/10-05-01/H/15/1366</v>
          </cell>
          <cell r="E745" t="str">
            <v>TREADMILL</v>
          </cell>
          <cell r="F745" t="str">
            <v>ENRAF-NONIUS</v>
          </cell>
          <cell r="G745" t="str">
            <v>950-421</v>
          </cell>
          <cell r="H745" t="str">
            <v>15040107</v>
          </cell>
          <cell r="I745" t="str">
            <v>ANNUALLY</v>
          </cell>
          <cell r="J745">
            <v>45874</v>
          </cell>
          <cell r="K745"/>
          <cell r="L745"/>
          <cell r="M745"/>
          <cell r="N745" t="str">
            <v>JABATAN REHABILITASI</v>
          </cell>
          <cell r="O745" t="str">
            <v>Jabatan Perubatan Rehabilitasi</v>
          </cell>
        </row>
        <row r="746">
          <cell r="D746" t="str">
            <v>KKM/JKN/HSA/10-05-01/H/15/2547</v>
          </cell>
          <cell r="E746" t="str">
            <v>INTERFERENTIAL MUSCLE STIMULATOR</v>
          </cell>
          <cell r="F746" t="str">
            <v>GYMNA UNIPHY</v>
          </cell>
          <cell r="G746" t="str">
            <v>DUO200</v>
          </cell>
          <cell r="H746" t="str">
            <v>71437</v>
          </cell>
          <cell r="I746" t="str">
            <v>ANNUALLY</v>
          </cell>
          <cell r="J746">
            <v>45868</v>
          </cell>
          <cell r="K746"/>
          <cell r="L746"/>
          <cell r="M746"/>
          <cell r="N746" t="str">
            <v>JABATAN REHABILITASI</v>
          </cell>
          <cell r="O746" t="str">
            <v>Jabatan Perubatan Rehabilitasi</v>
          </cell>
        </row>
        <row r="747">
          <cell r="D747" t="str">
            <v>KKM/JKN/HSA/10-05-01/H/15/2548</v>
          </cell>
          <cell r="E747" t="str">
            <v>INTERFERENTIAL MUSCLE STIMULATOR</v>
          </cell>
          <cell r="F747" t="str">
            <v>GYMNA UNIPHY</v>
          </cell>
          <cell r="G747" t="str">
            <v>PHYACTION V</v>
          </cell>
          <cell r="H747" t="str">
            <v>71941</v>
          </cell>
          <cell r="I747" t="str">
            <v>ANNUALLY</v>
          </cell>
          <cell r="J747">
            <v>45868</v>
          </cell>
          <cell r="K747"/>
          <cell r="L747"/>
          <cell r="M747"/>
          <cell r="N747" t="str">
            <v>JABATAN REHABILITASI</v>
          </cell>
          <cell r="O747" t="str">
            <v>Jabatan Perubatan Rehabilitasi</v>
          </cell>
        </row>
        <row r="748">
          <cell r="D748" t="str">
            <v>KKM/JKN/HSA/10-05-01/H/15/2734</v>
          </cell>
          <cell r="E748" t="str">
            <v>DYNAMOMETER</v>
          </cell>
          <cell r="F748" t="str">
            <v>BASELINE CORP</v>
          </cell>
          <cell r="G748" t="str">
            <v>BL-500</v>
          </cell>
          <cell r="H748">
            <v>74202338</v>
          </cell>
          <cell r="I748" t="str">
            <v>ANNUALLY</v>
          </cell>
          <cell r="J748">
            <v>45882</v>
          </cell>
          <cell r="K748"/>
          <cell r="L748"/>
          <cell r="M748"/>
          <cell r="N748" t="str">
            <v>JABATAN REHABILITASI</v>
          </cell>
          <cell r="O748" t="str">
            <v>Jabatan Perubatan Rehabilitasi</v>
          </cell>
        </row>
        <row r="749">
          <cell r="D749" t="str">
            <v>KKM/JKN/HSA/10-05-01/H/15/2735</v>
          </cell>
          <cell r="E749" t="str">
            <v>DYNAMOMETER</v>
          </cell>
          <cell r="F749" t="str">
            <v>BASELINE CORP</v>
          </cell>
          <cell r="G749" t="str">
            <v>BL-500</v>
          </cell>
          <cell r="H749">
            <v>74202341</v>
          </cell>
          <cell r="I749" t="str">
            <v>ANNUALLY</v>
          </cell>
          <cell r="J749">
            <v>45882</v>
          </cell>
          <cell r="K749"/>
          <cell r="L749"/>
          <cell r="M749"/>
          <cell r="N749" t="str">
            <v>JABATAN REHABILITASI</v>
          </cell>
          <cell r="O749" t="str">
            <v>Jabatan Perubatan Rehabilitasi</v>
          </cell>
        </row>
        <row r="750">
          <cell r="D750" t="str">
            <v>KKM/JKN/HSA/10-05-01/H/15/2757</v>
          </cell>
          <cell r="E750" t="str">
            <v>ELECTROTHERAPY BIOFEEDBACK</v>
          </cell>
          <cell r="F750" t="str">
            <v>GYMNA UNIPHY</v>
          </cell>
          <cell r="G750" t="str">
            <v>MYO 200 / PC</v>
          </cell>
          <cell r="H750" t="str">
            <v>67371</v>
          </cell>
          <cell r="I750" t="str">
            <v>SEMI ANNUALLY</v>
          </cell>
          <cell r="J750">
            <v>46038</v>
          </cell>
          <cell r="K750">
            <v>46218</v>
          </cell>
          <cell r="L750"/>
          <cell r="M750"/>
          <cell r="N750" t="str">
            <v>JABATAN REHABILITASI</v>
          </cell>
          <cell r="O750" t="str">
            <v>Jabatan Perubatan Rehabilitasi</v>
          </cell>
        </row>
        <row r="751">
          <cell r="D751" t="str">
            <v>KKM/JKN/HSA/10-05-01/H/15/36</v>
          </cell>
          <cell r="E751" t="str">
            <v>SHOCKWAVE THERAPY UNIT</v>
          </cell>
          <cell r="F751" t="str">
            <v>GYMNA UNIPHY</v>
          </cell>
          <cell r="G751" t="str">
            <v>SHOCKMASTER 500</v>
          </cell>
          <cell r="H751" t="str">
            <v>4140900</v>
          </cell>
          <cell r="I751" t="str">
            <v>ANNUALLY</v>
          </cell>
          <cell r="J751">
            <v>45874</v>
          </cell>
          <cell r="K751"/>
          <cell r="L751"/>
          <cell r="M751"/>
          <cell r="N751" t="str">
            <v>JABATAN REHABILITASI</v>
          </cell>
          <cell r="O751" t="str">
            <v>Jabatan Perubatan Rehabilitasi</v>
          </cell>
        </row>
        <row r="752">
          <cell r="D752" t="str">
            <v>KKM/JKN/HSA/10-05-01/H/15/420</v>
          </cell>
          <cell r="E752" t="str">
            <v>ULTRASOUND NEUROMUSCULAR STIMULATORS</v>
          </cell>
          <cell r="F752" t="str">
            <v>GYMNA UNIPHY</v>
          </cell>
          <cell r="G752" t="str">
            <v>COMBI 200</v>
          </cell>
          <cell r="H752" t="str">
            <v>71650/70199</v>
          </cell>
          <cell r="I752" t="str">
            <v>ANNUALLY</v>
          </cell>
          <cell r="J752">
            <v>45874</v>
          </cell>
          <cell r="K752"/>
          <cell r="L752"/>
          <cell r="M752"/>
          <cell r="N752" t="str">
            <v>JABATAN REHABILITASI</v>
          </cell>
          <cell r="O752" t="str">
            <v>Jabatan Perubatan Rehabilitasi</v>
          </cell>
        </row>
        <row r="753">
          <cell r="D753" t="str">
            <v>KKM/JKN/HSA/10-05-01/H/15/425</v>
          </cell>
          <cell r="E753" t="str">
            <v>MACHINE CPM SHOULDER (PE 0043 N)</v>
          </cell>
          <cell r="F753" t="str">
            <v>ORTHOLOGIC</v>
          </cell>
          <cell r="G753" t="str">
            <v>WAVEFLEX (6000X)</v>
          </cell>
          <cell r="H753" t="str">
            <v>H6KX 40134</v>
          </cell>
          <cell r="I753" t="str">
            <v>ANNUALLY</v>
          </cell>
          <cell r="J753">
            <v>45874</v>
          </cell>
          <cell r="K753"/>
          <cell r="L753"/>
          <cell r="M753"/>
          <cell r="N753" t="str">
            <v>JABATAN REHABILITASI</v>
          </cell>
          <cell r="O753" t="str">
            <v>Jabatan Perubatan Rehabilitasi</v>
          </cell>
        </row>
        <row r="754">
          <cell r="D754" t="str">
            <v>KKM/JKN/HSA/10-05-01/H/15/955</v>
          </cell>
          <cell r="E754" t="str">
            <v>ULTRASOUND SYSTEM</v>
          </cell>
          <cell r="F754" t="str">
            <v>GYMNA UNIPHY</v>
          </cell>
          <cell r="G754" t="str">
            <v>PULSON 200</v>
          </cell>
          <cell r="H754" t="str">
            <v>71407</v>
          </cell>
          <cell r="I754" t="str">
            <v>ANNUALLY</v>
          </cell>
          <cell r="J754">
            <v>45790</v>
          </cell>
          <cell r="K754"/>
          <cell r="L754"/>
          <cell r="M754"/>
          <cell r="N754" t="str">
            <v>JABATAN REHABILITASI</v>
          </cell>
          <cell r="O754" t="str">
            <v>Jabatan Perubatan Rehabilitasi</v>
          </cell>
        </row>
        <row r="755">
          <cell r="D755" t="str">
            <v>KKM/JKN/HSA/10-05-01/H/15/956</v>
          </cell>
          <cell r="E755" t="str">
            <v>ULTRASOUND SYSTEM</v>
          </cell>
          <cell r="F755" t="str">
            <v>GYMNA UNIPHY</v>
          </cell>
          <cell r="G755" t="str">
            <v>PULSON 200</v>
          </cell>
          <cell r="H755" t="str">
            <v>71406</v>
          </cell>
          <cell r="I755" t="str">
            <v>ANNUALLY</v>
          </cell>
          <cell r="J755">
            <v>45790</v>
          </cell>
          <cell r="K755"/>
          <cell r="L755"/>
          <cell r="M755"/>
          <cell r="N755" t="str">
            <v>JABATAN REHABILITASI</v>
          </cell>
          <cell r="O755" t="str">
            <v>Jabatan Perubatan Rehabilitasi</v>
          </cell>
        </row>
        <row r="756">
          <cell r="D756" t="str">
            <v>KKM/JKN/HSA/10-05-01/H/15/957</v>
          </cell>
          <cell r="E756" t="str">
            <v>VITALOGRAPH SPIROMETER</v>
          </cell>
          <cell r="F756" t="str">
            <v>VITALOGRAPH</v>
          </cell>
          <cell r="G756" t="str">
            <v>6000 ALPHA</v>
          </cell>
          <cell r="H756" t="str">
            <v>AL29076</v>
          </cell>
          <cell r="I756" t="str">
            <v>ANNUALLY</v>
          </cell>
          <cell r="J756">
            <v>45790</v>
          </cell>
          <cell r="K756"/>
          <cell r="L756"/>
          <cell r="M756"/>
          <cell r="N756" t="str">
            <v>JABATAN REHABILITASI</v>
          </cell>
          <cell r="O756" t="str">
            <v>Jabatan Perubatan Rehabilitasi</v>
          </cell>
        </row>
        <row r="757">
          <cell r="D757" t="str">
            <v>KKM/JKN/HSA/10-05-01/H/15/966</v>
          </cell>
          <cell r="E757" t="str">
            <v>SHORT WAVE DIATHERMY</v>
          </cell>
          <cell r="F757" t="str">
            <v>GYMNA UNIPHY</v>
          </cell>
          <cell r="G757" t="str">
            <v>THERMATUR 200</v>
          </cell>
          <cell r="H757" t="str">
            <v>2008082</v>
          </cell>
          <cell r="I757" t="str">
            <v>ANNUALLY</v>
          </cell>
          <cell r="J757">
            <v>45874</v>
          </cell>
          <cell r="K757"/>
          <cell r="L757"/>
          <cell r="M757"/>
          <cell r="N757" t="str">
            <v>JABATAN REHABILITASI</v>
          </cell>
          <cell r="O757" t="str">
            <v>Jabatan Perubatan Rehabilitasi</v>
          </cell>
        </row>
        <row r="758">
          <cell r="D758" t="str">
            <v>KKM/JKN/HSA/10-05-01/H/15/967</v>
          </cell>
          <cell r="E758" t="str">
            <v>SHORT WAVE DIATHERMY</v>
          </cell>
          <cell r="F758" t="str">
            <v>GYMNA UNIPHY</v>
          </cell>
          <cell r="G758" t="str">
            <v>THERMATUR 200</v>
          </cell>
          <cell r="H758" t="str">
            <v>2008081</v>
          </cell>
          <cell r="I758" t="str">
            <v>ANNUALLY</v>
          </cell>
          <cell r="J758">
            <v>45874</v>
          </cell>
          <cell r="K758"/>
          <cell r="L758"/>
          <cell r="M758"/>
          <cell r="N758" t="str">
            <v>JABATAN REHABILITASI</v>
          </cell>
          <cell r="O758" t="str">
            <v>Jabatan Perubatan Rehabilitasi</v>
          </cell>
        </row>
        <row r="759">
          <cell r="D759" t="str">
            <v>KKM/JKN/HSA/10-05-01/H/15/969</v>
          </cell>
          <cell r="E759" t="str">
            <v>VITALOGRAPH SPIROMETER</v>
          </cell>
          <cell r="F759" t="str">
            <v>SCHILLER</v>
          </cell>
          <cell r="G759" t="str">
            <v>PC SPIRO SP-260 USB</v>
          </cell>
          <cell r="H759" t="str">
            <v>527.01214</v>
          </cell>
          <cell r="I759" t="str">
            <v>ANNUALLY</v>
          </cell>
          <cell r="J759">
            <v>45722</v>
          </cell>
          <cell r="K759"/>
          <cell r="L759"/>
          <cell r="M759"/>
          <cell r="N759" t="str">
            <v>JABATAN REHABILITASI</v>
          </cell>
          <cell r="O759" t="str">
            <v>Jabatan Perubatan Rehabilitasi</v>
          </cell>
        </row>
        <row r="760">
          <cell r="D760" t="str">
            <v>KKM/JKN/HSA/10-05-01/H/15/973</v>
          </cell>
          <cell r="E760" t="str">
            <v>VITALOGRAPH SPIROMETER</v>
          </cell>
          <cell r="F760" t="str">
            <v>SCHILLER</v>
          </cell>
          <cell r="G760" t="str">
            <v>SPIROVIT SP-1</v>
          </cell>
          <cell r="H760" t="str">
            <v>540.12364</v>
          </cell>
          <cell r="I760" t="str">
            <v>ANNUALLY</v>
          </cell>
          <cell r="J760">
            <v>45770</v>
          </cell>
          <cell r="K760"/>
          <cell r="L760"/>
          <cell r="M760"/>
          <cell r="N760" t="str">
            <v>JABATAN REHABILITASI</v>
          </cell>
          <cell r="O760" t="str">
            <v>Jabatan Perubatan Rehabilitasi</v>
          </cell>
        </row>
        <row r="761">
          <cell r="D761" t="str">
            <v>KKM/JKN/HSA/10-05-01/H/16/139</v>
          </cell>
          <cell r="E761" t="str">
            <v>AERO UPPERCYCLE</v>
          </cell>
          <cell r="F761" t="str">
            <v>MOTOMED</v>
          </cell>
          <cell r="G761" t="str">
            <v>VIVA2 LIGHT</v>
          </cell>
          <cell r="H761" t="str">
            <v>C45VM2004081</v>
          </cell>
          <cell r="I761" t="str">
            <v>ANNUALLY</v>
          </cell>
          <cell r="J761">
            <v>45854</v>
          </cell>
          <cell r="K761"/>
          <cell r="L761"/>
          <cell r="M761"/>
          <cell r="N761" t="str">
            <v>JABATAN REHABILITASI</v>
          </cell>
          <cell r="O761" t="str">
            <v>Jabatan Perubatan Rehabilitasi</v>
          </cell>
        </row>
        <row r="762">
          <cell r="D762" t="str">
            <v>KKM/JKN/HSA/10-05-01/R/15/16749</v>
          </cell>
          <cell r="E762" t="str">
            <v>STIMULATOR TRANSCUTANEOUS NERVE</v>
          </cell>
          <cell r="F762" t="str">
            <v>ELPHA II 3000</v>
          </cell>
          <cell r="G762" t="str">
            <v>ELPHA II 3000</v>
          </cell>
          <cell r="H762">
            <v>2014080476</v>
          </cell>
          <cell r="I762" t="str">
            <v>ANNUALLY</v>
          </cell>
          <cell r="J762">
            <v>45917</v>
          </cell>
          <cell r="K762"/>
          <cell r="L762"/>
          <cell r="M762"/>
          <cell r="N762" t="str">
            <v>JABATAN REHABILITASI</v>
          </cell>
          <cell r="O762" t="str">
            <v>Jabatan Perubatan Rehabilitasi</v>
          </cell>
        </row>
        <row r="763">
          <cell r="D763" t="str">
            <v>KKM/JKN/HSA/10-05-01/R/15/16750</v>
          </cell>
          <cell r="E763" t="str">
            <v>TENS UNIT</v>
          </cell>
          <cell r="F763" t="str">
            <v>FH SERVICE</v>
          </cell>
          <cell r="G763" t="str">
            <v>ELPHA II 3000</v>
          </cell>
          <cell r="H763" t="str">
            <v>2014080476</v>
          </cell>
          <cell r="I763" t="str">
            <v>ANNUALLY</v>
          </cell>
          <cell r="J763">
            <v>45727</v>
          </cell>
          <cell r="K763"/>
          <cell r="L763"/>
          <cell r="M763"/>
          <cell r="N763" t="str">
            <v>JABATAN REHABILITASI</v>
          </cell>
          <cell r="O763" t="str">
            <v>Jabatan Perubatan Rehabilitasi</v>
          </cell>
        </row>
        <row r="764">
          <cell r="D764" t="str">
            <v>KKM/JKN/HSA/10-05-01/H/20/256</v>
          </cell>
          <cell r="E764" t="str">
            <v>SPOT VITAL SIGN (NIBP)</v>
          </cell>
          <cell r="F764" t="str">
            <v>EDAN</v>
          </cell>
          <cell r="G764" t="str">
            <v>M3A</v>
          </cell>
          <cell r="H764" t="str">
            <v>M20606900004</v>
          </cell>
          <cell r="I764" t="str">
            <v>ANNUALLY</v>
          </cell>
          <cell r="J764">
            <v>45690</v>
          </cell>
          <cell r="K764"/>
          <cell r="L764"/>
          <cell r="M764"/>
          <cell r="N764" t="str">
            <v>JABATAN REHABILITASI</v>
          </cell>
          <cell r="O764" t="str">
            <v>Jabatan Perubatan Rehabilitasi</v>
          </cell>
        </row>
        <row r="765">
          <cell r="D765" t="str">
            <v>KKM/JKN/HSA/10-05-01/H/15/5074</v>
          </cell>
          <cell r="E765" t="str">
            <v>POLISHING UNIT</v>
          </cell>
          <cell r="F765" t="str">
            <v>DENTAL FARM</v>
          </cell>
          <cell r="G765" t="str">
            <v>SHINE A5201</v>
          </cell>
          <cell r="H765" t="str">
            <v>N/A</v>
          </cell>
          <cell r="I765" t="str">
            <v>ANNUALLY</v>
          </cell>
          <cell r="J765">
            <v>45966</v>
          </cell>
          <cell r="K765"/>
          <cell r="L765"/>
          <cell r="M765"/>
          <cell r="N765" t="str">
            <v>JABATAN BEDAH MULUT</v>
          </cell>
          <cell r="O765" t="str">
            <v>Klinik Bedah Mulut &amp; Klinik Pergigian Pediatrik</v>
          </cell>
        </row>
        <row r="766">
          <cell r="D766" t="str">
            <v>KKM/JKN/HSA/10-05-01/H/15/4024</v>
          </cell>
          <cell r="E766" t="str">
            <v>WATER DISTILLER</v>
          </cell>
          <cell r="F766" t="str">
            <v>NUVE</v>
          </cell>
          <cell r="G766" t="str">
            <v>ND 12 WATER DISTILLER</v>
          </cell>
          <cell r="H766" t="str">
            <v>N/A</v>
          </cell>
          <cell r="I766" t="str">
            <v>ANNUALLY</v>
          </cell>
          <cell r="J766">
            <v>45822</v>
          </cell>
          <cell r="K766"/>
          <cell r="L766"/>
          <cell r="M766"/>
          <cell r="N766" t="str">
            <v>JABATAN PATOLOGI</v>
          </cell>
          <cell r="O766" t="str">
            <v>Klinik Bedah Mulut &amp; Klinik Pergigian Pediatrik</v>
          </cell>
        </row>
        <row r="767">
          <cell r="D767" t="str">
            <v>KKM/JKN/HSA/10-05-01/H/15/4214</v>
          </cell>
          <cell r="E767" t="str">
            <v>HANDPIECE MAINTENANCE EQUIPMENT</v>
          </cell>
          <cell r="F767" t="str">
            <v>W&amp;H DENTAL WERK</v>
          </cell>
          <cell r="G767" t="str">
            <v>ASSISTINA 3 X 3</v>
          </cell>
          <cell r="H767" t="str">
            <v>01313</v>
          </cell>
          <cell r="I767" t="str">
            <v>ANNUALLY</v>
          </cell>
          <cell r="J767">
            <v>45896</v>
          </cell>
          <cell r="K767"/>
          <cell r="L767"/>
          <cell r="M767"/>
          <cell r="N767" t="str">
            <v>JABATAN BEDAH MULUT</v>
          </cell>
          <cell r="O767" t="str">
            <v>Klinik Bedah Mulut &amp; Klinik Pergigian Pediatrik</v>
          </cell>
        </row>
        <row r="768">
          <cell r="D768" t="str">
            <v>KKM/JKN/HSA/10-05-01/H/15/4215</v>
          </cell>
          <cell r="E768" t="str">
            <v>ARTICULATOR W/MAGNET AND FACE BOW</v>
          </cell>
          <cell r="F768" t="str">
            <v>PRODONT HOLLIGER</v>
          </cell>
          <cell r="G768">
            <v>2530</v>
          </cell>
          <cell r="H768" t="str">
            <v xml:space="preserve">DL0055-N </v>
          </cell>
          <cell r="I768" t="str">
            <v>ANNUALLY</v>
          </cell>
          <cell r="J768">
            <v>45896</v>
          </cell>
          <cell r="K768"/>
          <cell r="L768"/>
          <cell r="M768"/>
          <cell r="N768" t="str">
            <v>JABATAN BEDAH MULUT</v>
          </cell>
          <cell r="O768" t="str">
            <v>Klinik Bedah Mulut &amp; Klinik Pergigian Pediatrik</v>
          </cell>
        </row>
        <row r="769">
          <cell r="D769" t="str">
            <v>KKM/JKN/HSA/10-05-01/H/15/4216</v>
          </cell>
          <cell r="E769" t="str">
            <v>ARTICULATOR W/MAGNET AND FACE BOW</v>
          </cell>
          <cell r="F769" t="str">
            <v>PRODONT HOLLIGER</v>
          </cell>
          <cell r="G769">
            <v>2530</v>
          </cell>
          <cell r="H769" t="str">
            <v>DL0055-N</v>
          </cell>
          <cell r="I769" t="str">
            <v>ANNUALLY</v>
          </cell>
          <cell r="J769">
            <v>45896</v>
          </cell>
          <cell r="K769"/>
          <cell r="L769"/>
          <cell r="M769"/>
          <cell r="N769" t="str">
            <v>JABATAN BEDAH MULUT</v>
          </cell>
          <cell r="O769" t="str">
            <v>Klinik Bedah Mulut &amp; Klinik Pergigian Pediatrik</v>
          </cell>
        </row>
        <row r="770">
          <cell r="D770" t="str">
            <v>KKM/JKN/HSA/10-05-01/H/15/4218</v>
          </cell>
          <cell r="E770" t="str">
            <v>PRISM LOUPE OPERATING</v>
          </cell>
          <cell r="F770" t="str">
            <v>HEINA</v>
          </cell>
          <cell r="G770" t="str">
            <v xml:space="preserve">HRP LOUPE </v>
          </cell>
          <cell r="H770" t="str">
            <v>N/A</v>
          </cell>
          <cell r="I770" t="str">
            <v>ANNUALLY</v>
          </cell>
          <cell r="J770">
            <v>45896</v>
          </cell>
          <cell r="K770"/>
          <cell r="L770"/>
          <cell r="M770"/>
          <cell r="N770" t="str">
            <v>JABATAN BEDAH MULUT</v>
          </cell>
          <cell r="O770" t="str">
            <v>Klinik Bedah Mulut &amp; Klinik Pergigian Pediatrik</v>
          </cell>
        </row>
        <row r="771">
          <cell r="D771" t="str">
            <v>KKM/JKN/HSA/10-05-01/H/15/4886</v>
          </cell>
          <cell r="E771" t="str">
            <v>CENTRAL SUCTION (DENTAL)</v>
          </cell>
          <cell r="F771" t="str">
            <v>DURR DENTAL AG</v>
          </cell>
          <cell r="G771" t="str">
            <v xml:space="preserve"> V 3000</v>
          </cell>
          <cell r="H771" t="str">
            <v>D244658001</v>
          </cell>
          <cell r="I771" t="str">
            <v>ANNUALLY</v>
          </cell>
          <cell r="J771">
            <v>45770</v>
          </cell>
          <cell r="K771"/>
          <cell r="L771"/>
          <cell r="M771"/>
          <cell r="N771" t="str">
            <v>JABATAN BEDAH MULUT</v>
          </cell>
          <cell r="O771" t="str">
            <v>Klinik Bedah Mulut &amp; Klinik Pergigian Pediatrik</v>
          </cell>
        </row>
        <row r="772">
          <cell r="D772" t="str">
            <v>KKM/JKN/HSA/10-05-01/H/19/2</v>
          </cell>
          <cell r="E772" t="str">
            <v>APEX LOCATOR</v>
          </cell>
          <cell r="F772" t="str">
            <v>WOODPECKER/WOODPEX III PRO</v>
          </cell>
          <cell r="G772" t="str">
            <v>N/A</v>
          </cell>
          <cell r="H772" t="str">
            <v>R1811844W3</v>
          </cell>
          <cell r="I772" t="str">
            <v>ANNUALLY</v>
          </cell>
          <cell r="J772">
            <v>46010</v>
          </cell>
          <cell r="K772"/>
          <cell r="L772"/>
          <cell r="M772"/>
          <cell r="N772" t="str">
            <v>JABATAN BEDAH MULUT</v>
          </cell>
          <cell r="O772" t="str">
            <v>Klinik Bedah Mulut &amp; Klinik Pergigian Pediatrik</v>
          </cell>
        </row>
        <row r="773">
          <cell r="D773" t="str">
            <v>KKM/JKN/HSA/10-05-01/H/19/4</v>
          </cell>
          <cell r="E773" t="str">
            <v>VASCULAR DOPPLER</v>
          </cell>
          <cell r="F773" t="str">
            <v>BISTRO KOREA</v>
          </cell>
          <cell r="G773" t="str">
            <v>BT200</v>
          </cell>
          <cell r="H773" t="str">
            <v>CAK401-48</v>
          </cell>
          <cell r="I773" t="str">
            <v>ANNUALLY</v>
          </cell>
          <cell r="J773">
            <v>45870</v>
          </cell>
          <cell r="K773"/>
          <cell r="L773"/>
          <cell r="M773"/>
          <cell r="N773" t="str">
            <v>JABATAN BEDAH MULUT</v>
          </cell>
          <cell r="O773" t="str">
            <v>Klinik Bedah Mulut &amp; Klinik Pergigian Pediatrik</v>
          </cell>
        </row>
        <row r="774">
          <cell r="D774" t="str">
            <v>KKM/JKN/HSA/10-05-01/R/15/15058</v>
          </cell>
          <cell r="E774" t="str">
            <v>VIBRATOR UNIT</v>
          </cell>
          <cell r="F774" t="str">
            <v>DENTAL FARM</v>
          </cell>
          <cell r="G774" t="str">
            <v>MIMIEPORT A0125</v>
          </cell>
          <cell r="H774" t="str">
            <v>N/A</v>
          </cell>
          <cell r="I774" t="str">
            <v>ANNUALLY</v>
          </cell>
          <cell r="J774">
            <v>45905</v>
          </cell>
          <cell r="K774"/>
          <cell r="L774"/>
          <cell r="M774"/>
          <cell r="N774" t="str">
            <v>JABATAN BEDAH MULUT</v>
          </cell>
          <cell r="O774" t="str">
            <v>Klinik Bedah Mulut &amp; Klinik Pergigian Pediatrik</v>
          </cell>
        </row>
        <row r="775">
          <cell r="D775" t="str">
            <v>KKM/JKN/HSA/10-05-01/R/15/15059</v>
          </cell>
          <cell r="E775" t="str">
            <v>WAX POT</v>
          </cell>
          <cell r="F775" t="str">
            <v>DENTAL FARM</v>
          </cell>
          <cell r="G775" t="str">
            <v>A6012</v>
          </cell>
          <cell r="H775" t="str">
            <v>N/A</v>
          </cell>
          <cell r="I775" t="str">
            <v>ANNUALLY</v>
          </cell>
          <cell r="J775">
            <v>45905</v>
          </cell>
          <cell r="K775"/>
          <cell r="L775"/>
          <cell r="M775"/>
          <cell r="N775" t="str">
            <v>JABATAN BEDAH MULUT</v>
          </cell>
          <cell r="O775" t="str">
            <v>Klinik Bedah Mulut &amp; Klinik Pergigian Pediatrik</v>
          </cell>
        </row>
        <row r="776">
          <cell r="D776" t="str">
            <v>KKM/JKN/HSA/10-05-01/R/15/17209</v>
          </cell>
          <cell r="E776" t="str">
            <v>LOUPE BINOCULAR</v>
          </cell>
          <cell r="F776" t="str">
            <v>NEITZ</v>
          </cell>
          <cell r="G776" t="str">
            <v>N/A</v>
          </cell>
          <cell r="H776" t="str">
            <v>N/A</v>
          </cell>
          <cell r="I776" t="str">
            <v>ANNUALLY</v>
          </cell>
          <cell r="J776">
            <v>45883</v>
          </cell>
          <cell r="K776"/>
          <cell r="L776"/>
          <cell r="M776"/>
          <cell r="N776" t="str">
            <v>JABATAN BEDAH MULUT</v>
          </cell>
          <cell r="O776" t="str">
            <v>Klinik Bedah Mulut &amp; Klinik Pergigian Pediatrik</v>
          </cell>
        </row>
        <row r="777">
          <cell r="D777" t="str">
            <v>KKM/JKN/HSA/10-05-01/R/15/7395</v>
          </cell>
          <cell r="E777" t="str">
            <v>DIAGNOSTIC SET ADULT</v>
          </cell>
          <cell r="F777" t="str">
            <v>RUDOLF RIESTER, GMBH</v>
          </cell>
          <cell r="G777" t="str">
            <v>RI-SCOPE ENT 3761</v>
          </cell>
          <cell r="H777" t="str">
            <v>N/A</v>
          </cell>
          <cell r="I777" t="str">
            <v>ANNUALLY</v>
          </cell>
          <cell r="J777">
            <v>45770</v>
          </cell>
          <cell r="K777"/>
          <cell r="L777"/>
          <cell r="M777"/>
          <cell r="N777" t="str">
            <v>JABATAN BEDAH MULUT</v>
          </cell>
          <cell r="O777" t="str">
            <v>Klinik Bedah Mulut &amp; Klinik Pergigian Pediatrik</v>
          </cell>
        </row>
        <row r="778">
          <cell r="D778" t="str">
            <v>KKM/JKN/HSA/10-05-01/R/15/7396</v>
          </cell>
          <cell r="E778" t="str">
            <v>DIAGNOSTIC SET ADULT</v>
          </cell>
          <cell r="F778" t="str">
            <v>RUDOLF RIESTER, GMBH</v>
          </cell>
          <cell r="G778" t="str">
            <v>RI-SCOPE ENT 3761</v>
          </cell>
          <cell r="H778" t="str">
            <v>N/A</v>
          </cell>
          <cell r="I778" t="str">
            <v>ANNUALLY</v>
          </cell>
          <cell r="J778">
            <v>45770</v>
          </cell>
          <cell r="K778"/>
          <cell r="L778"/>
          <cell r="M778"/>
          <cell r="N778" t="str">
            <v>JABATAN BEDAH MULUT</v>
          </cell>
          <cell r="O778" t="str">
            <v>Klinik Bedah Mulut &amp; Klinik Pergigian Pediatrik</v>
          </cell>
        </row>
        <row r="779">
          <cell r="D779" t="str">
            <v>KKM/JKN/HSA/10-05-01/H/14/3</v>
          </cell>
          <cell r="E779" t="str">
            <v>ALAT PENYUNTIK TUMESCENT ANESTESIA</v>
          </cell>
          <cell r="F779" t="str">
            <v>THE WAND</v>
          </cell>
          <cell r="G779" t="str">
            <v>STA-5520</v>
          </cell>
          <cell r="H779" t="str">
            <v>Q14070012232</v>
          </cell>
          <cell r="I779" t="str">
            <v>ANNUALLY</v>
          </cell>
          <cell r="J779">
            <v>45911</v>
          </cell>
          <cell r="K779"/>
          <cell r="L779"/>
          <cell r="M779"/>
          <cell r="N779" t="str">
            <v>JABATAN BEDAH MULUT</v>
          </cell>
          <cell r="O779" t="str">
            <v>Klinik Bedah Mulut &amp; Klinik Pergigian Pediatrik</v>
          </cell>
        </row>
        <row r="780">
          <cell r="D780" t="str">
            <v>KKM/JKN/HSA/10-05-01/H/15/1026</v>
          </cell>
          <cell r="E780" t="str">
            <v>PATIENT MONITORING EQUIP.(AUTOMATIC MULTIPARAMETER)</v>
          </cell>
          <cell r="F780" t="str">
            <v>WELCH ALLYN</v>
          </cell>
          <cell r="G780" t="str">
            <v>WELCH ALLYN VSM 300</v>
          </cell>
          <cell r="H780" t="str">
            <v>JA123485</v>
          </cell>
          <cell r="I780" t="str">
            <v>ANNUALLY</v>
          </cell>
          <cell r="J780">
            <v>45799</v>
          </cell>
          <cell r="K780"/>
          <cell r="L780"/>
          <cell r="M780"/>
          <cell r="N780" t="str">
            <v>JABATAN BEDAH MULUT</v>
          </cell>
          <cell r="O780" t="str">
            <v>Klinik Bedah Mulut &amp; Klinik Pergigian Pediatrik</v>
          </cell>
        </row>
        <row r="781">
          <cell r="D781" t="str">
            <v>KKM/JKN/HSA/10-05-01/H/15/1089</v>
          </cell>
          <cell r="E781" t="str">
            <v>DENTAL X-RAY CHAIR</v>
          </cell>
          <cell r="F781" t="str">
            <v>JORG &amp; SOHN</v>
          </cell>
          <cell r="G781" t="str">
            <v>COBURY RAY-O-SEAT 4045U</v>
          </cell>
          <cell r="H781" t="str">
            <v>N/A</v>
          </cell>
          <cell r="I781" t="str">
            <v>ANNUALLY</v>
          </cell>
          <cell r="J781">
            <v>45713</v>
          </cell>
          <cell r="K781"/>
          <cell r="L781"/>
          <cell r="M781"/>
          <cell r="N781" t="str">
            <v>JABATAN BEDAH MULUT</v>
          </cell>
          <cell r="O781" t="str">
            <v>Klinik Bedah Mulut &amp; Klinik Pergigian Pediatrik</v>
          </cell>
        </row>
        <row r="782">
          <cell r="D782" t="str">
            <v>KKM/JKN/HSA/10-05-01/H/15/1118</v>
          </cell>
          <cell r="E782" t="str">
            <v xml:space="preserve">DENTAL CHAIR </v>
          </cell>
          <cell r="F782" t="str">
            <v>RAF SYNERGY</v>
          </cell>
          <cell r="G782" t="str">
            <v>TAURUS SANTE</v>
          </cell>
          <cell r="H782" t="str">
            <v>SOC1408016</v>
          </cell>
          <cell r="I782" t="str">
            <v>ANNUALLY</v>
          </cell>
          <cell r="J782">
            <v>45995</v>
          </cell>
          <cell r="K782"/>
          <cell r="L782"/>
          <cell r="M782"/>
          <cell r="N782" t="str">
            <v>JABATAN BEDAH MULUT</v>
          </cell>
          <cell r="O782" t="str">
            <v>Klinik Bedah Mulut &amp; Klinik Pergigian Pediatrik</v>
          </cell>
        </row>
        <row r="783">
          <cell r="D783" t="str">
            <v>KKM/JKN/HSA/10-05-01/H/15/1119</v>
          </cell>
          <cell r="E783" t="str">
            <v xml:space="preserve">DENTAL CHAIR </v>
          </cell>
          <cell r="F783" t="str">
            <v>RAF SYNERGY</v>
          </cell>
          <cell r="G783" t="str">
            <v>TAURUS SANTE</v>
          </cell>
          <cell r="H783" t="str">
            <v>SOC1408015</v>
          </cell>
          <cell r="I783" t="str">
            <v>ANNUALLY</v>
          </cell>
          <cell r="J783">
            <v>45995</v>
          </cell>
          <cell r="K783"/>
          <cell r="L783"/>
          <cell r="M783"/>
          <cell r="N783" t="str">
            <v>JABATAN BEDAH MULUT</v>
          </cell>
          <cell r="O783" t="str">
            <v>Klinik Bedah Mulut &amp; Klinik Pergigian Pediatrik</v>
          </cell>
        </row>
        <row r="784">
          <cell r="D784" t="str">
            <v>KKM/JKN/HSA/10-05-01/H/15/1120</v>
          </cell>
          <cell r="E784" t="str">
            <v xml:space="preserve">DENTAL CHAIR </v>
          </cell>
          <cell r="F784" t="str">
            <v>RAF SYNERGY</v>
          </cell>
          <cell r="G784" t="str">
            <v>TAURUS SANTE</v>
          </cell>
          <cell r="H784" t="str">
            <v>SOC1408019</v>
          </cell>
          <cell r="I784" t="str">
            <v>ANNUALLY</v>
          </cell>
          <cell r="J784">
            <v>45995</v>
          </cell>
          <cell r="K784"/>
          <cell r="L784"/>
          <cell r="M784"/>
          <cell r="N784" t="str">
            <v>JABATAN BEDAH MULUT</v>
          </cell>
          <cell r="O784" t="str">
            <v>Klinik Bedah Mulut &amp; Klinik Pergigian Pediatrik</v>
          </cell>
        </row>
        <row r="785">
          <cell r="D785" t="str">
            <v>KKM/JKN/HSA/10-05-01/H/15/1121</v>
          </cell>
          <cell r="E785" t="str">
            <v xml:space="preserve">DENTAL CHAIR </v>
          </cell>
          <cell r="F785" t="str">
            <v>RAF SYNERGY</v>
          </cell>
          <cell r="G785" t="str">
            <v>TAURUS SANTE</v>
          </cell>
          <cell r="H785" t="str">
            <v>SOC1408020</v>
          </cell>
          <cell r="I785" t="str">
            <v>ANNUALLY</v>
          </cell>
          <cell r="J785">
            <v>45995</v>
          </cell>
          <cell r="K785"/>
          <cell r="L785"/>
          <cell r="M785"/>
          <cell r="N785" t="str">
            <v>JABATAN BEDAH MULUT</v>
          </cell>
          <cell r="O785" t="str">
            <v>Klinik Bedah Mulut &amp; Klinik Pergigian Pediatrik</v>
          </cell>
        </row>
        <row r="786">
          <cell r="D786" t="str">
            <v>KKM/JKN/HSA/10-05-01/H/15/1122</v>
          </cell>
          <cell r="E786" t="str">
            <v xml:space="preserve">DENTAL CHAIR </v>
          </cell>
          <cell r="F786" t="str">
            <v>RAF SYNERGY</v>
          </cell>
          <cell r="G786" t="str">
            <v>TAURUS SANTE</v>
          </cell>
          <cell r="H786" t="str">
            <v>SOC1408022</v>
          </cell>
          <cell r="I786" t="str">
            <v>ANNUALLY</v>
          </cell>
          <cell r="J786">
            <v>45995</v>
          </cell>
          <cell r="K786"/>
          <cell r="L786"/>
          <cell r="M786"/>
          <cell r="N786" t="str">
            <v>JABATAN BEDAH MULUT</v>
          </cell>
          <cell r="O786" t="str">
            <v>Klinik Bedah Mulut &amp; Klinik Pergigian Pediatrik</v>
          </cell>
        </row>
        <row r="787">
          <cell r="D787" t="str">
            <v>KKM/JKN/HSA/10-05-01/H/15/1123</v>
          </cell>
          <cell r="E787" t="str">
            <v xml:space="preserve">DENTAL CHAIR </v>
          </cell>
          <cell r="F787" t="str">
            <v>RAF SYNERGY</v>
          </cell>
          <cell r="G787" t="str">
            <v>TAURUS SANTE</v>
          </cell>
          <cell r="H787" t="str">
            <v>SOC1408017</v>
          </cell>
          <cell r="I787" t="str">
            <v>ANNUALLY</v>
          </cell>
          <cell r="J787">
            <v>45995</v>
          </cell>
          <cell r="K787"/>
          <cell r="L787"/>
          <cell r="M787"/>
          <cell r="N787" t="str">
            <v>JABATAN BEDAH MULUT</v>
          </cell>
          <cell r="O787" t="str">
            <v>Klinik Bedah Mulut &amp; Klinik Pergigian Pediatrik</v>
          </cell>
        </row>
        <row r="788">
          <cell r="D788" t="str">
            <v>KKM/JKN/HSA/10-05-01/H/15/1124</v>
          </cell>
          <cell r="E788" t="str">
            <v xml:space="preserve">DENTAL CHAIR </v>
          </cell>
          <cell r="F788" t="str">
            <v>RAF SYNERGY</v>
          </cell>
          <cell r="G788" t="str">
            <v>TAURUS SANTE</v>
          </cell>
          <cell r="H788" t="str">
            <v>SOC1408021</v>
          </cell>
          <cell r="I788" t="str">
            <v>ANNUALLY</v>
          </cell>
          <cell r="J788">
            <v>45995</v>
          </cell>
          <cell r="K788"/>
          <cell r="L788"/>
          <cell r="M788"/>
          <cell r="N788" t="str">
            <v>JABATAN BEDAH MULUT</v>
          </cell>
          <cell r="O788" t="str">
            <v>Klinik Bedah Mulut &amp; Klinik Pergigian Pediatrik</v>
          </cell>
        </row>
        <row r="789">
          <cell r="D789" t="str">
            <v>KKM/JKN/HSA/10-05-01/H/15/1129</v>
          </cell>
          <cell r="E789" t="str">
            <v>SUCTION APPARATUS</v>
          </cell>
          <cell r="F789" t="str">
            <v>OHIO</v>
          </cell>
          <cell r="G789" t="str">
            <v>ALLIED HEALTHCARE/ 01-23-3840</v>
          </cell>
          <cell r="H789" t="str">
            <v>GFHT60022</v>
          </cell>
          <cell r="I789" t="str">
            <v>ANNUALLY</v>
          </cell>
          <cell r="J789">
            <v>45770</v>
          </cell>
          <cell r="K789"/>
          <cell r="L789"/>
          <cell r="M789"/>
          <cell r="N789" t="str">
            <v>JABATAN BEDAH MULUT</v>
          </cell>
          <cell r="O789" t="str">
            <v>Klinik Bedah Mulut &amp; Klinik Pergigian Pediatrik</v>
          </cell>
        </row>
        <row r="790">
          <cell r="D790" t="str">
            <v>KKM/JKN/HSA/10-05-01/H/15/1161</v>
          </cell>
          <cell r="E790" t="str">
            <v>LOUPES MOUNTEDON</v>
          </cell>
          <cell r="F790" t="str">
            <v>HEINA</v>
          </cell>
          <cell r="G790" t="str">
            <v>HRP LOUPE (VARIOUS)</v>
          </cell>
          <cell r="H790" t="str">
            <v>1060009174</v>
          </cell>
          <cell r="I790" t="str">
            <v>ANNUALLY</v>
          </cell>
          <cell r="J790">
            <v>45799</v>
          </cell>
          <cell r="K790"/>
          <cell r="L790"/>
          <cell r="M790"/>
          <cell r="N790" t="str">
            <v>JABATAN BEDAH MULUT</v>
          </cell>
          <cell r="O790" t="str">
            <v>Klinik Bedah Mulut &amp; Klinik Pergigian Pediatrik</v>
          </cell>
        </row>
        <row r="791">
          <cell r="D791" t="str">
            <v>KKM/JKN/HSA/10-05-01/H/15/1162</v>
          </cell>
          <cell r="E791" t="str">
            <v>LOUPES MOUNTEDON</v>
          </cell>
          <cell r="F791" t="str">
            <v>HEINA</v>
          </cell>
          <cell r="G791" t="str">
            <v>HRP LOUPE (VARIOUS)</v>
          </cell>
          <cell r="H791" t="str">
            <v>N/A</v>
          </cell>
          <cell r="I791" t="str">
            <v>ANNUALLY</v>
          </cell>
          <cell r="J791">
            <v>45799</v>
          </cell>
          <cell r="K791"/>
          <cell r="L791"/>
          <cell r="M791"/>
          <cell r="N791" t="str">
            <v>JABATAN BEDAH MULUT</v>
          </cell>
          <cell r="O791" t="str">
            <v>Klinik Bedah Mulut &amp; Klinik Pergigian Pediatrik</v>
          </cell>
        </row>
        <row r="792">
          <cell r="D792" t="str">
            <v>KKM/JKN/HSA/10-05-01/H/15/1489</v>
          </cell>
          <cell r="E792" t="str">
            <v xml:space="preserve">DENTAL CHAIR </v>
          </cell>
          <cell r="F792" t="str">
            <v>RAF SYNERGY</v>
          </cell>
          <cell r="G792" t="str">
            <v>TAURUS G2</v>
          </cell>
          <cell r="H792" t="str">
            <v>GOC1300545</v>
          </cell>
          <cell r="I792" t="str">
            <v>ANNUALLY</v>
          </cell>
          <cell r="J792">
            <v>45995</v>
          </cell>
          <cell r="K792"/>
          <cell r="L792"/>
          <cell r="M792"/>
          <cell r="N792" t="str">
            <v>JABATAN BEDAH MULUT</v>
          </cell>
          <cell r="O792" t="str">
            <v>Klinik Bedah Mulut &amp; Klinik Pergigian Pediatrik</v>
          </cell>
        </row>
        <row r="793">
          <cell r="D793" t="str">
            <v>KKM/JKN/HSA/10-05-01/H/15/1490</v>
          </cell>
          <cell r="E793" t="str">
            <v xml:space="preserve">DENTAL CHAIR </v>
          </cell>
          <cell r="F793" t="str">
            <v>RAF SYNERGY</v>
          </cell>
          <cell r="G793" t="str">
            <v>TAURUS G2</v>
          </cell>
          <cell r="H793" t="str">
            <v>GOC1300546</v>
          </cell>
          <cell r="I793" t="str">
            <v>ANNUALLY</v>
          </cell>
          <cell r="J793">
            <v>45995</v>
          </cell>
          <cell r="K793"/>
          <cell r="L793"/>
          <cell r="M793"/>
          <cell r="N793" t="str">
            <v>JABATAN BEDAH MULUT</v>
          </cell>
          <cell r="O793" t="str">
            <v>Klinik Bedah Mulut &amp; Klinik Pergigian Pediatrik</v>
          </cell>
        </row>
        <row r="794">
          <cell r="D794" t="str">
            <v>KKM/JKN/HSA/10-05-01/H/15/1491</v>
          </cell>
          <cell r="E794" t="str">
            <v xml:space="preserve">DENTAL CHAIR </v>
          </cell>
          <cell r="F794" t="str">
            <v>RAF SYNERGY</v>
          </cell>
          <cell r="G794" t="str">
            <v>TAURUS G2</v>
          </cell>
          <cell r="H794" t="str">
            <v>GOC1300544</v>
          </cell>
          <cell r="I794" t="str">
            <v>ANNUALLY</v>
          </cell>
          <cell r="J794">
            <v>45995</v>
          </cell>
          <cell r="K794"/>
          <cell r="L794"/>
          <cell r="M794"/>
          <cell r="N794" t="str">
            <v>JABATAN BEDAH MULUT</v>
          </cell>
          <cell r="O794" t="str">
            <v>Klinik Bedah Mulut &amp; Klinik Pergigian Pediatrik</v>
          </cell>
        </row>
        <row r="795">
          <cell r="D795" t="str">
            <v>KKM/JKN/HSA/10-05-01/H/15/1660</v>
          </cell>
          <cell r="E795" t="str">
            <v>DENTAL ELECTROSURGERY SET</v>
          </cell>
          <cell r="F795" t="str">
            <v>SATELEC</v>
          </cell>
          <cell r="G795" t="str">
            <v>SERVETOME G11</v>
          </cell>
          <cell r="H795" t="str">
            <v>207797011</v>
          </cell>
          <cell r="I795" t="str">
            <v>ANNUALLY</v>
          </cell>
          <cell r="J795">
            <v>46038</v>
          </cell>
          <cell r="K795"/>
          <cell r="L795"/>
          <cell r="M795"/>
          <cell r="N795" t="str">
            <v>JABATAN BEDAH MULUT</v>
          </cell>
          <cell r="O795" t="str">
            <v>Klinik Bedah Mulut &amp; Klinik Pergigian Pediatrik</v>
          </cell>
        </row>
        <row r="796">
          <cell r="D796" t="str">
            <v>KKM/JKN/HSA/10-05-01/H/15/1661</v>
          </cell>
          <cell r="E796" t="str">
            <v>MODEL SURVEYOR</v>
          </cell>
          <cell r="F796" t="str">
            <v>DENTAL FARM</v>
          </cell>
          <cell r="G796">
            <v>2530</v>
          </cell>
          <cell r="H796" t="str">
            <v>N/A</v>
          </cell>
          <cell r="I796" t="str">
            <v>ANNUALLY</v>
          </cell>
          <cell r="J796">
            <v>46038</v>
          </cell>
          <cell r="K796"/>
          <cell r="L796"/>
          <cell r="M796"/>
          <cell r="N796" t="str">
            <v>JABATAN BEDAH MULUT</v>
          </cell>
          <cell r="O796" t="str">
            <v>Klinik Bedah Mulut &amp; Klinik Pergigian Pediatrik</v>
          </cell>
        </row>
        <row r="797">
          <cell r="D797" t="str">
            <v>KKM/JKN/HSA/10-05-01/H/15/1663</v>
          </cell>
          <cell r="E797" t="str">
            <v>DENTAL IMPLANT SYSTEM</v>
          </cell>
          <cell r="F797" t="str">
            <v xml:space="preserve"> BIOHORIZONS</v>
          </cell>
          <cell r="G797" t="str">
            <v>VARIOUS</v>
          </cell>
          <cell r="H797" t="str">
            <v>IR0042016-00-07</v>
          </cell>
          <cell r="I797" t="str">
            <v>ANNUALLY</v>
          </cell>
          <cell r="J797">
            <v>46037</v>
          </cell>
          <cell r="K797"/>
          <cell r="L797"/>
          <cell r="M797"/>
          <cell r="N797" t="str">
            <v>JABATAN BEDAH MULUT</v>
          </cell>
          <cell r="O797" t="str">
            <v>Klinik Bedah Mulut &amp; Klinik Pergigian Pediatrik</v>
          </cell>
        </row>
        <row r="798">
          <cell r="D798" t="str">
            <v>KKM/JKN/HSA/10-05-01/H/15/1664</v>
          </cell>
          <cell r="E798" t="str">
            <v>DENTAL IMPLANT SYSTEM</v>
          </cell>
          <cell r="F798" t="str">
            <v xml:space="preserve"> BIOHORIZONS</v>
          </cell>
          <cell r="G798" t="str">
            <v>VARIOUS</v>
          </cell>
          <cell r="H798" t="str">
            <v>IR0042016-00-06</v>
          </cell>
          <cell r="I798" t="str">
            <v>ANNUALLY</v>
          </cell>
          <cell r="J798">
            <v>46037</v>
          </cell>
          <cell r="K798"/>
          <cell r="L798"/>
          <cell r="M798"/>
          <cell r="N798" t="str">
            <v>JABATAN BEDAH MULUT</v>
          </cell>
          <cell r="O798" t="str">
            <v>Klinik Bedah Mulut &amp; Klinik Pergigian Pediatrik</v>
          </cell>
        </row>
        <row r="799">
          <cell r="D799" t="str">
            <v>KKM/JKN/HSA/10-05-01/H/15/1701</v>
          </cell>
          <cell r="E799" t="str">
            <v>DENTAL CURING LIGHT</v>
          </cell>
          <cell r="F799" t="str">
            <v>KERR SYBRON DENTAL</v>
          </cell>
          <cell r="G799" t="str">
            <v>DEMI PLUS</v>
          </cell>
          <cell r="H799" t="str">
            <v>760050671</v>
          </cell>
          <cell r="I799" t="str">
            <v>ANNUALLY</v>
          </cell>
          <cell r="J799">
            <v>46037</v>
          </cell>
          <cell r="K799"/>
          <cell r="L799"/>
          <cell r="M799"/>
          <cell r="N799" t="str">
            <v>JABATAN BEDAH MULUT</v>
          </cell>
          <cell r="O799" t="str">
            <v>Klinik Bedah Mulut &amp; Klinik Pergigian Pediatrik</v>
          </cell>
        </row>
        <row r="800">
          <cell r="D800" t="str">
            <v>KKM/JKN/HSA/10-05-01/H/15/1702</v>
          </cell>
          <cell r="E800" t="str">
            <v>DENTAL CURING LIGHT</v>
          </cell>
          <cell r="F800" t="str">
            <v>KERR SYBRON DENTAL</v>
          </cell>
          <cell r="G800" t="str">
            <v>DEMI PLUS</v>
          </cell>
          <cell r="H800" t="str">
            <v>760050758</v>
          </cell>
          <cell r="I800" t="str">
            <v>ANNUALLY</v>
          </cell>
          <cell r="J800">
            <v>46037</v>
          </cell>
          <cell r="K800"/>
          <cell r="L800"/>
          <cell r="M800"/>
          <cell r="N800" t="str">
            <v>JABATAN BEDAH MULUT</v>
          </cell>
          <cell r="O800" t="str">
            <v>Klinik Bedah Mulut &amp; Klinik Pergigian Pediatrik</v>
          </cell>
        </row>
        <row r="801">
          <cell r="D801" t="str">
            <v>KKM/JKN/HSA/10-05-01/H/15/1703</v>
          </cell>
          <cell r="E801" t="str">
            <v>DENTAL CURING LIGHT</v>
          </cell>
          <cell r="F801" t="str">
            <v>KERR SYBRON DENTAL</v>
          </cell>
          <cell r="G801" t="str">
            <v>DEMI PLUS</v>
          </cell>
          <cell r="H801" t="str">
            <v>760050697</v>
          </cell>
          <cell r="I801" t="str">
            <v>ANNUALLY</v>
          </cell>
          <cell r="J801">
            <v>46037</v>
          </cell>
          <cell r="K801"/>
          <cell r="L801"/>
          <cell r="M801"/>
          <cell r="N801" t="str">
            <v>JABATAN BEDAH MULUT</v>
          </cell>
          <cell r="O801" t="str">
            <v>Klinik Bedah Mulut &amp; Klinik Pergigian Pediatrik</v>
          </cell>
        </row>
        <row r="802">
          <cell r="D802" t="str">
            <v>KKM/JKN/HSA/10-05-01/H/15/1704</v>
          </cell>
          <cell r="E802" t="str">
            <v>DENTAL CURING LIGHT</v>
          </cell>
          <cell r="F802" t="str">
            <v>KERR SYBRON DENTAL</v>
          </cell>
          <cell r="G802" t="str">
            <v>DEMI PLUS</v>
          </cell>
          <cell r="H802" t="str">
            <v>760050759</v>
          </cell>
          <cell r="I802" t="str">
            <v>ANNUALLY</v>
          </cell>
          <cell r="J802">
            <v>46037</v>
          </cell>
          <cell r="K802"/>
          <cell r="L802"/>
          <cell r="M802"/>
          <cell r="N802" t="str">
            <v>JABATAN BEDAH MULUT</v>
          </cell>
          <cell r="O802" t="str">
            <v>Klinik Bedah Mulut &amp; Klinik Pergigian Pediatrik</v>
          </cell>
        </row>
        <row r="803">
          <cell r="D803" t="str">
            <v>KKM/JKN/HSA/10-05-01/H/15/1705</v>
          </cell>
          <cell r="E803" t="str">
            <v>DENTAL CURING LIGHT</v>
          </cell>
          <cell r="F803" t="str">
            <v>KERR SYBRON DENTAL</v>
          </cell>
          <cell r="G803" t="str">
            <v>DEMI PLUS</v>
          </cell>
          <cell r="H803" t="str">
            <v>760050760</v>
          </cell>
          <cell r="I803" t="str">
            <v>ANNUALLY</v>
          </cell>
          <cell r="J803">
            <v>46037</v>
          </cell>
          <cell r="K803"/>
          <cell r="L803"/>
          <cell r="M803"/>
          <cell r="N803" t="str">
            <v>JABATAN BEDAH MULUT</v>
          </cell>
          <cell r="O803" t="str">
            <v>Klinik Bedah Mulut &amp; Klinik Pergigian Pediatrik</v>
          </cell>
        </row>
        <row r="804">
          <cell r="D804" t="str">
            <v>KKM/JKN/HSA/10-05-01/H/15/1706</v>
          </cell>
          <cell r="E804" t="str">
            <v>DENTAL CURING LIGHT</v>
          </cell>
          <cell r="F804" t="str">
            <v>KERR SYBRON DENTAL</v>
          </cell>
          <cell r="G804" t="str">
            <v>DEMI PLUS</v>
          </cell>
          <cell r="H804" t="str">
            <v>6092251</v>
          </cell>
          <cell r="I804" t="str">
            <v>ANNUALLY</v>
          </cell>
          <cell r="J804">
            <v>46037</v>
          </cell>
          <cell r="K804"/>
          <cell r="L804"/>
          <cell r="M804"/>
          <cell r="N804" t="str">
            <v>JABATAN BEDAH MULUT</v>
          </cell>
          <cell r="O804" t="str">
            <v>Klinik Bedah Mulut &amp; Klinik Pergigian Pediatrik</v>
          </cell>
        </row>
        <row r="805">
          <cell r="D805" t="str">
            <v>KKM/JKN/HSA/10-05-01/H/15/1707</v>
          </cell>
          <cell r="E805" t="str">
            <v>DENTAL CURING LIGHT</v>
          </cell>
          <cell r="F805" t="str">
            <v>KERR SYBRON DENTAL</v>
          </cell>
          <cell r="G805" t="str">
            <v>DEMI PLUS</v>
          </cell>
          <cell r="H805" t="str">
            <v>760050699</v>
          </cell>
          <cell r="I805" t="str">
            <v>ANNUALLY</v>
          </cell>
          <cell r="J805">
            <v>45961</v>
          </cell>
          <cell r="K805"/>
          <cell r="L805"/>
          <cell r="M805"/>
          <cell r="N805" t="str">
            <v>JABATAN BEDAH MULUT</v>
          </cell>
          <cell r="O805" t="str">
            <v>Klinik Bedah Mulut &amp; Klinik Pergigian Pediatrik</v>
          </cell>
        </row>
        <row r="806">
          <cell r="D806" t="str">
            <v>KKM/JKN/HSA/10-05-01/H/15/1708</v>
          </cell>
          <cell r="E806" t="str">
            <v>DENTAL CURING LIGHT</v>
          </cell>
          <cell r="F806" t="str">
            <v>KERR SYBRON DENTAL</v>
          </cell>
          <cell r="G806" t="str">
            <v>DEMI PLUS</v>
          </cell>
          <cell r="H806" t="str">
            <v>760050604</v>
          </cell>
          <cell r="I806" t="str">
            <v>ANNUALLY</v>
          </cell>
          <cell r="J806">
            <v>45961</v>
          </cell>
          <cell r="K806"/>
          <cell r="L806"/>
          <cell r="M806"/>
          <cell r="N806" t="str">
            <v>JABATAN BEDAH MULUT</v>
          </cell>
          <cell r="O806" t="str">
            <v>Klinik Bedah Mulut &amp; Klinik Pergigian Pediatrik</v>
          </cell>
        </row>
        <row r="807">
          <cell r="D807" t="str">
            <v>KKM/JKN/HSA/10-05-01/H/15/1709</v>
          </cell>
          <cell r="E807" t="str">
            <v>DENTAL CURING LIGHT</v>
          </cell>
          <cell r="F807" t="str">
            <v>KERR SYBRON DENTAL</v>
          </cell>
          <cell r="G807" t="str">
            <v>DEMI PLUS</v>
          </cell>
          <cell r="H807" t="str">
            <v>760050674</v>
          </cell>
          <cell r="I807" t="str">
            <v>ANNUALLY</v>
          </cell>
          <cell r="J807">
            <v>45961</v>
          </cell>
          <cell r="K807"/>
          <cell r="L807"/>
          <cell r="M807"/>
          <cell r="N807" t="str">
            <v>JABATAN BEDAH MULUT</v>
          </cell>
          <cell r="O807" t="str">
            <v>Klinik Bedah Mulut &amp; Klinik Pergigian Pediatrik</v>
          </cell>
        </row>
        <row r="808">
          <cell r="D808" t="str">
            <v>KKM/JKN/HSA/10-05-01/H/15/1710</v>
          </cell>
          <cell r="E808" t="str">
            <v>DENTAL CURING LIGHT</v>
          </cell>
          <cell r="F808" t="str">
            <v>KERR SYBRON DENTAL</v>
          </cell>
          <cell r="G808" t="str">
            <v>DEMI PLUS</v>
          </cell>
          <cell r="H808" t="str">
            <v>760050675</v>
          </cell>
          <cell r="I808" t="str">
            <v>ANNUALLY</v>
          </cell>
          <cell r="J808">
            <v>45961</v>
          </cell>
          <cell r="K808"/>
          <cell r="L808"/>
          <cell r="M808"/>
          <cell r="N808" t="str">
            <v>JABATAN BEDAH MULUT</v>
          </cell>
          <cell r="O808" t="str">
            <v>Klinik Bedah Mulut &amp; Klinik Pergigian Pediatrik</v>
          </cell>
        </row>
        <row r="809">
          <cell r="D809" t="str">
            <v>KKM/JKN/HSA/10-05-01/H/15/2045</v>
          </cell>
          <cell r="E809" t="str">
            <v>APEX LOCATOR</v>
          </cell>
          <cell r="F809" t="str">
            <v>PARKELL</v>
          </cell>
          <cell r="G809" t="str">
            <v>FARAMATRON D10</v>
          </cell>
          <cell r="H809" t="str">
            <v>05207527</v>
          </cell>
          <cell r="I809" t="str">
            <v>ANNUALLY</v>
          </cell>
          <cell r="J809">
            <v>46038</v>
          </cell>
          <cell r="K809"/>
          <cell r="L809"/>
          <cell r="M809"/>
          <cell r="N809" t="str">
            <v>JABATAN BEDAH MULUT</v>
          </cell>
          <cell r="O809" t="str">
            <v>Klinik Bedah Mulut &amp; Klinik Pergigian Pediatrik</v>
          </cell>
        </row>
        <row r="810">
          <cell r="D810" t="str">
            <v>KKM/JKN/HSA/10-05-01/H/15/2046</v>
          </cell>
          <cell r="E810" t="str">
            <v>APEX LOCATOR</v>
          </cell>
          <cell r="F810" t="str">
            <v>PARKELL</v>
          </cell>
          <cell r="G810" t="str">
            <v>FARAMATRON D10</v>
          </cell>
          <cell r="H810" t="str">
            <v>05X09571</v>
          </cell>
          <cell r="I810" t="str">
            <v>ANNUALLY</v>
          </cell>
          <cell r="J810">
            <v>46002</v>
          </cell>
          <cell r="K810"/>
          <cell r="L810"/>
          <cell r="M810"/>
          <cell r="N810" t="str">
            <v>JABATAN BEDAH MULUT</v>
          </cell>
          <cell r="O810" t="str">
            <v>Klinik Bedah Mulut &amp; Klinik Pergigian Pediatrik</v>
          </cell>
        </row>
        <row r="811">
          <cell r="D811" t="str">
            <v>KKM/JKN/HSA/10-05-01/H/15/2549</v>
          </cell>
          <cell r="E811" t="str">
            <v>PROCESSOR FILM DENTAL</v>
          </cell>
          <cell r="F811" t="str">
            <v>KAVO</v>
          </cell>
          <cell r="G811" t="str">
            <v>KAVO SCAN EXAM</v>
          </cell>
          <cell r="H811" t="str">
            <v>KJ1210473</v>
          </cell>
          <cell r="I811" t="str">
            <v>SEMI ANNUALLY</v>
          </cell>
          <cell r="J811">
            <v>45703</v>
          </cell>
          <cell r="K811">
            <v>45883</v>
          </cell>
          <cell r="L811"/>
          <cell r="M811"/>
          <cell r="N811" t="str">
            <v>JABATAN BEDAH MULUT</v>
          </cell>
          <cell r="O811" t="str">
            <v>Klinik Bedah Mulut &amp; Klinik Pergigian Pediatrik</v>
          </cell>
        </row>
        <row r="812">
          <cell r="D812" t="str">
            <v>KKM/JKN/HSA/10-05-01/H/15/3564</v>
          </cell>
          <cell r="E812" t="str">
            <v>AMALGAMATOR EQUIPMENT</v>
          </cell>
          <cell r="F812" t="str">
            <v>SATELEC</v>
          </cell>
          <cell r="G812" t="str">
            <v>N/A</v>
          </cell>
          <cell r="H812" t="str">
            <v>123527</v>
          </cell>
          <cell r="I812" t="str">
            <v>ANNUALLY</v>
          </cell>
          <cell r="J812">
            <v>45799</v>
          </cell>
          <cell r="K812"/>
          <cell r="L812"/>
          <cell r="M812"/>
          <cell r="N812" t="str">
            <v>JABATAN BEDAH MULUT</v>
          </cell>
          <cell r="O812" t="str">
            <v>Klinik Bedah Mulut &amp; Klinik Pergigian Pediatrik</v>
          </cell>
        </row>
        <row r="813">
          <cell r="D813" t="str">
            <v>KKM/JKN/HSA/10-05-01/H/15/3565</v>
          </cell>
          <cell r="E813" t="str">
            <v>AMALGAMATOR EQUIPMENT</v>
          </cell>
          <cell r="F813" t="str">
            <v>SATELEC</v>
          </cell>
          <cell r="G813" t="str">
            <v>ULTRAMAT 2</v>
          </cell>
          <cell r="H813" t="str">
            <v>123998</v>
          </cell>
          <cell r="I813" t="str">
            <v>ANNUALLY</v>
          </cell>
          <cell r="J813">
            <v>45800</v>
          </cell>
          <cell r="K813"/>
          <cell r="L813"/>
          <cell r="M813"/>
          <cell r="N813" t="str">
            <v>JABATAN BEDAH MULUT</v>
          </cell>
          <cell r="O813" t="str">
            <v>Klinik Bedah Mulut &amp; Klinik Pergigian Pediatrik</v>
          </cell>
        </row>
        <row r="814">
          <cell r="D814" t="str">
            <v>KKM/JKN/HSA/10-05-01/H/15/3566</v>
          </cell>
          <cell r="E814" t="str">
            <v>AMALGAMATOR EQUIPMENT</v>
          </cell>
          <cell r="F814" t="str">
            <v>SATELEC</v>
          </cell>
          <cell r="G814" t="str">
            <v>ULTRAMAT 2</v>
          </cell>
          <cell r="H814" t="str">
            <v>123521</v>
          </cell>
          <cell r="I814" t="str">
            <v>ANNUALLY</v>
          </cell>
          <cell r="J814">
            <v>45800</v>
          </cell>
          <cell r="K814"/>
          <cell r="L814"/>
          <cell r="M814"/>
          <cell r="N814" t="str">
            <v>JABATAN BEDAH MULUT</v>
          </cell>
          <cell r="O814" t="str">
            <v>Klinik Bedah Mulut &amp; Klinik Pergigian Pediatrik</v>
          </cell>
        </row>
        <row r="815">
          <cell r="D815" t="str">
            <v>KKM/JKN/HSA/10-05-01/H/15/3567</v>
          </cell>
          <cell r="E815" t="str">
            <v>AMALGAMATOR EQUIPMENT</v>
          </cell>
          <cell r="F815" t="str">
            <v>SATELEC</v>
          </cell>
          <cell r="G815" t="str">
            <v>ULTRAMAT 2</v>
          </cell>
          <cell r="H815" t="str">
            <v>128086</v>
          </cell>
          <cell r="I815" t="str">
            <v>ANNUALLY</v>
          </cell>
          <cell r="J815">
            <v>45800</v>
          </cell>
          <cell r="K815"/>
          <cell r="L815"/>
          <cell r="M815"/>
          <cell r="N815" t="str">
            <v>JABATAN BEDAH MULUT</v>
          </cell>
          <cell r="O815" t="str">
            <v>Klinik Bedah Mulut &amp; Klinik Pergigian Pediatrik</v>
          </cell>
        </row>
        <row r="816">
          <cell r="D816" t="str">
            <v>KKM/JKN/HSA/10-05-01/H/15/3568</v>
          </cell>
          <cell r="E816" t="str">
            <v>AMALGAMATOR EQUIPMENT</v>
          </cell>
          <cell r="F816" t="str">
            <v>SATELEC</v>
          </cell>
          <cell r="G816" t="str">
            <v>ULTRAMAT 2</v>
          </cell>
          <cell r="H816" t="str">
            <v>123525</v>
          </cell>
          <cell r="I816" t="str">
            <v>ANNUALLY</v>
          </cell>
          <cell r="J816">
            <v>45800</v>
          </cell>
          <cell r="K816"/>
          <cell r="L816"/>
          <cell r="M816"/>
          <cell r="N816" t="str">
            <v>JABATAN BEDAH MULUT</v>
          </cell>
          <cell r="O816" t="str">
            <v>Klinik Bedah Mulut &amp; Klinik Pergigian Pediatrik</v>
          </cell>
        </row>
        <row r="817">
          <cell r="D817" t="str">
            <v>KKM/JKN/HSA/10-05-01/H/15/3569</v>
          </cell>
          <cell r="E817" t="str">
            <v>AMALGAMATOR EQUIPMENT</v>
          </cell>
          <cell r="F817" t="str">
            <v>SATELEC</v>
          </cell>
          <cell r="G817" t="str">
            <v>ULTRAMAT 2</v>
          </cell>
          <cell r="H817" t="str">
            <v>128094</v>
          </cell>
          <cell r="I817" t="str">
            <v>ANNUALLY</v>
          </cell>
          <cell r="J817">
            <v>45801</v>
          </cell>
          <cell r="K817"/>
          <cell r="L817"/>
          <cell r="M817"/>
          <cell r="N817" t="str">
            <v>JABATAN BEDAH MULUT</v>
          </cell>
          <cell r="O817" t="str">
            <v>Klinik Bedah Mulut &amp; Klinik Pergigian Pediatrik</v>
          </cell>
        </row>
        <row r="818">
          <cell r="D818" t="str">
            <v>KKM/JKN/HSA/10-05-01/H/15/3570</v>
          </cell>
          <cell r="E818" t="str">
            <v>AMALGAMATOR EQUIPMENT</v>
          </cell>
          <cell r="F818" t="str">
            <v>SATELEC</v>
          </cell>
          <cell r="G818" t="str">
            <v>ULTRAMAT 2</v>
          </cell>
          <cell r="H818" t="str">
            <v>123995</v>
          </cell>
          <cell r="I818" t="str">
            <v>ANNUALLY</v>
          </cell>
          <cell r="J818">
            <v>45801</v>
          </cell>
          <cell r="K818"/>
          <cell r="L818"/>
          <cell r="M818"/>
          <cell r="N818" t="str">
            <v>JABATAN BEDAH MULUT</v>
          </cell>
          <cell r="O818" t="str">
            <v>Klinik Bedah Mulut &amp; Klinik Pergigian Pediatrik</v>
          </cell>
        </row>
        <row r="819">
          <cell r="D819" t="str">
            <v>KKM/JKN/HSA/10-05-01/H/15/3571</v>
          </cell>
          <cell r="E819" t="str">
            <v>AMALGAMATOR EQUIPMENT</v>
          </cell>
          <cell r="F819" t="str">
            <v>SATELEC</v>
          </cell>
          <cell r="G819" t="str">
            <v>ULTRAMAT 2</v>
          </cell>
          <cell r="H819" t="str">
            <v>123996</v>
          </cell>
          <cell r="I819" t="str">
            <v>ANNUALLY</v>
          </cell>
          <cell r="J819">
            <v>45801</v>
          </cell>
          <cell r="K819"/>
          <cell r="L819"/>
          <cell r="M819"/>
          <cell r="N819" t="str">
            <v>JABATAN BEDAH MULUT</v>
          </cell>
          <cell r="O819" t="str">
            <v>Klinik Bedah Mulut &amp; Klinik Pergigian Pediatrik</v>
          </cell>
        </row>
        <row r="820">
          <cell r="D820" t="str">
            <v>KKM/JKN/HSA/10-05-01/H/15/3572</v>
          </cell>
          <cell r="E820" t="str">
            <v>AMALGAMATOR EQUIPMENT</v>
          </cell>
          <cell r="F820" t="str">
            <v>SATELEC</v>
          </cell>
          <cell r="G820" t="str">
            <v>ULTRAMAT 2</v>
          </cell>
          <cell r="H820" t="str">
            <v>123526</v>
          </cell>
          <cell r="I820" t="str">
            <v>ANNUALLY</v>
          </cell>
          <cell r="J820">
            <v>45801</v>
          </cell>
          <cell r="K820"/>
          <cell r="L820"/>
          <cell r="M820"/>
          <cell r="N820" t="str">
            <v>JABATAN BEDAH MULUT</v>
          </cell>
          <cell r="O820" t="str">
            <v>Klinik Bedah Mulut &amp; Klinik Pergigian Pediatrik</v>
          </cell>
        </row>
        <row r="821">
          <cell r="D821" t="str">
            <v>KKM/JKN/HSA/10-05-01/H/15/3573</v>
          </cell>
          <cell r="E821" t="str">
            <v>AMALGAMATOR EQUIPMENT</v>
          </cell>
          <cell r="F821" t="str">
            <v>SATELEC</v>
          </cell>
          <cell r="G821" t="str">
            <v>ULTRAMAT 2</v>
          </cell>
          <cell r="H821" t="str">
            <v>123524</v>
          </cell>
          <cell r="I821" t="str">
            <v>ANNUALLY</v>
          </cell>
          <cell r="J821">
            <v>45802</v>
          </cell>
          <cell r="K821"/>
          <cell r="L821"/>
          <cell r="M821"/>
          <cell r="N821" t="str">
            <v>JABATAN BEDAH MULUT</v>
          </cell>
          <cell r="O821" t="str">
            <v>Klinik Bedah Mulut &amp; Klinik Pergigian Pediatrik</v>
          </cell>
        </row>
        <row r="822">
          <cell r="D822" t="str">
            <v>KKM/JKN/HSA/10-05-01/H/15/3574</v>
          </cell>
          <cell r="E822" t="str">
            <v>HEADLIGHTS</v>
          </cell>
          <cell r="F822" t="str">
            <v>HEINE</v>
          </cell>
          <cell r="G822" t="str">
            <v>XENON 1000</v>
          </cell>
          <cell r="H822" t="str">
            <v>1190000203</v>
          </cell>
          <cell r="I822" t="str">
            <v>ANNUALLY</v>
          </cell>
          <cell r="J822">
            <v>45887</v>
          </cell>
          <cell r="K822"/>
          <cell r="L822"/>
          <cell r="M822"/>
          <cell r="N822" t="str">
            <v>JABATAN BEDAH MULUT</v>
          </cell>
          <cell r="O822" t="str">
            <v>Klinik Bedah Mulut &amp; Klinik Pergigian Pediatrik</v>
          </cell>
        </row>
        <row r="823">
          <cell r="D823" t="str">
            <v>KKM/JKN/HSA/10-05-01/H/15/3575</v>
          </cell>
          <cell r="E823" t="str">
            <v>HEADLIGHTS</v>
          </cell>
          <cell r="F823" t="str">
            <v>HEINE</v>
          </cell>
          <cell r="G823" t="str">
            <v>XENON 1000</v>
          </cell>
          <cell r="H823" t="str">
            <v>1190000204</v>
          </cell>
          <cell r="I823" t="str">
            <v>ANNUALLY</v>
          </cell>
          <cell r="J823">
            <v>45887</v>
          </cell>
          <cell r="K823"/>
          <cell r="L823"/>
          <cell r="M823"/>
          <cell r="N823" t="str">
            <v>JABATAN BEDAH MULUT</v>
          </cell>
          <cell r="O823" t="str">
            <v>Klinik Bedah Mulut &amp; Klinik Pergigian Pediatrik</v>
          </cell>
        </row>
        <row r="824">
          <cell r="D824" t="str">
            <v>KKM/JKN/HSA/10-05-01/H/15/3577</v>
          </cell>
          <cell r="E824" t="str">
            <v>INTRAORAL CAMERA</v>
          </cell>
          <cell r="F824" t="str">
            <v>DURR DENTAL AG</v>
          </cell>
          <cell r="G824" t="str">
            <v>VISTACAM lx</v>
          </cell>
          <cell r="H824" t="str">
            <v>N/A</v>
          </cell>
          <cell r="I824" t="str">
            <v>ANNUALLY</v>
          </cell>
          <cell r="J824">
            <v>45887</v>
          </cell>
          <cell r="K824"/>
          <cell r="L824"/>
          <cell r="M824"/>
          <cell r="N824" t="str">
            <v>JABATAN BEDAH MULUT</v>
          </cell>
          <cell r="O824" t="str">
            <v>Klinik Bedah Mulut &amp; Klinik Pergigian Pediatrik</v>
          </cell>
        </row>
        <row r="825">
          <cell r="D825" t="str">
            <v>KKM/JKN/HSA/10-05-01/H/15/3578</v>
          </cell>
          <cell r="E825" t="str">
            <v>INTRAORAL CAMERA</v>
          </cell>
          <cell r="F825" t="str">
            <v>DURR DENTAL AG</v>
          </cell>
          <cell r="G825" t="str">
            <v>VISTACAM lx</v>
          </cell>
          <cell r="H825" t="str">
            <v>N/A</v>
          </cell>
          <cell r="I825" t="str">
            <v>ANNUALLY</v>
          </cell>
          <cell r="J825">
            <v>45887</v>
          </cell>
          <cell r="K825"/>
          <cell r="L825"/>
          <cell r="M825"/>
          <cell r="N825" t="str">
            <v>JABATAN BEDAH MULUT</v>
          </cell>
          <cell r="O825" t="str">
            <v>Klinik Bedah Mulut &amp; Klinik Pergigian Pediatrik</v>
          </cell>
        </row>
        <row r="826">
          <cell r="D826" t="str">
            <v>KKM/JKN/HSA/10-05-01/H/15/3624</v>
          </cell>
          <cell r="E826" t="str">
            <v>AMALGAMATOR EQUIPMENT</v>
          </cell>
          <cell r="F826" t="str">
            <v>SATELEC</v>
          </cell>
          <cell r="G826" t="str">
            <v>ULTRAMAT 2</v>
          </cell>
          <cell r="H826" t="str">
            <v>123523</v>
          </cell>
          <cell r="I826" t="str">
            <v>ANNUALLY</v>
          </cell>
          <cell r="J826">
            <v>45802</v>
          </cell>
          <cell r="K826"/>
          <cell r="L826"/>
          <cell r="M826"/>
          <cell r="N826" t="str">
            <v>JABATAN BEDAH MULUT</v>
          </cell>
          <cell r="O826" t="str">
            <v>Klinik Bedah Mulut &amp; Klinik Pergigian Pediatrik</v>
          </cell>
        </row>
        <row r="827">
          <cell r="D827" t="str">
            <v>KKM/JKN/HSA/10-05-01/H/15/3682</v>
          </cell>
          <cell r="E827" t="str">
            <v>DEFIBRILLATOR</v>
          </cell>
          <cell r="F827" t="str">
            <v>PHILIPS</v>
          </cell>
          <cell r="G827" t="str">
            <v>EFFICIA DFM100</v>
          </cell>
          <cell r="H827" t="str">
            <v>CN32601413</v>
          </cell>
          <cell r="I827" t="str">
            <v>SEMI ANNUALLY</v>
          </cell>
          <cell r="J827">
            <v>45772</v>
          </cell>
          <cell r="K827">
            <v>45954</v>
          </cell>
          <cell r="L827"/>
          <cell r="M827"/>
          <cell r="N827" t="str">
            <v>JABATAN BEDAH MULUT</v>
          </cell>
          <cell r="O827" t="str">
            <v>Klinik Bedah Mulut &amp; Klinik Pergigian Pediatrik</v>
          </cell>
        </row>
        <row r="828">
          <cell r="D828" t="str">
            <v>KKM/JKN/HSA/10-05-01/H/15/4025</v>
          </cell>
          <cell r="E828" t="str">
            <v>DENTAL LAB EQUIPMENT POLYMERIZATION UNIT ÃƒÂ¢Ã¢â€šÂ¬Ã¢â‚¬Å“ WAPOO MAT</v>
          </cell>
          <cell r="F828" t="str">
            <v>HANDLER MANUFACTURING</v>
          </cell>
          <cell r="G828" t="str">
            <v>2010DCU-E</v>
          </cell>
          <cell r="H828" t="str">
            <v>N/A</v>
          </cell>
          <cell r="I828" t="str">
            <v>ANNUALLY</v>
          </cell>
          <cell r="J828">
            <v>45710</v>
          </cell>
          <cell r="K828"/>
          <cell r="L828"/>
          <cell r="M828"/>
          <cell r="N828" t="str">
            <v>JABATAN BEDAH MULUT</v>
          </cell>
          <cell r="O828" t="str">
            <v>Klinik Bedah Mulut &amp; Klinik Pergigian Pediatrik</v>
          </cell>
        </row>
        <row r="829">
          <cell r="D829" t="str">
            <v>KKM/JKN/HSA/10-05-01/H/15/4026</v>
          </cell>
          <cell r="E829" t="str">
            <v>DENTAL LAB EQUIPMENT POLYMERIZATION UNIT ÃƒÂ¢Ã¢â€šÂ¬Ã¢â‚¬Å“ WAPOO MAT</v>
          </cell>
          <cell r="F829" t="str">
            <v>HANDLER MANUFACTURING</v>
          </cell>
          <cell r="G829" t="str">
            <v>2010DCU-E</v>
          </cell>
          <cell r="H829" t="str">
            <v>N/A</v>
          </cell>
          <cell r="I829" t="str">
            <v>ANNUALLY</v>
          </cell>
          <cell r="J829">
            <v>45710</v>
          </cell>
          <cell r="K829"/>
          <cell r="L829"/>
          <cell r="M829"/>
          <cell r="N829" t="str">
            <v>JABATAN BEDAH MULUT</v>
          </cell>
          <cell r="O829" t="str">
            <v>Klinik Bedah Mulut &amp; Klinik Pergigian Pediatrik</v>
          </cell>
        </row>
        <row r="830">
          <cell r="D830" t="str">
            <v>KKM/JKN/HSA/10-05-01/H/15/4029</v>
          </cell>
          <cell r="E830" t="str">
            <v>DENTAL MODEL TRIMMERS/POLISHING</v>
          </cell>
          <cell r="F830" t="str">
            <v>DENTAL FARM</v>
          </cell>
          <cell r="G830" t="str">
            <v>MT 801</v>
          </cell>
          <cell r="H830" t="str">
            <v>1507-018-003</v>
          </cell>
          <cell r="I830" t="str">
            <v>ANNUALLY</v>
          </cell>
          <cell r="J830">
            <v>45772</v>
          </cell>
          <cell r="K830"/>
          <cell r="L830"/>
          <cell r="M830"/>
          <cell r="N830" t="str">
            <v>JABATAN BEDAH MULUT</v>
          </cell>
          <cell r="O830" t="str">
            <v>Klinik Bedah Mulut &amp; Klinik Pergigian Pediatrik</v>
          </cell>
        </row>
        <row r="831">
          <cell r="D831" t="str">
            <v>KKM/JKN/HSA/10-05-01/H/15/4045</v>
          </cell>
          <cell r="E831" t="str">
            <v>THERMOFORMING MACHINE</v>
          </cell>
          <cell r="F831" t="str">
            <v>ERKODENT</v>
          </cell>
          <cell r="G831" t="str">
            <v>ERKOPRESS 300 TP-CI</v>
          </cell>
          <cell r="H831" t="str">
            <v>549</v>
          </cell>
          <cell r="I831" t="str">
            <v>ANNUALLY</v>
          </cell>
          <cell r="J831">
            <v>45901</v>
          </cell>
          <cell r="K831"/>
          <cell r="L831"/>
          <cell r="M831"/>
          <cell r="N831" t="str">
            <v>JABATAN BEDAH MULUT</v>
          </cell>
          <cell r="O831" t="str">
            <v>Klinik Bedah Mulut &amp; Klinik Pergigian Pediatrik</v>
          </cell>
        </row>
        <row r="832">
          <cell r="D832" t="str">
            <v>KKM/JKN/HSA/10-05-01/H/15/4891</v>
          </cell>
          <cell r="E832" t="str">
            <v>CENTRAL COMPRESSOR (DENTAL)</v>
          </cell>
          <cell r="F832" t="str">
            <v>DURR DENTAL AG</v>
          </cell>
          <cell r="G832" t="str">
            <v>BWB</v>
          </cell>
          <cell r="H832" t="str">
            <v>368737</v>
          </cell>
          <cell r="I832" t="str">
            <v>SEMI ANNUALLY</v>
          </cell>
          <cell r="J832">
            <v>45739</v>
          </cell>
          <cell r="K832">
            <v>45922</v>
          </cell>
          <cell r="L832"/>
          <cell r="M832"/>
          <cell r="N832" t="str">
            <v>JABATAN PENGIMEJAN &amp; DIAGNOSTIK</v>
          </cell>
          <cell r="O832" t="str">
            <v>Klinik Bedah Mulut &amp; Klinik Pergigian Pediatrik</v>
          </cell>
        </row>
        <row r="833">
          <cell r="D833" t="str">
            <v>KKM/JKN/HSA/10-05-01/H/16/100</v>
          </cell>
          <cell r="E833" t="str">
            <v>DENTAL HANDPIECE</v>
          </cell>
          <cell r="F833" t="str">
            <v>CASTELLINI</v>
          </cell>
          <cell r="G833" t="str">
            <v>PUMA ELI</v>
          </cell>
          <cell r="H833" t="str">
            <v>CTJG0319</v>
          </cell>
          <cell r="I833" t="str">
            <v>ANNUALLY</v>
          </cell>
          <cell r="J833">
            <v>45704</v>
          </cell>
          <cell r="K833"/>
          <cell r="L833"/>
          <cell r="M833"/>
          <cell r="N833" t="str">
            <v>JABATAN BEDAH MULUT</v>
          </cell>
          <cell r="O833" t="str">
            <v>Klinik Bedah Mulut &amp; Klinik Pergigian Pediatrik</v>
          </cell>
        </row>
        <row r="834">
          <cell r="D834" t="str">
            <v>KKM/JKN/HSA/10-05-01/H/16/101</v>
          </cell>
          <cell r="E834" t="str">
            <v>DENTAL DELIVERY UNIT ( VACUUM SYSTEM)</v>
          </cell>
          <cell r="F834" t="str">
            <v>CASTELLINI</v>
          </cell>
          <cell r="G834" t="str">
            <v>PUMA ELI</v>
          </cell>
          <cell r="H834" t="str">
            <v>71CD0056</v>
          </cell>
          <cell r="I834" t="str">
            <v>ANNUALLY</v>
          </cell>
          <cell r="J834">
            <v>45704</v>
          </cell>
          <cell r="K834"/>
          <cell r="L834"/>
          <cell r="M834"/>
          <cell r="N834" t="str">
            <v>JABATAN BEDAH MULUT</v>
          </cell>
          <cell r="O834" t="str">
            <v>Klinik Bedah Mulut &amp; Klinik Pergigian Pediatrik</v>
          </cell>
        </row>
        <row r="835">
          <cell r="D835" t="str">
            <v>KKM/JKN/HSA/10-05-01/H/16/102</v>
          </cell>
          <cell r="E835" t="str">
            <v>IMPRESSION MATERIAL MIXER</v>
          </cell>
          <cell r="F835" t="str">
            <v>DENTAMERICA</v>
          </cell>
          <cell r="G835" t="str">
            <v>BLENDEX</v>
          </cell>
          <cell r="H835" t="str">
            <v>G00109</v>
          </cell>
          <cell r="I835" t="str">
            <v>ANNUALLY</v>
          </cell>
          <cell r="J835">
            <v>45930</v>
          </cell>
          <cell r="K835"/>
          <cell r="L835"/>
          <cell r="M835"/>
          <cell r="N835" t="str">
            <v>JABATAN BEDAH MULUT</v>
          </cell>
          <cell r="O835" t="str">
            <v>Klinik Bedah Mulut &amp; Klinik Pergigian Pediatrik</v>
          </cell>
        </row>
        <row r="836">
          <cell r="D836" t="str">
            <v>KKM/JKN/HSA/10-05-01/H/16/103</v>
          </cell>
          <cell r="E836" t="str">
            <v>IMPRESSION MATERIAL MIXER</v>
          </cell>
          <cell r="F836" t="str">
            <v>DENTAMERICA</v>
          </cell>
          <cell r="G836" t="str">
            <v>BLENDEX</v>
          </cell>
          <cell r="H836" t="str">
            <v>G00137</v>
          </cell>
          <cell r="I836" t="str">
            <v>ANNUALLY</v>
          </cell>
          <cell r="J836">
            <v>45930</v>
          </cell>
          <cell r="K836"/>
          <cell r="L836"/>
          <cell r="M836"/>
          <cell r="N836" t="str">
            <v>JABATAN BEDAH MULUT</v>
          </cell>
          <cell r="O836" t="str">
            <v>Klinik Bedah Mulut &amp; Klinik Pergigian Pediatrik</v>
          </cell>
        </row>
        <row r="837">
          <cell r="D837" t="str">
            <v>KKM/JKN/HSA/10-05-01/H/16/34</v>
          </cell>
          <cell r="E837" t="str">
            <v>DIGITAL CAMERA</v>
          </cell>
          <cell r="F837" t="str">
            <v>SHOFU</v>
          </cell>
          <cell r="G837" t="str">
            <v>PN5130</v>
          </cell>
          <cell r="H837" t="str">
            <v>C0007513</v>
          </cell>
          <cell r="I837" t="str">
            <v>ANNUALLY</v>
          </cell>
          <cell r="J837">
            <v>45887</v>
          </cell>
          <cell r="K837"/>
          <cell r="L837"/>
          <cell r="M837"/>
          <cell r="N837" t="str">
            <v>JABATAN BEDAH MULUT</v>
          </cell>
          <cell r="O837" t="str">
            <v>Klinik Bedah Mulut &amp; Klinik Pergigian Pediatrik</v>
          </cell>
        </row>
        <row r="838">
          <cell r="D838" t="str">
            <v>KKM/JKN/HSA/10-05-01/H/16/35</v>
          </cell>
          <cell r="E838" t="str">
            <v>DENTAL HANDPIECE</v>
          </cell>
          <cell r="F838" t="str">
            <v>KAVO</v>
          </cell>
          <cell r="G838" t="str">
            <v>SURGMATIC S201 L</v>
          </cell>
          <cell r="H838" t="str">
            <v>2016-1004044</v>
          </cell>
          <cell r="I838" t="str">
            <v>ANNUALLY</v>
          </cell>
          <cell r="J838">
            <v>45772</v>
          </cell>
          <cell r="K838"/>
          <cell r="L838"/>
          <cell r="M838"/>
          <cell r="N838" t="str">
            <v>JABATAN BEDAH MULUT</v>
          </cell>
          <cell r="O838" t="str">
            <v>Klinik Bedah Mulut &amp; Klinik Pergigian Pediatrik</v>
          </cell>
        </row>
        <row r="839">
          <cell r="D839" t="str">
            <v>KKM/JKN/HSA/10-05-01/H/16/36</v>
          </cell>
          <cell r="E839" t="str">
            <v>DENTAL HANDPIECE</v>
          </cell>
          <cell r="F839" t="str">
            <v>KAVO</v>
          </cell>
          <cell r="G839" t="str">
            <v>SURGMATIC S201 L</v>
          </cell>
          <cell r="H839" t="str">
            <v>2016-1004045</v>
          </cell>
          <cell r="I839" t="str">
            <v>ANNUALLY</v>
          </cell>
          <cell r="J839">
            <v>45774</v>
          </cell>
          <cell r="K839"/>
          <cell r="L839"/>
          <cell r="M839"/>
          <cell r="N839" t="str">
            <v>JABATAN BEDAH MULUT</v>
          </cell>
          <cell r="O839" t="str">
            <v>Klinik Bedah Mulut &amp; Klinik Pergigian Pediatrik</v>
          </cell>
        </row>
        <row r="840">
          <cell r="D840" t="str">
            <v>KKM/JKN/HSA/10-05-01/H/16/37</v>
          </cell>
          <cell r="E840" t="str">
            <v>DENTAL SUCTION PUMP</v>
          </cell>
          <cell r="F840" t="str">
            <v>RESPICARE CORP</v>
          </cell>
          <cell r="G840" t="str">
            <v xml:space="preserve"> YDX-1000M-35A</v>
          </cell>
          <cell r="H840" t="str">
            <v>DE-15-09-79</v>
          </cell>
          <cell r="I840" t="str">
            <v>ANNUALLY</v>
          </cell>
          <cell r="J840">
            <v>45887</v>
          </cell>
          <cell r="K840"/>
          <cell r="L840"/>
          <cell r="M840"/>
          <cell r="N840" t="str">
            <v>JABATAN BEDAH MULUT</v>
          </cell>
          <cell r="O840" t="str">
            <v>Klinik Bedah Mulut &amp; Klinik Pergigian Pediatrik</v>
          </cell>
        </row>
        <row r="841">
          <cell r="D841" t="str">
            <v>KKM/JKN/HSA/10-05-01/H/16/38</v>
          </cell>
          <cell r="E841" t="str">
            <v>DENTAL SUCTION PUMP</v>
          </cell>
          <cell r="F841" t="str">
            <v>RESPICARE CORP</v>
          </cell>
          <cell r="G841" t="str">
            <v>YDX-1000M-35A</v>
          </cell>
          <cell r="H841" t="str">
            <v>DE-15-09-75</v>
          </cell>
          <cell r="I841" t="str">
            <v>ANNUALLY</v>
          </cell>
          <cell r="J841">
            <v>45887</v>
          </cell>
          <cell r="K841"/>
          <cell r="L841"/>
          <cell r="M841"/>
          <cell r="N841" t="str">
            <v>JABATAN BEDAH MULUT</v>
          </cell>
          <cell r="O841" t="str">
            <v>Klinik Bedah Mulut &amp; Klinik Pergigian Pediatrik</v>
          </cell>
        </row>
        <row r="842">
          <cell r="D842" t="str">
            <v>KKM/JKN/HSA/10-05-01/H/16/47</v>
          </cell>
          <cell r="E842" t="str">
            <v>ELECTROSURGERY</v>
          </cell>
          <cell r="F842" t="str">
            <v>MECTRON</v>
          </cell>
          <cell r="G842" t="str">
            <v>PIEZO SURGERY</v>
          </cell>
          <cell r="H842" t="str">
            <v>409006842</v>
          </cell>
          <cell r="I842" t="str">
            <v>SEMI ANNUALLY</v>
          </cell>
          <cell r="J842">
            <v>45735</v>
          </cell>
          <cell r="K842">
            <v>45918</v>
          </cell>
          <cell r="L842"/>
          <cell r="M842"/>
          <cell r="N842" t="str">
            <v>JABATAN BEDAH MULUT</v>
          </cell>
          <cell r="O842" t="str">
            <v>Klinik Bedah Mulut &amp; Klinik Pergigian Pediatrik</v>
          </cell>
        </row>
        <row r="843">
          <cell r="D843" t="str">
            <v>KKM/JKN/HSA/10-05-01/H/16/48</v>
          </cell>
          <cell r="E843" t="str">
            <v>LAB CENTRIFUGE</v>
          </cell>
          <cell r="F843" t="str">
            <v>CHOUKROUN</v>
          </cell>
          <cell r="G843" t="str">
            <v>CENTRIFUGE DUO</v>
          </cell>
          <cell r="H843" t="str">
            <v>LE4E 005448</v>
          </cell>
          <cell r="I843" t="str">
            <v>ANNUALLY</v>
          </cell>
          <cell r="J843">
            <v>46049</v>
          </cell>
          <cell r="K843"/>
          <cell r="L843"/>
          <cell r="M843"/>
          <cell r="N843" t="str">
            <v>JABATAN BEDAH MULUT</v>
          </cell>
          <cell r="O843" t="str">
            <v>Klinik Bedah Mulut &amp; Klinik Pergigian Pediatrik</v>
          </cell>
        </row>
        <row r="844">
          <cell r="D844" t="str">
            <v>KKM/JKN/HSA/10-05-01/H/16/52</v>
          </cell>
          <cell r="E844" t="str">
            <v>DIGITAL NITROUS OXIDE SEDATION SYSTEM</v>
          </cell>
          <cell r="F844" t="str">
            <v>AMBULANC</v>
          </cell>
          <cell r="G844" t="str">
            <v>5000DS</v>
          </cell>
          <cell r="H844" t="str">
            <v>SZAB5000DS15090101</v>
          </cell>
          <cell r="I844" t="str">
            <v>ANNUALLY</v>
          </cell>
          <cell r="J844">
            <v>46049</v>
          </cell>
          <cell r="K844"/>
          <cell r="L844"/>
          <cell r="M844"/>
          <cell r="N844" t="str">
            <v>JABATAN BEDAH MULUT</v>
          </cell>
          <cell r="O844" t="str">
            <v>Klinik Bedah Mulut &amp; Klinik Pergigian Pediatrik</v>
          </cell>
        </row>
        <row r="845">
          <cell r="D845" t="str">
            <v>KKM/JKN/HSA/10-05-01/H/16/82</v>
          </cell>
          <cell r="E845" t="str">
            <v>DENTAL DIODE LASER</v>
          </cell>
          <cell r="F845" t="str">
            <v>LITEMEDIC</v>
          </cell>
          <cell r="G845" t="str">
            <v>LA7D0</v>
          </cell>
          <cell r="H845" t="str">
            <v>PR175</v>
          </cell>
          <cell r="I845" t="str">
            <v>ANNUALLY</v>
          </cell>
          <cell r="J845">
            <v>45735</v>
          </cell>
          <cell r="K845"/>
          <cell r="L845"/>
          <cell r="M845"/>
          <cell r="N845" t="str">
            <v>JABATAN BEDAH MULUT</v>
          </cell>
          <cell r="O845" t="str">
            <v>Klinik Bedah Mulut &amp; Klinik Pergigian Pediatrik</v>
          </cell>
        </row>
        <row r="846">
          <cell r="D846" t="str">
            <v>KKM/JKN/HSA/10-05-01/H/16/96</v>
          </cell>
          <cell r="E846" t="str">
            <v>DENTAL HANDPIECE</v>
          </cell>
          <cell r="F846" t="str">
            <v>CASTELLINI</v>
          </cell>
          <cell r="G846" t="str">
            <v>PUMA ELI</v>
          </cell>
          <cell r="H846" t="str">
            <v>008216</v>
          </cell>
          <cell r="I846" t="str">
            <v>ANNUALLY</v>
          </cell>
          <cell r="J846">
            <v>45704</v>
          </cell>
          <cell r="K846"/>
          <cell r="L846"/>
          <cell r="M846"/>
          <cell r="N846" t="str">
            <v>JABATAN BEDAH MULUT</v>
          </cell>
          <cell r="O846" t="str">
            <v>Klinik Bedah Mulut &amp; Klinik Pergigian Pediatrik</v>
          </cell>
        </row>
        <row r="847">
          <cell r="D847" t="str">
            <v>KKM/JKN/HSA/10-05-01/H/16/97</v>
          </cell>
          <cell r="E847" t="str">
            <v>DENTAL HANDPIECE</v>
          </cell>
          <cell r="F847" t="str">
            <v>CASTELLINI</v>
          </cell>
          <cell r="G847" t="str">
            <v>PUMA ELI</v>
          </cell>
          <cell r="H847" t="str">
            <v>027878</v>
          </cell>
          <cell r="I847" t="str">
            <v>ANNUALLY</v>
          </cell>
          <cell r="J847">
            <v>45704</v>
          </cell>
          <cell r="K847"/>
          <cell r="L847"/>
          <cell r="M847"/>
          <cell r="N847" t="str">
            <v>JABATAN BEDAH MULUT</v>
          </cell>
          <cell r="O847" t="str">
            <v>Klinik Bedah Mulut &amp; Klinik Pergigian Pediatrik</v>
          </cell>
        </row>
        <row r="848">
          <cell r="D848" t="str">
            <v>KKM/JKN/HSA/10-05-01/H/16/98</v>
          </cell>
          <cell r="E848" t="str">
            <v>DENTAL HANDPIECE</v>
          </cell>
          <cell r="F848" t="str">
            <v>CASTELLINI</v>
          </cell>
          <cell r="G848" t="str">
            <v>PUMA ELI</v>
          </cell>
          <cell r="H848" t="str">
            <v>027877</v>
          </cell>
          <cell r="I848" t="str">
            <v>ANNUALLY</v>
          </cell>
          <cell r="J848">
            <v>45704</v>
          </cell>
          <cell r="K848"/>
          <cell r="L848"/>
          <cell r="M848"/>
          <cell r="N848" t="str">
            <v>JABATAN BEDAH MULUT</v>
          </cell>
          <cell r="O848" t="str">
            <v>Klinik Bedah Mulut &amp; Klinik Pergigian Pediatrik</v>
          </cell>
        </row>
        <row r="849">
          <cell r="D849" t="str">
            <v>KKM/JKN/HSA/10-05-01/H/16/99</v>
          </cell>
          <cell r="E849" t="str">
            <v>DENTAL HANDPIECE</v>
          </cell>
          <cell r="F849" t="str">
            <v>CASTELLINI</v>
          </cell>
          <cell r="G849" t="str">
            <v>PUMA ELI</v>
          </cell>
          <cell r="H849" t="str">
            <v>CTJG0349</v>
          </cell>
          <cell r="I849" t="str">
            <v>ANNUALLY</v>
          </cell>
          <cell r="J849">
            <v>45704</v>
          </cell>
          <cell r="K849"/>
          <cell r="L849"/>
          <cell r="M849"/>
          <cell r="N849" t="str">
            <v>JABATAN BEDAH MULUT</v>
          </cell>
          <cell r="O849" t="str">
            <v>Klinik Bedah Mulut &amp; Klinik Pergigian Pediatrik</v>
          </cell>
        </row>
        <row r="850">
          <cell r="D850" t="str">
            <v>KKM/JKN/HSA/10-05-01/R/15/7126</v>
          </cell>
          <cell r="E850" t="str">
            <v>PULP TESTER</v>
          </cell>
          <cell r="F850" t="str">
            <v>PRODONT</v>
          </cell>
          <cell r="G850" t="str">
            <v>C-PULSE</v>
          </cell>
          <cell r="H850" t="str">
            <v>N/A</v>
          </cell>
          <cell r="I850" t="str">
            <v>ANNUALLY</v>
          </cell>
          <cell r="J850">
            <v>46031</v>
          </cell>
          <cell r="K850"/>
          <cell r="L850"/>
          <cell r="M850"/>
          <cell r="N850" t="str">
            <v>JABATAN BEDAH MULUT</v>
          </cell>
          <cell r="O850" t="str">
            <v>Klinik Bedah Mulut &amp; Klinik Pergigian Pediatrik</v>
          </cell>
        </row>
        <row r="851">
          <cell r="D851" t="str">
            <v>KKM/JKN/HSA/10-05-01/R/15/7127</v>
          </cell>
          <cell r="E851" t="str">
            <v>PULP TESTER</v>
          </cell>
          <cell r="F851" t="str">
            <v>PRODONT</v>
          </cell>
          <cell r="G851" t="str">
            <v>C-PULSE</v>
          </cell>
          <cell r="H851" t="str">
            <v>005001201308A</v>
          </cell>
          <cell r="I851" t="str">
            <v>ANNUALLY</v>
          </cell>
          <cell r="J851">
            <v>46031</v>
          </cell>
          <cell r="K851"/>
          <cell r="L851"/>
          <cell r="M851"/>
          <cell r="N851" t="str">
            <v>JABATAN BEDAH MULUT</v>
          </cell>
          <cell r="O851" t="str">
            <v>Klinik Bedah Mulut &amp; Klinik Pergigian Pediatrik</v>
          </cell>
        </row>
        <row r="852">
          <cell r="D852" t="str">
            <v>KKM/JKN/HSA/10-05-01/R/15/7128</v>
          </cell>
          <cell r="E852" t="str">
            <v>PULP TESTER</v>
          </cell>
          <cell r="F852" t="str">
            <v>PRODONT</v>
          </cell>
          <cell r="G852" t="str">
            <v>C-PULSE</v>
          </cell>
          <cell r="H852" t="str">
            <v>N/A</v>
          </cell>
          <cell r="I852" t="str">
            <v>ANNUALLY</v>
          </cell>
          <cell r="J852">
            <v>46031</v>
          </cell>
          <cell r="K852"/>
          <cell r="L852"/>
          <cell r="M852"/>
          <cell r="N852" t="str">
            <v>JABATAN BEDAH MULUT</v>
          </cell>
          <cell r="O852" t="str">
            <v>Klinik Bedah Mulut &amp; Klinik Pergigian Pediatrik</v>
          </cell>
        </row>
        <row r="853">
          <cell r="D853" t="str">
            <v>KKM/JKN/HSA/10-05-01/R/15/7129</v>
          </cell>
          <cell r="E853" t="str">
            <v>PULP TESTER</v>
          </cell>
          <cell r="F853" t="str">
            <v>PRODONT</v>
          </cell>
          <cell r="G853" t="str">
            <v>C-PULSE</v>
          </cell>
          <cell r="H853" t="str">
            <v>N/A</v>
          </cell>
          <cell r="I853" t="str">
            <v>ANNUALLY</v>
          </cell>
          <cell r="J853">
            <v>46036</v>
          </cell>
          <cell r="K853"/>
          <cell r="L853"/>
          <cell r="M853"/>
          <cell r="N853" t="str">
            <v>JABATAN BEDAH MULUT</v>
          </cell>
          <cell r="O853" t="str">
            <v>Klinik Bedah Mulut &amp; Klinik Pergigian Pediatrik</v>
          </cell>
        </row>
        <row r="854">
          <cell r="D854" t="str">
            <v>KKM/JKN/HSA/10-05-01/R/15/7130</v>
          </cell>
          <cell r="E854" t="str">
            <v>PULP TESTER</v>
          </cell>
          <cell r="F854" t="str">
            <v>PRODONT</v>
          </cell>
          <cell r="G854" t="str">
            <v>C-PULSE</v>
          </cell>
          <cell r="H854" t="str">
            <v>N/A</v>
          </cell>
          <cell r="I854" t="str">
            <v>ANNUALLY</v>
          </cell>
          <cell r="J854">
            <v>46038</v>
          </cell>
          <cell r="K854"/>
          <cell r="L854"/>
          <cell r="M854"/>
          <cell r="N854" t="str">
            <v>JABATAN BEDAH MULUT</v>
          </cell>
          <cell r="O854" t="str">
            <v>Klinik Bedah Mulut &amp; Klinik Pergigian Pediatrik</v>
          </cell>
        </row>
        <row r="855">
          <cell r="D855" t="str">
            <v>KKM/JKN/HSA/10-05-01/R/15/7131</v>
          </cell>
          <cell r="E855" t="str">
            <v>PULP TESTER</v>
          </cell>
          <cell r="F855" t="str">
            <v>PRODONT</v>
          </cell>
          <cell r="G855" t="str">
            <v>C-PULSE</v>
          </cell>
          <cell r="H855" t="str">
            <v>N/A</v>
          </cell>
          <cell r="I855" t="str">
            <v>ANNUALLY</v>
          </cell>
          <cell r="J855">
            <v>45990</v>
          </cell>
          <cell r="K855"/>
          <cell r="L855"/>
          <cell r="M855"/>
          <cell r="N855" t="str">
            <v>JABATAN BEDAH MULUT</v>
          </cell>
          <cell r="O855" t="str">
            <v>Klinik Bedah Mulut &amp; Klinik Pergigian Pediatrik</v>
          </cell>
        </row>
        <row r="856">
          <cell r="D856" t="str">
            <v>KKM/JKN/HSA/10-05-01/R/15/7132</v>
          </cell>
          <cell r="E856" t="str">
            <v>PULP TESTER</v>
          </cell>
          <cell r="F856" t="str">
            <v>PRODONT</v>
          </cell>
          <cell r="G856" t="str">
            <v>C-PULSE</v>
          </cell>
          <cell r="H856" t="str">
            <v>N/A</v>
          </cell>
          <cell r="I856" t="str">
            <v>ANNUALLY</v>
          </cell>
          <cell r="J856">
            <v>45990</v>
          </cell>
          <cell r="K856"/>
          <cell r="L856"/>
          <cell r="M856"/>
          <cell r="N856" t="str">
            <v>JABATAN BEDAH MULUT</v>
          </cell>
          <cell r="O856" t="str">
            <v>Klinik Bedah Mulut &amp; Klinik Pergigian Pediatrik</v>
          </cell>
        </row>
        <row r="857">
          <cell r="D857" t="str">
            <v>KKM/JKN/HSA/10-05-01/R/15/7133</v>
          </cell>
          <cell r="E857" t="str">
            <v>PULP TESTER</v>
          </cell>
          <cell r="F857" t="str">
            <v>PRODONT</v>
          </cell>
          <cell r="G857" t="str">
            <v>C-PULSE</v>
          </cell>
          <cell r="H857" t="str">
            <v>N/A</v>
          </cell>
          <cell r="I857" t="str">
            <v>ANNUALLY</v>
          </cell>
          <cell r="J857">
            <v>45990</v>
          </cell>
          <cell r="K857"/>
          <cell r="L857"/>
          <cell r="M857"/>
          <cell r="N857" t="str">
            <v>JABATAN BEDAH MULUT</v>
          </cell>
          <cell r="O857" t="str">
            <v>Klinik Bedah Mulut &amp; Klinik Pergigian Pediatrik</v>
          </cell>
        </row>
        <row r="858">
          <cell r="D858" t="str">
            <v>KKM/JKN/HSA/10-05-01/R/15/7134</v>
          </cell>
          <cell r="E858" t="str">
            <v>PULP TESTER</v>
          </cell>
          <cell r="F858" t="str">
            <v>PRODONT</v>
          </cell>
          <cell r="G858" t="str">
            <v>C-PULSE</v>
          </cell>
          <cell r="H858" t="str">
            <v>N/A</v>
          </cell>
          <cell r="I858" t="str">
            <v>ANNUALLY</v>
          </cell>
          <cell r="J858">
            <v>45990</v>
          </cell>
          <cell r="K858"/>
          <cell r="L858"/>
          <cell r="M858"/>
          <cell r="N858" t="str">
            <v>JABATAN BEDAH MULUT</v>
          </cell>
          <cell r="O858" t="str">
            <v>Klinik Bedah Mulut &amp; Klinik Pergigian Pediatrik</v>
          </cell>
        </row>
        <row r="859">
          <cell r="D859" t="str">
            <v>KKM/JKN/HSA/10-05-01/R/15/7135</v>
          </cell>
          <cell r="E859" t="str">
            <v>PULP TESTER</v>
          </cell>
          <cell r="F859" t="str">
            <v>PRODONT</v>
          </cell>
          <cell r="G859" t="str">
            <v>C-PULSE</v>
          </cell>
          <cell r="H859" t="str">
            <v>N/A</v>
          </cell>
          <cell r="I859" t="str">
            <v>ANNUALLY</v>
          </cell>
          <cell r="J859">
            <v>45990</v>
          </cell>
          <cell r="K859"/>
          <cell r="L859"/>
          <cell r="M859"/>
          <cell r="N859" t="str">
            <v>JABATAN BEDAH MULUT</v>
          </cell>
          <cell r="O859" t="str">
            <v>Klinik Bedah Mulut &amp; Klinik Pergigian Pediatrik</v>
          </cell>
        </row>
        <row r="860">
          <cell r="D860" t="str">
            <v>KKM/JKN/HSA/10-05-01/R/15/7146</v>
          </cell>
          <cell r="E860" t="str">
            <v>PATIENT MONITORING EQUIP.(AUTOMATIC MULTIPARAMETER)</v>
          </cell>
          <cell r="F860" t="str">
            <v>WELCH ALLYN</v>
          </cell>
          <cell r="G860" t="str">
            <v>WELCH ALLYN VSM 300</v>
          </cell>
          <cell r="H860" t="str">
            <v>JA123426</v>
          </cell>
          <cell r="I860" t="str">
            <v>ANNUALLY</v>
          </cell>
          <cell r="J860">
            <v>45991</v>
          </cell>
          <cell r="K860"/>
          <cell r="L860"/>
          <cell r="M860"/>
          <cell r="N860" t="str">
            <v>JABATAN BEDAH MULUT</v>
          </cell>
          <cell r="O860" t="str">
            <v>Klinik Bedah Mulut &amp; Klinik Pergigian Pediatrik</v>
          </cell>
        </row>
        <row r="861">
          <cell r="D861" t="str">
            <v>KKM/JKN/HSA/10-05-01/R/15/7381</v>
          </cell>
          <cell r="E861" t="str">
            <v>DIAGNOSTIC (SET ADULT)</v>
          </cell>
          <cell r="F861" t="str">
            <v>WELCH ALLYN</v>
          </cell>
          <cell r="G861" t="str">
            <v>N/A</v>
          </cell>
          <cell r="H861" t="str">
            <v>N/A</v>
          </cell>
          <cell r="I861" t="str">
            <v>ANNUALLY</v>
          </cell>
          <cell r="J861">
            <v>45901</v>
          </cell>
          <cell r="K861"/>
          <cell r="L861"/>
          <cell r="M861"/>
          <cell r="N861" t="str">
            <v>JABATAN BEDAH MULUT</v>
          </cell>
          <cell r="O861" t="str">
            <v>Klinik Bedah Mulut &amp; Klinik Pergigian Pediatrik</v>
          </cell>
        </row>
        <row r="862">
          <cell r="D862" t="str">
            <v>KKM/JKN/HSA/10-05-01/H/15/3576</v>
          </cell>
          <cell r="E862" t="str">
            <v>INTRA-ORAL CAMERA WORKSTATION</v>
          </cell>
          <cell r="F862" t="str">
            <v xml:space="preserve">Durr Dental AG </v>
          </cell>
          <cell r="G862" t="str">
            <v>VistaCamix</v>
          </cell>
          <cell r="H862" t="str">
            <v>E003291</v>
          </cell>
          <cell r="I862" t="str">
            <v>ANNUALLY</v>
          </cell>
          <cell r="J862">
            <v>45774</v>
          </cell>
          <cell r="K862"/>
          <cell r="L862"/>
          <cell r="M862"/>
          <cell r="N862" t="str">
            <v>JABATAN BEDAH MULUT</v>
          </cell>
          <cell r="O862" t="str">
            <v>Klinik Bedah Mulut &amp; Klinik Pergigian Pediatrik</v>
          </cell>
        </row>
        <row r="863">
          <cell r="D863" t="str">
            <v>KKM/JKN/HSA/10-05-01/H/15/3576-01</v>
          </cell>
          <cell r="E863" t="str">
            <v xml:space="preserve">MONITOR </v>
          </cell>
          <cell r="F863" t="str">
            <v xml:space="preserve">Durr Dental AG </v>
          </cell>
          <cell r="G863" t="str">
            <v>VistaCamix</v>
          </cell>
          <cell r="H863" t="str">
            <v>E003291</v>
          </cell>
          <cell r="I863" t="str">
            <v>ANNUALLY</v>
          </cell>
          <cell r="J863">
            <v>45774</v>
          </cell>
          <cell r="K863"/>
          <cell r="L863"/>
          <cell r="M863"/>
          <cell r="N863" t="str">
            <v>JABATAN BEDAH MULUT</v>
          </cell>
          <cell r="O863" t="str">
            <v>Klinik Bedah Mulut &amp; Klinik Pergigian Pediatrik</v>
          </cell>
        </row>
        <row r="864">
          <cell r="D864" t="str">
            <v>KKM/JKN/HSA/10-05-01/H/20/9</v>
          </cell>
          <cell r="E864" t="str">
            <v>OPTION 2 SURGIC XT NON OPTIC</v>
          </cell>
          <cell r="F864" t="str">
            <v>NSK</v>
          </cell>
          <cell r="G864" t="str">
            <v>SURGIC PRO / SURGIC AP</v>
          </cell>
          <cell r="H864">
            <v>8321331</v>
          </cell>
          <cell r="I864" t="str">
            <v>ANNUALLY</v>
          </cell>
          <cell r="J864">
            <v>45993</v>
          </cell>
          <cell r="K864"/>
          <cell r="L864"/>
          <cell r="M864"/>
          <cell r="N864" t="str">
            <v>JABATAN BEDAH MULUT</v>
          </cell>
          <cell r="O864" t="str">
            <v>Klinik Bedah Mulut &amp; Klinik Pergigian Pediatrik</v>
          </cell>
        </row>
        <row r="865">
          <cell r="D865" t="str">
            <v>KKM/JKN/HSA/10-05-01/H/20/228</v>
          </cell>
          <cell r="E865" t="str">
            <v>AEROSOL SUCTION / VACUUM MACHINE</v>
          </cell>
          <cell r="F865" t="str">
            <v xml:space="preserve">COXO </v>
          </cell>
          <cell r="G865" t="str">
            <v>DENTAL AEROSOL SUCTION SYSTEM</v>
          </cell>
          <cell r="H865" t="str">
            <v>K501-0548</v>
          </cell>
          <cell r="I865" t="str">
            <v>ANNUALLY</v>
          </cell>
          <cell r="J865">
            <v>45993</v>
          </cell>
          <cell r="K865"/>
          <cell r="L865"/>
          <cell r="M865"/>
          <cell r="N865" t="str">
            <v>JABATAN BEDAH MULUT</v>
          </cell>
          <cell r="O865" t="str">
            <v>Klinik Bedah Mulut &amp; Klinik Pergigian Pediatrik</v>
          </cell>
        </row>
        <row r="866">
          <cell r="D866" t="str">
            <v>KKM/JKN/HSA/10-05-01/H/20/243</v>
          </cell>
          <cell r="E866" t="str">
            <v>AEROSOL SUCTION / VACUUM MACHINE</v>
          </cell>
          <cell r="F866" t="str">
            <v>DYNAMIC</v>
          </cell>
          <cell r="G866" t="str">
            <v>DS1000</v>
          </cell>
          <cell r="H866">
            <v>19311</v>
          </cell>
          <cell r="I866" t="str">
            <v>ANNUALLY</v>
          </cell>
          <cell r="J866">
            <v>45993</v>
          </cell>
          <cell r="K866"/>
          <cell r="L866"/>
          <cell r="M866"/>
          <cell r="N866" t="str">
            <v>JABATAN BEDAH MULUT</v>
          </cell>
          <cell r="O866" t="str">
            <v>Klinik Bedah Mulut &amp; Klinik Pergigian Pediatrik</v>
          </cell>
        </row>
        <row r="867">
          <cell r="D867" t="str">
            <v>KKM/JKN/HSA/10-05-01/H/20/244</v>
          </cell>
          <cell r="E867" t="str">
            <v>AEROSOL SUCTION / VACUUM MACHINE</v>
          </cell>
          <cell r="F867" t="str">
            <v>DYNAMIC</v>
          </cell>
          <cell r="G867" t="str">
            <v>DS1000</v>
          </cell>
          <cell r="H867">
            <v>19338</v>
          </cell>
          <cell r="I867" t="str">
            <v>ANNUALLY</v>
          </cell>
          <cell r="J867">
            <v>45993</v>
          </cell>
          <cell r="K867"/>
          <cell r="L867"/>
          <cell r="M867"/>
          <cell r="N867" t="str">
            <v>JABATAN BEDAH MULUT</v>
          </cell>
          <cell r="O867" t="str">
            <v>Klinik Bedah Mulut &amp; Klinik Pergigian Pediatrik</v>
          </cell>
        </row>
        <row r="868">
          <cell r="D868" t="str">
            <v>HSAS10156</v>
          </cell>
          <cell r="E868" t="str">
            <v>DIATHERMY UNIT</v>
          </cell>
          <cell r="F868" t="str">
            <v>Ellman</v>
          </cell>
          <cell r="G868" t="str">
            <v>Surgitron F.F.P.F EMC</v>
          </cell>
          <cell r="H868">
            <v>9130008082</v>
          </cell>
          <cell r="I868" t="str">
            <v>ANNUALLY</v>
          </cell>
          <cell r="J868">
            <v>45968</v>
          </cell>
          <cell r="K868"/>
          <cell r="L868"/>
          <cell r="M868"/>
          <cell r="N868" t="str">
            <v>JABATAN OBSTETRIK &amp; GINEKOLOGI</v>
          </cell>
          <cell r="O868" t="str">
            <v>Klinik Obstetrik Ginekologi (O&amp;G CLINIC)</v>
          </cell>
        </row>
        <row r="869">
          <cell r="D869" t="str">
            <v>KKM/JKN/HSA/10-05-01/H/15/4300</v>
          </cell>
          <cell r="E869" t="str">
            <v>MONITOR ANTEPARTUM W/INTEGRAL PRINTER</v>
          </cell>
          <cell r="F869" t="str">
            <v>GE HEALTHCARE</v>
          </cell>
          <cell r="G869" t="str">
            <v>COROMETRICS 172</v>
          </cell>
          <cell r="H869" t="str">
            <v>SAS13370957PA</v>
          </cell>
          <cell r="I869" t="str">
            <v>ANNUALLY</v>
          </cell>
          <cell r="J869">
            <v>45715</v>
          </cell>
          <cell r="K869"/>
          <cell r="L869"/>
          <cell r="M869"/>
          <cell r="N869" t="str">
            <v>JABATAN OBSTETRIK &amp; GINEKOLOGI</v>
          </cell>
          <cell r="O869" t="str">
            <v>Klinik Obstetrik Ginekologi (O&amp;G CLINIC)</v>
          </cell>
        </row>
        <row r="870">
          <cell r="D870" t="str">
            <v>KKM/JKN/HSA/10-05-01/H/15/5121</v>
          </cell>
          <cell r="E870" t="str">
            <v>HAEMOGLOBINOMETER DIGITAL</v>
          </cell>
          <cell r="F870" t="str">
            <v>HEMOCUE</v>
          </cell>
          <cell r="G870" t="str">
            <v>HB201+</v>
          </cell>
          <cell r="H870" t="str">
            <v>1405013170</v>
          </cell>
          <cell r="I870" t="str">
            <v>ANNUALLY</v>
          </cell>
          <cell r="J870">
            <v>45792</v>
          </cell>
          <cell r="K870"/>
          <cell r="L870"/>
          <cell r="M870"/>
          <cell r="N870" t="str">
            <v>JABATAN OBSTETRIK &amp; GINEKOLOGI</v>
          </cell>
          <cell r="O870" t="str">
            <v>Klinik Obstetrik Ginekologi (O&amp;G CLINIC)</v>
          </cell>
        </row>
        <row r="871">
          <cell r="D871" t="str">
            <v>KKM/JKN/HSA/10-05-01/H/15/5122</v>
          </cell>
          <cell r="E871" t="str">
            <v>INCUBATOR BACTERIOLOGICAL</v>
          </cell>
          <cell r="F871" t="str">
            <v>BINDER</v>
          </cell>
          <cell r="G871" t="str">
            <v>BD 53</v>
          </cell>
          <cell r="H871" t="str">
            <v>13-16067</v>
          </cell>
          <cell r="I871" t="str">
            <v>SEMI ANNUALLY</v>
          </cell>
          <cell r="J871">
            <v>45792</v>
          </cell>
          <cell r="K871">
            <v>45975</v>
          </cell>
          <cell r="L871"/>
          <cell r="M871"/>
          <cell r="N871" t="str">
            <v>JABATAN OBSTETRIK &amp; GINEKOLOGI</v>
          </cell>
          <cell r="O871" t="str">
            <v>Klinik Obstetrik Ginekologi (O&amp;G CLINIC)</v>
          </cell>
        </row>
        <row r="872">
          <cell r="D872" t="str">
            <v>KKM/JKN/HSA/10-05-01/R/15/16763</v>
          </cell>
          <cell r="E872" t="str">
            <v>SPHYGMOMANOMETER DIGITAL BATTERY OP</v>
          </cell>
          <cell r="F872" t="str">
            <v>WELCH ALLYN</v>
          </cell>
          <cell r="G872" t="str">
            <v>CONNEX PROBP 3400 SERIES</v>
          </cell>
          <cell r="H872">
            <v>100055232814</v>
          </cell>
          <cell r="I872" t="str">
            <v>ANNUALLY</v>
          </cell>
          <cell r="J872">
            <v>45790</v>
          </cell>
          <cell r="K872"/>
          <cell r="L872"/>
          <cell r="M872"/>
          <cell r="N872" t="str">
            <v>JABATAN OBSTETRIK &amp; GINEKOLOGI</v>
          </cell>
          <cell r="O872" t="str">
            <v>Klinik Obstetrik Ginekologi (O&amp;G CLINIC)</v>
          </cell>
        </row>
        <row r="873">
          <cell r="D873" t="str">
            <v>KKM/JKN/HSA/10-05-01/R/15/17351</v>
          </cell>
          <cell r="E873" t="str">
            <v>SPHYGMOMANOMETER ANEROID DESK MODEL</v>
          </cell>
          <cell r="F873" t="str">
            <v>RUDOLF RIESTER, GMBH</v>
          </cell>
          <cell r="G873">
            <v>1453</v>
          </cell>
          <cell r="H873" t="str">
            <v>N/A</v>
          </cell>
          <cell r="I873" t="str">
            <v>ANNUALLY</v>
          </cell>
          <cell r="J873">
            <v>45920</v>
          </cell>
          <cell r="K873"/>
          <cell r="L873"/>
          <cell r="M873"/>
          <cell r="N873" t="str">
            <v>JABATAN OBSTETRIK &amp; GINEKOLOGI</v>
          </cell>
          <cell r="O873" t="str">
            <v>Klinik Obstetrik Ginekologi (O&amp;G CLINIC)</v>
          </cell>
        </row>
        <row r="874">
          <cell r="D874" t="str">
            <v>KKM/JKN/HSA/10-05-01/H/15/1345</v>
          </cell>
          <cell r="E874" t="str">
            <v>COLPOSCOPE</v>
          </cell>
          <cell r="F874" t="str">
            <v>OLYMPUS</v>
          </cell>
          <cell r="G874" t="str">
            <v>OCS500</v>
          </cell>
          <cell r="H874" t="str">
            <v>140286/309302</v>
          </cell>
          <cell r="I874" t="str">
            <v>ANNUALLY</v>
          </cell>
          <cell r="J874">
            <v>45851</v>
          </cell>
          <cell r="K874"/>
          <cell r="L874"/>
          <cell r="M874"/>
          <cell r="N874" t="str">
            <v>JABATAN OBSTETRIK &amp; GINEKOLOGI</v>
          </cell>
          <cell r="O874" t="str">
            <v>Klinik Obstetrik Ginekologi (O&amp;G CLINIC)</v>
          </cell>
        </row>
        <row r="875">
          <cell r="D875" t="str">
            <v>KKM/JKN/HSA/10-05-01/H/15/1597</v>
          </cell>
          <cell r="E875" t="str">
            <v>PATIENT MONITORING EQUIP.(AUTOMATIC MULTIPARAMETER)</v>
          </cell>
          <cell r="F875" t="str">
            <v>WELCH ALLYN</v>
          </cell>
          <cell r="G875" t="str">
            <v>WELCH ALLYN VSM 300</v>
          </cell>
          <cell r="H875" t="str">
            <v>JA 123460</v>
          </cell>
          <cell r="I875" t="str">
            <v>ANNUALLY</v>
          </cell>
          <cell r="J875">
            <v>45846</v>
          </cell>
          <cell r="K875"/>
          <cell r="L875"/>
          <cell r="M875"/>
          <cell r="N875" t="str">
            <v>JABATAN OBSTETRIK &amp; GINEKOLOGI</v>
          </cell>
          <cell r="O875" t="str">
            <v>Klinik Obstetrik Ginekologi (O&amp;G CLINIC)</v>
          </cell>
        </row>
        <row r="876">
          <cell r="D876" t="str">
            <v>KKM/JKN/HSA/10-05-01/H/15/2465</v>
          </cell>
          <cell r="E876" t="str">
            <v>ULTRASOUND COLOR DOPPLER, HI RES. ,GYNEC.</v>
          </cell>
          <cell r="F876" t="str">
            <v>SIEMENS</v>
          </cell>
          <cell r="G876" t="str">
            <v>ACUSON X300 PE</v>
          </cell>
          <cell r="H876">
            <v>348424</v>
          </cell>
          <cell r="I876" t="str">
            <v>SEMI ANNUALLY</v>
          </cell>
          <cell r="J876">
            <v>45768</v>
          </cell>
          <cell r="K876">
            <v>45950</v>
          </cell>
          <cell r="L876"/>
          <cell r="M876"/>
          <cell r="N876" t="str">
            <v>JABATAN OBSTETRIK &amp; GINEKOLOGI</v>
          </cell>
          <cell r="O876" t="str">
            <v>Klinik Obstetrik Ginekologi (O&amp;G CLINIC)</v>
          </cell>
        </row>
        <row r="877">
          <cell r="D877" t="str">
            <v>KKM/JKN/HSA/10-05-01/H/15/2473</v>
          </cell>
          <cell r="E877" t="str">
            <v>ULTRASOUND SCANNER</v>
          </cell>
          <cell r="F877" t="str">
            <v>SIEMENS</v>
          </cell>
          <cell r="G877" t="str">
            <v>ACUSON X150</v>
          </cell>
          <cell r="H877" t="str">
            <v>336226</v>
          </cell>
          <cell r="I877" t="str">
            <v>ANNUALLY</v>
          </cell>
          <cell r="J877">
            <v>45818</v>
          </cell>
          <cell r="K877"/>
          <cell r="L877"/>
          <cell r="M877"/>
          <cell r="N877" t="str">
            <v>JABATAN OBSTETRIK &amp; GINEKOLOGI</v>
          </cell>
          <cell r="O877" t="str">
            <v>Klinik Obstetrik Ginekologi (O&amp;G CLINIC)</v>
          </cell>
        </row>
        <row r="878">
          <cell r="D878" t="str">
            <v>KKM/JKN/HSA/10-05-01/H/15/2474</v>
          </cell>
          <cell r="E878" t="str">
            <v>ULTRASOUND SCANNER</v>
          </cell>
          <cell r="F878" t="str">
            <v>SIEMENS</v>
          </cell>
          <cell r="G878" t="str">
            <v>ACUSON X150</v>
          </cell>
          <cell r="H878" t="str">
            <v>336231</v>
          </cell>
          <cell r="I878" t="str">
            <v>ANNUALLY</v>
          </cell>
          <cell r="J878">
            <v>45818</v>
          </cell>
          <cell r="K878"/>
          <cell r="L878"/>
          <cell r="M878"/>
          <cell r="N878" t="str">
            <v>JABATAN OBSTETRIK &amp; GINEKOLOGI</v>
          </cell>
          <cell r="O878" t="str">
            <v>Klinik Obstetrik Ginekologi (O&amp;G CLINIC)</v>
          </cell>
        </row>
        <row r="879">
          <cell r="D879" t="str">
            <v>KKM/JKN/HSA/10-05-01/H/15/3678</v>
          </cell>
          <cell r="E879" t="str">
            <v>DEFIBRILLATOR</v>
          </cell>
          <cell r="F879" t="str">
            <v>PHILIPS</v>
          </cell>
          <cell r="G879" t="str">
            <v>EFFICIA DFM100</v>
          </cell>
          <cell r="H879" t="str">
            <v>CN32601411</v>
          </cell>
          <cell r="I879" t="str">
            <v>SEMI ANNUALLY</v>
          </cell>
          <cell r="J879">
            <v>45813</v>
          </cell>
          <cell r="K879">
            <v>45995</v>
          </cell>
          <cell r="L879"/>
          <cell r="M879"/>
          <cell r="N879" t="str">
            <v>JABATAN OBSTETRIK &amp; GINEKOLOGI</v>
          </cell>
          <cell r="O879" t="str">
            <v>Klinik Obstetrik Ginekologi (O&amp;G CLINIC)</v>
          </cell>
        </row>
        <row r="880">
          <cell r="D880" t="str">
            <v>KKM/JKN/HSA/10-05-01/H/15/4301</v>
          </cell>
          <cell r="E880" t="str">
            <v>FETAL HEART MONITOR (CTG)</v>
          </cell>
          <cell r="F880" t="str">
            <v>GE HEALTHCARE</v>
          </cell>
          <cell r="G880" t="str">
            <v>COROMETRICS 172</v>
          </cell>
          <cell r="H880" t="str">
            <v>SAS13320666PA</v>
          </cell>
          <cell r="I880" t="str">
            <v>ANNUALLY</v>
          </cell>
          <cell r="J880">
            <v>45715</v>
          </cell>
          <cell r="K880"/>
          <cell r="L880"/>
          <cell r="M880"/>
          <cell r="N880" t="str">
            <v>JABATAN OBSTETRIK &amp; GINEKOLOGI</v>
          </cell>
          <cell r="O880" t="str">
            <v>Klinik Obstetrik Ginekologi (O&amp;G CLINIC)</v>
          </cell>
        </row>
        <row r="881">
          <cell r="D881" t="str">
            <v>KKM/JKN/HSA/10-05-01/H/15/5120</v>
          </cell>
          <cell r="E881" t="str">
            <v>CENTRIFUGE</v>
          </cell>
          <cell r="F881" t="str">
            <v>ANDREAS HETTICH GMBH &amp; CO KG</v>
          </cell>
          <cell r="G881" t="str">
            <v>UNIVERSAL 320 (CN:1401)</v>
          </cell>
          <cell r="H881" t="str">
            <v>0006145-09</v>
          </cell>
          <cell r="I881" t="str">
            <v>SEMI ANNUALLY</v>
          </cell>
          <cell r="J881">
            <v>45787</v>
          </cell>
          <cell r="K881">
            <v>45970</v>
          </cell>
          <cell r="L881"/>
          <cell r="M881"/>
          <cell r="N881" t="str">
            <v>JABATAN OBSTETRIK &amp; GINEKOLOGI</v>
          </cell>
          <cell r="O881" t="str">
            <v>Klinik Obstetrik Ginekologi (O&amp;G CLINIC)</v>
          </cell>
        </row>
        <row r="882">
          <cell r="D882" t="str">
            <v>KKM/JKN/HSA/10-05-01/H/15/5123</v>
          </cell>
          <cell r="E882" t="str">
            <v>MICROSCOPE</v>
          </cell>
          <cell r="F882" t="str">
            <v>LEICA MICROSYSTEMS CMS</v>
          </cell>
          <cell r="G882" t="str">
            <v>DM1000 LED</v>
          </cell>
          <cell r="H882" t="str">
            <v>360555</v>
          </cell>
          <cell r="I882" t="str">
            <v>ANNUALLY</v>
          </cell>
          <cell r="J882">
            <v>45917</v>
          </cell>
          <cell r="K882"/>
          <cell r="L882"/>
          <cell r="M882"/>
          <cell r="N882" t="str">
            <v>JABATAN OBSTETRIK &amp; GINEKOLOGI</v>
          </cell>
          <cell r="O882" t="str">
            <v>Klinik Obstetrik Ginekologi (O&amp;G CLINIC)</v>
          </cell>
        </row>
        <row r="883">
          <cell r="D883" t="str">
            <v>KKM/JKN/HSA/10-05-01/R/15/14859</v>
          </cell>
          <cell r="E883" t="str">
            <v>BLOOD PRESSURE MONITOR (SPHYGMOMANOMETER)</v>
          </cell>
          <cell r="F883" t="str">
            <v xml:space="preserve"> ANEROID DESK MODEL</v>
          </cell>
          <cell r="G883" t="str">
            <v xml:space="preserve">RIESTER RUDOLF </v>
          </cell>
          <cell r="H883" t="str">
            <v>N/A</v>
          </cell>
          <cell r="I883" t="str">
            <v>ANNUALLY</v>
          </cell>
          <cell r="J883">
            <v>45757</v>
          </cell>
          <cell r="K883"/>
          <cell r="L883"/>
          <cell r="M883"/>
          <cell r="N883" t="str">
            <v>JABATAN OBSTETRIK &amp; GINEKOLOGI</v>
          </cell>
          <cell r="O883" t="str">
            <v>Klinik Obstetrik Ginekologi (O&amp;G CLINIC)</v>
          </cell>
        </row>
        <row r="884">
          <cell r="D884" t="str">
            <v>KKM/JKN/HSA/10-05-01/R/15/14861</v>
          </cell>
          <cell r="E884" t="str">
            <v>BLOOD PRESSURE MONITOR (SPHYGMOMANOMETER)</v>
          </cell>
          <cell r="F884" t="str">
            <v xml:space="preserve"> ANEROID DESK MODEL</v>
          </cell>
          <cell r="G884" t="str">
            <v xml:space="preserve">RIESTER RUDOLF </v>
          </cell>
          <cell r="H884" t="str">
            <v>150311412</v>
          </cell>
          <cell r="I884" t="str">
            <v>ANNUALLY</v>
          </cell>
          <cell r="J884">
            <v>46031</v>
          </cell>
          <cell r="K884"/>
          <cell r="L884"/>
          <cell r="M884"/>
          <cell r="N884" t="str">
            <v>JABATAN OBSTETRIK &amp; GINEKOLOGI</v>
          </cell>
          <cell r="O884" t="str">
            <v>Klinik Obstetrik Ginekologi (O&amp;G CLINIC)</v>
          </cell>
        </row>
        <row r="885">
          <cell r="D885" t="str">
            <v>KKM/JKN/HSA/10-05-01/R/15/14862</v>
          </cell>
          <cell r="E885" t="str">
            <v>BLOOD PRESSURE MONITOR (SPHYGMOMANOMETER)</v>
          </cell>
          <cell r="F885" t="str">
            <v xml:space="preserve"> ANEROID DESK MODEL</v>
          </cell>
          <cell r="G885" t="str">
            <v xml:space="preserve">RIESTER RUDOLF </v>
          </cell>
          <cell r="H885" t="str">
            <v>150311406</v>
          </cell>
          <cell r="I885" t="str">
            <v>ANNUALLY</v>
          </cell>
          <cell r="J885">
            <v>46031</v>
          </cell>
          <cell r="K885"/>
          <cell r="L885"/>
          <cell r="M885"/>
          <cell r="N885" t="str">
            <v>JABATAN OBSTETRIK &amp; GINEKOLOGI</v>
          </cell>
          <cell r="O885" t="str">
            <v>Klinik Obstetrik Ginekologi (O&amp;G CLINIC)</v>
          </cell>
        </row>
        <row r="886">
          <cell r="D886" t="str">
            <v>KKM/JKN/HSA/10-05-01/R/15/14865</v>
          </cell>
          <cell r="E886" t="str">
            <v>BLOOD PRESSURE MONITOR (SPHYGMOMANOMETER)</v>
          </cell>
          <cell r="F886" t="str">
            <v xml:space="preserve"> ANEROID DESK MODEL</v>
          </cell>
          <cell r="G886" t="str">
            <v xml:space="preserve">RIESTER RUDOLF </v>
          </cell>
          <cell r="H886">
            <v>150311420</v>
          </cell>
          <cell r="I886" t="str">
            <v>ANNUALLY</v>
          </cell>
          <cell r="J886">
            <v>45741</v>
          </cell>
          <cell r="K886"/>
          <cell r="L886"/>
          <cell r="M886"/>
          <cell r="N886" t="str">
            <v>JABATAN OBSTETRIK &amp; GINEKOLOGI</v>
          </cell>
          <cell r="O886" t="str">
            <v>Klinik Obstetrik Ginekologi (O&amp;G CLINIC)</v>
          </cell>
        </row>
        <row r="887">
          <cell r="D887" t="str">
            <v>KKM/JKN/HSA/10-05-01/R/15/14866</v>
          </cell>
          <cell r="E887" t="str">
            <v>BLOOD PRESSURE MONITOR (SPHYGMOMANOMETER)</v>
          </cell>
          <cell r="F887" t="str">
            <v xml:space="preserve"> ANEROID DESK MODEL</v>
          </cell>
          <cell r="G887" t="str">
            <v xml:space="preserve">RIESTER RUDOLF </v>
          </cell>
          <cell r="H887">
            <v>150311413</v>
          </cell>
          <cell r="I887" t="str">
            <v>ANNUALLY</v>
          </cell>
          <cell r="J887">
            <v>45741</v>
          </cell>
          <cell r="K887"/>
          <cell r="L887"/>
          <cell r="M887"/>
          <cell r="N887" t="str">
            <v>JABATAN OBSTETRIK &amp; GINEKOLOGI</v>
          </cell>
          <cell r="O887" t="str">
            <v>Klinik Obstetrik Ginekologi (O&amp;G CLINIC)</v>
          </cell>
        </row>
        <row r="888">
          <cell r="D888" t="str">
            <v>KKM/JKN/HSA/10-05-01/R/15/14867</v>
          </cell>
          <cell r="E888" t="str">
            <v>BLOOD PRESSURE MONITOR (SPHYGMOMANOMETER)</v>
          </cell>
          <cell r="F888" t="str">
            <v xml:space="preserve"> ANEROID DESK MODEL</v>
          </cell>
          <cell r="G888" t="str">
            <v xml:space="preserve">RIESTER RUDOLF </v>
          </cell>
          <cell r="H888" t="str">
            <v>N/A</v>
          </cell>
          <cell r="I888" t="str">
            <v>ANNUALLY</v>
          </cell>
          <cell r="J888">
            <v>45726</v>
          </cell>
          <cell r="K888"/>
          <cell r="L888"/>
          <cell r="M888"/>
          <cell r="N888" t="str">
            <v>JABATAN OBSTETRIK &amp; GINEKOLOGI</v>
          </cell>
          <cell r="O888" t="str">
            <v>Klinik Obstetrik Ginekologi (O&amp;G CLINIC)</v>
          </cell>
        </row>
        <row r="889">
          <cell r="D889" t="str">
            <v>KKM/JKN/HSA/10-05-01/R/15/14868</v>
          </cell>
          <cell r="E889" t="str">
            <v>BLOOD PRESSURE MONITOR (SPHYGMOMANOMETER)</v>
          </cell>
          <cell r="F889" t="str">
            <v xml:space="preserve"> ANEROID DESK MODEL</v>
          </cell>
          <cell r="G889" t="str">
            <v xml:space="preserve">RIESTER RUDOLF </v>
          </cell>
          <cell r="H889" t="str">
            <v>N/A</v>
          </cell>
          <cell r="I889" t="str">
            <v>ANNUALLY</v>
          </cell>
          <cell r="J889">
            <v>45726</v>
          </cell>
          <cell r="K889"/>
          <cell r="L889"/>
          <cell r="M889"/>
          <cell r="N889" t="str">
            <v>JABATAN OBSTETRIK &amp; GINEKOLOGI</v>
          </cell>
          <cell r="O889" t="str">
            <v>Klinik Obstetrik Ginekologi (O&amp;G CLINIC)</v>
          </cell>
        </row>
        <row r="890">
          <cell r="D890" t="str">
            <v>KKM/JKN/HSA/10-05-01/R/15/14869</v>
          </cell>
          <cell r="E890" t="str">
            <v>BLOOD PRESSURE MONITOR (SPHYGMOMANOMETER)</v>
          </cell>
          <cell r="F890" t="str">
            <v xml:space="preserve"> ANEROID DESK MODEL</v>
          </cell>
          <cell r="G890" t="str">
            <v>RIESTER RUDOLF / BIG BEN ROUND</v>
          </cell>
          <cell r="H890" t="str">
            <v>150311436</v>
          </cell>
          <cell r="I890" t="str">
            <v>ANNUALLY</v>
          </cell>
          <cell r="J890">
            <v>45726</v>
          </cell>
          <cell r="K890"/>
          <cell r="L890"/>
          <cell r="M890"/>
          <cell r="N890" t="str">
            <v>JABATAN OBSTETRIK &amp; GINEKOLOGI</v>
          </cell>
          <cell r="O890" t="str">
            <v>Klinik Obstetrik Ginekologi (O&amp;G CLINIC)</v>
          </cell>
        </row>
        <row r="891">
          <cell r="D891" t="str">
            <v>KKM/JKN/HSA/10-05-01/R/15/14871</v>
          </cell>
          <cell r="E891" t="str">
            <v>BLOOD PRESSURE MONITOR (SPHYGMOMANOMETER)</v>
          </cell>
          <cell r="F891" t="str">
            <v xml:space="preserve"> ANEROID DESK MODEL</v>
          </cell>
          <cell r="G891" t="str">
            <v xml:space="preserve">RIESTER RUDOLF </v>
          </cell>
          <cell r="H891" t="str">
            <v>NOT AVAILABLE</v>
          </cell>
          <cell r="I891" t="str">
            <v>ANNUALLY</v>
          </cell>
          <cell r="J891">
            <v>46035</v>
          </cell>
          <cell r="K891"/>
          <cell r="L891"/>
          <cell r="M891"/>
          <cell r="N891" t="str">
            <v>JABATAN OBSTETRIK &amp; GINEKOLOGI</v>
          </cell>
          <cell r="O891" t="str">
            <v>Klinik Obstetrik Ginekologi (O&amp;G CLINIC)</v>
          </cell>
        </row>
        <row r="892">
          <cell r="D892" t="str">
            <v>KKM/JKN/HSA/10-05-01/R/15/14872</v>
          </cell>
          <cell r="E892" t="str">
            <v>BLOOD PRESSURE MONITOR (SPHYGMOMANOMETER)</v>
          </cell>
          <cell r="F892" t="str">
            <v xml:space="preserve"> ANEROID DESK MODEL</v>
          </cell>
          <cell r="G892" t="str">
            <v xml:space="preserve">RIESTER RUDOLF </v>
          </cell>
          <cell r="H892" t="str">
            <v>NOT AVAILABLE</v>
          </cell>
          <cell r="I892" t="str">
            <v>ANNUALLY</v>
          </cell>
          <cell r="J892">
            <v>46035</v>
          </cell>
          <cell r="K892"/>
          <cell r="L892"/>
          <cell r="M892"/>
          <cell r="N892" t="str">
            <v>JABATAN OBSTETRIK &amp; GINEKOLOGI</v>
          </cell>
          <cell r="O892" t="str">
            <v>Klinik Obstetrik Ginekologi (O&amp;G CLINIC)</v>
          </cell>
        </row>
        <row r="893">
          <cell r="D893" t="str">
            <v>KKM/JKN/HSA/10-05-01/R/15/14873</v>
          </cell>
          <cell r="E893" t="str">
            <v>BLOOD PRESSURE MONITOR (SPHYGMOMANOMETER)</v>
          </cell>
          <cell r="F893" t="str">
            <v xml:space="preserve"> ANEROID DESK MODEL</v>
          </cell>
          <cell r="G893" t="str">
            <v xml:space="preserve">RIESTER RUDOLF </v>
          </cell>
          <cell r="H893" t="str">
            <v>150311424</v>
          </cell>
          <cell r="I893" t="str">
            <v>ANNUALLY</v>
          </cell>
          <cell r="J893">
            <v>46035</v>
          </cell>
          <cell r="K893"/>
          <cell r="L893"/>
          <cell r="M893"/>
          <cell r="N893" t="str">
            <v>JABATAN OBSTETRIK &amp; GINEKOLOGI</v>
          </cell>
          <cell r="O893" t="str">
            <v>Klinik Obstetrik Ginekologi (O&amp;G CLINIC)</v>
          </cell>
        </row>
        <row r="894">
          <cell r="D894" t="str">
            <v>KKM/JKN/HSA/10-05-01/R/15/14874</v>
          </cell>
          <cell r="E894" t="str">
            <v>BLOOD PRESSURE MONITOR (SPHYGMOMANOMETER)</v>
          </cell>
          <cell r="F894" t="str">
            <v xml:space="preserve"> ANEROID DESK MODEL</v>
          </cell>
          <cell r="G894" t="str">
            <v xml:space="preserve">RIESTER RUDOLF </v>
          </cell>
          <cell r="H894" t="str">
            <v>150311445</v>
          </cell>
          <cell r="I894" t="str">
            <v>ANNUALLY</v>
          </cell>
          <cell r="J894">
            <v>46036</v>
          </cell>
          <cell r="K894"/>
          <cell r="L894"/>
          <cell r="M894"/>
          <cell r="N894" t="str">
            <v>JABATAN OBSTETRIK &amp; GINEKOLOGI</v>
          </cell>
          <cell r="O894" t="str">
            <v>Klinik Obstetrik Ginekologi (O&amp;G CLINIC)</v>
          </cell>
        </row>
        <row r="895">
          <cell r="D895" t="str">
            <v>KKM/JKN/HSA/10-05-01/R/15/14876</v>
          </cell>
          <cell r="E895" t="str">
            <v>BLOOD PRESSURE MONITOR (SPHYGMOMANOMETER)</v>
          </cell>
          <cell r="F895" t="str">
            <v xml:space="preserve"> ANEROID DESK MODEL</v>
          </cell>
          <cell r="G895" t="str">
            <v xml:space="preserve">RIESTER RUDOLF </v>
          </cell>
          <cell r="H895" t="str">
            <v>150311443</v>
          </cell>
          <cell r="I895" t="str">
            <v>ANNUALLY</v>
          </cell>
          <cell r="J895">
            <v>46036</v>
          </cell>
          <cell r="K895"/>
          <cell r="L895"/>
          <cell r="M895"/>
          <cell r="N895" t="str">
            <v>JABATAN OBSTETRIK &amp; GINEKOLOGI</v>
          </cell>
          <cell r="O895" t="str">
            <v>Klinik Obstetrik Ginekologi (O&amp;G CLINIC)</v>
          </cell>
        </row>
        <row r="896">
          <cell r="D896" t="str">
            <v>KKM/JKN/HSA/10-05-01/R/15/15101</v>
          </cell>
          <cell r="E896" t="str">
            <v>PORTABLE FETAL DOPPLER/CAPNOGRAPH</v>
          </cell>
          <cell r="F896" t="str">
            <v>SONOTRAX</v>
          </cell>
          <cell r="G896" t="str">
            <v>SONOTRAX BASIC</v>
          </cell>
          <cell r="H896" t="str">
            <v>504106-M138000820022</v>
          </cell>
          <cell r="I896" t="str">
            <v>ANNUALLY</v>
          </cell>
          <cell r="J896">
            <v>46038</v>
          </cell>
          <cell r="K896"/>
          <cell r="L896"/>
          <cell r="M896"/>
          <cell r="N896" t="str">
            <v>JABATAN OBSTETRIK &amp; GINEKOLOGI</v>
          </cell>
          <cell r="O896" t="str">
            <v>Klinik Obstetrik Ginekologi (O&amp;G CLINIC)</v>
          </cell>
        </row>
        <row r="897">
          <cell r="D897" t="str">
            <v>KKM/JKN/HSA/10-05-01/R/15/15103</v>
          </cell>
          <cell r="E897" t="str">
            <v>PORTABLE FETAL DOPPLER/CAPNOGRAPH</v>
          </cell>
          <cell r="F897" t="str">
            <v>SONOTRAX</v>
          </cell>
          <cell r="G897" t="str">
            <v>SONOTRAX BASIC</v>
          </cell>
          <cell r="H897" t="str">
            <v>N/A</v>
          </cell>
          <cell r="I897" t="str">
            <v>ANNUALLY</v>
          </cell>
          <cell r="J897">
            <v>46044</v>
          </cell>
          <cell r="K897"/>
          <cell r="L897"/>
          <cell r="M897"/>
          <cell r="N897" t="str">
            <v>JABATAN OBSTETRIK &amp; GINEKOLOGI</v>
          </cell>
          <cell r="O897" t="str">
            <v>Klinik Obstetrik Ginekologi (O&amp;G CLINIC)</v>
          </cell>
        </row>
        <row r="898">
          <cell r="D898" t="str">
            <v>KKM/JKN/HSA/10-05-01/R/15/15104</v>
          </cell>
          <cell r="E898" t="str">
            <v>PORTABLE FETAL DOPPLER/CAPNOGRAPH</v>
          </cell>
          <cell r="F898" t="str">
            <v>SONOTRAX</v>
          </cell>
          <cell r="G898" t="str">
            <v>SONOTRAX BASIC</v>
          </cell>
          <cell r="H898" t="str">
            <v>504106-M13800820023</v>
          </cell>
          <cell r="I898" t="str">
            <v>ANNUALLY</v>
          </cell>
          <cell r="J898">
            <v>46044</v>
          </cell>
          <cell r="K898"/>
          <cell r="L898"/>
          <cell r="M898"/>
          <cell r="N898" t="str">
            <v>JABATAN OBSTETRIK &amp; GINEKOLOGI</v>
          </cell>
          <cell r="O898" t="str">
            <v>Klinik Obstetrik Ginekologi (O&amp;G CLINIC)</v>
          </cell>
        </row>
        <row r="899">
          <cell r="D899" t="str">
            <v>KKM/JKN/HSA/10-05-01/R/15/15105</v>
          </cell>
          <cell r="E899" t="str">
            <v>PORTABLE FETAL DOPPLER/CAPNOGRAPH</v>
          </cell>
          <cell r="F899" t="str">
            <v>EDAN INSTRUMENTS</v>
          </cell>
          <cell r="G899" t="str">
            <v>SONOTRAX BASIC</v>
          </cell>
          <cell r="H899" t="str">
            <v>N/A</v>
          </cell>
          <cell r="I899" t="str">
            <v>ANNUALLY</v>
          </cell>
          <cell r="J899">
            <v>46049</v>
          </cell>
          <cell r="K899"/>
          <cell r="L899"/>
          <cell r="M899"/>
          <cell r="N899" t="str">
            <v>JABATAN OBSTETRIK &amp; GINEKOLOGI</v>
          </cell>
          <cell r="O899" t="str">
            <v>Klinik Obstetrik Ginekologi (O&amp;G CLINIC)</v>
          </cell>
        </row>
        <row r="900">
          <cell r="D900" t="str">
            <v>KKM/JKN/HSA/10-05-01/R/15/16149</v>
          </cell>
          <cell r="E900" t="str">
            <v>NEBULIZER</v>
          </cell>
          <cell r="F900" t="str">
            <v>PHILIPS</v>
          </cell>
          <cell r="G900" t="str">
            <v>INNOSPIRE DELUXE (UK PLUG)</v>
          </cell>
          <cell r="H900" t="str">
            <v>022847</v>
          </cell>
          <cell r="I900" t="str">
            <v>ANNUALLY</v>
          </cell>
          <cell r="J900">
            <v>45719</v>
          </cell>
          <cell r="K900"/>
          <cell r="L900"/>
          <cell r="M900"/>
          <cell r="N900" t="str">
            <v>JABATAN OBSTETRIK &amp; GINEKOLOGI</v>
          </cell>
          <cell r="O900" t="str">
            <v>Klinik Obstetrik Ginekologi (O&amp;G CLINIC)</v>
          </cell>
        </row>
        <row r="901">
          <cell r="D901" t="str">
            <v>KKM/JKN/HSA/10-05-01/R/15/16386</v>
          </cell>
          <cell r="E901" t="str">
            <v>PATIENT MONITORING EQUIP.(AUTOMATIC MULTIPARAMETER)</v>
          </cell>
          <cell r="F901" t="str">
            <v>WELCH ALLYN</v>
          </cell>
          <cell r="G901" t="str">
            <v>PROBP 3400 SERIES</v>
          </cell>
          <cell r="H901" t="str">
            <v>100055142814</v>
          </cell>
          <cell r="I901" t="str">
            <v>ANNUALLY</v>
          </cell>
          <cell r="J901">
            <v>45875</v>
          </cell>
          <cell r="K901"/>
          <cell r="L901"/>
          <cell r="M901"/>
          <cell r="N901" t="str">
            <v>JABATAN OBSTETRIK &amp; GINEKOLOGI</v>
          </cell>
          <cell r="O901" t="str">
            <v>Klinik Obstetrik Ginekologi (O&amp;G CLINIC)</v>
          </cell>
        </row>
        <row r="902">
          <cell r="D902" t="str">
            <v>KKM/JKN/HSA/10-05-01/R/15/6758</v>
          </cell>
          <cell r="E902" t="str">
            <v>DIAGNOSTIC SET</v>
          </cell>
          <cell r="F902" t="str">
            <v>WELCH ALLYN</v>
          </cell>
          <cell r="G902" t="str">
            <v>N/A</v>
          </cell>
          <cell r="H902" t="str">
            <v>N/A</v>
          </cell>
          <cell r="I902" t="str">
            <v>ANNUALLY</v>
          </cell>
          <cell r="J902">
            <v>45763</v>
          </cell>
          <cell r="K902"/>
          <cell r="L902"/>
          <cell r="M902"/>
          <cell r="N902" t="str">
            <v>JABATAN OBSTETRIK &amp; GINEKOLOGI</v>
          </cell>
          <cell r="O902" t="str">
            <v>Klinik Obstetrik Ginekologi (O&amp;G CLINIC)</v>
          </cell>
        </row>
        <row r="903">
          <cell r="D903" t="str">
            <v>KKM/JKN/HSA/10-05-01/R/15/7144</v>
          </cell>
          <cell r="E903" t="str">
            <v>PATIENT MONITORING EQUIP.(AUTOMATIC MULTIPARAMETER)</v>
          </cell>
          <cell r="F903" t="str">
            <v>WELCH ALLYN</v>
          </cell>
          <cell r="G903" t="str">
            <v>WELCH ALLYN VSM 300</v>
          </cell>
          <cell r="H903" t="str">
            <v>JA123430</v>
          </cell>
          <cell r="I903" t="str">
            <v>ANNUALLY</v>
          </cell>
          <cell r="J903">
            <v>46052</v>
          </cell>
          <cell r="K903"/>
          <cell r="L903"/>
          <cell r="M903"/>
          <cell r="N903" t="str">
            <v>JABATAN OBSTETRIK &amp; GINEKOLOGI</v>
          </cell>
          <cell r="O903" t="str">
            <v>Klinik Obstetrik Ginekologi (O&amp;G CLINIC)</v>
          </cell>
        </row>
        <row r="904">
          <cell r="D904" t="str">
            <v>KKM/JKN/HSA/10-05-01/H/16/89</v>
          </cell>
          <cell r="E904" t="str">
            <v xml:space="preserve">PULSE OXIMETER AND SIMULATOR </v>
          </cell>
          <cell r="F904" t="str">
            <v xml:space="preserve">MASIMO </v>
          </cell>
          <cell r="G904" t="str">
            <v>R2932-RADICAL 7TS</v>
          </cell>
          <cell r="H904" t="str">
            <v>N/A</v>
          </cell>
          <cell r="I904" t="str">
            <v>ANNUALLY</v>
          </cell>
          <cell r="J904">
            <v>45690</v>
          </cell>
          <cell r="K904"/>
          <cell r="L904"/>
          <cell r="M904"/>
          <cell r="N904" t="str">
            <v>JABATAN OBSTETRIK &amp; GINEKOLOGI</v>
          </cell>
          <cell r="O904" t="str">
            <v>Klinik Obstetrik Ginekologi (O&amp;G CLINIC)</v>
          </cell>
        </row>
        <row r="905">
          <cell r="D905" t="str">
            <v>KKM/JKN/HSA/10-05-01/H/16/90</v>
          </cell>
          <cell r="E905" t="str">
            <v xml:space="preserve">PULSE OXIMETER AND SIMULATOR </v>
          </cell>
          <cell r="F905" t="str">
            <v xml:space="preserve">MASIMO </v>
          </cell>
          <cell r="G905" t="str">
            <v>R2932-RADICAL 7TS</v>
          </cell>
          <cell r="H905" t="str">
            <v>N/A</v>
          </cell>
          <cell r="I905" t="str">
            <v>ANNUALLY</v>
          </cell>
          <cell r="J905">
            <v>45690</v>
          </cell>
          <cell r="K905"/>
          <cell r="L905"/>
          <cell r="M905"/>
          <cell r="N905" t="str">
            <v>JABATAN OBSTETRIK &amp; GINEKOLOGI</v>
          </cell>
          <cell r="O905" t="str">
            <v>Klinik Obstetrik Ginekologi (O&amp;G CLINIC)</v>
          </cell>
        </row>
        <row r="906">
          <cell r="D906" t="str">
            <v>KKM/JKN/HSA/10-05-01/H/20/232</v>
          </cell>
          <cell r="E906" t="str">
            <v>SYRINGE INFUSION PUMP</v>
          </cell>
          <cell r="F906" t="str">
            <v>MINDRAY</v>
          </cell>
          <cell r="G906" t="str">
            <v>SP3</v>
          </cell>
          <cell r="H906" t="str">
            <v>SK00416838</v>
          </cell>
          <cell r="I906" t="str">
            <v>ANNUALLY</v>
          </cell>
          <cell r="J906">
            <v>45690</v>
          </cell>
          <cell r="K906"/>
          <cell r="L906"/>
          <cell r="M906"/>
          <cell r="N906" t="str">
            <v>JABATAN OBSTETRIK &amp; GINEKOLOGI</v>
          </cell>
          <cell r="O906" t="str">
            <v>Klinik Obstetrik Ginekologi (O&amp;G CLINIC)</v>
          </cell>
        </row>
        <row r="907">
          <cell r="D907" t="str">
            <v>KKM/JKN/HSA/10-05-01/H/20/233</v>
          </cell>
          <cell r="E907" t="str">
            <v>SYRINGE INFUSION PUMP</v>
          </cell>
          <cell r="F907" t="str">
            <v>MINDRAY</v>
          </cell>
          <cell r="G907" t="str">
            <v>SP3</v>
          </cell>
          <cell r="H907" t="str">
            <v>SK00416870</v>
          </cell>
          <cell r="I907" t="str">
            <v>ANNUALLY</v>
          </cell>
          <cell r="J907">
            <v>45690</v>
          </cell>
          <cell r="K907"/>
          <cell r="L907"/>
          <cell r="M907"/>
          <cell r="N907" t="str">
            <v>JABATAN OBSTETRIK &amp; GINEKOLOGI</v>
          </cell>
          <cell r="O907" t="str">
            <v>Klinik Obstetrik Ginekologi (O&amp;G CLINIC)</v>
          </cell>
        </row>
        <row r="908">
          <cell r="D908" t="str">
            <v>KKM/JKN/HSA/10-05-01/H/20/175</v>
          </cell>
          <cell r="E908" t="str">
            <v xml:space="preserve">ECG (EKG) MACHINE </v>
          </cell>
          <cell r="F908" t="str">
            <v>MINDRAY</v>
          </cell>
          <cell r="G908" t="str">
            <v>BENEHEART R3A</v>
          </cell>
          <cell r="H908" t="str">
            <v>FK-04022644</v>
          </cell>
          <cell r="I908" t="str">
            <v>ANNUALLY</v>
          </cell>
          <cell r="J908">
            <v>45748</v>
          </cell>
          <cell r="K908"/>
          <cell r="L908"/>
          <cell r="M908"/>
          <cell r="N908" t="str">
            <v>JABATAN OBSTETRIK &amp; GINEKOLOGI</v>
          </cell>
          <cell r="O908" t="str">
            <v>Klinik Obstetrik Ginekologi (O&amp;G CLINIC)</v>
          </cell>
        </row>
        <row r="909">
          <cell r="D909" t="str">
            <v>HSAS10047</v>
          </cell>
          <cell r="E909" t="str">
            <v>OPHTHALMOSCOPE W/RECHARGABLE HANDLE</v>
          </cell>
          <cell r="F909" t="str">
            <v>RUDOLF RIESTER, GMBH</v>
          </cell>
          <cell r="G909" t="str">
            <v>RI SCOPE L OPTHALMOSCOPE L3</v>
          </cell>
          <cell r="H909" t="str">
            <v>N/A</v>
          </cell>
          <cell r="I909" t="str">
            <v>ANNUALLY</v>
          </cell>
          <cell r="J909">
            <v>45978</v>
          </cell>
          <cell r="K909"/>
          <cell r="L909"/>
          <cell r="M909"/>
          <cell r="N909" t="str">
            <v>JABATAN OFTALMOLOGI</v>
          </cell>
          <cell r="O909" t="str">
            <v>Klinik Oftalmologi (OPHTHAL CLINIC)</v>
          </cell>
        </row>
        <row r="910">
          <cell r="D910" t="str">
            <v>HSAS10048</v>
          </cell>
          <cell r="E910" t="str">
            <v>OPHTHALMOSCOPE W/RECHARGABLE HANDLE</v>
          </cell>
          <cell r="F910" t="str">
            <v>RUDOLF RIESTER, GMBH</v>
          </cell>
          <cell r="G910" t="str">
            <v>RI SCOPE L OPTHALMOSCOPE L3</v>
          </cell>
          <cell r="H910" t="str">
            <v>N/A</v>
          </cell>
          <cell r="I910" t="str">
            <v>ANNUALLY</v>
          </cell>
          <cell r="J910">
            <v>45978</v>
          </cell>
          <cell r="K910"/>
          <cell r="L910"/>
          <cell r="M910"/>
          <cell r="N910" t="str">
            <v>JABATAN OFTALMOLOGI</v>
          </cell>
          <cell r="O910" t="str">
            <v>Klinik Oftalmologi (OPHTHAL CLINIC)</v>
          </cell>
        </row>
        <row r="911">
          <cell r="D911" t="str">
            <v>HSAS10049</v>
          </cell>
          <cell r="E911" t="str">
            <v>OPHTHALMOSCOPE W/RECHARGABLE HANDLE</v>
          </cell>
          <cell r="F911" t="str">
            <v>RUDOLF RIESTER, GMBH</v>
          </cell>
          <cell r="G911" t="str">
            <v>RI SCOPE L OPTHALMOSCOPE L3</v>
          </cell>
          <cell r="H911" t="str">
            <v>N/A</v>
          </cell>
          <cell r="I911" t="str">
            <v>ANNUALLY</v>
          </cell>
          <cell r="J911">
            <v>45914</v>
          </cell>
          <cell r="K911"/>
          <cell r="L911"/>
          <cell r="M911"/>
          <cell r="N911" t="str">
            <v>JABATAN OFTALMOLOGI</v>
          </cell>
          <cell r="O911" t="str">
            <v>Klinik Oftalmologi (OPHTHAL CLINIC)</v>
          </cell>
        </row>
        <row r="912">
          <cell r="D912" t="str">
            <v>HSAS10060</v>
          </cell>
          <cell r="E912" t="str">
            <v>OPHTHALMASCOPE INDIRECT/20/28D LENS</v>
          </cell>
          <cell r="F912" t="str">
            <v>NEITZ</v>
          </cell>
          <cell r="G912" t="str">
            <v>IO-ALPHA</v>
          </cell>
          <cell r="H912" t="str">
            <v>N/A</v>
          </cell>
          <cell r="I912" t="str">
            <v>ANNUALLY</v>
          </cell>
          <cell r="J912">
            <v>45919</v>
          </cell>
          <cell r="K912"/>
          <cell r="L912"/>
          <cell r="M912"/>
          <cell r="N912" t="str">
            <v>JABATAN OFTALMOLOGI</v>
          </cell>
          <cell r="O912" t="str">
            <v>Klinik Oftalmologi (OPHTHAL CLINIC)</v>
          </cell>
        </row>
        <row r="913">
          <cell r="D913" t="str">
            <v>HSAS10061</v>
          </cell>
          <cell r="E913" t="str">
            <v>OPHTHALMASCOPE INDIRECT/20/28D LENS</v>
          </cell>
          <cell r="F913" t="str">
            <v>NEITZ</v>
          </cell>
          <cell r="G913" t="str">
            <v>IO-ALPHA</v>
          </cell>
          <cell r="H913" t="str">
            <v>N/A</v>
          </cell>
          <cell r="I913" t="str">
            <v>ANNUALLY</v>
          </cell>
          <cell r="J913">
            <v>45919</v>
          </cell>
          <cell r="K913"/>
          <cell r="L913"/>
          <cell r="M913"/>
          <cell r="N913" t="str">
            <v>JABATAN OFTALMOLOGI</v>
          </cell>
          <cell r="O913" t="str">
            <v>Klinik Oftalmologi (OPHTHAL CLINIC)</v>
          </cell>
        </row>
        <row r="914">
          <cell r="D914" t="str">
            <v>KKM/JKN/HSA/10-05-01/H/15/2832</v>
          </cell>
          <cell r="E914" t="str">
            <v>LAMP SLIT/TONOMETER/3 MIRROR/LENSES</v>
          </cell>
          <cell r="F914" t="str">
            <v xml:space="preserve">INAMI </v>
          </cell>
          <cell r="G914" t="str">
            <v>L-0189</v>
          </cell>
          <cell r="H914" t="str">
            <v>JO140600053</v>
          </cell>
          <cell r="I914" t="str">
            <v>ANNUALLY</v>
          </cell>
          <cell r="J914">
            <v>45888</v>
          </cell>
          <cell r="K914"/>
          <cell r="L914"/>
          <cell r="M914"/>
          <cell r="N914" t="str">
            <v>JABATAN OFTALMOLOGI</v>
          </cell>
          <cell r="O914" t="str">
            <v>Klinik Oftalmologi (OPHTHAL CLINIC)</v>
          </cell>
        </row>
        <row r="915">
          <cell r="D915" t="str">
            <v>KKM/JKN/HSA/10-05-01/H/15/4125</v>
          </cell>
          <cell r="E915" t="str">
            <v>FOCIMETER (LENSOMETER)</v>
          </cell>
          <cell r="F915" t="str">
            <v xml:space="preserve">HUVITZ </v>
          </cell>
          <cell r="G915" t="str">
            <v>CLM-3100</v>
          </cell>
          <cell r="H915" t="str">
            <v>36D00D14F0003P</v>
          </cell>
          <cell r="I915" t="str">
            <v>ANNUALLY</v>
          </cell>
          <cell r="J915">
            <v>45806</v>
          </cell>
          <cell r="K915"/>
          <cell r="L915"/>
          <cell r="M915"/>
          <cell r="N915" t="str">
            <v>JABATAN OFTALMOLOGI</v>
          </cell>
          <cell r="O915" t="str">
            <v>Klinik Oftalmologi (OPHTHAL CLINIC)</v>
          </cell>
        </row>
        <row r="916">
          <cell r="D916" t="str">
            <v>KKM/JKN/HSA/10-05-01/H/15/4343</v>
          </cell>
          <cell r="E916" t="str">
            <v>KERATOMETER</v>
          </cell>
          <cell r="F916" t="str">
            <v>TOPCON</v>
          </cell>
          <cell r="G916" t="str">
            <v>N/A</v>
          </cell>
          <cell r="H916">
            <v>30773933</v>
          </cell>
          <cell r="I916" t="str">
            <v>ANNUALLY</v>
          </cell>
          <cell r="J916">
            <v>45825</v>
          </cell>
          <cell r="K916"/>
          <cell r="L916"/>
          <cell r="M916"/>
          <cell r="N916" t="str">
            <v>JABATAN OFTALMOLOGI</v>
          </cell>
          <cell r="O916" t="str">
            <v>Klinik Oftalmologi (OPHTHAL CLINIC)</v>
          </cell>
        </row>
        <row r="917">
          <cell r="D917" t="str">
            <v>KKM/JKN/HSA/10-05-01/H/15/4344</v>
          </cell>
          <cell r="E917" t="str">
            <v>KERATOMETER</v>
          </cell>
          <cell r="F917" t="str">
            <v>TOPCON</v>
          </cell>
          <cell r="G917" t="str">
            <v>N/A</v>
          </cell>
          <cell r="H917">
            <v>30773932</v>
          </cell>
          <cell r="I917" t="str">
            <v>ANNUALLY</v>
          </cell>
          <cell r="J917">
            <v>45825</v>
          </cell>
          <cell r="K917"/>
          <cell r="L917"/>
          <cell r="M917"/>
          <cell r="N917" t="str">
            <v>JABATAN OFTALMOLOGI</v>
          </cell>
          <cell r="O917" t="str">
            <v>Klinik Oftalmologi (OPHTHAL CLINIC)</v>
          </cell>
        </row>
        <row r="918">
          <cell r="D918" t="str">
            <v>KKM/JKN/HSA/10-05-01/H/15/5044</v>
          </cell>
          <cell r="E918" t="str">
            <v>SCREEN HESS ELECTRIC</v>
          </cell>
          <cell r="F918" t="str">
            <v>CLEMENT CLARKE</v>
          </cell>
          <cell r="G918" t="str">
            <v>690800 ELECTRIC HESS</v>
          </cell>
          <cell r="H918" t="str">
            <v>N/A</v>
          </cell>
          <cell r="I918" t="str">
            <v>ANNUALLY</v>
          </cell>
          <cell r="J918">
            <v>45990</v>
          </cell>
          <cell r="K918"/>
          <cell r="L918"/>
          <cell r="M918"/>
          <cell r="N918" t="str">
            <v>JABATAN OFTALMOLOGI</v>
          </cell>
          <cell r="O918" t="str">
            <v>Klinik Oftalmologi (OPHTHAL CLINIC)</v>
          </cell>
        </row>
        <row r="919">
          <cell r="D919" t="str">
            <v>KKM/JKN/HSA/10-05-01/H/15/5108</v>
          </cell>
          <cell r="E919" t="str">
            <v>LAMP OPERATING MINOR</v>
          </cell>
          <cell r="F919" t="str">
            <v>TRUMPF MEDIZIN</v>
          </cell>
          <cell r="G919" t="str">
            <v>TRULIGHT 3300</v>
          </cell>
          <cell r="H919" t="str">
            <v>102095255</v>
          </cell>
          <cell r="I919" t="str">
            <v>ANNUALLY</v>
          </cell>
          <cell r="J919">
            <v>45740</v>
          </cell>
          <cell r="K919"/>
          <cell r="L919"/>
          <cell r="M919"/>
          <cell r="N919" t="str">
            <v>JABATAN OFTALMOLOGI</v>
          </cell>
          <cell r="O919" t="str">
            <v>Klinik Oftalmologi (OPHTHAL CLINIC)</v>
          </cell>
        </row>
        <row r="920">
          <cell r="D920" t="str">
            <v>KKM/JKN/HSA/10-05-01/H/17/37</v>
          </cell>
          <cell r="E920" t="str">
            <v>ECG  (EKG) MACHINE</v>
          </cell>
          <cell r="F920" t="str">
            <v>VICTOR</v>
          </cell>
          <cell r="G920" t="str">
            <v xml:space="preserve"> VE-1203 C</v>
          </cell>
          <cell r="H920">
            <v>20150307082</v>
          </cell>
          <cell r="I920" t="str">
            <v>ANNUALLY</v>
          </cell>
          <cell r="J920">
            <v>45891</v>
          </cell>
          <cell r="K920"/>
          <cell r="L920"/>
          <cell r="M920"/>
          <cell r="N920" t="str">
            <v>JABATAN OFTALMOLOGI</v>
          </cell>
          <cell r="O920" t="str">
            <v>Klinik Oftalmologi (OPHTHAL CLINIC)</v>
          </cell>
        </row>
        <row r="921">
          <cell r="D921" t="str">
            <v>KKM/JKN/HSA/10-05-01/R/15/15921</v>
          </cell>
          <cell r="E921" t="str">
            <v>LOUPE BINOCULAR</v>
          </cell>
          <cell r="F921" t="str">
            <v>NEOPUFF</v>
          </cell>
          <cell r="G921" t="str">
            <v>NEITZ</v>
          </cell>
          <cell r="H921" t="str">
            <v>Y12032</v>
          </cell>
          <cell r="I921" t="str">
            <v>ANNUALLY</v>
          </cell>
          <cell r="J921">
            <v>45906</v>
          </cell>
          <cell r="K921"/>
          <cell r="L921"/>
          <cell r="M921"/>
          <cell r="N921" t="str">
            <v>JABATAN OFTALMOLOGI</v>
          </cell>
          <cell r="O921" t="str">
            <v>Klinik Oftalmologi (OPHTHAL CLINIC)</v>
          </cell>
        </row>
        <row r="922">
          <cell r="D922" t="str">
            <v>KKM/JKN/HSA/10-05-01/R/15/17201</v>
          </cell>
          <cell r="E922" t="str">
            <v>LOUPE BINOCULAR</v>
          </cell>
          <cell r="F922" t="str">
            <v>NEITZ</v>
          </cell>
          <cell r="G922" t="str">
            <v>N/A</v>
          </cell>
          <cell r="H922" t="str">
            <v>Z06014</v>
          </cell>
          <cell r="I922" t="str">
            <v>ANNUALLY</v>
          </cell>
          <cell r="J922">
            <v>45875</v>
          </cell>
          <cell r="K922"/>
          <cell r="L922"/>
          <cell r="M922"/>
          <cell r="N922" t="str">
            <v>JABATAN OFTALMOLOGI</v>
          </cell>
          <cell r="O922" t="str">
            <v>Klinik Oftalmologi (OPHTHAL CLINIC)</v>
          </cell>
        </row>
        <row r="923">
          <cell r="D923" t="str">
            <v>KKM/JKN/HSA/10-05-01/R/15/17210</v>
          </cell>
          <cell r="E923" t="str">
            <v>LOUPE BINOCULAR</v>
          </cell>
          <cell r="F923" t="str">
            <v>NEITZ</v>
          </cell>
          <cell r="G923" t="str">
            <v>N/A</v>
          </cell>
          <cell r="H923" t="str">
            <v>Y12032</v>
          </cell>
          <cell r="I923" t="str">
            <v>ANNUALLY</v>
          </cell>
          <cell r="J923">
            <v>45888</v>
          </cell>
          <cell r="K923"/>
          <cell r="L923"/>
          <cell r="M923"/>
          <cell r="N923" t="str">
            <v>JABATAN OFTALMOLOGI</v>
          </cell>
          <cell r="O923" t="str">
            <v>Klinik Oftalmologi (OPHTHAL CLINIC)</v>
          </cell>
        </row>
        <row r="924">
          <cell r="D924" t="str">
            <v>KKM/JKN/HSA/10-05-01/H/15/1598</v>
          </cell>
          <cell r="E924" t="str">
            <v>PATIENT MONITORING EQUIP.(AUTOMATIC MULTIPARAMETER)</v>
          </cell>
          <cell r="F924" t="str">
            <v>WELCH ALLYN</v>
          </cell>
          <cell r="G924" t="str">
            <v>WELCH ALLYN VSM 300</v>
          </cell>
          <cell r="H924" t="str">
            <v>JA123447</v>
          </cell>
          <cell r="I924" t="str">
            <v>ANNUALLY</v>
          </cell>
          <cell r="J924">
            <v>45849</v>
          </cell>
          <cell r="K924"/>
          <cell r="L924"/>
          <cell r="M924"/>
          <cell r="N924" t="str">
            <v>JABATAN OFTALMOLOGI</v>
          </cell>
          <cell r="O924" t="str">
            <v>Klinik Oftalmologi (OPHTHAL CLINIC)</v>
          </cell>
        </row>
        <row r="925">
          <cell r="D925" t="str">
            <v>KKM/JKN/HSA/10-05-01/H/15/2052</v>
          </cell>
          <cell r="E925" t="str">
            <v>KERATOMETER/REFRACTOMETER</v>
          </cell>
          <cell r="F925" t="str">
            <v>RIGHTON</v>
          </cell>
          <cell r="G925" t="str">
            <v>RETINOMAX K-PLUS 3</v>
          </cell>
          <cell r="H925" t="str">
            <v>2203648</v>
          </cell>
          <cell r="I925" t="str">
            <v>ANNUALLY</v>
          </cell>
          <cell r="J925">
            <v>46002</v>
          </cell>
          <cell r="K925"/>
          <cell r="L925"/>
          <cell r="M925"/>
          <cell r="N925" t="str">
            <v>JABATAN OFTALMOLOGI</v>
          </cell>
          <cell r="O925" t="str">
            <v>Klinik Oftalmologi (OPHTHAL CLINIC)</v>
          </cell>
        </row>
        <row r="926">
          <cell r="D926" t="str">
            <v>KKM/JKN/HSA/10-05-01/H/15/2053</v>
          </cell>
          <cell r="E926" t="str">
            <v>KERATOMETER/REFRACTOMETER</v>
          </cell>
          <cell r="F926" t="str">
            <v>RIGHTON</v>
          </cell>
          <cell r="G926" t="str">
            <v>RETINOMAX K-PLUS 3</v>
          </cell>
          <cell r="H926" t="str">
            <v>3073932</v>
          </cell>
          <cell r="I926" t="str">
            <v>ANNUALLY</v>
          </cell>
          <cell r="J926">
            <v>46002</v>
          </cell>
          <cell r="K926"/>
          <cell r="L926"/>
          <cell r="M926"/>
          <cell r="N926" t="str">
            <v>JABATAN OFTALMOLOGI</v>
          </cell>
          <cell r="O926" t="str">
            <v>Klinik Oftalmologi (OPHTHAL CLINIC)</v>
          </cell>
        </row>
        <row r="927">
          <cell r="D927" t="str">
            <v>KKM/JKN/HSA/10-05-01/H/15/2073</v>
          </cell>
          <cell r="E927" t="str">
            <v>VISUAL ACUITY TEST CHART</v>
          </cell>
          <cell r="F927" t="str">
            <v>NIDEK</v>
          </cell>
          <cell r="G927" t="str">
            <v>CP770</v>
          </cell>
          <cell r="H927" t="str">
            <v>124327</v>
          </cell>
          <cell r="I927" t="str">
            <v>ANNUALLY</v>
          </cell>
          <cell r="J927">
            <v>45999</v>
          </cell>
          <cell r="K927"/>
          <cell r="L927"/>
          <cell r="M927"/>
          <cell r="N927" t="str">
            <v>JABATAN OFTALMOLOGI</v>
          </cell>
          <cell r="O927" t="str">
            <v>Klinik Oftalmologi (OPHTHAL CLINIC)</v>
          </cell>
        </row>
        <row r="928">
          <cell r="D928" t="str">
            <v>KKM/JKN/HSA/10-05-01/H/15/2074</v>
          </cell>
          <cell r="E928" t="str">
            <v>VISUAL ACUITY TEST CHART</v>
          </cell>
          <cell r="F928" t="str">
            <v>NIDEK</v>
          </cell>
          <cell r="G928" t="str">
            <v>CP770</v>
          </cell>
          <cell r="H928" t="str">
            <v>16588</v>
          </cell>
          <cell r="I928" t="str">
            <v>ANNUALLY</v>
          </cell>
          <cell r="J928">
            <v>45999</v>
          </cell>
          <cell r="K928"/>
          <cell r="L928"/>
          <cell r="M928"/>
          <cell r="N928" t="str">
            <v>JABATAN OFTALMOLOGI</v>
          </cell>
          <cell r="O928" t="str">
            <v>Klinik Oftalmologi (OPHTHAL CLINIC)</v>
          </cell>
        </row>
        <row r="929">
          <cell r="D929" t="str">
            <v>KKM/JKN/HSA/10-05-01/H/15/2075</v>
          </cell>
          <cell r="E929" t="str">
            <v>VISUAL ACUITY TEST CHART</v>
          </cell>
          <cell r="F929" t="str">
            <v>NIDEK</v>
          </cell>
          <cell r="G929" t="str">
            <v>CP770</v>
          </cell>
          <cell r="H929" t="str">
            <v>124324</v>
          </cell>
          <cell r="I929" t="str">
            <v>ANNUALLY</v>
          </cell>
          <cell r="J929">
            <v>45999</v>
          </cell>
          <cell r="K929"/>
          <cell r="L929"/>
          <cell r="M929"/>
          <cell r="N929" t="str">
            <v>JABATAN OFTALMOLOGI</v>
          </cell>
          <cell r="O929" t="str">
            <v>Klinik Oftalmologi (OPHTHAL CLINIC)</v>
          </cell>
        </row>
        <row r="930">
          <cell r="D930" t="str">
            <v>KKM/JKN/HSA/10-05-01/H/15/2076</v>
          </cell>
          <cell r="E930" t="str">
            <v>VISUAL ACUITY TEST CHART</v>
          </cell>
          <cell r="F930" t="str">
            <v>NIDEK</v>
          </cell>
          <cell r="G930" t="str">
            <v>CP770</v>
          </cell>
          <cell r="H930" t="str">
            <v>124325</v>
          </cell>
          <cell r="I930" t="str">
            <v>ANNUALLY</v>
          </cell>
          <cell r="J930">
            <v>45999</v>
          </cell>
          <cell r="K930"/>
          <cell r="L930"/>
          <cell r="M930"/>
          <cell r="N930" t="str">
            <v>JABATAN OFTALMOLOGI</v>
          </cell>
          <cell r="O930" t="str">
            <v>Klinik Oftalmologi (OPHTHAL CLINIC)</v>
          </cell>
        </row>
        <row r="931">
          <cell r="D931" t="str">
            <v>KKM/JKN/HSA/10-05-01/H/15/2077</v>
          </cell>
          <cell r="E931" t="str">
            <v>VISUAL ACUITY TEST CHART</v>
          </cell>
          <cell r="F931" t="str">
            <v>NIDEK</v>
          </cell>
          <cell r="G931" t="str">
            <v>CP770</v>
          </cell>
          <cell r="H931" t="str">
            <v>165887</v>
          </cell>
          <cell r="I931" t="str">
            <v>ANNUALLY</v>
          </cell>
          <cell r="J931">
            <v>45999</v>
          </cell>
          <cell r="K931"/>
          <cell r="L931"/>
          <cell r="M931"/>
          <cell r="N931" t="str">
            <v>JABATAN OFTALMOLOGI</v>
          </cell>
          <cell r="O931" t="str">
            <v>Klinik Oftalmologi (OPHTHAL CLINIC)</v>
          </cell>
        </row>
        <row r="932">
          <cell r="D932" t="str">
            <v>KKM/JKN/HSA/10-05-01/H/15/2081</v>
          </cell>
          <cell r="E932" t="str">
            <v>VISUAL ACUITY TEST CHART</v>
          </cell>
          <cell r="F932" t="str">
            <v>NIDEK</v>
          </cell>
          <cell r="G932" t="str">
            <v>CP770</v>
          </cell>
          <cell r="H932" t="str">
            <v>165892</v>
          </cell>
          <cell r="I932" t="str">
            <v>ANNUALLY</v>
          </cell>
          <cell r="J932">
            <v>46000</v>
          </cell>
          <cell r="K932"/>
          <cell r="L932"/>
          <cell r="M932"/>
          <cell r="N932" t="str">
            <v>JABATAN OFTALMOLOGI</v>
          </cell>
          <cell r="O932" t="str">
            <v>Klinik Oftalmologi (OPHTHAL CLINIC)</v>
          </cell>
        </row>
        <row r="933">
          <cell r="D933" t="str">
            <v>KKM/JKN/HSA/10-05-01/H/15/2082</v>
          </cell>
          <cell r="E933" t="str">
            <v>VISUAL ACUITY TEST CHART</v>
          </cell>
          <cell r="F933" t="str">
            <v>NIDEK</v>
          </cell>
          <cell r="G933" t="str">
            <v>CP770</v>
          </cell>
          <cell r="H933" t="str">
            <v>165878</v>
          </cell>
          <cell r="I933" t="str">
            <v>ANNUALLY</v>
          </cell>
          <cell r="J933">
            <v>46000</v>
          </cell>
          <cell r="K933"/>
          <cell r="L933"/>
          <cell r="M933"/>
          <cell r="N933" t="str">
            <v>JABATAN OFTALMOLOGI</v>
          </cell>
          <cell r="O933" t="str">
            <v>Klinik Oftalmologi (OPHTHAL CLINIC)</v>
          </cell>
        </row>
        <row r="934">
          <cell r="D934" t="str">
            <v>KKM/JKN/HSA/10-05-01/H/15/2083</v>
          </cell>
          <cell r="E934" t="str">
            <v>VISUAL ACUITY TEST CHART</v>
          </cell>
          <cell r="F934" t="str">
            <v>NIDEK</v>
          </cell>
          <cell r="G934" t="str">
            <v>CP770</v>
          </cell>
          <cell r="H934" t="str">
            <v>124323</v>
          </cell>
          <cell r="I934" t="str">
            <v>ANNUALLY</v>
          </cell>
          <cell r="J934">
            <v>46000</v>
          </cell>
          <cell r="K934"/>
          <cell r="L934"/>
          <cell r="M934"/>
          <cell r="N934" t="str">
            <v>JABATAN OFTALMOLOGI</v>
          </cell>
          <cell r="O934" t="str">
            <v>Klinik Oftalmologi (OPHTHAL CLINIC)</v>
          </cell>
        </row>
        <row r="935">
          <cell r="D935" t="str">
            <v>KKM/JKN/HSA/10-05-01/H/15/2479</v>
          </cell>
          <cell r="E935" t="str">
            <v>HEADLIGHTS</v>
          </cell>
          <cell r="F935" t="str">
            <v>HEINE</v>
          </cell>
          <cell r="G935" t="str">
            <v>3S LED J-008.31.316</v>
          </cell>
          <cell r="H935" t="str">
            <v>1091017918</v>
          </cell>
          <cell r="I935" t="str">
            <v>ANNUALLY</v>
          </cell>
          <cell r="J935">
            <v>45887</v>
          </cell>
          <cell r="K935"/>
          <cell r="L935"/>
          <cell r="M935"/>
          <cell r="N935" t="str">
            <v>JABATAN OFTALMOLOGI</v>
          </cell>
          <cell r="O935" t="str">
            <v>Klinik Oftalmologi (OPHTHAL CLINIC)</v>
          </cell>
        </row>
        <row r="936">
          <cell r="D936" t="str">
            <v>KKM/JKN/HSA/10-05-01/H/15/2752</v>
          </cell>
          <cell r="E936" t="str">
            <v>LASER INDIRECT OPTHALMOSCAPE SLIT LAMP LASER</v>
          </cell>
          <cell r="F936" t="str">
            <v>NIDEK</v>
          </cell>
          <cell r="G936" t="str">
            <v>YC-1800</v>
          </cell>
          <cell r="H936" t="str">
            <v>83637</v>
          </cell>
          <cell r="I936" t="str">
            <v>ANNUALLY</v>
          </cell>
          <cell r="J936">
            <v>45858</v>
          </cell>
          <cell r="K936"/>
          <cell r="L936"/>
          <cell r="M936"/>
          <cell r="N936" t="str">
            <v>JABATAN OFTALMOLOGI</v>
          </cell>
          <cell r="O936" t="str">
            <v>Klinik Oftalmologi (OPHTHAL CLINIC)</v>
          </cell>
        </row>
        <row r="937">
          <cell r="D937" t="str">
            <v>KKM/JKN/HSA/10-05-01/H/15/2827</v>
          </cell>
          <cell r="E937" t="str">
            <v>SLIT LAMP</v>
          </cell>
          <cell r="F937" t="str">
            <v>INAMI &amp; CO LTD</v>
          </cell>
          <cell r="G937" t="str">
            <v>L-0189</v>
          </cell>
          <cell r="H937" t="str">
            <v>JO 140600051</v>
          </cell>
          <cell r="I937" t="str">
            <v>ANNUALLY</v>
          </cell>
          <cell r="J937">
            <v>45908</v>
          </cell>
          <cell r="K937"/>
          <cell r="L937"/>
          <cell r="M937"/>
          <cell r="N937" t="str">
            <v>JABATAN OFTALMOLOGI</v>
          </cell>
          <cell r="O937" t="str">
            <v>Klinik Oftalmologi (OPHTHAL CLINIC)</v>
          </cell>
        </row>
        <row r="938">
          <cell r="D938" t="str">
            <v>KKM/JKN/HSA/10-05-01/H/15/2828</v>
          </cell>
          <cell r="E938" t="str">
            <v>SLIT LAMP</v>
          </cell>
          <cell r="F938" t="str">
            <v>INAMI &amp; CO LTD</v>
          </cell>
          <cell r="G938" t="str">
            <v>L-0189</v>
          </cell>
          <cell r="H938" t="str">
            <v>JO 140600052</v>
          </cell>
          <cell r="I938" t="str">
            <v>ANNUALLY</v>
          </cell>
          <cell r="J938">
            <v>45908</v>
          </cell>
          <cell r="K938"/>
          <cell r="L938"/>
          <cell r="M938"/>
          <cell r="N938" t="str">
            <v>JABATAN OFTALMOLOGI</v>
          </cell>
          <cell r="O938" t="str">
            <v>Klinik Oftalmologi (OPHTHAL CLINIC)</v>
          </cell>
        </row>
        <row r="939">
          <cell r="D939" t="str">
            <v>KKM/JKN/HSA/10-05-01/H/15/2830</v>
          </cell>
          <cell r="E939" t="str">
            <v>SLIT LAMP</v>
          </cell>
          <cell r="F939" t="str">
            <v>INAMI &amp; CO LTD</v>
          </cell>
          <cell r="G939" t="str">
            <v>L-0189</v>
          </cell>
          <cell r="H939" t="str">
            <v>JO 140600055</v>
          </cell>
          <cell r="I939" t="str">
            <v>ANNUALLY</v>
          </cell>
          <cell r="J939">
            <v>45908</v>
          </cell>
          <cell r="K939"/>
          <cell r="L939"/>
          <cell r="M939"/>
          <cell r="N939" t="str">
            <v>JABATAN OFTALMOLOGI</v>
          </cell>
          <cell r="O939" t="str">
            <v>Klinik Oftalmologi (OPHTHAL CLINIC)</v>
          </cell>
        </row>
        <row r="940">
          <cell r="D940" t="str">
            <v>KKM/JKN/HSA/10-05-01/H/15/2831</v>
          </cell>
          <cell r="E940" t="str">
            <v>SLIT LAMP</v>
          </cell>
          <cell r="F940" t="str">
            <v>INAMI &amp; CO LTD</v>
          </cell>
          <cell r="G940" t="str">
            <v>L-0189</v>
          </cell>
          <cell r="H940" t="str">
            <v>JO 140600057</v>
          </cell>
          <cell r="I940" t="str">
            <v>ANNUALLY</v>
          </cell>
          <cell r="J940">
            <v>45908</v>
          </cell>
          <cell r="K940"/>
          <cell r="L940"/>
          <cell r="M940"/>
          <cell r="N940" t="str">
            <v>JABATAN OFTALMOLOGI</v>
          </cell>
          <cell r="O940" t="str">
            <v>Klinik Oftalmologi (OPHTHAL CLINIC)</v>
          </cell>
        </row>
        <row r="941">
          <cell r="D941" t="str">
            <v>KKM/JKN/HSA/10-05-01/H/15/2833</v>
          </cell>
          <cell r="E941" t="str">
            <v>SLIT LAMP</v>
          </cell>
          <cell r="F941" t="str">
            <v>INAMI &amp; CO LTD</v>
          </cell>
          <cell r="G941" t="str">
            <v>L-0189</v>
          </cell>
          <cell r="H941" t="str">
            <v>J0 140600056</v>
          </cell>
          <cell r="I941" t="str">
            <v>ANNUALLY</v>
          </cell>
          <cell r="J941">
            <v>45908</v>
          </cell>
          <cell r="K941"/>
          <cell r="L941"/>
          <cell r="M941"/>
          <cell r="N941" t="str">
            <v>JABATAN OFTALMOLOGI</v>
          </cell>
          <cell r="O941" t="str">
            <v>Klinik Oftalmologi (OPHTHAL CLINIC)</v>
          </cell>
        </row>
        <row r="942">
          <cell r="D942" t="str">
            <v>KKM/JKN/HSA/10-05-01/H/15/3681</v>
          </cell>
          <cell r="E942" t="str">
            <v>DEFIBRILLATOR</v>
          </cell>
          <cell r="F942" t="str">
            <v>PHILIPS</v>
          </cell>
          <cell r="G942" t="str">
            <v>EFFICIA DFM100</v>
          </cell>
          <cell r="H942" t="str">
            <v>CN32601410</v>
          </cell>
          <cell r="I942" t="str">
            <v>SEMI ANNUALLY</v>
          </cell>
          <cell r="J942">
            <v>45812</v>
          </cell>
          <cell r="K942">
            <v>45995</v>
          </cell>
          <cell r="L942"/>
          <cell r="M942"/>
          <cell r="N942" t="str">
            <v>JABATAN OFTALMOLOGI</v>
          </cell>
          <cell r="O942" t="str">
            <v>Klinik Oftalmologi (OPHTHAL CLINIC)</v>
          </cell>
        </row>
        <row r="943">
          <cell r="D943" t="str">
            <v>KKM/JKN/HSA/10-05-01/H/15/4121</v>
          </cell>
          <cell r="E943" t="str">
            <v>DIATHERMY UNIT SHORT WAVE</v>
          </cell>
          <cell r="F943" t="str">
            <v>ESCHMANN</v>
          </cell>
          <cell r="G943" t="str">
            <v>E20</v>
          </cell>
          <cell r="H943" t="str">
            <v>301374</v>
          </cell>
          <cell r="I943" t="str">
            <v>ANNUALLY</v>
          </cell>
          <cell r="J943">
            <v>46022</v>
          </cell>
          <cell r="K943"/>
          <cell r="L943"/>
          <cell r="M943"/>
          <cell r="N943" t="str">
            <v>JABATAN OFTALMOLOGI</v>
          </cell>
          <cell r="O943" t="str">
            <v>Klinik Oftalmologi (OPHTHAL CLINIC)</v>
          </cell>
        </row>
        <row r="944">
          <cell r="D944" t="str">
            <v>KKM/JKN/HSA/10-05-01/H/15/4122</v>
          </cell>
          <cell r="E944" t="str">
            <v>CRYOSURGICAL UNIT</v>
          </cell>
          <cell r="F944" t="str">
            <v>ERBE</v>
          </cell>
          <cell r="G944" t="str">
            <v>ERBOCYO AE</v>
          </cell>
          <cell r="H944" t="str">
            <v>11341395</v>
          </cell>
          <cell r="I944" t="str">
            <v>ANNUALLY</v>
          </cell>
          <cell r="J944">
            <v>46024</v>
          </cell>
          <cell r="K944"/>
          <cell r="L944"/>
          <cell r="M944"/>
          <cell r="N944" t="str">
            <v>JABATAN OFTALMOLOGI</v>
          </cell>
          <cell r="O944" t="str">
            <v>Klinik Oftalmologi (OPHTHAL CLINIC)</v>
          </cell>
        </row>
        <row r="945">
          <cell r="D945" t="str">
            <v>KKM/JKN/HSA/10-05-01/H/15/4126</v>
          </cell>
          <cell r="E945" t="str">
            <v>LENSOMETER (FOCIMETER)</v>
          </cell>
          <cell r="F945" t="str">
            <v>HUVITZ</v>
          </cell>
          <cell r="G945" t="str">
            <v>CLM-3100</v>
          </cell>
          <cell r="H945" t="str">
            <v>3LD00D14F0004</v>
          </cell>
          <cell r="I945" t="str">
            <v>ANNUALLY</v>
          </cell>
          <cell r="J945">
            <v>45834</v>
          </cell>
          <cell r="K945"/>
          <cell r="L945"/>
          <cell r="M945"/>
          <cell r="N945" t="str">
            <v>JABATAN OFTALMOLOGI</v>
          </cell>
          <cell r="O945" t="str">
            <v>Klinik Oftalmologi (OPHTHAL CLINIC)</v>
          </cell>
        </row>
        <row r="946">
          <cell r="D946" t="str">
            <v>KKM/JKN/HSA/10-05-01/H/15/4142</v>
          </cell>
          <cell r="E946" t="str">
            <v>NEAR VISION TEST CHART</v>
          </cell>
          <cell r="F946" t="str">
            <v>LOG MAR CHART</v>
          </cell>
          <cell r="G946" t="str">
            <v>GOODLITE ESV3000</v>
          </cell>
          <cell r="H946" t="str">
            <v>500013</v>
          </cell>
          <cell r="I946" t="str">
            <v>ANNUALLY</v>
          </cell>
          <cell r="J946">
            <v>45833</v>
          </cell>
          <cell r="K946"/>
          <cell r="L946"/>
          <cell r="M946"/>
          <cell r="N946" t="str">
            <v>JABATAN OFTALMOLOGI</v>
          </cell>
          <cell r="O946" t="str">
            <v>Klinik Oftalmologi (OPHTHAL CLINIC)</v>
          </cell>
        </row>
        <row r="947">
          <cell r="D947" t="str">
            <v>KKM/JKN/HSA/10-05-01/H/15/4149</v>
          </cell>
          <cell r="E947" t="str">
            <v>CONTRAST SENSIVITY TEST</v>
          </cell>
          <cell r="F947" t="str">
            <v>VECTOR VISION</v>
          </cell>
          <cell r="G947" t="str">
            <v>NOT AVAILABLE</v>
          </cell>
          <cell r="H947" t="str">
            <v>NOT AVAILABLE</v>
          </cell>
          <cell r="I947" t="str">
            <v>ANNUALLY</v>
          </cell>
          <cell r="J947">
            <v>45840</v>
          </cell>
          <cell r="K947"/>
          <cell r="L947"/>
          <cell r="M947"/>
          <cell r="N947" t="str">
            <v>JABATAN OFTALMOLOGI</v>
          </cell>
          <cell r="O947" t="str">
            <v>Klinik Oftalmologi (OPHTHAL CLINIC)</v>
          </cell>
        </row>
        <row r="948">
          <cell r="D948" t="str">
            <v>KKM/JKN/HSA/10-05-01/H/15/4260</v>
          </cell>
          <cell r="E948" t="str">
            <v>LASER DIODE (RED) PHOTOCOAGULATION</v>
          </cell>
          <cell r="F948" t="str">
            <v>C.S.O SRT</v>
          </cell>
          <cell r="G948" t="str">
            <v>SL 9900</v>
          </cell>
          <cell r="H948" t="str">
            <v>15090003</v>
          </cell>
          <cell r="I948" t="str">
            <v>ANNUALLY</v>
          </cell>
          <cell r="J948">
            <v>45952</v>
          </cell>
          <cell r="K948"/>
          <cell r="L948"/>
          <cell r="M948"/>
          <cell r="N948" t="str">
            <v>JABATAN OFTALMOLOGI</v>
          </cell>
          <cell r="O948" t="str">
            <v>Klinik Oftalmologi (OPHTHAL CLINIC)</v>
          </cell>
        </row>
        <row r="949">
          <cell r="D949" t="str">
            <v>KKM/JKN/HSA/10-05-01/H/15/4261</v>
          </cell>
          <cell r="E949" t="str">
            <v>LASER DIODE (RED) PHOTOCOAGULATION</v>
          </cell>
          <cell r="F949" t="str">
            <v>C.S.O SRT</v>
          </cell>
          <cell r="G949" t="str">
            <v>SL 9900</v>
          </cell>
          <cell r="H949" t="str">
            <v>15090002</v>
          </cell>
          <cell r="I949" t="str">
            <v>ANNUALLY</v>
          </cell>
          <cell r="J949">
            <v>45952</v>
          </cell>
          <cell r="K949"/>
          <cell r="L949"/>
          <cell r="M949"/>
          <cell r="N949" t="str">
            <v>JABATAN OFTALMOLOGI</v>
          </cell>
          <cell r="O949" t="str">
            <v>Klinik Oftalmologi (OPHTHAL CLINIC)</v>
          </cell>
        </row>
        <row r="950">
          <cell r="D950" t="str">
            <v>KKM/JKN/HSA/10-05-01/H/15/4326</v>
          </cell>
          <cell r="E950" t="str">
            <v>SLIT LAMP</v>
          </cell>
          <cell r="F950" t="str">
            <v>INAMI &amp; CO LTD</v>
          </cell>
          <cell r="G950" t="str">
            <v>L-0240</v>
          </cell>
          <cell r="H950" t="str">
            <v>JO140600058</v>
          </cell>
          <cell r="I950" t="str">
            <v>ANNUALLY</v>
          </cell>
          <cell r="J950">
            <v>45908</v>
          </cell>
          <cell r="K950"/>
          <cell r="L950"/>
          <cell r="M950"/>
          <cell r="N950" t="str">
            <v>JABATAN OFTALMOLOGI</v>
          </cell>
          <cell r="O950" t="str">
            <v>Klinik Oftalmologi (OPHTHAL CLINIC)</v>
          </cell>
        </row>
        <row r="951">
          <cell r="D951" t="str">
            <v>KKM/JKN/HSA/10-05-01/H/15/4328</v>
          </cell>
          <cell r="E951" t="str">
            <v>RETINOSCOPE</v>
          </cell>
          <cell r="F951" t="str">
            <v>HEINE</v>
          </cell>
          <cell r="G951" t="str">
            <v>NT300</v>
          </cell>
          <cell r="H951" t="str">
            <v>1011019039</v>
          </cell>
          <cell r="I951" t="str">
            <v>ANNUALLY</v>
          </cell>
          <cell r="J951">
            <v>45988</v>
          </cell>
          <cell r="K951"/>
          <cell r="L951"/>
          <cell r="M951"/>
          <cell r="N951" t="str">
            <v>JABATAN OFTALMOLOGI</v>
          </cell>
          <cell r="O951" t="str">
            <v>Klinik Oftalmologi (OPHTHAL CLINIC)</v>
          </cell>
        </row>
        <row r="952">
          <cell r="D952" t="str">
            <v>KKM/JKN/HSA/10-05-01/H/15/4329</v>
          </cell>
          <cell r="E952" t="str">
            <v>RETINOSCOPE</v>
          </cell>
          <cell r="F952" t="str">
            <v>HEINE</v>
          </cell>
          <cell r="G952" t="str">
            <v>NT300</v>
          </cell>
          <cell r="H952" t="str">
            <v>1011019044</v>
          </cell>
          <cell r="I952" t="str">
            <v>ANNUALLY</v>
          </cell>
          <cell r="J952">
            <v>45988</v>
          </cell>
          <cell r="K952"/>
          <cell r="L952"/>
          <cell r="M952"/>
          <cell r="N952" t="str">
            <v>JABATAN OFTALMOLOGI</v>
          </cell>
          <cell r="O952" t="str">
            <v>Klinik Oftalmologi (OPHTHAL CLINIC)</v>
          </cell>
        </row>
        <row r="953">
          <cell r="D953" t="str">
            <v>KKM/JKN/HSA/10-05-01/H/15/4330</v>
          </cell>
          <cell r="E953" t="str">
            <v>RETINOSCOPE</v>
          </cell>
          <cell r="F953" t="str">
            <v>HEINE</v>
          </cell>
          <cell r="G953" t="str">
            <v>NT300</v>
          </cell>
          <cell r="H953" t="str">
            <v>1011019045</v>
          </cell>
          <cell r="I953" t="str">
            <v>ANNUALLY</v>
          </cell>
          <cell r="J953">
            <v>45988</v>
          </cell>
          <cell r="K953"/>
          <cell r="L953"/>
          <cell r="M953"/>
          <cell r="N953" t="str">
            <v>JABATAN OFTALMOLOGI</v>
          </cell>
          <cell r="O953" t="str">
            <v>Klinik Oftalmologi (OPHTHAL CLINIC)</v>
          </cell>
        </row>
        <row r="954">
          <cell r="D954" t="str">
            <v>KKM/JKN/HSA/10-05-01/H/15/4331</v>
          </cell>
          <cell r="E954" t="str">
            <v>RETINOSCOPE</v>
          </cell>
          <cell r="F954" t="str">
            <v>HEINE</v>
          </cell>
          <cell r="G954" t="str">
            <v>NT300</v>
          </cell>
          <cell r="H954" t="str">
            <v>1011019046</v>
          </cell>
          <cell r="I954" t="str">
            <v>ANNUALLY</v>
          </cell>
          <cell r="J954">
            <v>45988</v>
          </cell>
          <cell r="K954"/>
          <cell r="L954"/>
          <cell r="M954"/>
          <cell r="N954" t="str">
            <v>JABATAN OFTALMOLOGI</v>
          </cell>
          <cell r="O954" t="str">
            <v>Klinik Oftalmologi (OPHTHAL CLINIC)</v>
          </cell>
        </row>
        <row r="955">
          <cell r="D955" t="str">
            <v>KKM/JKN/HSA/10-05-01/H/15/4332</v>
          </cell>
          <cell r="E955" t="str">
            <v>RETINOSCOPE</v>
          </cell>
          <cell r="F955" t="str">
            <v>HEINI</v>
          </cell>
          <cell r="G955" t="str">
            <v>BETA 200 PARASTOP</v>
          </cell>
          <cell r="H955" t="str">
            <v>NOT AVAILABLE</v>
          </cell>
          <cell r="I955" t="str">
            <v>ANNUALLY</v>
          </cell>
          <cell r="J955">
            <v>45988</v>
          </cell>
          <cell r="K955"/>
          <cell r="L955"/>
          <cell r="M955"/>
          <cell r="N955" t="str">
            <v>JABATAN OFTALMOLOGI</v>
          </cell>
          <cell r="O955" t="str">
            <v>Klinik Oftalmologi (OPHTHAL CLINIC)</v>
          </cell>
        </row>
        <row r="956">
          <cell r="D956" t="str">
            <v>KKM/JKN/HSA/10-05-01/H/15/4333</v>
          </cell>
          <cell r="E956" t="str">
            <v>RETINOSCOPE</v>
          </cell>
          <cell r="F956" t="str">
            <v>HEINE</v>
          </cell>
          <cell r="G956" t="str">
            <v>NT300</v>
          </cell>
          <cell r="H956" t="str">
            <v>1011019048</v>
          </cell>
          <cell r="I956" t="str">
            <v>ANNUALLY</v>
          </cell>
          <cell r="J956">
            <v>45988</v>
          </cell>
          <cell r="K956"/>
          <cell r="L956"/>
          <cell r="M956"/>
          <cell r="N956" t="str">
            <v>JABATAN OFTALMOLOGI</v>
          </cell>
          <cell r="O956" t="str">
            <v>Klinik Oftalmologi (OPHTHAL CLINIC)</v>
          </cell>
        </row>
        <row r="957">
          <cell r="D957" t="str">
            <v>KKM/JKN/HSA/10-05-01/H/15/4335</v>
          </cell>
          <cell r="E957" t="str">
            <v>ULTRASOUND OPTHALMIC</v>
          </cell>
          <cell r="F957" t="str">
            <v>NIDEK CO LTD</v>
          </cell>
          <cell r="G957" t="str">
            <v>US-4000</v>
          </cell>
          <cell r="H957" t="str">
            <v>40953</v>
          </cell>
          <cell r="I957" t="str">
            <v>ANNUALLY</v>
          </cell>
          <cell r="J957">
            <v>45858</v>
          </cell>
          <cell r="K957"/>
          <cell r="L957"/>
          <cell r="M957"/>
          <cell r="N957" t="str">
            <v>JABATAN OFTALMOLOGI</v>
          </cell>
          <cell r="O957" t="str">
            <v>Klinik Oftalmologi (OPHTHAL CLINIC)</v>
          </cell>
        </row>
        <row r="958">
          <cell r="D958" t="str">
            <v>KKM/JKN/HSA/10-05-01/H/15/4336</v>
          </cell>
          <cell r="E958" t="str">
            <v>PERIMETERS (OPHTHALMIC)</v>
          </cell>
          <cell r="F958" t="str">
            <v>HAAG STREIT</v>
          </cell>
          <cell r="G958" t="str">
            <v xml:space="preserve"> OCTOPUS 900</v>
          </cell>
          <cell r="H958" t="str">
            <v>02893</v>
          </cell>
          <cell r="I958" t="str">
            <v>ANNUALLY</v>
          </cell>
          <cell r="J958">
            <v>45948</v>
          </cell>
          <cell r="K958"/>
          <cell r="L958"/>
          <cell r="M958"/>
          <cell r="N958" t="str">
            <v>JABATAN OFTALMOLOGI</v>
          </cell>
          <cell r="O958" t="str">
            <v>Klinik Oftalmologi (OPHTHAL CLINIC)</v>
          </cell>
        </row>
        <row r="959">
          <cell r="D959" t="str">
            <v>KKM/JKN/HSA/10-05-01/H/15/4345</v>
          </cell>
          <cell r="E959" t="str">
            <v>TONOMETER</v>
          </cell>
          <cell r="F959" t="str">
            <v>NIDEK</v>
          </cell>
          <cell r="G959" t="str">
            <v>N/A</v>
          </cell>
          <cell r="H959" t="str">
            <v>132020</v>
          </cell>
          <cell r="I959" t="str">
            <v>ANNUALLY</v>
          </cell>
          <cell r="J959">
            <v>45797</v>
          </cell>
          <cell r="K959"/>
          <cell r="L959"/>
          <cell r="M959"/>
          <cell r="N959" t="str">
            <v>JABATAN OFTALMOLOGI</v>
          </cell>
          <cell r="O959" t="str">
            <v>Klinik Oftalmologi (OPHTHAL CLINIC)</v>
          </cell>
        </row>
        <row r="960">
          <cell r="D960" t="str">
            <v>KKM/JKN/HSA/10-05-01/H/16/108</v>
          </cell>
          <cell r="E960" t="str">
            <v>GLIDESCOPE</v>
          </cell>
          <cell r="F960" t="str">
            <v>GLIDESCOPE TITANIUM</v>
          </cell>
          <cell r="G960" t="str">
            <v>APM</v>
          </cell>
          <cell r="H960" t="str">
            <v>AN164851</v>
          </cell>
          <cell r="I960" t="str">
            <v>ANNUALLY</v>
          </cell>
          <cell r="J960">
            <v>45936</v>
          </cell>
          <cell r="K960"/>
          <cell r="L960"/>
          <cell r="M960"/>
          <cell r="N960" t="str">
            <v>JABATAN ANESTHESIA</v>
          </cell>
          <cell r="O960" t="str">
            <v>Unit Rawatan Rapi (ICU)</v>
          </cell>
        </row>
        <row r="961">
          <cell r="D961" t="str">
            <v>KKM/JKN/HSA/10-05-01/H/16/114</v>
          </cell>
          <cell r="E961" t="str">
            <v>COMPUTER TABLET/SOFTWARE</v>
          </cell>
          <cell r="F961" t="str">
            <v>HEIDELBERG SPECTRALIS</v>
          </cell>
          <cell r="G961" t="str">
            <v>VIEWING TERMINAL</v>
          </cell>
          <cell r="H961" t="str">
            <v>N/A</v>
          </cell>
          <cell r="I961" t="str">
            <v>SEMI ANNUALLY</v>
          </cell>
          <cell r="J961">
            <v>45761</v>
          </cell>
          <cell r="K961">
            <v>45943</v>
          </cell>
          <cell r="L961"/>
          <cell r="M961"/>
          <cell r="N961" t="str">
            <v>JABATAN OFTALMOLOGI</v>
          </cell>
          <cell r="O961" t="str">
            <v>Klinik Oftalmologi (OPHTHAL CLINIC)</v>
          </cell>
        </row>
        <row r="962">
          <cell r="D962" t="str">
            <v>KKM/JKN/HSA/10-05-01/H/16/116</v>
          </cell>
          <cell r="E962" t="str">
            <v>SLIT LAMP</v>
          </cell>
          <cell r="F962" t="str">
            <v>RIGHTON</v>
          </cell>
          <cell r="G962" t="str">
            <v>MW50D</v>
          </cell>
          <cell r="H962" t="str">
            <v>5100173</v>
          </cell>
          <cell r="I962" t="str">
            <v>ANNUALLY</v>
          </cell>
          <cell r="J962">
            <v>45936</v>
          </cell>
          <cell r="K962"/>
          <cell r="L962"/>
          <cell r="M962"/>
          <cell r="N962" t="str">
            <v>JABATAN OFTALMOLOGI</v>
          </cell>
          <cell r="O962" t="str">
            <v>Klinik Oftalmologi (OPHTHAL CLINIC)</v>
          </cell>
        </row>
        <row r="963">
          <cell r="D963" t="str">
            <v>KKM/JKN/HSA/10-05-01/H/16/117</v>
          </cell>
          <cell r="E963" t="str">
            <v>OPHTHALMOSCOPE</v>
          </cell>
          <cell r="F963" t="str">
            <v>WELCH ALLYN</v>
          </cell>
          <cell r="G963" t="str">
            <v>N/A</v>
          </cell>
          <cell r="H963" t="str">
            <v>16277</v>
          </cell>
          <cell r="I963" t="str">
            <v>ANNUALLY</v>
          </cell>
          <cell r="J963">
            <v>45742</v>
          </cell>
          <cell r="K963"/>
          <cell r="L963"/>
          <cell r="M963"/>
          <cell r="N963" t="str">
            <v>JABATAN OFTALMOLOGI</v>
          </cell>
          <cell r="O963" t="str">
            <v>Klinik Oftalmologi (OPHTHAL CLINIC)</v>
          </cell>
        </row>
        <row r="964">
          <cell r="D964" t="str">
            <v>KKM/JKN/HSA/10-05-01/H/16/118</v>
          </cell>
          <cell r="E964" t="str">
            <v>OPHTHALMOSCOPE</v>
          </cell>
          <cell r="F964" t="str">
            <v>WELCH ALLYN</v>
          </cell>
          <cell r="G964" t="str">
            <v>N/A</v>
          </cell>
          <cell r="H964" t="str">
            <v>16305</v>
          </cell>
          <cell r="I964" t="str">
            <v>ANNUALLY</v>
          </cell>
          <cell r="J964">
            <v>45742</v>
          </cell>
          <cell r="K964"/>
          <cell r="L964"/>
          <cell r="M964"/>
          <cell r="N964" t="str">
            <v>JABATAN OFTALMOLOGI</v>
          </cell>
          <cell r="O964" t="str">
            <v>Klinik Oftalmologi (OPHTHAL CLINIC)</v>
          </cell>
        </row>
        <row r="965">
          <cell r="D965" t="str">
            <v>KKM/JKN/HSA/10-05-01/H/16/119</v>
          </cell>
          <cell r="E965" t="str">
            <v>OPHTHALMOSCOPE</v>
          </cell>
          <cell r="F965" t="str">
            <v>WELCH ALLYN</v>
          </cell>
          <cell r="G965" t="str">
            <v>N/A</v>
          </cell>
          <cell r="H965" t="str">
            <v>16277A</v>
          </cell>
          <cell r="I965" t="str">
            <v>ANNUALLY</v>
          </cell>
          <cell r="J965">
            <v>45742</v>
          </cell>
          <cell r="K965"/>
          <cell r="L965"/>
          <cell r="M965"/>
          <cell r="N965" t="str">
            <v>JABATAN OFTALMOLOGI</v>
          </cell>
          <cell r="O965" t="str">
            <v>Klinik Oftalmologi (OPHTHAL CLINIC)</v>
          </cell>
        </row>
        <row r="966">
          <cell r="D966" t="str">
            <v>KKM/JKN/HSA/10-05-01/H/16/120</v>
          </cell>
          <cell r="E966" t="str">
            <v>SPECTRAL IMAGING SYSTEM</v>
          </cell>
          <cell r="F966" t="str">
            <v>HEIDELBERG SPECTRALIS</v>
          </cell>
          <cell r="G966" t="str">
            <v>SPEC-CAM</v>
          </cell>
          <cell r="H966" t="str">
            <v>SPEC-CAM-1113-S1610</v>
          </cell>
          <cell r="I966" t="str">
            <v>ANNUALLY</v>
          </cell>
          <cell r="J966">
            <v>45936</v>
          </cell>
          <cell r="K966"/>
          <cell r="L966"/>
          <cell r="M966"/>
          <cell r="N966" t="str">
            <v>JABATAN OFTALMOLOGI</v>
          </cell>
          <cell r="O966" t="str">
            <v>Klinik Oftalmologi (OPHTHAL CLINIC)</v>
          </cell>
        </row>
        <row r="967">
          <cell r="D967" t="str">
            <v>KKM/JKN/HSA/10-05-01/H/16/128</v>
          </cell>
          <cell r="E967" t="str">
            <v>SLIT LAMP</v>
          </cell>
          <cell r="F967" t="str">
            <v>RIGHTON</v>
          </cell>
          <cell r="G967" t="str">
            <v>MW50D</v>
          </cell>
          <cell r="H967" t="str">
            <v>5000190</v>
          </cell>
          <cell r="I967" t="str">
            <v>ANNUALLY</v>
          </cell>
          <cell r="J967">
            <v>45967</v>
          </cell>
          <cell r="K967"/>
          <cell r="L967"/>
          <cell r="M967"/>
          <cell r="N967" t="str">
            <v>JABATAN OFTALMOLOGI</v>
          </cell>
          <cell r="O967" t="str">
            <v>Klinik Oftalmologi (OPHTHAL CLINIC)</v>
          </cell>
        </row>
        <row r="968">
          <cell r="D968" t="str">
            <v>KKM/JKN/HSA/10-05-01/H/16/138</v>
          </cell>
          <cell r="E968" t="str">
            <v>KERATOMETER/REFRACTOMETER</v>
          </cell>
          <cell r="F968" t="str">
            <v>N/A</v>
          </cell>
          <cell r="G968" t="str">
            <v>RETINOMAX K PLUS 3</v>
          </cell>
          <cell r="H968" t="str">
            <v>2204158</v>
          </cell>
          <cell r="I968" t="str">
            <v>ANNUALLY</v>
          </cell>
          <cell r="J968">
            <v>46002</v>
          </cell>
          <cell r="K968"/>
          <cell r="L968"/>
          <cell r="M968"/>
          <cell r="N968" t="str">
            <v>JABATAN OFTALMOLOGI</v>
          </cell>
          <cell r="O968" t="str">
            <v>Klinik Oftalmologi (OPHTHAL CLINIC)</v>
          </cell>
        </row>
        <row r="969">
          <cell r="D969" t="str">
            <v>KKM/JKN/HSA/10-05-01/H/16/175</v>
          </cell>
          <cell r="E969" t="str">
            <v>TONOPEN</v>
          </cell>
          <cell r="F969" t="str">
            <v xml:space="preserve"> REICHERT</v>
          </cell>
          <cell r="G969" t="str">
            <v>TONO-PEN XL</v>
          </cell>
          <cell r="H969" t="str">
            <v>29029-0915</v>
          </cell>
          <cell r="I969" t="str">
            <v>ANNUALLY</v>
          </cell>
          <cell r="J969">
            <v>45812</v>
          </cell>
          <cell r="K969"/>
          <cell r="L969"/>
          <cell r="M969"/>
          <cell r="N969" t="str">
            <v>JABATAN OFTALMOLOGI</v>
          </cell>
          <cell r="O969" t="str">
            <v>Klinik Oftalmologi (OPHTHAL CLINIC)</v>
          </cell>
        </row>
        <row r="970">
          <cell r="D970" t="str">
            <v>KKM/JKN/HSA/10-05-01/H/16/68</v>
          </cell>
          <cell r="E970" t="str">
            <v>SLIT LAMP</v>
          </cell>
          <cell r="F970" t="str">
            <v>INAMI &amp; CO LTD</v>
          </cell>
          <cell r="G970" t="str">
            <v>L-0189E LED</v>
          </cell>
          <cell r="H970" t="str">
            <v>J0160900901</v>
          </cell>
          <cell r="I970" t="str">
            <v>ANNUALLY</v>
          </cell>
          <cell r="J970">
            <v>46038</v>
          </cell>
          <cell r="K970"/>
          <cell r="L970"/>
          <cell r="M970"/>
          <cell r="N970" t="str">
            <v>JABATAN OFTALMOLOGI</v>
          </cell>
          <cell r="O970" t="str">
            <v>Klinik Oftalmologi (OPHTHAL CLINIC)</v>
          </cell>
        </row>
        <row r="971">
          <cell r="D971" t="str">
            <v>KKM/JKN/HSA/10-05-01/H/16/69</v>
          </cell>
          <cell r="E971" t="str">
            <v>FUNDUS CAMERA</v>
          </cell>
          <cell r="F971" t="str">
            <v>NONMYD WX3D</v>
          </cell>
          <cell r="G971" t="str">
            <v>KOWA HONMYD WX</v>
          </cell>
          <cell r="H971" t="str">
            <v>31902700031</v>
          </cell>
          <cell r="I971" t="str">
            <v>ANNUALLY</v>
          </cell>
          <cell r="J971">
            <v>45755</v>
          </cell>
          <cell r="K971"/>
          <cell r="L971"/>
          <cell r="M971"/>
          <cell r="N971" t="str">
            <v>JABATAN OFTALMOLOGI</v>
          </cell>
          <cell r="O971" t="str">
            <v>Klinik Oftalmologi (OPHTHAL CLINIC)</v>
          </cell>
        </row>
        <row r="972">
          <cell r="D972" t="str">
            <v>KKM/JKN/HSA/10-05-01/R/15/16387</v>
          </cell>
          <cell r="E972" t="str">
            <v>BLOOD PRESSURE MONITOR NON INVASIVE</v>
          </cell>
          <cell r="F972" t="str">
            <v>WELCH ALLYN</v>
          </cell>
          <cell r="G972" t="str">
            <v>PROBP 3400 SERIES</v>
          </cell>
          <cell r="H972" t="str">
            <v>100055152814</v>
          </cell>
          <cell r="I972" t="str">
            <v>ANNUALLY</v>
          </cell>
          <cell r="J972">
            <v>46052</v>
          </cell>
          <cell r="K972"/>
          <cell r="L972"/>
          <cell r="M972"/>
          <cell r="N972" t="str">
            <v>JABATAN OBSTETRIK &amp; GINEKOLOGI</v>
          </cell>
          <cell r="O972" t="str">
            <v>Klinik Obstetrik Ginekologi (O&amp;G CLINIC)</v>
          </cell>
        </row>
        <row r="973">
          <cell r="D973" t="str">
            <v>KKM/JKN/HSA/10-05-01/R/15/17202</v>
          </cell>
          <cell r="E973" t="str">
            <v>BINOCULAR INDIRECT OPTHALMOSCOPE (BIO)</v>
          </cell>
          <cell r="F973" t="str">
            <v>NEITZ</v>
          </cell>
          <cell r="G973" t="str">
            <v>SMALL PUPIL (IO-ALPHA)</v>
          </cell>
          <cell r="H973" t="str">
            <v>Y120038</v>
          </cell>
          <cell r="I973" t="str">
            <v>ANNUALLY</v>
          </cell>
          <cell r="J973">
            <v>45811</v>
          </cell>
          <cell r="K973"/>
          <cell r="L973"/>
          <cell r="M973"/>
          <cell r="N973" t="str">
            <v>JABATAN OFTALMOLOGI</v>
          </cell>
          <cell r="O973" t="str">
            <v>Klinik Oftalmologi (OPHTHAL CLINIC)</v>
          </cell>
        </row>
        <row r="974">
          <cell r="D974" t="str">
            <v>KKM/JKN/HSA/10-05-01/R/15/7145</v>
          </cell>
          <cell r="E974" t="str">
            <v>PATIENT MONITORING EQUIP.(AUTOMATIC MULTIPARAMETER)</v>
          </cell>
          <cell r="F974" t="str">
            <v>WELCH ALLYN</v>
          </cell>
          <cell r="G974" t="str">
            <v>WELCH ALLYN VSM 300</v>
          </cell>
          <cell r="H974" t="str">
            <v>N/A</v>
          </cell>
          <cell r="I974" t="str">
            <v>ANNUALLY</v>
          </cell>
          <cell r="J974">
            <v>46052</v>
          </cell>
          <cell r="K974"/>
          <cell r="L974"/>
          <cell r="M974"/>
          <cell r="N974" t="str">
            <v>JABATAN OFTALMOLOGI</v>
          </cell>
          <cell r="O974" t="str">
            <v>Klinik Oftalmologi (OPHTHAL CLINIC)</v>
          </cell>
        </row>
        <row r="975">
          <cell r="D975" t="str">
            <v>KKM/JKN/HSA/10-05-01/H/20/245</v>
          </cell>
          <cell r="E975" t="str">
            <v>SLIT LAMP</v>
          </cell>
          <cell r="F975" t="str">
            <v>TOPCON</v>
          </cell>
          <cell r="G975" t="str">
            <v>SL-D701 LED</v>
          </cell>
          <cell r="H975" t="str">
            <v>Z163127</v>
          </cell>
          <cell r="I975" t="str">
            <v>ANNUALLY</v>
          </cell>
          <cell r="J975">
            <v>45690</v>
          </cell>
          <cell r="K975"/>
          <cell r="L975"/>
          <cell r="M975"/>
          <cell r="N975" t="str">
            <v>JABATAN OFTALMOLOGI</v>
          </cell>
          <cell r="O975" t="str">
            <v>Klinik Oftalmologi (OPHTHAL CLINIC)</v>
          </cell>
        </row>
        <row r="976">
          <cell r="D976" t="str">
            <v>KKM/JKN/HSA/10-05-01/H/20/246</v>
          </cell>
          <cell r="E976" t="str">
            <v>SLIT LAMP</v>
          </cell>
          <cell r="F976" t="str">
            <v>TOPCON</v>
          </cell>
          <cell r="G976" t="str">
            <v>SL-D701 LED</v>
          </cell>
          <cell r="H976" t="str">
            <v>Z163128</v>
          </cell>
          <cell r="I976" t="str">
            <v>ANNUALLY</v>
          </cell>
          <cell r="J976">
            <v>45690</v>
          </cell>
          <cell r="K976"/>
          <cell r="L976"/>
          <cell r="M976"/>
          <cell r="N976" t="str">
            <v>JABATAN OFTALMOLOGI</v>
          </cell>
          <cell r="O976" t="str">
            <v>Klinik Oftalmologi (OPHTHAL CLINIC)</v>
          </cell>
        </row>
        <row r="977">
          <cell r="D977" t="str">
            <v>KKM/JKN/HSA/10-05-01/H/20/247</v>
          </cell>
          <cell r="E977" t="str">
            <v>KEELER VANTAGE PLUS WIRELESS BIO &amp; CHARGER</v>
          </cell>
          <cell r="F977" t="str">
            <v>KEELER</v>
          </cell>
          <cell r="G977" t="str">
            <v>KEELER VANTAGE PLUS</v>
          </cell>
          <cell r="H977">
            <v>93281</v>
          </cell>
          <cell r="I977" t="str">
            <v>ANNUALLY</v>
          </cell>
          <cell r="J977">
            <v>45690</v>
          </cell>
          <cell r="K977"/>
          <cell r="L977"/>
          <cell r="M977"/>
          <cell r="N977" t="str">
            <v>JABATAN OFTALMOLOGI</v>
          </cell>
          <cell r="O977" t="str">
            <v>Klinik Oftalmologi (OPHTHAL CLINIC)</v>
          </cell>
        </row>
        <row r="978">
          <cell r="D978" t="str">
            <v>KKM/JKN/HSA/10-05-01/H/20/248</v>
          </cell>
          <cell r="E978" t="str">
            <v>KEELER VANTAGE PLUS WIRELESS BIO &amp; CHARGER</v>
          </cell>
          <cell r="F978" t="str">
            <v>KEELER</v>
          </cell>
          <cell r="G978" t="str">
            <v>KEELER VANTAGE PLUS</v>
          </cell>
          <cell r="H978">
            <v>93278</v>
          </cell>
          <cell r="I978" t="str">
            <v>ANNUALLY</v>
          </cell>
          <cell r="J978">
            <v>45690</v>
          </cell>
          <cell r="K978"/>
          <cell r="L978"/>
          <cell r="M978"/>
          <cell r="N978" t="str">
            <v>JABATAN OFTALMOLOGI</v>
          </cell>
          <cell r="O978" t="str">
            <v>Klinik Oftalmologi (OPHTHAL CLINIC)</v>
          </cell>
        </row>
        <row r="979">
          <cell r="D979" t="str">
            <v>KKM/JKN/HSA/10-05-01/R/15/7372</v>
          </cell>
          <cell r="E979" t="str">
            <v>DIAGNOSTIC SET ADULT</v>
          </cell>
          <cell r="F979" t="str">
            <v>RUDOLF RIESTER, GMBH</v>
          </cell>
          <cell r="G979" t="str">
            <v>RI-SCOPE ENT 3761</v>
          </cell>
          <cell r="H979" t="str">
            <v>N/A</v>
          </cell>
          <cell r="I979" t="str">
            <v>ANNUALLY</v>
          </cell>
          <cell r="J979">
            <v>45780</v>
          </cell>
          <cell r="K979"/>
          <cell r="L979"/>
          <cell r="M979"/>
          <cell r="N979" t="str">
            <v>JABATAN ORTOPEDIK</v>
          </cell>
          <cell r="O979" t="str">
            <v>Klinik Ortopedik (ORTHO CLINIC)</v>
          </cell>
        </row>
        <row r="980">
          <cell r="D980" t="str">
            <v>KKM/JKN/HSA/10-05-01/R/15/7373</v>
          </cell>
          <cell r="E980" t="str">
            <v>DIAGNOSTIC SET ADULT</v>
          </cell>
          <cell r="F980" t="str">
            <v>RUDOLF RIESTER, GMBH</v>
          </cell>
          <cell r="G980" t="str">
            <v>RI-SCOPE ENT 3761</v>
          </cell>
          <cell r="H980" t="str">
            <v>N/A</v>
          </cell>
          <cell r="I980" t="str">
            <v>ANNUALLY</v>
          </cell>
          <cell r="J980">
            <v>45780</v>
          </cell>
          <cell r="K980"/>
          <cell r="L980"/>
          <cell r="M980"/>
          <cell r="N980" t="str">
            <v>JABATAN ORTOPEDIK</v>
          </cell>
          <cell r="O980" t="str">
            <v>Klinik Ortopedik (ORTHO CLINIC)</v>
          </cell>
        </row>
        <row r="981">
          <cell r="D981" t="str">
            <v>KKM/JKN/HSA/10-05-01/R/15/7374</v>
          </cell>
          <cell r="E981" t="str">
            <v>DIAGNOSTIC SET ADULT</v>
          </cell>
          <cell r="F981" t="str">
            <v>RUDOLF RIESTER, GMBH</v>
          </cell>
          <cell r="G981" t="str">
            <v>RI-SCOPE ENT 3761</v>
          </cell>
          <cell r="H981" t="str">
            <v>N/A</v>
          </cell>
          <cell r="I981" t="str">
            <v>ANNUALLY</v>
          </cell>
          <cell r="J981">
            <v>45780</v>
          </cell>
          <cell r="K981"/>
          <cell r="L981"/>
          <cell r="M981"/>
          <cell r="N981" t="str">
            <v>JABATAN ORTOPEDIK</v>
          </cell>
          <cell r="O981" t="str">
            <v>Klinik Ortopedik (ORTHO CLINIC)</v>
          </cell>
        </row>
        <row r="982">
          <cell r="D982" t="str">
            <v>KKM/JKN/HSA/10-05-01/R/15/7375</v>
          </cell>
          <cell r="E982" t="str">
            <v>DIAGNOSTIC SET ADULT</v>
          </cell>
          <cell r="F982" t="str">
            <v>RUDOLF RIESTER, GMBH</v>
          </cell>
          <cell r="G982" t="str">
            <v>RI-SCOPE ENT 3761</v>
          </cell>
          <cell r="H982" t="str">
            <v>N/A</v>
          </cell>
          <cell r="I982" t="str">
            <v>ANNUALLY</v>
          </cell>
          <cell r="J982">
            <v>45780</v>
          </cell>
          <cell r="K982"/>
          <cell r="L982"/>
          <cell r="M982"/>
          <cell r="N982" t="str">
            <v>JABATAN ORTOPEDIK</v>
          </cell>
          <cell r="O982" t="str">
            <v>Klinik Ortopedik (ORTHO CLINIC)</v>
          </cell>
        </row>
        <row r="983">
          <cell r="D983" t="str">
            <v>KKM/JKN/HSA/10-05-01/R/15/7376</v>
          </cell>
          <cell r="E983" t="str">
            <v>DIAGNOSTIC SET ADULT</v>
          </cell>
          <cell r="F983" t="str">
            <v>RUDOLF RIESTER, GMBH</v>
          </cell>
          <cell r="G983" t="str">
            <v>RI-SCOPE ENT 3761</v>
          </cell>
          <cell r="H983" t="str">
            <v>N/A</v>
          </cell>
          <cell r="I983" t="str">
            <v>ANNUALLY</v>
          </cell>
          <cell r="J983">
            <v>45781</v>
          </cell>
          <cell r="K983"/>
          <cell r="L983"/>
          <cell r="M983"/>
          <cell r="N983" t="str">
            <v>JABATAN ORTOPEDIK</v>
          </cell>
          <cell r="O983" t="str">
            <v>Klinik Ortopedik (ORTHO CLINIC)</v>
          </cell>
        </row>
        <row r="984">
          <cell r="D984" t="str">
            <v>KKM/JKN/HSA/10-05-01/R/15/7377</v>
          </cell>
          <cell r="E984" t="str">
            <v>DIAGNOSTIC SET ADULT</v>
          </cell>
          <cell r="F984" t="str">
            <v>RUDOLF RIESTER, GMBH</v>
          </cell>
          <cell r="G984" t="str">
            <v>RI-SCOPE ENT 3761</v>
          </cell>
          <cell r="H984" t="str">
            <v>N/A</v>
          </cell>
          <cell r="I984" t="str">
            <v>ANNUALLY</v>
          </cell>
          <cell r="J984">
            <v>45812</v>
          </cell>
          <cell r="K984"/>
          <cell r="L984"/>
          <cell r="M984"/>
          <cell r="N984" t="str">
            <v>JABATAN ORTOPEDIK</v>
          </cell>
          <cell r="O984" t="str">
            <v>Klinik Ortopedik (ORTHO CLINIC)</v>
          </cell>
        </row>
        <row r="985">
          <cell r="D985" t="str">
            <v>KKM/JKN/HSA/10-05-01/R/15/7379</v>
          </cell>
          <cell r="E985" t="str">
            <v>DIAGNOSTIC SET ADULT</v>
          </cell>
          <cell r="F985" t="str">
            <v>RUDOLF RIESTER, GMBH</v>
          </cell>
          <cell r="G985" t="str">
            <v>RI-SCOPE ENT 3761</v>
          </cell>
          <cell r="H985" t="str">
            <v>N/A</v>
          </cell>
          <cell r="I985" t="str">
            <v>ANNUALLY</v>
          </cell>
          <cell r="J985">
            <v>45812</v>
          </cell>
          <cell r="K985"/>
          <cell r="L985"/>
          <cell r="M985"/>
          <cell r="N985" t="str">
            <v>JABATAN ORTOPEDIK</v>
          </cell>
          <cell r="O985" t="str">
            <v>Klinik Ortopedik (ORTHO CLINIC)</v>
          </cell>
        </row>
        <row r="986">
          <cell r="D986" t="str">
            <v>KKM/JKN/HSA/10-05-01/R/15/7380</v>
          </cell>
          <cell r="E986" t="str">
            <v>DIAGNOSTIC SET ADULT</v>
          </cell>
          <cell r="F986" t="str">
            <v>RUDOLF RIESTER, GMBH</v>
          </cell>
          <cell r="G986" t="str">
            <v>RI-SCOPE ENT 3761</v>
          </cell>
          <cell r="H986" t="str">
            <v>N/A</v>
          </cell>
          <cell r="I986" t="str">
            <v>ANNUALLY</v>
          </cell>
          <cell r="J986">
            <v>45812</v>
          </cell>
          <cell r="K986"/>
          <cell r="L986"/>
          <cell r="M986"/>
          <cell r="N986" t="str">
            <v>JABATAN ORTOPEDIK</v>
          </cell>
          <cell r="O986" t="str">
            <v>Klinik Ortopedik (ORTHO CLINIC)</v>
          </cell>
        </row>
        <row r="987">
          <cell r="D987" t="str">
            <v>KKM/JKN/HSA/10-05-01/H/15/1272</v>
          </cell>
          <cell r="E987" t="str">
            <v>OPERATION TABLE</v>
          </cell>
          <cell r="F987" t="str">
            <v>TRUMPF MEDIZIN SYSTEME GMBH</v>
          </cell>
          <cell r="G987" t="str">
            <v>CALYPSO GT 454225</v>
          </cell>
          <cell r="H987" t="str">
            <v>102094846</v>
          </cell>
          <cell r="I987" t="str">
            <v>ANNUALLY</v>
          </cell>
          <cell r="J987">
            <v>45743</v>
          </cell>
          <cell r="K987"/>
          <cell r="L987"/>
          <cell r="M987"/>
          <cell r="N987" t="str">
            <v>JABATAN ORTOPEDIK</v>
          </cell>
          <cell r="O987" t="str">
            <v>Klinik Ortopedik (ORTHO CLINIC)</v>
          </cell>
        </row>
        <row r="988">
          <cell r="D988" t="str">
            <v>KKM/JKN/HSA/10-05-01/H/15/1273</v>
          </cell>
          <cell r="E988" t="str">
            <v>OPERATION TABLE</v>
          </cell>
          <cell r="F988" t="str">
            <v>TRUMPF MEDIZIN SYSTEME GMBH</v>
          </cell>
          <cell r="G988" t="str">
            <v>CALYPSO GT 454225</v>
          </cell>
          <cell r="H988" t="str">
            <v>102094845</v>
          </cell>
          <cell r="I988" t="str">
            <v>ANNUALLY</v>
          </cell>
          <cell r="J988">
            <v>45743</v>
          </cell>
          <cell r="K988"/>
          <cell r="L988"/>
          <cell r="M988"/>
          <cell r="N988" t="str">
            <v>JABATAN ORTOPEDIK</v>
          </cell>
          <cell r="O988" t="str">
            <v>Klinik Ortopedik (ORTHO CLINIC)</v>
          </cell>
        </row>
        <row r="989">
          <cell r="D989" t="str">
            <v>KKM/JKN/HSA/10-05-01/H/15/4162</v>
          </cell>
          <cell r="E989" t="str">
            <v>VASCULAR DOPPLER</v>
          </cell>
          <cell r="F989" t="str">
            <v>HUNTLEIGHT</v>
          </cell>
          <cell r="G989" t="str">
            <v>MD2</v>
          </cell>
          <cell r="H989" t="str">
            <v>MD2P10527271-13</v>
          </cell>
          <cell r="I989" t="str">
            <v>ANNUALLY</v>
          </cell>
          <cell r="J989">
            <v>46050</v>
          </cell>
          <cell r="K989"/>
          <cell r="L989"/>
          <cell r="M989"/>
          <cell r="N989" t="str">
            <v>JABATAN ORTOPEDIK</v>
          </cell>
          <cell r="O989" t="str">
            <v>Klinik Ortopedik (ORTHO CLINIC)</v>
          </cell>
        </row>
        <row r="990">
          <cell r="D990" t="str">
            <v>KKM/JKN/HSA/10-05-01/H/15/4166</v>
          </cell>
          <cell r="E990" t="str">
            <v>VASCULAR DOPPLER</v>
          </cell>
          <cell r="F990" t="str">
            <v>HUNTLEIGHT</v>
          </cell>
          <cell r="G990" t="str">
            <v>MD2</v>
          </cell>
          <cell r="H990" t="str">
            <v>MD2P10527266-13</v>
          </cell>
          <cell r="I990" t="str">
            <v>ANNUALLY</v>
          </cell>
          <cell r="J990">
            <v>46024</v>
          </cell>
          <cell r="K990"/>
          <cell r="L990"/>
          <cell r="M990"/>
          <cell r="N990" t="str">
            <v>JABATAN ORTOPEDIK</v>
          </cell>
          <cell r="O990" t="str">
            <v>Klinik Ortopedik (ORTHO CLINIC)</v>
          </cell>
        </row>
        <row r="991">
          <cell r="D991" t="str">
            <v>KKM/JKN/HSA/10-05-01/H/15/4167</v>
          </cell>
          <cell r="E991" t="str">
            <v>VASCULAR DOPPLER</v>
          </cell>
          <cell r="F991" t="str">
            <v>HUNTLEIGHT</v>
          </cell>
          <cell r="G991" t="str">
            <v>MD2</v>
          </cell>
          <cell r="H991" t="str">
            <v>MD2P10527272-13</v>
          </cell>
          <cell r="I991" t="str">
            <v>ANNUALLY</v>
          </cell>
          <cell r="J991">
            <v>46024</v>
          </cell>
          <cell r="K991"/>
          <cell r="L991"/>
          <cell r="M991"/>
          <cell r="N991" t="str">
            <v>JABATAN ORTOPEDIK</v>
          </cell>
          <cell r="O991" t="str">
            <v>Klinik Ortopedik (ORTHO CLINIC)</v>
          </cell>
        </row>
        <row r="992">
          <cell r="D992" t="str">
            <v>KKM/JKN/HSA/10-05-01/H/15/4168</v>
          </cell>
          <cell r="E992" t="str">
            <v>VASCULAR DOPPLER</v>
          </cell>
          <cell r="F992" t="str">
            <v>HUNTLEIGHT</v>
          </cell>
          <cell r="G992" t="str">
            <v>MD2</v>
          </cell>
          <cell r="H992" t="str">
            <v>MD2P10527697-13</v>
          </cell>
          <cell r="I992" t="str">
            <v>ANNUALLY</v>
          </cell>
          <cell r="J992">
            <v>46024</v>
          </cell>
          <cell r="K992"/>
          <cell r="L992"/>
          <cell r="M992"/>
          <cell r="N992" t="str">
            <v>JABATAN ORTOPEDIK</v>
          </cell>
          <cell r="O992" t="str">
            <v>Klinik Ortopedik (ORTHO CLINIC)</v>
          </cell>
        </row>
        <row r="993">
          <cell r="D993" t="str">
            <v>KKM/JKN/HSA/10-05-01/H/15/4169</v>
          </cell>
          <cell r="E993" t="str">
            <v>VASCULAR DOPPLER</v>
          </cell>
          <cell r="F993" t="str">
            <v>HUNTLEIGHT</v>
          </cell>
          <cell r="G993" t="str">
            <v>MD2</v>
          </cell>
          <cell r="H993" t="str">
            <v>MD2P10527269-13</v>
          </cell>
          <cell r="I993" t="str">
            <v>ANNUALLY</v>
          </cell>
          <cell r="J993">
            <v>46024</v>
          </cell>
          <cell r="K993"/>
          <cell r="L993"/>
          <cell r="M993"/>
          <cell r="N993" t="str">
            <v>JABATAN ORTOPEDIK</v>
          </cell>
          <cell r="O993" t="str">
            <v>Klinik Ortopedik (ORTHO CLINIC)</v>
          </cell>
        </row>
        <row r="994">
          <cell r="D994" t="str">
            <v>KKM/JKN/HSA/10-05-01/H/15/4255</v>
          </cell>
          <cell r="E994" t="str">
            <v>POP CUTTER</v>
          </cell>
          <cell r="F994" t="str">
            <v>OSCIMED</v>
          </cell>
          <cell r="G994" t="str">
            <v>OSCIMED PSV</v>
          </cell>
          <cell r="H994" t="str">
            <v>356202</v>
          </cell>
          <cell r="I994" t="str">
            <v>ANNUALLY</v>
          </cell>
          <cell r="J994">
            <v>45854</v>
          </cell>
          <cell r="K994"/>
          <cell r="L994"/>
          <cell r="M994"/>
          <cell r="N994" t="str">
            <v>JABATAN ORTOPEDIK</v>
          </cell>
          <cell r="O994" t="str">
            <v>Klinik Ortopedik (ORTHO CLINIC)</v>
          </cell>
        </row>
        <row r="995">
          <cell r="D995" t="str">
            <v>KKM/JKN/HSA/10-05-01/H/15/4256</v>
          </cell>
          <cell r="E995" t="str">
            <v>POP CUTTER</v>
          </cell>
          <cell r="F995" t="str">
            <v>OSCIMED</v>
          </cell>
          <cell r="G995" t="str">
            <v>OSCIMED PSV</v>
          </cell>
          <cell r="H995" t="str">
            <v>356104</v>
          </cell>
          <cell r="I995" t="str">
            <v>ANNUALLY</v>
          </cell>
          <cell r="J995">
            <v>45849</v>
          </cell>
          <cell r="K995"/>
          <cell r="L995"/>
          <cell r="M995"/>
          <cell r="N995" t="str">
            <v>JABATAN ORTOPEDIK</v>
          </cell>
          <cell r="O995" t="str">
            <v>Klinik Ortopedik (ORTHO CLINIC)</v>
          </cell>
        </row>
        <row r="996">
          <cell r="D996" t="str">
            <v>KKM/JKN/HSA/10-05-01/H/15/4257</v>
          </cell>
          <cell r="E996" t="str">
            <v>POP CUTTER</v>
          </cell>
          <cell r="F996" t="str">
            <v>OSCIMED</v>
          </cell>
          <cell r="G996" t="str">
            <v>OSCIMED PSV</v>
          </cell>
          <cell r="H996" t="str">
            <v>356105</v>
          </cell>
          <cell r="I996" t="str">
            <v>ANNUALLY</v>
          </cell>
          <cell r="J996">
            <v>45854</v>
          </cell>
          <cell r="K996"/>
          <cell r="L996"/>
          <cell r="M996"/>
          <cell r="N996" t="str">
            <v>JABATAN ORTOPEDIK</v>
          </cell>
          <cell r="O996" t="str">
            <v>Klinik Ortopedik (ORTHO CLINIC)</v>
          </cell>
        </row>
        <row r="997">
          <cell r="D997" t="str">
            <v>KKM/JKN/HSA/10-05-01/H/15/4258</v>
          </cell>
          <cell r="E997" t="str">
            <v>ECG (EKG) MACHINE</v>
          </cell>
          <cell r="F997" t="str">
            <v>GE HEALTHCARE</v>
          </cell>
          <cell r="G997" t="str">
            <v>MAC400</v>
          </cell>
          <cell r="H997" t="str">
            <v>SCT11486304PA</v>
          </cell>
          <cell r="I997" t="str">
            <v>ANNUALLY</v>
          </cell>
          <cell r="J997">
            <v>45895</v>
          </cell>
          <cell r="K997"/>
          <cell r="L997"/>
          <cell r="M997"/>
          <cell r="N997" t="str">
            <v>JABATAN ORTOPEDIK</v>
          </cell>
          <cell r="O997" t="str">
            <v>Klinik Ortopedik (ORTHO CLINIC)</v>
          </cell>
        </row>
        <row r="998">
          <cell r="D998" t="str">
            <v>KKM/JKN/HSA/10-05-01/R/15/16150</v>
          </cell>
          <cell r="E998" t="str">
            <v>NEBULIZER</v>
          </cell>
          <cell r="F998" t="str">
            <v>PHILIPS</v>
          </cell>
          <cell r="G998" t="str">
            <v>N/A</v>
          </cell>
          <cell r="H998" t="str">
            <v>N/A</v>
          </cell>
          <cell r="I998" t="str">
            <v>ANNUALLY</v>
          </cell>
          <cell r="J998">
            <v>45719</v>
          </cell>
          <cell r="K998"/>
          <cell r="L998"/>
          <cell r="M998"/>
          <cell r="N998" t="str">
            <v>JABATAN ORTOPEDIK</v>
          </cell>
          <cell r="O998" t="str">
            <v>Klinik Ortopedik (ORTHO CLINIC)</v>
          </cell>
        </row>
        <row r="999">
          <cell r="D999" t="str">
            <v>HSAS10020</v>
          </cell>
          <cell r="E999" t="str">
            <v>MONITOR 20"</v>
          </cell>
          <cell r="F999" t="str">
            <v>SONY</v>
          </cell>
          <cell r="G999" t="str">
            <v>LMD-2110MD</v>
          </cell>
          <cell r="H999" t="str">
            <v>N/A</v>
          </cell>
          <cell r="I999" t="str">
            <v>ANNUALLY</v>
          </cell>
          <cell r="J999">
            <v>45966</v>
          </cell>
          <cell r="K999"/>
          <cell r="L999"/>
          <cell r="M999"/>
          <cell r="N999" t="str">
            <v>JABATAN OTORINOLARINGOLOGI</v>
          </cell>
          <cell r="O999" t="str">
            <v>Klinik Otorinolaringologi (ORL) (ENT CLINIC)</v>
          </cell>
        </row>
        <row r="1000">
          <cell r="D1000" t="str">
            <v>HSAS10039</v>
          </cell>
          <cell r="E1000" t="str">
            <v>CAMERA VIDEO</v>
          </cell>
          <cell r="F1000" t="str">
            <v>OLYMPUS</v>
          </cell>
          <cell r="G1000" t="str">
            <v>OTV-S190</v>
          </cell>
          <cell r="H1000">
            <v>7487876</v>
          </cell>
          <cell r="I1000" t="str">
            <v>ANNUALLY</v>
          </cell>
          <cell r="J1000">
            <v>45975</v>
          </cell>
          <cell r="K1000"/>
          <cell r="L1000"/>
          <cell r="M1000"/>
          <cell r="N1000" t="str">
            <v>JABATAN OTORINOLARINGOLOGI</v>
          </cell>
          <cell r="O1000" t="str">
            <v>Klinik Otorinolaringologi (ORL) (ENT CLINIC)</v>
          </cell>
        </row>
        <row r="1001">
          <cell r="D1001" t="str">
            <v>HSAS10064</v>
          </cell>
          <cell r="E1001" t="str">
            <v>NASOPHARYNGOSCOPE FIBEROPTIC</v>
          </cell>
          <cell r="F1001" t="str">
            <v>OLYMPUS</v>
          </cell>
          <cell r="G1001" t="str">
            <v>ENF-T3</v>
          </cell>
          <cell r="H1001" t="str">
            <v>N/A</v>
          </cell>
          <cell r="I1001" t="str">
            <v>ANNUALLY</v>
          </cell>
          <cell r="J1001">
            <v>45919</v>
          </cell>
          <cell r="K1001"/>
          <cell r="L1001"/>
          <cell r="M1001"/>
          <cell r="N1001" t="str">
            <v>JABATAN OTORINOLARINGOLOGI</v>
          </cell>
          <cell r="O1001" t="str">
            <v>Klinik Otorinolaringologi (ORL) (ENT CLINIC)</v>
          </cell>
        </row>
        <row r="1002">
          <cell r="D1002" t="str">
            <v>KKM/JKN/HSA/10-05-01/H/15/5029</v>
          </cell>
          <cell r="E1002" t="str">
            <v>EXAM UNIT AIR/WATER/SUCTION/CAUTERY</v>
          </cell>
          <cell r="F1002" t="str">
            <v>OTOPRONT</v>
          </cell>
          <cell r="G1002" t="str">
            <v>BASIC PLUS</v>
          </cell>
          <cell r="H1002">
            <v>35345</v>
          </cell>
          <cell r="I1002" t="str">
            <v>ANNUALLY</v>
          </cell>
          <cell r="J1002">
            <v>45888</v>
          </cell>
          <cell r="K1002"/>
          <cell r="L1002"/>
          <cell r="M1002"/>
          <cell r="N1002" t="str">
            <v>JABATAN OTORINOLARINGOLOGI</v>
          </cell>
          <cell r="O1002" t="str">
            <v>Klinik Otorinolaringologi (ORL) (ENT CLINIC)</v>
          </cell>
        </row>
        <row r="1003">
          <cell r="D1003" t="str">
            <v>KKM/JKN/HSA/10-05-01/H/15/5030</v>
          </cell>
          <cell r="E1003" t="str">
            <v>EXAM UNIT AIR/WATER/SUCTION/CAUTERY</v>
          </cell>
          <cell r="F1003" t="str">
            <v>OTOPRONT</v>
          </cell>
          <cell r="G1003" t="str">
            <v>BASIC PLUS</v>
          </cell>
          <cell r="H1003">
            <v>35354</v>
          </cell>
          <cell r="I1003" t="str">
            <v>ANNUALLY</v>
          </cell>
          <cell r="J1003">
            <v>45888</v>
          </cell>
          <cell r="K1003"/>
          <cell r="L1003"/>
          <cell r="M1003"/>
          <cell r="N1003" t="str">
            <v>JABATAN OTORINOLARINGOLOGI</v>
          </cell>
          <cell r="O1003" t="str">
            <v>Klinik Otorinolaringologi (ORL) (ENT CLINIC)</v>
          </cell>
        </row>
        <row r="1004">
          <cell r="D1004" t="str">
            <v>KKM/JKN/HSA/10-05-01/H/15/5031</v>
          </cell>
          <cell r="E1004" t="str">
            <v>EXAM UNIT AIR/WATER/SUCTION/CAUTERY</v>
          </cell>
          <cell r="F1004" t="str">
            <v>OTOPRONT</v>
          </cell>
          <cell r="G1004" t="str">
            <v>BASIC PLUS</v>
          </cell>
          <cell r="H1004">
            <v>35351</v>
          </cell>
          <cell r="I1004" t="str">
            <v>ANNUALLY</v>
          </cell>
          <cell r="J1004">
            <v>45888</v>
          </cell>
          <cell r="K1004"/>
          <cell r="L1004"/>
          <cell r="M1004"/>
          <cell r="N1004" t="str">
            <v>JABATAN OTORINOLARINGOLOGI</v>
          </cell>
          <cell r="O1004" t="str">
            <v>Klinik Otorinolaringologi (ORL) (ENT CLINIC)</v>
          </cell>
        </row>
        <row r="1005">
          <cell r="D1005" t="str">
            <v>KKM/JKN/HSA/10-05-01/H/15/5032</v>
          </cell>
          <cell r="E1005" t="str">
            <v>EXAM UNIT AIR/WATER/SUCTION/CAUTERY</v>
          </cell>
          <cell r="F1005" t="str">
            <v>OTOPRONT</v>
          </cell>
          <cell r="G1005" t="str">
            <v>BASIC PLUS</v>
          </cell>
          <cell r="H1005">
            <v>35357</v>
          </cell>
          <cell r="I1005" t="str">
            <v>ANNUALLY</v>
          </cell>
          <cell r="J1005">
            <v>45890</v>
          </cell>
          <cell r="K1005"/>
          <cell r="L1005"/>
          <cell r="M1005"/>
          <cell r="N1005" t="str">
            <v>JABATAN OTORINOLARINGOLOGI</v>
          </cell>
          <cell r="O1005" t="str">
            <v>Klinik Otorinolaringologi (ORL) (ENT CLINIC)</v>
          </cell>
        </row>
        <row r="1006">
          <cell r="D1006" t="str">
            <v>KKM/JKN/HSA/10-05-01/H/15/5033</v>
          </cell>
          <cell r="E1006" t="str">
            <v>EXAM UNIT AIR/WATER/SUCTION/CAUTERY</v>
          </cell>
          <cell r="F1006" t="str">
            <v>OTOPRONT</v>
          </cell>
          <cell r="G1006" t="str">
            <v>BASIC PLUS</v>
          </cell>
          <cell r="H1006">
            <v>35348</v>
          </cell>
          <cell r="I1006" t="str">
            <v>ANNUALLY</v>
          </cell>
          <cell r="J1006">
            <v>45890</v>
          </cell>
          <cell r="K1006"/>
          <cell r="L1006"/>
          <cell r="M1006"/>
          <cell r="N1006" t="str">
            <v>JABATAN OTORINOLARINGOLOGI</v>
          </cell>
          <cell r="O1006" t="str">
            <v>Klinik Otorinolaringologi (ORL) (ENT CLINIC)</v>
          </cell>
        </row>
        <row r="1007">
          <cell r="D1007" t="str">
            <v>KKM/JKN/HSA/10-05-01/H/15/5107</v>
          </cell>
          <cell r="E1007" t="str">
            <v>LAMP OPERATING MINOR</v>
          </cell>
          <cell r="F1007" t="str">
            <v>TRUMPF MEDIZIN</v>
          </cell>
          <cell r="G1007" t="str">
            <v>TRULIGHT 3300</v>
          </cell>
          <cell r="H1007" t="str">
            <v>102095253</v>
          </cell>
          <cell r="I1007" t="str">
            <v>ANNUALLY</v>
          </cell>
          <cell r="J1007">
            <v>45823</v>
          </cell>
          <cell r="K1007"/>
          <cell r="L1007"/>
          <cell r="M1007"/>
          <cell r="N1007" t="str">
            <v>JABATAN OTORINOLARINGOLOGI</v>
          </cell>
          <cell r="O1007" t="str">
            <v>Klinik Otorinolaringologi (ORL) (ENT CLINIC)</v>
          </cell>
        </row>
        <row r="1008">
          <cell r="D1008" t="str">
            <v>KKM/JKN/HSA/10-05-01/H/15/5251</v>
          </cell>
          <cell r="E1008" t="str">
            <v>TYMPANOMETER SCREENING</v>
          </cell>
          <cell r="F1008" t="str">
            <v>TITAN</v>
          </cell>
          <cell r="G1008" t="str">
            <v>IMP440 DIAGNOSTIC WITH HF PROBE TONES</v>
          </cell>
          <cell r="H1008" t="str">
            <v>0928956</v>
          </cell>
          <cell r="I1008" t="str">
            <v>ANNUALLY</v>
          </cell>
          <cell r="J1008">
            <v>45894</v>
          </cell>
          <cell r="K1008"/>
          <cell r="L1008"/>
          <cell r="M1008"/>
          <cell r="N1008" t="str">
            <v>JABATAN OTORINOLARINGOLOGI</v>
          </cell>
          <cell r="O1008" t="str">
            <v>Klinik Otorinolaringologi (ORL) (ENT CLINIC)</v>
          </cell>
        </row>
        <row r="1009">
          <cell r="D1009" t="str">
            <v>KKM/JKN/HSA/10-05-01/H/15/5258</v>
          </cell>
          <cell r="E1009" t="str">
            <v>VIDEO NYSTAGMOGRAPHY</v>
          </cell>
          <cell r="F1009" t="str">
            <v>SYNAPSYS</v>
          </cell>
          <cell r="G1009" t="str">
            <v>VNG ULMER</v>
          </cell>
          <cell r="H1009">
            <v>228</v>
          </cell>
          <cell r="I1009" t="str">
            <v>ANNUALLY</v>
          </cell>
          <cell r="J1009">
            <v>45792</v>
          </cell>
          <cell r="K1009"/>
          <cell r="L1009"/>
          <cell r="M1009"/>
          <cell r="N1009" t="str">
            <v>JABATAN OTORINOLARINGOLOGI</v>
          </cell>
          <cell r="O1009" t="str">
            <v>Klinik Otorinolaringologi (ORL) (ENT CLINIC)</v>
          </cell>
        </row>
        <row r="1010">
          <cell r="D1010" t="str">
            <v>KKM/JKN/HSA/10-05-01/H/15/5261</v>
          </cell>
          <cell r="E1010" t="str">
            <v>HEARING AID PRESCRIBER SYSTEM</v>
          </cell>
          <cell r="F1010" t="str">
            <v>INTERACOUSTICS</v>
          </cell>
          <cell r="G1010" t="str">
            <v>AFFINITY</v>
          </cell>
          <cell r="H1010" t="str">
            <v>0923357</v>
          </cell>
          <cell r="I1010" t="str">
            <v>ANNUALLY</v>
          </cell>
          <cell r="J1010">
            <v>45894</v>
          </cell>
          <cell r="K1010"/>
          <cell r="L1010"/>
          <cell r="M1010"/>
          <cell r="N1010" t="str">
            <v>JABATAN OTORINOLARINGOLOGI</v>
          </cell>
          <cell r="O1010" t="str">
            <v>Klinik Otorinolaringologi (ORL) (ENT CLINIC)</v>
          </cell>
        </row>
        <row r="1011">
          <cell r="D1011" t="str">
            <v>KKM/JKN/HSA/10-05-01/H/15/880</v>
          </cell>
          <cell r="E1011" t="str">
            <v>SURFACE ELECTRO MIOGRAPH 'sEMG' - DYSPAGIA</v>
          </cell>
          <cell r="F1011" t="str">
            <v>GYMNA UNIPHY</v>
          </cell>
          <cell r="G1011" t="str">
            <v>MYO 420/COMPUTER</v>
          </cell>
          <cell r="H1011" t="str">
            <v>N/A</v>
          </cell>
          <cell r="I1011" t="str">
            <v>ANNUALLY</v>
          </cell>
          <cell r="J1011">
            <v>46016</v>
          </cell>
          <cell r="K1011"/>
          <cell r="L1011"/>
          <cell r="M1011"/>
          <cell r="N1011" t="str">
            <v>JABATAN OTORINOLARINGOLOGI</v>
          </cell>
          <cell r="O1011" t="str">
            <v>Klinik Otorinolaringologi (ORL) (ENT CLINIC)</v>
          </cell>
        </row>
        <row r="1012">
          <cell r="D1012" t="str">
            <v>KKM/JKN/HSA/10-05-01/H/17/22</v>
          </cell>
          <cell r="E1012" t="str">
            <v>AUTOMATED AUDIOTORY BRAINSTEAM RESPONSE C/W LAP TOP</v>
          </cell>
          <cell r="F1012" t="str">
            <v>MAICO</v>
          </cell>
          <cell r="G1012" t="str">
            <v>MB11 BERAPHONE</v>
          </cell>
          <cell r="H1012" t="str">
            <v> MA9019981</v>
          </cell>
          <cell r="I1012" t="str">
            <v>ANNUALLY</v>
          </cell>
          <cell r="J1012">
            <v>45891</v>
          </cell>
          <cell r="K1012"/>
          <cell r="L1012"/>
          <cell r="M1012"/>
          <cell r="N1012" t="str">
            <v>JABATAN OTORINOLARINGOLOGI</v>
          </cell>
          <cell r="O1012" t="str">
            <v>Klinik Otorinolaringologi (ORL) (ENT CLINIC)</v>
          </cell>
        </row>
        <row r="1013">
          <cell r="D1013" t="str">
            <v>KKM/JKN/HSA/10-05-01/H/15/2737</v>
          </cell>
          <cell r="E1013" t="str">
            <v>METER SOUND LEVEL (AUDIO METER)</v>
          </cell>
          <cell r="F1013" t="str">
            <v>QUEST TECHNOLOGIES</v>
          </cell>
          <cell r="G1013" t="str">
            <v>RS-232</v>
          </cell>
          <cell r="H1013" t="str">
            <v>101110542</v>
          </cell>
          <cell r="I1013" t="str">
            <v>ANNUALLY</v>
          </cell>
          <cell r="J1013">
            <v>45780</v>
          </cell>
          <cell r="K1013"/>
          <cell r="L1013"/>
          <cell r="M1013"/>
          <cell r="N1013" t="str">
            <v>JABATAN OTORINOLARINGOLOGI</v>
          </cell>
          <cell r="O1013" t="str">
            <v>Klinik Otorinolaringologi (ORL) (ENT CLINIC)</v>
          </cell>
        </row>
        <row r="1014">
          <cell r="D1014" t="str">
            <v>KKM/JKN/HSA/10-05-01/R/15/10322</v>
          </cell>
          <cell r="E1014" t="str">
            <v>OTOSCOPE WITH RECHARGABLE HANDLE</v>
          </cell>
          <cell r="F1014" t="str">
            <v>RUDOLF RIESTER, GMBH</v>
          </cell>
          <cell r="G1014" t="str">
            <v>RI-SCOPE L 3714</v>
          </cell>
          <cell r="H1014" t="str">
            <v>N/A</v>
          </cell>
          <cell r="I1014" t="str">
            <v>ANNUALLY</v>
          </cell>
          <cell r="J1014">
            <v>45904</v>
          </cell>
          <cell r="K1014"/>
          <cell r="L1014"/>
          <cell r="M1014"/>
          <cell r="N1014" t="str">
            <v>JABATAN OTORINOLARINGOLOGI</v>
          </cell>
          <cell r="O1014" t="str">
            <v>Klinik Otorinolaringologi (ORL) (ENT CLINIC)</v>
          </cell>
        </row>
        <row r="1015">
          <cell r="D1015" t="str">
            <v>KKM/JKN/HSA/10-05-01/R/15/10323</v>
          </cell>
          <cell r="E1015" t="str">
            <v>OTOSCOPE WITH RECHARGABLE HANDLE</v>
          </cell>
          <cell r="F1015" t="str">
            <v>RUDOLF RIESTER, GMBH</v>
          </cell>
          <cell r="G1015" t="str">
            <v>RI-SCOPE L 3714</v>
          </cell>
          <cell r="H1015" t="str">
            <v>N/A</v>
          </cell>
          <cell r="I1015" t="str">
            <v>ANNUALLY</v>
          </cell>
          <cell r="J1015">
            <v>45904</v>
          </cell>
          <cell r="K1015"/>
          <cell r="L1015"/>
          <cell r="M1015"/>
          <cell r="N1015" t="str">
            <v>JABATAN OTORINOLARINGOLOGI</v>
          </cell>
          <cell r="O1015" t="str">
            <v>Klinik Otorinolaringologi (ORL) (ENT CLINIC)</v>
          </cell>
        </row>
        <row r="1016">
          <cell r="D1016" t="str">
            <v>KKM/JKN/HSA/10-05-01/R/15/15384</v>
          </cell>
          <cell r="E1016" t="str">
            <v>VIDEO RECORDER</v>
          </cell>
          <cell r="F1016" t="str">
            <v>PANASONIC</v>
          </cell>
          <cell r="G1016" t="str">
            <v>DMR-EH59</v>
          </cell>
          <cell r="H1016" t="str">
            <v>VN4H0001010</v>
          </cell>
          <cell r="I1016" t="str">
            <v>ANNUALLY</v>
          </cell>
          <cell r="J1016">
            <v>45906</v>
          </cell>
          <cell r="K1016"/>
          <cell r="L1016"/>
          <cell r="M1016"/>
          <cell r="N1016" t="str">
            <v>JABATAN PERUBATAN AM</v>
          </cell>
          <cell r="O1016" t="str">
            <v>Unit Rawatan Perubatan Harian (MDC)</v>
          </cell>
        </row>
        <row r="1017">
          <cell r="D1017" t="str">
            <v>KKM/JKN/HSA/10-05-01/R/15/17356</v>
          </cell>
          <cell r="E1017" t="str">
            <v>VIDEO RECORDER</v>
          </cell>
          <cell r="F1017" t="str">
            <v>PANASONIC</v>
          </cell>
          <cell r="G1017" t="str">
            <v>DMR-EH59</v>
          </cell>
          <cell r="H1017" t="str">
            <v>VN4HC001018</v>
          </cell>
          <cell r="I1017" t="str">
            <v>ANNUALLY</v>
          </cell>
          <cell r="J1017">
            <v>45920</v>
          </cell>
          <cell r="K1017"/>
          <cell r="L1017"/>
          <cell r="M1017"/>
          <cell r="N1017" t="str">
            <v>JABATAN OTORINOLARINGOLOGI</v>
          </cell>
          <cell r="O1017" t="str">
            <v>Klinik Otorinolaringologi (ORL) (ENT CLINIC)</v>
          </cell>
        </row>
        <row r="1018">
          <cell r="D1018" t="str">
            <v>KKM/JKN/HSA/10-05-01/H/15/1012</v>
          </cell>
          <cell r="E1018" t="str">
            <v>NASOPHARYNGOSCOPE FIBEROPTIC</v>
          </cell>
          <cell r="F1018" t="str">
            <v>OLYMPUS</v>
          </cell>
          <cell r="G1018" t="str">
            <v>ENF-T3</v>
          </cell>
          <cell r="H1018" t="str">
            <v>2425320</v>
          </cell>
          <cell r="I1018" t="str">
            <v>ANNUALLY</v>
          </cell>
          <cell r="J1018">
            <v>46028</v>
          </cell>
          <cell r="K1018"/>
          <cell r="L1018"/>
          <cell r="M1018"/>
          <cell r="N1018" t="str">
            <v>JABATAN OTORINOLARINGOLOGI</v>
          </cell>
          <cell r="O1018" t="str">
            <v>Klinik Otorinolaringologi (ORL) (ENT CLINIC)</v>
          </cell>
        </row>
        <row r="1019">
          <cell r="D1019" t="str">
            <v>KKM/JKN/HSA/10-05-01/H/15/1094</v>
          </cell>
          <cell r="E1019" t="str">
            <v>SUCTION APPARATUS</v>
          </cell>
          <cell r="F1019" t="str">
            <v>OLYMPUS</v>
          </cell>
          <cell r="G1019" t="str">
            <v>SSU-2</v>
          </cell>
          <cell r="H1019" t="str">
            <v>2142374</v>
          </cell>
          <cell r="I1019" t="str">
            <v>ANNUALLY</v>
          </cell>
          <cell r="J1019">
            <v>45845</v>
          </cell>
          <cell r="K1019"/>
          <cell r="L1019"/>
          <cell r="M1019"/>
          <cell r="N1019" t="str">
            <v>JABATAN OTORINOLARINGOLOGI</v>
          </cell>
          <cell r="O1019" t="str">
            <v>Klinik Otorinolaringologi (ORL) (ENT CLINIC)</v>
          </cell>
        </row>
        <row r="1020">
          <cell r="D1020" t="str">
            <v>KKM/JKN/HSA/10-05-01/H/15/2457</v>
          </cell>
          <cell r="E1020" t="str">
            <v>AUDIOMETER</v>
          </cell>
          <cell r="F1020" t="str">
            <v>INTERACOUSTICS</v>
          </cell>
          <cell r="G1020" t="str">
            <v>AC40</v>
          </cell>
          <cell r="H1020" t="str">
            <v>0933048</v>
          </cell>
          <cell r="I1020" t="str">
            <v>ANNUALLY</v>
          </cell>
          <cell r="J1020">
            <v>45894</v>
          </cell>
          <cell r="K1020"/>
          <cell r="L1020"/>
          <cell r="M1020"/>
          <cell r="N1020" t="str">
            <v>JABATAN OTORINOLARINGOLOGI</v>
          </cell>
          <cell r="O1020" t="str">
            <v>Klinik Otorinolaringologi (ORL) (ENT CLINIC)</v>
          </cell>
        </row>
        <row r="1021">
          <cell r="D1021" t="str">
            <v>KKM/JKN/HSA/10-05-01/H/15/2458</v>
          </cell>
          <cell r="E1021" t="str">
            <v>AUDIOMETER</v>
          </cell>
          <cell r="F1021" t="str">
            <v>INTERACOUSTICS</v>
          </cell>
          <cell r="G1021" t="str">
            <v>AC40</v>
          </cell>
          <cell r="H1021" t="str">
            <v>0925841</v>
          </cell>
          <cell r="I1021" t="str">
            <v>ANNUALLY</v>
          </cell>
          <cell r="J1021">
            <v>45894</v>
          </cell>
          <cell r="K1021"/>
          <cell r="L1021"/>
          <cell r="M1021"/>
          <cell r="N1021" t="str">
            <v>JABATAN OTORINOLARINGOLOGI</v>
          </cell>
          <cell r="O1021" t="str">
            <v>Klinik Otorinolaringologi (ORL) (ENT CLINIC)</v>
          </cell>
        </row>
        <row r="1022">
          <cell r="D1022" t="str">
            <v>KKM/JKN/HSA/10-05-01/H/15/2476</v>
          </cell>
          <cell r="E1022" t="str">
            <v>HEADLIGHTS</v>
          </cell>
          <cell r="F1022" t="str">
            <v>HEINE</v>
          </cell>
          <cell r="G1022" t="str">
            <v>3S LED PROFESSIONAL L</v>
          </cell>
          <cell r="H1022" t="str">
            <v>1100004976</v>
          </cell>
          <cell r="I1022" t="str">
            <v>ANNUALLY</v>
          </cell>
          <cell r="J1022">
            <v>45887</v>
          </cell>
          <cell r="K1022"/>
          <cell r="L1022"/>
          <cell r="M1022"/>
          <cell r="N1022" t="str">
            <v>JABATAN OTORINOLARINGOLOGI</v>
          </cell>
          <cell r="O1022" t="str">
            <v>Klinik Otorinolaringologi (ORL) (ENT CLINIC)</v>
          </cell>
        </row>
        <row r="1023">
          <cell r="D1023" t="str">
            <v>KKM/JKN/HSA/10-05-01/H/15/2477</v>
          </cell>
          <cell r="E1023" t="str">
            <v>HEADLIGHTS</v>
          </cell>
          <cell r="F1023" t="str">
            <v>HEINE</v>
          </cell>
          <cell r="G1023" t="str">
            <v>3S LED</v>
          </cell>
          <cell r="H1023" t="str">
            <v>1091017858</v>
          </cell>
          <cell r="I1023" t="str">
            <v>ANNUALLY</v>
          </cell>
          <cell r="J1023">
            <v>45887</v>
          </cell>
          <cell r="K1023"/>
          <cell r="L1023"/>
          <cell r="M1023"/>
          <cell r="N1023" t="str">
            <v>JABATAN OTORINOLARINGOLOGI</v>
          </cell>
          <cell r="O1023" t="str">
            <v>Klinik Otorinolaringologi (ORL) (ENT CLINIC)</v>
          </cell>
        </row>
        <row r="1024">
          <cell r="D1024" t="str">
            <v>KKM/JKN/HSA/10-05-01/H/15/2478</v>
          </cell>
          <cell r="E1024" t="str">
            <v>HEADLIGHTS</v>
          </cell>
          <cell r="F1024" t="str">
            <v>HEINE</v>
          </cell>
          <cell r="G1024" t="str">
            <v>3S LED PROFESSIONAL L</v>
          </cell>
          <cell r="H1024" t="str">
            <v>1091017850</v>
          </cell>
          <cell r="I1024" t="str">
            <v>ANNUALLY</v>
          </cell>
          <cell r="J1024">
            <v>45887</v>
          </cell>
          <cell r="K1024"/>
          <cell r="L1024"/>
          <cell r="M1024"/>
          <cell r="N1024" t="str">
            <v>JABATAN OTORINOLARINGOLOGI</v>
          </cell>
          <cell r="O1024" t="str">
            <v>Klinik Otorinolaringologi (ORL) (ENT CLINIC)</v>
          </cell>
        </row>
        <row r="1025">
          <cell r="D1025" t="str">
            <v>KKM/JKN/HSA/10-05-01/H/15/2480</v>
          </cell>
          <cell r="E1025" t="str">
            <v>LIGHT SOURCE</v>
          </cell>
          <cell r="F1025" t="str">
            <v>OLYMPUS</v>
          </cell>
          <cell r="G1025" t="str">
            <v>CLV-S49PRO</v>
          </cell>
          <cell r="H1025" t="str">
            <v>7428270</v>
          </cell>
          <cell r="I1025" t="str">
            <v>SEMI ANNUALLY</v>
          </cell>
          <cell r="J1025">
            <v>46030</v>
          </cell>
          <cell r="K1025">
            <v>46210</v>
          </cell>
          <cell r="L1025"/>
          <cell r="M1025"/>
          <cell r="N1025" t="str">
            <v>JABATAN OTORINOLARINGOLOGI</v>
          </cell>
          <cell r="O1025" t="str">
            <v>Klinik Otorinolaringologi (ORL) (ENT CLINIC)</v>
          </cell>
        </row>
        <row r="1026">
          <cell r="D1026" t="str">
            <v>KKM/JKN/HSA/10-05-01/H/15/2481</v>
          </cell>
          <cell r="E1026" t="str">
            <v>LIGHT SOURCE</v>
          </cell>
          <cell r="F1026" t="str">
            <v>OLYMPUS</v>
          </cell>
          <cell r="G1026" t="str">
            <v>CLV-S49PRO</v>
          </cell>
          <cell r="H1026" t="str">
            <v>7528444</v>
          </cell>
          <cell r="I1026" t="str">
            <v>SEMI ANNUALLY</v>
          </cell>
          <cell r="J1026">
            <v>46030</v>
          </cell>
          <cell r="K1026">
            <v>46210</v>
          </cell>
          <cell r="L1026"/>
          <cell r="M1026"/>
          <cell r="N1026" t="str">
            <v>JABATAN OTORINOLARINGOLOGI</v>
          </cell>
          <cell r="O1026" t="str">
            <v>Klinik Otorinolaringologi (ORL) (ENT CLINIC)</v>
          </cell>
        </row>
        <row r="1027">
          <cell r="D1027" t="str">
            <v>KKM/JKN/HSA/10-05-01/H/15/2736</v>
          </cell>
          <cell r="E1027" t="str">
            <v>EVOKED OTOAOUSTIC EMISSION SYSTEM</v>
          </cell>
          <cell r="F1027" t="str">
            <v>INTERACOUSTICS</v>
          </cell>
          <cell r="G1027" t="str">
            <v>ECLIPSE DP &amp; TE</v>
          </cell>
          <cell r="H1027" t="str">
            <v>10228-017/  0921084</v>
          </cell>
          <cell r="I1027" t="str">
            <v>ANNUALLY</v>
          </cell>
          <cell r="J1027">
            <v>45894</v>
          </cell>
          <cell r="K1027"/>
          <cell r="L1027"/>
          <cell r="M1027"/>
          <cell r="N1027" t="str">
            <v>JABATAN OTORINOLARINGOLOGI</v>
          </cell>
          <cell r="O1027" t="str">
            <v>Klinik Otorinolaringologi (ORL) (ENT CLINIC)</v>
          </cell>
        </row>
        <row r="1028">
          <cell r="D1028" t="str">
            <v>KKM/JKN/HSA/10-05-01/H/15/2740</v>
          </cell>
          <cell r="E1028" t="str">
            <v>SURGICAL MICROSCOPE</v>
          </cell>
          <cell r="F1028" t="str">
            <v>MOLLER WEDEL</v>
          </cell>
          <cell r="G1028" t="str">
            <v>ALLEGRA50/FS1-12</v>
          </cell>
          <cell r="H1028" t="str">
            <v>2286</v>
          </cell>
          <cell r="I1028" t="str">
            <v>ANNUALLY</v>
          </cell>
          <cell r="J1028">
            <v>46002</v>
          </cell>
          <cell r="K1028"/>
          <cell r="L1028"/>
          <cell r="M1028"/>
          <cell r="N1028" t="str">
            <v>JABATAN OTORINOLARINGOLOGI</v>
          </cell>
          <cell r="O1028" t="str">
            <v>Klinik Otorinolaringologi (ORL) (ENT CLINIC)</v>
          </cell>
        </row>
        <row r="1029">
          <cell r="D1029" t="str">
            <v>KKM/JKN/HSA/10-05-01/H/15/2741</v>
          </cell>
          <cell r="E1029" t="str">
            <v>SURGICAL MICROSCOPE</v>
          </cell>
          <cell r="F1029" t="str">
            <v>MOLLER WEDEL</v>
          </cell>
          <cell r="G1029" t="str">
            <v>ALLEGRA50/FS1-12</v>
          </cell>
          <cell r="H1029" t="str">
            <v>2149</v>
          </cell>
          <cell r="I1029" t="str">
            <v>ANNUALLY</v>
          </cell>
          <cell r="J1029">
            <v>46002</v>
          </cell>
          <cell r="K1029"/>
          <cell r="L1029"/>
          <cell r="M1029"/>
          <cell r="N1029" t="str">
            <v>JABATAN OTORINOLARINGOLOGI</v>
          </cell>
          <cell r="O1029" t="str">
            <v>Klinik Otorinolaringologi (ORL) (ENT CLINIC)</v>
          </cell>
        </row>
        <row r="1030">
          <cell r="D1030" t="str">
            <v>KKM/JKN/HSA/10-05-01/H/15/2742</v>
          </cell>
          <cell r="E1030" t="str">
            <v>SURGICAL MICROSCOPE</v>
          </cell>
          <cell r="F1030" t="str">
            <v>MOLLER WEDEL</v>
          </cell>
          <cell r="G1030" t="str">
            <v>ALLEGRA50/FS1-12</v>
          </cell>
          <cell r="H1030" t="str">
            <v>2251</v>
          </cell>
          <cell r="I1030" t="str">
            <v>ANNUALLY</v>
          </cell>
          <cell r="J1030">
            <v>46002</v>
          </cell>
          <cell r="K1030"/>
          <cell r="L1030"/>
          <cell r="M1030"/>
          <cell r="N1030" t="str">
            <v>JABATAN OTORINOLARINGOLOGI</v>
          </cell>
          <cell r="O1030" t="str">
            <v>Klinik Otorinolaringologi (ORL) (ENT CLINIC)</v>
          </cell>
        </row>
        <row r="1031">
          <cell r="D1031" t="str">
            <v>KKM/JKN/HSA/10-05-01/H/15/463</v>
          </cell>
          <cell r="E1031" t="str">
            <v>BRONCHOSCOPES</v>
          </cell>
          <cell r="F1031" t="str">
            <v>OLYMPUS</v>
          </cell>
          <cell r="G1031" t="str">
            <v>BF-P60</v>
          </cell>
          <cell r="H1031" t="str">
            <v>2454983</v>
          </cell>
          <cell r="I1031" t="str">
            <v>ANNUALLY</v>
          </cell>
          <cell r="J1031">
            <v>45810</v>
          </cell>
          <cell r="K1031"/>
          <cell r="L1031"/>
          <cell r="M1031"/>
          <cell r="N1031" t="str">
            <v>JABATAN OTORINOLARINGOLOGI</v>
          </cell>
          <cell r="O1031" t="str">
            <v>Klinik Otorinolaringologi (ORL) (ENT CLINIC)</v>
          </cell>
        </row>
        <row r="1032">
          <cell r="D1032" t="str">
            <v>KKM/JKN/HSA/10-05-01/H/15/563</v>
          </cell>
          <cell r="E1032" t="str">
            <v>DIATHERMY (RADIOFREQUENCY/ SHORTWAVE)</v>
          </cell>
          <cell r="F1032" t="str">
            <v>OLYMPUS</v>
          </cell>
          <cell r="G1032" t="str">
            <v>ESG-100</v>
          </cell>
          <cell r="H1032" t="str">
            <v>14287P500005</v>
          </cell>
          <cell r="I1032" t="str">
            <v>ANNUALLY</v>
          </cell>
          <cell r="J1032">
            <v>45810</v>
          </cell>
          <cell r="K1032"/>
          <cell r="L1032"/>
          <cell r="M1032"/>
          <cell r="N1032" t="str">
            <v>JABATAN OTORINOLARINGOLOGI</v>
          </cell>
          <cell r="O1032" t="str">
            <v>Klinik Otorinolaringologi (ORL) (ENT CLINIC)</v>
          </cell>
        </row>
        <row r="1033">
          <cell r="D1033" t="str">
            <v>KKM/JKN/HSA/10-05-01/R/15/10316</v>
          </cell>
          <cell r="E1033" t="str">
            <v>OTOSCOPE</v>
          </cell>
          <cell r="F1033" t="str">
            <v>RUDOLF RIESTER, GMBH</v>
          </cell>
          <cell r="G1033" t="str">
            <v>RI-FORMER</v>
          </cell>
          <cell r="H1033" t="str">
            <v>25020A</v>
          </cell>
          <cell r="I1033" t="str">
            <v>ANNUALLY</v>
          </cell>
          <cell r="J1033">
            <v>45842</v>
          </cell>
          <cell r="K1033"/>
          <cell r="L1033"/>
          <cell r="M1033"/>
          <cell r="N1033" t="str">
            <v>JABATAN OTORINOLARINGOLOGI</v>
          </cell>
          <cell r="O1033" t="str">
            <v>Klinik Otorinolaringologi (ORL) (ENT CLINIC)</v>
          </cell>
        </row>
        <row r="1034">
          <cell r="D1034" t="str">
            <v>KKM/JKN/HSA/10-05-01/R/15/10317</v>
          </cell>
          <cell r="E1034" t="str">
            <v>OTOSCOPE</v>
          </cell>
          <cell r="F1034" t="str">
            <v>RUDOLF RIESTER, GMBH</v>
          </cell>
          <cell r="G1034" t="str">
            <v>RI-FORMER</v>
          </cell>
          <cell r="H1034" t="str">
            <v>052183</v>
          </cell>
          <cell r="I1034" t="str">
            <v>ANNUALLY</v>
          </cell>
          <cell r="J1034">
            <v>45842</v>
          </cell>
          <cell r="K1034"/>
          <cell r="L1034"/>
          <cell r="M1034"/>
          <cell r="N1034" t="str">
            <v>JABATAN OTORINOLARINGOLOGI</v>
          </cell>
          <cell r="O1034" t="str">
            <v>Klinik Otorinolaringologi (ORL) (ENT CLINIC)</v>
          </cell>
        </row>
        <row r="1035">
          <cell r="D1035" t="str">
            <v>KKM/JKN/HSA/10-05-01/R/15/10319</v>
          </cell>
          <cell r="E1035" t="str">
            <v>OTOSCOPE</v>
          </cell>
          <cell r="F1035" t="str">
            <v>RUDOLF RIESTER, GMBH</v>
          </cell>
          <cell r="G1035" t="str">
            <v>RI-FORMER</v>
          </cell>
          <cell r="H1035" t="str">
            <v>042671</v>
          </cell>
          <cell r="I1035" t="str">
            <v>ANNUALLY</v>
          </cell>
          <cell r="J1035">
            <v>45842</v>
          </cell>
          <cell r="K1035"/>
          <cell r="L1035"/>
          <cell r="M1035"/>
          <cell r="N1035" t="str">
            <v>JABATAN OTORINOLARINGOLOGI</v>
          </cell>
          <cell r="O1035" t="str">
            <v>Klinik Otorinolaringologi (ORL) (ENT CLINIC)</v>
          </cell>
        </row>
        <row r="1036">
          <cell r="D1036" t="str">
            <v>KKM/JKN/HSA/10-05-01/R/15/10320</v>
          </cell>
          <cell r="E1036" t="str">
            <v>OTOSCOPE</v>
          </cell>
          <cell r="F1036" t="str">
            <v>RUDOLF RIESTER, GMBH</v>
          </cell>
          <cell r="G1036" t="str">
            <v>RI-FORMER</v>
          </cell>
          <cell r="H1036" t="str">
            <v>042670</v>
          </cell>
          <cell r="I1036" t="str">
            <v>ANNUALLY</v>
          </cell>
          <cell r="J1036">
            <v>45842</v>
          </cell>
          <cell r="K1036"/>
          <cell r="L1036"/>
          <cell r="M1036"/>
          <cell r="N1036" t="str">
            <v>JABATAN OTORINOLARINGOLOGI</v>
          </cell>
          <cell r="O1036" t="str">
            <v>Klinik Otorinolaringologi (ORL) (ENT CLINIC)</v>
          </cell>
        </row>
        <row r="1037">
          <cell r="D1037" t="str">
            <v>KKM/JKN/HSA/10-05-01/R/15/10321</v>
          </cell>
          <cell r="E1037" t="str">
            <v>OTOSCOPE</v>
          </cell>
          <cell r="F1037" t="str">
            <v>RUDOLF RIESTER, GMBH</v>
          </cell>
          <cell r="G1037" t="str">
            <v>RI-FORMER</v>
          </cell>
          <cell r="H1037" t="str">
            <v>042674</v>
          </cell>
          <cell r="I1037" t="str">
            <v>ANNUALLY</v>
          </cell>
          <cell r="J1037">
            <v>45842</v>
          </cell>
          <cell r="K1037"/>
          <cell r="L1037"/>
          <cell r="M1037"/>
          <cell r="N1037" t="str">
            <v>JABATAN OTORINOLARINGOLOGI</v>
          </cell>
          <cell r="O1037" t="str">
            <v>Klinik Otorinolaringologi (ORL) (ENT CLINIC)</v>
          </cell>
        </row>
        <row r="1038">
          <cell r="D1038" t="str">
            <v>KKM/JKN/HSA/10-05-01/R/15/16744</v>
          </cell>
          <cell r="E1038" t="str">
            <v>BLOOD PRESSURE MONITOR (SPHYGMOMANOMETER)</v>
          </cell>
          <cell r="F1038" t="str">
            <v>WELCH ALLYN</v>
          </cell>
          <cell r="G1038" t="str">
            <v>CONNEX PROBP 3400 SERIES</v>
          </cell>
          <cell r="H1038" t="str">
            <v>100053872814</v>
          </cell>
          <cell r="I1038" t="str">
            <v>ANNUALLY</v>
          </cell>
          <cell r="J1038">
            <v>45856</v>
          </cell>
          <cell r="K1038"/>
          <cell r="L1038"/>
          <cell r="M1038"/>
          <cell r="N1038" t="str">
            <v>JABATAN OTORINOLARINGOLOGI</v>
          </cell>
          <cell r="O1038" t="str">
            <v>Klinik Otorinolaringologi (ORL) (ENT CLINIC)</v>
          </cell>
        </row>
        <row r="1039">
          <cell r="D1039" t="str">
            <v>KKM/JKN/HSA/10-05-01/R/15/7143</v>
          </cell>
          <cell r="E1039" t="str">
            <v>PATIENT MONITORING EQUIP.(AUTOMATIC MULTIPARAMETER)</v>
          </cell>
          <cell r="F1039" t="str">
            <v>WELCH ALLYN</v>
          </cell>
          <cell r="G1039" t="str">
            <v>WELCH ALLYN VSM 53000</v>
          </cell>
          <cell r="H1039" t="str">
            <v>JA123418</v>
          </cell>
          <cell r="I1039" t="str">
            <v>ANNUALLY</v>
          </cell>
          <cell r="J1039">
            <v>46052</v>
          </cell>
          <cell r="K1039"/>
          <cell r="L1039"/>
          <cell r="M1039"/>
          <cell r="N1039" t="str">
            <v>JABATAN OTORINOLARINGOLOGI</v>
          </cell>
          <cell r="O1039" t="str">
            <v>Klinik Otorinolaringologi (ORL) (ENT CLINIC)</v>
          </cell>
        </row>
        <row r="1040">
          <cell r="D1040" t="str">
            <v>KKM/JKN/HSA/10-05-01/R/15/7440</v>
          </cell>
          <cell r="E1040" t="str">
            <v>NEUROMUSCULAR STIMULATORS</v>
          </cell>
          <cell r="F1040" t="str">
            <v>GYMNA UNIPHY</v>
          </cell>
          <cell r="G1040" t="str">
            <v>MYO 200 / PC</v>
          </cell>
          <cell r="H1040" t="str">
            <v>71314</v>
          </cell>
          <cell r="I1040" t="str">
            <v>SEMI ANNUALLY</v>
          </cell>
          <cell r="J1040">
            <v>45706</v>
          </cell>
          <cell r="K1040">
            <v>45886</v>
          </cell>
          <cell r="L1040"/>
          <cell r="M1040"/>
          <cell r="N1040" t="str">
            <v>JABATAN OTORINOLARINGOLOGI</v>
          </cell>
          <cell r="O1040" t="str">
            <v>Klinik Otorinolaringologi (ORL) (ENT CLINIC)</v>
          </cell>
        </row>
        <row r="1041">
          <cell r="D1041" t="str">
            <v>KKM/JKN/HSA/10-05-01/R/15/7575</v>
          </cell>
          <cell r="E1041" t="str">
            <v>LIGHT SOURCE</v>
          </cell>
          <cell r="F1041" t="str">
            <v>OLYMPUS</v>
          </cell>
          <cell r="G1041" t="str">
            <v>CLV S49 PRO</v>
          </cell>
          <cell r="H1041" t="str">
            <v>N/A</v>
          </cell>
          <cell r="I1041" t="str">
            <v>ANNUALLY</v>
          </cell>
          <cell r="J1041">
            <v>46037</v>
          </cell>
          <cell r="K1041"/>
          <cell r="L1041"/>
          <cell r="M1041"/>
          <cell r="N1041" t="str">
            <v>JABATAN OTORINOLARINGOLOGI</v>
          </cell>
          <cell r="O1041" t="str">
            <v>Klinik Otorinolaringologi (ORL) (ENT CLINIC)</v>
          </cell>
        </row>
        <row r="1042">
          <cell r="D1042" t="str">
            <v>KKM/JKN/HSA/10-05-01/H/15/1022</v>
          </cell>
          <cell r="E1042" t="str">
            <v>PATIENT MONITORING EQUIP.(AUTOMATIC MULTIPARAMETER)</v>
          </cell>
          <cell r="F1042" t="str">
            <v>WELCH ALLYN</v>
          </cell>
          <cell r="G1042" t="str">
            <v>WELCH ALLYN VSM 300</v>
          </cell>
          <cell r="H1042" t="str">
            <v>JA123480</v>
          </cell>
          <cell r="I1042" t="str">
            <v>ANNUALLY</v>
          </cell>
          <cell r="J1042">
            <v>45846</v>
          </cell>
          <cell r="K1042"/>
          <cell r="L1042"/>
          <cell r="M1042"/>
          <cell r="N1042" t="str">
            <v>JABATAN PEDIATRIK</v>
          </cell>
          <cell r="O1042" t="str">
            <v>Klinik Pediatrik (PAEDIATRIC CLINIC)</v>
          </cell>
        </row>
        <row r="1043">
          <cell r="D1043" t="str">
            <v>KKM/JKN/HSA/10-05-01/H/16/18</v>
          </cell>
          <cell r="E1043" t="str">
            <v>NON INVASIVE CARDIAC OUTPUT MONITORING</v>
          </cell>
          <cell r="F1043" t="str">
            <v>GE HEALTHCARE</v>
          </cell>
          <cell r="G1043" t="str">
            <v>B40</v>
          </cell>
          <cell r="H1043" t="str">
            <v>SJF15475278WA</v>
          </cell>
          <cell r="I1043" t="str">
            <v>ANNUALLY</v>
          </cell>
          <cell r="J1043">
            <v>45798</v>
          </cell>
          <cell r="K1043"/>
          <cell r="L1043"/>
          <cell r="M1043"/>
          <cell r="N1043" t="str">
            <v>JABATAN PEDIATRIK</v>
          </cell>
          <cell r="O1043" t="str">
            <v>Klinik Pediatrik (PAEDIATRIC CLINIC)</v>
          </cell>
        </row>
        <row r="1044">
          <cell r="D1044" t="str">
            <v>KKM/JKN/HSA/10-05-01/R/15/14881</v>
          </cell>
          <cell r="E1044" t="str">
            <v>BLOOD PRESSURE MONITOR (SPHYGMOMANOMETER)</v>
          </cell>
          <cell r="F1044" t="str">
            <v xml:space="preserve"> ANEROID DESK MODEL</v>
          </cell>
          <cell r="G1044" t="str">
            <v xml:space="preserve">RIESTER RUDOLF </v>
          </cell>
          <cell r="H1044" t="str">
            <v>150311438</v>
          </cell>
          <cell r="I1044" t="str">
            <v>ANNUALLY</v>
          </cell>
          <cell r="J1044">
            <v>46037</v>
          </cell>
          <cell r="K1044"/>
          <cell r="L1044"/>
          <cell r="M1044"/>
          <cell r="N1044" t="str">
            <v>JABATAN PEDIATRIK</v>
          </cell>
          <cell r="O1044" t="str">
            <v>Klinik Pediatrik (PAEDIATRIC CLINIC)</v>
          </cell>
        </row>
        <row r="1045">
          <cell r="D1045" t="str">
            <v>KKM/JKN/HSA/10-05-01/R/15/14882</v>
          </cell>
          <cell r="E1045" t="str">
            <v>BLOOD PRESSURE MONITOR (SPHYGMOMANOMETER)</v>
          </cell>
          <cell r="F1045" t="str">
            <v xml:space="preserve"> ANEROID DESK MODEL</v>
          </cell>
          <cell r="G1045" t="str">
            <v xml:space="preserve">RIESTER RUDOLF </v>
          </cell>
          <cell r="H1045" t="str">
            <v>150311444</v>
          </cell>
          <cell r="I1045" t="str">
            <v>ANNUALLY</v>
          </cell>
          <cell r="J1045">
            <v>46037</v>
          </cell>
          <cell r="K1045"/>
          <cell r="L1045"/>
          <cell r="M1045"/>
          <cell r="N1045" t="str">
            <v>JABATAN PEDIATRIK</v>
          </cell>
          <cell r="O1045" t="str">
            <v>Klinik Pediatrik (PAEDIATRIC CLINIC)</v>
          </cell>
        </row>
        <row r="1046">
          <cell r="D1046" t="str">
            <v>KKM/JKN/HSA/10-05-01/R/15/15296</v>
          </cell>
          <cell r="E1046" t="str">
            <v>PATIENT MONITORING EQUIP.(AUTOMATIC MULTIPARAMETER)</v>
          </cell>
          <cell r="F1046" t="str">
            <v>WELCH ALLYN</v>
          </cell>
          <cell r="G1046" t="str">
            <v>PROBP SERIES</v>
          </cell>
          <cell r="H1046" t="str">
            <v>100055212814</v>
          </cell>
          <cell r="I1046" t="str">
            <v>ANNUALLY</v>
          </cell>
          <cell r="J1046">
            <v>45874</v>
          </cell>
          <cell r="K1046"/>
          <cell r="L1046"/>
          <cell r="M1046"/>
          <cell r="N1046" t="str">
            <v>JABATAN PEDIATRIK</v>
          </cell>
          <cell r="O1046" t="str">
            <v>Klinik Pediatrik (PAEDIATRIC CLINIC)</v>
          </cell>
        </row>
        <row r="1047">
          <cell r="D1047" t="str">
            <v>KKM/JKN/HSA/10-05-01/R/15/16151</v>
          </cell>
          <cell r="E1047" t="str">
            <v>NEBULIZER</v>
          </cell>
          <cell r="F1047" t="str">
            <v>PHILIPS</v>
          </cell>
          <cell r="G1047" t="str">
            <v>INNOSPIRE DELUXE (UK PLUG)</v>
          </cell>
          <cell r="H1047" t="str">
            <v>022855</v>
          </cell>
          <cell r="I1047" t="str">
            <v>ANNUALLY</v>
          </cell>
          <cell r="J1047">
            <v>45719</v>
          </cell>
          <cell r="K1047"/>
          <cell r="L1047"/>
          <cell r="M1047"/>
          <cell r="N1047" t="str">
            <v>JABATAN PEDIATRIK</v>
          </cell>
          <cell r="O1047" t="str">
            <v>Klinik Pediatrik (PAEDIATRIC CLINIC)</v>
          </cell>
        </row>
        <row r="1048">
          <cell r="D1048" t="str">
            <v>KKM/JKN/HSA/10-05-01/R/15/16152</v>
          </cell>
          <cell r="E1048" t="str">
            <v>NEBULIZER</v>
          </cell>
          <cell r="F1048" t="str">
            <v>PHILIPS</v>
          </cell>
          <cell r="G1048" t="str">
            <v>INNOSPIRE DELUXE (UK PLUG)</v>
          </cell>
          <cell r="H1048" t="str">
            <v>022858</v>
          </cell>
          <cell r="I1048" t="str">
            <v>ANNUALLY</v>
          </cell>
          <cell r="J1048">
            <v>45719</v>
          </cell>
          <cell r="K1048"/>
          <cell r="L1048"/>
          <cell r="M1048"/>
          <cell r="N1048" t="str">
            <v>JABATAN PEDIATRIK</v>
          </cell>
          <cell r="O1048" t="str">
            <v>Klinik Pediatrik (PAEDIATRIC CLINIC)</v>
          </cell>
        </row>
        <row r="1049">
          <cell r="D1049" t="str">
            <v>KKM/JKN/HSA/10-05-01/R/15/16153</v>
          </cell>
          <cell r="E1049" t="str">
            <v>NEBULIZER</v>
          </cell>
          <cell r="F1049" t="str">
            <v>PHILIPS</v>
          </cell>
          <cell r="G1049" t="str">
            <v>INNOSPIRE DELUXE (UK PLUG)</v>
          </cell>
          <cell r="H1049" t="str">
            <v>022850</v>
          </cell>
          <cell r="I1049" t="str">
            <v>ANNUALLY</v>
          </cell>
          <cell r="J1049">
            <v>45719</v>
          </cell>
          <cell r="K1049"/>
          <cell r="L1049"/>
          <cell r="M1049"/>
          <cell r="N1049" t="str">
            <v>JABATAN PEDIATRIK</v>
          </cell>
          <cell r="O1049" t="str">
            <v>Klinik Pediatrik (PAEDIATRIC CLINIC)</v>
          </cell>
        </row>
        <row r="1050">
          <cell r="D1050" t="str">
            <v>KKM/JKN/HSA/10-05-01/R/15/16154</v>
          </cell>
          <cell r="E1050" t="str">
            <v>NEBULIZER</v>
          </cell>
          <cell r="F1050" t="str">
            <v>PHILIPS</v>
          </cell>
          <cell r="G1050" t="str">
            <v>INNOSPIRE DELUXE (UK PLUG)</v>
          </cell>
          <cell r="H1050" t="str">
            <v>022854</v>
          </cell>
          <cell r="I1050" t="str">
            <v>ANNUALLY</v>
          </cell>
          <cell r="J1050">
            <v>45719</v>
          </cell>
          <cell r="K1050"/>
          <cell r="L1050"/>
          <cell r="M1050"/>
          <cell r="N1050" t="str">
            <v>JABATAN PEDIATRIK</v>
          </cell>
          <cell r="O1050" t="str">
            <v>Klinik Pediatrik (PAEDIATRIC CLINIC)</v>
          </cell>
        </row>
        <row r="1051">
          <cell r="D1051" t="str">
            <v>KKM/JKN/HSA/10-05-01/R/15/16747</v>
          </cell>
          <cell r="E1051" t="str">
            <v>BLOOD PRESSURE MONITOR (SPHYGMOMANOMETER)</v>
          </cell>
          <cell r="F1051" t="str">
            <v>WELCH ALLYN</v>
          </cell>
          <cell r="G1051" t="str">
            <v>PROBP SERIES</v>
          </cell>
          <cell r="H1051" t="str">
            <v>100055202814</v>
          </cell>
          <cell r="I1051" t="str">
            <v>ANNUALLY</v>
          </cell>
          <cell r="J1051">
            <v>45718</v>
          </cell>
          <cell r="K1051"/>
          <cell r="L1051"/>
          <cell r="M1051"/>
          <cell r="N1051" t="str">
            <v>JABATAN PEDIATRIK</v>
          </cell>
          <cell r="O1051" t="str">
            <v>Klinik Pediatrik (PAEDIATRIC CLINIC)</v>
          </cell>
        </row>
        <row r="1052">
          <cell r="D1052" t="str">
            <v>KKM/JKN/HSA/10-05-01/R/15/6744</v>
          </cell>
          <cell r="E1052" t="str">
            <v>OTOSCOPE</v>
          </cell>
          <cell r="F1052" t="str">
            <v>RUDOLF RIESTER, GMBH</v>
          </cell>
          <cell r="G1052" t="str">
            <v>RIESTER</v>
          </cell>
          <cell r="H1052" t="str">
            <v>020304</v>
          </cell>
          <cell r="I1052" t="str">
            <v>ANNUALLY</v>
          </cell>
          <cell r="J1052">
            <v>45874</v>
          </cell>
          <cell r="K1052"/>
          <cell r="L1052"/>
          <cell r="M1052"/>
          <cell r="N1052" t="str">
            <v>JABATAN PEDIATRIK</v>
          </cell>
          <cell r="O1052" t="str">
            <v>Klinik Pediatrik (PAEDIATRIC CLINIC)</v>
          </cell>
        </row>
        <row r="1053">
          <cell r="D1053" t="str">
            <v>KKM/JKN/HSA/10-05-01/R/15/6745</v>
          </cell>
          <cell r="E1053" t="str">
            <v>OTOSCOPE</v>
          </cell>
          <cell r="F1053" t="str">
            <v>RUDOLF RIESTER, GMBH</v>
          </cell>
          <cell r="G1053" t="str">
            <v>ECONOM XL 3.5V 2035-202</v>
          </cell>
          <cell r="H1053" t="str">
            <v>020303</v>
          </cell>
          <cell r="I1053" t="str">
            <v>ANNUALLY</v>
          </cell>
          <cell r="J1053">
            <v>45874</v>
          </cell>
          <cell r="K1053"/>
          <cell r="L1053"/>
          <cell r="M1053"/>
          <cell r="N1053" t="str">
            <v>JABATAN PEDIATRIK</v>
          </cell>
          <cell r="O1053" t="str">
            <v>Klinik Pediatrik (PAEDIATRIC CLINIC)</v>
          </cell>
        </row>
        <row r="1054">
          <cell r="D1054" t="str">
            <v>KKM/JKN/HSA/10-05-01/R/15/6746</v>
          </cell>
          <cell r="E1054" t="str">
            <v>OTOSCOPE</v>
          </cell>
          <cell r="F1054" t="str">
            <v>RUDOLF RIESTER, GMBH</v>
          </cell>
          <cell r="G1054" t="str">
            <v>ECONOM XL 3.5V 2035-202</v>
          </cell>
          <cell r="H1054" t="str">
            <v>020305</v>
          </cell>
          <cell r="I1054" t="str">
            <v>ANNUALLY</v>
          </cell>
          <cell r="J1054">
            <v>45874</v>
          </cell>
          <cell r="K1054"/>
          <cell r="L1054"/>
          <cell r="M1054"/>
          <cell r="N1054" t="str">
            <v>JABATAN PEDIATRIK</v>
          </cell>
          <cell r="O1054" t="str">
            <v>Klinik Pediatrik (PAEDIATRIC CLINIC)</v>
          </cell>
        </row>
        <row r="1055">
          <cell r="D1055" t="str">
            <v>KKM/JKN/HSA/10-05-01/R/15/6747</v>
          </cell>
          <cell r="E1055" t="str">
            <v>OTOSCOPE</v>
          </cell>
          <cell r="F1055" t="str">
            <v>RUDOLF RIESTER, GMBH</v>
          </cell>
          <cell r="G1055" t="str">
            <v>N/A</v>
          </cell>
          <cell r="H1055" t="str">
            <v>020302</v>
          </cell>
          <cell r="I1055" t="str">
            <v>ANNUALLY</v>
          </cell>
          <cell r="J1055">
            <v>45874</v>
          </cell>
          <cell r="K1055"/>
          <cell r="L1055"/>
          <cell r="M1055"/>
          <cell r="N1055" t="str">
            <v>JABATAN PEDIATRIK</v>
          </cell>
          <cell r="O1055" t="str">
            <v>Klinik Pediatrik (PAEDIATRIC CLINIC)</v>
          </cell>
        </row>
        <row r="1056">
          <cell r="D1056" t="str">
            <v>KKM/JKN/HSA/10-05-01/R/15/6748</v>
          </cell>
          <cell r="E1056" t="str">
            <v>OTOSCOPE</v>
          </cell>
          <cell r="F1056" t="str">
            <v>RUDOLF RIESTER, GMBH</v>
          </cell>
          <cell r="G1056" t="str">
            <v>ECONOM XL 3.5V 2035-202</v>
          </cell>
          <cell r="H1056" t="str">
            <v>020293</v>
          </cell>
          <cell r="I1056" t="str">
            <v>ANNUALLY</v>
          </cell>
          <cell r="J1056">
            <v>45874</v>
          </cell>
          <cell r="K1056"/>
          <cell r="L1056"/>
          <cell r="M1056"/>
          <cell r="N1056" t="str">
            <v>JABATAN PEDIATRIK</v>
          </cell>
          <cell r="O1056" t="str">
            <v>Klinik Pediatrik (PAEDIATRIC CLINIC)</v>
          </cell>
        </row>
        <row r="1057">
          <cell r="D1057" t="str">
            <v>KKM/JKN/HSA/10-05-01/R/15/6749</v>
          </cell>
          <cell r="E1057" t="str">
            <v>OTOSCOPE</v>
          </cell>
          <cell r="F1057" t="str">
            <v>RUDOLF RIESTER, GMBH</v>
          </cell>
          <cell r="G1057" t="str">
            <v>ECONOM XL 3.5V 2035-202</v>
          </cell>
          <cell r="H1057" t="str">
            <v>020300</v>
          </cell>
          <cell r="I1057" t="str">
            <v>ANNUALLY</v>
          </cell>
          <cell r="J1057">
            <v>45874</v>
          </cell>
          <cell r="K1057"/>
          <cell r="L1057"/>
          <cell r="M1057"/>
          <cell r="N1057" t="str">
            <v>JABATAN PEDIATRIK</v>
          </cell>
          <cell r="O1057" t="str">
            <v>Klinik Pediatrik (PAEDIATRIC CLINIC)</v>
          </cell>
        </row>
        <row r="1058">
          <cell r="D1058" t="str">
            <v>KKM/JKN/HSA/10-05-01/R/15/6752</v>
          </cell>
          <cell r="E1058" t="str">
            <v>OTOSCOPE</v>
          </cell>
          <cell r="F1058" t="str">
            <v>RUDOLF RIESTER, GMBH</v>
          </cell>
          <cell r="G1058" t="str">
            <v>ECONOM XL 3.5V 2035-202</v>
          </cell>
          <cell r="H1058" t="str">
            <v>020297</v>
          </cell>
          <cell r="I1058" t="str">
            <v>ANNUALLY</v>
          </cell>
          <cell r="J1058">
            <v>45874</v>
          </cell>
          <cell r="K1058"/>
          <cell r="L1058"/>
          <cell r="M1058"/>
          <cell r="N1058" t="str">
            <v>JABATAN PEDIATRIK</v>
          </cell>
          <cell r="O1058" t="str">
            <v>Klinik Pediatrik (PAEDIATRIC CLINIC)</v>
          </cell>
        </row>
        <row r="1059">
          <cell r="D1059" t="str">
            <v>KKM/JKN/HSA/10-05-01/R/15/6754</v>
          </cell>
          <cell r="E1059" t="str">
            <v>OTOSCOPE</v>
          </cell>
          <cell r="F1059" t="str">
            <v>RUDOLF RIESTER, GMBH</v>
          </cell>
          <cell r="G1059" t="str">
            <v>ECONOM XL 3.5V 2035-202</v>
          </cell>
          <cell r="H1059" t="str">
            <v>020304</v>
          </cell>
          <cell r="I1059" t="str">
            <v>ANNUALLY</v>
          </cell>
          <cell r="J1059">
            <v>45874</v>
          </cell>
          <cell r="K1059"/>
          <cell r="L1059"/>
          <cell r="M1059"/>
          <cell r="N1059" t="str">
            <v>JABATAN PEDIATRIK</v>
          </cell>
          <cell r="O1059" t="str">
            <v>Klinik Pediatrik (PAEDIATRIC CLINIC)</v>
          </cell>
        </row>
        <row r="1060">
          <cell r="D1060" t="str">
            <v>KKM/JKN/HSA/10-05-01/R/15/6755</v>
          </cell>
          <cell r="E1060" t="str">
            <v>OTOSCOPE</v>
          </cell>
          <cell r="F1060" t="str">
            <v>RUDOLF RIESTER, GMBH</v>
          </cell>
          <cell r="G1060" t="str">
            <v>ECONOM XL 3.5V 2035-202/RIESTER RI SERIES</v>
          </cell>
          <cell r="H1060" t="str">
            <v>020298</v>
          </cell>
          <cell r="I1060" t="str">
            <v>ANNUALLY</v>
          </cell>
          <cell r="J1060">
            <v>45874</v>
          </cell>
          <cell r="K1060"/>
          <cell r="L1060"/>
          <cell r="M1060"/>
          <cell r="N1060" t="str">
            <v>JABATAN PEDIATRIK</v>
          </cell>
          <cell r="O1060" t="str">
            <v>Klinik Pediatrik (PAEDIATRIC CLINIC)</v>
          </cell>
        </row>
        <row r="1061">
          <cell r="D1061" t="str">
            <v>KKM/JKN/HSA/10-05-01/R/15/7036</v>
          </cell>
          <cell r="E1061" t="str">
            <v>INFANT/ BABY SCALER</v>
          </cell>
          <cell r="F1061" t="str">
            <v>DETECTO</v>
          </cell>
          <cell r="G1061" t="str">
            <v>MB130</v>
          </cell>
          <cell r="H1061" t="str">
            <v>C12025797</v>
          </cell>
          <cell r="I1061" t="str">
            <v>ANNUALLY</v>
          </cell>
          <cell r="J1061">
            <v>46030</v>
          </cell>
          <cell r="K1061"/>
          <cell r="L1061"/>
          <cell r="M1061"/>
          <cell r="N1061" t="str">
            <v>JABATAN PEDIATRIK</v>
          </cell>
          <cell r="O1061" t="str">
            <v>Klinik Pediatrik (PAEDIATRIC CLINIC)</v>
          </cell>
        </row>
        <row r="1062">
          <cell r="D1062" t="str">
            <v>KKM/JKN/HSA/10-05-01/R/15/7148</v>
          </cell>
          <cell r="E1062" t="str">
            <v>PATIENT MONITORING EQUIP.(AUTOMATIC MULTIPARAMETER)</v>
          </cell>
          <cell r="F1062" t="str">
            <v>WELCH ALLYN</v>
          </cell>
          <cell r="G1062" t="str">
            <v>WELCH ALLYN VSM 300</v>
          </cell>
          <cell r="H1062" t="str">
            <v>JA123419</v>
          </cell>
          <cell r="I1062" t="str">
            <v>ANNUALLY</v>
          </cell>
          <cell r="J1062">
            <v>46052</v>
          </cell>
          <cell r="K1062"/>
          <cell r="L1062"/>
          <cell r="M1062"/>
          <cell r="N1062" t="str">
            <v>JABATAN PEDIATRIK</v>
          </cell>
          <cell r="O1062" t="str">
            <v>Klinik Pediatrik (PAEDIATRIC CLINIC)</v>
          </cell>
        </row>
        <row r="1063">
          <cell r="D1063" t="str">
            <v>KKM/JKN/HSA/10-05-01/H/15/5250</v>
          </cell>
          <cell r="E1063" t="str">
            <v>THERMOMETER CALIBRATOR TYMPANIC</v>
          </cell>
          <cell r="F1063" t="str">
            <v>WELCH ALLYN</v>
          </cell>
          <cell r="G1063" t="str">
            <v>9600 PLUS CALIBRATION TESTER</v>
          </cell>
          <cell r="H1063" t="str">
            <v>N/A</v>
          </cell>
          <cell r="I1063" t="str">
            <v>ANNUALLY</v>
          </cell>
          <cell r="J1063">
            <v>45874</v>
          </cell>
          <cell r="K1063"/>
          <cell r="L1063"/>
          <cell r="M1063"/>
          <cell r="N1063" t="str">
            <v>JABATAN PEDIATRIK</v>
          </cell>
          <cell r="O1063" t="str">
            <v>Klinik Pediatrik (PAEDIATRIC CLINIC)</v>
          </cell>
        </row>
        <row r="1064">
          <cell r="D1064" t="str">
            <v>HSAS10050</v>
          </cell>
          <cell r="E1064" t="str">
            <v>SPHYGMOMANOMETER DIGITAL BATTERY OP</v>
          </cell>
          <cell r="F1064" t="str">
            <v>WELCH ALLYN</v>
          </cell>
          <cell r="G1064" t="str">
            <v>PRO BP SERIES 3400</v>
          </cell>
          <cell r="H1064">
            <v>100053802814</v>
          </cell>
          <cell r="I1064" t="str">
            <v>ANNUALLY</v>
          </cell>
          <cell r="J1064">
            <v>45914</v>
          </cell>
          <cell r="K1064"/>
          <cell r="L1064"/>
          <cell r="M1064"/>
          <cell r="N1064" t="str">
            <v>JABATAN PEMBEDAHAN AM</v>
          </cell>
          <cell r="O1064" t="str">
            <v>Klinik Pembedahan Am (GEN SURGICAL CLINIC)</v>
          </cell>
        </row>
        <row r="1065">
          <cell r="D1065" t="str">
            <v>HSAS10157</v>
          </cell>
          <cell r="E1065" t="str">
            <v>SPHYGMOMANOMETER ANEROID DESK MODEL</v>
          </cell>
          <cell r="F1065" t="str">
            <v>RIESTER</v>
          </cell>
          <cell r="G1065">
            <v>1453</v>
          </cell>
          <cell r="H1065" t="str">
            <v>N/A</v>
          </cell>
          <cell r="I1065" t="str">
            <v>ANNUALLY</v>
          </cell>
          <cell r="J1065">
            <v>45968</v>
          </cell>
          <cell r="K1065"/>
          <cell r="L1065"/>
          <cell r="M1065"/>
          <cell r="N1065" t="str">
            <v>JABATAN PEMBEDAHAN AM</v>
          </cell>
          <cell r="O1065" t="str">
            <v>Klinik Pembedahan Am (GEN SURGICAL CLINIC)</v>
          </cell>
        </row>
        <row r="1066">
          <cell r="D1066" t="str">
            <v>KKM/JKN/HSA/10-05-01/R/15/17091</v>
          </cell>
          <cell r="E1066" t="str">
            <v>DIAGNOSTIC SET ADULT</v>
          </cell>
          <cell r="F1066" t="str">
            <v>WELCH ALLYN</v>
          </cell>
          <cell r="G1066" t="str">
            <v>97150-BI</v>
          </cell>
          <cell r="H1066" t="str">
            <v>N/A</v>
          </cell>
          <cell r="I1066" t="str">
            <v>ANNUALLY</v>
          </cell>
          <cell r="J1066">
            <v>45904</v>
          </cell>
          <cell r="K1066"/>
          <cell r="L1066"/>
          <cell r="M1066"/>
          <cell r="N1066" t="str">
            <v>JABATAN PEMBEDAHAN AM</v>
          </cell>
          <cell r="O1066" t="str">
            <v>Klinik Pembedahan Am (GEN SURGICAL CLINIC)</v>
          </cell>
        </row>
        <row r="1067">
          <cell r="D1067" t="str">
            <v>KKM/JKN/HSA/10-05-01/R/15/17092</v>
          </cell>
          <cell r="E1067" t="str">
            <v>DIAGNOSTIC SET ADULT</v>
          </cell>
          <cell r="F1067" t="str">
            <v>WELCH ALLYN</v>
          </cell>
          <cell r="G1067" t="str">
            <v>97150-BI</v>
          </cell>
          <cell r="H1067" t="str">
            <v>N/A</v>
          </cell>
          <cell r="I1067" t="str">
            <v>ANNUALLY</v>
          </cell>
          <cell r="J1067">
            <v>45904</v>
          </cell>
          <cell r="K1067"/>
          <cell r="L1067"/>
          <cell r="M1067"/>
          <cell r="N1067" t="str">
            <v>JABATAN PEMBEDAHAN AM</v>
          </cell>
          <cell r="O1067" t="str">
            <v>Klinik Pembedahan Am (GEN SURGICAL CLINIC)</v>
          </cell>
        </row>
        <row r="1068">
          <cell r="D1068" t="str">
            <v>KKM/JKN/HSA/10-05-01/R/15/17094</v>
          </cell>
          <cell r="E1068" t="str">
            <v>DIAGNOSTIC SET ADULT</v>
          </cell>
          <cell r="F1068" t="str">
            <v>WELCH ALLYN</v>
          </cell>
          <cell r="G1068" t="str">
            <v>97150-BI</v>
          </cell>
          <cell r="H1068" t="str">
            <v>N/A</v>
          </cell>
          <cell r="I1068" t="str">
            <v>ANNUALLY</v>
          </cell>
          <cell r="J1068">
            <v>45904</v>
          </cell>
          <cell r="K1068"/>
          <cell r="L1068"/>
          <cell r="M1068"/>
          <cell r="N1068" t="str">
            <v>JABATAN PEMBEDAHAN AM</v>
          </cell>
          <cell r="O1068" t="str">
            <v>Klinik Pembedahan Am (GEN SURGICAL CLINIC)</v>
          </cell>
        </row>
        <row r="1069">
          <cell r="D1069" t="str">
            <v>KKM/JKN/HSA/10-05-01/R/15/17095</v>
          </cell>
          <cell r="E1069" t="str">
            <v>DIAGNOSTIC SET ADULT</v>
          </cell>
          <cell r="F1069" t="str">
            <v>WELCH ALLYN</v>
          </cell>
          <cell r="G1069" t="str">
            <v>97150-BI</v>
          </cell>
          <cell r="H1069" t="str">
            <v>N/A</v>
          </cell>
          <cell r="I1069" t="str">
            <v>ANNUALLY</v>
          </cell>
          <cell r="J1069">
            <v>45904</v>
          </cell>
          <cell r="K1069"/>
          <cell r="L1069"/>
          <cell r="M1069"/>
          <cell r="N1069" t="str">
            <v>JABATAN PEMBEDAHAN AM</v>
          </cell>
          <cell r="O1069" t="str">
            <v>Klinik Pembedahan Am (GEN SURGICAL CLINIC)</v>
          </cell>
        </row>
        <row r="1070">
          <cell r="D1070" t="str">
            <v>KKM/JKN/HSA/10-05-01/R/15/17096</v>
          </cell>
          <cell r="E1070" t="str">
            <v>DIAGNOSTIC SET ADULT</v>
          </cell>
          <cell r="F1070" t="str">
            <v>WELCH ALLYN</v>
          </cell>
          <cell r="G1070" t="str">
            <v>97150-BI</v>
          </cell>
          <cell r="H1070" t="str">
            <v>N/A</v>
          </cell>
          <cell r="I1070" t="str">
            <v>ANNUALLY</v>
          </cell>
          <cell r="J1070">
            <v>45904</v>
          </cell>
          <cell r="K1070"/>
          <cell r="L1070"/>
          <cell r="M1070"/>
          <cell r="N1070" t="str">
            <v>JABATAN PEMBEDAHAN AM</v>
          </cell>
          <cell r="O1070" t="str">
            <v>Klinik Pembedahan Am (GEN SURGICAL CLINIC)</v>
          </cell>
        </row>
        <row r="1071">
          <cell r="D1071" t="str">
            <v>KKM/JKN/HSA/10-05-01/R/15/17097</v>
          </cell>
          <cell r="E1071" t="str">
            <v>DIAGNOSTIC SET ADULT</v>
          </cell>
          <cell r="F1071" t="str">
            <v>WELCH ALLYN</v>
          </cell>
          <cell r="G1071" t="str">
            <v>97150-BI</v>
          </cell>
          <cell r="H1071" t="str">
            <v>N/A</v>
          </cell>
          <cell r="I1071" t="str">
            <v>ANNUALLY</v>
          </cell>
          <cell r="J1071">
            <v>45902</v>
          </cell>
          <cell r="K1071"/>
          <cell r="L1071"/>
          <cell r="M1071"/>
          <cell r="N1071" t="str">
            <v>JABATAN PEMBEDAHAN AM</v>
          </cell>
          <cell r="O1071" t="str">
            <v>Klinik Pembedahan Am (GEN SURGICAL CLINIC)</v>
          </cell>
        </row>
        <row r="1072">
          <cell r="D1072" t="str">
            <v>KKM/JKN/HSA/10-05-01/R/15/17256</v>
          </cell>
          <cell r="E1072" t="str">
            <v>DIAGNOSTIC SET ADULT</v>
          </cell>
          <cell r="F1072" t="str">
            <v>WELCH ALLYN</v>
          </cell>
          <cell r="G1072" t="str">
            <v>97150-BI</v>
          </cell>
          <cell r="H1072" t="str">
            <v>N/A</v>
          </cell>
          <cell r="I1072" t="str">
            <v>ANNUALLY</v>
          </cell>
          <cell r="J1072">
            <v>45904</v>
          </cell>
          <cell r="K1072"/>
          <cell r="L1072"/>
          <cell r="M1072"/>
          <cell r="N1072" t="str">
            <v>JABATAN PEMBEDAHAN AM</v>
          </cell>
          <cell r="O1072" t="str">
            <v>Klinik Pembedahan Am (GEN SURGICAL CLINIC)</v>
          </cell>
        </row>
        <row r="1073">
          <cell r="D1073" t="str">
            <v>KKM/JKN/HSA/10-05-01/R/15/17257</v>
          </cell>
          <cell r="E1073" t="str">
            <v>DIAGNOSTIC SET ADULT</v>
          </cell>
          <cell r="F1073" t="str">
            <v>WELCH ALLYN</v>
          </cell>
          <cell r="G1073" t="str">
            <v>97150-BI</v>
          </cell>
          <cell r="H1073" t="str">
            <v>N/A</v>
          </cell>
          <cell r="I1073" t="str">
            <v>ANNUALLY</v>
          </cell>
          <cell r="J1073">
            <v>45904</v>
          </cell>
          <cell r="K1073"/>
          <cell r="L1073"/>
          <cell r="M1073"/>
          <cell r="N1073" t="str">
            <v>JABATAN PEMBEDAHAN AM</v>
          </cell>
          <cell r="O1073" t="str">
            <v>Klinik Pembedahan Am (GEN SURGICAL CLINIC)</v>
          </cell>
        </row>
        <row r="1074">
          <cell r="D1074" t="str">
            <v>KKM/JKN/HSA/10-05-01/R/15/17258</v>
          </cell>
          <cell r="E1074" t="str">
            <v>DIAGNOSTIC SET ADULT</v>
          </cell>
          <cell r="F1074" t="str">
            <v>WELCH ALLYN</v>
          </cell>
          <cell r="G1074" t="str">
            <v>97150-BI</v>
          </cell>
          <cell r="H1074" t="str">
            <v>N/A</v>
          </cell>
          <cell r="I1074" t="str">
            <v>ANNUALLY</v>
          </cell>
          <cell r="J1074">
            <v>45904</v>
          </cell>
          <cell r="K1074"/>
          <cell r="L1074"/>
          <cell r="M1074"/>
          <cell r="N1074" t="str">
            <v>JABATAN PEMBEDAHAN AM</v>
          </cell>
          <cell r="O1074" t="str">
            <v>Klinik Pembedahan Am (GEN SURGICAL CLINIC)</v>
          </cell>
        </row>
        <row r="1075">
          <cell r="D1075" t="str">
            <v>KKM/JKN/HSA/10-05-01/H/15/2152</v>
          </cell>
          <cell r="E1075" t="str">
            <v>SUCTION APPARATUS</v>
          </cell>
          <cell r="F1075" t="str">
            <v>CAMI</v>
          </cell>
          <cell r="G1075" t="str">
            <v>ASKIR 30</v>
          </cell>
          <cell r="H1075" t="str">
            <v>5920</v>
          </cell>
          <cell r="I1075" t="str">
            <v>ANNUALLY</v>
          </cell>
          <cell r="J1075">
            <v>45748</v>
          </cell>
          <cell r="K1075"/>
          <cell r="L1075"/>
          <cell r="M1075"/>
          <cell r="N1075" t="str">
            <v>JABATAN PEMBEDAHAN AM</v>
          </cell>
          <cell r="O1075" t="str">
            <v>Klinik Pembedahan Am (GEN SURGICAL CLINIC)</v>
          </cell>
        </row>
        <row r="1076">
          <cell r="D1076" t="str">
            <v>KKM/JKN/HSA/10-05-01/H/15/3683</v>
          </cell>
          <cell r="E1076" t="str">
            <v>DEFIBRILLATOR</v>
          </cell>
          <cell r="F1076" t="str">
            <v>PHILIPS</v>
          </cell>
          <cell r="G1076" t="str">
            <v>EFFICIA DFM100</v>
          </cell>
          <cell r="H1076" t="str">
            <v>CN32601409</v>
          </cell>
          <cell r="I1076" t="str">
            <v>SEMI ANNUALLY</v>
          </cell>
          <cell r="J1076">
            <v>45812</v>
          </cell>
          <cell r="K1076">
            <v>45994</v>
          </cell>
          <cell r="L1076"/>
          <cell r="M1076"/>
          <cell r="N1076" t="str">
            <v>JABATAN PEMBEDAHAN AM</v>
          </cell>
          <cell r="O1076" t="str">
            <v>Klinik Pembedahan Am (GEN SURGICAL CLINIC)</v>
          </cell>
        </row>
        <row r="1077">
          <cell r="D1077" t="str">
            <v>KKM/JKN/HSA/10-05-01/H/15/4160</v>
          </cell>
          <cell r="E1077" t="str">
            <v>VASCULAR DOPPLER</v>
          </cell>
          <cell r="F1077" t="str">
            <v>HUNTLEIGHT</v>
          </cell>
          <cell r="G1077" t="str">
            <v>MD2</v>
          </cell>
          <cell r="H1077" t="str">
            <v>MD2P10527696-13</v>
          </cell>
          <cell r="I1077" t="str">
            <v>ANNUALLY</v>
          </cell>
          <cell r="J1077">
            <v>46050</v>
          </cell>
          <cell r="K1077"/>
          <cell r="L1077"/>
          <cell r="M1077"/>
          <cell r="N1077" t="str">
            <v>JABATAN PEMBEDAHAN AM</v>
          </cell>
          <cell r="O1077" t="str">
            <v>Klinik Pembedahan Am (GEN SURGICAL CLINIC)</v>
          </cell>
        </row>
        <row r="1078">
          <cell r="D1078" t="str">
            <v>KKM/JKN/HSA/10-05-01/H/15/4164</v>
          </cell>
          <cell r="E1078" t="str">
            <v>OPERATION LIGHT</v>
          </cell>
          <cell r="F1078" t="str">
            <v>TRUMPF MEDIZIN SYSTEME GMBH</v>
          </cell>
          <cell r="G1078" t="str">
            <v>TRULIGHT 3300</v>
          </cell>
          <cell r="H1078" t="str">
            <v>102103415</v>
          </cell>
          <cell r="I1078" t="str">
            <v>ANNUALLY</v>
          </cell>
          <cell r="J1078">
            <v>45715</v>
          </cell>
          <cell r="K1078"/>
          <cell r="L1078"/>
          <cell r="M1078"/>
          <cell r="N1078" t="str">
            <v>JABATAN PEMBEDAHAN AM</v>
          </cell>
          <cell r="O1078" t="str">
            <v>Klinik Pembedahan Am (GEN SURGICAL CLINIC)</v>
          </cell>
        </row>
        <row r="1079">
          <cell r="D1079" t="str">
            <v>KKM/JKN/HSA/10-05-01/H/15/4165</v>
          </cell>
          <cell r="E1079" t="str">
            <v>ECG (EKG) MACHINE</v>
          </cell>
          <cell r="F1079" t="str">
            <v xml:space="preserve"> HEALTHCARE</v>
          </cell>
          <cell r="G1079" t="str">
            <v>MAC400</v>
          </cell>
          <cell r="H1079" t="str">
            <v>SCT11496324PA</v>
          </cell>
          <cell r="I1079" t="str">
            <v>ANNUALLY</v>
          </cell>
          <cell r="J1079">
            <v>45712</v>
          </cell>
          <cell r="K1079"/>
          <cell r="L1079"/>
          <cell r="M1079"/>
          <cell r="N1079" t="str">
            <v>JABATAN PEMBEDAHAN AM</v>
          </cell>
          <cell r="O1079" t="str">
            <v>Klinik Pembedahan Am (GEN SURGICAL CLINIC)</v>
          </cell>
        </row>
        <row r="1080">
          <cell r="D1080" t="str">
            <v>KKM/JKN/HSA/10-05-01/R/15/14844</v>
          </cell>
          <cell r="E1080" t="str">
            <v>BLOOD PRESSURE MONITOR (SPHYGMOMANOMETER)</v>
          </cell>
          <cell r="F1080" t="str">
            <v xml:space="preserve"> ANEROID DESK MODEL</v>
          </cell>
          <cell r="G1080" t="str">
            <v xml:space="preserve">RIESTER RUDOLF </v>
          </cell>
          <cell r="H1080" t="str">
            <v>NOT AVAILABLE</v>
          </cell>
          <cell r="I1080" t="str">
            <v>ANNUALLY</v>
          </cell>
          <cell r="J1080">
            <v>45832</v>
          </cell>
          <cell r="K1080"/>
          <cell r="L1080"/>
          <cell r="M1080"/>
          <cell r="N1080" t="str">
            <v>JABATAN PEMBEDAHAN AM</v>
          </cell>
          <cell r="O1080" t="str">
            <v>Klinik Pembedahan Am (GEN SURGICAL CLINIC)</v>
          </cell>
        </row>
        <row r="1081">
          <cell r="D1081" t="str">
            <v>KKM/JKN/HSA/10-05-01/R/15/16166</v>
          </cell>
          <cell r="E1081" t="str">
            <v>NEBULIZER</v>
          </cell>
          <cell r="F1081" t="str">
            <v>PHILIPS</v>
          </cell>
          <cell r="G1081" t="str">
            <v>N/A</v>
          </cell>
          <cell r="H1081" t="str">
            <v>N/A</v>
          </cell>
          <cell r="I1081" t="str">
            <v>ANNUALLY</v>
          </cell>
          <cell r="J1081">
            <v>45734</v>
          </cell>
          <cell r="K1081"/>
          <cell r="L1081"/>
          <cell r="M1081"/>
          <cell r="N1081" t="str">
            <v>JABATAN PEMBEDAHAN AM</v>
          </cell>
          <cell r="O1081" t="str">
            <v>Klinik Pembedahan Am (GEN SURGICAL CLINIC)</v>
          </cell>
        </row>
        <row r="1082">
          <cell r="D1082" t="str">
            <v>KKM/JKN/HSA/10-05-01/R/15/7147</v>
          </cell>
          <cell r="E1082" t="str">
            <v>PATIENT MONITORING EQUIP.(AUTOMATIC MULTIPARAMETER)</v>
          </cell>
          <cell r="F1082" t="str">
            <v>WELCH ALLYN</v>
          </cell>
          <cell r="G1082" t="str">
            <v>WELCH ALLYN VSM 300</v>
          </cell>
          <cell r="H1082" t="str">
            <v>JA123417</v>
          </cell>
          <cell r="I1082" t="str">
            <v>ANNUALLY</v>
          </cell>
          <cell r="J1082">
            <v>46052</v>
          </cell>
          <cell r="K1082"/>
          <cell r="L1082"/>
          <cell r="M1082"/>
          <cell r="N1082" t="str">
            <v>JABATAN PEMBEDAHAN AM</v>
          </cell>
          <cell r="O1082" t="str">
            <v>Klinik Pembedahan Am (GEN SURGICAL CLINIC)</v>
          </cell>
        </row>
        <row r="1083">
          <cell r="D1083" t="str">
            <v>KKM/JKN/HSA/10-05-01/R/15/16764</v>
          </cell>
          <cell r="E1083" t="str">
            <v>SPHYGMOMANOMETER DIGITAL BATTERY OP</v>
          </cell>
          <cell r="F1083" t="str">
            <v>WELCH ALLYN</v>
          </cell>
          <cell r="G1083" t="str">
            <v>CONNEX PROBP 3400 SERIES</v>
          </cell>
          <cell r="H1083">
            <v>100054902814</v>
          </cell>
          <cell r="I1083" t="str">
            <v>ANNUALLY</v>
          </cell>
          <cell r="J1083">
            <v>45790</v>
          </cell>
          <cell r="K1083"/>
          <cell r="L1083"/>
          <cell r="M1083"/>
          <cell r="N1083" t="str">
            <v>JABATAN PERUBATAN AM</v>
          </cell>
          <cell r="O1083" t="str">
            <v>Klinik Perubatan AM (GEN MEDICINE CLINIC)</v>
          </cell>
        </row>
        <row r="1084">
          <cell r="D1084" t="str">
            <v>KKM/JKN/HSA/10-05-01/R/15/7361</v>
          </cell>
          <cell r="E1084" t="str">
            <v>DIAGNOSTIC SET ADULT</v>
          </cell>
          <cell r="F1084" t="str">
            <v>RUDOLF RIESTER, GMBH</v>
          </cell>
          <cell r="G1084" t="str">
            <v>RI-SCOPE ENT 3761</v>
          </cell>
          <cell r="H1084" t="str">
            <v>N/A</v>
          </cell>
          <cell r="I1084" t="str">
            <v>ANNUALLY</v>
          </cell>
          <cell r="J1084">
            <v>45777</v>
          </cell>
          <cell r="K1084"/>
          <cell r="L1084"/>
          <cell r="M1084"/>
          <cell r="N1084" t="str">
            <v>JABATAN PERUBATAN AM</v>
          </cell>
          <cell r="O1084" t="str">
            <v>Klinik Perubatan AM (GEN MEDICINE CLINIC)</v>
          </cell>
        </row>
        <row r="1085">
          <cell r="D1085" t="str">
            <v>KKM/JKN/HSA/10-05-01/R/15/7362</v>
          </cell>
          <cell r="E1085" t="str">
            <v>DIAGNOSTIC SET ADULT</v>
          </cell>
          <cell r="F1085" t="str">
            <v>RUDOLF RIESTER, GMBH</v>
          </cell>
          <cell r="G1085" t="str">
            <v>RI-SCOPE ENT 3761</v>
          </cell>
          <cell r="H1085" t="str">
            <v>N/A</v>
          </cell>
          <cell r="I1085" t="str">
            <v>ANNUALLY</v>
          </cell>
          <cell r="J1085">
            <v>45777</v>
          </cell>
          <cell r="K1085"/>
          <cell r="L1085"/>
          <cell r="M1085"/>
          <cell r="N1085" t="str">
            <v>JABATAN PERUBATAN AM</v>
          </cell>
          <cell r="O1085" t="str">
            <v>Klinik Perubatan AM (GEN MEDICINE CLINIC)</v>
          </cell>
        </row>
        <row r="1086">
          <cell r="D1086" t="str">
            <v>KKM/JKN/HSA/10-05-01/R/15/7363</v>
          </cell>
          <cell r="E1086" t="str">
            <v>DIAGNOSTIC SET ADULT</v>
          </cell>
          <cell r="F1086" t="str">
            <v>RUDOLF RIESTER, GMBH</v>
          </cell>
          <cell r="G1086" t="str">
            <v>RI-SCOPE ENT 3761</v>
          </cell>
          <cell r="H1086" t="str">
            <v>N/A</v>
          </cell>
          <cell r="I1086" t="str">
            <v>ANNUALLY</v>
          </cell>
          <cell r="J1086">
            <v>45777</v>
          </cell>
          <cell r="K1086"/>
          <cell r="L1086"/>
          <cell r="M1086"/>
          <cell r="N1086" t="str">
            <v>JABATAN PERUBATAN AM</v>
          </cell>
          <cell r="O1086" t="str">
            <v>Klinik Perubatan AM (GEN MEDICINE CLINIC)</v>
          </cell>
        </row>
        <row r="1087">
          <cell r="D1087" t="str">
            <v>KKM/JKN/HSA/10-05-01/R/15/7364</v>
          </cell>
          <cell r="E1087" t="str">
            <v>DIAGNOSTIC SET ADULT</v>
          </cell>
          <cell r="F1087" t="str">
            <v>RUDOLF RIESTER, GMBH</v>
          </cell>
          <cell r="G1087" t="str">
            <v>RI-SCOPE ENT 3761</v>
          </cell>
          <cell r="H1087" t="str">
            <v>N/A</v>
          </cell>
          <cell r="I1087" t="str">
            <v>ANNUALLY</v>
          </cell>
          <cell r="J1087">
            <v>45778</v>
          </cell>
          <cell r="K1087"/>
          <cell r="L1087"/>
          <cell r="M1087"/>
          <cell r="N1087" t="str">
            <v>JABATAN PERUBATAN AM</v>
          </cell>
          <cell r="O1087" t="str">
            <v>Klinik Perubatan AM (GEN MEDICINE CLINIC)</v>
          </cell>
        </row>
        <row r="1088">
          <cell r="D1088" t="str">
            <v>KKM/JKN/HSA/10-05-01/R/15/7365</v>
          </cell>
          <cell r="E1088" t="str">
            <v>DIAGNOSTIC SET ADULT</v>
          </cell>
          <cell r="F1088" t="str">
            <v>RUDOLF RIESTER, GMBH</v>
          </cell>
          <cell r="G1088" t="str">
            <v>RI-SCOPE ENT 3761</v>
          </cell>
          <cell r="H1088" t="str">
            <v>N/A</v>
          </cell>
          <cell r="I1088" t="str">
            <v>ANNUALLY</v>
          </cell>
          <cell r="J1088">
            <v>45778</v>
          </cell>
          <cell r="K1088"/>
          <cell r="L1088"/>
          <cell r="M1088"/>
          <cell r="N1088" t="str">
            <v>JABATAN PERUBATAN AM</v>
          </cell>
          <cell r="O1088" t="str">
            <v>Klinik Perubatan AM (GEN MEDICINE CLINIC)</v>
          </cell>
        </row>
        <row r="1089">
          <cell r="D1089" t="str">
            <v>KKM/JKN/HSA/10-05-01/R/15/7366</v>
          </cell>
          <cell r="E1089" t="str">
            <v>DIAGNOSTIC SET ADULT</v>
          </cell>
          <cell r="F1089" t="str">
            <v>RUDOLF RIESTER, GMBH</v>
          </cell>
          <cell r="G1089" t="str">
            <v>RI-SCOPE ENT 3761</v>
          </cell>
          <cell r="H1089" t="str">
            <v>N/A</v>
          </cell>
          <cell r="I1089" t="str">
            <v>ANNUALLY</v>
          </cell>
          <cell r="J1089">
            <v>45778</v>
          </cell>
          <cell r="K1089"/>
          <cell r="L1089"/>
          <cell r="M1089"/>
          <cell r="N1089" t="str">
            <v>JABATAN PERUBATAN AM</v>
          </cell>
          <cell r="O1089" t="str">
            <v>Klinik Perubatan AM (GEN MEDICINE CLINIC)</v>
          </cell>
        </row>
        <row r="1090">
          <cell r="D1090" t="str">
            <v>KKM/JKN/HSA/10-05-01/R/15/7367</v>
          </cell>
          <cell r="E1090" t="str">
            <v>DIAGNOSTIC SET ADULT</v>
          </cell>
          <cell r="F1090" t="str">
            <v>RUDOLF RIESTER, GMBH</v>
          </cell>
          <cell r="G1090" t="str">
            <v>RI-SCOPE ENT 3761</v>
          </cell>
          <cell r="H1090" t="str">
            <v>N/A</v>
          </cell>
          <cell r="I1090" t="str">
            <v>ANNUALLY</v>
          </cell>
          <cell r="J1090">
            <v>45778</v>
          </cell>
          <cell r="K1090"/>
          <cell r="L1090"/>
          <cell r="M1090"/>
          <cell r="N1090" t="str">
            <v>JABATAN PERUBATAN AM</v>
          </cell>
          <cell r="O1090" t="str">
            <v>Klinik Perubatan AM (GEN MEDICINE CLINIC)</v>
          </cell>
        </row>
        <row r="1091">
          <cell r="D1091" t="str">
            <v>KKM/JKN/HSA/10-05-01/R/15/7368</v>
          </cell>
          <cell r="E1091" t="str">
            <v>DIAGNOSTIC SET ADULT</v>
          </cell>
          <cell r="F1091" t="str">
            <v>RUDOLF RIESTER, GMBH</v>
          </cell>
          <cell r="G1091" t="str">
            <v>RI-SCOPE ENT 3761</v>
          </cell>
          <cell r="H1091" t="str">
            <v>N/A</v>
          </cell>
          <cell r="I1091" t="str">
            <v>ANNUALLY</v>
          </cell>
          <cell r="J1091">
            <v>45779</v>
          </cell>
          <cell r="K1091"/>
          <cell r="L1091"/>
          <cell r="M1091"/>
          <cell r="N1091" t="str">
            <v>JABATAN PERUBATAN AM</v>
          </cell>
          <cell r="O1091" t="str">
            <v>Klinik Perubatan AM (GEN MEDICINE CLINIC)</v>
          </cell>
        </row>
        <row r="1092">
          <cell r="D1092" t="str">
            <v>KKM/JKN/HSA/10-05-01/R/15/7369</v>
          </cell>
          <cell r="E1092" t="str">
            <v>DIAGNOSTIC SET ADULT</v>
          </cell>
          <cell r="F1092" t="str">
            <v>RUDOLF RIESTER, GMBH</v>
          </cell>
          <cell r="G1092" t="str">
            <v>RI-SCOPE ENT 3761</v>
          </cell>
          <cell r="H1092" t="str">
            <v>N/A</v>
          </cell>
          <cell r="I1092" t="str">
            <v>ANNUALLY</v>
          </cell>
          <cell r="J1092">
            <v>45779</v>
          </cell>
          <cell r="K1092"/>
          <cell r="L1092"/>
          <cell r="M1092"/>
          <cell r="N1092" t="str">
            <v>JABATAN PERUBATAN AM</v>
          </cell>
          <cell r="O1092" t="str">
            <v>Klinik Perubatan AM (GEN MEDICINE CLINIC)</v>
          </cell>
        </row>
        <row r="1093">
          <cell r="D1093" t="str">
            <v>KKM/JKN/HSA/10-05-01/R/15/7370</v>
          </cell>
          <cell r="E1093" t="str">
            <v>DIAGNOSTIC SET ADULT</v>
          </cell>
          <cell r="F1093" t="str">
            <v>RUDOLF RIESTER, GMBH</v>
          </cell>
          <cell r="G1093" t="str">
            <v>RI-SCOPE ENT 3761</v>
          </cell>
          <cell r="H1093" t="str">
            <v>N/A</v>
          </cell>
          <cell r="I1093" t="str">
            <v>ANNUALLY</v>
          </cell>
          <cell r="J1093">
            <v>45779</v>
          </cell>
          <cell r="K1093"/>
          <cell r="L1093"/>
          <cell r="M1093"/>
          <cell r="N1093" t="str">
            <v>JABATAN PERUBATAN AM</v>
          </cell>
          <cell r="O1093" t="str">
            <v>Klinik Perubatan AM (GEN MEDICINE CLINIC)</v>
          </cell>
        </row>
        <row r="1094">
          <cell r="D1094" t="str">
            <v>KKM/JKN/HSA/10-05-01/R/15/7371</v>
          </cell>
          <cell r="E1094" t="str">
            <v>DIAGNOSTIC SET ADULT</v>
          </cell>
          <cell r="F1094" t="str">
            <v>RUDOLF RIESTER, GMBH</v>
          </cell>
          <cell r="G1094" t="str">
            <v>RI-SCOPE ENT 3761</v>
          </cell>
          <cell r="H1094" t="str">
            <v>N/A</v>
          </cell>
          <cell r="I1094" t="str">
            <v>ANNUALLY</v>
          </cell>
          <cell r="J1094">
            <v>45779</v>
          </cell>
          <cell r="K1094"/>
          <cell r="L1094"/>
          <cell r="M1094"/>
          <cell r="N1094" t="str">
            <v>JABATAN PERUBATAN AM</v>
          </cell>
          <cell r="O1094" t="str">
            <v>Klinik Perubatan AM (GEN MEDICINE CLINIC)</v>
          </cell>
        </row>
        <row r="1095">
          <cell r="D1095" t="str">
            <v>KKM/JKN/HSA/10-05-01/H/15/1024</v>
          </cell>
          <cell r="E1095" t="str">
            <v>PATIENT MONITORING EQUIP.(AUTOMATIC MULTIPARAMETER)</v>
          </cell>
          <cell r="F1095" t="str">
            <v>WELCH ALLYN</v>
          </cell>
          <cell r="G1095" t="str">
            <v>WELCH ALLYN VSM 300</v>
          </cell>
          <cell r="H1095" t="str">
            <v>N/A</v>
          </cell>
          <cell r="I1095" t="str">
            <v>ANNUALLY</v>
          </cell>
          <cell r="J1095">
            <v>45845</v>
          </cell>
          <cell r="K1095"/>
          <cell r="L1095"/>
          <cell r="M1095"/>
          <cell r="N1095" t="str">
            <v>JABATAN PERUBATAN AM</v>
          </cell>
          <cell r="O1095" t="str">
            <v>Klinik Perubatan AM (GEN MEDICINE CLINIC)</v>
          </cell>
        </row>
        <row r="1096">
          <cell r="D1096" t="str">
            <v>KKM/JKN/HSA/10-05-01/H/15/1025</v>
          </cell>
          <cell r="E1096" t="str">
            <v>PATIENT MONITORING EQUIP.(AUTOMATIC MULTIPARAMETER)</v>
          </cell>
          <cell r="F1096" t="str">
            <v>WELCH ALLYN</v>
          </cell>
          <cell r="G1096" t="str">
            <v>007-0435-00</v>
          </cell>
          <cell r="H1096" t="str">
            <v>JA123453</v>
          </cell>
          <cell r="I1096" t="str">
            <v>ANNUALLY</v>
          </cell>
          <cell r="J1096">
            <v>45845</v>
          </cell>
          <cell r="K1096"/>
          <cell r="L1096"/>
          <cell r="M1096"/>
          <cell r="N1096" t="str">
            <v>JABATAN PERUBATAN AM</v>
          </cell>
          <cell r="O1096" t="str">
            <v>Klinik Perubatan AM (GEN MEDICINE CLINIC)</v>
          </cell>
        </row>
        <row r="1097">
          <cell r="D1097" t="str">
            <v>KKM/JKN/HSA/10-05-01/H/15/1596</v>
          </cell>
          <cell r="E1097" t="str">
            <v>PATIENT MONITORING EQUIP.(AUTOMATIC MULTIPARAMETER)</v>
          </cell>
          <cell r="F1097" t="str">
            <v>WELCH ALLYN</v>
          </cell>
          <cell r="G1097" t="str">
            <v>WELCH ALLYN VSM 300</v>
          </cell>
          <cell r="H1097" t="str">
            <v>JA123458</v>
          </cell>
          <cell r="I1097" t="str">
            <v>ANNUALLY</v>
          </cell>
          <cell r="J1097">
            <v>45849</v>
          </cell>
          <cell r="K1097"/>
          <cell r="L1097"/>
          <cell r="M1097"/>
          <cell r="N1097" t="str">
            <v>JABATAN PERUBATAN AM</v>
          </cell>
          <cell r="O1097" t="str">
            <v>Klinik Perubatan AM (GEN MEDICINE CLINIC)</v>
          </cell>
        </row>
        <row r="1098">
          <cell r="D1098" t="str">
            <v>KKM/JKN/HSA/10-05-01/H/15/2151</v>
          </cell>
          <cell r="E1098" t="str">
            <v>SUCTION APPARATUS</v>
          </cell>
          <cell r="F1098" t="str">
            <v>CAMI</v>
          </cell>
          <cell r="G1098" t="str">
            <v>ASKIR 30</v>
          </cell>
          <cell r="H1098" t="str">
            <v>5921</v>
          </cell>
          <cell r="I1098" t="str">
            <v>ANNUALLY</v>
          </cell>
          <cell r="J1098">
            <v>45748</v>
          </cell>
          <cell r="K1098"/>
          <cell r="L1098"/>
          <cell r="M1098"/>
          <cell r="N1098" t="str">
            <v>JABATAN PERUBATAN AM</v>
          </cell>
          <cell r="O1098" t="str">
            <v>Klinik Perubatan AM (GEN MEDICINE CLINIC)</v>
          </cell>
        </row>
        <row r="1099">
          <cell r="D1099" t="str">
            <v>KKM/JKN/HSA/10-05-01/H/15/2453</v>
          </cell>
          <cell r="E1099" t="str">
            <v>ULTRASOUND SCANNER</v>
          </cell>
          <cell r="F1099" t="str">
            <v>SIEMENS</v>
          </cell>
          <cell r="G1099" t="str">
            <v>ACUSON X300 PE</v>
          </cell>
          <cell r="H1099" t="str">
            <v>348425</v>
          </cell>
          <cell r="I1099" t="str">
            <v>SEMI ANNUALLY</v>
          </cell>
          <cell r="J1099">
            <v>45789</v>
          </cell>
          <cell r="K1099">
            <v>45972</v>
          </cell>
          <cell r="L1099"/>
          <cell r="M1099"/>
          <cell r="N1099" t="str">
            <v>JABATAN PERUBATAN AM</v>
          </cell>
          <cell r="O1099" t="str">
            <v>Klinik Perubatan AM (GEN MEDICINE CLINIC)</v>
          </cell>
        </row>
        <row r="1100">
          <cell r="D1100" t="str">
            <v>KKM/JKN/HSA/10-05-01/H/15/3664</v>
          </cell>
          <cell r="E1100" t="str">
            <v>DEFIBRILLATOR</v>
          </cell>
          <cell r="F1100" t="str">
            <v>PHILIPS</v>
          </cell>
          <cell r="G1100" t="str">
            <v>EFFICIA DFM100</v>
          </cell>
          <cell r="H1100" t="str">
            <v>CN32601425</v>
          </cell>
          <cell r="I1100" t="str">
            <v>SEMI ANNUALLY</v>
          </cell>
          <cell r="J1100">
            <v>45817</v>
          </cell>
          <cell r="K1100">
            <v>45999</v>
          </cell>
          <cell r="L1100"/>
          <cell r="M1100"/>
          <cell r="N1100" t="str">
            <v>JABATAN PERUBATAN AM</v>
          </cell>
          <cell r="O1100" t="str">
            <v>Klinik Perubatan AM (GEN MEDICINE CLINIC)</v>
          </cell>
        </row>
        <row r="1101">
          <cell r="D1101" t="str">
            <v>KKM/JKN/HSA/10-05-01/H/15/4070</v>
          </cell>
          <cell r="E1101" t="str">
            <v>ECG (EKG) MACHINE</v>
          </cell>
          <cell r="F1101" t="str">
            <v>GE HEALTHCARE</v>
          </cell>
          <cell r="G1101" t="str">
            <v>MAC400</v>
          </cell>
          <cell r="H1101" t="str">
            <v>SCT11486299PA</v>
          </cell>
          <cell r="I1101" t="str">
            <v>ANNUALLY</v>
          </cell>
          <cell r="J1101">
            <v>45693</v>
          </cell>
          <cell r="K1101"/>
          <cell r="L1101"/>
          <cell r="M1101"/>
          <cell r="N1101" t="str">
            <v>JABATAN PERUBATAN AM</v>
          </cell>
          <cell r="O1101" t="str">
            <v>Klinik Perubatan AM (GEN MEDICINE CLINIC)</v>
          </cell>
        </row>
        <row r="1102">
          <cell r="D1102" t="str">
            <v>KKM/JKN/HSA/10-05-01/H/15/571</v>
          </cell>
          <cell r="E1102" t="str">
            <v>ECG (EKG) MACHINE</v>
          </cell>
          <cell r="F1102" t="str">
            <v>GE HEALTHCARE</v>
          </cell>
          <cell r="G1102" t="str">
            <v>MAC 1200</v>
          </cell>
          <cell r="H1102" t="str">
            <v>550061830</v>
          </cell>
          <cell r="I1102" t="str">
            <v>ANNUALLY</v>
          </cell>
          <cell r="J1102">
            <v>45847</v>
          </cell>
          <cell r="K1102"/>
          <cell r="L1102"/>
          <cell r="M1102"/>
          <cell r="N1102" t="str">
            <v>JABATAN PERUBATAN AM</v>
          </cell>
          <cell r="O1102" t="str">
            <v>Klinik Perubatan AM (GEN MEDICINE CLINIC)</v>
          </cell>
        </row>
        <row r="1103">
          <cell r="D1103" t="str">
            <v>KKM/JKN/HSA/10-05-01/H/15/667</v>
          </cell>
          <cell r="E1103" t="str">
            <v>ECG (EKG) MONITOR</v>
          </cell>
          <cell r="F1103" t="str">
            <v>GE HEALTHCARE</v>
          </cell>
          <cell r="G1103" t="str">
            <v>HP8300ECMT</v>
          </cell>
          <cell r="H1103" t="str">
            <v>SGH325RVDX</v>
          </cell>
          <cell r="I1103" t="str">
            <v>ANNUALLY</v>
          </cell>
          <cell r="J1103">
            <v>45713</v>
          </cell>
          <cell r="K1103"/>
          <cell r="L1103"/>
          <cell r="M1103"/>
          <cell r="N1103" t="str">
            <v>JABATAN PERUBATAN AM</v>
          </cell>
          <cell r="O1103" t="str">
            <v>Klinik Perubatan AM (GEN MEDICINE CLINIC)</v>
          </cell>
        </row>
        <row r="1104">
          <cell r="D1104" t="str">
            <v>KKM/JKN/HSA/10-05-01/H/15/686</v>
          </cell>
          <cell r="E1104" t="str">
            <v>ECG (EKG) MACHINE HOLTER</v>
          </cell>
          <cell r="F1104" t="str">
            <v>GE HEALTHCARE</v>
          </cell>
          <cell r="G1104" t="str">
            <v>SEER LIGHT</v>
          </cell>
          <cell r="H1104" t="str">
            <v>N/A</v>
          </cell>
          <cell r="I1104" t="str">
            <v>ANNUALLY</v>
          </cell>
          <cell r="J1104">
            <v>45713</v>
          </cell>
          <cell r="K1104"/>
          <cell r="L1104"/>
          <cell r="M1104"/>
          <cell r="N1104" t="str">
            <v>JABATAN PERUBATAN AM</v>
          </cell>
          <cell r="O1104" t="str">
            <v>Klinik Perubatan AM (GEN MEDICINE CLINIC)</v>
          </cell>
        </row>
        <row r="1105">
          <cell r="D1105" t="str">
            <v>KKM/JKN/HSA/10-05-01/H/15/687</v>
          </cell>
          <cell r="E1105" t="str">
            <v>ECG (EKG) MACHINE HOLTER</v>
          </cell>
          <cell r="F1105" t="str">
            <v>GE HEALTHCARE</v>
          </cell>
          <cell r="G1105" t="str">
            <v>SEER LIGHT</v>
          </cell>
          <cell r="H1105" t="str">
            <v>P820960D3</v>
          </cell>
          <cell r="I1105" t="str">
            <v>ANNUALLY</v>
          </cell>
          <cell r="J1105">
            <v>45713</v>
          </cell>
          <cell r="K1105"/>
          <cell r="L1105"/>
          <cell r="M1105"/>
          <cell r="N1105" t="str">
            <v>JABATAN PERUBATAN AM</v>
          </cell>
          <cell r="O1105" t="str">
            <v>Klinik Perubatan AM (GEN MEDICINE CLINIC)</v>
          </cell>
        </row>
        <row r="1106">
          <cell r="D1106" t="str">
            <v>KKM/JKN/HSA/10-05-01/H/15/688</v>
          </cell>
          <cell r="E1106" t="str">
            <v>ECG (EKG) MACHINE HOLTER</v>
          </cell>
          <cell r="F1106" t="str">
            <v>GE HEALTHCARE</v>
          </cell>
          <cell r="G1106" t="str">
            <v>SEER LIGHT</v>
          </cell>
          <cell r="H1106" t="str">
            <v>N/A</v>
          </cell>
          <cell r="I1106" t="str">
            <v>ANNUALLY</v>
          </cell>
          <cell r="J1106">
            <v>45713</v>
          </cell>
          <cell r="K1106"/>
          <cell r="L1106"/>
          <cell r="M1106"/>
          <cell r="N1106" t="str">
            <v>JABATAN PERUBATAN AM</v>
          </cell>
          <cell r="O1106" t="str">
            <v>Klinik Perubatan AM (GEN MEDICINE CLINIC)</v>
          </cell>
        </row>
        <row r="1107">
          <cell r="D1107" t="str">
            <v>KKM/JKN/HSA/10-05-01/H/15/689</v>
          </cell>
          <cell r="E1107" t="str">
            <v>ECG (EKG) MACHINE HOLTER</v>
          </cell>
          <cell r="F1107" t="str">
            <v>GE HEALTHCARE</v>
          </cell>
          <cell r="G1107" t="str">
            <v>SEER LIGHT</v>
          </cell>
          <cell r="H1107" t="str">
            <v>N/A</v>
          </cell>
          <cell r="I1107" t="str">
            <v>ANNUALLY</v>
          </cell>
          <cell r="J1107">
            <v>45712</v>
          </cell>
          <cell r="K1107"/>
          <cell r="L1107"/>
          <cell r="M1107"/>
          <cell r="N1107" t="str">
            <v>JABATAN PERUBATAN AM</v>
          </cell>
          <cell r="O1107" t="str">
            <v>Klinik Perubatan AM (GEN MEDICINE CLINIC)</v>
          </cell>
        </row>
        <row r="1108">
          <cell r="D1108" t="str">
            <v>KKM/JKN/HSA/10-05-01/H/15/690</v>
          </cell>
          <cell r="E1108" t="str">
            <v>ECG (EKG) MACHINE HOLTER</v>
          </cell>
          <cell r="F1108" t="str">
            <v>GE HEALTHCARE</v>
          </cell>
          <cell r="G1108" t="str">
            <v>SEER LIGHT</v>
          </cell>
          <cell r="H1108" t="str">
            <v>N/A</v>
          </cell>
          <cell r="I1108" t="str">
            <v>ANNUALLY</v>
          </cell>
          <cell r="J1108">
            <v>45712</v>
          </cell>
          <cell r="K1108"/>
          <cell r="L1108"/>
          <cell r="M1108"/>
          <cell r="N1108" t="str">
            <v>JABATAN PERUBATAN AM</v>
          </cell>
          <cell r="O1108" t="str">
            <v>Klinik Perubatan AM (GEN MEDICINE CLINIC)</v>
          </cell>
        </row>
        <row r="1109">
          <cell r="D1109" t="str">
            <v>KKM/JKN/HSA/10-05-01/H/15/691</v>
          </cell>
          <cell r="E1109" t="str">
            <v>ECG (EKG) MACHINE HOLTER</v>
          </cell>
          <cell r="F1109" t="str">
            <v>GE HEALTHCARE</v>
          </cell>
          <cell r="G1109" t="str">
            <v>SEER LIGHT</v>
          </cell>
          <cell r="H1109" t="str">
            <v>0459</v>
          </cell>
          <cell r="I1109" t="str">
            <v>ANNUALLY</v>
          </cell>
          <cell r="J1109">
            <v>45712</v>
          </cell>
          <cell r="K1109"/>
          <cell r="L1109"/>
          <cell r="M1109"/>
          <cell r="N1109" t="str">
            <v>JABATAN PERUBATAN AM</v>
          </cell>
          <cell r="O1109" t="str">
            <v>Klinik Perubatan AM (GEN MEDICINE CLINIC)</v>
          </cell>
        </row>
        <row r="1110">
          <cell r="D1110" t="str">
            <v>KKM/JKN/HSA/10-05-01/H/15/692</v>
          </cell>
          <cell r="E1110" t="str">
            <v>ECG (EKG) MACHINE HOLTER</v>
          </cell>
          <cell r="F1110" t="str">
            <v>GE HEALTHCARE</v>
          </cell>
          <cell r="G1110" t="str">
            <v>SEER LIGHT</v>
          </cell>
          <cell r="H1110" t="str">
            <v>N/A</v>
          </cell>
          <cell r="I1110" t="str">
            <v>ANNUALLY</v>
          </cell>
          <cell r="J1110">
            <v>45712</v>
          </cell>
          <cell r="K1110"/>
          <cell r="L1110"/>
          <cell r="M1110"/>
          <cell r="N1110" t="str">
            <v>JABATAN PERUBATAN AM</v>
          </cell>
          <cell r="O1110" t="str">
            <v>Klinik Perubatan AM (GEN MEDICINE CLINIC)</v>
          </cell>
        </row>
        <row r="1111">
          <cell r="D1111" t="str">
            <v>KKM/JKN/HSA/10-05-01/H/15/693</v>
          </cell>
          <cell r="E1111" t="str">
            <v>ECG (EKG) MACHINE HOLTER</v>
          </cell>
          <cell r="F1111" t="str">
            <v>GE HEALTHCARE</v>
          </cell>
          <cell r="G1111" t="str">
            <v>SEER LIGHT</v>
          </cell>
          <cell r="H1111" t="str">
            <v>N/A</v>
          </cell>
          <cell r="I1111" t="str">
            <v>ANNUALLY</v>
          </cell>
          <cell r="J1111">
            <v>45709</v>
          </cell>
          <cell r="K1111"/>
          <cell r="L1111"/>
          <cell r="M1111"/>
          <cell r="N1111" t="str">
            <v>JABATAN PERUBATAN AM</v>
          </cell>
          <cell r="O1111" t="str">
            <v>Klinik Perubatan AM (GEN MEDICINE CLINIC)</v>
          </cell>
        </row>
        <row r="1112">
          <cell r="D1112" t="str">
            <v>KKM/JKN/HSA/10-05-01/H/15/884</v>
          </cell>
          <cell r="E1112" t="str">
            <v>STRESS TEST EQUIPMENT</v>
          </cell>
          <cell r="F1112" t="str">
            <v>GE HEALTHCARE</v>
          </cell>
          <cell r="G1112" t="str">
            <v>CASE SYSTEM</v>
          </cell>
          <cell r="H1112" t="str">
            <v>N/A</v>
          </cell>
          <cell r="I1112" t="str">
            <v>ANNUALLY</v>
          </cell>
          <cell r="J1112">
            <v>46024</v>
          </cell>
          <cell r="K1112"/>
          <cell r="L1112"/>
          <cell r="M1112"/>
          <cell r="N1112" t="str">
            <v>JABATAN PERUBATAN AM</v>
          </cell>
          <cell r="O1112" t="str">
            <v>Klinik Perubatan AM (GEN MEDICINE CLINIC)</v>
          </cell>
        </row>
        <row r="1113">
          <cell r="D1113" t="str">
            <v>KKM/JKN/HSA/10-05-01/H/15/970</v>
          </cell>
          <cell r="E1113" t="str">
            <v>VITALOGRAPH SPIROMETER</v>
          </cell>
          <cell r="F1113" t="str">
            <v>SCHILLER</v>
          </cell>
          <cell r="G1113" t="str">
            <v>PC SPIRO SP-260 USB</v>
          </cell>
          <cell r="H1113" t="str">
            <v>52701215</v>
          </cell>
          <cell r="I1113" t="str">
            <v>ANNUALLY</v>
          </cell>
          <cell r="J1113">
            <v>45722</v>
          </cell>
          <cell r="K1113"/>
          <cell r="L1113"/>
          <cell r="M1113"/>
          <cell r="N1113" t="str">
            <v>JABATAN PERUBATAN AM</v>
          </cell>
          <cell r="O1113" t="str">
            <v>Klinik Perubatan AM (GEN MEDICINE CLINIC)</v>
          </cell>
        </row>
        <row r="1114">
          <cell r="D1114" t="str">
            <v>KKM/JKN/HSA/10-05-01/H/15/976</v>
          </cell>
          <cell r="E1114" t="str">
            <v>VITALOGRAPH SPIROMETER</v>
          </cell>
          <cell r="F1114" t="str">
            <v>SCHILLER</v>
          </cell>
          <cell r="G1114" t="str">
            <v>SPIROVIT SP-1</v>
          </cell>
          <cell r="H1114" t="str">
            <v>N/A</v>
          </cell>
          <cell r="I1114" t="str">
            <v>ANNUALLY</v>
          </cell>
          <cell r="J1114">
            <v>45775</v>
          </cell>
          <cell r="K1114"/>
          <cell r="L1114"/>
          <cell r="M1114"/>
          <cell r="N1114" t="str">
            <v>JABATAN PERUBATAN AM</v>
          </cell>
          <cell r="O1114" t="str">
            <v>Klinik Perubatan AM (GEN MEDICINE CLINIC)</v>
          </cell>
        </row>
        <row r="1115">
          <cell r="D1115" t="str">
            <v>KKM/JKN/HSA/10-05-01/H/16/142</v>
          </cell>
          <cell r="E1115" t="str">
            <v>ULTRASOUND SCANNER</v>
          </cell>
          <cell r="F1115" t="str">
            <v>GE HEALTHCARE</v>
          </cell>
          <cell r="G1115" t="str">
            <v>VIVID T8 EN WITH ARM</v>
          </cell>
          <cell r="H1115" t="str">
            <v>379601WX8</v>
          </cell>
          <cell r="I1115" t="str">
            <v>ANNUALLY</v>
          </cell>
          <cell r="J1115">
            <v>45737</v>
          </cell>
          <cell r="K1115"/>
          <cell r="L1115"/>
          <cell r="M1115"/>
          <cell r="N1115" t="str">
            <v>JABATAN PERUBATAN AM</v>
          </cell>
          <cell r="O1115" t="str">
            <v>Klinik Perubatan AM (GEN MEDICINE CLINIC)</v>
          </cell>
        </row>
        <row r="1116">
          <cell r="D1116" t="str">
            <v>KKM/JKN/HSA/10-05-01/R/15/14884</v>
          </cell>
          <cell r="E1116" t="str">
            <v>BLOOD PRESSURE MONITOR (SPHYGMOMANOMETER)</v>
          </cell>
          <cell r="F1116" t="str">
            <v xml:space="preserve"> ANEROID DESK MODEL</v>
          </cell>
          <cell r="G1116" t="str">
            <v xml:space="preserve">RIESTER RUDOLF </v>
          </cell>
          <cell r="H1116" t="str">
            <v>N/A</v>
          </cell>
          <cell r="I1116" t="str">
            <v>ANNUALLY</v>
          </cell>
          <cell r="J1116">
            <v>46038</v>
          </cell>
          <cell r="K1116"/>
          <cell r="L1116"/>
          <cell r="M1116"/>
          <cell r="N1116" t="str">
            <v>JABATAN PERUBATAN AM</v>
          </cell>
          <cell r="O1116" t="str">
            <v>Klinik Perubatan AM (GEN MEDICINE CLINIC)</v>
          </cell>
        </row>
        <row r="1117">
          <cell r="D1117" t="str">
            <v>KKM/JKN/HSA/10-05-01/R/15/15914</v>
          </cell>
          <cell r="E1117" t="str">
            <v>SPHYGMOMANOMETER ELECTRONICS</v>
          </cell>
          <cell r="F1117" t="str">
            <v>WELCH ALLYN</v>
          </cell>
          <cell r="G1117" t="str">
            <v>PROBP SERIES</v>
          </cell>
          <cell r="H1117" t="str">
            <v>100055172814</v>
          </cell>
          <cell r="I1117" t="str">
            <v>ANNUALLY</v>
          </cell>
          <cell r="J1117">
            <v>45890</v>
          </cell>
          <cell r="K1117"/>
          <cell r="L1117"/>
          <cell r="M1117"/>
          <cell r="N1117" t="str">
            <v>JABATAN PERUBATAN AM</v>
          </cell>
          <cell r="O1117" t="str">
            <v>Klinik Perubatan AM (GEN MEDICINE CLINIC)</v>
          </cell>
        </row>
        <row r="1118">
          <cell r="D1118" t="str">
            <v>KKM/JKN/HSA/10-05-01/R/15/16173</v>
          </cell>
          <cell r="E1118" t="str">
            <v>NEBULIZER</v>
          </cell>
          <cell r="F1118" t="str">
            <v>PHILIPS</v>
          </cell>
          <cell r="G1118" t="str">
            <v>N/A</v>
          </cell>
          <cell r="H1118" t="str">
            <v>N/A</v>
          </cell>
          <cell r="I1118" t="str">
            <v>ANNUALLY</v>
          </cell>
          <cell r="J1118">
            <v>45739</v>
          </cell>
          <cell r="K1118"/>
          <cell r="L1118"/>
          <cell r="M1118"/>
          <cell r="N1118" t="str">
            <v>JABATAN PERUBATAN AM</v>
          </cell>
          <cell r="O1118" t="str">
            <v>Klinik Perubatan AM (GEN MEDICINE CLINIC)</v>
          </cell>
        </row>
        <row r="1119">
          <cell r="D1119" t="str">
            <v>KKM/JKN/HSA/10-05-01/R/15/16745</v>
          </cell>
          <cell r="E1119" t="str">
            <v>SPHYGMOMANOMETER ELECTRONICS</v>
          </cell>
          <cell r="F1119" t="str">
            <v>WELCH ALLYN</v>
          </cell>
          <cell r="G1119" t="str">
            <v>VSM 300</v>
          </cell>
          <cell r="H1119" t="str">
            <v>100054952814</v>
          </cell>
          <cell r="I1119" t="str">
            <v>ANNUALLY</v>
          </cell>
          <cell r="J1119">
            <v>45890</v>
          </cell>
          <cell r="K1119"/>
          <cell r="L1119"/>
          <cell r="M1119"/>
          <cell r="N1119" t="str">
            <v>JABATAN PERUBATAN AM</v>
          </cell>
          <cell r="O1119" t="str">
            <v>Klinik Perubatan AM (GEN MEDICINE CLINIC)</v>
          </cell>
        </row>
        <row r="1120">
          <cell r="D1120" t="str">
            <v>KKM/JKN/HSA/10-05-01/R/15/7400</v>
          </cell>
          <cell r="E1120" t="str">
            <v>DIAGNOSTIC SET ADULT</v>
          </cell>
          <cell r="F1120" t="str">
            <v>RUDOLF RIESTER, GMBH</v>
          </cell>
          <cell r="G1120" t="str">
            <v>RI-SCOPE ENT 3761</v>
          </cell>
          <cell r="H1120" t="str">
            <v>N/A</v>
          </cell>
          <cell r="I1120" t="str">
            <v>ANNUALLY</v>
          </cell>
          <cell r="J1120">
            <v>45814</v>
          </cell>
          <cell r="K1120"/>
          <cell r="L1120"/>
          <cell r="M1120"/>
          <cell r="N1120" t="str">
            <v>JABATAN PEMBEDAHAN AM</v>
          </cell>
          <cell r="O1120" t="str">
            <v>LEVEL 6 (Wad Multidisiplin Perempuan)</v>
          </cell>
        </row>
        <row r="1121">
          <cell r="D1121" t="str">
            <v>KKM/JKN/HSA/10-05-01/R/15/7401</v>
          </cell>
          <cell r="E1121" t="str">
            <v>DIAGNOSTIC SET ADULT</v>
          </cell>
          <cell r="F1121" t="str">
            <v>RUDOLF RIESTER, GMBH</v>
          </cell>
          <cell r="G1121" t="str">
            <v>RI-SCOPE ENT 3761</v>
          </cell>
          <cell r="H1121" t="str">
            <v>N/A</v>
          </cell>
          <cell r="I1121" t="str">
            <v>ANNUALLY</v>
          </cell>
          <cell r="J1121">
            <v>45814</v>
          </cell>
          <cell r="K1121"/>
          <cell r="L1121"/>
          <cell r="M1121"/>
          <cell r="N1121" t="str">
            <v>JABATAN PEMBEDAHAN AM</v>
          </cell>
          <cell r="O1121" t="str">
            <v>LEVEL 6 (Wad Multidisiplin Perempuan)</v>
          </cell>
        </row>
        <row r="1122">
          <cell r="D1122" t="str">
            <v>KKM/JKN/HSA/10-05-01/H/15/1031</v>
          </cell>
          <cell r="E1122" t="str">
            <v>PATIENT MONITORING EQUIP.(AUTOMATIC MULTIPARAMETER)</v>
          </cell>
          <cell r="F1122" t="str">
            <v>WELCH ALLYN</v>
          </cell>
          <cell r="G1122" t="str">
            <v>WELCH ALLYN VSM 300</v>
          </cell>
          <cell r="H1122" t="str">
            <v>JA123444</v>
          </cell>
          <cell r="I1122" t="str">
            <v>ANNUALLY</v>
          </cell>
          <cell r="J1122">
            <v>45693</v>
          </cell>
          <cell r="K1122"/>
          <cell r="L1122"/>
          <cell r="M1122"/>
          <cell r="N1122" t="str">
            <v>JABATAN PEMBEDAHAN AM</v>
          </cell>
          <cell r="O1122" t="str">
            <v>LEVEL 6 (Wad Multidisiplin Perempuan)</v>
          </cell>
        </row>
        <row r="1123">
          <cell r="D1123" t="str">
            <v>KKM/JKN/HSA/10-05-01/H/15/1266</v>
          </cell>
          <cell r="E1123" t="str">
            <v>INFUSION PUMP</v>
          </cell>
          <cell r="F1123" t="str">
            <v>FRESENIUS KABI</v>
          </cell>
          <cell r="G1123" t="str">
            <v>VOLUMAT MC AGILIA GB</v>
          </cell>
          <cell r="H1123" t="str">
            <v>22235948</v>
          </cell>
          <cell r="I1123" t="str">
            <v>ANNUALLY</v>
          </cell>
          <cell r="J1123">
            <v>45852</v>
          </cell>
          <cell r="K1123"/>
          <cell r="L1123"/>
          <cell r="M1123"/>
          <cell r="N1123" t="str">
            <v>JABATAN PEMBEDAHAN AM</v>
          </cell>
          <cell r="O1123" t="str">
            <v>LEVEL 6 (Wad Multidisiplin Perempuan)</v>
          </cell>
        </row>
        <row r="1124">
          <cell r="D1124" t="str">
            <v>KKM/JKN/HSA/10-05-01/H/15/1267</v>
          </cell>
          <cell r="E1124" t="str">
            <v>INFUSION PUMP</v>
          </cell>
          <cell r="F1124" t="str">
            <v>FRESENIUS KABI</v>
          </cell>
          <cell r="G1124" t="str">
            <v>VOLUMAT MC AGILIA GB</v>
          </cell>
          <cell r="H1124" t="str">
            <v>22233944</v>
          </cell>
          <cell r="I1124" t="str">
            <v>ANNUALLY</v>
          </cell>
          <cell r="J1124">
            <v>45852</v>
          </cell>
          <cell r="K1124"/>
          <cell r="L1124"/>
          <cell r="M1124"/>
          <cell r="N1124" t="str">
            <v>JABATAN PEMBEDAHAN AM</v>
          </cell>
          <cell r="O1124" t="str">
            <v>LEVEL 6 (Wad Multidisiplin Perempuan)</v>
          </cell>
        </row>
        <row r="1125">
          <cell r="D1125" t="str">
            <v>KKM/JKN/HSA/10-05-01/H/15/1268</v>
          </cell>
          <cell r="E1125" t="str">
            <v>INFUSION PUMP</v>
          </cell>
          <cell r="F1125" t="str">
            <v>FRESENIUS KABI</v>
          </cell>
          <cell r="G1125" t="str">
            <v>VOLUMAT MC AGILIA GB</v>
          </cell>
          <cell r="H1125" t="str">
            <v>22235958</v>
          </cell>
          <cell r="I1125" t="str">
            <v>ANNUALLY</v>
          </cell>
          <cell r="J1125">
            <v>45852</v>
          </cell>
          <cell r="K1125"/>
          <cell r="L1125"/>
          <cell r="M1125"/>
          <cell r="N1125" t="str">
            <v>JABATAN PEMBEDAHAN AM</v>
          </cell>
          <cell r="O1125" t="str">
            <v>LEVEL 6 (Wad Multidisiplin Perempuan)</v>
          </cell>
        </row>
        <row r="1126">
          <cell r="D1126" t="str">
            <v>KKM/JKN/HSA/10-05-01/H/15/1814</v>
          </cell>
          <cell r="E1126" t="str">
            <v>ENTERAL FEEDING PUMP</v>
          </cell>
          <cell r="F1126" t="str">
            <v>FRESENIUS KABI</v>
          </cell>
          <cell r="G1126" t="str">
            <v>APPLIX VISION</v>
          </cell>
          <cell r="H1126" t="str">
            <v>22232623</v>
          </cell>
          <cell r="I1126" t="str">
            <v>ANNUALLY</v>
          </cell>
          <cell r="J1126">
            <v>45880</v>
          </cell>
          <cell r="K1126"/>
          <cell r="L1126"/>
          <cell r="M1126"/>
          <cell r="N1126" t="str">
            <v>JABATAN PEMBEDAHAN AM</v>
          </cell>
          <cell r="O1126" t="str">
            <v>LEVEL 6 (Wad Multidisiplin Perempuan)</v>
          </cell>
        </row>
        <row r="1127">
          <cell r="D1127" t="str">
            <v>KKM/JKN/HSA/10-05-01/H/15/2168</v>
          </cell>
          <cell r="E1127" t="str">
            <v>PATIENT MONITORING EQUIP.(AUTOMATIC MULTIPARAMETER)</v>
          </cell>
          <cell r="F1127" t="str">
            <v>MINDRAY</v>
          </cell>
          <cell r="G1127" t="str">
            <v>IMEC 12</v>
          </cell>
          <cell r="H1127" t="str">
            <v>EV45011640</v>
          </cell>
          <cell r="I1127" t="str">
            <v>ANNUALLY</v>
          </cell>
          <cell r="J1127">
            <v>45861</v>
          </cell>
          <cell r="K1127"/>
          <cell r="L1127"/>
          <cell r="M1127"/>
          <cell r="N1127" t="str">
            <v>JABATAN PEMBEDAHAN AM</v>
          </cell>
          <cell r="O1127" t="str">
            <v>LEVEL 6 (Wad Multidisiplin Perempuan)</v>
          </cell>
        </row>
        <row r="1128">
          <cell r="D1128" t="str">
            <v>KKM/JKN/HSA/10-05-01/H/15/2179</v>
          </cell>
          <cell r="E1128" t="str">
            <v>SUCTION APPARATUS</v>
          </cell>
          <cell r="F1128" t="str">
            <v>CAMI</v>
          </cell>
          <cell r="G1128" t="str">
            <v>ASKIR 30</v>
          </cell>
          <cell r="H1128" t="str">
            <v>N/A</v>
          </cell>
          <cell r="I1128" t="str">
            <v>ANNUALLY</v>
          </cell>
          <cell r="J1128">
            <v>45750</v>
          </cell>
          <cell r="K1128"/>
          <cell r="L1128"/>
          <cell r="M1128"/>
          <cell r="N1128" t="str">
            <v>JABATAN PEMBEDAHAN AM</v>
          </cell>
          <cell r="O1128" t="str">
            <v>LEVEL 6 (Wad Multidisiplin Perempuan)</v>
          </cell>
        </row>
        <row r="1129">
          <cell r="D1129" t="str">
            <v>KKM/JKN/HSA/10-05-01/H/15/2180</v>
          </cell>
          <cell r="E1129" t="str">
            <v>SUCTION APPARATUS</v>
          </cell>
          <cell r="F1129" t="str">
            <v>CAMI</v>
          </cell>
          <cell r="G1129" t="str">
            <v>ASKIR 30</v>
          </cell>
          <cell r="H1129" t="str">
            <v>N/A</v>
          </cell>
          <cell r="I1129" t="str">
            <v>ANNUALLY</v>
          </cell>
          <cell r="J1129">
            <v>45750</v>
          </cell>
          <cell r="K1129"/>
          <cell r="L1129"/>
          <cell r="M1129"/>
          <cell r="N1129" t="str">
            <v>JABATAN PEMBEDAHAN AM</v>
          </cell>
          <cell r="O1129" t="str">
            <v>LEVEL 6 (Wad Multidisiplin Perempuan)</v>
          </cell>
        </row>
        <row r="1130">
          <cell r="D1130" t="str">
            <v>KKM/JKN/HSA/10-05-01/H/15/2181</v>
          </cell>
          <cell r="E1130" t="str">
            <v>SUCTION APPARATUS</v>
          </cell>
          <cell r="F1130" t="str">
            <v>CAMI</v>
          </cell>
          <cell r="G1130" t="str">
            <v>ASKIR 30</v>
          </cell>
          <cell r="H1130" t="str">
            <v>N/A</v>
          </cell>
          <cell r="I1130" t="str">
            <v>ANNUALLY</v>
          </cell>
          <cell r="J1130">
            <v>45750</v>
          </cell>
          <cell r="K1130"/>
          <cell r="L1130"/>
          <cell r="M1130"/>
          <cell r="N1130" t="str">
            <v>JABATAN PEMBEDAHAN AM</v>
          </cell>
          <cell r="O1130" t="str">
            <v>LEVEL 6 (Wad Multidisiplin Perempuan)</v>
          </cell>
        </row>
        <row r="1131">
          <cell r="D1131" t="str">
            <v>KKM/JKN/HSA/10-05-01/H/15/2264</v>
          </cell>
          <cell r="E1131" t="str">
            <v>SYRINGE INFUSION PUMP</v>
          </cell>
          <cell r="F1131" t="str">
            <v>FRESENIUS KABI</v>
          </cell>
          <cell r="G1131" t="str">
            <v>INJECTOMAT AGILIA</v>
          </cell>
          <cell r="H1131" t="str">
            <v>22233902</v>
          </cell>
          <cell r="I1131" t="str">
            <v>ANNUALLY</v>
          </cell>
          <cell r="J1131">
            <v>45862</v>
          </cell>
          <cell r="K1131"/>
          <cell r="L1131"/>
          <cell r="M1131"/>
          <cell r="N1131" t="str">
            <v>JABATAN PEMBEDAHAN AM</v>
          </cell>
          <cell r="O1131" t="str">
            <v>LEVEL 6 (Wad Multidisiplin Perempuan)</v>
          </cell>
        </row>
        <row r="1132">
          <cell r="D1132" t="str">
            <v>KKM/JKN/HSA/10-05-01/H/15/2265</v>
          </cell>
          <cell r="E1132" t="str">
            <v>SYRINGE INFUSION PUMP</v>
          </cell>
          <cell r="F1132" t="str">
            <v>FRESENIUS KABI</v>
          </cell>
          <cell r="G1132" t="str">
            <v>INJECTOMAT AGILIA</v>
          </cell>
          <cell r="H1132" t="str">
            <v>018030/ 22233903</v>
          </cell>
          <cell r="I1132" t="str">
            <v>ANNUALLY</v>
          </cell>
          <cell r="J1132">
            <v>45861</v>
          </cell>
          <cell r="K1132"/>
          <cell r="L1132"/>
          <cell r="M1132"/>
          <cell r="N1132" t="str">
            <v>JABATAN PEMBEDAHAN AM</v>
          </cell>
          <cell r="O1132" t="str">
            <v>LEVEL 6 (Wad Multidisiplin Perempuan)</v>
          </cell>
        </row>
        <row r="1133">
          <cell r="D1133" t="str">
            <v>KKM/JKN/HSA/10-05-01/H/15/2266</v>
          </cell>
          <cell r="E1133" t="str">
            <v>SYRINGE INFUSION PUMP</v>
          </cell>
          <cell r="F1133" t="str">
            <v>FRESENIUS KABI</v>
          </cell>
          <cell r="G1133" t="str">
            <v>INJECTOMAT AGILIA</v>
          </cell>
          <cell r="H1133" t="str">
            <v>22233916</v>
          </cell>
          <cell r="I1133" t="str">
            <v>ANNUALLY</v>
          </cell>
          <cell r="J1133">
            <v>45861</v>
          </cell>
          <cell r="K1133"/>
          <cell r="L1133"/>
          <cell r="M1133"/>
          <cell r="N1133" t="str">
            <v>JABATAN PEMBEDAHAN AM</v>
          </cell>
          <cell r="O1133" t="str">
            <v>LEVEL 6 (Wad Multidisiplin Perempuan)</v>
          </cell>
        </row>
        <row r="1134">
          <cell r="D1134" t="str">
            <v>KKM/JKN/HSA/10-05-01/H/15/2267</v>
          </cell>
          <cell r="E1134" t="str">
            <v>SYRINGE INFUSION PUMP</v>
          </cell>
          <cell r="F1134" t="str">
            <v>FRESENIUS KABI</v>
          </cell>
          <cell r="G1134" t="str">
            <v>INJECTOMAT AGILIA</v>
          </cell>
          <cell r="H1134" t="str">
            <v>018030/ 22233914</v>
          </cell>
          <cell r="I1134" t="str">
            <v>ANNUALLY</v>
          </cell>
          <cell r="J1134">
            <v>45861</v>
          </cell>
          <cell r="K1134"/>
          <cell r="L1134"/>
          <cell r="M1134"/>
          <cell r="N1134" t="str">
            <v>JABATAN PEMBEDAHAN AM</v>
          </cell>
          <cell r="O1134" t="str">
            <v>LEVEL 6 (Wad Multidisiplin Perempuan)</v>
          </cell>
        </row>
        <row r="1135">
          <cell r="D1135" t="str">
            <v>KKM/JKN/HSA/10-05-01/H/15/2798</v>
          </cell>
          <cell r="E1135" t="str">
            <v>RIPPLE MATTRESS</v>
          </cell>
          <cell r="F1135" t="str">
            <v>BANTEX</v>
          </cell>
          <cell r="G1135" t="str">
            <v>APM-5000-G</v>
          </cell>
          <cell r="H1135" t="str">
            <v>N/A</v>
          </cell>
          <cell r="I1135" t="str">
            <v>ANNUALLY</v>
          </cell>
          <cell r="J1135">
            <v>45880</v>
          </cell>
          <cell r="K1135"/>
          <cell r="L1135"/>
          <cell r="M1135"/>
          <cell r="N1135" t="str">
            <v>JABATAN PEMBEDAHAN AM</v>
          </cell>
          <cell r="O1135" t="str">
            <v>LEVEL 6 (Wad Multidisiplin Perempuan)</v>
          </cell>
        </row>
        <row r="1136">
          <cell r="D1136" t="str">
            <v>KKM/JKN/HSA/10-05-01/H/15/3684</v>
          </cell>
          <cell r="E1136" t="str">
            <v>DEFIBRILLATOR</v>
          </cell>
          <cell r="F1136" t="str">
            <v>PHILIPS</v>
          </cell>
          <cell r="G1136" t="str">
            <v>EFFICIA DFM100</v>
          </cell>
          <cell r="H1136" t="str">
            <v>CN32601418</v>
          </cell>
          <cell r="I1136" t="str">
            <v>SEMI ANNUALLY</v>
          </cell>
          <cell r="J1136">
            <v>45819</v>
          </cell>
          <cell r="K1136">
            <v>46001</v>
          </cell>
          <cell r="L1136"/>
          <cell r="M1136"/>
          <cell r="N1136" t="str">
            <v>JABATAN PEMBEDAHAN AM</v>
          </cell>
          <cell r="O1136" t="str">
            <v>LEVEL 6 (Wad Multidisiplin Perempuan)</v>
          </cell>
        </row>
        <row r="1137">
          <cell r="D1137" t="str">
            <v>KKM/JKN/HSA/10-05-01/H/15/5043</v>
          </cell>
          <cell r="E1137" t="str">
            <v>ECG (EKG) MACHINE</v>
          </cell>
          <cell r="F1137" t="str">
            <v>GE HEALTHCARE</v>
          </cell>
          <cell r="G1137" t="str">
            <v>MAC400</v>
          </cell>
          <cell r="H1137" t="str">
            <v>SCT11486306PA</v>
          </cell>
          <cell r="I1137" t="str">
            <v>ANNUALLY</v>
          </cell>
          <cell r="J1137">
            <v>45690</v>
          </cell>
          <cell r="K1137"/>
          <cell r="L1137"/>
          <cell r="M1137"/>
          <cell r="N1137" t="str">
            <v>JABATAN PEMBEDAHAN AM</v>
          </cell>
          <cell r="O1137" t="str">
            <v>LEVEL 6 (Wad Multidisiplin Perempuan)</v>
          </cell>
        </row>
        <row r="1138">
          <cell r="D1138" t="str">
            <v>KKM/JKN/HSA/10-05-01/R/15/14842</v>
          </cell>
          <cell r="E1138" t="str">
            <v>BLOOD PRESSURE MONITOR (SPHYGMOMANOMETER)</v>
          </cell>
          <cell r="F1138" t="str">
            <v xml:space="preserve"> ANEROID DESK MODEL</v>
          </cell>
          <cell r="G1138" t="str">
            <v xml:space="preserve">RIESTER RUDOLF </v>
          </cell>
          <cell r="H1138" t="str">
            <v>150311409</v>
          </cell>
          <cell r="I1138" t="str">
            <v>ANNUALLY</v>
          </cell>
          <cell r="J1138">
            <v>46037</v>
          </cell>
          <cell r="K1138"/>
          <cell r="L1138"/>
          <cell r="M1138"/>
          <cell r="N1138" t="str">
            <v>JABATAN PEMBEDAHAN AM</v>
          </cell>
          <cell r="O1138" t="str">
            <v>LEVEL 6 (Wad Multidisiplin Perempuan)</v>
          </cell>
        </row>
        <row r="1139">
          <cell r="D1139" t="str">
            <v>KKM/JKN/HSA/10-05-01/R/15/14843</v>
          </cell>
          <cell r="E1139" t="str">
            <v>BLOOD PRESSURE MONITOR (SPHYGMOMANOMETER)</v>
          </cell>
          <cell r="F1139" t="str">
            <v xml:space="preserve"> ANEROID DESK MODEL</v>
          </cell>
          <cell r="G1139" t="str">
            <v xml:space="preserve">RIESTER RUDOLF </v>
          </cell>
          <cell r="H1139" t="str">
            <v>150311417</v>
          </cell>
          <cell r="I1139" t="str">
            <v>ANNUALLY</v>
          </cell>
          <cell r="J1139">
            <v>46037</v>
          </cell>
          <cell r="K1139"/>
          <cell r="L1139"/>
          <cell r="M1139"/>
          <cell r="N1139" t="str">
            <v>JABATAN PEMBEDAHAN AM</v>
          </cell>
          <cell r="O1139" t="str">
            <v>LEVEL 6 (Wad Multidisiplin Perempuan)</v>
          </cell>
        </row>
        <row r="1140">
          <cell r="D1140" t="str">
            <v>KKM/JKN/HSA/10-05-01/R/15/16156</v>
          </cell>
          <cell r="E1140" t="str">
            <v>NEBULIZER</v>
          </cell>
          <cell r="F1140" t="str">
            <v>PHILIPS</v>
          </cell>
          <cell r="G1140" t="str">
            <v>INNOSPIRE DELUXE (UK PLUG)</v>
          </cell>
          <cell r="H1140" t="str">
            <v>N/A</v>
          </cell>
          <cell r="I1140" t="str">
            <v>ANNUALLY</v>
          </cell>
          <cell r="J1140">
            <v>45719</v>
          </cell>
          <cell r="K1140"/>
          <cell r="L1140"/>
          <cell r="M1140"/>
          <cell r="N1140" t="str">
            <v>JABATAN PEMBEDAHAN AM</v>
          </cell>
          <cell r="O1140" t="str">
            <v>LEVEL 6 (Wad Multidisiplin Perempuan)</v>
          </cell>
        </row>
        <row r="1141">
          <cell r="D1141" t="str">
            <v>KKM/JKN/HSA/10-05-01/R/15/16161</v>
          </cell>
          <cell r="E1141" t="str">
            <v>NEBULIZER</v>
          </cell>
          <cell r="F1141" t="str">
            <v>PHILIPS</v>
          </cell>
          <cell r="G1141" t="str">
            <v>INNOSPIRE DELUXE (UK PLUG)</v>
          </cell>
          <cell r="H1141" t="str">
            <v>022219</v>
          </cell>
          <cell r="I1141" t="str">
            <v>ANNUALLY</v>
          </cell>
          <cell r="J1141">
            <v>45727</v>
          </cell>
          <cell r="K1141"/>
          <cell r="L1141"/>
          <cell r="M1141"/>
          <cell r="N1141" t="str">
            <v>JABATAN PEMBEDAHAN AM</v>
          </cell>
          <cell r="O1141" t="str">
            <v>LEVEL 6 (Wad Multidisiplin Perempuan)</v>
          </cell>
        </row>
        <row r="1142">
          <cell r="D1142" t="str">
            <v>KKM/JKN/HSA/10-05-01/R/15/16162</v>
          </cell>
          <cell r="E1142" t="str">
            <v>NEBULIZER</v>
          </cell>
          <cell r="F1142" t="str">
            <v>PHILIPS</v>
          </cell>
          <cell r="G1142" t="str">
            <v>INNOSPIRE DELUXE (UK PLUG)</v>
          </cell>
          <cell r="H1142" t="str">
            <v>022625</v>
          </cell>
          <cell r="I1142" t="str">
            <v>ANNUALLY</v>
          </cell>
          <cell r="J1142">
            <v>45727</v>
          </cell>
          <cell r="K1142"/>
          <cell r="L1142"/>
          <cell r="M1142"/>
          <cell r="N1142" t="str">
            <v>JABATAN PEMBEDAHAN AM</v>
          </cell>
          <cell r="O1142" t="str">
            <v>LEVEL 6 (Wad Multidisiplin Perempuan)</v>
          </cell>
        </row>
        <row r="1143">
          <cell r="D1143" t="str">
            <v>KKM/JKN/HSA/10-05-01/R/15/16163</v>
          </cell>
          <cell r="E1143" t="str">
            <v>NEBULIZER</v>
          </cell>
          <cell r="F1143" t="str">
            <v>PHILIPS</v>
          </cell>
          <cell r="G1143" t="str">
            <v>INNOSPIRE DELUXE (UK PLUG)</v>
          </cell>
          <cell r="H1143" t="str">
            <v>022853</v>
          </cell>
          <cell r="I1143" t="str">
            <v>ANNUALLY</v>
          </cell>
          <cell r="J1143">
            <v>45727</v>
          </cell>
          <cell r="K1143"/>
          <cell r="L1143"/>
          <cell r="M1143"/>
          <cell r="N1143" t="str">
            <v>JABATAN PEMBEDAHAN AM</v>
          </cell>
          <cell r="O1143" t="str">
            <v>LEVEL 6 (Wad Multidisiplin Perempuan)</v>
          </cell>
        </row>
        <row r="1144">
          <cell r="D1144" t="str">
            <v>KKM/JKN/HSA/10-05-01/R/15/16164</v>
          </cell>
          <cell r="E1144" t="str">
            <v>NEBULIZER</v>
          </cell>
          <cell r="F1144" t="str">
            <v>PHILIPS</v>
          </cell>
          <cell r="G1144" t="str">
            <v>INNOSPIRE DELUXE (UK PLUG)</v>
          </cell>
          <cell r="H1144" t="str">
            <v>022629</v>
          </cell>
          <cell r="I1144" t="str">
            <v>ANNUALLY</v>
          </cell>
          <cell r="J1144">
            <v>45727</v>
          </cell>
          <cell r="K1144"/>
          <cell r="L1144"/>
          <cell r="M1144"/>
          <cell r="N1144" t="str">
            <v>JABATAN PEMBEDAHAN AM</v>
          </cell>
          <cell r="O1144" t="str">
            <v>LEVEL 6 (Wad Multidisiplin Perempuan)</v>
          </cell>
        </row>
        <row r="1145">
          <cell r="D1145" t="str">
            <v>KKM/JKN/HSA/10-05-01/R/15/16165</v>
          </cell>
          <cell r="E1145" t="str">
            <v>NEBULIZER</v>
          </cell>
          <cell r="F1145" t="str">
            <v>PHILIPS</v>
          </cell>
          <cell r="G1145" t="str">
            <v>INNOSPIRE DELUXE (UK PLUG)</v>
          </cell>
          <cell r="H1145" t="str">
            <v>022626</v>
          </cell>
          <cell r="I1145" t="str">
            <v>ANNUALLY</v>
          </cell>
          <cell r="J1145">
            <v>45734</v>
          </cell>
          <cell r="K1145"/>
          <cell r="L1145"/>
          <cell r="M1145"/>
          <cell r="N1145" t="str">
            <v>JABATAN PEMBEDAHAN AM</v>
          </cell>
          <cell r="O1145" t="str">
            <v>LEVEL 6 (Wad Multidisiplin Perempuan)</v>
          </cell>
        </row>
        <row r="1146">
          <cell r="D1146" t="str">
            <v>KKM/JKN/HSA/10-05-01/R/15/7153</v>
          </cell>
          <cell r="E1146" t="str">
            <v>PATIENT MONITORING EQUIP.(AUTOMATIC MULTIPARAMETER)</v>
          </cell>
          <cell r="F1146" t="str">
            <v>WELCH ALLYN</v>
          </cell>
          <cell r="G1146" t="str">
            <v>WELCH ALLYN VSM 300</v>
          </cell>
          <cell r="H1146" t="str">
            <v>JA123433</v>
          </cell>
          <cell r="I1146" t="str">
            <v>ANNUALLY</v>
          </cell>
          <cell r="J1146">
            <v>45693</v>
          </cell>
          <cell r="K1146"/>
          <cell r="L1146"/>
          <cell r="M1146"/>
          <cell r="N1146" t="str">
            <v>JABATAN PEMBEDAHAN AM</v>
          </cell>
          <cell r="O1146" t="str">
            <v>LEVEL 6 (Wad Multidisiplin Perempuan)</v>
          </cell>
        </row>
        <row r="1147">
          <cell r="D1147" t="str">
            <v>KKM/JKN/HSA/10-05-01/H/16/195</v>
          </cell>
          <cell r="E1147" t="str">
            <v>PATIENT MONITORING EQUIP. (AUTOMATIC MULTIPARAMETER)</v>
          </cell>
          <cell r="F1147" t="str">
            <v>CONTEC</v>
          </cell>
          <cell r="G1147" t="str">
            <v>CMS6500</v>
          </cell>
          <cell r="H1147" t="str">
            <v>N/A</v>
          </cell>
          <cell r="I1147" t="str">
            <v>ANNUALLY</v>
          </cell>
          <cell r="J1147">
            <v>45724</v>
          </cell>
          <cell r="K1147"/>
          <cell r="L1147"/>
          <cell r="M1147"/>
          <cell r="N1147" t="str">
            <v>JABATAN PEMBEDAHAN AM</v>
          </cell>
          <cell r="O1147" t="str">
            <v>LEVEL 6 (Wad Multidisiplin Perempuan)</v>
          </cell>
        </row>
        <row r="1148">
          <cell r="D1148" t="str">
            <v>KKM/JKN/HSA/10-05-01/H/20/119</v>
          </cell>
          <cell r="E1148" t="str">
            <v>SYRINGE INFUSION PUMP</v>
          </cell>
          <cell r="F1148" t="str">
            <v xml:space="preserve">MEDCAPTAIN </v>
          </cell>
          <cell r="G1148" t="str">
            <v>SYS-50</v>
          </cell>
          <cell r="H1148" t="str">
            <v>91560120030824</v>
          </cell>
          <cell r="I1148" t="str">
            <v>ANNUALLY</v>
          </cell>
          <cell r="J1148">
            <v>45724</v>
          </cell>
          <cell r="K1148"/>
          <cell r="L1148"/>
          <cell r="M1148"/>
          <cell r="N1148" t="str">
            <v>JABATAN PEMBEDAHAN AM</v>
          </cell>
          <cell r="O1148" t="str">
            <v>LEVEL 6 (Wad Multidisiplin Perempuan)</v>
          </cell>
        </row>
        <row r="1149">
          <cell r="D1149" t="str">
            <v>KKM/JKN/HSA/10-05-01/H/20/120</v>
          </cell>
          <cell r="E1149" t="str">
            <v>SYRINGE INFUSION PUMP</v>
          </cell>
          <cell r="F1149" t="str">
            <v xml:space="preserve">MEDCAPTAIN </v>
          </cell>
          <cell r="G1149" t="str">
            <v>SYS-50</v>
          </cell>
          <cell r="H1149" t="str">
            <v>91560120030788</v>
          </cell>
          <cell r="I1149" t="str">
            <v>ANNUALLY</v>
          </cell>
          <cell r="J1149">
            <v>45724</v>
          </cell>
          <cell r="K1149"/>
          <cell r="L1149"/>
          <cell r="M1149"/>
          <cell r="N1149" t="str">
            <v>JABATAN PEMBEDAHAN AM</v>
          </cell>
          <cell r="O1149" t="str">
            <v>LEVEL 6 (Wad Multidisiplin Perempuan)</v>
          </cell>
        </row>
        <row r="1150">
          <cell r="D1150" t="str">
            <v>KKM/JKN/HSA/10-05-01/H/20/178</v>
          </cell>
          <cell r="E1150" t="str">
            <v>SPOT VITAL SIGN (NIBP)</v>
          </cell>
          <cell r="F1150" t="str">
            <v>MINDRAY</v>
          </cell>
          <cell r="G1150" t="str">
            <v>VS900</v>
          </cell>
          <cell r="H1150" t="str">
            <v>FV03035198</v>
          </cell>
          <cell r="I1150" t="str">
            <v>ANNUALLY</v>
          </cell>
          <cell r="J1150">
            <v>45724</v>
          </cell>
          <cell r="K1150"/>
          <cell r="L1150"/>
          <cell r="M1150"/>
          <cell r="N1150" t="str">
            <v>JABATAN PEMBEDAHAN AM</v>
          </cell>
          <cell r="O1150" t="str">
            <v>LEVEL 6 (Wad Multidisiplin Perempuan)</v>
          </cell>
        </row>
        <row r="1151">
          <cell r="D1151" t="str">
            <v>KKM/JKN/HSA/10-05-01/H/15/1221</v>
          </cell>
          <cell r="E1151" t="str">
            <v>INFUSION PUMP</v>
          </cell>
          <cell r="F1151" t="str">
            <v>FRESENIUS KABI</v>
          </cell>
          <cell r="G1151" t="str">
            <v>LINK 8+ AGILIA/MOBILE STAND</v>
          </cell>
          <cell r="H1151" t="str">
            <v>19130/22235264</v>
          </cell>
          <cell r="I1151" t="str">
            <v>ANNUALLY</v>
          </cell>
          <cell r="J1151">
            <v>45870</v>
          </cell>
          <cell r="K1151"/>
          <cell r="L1151"/>
          <cell r="M1151"/>
          <cell r="N1151" t="str">
            <v>JABATAN OBSTETRIK &amp; GINEKOLOGI</v>
          </cell>
          <cell r="O1151" t="str">
            <v>PAC</v>
          </cell>
        </row>
        <row r="1152">
          <cell r="D1152" t="str">
            <v>KKM/JKN/HSA/10-05-01/H/15/1222</v>
          </cell>
          <cell r="E1152" t="str">
            <v>INFUSION PUMP</v>
          </cell>
          <cell r="F1152" t="str">
            <v>FRESENIUS KABI</v>
          </cell>
          <cell r="G1152" t="str">
            <v>LINK 8+ AGILIA/MOBILE STAND</v>
          </cell>
          <cell r="H1152" t="str">
            <v>19130/22235254</v>
          </cell>
          <cell r="I1152" t="str">
            <v>ANNUALLY</v>
          </cell>
          <cell r="J1152">
            <v>45870</v>
          </cell>
          <cell r="K1152"/>
          <cell r="L1152"/>
          <cell r="M1152"/>
          <cell r="N1152" t="str">
            <v>JABATAN OBSTETRIK &amp; GINEKOLOGI</v>
          </cell>
          <cell r="O1152" t="str">
            <v>PAC</v>
          </cell>
        </row>
        <row r="1153">
          <cell r="D1153" t="str">
            <v>KKM/JKN/HSA/10-05-01/H/15/1587</v>
          </cell>
          <cell r="E1153" t="str">
            <v>INFANT WARMER (RADIANT)</v>
          </cell>
          <cell r="F1153" t="str">
            <v>DRAEGER</v>
          </cell>
          <cell r="G1153" t="str">
            <v>RESUSCITAIRE RW-82</v>
          </cell>
          <cell r="H1153" t="str">
            <v>AU 01155</v>
          </cell>
          <cell r="I1153" t="str">
            <v>ANNUALLY</v>
          </cell>
          <cell r="J1153">
            <v>45825</v>
          </cell>
          <cell r="K1153"/>
          <cell r="L1153"/>
          <cell r="M1153"/>
          <cell r="N1153" t="str">
            <v>JABATAN OBSTETRIK &amp; GINEKOLOGI</v>
          </cell>
          <cell r="O1153" t="str">
            <v>PAC</v>
          </cell>
        </row>
        <row r="1154">
          <cell r="D1154" t="str">
            <v>KKM/JKN/HSA/10-05-01/H/15/1588</v>
          </cell>
          <cell r="E1154" t="str">
            <v>PATIENT MONITORING EQUIP.(AUTOMATIC MULTIPARAMETER)</v>
          </cell>
          <cell r="F1154" t="str">
            <v>WELCH ALLYN</v>
          </cell>
          <cell r="G1154" t="str">
            <v>WELCH ALLYN VSM 300</v>
          </cell>
          <cell r="H1154" t="str">
            <v>JA 123446</v>
          </cell>
          <cell r="I1154" t="str">
            <v>ANNUALLY</v>
          </cell>
          <cell r="J1154">
            <v>45841</v>
          </cell>
          <cell r="K1154"/>
          <cell r="L1154"/>
          <cell r="M1154"/>
          <cell r="N1154" t="str">
            <v>JABATAN OBSTETRIK &amp; GINEKOLOGI</v>
          </cell>
          <cell r="O1154" t="str">
            <v>PAC</v>
          </cell>
        </row>
        <row r="1155">
          <cell r="D1155" t="str">
            <v>KKM/JKN/HSA/10-05-01/H/15/1591</v>
          </cell>
          <cell r="E1155" t="str">
            <v>PATIENT MONITORING EQUIP.(AUTOMATIC MULTIPARAMETER)</v>
          </cell>
          <cell r="F1155" t="str">
            <v>WELCH ALLYN</v>
          </cell>
          <cell r="G1155" t="str">
            <v>WELCH ALLYN VSM 300</v>
          </cell>
          <cell r="H1155" t="str">
            <v>JA 123466</v>
          </cell>
          <cell r="I1155" t="str">
            <v>ANNUALLY</v>
          </cell>
          <cell r="J1155">
            <v>45841</v>
          </cell>
          <cell r="K1155"/>
          <cell r="L1155"/>
          <cell r="M1155"/>
          <cell r="N1155" t="str">
            <v>JABATAN OBSTETRIK &amp; GINEKOLOGI</v>
          </cell>
          <cell r="O1155" t="str">
            <v>PAC</v>
          </cell>
        </row>
        <row r="1156">
          <cell r="D1156" t="str">
            <v>KKM/JKN/HSA/10-05-01/H/15/4296</v>
          </cell>
          <cell r="E1156" t="str">
            <v>FETAL HEART MONITOR (CTG)</v>
          </cell>
          <cell r="F1156" t="str">
            <v>GE HEALTHCARE</v>
          </cell>
          <cell r="G1156" t="str">
            <v>COROMETRICS 172</v>
          </cell>
          <cell r="H1156" t="str">
            <v>SAS13330684PA</v>
          </cell>
          <cell r="I1156" t="str">
            <v>ANNUALLY</v>
          </cell>
          <cell r="J1156">
            <v>45716</v>
          </cell>
          <cell r="K1156"/>
          <cell r="L1156"/>
          <cell r="M1156"/>
          <cell r="N1156" t="str">
            <v>JABATAN OBSTETRIK &amp; GINEKOLOGI</v>
          </cell>
          <cell r="O1156" t="str">
            <v>PAC</v>
          </cell>
        </row>
        <row r="1157">
          <cell r="D1157" t="str">
            <v>KKM/JKN/HSA/10-05-01/H/15/4299</v>
          </cell>
          <cell r="E1157" t="str">
            <v>FETAL HEART MONITOR (CTG)</v>
          </cell>
          <cell r="F1157" t="str">
            <v>GE HEALTHCARE</v>
          </cell>
          <cell r="G1157" t="str">
            <v>COROMETRICS 172</v>
          </cell>
          <cell r="H1157" t="str">
            <v>SAS13360945PA</v>
          </cell>
          <cell r="I1157" t="str">
            <v>ANNUALLY</v>
          </cell>
          <cell r="J1157">
            <v>45716</v>
          </cell>
          <cell r="K1157"/>
          <cell r="L1157"/>
          <cell r="M1157"/>
          <cell r="N1157" t="str">
            <v>JABATAN OBSTETRIK &amp; GINEKOLOGI</v>
          </cell>
          <cell r="O1157" t="str">
            <v>PAC</v>
          </cell>
        </row>
        <row r="1158">
          <cell r="D1158" t="str">
            <v>KKM/JKN/HSA/10-05-01/H/15/595</v>
          </cell>
          <cell r="E1158" t="str">
            <v>FETAL HEART MONITOR (DAPTONE)</v>
          </cell>
          <cell r="F1158" t="str">
            <v>GE HEALTHCARE</v>
          </cell>
          <cell r="G1158" t="str">
            <v>COROMETRICS 172</v>
          </cell>
          <cell r="H1158" t="str">
            <v>SAS 13370962PA</v>
          </cell>
          <cell r="I1158" t="str">
            <v>ANNUALLY</v>
          </cell>
          <cell r="J1158">
            <v>45714</v>
          </cell>
          <cell r="K1158"/>
          <cell r="L1158"/>
          <cell r="M1158"/>
          <cell r="N1158" t="str">
            <v>JABATAN OBSTETRIK &amp; GINEKOLOGI</v>
          </cell>
          <cell r="O1158" t="str">
            <v>PAC</v>
          </cell>
        </row>
        <row r="1159">
          <cell r="D1159" t="str">
            <v>KKM/JKN/HSA/10-05-01/H/16/86</v>
          </cell>
          <cell r="E1159" t="str">
            <v>PULSE OXIMETER AND SIMULATOR</v>
          </cell>
          <cell r="F1159" t="str">
            <v>MASIMO</v>
          </cell>
          <cell r="G1159" t="str">
            <v>R2932-RADICAL 7TS</v>
          </cell>
          <cell r="H1159" t="str">
            <v>239207/1000051579</v>
          </cell>
          <cell r="I1159" t="str">
            <v>ANNUALLY</v>
          </cell>
          <cell r="J1159">
            <v>45910</v>
          </cell>
          <cell r="K1159"/>
          <cell r="L1159"/>
          <cell r="M1159"/>
          <cell r="N1159" t="str">
            <v>JABATAN OBSTETRIK &amp; GINEKOLOGI</v>
          </cell>
          <cell r="O1159" t="str">
            <v>PAC</v>
          </cell>
        </row>
        <row r="1160">
          <cell r="D1160" t="str">
            <v>KKM/JKN/HSA/10-05-01/R/15/14856</v>
          </cell>
          <cell r="E1160" t="str">
            <v>BLOOD PRESSURE MONITOR (SPHYGMOMANOMETER)</v>
          </cell>
          <cell r="F1160" t="str">
            <v xml:space="preserve"> ANEROID DESK MODEL</v>
          </cell>
          <cell r="G1160" t="str">
            <v xml:space="preserve">RIESTER RUDOLF </v>
          </cell>
          <cell r="H1160" t="str">
            <v>N/A</v>
          </cell>
          <cell r="I1160" t="str">
            <v>ANNUALLY</v>
          </cell>
          <cell r="J1160">
            <v>45761</v>
          </cell>
          <cell r="K1160"/>
          <cell r="L1160"/>
          <cell r="M1160"/>
          <cell r="N1160" t="str">
            <v>JABATAN OBSTETRIK &amp; GINEKOLOGI</v>
          </cell>
          <cell r="O1160" t="str">
            <v>PAC</v>
          </cell>
        </row>
        <row r="1161">
          <cell r="D1161" t="str">
            <v>KKM/JKN/HSA/10-05-01/R/15/14857</v>
          </cell>
          <cell r="E1161" t="str">
            <v>BLOOD PRESSURE MONITOR (SPHYGMOMANOMETER)</v>
          </cell>
          <cell r="F1161" t="str">
            <v xml:space="preserve"> ANEROID DESK MODEL</v>
          </cell>
          <cell r="G1161" t="str">
            <v xml:space="preserve">RIESTER RUDOLF </v>
          </cell>
          <cell r="H1161" t="str">
            <v>N/A</v>
          </cell>
          <cell r="I1161" t="str">
            <v>ANNUALLY</v>
          </cell>
          <cell r="J1161">
            <v>45757</v>
          </cell>
          <cell r="K1161"/>
          <cell r="L1161"/>
          <cell r="M1161"/>
          <cell r="N1161" t="str">
            <v>JABATAN OBSTETRIK &amp; GINEKOLOGI</v>
          </cell>
          <cell r="O1161" t="str">
            <v>PAC</v>
          </cell>
        </row>
        <row r="1162">
          <cell r="D1162" t="str">
            <v>KKM/JKN/HSA/10-05-01/R/15/14858</v>
          </cell>
          <cell r="E1162" t="str">
            <v>BLOOD PRESSURE MONITOR (SPHYGMOMANOMETER)</v>
          </cell>
          <cell r="F1162" t="str">
            <v xml:space="preserve"> ANEROID DESK MODEL</v>
          </cell>
          <cell r="G1162" t="str">
            <v xml:space="preserve">RIESTER RUDOLF </v>
          </cell>
          <cell r="H1162" t="str">
            <v>N/A</v>
          </cell>
          <cell r="I1162" t="str">
            <v>ANNUALLY</v>
          </cell>
          <cell r="J1162">
            <v>45757</v>
          </cell>
          <cell r="K1162"/>
          <cell r="L1162"/>
          <cell r="M1162"/>
          <cell r="N1162" t="str">
            <v>JABATAN OBSTETRIK &amp; GINEKOLOGI</v>
          </cell>
          <cell r="O1162" t="str">
            <v>PAC</v>
          </cell>
        </row>
        <row r="1163">
          <cell r="D1163" t="str">
            <v>KKM/JKN/HSA/10-05-01/R/15/7029</v>
          </cell>
          <cell r="E1163" t="str">
            <v>INFANT/ BABY SCALER</v>
          </cell>
          <cell r="F1163" t="str">
            <v>DETECTO</v>
          </cell>
          <cell r="G1163" t="str">
            <v>MB130</v>
          </cell>
          <cell r="H1163" t="str">
            <v>C12025872</v>
          </cell>
          <cell r="I1163" t="str">
            <v>ANNUALLY</v>
          </cell>
          <cell r="J1163">
            <v>46045</v>
          </cell>
          <cell r="K1163"/>
          <cell r="L1163"/>
          <cell r="M1163"/>
          <cell r="N1163" t="str">
            <v>JABATAN OBSTETRIK &amp; GINEKOLOGI</v>
          </cell>
          <cell r="O1163" t="str">
            <v>PAC</v>
          </cell>
        </row>
        <row r="1164">
          <cell r="D1164" t="str">
            <v>KKM/JKN/HSA/10-05-01/H/20/238</v>
          </cell>
          <cell r="E1164" t="str">
            <v>PATIENT MONITORING EQUIP.(AUTOMATIC MULTIPARAMETER)</v>
          </cell>
          <cell r="F1164" t="str">
            <v>NIHON KOHDEN</v>
          </cell>
          <cell r="G1164" t="str">
            <v>SVM7600</v>
          </cell>
          <cell r="H1164">
            <v>8151</v>
          </cell>
          <cell r="I1164" t="str">
            <v>ANNUALLY</v>
          </cell>
          <cell r="J1164">
            <v>45690</v>
          </cell>
          <cell r="K1164"/>
          <cell r="L1164"/>
          <cell r="M1164"/>
          <cell r="N1164" t="str">
            <v>JABATAN OBSTETRIK &amp; GINEKOLOGI</v>
          </cell>
          <cell r="O1164" t="str">
            <v>PAC</v>
          </cell>
        </row>
        <row r="1165">
          <cell r="D1165" t="str">
            <v>KKM/JKN/HSA/10-05-01/H/21/207</v>
          </cell>
          <cell r="E1165" t="str">
            <v>VITAL SIGN MONITORS</v>
          </cell>
          <cell r="F1165" t="str">
            <v>BETTERLIFE MEDICAL TECHNOLOGY</v>
          </cell>
          <cell r="G1165" t="str">
            <v>IRIS 200 VITAL SIGN</v>
          </cell>
          <cell r="H1165" t="str">
            <v>M10C-2107B02</v>
          </cell>
          <cell r="I1165" t="str">
            <v>ANNUALLY</v>
          </cell>
          <cell r="J1165">
            <v>45873</v>
          </cell>
          <cell r="K1165"/>
          <cell r="L1165"/>
          <cell r="M1165"/>
          <cell r="N1165" t="str">
            <v>JABATAN OBSTETRIK &amp; GINEKOLOGI</v>
          </cell>
          <cell r="O1165" t="str">
            <v>PAC</v>
          </cell>
        </row>
        <row r="1166">
          <cell r="D1166" t="str">
            <v>KKM/JKN/HSA/10-05-01/H/21/189</v>
          </cell>
          <cell r="E1166" t="str">
            <v>PATIENT MONITORING EQUIPMENT</v>
          </cell>
          <cell r="F1166" t="str">
            <v>MINDRAY</v>
          </cell>
          <cell r="G1166" t="str">
            <v>M1K6B-CTO-SO2</v>
          </cell>
          <cell r="H1166" t="str">
            <v>KN-17113678</v>
          </cell>
          <cell r="I1166" t="str">
            <v>ANNUALLY</v>
          </cell>
          <cell r="J1166">
            <v>45879</v>
          </cell>
          <cell r="K1166"/>
          <cell r="L1166"/>
          <cell r="M1166"/>
          <cell r="N1166" t="str">
            <v>JABATAN OBSTETRIK &amp; GINEKOLOGI</v>
          </cell>
          <cell r="O1166" t="str">
            <v>PAC</v>
          </cell>
        </row>
        <row r="1167">
          <cell r="D1167" t="str">
            <v>HSAS10118</v>
          </cell>
          <cell r="E1167" t="str">
            <v>BATH DRY WITH TEST TUBE BLOCKS</v>
          </cell>
          <cell r="F1167" t="str">
            <v>STUART</v>
          </cell>
          <cell r="G1167" t="str">
            <v xml:space="preserve"> SBH200D</v>
          </cell>
          <cell r="H1167" t="str">
            <v>ROQ0101451</v>
          </cell>
          <cell r="I1167" t="str">
            <v>ANNUALLY</v>
          </cell>
          <cell r="J1167">
            <v>45966</v>
          </cell>
          <cell r="K1167"/>
          <cell r="L1167"/>
          <cell r="M1167"/>
          <cell r="N1167" t="str">
            <v>JABATAN PATOLOGI</v>
          </cell>
          <cell r="O1167" t="str">
            <v>PATHOLOGY</v>
          </cell>
        </row>
        <row r="1168">
          <cell r="D1168" t="str">
            <v>KKM/JKN/HSA/10-05-01/H/15/3934</v>
          </cell>
          <cell r="E1168" t="str">
            <v>WATER PURIFICATION SYSTEMS, DEIONIZATION</v>
          </cell>
          <cell r="F1168" t="str">
            <v>ELGA</v>
          </cell>
          <cell r="G1168" t="str">
            <v>PURELAB OPTION-Q 15 BP</v>
          </cell>
          <cell r="H1168" t="str">
            <v>0000009661</v>
          </cell>
          <cell r="I1168" t="str">
            <v>ANNUALLY</v>
          </cell>
          <cell r="J1168">
            <v>45817</v>
          </cell>
          <cell r="K1168"/>
          <cell r="L1168"/>
          <cell r="M1168"/>
          <cell r="N1168" t="str">
            <v>JABATAN PATOLOGI</v>
          </cell>
          <cell r="O1168" t="str">
            <v>PATHOLOGY</v>
          </cell>
        </row>
        <row r="1169">
          <cell r="D1169" t="str">
            <v>KKM/JKN/HSA/10-05-01/H/15/4020</v>
          </cell>
          <cell r="E1169" t="str">
            <v>WATER PURIFICATION SYSTEMS, DEIONIZATION</v>
          </cell>
          <cell r="F1169" t="str">
            <v>ELGA</v>
          </cell>
          <cell r="G1169" t="str">
            <v>PURELAB CLASSIC DI +PURELAB PRIMA 30BP+LA612</v>
          </cell>
          <cell r="H1169" t="str">
            <v>CLE 00002225</v>
          </cell>
          <cell r="I1169" t="str">
            <v>ANNUALLY</v>
          </cell>
          <cell r="J1169">
            <v>45822</v>
          </cell>
          <cell r="K1169"/>
          <cell r="L1169"/>
          <cell r="M1169"/>
          <cell r="N1169" t="str">
            <v>JABATAN PATOLOGI</v>
          </cell>
          <cell r="O1169" t="str">
            <v>PATHOLOGY</v>
          </cell>
        </row>
        <row r="1170">
          <cell r="D1170" t="str">
            <v>KKM/JKN/HSA/10-05-01/H/16/13</v>
          </cell>
          <cell r="E1170" t="str">
            <v>LAB CENTRIFUGE</v>
          </cell>
          <cell r="F1170" t="str">
            <v>ID-CENTRIFUGE 12 SII</v>
          </cell>
          <cell r="G1170" t="str">
            <v>12 SII</v>
          </cell>
          <cell r="H1170">
            <v>2003804</v>
          </cell>
          <cell r="I1170" t="str">
            <v>ANNUALLY</v>
          </cell>
          <cell r="J1170">
            <v>45976</v>
          </cell>
          <cell r="K1170"/>
          <cell r="L1170"/>
          <cell r="M1170"/>
          <cell r="N1170" t="str">
            <v>JABATAN PATOLOGI</v>
          </cell>
          <cell r="O1170" t="str">
            <v>PATHOLOGY</v>
          </cell>
        </row>
        <row r="1171">
          <cell r="D1171" t="str">
            <v>KKM/JKN/HSA/10-05-01/H/19/22</v>
          </cell>
          <cell r="E1171" t="str">
            <v>SHIMADZU UNIBLOC TOP LOADING BALANCES</v>
          </cell>
          <cell r="F1171" t="str">
            <v>SHIMADZU</v>
          </cell>
          <cell r="G1171" t="str">
            <v>TX2202L</v>
          </cell>
          <cell r="H1171" t="str">
            <v>D465531515</v>
          </cell>
          <cell r="I1171" t="str">
            <v>ANNUALLY</v>
          </cell>
          <cell r="J1171">
            <v>46010</v>
          </cell>
          <cell r="K1171"/>
          <cell r="L1171"/>
          <cell r="M1171"/>
          <cell r="N1171" t="str">
            <v>JABATAN PATOLOGI</v>
          </cell>
          <cell r="O1171" t="str">
            <v>PATHOLOGY</v>
          </cell>
        </row>
        <row r="1172">
          <cell r="D1172" t="str">
            <v>KKM/JKN/HSA/10-05-01/H/15/3899</v>
          </cell>
          <cell r="E1172" t="str">
            <v>LAB CENTRIFUGE</v>
          </cell>
          <cell r="F1172" t="str">
            <v>ANDREAS HETTICH GMBH &amp; CO KG</v>
          </cell>
          <cell r="G1172" t="str">
            <v>UNIVERSAL 320 (CN:1401)</v>
          </cell>
          <cell r="H1172" t="str">
            <v>00069-12-10</v>
          </cell>
          <cell r="I1172" t="str">
            <v>SEMI ANNUALLY</v>
          </cell>
          <cell r="J1172">
            <v>45785</v>
          </cell>
          <cell r="K1172">
            <v>45968</v>
          </cell>
          <cell r="L1172"/>
          <cell r="M1172"/>
          <cell r="N1172" t="str">
            <v>JABATAN PATOLOGI</v>
          </cell>
          <cell r="O1172" t="str">
            <v>PATHOLOGY</v>
          </cell>
        </row>
        <row r="1173">
          <cell r="D1173" t="str">
            <v>KKM/JKN/HSA/10-05-01/H/15/3900</v>
          </cell>
          <cell r="E1173" t="str">
            <v>LAB CENTRIFUGE</v>
          </cell>
          <cell r="F1173" t="str">
            <v>ANDREAS HETTICH GMBH &amp; CO KG</v>
          </cell>
          <cell r="G1173" t="str">
            <v>UNIVERSAL 320 (CN:1401)</v>
          </cell>
          <cell r="H1173" t="str">
            <v>0006905-10</v>
          </cell>
          <cell r="I1173" t="str">
            <v>SEMI ANNUALLY</v>
          </cell>
          <cell r="J1173">
            <v>45785</v>
          </cell>
          <cell r="K1173">
            <v>45968</v>
          </cell>
          <cell r="L1173"/>
          <cell r="M1173"/>
          <cell r="N1173" t="str">
            <v>JABATAN PATOLOGI</v>
          </cell>
          <cell r="O1173" t="str">
            <v>PATHOLOGY</v>
          </cell>
        </row>
        <row r="1174">
          <cell r="D1174" t="str">
            <v>KKM/JKN/HSA/10-05-01/H/15/3901</v>
          </cell>
          <cell r="E1174" t="str">
            <v>LAB CENTRIFUGE</v>
          </cell>
          <cell r="F1174" t="str">
            <v>ANDREAS HETTICH GMBH &amp; CO KG</v>
          </cell>
          <cell r="G1174" t="str">
            <v>UNIVERSAL 320 (CN:1401)</v>
          </cell>
          <cell r="H1174" t="str">
            <v>0006903-10</v>
          </cell>
          <cell r="I1174" t="str">
            <v>SEMI ANNUALLY</v>
          </cell>
          <cell r="J1174">
            <v>45789</v>
          </cell>
          <cell r="K1174">
            <v>45972</v>
          </cell>
          <cell r="L1174"/>
          <cell r="M1174"/>
          <cell r="N1174" t="str">
            <v>JABATAN PATOLOGI</v>
          </cell>
          <cell r="O1174" t="str">
            <v>PATHOLOGY</v>
          </cell>
        </row>
        <row r="1175">
          <cell r="D1175" t="str">
            <v>KKM/JKN/HSA/10-05-01/H/15/3902</v>
          </cell>
          <cell r="E1175" t="str">
            <v>LAB CENTRIFUGE</v>
          </cell>
          <cell r="F1175" t="str">
            <v>ANDREAS HETTICH GMBH &amp; CO KG</v>
          </cell>
          <cell r="G1175" t="str">
            <v>UNIVERSAL 320 (CN:1401)</v>
          </cell>
          <cell r="H1175" t="str">
            <v>0006910-10</v>
          </cell>
          <cell r="I1175" t="str">
            <v>SEMI ANNUALLY</v>
          </cell>
          <cell r="J1175">
            <v>45789</v>
          </cell>
          <cell r="K1175">
            <v>45972</v>
          </cell>
          <cell r="L1175"/>
          <cell r="M1175"/>
          <cell r="N1175" t="str">
            <v>JABATAN PATOLOGI</v>
          </cell>
          <cell r="O1175" t="str">
            <v>PATHOLOGY</v>
          </cell>
        </row>
        <row r="1176">
          <cell r="D1176" t="str">
            <v>KKM/JKN/HSA/10-05-01/H/15/3904</v>
          </cell>
          <cell r="E1176" t="str">
            <v>LAB CENTRIFUGE</v>
          </cell>
          <cell r="F1176" t="str">
            <v>ANDREAS HETTICH GMBH &amp; CO KG</v>
          </cell>
          <cell r="G1176" t="str">
            <v>UNIVERSAL 320 (CN:1401)</v>
          </cell>
          <cell r="H1176" t="str">
            <v>0006909-10</v>
          </cell>
          <cell r="I1176" t="str">
            <v>SEMI ANNUALLY</v>
          </cell>
          <cell r="J1176">
            <v>45789</v>
          </cell>
          <cell r="K1176">
            <v>45972</v>
          </cell>
          <cell r="L1176"/>
          <cell r="M1176"/>
          <cell r="N1176" t="str">
            <v>JABATAN PATOLOGI</v>
          </cell>
          <cell r="O1176" t="str">
            <v>PATHOLOGY</v>
          </cell>
        </row>
        <row r="1177">
          <cell r="D1177" t="str">
            <v>KKM/JKN/HSA/10-05-01/H/15/3905</v>
          </cell>
          <cell r="E1177" t="str">
            <v>LAB CENTRIFUGE</v>
          </cell>
          <cell r="F1177" t="str">
            <v>ANDREAS HETTICH GMBH &amp; CO KG</v>
          </cell>
          <cell r="G1177" t="str">
            <v>UNIVERSAL 320 (CN:1401)</v>
          </cell>
          <cell r="H1177" t="str">
            <v>0006914-10</v>
          </cell>
          <cell r="I1177" t="str">
            <v>SEMI ANNUALLY</v>
          </cell>
          <cell r="J1177">
            <v>45789</v>
          </cell>
          <cell r="K1177">
            <v>45972</v>
          </cell>
          <cell r="L1177"/>
          <cell r="M1177"/>
          <cell r="N1177" t="str">
            <v>JABATAN PATOLOGI</v>
          </cell>
          <cell r="O1177" t="str">
            <v>PATHOLOGY</v>
          </cell>
        </row>
        <row r="1178">
          <cell r="D1178" t="str">
            <v>KKM/JKN/HSA/10-05-01/H/15/3906</v>
          </cell>
          <cell r="E1178" t="str">
            <v>LAB CENTRIFUGE</v>
          </cell>
          <cell r="F1178" t="str">
            <v>ANDREAS HETTICH GMBH &amp; CO KG</v>
          </cell>
          <cell r="G1178" t="str">
            <v>UNIVERSAL 320 (CN:1401)</v>
          </cell>
          <cell r="H1178" t="str">
            <v>0006911-10</v>
          </cell>
          <cell r="I1178" t="str">
            <v>SEMI ANNUALLY</v>
          </cell>
          <cell r="J1178">
            <v>45784</v>
          </cell>
          <cell r="K1178">
            <v>45967</v>
          </cell>
          <cell r="L1178"/>
          <cell r="M1178"/>
          <cell r="N1178" t="str">
            <v>JABATAN PATOLOGI</v>
          </cell>
          <cell r="O1178" t="str">
            <v>PATHOLOGY</v>
          </cell>
        </row>
        <row r="1179">
          <cell r="D1179" t="str">
            <v>KKM/JKN/HSA/10-05-01/H/15/3907</v>
          </cell>
          <cell r="E1179" t="str">
            <v>LAB CENTRIFUGE</v>
          </cell>
          <cell r="F1179" t="str">
            <v>ANDREAS HETTICH GMBH &amp; CO KG</v>
          </cell>
          <cell r="G1179" t="str">
            <v>UNIVERSAL 320 (CN:1401)</v>
          </cell>
          <cell r="H1179" t="str">
            <v>0006906-10</v>
          </cell>
          <cell r="I1179" t="str">
            <v>SEMI ANNUALLY</v>
          </cell>
          <cell r="J1179">
            <v>45784</v>
          </cell>
          <cell r="K1179">
            <v>45967</v>
          </cell>
          <cell r="L1179"/>
          <cell r="M1179"/>
          <cell r="N1179" t="str">
            <v>JABATAN PATOLOGI</v>
          </cell>
          <cell r="O1179" t="str">
            <v>PATHOLOGY</v>
          </cell>
        </row>
        <row r="1180">
          <cell r="D1180" t="str">
            <v>KKM/JKN/HSA/10-05-01/H/15/3908</v>
          </cell>
          <cell r="E1180" t="str">
            <v>LAB CENTRIFUGE</v>
          </cell>
          <cell r="F1180" t="str">
            <v>ANDREAS HETTICH GMBH &amp; CO KG</v>
          </cell>
          <cell r="G1180" t="str">
            <v>UNIVERSAL 320 (CN:1401)</v>
          </cell>
          <cell r="H1180" t="str">
            <v>0006913-10</v>
          </cell>
          <cell r="I1180" t="str">
            <v>SEMI ANNUALLY</v>
          </cell>
          <cell r="J1180">
            <v>45784</v>
          </cell>
          <cell r="K1180">
            <v>45967</v>
          </cell>
          <cell r="L1180"/>
          <cell r="M1180"/>
          <cell r="N1180" t="str">
            <v>JABATAN PATOLOGI</v>
          </cell>
          <cell r="O1180" t="str">
            <v>PATHOLOGY</v>
          </cell>
        </row>
        <row r="1181">
          <cell r="D1181" t="str">
            <v>KKM/JKN/HSA/10-05-01/H/15/3915</v>
          </cell>
          <cell r="E1181" t="str">
            <v>COAGULATION ANALYSER</v>
          </cell>
          <cell r="F1181" t="str">
            <v>SYSMEX</v>
          </cell>
          <cell r="G1181" t="str">
            <v>CA660</v>
          </cell>
          <cell r="H1181">
            <v>11263</v>
          </cell>
          <cell r="I1181" t="str">
            <v>SEMI ANNUALLY</v>
          </cell>
          <cell r="J1181">
            <v>45749</v>
          </cell>
          <cell r="K1181">
            <v>45931</v>
          </cell>
          <cell r="L1181"/>
          <cell r="M1181"/>
          <cell r="N1181" t="str">
            <v>JABATAN PATOLOGI</v>
          </cell>
          <cell r="O1181" t="str">
            <v>PATHOLOGY</v>
          </cell>
        </row>
        <row r="1182">
          <cell r="D1182" t="str">
            <v>KKM/JKN/HSA/10-05-01/H/15/3916</v>
          </cell>
          <cell r="E1182" t="str">
            <v>COAGULATION ANALYSER</v>
          </cell>
          <cell r="F1182" t="str">
            <v>SYSMEX</v>
          </cell>
          <cell r="G1182" t="str">
            <v>CA660</v>
          </cell>
          <cell r="H1182">
            <v>11262</v>
          </cell>
          <cell r="I1182" t="str">
            <v>SEMI ANNUALLY</v>
          </cell>
          <cell r="J1182">
            <v>45750</v>
          </cell>
          <cell r="K1182">
            <v>45932</v>
          </cell>
          <cell r="L1182"/>
          <cell r="M1182"/>
          <cell r="N1182" t="str">
            <v>JABATAN PATOLOGI</v>
          </cell>
          <cell r="O1182" t="str">
            <v>PATHOLOGY</v>
          </cell>
        </row>
        <row r="1183">
          <cell r="D1183" t="str">
            <v>KKM/JKN/HSA/10-05-01/H/15/3940</v>
          </cell>
          <cell r="E1183" t="str">
            <v>WAX HEATER</v>
          </cell>
          <cell r="F1183" t="str">
            <v>TED PELLA</v>
          </cell>
          <cell r="G1183" t="str">
            <v>XN-4002</v>
          </cell>
          <cell r="H1183" t="str">
            <v>28151-230-Q014</v>
          </cell>
          <cell r="I1183" t="str">
            <v>ANNUALLY</v>
          </cell>
          <cell r="J1183">
            <v>45904</v>
          </cell>
          <cell r="K1183"/>
          <cell r="L1183"/>
          <cell r="M1183"/>
          <cell r="N1183" t="str">
            <v>JABATAN PATOLOGI</v>
          </cell>
          <cell r="O1183" t="str">
            <v>PATHOLOGY</v>
          </cell>
        </row>
        <row r="1184">
          <cell r="D1184" t="str">
            <v>KKM/JKN/HSA/10-05-01/H/15/3941</v>
          </cell>
          <cell r="E1184" t="str">
            <v>SHIMADZU UNIBLOC TOP LOADING BALANCES</v>
          </cell>
          <cell r="F1184" t="str">
            <v>SHIMADZU CORPORATION</v>
          </cell>
          <cell r="G1184" t="str">
            <v>UX6200H</v>
          </cell>
          <cell r="H1184" t="str">
            <v>D446840414</v>
          </cell>
          <cell r="I1184" t="str">
            <v>ANNUALLY</v>
          </cell>
          <cell r="J1184">
            <v>45729</v>
          </cell>
          <cell r="K1184"/>
          <cell r="L1184"/>
          <cell r="M1184"/>
          <cell r="N1184" t="str">
            <v>JABATAN PATOLOGI</v>
          </cell>
          <cell r="O1184" t="str">
            <v>PATHOLOGY</v>
          </cell>
        </row>
        <row r="1185">
          <cell r="D1185" t="str">
            <v>KKM/JKN/HSA/10-05-01/H/15/3942</v>
          </cell>
          <cell r="E1185" t="str">
            <v>SLIDE DRYING BENCHES</v>
          </cell>
          <cell r="F1185" t="str">
            <v>LEICA</v>
          </cell>
          <cell r="G1185" t="str">
            <v>HII220</v>
          </cell>
          <cell r="H1185" t="str">
            <v>9193/02/15</v>
          </cell>
          <cell r="I1185" t="str">
            <v>ANNUALLY</v>
          </cell>
          <cell r="J1185">
            <v>45909</v>
          </cell>
          <cell r="K1185"/>
          <cell r="L1185"/>
          <cell r="M1185"/>
          <cell r="N1185" t="str">
            <v>JABATAN PATOLOGI</v>
          </cell>
          <cell r="O1185" t="str">
            <v>PATHOLOGY</v>
          </cell>
        </row>
        <row r="1186">
          <cell r="D1186" t="str">
            <v>KKM/JKN/HSA/10-05-01/H/15/3943</v>
          </cell>
          <cell r="E1186" t="str">
            <v>SLIDE DRYING BENCHES</v>
          </cell>
          <cell r="F1186" t="str">
            <v>LEICA</v>
          </cell>
          <cell r="G1186" t="str">
            <v>HII220</v>
          </cell>
          <cell r="H1186" t="str">
            <v>9145/01/15</v>
          </cell>
          <cell r="I1186" t="str">
            <v>ANNUALLY</v>
          </cell>
          <cell r="J1186">
            <v>45909</v>
          </cell>
          <cell r="K1186"/>
          <cell r="L1186"/>
          <cell r="M1186"/>
          <cell r="N1186" t="str">
            <v>JABATAN PATOLOGI</v>
          </cell>
          <cell r="O1186" t="str">
            <v>PATHOLOGY</v>
          </cell>
        </row>
        <row r="1187">
          <cell r="D1187" t="str">
            <v>KKM/JKN/HSA/10-05-01/H/15/3944</v>
          </cell>
          <cell r="E1187" t="str">
            <v>SLIDE DRYING BENCHES</v>
          </cell>
          <cell r="F1187" t="str">
            <v>LEICA</v>
          </cell>
          <cell r="G1187" t="str">
            <v>HII220</v>
          </cell>
          <cell r="H1187" t="str">
            <v>9194/02/15</v>
          </cell>
          <cell r="I1187" t="str">
            <v>ANNUALLY</v>
          </cell>
          <cell r="J1187">
            <v>45909</v>
          </cell>
          <cell r="K1187"/>
          <cell r="L1187"/>
          <cell r="M1187"/>
          <cell r="N1187" t="str">
            <v>JABATAN PATOLOGI</v>
          </cell>
          <cell r="O1187" t="str">
            <v>PATHOLOGY</v>
          </cell>
        </row>
        <row r="1188">
          <cell r="D1188" t="str">
            <v>KKM/JKN/HSA/10-05-01/H/15/3947</v>
          </cell>
          <cell r="E1188" t="str">
            <v>ANALYTICAL BALANCE</v>
          </cell>
          <cell r="F1188" t="str">
            <v>SHIMADZU CORPORATION</v>
          </cell>
          <cell r="G1188" t="str">
            <v>ATY224</v>
          </cell>
          <cell r="H1188" t="str">
            <v>D307521187</v>
          </cell>
          <cell r="I1188" t="str">
            <v>ANNUALLY</v>
          </cell>
          <cell r="J1188">
            <v>45729</v>
          </cell>
          <cell r="K1188"/>
          <cell r="L1188"/>
          <cell r="M1188"/>
          <cell r="N1188" t="str">
            <v>JABATAN PATOLOGI</v>
          </cell>
          <cell r="O1188" t="str">
            <v>PATHOLOGY</v>
          </cell>
        </row>
        <row r="1189">
          <cell r="D1189" t="str">
            <v>KKM/JKN/HSA/10-05-01/H/15/3948</v>
          </cell>
          <cell r="E1189" t="str">
            <v>BLOOD CULTURE ANALYZER</v>
          </cell>
          <cell r="F1189" t="str">
            <v>BECTON DICKINSON</v>
          </cell>
          <cell r="G1189" t="str">
            <v>BD BACTEC 9120</v>
          </cell>
          <cell r="H1189" t="str">
            <v>UB5555</v>
          </cell>
          <cell r="I1189" t="str">
            <v>SEMI ANNUALLY</v>
          </cell>
          <cell r="J1189">
            <v>46044</v>
          </cell>
          <cell r="K1189">
            <v>46224</v>
          </cell>
          <cell r="L1189"/>
          <cell r="M1189"/>
          <cell r="N1189" t="str">
            <v>JABATAN PATOLOGI</v>
          </cell>
          <cell r="O1189" t="str">
            <v>PATHOLOGY</v>
          </cell>
        </row>
        <row r="1190">
          <cell r="D1190" t="str">
            <v>KKM/JKN/HSA/10-05-01/H/15/3949</v>
          </cell>
          <cell r="E1190" t="str">
            <v>MICROSCOPE</v>
          </cell>
          <cell r="F1190" t="str">
            <v>LEICA</v>
          </cell>
          <cell r="G1190" t="str">
            <v>DM1000LED</v>
          </cell>
          <cell r="H1190">
            <v>363672</v>
          </cell>
          <cell r="I1190" t="str">
            <v>ANNUALLY</v>
          </cell>
          <cell r="J1190">
            <v>45902</v>
          </cell>
          <cell r="K1190"/>
          <cell r="L1190"/>
          <cell r="M1190"/>
          <cell r="N1190" t="str">
            <v>JABATAN PATOLOGI</v>
          </cell>
          <cell r="O1190" t="str">
            <v>PATHOLOGY</v>
          </cell>
        </row>
        <row r="1191">
          <cell r="D1191" t="str">
            <v>KKM/JKN/HSA/10-05-01/H/15/3950</v>
          </cell>
          <cell r="E1191" t="str">
            <v>MICROSCOPE</v>
          </cell>
          <cell r="F1191" t="str">
            <v>LEICA</v>
          </cell>
          <cell r="G1191" t="str">
            <v>DM3000LED</v>
          </cell>
          <cell r="H1191">
            <v>346869</v>
          </cell>
          <cell r="I1191" t="str">
            <v>ANNUALLY</v>
          </cell>
          <cell r="J1191">
            <v>45902</v>
          </cell>
          <cell r="K1191"/>
          <cell r="L1191"/>
          <cell r="M1191"/>
          <cell r="N1191" t="str">
            <v>JABATAN PATOLOGI</v>
          </cell>
          <cell r="O1191" t="str">
            <v>PATHOLOGY</v>
          </cell>
        </row>
        <row r="1192">
          <cell r="D1192" t="str">
            <v>KKM/JKN/HSA/10-05-01/H/15/3951</v>
          </cell>
          <cell r="E1192" t="str">
            <v>MICROSCOPE</v>
          </cell>
          <cell r="F1192" t="str">
            <v>LEICA</v>
          </cell>
          <cell r="G1192" t="str">
            <v>DM3000LED</v>
          </cell>
          <cell r="H1192">
            <v>346866</v>
          </cell>
          <cell r="I1192" t="str">
            <v>ANNUALLY</v>
          </cell>
          <cell r="J1192">
            <v>45902</v>
          </cell>
          <cell r="K1192"/>
          <cell r="L1192"/>
          <cell r="M1192"/>
          <cell r="N1192" t="str">
            <v>JABATAN PATOLOGI</v>
          </cell>
          <cell r="O1192" t="str">
            <v>PATHOLOGY</v>
          </cell>
        </row>
        <row r="1193">
          <cell r="D1193" t="str">
            <v>KKM/JKN/HSA/10-05-01/H/15/3952</v>
          </cell>
          <cell r="E1193" t="str">
            <v>MICROSCOPE</v>
          </cell>
          <cell r="F1193" t="str">
            <v>LEICA BIOSYSTEM INC</v>
          </cell>
          <cell r="G1193" t="str">
            <v>DM 750</v>
          </cell>
          <cell r="H1193" t="str">
            <v>8340124375VR0020/04/13</v>
          </cell>
          <cell r="I1193" t="str">
            <v>ANNUALLY</v>
          </cell>
          <cell r="J1193">
            <v>45904</v>
          </cell>
          <cell r="K1193"/>
          <cell r="L1193"/>
          <cell r="M1193"/>
          <cell r="N1193" t="str">
            <v>JABATAN PATOLOGI</v>
          </cell>
          <cell r="O1193" t="str">
            <v>PATHOLOGY</v>
          </cell>
        </row>
        <row r="1194">
          <cell r="D1194" t="str">
            <v>KKM/JKN/HSA/10-05-01/H/15/3953</v>
          </cell>
          <cell r="E1194" t="str">
            <v>MICROSCOPE</v>
          </cell>
          <cell r="F1194" t="str">
            <v>LEICA BIOSYSTEM INC</v>
          </cell>
          <cell r="G1194" t="str">
            <v>DM 750</v>
          </cell>
          <cell r="H1194" t="str">
            <v>8340124375VR0017/04/13</v>
          </cell>
          <cell r="I1194" t="str">
            <v>ANNUALLY</v>
          </cell>
          <cell r="J1194">
            <v>45902</v>
          </cell>
          <cell r="K1194"/>
          <cell r="L1194"/>
          <cell r="M1194"/>
          <cell r="N1194" t="str">
            <v>JABATAN PATOLOGI</v>
          </cell>
          <cell r="O1194" t="str">
            <v>PATHOLOGY</v>
          </cell>
        </row>
        <row r="1195">
          <cell r="D1195" t="str">
            <v>KKM/JKN/HSA/10-05-01/H/15/3954</v>
          </cell>
          <cell r="E1195" t="str">
            <v>MICROSCOPE</v>
          </cell>
          <cell r="F1195" t="str">
            <v>LEICA BIOSYSTEM INC</v>
          </cell>
          <cell r="G1195" t="str">
            <v>DM 750</v>
          </cell>
          <cell r="H1195" t="str">
            <v>8340124375VR0011</v>
          </cell>
          <cell r="I1195" t="str">
            <v>ANNUALLY</v>
          </cell>
          <cell r="J1195">
            <v>45903</v>
          </cell>
          <cell r="K1195"/>
          <cell r="L1195"/>
          <cell r="M1195"/>
          <cell r="N1195" t="str">
            <v>JABATAN PATOLOGI</v>
          </cell>
          <cell r="O1195" t="str">
            <v>PATHOLOGY</v>
          </cell>
        </row>
        <row r="1196">
          <cell r="D1196" t="str">
            <v>KKM/JKN/HSA/10-05-01/H/15/3955</v>
          </cell>
          <cell r="E1196" t="str">
            <v>MICROSCOPE</v>
          </cell>
          <cell r="F1196" t="str">
            <v>LEICA BIOSYSTEM INC</v>
          </cell>
          <cell r="G1196" t="str">
            <v>DM 750</v>
          </cell>
          <cell r="H1196" t="str">
            <v>8340124375VR0033</v>
          </cell>
          <cell r="I1196" t="str">
            <v>ANNUALLY</v>
          </cell>
          <cell r="J1196">
            <v>45903</v>
          </cell>
          <cell r="K1196"/>
          <cell r="L1196"/>
          <cell r="M1196"/>
          <cell r="N1196" t="str">
            <v>JABATAN PATOLOGI</v>
          </cell>
          <cell r="O1196" t="str">
            <v>PATHOLOGY</v>
          </cell>
        </row>
        <row r="1197">
          <cell r="D1197" t="str">
            <v>KKM/JKN/HSA/10-05-01/H/15/3956</v>
          </cell>
          <cell r="E1197" t="str">
            <v>MICROSCOPE</v>
          </cell>
          <cell r="F1197" t="str">
            <v>LEICA BIOSYSTEM INC</v>
          </cell>
          <cell r="G1197" t="str">
            <v>DM 750</v>
          </cell>
          <cell r="H1197" t="str">
            <v>8340124375VR0008</v>
          </cell>
          <cell r="I1197" t="str">
            <v>ANNUALLY</v>
          </cell>
          <cell r="J1197">
            <v>45903</v>
          </cell>
          <cell r="K1197"/>
          <cell r="L1197"/>
          <cell r="M1197"/>
          <cell r="N1197" t="str">
            <v>JABATAN PATOLOGI</v>
          </cell>
          <cell r="O1197" t="str">
            <v>PATHOLOGY</v>
          </cell>
        </row>
        <row r="1198">
          <cell r="D1198" t="str">
            <v>KKM/JKN/HSA/10-05-01/H/15/3957</v>
          </cell>
          <cell r="E1198" t="str">
            <v>MICROSCOPE</v>
          </cell>
          <cell r="F1198" t="str">
            <v>LEICA BIOSYSTEM INC</v>
          </cell>
          <cell r="G1198" t="str">
            <v>DM 750</v>
          </cell>
          <cell r="H1198" t="str">
            <v>99T0268/06/15</v>
          </cell>
          <cell r="I1198" t="str">
            <v>ANNUALLY</v>
          </cell>
          <cell r="J1198">
            <v>45903</v>
          </cell>
          <cell r="K1198"/>
          <cell r="L1198"/>
          <cell r="M1198"/>
          <cell r="N1198" t="str">
            <v>JABATAN PATOLOGI</v>
          </cell>
          <cell r="O1198" t="str">
            <v>PATHOLOGY</v>
          </cell>
        </row>
        <row r="1199">
          <cell r="D1199" t="str">
            <v>KKM/JKN/HSA/10-05-01/H/15/3958</v>
          </cell>
          <cell r="E1199" t="str">
            <v>MICROSCOPE</v>
          </cell>
          <cell r="F1199" t="str">
            <v>LEICA BIOSYSTEM INC</v>
          </cell>
          <cell r="G1199" t="str">
            <v>DM 750</v>
          </cell>
          <cell r="H1199" t="str">
            <v>8340124375VR0012/04/13</v>
          </cell>
          <cell r="I1199" t="str">
            <v>ANNUALLY</v>
          </cell>
          <cell r="J1199">
            <v>45904</v>
          </cell>
          <cell r="K1199"/>
          <cell r="L1199"/>
          <cell r="M1199"/>
          <cell r="N1199" t="str">
            <v>JABATAN PATOLOGI</v>
          </cell>
          <cell r="O1199" t="str">
            <v>PATHOLOGY</v>
          </cell>
        </row>
        <row r="1200">
          <cell r="D1200" t="str">
            <v>KKM/JKN/HSA/10-05-01/H/15/3959</v>
          </cell>
          <cell r="E1200" t="str">
            <v>MICROSCOPE</v>
          </cell>
          <cell r="F1200" t="str">
            <v>LEICA BIOSYSTEM INC</v>
          </cell>
          <cell r="G1200" t="str">
            <v>DM 750</v>
          </cell>
          <cell r="H1200" t="str">
            <v>8340124375VR0010/04/13</v>
          </cell>
          <cell r="I1200" t="str">
            <v>ANNUALLY</v>
          </cell>
          <cell r="J1200">
            <v>45904</v>
          </cell>
          <cell r="K1200"/>
          <cell r="L1200"/>
          <cell r="M1200"/>
          <cell r="N1200" t="str">
            <v>JABATAN PATOLOGI</v>
          </cell>
          <cell r="O1200" t="str">
            <v>PATHOLOGY</v>
          </cell>
        </row>
        <row r="1201">
          <cell r="D1201" t="str">
            <v>KKM/JKN/HSA/10-05-01/H/15/3960</v>
          </cell>
          <cell r="E1201" t="str">
            <v>MICROSCOPE</v>
          </cell>
          <cell r="F1201" t="str">
            <v>LEICA BIOSYSTEM INC</v>
          </cell>
          <cell r="G1201" t="str">
            <v>DM 750</v>
          </cell>
          <cell r="H1201" t="str">
            <v>8340124375VS0030/04/13</v>
          </cell>
          <cell r="I1201" t="str">
            <v>ANNUALLY</v>
          </cell>
          <cell r="J1201">
            <v>45904</v>
          </cell>
          <cell r="K1201"/>
          <cell r="L1201"/>
          <cell r="M1201"/>
          <cell r="N1201" t="str">
            <v>JABATAN PATOLOGI</v>
          </cell>
          <cell r="O1201" t="str">
            <v>PATHOLOGY</v>
          </cell>
        </row>
        <row r="1202">
          <cell r="D1202" t="str">
            <v>KKM/JKN/HSA/10-05-01/H/15/3961</v>
          </cell>
          <cell r="E1202" t="str">
            <v>MICROSCOPE</v>
          </cell>
          <cell r="F1202" t="str">
            <v>LEICA BIOSYSTEM INC</v>
          </cell>
          <cell r="G1202" t="str">
            <v>DM 750</v>
          </cell>
          <cell r="H1202" t="str">
            <v>8340124375VR0009/04/13</v>
          </cell>
          <cell r="I1202" t="str">
            <v>ANNUALLY</v>
          </cell>
          <cell r="J1202">
            <v>45904</v>
          </cell>
          <cell r="K1202"/>
          <cell r="L1202"/>
          <cell r="M1202"/>
          <cell r="N1202" t="str">
            <v>JABATAN PATOLOGI</v>
          </cell>
          <cell r="O1202" t="str">
            <v>PATHOLOGY</v>
          </cell>
        </row>
        <row r="1203">
          <cell r="D1203" t="str">
            <v>KKM/JKN/HSA/10-05-01/H/15/3962</v>
          </cell>
          <cell r="E1203" t="str">
            <v>MICROSCOPE</v>
          </cell>
          <cell r="F1203" t="str">
            <v>LEICA BIOSYSTEM INC</v>
          </cell>
          <cell r="G1203" t="str">
            <v>DM 750</v>
          </cell>
          <cell r="H1203" t="str">
            <v>8340124375VR0013/04/13</v>
          </cell>
          <cell r="I1203" t="str">
            <v>ANNUALLY</v>
          </cell>
          <cell r="J1203">
            <v>45724</v>
          </cell>
          <cell r="K1203"/>
          <cell r="L1203"/>
          <cell r="M1203"/>
          <cell r="N1203" t="str">
            <v>JABATAN PATOLOGI</v>
          </cell>
          <cell r="O1203" t="str">
            <v>PATHOLOGY</v>
          </cell>
        </row>
        <row r="1204">
          <cell r="D1204" t="str">
            <v>KKM/JKN/HSA/10-05-01/H/15/3963</v>
          </cell>
          <cell r="E1204" t="str">
            <v>MICROSCOPE</v>
          </cell>
          <cell r="F1204" t="str">
            <v>LEICA BIOSYSTEM INC</v>
          </cell>
          <cell r="G1204" t="str">
            <v>DM 750</v>
          </cell>
          <cell r="H1204" t="str">
            <v>8340124375VR0005/04/13</v>
          </cell>
          <cell r="I1204" t="str">
            <v>ANNUALLY</v>
          </cell>
          <cell r="J1204">
            <v>45724</v>
          </cell>
          <cell r="K1204"/>
          <cell r="L1204"/>
          <cell r="M1204"/>
          <cell r="N1204" t="str">
            <v>JABATAN PATOLOGI</v>
          </cell>
          <cell r="O1204" t="str">
            <v>PATHOLOGY</v>
          </cell>
        </row>
        <row r="1205">
          <cell r="D1205" t="str">
            <v>KKM/JKN/HSA/10-05-01/H/15/3964</v>
          </cell>
          <cell r="E1205" t="str">
            <v>INCUBATOR, CARBON DIOXIDE(CO2)</v>
          </cell>
          <cell r="F1205" t="str">
            <v xml:space="preserve"> BINDER</v>
          </cell>
          <cell r="G1205" t="str">
            <v>CB 210</v>
          </cell>
          <cell r="H1205" t="str">
            <v>12-15583</v>
          </cell>
          <cell r="I1205" t="str">
            <v>ANNUALLY</v>
          </cell>
          <cell r="J1205">
            <v>46030</v>
          </cell>
          <cell r="K1205"/>
          <cell r="L1205"/>
          <cell r="M1205"/>
          <cell r="N1205" t="str">
            <v>JABATAN PATOLOGI</v>
          </cell>
          <cell r="O1205" t="str">
            <v>PATHOLOGY</v>
          </cell>
        </row>
        <row r="1206">
          <cell r="D1206" t="str">
            <v>KKM/JKN/HSA/10-05-01/H/15/3965</v>
          </cell>
          <cell r="E1206" t="str">
            <v>INCUBATOR, CARBON DIOXIDE(CO2)</v>
          </cell>
          <cell r="F1206" t="str">
            <v xml:space="preserve"> BINDER</v>
          </cell>
          <cell r="G1206" t="str">
            <v>CB 210</v>
          </cell>
          <cell r="H1206" t="str">
            <v>12-15586</v>
          </cell>
          <cell r="I1206" t="str">
            <v>ANNUALLY</v>
          </cell>
          <cell r="J1206">
            <v>46030</v>
          </cell>
          <cell r="K1206"/>
          <cell r="L1206"/>
          <cell r="M1206"/>
          <cell r="N1206" t="str">
            <v>JABATAN PATOLOGI</v>
          </cell>
          <cell r="O1206" t="str">
            <v>PATHOLOGY</v>
          </cell>
        </row>
        <row r="1207">
          <cell r="D1207" t="str">
            <v>KKM/JKN/HSA/10-05-01/H/15/3968</v>
          </cell>
          <cell r="E1207" t="str">
            <v>INKUBATOR (INCUBATOR)</v>
          </cell>
          <cell r="F1207" t="str">
            <v>BINDER</v>
          </cell>
          <cell r="G1207" t="str">
            <v>BD 53</v>
          </cell>
          <cell r="H1207" t="str">
            <v>13-16066</v>
          </cell>
          <cell r="I1207" t="str">
            <v>SEMI ANNUALLY</v>
          </cell>
          <cell r="J1207">
            <v>46036</v>
          </cell>
          <cell r="K1207">
            <v>46216</v>
          </cell>
          <cell r="L1207"/>
          <cell r="M1207"/>
          <cell r="N1207" t="str">
            <v>JABATAN PATOLOGI</v>
          </cell>
          <cell r="O1207" t="str">
            <v>PATHOLOGY</v>
          </cell>
        </row>
        <row r="1208">
          <cell r="D1208" t="str">
            <v>KKM/JKN/HSA/10-05-01/H/15/3969</v>
          </cell>
          <cell r="E1208" t="str">
            <v>HOT AIR OVEN MEMMERT</v>
          </cell>
          <cell r="F1208" t="str">
            <v>BINDER</v>
          </cell>
          <cell r="G1208" t="str">
            <v>FD53</v>
          </cell>
          <cell r="H1208" t="str">
            <v>13-10379</v>
          </cell>
          <cell r="I1208" t="str">
            <v>SEMI ANNUALLY</v>
          </cell>
          <cell r="J1208">
            <v>46036</v>
          </cell>
          <cell r="K1208">
            <v>46216</v>
          </cell>
          <cell r="L1208"/>
          <cell r="M1208"/>
          <cell r="N1208" t="str">
            <v>JABATAN PATOLOGI</v>
          </cell>
          <cell r="O1208" t="str">
            <v>PATHOLOGY</v>
          </cell>
        </row>
        <row r="1209">
          <cell r="D1209" t="str">
            <v>KKM/JKN/HSA/10-05-01/H/15/3975</v>
          </cell>
          <cell r="E1209" t="str">
            <v>MICROTOMES</v>
          </cell>
          <cell r="F1209" t="str">
            <v>LEICA</v>
          </cell>
          <cell r="G1209" t="str">
            <v>RM2255</v>
          </cell>
          <cell r="H1209">
            <v>10681</v>
          </cell>
          <cell r="I1209" t="str">
            <v>SEMI ANNUALLY</v>
          </cell>
          <cell r="J1209">
            <v>45837</v>
          </cell>
          <cell r="K1209">
            <v>46019</v>
          </cell>
          <cell r="L1209"/>
          <cell r="M1209"/>
          <cell r="N1209" t="str">
            <v>JABATAN PATOLOGI</v>
          </cell>
          <cell r="O1209" t="str">
            <v>PATHOLOGY</v>
          </cell>
        </row>
        <row r="1210">
          <cell r="D1210" t="str">
            <v>KKM/JKN/HSA/10-05-01/H/15/3978</v>
          </cell>
          <cell r="E1210" t="str">
            <v>TISSUE EMBEDDING UNIT</v>
          </cell>
          <cell r="F1210" t="str">
            <v>LEICA</v>
          </cell>
          <cell r="G1210" t="str">
            <v>EG1150H</v>
          </cell>
          <cell r="H1210">
            <v>11053</v>
          </cell>
          <cell r="I1210" t="str">
            <v>ANNUALLY</v>
          </cell>
          <cell r="J1210">
            <v>45904</v>
          </cell>
          <cell r="K1210"/>
          <cell r="L1210"/>
          <cell r="M1210"/>
          <cell r="N1210" t="str">
            <v>JABATAN PATOLOGI</v>
          </cell>
          <cell r="O1210" t="str">
            <v>PATHOLOGY</v>
          </cell>
        </row>
        <row r="1211">
          <cell r="D1211" t="str">
            <v>KKM/JKN/HSA/10-05-01/H/15/3979</v>
          </cell>
          <cell r="E1211" t="str">
            <v>SLIDE STAINERS</v>
          </cell>
          <cell r="F1211" t="str">
            <v>LEICA</v>
          </cell>
          <cell r="G1211" t="str">
            <v>AUTOSTAINER XL</v>
          </cell>
          <cell r="H1211" t="str">
            <v>4085/2/15</v>
          </cell>
          <cell r="I1211" t="str">
            <v>SEMI ANNUALLY</v>
          </cell>
          <cell r="J1211">
            <v>45763</v>
          </cell>
          <cell r="K1211">
            <v>45945</v>
          </cell>
          <cell r="L1211"/>
          <cell r="M1211"/>
          <cell r="N1211" t="str">
            <v>JABATAN PATOLOGI</v>
          </cell>
          <cell r="O1211" t="str">
            <v>PATHOLOGY</v>
          </cell>
        </row>
        <row r="1212">
          <cell r="D1212" t="str">
            <v>KKM/JKN/HSA/10-05-01/H/15/3980</v>
          </cell>
          <cell r="E1212" t="str">
            <v>SLIDE STAINERS</v>
          </cell>
          <cell r="F1212" t="str">
            <v>SIEMENS</v>
          </cell>
          <cell r="G1212" t="str">
            <v>HEMATEK</v>
          </cell>
          <cell r="H1212">
            <v>351647</v>
          </cell>
          <cell r="I1212" t="str">
            <v>SEMI ANNUALLY</v>
          </cell>
          <cell r="J1212">
            <v>45763</v>
          </cell>
          <cell r="K1212">
            <v>45945</v>
          </cell>
          <cell r="L1212"/>
          <cell r="M1212"/>
          <cell r="N1212" t="str">
            <v>JABATAN PATOLOGI</v>
          </cell>
          <cell r="O1212" t="str">
            <v>PATHOLOGY</v>
          </cell>
        </row>
        <row r="1213">
          <cell r="D1213" t="str">
            <v>KKM/JKN/HSA/10-05-01/H/15/3981</v>
          </cell>
          <cell r="E1213" t="str">
            <v>CRYOSTAT</v>
          </cell>
          <cell r="F1213" t="str">
            <v>LEICA</v>
          </cell>
          <cell r="G1213" t="str">
            <v>CM1860UV</v>
          </cell>
          <cell r="H1213" t="str">
            <v>1612/02/2015</v>
          </cell>
          <cell r="I1213" t="str">
            <v>ANNUALLY</v>
          </cell>
          <cell r="J1213">
            <v>45724</v>
          </cell>
          <cell r="K1213"/>
          <cell r="L1213"/>
          <cell r="M1213"/>
          <cell r="N1213" t="str">
            <v>JABATAN PATOLOGI</v>
          </cell>
          <cell r="O1213" t="str">
            <v>PATHOLOGY</v>
          </cell>
        </row>
        <row r="1214">
          <cell r="D1214" t="str">
            <v>KKM/JKN/HSA/10-05-01/H/15/3982</v>
          </cell>
          <cell r="E1214" t="str">
            <v>TUBE SEALER</v>
          </cell>
          <cell r="F1214" t="str">
            <v>TERUMO CORPORATION</v>
          </cell>
          <cell r="G1214" t="str">
            <v>XS1010</v>
          </cell>
          <cell r="H1214" t="str">
            <v>13082663</v>
          </cell>
          <cell r="I1214" t="str">
            <v>ANNUALLY</v>
          </cell>
          <cell r="J1214">
            <v>45768</v>
          </cell>
          <cell r="K1214"/>
          <cell r="L1214"/>
          <cell r="M1214"/>
          <cell r="N1214" t="str">
            <v>JABATAN PATOLOGI</v>
          </cell>
          <cell r="O1214" t="str">
            <v>PATHOLOGY</v>
          </cell>
        </row>
        <row r="1215">
          <cell r="D1215" t="str">
            <v>KKM/JKN/HSA/10-05-01/H/15/3983</v>
          </cell>
          <cell r="E1215" t="str">
            <v>PLATELET AGITATOR WITH INCUBATOR</v>
          </cell>
          <cell r="F1215" t="str">
            <v>LABTOP</v>
          </cell>
          <cell r="G1215" t="str">
            <v>LPA-48</v>
          </cell>
          <cell r="H1215" t="str">
            <v>15065171</v>
          </cell>
          <cell r="I1215" t="str">
            <v>ANNUALLY</v>
          </cell>
          <cell r="J1215">
            <v>46036</v>
          </cell>
          <cell r="K1215"/>
          <cell r="L1215"/>
          <cell r="M1215"/>
          <cell r="N1215" t="str">
            <v>JABATAN PATOLOGI</v>
          </cell>
          <cell r="O1215" t="str">
            <v>PATHOLOGY</v>
          </cell>
        </row>
        <row r="1216">
          <cell r="D1216" t="str">
            <v>KKM/JKN/HSA/10-05-01/H/15/3984</v>
          </cell>
          <cell r="E1216" t="str">
            <v>PLATELET AGITATOR WITH INCUBATOR</v>
          </cell>
          <cell r="F1216" t="str">
            <v>LABTOP</v>
          </cell>
          <cell r="G1216" t="str">
            <v>LPA-48</v>
          </cell>
          <cell r="H1216" t="str">
            <v>15065170</v>
          </cell>
          <cell r="I1216" t="str">
            <v>ANNUALLY</v>
          </cell>
          <cell r="J1216">
            <v>46036</v>
          </cell>
          <cell r="K1216"/>
          <cell r="L1216"/>
          <cell r="M1216"/>
          <cell r="N1216" t="str">
            <v>JABATAN PATOLOGI</v>
          </cell>
          <cell r="O1216" t="str">
            <v>PATHOLOGY</v>
          </cell>
        </row>
        <row r="1217">
          <cell r="D1217" t="str">
            <v>KKM/JKN/HSA/10-05-01/H/15/3985</v>
          </cell>
          <cell r="E1217" t="str">
            <v>BLOOD ROLLER MIXER</v>
          </cell>
          <cell r="F1217" t="str">
            <v>STUART</v>
          </cell>
          <cell r="G1217" t="str">
            <v>SRT9D</v>
          </cell>
          <cell r="H1217" t="str">
            <v>R950000027</v>
          </cell>
          <cell r="I1217" t="str">
            <v>ANNUALLY</v>
          </cell>
          <cell r="J1217">
            <v>45815</v>
          </cell>
          <cell r="K1217"/>
          <cell r="L1217"/>
          <cell r="M1217"/>
          <cell r="N1217" t="str">
            <v>JABATAN PATOLOGI</v>
          </cell>
          <cell r="O1217" t="str">
            <v>PATHOLOGY</v>
          </cell>
        </row>
        <row r="1218">
          <cell r="D1218" t="str">
            <v>KKM/JKN/HSA/10-05-01/H/15/3986</v>
          </cell>
          <cell r="E1218" t="str">
            <v>BLOOD ROLLER MIXER</v>
          </cell>
          <cell r="F1218" t="str">
            <v>STUART</v>
          </cell>
          <cell r="G1218" t="str">
            <v>SRT9D</v>
          </cell>
          <cell r="H1218" t="str">
            <v>R950000048</v>
          </cell>
          <cell r="I1218" t="str">
            <v>ANNUALLY</v>
          </cell>
          <cell r="J1218">
            <v>45815</v>
          </cell>
          <cell r="K1218"/>
          <cell r="L1218"/>
          <cell r="M1218"/>
          <cell r="N1218" t="str">
            <v>JABATAN PATOLOGI</v>
          </cell>
          <cell r="O1218" t="str">
            <v>PATHOLOGY</v>
          </cell>
        </row>
        <row r="1219">
          <cell r="D1219" t="str">
            <v>KKM/JKN/HSA/10-05-01/H/15/3987</v>
          </cell>
          <cell r="E1219" t="str">
            <v>BLOOD ROLLER MIXER</v>
          </cell>
          <cell r="F1219" t="str">
            <v>STUART</v>
          </cell>
          <cell r="G1219" t="str">
            <v>SRT9D</v>
          </cell>
          <cell r="H1219" t="str">
            <v>R950000049</v>
          </cell>
          <cell r="I1219" t="str">
            <v>ANNUALLY</v>
          </cell>
          <cell r="J1219">
            <v>45815</v>
          </cell>
          <cell r="K1219"/>
          <cell r="L1219"/>
          <cell r="M1219"/>
          <cell r="N1219" t="str">
            <v>JABATAN PATOLOGI</v>
          </cell>
          <cell r="O1219" t="str">
            <v>PATHOLOGY</v>
          </cell>
        </row>
        <row r="1220">
          <cell r="D1220" t="str">
            <v>KKM/JKN/HSA/10-05-01/H/15/3988</v>
          </cell>
          <cell r="E1220" t="str">
            <v>BLOOD ROLLER MIXER</v>
          </cell>
          <cell r="F1220" t="str">
            <v>STUART</v>
          </cell>
          <cell r="G1220" t="str">
            <v>SRT9D</v>
          </cell>
          <cell r="H1220" t="str">
            <v>R950000033</v>
          </cell>
          <cell r="I1220" t="str">
            <v>ANNUALLY</v>
          </cell>
          <cell r="J1220">
            <v>45815</v>
          </cell>
          <cell r="K1220"/>
          <cell r="L1220"/>
          <cell r="M1220"/>
          <cell r="N1220" t="str">
            <v>JABATAN PATOLOGI</v>
          </cell>
          <cell r="O1220" t="str">
            <v>PATHOLOGY</v>
          </cell>
        </row>
        <row r="1221">
          <cell r="D1221" t="str">
            <v>KKM/JKN/HSA/10-05-01/H/15/3989</v>
          </cell>
          <cell r="E1221" t="str">
            <v>BLOOD ROLLER MIXER</v>
          </cell>
          <cell r="F1221" t="str">
            <v>STUART</v>
          </cell>
          <cell r="G1221" t="str">
            <v>SRT9D</v>
          </cell>
          <cell r="H1221" t="str">
            <v>R950000040</v>
          </cell>
          <cell r="I1221" t="str">
            <v>ANNUALLY</v>
          </cell>
          <cell r="J1221">
            <v>45815</v>
          </cell>
          <cell r="K1221"/>
          <cell r="L1221"/>
          <cell r="M1221"/>
          <cell r="N1221" t="str">
            <v>JABATAN PATOLOGI</v>
          </cell>
          <cell r="O1221" t="str">
            <v>PATHOLOGY</v>
          </cell>
        </row>
        <row r="1222">
          <cell r="D1222" t="str">
            <v>KKM/JKN/HSA/10-05-01/H/15/3990</v>
          </cell>
          <cell r="E1222" t="str">
            <v>HEMATOLOGY ANALYSER</v>
          </cell>
          <cell r="F1222" t="str">
            <v>SYSMEX</v>
          </cell>
          <cell r="G1222" t="str">
            <v>XN1000</v>
          </cell>
          <cell r="H1222">
            <v>13769</v>
          </cell>
          <cell r="I1222" t="str">
            <v>SEMI ANNUALLY</v>
          </cell>
          <cell r="J1222">
            <v>45798</v>
          </cell>
          <cell r="K1222">
            <v>45981</v>
          </cell>
          <cell r="L1222"/>
          <cell r="M1222"/>
          <cell r="N1222" t="str">
            <v>JABATAN PATOLOGI</v>
          </cell>
          <cell r="O1222" t="str">
            <v>PATHOLOGY</v>
          </cell>
        </row>
        <row r="1223">
          <cell r="D1223" t="str">
            <v>KKM/JKN/HSA/10-05-01/H/15/3992</v>
          </cell>
          <cell r="E1223" t="str">
            <v>MICROCENTRIFUGE</v>
          </cell>
          <cell r="F1223" t="str">
            <v>HETTICH GMBH &amp; CO</v>
          </cell>
          <cell r="G1223" t="str">
            <v>MIKRO 120 (CN:1204)</v>
          </cell>
          <cell r="H1223" t="str">
            <v>0006055-07</v>
          </cell>
          <cell r="I1223" t="str">
            <v>ANNUALLY</v>
          </cell>
          <cell r="J1223">
            <v>45783</v>
          </cell>
          <cell r="K1223"/>
          <cell r="L1223"/>
          <cell r="M1223"/>
          <cell r="N1223" t="str">
            <v>JABATAN PATOLOGI</v>
          </cell>
          <cell r="O1223" t="str">
            <v>PATHOLOGY</v>
          </cell>
        </row>
        <row r="1224">
          <cell r="D1224" t="str">
            <v>KKM/JKN/HSA/10-05-01/H/15/3993</v>
          </cell>
          <cell r="E1224" t="str">
            <v>MICROCENTRIFUGE</v>
          </cell>
          <cell r="F1224" t="str">
            <v>HETTICH GMBH &amp; CO</v>
          </cell>
          <cell r="G1224" t="str">
            <v>MIKRO 120 (CN:1204)</v>
          </cell>
          <cell r="H1224" t="str">
            <v>0006168-07</v>
          </cell>
          <cell r="I1224" t="str">
            <v>ANNUALLY</v>
          </cell>
          <cell r="J1224">
            <v>45783</v>
          </cell>
          <cell r="K1224"/>
          <cell r="L1224"/>
          <cell r="M1224"/>
          <cell r="N1224" t="str">
            <v>JABATAN PATOLOGI</v>
          </cell>
          <cell r="O1224" t="str">
            <v>PATHOLOGY</v>
          </cell>
        </row>
        <row r="1225">
          <cell r="D1225" t="str">
            <v>KKM/JKN/HSA/10-05-01/H/15/3994</v>
          </cell>
          <cell r="E1225" t="str">
            <v>MICROCENTRIFUGE</v>
          </cell>
          <cell r="F1225" t="str">
            <v>HETTICH GMBH &amp; CO</v>
          </cell>
          <cell r="G1225" t="str">
            <v>MIKRO 120 (CN:1204)</v>
          </cell>
          <cell r="H1225" t="str">
            <v>0006043-07</v>
          </cell>
          <cell r="I1225" t="str">
            <v>ANNUALLY</v>
          </cell>
          <cell r="J1225">
            <v>45783</v>
          </cell>
          <cell r="K1225"/>
          <cell r="L1225"/>
          <cell r="M1225"/>
          <cell r="N1225" t="str">
            <v>JABATAN PATOLOGI</v>
          </cell>
          <cell r="O1225" t="str">
            <v>PATHOLOGY</v>
          </cell>
        </row>
        <row r="1226">
          <cell r="D1226" t="str">
            <v>KKM/JKN/HSA/10-05-01/H/15/3995</v>
          </cell>
          <cell r="E1226" t="str">
            <v>MICROCENTRIFUGE</v>
          </cell>
          <cell r="F1226" t="str">
            <v>HETTICH GMBH &amp; CO</v>
          </cell>
          <cell r="G1226" t="str">
            <v>MIKRO 120 (CN:1204)</v>
          </cell>
          <cell r="H1226" t="str">
            <v>0006150-07</v>
          </cell>
          <cell r="I1226" t="str">
            <v>ANNUALLY</v>
          </cell>
          <cell r="J1226">
            <v>45783</v>
          </cell>
          <cell r="K1226"/>
          <cell r="L1226"/>
          <cell r="M1226"/>
          <cell r="N1226" t="str">
            <v>JABATAN PATOLOGI</v>
          </cell>
          <cell r="O1226" t="str">
            <v>PATHOLOGY</v>
          </cell>
        </row>
        <row r="1227">
          <cell r="D1227" t="str">
            <v>KKM/JKN/HSA/10-05-01/H/15/3996</v>
          </cell>
          <cell r="E1227" t="str">
            <v>MICROCENTRIFUGE</v>
          </cell>
          <cell r="F1227" t="str">
            <v>HETTICH GMBH &amp; CO</v>
          </cell>
          <cell r="G1227" t="str">
            <v>MIKRO 120 (CN:1204)</v>
          </cell>
          <cell r="H1227" t="str">
            <v>0006161-07</v>
          </cell>
          <cell r="I1227" t="str">
            <v>ANNUALLY</v>
          </cell>
          <cell r="J1227">
            <v>45783</v>
          </cell>
          <cell r="K1227"/>
          <cell r="L1227"/>
          <cell r="M1227"/>
          <cell r="N1227" t="str">
            <v>JABATAN PATOLOGI</v>
          </cell>
          <cell r="O1227" t="str">
            <v>PATHOLOGY</v>
          </cell>
        </row>
        <row r="1228">
          <cell r="D1228" t="str">
            <v>KKM/JKN/HSA/10-05-01/H/15/3999</v>
          </cell>
          <cell r="E1228" t="str">
            <v>OSMOMETERS</v>
          </cell>
          <cell r="F1228" t="str">
            <v>GONOTEC</v>
          </cell>
          <cell r="G1228" t="str">
            <v>OSMOMAT 030</v>
          </cell>
          <cell r="H1228">
            <v>131003</v>
          </cell>
          <cell r="I1228" t="str">
            <v>ANNUALLY</v>
          </cell>
          <cell r="J1228">
            <v>45745</v>
          </cell>
          <cell r="K1228"/>
          <cell r="L1228"/>
          <cell r="M1228"/>
          <cell r="N1228" t="str">
            <v>JABATAN PATOLOGI</v>
          </cell>
          <cell r="O1228" t="str">
            <v>PATHOLOGY</v>
          </cell>
        </row>
        <row r="1229">
          <cell r="D1229" t="str">
            <v>KKM/JKN/HSA/10-05-01/H/15/4002</v>
          </cell>
          <cell r="E1229" t="str">
            <v>WATER BATH</v>
          </cell>
          <cell r="F1229" t="str">
            <v>JULABO</v>
          </cell>
          <cell r="G1229" t="str">
            <v>EH (V.2)</v>
          </cell>
          <cell r="H1229" t="str">
            <v>00414277</v>
          </cell>
          <cell r="I1229" t="str">
            <v>ANNUALLY</v>
          </cell>
          <cell r="J1229">
            <v>45764</v>
          </cell>
          <cell r="K1229"/>
          <cell r="L1229"/>
          <cell r="M1229"/>
          <cell r="N1229" t="str">
            <v>JABATAN PATOLOGI</v>
          </cell>
          <cell r="O1229" t="str">
            <v>PATHOLOGY</v>
          </cell>
        </row>
        <row r="1230">
          <cell r="D1230" t="str">
            <v>KKM/JKN/HSA/10-05-01/H/15/4004</v>
          </cell>
          <cell r="E1230" t="str">
            <v>WATER BATH</v>
          </cell>
          <cell r="F1230" t="str">
            <v>JULABO</v>
          </cell>
          <cell r="G1230" t="str">
            <v>EH-19</v>
          </cell>
          <cell r="H1230" t="str">
            <v>000415788 / 10269180</v>
          </cell>
          <cell r="I1230" t="str">
            <v>ANNUALLY</v>
          </cell>
          <cell r="J1230">
            <v>45825</v>
          </cell>
          <cell r="K1230"/>
          <cell r="L1230"/>
          <cell r="M1230"/>
          <cell r="N1230" t="str">
            <v>JABATAN PATOLOGI</v>
          </cell>
          <cell r="O1230" t="str">
            <v>PATHOLOGY</v>
          </cell>
        </row>
        <row r="1231">
          <cell r="D1231" t="str">
            <v>KKM/JKN/HSA/10-05-01/H/15/4005</v>
          </cell>
          <cell r="E1231" t="str">
            <v>PARRAFIN SECTION MOUNTING BATH</v>
          </cell>
          <cell r="F1231" t="str">
            <v>LEICA</v>
          </cell>
          <cell r="G1231" t="str">
            <v>HI1210</v>
          </cell>
          <cell r="H1231" t="str">
            <v>12471/01/15</v>
          </cell>
          <cell r="I1231" t="str">
            <v>ANNUALLY</v>
          </cell>
          <cell r="J1231">
            <v>45724</v>
          </cell>
          <cell r="K1231"/>
          <cell r="L1231"/>
          <cell r="M1231"/>
          <cell r="N1231" t="str">
            <v>JABATAN PATOLOGI</v>
          </cell>
          <cell r="O1231" t="str">
            <v>PATHOLOGY</v>
          </cell>
        </row>
        <row r="1232">
          <cell r="D1232" t="str">
            <v>KKM/JKN/HSA/10-05-01/H/15/4007</v>
          </cell>
          <cell r="E1232" t="str">
            <v>PLASMA THAWER</v>
          </cell>
          <cell r="F1232" t="str">
            <v>TERUMO CORPORATION</v>
          </cell>
          <cell r="G1232" t="str">
            <v>PB 100</v>
          </cell>
          <cell r="H1232" t="str">
            <v>131358</v>
          </cell>
          <cell r="I1232" t="str">
            <v>ANNUALLY</v>
          </cell>
          <cell r="J1232">
            <v>45727</v>
          </cell>
          <cell r="K1232"/>
          <cell r="L1232"/>
          <cell r="M1232"/>
          <cell r="N1232" t="str">
            <v>JABATAN PATOLOGI</v>
          </cell>
          <cell r="O1232" t="str">
            <v>PATHOLOGY</v>
          </cell>
        </row>
        <row r="1233">
          <cell r="D1233" t="str">
            <v>KKM/JKN/HSA/10-05-01/H/15/4013</v>
          </cell>
          <cell r="E1233" t="str">
            <v>LAB CENTRIFUGE</v>
          </cell>
          <cell r="F1233" t="str">
            <v>HETTICH GMBH &amp; CO</v>
          </cell>
          <cell r="G1233" t="str">
            <v>ROTOFIX 32A (CN: 1206)</v>
          </cell>
          <cell r="H1233" t="str">
            <v>0022462-03</v>
          </cell>
          <cell r="I1233" t="str">
            <v>ANNUALLY</v>
          </cell>
          <cell r="J1233">
            <v>45789</v>
          </cell>
          <cell r="K1233"/>
          <cell r="L1233"/>
          <cell r="M1233"/>
          <cell r="N1233" t="str">
            <v>JABATAN PATOLOGI</v>
          </cell>
          <cell r="O1233" t="str">
            <v>PATHOLOGY</v>
          </cell>
        </row>
        <row r="1234">
          <cell r="D1234" t="str">
            <v>KKM/JKN/HSA/10-05-01/H/15/4014</v>
          </cell>
          <cell r="E1234" t="str">
            <v>CELL WASH CENTRIFUGE (SEROFUGE)</v>
          </cell>
          <cell r="F1234" t="str">
            <v>DIAMED (BIO-RAD)</v>
          </cell>
          <cell r="G1234" t="str">
            <v>DIACENT-12</v>
          </cell>
          <cell r="H1234" t="str">
            <v>2001634</v>
          </cell>
          <cell r="I1234" t="str">
            <v>ANNUALLY</v>
          </cell>
          <cell r="J1234">
            <v>45746</v>
          </cell>
          <cell r="K1234"/>
          <cell r="L1234"/>
          <cell r="M1234"/>
          <cell r="N1234" t="str">
            <v>JABATAN PATOLOGI</v>
          </cell>
          <cell r="O1234" t="str">
            <v>PATHOLOGY</v>
          </cell>
        </row>
        <row r="1235">
          <cell r="D1235" t="str">
            <v>KKM/JKN/HSA/10-05-01/H/15/4015</v>
          </cell>
          <cell r="E1235" t="str">
            <v>CELL WASH CENTRIFUGE (SEROFUGE)</v>
          </cell>
          <cell r="F1235" t="str">
            <v>DIAMED (BIO-RAD)</v>
          </cell>
          <cell r="G1235" t="str">
            <v>DIACENT-12</v>
          </cell>
          <cell r="H1235" t="str">
            <v>2001635</v>
          </cell>
          <cell r="I1235" t="str">
            <v>ANNUALLY</v>
          </cell>
          <cell r="J1235">
            <v>45746</v>
          </cell>
          <cell r="K1235"/>
          <cell r="L1235"/>
          <cell r="M1235"/>
          <cell r="N1235" t="str">
            <v>JABATAN PATOLOGI</v>
          </cell>
          <cell r="O1235" t="str">
            <v>PATHOLOGY</v>
          </cell>
        </row>
        <row r="1236">
          <cell r="D1236" t="str">
            <v>KKM/JKN/HSA/10-05-01/H/15/4016</v>
          </cell>
          <cell r="E1236" t="str">
            <v>SEDIMENTATION RATE ANALYZER(ESR)</v>
          </cell>
          <cell r="F1236" t="str">
            <v>DALLAB</v>
          </cell>
          <cell r="G1236" t="str">
            <v>MIXSED-LITE 10</v>
          </cell>
          <cell r="H1236" t="str">
            <v>MS2031449000130</v>
          </cell>
          <cell r="I1236" t="str">
            <v>ANNUALLY</v>
          </cell>
          <cell r="J1236">
            <v>45931</v>
          </cell>
          <cell r="K1236"/>
          <cell r="L1236"/>
          <cell r="M1236"/>
          <cell r="N1236" t="str">
            <v>JABATAN PATOLOGI</v>
          </cell>
          <cell r="O1236" t="str">
            <v>PATHOLOGY</v>
          </cell>
        </row>
        <row r="1237">
          <cell r="D1237" t="str">
            <v>KKM/JKN/HSA/10-05-01/H/15/4017</v>
          </cell>
          <cell r="E1237" t="str">
            <v>SEDIMENTATION RATE ANALYZER(ESR)</v>
          </cell>
          <cell r="F1237" t="str">
            <v>DALLAB</v>
          </cell>
          <cell r="G1237" t="str">
            <v>MIXSED-LITE 10</v>
          </cell>
          <cell r="H1237" t="str">
            <v>MS2031518000137</v>
          </cell>
          <cell r="I1237" t="str">
            <v>ANNUALLY</v>
          </cell>
          <cell r="J1237">
            <v>45931</v>
          </cell>
          <cell r="K1237"/>
          <cell r="L1237"/>
          <cell r="M1237"/>
          <cell r="N1237" t="str">
            <v>JABATAN PATOLOGI</v>
          </cell>
          <cell r="O1237" t="str">
            <v>PATHOLOGY</v>
          </cell>
        </row>
        <row r="1238">
          <cell r="D1238" t="str">
            <v>KKM/JKN/HSA/10-05-01/H/15/4018</v>
          </cell>
          <cell r="E1238" t="str">
            <v>HEMOGLOBIN SYSTEM FOR HBA1C</v>
          </cell>
          <cell r="F1238" t="str">
            <v>BIORAD LAB</v>
          </cell>
          <cell r="G1238" t="str">
            <v>D10 HEMOGLOBIN TESTING SYSTEM</v>
          </cell>
          <cell r="H1238" t="str">
            <v>DC3F806314</v>
          </cell>
          <cell r="I1238" t="str">
            <v>SEMI ANNUALLY</v>
          </cell>
          <cell r="J1238">
            <v>45770</v>
          </cell>
          <cell r="K1238">
            <v>45952</v>
          </cell>
          <cell r="L1238"/>
          <cell r="M1238"/>
          <cell r="N1238" t="str">
            <v>JABATAN PATOLOGI</v>
          </cell>
          <cell r="O1238" t="str">
            <v>PATHOLOGY</v>
          </cell>
        </row>
        <row r="1239">
          <cell r="D1239" t="str">
            <v>KKM/JKN/HSA/10-05-01/H/15/4019</v>
          </cell>
          <cell r="E1239" t="str">
            <v>ACCUBLOCK DIGITAL DRY BATH INCUBATOR</v>
          </cell>
          <cell r="F1239" t="str">
            <v>STUART</v>
          </cell>
          <cell r="G1239" t="str">
            <v>SBH200D</v>
          </cell>
          <cell r="H1239" t="str">
            <v>R000101401</v>
          </cell>
          <cell r="I1239" t="str">
            <v>ANNUALLY</v>
          </cell>
          <cell r="J1239">
            <v>46022</v>
          </cell>
          <cell r="K1239"/>
          <cell r="L1239"/>
          <cell r="M1239"/>
          <cell r="N1239" t="str">
            <v>JABATAN PATOLOGI</v>
          </cell>
          <cell r="O1239" t="str">
            <v>PATHOLOGY</v>
          </cell>
        </row>
        <row r="1240">
          <cell r="D1240" t="str">
            <v>KKM/JKN/HSA/10-05-01/H/16/12</v>
          </cell>
          <cell r="E1240" t="str">
            <v>GEL CARD INCUBATOR/ID INCUBATOR 37 SI</v>
          </cell>
          <cell r="F1240" t="str">
            <v>BIO-RAD</v>
          </cell>
          <cell r="G1240" t="str">
            <v>ID-INCUBATOR 37SI</v>
          </cell>
          <cell r="H1240" t="str">
            <v>N/A</v>
          </cell>
          <cell r="I1240" t="str">
            <v>ANNUALLY</v>
          </cell>
          <cell r="J1240">
            <v>45938</v>
          </cell>
          <cell r="K1240"/>
          <cell r="L1240"/>
          <cell r="M1240"/>
          <cell r="N1240" t="str">
            <v>JABATAN PATOLOGI</v>
          </cell>
          <cell r="O1240" t="str">
            <v>PATHOLOGY</v>
          </cell>
        </row>
        <row r="1241">
          <cell r="D1241" t="str">
            <v>KKM/JKN/HSA/10-05-01/H/16/3</v>
          </cell>
          <cell r="E1241" t="str">
            <v>MAGNETIC STIRRER WITH HEATING</v>
          </cell>
          <cell r="F1241" t="str">
            <v>IKA</v>
          </cell>
          <cell r="G1241" t="str">
            <v>C-MAG HS7</v>
          </cell>
          <cell r="H1241" t="str">
            <v>08.069990</v>
          </cell>
          <cell r="I1241" t="str">
            <v>ANNUALLY</v>
          </cell>
          <cell r="J1241">
            <v>45915</v>
          </cell>
          <cell r="K1241"/>
          <cell r="L1241"/>
          <cell r="M1241"/>
          <cell r="N1241" t="str">
            <v>JABATAN PATOLOGI</v>
          </cell>
          <cell r="O1241" t="str">
            <v>PATHOLOGY</v>
          </cell>
        </row>
        <row r="1242">
          <cell r="D1242" t="str">
            <v>KKM/JKN/HSA/10-05-01/H/16/4</v>
          </cell>
          <cell r="E1242" t="str">
            <v>MAGNETIC STIRRER WITH HEATING</v>
          </cell>
          <cell r="F1242" t="str">
            <v>IKA</v>
          </cell>
          <cell r="G1242" t="str">
            <v>C-MAG HS7</v>
          </cell>
          <cell r="H1242" t="str">
            <v>08.070001</v>
          </cell>
          <cell r="I1242" t="str">
            <v>ANNUALLY</v>
          </cell>
          <cell r="J1242">
            <v>45915</v>
          </cell>
          <cell r="K1242"/>
          <cell r="L1242"/>
          <cell r="M1242"/>
          <cell r="N1242" t="str">
            <v>JABATAN PATOLOGI</v>
          </cell>
          <cell r="O1242" t="str">
            <v>PATHOLOGY</v>
          </cell>
        </row>
        <row r="1243">
          <cell r="D1243" t="str">
            <v>KKM/JKN/HSA/10-05-01/H/16/5</v>
          </cell>
          <cell r="E1243" t="str">
            <v>MAGNETIC STIRRER WITH HEATING</v>
          </cell>
          <cell r="F1243" t="str">
            <v>IKA</v>
          </cell>
          <cell r="G1243" t="str">
            <v>C-MAG HS7</v>
          </cell>
          <cell r="H1243" t="str">
            <v>08.069985</v>
          </cell>
          <cell r="I1243" t="str">
            <v>ANNUALLY</v>
          </cell>
          <cell r="J1243">
            <v>45915</v>
          </cell>
          <cell r="K1243"/>
          <cell r="L1243"/>
          <cell r="M1243"/>
          <cell r="N1243" t="str">
            <v>JABATAN PATOLOGI</v>
          </cell>
          <cell r="O1243" t="str">
            <v>PATHOLOGY</v>
          </cell>
        </row>
        <row r="1244">
          <cell r="D1244" t="str">
            <v>KKM/JKN/HSA/10-05-01/H/16/51</v>
          </cell>
          <cell r="E1244" t="str">
            <v>TISSUE PROCESSOR</v>
          </cell>
          <cell r="F1244" t="str">
            <v>LEICA</v>
          </cell>
          <cell r="G1244" t="str">
            <v>ASP300S</v>
          </cell>
          <cell r="H1244" t="str">
            <v>FP0073</v>
          </cell>
          <cell r="I1244" t="str">
            <v>ANNUALLY</v>
          </cell>
          <cell r="J1244">
            <v>45749</v>
          </cell>
          <cell r="K1244"/>
          <cell r="L1244"/>
          <cell r="M1244"/>
          <cell r="N1244" t="str">
            <v>JABATAN PATOLOGI</v>
          </cell>
          <cell r="O1244" t="str">
            <v>PATHOLOGY</v>
          </cell>
        </row>
        <row r="1245">
          <cell r="D1245" t="str">
            <v>KKM/JKN/HSA/10-05-01/H/16/6</v>
          </cell>
          <cell r="E1245" t="str">
            <v>ROTATOR</v>
          </cell>
          <cell r="F1245" t="str">
            <v>LW SCIENTIFIC</v>
          </cell>
          <cell r="G1245" t="str">
            <v>DSR 2100D</v>
          </cell>
          <cell r="H1245" t="str">
            <v>1109278</v>
          </cell>
          <cell r="I1245" t="str">
            <v>ANNUALLY</v>
          </cell>
          <cell r="J1245">
            <v>45881</v>
          </cell>
          <cell r="K1245"/>
          <cell r="L1245"/>
          <cell r="M1245"/>
          <cell r="N1245" t="str">
            <v>JABATAN PATOLOGI</v>
          </cell>
          <cell r="O1245" t="str">
            <v>PATHOLOGY</v>
          </cell>
        </row>
        <row r="1246">
          <cell r="D1246" t="str">
            <v>KKM/JKN/HSA/10-05-01/H/16/7</v>
          </cell>
          <cell r="E1246" t="str">
            <v>ROTATOR</v>
          </cell>
          <cell r="F1246" t="str">
            <v>LW SCIENTIFIC</v>
          </cell>
          <cell r="G1246" t="str">
            <v>DSR 2100D</v>
          </cell>
          <cell r="H1246" t="str">
            <v>1109292</v>
          </cell>
          <cell r="I1246" t="str">
            <v>ANNUALLY</v>
          </cell>
          <cell r="J1246">
            <v>45881</v>
          </cell>
          <cell r="K1246"/>
          <cell r="L1246"/>
          <cell r="M1246"/>
          <cell r="N1246" t="str">
            <v>JABATAN PATOLOGI</v>
          </cell>
          <cell r="O1246" t="str">
            <v>PATHOLOGY</v>
          </cell>
        </row>
        <row r="1247">
          <cell r="D1247" t="str">
            <v>KKM/JKN/HSA/10-05-01/H/16/92</v>
          </cell>
          <cell r="E1247" t="str">
            <v>MICROSCOPE</v>
          </cell>
          <cell r="F1247" t="str">
            <v>CARL ZEISS</v>
          </cell>
          <cell r="G1247" t="str">
            <v>PRIMO STAR</v>
          </cell>
          <cell r="H1247" t="str">
            <v>3134006358</v>
          </cell>
          <cell r="I1247" t="str">
            <v>ANNUALLY</v>
          </cell>
          <cell r="J1247">
            <v>45926</v>
          </cell>
          <cell r="K1247"/>
          <cell r="L1247"/>
          <cell r="M1247"/>
          <cell r="N1247" t="str">
            <v>JABATAN PATOLOGI</v>
          </cell>
          <cell r="O1247" t="str">
            <v>PATHOLOGY</v>
          </cell>
        </row>
        <row r="1248">
          <cell r="D1248" t="str">
            <v>KKM/JKN/HSA/10-05-01/R/15/15032</v>
          </cell>
          <cell r="E1248" t="str">
            <v>VORTEX MIXER</v>
          </cell>
          <cell r="F1248" t="str">
            <v xml:space="preserve">IKA </v>
          </cell>
          <cell r="G1248" t="str">
            <v>VORTEX GENIUS 3</v>
          </cell>
          <cell r="H1248" t="str">
            <v>08.070926</v>
          </cell>
          <cell r="I1248" t="str">
            <v>ANNUALLY</v>
          </cell>
          <cell r="J1248">
            <v>45728</v>
          </cell>
          <cell r="K1248"/>
          <cell r="L1248"/>
          <cell r="M1248"/>
          <cell r="N1248" t="str">
            <v>JABATAN PATOLOGI</v>
          </cell>
          <cell r="O1248" t="str">
            <v>PATHOLOGY</v>
          </cell>
        </row>
        <row r="1249">
          <cell r="D1249" t="str">
            <v>KKM/JKN/HSA/10-05-01/R/15/15033</v>
          </cell>
          <cell r="E1249" t="str">
            <v>VORTEX MIXER</v>
          </cell>
          <cell r="F1249" t="str">
            <v xml:space="preserve">IKA </v>
          </cell>
          <cell r="G1249" t="str">
            <v>VORTEX GENIUS 3</v>
          </cell>
          <cell r="H1249" t="str">
            <v>08.071654</v>
          </cell>
          <cell r="I1249" t="str">
            <v>ANNUALLY</v>
          </cell>
          <cell r="J1249">
            <v>45728</v>
          </cell>
          <cell r="K1249"/>
          <cell r="L1249"/>
          <cell r="M1249"/>
          <cell r="N1249" t="str">
            <v>JABATAN PATOLOGI</v>
          </cell>
          <cell r="O1249" t="str">
            <v>PATHOLOGY</v>
          </cell>
        </row>
        <row r="1250">
          <cell r="D1250" t="str">
            <v>KKM/JKN/HSA/10-05-01/R/15/15034</v>
          </cell>
          <cell r="E1250" t="str">
            <v>VORTEX MIXER</v>
          </cell>
          <cell r="F1250" t="str">
            <v xml:space="preserve">IKA </v>
          </cell>
          <cell r="G1250" t="str">
            <v>VG35002</v>
          </cell>
          <cell r="H1250" t="str">
            <v>08070923</v>
          </cell>
          <cell r="I1250" t="str">
            <v>ANNUALLY</v>
          </cell>
          <cell r="J1250">
            <v>45728</v>
          </cell>
          <cell r="K1250"/>
          <cell r="L1250"/>
          <cell r="M1250"/>
          <cell r="N1250" t="str">
            <v>JABATAN PATOLOGI</v>
          </cell>
          <cell r="O1250" t="str">
            <v>PATHOLOGY</v>
          </cell>
        </row>
        <row r="1251">
          <cell r="D1251" t="str">
            <v>KKM/JKN/HSA/10-05-01/R/15/15051</v>
          </cell>
          <cell r="E1251" t="str">
            <v>UV BOX</v>
          </cell>
          <cell r="F1251" t="str">
            <v>UPLAND, CA, USA</v>
          </cell>
          <cell r="G1251" t="str">
            <v>C-10</v>
          </cell>
          <cell r="H1251" t="str">
            <v>K129104</v>
          </cell>
          <cell r="I1251" t="str">
            <v>ANNUALLY</v>
          </cell>
          <cell r="J1251">
            <v>45712</v>
          </cell>
          <cell r="K1251"/>
          <cell r="L1251"/>
          <cell r="M1251"/>
          <cell r="N1251" t="str">
            <v>JABATAN PATOLOGI</v>
          </cell>
          <cell r="O1251" t="str">
            <v>PATHOLOGY</v>
          </cell>
        </row>
        <row r="1252">
          <cell r="D1252" t="str">
            <v>KKM/JKN/HSA/10-05-01/R/15/15056</v>
          </cell>
          <cell r="E1252" t="str">
            <v>BALANCES ELECTRONICS</v>
          </cell>
          <cell r="F1252" t="str">
            <v>SHIMADZU CORPORATION</v>
          </cell>
          <cell r="G1252" t="str">
            <v>TXB622L</v>
          </cell>
          <cell r="H1252" t="str">
            <v>D517702678</v>
          </cell>
          <cell r="I1252" t="str">
            <v>ANNUALLY</v>
          </cell>
          <cell r="J1252">
            <v>45700</v>
          </cell>
          <cell r="K1252"/>
          <cell r="L1252"/>
          <cell r="M1252"/>
          <cell r="N1252" t="str">
            <v>JABATAN PATOLOGI</v>
          </cell>
          <cell r="O1252" t="str">
            <v>PATHOLOGY</v>
          </cell>
        </row>
        <row r="1253">
          <cell r="D1253" t="str">
            <v>KKM/JKN/HSA/10-05-01/R/15/15057</v>
          </cell>
          <cell r="E1253" t="str">
            <v>BALANCES ELECTRONICS</v>
          </cell>
          <cell r="F1253" t="str">
            <v>SHIMADZU CORPORATION</v>
          </cell>
          <cell r="G1253" t="str">
            <v>TX323L</v>
          </cell>
          <cell r="H1253" t="str">
            <v>D465430126</v>
          </cell>
          <cell r="I1253" t="str">
            <v>ANNUALLY</v>
          </cell>
          <cell r="J1253">
            <v>45700</v>
          </cell>
          <cell r="K1253"/>
          <cell r="L1253"/>
          <cell r="M1253"/>
          <cell r="N1253" t="str">
            <v>JABATAN PATOLOGI</v>
          </cell>
          <cell r="O1253" t="str">
            <v>PATHOLOGY</v>
          </cell>
        </row>
        <row r="1254">
          <cell r="D1254" t="str">
            <v>KKM/JKN/HSA/10-05-01/H/21/326</v>
          </cell>
          <cell r="E1254" t="str">
            <v>GENEXPERT</v>
          </cell>
          <cell r="F1254" t="str">
            <v>GENEXPERT</v>
          </cell>
          <cell r="G1254" t="str">
            <v>GENEXPERT IV / CED.CGXIV-4-D</v>
          </cell>
          <cell r="H1254" t="str">
            <v>110008488</v>
          </cell>
          <cell r="I1254" t="str">
            <v>ANNUALLY</v>
          </cell>
          <cell r="J1254">
            <v>45968</v>
          </cell>
          <cell r="K1254"/>
          <cell r="L1254"/>
          <cell r="M1254"/>
          <cell r="N1254" t="str">
            <v>JABATAN PATOLOGI</v>
          </cell>
          <cell r="O1254" t="str">
            <v>PATHOLOGY</v>
          </cell>
        </row>
        <row r="1255">
          <cell r="D1255" t="str">
            <v>KKM/JKN/HSA/10-05-01/H/15/2834</v>
          </cell>
          <cell r="E1255" t="str">
            <v>MICROSCOPE BINO 4X/10X/40X/100X LENS W FITTING FOR VIDEO CAMERA</v>
          </cell>
          <cell r="F1255" t="str">
            <v>LEICA</v>
          </cell>
          <cell r="G1255" t="str">
            <v>DM 750</v>
          </cell>
          <cell r="H1255" t="str">
            <v>8340124375VR0014/04/13</v>
          </cell>
          <cell r="I1255" t="str">
            <v>ANNUALLY</v>
          </cell>
          <cell r="J1255">
            <v>45817</v>
          </cell>
          <cell r="K1255"/>
          <cell r="L1255"/>
          <cell r="M1255"/>
          <cell r="N1255" t="str">
            <v>JABATAN FORENSIK</v>
          </cell>
          <cell r="O1255" t="str">
            <v>Perubatan Forensik (MORTUARY)</v>
          </cell>
        </row>
        <row r="1256">
          <cell r="D1256" t="str">
            <v>KKM/JKN/HSA/10-05-01/H/15/5106</v>
          </cell>
          <cell r="E1256" t="str">
            <v>VIDEO CAMERA SYSTEM FOR MICROSCOPE</v>
          </cell>
          <cell r="F1256" t="str">
            <v>LEICA</v>
          </cell>
          <cell r="G1256" t="str">
            <v>ICC50HD</v>
          </cell>
          <cell r="H1256" t="str">
            <v xml:space="preserve"> N/A</v>
          </cell>
          <cell r="I1256" t="str">
            <v>ANNUALLY</v>
          </cell>
          <cell r="J1256">
            <v>45823</v>
          </cell>
          <cell r="K1256"/>
          <cell r="L1256"/>
          <cell r="M1256"/>
          <cell r="N1256" t="str">
            <v>JABATAN FORENSIK</v>
          </cell>
          <cell r="O1256" t="str">
            <v>Perubatan Forensik (MORTUARY)</v>
          </cell>
        </row>
        <row r="1257">
          <cell r="D1257" t="str">
            <v>KKM/JKN/HSA/10-05-01/H/15/2835</v>
          </cell>
          <cell r="E1257" t="str">
            <v>MICROSCOPE</v>
          </cell>
          <cell r="F1257" t="str">
            <v>LEICA BIOSYSTEM INC</v>
          </cell>
          <cell r="G1257" t="str">
            <v>DM 750</v>
          </cell>
          <cell r="H1257" t="str">
            <v>8340124375VR0016/04/13</v>
          </cell>
          <cell r="I1257" t="str">
            <v>ANNUALLY</v>
          </cell>
          <cell r="J1257">
            <v>45818</v>
          </cell>
          <cell r="K1257"/>
          <cell r="L1257"/>
          <cell r="M1257"/>
          <cell r="N1257" t="str">
            <v>JABATAN FORENSIK</v>
          </cell>
          <cell r="O1257" t="str">
            <v>Perubatan Forensik (MORTUARY)</v>
          </cell>
        </row>
        <row r="1258">
          <cell r="D1258" t="str">
            <v>KKM/JKN/HSA/10-05-01/H/15/2842</v>
          </cell>
          <cell r="E1258" t="str">
            <v>BALANCES ELECTRONICS</v>
          </cell>
          <cell r="F1258" t="str">
            <v>SHIMADZU CORPORATION</v>
          </cell>
          <cell r="G1258" t="str">
            <v>ATY224</v>
          </cell>
          <cell r="H1258" t="str">
            <v>F1191</v>
          </cell>
          <cell r="I1258" t="str">
            <v>ANNUALLY</v>
          </cell>
          <cell r="J1258">
            <v>45733</v>
          </cell>
          <cell r="K1258"/>
          <cell r="L1258"/>
          <cell r="M1258"/>
          <cell r="N1258" t="str">
            <v>JABATAN FORENSIK</v>
          </cell>
          <cell r="O1258" t="str">
            <v>Perubatan Forensik (MORTUARY)</v>
          </cell>
        </row>
        <row r="1259">
          <cell r="D1259" t="str">
            <v>KKM/JKN/HSA/10-05-01/H/15/3093</v>
          </cell>
          <cell r="E1259" t="str">
            <v>BALANCES ELECTRONICS</v>
          </cell>
          <cell r="F1259" t="str">
            <v>SHIMADZU CORPORATION</v>
          </cell>
          <cell r="G1259" t="str">
            <v>UX6200H</v>
          </cell>
          <cell r="H1259" t="str">
            <v>D446840412</v>
          </cell>
          <cell r="I1259" t="str">
            <v>ANNUALLY</v>
          </cell>
          <cell r="J1259">
            <v>45733</v>
          </cell>
          <cell r="K1259"/>
          <cell r="L1259"/>
          <cell r="M1259"/>
          <cell r="N1259" t="str">
            <v>JABATAN FORENSIK</v>
          </cell>
          <cell r="O1259" t="str">
            <v>Perubatan Forensik (MORTUARY)</v>
          </cell>
        </row>
        <row r="1260">
          <cell r="D1260" t="str">
            <v>KKM/JKN/HSA/10-05-01/R/15/13485</v>
          </cell>
          <cell r="E1260" t="str">
            <v>BALANCES ELECTRONICS</v>
          </cell>
          <cell r="F1260" t="str">
            <v>SHIMADZU CORPORATION</v>
          </cell>
          <cell r="G1260" t="str">
            <v>TX2202L</v>
          </cell>
          <cell r="H1260" t="str">
            <v>D465530034</v>
          </cell>
          <cell r="I1260" t="str">
            <v>ANNUALLY</v>
          </cell>
          <cell r="J1260">
            <v>45733</v>
          </cell>
          <cell r="K1260"/>
          <cell r="L1260"/>
          <cell r="M1260"/>
          <cell r="N1260" t="str">
            <v>JABATAN FORENSIK</v>
          </cell>
          <cell r="O1260" t="str">
            <v>Perubatan Forensik (MORTUARY)</v>
          </cell>
        </row>
        <row r="1261">
          <cell r="D1261" t="str">
            <v>KKM/JKN/HSA/10-05-01/H/16/31</v>
          </cell>
          <cell r="E1261" t="str">
            <v>BODY COMPOSITION ANALYSER WITH INTEGRAL PRINTER</v>
          </cell>
          <cell r="F1261" t="str">
            <v>TANITA</v>
          </cell>
          <cell r="G1261" t="str">
            <v>SC330</v>
          </cell>
          <cell r="H1261" t="str">
            <v>14100440</v>
          </cell>
          <cell r="I1261" t="str">
            <v>ANNUALLY</v>
          </cell>
          <cell r="J1261">
            <v>45956</v>
          </cell>
          <cell r="K1261"/>
          <cell r="L1261"/>
          <cell r="M1261"/>
          <cell r="N1261" t="str">
            <v>DIETETIK DAN SAJIAN</v>
          </cell>
          <cell r="O1261" t="str">
            <v>Klinik Pakar (Dietetik)</v>
          </cell>
        </row>
        <row r="1262">
          <cell r="D1262" t="str">
            <v>HSAS 10138</v>
          </cell>
          <cell r="E1262" t="str">
            <v>RO Water Storage Tank</v>
          </cell>
          <cell r="F1262" t="str">
            <v>PUREMEDITECH</v>
          </cell>
          <cell r="G1262" t="str">
            <v>ROT 500 L</v>
          </cell>
          <cell r="H1262" t="str">
            <v>ROT/15-01/001</v>
          </cell>
          <cell r="I1262" t="str">
            <v>SEMI ANNUALLY</v>
          </cell>
          <cell r="J1262">
            <v>45773</v>
          </cell>
          <cell r="K1262">
            <v>45955</v>
          </cell>
          <cell r="L1262"/>
          <cell r="M1262"/>
          <cell r="N1262" t="str">
            <v>UNIT HEMODIALISIS</v>
          </cell>
          <cell r="O1262" t="str">
            <v>Unit Hemodialisis (HDU)</v>
          </cell>
        </row>
        <row r="1263">
          <cell r="D1263" t="str">
            <v>HSAS10139</v>
          </cell>
          <cell r="E1263" t="str">
            <v>RO SYSTEM</v>
          </cell>
          <cell r="F1263" t="str">
            <v>PUREMEDITECH</v>
          </cell>
          <cell r="G1263" t="str">
            <v>RO HORO-20 SERIES II</v>
          </cell>
          <cell r="H1263" t="str">
            <v>RO/15-01/002</v>
          </cell>
          <cell r="I1263" t="str">
            <v>SEMI ANNUALLY</v>
          </cell>
          <cell r="J1263">
            <v>45773</v>
          </cell>
          <cell r="K1263">
            <v>45955</v>
          </cell>
          <cell r="L1263"/>
          <cell r="M1263"/>
          <cell r="N1263" t="str">
            <v>UNIT HEMODIALISIS</v>
          </cell>
          <cell r="O1263" t="str">
            <v>Unit Hemodialisis (HDU)</v>
          </cell>
        </row>
        <row r="1264">
          <cell r="D1264" t="str">
            <v>HSAS10137</v>
          </cell>
          <cell r="E1264" t="str">
            <v>RO Raw Water Tank</v>
          </cell>
          <cell r="F1264" t="str">
            <v>PUREMEDITECH</v>
          </cell>
          <cell r="G1264" t="str">
            <v>RB122</v>
          </cell>
          <cell r="H1264">
            <v>29281</v>
          </cell>
          <cell r="I1264" t="str">
            <v>SEMI ANNUALLY</v>
          </cell>
          <cell r="J1264">
            <v>45773</v>
          </cell>
          <cell r="K1264">
            <v>45955</v>
          </cell>
          <cell r="L1264"/>
          <cell r="M1264"/>
          <cell r="N1264" t="str">
            <v>UNIT HEMODIALISIS</v>
          </cell>
          <cell r="O1264" t="str">
            <v>Unit Hemodialisis (HDU)</v>
          </cell>
        </row>
        <row r="1265">
          <cell r="D1265" t="str">
            <v>HSAS10140</v>
          </cell>
          <cell r="E1265" t="str">
            <v>RO SYSTEM</v>
          </cell>
          <cell r="F1265" t="str">
            <v>PUREMEDITECH</v>
          </cell>
          <cell r="G1265" t="str">
            <v>RO HORO-20 SERIES II</v>
          </cell>
          <cell r="H1265" t="str">
            <v>RO/15-01/001</v>
          </cell>
          <cell r="I1265" t="str">
            <v>SEMI ANNUALLY</v>
          </cell>
          <cell r="J1265">
            <v>45773</v>
          </cell>
          <cell r="K1265">
            <v>45955</v>
          </cell>
          <cell r="L1265"/>
          <cell r="M1265"/>
          <cell r="N1265" t="str">
            <v>UNIT HEMODIALISIS</v>
          </cell>
          <cell r="O1265" t="str">
            <v>Unit Hemodialisis (HDU)</v>
          </cell>
        </row>
        <row r="1266">
          <cell r="D1266" t="str">
            <v>KKM/JKN/HSA/10-05-01/H/15/2460</v>
          </cell>
          <cell r="E1266" t="str">
            <v>PORTABLE RO UNIT</v>
          </cell>
          <cell r="F1266" t="str">
            <v>GAMBRO</v>
          </cell>
          <cell r="G1266" t="str">
            <v>WRO 300 H</v>
          </cell>
          <cell r="H1266" t="str">
            <v>SN 10192</v>
          </cell>
          <cell r="I1266" t="str">
            <v>ANNUALLY</v>
          </cell>
          <cell r="J1266">
            <v>45822</v>
          </cell>
          <cell r="K1266"/>
          <cell r="L1266"/>
          <cell r="M1266"/>
          <cell r="N1266" t="str">
            <v>UNIT HEMODIALISIS</v>
          </cell>
          <cell r="O1266" t="str">
            <v>Unit Hemodialisis (HDU)</v>
          </cell>
        </row>
        <row r="1267">
          <cell r="D1267" t="str">
            <v>KKM/JKN/HSA/10-05-01/H/15/2461</v>
          </cell>
          <cell r="E1267" t="str">
            <v>PORTABLE RO UNIT</v>
          </cell>
          <cell r="F1267" t="str">
            <v>GAMBRO</v>
          </cell>
          <cell r="G1267" t="str">
            <v>WRO 300 H</v>
          </cell>
          <cell r="H1267" t="str">
            <v>SN 10043</v>
          </cell>
          <cell r="I1267" t="str">
            <v>ANNUALLY</v>
          </cell>
          <cell r="J1267">
            <v>45822</v>
          </cell>
          <cell r="K1267"/>
          <cell r="L1267"/>
          <cell r="M1267"/>
          <cell r="N1267" t="str">
            <v>UNIT HEMODIALISIS</v>
          </cell>
          <cell r="O1267" t="str">
            <v>Unit Hemodialisis (HDU)</v>
          </cell>
        </row>
        <row r="1268">
          <cell r="D1268" t="str">
            <v>KKM/JKN/HSA/10-05-01/H/15/4262</v>
          </cell>
          <cell r="E1268" t="str">
            <v>WARMER BLOOD DRY HEAT TYPE</v>
          </cell>
          <cell r="F1268" t="str">
            <v>BARKEY</v>
          </cell>
          <cell r="G1268" t="str">
            <v>AUTOCONTROL 3XPT</v>
          </cell>
          <cell r="H1268">
            <v>1207688</v>
          </cell>
          <cell r="I1268" t="str">
            <v>ANNUALLY</v>
          </cell>
          <cell r="J1268">
            <v>45888</v>
          </cell>
          <cell r="K1268"/>
          <cell r="L1268"/>
          <cell r="M1268"/>
          <cell r="N1268" t="str">
            <v>UNIT HEMODIALISIS</v>
          </cell>
          <cell r="O1268" t="str">
            <v>Unit Hemodialisis (HDU)</v>
          </cell>
        </row>
        <row r="1269">
          <cell r="D1269" t="str">
            <v>KKM/JKN/HSA/10-05-01/R/15/7355</v>
          </cell>
          <cell r="E1269" t="str">
            <v>DIAGNOSTIC SET ADULT</v>
          </cell>
          <cell r="F1269" t="str">
            <v>RUDOLF RIESTER, GMBH</v>
          </cell>
          <cell r="G1269" t="str">
            <v>RI-SCOPE ENT 3761</v>
          </cell>
          <cell r="H1269" t="str">
            <v>N/A</v>
          </cell>
          <cell r="I1269" t="str">
            <v>ANNUALLY</v>
          </cell>
          <cell r="J1269">
            <v>45880</v>
          </cell>
          <cell r="K1269"/>
          <cell r="L1269"/>
          <cell r="M1269"/>
          <cell r="N1269" t="str">
            <v>UNIT HEMODIALISIS</v>
          </cell>
          <cell r="O1269" t="str">
            <v>Unit Hemodialisis (HDU)</v>
          </cell>
        </row>
        <row r="1270">
          <cell r="D1270" t="str">
            <v>KKM/JKN/HSA/10-05-01/R/15/7356</v>
          </cell>
          <cell r="E1270" t="str">
            <v>DIAGNOSTIC SET ADULT</v>
          </cell>
          <cell r="F1270" t="str">
            <v>RUDOLF RIESTER, GMBH</v>
          </cell>
          <cell r="G1270" t="str">
            <v>RI-SCOPE ENT 3761</v>
          </cell>
          <cell r="H1270" t="str">
            <v>N/A</v>
          </cell>
          <cell r="I1270" t="str">
            <v>ANNUALLY</v>
          </cell>
          <cell r="J1270">
            <v>45880</v>
          </cell>
          <cell r="K1270"/>
          <cell r="L1270"/>
          <cell r="M1270"/>
          <cell r="N1270" t="str">
            <v>UNIT HEMODIALISIS</v>
          </cell>
          <cell r="O1270" t="str">
            <v>Unit Hemodialisis (HDU)</v>
          </cell>
        </row>
        <row r="1271">
          <cell r="D1271" t="str">
            <v>KKM/JKN/HSA/10-05-01/R/15/7357</v>
          </cell>
          <cell r="E1271" t="str">
            <v>DIAGNOSTIC SET ADULT</v>
          </cell>
          <cell r="F1271" t="str">
            <v>RUDOLF RIESTER, GMBH</v>
          </cell>
          <cell r="G1271" t="str">
            <v>RI-SCOPE ENT 3761</v>
          </cell>
          <cell r="H1271" t="str">
            <v>N/A</v>
          </cell>
          <cell r="I1271" t="str">
            <v>ANNUALLY</v>
          </cell>
          <cell r="J1271">
            <v>45882</v>
          </cell>
          <cell r="K1271"/>
          <cell r="L1271"/>
          <cell r="M1271"/>
          <cell r="N1271" t="str">
            <v>UNIT HEMODIALISIS</v>
          </cell>
          <cell r="O1271" t="str">
            <v>Unit Hemodialisis (HDU)</v>
          </cell>
        </row>
        <row r="1272">
          <cell r="D1272" t="str">
            <v>KKM/JKN/HSA/10-05-01/R/15/7359</v>
          </cell>
          <cell r="E1272" t="str">
            <v>DIAGNOSTIC SET ADULT</v>
          </cell>
          <cell r="F1272" t="str">
            <v>RUDOLF RIESTER, GMBH</v>
          </cell>
          <cell r="G1272" t="str">
            <v>RI-SCOPE ENT 3761</v>
          </cell>
          <cell r="H1272" t="str">
            <v>N/A</v>
          </cell>
          <cell r="I1272" t="str">
            <v>ANNUALLY</v>
          </cell>
          <cell r="J1272">
            <v>45914</v>
          </cell>
          <cell r="K1272"/>
          <cell r="L1272"/>
          <cell r="M1272"/>
          <cell r="N1272" t="str">
            <v>JABATAN OBSTETRIK &amp; GINEKOLOGI</v>
          </cell>
          <cell r="O1272" t="str">
            <v>Dewan Bersalin (LDU)</v>
          </cell>
        </row>
        <row r="1273">
          <cell r="D1273" t="str">
            <v>KKM/JKN/HSA/10-05-01/H/15/1626</v>
          </cell>
          <cell r="E1273" t="str">
            <v>MESIN HEMODIALYSIS</v>
          </cell>
          <cell r="F1273" t="str">
            <v>FRESENIUS MEDICAL CARE</v>
          </cell>
          <cell r="G1273" t="str">
            <v>4008S NEXT GENERATION W TDMS</v>
          </cell>
          <cell r="H1273" t="str">
            <v>4SXAW184</v>
          </cell>
          <cell r="I1273" t="str">
            <v>SEMI ANNUALLY</v>
          </cell>
          <cell r="J1273">
            <v>45691</v>
          </cell>
          <cell r="K1273">
            <v>45871</v>
          </cell>
          <cell r="L1273"/>
          <cell r="M1273"/>
          <cell r="N1273" t="str">
            <v>UNIT HEMODIALISIS</v>
          </cell>
          <cell r="O1273" t="str">
            <v>Unit Hemodialisis (HDU)</v>
          </cell>
        </row>
        <row r="1274">
          <cell r="D1274" t="str">
            <v>KKM/JKN/HSA/10-05-01/H/15/1627</v>
          </cell>
          <cell r="E1274" t="str">
            <v>MESIN HEMODIALYSIS</v>
          </cell>
          <cell r="F1274" t="str">
            <v>FRESENIUS MEDICAL CARE</v>
          </cell>
          <cell r="G1274" t="str">
            <v>4008S NEXT GENERATION W TDMS</v>
          </cell>
          <cell r="H1274" t="str">
            <v>4SXAW183</v>
          </cell>
          <cell r="I1274" t="str">
            <v>SEMI ANNUALLY</v>
          </cell>
          <cell r="J1274">
            <v>45691</v>
          </cell>
          <cell r="K1274">
            <v>45871</v>
          </cell>
          <cell r="L1274"/>
          <cell r="M1274"/>
          <cell r="N1274" t="str">
            <v>UNIT HEMODIALISIS</v>
          </cell>
          <cell r="O1274" t="str">
            <v>Unit Hemodialisis (HDU)</v>
          </cell>
        </row>
        <row r="1275">
          <cell r="D1275" t="str">
            <v>KKM/JKN/HSA/10-05-01/H/15/1628</v>
          </cell>
          <cell r="E1275" t="str">
            <v>MESIN HEMODIALYSIS</v>
          </cell>
          <cell r="F1275" t="str">
            <v>FRESENIUS MEDICAL CARE</v>
          </cell>
          <cell r="G1275" t="str">
            <v>4008S NEXT GENERATION W TDMS</v>
          </cell>
          <cell r="H1275" t="str">
            <v>4SXAW177</v>
          </cell>
          <cell r="I1275" t="str">
            <v>SEMI ANNUALLY</v>
          </cell>
          <cell r="J1275">
            <v>45692</v>
          </cell>
          <cell r="K1275">
            <v>45872</v>
          </cell>
          <cell r="L1275"/>
          <cell r="M1275"/>
          <cell r="N1275" t="str">
            <v>UNIT HEMODIALISIS</v>
          </cell>
          <cell r="O1275" t="str">
            <v>Unit Hemodialisis (HDU)</v>
          </cell>
        </row>
        <row r="1276">
          <cell r="D1276" t="str">
            <v>KKM/JKN/HSA/10-05-01/H/15/1629</v>
          </cell>
          <cell r="E1276" t="str">
            <v>MESIN HEMODIALYSIS</v>
          </cell>
          <cell r="F1276" t="str">
            <v>FRESENIUS MEDICAL CARE</v>
          </cell>
          <cell r="G1276" t="str">
            <v>4008S NEXT GENERATION W TDMS</v>
          </cell>
          <cell r="H1276" t="str">
            <v>4SXAW178</v>
          </cell>
          <cell r="I1276" t="str">
            <v>SEMI ANNUALLY</v>
          </cell>
          <cell r="J1276">
            <v>45692</v>
          </cell>
          <cell r="K1276">
            <v>45872</v>
          </cell>
          <cell r="L1276"/>
          <cell r="M1276"/>
          <cell r="N1276" t="str">
            <v>UNIT HEMODIALISIS</v>
          </cell>
          <cell r="O1276" t="str">
            <v>Unit Hemodialisis (HDU)</v>
          </cell>
        </row>
        <row r="1277">
          <cell r="D1277" t="str">
            <v>KKM/JKN/HSA/10-05-01/H/15/1630</v>
          </cell>
          <cell r="E1277" t="str">
            <v>MESIN HEMODIALYSIS</v>
          </cell>
          <cell r="F1277" t="str">
            <v>FRESENIUS MEDICAL CARE</v>
          </cell>
          <cell r="G1277" t="str">
            <v>4008S NEXT GENERATION W TDMS</v>
          </cell>
          <cell r="H1277" t="str">
            <v>4SXAW179</v>
          </cell>
          <cell r="I1277" t="str">
            <v>SEMI ANNUALLY</v>
          </cell>
          <cell r="J1277">
            <v>45692</v>
          </cell>
          <cell r="K1277">
            <v>45872</v>
          </cell>
          <cell r="L1277"/>
          <cell r="M1277"/>
          <cell r="N1277" t="str">
            <v>UNIT HEMODIALISIS</v>
          </cell>
          <cell r="O1277" t="str">
            <v>Unit Hemodialisis (HDU)</v>
          </cell>
        </row>
        <row r="1278">
          <cell r="D1278" t="str">
            <v>KKM/JKN/HSA/10-05-01/H/15/1631</v>
          </cell>
          <cell r="E1278" t="str">
            <v>MESIN HEMODIALYSIS</v>
          </cell>
          <cell r="F1278" t="str">
            <v>FRESENIUS MEDICAL CARE</v>
          </cell>
          <cell r="G1278" t="str">
            <v>4008S NEXT GENERATION W TDMS</v>
          </cell>
          <cell r="H1278" t="str">
            <v>4SXAW176</v>
          </cell>
          <cell r="I1278" t="str">
            <v>SEMI ANNUALLY</v>
          </cell>
          <cell r="J1278">
            <v>45692</v>
          </cell>
          <cell r="K1278">
            <v>45872</v>
          </cell>
          <cell r="L1278"/>
          <cell r="M1278"/>
          <cell r="N1278" t="str">
            <v>UNIT HEMODIALISIS</v>
          </cell>
          <cell r="O1278" t="str">
            <v>Unit Hemodialisis (HDU)</v>
          </cell>
        </row>
        <row r="1279">
          <cell r="D1279" t="str">
            <v>KKM/JKN/HSA/10-05-01/H/15/1632</v>
          </cell>
          <cell r="E1279" t="str">
            <v>MESIN HEMODIALYSIS</v>
          </cell>
          <cell r="F1279" t="str">
            <v>FRESENIUS MEDICAL CARE</v>
          </cell>
          <cell r="G1279" t="str">
            <v>4008S NEXT GENERATION W TDMS</v>
          </cell>
          <cell r="H1279" t="str">
            <v>4SXAW175</v>
          </cell>
          <cell r="I1279" t="str">
            <v>SEMI ANNUALLY</v>
          </cell>
          <cell r="J1279">
            <v>45693</v>
          </cell>
          <cell r="K1279">
            <v>45873</v>
          </cell>
          <cell r="L1279"/>
          <cell r="M1279"/>
          <cell r="N1279" t="str">
            <v>UNIT HEMODIALISIS</v>
          </cell>
          <cell r="O1279" t="str">
            <v>Unit Hemodialisis (HDU)</v>
          </cell>
        </row>
        <row r="1280">
          <cell r="D1280" t="str">
            <v>KKM/JKN/HSA/10-05-01/H/15/1633</v>
          </cell>
          <cell r="E1280" t="str">
            <v>MESIN HEMODIALYSIS</v>
          </cell>
          <cell r="F1280" t="str">
            <v>FRESENIUS MEDICAL CARE</v>
          </cell>
          <cell r="G1280" t="str">
            <v>4008S NEXT GENERATION W TDMS</v>
          </cell>
          <cell r="H1280" t="str">
            <v>4SXAW174</v>
          </cell>
          <cell r="I1280" t="str">
            <v>SEMI ANNUALLY</v>
          </cell>
          <cell r="J1280">
            <v>45693</v>
          </cell>
          <cell r="K1280">
            <v>45873</v>
          </cell>
          <cell r="L1280"/>
          <cell r="M1280"/>
          <cell r="N1280" t="str">
            <v>UNIT HEMODIALISIS</v>
          </cell>
          <cell r="O1280" t="str">
            <v>Unit Hemodialisis (HDU)</v>
          </cell>
        </row>
        <row r="1281">
          <cell r="D1281" t="str">
            <v>KKM/JKN/HSA/10-05-01/H/15/1634</v>
          </cell>
          <cell r="E1281" t="str">
            <v>MESIN HEMODIALYSIS</v>
          </cell>
          <cell r="F1281" t="str">
            <v>FRESENIUS MEDICAL CARE</v>
          </cell>
          <cell r="G1281" t="str">
            <v>4008S NEXT GENERATION W TDMS</v>
          </cell>
          <cell r="H1281" t="str">
            <v>4SXAW173</v>
          </cell>
          <cell r="I1281" t="str">
            <v>SEMI ANNUALLY</v>
          </cell>
          <cell r="J1281">
            <v>45693</v>
          </cell>
          <cell r="K1281">
            <v>45873</v>
          </cell>
          <cell r="L1281"/>
          <cell r="M1281"/>
          <cell r="N1281" t="str">
            <v>UNIT HEMODIALISIS</v>
          </cell>
          <cell r="O1281" t="str">
            <v>Unit Hemodialisis (HDU)</v>
          </cell>
        </row>
        <row r="1282">
          <cell r="D1282" t="str">
            <v>KKM/JKN/HSA/10-05-01/H/15/1635</v>
          </cell>
          <cell r="E1282" t="str">
            <v>MESIN HEMODIALYSIS</v>
          </cell>
          <cell r="F1282" t="str">
            <v>FRESENIUS MEDICAL CARE</v>
          </cell>
          <cell r="G1282" t="str">
            <v>4008S NEXT GENERATION W TDMS</v>
          </cell>
          <cell r="H1282" t="str">
            <v>4SXAW172</v>
          </cell>
          <cell r="I1282" t="str">
            <v>SEMI ANNUALLY</v>
          </cell>
          <cell r="J1282">
            <v>45693</v>
          </cell>
          <cell r="K1282">
            <v>45873</v>
          </cell>
          <cell r="L1282"/>
          <cell r="M1282"/>
          <cell r="N1282" t="str">
            <v>UNIT HEMODIALISIS</v>
          </cell>
          <cell r="O1282" t="str">
            <v>Unit Hemodialisis (HDU)</v>
          </cell>
        </row>
        <row r="1283">
          <cell r="D1283" t="str">
            <v>KKM/JKN/HSA/10-05-01/H/15/1636</v>
          </cell>
          <cell r="E1283" t="str">
            <v>MESIN HEMODIALYSIS</v>
          </cell>
          <cell r="F1283" t="str">
            <v>FRESENIUS MEDICAL CARE</v>
          </cell>
          <cell r="G1283" t="str">
            <v>4008S NEXT GENERATION W TDMS</v>
          </cell>
          <cell r="H1283" t="str">
            <v>4SXAW171</v>
          </cell>
          <cell r="I1283" t="str">
            <v>SEMI ANNUALLY</v>
          </cell>
          <cell r="J1283">
            <v>45696</v>
          </cell>
          <cell r="K1283">
            <v>45876</v>
          </cell>
          <cell r="L1283"/>
          <cell r="M1283"/>
          <cell r="N1283" t="str">
            <v>UNIT HEMODIALISIS</v>
          </cell>
          <cell r="O1283" t="str">
            <v>Unit Hemodialisis (HDU)</v>
          </cell>
        </row>
        <row r="1284">
          <cell r="D1284" t="str">
            <v>KKM/JKN/HSA/10-05-01/H/15/1637</v>
          </cell>
          <cell r="E1284" t="str">
            <v>MESIN HEMODIALYSIS</v>
          </cell>
          <cell r="F1284" t="str">
            <v>FRESENIUS MEDICAL CARE</v>
          </cell>
          <cell r="G1284" t="str">
            <v>4008S NEXT GENERATION W TDMS</v>
          </cell>
          <cell r="H1284" t="str">
            <v>4SXAW170</v>
          </cell>
          <cell r="I1284" t="str">
            <v>SEMI ANNUALLY</v>
          </cell>
          <cell r="J1284">
            <v>45696</v>
          </cell>
          <cell r="K1284">
            <v>45876</v>
          </cell>
          <cell r="L1284"/>
          <cell r="M1284"/>
          <cell r="N1284" t="str">
            <v>UNIT HEMODIALISIS</v>
          </cell>
          <cell r="O1284" t="str">
            <v>Unit Hemodialisis (HDU)</v>
          </cell>
        </row>
        <row r="1285">
          <cell r="D1285" t="str">
            <v>KKM/JKN/HSA/10-05-01/H/15/1638</v>
          </cell>
          <cell r="E1285" t="str">
            <v>MESIN HEMODIALYSIS</v>
          </cell>
          <cell r="F1285" t="str">
            <v>FRESENIUS MEDICAL CARE</v>
          </cell>
          <cell r="G1285" t="str">
            <v>4008S NEXT GENERATION W TDMS</v>
          </cell>
          <cell r="H1285" t="str">
            <v>4SXAW169</v>
          </cell>
          <cell r="I1285" t="str">
            <v>SEMI ANNUALLY</v>
          </cell>
          <cell r="J1285">
            <v>45697</v>
          </cell>
          <cell r="K1285">
            <v>45877</v>
          </cell>
          <cell r="L1285"/>
          <cell r="M1285"/>
          <cell r="N1285" t="str">
            <v>UNIT HEMODIALISIS</v>
          </cell>
          <cell r="O1285" t="str">
            <v>Unit Hemodialisis (HDU)</v>
          </cell>
        </row>
        <row r="1286">
          <cell r="D1286" t="str">
            <v>KKM/JKN/HSA/10-05-01/H/15/1639</v>
          </cell>
          <cell r="E1286" t="str">
            <v>MESIN HEMODIALYSIS</v>
          </cell>
          <cell r="F1286" t="str">
            <v>FRESENIUS MEDICAL CARE</v>
          </cell>
          <cell r="G1286" t="str">
            <v>4008S NEXT GENERATION W TDMS</v>
          </cell>
          <cell r="H1286" t="str">
            <v>4SXAW168</v>
          </cell>
          <cell r="I1286" t="str">
            <v>SEMI ANNUALLY</v>
          </cell>
          <cell r="J1286">
            <v>45749</v>
          </cell>
          <cell r="K1286">
            <v>45931</v>
          </cell>
          <cell r="L1286"/>
          <cell r="M1286"/>
          <cell r="N1286" t="str">
            <v>UNIT HEMODIALISIS</v>
          </cell>
          <cell r="O1286" t="str">
            <v>Unit Hemodialisis (HDU)</v>
          </cell>
        </row>
        <row r="1287">
          <cell r="D1287" t="str">
            <v>KKM/JKN/HSA/10-05-01/H/15/1640</v>
          </cell>
          <cell r="E1287" t="str">
            <v>MESIN HEMODIALYSIS</v>
          </cell>
          <cell r="F1287" t="str">
            <v>FRESENIUS MEDICAL CARE</v>
          </cell>
          <cell r="G1287" t="str">
            <v>4008S NEXT GENERATION W TDMS</v>
          </cell>
          <cell r="H1287" t="str">
            <v>4SXAW167</v>
          </cell>
          <cell r="I1287" t="str">
            <v>SEMI ANNUALLY</v>
          </cell>
          <cell r="J1287">
            <v>45695</v>
          </cell>
          <cell r="K1287">
            <v>45875</v>
          </cell>
          <cell r="L1287"/>
          <cell r="M1287"/>
          <cell r="N1287" t="str">
            <v>UNIT HEMODIALISIS</v>
          </cell>
          <cell r="O1287" t="str">
            <v>Unit Hemodialisis (HDU)</v>
          </cell>
        </row>
        <row r="1288">
          <cell r="D1288" t="str">
            <v>KKM/JKN/HSA/10-05-01/H/15/1641</v>
          </cell>
          <cell r="E1288" t="str">
            <v>MESIN HEMODIALYSIS</v>
          </cell>
          <cell r="F1288" t="str">
            <v>FRESENIUS MEDICAL CARE</v>
          </cell>
          <cell r="G1288" t="str">
            <v>4008S NEXT GENERATION W TDMS</v>
          </cell>
          <cell r="H1288" t="str">
            <v>4SXAW180</v>
          </cell>
          <cell r="I1288" t="str">
            <v>SEMI ANNUALLY</v>
          </cell>
          <cell r="J1288">
            <v>45695</v>
          </cell>
          <cell r="K1288">
            <v>45875</v>
          </cell>
          <cell r="L1288"/>
          <cell r="M1288"/>
          <cell r="N1288" t="str">
            <v>UNIT HEMODIALISIS</v>
          </cell>
          <cell r="O1288" t="str">
            <v>Unit Hemodialisis (HDU)</v>
          </cell>
        </row>
        <row r="1289">
          <cell r="D1289" t="str">
            <v>KKM/JKN/HSA/10-05-01/H/15/1652</v>
          </cell>
          <cell r="E1289" t="str">
            <v>MESIN HEMODIALYSIS</v>
          </cell>
          <cell r="F1289" t="str">
            <v>FRESENIUS MEDICAL CARE</v>
          </cell>
          <cell r="G1289" t="str">
            <v>5008S</v>
          </cell>
          <cell r="H1289" t="str">
            <v>4VSAN792</v>
          </cell>
          <cell r="I1289" t="str">
            <v>ANNUALLY</v>
          </cell>
          <cell r="J1289">
            <v>45695</v>
          </cell>
          <cell r="K1289"/>
          <cell r="L1289"/>
          <cell r="M1289"/>
          <cell r="N1289" t="str">
            <v>UNIT HEMODIALISIS</v>
          </cell>
          <cell r="O1289" t="str">
            <v>Unit Hemodialisis (HDU)</v>
          </cell>
        </row>
        <row r="1290">
          <cell r="D1290" t="str">
            <v>KKM/JKN/HSA/10-05-01/H/15/1653</v>
          </cell>
          <cell r="E1290" t="str">
            <v>MESIN HEMODIALYSIS</v>
          </cell>
          <cell r="F1290" t="str">
            <v>FRESENIUS MEDICAL CARE</v>
          </cell>
          <cell r="G1290" t="str">
            <v>5008S</v>
          </cell>
          <cell r="H1290" t="str">
            <v>VSAM736</v>
          </cell>
          <cell r="I1290" t="str">
            <v>ANNUALLY</v>
          </cell>
          <cell r="J1290">
            <v>45695</v>
          </cell>
          <cell r="K1290"/>
          <cell r="L1290"/>
          <cell r="M1290"/>
          <cell r="N1290" t="str">
            <v>UNIT HEMODIALISIS</v>
          </cell>
          <cell r="O1290" t="str">
            <v>Unit Hemodialisis (HDU)</v>
          </cell>
        </row>
        <row r="1291">
          <cell r="D1291" t="str">
            <v>KKM/JKN/HSA/10-05-01/H/15/1654</v>
          </cell>
          <cell r="E1291" t="str">
            <v>MESIN HEMODIALYSIS</v>
          </cell>
          <cell r="F1291" t="str">
            <v>FRESENIUS MEDICAL CARE</v>
          </cell>
          <cell r="G1291" t="str">
            <v>5008S</v>
          </cell>
          <cell r="H1291" t="str">
            <v>4VSAP122</v>
          </cell>
          <cell r="I1291" t="str">
            <v>ANNUALLY</v>
          </cell>
          <cell r="J1291">
            <v>45698</v>
          </cell>
          <cell r="K1291"/>
          <cell r="L1291"/>
          <cell r="M1291"/>
          <cell r="N1291" t="str">
            <v>UNIT HEMODIALISIS</v>
          </cell>
          <cell r="O1291" t="str">
            <v>Unit Hemodialisis (HDU)</v>
          </cell>
        </row>
        <row r="1292">
          <cell r="D1292" t="str">
            <v>KKM/JKN/HSA/10-05-01/H/15/1655</v>
          </cell>
          <cell r="E1292" t="str">
            <v>MESIN HEMODIALYSIS</v>
          </cell>
          <cell r="F1292" t="str">
            <v>FRESENIUS MEDICAL CARE</v>
          </cell>
          <cell r="G1292" t="str">
            <v>5008S</v>
          </cell>
          <cell r="H1292" t="str">
            <v>4VSAN793</v>
          </cell>
          <cell r="I1292" t="str">
            <v>ANNUALLY</v>
          </cell>
          <cell r="J1292">
            <v>45698</v>
          </cell>
          <cell r="K1292"/>
          <cell r="L1292"/>
          <cell r="M1292"/>
          <cell r="N1292" t="str">
            <v>UNIT HEMODIALISIS</v>
          </cell>
          <cell r="O1292" t="str">
            <v>Unit Hemodialisis (HDU)</v>
          </cell>
        </row>
        <row r="1293">
          <cell r="D1293" t="str">
            <v>KKM/JKN/HSA/10-05-01/H/15/2109</v>
          </cell>
          <cell r="E1293" t="str">
            <v>PATIENT MONITORING EQUIP.(AUTOMATIC MULTIPARAMETER)</v>
          </cell>
          <cell r="F1293" t="str">
            <v>MINDRAY</v>
          </cell>
          <cell r="G1293" t="str">
            <v>IMEC 12</v>
          </cell>
          <cell r="H1293" t="str">
            <v>EV-45011605</v>
          </cell>
          <cell r="I1293" t="str">
            <v>ANNUALLY</v>
          </cell>
          <cell r="J1293">
            <v>45856</v>
          </cell>
          <cell r="K1293"/>
          <cell r="L1293"/>
          <cell r="M1293"/>
          <cell r="N1293" t="str">
            <v>UNIT HEMODIALISIS</v>
          </cell>
          <cell r="O1293" t="str">
            <v>Unit Hemodialisis (HDU)</v>
          </cell>
        </row>
        <row r="1294">
          <cell r="D1294" t="str">
            <v>KKM/JKN/HSA/10-05-01/H/15/2146</v>
          </cell>
          <cell r="E1294" t="str">
            <v>SUCTION APPARATUS</v>
          </cell>
          <cell r="F1294" t="str">
            <v>CAMI</v>
          </cell>
          <cell r="G1294" t="str">
            <v>ASKIR C30</v>
          </cell>
          <cell r="H1294" t="str">
            <v>5919</v>
          </cell>
          <cell r="I1294" t="str">
            <v>ANNUALLY</v>
          </cell>
          <cell r="J1294">
            <v>45748</v>
          </cell>
          <cell r="K1294"/>
          <cell r="L1294"/>
          <cell r="M1294"/>
          <cell r="N1294" t="str">
            <v>UNIT HEMODIALISIS</v>
          </cell>
          <cell r="O1294" t="str">
            <v>Unit Hemodialisis (HDU)</v>
          </cell>
        </row>
        <row r="1295">
          <cell r="D1295" t="str">
            <v>KKM/JKN/HSA/10-05-01/H/15/3668</v>
          </cell>
          <cell r="E1295" t="str">
            <v>DEFIBRILLATOR</v>
          </cell>
          <cell r="F1295" t="str">
            <v>PHILIPS</v>
          </cell>
          <cell r="G1295" t="str">
            <v>EFFICIA DFM100</v>
          </cell>
          <cell r="H1295" t="str">
            <v>CN32601420</v>
          </cell>
          <cell r="I1295" t="str">
            <v>SEMI ANNUALLY</v>
          </cell>
          <cell r="J1295">
            <v>45817</v>
          </cell>
          <cell r="K1295">
            <v>45999</v>
          </cell>
          <cell r="L1295"/>
          <cell r="M1295"/>
          <cell r="N1295" t="str">
            <v>UNIT HEMODIALISIS</v>
          </cell>
          <cell r="O1295" t="str">
            <v>Unit Hemodialisis (HDU)</v>
          </cell>
        </row>
        <row r="1296">
          <cell r="D1296" t="str">
            <v>KKM/JKN/HSA/10-05-01/H/15/4030</v>
          </cell>
          <cell r="E1296" t="str">
            <v>OPERATION LIGHT</v>
          </cell>
          <cell r="F1296" t="str">
            <v>TRUMPF MEDIZIN SYSTEME GMBH</v>
          </cell>
          <cell r="G1296" t="str">
            <v>TRULIGHT 3300</v>
          </cell>
          <cell r="H1296">
            <v>102103414</v>
          </cell>
          <cell r="I1296" t="str">
            <v>ANNUALLY</v>
          </cell>
          <cell r="J1296">
            <v>45730</v>
          </cell>
          <cell r="K1296"/>
          <cell r="L1296"/>
          <cell r="M1296"/>
          <cell r="N1296" t="str">
            <v>UNIT HEMODIALISIS</v>
          </cell>
          <cell r="O1296" t="str">
            <v>Unit Hemodialisis (HDU)</v>
          </cell>
        </row>
        <row r="1297">
          <cell r="D1297" t="str">
            <v>KKM/JKN/HSA/10-05-01/H/15/4032</v>
          </cell>
          <cell r="E1297" t="str">
            <v>ECG (EKG) MACHINE</v>
          </cell>
          <cell r="F1297" t="str">
            <v>GE HEALTHCARE</v>
          </cell>
          <cell r="G1297" t="str">
            <v>MAC400</v>
          </cell>
          <cell r="H1297" t="str">
            <v>SCT 11486288 PA</v>
          </cell>
          <cell r="I1297" t="str">
            <v>ANNUALLY</v>
          </cell>
          <cell r="J1297">
            <v>46037</v>
          </cell>
          <cell r="K1297"/>
          <cell r="L1297"/>
          <cell r="M1297"/>
          <cell r="N1297" t="str">
            <v>UNIT HEMODIALISIS</v>
          </cell>
          <cell r="O1297" t="str">
            <v>Unit Hemodialisis (HDU)</v>
          </cell>
        </row>
        <row r="1298">
          <cell r="D1298" t="str">
            <v>KKM/JKN/HSA/10-05-01/H/15/4033</v>
          </cell>
          <cell r="E1298" t="str">
            <v>DIALYZER REPROCESSING UNIT</v>
          </cell>
          <cell r="F1298" t="str">
            <v>MINITECH RENAL SYSTEM</v>
          </cell>
          <cell r="G1298" t="str">
            <v>RS 8335 RENATRON II</v>
          </cell>
          <cell r="H1298" t="str">
            <v>032932</v>
          </cell>
          <cell r="I1298" t="str">
            <v>SEMI ANNUALLY</v>
          </cell>
          <cell r="J1298">
            <v>45834</v>
          </cell>
          <cell r="K1298">
            <v>46016</v>
          </cell>
          <cell r="L1298"/>
          <cell r="M1298"/>
          <cell r="N1298" t="str">
            <v>UNIT HEMODIALISIS</v>
          </cell>
          <cell r="O1298" t="str">
            <v>Unit Hemodialisis (HDU)</v>
          </cell>
        </row>
        <row r="1299">
          <cell r="D1299" t="str">
            <v>KKM/JKN/HSA/10-05-01/H/15/4034</v>
          </cell>
          <cell r="E1299" t="str">
            <v>DIALYZER REPROCESSING UNIT</v>
          </cell>
          <cell r="F1299" t="str">
            <v>MINITECH RENAL SYSTEM</v>
          </cell>
          <cell r="G1299" t="str">
            <v>RS 8335 RENATRON II</v>
          </cell>
          <cell r="H1299" t="str">
            <v>032930</v>
          </cell>
          <cell r="I1299" t="str">
            <v>SEMI ANNUALLY</v>
          </cell>
          <cell r="J1299">
            <v>45834</v>
          </cell>
          <cell r="K1299">
            <v>46016</v>
          </cell>
          <cell r="L1299"/>
          <cell r="M1299"/>
          <cell r="N1299" t="str">
            <v>UNIT HEMODIALISIS</v>
          </cell>
          <cell r="O1299" t="str">
            <v>Unit Hemodialisis (HDU)</v>
          </cell>
        </row>
        <row r="1300">
          <cell r="D1300" t="str">
            <v>KKM/JKN/HSA/10-05-01/H/15/4035</v>
          </cell>
          <cell r="E1300" t="str">
            <v>DIALYZER REPROCESSING UNIT</v>
          </cell>
          <cell r="F1300" t="str">
            <v>MINITECH RENAL SYSTEM</v>
          </cell>
          <cell r="G1300" t="str">
            <v>RS 8335 RENATRON II</v>
          </cell>
          <cell r="H1300" t="str">
            <v>032931</v>
          </cell>
          <cell r="I1300" t="str">
            <v>SEMI ANNUALLY</v>
          </cell>
          <cell r="J1300">
            <v>45834</v>
          </cell>
          <cell r="K1300">
            <v>46016</v>
          </cell>
          <cell r="L1300"/>
          <cell r="M1300"/>
          <cell r="N1300" t="str">
            <v>UNIT HEMODIALISIS</v>
          </cell>
          <cell r="O1300" t="str">
            <v>Unit Hemodialisis (HDU)</v>
          </cell>
        </row>
        <row r="1301">
          <cell r="D1301" t="str">
            <v>KKM/JKN/HSA/10-05-01/H/15/4036</v>
          </cell>
          <cell r="E1301" t="str">
            <v>DIALYZER REPROCESSING UNIT</v>
          </cell>
          <cell r="F1301" t="str">
            <v>MINITECH RENAL SYSTEM</v>
          </cell>
          <cell r="G1301" t="str">
            <v>RS 8335 RENATRON II</v>
          </cell>
          <cell r="H1301" t="str">
            <v>032933</v>
          </cell>
          <cell r="I1301" t="str">
            <v>SEMI ANNUALLY</v>
          </cell>
          <cell r="J1301">
            <v>45834</v>
          </cell>
          <cell r="K1301">
            <v>46016</v>
          </cell>
          <cell r="L1301"/>
          <cell r="M1301"/>
          <cell r="N1301" t="str">
            <v>UNIT HEMODIALISIS</v>
          </cell>
          <cell r="O1301" t="str">
            <v>Unit Hemodialisis (HDU)</v>
          </cell>
        </row>
        <row r="1302">
          <cell r="D1302" t="str">
            <v>KKM/JKN/HSA/10-05-01/H/15/4037</v>
          </cell>
          <cell r="E1302" t="str">
            <v>DIALYZER REPROCESSING UNIT</v>
          </cell>
          <cell r="F1302" t="str">
            <v>MINITECH RENAL SYSTEM</v>
          </cell>
          <cell r="G1302" t="str">
            <v>RS 8335 RENATRON II</v>
          </cell>
          <cell r="H1302" t="str">
            <v>032935</v>
          </cell>
          <cell r="I1302" t="str">
            <v>SEMI ANNUALLY</v>
          </cell>
          <cell r="J1302">
            <v>45834</v>
          </cell>
          <cell r="K1302">
            <v>46016</v>
          </cell>
          <cell r="L1302"/>
          <cell r="M1302"/>
          <cell r="N1302" t="str">
            <v>UNIT HEMODIALISIS</v>
          </cell>
          <cell r="O1302" t="str">
            <v>Unit Hemodialisis (HDU)</v>
          </cell>
        </row>
        <row r="1303">
          <cell r="D1303" t="str">
            <v>KKM/JKN/HSA/10-05-01/H/15/4038</v>
          </cell>
          <cell r="E1303" t="str">
            <v>DIALYZER REPROCESSING UNIT</v>
          </cell>
          <cell r="F1303" t="str">
            <v>MINITECH RENAL SYSTEM</v>
          </cell>
          <cell r="G1303" t="str">
            <v>RS 8335 RENATRON II</v>
          </cell>
          <cell r="H1303" t="str">
            <v>032934</v>
          </cell>
          <cell r="I1303" t="str">
            <v>SEMI ANNUALLY</v>
          </cell>
          <cell r="J1303">
            <v>45834</v>
          </cell>
          <cell r="K1303">
            <v>46016</v>
          </cell>
          <cell r="L1303"/>
          <cell r="M1303"/>
          <cell r="N1303" t="str">
            <v>UNIT HEMODIALISIS</v>
          </cell>
          <cell r="O1303" t="str">
            <v>Unit Hemodialisis (HDU)</v>
          </cell>
        </row>
        <row r="1304">
          <cell r="D1304" t="str">
            <v>KKM/JKN/HSA/10-05-01/H/15/4248</v>
          </cell>
          <cell r="E1304" t="str">
            <v>HEMODIALYSIS MACHINE</v>
          </cell>
          <cell r="F1304" t="str">
            <v>FRESENIUS</v>
          </cell>
          <cell r="G1304" t="str">
            <v>4008NG</v>
          </cell>
          <cell r="H1304" t="str">
            <v>4SXAW181</v>
          </cell>
          <cell r="I1304" t="str">
            <v>SEMI ANNUALLY</v>
          </cell>
          <cell r="J1304">
            <v>46027</v>
          </cell>
          <cell r="K1304">
            <v>46206</v>
          </cell>
          <cell r="L1304"/>
          <cell r="M1304"/>
          <cell r="N1304" t="str">
            <v>UNIT HEMODIALISIS</v>
          </cell>
          <cell r="O1304" t="str">
            <v>Unit Hemodialisis (HDU)</v>
          </cell>
        </row>
        <row r="1305">
          <cell r="D1305" t="str">
            <v>KKM/JKN/HSA/10-05-01/H/15/4249</v>
          </cell>
          <cell r="E1305" t="str">
            <v>HEMODIALYSIS MACHINE</v>
          </cell>
          <cell r="F1305" t="str">
            <v>FRESENIUS</v>
          </cell>
          <cell r="G1305" t="str">
            <v>4008NG</v>
          </cell>
          <cell r="H1305" t="str">
            <v>4SXAW182</v>
          </cell>
          <cell r="I1305" t="str">
            <v>SEMI ANNUALLY</v>
          </cell>
          <cell r="J1305">
            <v>46027</v>
          </cell>
          <cell r="K1305">
            <v>46206</v>
          </cell>
          <cell r="L1305"/>
          <cell r="M1305"/>
          <cell r="N1305" t="str">
            <v>UNIT HEMODIALISIS</v>
          </cell>
          <cell r="O1305" t="str">
            <v>Unit Hemodialisis (HDU)</v>
          </cell>
        </row>
        <row r="1306">
          <cell r="D1306" t="str">
            <v>KKM/JKN/HSA/10-05-01/H/15/4721</v>
          </cell>
          <cell r="E1306" t="str">
            <v>WEIGHING SCALE</v>
          </cell>
          <cell r="F1306" t="str">
            <v>SECA</v>
          </cell>
          <cell r="G1306" t="str">
            <v>SECA 684</v>
          </cell>
          <cell r="H1306" t="str">
            <v>1000-27587</v>
          </cell>
          <cell r="I1306" t="str">
            <v>ANNUALLY</v>
          </cell>
          <cell r="J1306">
            <v>45960</v>
          </cell>
          <cell r="K1306"/>
          <cell r="L1306"/>
          <cell r="M1306"/>
          <cell r="N1306" t="str">
            <v>UNIT HEMODIALISIS</v>
          </cell>
          <cell r="O1306" t="str">
            <v>Unit Hemodialisis (HDU)</v>
          </cell>
        </row>
        <row r="1307">
          <cell r="D1307" t="str">
            <v>KKM/JKN/HSA/10-05-01/H/15/992</v>
          </cell>
          <cell r="E1307" t="str">
            <v>HEMO DIAFILTRATION</v>
          </cell>
          <cell r="F1307" t="str">
            <v>FRESENIUS MEDICAL CARE</v>
          </cell>
          <cell r="G1307" t="str">
            <v>MULTIFILTRATE Ci-Ca</v>
          </cell>
          <cell r="H1307" t="str">
            <v>4MUG8856</v>
          </cell>
          <cell r="I1307" t="str">
            <v>SEMI ANNUALLY</v>
          </cell>
          <cell r="J1307">
            <v>45709</v>
          </cell>
          <cell r="K1307">
            <v>45889</v>
          </cell>
          <cell r="L1307"/>
          <cell r="M1307"/>
          <cell r="N1307" t="str">
            <v>UNIT HEMODIALISIS</v>
          </cell>
          <cell r="O1307" t="str">
            <v>Unit Hemodialisis (HDU)</v>
          </cell>
        </row>
        <row r="1308">
          <cell r="D1308" t="str">
            <v>KKM/JKN/HSA/10-05-01/R/15/7137</v>
          </cell>
          <cell r="E1308" t="str">
            <v>PATIENT MONITORING EQUIP.(AUTOMATIC MULTIPARAMETER)</v>
          </cell>
          <cell r="F1308" t="str">
            <v>WELCH ALLYN</v>
          </cell>
          <cell r="G1308" t="str">
            <v>WELCH ALLYN VSM 300</v>
          </cell>
          <cell r="H1308" t="str">
            <v>JA123435</v>
          </cell>
          <cell r="I1308" t="str">
            <v>ANNUALLY</v>
          </cell>
          <cell r="J1308">
            <v>46042</v>
          </cell>
          <cell r="K1308"/>
          <cell r="L1308"/>
          <cell r="M1308"/>
          <cell r="N1308" t="str">
            <v>UNIT HEMODIALISIS</v>
          </cell>
          <cell r="O1308" t="str">
            <v>Unit Hemodialisis (HDU)</v>
          </cell>
        </row>
        <row r="1309">
          <cell r="D1309" t="str">
            <v>KKM/JKN/HSA/10-05-01/R/15/7138</v>
          </cell>
          <cell r="E1309" t="str">
            <v>PATIENT MONITORING EQUIP.(AUTOMATIC MULTIPARAMETER)</v>
          </cell>
          <cell r="F1309" t="str">
            <v>WELCH ALLYN</v>
          </cell>
          <cell r="G1309" t="str">
            <v>WELCH ALLYN VSM 300</v>
          </cell>
          <cell r="H1309" t="str">
            <v>JA123416</v>
          </cell>
          <cell r="I1309" t="str">
            <v>ANNUALLY</v>
          </cell>
          <cell r="J1309">
            <v>46042</v>
          </cell>
          <cell r="K1309"/>
          <cell r="L1309"/>
          <cell r="M1309"/>
          <cell r="N1309" t="str">
            <v>UNIT HEMODIALISIS</v>
          </cell>
          <cell r="O1309" t="str">
            <v>Unit Hemodialisis (HDU)</v>
          </cell>
        </row>
        <row r="1310">
          <cell r="D1310" t="str">
            <v>KKM/JKN/HSA/10-05-01/R/15/7139</v>
          </cell>
          <cell r="E1310" t="str">
            <v>PATIENT MONITORING EQUIP.(AUTOMATIC MULTIPARAMETER)</v>
          </cell>
          <cell r="F1310" t="str">
            <v>WELCH ALLYN</v>
          </cell>
          <cell r="G1310" t="str">
            <v>WELCH ALLYN VSM 300</v>
          </cell>
          <cell r="H1310" t="str">
            <v>JA123431</v>
          </cell>
          <cell r="I1310" t="str">
            <v>ANNUALLY</v>
          </cell>
          <cell r="J1310">
            <v>46049</v>
          </cell>
          <cell r="K1310"/>
          <cell r="L1310"/>
          <cell r="M1310"/>
          <cell r="N1310" t="str">
            <v>UNIT HEMODIALISIS</v>
          </cell>
          <cell r="O1310" t="str">
            <v>Unit Hemodialisis (HDU)</v>
          </cell>
        </row>
        <row r="1311">
          <cell r="D1311" t="str">
            <v>KKM/JKN/HSA/10-05-01/R/15/7140</v>
          </cell>
          <cell r="E1311" t="str">
            <v>PATIENT MONITORING EQUIP.(AUTOMATIC MULTIPARAMETER)</v>
          </cell>
          <cell r="F1311" t="str">
            <v>WELCH ALLYN</v>
          </cell>
          <cell r="G1311" t="str">
            <v>WELCH ALLYN VSM 300</v>
          </cell>
          <cell r="H1311" t="str">
            <v>JA123428</v>
          </cell>
          <cell r="I1311" t="str">
            <v>ANNUALLY</v>
          </cell>
          <cell r="J1311">
            <v>46051</v>
          </cell>
          <cell r="K1311"/>
          <cell r="L1311"/>
          <cell r="M1311"/>
          <cell r="N1311" t="str">
            <v>UNIT HEMODIALISIS</v>
          </cell>
          <cell r="O1311" t="str">
            <v>Unit Hemodialisis (HDU)</v>
          </cell>
        </row>
        <row r="1312">
          <cell r="D1312" t="str">
            <v>KKM/JKN/HSA/10-05-01/R/15/7141</v>
          </cell>
          <cell r="E1312" t="str">
            <v>PATIENT MONITORING EQUIP.(AUTOMATIC MULTIPARAMETER)</v>
          </cell>
          <cell r="F1312" t="str">
            <v>WELCH ALLYN</v>
          </cell>
          <cell r="G1312" t="str">
            <v>WELCH ALLYN VSM 300</v>
          </cell>
          <cell r="H1312" t="str">
            <v>JA123434</v>
          </cell>
          <cell r="I1312" t="str">
            <v>ANNUALLY</v>
          </cell>
          <cell r="J1312">
            <v>46051</v>
          </cell>
          <cell r="K1312"/>
          <cell r="L1312"/>
          <cell r="M1312"/>
          <cell r="N1312" t="str">
            <v>UNIT HEMODIALISIS</v>
          </cell>
          <cell r="O1312" t="str">
            <v>Unit Hemodialisis (HDU)</v>
          </cell>
        </row>
        <row r="1313">
          <cell r="D1313" t="str">
            <v>KKM/JKN/HSA/10-05-01/R/15/7142</v>
          </cell>
          <cell r="E1313" t="str">
            <v>PATIENT MONITORING EQUIP.(AUTOMATIC MULTIPARAMETER)</v>
          </cell>
          <cell r="F1313" t="str">
            <v>WELCH ALLYN</v>
          </cell>
          <cell r="G1313" t="str">
            <v>WELCH ALLYN VSM 300</v>
          </cell>
          <cell r="H1313" t="str">
            <v>JA123425</v>
          </cell>
          <cell r="I1313" t="str">
            <v>ANNUALLY</v>
          </cell>
          <cell r="J1313">
            <v>46051</v>
          </cell>
          <cell r="K1313"/>
          <cell r="L1313"/>
          <cell r="M1313"/>
          <cell r="N1313" t="str">
            <v>UNIT HEMODIALISIS</v>
          </cell>
          <cell r="O1313" t="str">
            <v>Unit Hemodialisis (HDU)</v>
          </cell>
        </row>
        <row r="1314">
          <cell r="D1314" t="str">
            <v>KKM/JKN/HSA/10-05-01/H/20/144</v>
          </cell>
          <cell r="E1314" t="str">
            <v>MESIN HEMODIALYSIS</v>
          </cell>
          <cell r="F1314" t="str">
            <v>FRESENIUS</v>
          </cell>
          <cell r="G1314" t="str">
            <v>4008S NG</v>
          </cell>
          <cell r="H1314" t="str">
            <v>0SXA1NEQ</v>
          </cell>
          <cell r="I1314" t="str">
            <v>SEMI ANNUALLY</v>
          </cell>
          <cell r="J1314">
            <v>45690</v>
          </cell>
          <cell r="K1314">
            <v>45870</v>
          </cell>
          <cell r="L1314"/>
          <cell r="M1314"/>
          <cell r="N1314" t="str">
            <v>UNIT HEMODIALISIS</v>
          </cell>
          <cell r="O1314" t="str">
            <v>Unit Hemodialisis (HDU)</v>
          </cell>
        </row>
        <row r="1315">
          <cell r="D1315" t="str">
            <v>KKM/JKN/HSA/10-05-01/H/20/199</v>
          </cell>
          <cell r="E1315" t="str">
            <v xml:space="preserve">PORTABLE REVERSE OSMOSIS (RO)WATER SYSTEM </v>
          </cell>
          <cell r="F1315" t="str">
            <v>HD INTEGRA</v>
          </cell>
          <cell r="G1315" t="str">
            <v>HD INTEGRA MRO-HD3</v>
          </cell>
          <cell r="H1315" t="str">
            <v>MR-2020-069(MK1)</v>
          </cell>
          <cell r="I1315" t="str">
            <v>SEMI ANNUALLY</v>
          </cell>
          <cell r="J1315">
            <v>45690</v>
          </cell>
          <cell r="K1315">
            <v>45870</v>
          </cell>
          <cell r="L1315"/>
          <cell r="M1315"/>
          <cell r="N1315" t="str">
            <v>UNIT HEMODIALISIS</v>
          </cell>
          <cell r="O1315" t="str">
            <v>Unit Hemodialisis (HDU)</v>
          </cell>
        </row>
        <row r="1316">
          <cell r="D1316" t="str">
            <v>KKM/JKN/HSA/10-05-01/R/15/17062</v>
          </cell>
          <cell r="E1316" t="str">
            <v>DIAGNOSTIC SET ADULT</v>
          </cell>
          <cell r="F1316" t="str">
            <v>WELCH ALLYN</v>
          </cell>
          <cell r="G1316" t="str">
            <v>97150-BI</v>
          </cell>
          <cell r="H1316" t="str">
            <v>N/A</v>
          </cell>
          <cell r="I1316" t="str">
            <v>ANNUALLY</v>
          </cell>
          <cell r="J1316">
            <v>45794</v>
          </cell>
          <cell r="K1316"/>
          <cell r="L1316"/>
          <cell r="M1316"/>
          <cell r="N1316" t="str">
            <v>JABATAN PERUBATAN AM</v>
          </cell>
          <cell r="O1316" t="str">
            <v>Unit Kesihatan Awam/Pendidikan Kesihatan (UKA/UPK)</v>
          </cell>
        </row>
        <row r="1317">
          <cell r="D1317" t="str">
            <v>KKM/JKN/HSA/10-05-01/H/15/1013</v>
          </cell>
          <cell r="E1317" t="str">
            <v>PATIENT MONITORING EQUIP.(AUTOMATIC MULTIPARAMETER)</v>
          </cell>
          <cell r="F1317" t="str">
            <v>WELCH ALLYN</v>
          </cell>
          <cell r="G1317" t="str">
            <v>WELCH ALLYN VSM 300</v>
          </cell>
          <cell r="H1317" t="str">
            <v>JA123481</v>
          </cell>
          <cell r="I1317" t="str">
            <v>ANNUALLY</v>
          </cell>
          <cell r="J1317">
            <v>45846</v>
          </cell>
          <cell r="K1317"/>
          <cell r="L1317"/>
          <cell r="M1317"/>
          <cell r="N1317" t="str">
            <v>JABATAN PERUBATAN AM</v>
          </cell>
          <cell r="O1317" t="str">
            <v>Unit Kesihatan Awam/Pendidikan Kesihatan (UKA/UPK)</v>
          </cell>
        </row>
        <row r="1318">
          <cell r="D1318" t="str">
            <v>KKM/JKN/HSA/10-05-01/H/16/167</v>
          </cell>
          <cell r="E1318" t="str">
            <v>PICO + SMOKERLYZER</v>
          </cell>
          <cell r="F1318" t="str">
            <v>PICO</v>
          </cell>
          <cell r="G1318" t="str">
            <v>NOT AVAILABLE</v>
          </cell>
          <cell r="H1318" t="str">
            <v>CP705424</v>
          </cell>
          <cell r="I1318" t="str">
            <v>ANNUALLY</v>
          </cell>
          <cell r="J1318">
            <v>45769</v>
          </cell>
          <cell r="K1318"/>
          <cell r="L1318"/>
          <cell r="M1318"/>
          <cell r="N1318" t="str">
            <v>JABATAN PERUBATAN AM</v>
          </cell>
          <cell r="O1318" t="str">
            <v>Unit Kesihatan Awam/Pendidikan Kesihatan (UKA/UPK)</v>
          </cell>
        </row>
        <row r="1319">
          <cell r="D1319" t="str">
            <v>KKM/JKN/HSA/10-05-01/H/16/44</v>
          </cell>
          <cell r="E1319" t="str">
            <v>MICRO + SMOKERLYZER</v>
          </cell>
          <cell r="F1319" t="str">
            <v>CAREFUSION</v>
          </cell>
          <cell r="G1319" t="str">
            <v>MICRO</v>
          </cell>
          <cell r="H1319" t="str">
            <v>073-67351</v>
          </cell>
          <cell r="I1319" t="str">
            <v>ANNUALLY</v>
          </cell>
          <cell r="J1319">
            <v>45769</v>
          </cell>
          <cell r="K1319"/>
          <cell r="L1319"/>
          <cell r="M1319"/>
          <cell r="N1319" t="str">
            <v>JABATAN PERUBATAN AM</v>
          </cell>
          <cell r="O1319" t="str">
            <v>Unit Kesihatan Awam/Pendidikan Kesihatan (UKA/UPK)</v>
          </cell>
        </row>
        <row r="1320">
          <cell r="D1320" t="str">
            <v>HSAS10006</v>
          </cell>
          <cell r="E1320" t="str">
            <v>DOCKING SYSTEM</v>
          </cell>
          <cell r="F1320" t="str">
            <v>N/A</v>
          </cell>
          <cell r="G1320" t="str">
            <v>N/A</v>
          </cell>
          <cell r="H1320">
            <v>22233484</v>
          </cell>
          <cell r="I1320" t="str">
            <v>ANNUALLY</v>
          </cell>
          <cell r="J1320">
            <v>45924</v>
          </cell>
          <cell r="K1320"/>
          <cell r="L1320"/>
          <cell r="M1320"/>
          <cell r="N1320" t="str">
            <v>JABATAN PERUBATAN AM</v>
          </cell>
          <cell r="O1320" t="str">
            <v>Unit Rawatan Koronari (CCU)</v>
          </cell>
        </row>
        <row r="1321">
          <cell r="D1321" t="str">
            <v>HSAS10007</v>
          </cell>
          <cell r="E1321" t="str">
            <v>DOCKING SYSTEM</v>
          </cell>
          <cell r="F1321" t="str">
            <v>N/A</v>
          </cell>
          <cell r="G1321" t="str">
            <v>N/A</v>
          </cell>
          <cell r="H1321">
            <v>22233482</v>
          </cell>
          <cell r="I1321" t="str">
            <v>ANNUALLY</v>
          </cell>
          <cell r="J1321">
            <v>45924</v>
          </cell>
          <cell r="K1321"/>
          <cell r="L1321"/>
          <cell r="M1321"/>
          <cell r="N1321" t="str">
            <v>JABATAN PERUBATAN AM</v>
          </cell>
          <cell r="O1321" t="str">
            <v>Unit Rawatan Koronari (CCU)</v>
          </cell>
        </row>
        <row r="1322">
          <cell r="D1322" t="str">
            <v>HSAS10008</v>
          </cell>
          <cell r="E1322" t="str">
            <v>DOCKING SYSTEM</v>
          </cell>
          <cell r="F1322" t="str">
            <v>N/A</v>
          </cell>
          <cell r="G1322" t="str">
            <v>N/A</v>
          </cell>
          <cell r="H1322">
            <v>22233485</v>
          </cell>
          <cell r="I1322" t="str">
            <v>ANNUALLY</v>
          </cell>
          <cell r="J1322">
            <v>45924</v>
          </cell>
          <cell r="K1322"/>
          <cell r="L1322"/>
          <cell r="M1322"/>
          <cell r="N1322" t="str">
            <v>JABATAN PERUBATAN AM</v>
          </cell>
          <cell r="O1322" t="str">
            <v>Unit Rawatan Koronari (CCU)</v>
          </cell>
        </row>
        <row r="1323">
          <cell r="D1323" t="str">
            <v>HSAS10009</v>
          </cell>
          <cell r="E1323" t="str">
            <v>DOCKING SYSTEM</v>
          </cell>
          <cell r="F1323" t="str">
            <v>N/A</v>
          </cell>
          <cell r="G1323" t="str">
            <v>N/A</v>
          </cell>
          <cell r="H1323">
            <v>22233480</v>
          </cell>
          <cell r="I1323" t="str">
            <v>ANNUALLY</v>
          </cell>
          <cell r="J1323">
            <v>45924</v>
          </cell>
          <cell r="K1323"/>
          <cell r="L1323"/>
          <cell r="M1323"/>
          <cell r="N1323" t="str">
            <v>JABATAN PERUBATAN AM</v>
          </cell>
          <cell r="O1323" t="str">
            <v>Unit Rawatan Koronari (CCU)</v>
          </cell>
        </row>
        <row r="1324">
          <cell r="D1324" t="str">
            <v>HSAS10011</v>
          </cell>
          <cell r="E1324" t="str">
            <v>DOCKING SYSTEM</v>
          </cell>
          <cell r="F1324" t="str">
            <v>N/A</v>
          </cell>
          <cell r="G1324" t="str">
            <v>N/A</v>
          </cell>
          <cell r="H1324">
            <v>22233481</v>
          </cell>
          <cell r="I1324" t="str">
            <v>ANNUALLY</v>
          </cell>
          <cell r="J1324">
            <v>45924</v>
          </cell>
          <cell r="K1324"/>
          <cell r="L1324"/>
          <cell r="M1324"/>
          <cell r="N1324" t="str">
            <v>JABATAN PERUBATAN AM</v>
          </cell>
          <cell r="O1324" t="str">
            <v>Unit Rawatan Koronari (CCU)</v>
          </cell>
        </row>
        <row r="1325">
          <cell r="D1325" t="str">
            <v>HSAS10073</v>
          </cell>
          <cell r="E1325" t="str">
            <v>LASER PRINTER FOR CENTRAL STATION</v>
          </cell>
          <cell r="F1325" t="str">
            <v>MINDRAY</v>
          </cell>
          <cell r="G1325" t="str">
            <v>HP LASERJET PRINTER</v>
          </cell>
          <cell r="H1325" t="str">
            <v>VNH4704695</v>
          </cell>
          <cell r="I1325" t="str">
            <v>SEMI ANNUALLY</v>
          </cell>
          <cell r="J1325">
            <v>45719</v>
          </cell>
          <cell r="K1325">
            <v>45810</v>
          </cell>
          <cell r="L1325"/>
          <cell r="M1325"/>
          <cell r="N1325" t="str">
            <v>JABATAN PERUBATAN AM</v>
          </cell>
          <cell r="O1325" t="str">
            <v>Unit Rawatan Koronari (CCU)</v>
          </cell>
        </row>
        <row r="1326">
          <cell r="D1326" t="str">
            <v>KKM/JKN/HSA/10-05-01/H/15/896</v>
          </cell>
          <cell r="E1326" t="str">
            <v>PATIENT MONITORING EQUIP.(AUTOMATIC MULTIPARAMETER)</v>
          </cell>
          <cell r="F1326" t="str">
            <v>MINDRAY</v>
          </cell>
          <cell r="G1326" t="str">
            <v>BENEVIEW T1/T8</v>
          </cell>
          <cell r="H1326" t="str">
            <v>N/A</v>
          </cell>
          <cell r="I1326" t="str">
            <v>ANNUALLY</v>
          </cell>
          <cell r="J1326">
            <v>45802</v>
          </cell>
          <cell r="K1326"/>
          <cell r="L1326"/>
          <cell r="M1326"/>
          <cell r="N1326" t="str">
            <v>JABATAN PERUBATAN AM</v>
          </cell>
          <cell r="O1326" t="str">
            <v>Unit Rawatan Koronari (CCU)</v>
          </cell>
        </row>
        <row r="1327">
          <cell r="D1327" t="str">
            <v>KKM/JKN/HSA/10-05-01/H/15/897</v>
          </cell>
          <cell r="E1327" t="str">
            <v>PATIENT MONITORING EQUIP.(AUTOMATIC MULTIPARAMETER)</v>
          </cell>
          <cell r="F1327" t="str">
            <v>MINDRAY</v>
          </cell>
          <cell r="G1327" t="str">
            <v>BENEVIEW T1/T8</v>
          </cell>
          <cell r="H1327" t="str">
            <v>N/A</v>
          </cell>
          <cell r="I1327" t="str">
            <v>ANNUALLY</v>
          </cell>
          <cell r="J1327">
            <v>45802</v>
          </cell>
          <cell r="K1327"/>
          <cell r="L1327"/>
          <cell r="M1327"/>
          <cell r="N1327" t="str">
            <v>JABATAN PERUBATAN AM</v>
          </cell>
          <cell r="O1327" t="str">
            <v>Unit Rawatan Koronari (CCU)</v>
          </cell>
        </row>
        <row r="1328">
          <cell r="D1328" t="str">
            <v>KKM/JKN/HSA/10-05-01/H/15/898</v>
          </cell>
          <cell r="E1328" t="str">
            <v>PATIENT MONITORING EQUIP.(AUTOMATIC MULTIPARAMETER)</v>
          </cell>
          <cell r="F1328" t="str">
            <v>MINDRAY</v>
          </cell>
          <cell r="G1328" t="str">
            <v>BENEVIEW T1/T8</v>
          </cell>
          <cell r="H1328" t="str">
            <v>N/A</v>
          </cell>
          <cell r="I1328" t="str">
            <v>ANNUALLY</v>
          </cell>
          <cell r="J1328">
            <v>45802</v>
          </cell>
          <cell r="K1328"/>
          <cell r="L1328"/>
          <cell r="M1328"/>
          <cell r="N1328" t="str">
            <v>JABATAN PERUBATAN AM</v>
          </cell>
          <cell r="O1328" t="str">
            <v>Unit Rawatan Koronari (CCU)</v>
          </cell>
        </row>
        <row r="1329">
          <cell r="D1329" t="str">
            <v>KKM/JKN/HSA/10-05-01/H/15/1014</v>
          </cell>
          <cell r="E1329" t="str">
            <v>PATIENT MONITORING EQUIP.(AUTOMATIC MULTIPARAMETER)</v>
          </cell>
          <cell r="F1329" t="str">
            <v>WELCH ALLYN</v>
          </cell>
          <cell r="G1329" t="str">
            <v>WELCH ALLYN VSM 300</v>
          </cell>
          <cell r="H1329" t="str">
            <v>JA123471</v>
          </cell>
          <cell r="I1329" t="str">
            <v>ANNUALLY</v>
          </cell>
          <cell r="J1329">
            <v>45860</v>
          </cell>
          <cell r="K1329"/>
          <cell r="L1329"/>
          <cell r="M1329"/>
          <cell r="N1329" t="str">
            <v>JABATAN PERUBATAN AM</v>
          </cell>
          <cell r="O1329" t="str">
            <v>Unit Rawatan Koronari (CCU)</v>
          </cell>
        </row>
        <row r="1330">
          <cell r="D1330" t="str">
            <v>KKM/JKN/HSA/10-05-01/H/15/1038</v>
          </cell>
          <cell r="E1330" t="str">
            <v>PATIENT MONITORING EQUIP.(AUTOMATIC MULTIPARAMETER) (CO2 MODULE)</v>
          </cell>
          <cell r="F1330" t="str">
            <v>MINDRAY</v>
          </cell>
          <cell r="G1330" t="str">
            <v>CO2 MODULE</v>
          </cell>
          <cell r="H1330" t="str">
            <v>DUD52280032</v>
          </cell>
          <cell r="I1330" t="str">
            <v>ANNUALLY</v>
          </cell>
          <cell r="J1330">
            <v>45712</v>
          </cell>
          <cell r="K1330"/>
          <cell r="L1330"/>
          <cell r="M1330"/>
          <cell r="N1330" t="str">
            <v>JABATAN PERUBATAN AM</v>
          </cell>
          <cell r="O1330" t="str">
            <v>Unit Rawatan Koronari (CCU)</v>
          </cell>
        </row>
        <row r="1331">
          <cell r="D1331" t="str">
            <v>KKM/JKN/HSA/10-05-01/H/15/1039</v>
          </cell>
          <cell r="E1331" t="str">
            <v>PATIENT MONITORING EQUIP.(AUTOMATIC MULTIPARAMETER) (CO2 MODULE)</v>
          </cell>
          <cell r="F1331" t="str">
            <v>MINDRAY</v>
          </cell>
          <cell r="G1331" t="str">
            <v>CO2 MODULE</v>
          </cell>
          <cell r="H1331" t="str">
            <v>DUD52280051</v>
          </cell>
          <cell r="I1331" t="str">
            <v>ANNUALLY</v>
          </cell>
          <cell r="J1331">
            <v>45712</v>
          </cell>
          <cell r="K1331"/>
          <cell r="L1331"/>
          <cell r="M1331"/>
          <cell r="N1331" t="str">
            <v>JABATAN PERUBATAN AM</v>
          </cell>
          <cell r="O1331" t="str">
            <v>Unit Rawatan Koronari (CCU)</v>
          </cell>
        </row>
        <row r="1332">
          <cell r="D1332" t="str">
            <v>KKM/JKN/HSA/10-05-01/H/15/1040</v>
          </cell>
          <cell r="E1332" t="str">
            <v>PATIENT MONITORING EQUIP.(AUTOMATIC MULTIPARAMETER) (CO2 MODULE)</v>
          </cell>
          <cell r="F1332" t="str">
            <v>MINDRAY</v>
          </cell>
          <cell r="G1332" t="str">
            <v>CO2 MODULE</v>
          </cell>
          <cell r="H1332" t="str">
            <v>DUD52280044</v>
          </cell>
          <cell r="I1332" t="str">
            <v>ANNUALLY</v>
          </cell>
          <cell r="J1332">
            <v>45712</v>
          </cell>
          <cell r="K1332"/>
          <cell r="L1332"/>
          <cell r="M1332"/>
          <cell r="N1332" t="str">
            <v>JABATAN PERUBATAN AM</v>
          </cell>
          <cell r="O1332" t="str">
            <v>Unit Rawatan Koronari (CCU)</v>
          </cell>
        </row>
        <row r="1333">
          <cell r="D1333" t="str">
            <v>KKM/JKN/HSA/10-05-01/H/15/1041</v>
          </cell>
          <cell r="E1333" t="str">
            <v>PATIENT MONITORING EQUIP.(AUTOMATIC MULTIPARAMETER) (CO2 MODULE)</v>
          </cell>
          <cell r="F1333" t="str">
            <v>MINDRAY</v>
          </cell>
          <cell r="G1333" t="str">
            <v>CO2 MODULE</v>
          </cell>
          <cell r="H1333" t="str">
            <v>DUD52280064</v>
          </cell>
          <cell r="I1333" t="str">
            <v>ANNUALLY</v>
          </cell>
          <cell r="J1333">
            <v>45712</v>
          </cell>
          <cell r="K1333"/>
          <cell r="L1333"/>
          <cell r="M1333"/>
          <cell r="N1333" t="str">
            <v>JABATAN PERUBATAN AM</v>
          </cell>
          <cell r="O1333" t="str">
            <v>Unit Rawatan Koronari (CCU)</v>
          </cell>
        </row>
        <row r="1334">
          <cell r="D1334" t="str">
            <v>KKM/JKN/HSA/10-05-01/H/15/1042</v>
          </cell>
          <cell r="E1334" t="str">
            <v>PATIENT MONITORING EQUIP.(AUTOMATIC MULTIPARAMETER)</v>
          </cell>
          <cell r="F1334" t="str">
            <v>MINDRAY</v>
          </cell>
          <cell r="G1334" t="str">
            <v>CO2 MODULE</v>
          </cell>
          <cell r="H1334" t="str">
            <v>DUD52280069</v>
          </cell>
          <cell r="I1334" t="str">
            <v>ANNUALLY</v>
          </cell>
          <cell r="J1334">
            <v>45712</v>
          </cell>
          <cell r="K1334"/>
          <cell r="L1334"/>
          <cell r="M1334"/>
          <cell r="N1334" t="str">
            <v>JABATAN PERUBATAN AM</v>
          </cell>
          <cell r="O1334" t="str">
            <v>Unit Rawatan Koronari (CCU)</v>
          </cell>
        </row>
        <row r="1335">
          <cell r="D1335" t="str">
            <v>KKM/JKN/HSA/10-05-01/H/15/1043</v>
          </cell>
          <cell r="E1335" t="str">
            <v>PATIENT MONITORING EQUIP.(AUTOMATIC MULTIPARAMETER)</v>
          </cell>
          <cell r="F1335" t="str">
            <v>MINDRAY</v>
          </cell>
          <cell r="G1335" t="str">
            <v>CO2 MODULE</v>
          </cell>
          <cell r="H1335" t="str">
            <v>DUD52280070</v>
          </cell>
          <cell r="I1335" t="str">
            <v>ANNUALLY</v>
          </cell>
          <cell r="J1335">
            <v>45712</v>
          </cell>
          <cell r="K1335"/>
          <cell r="L1335"/>
          <cell r="M1335"/>
          <cell r="N1335" t="str">
            <v>JABATAN PERUBATAN AM</v>
          </cell>
          <cell r="O1335" t="str">
            <v>Unit Rawatan Koronari (CCU)</v>
          </cell>
        </row>
        <row r="1336">
          <cell r="D1336" t="str">
            <v>KKM/JKN/HSA/10-05-01/H/15/1044</v>
          </cell>
          <cell r="E1336" t="str">
            <v>PATIENT MONITORING EQUIP.(AUTOMATIC MULTIPARAMETER)</v>
          </cell>
          <cell r="F1336" t="str">
            <v>MINDRAY</v>
          </cell>
          <cell r="G1336" t="str">
            <v>CO2 MODULE</v>
          </cell>
          <cell r="H1336" t="str">
            <v>DUD52280071</v>
          </cell>
          <cell r="I1336" t="str">
            <v>ANNUALLY</v>
          </cell>
          <cell r="J1336">
            <v>45712</v>
          </cell>
          <cell r="K1336"/>
          <cell r="L1336"/>
          <cell r="M1336"/>
          <cell r="N1336" t="str">
            <v>JABATAN PERUBATAN AM</v>
          </cell>
          <cell r="O1336" t="str">
            <v>Unit Rawatan Koronari (CCU)</v>
          </cell>
        </row>
        <row r="1337">
          <cell r="D1337" t="str">
            <v>KKM/JKN/HSA/10-05-01/H/15/1096</v>
          </cell>
          <cell r="E1337" t="str">
            <v>SUCTION APPARATUS</v>
          </cell>
          <cell r="F1337" t="str">
            <v>GOMCO</v>
          </cell>
          <cell r="G1337" t="str">
            <v>ALLIED HEALTHCARE/ 01-33-6050</v>
          </cell>
          <cell r="H1337" t="str">
            <v>20141117003</v>
          </cell>
          <cell r="I1337" t="str">
            <v>ANNUALLY</v>
          </cell>
          <cell r="J1337">
            <v>45869</v>
          </cell>
          <cell r="K1337"/>
          <cell r="L1337"/>
          <cell r="M1337"/>
          <cell r="N1337" t="str">
            <v>JABATAN PERUBATAN AM</v>
          </cell>
          <cell r="O1337" t="str">
            <v>Unit Rawatan Koronari (CCU)</v>
          </cell>
        </row>
        <row r="1338">
          <cell r="D1338" t="str">
            <v>KKM/JKN/HSA/10-05-01/H/15/1097</v>
          </cell>
          <cell r="E1338" t="str">
            <v>SUCTION APPARATUS</v>
          </cell>
          <cell r="F1338" t="str">
            <v>GOMCO</v>
          </cell>
          <cell r="G1338" t="str">
            <v>ALLIED HEALTHCARE/ 01-33-6050</v>
          </cell>
          <cell r="H1338" t="str">
            <v>20141117006</v>
          </cell>
          <cell r="I1338" t="str">
            <v>ANNUALLY</v>
          </cell>
          <cell r="J1338">
            <v>45869</v>
          </cell>
          <cell r="K1338"/>
          <cell r="L1338"/>
          <cell r="M1338"/>
          <cell r="N1338" t="str">
            <v>JABATAN PERUBATAN AM</v>
          </cell>
          <cell r="O1338" t="str">
            <v>Unit Rawatan Koronari (CCU)</v>
          </cell>
        </row>
        <row r="1339">
          <cell r="D1339" t="str">
            <v>KKM/JKN/HSA/10-05-01/H/15/1141</v>
          </cell>
          <cell r="E1339" t="str">
            <v>CARDIAC OUTPUT MODULE</v>
          </cell>
          <cell r="F1339" t="str">
            <v>MINDRAY</v>
          </cell>
          <cell r="G1339" t="str">
            <v>C.O MODULE</v>
          </cell>
          <cell r="H1339" t="str">
            <v>CFS42260120</v>
          </cell>
          <cell r="I1339" t="str">
            <v>ANNUALLY</v>
          </cell>
          <cell r="J1339">
            <v>45897</v>
          </cell>
          <cell r="K1339"/>
          <cell r="L1339"/>
          <cell r="M1339"/>
          <cell r="N1339" t="str">
            <v>JABATAN PERUBATAN AM</v>
          </cell>
          <cell r="O1339" t="str">
            <v>Unit Rawatan Koronari (CCU)</v>
          </cell>
        </row>
        <row r="1340">
          <cell r="D1340" t="str">
            <v>KKM/JKN/HSA/10-05-01/H/15/1142</v>
          </cell>
          <cell r="E1340" t="str">
            <v>CARDIAC OUTPUT MODULE</v>
          </cell>
          <cell r="F1340" t="str">
            <v>MINDRAY</v>
          </cell>
          <cell r="G1340" t="str">
            <v>C.O MODULE</v>
          </cell>
          <cell r="H1340" t="str">
            <v>CFS4C276642</v>
          </cell>
          <cell r="I1340" t="str">
            <v>ANNUALLY</v>
          </cell>
          <cell r="J1340">
            <v>45897</v>
          </cell>
          <cell r="K1340"/>
          <cell r="L1340"/>
          <cell r="M1340"/>
          <cell r="N1340" t="str">
            <v>JABATAN PERUBATAN AM</v>
          </cell>
          <cell r="O1340" t="str">
            <v>Unit Rawatan Koronari (CCU)</v>
          </cell>
        </row>
        <row r="1341">
          <cell r="D1341" t="str">
            <v>KKM/JKN/HSA/10-05-01/H/15/1143</v>
          </cell>
          <cell r="E1341" t="str">
            <v>CARDIAC OUTPUT MODULE</v>
          </cell>
          <cell r="F1341" t="str">
            <v>MINDRAY</v>
          </cell>
          <cell r="G1341" t="str">
            <v>C.O MODULE</v>
          </cell>
          <cell r="H1341" t="str">
            <v>CFS42260121</v>
          </cell>
          <cell r="I1341" t="str">
            <v>ANNUALLY</v>
          </cell>
          <cell r="J1341">
            <v>45897</v>
          </cell>
          <cell r="K1341"/>
          <cell r="L1341"/>
          <cell r="M1341"/>
          <cell r="N1341" t="str">
            <v>JABATAN PERUBATAN AM</v>
          </cell>
          <cell r="O1341" t="str">
            <v>Unit Rawatan Koronari (CCU)</v>
          </cell>
        </row>
        <row r="1342">
          <cell r="D1342" t="str">
            <v>KKM/JKN/HSA/10-05-01/H/15/1144</v>
          </cell>
          <cell r="E1342" t="str">
            <v>CARDIAC OUTPUT MODULE</v>
          </cell>
          <cell r="F1342" t="str">
            <v>MINDRAY</v>
          </cell>
          <cell r="G1342" t="str">
            <v>C.O MODULE</v>
          </cell>
          <cell r="H1342" t="str">
            <v>CFS4C76643</v>
          </cell>
          <cell r="I1342" t="str">
            <v>ANNUALLY</v>
          </cell>
          <cell r="J1342">
            <v>45897</v>
          </cell>
          <cell r="K1342"/>
          <cell r="L1342"/>
          <cell r="M1342"/>
          <cell r="N1342" t="str">
            <v>JABATAN PERUBATAN AM</v>
          </cell>
          <cell r="O1342" t="str">
            <v>Unit Rawatan Koronari (CCU)</v>
          </cell>
        </row>
        <row r="1343">
          <cell r="D1343" t="str">
            <v>KKM/JKN/HSA/10-05-01/H/15/1145</v>
          </cell>
          <cell r="E1343" t="str">
            <v>CARDIAC OUTPUT MODULE</v>
          </cell>
          <cell r="F1343" t="str">
            <v>MINDRAY</v>
          </cell>
          <cell r="G1343" t="str">
            <v>C.O MODULE</v>
          </cell>
          <cell r="H1343" t="str">
            <v>CFS4B275254</v>
          </cell>
          <cell r="I1343" t="str">
            <v>ANNUALLY</v>
          </cell>
          <cell r="J1343">
            <v>45897</v>
          </cell>
          <cell r="K1343"/>
          <cell r="L1343"/>
          <cell r="M1343"/>
          <cell r="N1343" t="str">
            <v>JABATAN PERUBATAN AM</v>
          </cell>
          <cell r="O1343" t="str">
            <v>Unit Rawatan Koronari (CCU)</v>
          </cell>
        </row>
        <row r="1344">
          <cell r="D1344" t="str">
            <v>KKM/JKN/HSA/10-05-01/H/15/1146</v>
          </cell>
          <cell r="E1344" t="str">
            <v>CARDIAC OUTPUT MODULE</v>
          </cell>
          <cell r="F1344" t="str">
            <v>MINDRAY</v>
          </cell>
          <cell r="G1344" t="str">
            <v>C.O MODULE</v>
          </cell>
          <cell r="H1344" t="str">
            <v>N/A</v>
          </cell>
          <cell r="I1344" t="str">
            <v>ANNUALLY</v>
          </cell>
          <cell r="J1344">
            <v>45897</v>
          </cell>
          <cell r="K1344"/>
          <cell r="L1344"/>
          <cell r="M1344"/>
          <cell r="N1344" t="str">
            <v>JABATAN PERUBATAN AM</v>
          </cell>
          <cell r="O1344" t="str">
            <v>Unit Rawatan Koronari (CCU)</v>
          </cell>
        </row>
        <row r="1345">
          <cell r="D1345" t="str">
            <v>KKM/JKN/HSA/10-05-01/H/15/1175</v>
          </cell>
          <cell r="E1345" t="str">
            <v>INFUSION PUMP</v>
          </cell>
          <cell r="F1345" t="str">
            <v>FRESENIUS KABI</v>
          </cell>
          <cell r="G1345" t="str">
            <v>VOLUMAT MC AGILIA GB</v>
          </cell>
          <cell r="H1345" t="str">
            <v>22235255</v>
          </cell>
          <cell r="I1345" t="str">
            <v>ANNUALLY</v>
          </cell>
          <cell r="J1345">
            <v>45876</v>
          </cell>
          <cell r="K1345"/>
          <cell r="L1345"/>
          <cell r="M1345"/>
          <cell r="N1345" t="str">
            <v>JABATAN PERUBATAN AM</v>
          </cell>
          <cell r="O1345" t="str">
            <v>Unit Rawatan Koronari (CCU)</v>
          </cell>
        </row>
        <row r="1346">
          <cell r="D1346" t="str">
            <v>KKM/JKN/HSA/10-05-01/H/15/1176</v>
          </cell>
          <cell r="E1346" t="str">
            <v>INFUSION PUMP</v>
          </cell>
          <cell r="F1346" t="str">
            <v>FRESENIUS KABI</v>
          </cell>
          <cell r="G1346" t="str">
            <v>VOLUMAT MC AGILIA GB</v>
          </cell>
          <cell r="H1346" t="str">
            <v>22170832</v>
          </cell>
          <cell r="I1346" t="str">
            <v>ANNUALLY</v>
          </cell>
          <cell r="J1346">
            <v>45876</v>
          </cell>
          <cell r="K1346"/>
          <cell r="L1346"/>
          <cell r="M1346"/>
          <cell r="N1346" t="str">
            <v>JABATAN PERUBATAN AM</v>
          </cell>
          <cell r="O1346" t="str">
            <v>Unit Rawatan Koronari (CCU)</v>
          </cell>
        </row>
        <row r="1347">
          <cell r="D1347" t="str">
            <v>KKM/JKN/HSA/10-05-01/H/15/1177</v>
          </cell>
          <cell r="E1347" t="str">
            <v>INFUSION PUMP</v>
          </cell>
          <cell r="F1347" t="str">
            <v>FRESENIUS KABI</v>
          </cell>
          <cell r="G1347" t="str">
            <v>VOLUMAT MC AGILIA GB</v>
          </cell>
          <cell r="H1347" t="str">
            <v>22235917</v>
          </cell>
          <cell r="I1347" t="str">
            <v>ANNUALLY</v>
          </cell>
          <cell r="J1347">
            <v>45876</v>
          </cell>
          <cell r="K1347"/>
          <cell r="L1347"/>
          <cell r="M1347"/>
          <cell r="N1347" t="str">
            <v>JABATAN PERUBATAN AM</v>
          </cell>
          <cell r="O1347" t="str">
            <v>Unit Rawatan Koronari (CCU)</v>
          </cell>
        </row>
        <row r="1348">
          <cell r="D1348" t="str">
            <v>KKM/JKN/HSA/10-05-01/H/15/1178</v>
          </cell>
          <cell r="E1348" t="str">
            <v>INFUSION PUMP</v>
          </cell>
          <cell r="F1348" t="str">
            <v>FRESENIUS KABI</v>
          </cell>
          <cell r="G1348" t="str">
            <v>LINK 8+ AGILIA/MOBILE STAND</v>
          </cell>
          <cell r="H1348" t="str">
            <v>22235268</v>
          </cell>
          <cell r="I1348" t="str">
            <v>ANNUALLY</v>
          </cell>
          <cell r="J1348">
            <v>45876</v>
          </cell>
          <cell r="K1348"/>
          <cell r="L1348"/>
          <cell r="M1348"/>
          <cell r="N1348" t="str">
            <v>JABATAN PERUBATAN AM</v>
          </cell>
          <cell r="O1348" t="str">
            <v>Unit Rawatan Koronari (CCU)</v>
          </cell>
        </row>
        <row r="1349">
          <cell r="D1349" t="str">
            <v>KKM/JKN/HSA/10-05-01/H/15/1179</v>
          </cell>
          <cell r="E1349" t="str">
            <v>INFUSION PUMP</v>
          </cell>
          <cell r="F1349" t="str">
            <v>FRESENIUS KABI</v>
          </cell>
          <cell r="G1349" t="str">
            <v>VOLUMAT MC AGILIA GB</v>
          </cell>
          <cell r="H1349" t="str">
            <v>22235251</v>
          </cell>
          <cell r="I1349" t="str">
            <v>ANNUALLY</v>
          </cell>
          <cell r="J1349">
            <v>45876</v>
          </cell>
          <cell r="K1349"/>
          <cell r="L1349"/>
          <cell r="M1349"/>
          <cell r="N1349" t="str">
            <v>JABATAN PERUBATAN AM</v>
          </cell>
          <cell r="O1349" t="str">
            <v>Unit Rawatan Koronari (CCU)</v>
          </cell>
        </row>
        <row r="1350">
          <cell r="D1350" t="str">
            <v>KKM/JKN/HSA/10-05-01/H/15/1180</v>
          </cell>
          <cell r="E1350" t="str">
            <v>INFUSION PUMP</v>
          </cell>
          <cell r="F1350" t="str">
            <v>FRESENIUS KABI</v>
          </cell>
          <cell r="G1350" t="str">
            <v>LINK 8+ AGILIA/MOBILE STAND</v>
          </cell>
          <cell r="H1350" t="str">
            <v>019130/22235303</v>
          </cell>
          <cell r="I1350" t="str">
            <v>ANNUALLY</v>
          </cell>
          <cell r="J1350">
            <v>45876</v>
          </cell>
          <cell r="K1350"/>
          <cell r="L1350"/>
          <cell r="M1350"/>
          <cell r="N1350" t="str">
            <v>JABATAN PERUBATAN AM</v>
          </cell>
          <cell r="O1350" t="str">
            <v>Unit Rawatan Koronari (CCU)</v>
          </cell>
        </row>
        <row r="1351">
          <cell r="D1351" t="str">
            <v>KKM/JKN/HSA/10-05-01/H/15/1181</v>
          </cell>
          <cell r="E1351" t="str">
            <v>INFUSION PUMP</v>
          </cell>
          <cell r="F1351" t="str">
            <v>FRESENIUS KABI</v>
          </cell>
          <cell r="G1351" t="str">
            <v>VOLUMAT MC AGILIA GB</v>
          </cell>
          <cell r="H1351" t="str">
            <v>22235253</v>
          </cell>
          <cell r="I1351" t="str">
            <v>ANNUALLY</v>
          </cell>
          <cell r="J1351">
            <v>45877</v>
          </cell>
          <cell r="K1351"/>
          <cell r="L1351"/>
          <cell r="M1351"/>
          <cell r="N1351" t="str">
            <v>JABATAN PERUBATAN AM</v>
          </cell>
          <cell r="O1351" t="str">
            <v>Unit Rawatan Koronari (CCU)</v>
          </cell>
        </row>
        <row r="1352">
          <cell r="D1352" t="str">
            <v>KKM/JKN/HSA/10-05-01/H/15/1773</v>
          </cell>
          <cell r="E1352" t="str">
            <v>ENTERAL FEEDING PUMP</v>
          </cell>
          <cell r="F1352" t="str">
            <v>FRESENIUS KABI</v>
          </cell>
          <cell r="G1352" t="str">
            <v>APPLIX VISION</v>
          </cell>
          <cell r="H1352" t="str">
            <v>22232625</v>
          </cell>
          <cell r="I1352" t="str">
            <v>ANNUALLY</v>
          </cell>
          <cell r="J1352">
            <v>45880</v>
          </cell>
          <cell r="K1352"/>
          <cell r="L1352"/>
          <cell r="M1352"/>
          <cell r="N1352" t="str">
            <v>JABATAN PERUBATAN AM</v>
          </cell>
          <cell r="O1352" t="str">
            <v>Unit Rawatan Koronari (CCU)</v>
          </cell>
        </row>
        <row r="1353">
          <cell r="D1353" t="str">
            <v>KKM/JKN/HSA/10-05-01/H/15/296</v>
          </cell>
          <cell r="E1353" t="str">
            <v>VENTILATOR</v>
          </cell>
          <cell r="F1353" t="str">
            <v>DRAEGER</v>
          </cell>
          <cell r="G1353" t="str">
            <v>SAVINA 300</v>
          </cell>
          <cell r="H1353" t="str">
            <v>ASHD0031</v>
          </cell>
          <cell r="I1353" t="str">
            <v>ANNUALLY</v>
          </cell>
          <cell r="J1353">
            <v>45779</v>
          </cell>
          <cell r="K1353"/>
          <cell r="L1353"/>
          <cell r="M1353"/>
          <cell r="N1353" t="str">
            <v>JABATAN PERUBATAN AM</v>
          </cell>
          <cell r="O1353" t="str">
            <v>Unit Rawatan Koronari (CCU)</v>
          </cell>
        </row>
        <row r="1354">
          <cell r="D1354" t="str">
            <v>KKM/JKN/HSA/10-05-01/H/15/312</v>
          </cell>
          <cell r="E1354" t="str">
            <v>VENTILATOR</v>
          </cell>
          <cell r="F1354" t="str">
            <v>DRAEGER</v>
          </cell>
          <cell r="G1354" t="str">
            <v>SAVINA 300</v>
          </cell>
          <cell r="H1354" t="str">
            <v>ASEJ0224</v>
          </cell>
          <cell r="I1354" t="str">
            <v>ANNUALLY</v>
          </cell>
          <cell r="J1354">
            <v>45820</v>
          </cell>
          <cell r="K1354"/>
          <cell r="L1354"/>
          <cell r="M1354"/>
          <cell r="N1354" t="str">
            <v>JABATAN PERUBATAN AM</v>
          </cell>
          <cell r="O1354" t="str">
            <v>Unit Rawatan Koronari (CCU)</v>
          </cell>
        </row>
        <row r="1355">
          <cell r="D1355" t="str">
            <v>KKM/JKN/HSA/10-05-01/H/15/313</v>
          </cell>
          <cell r="E1355" t="str">
            <v>VENTILATOR</v>
          </cell>
          <cell r="F1355" t="str">
            <v>DRAEGER</v>
          </cell>
          <cell r="G1355" t="str">
            <v>SAVINA 300</v>
          </cell>
          <cell r="H1355" t="str">
            <v>ASEJ0025</v>
          </cell>
          <cell r="I1355" t="str">
            <v>ANNUALLY</v>
          </cell>
          <cell r="J1355">
            <v>45820</v>
          </cell>
          <cell r="K1355"/>
          <cell r="L1355"/>
          <cell r="M1355"/>
          <cell r="N1355" t="str">
            <v>JABATAN PERUBATAN AM</v>
          </cell>
          <cell r="O1355" t="str">
            <v>Unit Rawatan Koronari (CCU)</v>
          </cell>
        </row>
        <row r="1356">
          <cell r="D1356" t="str">
            <v>KKM/JKN/HSA/10-05-01/H/15/314</v>
          </cell>
          <cell r="E1356" t="str">
            <v>VENTILATOR</v>
          </cell>
          <cell r="F1356" t="str">
            <v>DRAEGER</v>
          </cell>
          <cell r="G1356" t="str">
            <v>SAVINA 300</v>
          </cell>
          <cell r="H1356" t="str">
            <v>ASEJ0023</v>
          </cell>
          <cell r="I1356" t="str">
            <v>ANNUALLY</v>
          </cell>
          <cell r="J1356">
            <v>45820</v>
          </cell>
          <cell r="K1356"/>
          <cell r="L1356"/>
          <cell r="M1356"/>
          <cell r="N1356" t="str">
            <v>JABATAN PERUBATAN AM</v>
          </cell>
          <cell r="O1356" t="str">
            <v>Unit Rawatan Koronari (CCU)</v>
          </cell>
        </row>
        <row r="1357">
          <cell r="D1357" t="str">
            <v>KKM/JKN/HSA/10-05-01/H/15/3662</v>
          </cell>
          <cell r="E1357" t="str">
            <v>DEFIBRILLATOR</v>
          </cell>
          <cell r="F1357" t="str">
            <v>PHILIPS</v>
          </cell>
          <cell r="G1357" t="str">
            <v>EFFICIA DFM100</v>
          </cell>
          <cell r="H1357" t="str">
            <v>CN32601428</v>
          </cell>
          <cell r="I1357" t="str">
            <v>SEMI ANNUALLY</v>
          </cell>
          <cell r="J1357">
            <v>45819</v>
          </cell>
          <cell r="K1357">
            <v>46001</v>
          </cell>
          <cell r="L1357"/>
          <cell r="M1357"/>
          <cell r="N1357" t="str">
            <v>JABATAN PERUBATAN AM</v>
          </cell>
          <cell r="O1357" t="str">
            <v>Unit Rawatan Koronari (CCU)</v>
          </cell>
        </row>
        <row r="1358">
          <cell r="D1358" t="str">
            <v>KKM/JKN/HSA/10-05-01/H/15/3663</v>
          </cell>
          <cell r="E1358" t="str">
            <v>DEFIBRILLATOR</v>
          </cell>
          <cell r="F1358" t="str">
            <v>PHILIPS</v>
          </cell>
          <cell r="G1358" t="str">
            <v>EFFICIA DFM100</v>
          </cell>
          <cell r="H1358" t="str">
            <v>CN32601427</v>
          </cell>
          <cell r="I1358" t="str">
            <v>SEMI ANNUALLY</v>
          </cell>
          <cell r="J1358">
            <v>45817</v>
          </cell>
          <cell r="K1358">
            <v>45999</v>
          </cell>
          <cell r="L1358"/>
          <cell r="M1358"/>
          <cell r="N1358" t="str">
            <v>JABATAN PERUBATAN AM</v>
          </cell>
          <cell r="O1358" t="str">
            <v>Unit Rawatan Koronari (CCU)</v>
          </cell>
        </row>
        <row r="1359">
          <cell r="D1359" t="str">
            <v>KKM/JKN/HSA/10-05-01/H/15/4871</v>
          </cell>
          <cell r="E1359" t="str">
            <v>VASCULAR DOPPLER</v>
          </cell>
          <cell r="F1359" t="str">
            <v>HUNTLEIGHT</v>
          </cell>
          <cell r="G1359" t="str">
            <v>MD2</v>
          </cell>
          <cell r="H1359" t="str">
            <v>MD2P10527265-13</v>
          </cell>
          <cell r="I1359" t="str">
            <v>ANNUALLY</v>
          </cell>
          <cell r="J1359">
            <v>46028</v>
          </cell>
          <cell r="K1359"/>
          <cell r="L1359"/>
          <cell r="M1359"/>
          <cell r="N1359" t="str">
            <v>JABATAN PERUBATAN AM</v>
          </cell>
          <cell r="O1359" t="str">
            <v>Unit Rawatan Koronari (CCU)</v>
          </cell>
        </row>
        <row r="1360">
          <cell r="D1360" t="str">
            <v>KKM/JKN/HSA/10-05-01/H/15/566</v>
          </cell>
          <cell r="E1360" t="str">
            <v>ECG (EKG) MACHINE</v>
          </cell>
          <cell r="F1360" t="str">
            <v>GE HEALTHCARE</v>
          </cell>
          <cell r="G1360" t="str">
            <v>MAC 1200</v>
          </cell>
          <cell r="H1360" t="str">
            <v>550061838</v>
          </cell>
          <cell r="I1360" t="str">
            <v>ANNUALLY</v>
          </cell>
          <cell r="J1360">
            <v>45847</v>
          </cell>
          <cell r="K1360"/>
          <cell r="L1360"/>
          <cell r="M1360"/>
          <cell r="N1360" t="str">
            <v>JABATAN PERUBATAN AM</v>
          </cell>
          <cell r="O1360" t="str">
            <v>Unit Rawatan Koronari (CCU)</v>
          </cell>
        </row>
        <row r="1361">
          <cell r="D1361" t="str">
            <v>KKM/JKN/HSA/10-05-01/H/15/579</v>
          </cell>
          <cell r="E1361" t="str">
            <v>PATIENT MONITORING EQUIP.(AUTOMATIC MULTIPARAMETER)</v>
          </cell>
          <cell r="F1361" t="str">
            <v>MINDRAY</v>
          </cell>
          <cell r="G1361" t="str">
            <v>BENEVIEW T8</v>
          </cell>
          <cell r="H1361" t="str">
            <v>SNFB45005661</v>
          </cell>
          <cell r="I1361" t="str">
            <v>ANNUALLY</v>
          </cell>
          <cell r="J1361">
            <v>45692</v>
          </cell>
          <cell r="K1361"/>
          <cell r="L1361"/>
          <cell r="M1361"/>
          <cell r="N1361" t="str">
            <v>JABATAN PERUBATAN AM</v>
          </cell>
          <cell r="O1361" t="str">
            <v>Unit Rawatan Koronari (CCU)</v>
          </cell>
        </row>
        <row r="1362">
          <cell r="D1362" t="str">
            <v>KKM/JKN/HSA/10-05-01/H/15/618</v>
          </cell>
          <cell r="E1362" t="str">
            <v>SYRINGE INFUSION PUMP</v>
          </cell>
          <cell r="F1362" t="str">
            <v>FRESENIUS KABI</v>
          </cell>
          <cell r="G1362" t="str">
            <v>INJECTOMAT MC AGILIA</v>
          </cell>
          <cell r="H1362" t="str">
            <v>22231844</v>
          </cell>
          <cell r="I1362" t="str">
            <v>ANNUALLY</v>
          </cell>
          <cell r="J1362">
            <v>45743</v>
          </cell>
          <cell r="K1362"/>
          <cell r="L1362"/>
          <cell r="M1362"/>
          <cell r="N1362" t="str">
            <v>JABATAN PERUBATAN AM</v>
          </cell>
          <cell r="O1362" t="str">
            <v>Unit Rawatan Koronari (CCU)</v>
          </cell>
        </row>
        <row r="1363">
          <cell r="D1363" t="str">
            <v>KKM/JKN/HSA/10-05-01/H/15/620</v>
          </cell>
          <cell r="E1363" t="str">
            <v>SYRINGE INFUSION PUMP</v>
          </cell>
          <cell r="F1363" t="str">
            <v>FRESENIUS KABI</v>
          </cell>
          <cell r="G1363" t="str">
            <v>INJECTOMAT MC AGILIA</v>
          </cell>
          <cell r="H1363" t="str">
            <v>22231633</v>
          </cell>
          <cell r="I1363" t="str">
            <v>ANNUALLY</v>
          </cell>
          <cell r="J1363">
            <v>45754</v>
          </cell>
          <cell r="K1363"/>
          <cell r="L1363"/>
          <cell r="M1363"/>
          <cell r="N1363" t="str">
            <v>JABATAN PERUBATAN AM</v>
          </cell>
          <cell r="O1363" t="str">
            <v>Unit Rawatan Koronari (CCU)</v>
          </cell>
        </row>
        <row r="1364">
          <cell r="D1364" t="str">
            <v>KKM/JKN/HSA/10-05-01/H/15/621</v>
          </cell>
          <cell r="E1364" t="str">
            <v>SYRINGE INFUSION PUMP</v>
          </cell>
          <cell r="F1364" t="str">
            <v>FRESENIUS KABI</v>
          </cell>
          <cell r="G1364" t="str">
            <v>INJECTOMAT MC AGILIA</v>
          </cell>
          <cell r="H1364" t="str">
            <v>22231614</v>
          </cell>
          <cell r="I1364" t="str">
            <v>ANNUALLY</v>
          </cell>
          <cell r="J1364">
            <v>45754</v>
          </cell>
          <cell r="K1364"/>
          <cell r="L1364"/>
          <cell r="M1364"/>
          <cell r="N1364" t="str">
            <v>JABATAN PERUBATAN AM</v>
          </cell>
          <cell r="O1364" t="str">
            <v>Unit Rawatan Koronari (CCU)</v>
          </cell>
        </row>
        <row r="1365">
          <cell r="D1365" t="str">
            <v>KKM/JKN/HSA/10-05-01/H/15/622</v>
          </cell>
          <cell r="E1365" t="str">
            <v>SYRINGE INFUSION PUMP</v>
          </cell>
          <cell r="F1365" t="str">
            <v>FRESENIUS KABI</v>
          </cell>
          <cell r="G1365" t="str">
            <v>INJECTOMAT MC AGILIA</v>
          </cell>
          <cell r="H1365" t="str">
            <v>22231854</v>
          </cell>
          <cell r="I1365" t="str">
            <v>ANNUALLY</v>
          </cell>
          <cell r="J1365">
            <v>45754</v>
          </cell>
          <cell r="K1365"/>
          <cell r="L1365"/>
          <cell r="M1365"/>
          <cell r="N1365" t="str">
            <v>JABATAN PERUBATAN AM</v>
          </cell>
          <cell r="O1365" t="str">
            <v>Unit Rawatan Koronari (CCU)</v>
          </cell>
        </row>
        <row r="1366">
          <cell r="D1366" t="str">
            <v>KKM/JKN/HSA/10-05-01/H/15/623</v>
          </cell>
          <cell r="E1366" t="str">
            <v>SYRINGE INFUSION PUMP</v>
          </cell>
          <cell r="F1366" t="str">
            <v>FRESENIUS KABI</v>
          </cell>
          <cell r="G1366" t="str">
            <v>INJECTOMAT MC AGILIA</v>
          </cell>
          <cell r="H1366" t="str">
            <v>22231851</v>
          </cell>
          <cell r="I1366" t="str">
            <v>ANNUALLY</v>
          </cell>
          <cell r="J1366">
            <v>45754</v>
          </cell>
          <cell r="K1366"/>
          <cell r="L1366"/>
          <cell r="M1366"/>
          <cell r="N1366" t="str">
            <v>JABATAN PERUBATAN AM</v>
          </cell>
          <cell r="O1366" t="str">
            <v>Unit Rawatan Koronari (CCU)</v>
          </cell>
        </row>
        <row r="1367">
          <cell r="D1367" t="str">
            <v>KKM/JKN/HSA/10-05-01/H/15/624</v>
          </cell>
          <cell r="E1367" t="str">
            <v>SYRINGE INFUSION PUMP</v>
          </cell>
          <cell r="F1367" t="str">
            <v>FRESENIUS KABI</v>
          </cell>
          <cell r="G1367" t="str">
            <v>INJECTOMAT MC AGILIA</v>
          </cell>
          <cell r="H1367" t="str">
            <v>018310/22231833</v>
          </cell>
          <cell r="I1367" t="str">
            <v>ANNUALLY</v>
          </cell>
          <cell r="J1367">
            <v>45706</v>
          </cell>
          <cell r="K1367"/>
          <cell r="L1367"/>
          <cell r="M1367"/>
          <cell r="N1367" t="str">
            <v>JABATAN PERUBATAN AM</v>
          </cell>
          <cell r="O1367" t="str">
            <v>Unit Rawatan Koronari (CCU)</v>
          </cell>
        </row>
        <row r="1368">
          <cell r="D1368" t="str">
            <v>KKM/JKN/HSA/10-05-01/H/15/625</v>
          </cell>
          <cell r="E1368" t="str">
            <v>SYRINGE INFUSION PUMP</v>
          </cell>
          <cell r="F1368" t="str">
            <v>FRESENIUS KABI</v>
          </cell>
          <cell r="G1368" t="str">
            <v>INJECTOMAT MC AGILIA</v>
          </cell>
          <cell r="H1368" t="str">
            <v>018130/22231625</v>
          </cell>
          <cell r="I1368" t="str">
            <v>ANNUALLY</v>
          </cell>
          <cell r="J1368">
            <v>45706</v>
          </cell>
          <cell r="K1368"/>
          <cell r="L1368"/>
          <cell r="M1368"/>
          <cell r="N1368" t="str">
            <v>JABATAN PERUBATAN AM</v>
          </cell>
          <cell r="O1368" t="str">
            <v>Unit Rawatan Koronari (CCU)</v>
          </cell>
        </row>
        <row r="1369">
          <cell r="D1369" t="str">
            <v>KKM/JKN/HSA/10-05-01/H/15/626</v>
          </cell>
          <cell r="E1369" t="str">
            <v>SYRINGE INFUSION PUMP</v>
          </cell>
          <cell r="F1369" t="str">
            <v>FRESENIUS KABI</v>
          </cell>
          <cell r="G1369" t="str">
            <v>INJECTOMAT MC AGILIA</v>
          </cell>
          <cell r="H1369" t="str">
            <v>018130/22231631</v>
          </cell>
          <cell r="I1369" t="str">
            <v>ANNUALLY</v>
          </cell>
          <cell r="J1369">
            <v>45713</v>
          </cell>
          <cell r="K1369"/>
          <cell r="L1369"/>
          <cell r="M1369"/>
          <cell r="N1369" t="str">
            <v>JABATAN PERUBATAN AM</v>
          </cell>
          <cell r="O1369" t="str">
            <v>Unit Rawatan Koronari (CCU)</v>
          </cell>
        </row>
        <row r="1370">
          <cell r="D1370" t="str">
            <v>KKM/JKN/HSA/10-05-01/H/15/627</v>
          </cell>
          <cell r="E1370" t="str">
            <v>SYRINGE INFUSION PUMP</v>
          </cell>
          <cell r="F1370" t="str">
            <v>FRESENIUS KABI</v>
          </cell>
          <cell r="G1370" t="str">
            <v>INJECTOMAT MC AGILIA</v>
          </cell>
          <cell r="H1370" t="str">
            <v>018130/22231584</v>
          </cell>
          <cell r="I1370" t="str">
            <v>ANNUALLY</v>
          </cell>
          <cell r="J1370">
            <v>45713</v>
          </cell>
          <cell r="K1370"/>
          <cell r="L1370"/>
          <cell r="M1370"/>
          <cell r="N1370" t="str">
            <v>JABATAN PERUBATAN AM</v>
          </cell>
          <cell r="O1370" t="str">
            <v>Unit Rawatan Koronari (CCU)</v>
          </cell>
        </row>
        <row r="1371">
          <cell r="D1371" t="str">
            <v>KKM/JKN/HSA/10-05-01/H/15/628</v>
          </cell>
          <cell r="E1371" t="str">
            <v>SYRINGE INFUSION PUMP</v>
          </cell>
          <cell r="F1371" t="str">
            <v>FRESENIUS KABI</v>
          </cell>
          <cell r="G1371" t="str">
            <v>INJECTOMAT MC AGILIA</v>
          </cell>
          <cell r="H1371" t="str">
            <v>018310/22231825</v>
          </cell>
          <cell r="I1371" t="str">
            <v>ANNUALLY</v>
          </cell>
          <cell r="J1371">
            <v>45713</v>
          </cell>
          <cell r="K1371"/>
          <cell r="L1371"/>
          <cell r="M1371"/>
          <cell r="N1371" t="str">
            <v>JABATAN PERUBATAN AM</v>
          </cell>
          <cell r="O1371" t="str">
            <v>Unit Rawatan Koronari (CCU)</v>
          </cell>
        </row>
        <row r="1372">
          <cell r="D1372" t="str">
            <v>KKM/JKN/HSA/10-05-01/H/15/629</v>
          </cell>
          <cell r="E1372" t="str">
            <v>SYRINGE INFUSION PUMP</v>
          </cell>
          <cell r="F1372" t="str">
            <v>FRESENIUS KABI</v>
          </cell>
          <cell r="G1372" t="str">
            <v>INJECTOMAT MC AGILIA</v>
          </cell>
          <cell r="H1372" t="str">
            <v>22231716</v>
          </cell>
          <cell r="I1372" t="str">
            <v>ANNUALLY</v>
          </cell>
          <cell r="J1372">
            <v>45771</v>
          </cell>
          <cell r="K1372"/>
          <cell r="L1372"/>
          <cell r="M1372"/>
          <cell r="N1372" t="str">
            <v>JABATAN PERUBATAN AM</v>
          </cell>
          <cell r="O1372" t="str">
            <v>Unit Rawatan Koronari (CCU)</v>
          </cell>
        </row>
        <row r="1373">
          <cell r="D1373" t="str">
            <v>KKM/JKN/HSA/10-05-01/H/15/630</v>
          </cell>
          <cell r="E1373" t="str">
            <v>SYRINGE INFUSION PUMP</v>
          </cell>
          <cell r="F1373" t="str">
            <v>FRESENIUS KABI</v>
          </cell>
          <cell r="G1373" t="str">
            <v>INJECTOMAT MC AGILIA</v>
          </cell>
          <cell r="H1373" t="str">
            <v>018130/22231724</v>
          </cell>
          <cell r="I1373" t="str">
            <v>ANNUALLY</v>
          </cell>
          <cell r="J1373">
            <v>45720</v>
          </cell>
          <cell r="K1373"/>
          <cell r="L1373"/>
          <cell r="M1373"/>
          <cell r="N1373" t="str">
            <v>JABATAN PERUBATAN AM</v>
          </cell>
          <cell r="O1373" t="str">
            <v>Unit Rawatan Koronari (CCU)</v>
          </cell>
        </row>
        <row r="1374">
          <cell r="D1374" t="str">
            <v>KKM/JKN/HSA/10-05-01/H/15/632</v>
          </cell>
          <cell r="E1374" t="str">
            <v>SYRINGE INFUSION PUMP</v>
          </cell>
          <cell r="F1374" t="str">
            <v>FRESENIUS KABI</v>
          </cell>
          <cell r="G1374" t="str">
            <v>INJECTOMAT MC AGILIA</v>
          </cell>
          <cell r="H1374" t="str">
            <v>22231696</v>
          </cell>
          <cell r="I1374" t="str">
            <v>ANNUALLY</v>
          </cell>
          <cell r="J1374">
            <v>45720</v>
          </cell>
          <cell r="K1374"/>
          <cell r="L1374"/>
          <cell r="M1374"/>
          <cell r="N1374" t="str">
            <v>JABATAN PERUBATAN AM</v>
          </cell>
          <cell r="O1374" t="str">
            <v>Unit Rawatan Koronari (CCU)</v>
          </cell>
        </row>
        <row r="1375">
          <cell r="D1375" t="str">
            <v>KKM/JKN/HSA/10-05-01/H/15/635</v>
          </cell>
          <cell r="E1375" t="str">
            <v>SYRINGE INFUSION PUMP</v>
          </cell>
          <cell r="F1375" t="str">
            <v>FRESENIUS KABI</v>
          </cell>
          <cell r="G1375" t="str">
            <v>INJECTOMAT MC AGILIA</v>
          </cell>
          <cell r="H1375" t="str">
            <v>018130/22231834</v>
          </cell>
          <cell r="I1375" t="str">
            <v>ANNUALLY</v>
          </cell>
          <cell r="J1375">
            <v>45720</v>
          </cell>
          <cell r="K1375"/>
          <cell r="L1375"/>
          <cell r="M1375"/>
          <cell r="N1375" t="str">
            <v>JABATAN PERUBATAN AM</v>
          </cell>
          <cell r="O1375" t="str">
            <v>Unit Rawatan Koronari (CCU)</v>
          </cell>
        </row>
        <row r="1376">
          <cell r="D1376" t="str">
            <v>KKM/JKN/HSA/10-05-01/H/15/636</v>
          </cell>
          <cell r="E1376" t="str">
            <v>SYRINGE INFUSION PUMP</v>
          </cell>
          <cell r="F1376" t="str">
            <v>FRESENIUS KABI</v>
          </cell>
          <cell r="G1376" t="str">
            <v>INJECTOMAT MC AGILIA</v>
          </cell>
          <cell r="H1376" t="str">
            <v>018130/22231712</v>
          </cell>
          <cell r="I1376" t="str">
            <v>ANNUALLY</v>
          </cell>
          <cell r="J1376">
            <v>45720</v>
          </cell>
          <cell r="K1376"/>
          <cell r="L1376"/>
          <cell r="M1376"/>
          <cell r="N1376" t="str">
            <v>JABATAN PERUBATAN AM</v>
          </cell>
          <cell r="O1376" t="str">
            <v>Unit Rawatan Koronari (CCU)</v>
          </cell>
        </row>
        <row r="1377">
          <cell r="D1377" t="str">
            <v>KKM/JKN/HSA/10-05-01/H/15/637</v>
          </cell>
          <cell r="E1377" t="str">
            <v>SYRINGE INFUSION PUMP</v>
          </cell>
          <cell r="F1377" t="str">
            <v>FRESENIUS KABI</v>
          </cell>
          <cell r="G1377" t="str">
            <v>INJECTOMAT MC AGILIA</v>
          </cell>
          <cell r="H1377" t="str">
            <v>22231680</v>
          </cell>
          <cell r="I1377" t="str">
            <v>ANNUALLY</v>
          </cell>
          <cell r="J1377">
            <v>45727</v>
          </cell>
          <cell r="K1377"/>
          <cell r="L1377"/>
          <cell r="M1377"/>
          <cell r="N1377" t="str">
            <v>JABATAN PERUBATAN AM</v>
          </cell>
          <cell r="O1377" t="str">
            <v>Unit Rawatan Koronari (CCU)</v>
          </cell>
        </row>
        <row r="1378">
          <cell r="D1378" t="str">
            <v>KKM/JKN/HSA/10-05-01/H/15/638</v>
          </cell>
          <cell r="E1378" t="str">
            <v>SYRINGE INFUSION PUMP</v>
          </cell>
          <cell r="F1378" t="str">
            <v>FRESENIUS KABI</v>
          </cell>
          <cell r="G1378" t="str">
            <v>INJECTOMAT MC AGILIA</v>
          </cell>
          <cell r="H1378" t="str">
            <v>018130/22231841</v>
          </cell>
          <cell r="I1378" t="str">
            <v>ANNUALLY</v>
          </cell>
          <cell r="J1378">
            <v>45727</v>
          </cell>
          <cell r="K1378"/>
          <cell r="L1378"/>
          <cell r="M1378"/>
          <cell r="N1378" t="str">
            <v>JABATAN PERUBATAN AM</v>
          </cell>
          <cell r="O1378" t="str">
            <v>Unit Rawatan Koronari (CCU)</v>
          </cell>
        </row>
        <row r="1379">
          <cell r="D1379" t="str">
            <v>KKM/JKN/HSA/10-05-01/H/15/639</v>
          </cell>
          <cell r="E1379" t="str">
            <v>SYRINGE INFUSION PUMP</v>
          </cell>
          <cell r="F1379" t="str">
            <v>FRESENIUS KABI</v>
          </cell>
          <cell r="G1379" t="str">
            <v>INJECTOMAT MC AGILIA</v>
          </cell>
          <cell r="H1379" t="str">
            <v>018130/22231703</v>
          </cell>
          <cell r="I1379" t="str">
            <v>ANNUALLY</v>
          </cell>
          <cell r="J1379">
            <v>45727</v>
          </cell>
          <cell r="K1379"/>
          <cell r="L1379"/>
          <cell r="M1379"/>
          <cell r="N1379" t="str">
            <v>JABATAN PERUBATAN AM</v>
          </cell>
          <cell r="O1379" t="str">
            <v>Unit Rawatan Koronari (CCU)</v>
          </cell>
        </row>
        <row r="1380">
          <cell r="D1380" t="str">
            <v>KKM/JKN/HSA/10-05-01/H/15/640</v>
          </cell>
          <cell r="E1380" t="str">
            <v>SYRINGE INFUSION PUMP</v>
          </cell>
          <cell r="F1380" t="str">
            <v>FRESENIUS KABI</v>
          </cell>
          <cell r="G1380" t="str">
            <v>INJECTOMAT MC AGILIA</v>
          </cell>
          <cell r="H1380" t="str">
            <v>22231628</v>
          </cell>
          <cell r="I1380" t="str">
            <v>ANNUALLY</v>
          </cell>
          <cell r="J1380">
            <v>45727</v>
          </cell>
          <cell r="K1380"/>
          <cell r="L1380"/>
          <cell r="M1380"/>
          <cell r="N1380" t="str">
            <v>JABATAN PERUBATAN AM</v>
          </cell>
          <cell r="O1380" t="str">
            <v>Unit Rawatan Koronari (CCU)</v>
          </cell>
        </row>
        <row r="1381">
          <cell r="D1381" t="str">
            <v>KKM/JKN/HSA/10-05-01/H/15/641</v>
          </cell>
          <cell r="E1381" t="str">
            <v>SYRINGE INFUSION PUMP</v>
          </cell>
          <cell r="F1381" t="str">
            <v>FRESENIUS KABI</v>
          </cell>
          <cell r="G1381" t="str">
            <v>INJECTOMAT MC AGILIA</v>
          </cell>
          <cell r="H1381" t="str">
            <v>018130/22231637</v>
          </cell>
          <cell r="I1381" t="str">
            <v>ANNUALLY</v>
          </cell>
          <cell r="J1381">
            <v>45727</v>
          </cell>
          <cell r="K1381"/>
          <cell r="L1381"/>
          <cell r="M1381"/>
          <cell r="N1381" t="str">
            <v>JABATAN PERUBATAN AM</v>
          </cell>
          <cell r="O1381" t="str">
            <v>Unit Rawatan Koronari (CCU)</v>
          </cell>
        </row>
        <row r="1382">
          <cell r="D1382" t="str">
            <v>KKM/JKN/HSA/10-05-01/H/15/642</v>
          </cell>
          <cell r="E1382" t="str">
            <v>SYRINGE INFUSION PUMP</v>
          </cell>
          <cell r="F1382" t="str">
            <v>FRESENIUS KABI</v>
          </cell>
          <cell r="G1382" t="str">
            <v>INJECTOMAT MC AGILIA</v>
          </cell>
          <cell r="H1382" t="str">
            <v>22231620</v>
          </cell>
          <cell r="I1382" t="str">
            <v>ANNUALLY</v>
          </cell>
          <cell r="J1382">
            <v>45734</v>
          </cell>
          <cell r="K1382"/>
          <cell r="L1382"/>
          <cell r="M1382"/>
          <cell r="N1382" t="str">
            <v>JABATAN PERUBATAN AM</v>
          </cell>
          <cell r="O1382" t="str">
            <v>Unit Rawatan Koronari (CCU)</v>
          </cell>
        </row>
        <row r="1383">
          <cell r="D1383" t="str">
            <v>KKM/JKN/HSA/10-05-01/H/15/643</v>
          </cell>
          <cell r="E1383" t="str">
            <v>SYRINGE INFUSION PUMP</v>
          </cell>
          <cell r="F1383" t="str">
            <v>FRESENIUS KABI</v>
          </cell>
          <cell r="G1383" t="str">
            <v>INJECTOMAT MC AGILIA</v>
          </cell>
          <cell r="H1383" t="str">
            <v>22231618</v>
          </cell>
          <cell r="I1383" t="str">
            <v>ANNUALLY</v>
          </cell>
          <cell r="J1383">
            <v>45734</v>
          </cell>
          <cell r="K1383"/>
          <cell r="L1383"/>
          <cell r="M1383"/>
          <cell r="N1383" t="str">
            <v>JABATAN PERUBATAN AM</v>
          </cell>
          <cell r="O1383" t="str">
            <v>Unit Rawatan Koronari (CCU)</v>
          </cell>
        </row>
        <row r="1384">
          <cell r="D1384" t="str">
            <v>KKM/JKN/HSA/10-05-01/H/15/644</v>
          </cell>
          <cell r="E1384" t="str">
            <v>SYRINGE INFUSION PUMP</v>
          </cell>
          <cell r="F1384" t="str">
            <v>FRESENIUS KABI</v>
          </cell>
          <cell r="G1384" t="str">
            <v>INJECTOMAT MC AGILIA</v>
          </cell>
          <cell r="H1384" t="str">
            <v>22231632</v>
          </cell>
          <cell r="I1384" t="str">
            <v>ANNUALLY</v>
          </cell>
          <cell r="J1384">
            <v>45734</v>
          </cell>
          <cell r="K1384"/>
          <cell r="L1384"/>
          <cell r="M1384"/>
          <cell r="N1384" t="str">
            <v>JABATAN PERUBATAN AM</v>
          </cell>
          <cell r="O1384" t="str">
            <v>Unit Rawatan Koronari (CCU)</v>
          </cell>
        </row>
        <row r="1385">
          <cell r="D1385" t="str">
            <v>KKM/JKN/HSA/10-05-01/H/15/645</v>
          </cell>
          <cell r="E1385" t="str">
            <v>SYRINGE INFUSION PUMP</v>
          </cell>
          <cell r="F1385" t="str">
            <v>FRESENIUS KABI</v>
          </cell>
          <cell r="G1385" t="str">
            <v>INJECTOMAT MC AGILIA</v>
          </cell>
          <cell r="H1385" t="str">
            <v>22231827</v>
          </cell>
          <cell r="I1385" t="str">
            <v>ANNUALLY</v>
          </cell>
          <cell r="J1385">
            <v>45734</v>
          </cell>
          <cell r="K1385"/>
          <cell r="L1385"/>
          <cell r="M1385"/>
          <cell r="N1385" t="str">
            <v>JABATAN PERUBATAN AM</v>
          </cell>
          <cell r="O1385" t="str">
            <v>Unit Rawatan Koronari (CCU)</v>
          </cell>
        </row>
        <row r="1386">
          <cell r="D1386" t="str">
            <v>KKM/JKN/HSA/10-05-01/H/15/646</v>
          </cell>
          <cell r="E1386" t="str">
            <v>SYRINGE INFUSION PUMP</v>
          </cell>
          <cell r="F1386" t="str">
            <v>FRESENIUS KABI</v>
          </cell>
          <cell r="G1386" t="str">
            <v>INJECTOMAT MC AGILIA</v>
          </cell>
          <cell r="H1386" t="str">
            <v>22231676</v>
          </cell>
          <cell r="I1386" t="str">
            <v>ANNUALLY</v>
          </cell>
          <cell r="J1386">
            <v>45734</v>
          </cell>
          <cell r="K1386"/>
          <cell r="L1386"/>
          <cell r="M1386"/>
          <cell r="N1386" t="str">
            <v>JABATAN PERUBATAN AM</v>
          </cell>
          <cell r="O1386" t="str">
            <v>Unit Rawatan Koronari (CCU)</v>
          </cell>
        </row>
        <row r="1387">
          <cell r="D1387" t="str">
            <v>KKM/JKN/HSA/10-05-01/H/15/647</v>
          </cell>
          <cell r="E1387" t="str">
            <v>SYRINGE INFUSION PUMP</v>
          </cell>
          <cell r="F1387" t="str">
            <v>FRESENIUS KABI</v>
          </cell>
          <cell r="G1387" t="str">
            <v>INJECTOMAT MC AGILIA</v>
          </cell>
          <cell r="H1387" t="str">
            <v>22231664</v>
          </cell>
          <cell r="I1387" t="str">
            <v>ANNUALLY</v>
          </cell>
          <cell r="J1387">
            <v>45741</v>
          </cell>
          <cell r="K1387"/>
          <cell r="L1387"/>
          <cell r="M1387"/>
          <cell r="N1387" t="str">
            <v>JABATAN PERUBATAN AM</v>
          </cell>
          <cell r="O1387" t="str">
            <v>Unit Rawatan Koronari (CCU)</v>
          </cell>
        </row>
        <row r="1388">
          <cell r="D1388" t="str">
            <v>KKM/JKN/HSA/10-05-01/H/15/648</v>
          </cell>
          <cell r="E1388" t="str">
            <v>SYRINGE INFUSION PUMP</v>
          </cell>
          <cell r="F1388" t="str">
            <v>FRESENIUS KABI</v>
          </cell>
          <cell r="G1388" t="str">
            <v>INJECTOMAT MC AGILIA</v>
          </cell>
          <cell r="H1388" t="str">
            <v>22231634</v>
          </cell>
          <cell r="I1388" t="str">
            <v>ANNUALLY</v>
          </cell>
          <cell r="J1388">
            <v>45741</v>
          </cell>
          <cell r="K1388"/>
          <cell r="L1388"/>
          <cell r="M1388"/>
          <cell r="N1388" t="str">
            <v>JABATAN PERUBATAN AM</v>
          </cell>
          <cell r="O1388" t="str">
            <v>Unit Rawatan Koronari (CCU)</v>
          </cell>
        </row>
        <row r="1389">
          <cell r="D1389" t="str">
            <v>KKM/JKN/HSA/10-05-01/H/15/649</v>
          </cell>
          <cell r="E1389" t="str">
            <v>SYRINGE INFUSION PUMP</v>
          </cell>
          <cell r="F1389" t="str">
            <v>FRESENIUS KABI</v>
          </cell>
          <cell r="G1389" t="str">
            <v>INJECTOMAT MC AGILIA</v>
          </cell>
          <cell r="H1389" t="str">
            <v>22231621</v>
          </cell>
          <cell r="I1389" t="str">
            <v>ANNUALLY</v>
          </cell>
          <cell r="J1389">
            <v>45741</v>
          </cell>
          <cell r="K1389"/>
          <cell r="L1389"/>
          <cell r="M1389"/>
          <cell r="N1389" t="str">
            <v>JABATAN PERUBATAN AM</v>
          </cell>
          <cell r="O1389" t="str">
            <v>Unit Rawatan Koronari (CCU)</v>
          </cell>
        </row>
        <row r="1390">
          <cell r="D1390" t="str">
            <v>KKM/JKN/HSA/10-05-01/H/15/650</v>
          </cell>
          <cell r="E1390" t="str">
            <v>SYRINGE INFUSION PUMP</v>
          </cell>
          <cell r="F1390" t="str">
            <v>FRESENIUS KABI</v>
          </cell>
          <cell r="G1390" t="str">
            <v>INJECTOMAT MC AGILIA</v>
          </cell>
          <cell r="H1390" t="str">
            <v>22231713</v>
          </cell>
          <cell r="I1390" t="str">
            <v>ANNUALLY</v>
          </cell>
          <cell r="J1390">
            <v>45741</v>
          </cell>
          <cell r="K1390"/>
          <cell r="L1390"/>
          <cell r="M1390"/>
          <cell r="N1390" t="str">
            <v>JABATAN PERUBATAN AM</v>
          </cell>
          <cell r="O1390" t="str">
            <v>Unit Rawatan Koronari (CCU)</v>
          </cell>
        </row>
        <row r="1391">
          <cell r="D1391" t="str">
            <v>KKM/JKN/HSA/10-05-01/H/15/651</v>
          </cell>
          <cell r="E1391" t="str">
            <v>SYRINGE INFUSION PUMP</v>
          </cell>
          <cell r="F1391" t="str">
            <v>FRESENIUS KABI</v>
          </cell>
          <cell r="G1391" t="str">
            <v>INJECTOMAT MC AGILIA</v>
          </cell>
          <cell r="H1391" t="str">
            <v>22231640</v>
          </cell>
          <cell r="I1391" t="str">
            <v>ANNUALLY</v>
          </cell>
          <cell r="J1391">
            <v>45741</v>
          </cell>
          <cell r="K1391"/>
          <cell r="L1391"/>
          <cell r="M1391"/>
          <cell r="N1391" t="str">
            <v>JABATAN PERUBATAN AM</v>
          </cell>
          <cell r="O1391" t="str">
            <v>Unit Rawatan Koronari (CCU)</v>
          </cell>
        </row>
        <row r="1392">
          <cell r="D1392" t="str">
            <v>KKM/JKN/HSA/10-05-01/H/15/652</v>
          </cell>
          <cell r="E1392" t="str">
            <v>TRANSCUTANEOUS/DEFIBRILLATOR PACER ANALYZER</v>
          </cell>
          <cell r="F1392" t="str">
            <v>MAQUET</v>
          </cell>
          <cell r="G1392" t="str">
            <v>PACE T10</v>
          </cell>
          <cell r="H1392" t="str">
            <v>SN90500491</v>
          </cell>
          <cell r="I1392" t="str">
            <v>ANNUALLY</v>
          </cell>
          <cell r="J1392">
            <v>46024</v>
          </cell>
          <cell r="K1392"/>
          <cell r="L1392"/>
          <cell r="M1392"/>
          <cell r="N1392" t="str">
            <v>JABATAN PERUBATAN AM</v>
          </cell>
          <cell r="O1392" t="str">
            <v>Unit Rawatan Koronari (CCU)</v>
          </cell>
        </row>
        <row r="1393">
          <cell r="D1393" t="str">
            <v>KKM/JKN/HSA/10-05-01/H/15/653</v>
          </cell>
          <cell r="E1393" t="str">
            <v>TRANSCUTANEOUS/DEFIBRILLATOR PACER ANALYZER</v>
          </cell>
          <cell r="F1393" t="str">
            <v>MAQUET</v>
          </cell>
          <cell r="G1393" t="str">
            <v>PACE T10</v>
          </cell>
          <cell r="H1393" t="str">
            <v>SN90500497</v>
          </cell>
          <cell r="I1393" t="str">
            <v>ANNUALLY</v>
          </cell>
          <cell r="J1393">
            <v>46024</v>
          </cell>
          <cell r="K1393"/>
          <cell r="L1393"/>
          <cell r="M1393"/>
          <cell r="N1393" t="str">
            <v>JABATAN PERUBATAN AM</v>
          </cell>
          <cell r="O1393" t="str">
            <v>Unit Rawatan Koronari (CCU)</v>
          </cell>
        </row>
        <row r="1394">
          <cell r="D1394" t="str">
            <v>KKM/JKN/HSA/10-05-01/H/15/874</v>
          </cell>
          <cell r="E1394" t="str">
            <v>CENTRAL MONITORING SYSTEM</v>
          </cell>
          <cell r="F1394" t="str">
            <v>MINDRAY</v>
          </cell>
          <cell r="G1394" t="str">
            <v>HYPERVISOR VI</v>
          </cell>
          <cell r="H1394" t="str">
            <v>V-45109264</v>
          </cell>
          <cell r="I1394" t="str">
            <v>ANNUALLY</v>
          </cell>
          <cell r="J1394">
            <v>45868</v>
          </cell>
          <cell r="K1394"/>
          <cell r="L1394"/>
          <cell r="M1394"/>
          <cell r="N1394" t="str">
            <v>JABATAN PERUBATAN AM</v>
          </cell>
          <cell r="O1394" t="str">
            <v>Unit Rawatan Koronari (CCU)</v>
          </cell>
        </row>
        <row r="1395">
          <cell r="D1395" t="str">
            <v>KKM/JKN/HSA/10-05-01/H/15/914</v>
          </cell>
          <cell r="E1395" t="str">
            <v>SYRINGE INFUSION PUMP</v>
          </cell>
          <cell r="F1395" t="str">
            <v>FRESENIUS KABI</v>
          </cell>
          <cell r="G1395" t="str">
            <v>INJECTOMAT MC AGILIA</v>
          </cell>
          <cell r="H1395" t="str">
            <v>22231624</v>
          </cell>
          <cell r="I1395" t="str">
            <v>ANNUALLY</v>
          </cell>
          <cell r="J1395">
            <v>45760</v>
          </cell>
          <cell r="K1395"/>
          <cell r="L1395"/>
          <cell r="M1395"/>
          <cell r="N1395" t="str">
            <v>JABATAN PERUBATAN AM</v>
          </cell>
          <cell r="O1395" t="str">
            <v>Unit Rawatan Koronari (CCU)</v>
          </cell>
        </row>
        <row r="1396">
          <cell r="D1396" t="str">
            <v>KKM/JKN/HSA/10-05-01/H/15/915</v>
          </cell>
          <cell r="E1396" t="str">
            <v>SYRINGE INFUSION PUMP</v>
          </cell>
          <cell r="F1396" t="str">
            <v>FRESENIUS KABI</v>
          </cell>
          <cell r="G1396" t="str">
            <v>INJECTOMAT MC AGILIA</v>
          </cell>
          <cell r="H1396" t="str">
            <v>22231726</v>
          </cell>
          <cell r="I1396" t="str">
            <v>ANNUALLY</v>
          </cell>
          <cell r="J1396">
            <v>45748</v>
          </cell>
          <cell r="K1396"/>
          <cell r="L1396"/>
          <cell r="M1396"/>
          <cell r="N1396" t="str">
            <v>JABATAN PERUBATAN AM</v>
          </cell>
          <cell r="O1396" t="str">
            <v>Unit Rawatan Koronari (CCU)</v>
          </cell>
        </row>
        <row r="1397">
          <cell r="D1397" t="str">
            <v>KKM/JKN/HSA/10-05-01/H/15/916</v>
          </cell>
          <cell r="E1397" t="str">
            <v>SYRINGE INFUSION PUMP</v>
          </cell>
          <cell r="F1397" t="str">
            <v>FRESENIUS KABI</v>
          </cell>
          <cell r="G1397" t="str">
            <v>INJECTOMAT MC AGILIA</v>
          </cell>
          <cell r="H1397" t="str">
            <v>22231849</v>
          </cell>
          <cell r="I1397" t="str">
            <v>ANNUALLY</v>
          </cell>
          <cell r="J1397">
            <v>45748</v>
          </cell>
          <cell r="K1397"/>
          <cell r="L1397"/>
          <cell r="M1397"/>
          <cell r="N1397" t="str">
            <v>JABATAN PERUBATAN AM</v>
          </cell>
          <cell r="O1397" t="str">
            <v>Unit Rawatan Koronari (CCU)</v>
          </cell>
        </row>
        <row r="1398">
          <cell r="D1398" t="str">
            <v>KKM/JKN/HSA/10-05-01/H/15/947</v>
          </cell>
          <cell r="E1398" t="str">
            <v>PATIENT MONITORING EQUIP.(AUTOMATIC MULTIPARAMETER)</v>
          </cell>
          <cell r="F1398" t="str">
            <v>MINDRAY</v>
          </cell>
          <cell r="G1398" t="str">
            <v>BENEVIEW T1</v>
          </cell>
          <cell r="H1398" t="str">
            <v>FB-45005658/CF-51125630</v>
          </cell>
          <cell r="I1398" t="str">
            <v>ANNUALLY</v>
          </cell>
          <cell r="J1398">
            <v>45735</v>
          </cell>
          <cell r="K1398"/>
          <cell r="L1398"/>
          <cell r="M1398"/>
          <cell r="N1398" t="str">
            <v>JABATAN PERUBATAN AM</v>
          </cell>
          <cell r="O1398" t="str">
            <v>Unit Rawatan Koronari (CCU)</v>
          </cell>
        </row>
        <row r="1399">
          <cell r="D1399" t="str">
            <v>KKM/JKN/HSA/10-05-01/H/15/948</v>
          </cell>
          <cell r="E1399" t="str">
            <v>PATIENT MONITORING EQUIP.(AUTOMATIC MULTIPARAMETER)</v>
          </cell>
          <cell r="F1399" t="str">
            <v>MINDRAY</v>
          </cell>
          <cell r="G1399" t="str">
            <v>BENEVIEW T8</v>
          </cell>
          <cell r="H1399" t="str">
            <v>CF51125631</v>
          </cell>
          <cell r="I1399" t="str">
            <v>ANNUALLY</v>
          </cell>
          <cell r="J1399">
            <v>45735</v>
          </cell>
          <cell r="K1399"/>
          <cell r="L1399"/>
          <cell r="M1399"/>
          <cell r="N1399" t="str">
            <v>JABATAN PERUBATAN AM</v>
          </cell>
          <cell r="O1399" t="str">
            <v>Unit Rawatan Koronari (CCU)</v>
          </cell>
        </row>
        <row r="1400">
          <cell r="D1400" t="str">
            <v>KKM/JKN/HSA/10-05-01/H/15/949</v>
          </cell>
          <cell r="E1400" t="str">
            <v xml:space="preserve">PATIENT MONITOR </v>
          </cell>
          <cell r="F1400" t="str">
            <v>MINDRAY</v>
          </cell>
          <cell r="G1400" t="str">
            <v>BENEVIEW T8</v>
          </cell>
          <cell r="H1400" t="str">
            <v>CF-51125632</v>
          </cell>
          <cell r="I1400" t="str">
            <v>ANNUALLY</v>
          </cell>
          <cell r="J1400">
            <v>45701</v>
          </cell>
          <cell r="K1400"/>
          <cell r="L1400"/>
          <cell r="M1400"/>
          <cell r="N1400" t="str">
            <v>JABATAN PERUBATAN AM</v>
          </cell>
          <cell r="O1400" t="str">
            <v>Unit Rawatan Koronari (CCU)</v>
          </cell>
        </row>
        <row r="1401">
          <cell r="D1401" t="str">
            <v>KKM/JKN/HSA/10-05-01/H/15/968</v>
          </cell>
          <cell r="E1401" t="str">
            <v>VITALOGRAPH SPIROMETER</v>
          </cell>
          <cell r="F1401" t="str">
            <v>SCHILLER</v>
          </cell>
          <cell r="G1401" t="str">
            <v>PC SPIRO SP-260 USB</v>
          </cell>
          <cell r="H1401" t="str">
            <v>N/A</v>
          </cell>
          <cell r="I1401" t="str">
            <v>ANNUALLY</v>
          </cell>
          <cell r="J1401">
            <v>45722</v>
          </cell>
          <cell r="K1401"/>
          <cell r="L1401"/>
          <cell r="M1401"/>
          <cell r="N1401" t="str">
            <v>JABATAN PERUBATAN AM</v>
          </cell>
          <cell r="O1401" t="str">
            <v>Unit Rawatan Koronari (CCU)</v>
          </cell>
        </row>
        <row r="1402">
          <cell r="D1402" t="str">
            <v>KKM/JKN/HSA/10-05-01/R/15/16169</v>
          </cell>
          <cell r="E1402" t="str">
            <v>NEBULIZER</v>
          </cell>
          <cell r="F1402" t="str">
            <v>PHILIPS</v>
          </cell>
          <cell r="G1402" t="str">
            <v>N/A</v>
          </cell>
          <cell r="H1402" t="str">
            <v>N/A</v>
          </cell>
          <cell r="I1402" t="str">
            <v>ANNUALLY</v>
          </cell>
          <cell r="J1402">
            <v>45734</v>
          </cell>
          <cell r="K1402"/>
          <cell r="L1402"/>
          <cell r="M1402"/>
          <cell r="N1402" t="str">
            <v>JABATAN PERUBATAN AM</v>
          </cell>
          <cell r="O1402" t="str">
            <v>Unit Rawatan Koronari (CCU)</v>
          </cell>
        </row>
        <row r="1403">
          <cell r="D1403" t="str">
            <v>KKM/JKN/HSA/10-05-01/R/15/16170</v>
          </cell>
          <cell r="E1403" t="str">
            <v>NEBULIZER</v>
          </cell>
          <cell r="F1403" t="str">
            <v>PHILIPS</v>
          </cell>
          <cell r="G1403" t="str">
            <v>N/A</v>
          </cell>
          <cell r="H1403" t="str">
            <v>N/A</v>
          </cell>
          <cell r="I1403" t="str">
            <v>ANNUALLY</v>
          </cell>
          <cell r="J1403">
            <v>45734</v>
          </cell>
          <cell r="K1403"/>
          <cell r="L1403"/>
          <cell r="M1403"/>
          <cell r="N1403" t="str">
            <v>JABATAN PERUBATAN AM</v>
          </cell>
          <cell r="O1403" t="str">
            <v>Unit Rawatan Koronari (CCU)</v>
          </cell>
        </row>
        <row r="1404">
          <cell r="D1404" t="str">
            <v>KKM/JKN/HSA/10-05-01/R/15/16171</v>
          </cell>
          <cell r="E1404" t="str">
            <v>NEBULIZER</v>
          </cell>
          <cell r="F1404" t="str">
            <v>PHILIPS</v>
          </cell>
          <cell r="G1404" t="str">
            <v>N/A</v>
          </cell>
          <cell r="H1404" t="str">
            <v>N/A</v>
          </cell>
          <cell r="I1404" t="str">
            <v>ANNUALLY</v>
          </cell>
          <cell r="J1404">
            <v>45734</v>
          </cell>
          <cell r="K1404"/>
          <cell r="L1404"/>
          <cell r="M1404"/>
          <cell r="N1404" t="str">
            <v>JABATAN PERUBATAN AM</v>
          </cell>
          <cell r="O1404" t="str">
            <v>Unit Rawatan Koronari (CCU)</v>
          </cell>
        </row>
        <row r="1405">
          <cell r="D1405" t="str">
            <v>KKM/JKN/HSA/10-05-01/R/15/6988</v>
          </cell>
          <cell r="E1405" t="str">
            <v>CENTRAL MONITORING SYSTEM</v>
          </cell>
          <cell r="F1405" t="str">
            <v>MINDRAY</v>
          </cell>
          <cell r="G1405" t="str">
            <v>HP (ELITE DISPLAY E221)</v>
          </cell>
          <cell r="H1405" t="str">
            <v>CNC4280WG5</v>
          </cell>
          <cell r="I1405" t="str">
            <v>ANNUALLY</v>
          </cell>
          <cell r="J1405">
            <v>45833</v>
          </cell>
          <cell r="K1405"/>
          <cell r="L1405"/>
          <cell r="M1405"/>
          <cell r="N1405" t="str">
            <v>JABATAN PERUBATAN AM</v>
          </cell>
          <cell r="O1405" t="str">
            <v>Unit Rawatan Koronari (CCU)</v>
          </cell>
        </row>
        <row r="1406">
          <cell r="D1406" t="str">
            <v>HSAS10003</v>
          </cell>
          <cell r="E1406" t="str">
            <v>MATTRESS PRESSURE RELIEF</v>
          </cell>
          <cell r="F1406" t="str">
            <v>BANTEX</v>
          </cell>
          <cell r="G1406" t="str">
            <v>APM-5000-G</v>
          </cell>
          <cell r="H1406" t="str">
            <v>N/A</v>
          </cell>
          <cell r="I1406" t="str">
            <v>ANNUALLY</v>
          </cell>
          <cell r="J1406">
            <v>45939</v>
          </cell>
          <cell r="K1406"/>
          <cell r="L1406"/>
          <cell r="M1406"/>
          <cell r="N1406" t="str">
            <v>JABATAN ANESTHESIA</v>
          </cell>
          <cell r="O1406" t="str">
            <v>Unit Rawatan Rapi (ICU)</v>
          </cell>
        </row>
        <row r="1407">
          <cell r="D1407" t="str">
            <v>HSAS10092</v>
          </cell>
          <cell r="E1407" t="str">
            <v>DOCKING SYSTEM</v>
          </cell>
          <cell r="F1407" t="str">
            <v>N/A</v>
          </cell>
          <cell r="G1407" t="str">
            <v>N/A</v>
          </cell>
          <cell r="H1407" t="str">
            <v>N/A</v>
          </cell>
          <cell r="I1407" t="str">
            <v>ANNUALLY</v>
          </cell>
          <cell r="J1407">
            <v>45964</v>
          </cell>
          <cell r="K1407"/>
          <cell r="L1407"/>
          <cell r="M1407"/>
          <cell r="N1407" t="str">
            <v>JABATAN ANESTHESIA</v>
          </cell>
          <cell r="O1407" t="str">
            <v>Unit Rawatan Rapi (ICU)</v>
          </cell>
        </row>
        <row r="1408">
          <cell r="D1408" t="str">
            <v>HSAS10093</v>
          </cell>
          <cell r="E1408" t="str">
            <v>DOCKING SYSTEM</v>
          </cell>
          <cell r="F1408" t="str">
            <v>N/A</v>
          </cell>
          <cell r="G1408" t="str">
            <v>N/A</v>
          </cell>
          <cell r="H1408" t="str">
            <v>N/A</v>
          </cell>
          <cell r="I1408" t="str">
            <v>ANNUALLY</v>
          </cell>
          <cell r="J1408">
            <v>45964</v>
          </cell>
          <cell r="K1408"/>
          <cell r="L1408"/>
          <cell r="M1408"/>
          <cell r="N1408" t="str">
            <v>JABATAN ANESTHESIA</v>
          </cell>
          <cell r="O1408" t="str">
            <v>Unit Rawatan Rapi (ICU)</v>
          </cell>
        </row>
        <row r="1409">
          <cell r="D1409" t="str">
            <v>HSAS10094</v>
          </cell>
          <cell r="E1409" t="str">
            <v>DOCKING SYSTEM</v>
          </cell>
          <cell r="F1409" t="str">
            <v>N/A</v>
          </cell>
          <cell r="G1409" t="str">
            <v>N/A</v>
          </cell>
          <cell r="H1409" t="str">
            <v>N/A</v>
          </cell>
          <cell r="I1409" t="str">
            <v>ANNUALLY</v>
          </cell>
          <cell r="J1409">
            <v>45964</v>
          </cell>
          <cell r="K1409"/>
          <cell r="L1409"/>
          <cell r="M1409"/>
          <cell r="N1409" t="str">
            <v>JABATAN ANESTHESIA</v>
          </cell>
          <cell r="O1409" t="str">
            <v>Unit Rawatan Rapi (ICU)</v>
          </cell>
        </row>
        <row r="1410">
          <cell r="D1410" t="str">
            <v>HSAS10114</v>
          </cell>
          <cell r="E1410" t="str">
            <v>LASER PRINTER FOR CENTRAL STATION</v>
          </cell>
          <cell r="F1410" t="str">
            <v>MINDRAY</v>
          </cell>
          <cell r="G1410" t="str">
            <v>HP LASERJET PRINTER</v>
          </cell>
          <cell r="H1410" t="str">
            <v>VNH4704713</v>
          </cell>
          <cell r="I1410" t="str">
            <v>ANNUALLY</v>
          </cell>
          <cell r="J1410">
            <v>45719</v>
          </cell>
          <cell r="K1410"/>
          <cell r="L1410"/>
          <cell r="M1410"/>
          <cell r="N1410" t="str">
            <v>JABATAN ANESTHESIA</v>
          </cell>
          <cell r="O1410" t="str">
            <v>Unit Rawatan Rapi (ICU)</v>
          </cell>
        </row>
        <row r="1411">
          <cell r="D1411" t="str">
            <v>HSAS10115</v>
          </cell>
          <cell r="E1411" t="str">
            <v>LARYNGOSCOPE C/W 3 BLADES ADULT</v>
          </cell>
          <cell r="F1411" t="str">
            <v>WELCH ALLYN</v>
          </cell>
          <cell r="G1411" t="str">
            <v>WELCH ALLYN</v>
          </cell>
          <cell r="H1411" t="str">
            <v>N/A</v>
          </cell>
          <cell r="I1411" t="str">
            <v>ANNUALLY</v>
          </cell>
          <cell r="J1411">
            <v>45966</v>
          </cell>
          <cell r="K1411"/>
          <cell r="L1411"/>
          <cell r="M1411"/>
          <cell r="N1411" t="str">
            <v>JABATAN ANESTHESIA</v>
          </cell>
          <cell r="O1411" t="str">
            <v>Unit Rawatan Rapi (ICU)</v>
          </cell>
        </row>
        <row r="1412">
          <cell r="D1412" t="str">
            <v>HSAS10116</v>
          </cell>
          <cell r="E1412" t="str">
            <v>LARYNGOSCOPE C/W 3 BLADES ADULT</v>
          </cell>
          <cell r="F1412" t="str">
            <v>WELCH ALLYN</v>
          </cell>
          <cell r="G1412" t="str">
            <v>WELCH ALLYN</v>
          </cell>
          <cell r="H1412" t="str">
            <v>N/A</v>
          </cell>
          <cell r="I1412" t="str">
            <v>ANNUALLY</v>
          </cell>
          <cell r="J1412">
            <v>45966</v>
          </cell>
          <cell r="K1412"/>
          <cell r="L1412"/>
          <cell r="M1412"/>
          <cell r="N1412" t="str">
            <v>JABATAN ANESTHESIA</v>
          </cell>
          <cell r="O1412" t="str">
            <v>Unit Rawatan Rapi (ICU)</v>
          </cell>
        </row>
        <row r="1413">
          <cell r="D1413" t="str">
            <v>KKM/JKN/HSA/10-05-01/H/15/4221</v>
          </cell>
          <cell r="E1413" t="str">
            <v>PCA AMBULATORY</v>
          </cell>
          <cell r="F1413" t="str">
            <v>MICREL</v>
          </cell>
          <cell r="G1413" t="str">
            <v>RYTMIC PCEA</v>
          </cell>
          <cell r="H1413">
            <v>110411028023</v>
          </cell>
          <cell r="I1413" t="str">
            <v>ANNUALLY</v>
          </cell>
          <cell r="J1413">
            <v>45800</v>
          </cell>
          <cell r="K1413"/>
          <cell r="L1413"/>
          <cell r="M1413"/>
          <cell r="N1413" t="str">
            <v>JABATAN ANESTHESIA</v>
          </cell>
          <cell r="O1413" t="str">
            <v>Unit Rawatan Rapi (ICU)</v>
          </cell>
        </row>
        <row r="1414">
          <cell r="D1414" t="str">
            <v>KKM/JKN/HSA/10-05-01/H/15/4222</v>
          </cell>
          <cell r="E1414" t="str">
            <v>PCA AMBULATORY</v>
          </cell>
          <cell r="F1414" t="str">
            <v>MICREL</v>
          </cell>
          <cell r="G1414" t="str">
            <v>RYTMIC PCEA</v>
          </cell>
          <cell r="H1414">
            <v>110411028024</v>
          </cell>
          <cell r="I1414" t="str">
            <v>ANNUALLY</v>
          </cell>
          <cell r="J1414">
            <v>45777</v>
          </cell>
          <cell r="K1414"/>
          <cell r="L1414"/>
          <cell r="M1414"/>
          <cell r="N1414" t="str">
            <v>JABATAN ANESTHESIA</v>
          </cell>
          <cell r="O1414" t="str">
            <v>Unit Rawatan Rapi (ICU)</v>
          </cell>
        </row>
        <row r="1415">
          <cell r="D1415" t="str">
            <v>KKM/JKN/HSA/10-05-01/H/15/4223</v>
          </cell>
          <cell r="E1415" t="str">
            <v>PCA AMBULATORY</v>
          </cell>
          <cell r="F1415" t="str">
            <v>MICREL</v>
          </cell>
          <cell r="G1415" t="str">
            <v>RYTMIC PCEA</v>
          </cell>
          <cell r="H1415">
            <v>110411028025</v>
          </cell>
          <cell r="I1415" t="str">
            <v>ANNUALLY</v>
          </cell>
          <cell r="J1415">
            <v>45777</v>
          </cell>
          <cell r="K1415"/>
          <cell r="L1415"/>
          <cell r="M1415"/>
          <cell r="N1415" t="str">
            <v>JABATAN ANESTHESIA</v>
          </cell>
          <cell r="O1415" t="str">
            <v>Unit Rawatan Rapi (ICU)</v>
          </cell>
        </row>
        <row r="1416">
          <cell r="D1416" t="str">
            <v>KKM/JKN/HSA/10-05-01/H/15/4293</v>
          </cell>
          <cell r="E1416" t="str">
            <v>MONITOR MODULAR 8-CH ECG/RR/NIBP/SPO2/2TEMP/2IBP</v>
          </cell>
          <cell r="F1416" t="str">
            <v>MINDRAY</v>
          </cell>
          <cell r="G1416" t="str">
            <v>BENEVIEW T8/T1</v>
          </cell>
          <cell r="H1416" t="str">
            <v>CF 45122774</v>
          </cell>
          <cell r="I1416" t="str">
            <v>ANNUALLY</v>
          </cell>
          <cell r="J1416">
            <v>45796</v>
          </cell>
          <cell r="K1416"/>
          <cell r="L1416"/>
          <cell r="M1416"/>
          <cell r="N1416" t="str">
            <v>JABATAN ANESTHESIA</v>
          </cell>
          <cell r="O1416" t="str">
            <v>Unit Rawatan Rapi (ICU)</v>
          </cell>
        </row>
        <row r="1417">
          <cell r="D1417" t="str">
            <v>KKM/JKN/HSA/10-05-01/H/15/5113</v>
          </cell>
          <cell r="E1417" t="str">
            <v>PUMP ENTERAL FEEDING</v>
          </cell>
          <cell r="F1417" t="str">
            <v>FRESENIUS KABI</v>
          </cell>
          <cell r="G1417" t="str">
            <v>APPLIX VISION</v>
          </cell>
          <cell r="H1417" t="str">
            <v>22232614</v>
          </cell>
          <cell r="I1417" t="str">
            <v>ANNUALLY</v>
          </cell>
          <cell r="J1417">
            <v>45823</v>
          </cell>
          <cell r="K1417"/>
          <cell r="L1417"/>
          <cell r="M1417"/>
          <cell r="N1417" t="str">
            <v>JABATAN ANESTHESIA</v>
          </cell>
          <cell r="O1417" t="str">
            <v>Unit Rawatan Rapi (ICU)</v>
          </cell>
        </row>
        <row r="1418">
          <cell r="D1418" t="str">
            <v>KKM/JKN/HSA/10-05-01/H/15/5114</v>
          </cell>
          <cell r="E1418" t="str">
            <v>PUMP ENTERAL FEEDING</v>
          </cell>
          <cell r="F1418" t="str">
            <v>FRESENIUS KABI</v>
          </cell>
          <cell r="G1418" t="str">
            <v>APPLIX VISION</v>
          </cell>
          <cell r="H1418" t="str">
            <v>22232615</v>
          </cell>
          <cell r="I1418" t="str">
            <v>ANNUALLY</v>
          </cell>
          <cell r="J1418">
            <v>45823</v>
          </cell>
          <cell r="K1418"/>
          <cell r="L1418"/>
          <cell r="M1418"/>
          <cell r="N1418" t="str">
            <v>JABATAN ANESTHESIA</v>
          </cell>
          <cell r="O1418" t="str">
            <v>Unit Rawatan Rapi (ICU)</v>
          </cell>
        </row>
        <row r="1419">
          <cell r="D1419" t="str">
            <v>KKM/JKN/HSA/10-05-01/H/15/5115</v>
          </cell>
          <cell r="E1419" t="str">
            <v>PUMP ENTERAL FEEDING</v>
          </cell>
          <cell r="F1419" t="str">
            <v>FRESENIUS KABI</v>
          </cell>
          <cell r="G1419" t="str">
            <v>APPLIX VISION</v>
          </cell>
          <cell r="H1419" t="str">
            <v>22232620</v>
          </cell>
          <cell r="I1419" t="str">
            <v>ANNUALLY</v>
          </cell>
          <cell r="J1419">
            <v>45823</v>
          </cell>
          <cell r="K1419"/>
          <cell r="L1419"/>
          <cell r="M1419"/>
          <cell r="N1419" t="str">
            <v>JABATAN ANESTHESIA</v>
          </cell>
          <cell r="O1419" t="str">
            <v>Unit Rawatan Rapi (ICU)</v>
          </cell>
        </row>
        <row r="1420">
          <cell r="D1420" t="str">
            <v>KKM/JKN/HSA/10-05-01/H/15/5117</v>
          </cell>
          <cell r="E1420" t="str">
            <v>PUMP ENTERAL FEEDING</v>
          </cell>
          <cell r="F1420" t="str">
            <v>FRESENIUS KABI</v>
          </cell>
          <cell r="G1420" t="str">
            <v>APPLIX VISION</v>
          </cell>
          <cell r="H1420" t="str">
            <v>22232612</v>
          </cell>
          <cell r="I1420" t="str">
            <v>ANNUALLY</v>
          </cell>
          <cell r="J1420">
            <v>45877</v>
          </cell>
          <cell r="K1420"/>
          <cell r="L1420"/>
          <cell r="M1420"/>
          <cell r="N1420" t="str">
            <v>JABATAN ANESTHESIA</v>
          </cell>
          <cell r="O1420" t="str">
            <v>Unit Rawatan Rapi (ICU)</v>
          </cell>
        </row>
        <row r="1421">
          <cell r="D1421" t="str">
            <v>KKM/JKN/HSA/10-05-01/H/15/5118</v>
          </cell>
          <cell r="E1421" t="str">
            <v>PUMP ENTERAL FEEDING</v>
          </cell>
          <cell r="F1421" t="str">
            <v>FRESENIUS KABI</v>
          </cell>
          <cell r="G1421" t="str">
            <v>APPLIX VISION</v>
          </cell>
          <cell r="H1421" t="str">
            <v>22232616</v>
          </cell>
          <cell r="I1421" t="str">
            <v>ANNUALLY</v>
          </cell>
          <cell r="J1421">
            <v>45880</v>
          </cell>
          <cell r="K1421"/>
          <cell r="L1421"/>
          <cell r="M1421"/>
          <cell r="N1421" t="str">
            <v>JABATAN ANESTHESIA</v>
          </cell>
          <cell r="O1421" t="str">
            <v>Unit Rawatan Rapi (ICU)</v>
          </cell>
        </row>
        <row r="1422">
          <cell r="D1422" t="str">
            <v>KKM/JKN/HSA/10-05-01/R/15/17099</v>
          </cell>
          <cell r="E1422" t="str">
            <v>DIAGNOSTIC SET ADULT</v>
          </cell>
          <cell r="F1422" t="str">
            <v>WELCH ALLYN</v>
          </cell>
          <cell r="G1422" t="str">
            <v>97150-BI</v>
          </cell>
          <cell r="H1422" t="str">
            <v>N/A</v>
          </cell>
          <cell r="I1422" t="str">
            <v>ANNUALLY</v>
          </cell>
          <cell r="J1422">
            <v>45876</v>
          </cell>
          <cell r="K1422"/>
          <cell r="L1422"/>
          <cell r="M1422"/>
          <cell r="N1422" t="str">
            <v>JABATAN ANESTHESIA</v>
          </cell>
          <cell r="O1422" t="str">
            <v>Unit Rawatan Rapi (ICU)</v>
          </cell>
        </row>
        <row r="1423">
          <cell r="D1423" t="str">
            <v>KKM/JKN/HSA/10-05-01/H/15/1045</v>
          </cell>
          <cell r="E1423" t="str">
            <v>PATIENT MONITORING EQUIP.(AUTOMATIC MULTIPARAMETER)</v>
          </cell>
          <cell r="F1423" t="str">
            <v>MINDRAY</v>
          </cell>
          <cell r="G1423" t="str">
            <v>CO2 MODULE</v>
          </cell>
          <cell r="H1423" t="str">
            <v>DUD52280076</v>
          </cell>
          <cell r="I1423" t="str">
            <v>ANNUALLY</v>
          </cell>
          <cell r="J1423">
            <v>45862</v>
          </cell>
          <cell r="K1423"/>
          <cell r="L1423"/>
          <cell r="M1423"/>
          <cell r="N1423" t="str">
            <v>JABATAN ANESTHESIA</v>
          </cell>
          <cell r="O1423" t="str">
            <v>Unit Rawatan Rapi (ICU)</v>
          </cell>
        </row>
        <row r="1424">
          <cell r="D1424" t="str">
            <v>KKM/JKN/HSA/10-05-01/H/15/1046</v>
          </cell>
          <cell r="E1424" t="str">
            <v>PATIENT MONITORING EQUIP.(AUTOMATIC MULTIPARAMETER)</v>
          </cell>
          <cell r="F1424" t="str">
            <v>MINDRAY</v>
          </cell>
          <cell r="G1424" t="str">
            <v>CO2 MODULE</v>
          </cell>
          <cell r="H1424" t="str">
            <v>DUD52280074</v>
          </cell>
          <cell r="I1424" t="str">
            <v>ANNUALLY</v>
          </cell>
          <cell r="J1424">
            <v>45862</v>
          </cell>
          <cell r="K1424"/>
          <cell r="L1424"/>
          <cell r="M1424"/>
          <cell r="N1424" t="str">
            <v>JABATAN ANESTHESIA</v>
          </cell>
          <cell r="O1424" t="str">
            <v>Unit Rawatan Rapi (ICU)</v>
          </cell>
        </row>
        <row r="1425">
          <cell r="D1425" t="str">
            <v>KKM/JKN/HSA/10-05-01/H/15/1047</v>
          </cell>
          <cell r="E1425" t="str">
            <v>PATIENT MONITORING EQUIP.(AUTOMATIC MULTIPARAMETER)</v>
          </cell>
          <cell r="F1425" t="str">
            <v>MINDRAY</v>
          </cell>
          <cell r="G1425" t="str">
            <v>CO2 MODULE</v>
          </cell>
          <cell r="H1425" t="str">
            <v>NOT AVAILABLE</v>
          </cell>
          <cell r="I1425" t="str">
            <v>ANNUALLY</v>
          </cell>
          <cell r="J1425">
            <v>45862</v>
          </cell>
          <cell r="K1425"/>
          <cell r="L1425"/>
          <cell r="M1425"/>
          <cell r="N1425" t="str">
            <v>JABATAN ANESTHESIA</v>
          </cell>
          <cell r="O1425" t="str">
            <v>Unit Rawatan Rapi (ICU)</v>
          </cell>
        </row>
        <row r="1426">
          <cell r="D1426" t="str">
            <v>KKM/JKN/HSA/10-05-01/H/15/1048</v>
          </cell>
          <cell r="E1426" t="str">
            <v>PATIENT MONITORING EQUIP.(AUTOMATIC MULTIPARAMETER)</v>
          </cell>
          <cell r="F1426" t="str">
            <v>MINDRAY</v>
          </cell>
          <cell r="G1426" t="str">
            <v>CO2 MODULE</v>
          </cell>
          <cell r="H1426" t="str">
            <v>N/A</v>
          </cell>
          <cell r="I1426" t="str">
            <v>ANNUALLY</v>
          </cell>
          <cell r="J1426">
            <v>45866</v>
          </cell>
          <cell r="K1426"/>
          <cell r="L1426"/>
          <cell r="M1426"/>
          <cell r="N1426" t="str">
            <v>JABATAN ANESTHESIA</v>
          </cell>
          <cell r="O1426" t="str">
            <v>Unit Rawatan Rapi (ICU)</v>
          </cell>
        </row>
        <row r="1427">
          <cell r="D1427" t="str">
            <v>KKM/JKN/HSA/10-05-01/H/15/1049</v>
          </cell>
          <cell r="E1427" t="str">
            <v>PATIENT MONITORING EQUIP.(AUTOMATIC MULTIPARAMETER)</v>
          </cell>
          <cell r="F1427" t="str">
            <v>MINDRAY</v>
          </cell>
          <cell r="G1427" t="str">
            <v>CO2 MODULE</v>
          </cell>
          <cell r="H1427" t="str">
            <v>DUD52280072</v>
          </cell>
          <cell r="I1427" t="str">
            <v>ANNUALLY</v>
          </cell>
          <cell r="J1427">
            <v>45866</v>
          </cell>
          <cell r="K1427"/>
          <cell r="L1427"/>
          <cell r="M1427"/>
          <cell r="N1427" t="str">
            <v>JABATAN ANESTHESIA</v>
          </cell>
          <cell r="O1427" t="str">
            <v>Unit Rawatan Rapi (ICU)</v>
          </cell>
        </row>
        <row r="1428">
          <cell r="D1428" t="str">
            <v>KKM/JKN/HSA/10-05-01/H/15/1050</v>
          </cell>
          <cell r="E1428" t="str">
            <v>PATIENT MONITORING EQUIP.(AUTOMATIC MULTIPARAMETER)</v>
          </cell>
          <cell r="F1428" t="str">
            <v>MINDRAY</v>
          </cell>
          <cell r="G1428" t="str">
            <v>CO2 MODULE</v>
          </cell>
          <cell r="H1428" t="str">
            <v>CFL43261937</v>
          </cell>
          <cell r="I1428" t="str">
            <v>ANNUALLY</v>
          </cell>
          <cell r="J1428">
            <v>45866</v>
          </cell>
          <cell r="K1428"/>
          <cell r="L1428"/>
          <cell r="M1428"/>
          <cell r="N1428" t="str">
            <v>JABATAN ANESTHESIA</v>
          </cell>
          <cell r="O1428" t="str">
            <v>Unit Rawatan Rapi (ICU)</v>
          </cell>
        </row>
        <row r="1429">
          <cell r="D1429" t="str">
            <v>KKM/JKN/HSA/10-05-01/H/15/1051</v>
          </cell>
          <cell r="E1429" t="str">
            <v>PATIENT MONITORING EQUIP.(AUTOMATIC MULTIPARAMETER)</v>
          </cell>
          <cell r="F1429" t="str">
            <v>MINDRAY</v>
          </cell>
          <cell r="G1429" t="str">
            <v>CO2 MODULE</v>
          </cell>
          <cell r="H1429" t="str">
            <v>NOT AVAILABLE</v>
          </cell>
          <cell r="I1429" t="str">
            <v>ANNUALLY</v>
          </cell>
          <cell r="J1429">
            <v>45866</v>
          </cell>
          <cell r="K1429"/>
          <cell r="L1429"/>
          <cell r="M1429"/>
          <cell r="N1429" t="str">
            <v>JABATAN ANESTHESIA</v>
          </cell>
          <cell r="O1429" t="str">
            <v>Unit Rawatan Rapi (ICU)</v>
          </cell>
        </row>
        <row r="1430">
          <cell r="D1430" t="str">
            <v>KKM/JKN/HSA/10-05-01/H/15/1147</v>
          </cell>
          <cell r="E1430" t="str">
            <v>CARDIAC OUTPUT MODULE</v>
          </cell>
          <cell r="F1430" t="str">
            <v>MINDRAY</v>
          </cell>
          <cell r="G1430" t="str">
            <v>C.O MODULE</v>
          </cell>
          <cell r="H1430" t="str">
            <v>CFS42260129</v>
          </cell>
          <cell r="I1430" t="str">
            <v>SEMI ANNUALLY</v>
          </cell>
          <cell r="J1430">
            <v>45827</v>
          </cell>
          <cell r="K1430">
            <v>46009</v>
          </cell>
          <cell r="L1430"/>
          <cell r="M1430"/>
          <cell r="N1430" t="str">
            <v>JABATAN ANESTHESIA</v>
          </cell>
          <cell r="O1430" t="str">
            <v>Unit Rawatan Rapi (ICU)</v>
          </cell>
        </row>
        <row r="1431">
          <cell r="D1431" t="str">
            <v>KKM/JKN/HSA/10-05-01/H/15/1148</v>
          </cell>
          <cell r="E1431" t="str">
            <v>CARDIAC OUTPUT MODULE</v>
          </cell>
          <cell r="F1431" t="str">
            <v>MINDRAY</v>
          </cell>
          <cell r="G1431" t="str">
            <v>C.O MODULE</v>
          </cell>
          <cell r="H1431" t="str">
            <v>CFS3C256396</v>
          </cell>
          <cell r="I1431" t="str">
            <v>SEMI ANNUALLY</v>
          </cell>
          <cell r="J1431">
            <v>45838</v>
          </cell>
          <cell r="K1431">
            <v>46020</v>
          </cell>
          <cell r="L1431"/>
          <cell r="M1431"/>
          <cell r="N1431" t="str">
            <v>JABATAN ANESTHESIA</v>
          </cell>
          <cell r="O1431" t="str">
            <v>Unit Rawatan Rapi (ICU)</v>
          </cell>
        </row>
        <row r="1432">
          <cell r="D1432" t="str">
            <v>KKM/JKN/HSA/10-05-01/H/15/1149</v>
          </cell>
          <cell r="E1432" t="str">
            <v>CARDIAC OUTPUT MODULE</v>
          </cell>
          <cell r="F1432" t="str">
            <v>MINDRAY</v>
          </cell>
          <cell r="G1432" t="str">
            <v>C.O MODULE</v>
          </cell>
          <cell r="H1432" t="str">
            <v>CF-S4C276649</v>
          </cell>
          <cell r="I1432" t="str">
            <v>SEMI ANNUALLY</v>
          </cell>
          <cell r="J1432">
            <v>45755</v>
          </cell>
          <cell r="K1432">
            <v>45937</v>
          </cell>
          <cell r="L1432"/>
          <cell r="M1432"/>
          <cell r="N1432" t="str">
            <v>JABATAN ANESTHESIA</v>
          </cell>
          <cell r="O1432" t="str">
            <v>Unit Rawatan Rapi (ICU)</v>
          </cell>
        </row>
        <row r="1433">
          <cell r="D1433" t="str">
            <v>KKM/JKN/HSA/10-05-01/H/15/1150</v>
          </cell>
          <cell r="E1433" t="str">
            <v>CARDIAC OUTPUT MODULE</v>
          </cell>
          <cell r="F1433" t="str">
            <v>MINDRAY</v>
          </cell>
          <cell r="G1433" t="str">
            <v>C.O MODULE</v>
          </cell>
          <cell r="H1433" t="str">
            <v>CF-S4C276649</v>
          </cell>
          <cell r="I1433" t="str">
            <v>SEMI ANNUALLY</v>
          </cell>
          <cell r="J1433">
            <v>45754</v>
          </cell>
          <cell r="K1433">
            <v>45936</v>
          </cell>
          <cell r="L1433"/>
          <cell r="M1433"/>
          <cell r="N1433" t="str">
            <v>JABATAN ANESTHESIA</v>
          </cell>
          <cell r="O1433" t="str">
            <v>Unit Rawatan Rapi (ICU)</v>
          </cell>
        </row>
        <row r="1434">
          <cell r="D1434" t="str">
            <v>KKM/JKN/HSA/10-05-01/H/15/1151</v>
          </cell>
          <cell r="E1434" t="str">
            <v>CARDIAC OUTPUT MODULE</v>
          </cell>
          <cell r="F1434" t="str">
            <v>MINDRAY</v>
          </cell>
          <cell r="G1434" t="str">
            <v>C.O MODULE</v>
          </cell>
          <cell r="H1434" t="str">
            <v>CFS42260128</v>
          </cell>
          <cell r="I1434" t="str">
            <v>SEMI ANNUALLY</v>
          </cell>
          <cell r="J1434">
            <v>46045</v>
          </cell>
          <cell r="K1434">
            <v>46225</v>
          </cell>
          <cell r="L1434"/>
          <cell r="M1434"/>
          <cell r="N1434" t="str">
            <v>JABATAN ANESTHESIA</v>
          </cell>
          <cell r="O1434" t="str">
            <v>Unit Rawatan Rapi (ICU)</v>
          </cell>
        </row>
        <row r="1435">
          <cell r="D1435" t="str">
            <v>KKM/JKN/HSA/10-05-01/H/15/1198</v>
          </cell>
          <cell r="E1435" t="str">
            <v>INFUSION PUMP</v>
          </cell>
          <cell r="F1435" t="str">
            <v>FRESENIUS KABI</v>
          </cell>
          <cell r="G1435" t="str">
            <v>VOLUMAT MC AGILIA</v>
          </cell>
          <cell r="H1435" t="str">
            <v>22233479</v>
          </cell>
          <cell r="I1435" t="str">
            <v>ANNUALLY</v>
          </cell>
          <cell r="J1435">
            <v>45846</v>
          </cell>
          <cell r="K1435"/>
          <cell r="L1435"/>
          <cell r="M1435"/>
          <cell r="N1435" t="str">
            <v>JABATAN ANESTHESIA</v>
          </cell>
          <cell r="O1435" t="str">
            <v>Unit Rawatan Rapi (ICU)</v>
          </cell>
        </row>
        <row r="1436">
          <cell r="D1436" t="str">
            <v>KKM/JKN/HSA/10-05-01/H/15/1199</v>
          </cell>
          <cell r="E1436" t="str">
            <v>INFUSION PUMP</v>
          </cell>
          <cell r="F1436" t="str">
            <v>FRESENIUS KABI</v>
          </cell>
          <cell r="G1436" t="str">
            <v>VOLUMAT MC AGILIA</v>
          </cell>
          <cell r="H1436" t="str">
            <v>22235945</v>
          </cell>
          <cell r="I1436" t="str">
            <v>ANNUALLY</v>
          </cell>
          <cell r="J1436">
            <v>45853</v>
          </cell>
          <cell r="K1436"/>
          <cell r="L1436"/>
          <cell r="M1436"/>
          <cell r="N1436" t="str">
            <v>JABATAN ANESTHESIA</v>
          </cell>
          <cell r="O1436" t="str">
            <v>Unit Rawatan Rapi (ICU)</v>
          </cell>
        </row>
        <row r="1437">
          <cell r="D1437" t="str">
            <v>KKM/JKN/HSA/10-05-01/H/15/1200</v>
          </cell>
          <cell r="E1437" t="str">
            <v>INFUSION PUMP</v>
          </cell>
          <cell r="F1437" t="str">
            <v>FRESENIUS KABI</v>
          </cell>
          <cell r="G1437" t="str">
            <v>VOLUMAT MC AGILIA</v>
          </cell>
          <cell r="H1437" t="str">
            <v>22235265</v>
          </cell>
          <cell r="I1437" t="str">
            <v>ANNUALLY</v>
          </cell>
          <cell r="J1437">
            <v>45861</v>
          </cell>
          <cell r="K1437"/>
          <cell r="L1437"/>
          <cell r="M1437"/>
          <cell r="N1437" t="str">
            <v>JABATAN ANESTHESIA</v>
          </cell>
          <cell r="O1437" t="str">
            <v>Unit Rawatan Rapi (ICU)</v>
          </cell>
        </row>
        <row r="1438">
          <cell r="D1438" t="str">
            <v>KKM/JKN/HSA/10-05-01/H/15/1201</v>
          </cell>
          <cell r="E1438" t="str">
            <v>INFUSION PUMP</v>
          </cell>
          <cell r="F1438" t="str">
            <v>FRESENIUS KABI</v>
          </cell>
          <cell r="G1438" t="str">
            <v>VOLUMAT MC AGILIA</v>
          </cell>
          <cell r="H1438" t="str">
            <v>22235258</v>
          </cell>
          <cell r="I1438" t="str">
            <v>ANNUALLY</v>
          </cell>
          <cell r="J1438">
            <v>45861</v>
          </cell>
          <cell r="K1438"/>
          <cell r="L1438"/>
          <cell r="M1438"/>
          <cell r="N1438" t="str">
            <v>JABATAN ANESTHESIA</v>
          </cell>
          <cell r="O1438" t="str">
            <v>Unit Rawatan Rapi (ICU)</v>
          </cell>
        </row>
        <row r="1439">
          <cell r="D1439" t="str">
            <v>KKM/JKN/HSA/10-05-01/H/15/1202</v>
          </cell>
          <cell r="E1439" t="str">
            <v>INFUSION PUMP</v>
          </cell>
          <cell r="F1439" t="str">
            <v>FRESENIUS KABI</v>
          </cell>
          <cell r="G1439" t="str">
            <v>VOLUMAT MC AGILIA GB</v>
          </cell>
          <cell r="H1439" t="str">
            <v>22170874</v>
          </cell>
          <cell r="I1439" t="str">
            <v>ANNUALLY</v>
          </cell>
          <cell r="J1439">
            <v>45754</v>
          </cell>
          <cell r="K1439"/>
          <cell r="L1439"/>
          <cell r="M1439"/>
          <cell r="N1439" t="str">
            <v>JABATAN ANESTHESIA</v>
          </cell>
          <cell r="O1439" t="str">
            <v>Unit Rawatan Rapi (ICU)</v>
          </cell>
        </row>
        <row r="1440">
          <cell r="D1440" t="str">
            <v>KKM/JKN/HSA/10-05-01/H/15/1203</v>
          </cell>
          <cell r="E1440" t="str">
            <v>INFUSION PUMP</v>
          </cell>
          <cell r="F1440" t="str">
            <v>FRESENIUS KABI</v>
          </cell>
          <cell r="G1440" t="str">
            <v>VOLUMAT MC AGILIA GB</v>
          </cell>
          <cell r="H1440" t="str">
            <v>22235294</v>
          </cell>
          <cell r="I1440" t="str">
            <v>ANNUALLY</v>
          </cell>
          <cell r="J1440">
            <v>45754</v>
          </cell>
          <cell r="K1440"/>
          <cell r="L1440"/>
          <cell r="M1440"/>
          <cell r="N1440" t="str">
            <v>JABATAN ANESTHESIA</v>
          </cell>
          <cell r="O1440" t="str">
            <v>Unit Rawatan Rapi (ICU)</v>
          </cell>
        </row>
        <row r="1441">
          <cell r="D1441" t="str">
            <v>KKM/JKN/HSA/10-05-01/H/15/1204</v>
          </cell>
          <cell r="E1441" t="str">
            <v>INFUSION PUMP</v>
          </cell>
          <cell r="F1441" t="str">
            <v>FRESENIUS KABI</v>
          </cell>
          <cell r="G1441" t="str">
            <v>VOLUMAT MC AGILIA GB</v>
          </cell>
          <cell r="H1441" t="str">
            <v>22235244</v>
          </cell>
          <cell r="I1441" t="str">
            <v>ANNUALLY</v>
          </cell>
          <cell r="J1441">
            <v>45751</v>
          </cell>
          <cell r="K1441"/>
          <cell r="L1441"/>
          <cell r="M1441"/>
          <cell r="N1441" t="str">
            <v>JABATAN ANESTHESIA</v>
          </cell>
          <cell r="O1441" t="str">
            <v>Unit Rawatan Rapi (ICU)</v>
          </cell>
        </row>
        <row r="1442">
          <cell r="D1442" t="str">
            <v>KKM/JKN/HSA/10-05-01/H/15/1205</v>
          </cell>
          <cell r="E1442" t="str">
            <v>INFUSION PUMP</v>
          </cell>
          <cell r="F1442" t="str">
            <v>FRESENIUS KABI</v>
          </cell>
          <cell r="G1442" t="str">
            <v>VOLUMAT MC AGILIA</v>
          </cell>
          <cell r="H1442" t="str">
            <v>22235270</v>
          </cell>
          <cell r="I1442" t="str">
            <v>ANNUALLY</v>
          </cell>
          <cell r="J1442">
            <v>45751</v>
          </cell>
          <cell r="K1442"/>
          <cell r="L1442"/>
          <cell r="M1442"/>
          <cell r="N1442" t="str">
            <v>JABATAN ANESTHESIA</v>
          </cell>
          <cell r="O1442" t="str">
            <v>Unit Rawatan Rapi (ICU)</v>
          </cell>
        </row>
        <row r="1443">
          <cell r="D1443" t="str">
            <v>KKM/JKN/HSA/10-05-01/H/15/1206</v>
          </cell>
          <cell r="E1443" t="str">
            <v>INFUSION PUMP</v>
          </cell>
          <cell r="F1443" t="str">
            <v>FRESENIUS KABI</v>
          </cell>
          <cell r="G1443" t="str">
            <v>VOLUMAT MC AGILIA</v>
          </cell>
          <cell r="H1443" t="str">
            <v>22235960</v>
          </cell>
          <cell r="I1443" t="str">
            <v>ANNUALLY</v>
          </cell>
          <cell r="J1443">
            <v>45841</v>
          </cell>
          <cell r="K1443"/>
          <cell r="L1443"/>
          <cell r="M1443"/>
          <cell r="N1443" t="str">
            <v>JABATAN ANESTHESIA</v>
          </cell>
          <cell r="O1443" t="str">
            <v>Unit Rawatan Rapi (ICU)</v>
          </cell>
        </row>
        <row r="1444">
          <cell r="D1444" t="str">
            <v>KKM/JKN/HSA/10-05-01/H/15/1207</v>
          </cell>
          <cell r="E1444" t="str">
            <v>INFUSION PUMP</v>
          </cell>
          <cell r="F1444" t="str">
            <v>FRESENIUS KABI</v>
          </cell>
          <cell r="G1444" t="str">
            <v>VOLUMAT MC AGILIA</v>
          </cell>
          <cell r="H1444" t="str">
            <v>019130/22170857</v>
          </cell>
          <cell r="I1444" t="str">
            <v>ANNUALLY</v>
          </cell>
          <cell r="J1444">
            <v>45841</v>
          </cell>
          <cell r="K1444"/>
          <cell r="L1444"/>
          <cell r="M1444"/>
          <cell r="N1444" t="str">
            <v>JABATAN ANESTHESIA</v>
          </cell>
          <cell r="O1444" t="str">
            <v>Unit Rawatan Rapi (ICU)</v>
          </cell>
        </row>
        <row r="1445">
          <cell r="D1445" t="str">
            <v>KKM/JKN/HSA/10-05-01/H/15/187</v>
          </cell>
          <cell r="E1445" t="str">
            <v>INTERMITTENT PNEUMATIC COMPRESSION SYSTEM/DVT PUMP (KENDALL/SCD EXPRESS)</v>
          </cell>
          <cell r="F1445" t="str">
            <v>VESOFLOW</v>
          </cell>
          <cell r="G1445" t="str">
            <v>VESOFLOW DVT PUMP</v>
          </cell>
          <cell r="H1445" t="str">
            <v>C850019136</v>
          </cell>
          <cell r="I1445" t="str">
            <v>SEMI ANNUALLY</v>
          </cell>
          <cell r="J1445">
            <v>45744</v>
          </cell>
          <cell r="K1445">
            <v>45927</v>
          </cell>
          <cell r="L1445"/>
          <cell r="M1445"/>
          <cell r="N1445" t="str">
            <v>JABATAN ANESTHESIA</v>
          </cell>
          <cell r="O1445" t="str">
            <v>Unit Rawatan Rapi (ICU)</v>
          </cell>
        </row>
        <row r="1446">
          <cell r="D1446" t="str">
            <v>KKM/JKN/HSA/10-05-01/H/15/188</v>
          </cell>
          <cell r="E1446" t="str">
            <v>INTERMITTENT PNEUMATIC COMPRESSION SYSTEM/DVT PUMP (KENDALL/SCD EXPRESS)</v>
          </cell>
          <cell r="F1446" t="str">
            <v>VESOFLOW</v>
          </cell>
          <cell r="G1446" t="str">
            <v>VESOFLOW DVT PUMP</v>
          </cell>
          <cell r="H1446" t="str">
            <v>C850019140</v>
          </cell>
          <cell r="I1446" t="str">
            <v>SEMI ANNUALLY</v>
          </cell>
          <cell r="J1446">
            <v>45744</v>
          </cell>
          <cell r="K1446">
            <v>45927</v>
          </cell>
          <cell r="L1446"/>
          <cell r="M1446"/>
          <cell r="N1446" t="str">
            <v>JABATAN ANESTHESIA</v>
          </cell>
          <cell r="O1446" t="str">
            <v>Unit Rawatan Rapi (ICU)</v>
          </cell>
        </row>
        <row r="1447">
          <cell r="D1447" t="str">
            <v>KKM/JKN/HSA/10-05-01/H/15/189</v>
          </cell>
          <cell r="E1447" t="str">
            <v>LARYNGOSCOPE</v>
          </cell>
          <cell r="F1447" t="str">
            <v>WELCH ALLYN</v>
          </cell>
          <cell r="G1447" t="str">
            <v>01-6081,01-69214,01-69213 &amp;01-69212</v>
          </cell>
          <cell r="H1447" t="str">
            <v>NOT AVAILABLE</v>
          </cell>
          <cell r="I1447" t="str">
            <v>ANNUALLY</v>
          </cell>
          <cell r="J1447">
            <v>45848</v>
          </cell>
          <cell r="K1447"/>
          <cell r="L1447"/>
          <cell r="M1447"/>
          <cell r="N1447" t="str">
            <v>JABATAN ANESTHESIA</v>
          </cell>
          <cell r="O1447" t="str">
            <v>Unit Rawatan Rapi (ICU)</v>
          </cell>
        </row>
        <row r="1448">
          <cell r="D1448" t="str">
            <v>KKM/JKN/HSA/10-05-01/H/15/190</v>
          </cell>
          <cell r="E1448" t="str">
            <v>LARYNGOSCOPE</v>
          </cell>
          <cell r="F1448" t="str">
            <v>WELCH ALLYN</v>
          </cell>
          <cell r="G1448" t="str">
            <v>01-6081,01-69214,01-69213 &amp;01-69212</v>
          </cell>
          <cell r="H1448" t="str">
            <v>NOT AVAILABLE</v>
          </cell>
          <cell r="I1448" t="str">
            <v>ANNUALLY</v>
          </cell>
          <cell r="J1448">
            <v>45848</v>
          </cell>
          <cell r="K1448"/>
          <cell r="L1448"/>
          <cell r="M1448"/>
          <cell r="N1448" t="str">
            <v>JABATAN ANESTHESIA</v>
          </cell>
          <cell r="O1448" t="str">
            <v>Unit Rawatan Rapi (ICU)</v>
          </cell>
        </row>
        <row r="1449">
          <cell r="D1449" t="str">
            <v>KKM/JKN/HSA/10-05-01/H/15/2779</v>
          </cell>
          <cell r="E1449" t="str">
            <v>INFUSION PUMP</v>
          </cell>
          <cell r="F1449" t="str">
            <v>FRESENIUS KABI</v>
          </cell>
          <cell r="G1449" t="str">
            <v>MODULE MVP+MS</v>
          </cell>
          <cell r="H1449" t="str">
            <v>083091/22202936</v>
          </cell>
          <cell r="I1449" t="str">
            <v>ANNUALLY</v>
          </cell>
          <cell r="J1449">
            <v>45852</v>
          </cell>
          <cell r="K1449"/>
          <cell r="L1449"/>
          <cell r="M1449"/>
          <cell r="N1449" t="str">
            <v>JABATAN ANESTHESIA</v>
          </cell>
          <cell r="O1449" t="str">
            <v>Unit Rawatan Rapi (ICU)</v>
          </cell>
        </row>
        <row r="1450">
          <cell r="D1450" t="str">
            <v>KKM/JKN/HSA/10-05-01/H/15/2781</v>
          </cell>
          <cell r="E1450" t="str">
            <v>INFUSION PUMP</v>
          </cell>
          <cell r="F1450" t="str">
            <v>FRESENIUS KABI</v>
          </cell>
          <cell r="G1450" t="str">
            <v>MODULE MVP+MS</v>
          </cell>
          <cell r="H1450" t="str">
            <v>083091/22202935</v>
          </cell>
          <cell r="I1450" t="str">
            <v>ANNUALLY</v>
          </cell>
          <cell r="J1450">
            <v>45852</v>
          </cell>
          <cell r="K1450"/>
          <cell r="L1450"/>
          <cell r="M1450"/>
          <cell r="N1450" t="str">
            <v>JABATAN ANESTHESIA</v>
          </cell>
          <cell r="O1450" t="str">
            <v>Unit Rawatan Rapi (ICU)</v>
          </cell>
        </row>
        <row r="1451">
          <cell r="D1451" t="str">
            <v>KKM/JKN/HSA/10-05-01/H/15/2788</v>
          </cell>
          <cell r="E1451" t="str">
            <v>RIPPLE MATTRESS</v>
          </cell>
          <cell r="F1451" t="str">
            <v>BANTEX</v>
          </cell>
          <cell r="G1451" t="str">
            <v>GENESIS III</v>
          </cell>
          <cell r="H1451" t="str">
            <v>EZ141105013</v>
          </cell>
          <cell r="I1451" t="str">
            <v>ANNUALLY</v>
          </cell>
          <cell r="J1451">
            <v>45869</v>
          </cell>
          <cell r="K1451"/>
          <cell r="L1451"/>
          <cell r="M1451"/>
          <cell r="N1451" t="str">
            <v>JABATAN ANESTHESIA</v>
          </cell>
          <cell r="O1451" t="str">
            <v>Unit Rawatan Rapi (ICU)</v>
          </cell>
        </row>
        <row r="1452">
          <cell r="D1452" t="str">
            <v>KKM/JKN/HSA/10-05-01/H/15/2789</v>
          </cell>
          <cell r="E1452" t="str">
            <v>RIPPLE MATTRESS</v>
          </cell>
          <cell r="F1452" t="str">
            <v>BANTEX</v>
          </cell>
          <cell r="G1452" t="str">
            <v>GENESIS III</v>
          </cell>
          <cell r="H1452" t="str">
            <v>EZ140800750</v>
          </cell>
          <cell r="I1452" t="str">
            <v>ANNUALLY</v>
          </cell>
          <cell r="J1452">
            <v>45869</v>
          </cell>
          <cell r="K1452"/>
          <cell r="L1452"/>
          <cell r="M1452"/>
          <cell r="N1452" t="str">
            <v>JABATAN ANESTHESIA</v>
          </cell>
          <cell r="O1452" t="str">
            <v>Unit Rawatan Rapi (ICU)</v>
          </cell>
        </row>
        <row r="1453">
          <cell r="D1453" t="str">
            <v>KKM/JKN/HSA/10-05-01/H/15/2790</v>
          </cell>
          <cell r="E1453" t="str">
            <v>RIPPLE MATTRESS</v>
          </cell>
          <cell r="F1453" t="str">
            <v>BANTEX</v>
          </cell>
          <cell r="G1453" t="str">
            <v>GENESIS III</v>
          </cell>
          <cell r="H1453" t="str">
            <v>EZ141105014</v>
          </cell>
          <cell r="I1453" t="str">
            <v>ANNUALLY</v>
          </cell>
          <cell r="J1453">
            <v>45869</v>
          </cell>
          <cell r="K1453"/>
          <cell r="L1453"/>
          <cell r="M1453"/>
          <cell r="N1453" t="str">
            <v>JABATAN ANESTHESIA</v>
          </cell>
          <cell r="O1453" t="str">
            <v>Unit Rawatan Rapi (ICU)</v>
          </cell>
        </row>
        <row r="1454">
          <cell r="D1454" t="str">
            <v>KKM/JKN/HSA/10-05-01/H/15/297</v>
          </cell>
          <cell r="E1454" t="str">
            <v>VENTILATOR</v>
          </cell>
          <cell r="F1454" t="str">
            <v>DRAEGER</v>
          </cell>
          <cell r="G1454" t="str">
            <v>SAVINA 300</v>
          </cell>
          <cell r="H1454" t="str">
            <v>ASHD-0030</v>
          </cell>
          <cell r="I1454" t="str">
            <v>ANNUALLY</v>
          </cell>
          <cell r="J1454">
            <v>45777</v>
          </cell>
          <cell r="K1454"/>
          <cell r="L1454"/>
          <cell r="M1454"/>
          <cell r="N1454" t="str">
            <v>JABATAN ANESTHESIA</v>
          </cell>
          <cell r="O1454" t="str">
            <v>Unit Rawatan Rapi (ICU)</v>
          </cell>
        </row>
        <row r="1455">
          <cell r="D1455" t="str">
            <v>KKM/JKN/HSA/10-05-01/H/15/298</v>
          </cell>
          <cell r="E1455" t="str">
            <v>VENTILATOR</v>
          </cell>
          <cell r="F1455" t="str">
            <v>DRAEGER</v>
          </cell>
          <cell r="G1455" t="str">
            <v>SAVINA 300</v>
          </cell>
          <cell r="H1455" t="str">
            <v>ASHD-0032</v>
          </cell>
          <cell r="I1455" t="str">
            <v>ANNUALLY</v>
          </cell>
          <cell r="J1455">
            <v>45777</v>
          </cell>
          <cell r="K1455"/>
          <cell r="L1455"/>
          <cell r="M1455"/>
          <cell r="N1455" t="str">
            <v>JABATAN ANESTHESIA</v>
          </cell>
          <cell r="O1455" t="str">
            <v>Unit Rawatan Rapi (ICU)</v>
          </cell>
        </row>
        <row r="1456">
          <cell r="D1456" t="str">
            <v>KKM/JKN/HSA/10-05-01/H/15/299</v>
          </cell>
          <cell r="E1456" t="str">
            <v>VENTILATOR</v>
          </cell>
          <cell r="F1456" t="str">
            <v>DRAEGER</v>
          </cell>
          <cell r="G1456" t="str">
            <v>SAVINA 300</v>
          </cell>
          <cell r="H1456" t="str">
            <v>ASHC-0085</v>
          </cell>
          <cell r="I1456" t="str">
            <v>ANNUALLY</v>
          </cell>
          <cell r="J1456">
            <v>45810</v>
          </cell>
          <cell r="K1456"/>
          <cell r="L1456"/>
          <cell r="M1456"/>
          <cell r="N1456" t="str">
            <v>JABATAN ANESTHESIA</v>
          </cell>
          <cell r="O1456" t="str">
            <v>Unit Rawatan Rapi (ICU)</v>
          </cell>
        </row>
        <row r="1457">
          <cell r="D1457" t="str">
            <v>KKM/JKN/HSA/10-05-01/H/15/300</v>
          </cell>
          <cell r="E1457" t="str">
            <v>VENTILATOR</v>
          </cell>
          <cell r="F1457" t="str">
            <v>DRAEGER</v>
          </cell>
          <cell r="G1457" t="str">
            <v>SAVINA 300</v>
          </cell>
          <cell r="H1457" t="str">
            <v>ASHD-0028</v>
          </cell>
          <cell r="I1457" t="str">
            <v>ANNUALLY</v>
          </cell>
          <cell r="J1457">
            <v>45810</v>
          </cell>
          <cell r="K1457"/>
          <cell r="L1457"/>
          <cell r="M1457"/>
          <cell r="N1457" t="str">
            <v>JABATAN ANESTHESIA</v>
          </cell>
          <cell r="O1457" t="str">
            <v>Unit Rawatan Rapi (ICU)</v>
          </cell>
        </row>
        <row r="1458">
          <cell r="D1458" t="str">
            <v>KKM/JKN/HSA/10-05-01/H/15/301</v>
          </cell>
          <cell r="E1458" t="str">
            <v>VENTILATOR</v>
          </cell>
          <cell r="F1458" t="str">
            <v>DRAEGER</v>
          </cell>
          <cell r="G1458" t="str">
            <v>SAVINA 300</v>
          </cell>
          <cell r="H1458" t="str">
            <v>ASHC-0081</v>
          </cell>
          <cell r="I1458" t="str">
            <v>ANNUALLY</v>
          </cell>
          <cell r="J1458">
            <v>45810</v>
          </cell>
          <cell r="K1458"/>
          <cell r="L1458"/>
          <cell r="M1458"/>
          <cell r="N1458" t="str">
            <v>JABATAN ANESTHESIA</v>
          </cell>
          <cell r="O1458" t="str">
            <v>Unit Rawatan Rapi (ICU)</v>
          </cell>
        </row>
        <row r="1459">
          <cell r="D1459" t="str">
            <v>KKM/JKN/HSA/10-05-01/H/15/302</v>
          </cell>
          <cell r="E1459" t="str">
            <v>VENTILATOR</v>
          </cell>
          <cell r="F1459" t="str">
            <v>DRAEGER</v>
          </cell>
          <cell r="G1459" t="str">
            <v>SAVINA 300</v>
          </cell>
          <cell r="H1459" t="str">
            <v>ASHD-0029</v>
          </cell>
          <cell r="I1459" t="str">
            <v>ANNUALLY</v>
          </cell>
          <cell r="J1459">
            <v>45810</v>
          </cell>
          <cell r="K1459"/>
          <cell r="L1459"/>
          <cell r="M1459"/>
          <cell r="N1459" t="str">
            <v>JABATAN ANESTHESIA</v>
          </cell>
          <cell r="O1459" t="str">
            <v>Unit Rawatan Rapi (ICU)</v>
          </cell>
        </row>
        <row r="1460">
          <cell r="D1460" t="str">
            <v>KKM/JKN/HSA/10-05-01/H/15/304</v>
          </cell>
          <cell r="E1460" t="str">
            <v>VENTILATOR</v>
          </cell>
          <cell r="F1460" t="str">
            <v>DRAEGER</v>
          </cell>
          <cell r="G1460" t="str">
            <v>OXYLOG 3000 PLUS</v>
          </cell>
          <cell r="H1460" t="str">
            <v>ASEJ-0135</v>
          </cell>
          <cell r="I1460" t="str">
            <v>SEMI ANNUALLY</v>
          </cell>
          <cell r="J1460">
            <v>45814</v>
          </cell>
          <cell r="K1460">
            <v>45996</v>
          </cell>
          <cell r="L1460"/>
          <cell r="M1460"/>
          <cell r="N1460" t="str">
            <v>JABATAN ANESTHESIA</v>
          </cell>
          <cell r="O1460" t="str">
            <v>Unit Rawatan Rapi (ICU)</v>
          </cell>
        </row>
        <row r="1461">
          <cell r="D1461" t="str">
            <v>KKM/JKN/HSA/10-05-01/H/15/305</v>
          </cell>
          <cell r="E1461" t="str">
            <v>VENTILATOR</v>
          </cell>
          <cell r="F1461" t="str">
            <v>DRAEGER</v>
          </cell>
          <cell r="G1461" t="str">
            <v>OXYLOG 3000 PLUS</v>
          </cell>
          <cell r="H1461" t="str">
            <v>ASEJ-0137</v>
          </cell>
          <cell r="I1461" t="str">
            <v>SEMI ANNUALLY</v>
          </cell>
          <cell r="J1461">
            <v>45814</v>
          </cell>
          <cell r="K1461">
            <v>45996</v>
          </cell>
          <cell r="L1461"/>
          <cell r="M1461"/>
          <cell r="N1461" t="str">
            <v>JABATAN ANESTHESIA</v>
          </cell>
          <cell r="O1461" t="str">
            <v>Unit Rawatan Rapi (ICU)</v>
          </cell>
        </row>
        <row r="1462">
          <cell r="D1462" t="str">
            <v>KKM/JKN/HSA/10-05-01/H/15/321</v>
          </cell>
          <cell r="E1462" t="str">
            <v>VENTILATOR</v>
          </cell>
          <cell r="F1462" t="str">
            <v>DRAEGER</v>
          </cell>
          <cell r="G1462" t="str">
            <v>EVITA XL</v>
          </cell>
          <cell r="H1462" t="str">
            <v>ASEJ-0306</v>
          </cell>
          <cell r="I1462" t="str">
            <v>SEMI ANNUALLY</v>
          </cell>
          <cell r="J1462">
            <v>45800</v>
          </cell>
          <cell r="K1462">
            <v>45983</v>
          </cell>
          <cell r="L1462"/>
          <cell r="M1462"/>
          <cell r="N1462" t="str">
            <v>JABATAN ANESTHESIA</v>
          </cell>
          <cell r="O1462" t="str">
            <v>Unit Rawatan Rapi (ICU)</v>
          </cell>
        </row>
        <row r="1463">
          <cell r="D1463" t="str">
            <v>KKM/JKN/HSA/10-05-01/H/15/322</v>
          </cell>
          <cell r="E1463" t="str">
            <v>VENTILATOR</v>
          </cell>
          <cell r="F1463" t="str">
            <v>DRAEGER</v>
          </cell>
          <cell r="G1463" t="str">
            <v>EVITA 4 EDITION</v>
          </cell>
          <cell r="H1463" t="str">
            <v>ASEJ-0307</v>
          </cell>
          <cell r="I1463" t="str">
            <v>SEMI ANNUALLY</v>
          </cell>
          <cell r="J1463">
            <v>45800</v>
          </cell>
          <cell r="K1463">
            <v>45983</v>
          </cell>
          <cell r="L1463"/>
          <cell r="M1463"/>
          <cell r="N1463" t="str">
            <v>JABATAN ANESTHESIA</v>
          </cell>
          <cell r="O1463" t="str">
            <v>Unit Rawatan Rapi (ICU)</v>
          </cell>
        </row>
        <row r="1464">
          <cell r="D1464" t="str">
            <v>KKM/JKN/HSA/10-05-01/H/15/323</v>
          </cell>
          <cell r="E1464" t="str">
            <v>VENTILATOR</v>
          </cell>
          <cell r="F1464" t="str">
            <v>DRAEGER</v>
          </cell>
          <cell r="G1464" t="str">
            <v>EVITA XL</v>
          </cell>
          <cell r="H1464" t="str">
            <v>ASEJ-0308</v>
          </cell>
          <cell r="I1464" t="str">
            <v>SEMI ANNUALLY</v>
          </cell>
          <cell r="J1464">
            <v>45819</v>
          </cell>
          <cell r="K1464">
            <v>46001</v>
          </cell>
          <cell r="L1464"/>
          <cell r="M1464"/>
          <cell r="N1464" t="str">
            <v>JABATAN ANESTHESIA</v>
          </cell>
          <cell r="O1464" t="str">
            <v>Unit Rawatan Rapi (ICU)</v>
          </cell>
        </row>
        <row r="1465">
          <cell r="D1465" t="str">
            <v>KKM/JKN/HSA/10-05-01/H/15/324</v>
          </cell>
          <cell r="E1465" t="str">
            <v>VENTILATOR</v>
          </cell>
          <cell r="F1465" t="str">
            <v>DRAEGER</v>
          </cell>
          <cell r="G1465" t="str">
            <v>EVITA 4 EDITION</v>
          </cell>
          <cell r="H1465" t="str">
            <v>ASEJ-0315</v>
          </cell>
          <cell r="I1465" t="str">
            <v>SEMI ANNUALLY</v>
          </cell>
          <cell r="J1465">
            <v>45819</v>
          </cell>
          <cell r="K1465">
            <v>46001</v>
          </cell>
          <cell r="L1465"/>
          <cell r="M1465"/>
          <cell r="N1465" t="str">
            <v>JABATAN ANESTHESIA</v>
          </cell>
          <cell r="O1465" t="str">
            <v>Unit Rawatan Rapi (ICU)</v>
          </cell>
        </row>
        <row r="1466">
          <cell r="D1466" t="str">
            <v>KKM/JKN/HSA/10-05-01/H/15/325</v>
          </cell>
          <cell r="E1466" t="str">
            <v>VENTILATOR</v>
          </cell>
          <cell r="F1466" t="str">
            <v>DRAEGER</v>
          </cell>
          <cell r="G1466" t="str">
            <v>EVITA XL</v>
          </cell>
          <cell r="H1466" t="str">
            <v>ASEJ-0313</v>
          </cell>
          <cell r="I1466" t="str">
            <v>SEMI ANNUALLY</v>
          </cell>
          <cell r="J1466">
            <v>45777</v>
          </cell>
          <cell r="K1466">
            <v>45959</v>
          </cell>
          <cell r="L1466"/>
          <cell r="M1466"/>
          <cell r="N1466" t="str">
            <v>JABATAN ANESTHESIA</v>
          </cell>
          <cell r="O1466" t="str">
            <v>Unit Rawatan Rapi (ICU)</v>
          </cell>
        </row>
        <row r="1467">
          <cell r="D1467" t="str">
            <v>KKM/JKN/HSA/10-05-01/H/15/326</v>
          </cell>
          <cell r="E1467" t="str">
            <v>VENTILATOR</v>
          </cell>
          <cell r="F1467" t="str">
            <v>DRAEGER</v>
          </cell>
          <cell r="G1467" t="str">
            <v>EVITA 4 EDITION</v>
          </cell>
          <cell r="H1467" t="str">
            <v>ASEJ-0305</v>
          </cell>
          <cell r="I1467" t="str">
            <v>SEMI ANNUALLY</v>
          </cell>
          <cell r="J1467">
            <v>45777</v>
          </cell>
          <cell r="K1467">
            <v>45959</v>
          </cell>
          <cell r="L1467"/>
          <cell r="M1467"/>
          <cell r="N1467" t="str">
            <v>JABATAN ANESTHESIA</v>
          </cell>
          <cell r="O1467" t="str">
            <v>Unit Rawatan Rapi (ICU)</v>
          </cell>
        </row>
        <row r="1468">
          <cell r="D1468" t="str">
            <v>KKM/JKN/HSA/10-05-01/H/15/327</v>
          </cell>
          <cell r="E1468" t="str">
            <v>VENTILATOR</v>
          </cell>
          <cell r="F1468" t="str">
            <v>DRAEGER</v>
          </cell>
          <cell r="G1468" t="str">
            <v>EVITA XL</v>
          </cell>
          <cell r="H1468" t="str">
            <v>ASEJ-0314</v>
          </cell>
          <cell r="I1468" t="str">
            <v>SEMI ANNUALLY</v>
          </cell>
          <cell r="J1468">
            <v>45777</v>
          </cell>
          <cell r="K1468">
            <v>45959</v>
          </cell>
          <cell r="L1468"/>
          <cell r="M1468"/>
          <cell r="N1468" t="str">
            <v>JABATAN ANESTHESIA</v>
          </cell>
          <cell r="O1468" t="str">
            <v>Unit Rawatan Rapi (ICU)</v>
          </cell>
        </row>
        <row r="1469">
          <cell r="D1469" t="str">
            <v>KKM/JKN/HSA/10-05-01/H/15/3671</v>
          </cell>
          <cell r="E1469" t="str">
            <v>DEFIBRILLATOR</v>
          </cell>
          <cell r="F1469" t="str">
            <v>PHILIPS</v>
          </cell>
          <cell r="G1469" t="str">
            <v>EFFICIA DFM100</v>
          </cell>
          <cell r="H1469" t="str">
            <v>CN32601435</v>
          </cell>
          <cell r="I1469" t="str">
            <v>SEMI ANNUALLY</v>
          </cell>
          <cell r="J1469">
            <v>45813</v>
          </cell>
          <cell r="K1469">
            <v>45995</v>
          </cell>
          <cell r="L1469"/>
          <cell r="M1469"/>
          <cell r="N1469" t="str">
            <v>JABATAN ANESTHESIA</v>
          </cell>
          <cell r="O1469" t="str">
            <v>Unit Rawatan Rapi (ICU)</v>
          </cell>
        </row>
        <row r="1470">
          <cell r="D1470" t="str">
            <v>KKM/JKN/HSA/10-05-01/H/15/3672</v>
          </cell>
          <cell r="E1470" t="str">
            <v>DEFIBRILLATOR</v>
          </cell>
          <cell r="F1470" t="str">
            <v>PHILIPS</v>
          </cell>
          <cell r="G1470" t="str">
            <v>EFFICIA DFM100</v>
          </cell>
          <cell r="H1470" t="str">
            <v>CN32601431</v>
          </cell>
          <cell r="I1470" t="str">
            <v>SEMI ANNUALLY</v>
          </cell>
          <cell r="J1470">
            <v>45813</v>
          </cell>
          <cell r="K1470">
            <v>45995</v>
          </cell>
          <cell r="L1470"/>
          <cell r="M1470"/>
          <cell r="N1470" t="str">
            <v>JABATAN ANESTHESIA</v>
          </cell>
          <cell r="O1470" t="str">
            <v>Unit Rawatan Rapi (ICU)</v>
          </cell>
        </row>
        <row r="1471">
          <cell r="D1471" t="str">
            <v>KKM/JKN/HSA/10-05-01/H/15/4170</v>
          </cell>
          <cell r="E1471" t="str">
            <v>VASCULAR DOPPLER</v>
          </cell>
          <cell r="F1471" t="str">
            <v>HUNTLEIGHT</v>
          </cell>
          <cell r="G1471" t="str">
            <v>MD2</v>
          </cell>
          <cell r="H1471" t="str">
            <v>MD2P10527695-13</v>
          </cell>
          <cell r="I1471" t="str">
            <v>ANNUALLY</v>
          </cell>
          <cell r="J1471">
            <v>46028</v>
          </cell>
          <cell r="K1471"/>
          <cell r="L1471"/>
          <cell r="M1471"/>
          <cell r="N1471" t="str">
            <v>JABATAN ANESTHESIA</v>
          </cell>
          <cell r="O1471" t="str">
            <v>Unit Rawatan Rapi (ICU)</v>
          </cell>
        </row>
        <row r="1472">
          <cell r="D1472" t="str">
            <v>KKM/JKN/HSA/10-05-01/H/15/4219</v>
          </cell>
          <cell r="E1472" t="str">
            <v>INFUSION PUMP-DRIVER SYRINGE</v>
          </cell>
          <cell r="F1472" t="str">
            <v>MICREL</v>
          </cell>
          <cell r="G1472" t="str">
            <v>RYTHMIC PCEA</v>
          </cell>
          <cell r="H1472" t="str">
            <v>110411028019</v>
          </cell>
          <cell r="I1472" t="str">
            <v>ANNUALLY</v>
          </cell>
          <cell r="J1472">
            <v>45781</v>
          </cell>
          <cell r="K1472"/>
          <cell r="L1472"/>
          <cell r="M1472"/>
          <cell r="N1472" t="str">
            <v>JABATAN ANESTHESIA</v>
          </cell>
          <cell r="O1472" t="str">
            <v>Unit Rawatan Rapi (ICU)</v>
          </cell>
        </row>
        <row r="1473">
          <cell r="D1473" t="str">
            <v>KKM/JKN/HSA/10-05-01/H/15/4220</v>
          </cell>
          <cell r="E1473" t="str">
            <v>INFUSION PUMP-DRIVER SYRINGE</v>
          </cell>
          <cell r="F1473" t="str">
            <v>MICREL</v>
          </cell>
          <cell r="G1473" t="str">
            <v>RYTHMIC PCEA</v>
          </cell>
          <cell r="H1473" t="str">
            <v>110411028022</v>
          </cell>
          <cell r="I1473" t="str">
            <v>ANNUALLY</v>
          </cell>
          <cell r="J1473">
            <v>45901</v>
          </cell>
          <cell r="K1473"/>
          <cell r="L1473"/>
          <cell r="M1473"/>
          <cell r="N1473" t="str">
            <v>JABATAN ANESTHESIA</v>
          </cell>
          <cell r="O1473" t="str">
            <v>Unit Rawatan Rapi (ICU)</v>
          </cell>
        </row>
        <row r="1474">
          <cell r="D1474" t="str">
            <v>KKM/JKN/HSA/10-05-01/H/15/4224</v>
          </cell>
          <cell r="E1474" t="str">
            <v>PCA</v>
          </cell>
          <cell r="F1474" t="str">
            <v>FRESENIUS KABI</v>
          </cell>
          <cell r="G1474" t="str">
            <v>MASTER PCA</v>
          </cell>
          <cell r="H1474" t="str">
            <v>22232842/22231790</v>
          </cell>
          <cell r="I1474" t="str">
            <v>ANNUALLY</v>
          </cell>
          <cell r="J1474">
            <v>45861</v>
          </cell>
          <cell r="K1474"/>
          <cell r="L1474"/>
          <cell r="M1474"/>
          <cell r="N1474" t="str">
            <v>JABATAN ANESTHESIA</v>
          </cell>
          <cell r="O1474" t="str">
            <v>Unit Rawatan Rapi (ICU)</v>
          </cell>
        </row>
        <row r="1475">
          <cell r="D1475" t="str">
            <v>KKM/JKN/HSA/10-05-01/H/15/4225</v>
          </cell>
          <cell r="E1475" t="str">
            <v>PCA</v>
          </cell>
          <cell r="F1475" t="str">
            <v>FRESENIUS KABI</v>
          </cell>
          <cell r="G1475" t="str">
            <v>MASTER PCA</v>
          </cell>
          <cell r="H1475" t="str">
            <v>22202820/22232841</v>
          </cell>
          <cell r="I1475" t="str">
            <v>ANNUALLY</v>
          </cell>
          <cell r="J1475">
            <v>45861</v>
          </cell>
          <cell r="K1475"/>
          <cell r="L1475"/>
          <cell r="M1475"/>
          <cell r="N1475" t="str">
            <v>JABATAN ANESTHESIA</v>
          </cell>
          <cell r="O1475" t="str">
            <v>Unit Rawatan Rapi (ICU)</v>
          </cell>
        </row>
        <row r="1476">
          <cell r="D1476" t="str">
            <v>KKM/JKN/HSA/10-05-01/H/15/4226</v>
          </cell>
          <cell r="E1476" t="str">
            <v>PCA</v>
          </cell>
          <cell r="F1476" t="str">
            <v>FRESENIUS KABI</v>
          </cell>
          <cell r="G1476" t="str">
            <v>MASTER PCA</v>
          </cell>
          <cell r="H1476" t="str">
            <v>22202820/22231792</v>
          </cell>
          <cell r="I1476" t="str">
            <v>ANNUALLY</v>
          </cell>
          <cell r="J1476">
            <v>45861</v>
          </cell>
          <cell r="K1476"/>
          <cell r="L1476"/>
          <cell r="M1476"/>
          <cell r="N1476" t="str">
            <v>JABATAN ANESTHESIA</v>
          </cell>
          <cell r="O1476" t="str">
            <v>Unit Rawatan Rapi (ICU)</v>
          </cell>
        </row>
        <row r="1477">
          <cell r="D1477" t="str">
            <v>KKM/JKN/HSA/10-05-01/H/15/4228</v>
          </cell>
          <cell r="E1477" t="str">
            <v>PCA</v>
          </cell>
          <cell r="F1477" t="str">
            <v>FRESENIUS KABI</v>
          </cell>
          <cell r="G1477" t="str">
            <v>MASTER PCA</v>
          </cell>
          <cell r="H1477" t="str">
            <v>22232846/22231794</v>
          </cell>
          <cell r="I1477" t="str">
            <v>ANNUALLY</v>
          </cell>
          <cell r="J1477">
            <v>45864</v>
          </cell>
          <cell r="K1477"/>
          <cell r="L1477"/>
          <cell r="M1477"/>
          <cell r="N1477" t="str">
            <v>JABATAN ANESTHESIA</v>
          </cell>
          <cell r="O1477" t="str">
            <v>Unit Rawatan Rapi (ICU)</v>
          </cell>
        </row>
        <row r="1478">
          <cell r="D1478" t="str">
            <v>KKM/JKN/HSA/10-05-01/H/15/4230</v>
          </cell>
          <cell r="E1478" t="str">
            <v>PCA</v>
          </cell>
          <cell r="F1478" t="str">
            <v>FRESENIUS KABI</v>
          </cell>
          <cell r="G1478" t="str">
            <v>MASTER PCA</v>
          </cell>
          <cell r="H1478" t="str">
            <v>22202819</v>
          </cell>
          <cell r="I1478" t="str">
            <v>ANNUALLY</v>
          </cell>
          <cell r="J1478">
            <v>45865</v>
          </cell>
          <cell r="K1478"/>
          <cell r="L1478"/>
          <cell r="M1478"/>
          <cell r="N1478" t="str">
            <v>JABATAN ANESTHESIA</v>
          </cell>
          <cell r="O1478" t="str">
            <v>Unit Rawatan Rapi (ICU)</v>
          </cell>
        </row>
        <row r="1479">
          <cell r="D1479" t="str">
            <v>KKM/JKN/HSA/10-05-01/H/15/4231</v>
          </cell>
          <cell r="E1479" t="str">
            <v>PCA</v>
          </cell>
          <cell r="F1479" t="str">
            <v>FRESENIUS KABI</v>
          </cell>
          <cell r="G1479" t="str">
            <v>MASTER PCA</v>
          </cell>
          <cell r="H1479" t="str">
            <v>054190/22232843</v>
          </cell>
          <cell r="I1479" t="str">
            <v>ANNUALLY</v>
          </cell>
          <cell r="J1479">
            <v>45865</v>
          </cell>
          <cell r="K1479"/>
          <cell r="L1479"/>
          <cell r="M1479"/>
          <cell r="N1479" t="str">
            <v>JABATAN ANESTHESIA</v>
          </cell>
          <cell r="O1479" t="str">
            <v>Unit Rawatan Rapi (ICU)</v>
          </cell>
        </row>
        <row r="1480">
          <cell r="D1480" t="str">
            <v>KKM/JKN/HSA/10-05-01/H/15/4232</v>
          </cell>
          <cell r="E1480" t="str">
            <v>PCA</v>
          </cell>
          <cell r="F1480" t="str">
            <v>FRESENIUS KABI</v>
          </cell>
          <cell r="G1480" t="str">
            <v>MASTER PCA</v>
          </cell>
          <cell r="H1480" t="str">
            <v>22232844</v>
          </cell>
          <cell r="I1480" t="str">
            <v>ANNUALLY</v>
          </cell>
          <cell r="J1480">
            <v>45868</v>
          </cell>
          <cell r="K1480"/>
          <cell r="L1480"/>
          <cell r="M1480"/>
          <cell r="N1480" t="str">
            <v>JABATAN ANESTHESIA</v>
          </cell>
          <cell r="O1480" t="str">
            <v>Unit Rawatan Rapi (ICU)</v>
          </cell>
        </row>
        <row r="1481">
          <cell r="D1481" t="str">
            <v>KKM/JKN/HSA/10-05-01/H/15/4233</v>
          </cell>
          <cell r="E1481" t="str">
            <v>PCA</v>
          </cell>
          <cell r="F1481" t="str">
            <v>FRESENIUS KABI</v>
          </cell>
          <cell r="G1481" t="str">
            <v>MASTER PCA</v>
          </cell>
          <cell r="H1481" t="str">
            <v>054190/22232856</v>
          </cell>
          <cell r="I1481" t="str">
            <v>ANNUALLY</v>
          </cell>
          <cell r="J1481">
            <v>45868</v>
          </cell>
          <cell r="K1481"/>
          <cell r="L1481"/>
          <cell r="M1481"/>
          <cell r="N1481" t="str">
            <v>JABATAN ANESTHESIA</v>
          </cell>
          <cell r="O1481" t="str">
            <v>Unit Rawatan Rapi (ICU)</v>
          </cell>
        </row>
        <row r="1482">
          <cell r="D1482" t="str">
            <v>KKM/JKN/HSA/10-05-01/H/15/4288</v>
          </cell>
          <cell r="E1482" t="str">
            <v>RIPPLE MATTRESS</v>
          </cell>
          <cell r="F1482" t="str">
            <v>BANTEX</v>
          </cell>
          <cell r="G1482" t="str">
            <v>GENESIS III</v>
          </cell>
          <cell r="H1482" t="str">
            <v>EZ141104999</v>
          </cell>
          <cell r="I1482" t="str">
            <v>ANNUALLY</v>
          </cell>
          <cell r="J1482">
            <v>45880</v>
          </cell>
          <cell r="K1482"/>
          <cell r="L1482"/>
          <cell r="M1482"/>
          <cell r="N1482" t="str">
            <v>JABATAN ANESTHESIA</v>
          </cell>
          <cell r="O1482" t="str">
            <v>Unit Rawatan Rapi (ICU)</v>
          </cell>
        </row>
        <row r="1483">
          <cell r="D1483" t="str">
            <v>KKM/JKN/HSA/10-05-01/H/15/4289</v>
          </cell>
          <cell r="E1483" t="str">
            <v>MONITOR MODULAR</v>
          </cell>
          <cell r="F1483" t="str">
            <v>MINDRAY</v>
          </cell>
          <cell r="G1483" t="str">
            <v>BANEVIEW T8</v>
          </cell>
          <cell r="H1483" t="str">
            <v>CF-45122779</v>
          </cell>
          <cell r="I1483" t="str">
            <v>ANNUALLY</v>
          </cell>
          <cell r="J1483">
            <v>45869</v>
          </cell>
          <cell r="K1483"/>
          <cell r="L1483"/>
          <cell r="M1483"/>
          <cell r="N1483" t="str">
            <v>JABATAN ANESTHESIA</v>
          </cell>
          <cell r="O1483" t="str">
            <v>Unit Rawatan Rapi (ICU)</v>
          </cell>
        </row>
        <row r="1484">
          <cell r="D1484" t="str">
            <v>KKM/JKN/HSA/10-05-01/H/15/4290</v>
          </cell>
          <cell r="E1484" t="str">
            <v>PATIENT MONITOR</v>
          </cell>
          <cell r="F1484" t="str">
            <v>MINDRAY</v>
          </cell>
          <cell r="G1484" t="str">
            <v>BANEVIEW T8</v>
          </cell>
          <cell r="H1484" t="str">
            <v>CF-45122778</v>
          </cell>
          <cell r="I1484" t="str">
            <v>ANNUALLY</v>
          </cell>
          <cell r="J1484">
            <v>45865</v>
          </cell>
          <cell r="K1484"/>
          <cell r="L1484"/>
          <cell r="M1484"/>
          <cell r="N1484" t="str">
            <v>JABATAN ANESTHESIA</v>
          </cell>
          <cell r="O1484" t="str">
            <v>Unit Rawatan Rapi (ICU)</v>
          </cell>
        </row>
        <row r="1485">
          <cell r="D1485" t="str">
            <v>KKM/JKN/HSA/10-05-01/H/15/4291</v>
          </cell>
          <cell r="E1485" t="str">
            <v>PATIENT MONITOR</v>
          </cell>
          <cell r="F1485" t="str">
            <v>MINDRAY</v>
          </cell>
          <cell r="G1485" t="str">
            <v>BANEVIEW T8</v>
          </cell>
          <cell r="H1485" t="str">
            <v>CF-45122777</v>
          </cell>
          <cell r="I1485" t="str">
            <v>ANNUALLY</v>
          </cell>
          <cell r="J1485">
            <v>45867</v>
          </cell>
          <cell r="K1485"/>
          <cell r="L1485"/>
          <cell r="M1485"/>
          <cell r="N1485" t="str">
            <v>JABATAN ANESTHESIA</v>
          </cell>
          <cell r="O1485" t="str">
            <v>Unit Rawatan Rapi (ICU)</v>
          </cell>
        </row>
        <row r="1486">
          <cell r="D1486" t="str">
            <v>KKM/JKN/HSA/10-05-01/H/15/4292</v>
          </cell>
          <cell r="E1486" t="str">
            <v>PATIENT MONITOR</v>
          </cell>
          <cell r="F1486" t="str">
            <v>MINDRAY</v>
          </cell>
          <cell r="G1486" t="str">
            <v>BANEVIEW T8</v>
          </cell>
          <cell r="H1486" t="str">
            <v>CF-45122776</v>
          </cell>
          <cell r="I1486" t="str">
            <v>ANNUALLY</v>
          </cell>
          <cell r="J1486">
            <v>45869</v>
          </cell>
          <cell r="K1486"/>
          <cell r="L1486"/>
          <cell r="M1486"/>
          <cell r="N1486" t="str">
            <v>JABATAN ANESTHESIA</v>
          </cell>
          <cell r="O1486" t="str">
            <v>Unit Rawatan Rapi (ICU)</v>
          </cell>
        </row>
        <row r="1487">
          <cell r="D1487" t="str">
            <v>KKM/JKN/HSA/10-05-01/H/15/4294</v>
          </cell>
          <cell r="E1487" t="str">
            <v>PATIENT MONITOR</v>
          </cell>
          <cell r="F1487" t="str">
            <v>MINDRAY</v>
          </cell>
          <cell r="G1487" t="str">
            <v>BANEVIEW T8</v>
          </cell>
          <cell r="H1487" t="str">
            <v>CF-45122775</v>
          </cell>
          <cell r="I1487" t="str">
            <v>ANNUALLY</v>
          </cell>
          <cell r="J1487">
            <v>45867</v>
          </cell>
          <cell r="K1487"/>
          <cell r="L1487"/>
          <cell r="M1487"/>
          <cell r="N1487" t="str">
            <v>JABATAN ANESTHESIA</v>
          </cell>
          <cell r="O1487" t="str">
            <v>Unit Rawatan Rapi (ICU)</v>
          </cell>
        </row>
        <row r="1488">
          <cell r="D1488" t="str">
            <v>KKM/JKN/HSA/10-05-01/H/15/4295</v>
          </cell>
          <cell r="E1488" t="str">
            <v>PATIENT MONITOR</v>
          </cell>
          <cell r="F1488" t="str">
            <v>MINDRAY</v>
          </cell>
          <cell r="G1488" t="str">
            <v>BENEVIEW T8</v>
          </cell>
          <cell r="H1488" t="str">
            <v>CF-45122780</v>
          </cell>
          <cell r="I1488" t="str">
            <v>ANNUALLY</v>
          </cell>
          <cell r="J1488">
            <v>45882</v>
          </cell>
          <cell r="K1488"/>
          <cell r="L1488"/>
          <cell r="M1488"/>
          <cell r="N1488" t="str">
            <v>JABATAN ANESTHESIA</v>
          </cell>
          <cell r="O1488" t="str">
            <v>Unit Rawatan Rapi (ICU)</v>
          </cell>
        </row>
        <row r="1489">
          <cell r="D1489" t="str">
            <v>KKM/JKN/HSA/10-05-01/H/15/448</v>
          </cell>
          <cell r="E1489" t="str">
            <v>SYRINGE INFUSION PUMP</v>
          </cell>
          <cell r="F1489" t="str">
            <v>FRESENIUS KABI</v>
          </cell>
          <cell r="G1489" t="str">
            <v>INJECTOMAT MC AGILIA</v>
          </cell>
          <cell r="H1489" t="str">
            <v>018130/22231836</v>
          </cell>
          <cell r="I1489" t="str">
            <v>ANNUALLY</v>
          </cell>
          <cell r="J1489">
            <v>45799</v>
          </cell>
          <cell r="K1489"/>
          <cell r="L1489"/>
          <cell r="M1489"/>
          <cell r="N1489" t="str">
            <v>JABATAN ANESTHESIA</v>
          </cell>
          <cell r="O1489" t="str">
            <v>Unit Rawatan Rapi (ICU)</v>
          </cell>
        </row>
        <row r="1490">
          <cell r="D1490" t="str">
            <v>KKM/JKN/HSA/10-05-01/H/15/464</v>
          </cell>
          <cell r="E1490" t="str">
            <v>BRONCHOSCOPES</v>
          </cell>
          <cell r="F1490" t="str">
            <v>OLYMPUS</v>
          </cell>
          <cell r="G1490" t="str">
            <v>BF-P60</v>
          </cell>
          <cell r="H1490" t="str">
            <v>2454997</v>
          </cell>
          <cell r="I1490" t="str">
            <v>ANNUALLY</v>
          </cell>
          <cell r="J1490">
            <v>45814</v>
          </cell>
          <cell r="K1490"/>
          <cell r="L1490"/>
          <cell r="M1490"/>
          <cell r="N1490" t="str">
            <v>JABATAN ANESTHESIA</v>
          </cell>
          <cell r="O1490" t="str">
            <v>Unit Rawatan Rapi (ICU)</v>
          </cell>
        </row>
        <row r="1491">
          <cell r="D1491" t="str">
            <v>KKM/JKN/HSA/10-05-01/H/15/568</v>
          </cell>
          <cell r="E1491" t="str">
            <v>ECG (EKG) MACHINE</v>
          </cell>
          <cell r="F1491" t="str">
            <v>GE HEALTHCARE</v>
          </cell>
          <cell r="G1491" t="str">
            <v>MAC 2000</v>
          </cell>
          <cell r="H1491" t="str">
            <v>NST16127401PA</v>
          </cell>
          <cell r="I1491" t="str">
            <v>ANNUALLY</v>
          </cell>
          <cell r="J1491">
            <v>45847</v>
          </cell>
          <cell r="K1491"/>
          <cell r="L1491"/>
          <cell r="M1491"/>
          <cell r="N1491" t="str">
            <v>JABATAN ANESTHESIA</v>
          </cell>
          <cell r="O1491" t="str">
            <v>Unit Rawatan Rapi (ICU)</v>
          </cell>
        </row>
        <row r="1492">
          <cell r="D1492" t="str">
            <v>KKM/JKN/HSA/10-05-01/H/15/580</v>
          </cell>
          <cell r="E1492" t="str">
            <v>PATIENT MONITORING EQUIP.(AUTOMATIC MULTIPARAMETER)</v>
          </cell>
          <cell r="F1492" t="str">
            <v>MINDRAY</v>
          </cell>
          <cell r="G1492" t="str">
            <v>BENEVIEW T1</v>
          </cell>
          <cell r="H1492" t="str">
            <v>N/A</v>
          </cell>
          <cell r="I1492" t="str">
            <v>ANNUALLY</v>
          </cell>
          <cell r="J1492">
            <v>45848</v>
          </cell>
          <cell r="K1492"/>
          <cell r="L1492"/>
          <cell r="M1492"/>
          <cell r="N1492" t="str">
            <v>JABATAN ANESTHESIA</v>
          </cell>
          <cell r="O1492" t="str">
            <v>Unit Rawatan Rapi (ICU)</v>
          </cell>
        </row>
        <row r="1493">
          <cell r="D1493" t="str">
            <v>KKM/JKN/HSA/10-05-01/H/15/581</v>
          </cell>
          <cell r="E1493" t="str">
            <v>PATIENT MONITORING EQUIP.(AUTOMATIC MULTIPARAMETER)</v>
          </cell>
          <cell r="F1493" t="str">
            <v>MINDRAY</v>
          </cell>
          <cell r="G1493" t="str">
            <v>BENEVIEW T1</v>
          </cell>
          <cell r="H1493" t="str">
            <v>FB45005664</v>
          </cell>
          <cell r="I1493" t="str">
            <v>ANNUALLY</v>
          </cell>
          <cell r="J1493">
            <v>45847</v>
          </cell>
          <cell r="K1493"/>
          <cell r="L1493"/>
          <cell r="M1493"/>
          <cell r="N1493" t="str">
            <v>JABATAN ANESTHESIA</v>
          </cell>
          <cell r="O1493" t="str">
            <v>Unit Rawatan Rapi (ICU)</v>
          </cell>
        </row>
        <row r="1494">
          <cell r="D1494" t="str">
            <v>KKM/JKN/HSA/10-05-01/H/15/615</v>
          </cell>
          <cell r="E1494" t="str">
            <v>SYRINGE INFUSION PUMP</v>
          </cell>
          <cell r="F1494" t="str">
            <v>FRESENIUS KABI</v>
          </cell>
          <cell r="G1494" t="str">
            <v>INJECTOMAT MC AGILIA</v>
          </cell>
          <cell r="H1494" t="str">
            <v>22231848</v>
          </cell>
          <cell r="I1494" t="str">
            <v>ANNUALLY</v>
          </cell>
          <cell r="J1494">
            <v>45782</v>
          </cell>
          <cell r="K1494"/>
          <cell r="L1494"/>
          <cell r="M1494"/>
          <cell r="N1494" t="str">
            <v>JABATAN ANESTHESIA</v>
          </cell>
          <cell r="O1494" t="str">
            <v>Unit Rawatan Rapi (ICU)</v>
          </cell>
        </row>
        <row r="1495">
          <cell r="D1495" t="str">
            <v>KKM/JKN/HSA/10-05-01/H/15/694</v>
          </cell>
          <cell r="E1495" t="str">
            <v>SYRINGE INFUSION PUMP</v>
          </cell>
          <cell r="F1495" t="str">
            <v>FRESENIUS KABI</v>
          </cell>
          <cell r="G1495" t="str">
            <v>INJECTOMAT MC AGILIA</v>
          </cell>
          <cell r="H1495" t="str">
            <v>22231627</v>
          </cell>
          <cell r="I1495" t="str">
            <v>ANNUALLY</v>
          </cell>
          <cell r="J1495">
            <v>45740</v>
          </cell>
          <cell r="K1495"/>
          <cell r="L1495"/>
          <cell r="M1495"/>
          <cell r="N1495" t="str">
            <v>JABATAN ANESTHESIA</v>
          </cell>
          <cell r="O1495" t="str">
            <v>Unit Rawatan Rapi (ICU)</v>
          </cell>
        </row>
        <row r="1496">
          <cell r="D1496" t="str">
            <v>KKM/JKN/HSA/10-05-01/H/15/695</v>
          </cell>
          <cell r="E1496" t="str">
            <v>SYRINGE INFUSION PUMP</v>
          </cell>
          <cell r="F1496" t="str">
            <v>FRESENIUS KABI</v>
          </cell>
          <cell r="G1496" t="str">
            <v>INJECTOMAT MC AGILIA</v>
          </cell>
          <cell r="H1496" t="str">
            <v>N/A</v>
          </cell>
          <cell r="I1496" t="str">
            <v>ANNUALLY</v>
          </cell>
          <cell r="J1496">
            <v>45760</v>
          </cell>
          <cell r="K1496"/>
          <cell r="L1496"/>
          <cell r="M1496"/>
          <cell r="N1496" t="str">
            <v>JABATAN ANESTHESIA</v>
          </cell>
          <cell r="O1496" t="str">
            <v>Unit Rawatan Rapi (ICU)</v>
          </cell>
        </row>
        <row r="1497">
          <cell r="D1497" t="str">
            <v>KKM/JKN/HSA/10-05-01/H/15/696</v>
          </cell>
          <cell r="E1497" t="str">
            <v>SYRINGE INFUSION PUMP</v>
          </cell>
          <cell r="F1497" t="str">
            <v>FRESENIUS KABI</v>
          </cell>
          <cell r="G1497" t="str">
            <v>INJECTOMAT MC AGILIA</v>
          </cell>
          <cell r="H1497" t="str">
            <v>22231626</v>
          </cell>
          <cell r="I1497" t="str">
            <v>ANNUALLY</v>
          </cell>
          <cell r="J1497">
            <v>45760</v>
          </cell>
          <cell r="K1497"/>
          <cell r="L1497"/>
          <cell r="M1497"/>
          <cell r="N1497" t="str">
            <v>JABATAN ANESTHESIA</v>
          </cell>
          <cell r="O1497" t="str">
            <v>Unit Rawatan Rapi (ICU)</v>
          </cell>
        </row>
        <row r="1498">
          <cell r="D1498" t="str">
            <v>KKM/JKN/HSA/10-05-01/H/15/697</v>
          </cell>
          <cell r="E1498" t="str">
            <v>SYRINGE INFUSION PUMP</v>
          </cell>
          <cell r="F1498" t="str">
            <v>FRESENIUS KABI</v>
          </cell>
          <cell r="G1498" t="str">
            <v>INJECTOMAT MC AGILIA</v>
          </cell>
          <cell r="H1498" t="str">
            <v>22231697</v>
          </cell>
          <cell r="I1498" t="str">
            <v>ANNUALLY</v>
          </cell>
          <cell r="J1498">
            <v>45760</v>
          </cell>
          <cell r="K1498"/>
          <cell r="L1498"/>
          <cell r="M1498"/>
          <cell r="N1498" t="str">
            <v>JABATAN ANESTHESIA</v>
          </cell>
          <cell r="O1498" t="str">
            <v>Unit Rawatan Rapi (ICU)</v>
          </cell>
        </row>
        <row r="1499">
          <cell r="D1499" t="str">
            <v>KKM/JKN/HSA/10-05-01/H/15/698</v>
          </cell>
          <cell r="E1499" t="str">
            <v>SYRINGE INFUSION PUMP</v>
          </cell>
          <cell r="F1499" t="str">
            <v>FRESENIUS KABI</v>
          </cell>
          <cell r="G1499" t="str">
            <v>INJECTOMAT MC AGILIA</v>
          </cell>
          <cell r="H1499" t="str">
            <v>018130/22231679</v>
          </cell>
          <cell r="I1499" t="str">
            <v>ANNUALLY</v>
          </cell>
          <cell r="J1499">
            <v>45760</v>
          </cell>
          <cell r="K1499"/>
          <cell r="L1499"/>
          <cell r="M1499"/>
          <cell r="N1499" t="str">
            <v>JABATAN ANESTHESIA</v>
          </cell>
          <cell r="O1499" t="str">
            <v>Unit Rawatan Rapi (ICU)</v>
          </cell>
        </row>
        <row r="1500">
          <cell r="D1500" t="str">
            <v>KKM/JKN/HSA/10-05-01/H/15/699</v>
          </cell>
          <cell r="E1500" t="str">
            <v>SYRINGE INFUSION PUMP</v>
          </cell>
          <cell r="F1500" t="str">
            <v>FRESENIUS KABI</v>
          </cell>
          <cell r="G1500" t="str">
            <v>INJECTOMAT MC AGILIA</v>
          </cell>
          <cell r="H1500" t="str">
            <v>018130/22231638</v>
          </cell>
          <cell r="I1500" t="str">
            <v>ANNUALLY</v>
          </cell>
          <cell r="J1500">
            <v>45700</v>
          </cell>
          <cell r="K1500"/>
          <cell r="L1500"/>
          <cell r="M1500"/>
          <cell r="N1500" t="str">
            <v>JABATAN ANESTHESIA</v>
          </cell>
          <cell r="O1500" t="str">
            <v>Unit Rawatan Rapi (ICU)</v>
          </cell>
        </row>
        <row r="1501">
          <cell r="D1501" t="str">
            <v>KKM/JKN/HSA/10-05-01/H/15/700</v>
          </cell>
          <cell r="E1501" t="str">
            <v>SYRINGE INFUSION PUMP</v>
          </cell>
          <cell r="F1501" t="str">
            <v>FRESENIUS KABI</v>
          </cell>
          <cell r="G1501" t="str">
            <v>INJECTOMAT MC AGILIA</v>
          </cell>
          <cell r="H1501" t="str">
            <v>018130/22231673</v>
          </cell>
          <cell r="I1501" t="str">
            <v>ANNUALLY</v>
          </cell>
          <cell r="J1501">
            <v>45700</v>
          </cell>
          <cell r="K1501"/>
          <cell r="L1501"/>
          <cell r="M1501"/>
          <cell r="N1501" t="str">
            <v>JABATAN ANESTHESIA</v>
          </cell>
          <cell r="O1501" t="str">
            <v>Unit Rawatan Rapi (ICU)</v>
          </cell>
        </row>
        <row r="1502">
          <cell r="D1502" t="str">
            <v>KKM/JKN/HSA/10-05-01/H/15/701</v>
          </cell>
          <cell r="E1502" t="str">
            <v>SYRINGE INFUSION PUMP</v>
          </cell>
          <cell r="F1502" t="str">
            <v>FRESENIUS KABI</v>
          </cell>
          <cell r="G1502" t="str">
            <v>INJECTOMAT MC AGILIA</v>
          </cell>
          <cell r="H1502" t="str">
            <v>22231725</v>
          </cell>
          <cell r="I1502" t="str">
            <v>ANNUALLY</v>
          </cell>
          <cell r="J1502">
            <v>45701</v>
          </cell>
          <cell r="K1502"/>
          <cell r="L1502"/>
          <cell r="M1502"/>
          <cell r="N1502" t="str">
            <v>JABATAN ANESTHESIA</v>
          </cell>
          <cell r="O1502" t="str">
            <v>Unit Rawatan Rapi (ICU)</v>
          </cell>
        </row>
        <row r="1503">
          <cell r="D1503" t="str">
            <v>KKM/JKN/HSA/10-05-01/H/15/702</v>
          </cell>
          <cell r="E1503" t="str">
            <v>SYRINGE INFUSION PUMP</v>
          </cell>
          <cell r="F1503" t="str">
            <v>FRESENIUS KABI</v>
          </cell>
          <cell r="G1503" t="str">
            <v>INJECTOMAT MC AGILIA</v>
          </cell>
          <cell r="H1503" t="str">
            <v>N/A</v>
          </cell>
          <cell r="I1503" t="str">
            <v>ANNUALLY</v>
          </cell>
          <cell r="J1503">
            <v>45715</v>
          </cell>
          <cell r="K1503"/>
          <cell r="L1503"/>
          <cell r="M1503"/>
          <cell r="N1503" t="str">
            <v>JABATAN ANESTHESIA</v>
          </cell>
          <cell r="O1503" t="str">
            <v>Unit Rawatan Rapi (ICU)</v>
          </cell>
        </row>
        <row r="1504">
          <cell r="D1504" t="str">
            <v>KKM/JKN/HSA/10-05-01/H/15/703</v>
          </cell>
          <cell r="E1504" t="str">
            <v>SYRINGE INFUSION PUMP</v>
          </cell>
          <cell r="F1504" t="str">
            <v>FRESENIUS KABI</v>
          </cell>
          <cell r="G1504" t="str">
            <v>INJECTOMAT MC AGILIA</v>
          </cell>
          <cell r="H1504" t="str">
            <v>N/A</v>
          </cell>
          <cell r="I1504" t="str">
            <v>ANNUALLY</v>
          </cell>
          <cell r="J1504">
            <v>45715</v>
          </cell>
          <cell r="K1504"/>
          <cell r="L1504"/>
          <cell r="M1504"/>
          <cell r="N1504" t="str">
            <v>JABATAN ANESTHESIA</v>
          </cell>
          <cell r="O1504" t="str">
            <v>Unit Rawatan Rapi (ICU)</v>
          </cell>
        </row>
        <row r="1505">
          <cell r="D1505" t="str">
            <v>KKM/JKN/HSA/10-05-01/H/15/704</v>
          </cell>
          <cell r="E1505" t="str">
            <v>SYRINGE INFUSION PUMP</v>
          </cell>
          <cell r="F1505" t="str">
            <v>FRESENIUS KABI</v>
          </cell>
          <cell r="G1505" t="str">
            <v>INJECTOMAT MC AGILIA</v>
          </cell>
          <cell r="H1505" t="str">
            <v>22231722</v>
          </cell>
          <cell r="I1505" t="str">
            <v>ANNUALLY</v>
          </cell>
          <cell r="J1505">
            <v>45775</v>
          </cell>
          <cell r="K1505"/>
          <cell r="L1505"/>
          <cell r="M1505"/>
          <cell r="N1505" t="str">
            <v>JABATAN ANESTHESIA</v>
          </cell>
          <cell r="O1505" t="str">
            <v>Unit Rawatan Rapi (ICU)</v>
          </cell>
        </row>
        <row r="1506">
          <cell r="D1506" t="str">
            <v>KKM/JKN/HSA/10-05-01/H/15/705</v>
          </cell>
          <cell r="E1506" t="str">
            <v>SYRINGE INFUSION PUMP</v>
          </cell>
          <cell r="F1506" t="str">
            <v>FRESENIUS KABI</v>
          </cell>
          <cell r="G1506" t="str">
            <v>INJECTOMAT MC AGILIA</v>
          </cell>
          <cell r="H1506" t="str">
            <v>22231668</v>
          </cell>
          <cell r="I1506" t="str">
            <v>ANNUALLY</v>
          </cell>
          <cell r="J1506">
            <v>45775</v>
          </cell>
          <cell r="K1506"/>
          <cell r="L1506"/>
          <cell r="M1506"/>
          <cell r="N1506" t="str">
            <v>JABATAN ANESTHESIA</v>
          </cell>
          <cell r="O1506" t="str">
            <v>Unit Rawatan Rapi (ICU)</v>
          </cell>
        </row>
        <row r="1507">
          <cell r="D1507" t="str">
            <v>KKM/JKN/HSA/10-05-01/H/15/706</v>
          </cell>
          <cell r="E1507" t="str">
            <v>SYRINGE INFUSION PUMP</v>
          </cell>
          <cell r="F1507" t="str">
            <v>FRESENIUS KABI</v>
          </cell>
          <cell r="G1507" t="str">
            <v>INJECTOMAT MC AGILIA</v>
          </cell>
          <cell r="H1507" t="str">
            <v>22230700</v>
          </cell>
          <cell r="I1507" t="str">
            <v>ANNUALLY</v>
          </cell>
          <cell r="J1507">
            <v>45775</v>
          </cell>
          <cell r="K1507"/>
          <cell r="L1507"/>
          <cell r="M1507"/>
          <cell r="N1507" t="str">
            <v>JABATAN ANESTHESIA</v>
          </cell>
          <cell r="O1507" t="str">
            <v>Unit Rawatan Rapi (ICU)</v>
          </cell>
        </row>
        <row r="1508">
          <cell r="D1508" t="str">
            <v>KKM/JKN/HSA/10-05-01/H/15/707</v>
          </cell>
          <cell r="E1508" t="str">
            <v>SYRINGE INFUSION PUMP</v>
          </cell>
          <cell r="F1508" t="str">
            <v>FRESENIUS KABI</v>
          </cell>
          <cell r="G1508" t="str">
            <v>INJECTOMAT MC AGILIA</v>
          </cell>
          <cell r="H1508" t="str">
            <v>22231845</v>
          </cell>
          <cell r="I1508" t="str">
            <v>ANNUALLY</v>
          </cell>
          <cell r="J1508">
            <v>45775</v>
          </cell>
          <cell r="K1508"/>
          <cell r="L1508"/>
          <cell r="M1508"/>
          <cell r="N1508" t="str">
            <v>JABATAN ANESTHESIA</v>
          </cell>
          <cell r="O1508" t="str">
            <v>Unit Rawatan Rapi (ICU)</v>
          </cell>
        </row>
        <row r="1509">
          <cell r="D1509" t="str">
            <v>KKM/JKN/HSA/10-05-01/H/15/708</v>
          </cell>
          <cell r="E1509" t="str">
            <v>SYRINGE INFUSION PUMP</v>
          </cell>
          <cell r="F1509" t="str">
            <v>FRESENIUS KABI</v>
          </cell>
          <cell r="G1509" t="str">
            <v>INJECTOMAT MC AGILIA</v>
          </cell>
          <cell r="H1509" t="str">
            <v>018130/22231616</v>
          </cell>
          <cell r="I1509" t="str">
            <v>ANNUALLY</v>
          </cell>
          <cell r="J1509">
            <v>45775</v>
          </cell>
          <cell r="K1509"/>
          <cell r="L1509"/>
          <cell r="M1509"/>
          <cell r="N1509" t="str">
            <v>JABATAN ANESTHESIA</v>
          </cell>
          <cell r="O1509" t="str">
            <v>Unit Rawatan Rapi (ICU)</v>
          </cell>
        </row>
        <row r="1510">
          <cell r="D1510" t="str">
            <v>KKM/JKN/HSA/10-05-01/H/15/709</v>
          </cell>
          <cell r="E1510" t="str">
            <v>SYRINGE INFUSION PUMP</v>
          </cell>
          <cell r="F1510" t="str">
            <v>FRESENIUS KABI</v>
          </cell>
          <cell r="G1510" t="str">
            <v>INJECTOMAT MC AGILIA</v>
          </cell>
          <cell r="H1510" t="str">
            <v>018130/22231828</v>
          </cell>
          <cell r="I1510" t="str">
            <v>ANNUALLY</v>
          </cell>
          <cell r="J1510">
            <v>45728</v>
          </cell>
          <cell r="K1510"/>
          <cell r="L1510"/>
          <cell r="M1510"/>
          <cell r="N1510" t="str">
            <v>JABATAN ANESTHESIA</v>
          </cell>
          <cell r="O1510" t="str">
            <v>Unit Rawatan Rapi (ICU)</v>
          </cell>
        </row>
        <row r="1511">
          <cell r="D1511" t="str">
            <v>KKM/JKN/HSA/10-05-01/H/15/710</v>
          </cell>
          <cell r="E1511" t="str">
            <v>SYRINGE INFUSION PUMP</v>
          </cell>
          <cell r="F1511" t="str">
            <v>FRESENIUS KABI</v>
          </cell>
          <cell r="G1511" t="str">
            <v>INJECTOMAT MC AGILIA</v>
          </cell>
          <cell r="H1511" t="str">
            <v>22230714</v>
          </cell>
          <cell r="I1511" t="str">
            <v>ANNUALLY</v>
          </cell>
          <cell r="J1511">
            <v>45728</v>
          </cell>
          <cell r="K1511"/>
          <cell r="L1511"/>
          <cell r="M1511"/>
          <cell r="N1511" t="str">
            <v>JABATAN ANESTHESIA</v>
          </cell>
          <cell r="O1511" t="str">
            <v>Unit Rawatan Rapi (ICU)</v>
          </cell>
        </row>
        <row r="1512">
          <cell r="D1512" t="str">
            <v>KKM/JKN/HSA/10-05-01/H/15/711</v>
          </cell>
          <cell r="E1512" t="str">
            <v>SYRINGE INFUSION PUMP</v>
          </cell>
          <cell r="F1512" t="str">
            <v>FRESENIUS KABI</v>
          </cell>
          <cell r="G1512" t="str">
            <v>INJECTOMAT MC AGILIA</v>
          </cell>
          <cell r="H1512" t="str">
            <v>22231820</v>
          </cell>
          <cell r="I1512" t="str">
            <v>ANNUALLY</v>
          </cell>
          <cell r="J1512">
            <v>46030</v>
          </cell>
          <cell r="K1512"/>
          <cell r="L1512"/>
          <cell r="M1512"/>
          <cell r="N1512" t="str">
            <v>JABATAN ANESTHESIA</v>
          </cell>
          <cell r="O1512" t="str">
            <v>Unit Rawatan Rapi (ICU)</v>
          </cell>
        </row>
        <row r="1513">
          <cell r="D1513" t="str">
            <v>KKM/JKN/HSA/10-05-01/H/15/712</v>
          </cell>
          <cell r="E1513" t="str">
            <v>SYRINGE INFUSION PUMP</v>
          </cell>
          <cell r="F1513" t="str">
            <v>FRESENIUS KABI</v>
          </cell>
          <cell r="G1513" t="str">
            <v>INJECTOMAT MC AGILIA</v>
          </cell>
          <cell r="H1513" t="str">
            <v>018130/22231835</v>
          </cell>
          <cell r="I1513" t="str">
            <v>ANNUALLY</v>
          </cell>
          <cell r="J1513">
            <v>46030</v>
          </cell>
          <cell r="K1513"/>
          <cell r="L1513"/>
          <cell r="M1513"/>
          <cell r="N1513" t="str">
            <v>JABATAN ANESTHESIA</v>
          </cell>
          <cell r="O1513" t="str">
            <v>Unit Rawatan Rapi (ICU)</v>
          </cell>
        </row>
        <row r="1514">
          <cell r="D1514" t="str">
            <v>KKM/JKN/HSA/10-05-01/H/15/713</v>
          </cell>
          <cell r="E1514" t="str">
            <v>SYRINGE INFUSION PUMP</v>
          </cell>
          <cell r="F1514" t="str">
            <v>FRESENIUS KABI</v>
          </cell>
          <cell r="G1514" t="str">
            <v>INJECTOMAT MC AGILIA</v>
          </cell>
          <cell r="H1514" t="str">
            <v>018130/22231684</v>
          </cell>
          <cell r="I1514" t="str">
            <v>ANNUALLY</v>
          </cell>
          <cell r="J1514">
            <v>46030</v>
          </cell>
          <cell r="K1514"/>
          <cell r="L1514"/>
          <cell r="M1514"/>
          <cell r="N1514" t="str">
            <v>JABATAN ANESTHESIA</v>
          </cell>
          <cell r="O1514" t="str">
            <v>Unit Rawatan Rapi (ICU)</v>
          </cell>
        </row>
        <row r="1515">
          <cell r="D1515" t="str">
            <v>KKM/JKN/HSA/10-05-01/H/15/714</v>
          </cell>
          <cell r="E1515" t="str">
            <v>SYRINGE INFUSION PUMP</v>
          </cell>
          <cell r="F1515" t="str">
            <v>FRESENIUS KABI</v>
          </cell>
          <cell r="G1515" t="str">
            <v>INJECTOMAT MC AGILIA</v>
          </cell>
          <cell r="H1515" t="str">
            <v>22231694</v>
          </cell>
          <cell r="I1515" t="str">
            <v>ANNUALLY</v>
          </cell>
          <cell r="J1515">
            <v>45733</v>
          </cell>
          <cell r="K1515"/>
          <cell r="L1515"/>
          <cell r="M1515"/>
          <cell r="N1515" t="str">
            <v>JABATAN ANESTHESIA</v>
          </cell>
          <cell r="O1515" t="str">
            <v>Unit Rawatan Rapi (ICU)</v>
          </cell>
        </row>
        <row r="1516">
          <cell r="D1516" t="str">
            <v>KKM/JKN/HSA/10-05-01/H/15/715</v>
          </cell>
          <cell r="E1516" t="str">
            <v>SYRINGE INFUSION PUMP</v>
          </cell>
          <cell r="F1516" t="str">
            <v>FRESENIUS KABI</v>
          </cell>
          <cell r="G1516" t="str">
            <v>INJECTOMAT MC AGILIA</v>
          </cell>
          <cell r="H1516" t="str">
            <v>018130/22231847</v>
          </cell>
          <cell r="I1516" t="str">
            <v>ANNUALLY</v>
          </cell>
          <cell r="J1516">
            <v>45733</v>
          </cell>
          <cell r="K1516"/>
          <cell r="L1516"/>
          <cell r="M1516"/>
          <cell r="N1516" t="str">
            <v>JABATAN ANESTHESIA</v>
          </cell>
          <cell r="O1516" t="str">
            <v>Unit Rawatan Rapi (ICU)</v>
          </cell>
        </row>
        <row r="1517">
          <cell r="D1517" t="str">
            <v>KKM/JKN/HSA/10-05-01/H/15/716</v>
          </cell>
          <cell r="E1517" t="str">
            <v>SYRINGE INFUSION PUMP</v>
          </cell>
          <cell r="F1517" t="str">
            <v>FRESENIUS KABI</v>
          </cell>
          <cell r="G1517" t="str">
            <v>INJECTOMAT MC AGILIA</v>
          </cell>
          <cell r="H1517" t="str">
            <v>018130/22231840</v>
          </cell>
          <cell r="I1517" t="str">
            <v>ANNUALLY</v>
          </cell>
          <cell r="J1517">
            <v>45733</v>
          </cell>
          <cell r="K1517"/>
          <cell r="L1517"/>
          <cell r="M1517"/>
          <cell r="N1517" t="str">
            <v>JABATAN ANESTHESIA</v>
          </cell>
          <cell r="O1517" t="str">
            <v>Unit Rawatan Rapi (ICU)</v>
          </cell>
        </row>
        <row r="1518">
          <cell r="D1518" t="str">
            <v>KKM/JKN/HSA/10-05-01/H/15/717</v>
          </cell>
          <cell r="E1518" t="str">
            <v>SYRINGE INFUSION PUMP</v>
          </cell>
          <cell r="F1518" t="str">
            <v>FRESENIUS KABI</v>
          </cell>
          <cell r="G1518" t="str">
            <v>INJECTOMAT MC AGILIA</v>
          </cell>
          <cell r="H1518" t="str">
            <v>22231689</v>
          </cell>
          <cell r="I1518" t="str">
            <v>ANNUALLY</v>
          </cell>
          <cell r="J1518">
            <v>45733</v>
          </cell>
          <cell r="K1518"/>
          <cell r="L1518"/>
          <cell r="M1518"/>
          <cell r="N1518" t="str">
            <v>JABATAN ANESTHESIA</v>
          </cell>
          <cell r="O1518" t="str">
            <v>Unit Rawatan Rapi (ICU)</v>
          </cell>
        </row>
        <row r="1519">
          <cell r="D1519" t="str">
            <v>KKM/JKN/HSA/10-05-01/H/15/718</v>
          </cell>
          <cell r="E1519" t="str">
            <v>SYRINGE INFUSION PUMP</v>
          </cell>
          <cell r="F1519" t="str">
            <v>FRESENIUS KABI</v>
          </cell>
          <cell r="G1519" t="str">
            <v>INJECTOMAT MC AGILIA</v>
          </cell>
          <cell r="H1519" t="str">
            <v>22231629</v>
          </cell>
          <cell r="I1519" t="str">
            <v>ANNUALLY</v>
          </cell>
          <cell r="J1519">
            <v>45740</v>
          </cell>
          <cell r="K1519"/>
          <cell r="L1519"/>
          <cell r="M1519"/>
          <cell r="N1519" t="str">
            <v>JABATAN ANESTHESIA</v>
          </cell>
          <cell r="O1519" t="str">
            <v>Unit Rawatan Rapi (ICU)</v>
          </cell>
        </row>
        <row r="1520">
          <cell r="D1520" t="str">
            <v>KKM/JKN/HSA/10-05-01/H/15/719</v>
          </cell>
          <cell r="E1520" t="str">
            <v>SYRINGE INFUSION PUMP</v>
          </cell>
          <cell r="F1520" t="str">
            <v>FRESENIUS KABI</v>
          </cell>
          <cell r="G1520" t="str">
            <v>INJECTOMAT MC AGILIA</v>
          </cell>
          <cell r="H1520" t="str">
            <v>018130/22231636</v>
          </cell>
          <cell r="I1520" t="str">
            <v>ANNUALLY</v>
          </cell>
          <cell r="J1520">
            <v>45743</v>
          </cell>
          <cell r="K1520"/>
          <cell r="L1520"/>
          <cell r="M1520"/>
          <cell r="N1520" t="str">
            <v>JABATAN ANESTHESIA</v>
          </cell>
          <cell r="O1520" t="str">
            <v>Unit Rawatan Rapi (ICU)</v>
          </cell>
        </row>
        <row r="1521">
          <cell r="D1521" t="str">
            <v>KKM/JKN/HSA/10-05-01/H/15/720</v>
          </cell>
          <cell r="E1521" t="str">
            <v>SYRINGE INFUSION PUMP</v>
          </cell>
          <cell r="F1521" t="str">
            <v>FRESENIUS KABI</v>
          </cell>
          <cell r="G1521" t="str">
            <v>INJECTOMAT MC AGILIA</v>
          </cell>
          <cell r="H1521" t="str">
            <v>22230716</v>
          </cell>
          <cell r="I1521" t="str">
            <v>ANNUALLY</v>
          </cell>
          <cell r="J1521">
            <v>45743</v>
          </cell>
          <cell r="K1521"/>
          <cell r="L1521"/>
          <cell r="M1521"/>
          <cell r="N1521" t="str">
            <v>JABATAN ANESTHESIA</v>
          </cell>
          <cell r="O1521" t="str">
            <v>Unit Rawatan Rapi (ICU)</v>
          </cell>
        </row>
        <row r="1522">
          <cell r="D1522" t="str">
            <v>KKM/JKN/HSA/10-05-01/H/15/721</v>
          </cell>
          <cell r="E1522" t="str">
            <v>SYRINGE INFUSION PUMP</v>
          </cell>
          <cell r="F1522" t="str">
            <v>FRESENIUS KABI</v>
          </cell>
          <cell r="G1522" t="str">
            <v>INJECTOMAT MC AGILIA</v>
          </cell>
          <cell r="H1522" t="str">
            <v>018130/22231846</v>
          </cell>
          <cell r="I1522" t="str">
            <v>ANNUALLY</v>
          </cell>
          <cell r="J1522">
            <v>45743</v>
          </cell>
          <cell r="K1522"/>
          <cell r="L1522"/>
          <cell r="M1522"/>
          <cell r="N1522" t="str">
            <v>JABATAN ANESTHESIA</v>
          </cell>
          <cell r="O1522" t="str">
            <v>Unit Rawatan Rapi (ICU)</v>
          </cell>
        </row>
        <row r="1523">
          <cell r="D1523" t="str">
            <v>KKM/JKN/HSA/10-05-01/H/15/722</v>
          </cell>
          <cell r="E1523" t="str">
            <v>SYRINGE INFUSION PUMP</v>
          </cell>
          <cell r="F1523" t="str">
            <v>FRESENIUS KABI</v>
          </cell>
          <cell r="G1523" t="str">
            <v>INJECTOMAT MC AGILIA</v>
          </cell>
          <cell r="H1523" t="str">
            <v>018130/22231623</v>
          </cell>
          <cell r="I1523" t="str">
            <v>ANNUALLY</v>
          </cell>
          <cell r="J1523">
            <v>45743</v>
          </cell>
          <cell r="K1523"/>
          <cell r="L1523"/>
          <cell r="M1523"/>
          <cell r="N1523" t="str">
            <v>JABATAN ANESTHESIA</v>
          </cell>
          <cell r="O1523" t="str">
            <v>Unit Rawatan Rapi (ICU)</v>
          </cell>
        </row>
        <row r="1524">
          <cell r="D1524" t="str">
            <v>KKM/JKN/HSA/10-05-01/H/15/723</v>
          </cell>
          <cell r="E1524" t="str">
            <v>SYRINGE INFUSION PUMP</v>
          </cell>
          <cell r="F1524" t="str">
            <v>FRESENIUS KABI</v>
          </cell>
          <cell r="G1524" t="str">
            <v>INJECTOMAT MC AGILIA</v>
          </cell>
          <cell r="H1524" t="str">
            <v>018130/22231850</v>
          </cell>
          <cell r="I1524" t="str">
            <v>ANNUALLY</v>
          </cell>
          <cell r="J1524">
            <v>45743</v>
          </cell>
          <cell r="K1524"/>
          <cell r="L1524"/>
          <cell r="M1524"/>
          <cell r="N1524" t="str">
            <v>JABATAN ANESTHESIA</v>
          </cell>
          <cell r="O1524" t="str">
            <v>Unit Rawatan Rapi (ICU)</v>
          </cell>
        </row>
        <row r="1525">
          <cell r="D1525" t="str">
            <v>KKM/JKN/HSA/10-05-01/H/15/724</v>
          </cell>
          <cell r="E1525" t="str">
            <v>SYRINGE INFUSION PUMP</v>
          </cell>
          <cell r="F1525" t="str">
            <v>FRESENIUS KABI</v>
          </cell>
          <cell r="G1525" t="str">
            <v>INJECTOMAT MC AGILIA</v>
          </cell>
          <cell r="H1525" t="str">
            <v>22231705</v>
          </cell>
          <cell r="I1525" t="str">
            <v>ANNUALLY</v>
          </cell>
          <cell r="J1525">
            <v>45751</v>
          </cell>
          <cell r="K1525"/>
          <cell r="L1525"/>
          <cell r="M1525"/>
          <cell r="N1525" t="str">
            <v>JABATAN ANESTHESIA</v>
          </cell>
          <cell r="O1525" t="str">
            <v>Unit Rawatan Rapi (ICU)</v>
          </cell>
        </row>
        <row r="1526">
          <cell r="D1526" t="str">
            <v>KKM/JKN/HSA/10-05-01/H/15/725</v>
          </cell>
          <cell r="E1526" t="str">
            <v>SYRINGE INFUSION PUMP</v>
          </cell>
          <cell r="F1526" t="str">
            <v>FRESENIUS KABI</v>
          </cell>
          <cell r="G1526" t="str">
            <v>INJECTOMAT MC AGILIA</v>
          </cell>
          <cell r="H1526" t="str">
            <v>018130/22231682</v>
          </cell>
          <cell r="I1526" t="str">
            <v>ANNUALLY</v>
          </cell>
          <cell r="J1526">
            <v>45750</v>
          </cell>
          <cell r="K1526"/>
          <cell r="L1526"/>
          <cell r="M1526"/>
          <cell r="N1526" t="str">
            <v>JABATAN ANESTHESIA</v>
          </cell>
          <cell r="O1526" t="str">
            <v>Unit Rawatan Rapi (ICU)</v>
          </cell>
        </row>
        <row r="1527">
          <cell r="D1527" t="str">
            <v>KKM/JKN/HSA/10-05-01/H/15/726</v>
          </cell>
          <cell r="E1527" t="str">
            <v>SYRINGE INFUSION PUMP</v>
          </cell>
          <cell r="F1527" t="str">
            <v>FRESENIUS KABI</v>
          </cell>
          <cell r="G1527" t="str">
            <v>INJECTOMAT MC AGILIA</v>
          </cell>
          <cell r="H1527" t="str">
            <v>22231666</v>
          </cell>
          <cell r="I1527" t="str">
            <v>ANNUALLY</v>
          </cell>
          <cell r="J1527">
            <v>45750</v>
          </cell>
          <cell r="K1527"/>
          <cell r="L1527"/>
          <cell r="M1527"/>
          <cell r="N1527" t="str">
            <v>JABATAN ANESTHESIA</v>
          </cell>
          <cell r="O1527" t="str">
            <v>Unit Rawatan Rapi (ICU)</v>
          </cell>
        </row>
        <row r="1528">
          <cell r="D1528" t="str">
            <v>KKM/JKN/HSA/10-05-01/H/15/727</v>
          </cell>
          <cell r="E1528" t="str">
            <v>SYRINGE INFUSION PUMP</v>
          </cell>
          <cell r="F1528" t="str">
            <v>FRESENIUS KABI</v>
          </cell>
          <cell r="G1528" t="str">
            <v>INJECTOMAT MC AGILIA</v>
          </cell>
          <cell r="H1528" t="str">
            <v>22231630</v>
          </cell>
          <cell r="I1528" t="str">
            <v>ANNUALLY</v>
          </cell>
          <cell r="J1528">
            <v>45750</v>
          </cell>
          <cell r="K1528"/>
          <cell r="L1528"/>
          <cell r="M1528"/>
          <cell r="N1528" t="str">
            <v>JABATAN ANESTHESIA</v>
          </cell>
          <cell r="O1528" t="str">
            <v>Unit Rawatan Rapi (ICU)</v>
          </cell>
        </row>
        <row r="1529">
          <cell r="D1529" t="str">
            <v>KKM/JKN/HSA/10-05-01/H/15/728</v>
          </cell>
          <cell r="E1529" t="str">
            <v>SYRINGE INFUSION PUMP</v>
          </cell>
          <cell r="F1529" t="str">
            <v>FRESENIUS KABI</v>
          </cell>
          <cell r="G1529" t="str">
            <v>INJECTOMAT MC AGILIA</v>
          </cell>
          <cell r="H1529" t="str">
            <v>N/A</v>
          </cell>
          <cell r="I1529" t="str">
            <v>ANNUALLY</v>
          </cell>
          <cell r="J1529">
            <v>45750</v>
          </cell>
          <cell r="K1529"/>
          <cell r="L1529"/>
          <cell r="M1529"/>
          <cell r="N1529" t="str">
            <v>JABATAN ANESTHESIA</v>
          </cell>
          <cell r="O1529" t="str">
            <v>Unit Rawatan Rapi (ICU)</v>
          </cell>
        </row>
        <row r="1530">
          <cell r="D1530" t="str">
            <v>KKM/JKN/HSA/10-05-01/H/15/729</v>
          </cell>
          <cell r="E1530" t="str">
            <v>SYRINGE INFUSION PUMP</v>
          </cell>
          <cell r="F1530" t="str">
            <v>FRESENIUS KABI</v>
          </cell>
          <cell r="G1530" t="str">
            <v>INJECTOMAT MC AGILIA</v>
          </cell>
          <cell r="H1530" t="str">
            <v>018130/22231823</v>
          </cell>
          <cell r="I1530" t="str">
            <v>ANNUALLY</v>
          </cell>
          <cell r="J1530">
            <v>45740</v>
          </cell>
          <cell r="K1530"/>
          <cell r="L1530"/>
          <cell r="M1530"/>
          <cell r="N1530" t="str">
            <v>JABATAN ANESTHESIA</v>
          </cell>
          <cell r="O1530" t="str">
            <v>Unit Rawatan Rapi (ICU)</v>
          </cell>
        </row>
        <row r="1531">
          <cell r="D1531" t="str">
            <v>KKM/JKN/HSA/10-05-01/H/15/730</v>
          </cell>
          <cell r="E1531" t="str">
            <v>SYRINGE INFUSION PUMP</v>
          </cell>
          <cell r="F1531" t="str">
            <v>FRESENIUS KABI</v>
          </cell>
          <cell r="G1531" t="str">
            <v>INJECTOMAT MC AGILIA</v>
          </cell>
          <cell r="H1531" t="str">
            <v>018130/22231832</v>
          </cell>
          <cell r="I1531" t="str">
            <v>ANNUALLY</v>
          </cell>
          <cell r="J1531">
            <v>45740</v>
          </cell>
          <cell r="K1531"/>
          <cell r="L1531"/>
          <cell r="M1531"/>
          <cell r="N1531" t="str">
            <v>JABATAN ANESTHESIA</v>
          </cell>
          <cell r="O1531" t="str">
            <v>Unit Rawatan Rapi (ICU)</v>
          </cell>
        </row>
        <row r="1532">
          <cell r="D1532" t="str">
            <v>KKM/JKN/HSA/10-05-01/H/15/731</v>
          </cell>
          <cell r="E1532" t="str">
            <v>SYRINGE INFUSION PUMP</v>
          </cell>
          <cell r="F1532" t="str">
            <v>FRESENIUS KABI</v>
          </cell>
          <cell r="G1532" t="str">
            <v>INJECTOMAT MC AGILIA</v>
          </cell>
          <cell r="H1532" t="str">
            <v>22231622</v>
          </cell>
          <cell r="I1532" t="str">
            <v>ANNUALLY</v>
          </cell>
          <cell r="J1532">
            <v>45757</v>
          </cell>
          <cell r="K1532"/>
          <cell r="L1532"/>
          <cell r="M1532"/>
          <cell r="N1532" t="str">
            <v>JABATAN ANESTHESIA</v>
          </cell>
          <cell r="O1532" t="str">
            <v>Unit Rawatan Rapi (ICU)</v>
          </cell>
        </row>
        <row r="1533">
          <cell r="D1533" t="str">
            <v>KKM/JKN/HSA/10-05-01/H/15/732</v>
          </cell>
          <cell r="E1533" t="str">
            <v>SYRINGE INFUSION PUMP</v>
          </cell>
          <cell r="F1533" t="str">
            <v>FRESENIUS KABI</v>
          </cell>
          <cell r="G1533" t="str">
            <v>INJECTOMAT MC AGILIA</v>
          </cell>
          <cell r="H1533" t="str">
            <v>N/A</v>
          </cell>
          <cell r="I1533" t="str">
            <v>ANNUALLY</v>
          </cell>
          <cell r="J1533">
            <v>45757</v>
          </cell>
          <cell r="K1533"/>
          <cell r="L1533"/>
          <cell r="M1533"/>
          <cell r="N1533" t="str">
            <v>JABATAN ANESTHESIA</v>
          </cell>
          <cell r="O1533" t="str">
            <v>Unit Rawatan Rapi (ICU)</v>
          </cell>
        </row>
        <row r="1534">
          <cell r="D1534" t="str">
            <v>KKM/JKN/HSA/10-05-01/H/15/875</v>
          </cell>
          <cell r="E1534" t="str">
            <v>CENTRAL MONITORING SYSTEM</v>
          </cell>
          <cell r="F1534" t="str">
            <v>MINDRAY</v>
          </cell>
          <cell r="G1534" t="str">
            <v>HYPERVISOR VI</v>
          </cell>
          <cell r="H1534" t="str">
            <v>V-45109263</v>
          </cell>
          <cell r="I1534" t="str">
            <v>ANNUALLY</v>
          </cell>
          <cell r="J1534">
            <v>45866</v>
          </cell>
          <cell r="K1534"/>
          <cell r="L1534"/>
          <cell r="M1534"/>
          <cell r="N1534" t="str">
            <v>JABATAN ANESTHESIA</v>
          </cell>
          <cell r="O1534" t="str">
            <v>Unit Rawatan Rapi (ICU)</v>
          </cell>
        </row>
        <row r="1535">
          <cell r="D1535" t="str">
            <v>KKM/JKN/HSA/10-05-01/R/15/16167</v>
          </cell>
          <cell r="E1535" t="str">
            <v>NEBULIZER</v>
          </cell>
          <cell r="F1535" t="str">
            <v>PHILIPS</v>
          </cell>
          <cell r="G1535" t="str">
            <v>INNOSPIRE DELUXE (UK PLUG)</v>
          </cell>
          <cell r="H1535" t="str">
            <v>022632</v>
          </cell>
          <cell r="I1535" t="str">
            <v>ANNUALLY</v>
          </cell>
          <cell r="J1535">
            <v>45734</v>
          </cell>
          <cell r="K1535"/>
          <cell r="L1535"/>
          <cell r="M1535"/>
          <cell r="N1535" t="str">
            <v>JABATAN ANESTHESIA</v>
          </cell>
          <cell r="O1535" t="str">
            <v>Unit Rawatan Rapi (ICU)</v>
          </cell>
        </row>
        <row r="1536">
          <cell r="D1536" t="str">
            <v>KKM/JKN/HSA/10-05-01/R/15/16168</v>
          </cell>
          <cell r="E1536" t="str">
            <v>NEBULIZER</v>
          </cell>
          <cell r="F1536" t="str">
            <v>PHILIPS</v>
          </cell>
          <cell r="G1536" t="str">
            <v>INNOSPIRE DELUXE (UK PLUG)</v>
          </cell>
          <cell r="H1536" t="str">
            <v>N/A</v>
          </cell>
          <cell r="I1536" t="str">
            <v>ANNUALLY</v>
          </cell>
          <cell r="J1536">
            <v>45734</v>
          </cell>
          <cell r="K1536"/>
          <cell r="L1536"/>
          <cell r="M1536"/>
          <cell r="N1536" t="str">
            <v>JABATAN ANESTHESIA</v>
          </cell>
          <cell r="O1536" t="str">
            <v>Unit Rawatan Rapi (ICU)</v>
          </cell>
        </row>
        <row r="1537">
          <cell r="D1537" t="str">
            <v>KKM/JKN/HSA/10-05-01/R/15/6990</v>
          </cell>
          <cell r="E1537" t="str">
            <v>CENTRAL MONITORING SYSTEM</v>
          </cell>
          <cell r="F1537" t="str">
            <v>MINDRAY</v>
          </cell>
          <cell r="G1537" t="str">
            <v>HP (ELITE DISPLAY E221)</v>
          </cell>
          <cell r="H1537" t="str">
            <v>CNC4280WG5</v>
          </cell>
          <cell r="I1537" t="str">
            <v>ANNUALLY</v>
          </cell>
          <cell r="J1537">
            <v>45833</v>
          </cell>
          <cell r="K1537"/>
          <cell r="L1537"/>
          <cell r="M1537"/>
          <cell r="N1537" t="str">
            <v>JABATAN ANESTHESIA</v>
          </cell>
          <cell r="O1537" t="str">
            <v>Unit Rawatan Rapi (ICU)</v>
          </cell>
        </row>
        <row r="1538">
          <cell r="D1538" t="str">
            <v>KKM/JKN/HSA/10-05-01/R/15/7358</v>
          </cell>
          <cell r="E1538" t="str">
            <v>OTOSCOPE</v>
          </cell>
          <cell r="F1538" t="str">
            <v>WELCH ALLYN</v>
          </cell>
          <cell r="G1538" t="str">
            <v>WELCH ALLYN</v>
          </cell>
          <cell r="H1538" t="str">
            <v>901026</v>
          </cell>
          <cell r="I1538" t="str">
            <v>ANNUALLY</v>
          </cell>
          <cell r="J1538">
            <v>45979</v>
          </cell>
          <cell r="K1538"/>
          <cell r="L1538"/>
          <cell r="M1538"/>
          <cell r="N1538" t="str">
            <v>JABATAN ANESTHESIA</v>
          </cell>
          <cell r="O1538" t="str">
            <v>Unit Rawatan Rapi (ICU)</v>
          </cell>
        </row>
        <row r="1539">
          <cell r="D1539" t="str">
            <v>KKM/JKN/HSA/10-05-01/H/21/6</v>
          </cell>
          <cell r="E1539" t="str">
            <v>VENTILATOR</v>
          </cell>
          <cell r="F1539" t="str">
            <v>EOVE</v>
          </cell>
          <cell r="G1539" t="str">
            <v>EO-150 VENTILATOR</v>
          </cell>
          <cell r="H1539" t="str">
            <v>E01X004200785</v>
          </cell>
          <cell r="I1539" t="str">
            <v>SEMI ANNUALLY</v>
          </cell>
          <cell r="J1539">
            <v>45776</v>
          </cell>
          <cell r="K1539">
            <v>45958</v>
          </cell>
          <cell r="L1539"/>
          <cell r="M1539"/>
          <cell r="N1539" t="str">
            <v>JABATAN ANESTHESIA</v>
          </cell>
          <cell r="O1539" t="str">
            <v>Unit Rawatan Rapi (ICU)</v>
          </cell>
        </row>
        <row r="1540">
          <cell r="D1540" t="str">
            <v>KKM/JKN/HSA/10-05-01/H/21/7</v>
          </cell>
          <cell r="E1540" t="str">
            <v>VENTILATOR</v>
          </cell>
          <cell r="F1540" t="str">
            <v>EOVE</v>
          </cell>
          <cell r="G1540" t="str">
            <v>EO-150 VENTILATOR</v>
          </cell>
          <cell r="H1540" t="str">
            <v>E01X004200485</v>
          </cell>
          <cell r="I1540" t="str">
            <v>SEMI ANNUALLY</v>
          </cell>
          <cell r="J1540">
            <v>45776</v>
          </cell>
          <cell r="K1540">
            <v>45958</v>
          </cell>
          <cell r="L1540"/>
          <cell r="M1540"/>
          <cell r="N1540" t="str">
            <v>JABATAN ANESTHESIA</v>
          </cell>
          <cell r="O1540" t="str">
            <v>Unit Rawatan Rapi (ICU)</v>
          </cell>
        </row>
        <row r="1541">
          <cell r="D1541" t="str">
            <v>KKM/JKN/HSA/10-05-01/H/21/8</v>
          </cell>
          <cell r="E1541" t="str">
            <v>VENTILATOR</v>
          </cell>
          <cell r="F1541" t="str">
            <v>EOVE</v>
          </cell>
          <cell r="G1541" t="str">
            <v>EO-150 VENTILATOR</v>
          </cell>
          <cell r="H1541" t="str">
            <v>E01X004200825</v>
          </cell>
          <cell r="I1541" t="str">
            <v>SEMI ANNUALLY</v>
          </cell>
          <cell r="J1541">
            <v>45776</v>
          </cell>
          <cell r="K1541">
            <v>45958</v>
          </cell>
          <cell r="L1541"/>
          <cell r="M1541"/>
          <cell r="N1541" t="str">
            <v>JABATAN ANESTHESIA</v>
          </cell>
          <cell r="O1541" t="str">
            <v>Unit Rawatan Rapi (ICU)</v>
          </cell>
        </row>
        <row r="1542">
          <cell r="D1542" t="str">
            <v>KKM/JKN/HSA/10-05-01/H/20/260</v>
          </cell>
          <cell r="E1542" t="str">
            <v>VENTILATOR</v>
          </cell>
          <cell r="F1542" t="str">
            <v>EOVE</v>
          </cell>
          <cell r="G1542" t="str">
            <v>EO-150 VENTILATOR</v>
          </cell>
          <cell r="H1542" t="str">
            <v>E01X00420077S</v>
          </cell>
          <cell r="I1542" t="str">
            <v>SEMI ANNUALLY</v>
          </cell>
          <cell r="J1542">
            <v>45783</v>
          </cell>
          <cell r="K1542">
            <v>45966</v>
          </cell>
          <cell r="L1542"/>
          <cell r="M1542"/>
          <cell r="N1542" t="str">
            <v>JABATAN ANESTHESIA</v>
          </cell>
          <cell r="O1542" t="str">
            <v>Unit Rawatan Rapi (ICU)</v>
          </cell>
        </row>
        <row r="1543">
          <cell r="D1543" t="str">
            <v>KKM/JKN/HSA/10-05-01/H/20/261</v>
          </cell>
          <cell r="E1543" t="str">
            <v>VENTILATOR</v>
          </cell>
          <cell r="F1543" t="str">
            <v>EOVE</v>
          </cell>
          <cell r="G1543" t="str">
            <v>EO-150 VENTILATOR</v>
          </cell>
          <cell r="H1543" t="str">
            <v>E01X00420079S</v>
          </cell>
          <cell r="I1543" t="str">
            <v>SEMI ANNUALLY</v>
          </cell>
          <cell r="J1543">
            <v>45783</v>
          </cell>
          <cell r="K1543">
            <v>45966</v>
          </cell>
          <cell r="L1543"/>
          <cell r="M1543"/>
          <cell r="N1543" t="str">
            <v>JABATAN ANESTHESIA</v>
          </cell>
          <cell r="O1543" t="str">
            <v>Unit Rawatan Rapi (ICU)</v>
          </cell>
        </row>
        <row r="1544">
          <cell r="D1544" t="str">
            <v>KKM/JKN/HSA/10-05-01/H/20/262</v>
          </cell>
          <cell r="E1544" t="str">
            <v>VENTILATOR</v>
          </cell>
          <cell r="F1544" t="str">
            <v>EOVE</v>
          </cell>
          <cell r="G1544" t="str">
            <v>EO-150 VENTILATOR</v>
          </cell>
          <cell r="H1544" t="str">
            <v>E01X00420080S</v>
          </cell>
          <cell r="I1544" t="str">
            <v>SEMI ANNUALLY</v>
          </cell>
          <cell r="J1544">
            <v>45783</v>
          </cell>
          <cell r="K1544">
            <v>45966</v>
          </cell>
          <cell r="L1544"/>
          <cell r="M1544"/>
          <cell r="N1544" t="str">
            <v>JABATAN ANESTHESIA</v>
          </cell>
          <cell r="O1544" t="str">
            <v>Unit Rawatan Rapi (ICU)</v>
          </cell>
        </row>
        <row r="1545">
          <cell r="D1545" t="str">
            <v>KKM/JKN/HSA/10-05-01/H/21/26</v>
          </cell>
          <cell r="E1545" t="str">
            <v>VOLUMETRIC PUMP</v>
          </cell>
          <cell r="F1545" t="str">
            <v>BBRAUN</v>
          </cell>
          <cell r="G1545" t="str">
            <v>INFUSOMAT SPACE P</v>
          </cell>
          <cell r="H1545" t="str">
            <v>683275</v>
          </cell>
          <cell r="I1545" t="str">
            <v>ANNUALLY</v>
          </cell>
          <cell r="J1545">
            <v>45791</v>
          </cell>
          <cell r="K1545"/>
          <cell r="L1545"/>
          <cell r="M1545"/>
          <cell r="N1545" t="str">
            <v>JABATAN ANESTHESIA</v>
          </cell>
          <cell r="O1545" t="str">
            <v>Unit Rawatan Rapi (ICU)</v>
          </cell>
        </row>
        <row r="1546">
          <cell r="D1546" t="str">
            <v>KKM/JKN/HSA/10-05-01/H/21/27</v>
          </cell>
          <cell r="E1546" t="str">
            <v>VOLUMETRIC PUMP</v>
          </cell>
          <cell r="F1546" t="str">
            <v>BBRAUN</v>
          </cell>
          <cell r="G1546" t="str">
            <v>INFUSOMAT SPACE P</v>
          </cell>
          <cell r="H1546" t="str">
            <v>727341</v>
          </cell>
          <cell r="I1546" t="str">
            <v>ANNUALLY</v>
          </cell>
          <cell r="J1546">
            <v>45791</v>
          </cell>
          <cell r="K1546"/>
          <cell r="L1546"/>
          <cell r="M1546"/>
          <cell r="N1546" t="str">
            <v>JABATAN ANESTHESIA</v>
          </cell>
          <cell r="O1546" t="str">
            <v>Unit Rawatan Rapi (ICU)</v>
          </cell>
        </row>
        <row r="1547">
          <cell r="D1547" t="str">
            <v>KKM/JKN/HSA/10-05-01/H/21/28</v>
          </cell>
          <cell r="E1547" t="str">
            <v>VOLUMETRIC PUMP</v>
          </cell>
          <cell r="F1547" t="str">
            <v>BBRAUN</v>
          </cell>
          <cell r="G1547" t="str">
            <v>INFUSOMAT SPACE P</v>
          </cell>
          <cell r="H1547" t="str">
            <v>728491</v>
          </cell>
          <cell r="I1547" t="str">
            <v>ANNUALLY</v>
          </cell>
          <cell r="J1547">
            <v>45791</v>
          </cell>
          <cell r="K1547"/>
          <cell r="L1547"/>
          <cell r="M1547"/>
          <cell r="N1547" t="str">
            <v>JABATAN ANESTHESIA</v>
          </cell>
          <cell r="O1547" t="str">
            <v>Unit Rawatan Rapi (ICU)</v>
          </cell>
        </row>
        <row r="1548">
          <cell r="D1548" t="str">
            <v>KKM/JKN/HSA/10-05-01/H/21/29</v>
          </cell>
          <cell r="E1548" t="str">
            <v>VENTILATOR</v>
          </cell>
          <cell r="F1548" t="str">
            <v>MINDRAY</v>
          </cell>
          <cell r="G1548" t="str">
            <v>MINDRAY/SV600</v>
          </cell>
          <cell r="H1548" t="str">
            <v>AA6-0A008559</v>
          </cell>
          <cell r="I1548" t="str">
            <v>SEMI ANNUALLY</v>
          </cell>
          <cell r="J1548">
            <v>45739</v>
          </cell>
          <cell r="K1548">
            <v>45922</v>
          </cell>
          <cell r="L1548"/>
          <cell r="M1548"/>
          <cell r="N1548" t="str">
            <v>JABATAN ANESTHESIA</v>
          </cell>
          <cell r="O1548" t="str">
            <v>Unit Rawatan Rapi (ICU)</v>
          </cell>
        </row>
        <row r="1549">
          <cell r="D1549" t="str">
            <v>KKM/JKN/HSA/10-05-01/H/21/30</v>
          </cell>
          <cell r="E1549" t="str">
            <v>VENTILATOR</v>
          </cell>
          <cell r="F1549" t="str">
            <v>MINDRAY</v>
          </cell>
          <cell r="G1549" t="str">
            <v>MINDRAY/SV600</v>
          </cell>
          <cell r="H1549" t="str">
            <v>AA6-0A008561</v>
          </cell>
          <cell r="I1549" t="str">
            <v>SEMI ANNUALLY</v>
          </cell>
          <cell r="J1549">
            <v>45739</v>
          </cell>
          <cell r="K1549">
            <v>45922</v>
          </cell>
          <cell r="L1549"/>
          <cell r="M1549"/>
          <cell r="N1549" t="str">
            <v>JABATAN ANESTHESIA</v>
          </cell>
          <cell r="O1549" t="str">
            <v>Unit Rawatan Rapi (ICU)</v>
          </cell>
        </row>
        <row r="1550">
          <cell r="D1550" t="str">
            <v>KKM/JKN/HSA/10-05-01/H/21/31</v>
          </cell>
          <cell r="E1550" t="str">
            <v>VENTILATOR</v>
          </cell>
          <cell r="F1550" t="str">
            <v>MAQUET</v>
          </cell>
          <cell r="G1550" t="str">
            <v>SERVO-U</v>
          </cell>
          <cell r="H1550" t="str">
            <v>42252</v>
          </cell>
          <cell r="I1550" t="str">
            <v>SEMI ANNUALLY</v>
          </cell>
          <cell r="J1550">
            <v>45739</v>
          </cell>
          <cell r="K1550">
            <v>45922</v>
          </cell>
          <cell r="L1550"/>
          <cell r="M1550"/>
          <cell r="N1550" t="str">
            <v>JABATAN ANESTHESIA</v>
          </cell>
          <cell r="O1550" t="str">
            <v>Unit Rawatan Rapi (ICU)</v>
          </cell>
        </row>
        <row r="1551">
          <cell r="D1551" t="str">
            <v>KKM/JKN/HSA/10-05-01/H/21/32</v>
          </cell>
          <cell r="E1551" t="str">
            <v>VENTILATOR</v>
          </cell>
          <cell r="F1551" t="str">
            <v>MAQUET</v>
          </cell>
          <cell r="G1551" t="str">
            <v>SERVO-U</v>
          </cell>
          <cell r="H1551">
            <v>33743</v>
          </cell>
          <cell r="I1551" t="str">
            <v>SEMI ANNUALLY</v>
          </cell>
          <cell r="J1551">
            <v>45739</v>
          </cell>
          <cell r="K1551">
            <v>45922</v>
          </cell>
          <cell r="L1551"/>
          <cell r="M1551"/>
          <cell r="N1551" t="str">
            <v>JABATAN ANESTHESIA</v>
          </cell>
          <cell r="O1551" t="str">
            <v>Unit Rawatan Rapi (ICU)</v>
          </cell>
        </row>
        <row r="1552">
          <cell r="D1552" t="str">
            <v>KKM/JKN/HSA/10-05-01/H/21/33</v>
          </cell>
          <cell r="E1552" t="str">
            <v>VIDEO LARYNGOSCOPE</v>
          </cell>
          <cell r="F1552" t="str">
            <v>KARL STORZ</v>
          </cell>
          <cell r="G1552" t="str">
            <v>KARL STORZ/C-MAC</v>
          </cell>
          <cell r="H1552" t="str">
            <v>WP27121</v>
          </cell>
          <cell r="I1552" t="str">
            <v>ANNUALLY</v>
          </cell>
          <cell r="J1552">
            <v>45732</v>
          </cell>
          <cell r="K1552"/>
          <cell r="L1552"/>
          <cell r="M1552"/>
          <cell r="N1552" t="str">
            <v>JABATAN ANESTHESIA</v>
          </cell>
          <cell r="O1552" t="str">
            <v>Unit Rawatan Rapi (ICU)</v>
          </cell>
        </row>
        <row r="1553">
          <cell r="D1553" t="str">
            <v>KKM/JKN/HSA/10-05-01/H/21/34</v>
          </cell>
          <cell r="E1553" t="str">
            <v>ENTERAL FEEDING PUMP</v>
          </cell>
          <cell r="F1553" t="str">
            <v>KANGAROO</v>
          </cell>
          <cell r="G1553" t="str">
            <v>KANGAROO E PUMP</v>
          </cell>
          <cell r="H1553" t="str">
            <v>C21327138</v>
          </cell>
          <cell r="I1553" t="str">
            <v>ANNUALLY</v>
          </cell>
          <cell r="J1553">
            <v>45732</v>
          </cell>
          <cell r="K1553"/>
          <cell r="L1553"/>
          <cell r="M1553"/>
          <cell r="N1553" t="str">
            <v>JABATAN ANESTHESIA</v>
          </cell>
          <cell r="O1553" t="str">
            <v>Unit Rawatan Rapi (ICU)</v>
          </cell>
        </row>
        <row r="1554">
          <cell r="D1554" t="str">
            <v>KKM/JKN/HSA/10-05-01/H/21/35</v>
          </cell>
          <cell r="E1554" t="str">
            <v>ENTERAL FEEDING PUMP</v>
          </cell>
          <cell r="F1554" t="str">
            <v>KANGAROO</v>
          </cell>
          <cell r="G1554" t="str">
            <v>KANGAROO E PUMP</v>
          </cell>
          <cell r="H1554" t="str">
            <v>C21327101</v>
          </cell>
          <cell r="I1554" t="str">
            <v>ANNUALLY</v>
          </cell>
          <cell r="J1554">
            <v>45732</v>
          </cell>
          <cell r="K1554"/>
          <cell r="L1554"/>
          <cell r="M1554"/>
          <cell r="N1554" t="str">
            <v>JABATAN ANESTHESIA</v>
          </cell>
          <cell r="O1554" t="str">
            <v>Unit Rawatan Rapi (ICU)</v>
          </cell>
        </row>
        <row r="1555">
          <cell r="D1555" t="str">
            <v>KKM/JKN/HSA/10-05-01/H/21/36</v>
          </cell>
          <cell r="E1555" t="str">
            <v>ENTERAL FEEDING PUMP</v>
          </cell>
          <cell r="F1555" t="str">
            <v>KANGAROO</v>
          </cell>
          <cell r="G1555" t="str">
            <v>KANGAROO E PUMP</v>
          </cell>
          <cell r="H1555" t="str">
            <v>C213280915</v>
          </cell>
          <cell r="I1555" t="str">
            <v>ANNUALLY</v>
          </cell>
          <cell r="J1555">
            <v>45732</v>
          </cell>
          <cell r="K1555"/>
          <cell r="L1555"/>
          <cell r="M1555"/>
          <cell r="N1555" t="str">
            <v>JABATAN ANESTHESIA</v>
          </cell>
          <cell r="O1555" t="str">
            <v>Unit Rawatan Rapi (ICU)</v>
          </cell>
        </row>
        <row r="1556">
          <cell r="D1556" t="str">
            <v>KKM/JKN/HSA/10-05-01/H/21/37</v>
          </cell>
          <cell r="E1556" t="str">
            <v>ENTERAL FEEDING PUMP</v>
          </cell>
          <cell r="F1556" t="str">
            <v>KANGAROO</v>
          </cell>
          <cell r="G1556" t="str">
            <v>KANGAROO E PUMP</v>
          </cell>
          <cell r="H1556" t="str">
            <v>C21327132</v>
          </cell>
          <cell r="I1556" t="str">
            <v>ANNUALLY</v>
          </cell>
          <cell r="J1556">
            <v>45732</v>
          </cell>
          <cell r="K1556"/>
          <cell r="L1556"/>
          <cell r="M1556"/>
          <cell r="N1556" t="str">
            <v>JABATAN ANESTHESIA</v>
          </cell>
          <cell r="O1556" t="str">
            <v>Unit Rawatan Rapi (ICU)</v>
          </cell>
        </row>
        <row r="1557">
          <cell r="D1557" t="str">
            <v>KKM/JKN/HSA/10-05-01/H/21/38</v>
          </cell>
          <cell r="E1557" t="str">
            <v>ENTERAL FEEDING PUMP</v>
          </cell>
          <cell r="F1557" t="str">
            <v>KANGAROO</v>
          </cell>
          <cell r="G1557" t="str">
            <v>KANGAROO E PUMP</v>
          </cell>
          <cell r="H1557" t="str">
            <v>C21327075</v>
          </cell>
          <cell r="I1557" t="str">
            <v>ANNUALLY</v>
          </cell>
          <cell r="J1557">
            <v>45732</v>
          </cell>
          <cell r="K1557"/>
          <cell r="L1557"/>
          <cell r="M1557"/>
          <cell r="N1557" t="str">
            <v>JABATAN ANESTHESIA</v>
          </cell>
          <cell r="O1557" t="str">
            <v>Unit Rawatan Rapi (ICU)</v>
          </cell>
        </row>
        <row r="1558">
          <cell r="D1558" t="str">
            <v>KKM/JKN/HSA/10-05-01/H/21/39</v>
          </cell>
          <cell r="E1558" t="str">
            <v>SYRINGE INFUSION PUMP</v>
          </cell>
          <cell r="F1558" t="str">
            <v>MEDCAPTAIN</v>
          </cell>
          <cell r="G1558" t="str">
            <v>MEDCAPTAIN/MP-30</v>
          </cell>
          <cell r="H1558" t="str">
            <v>91350120031570</v>
          </cell>
          <cell r="I1558" t="str">
            <v>ANNUALLY</v>
          </cell>
          <cell r="J1558">
            <v>45704</v>
          </cell>
          <cell r="K1558"/>
          <cell r="L1558"/>
          <cell r="M1558"/>
          <cell r="N1558" t="str">
            <v>JABATAN ANESTHESIA</v>
          </cell>
          <cell r="O1558" t="str">
            <v>Unit Rawatan Rapi (ICU)</v>
          </cell>
        </row>
        <row r="1559">
          <cell r="D1559" t="str">
            <v>KKM/JKN/HSA/10-05-01/H/21/40</v>
          </cell>
          <cell r="E1559" t="str">
            <v>SYRINGE INFUSION PUMP</v>
          </cell>
          <cell r="F1559" t="str">
            <v>MEDCAPTAIN</v>
          </cell>
          <cell r="G1559" t="str">
            <v>MEDCAPTAIN/MP-30</v>
          </cell>
          <cell r="H1559" t="str">
            <v>91350120031595</v>
          </cell>
          <cell r="I1559" t="str">
            <v>ANNUALLY</v>
          </cell>
          <cell r="J1559">
            <v>45704</v>
          </cell>
          <cell r="K1559"/>
          <cell r="L1559"/>
          <cell r="M1559"/>
          <cell r="N1559" t="str">
            <v>JABATAN ANESTHESIA</v>
          </cell>
          <cell r="O1559" t="str">
            <v>Unit Rawatan Rapi (ICU)</v>
          </cell>
        </row>
        <row r="1560">
          <cell r="D1560" t="str">
            <v>KKM/JKN/HSA/10-05-01/H/21/41</v>
          </cell>
          <cell r="E1560" t="str">
            <v>SYRINGE INFUSION PUMP</v>
          </cell>
          <cell r="F1560" t="str">
            <v>MEDCAPTAIN</v>
          </cell>
          <cell r="G1560" t="str">
            <v>MEDCAPTAIN/MP-30</v>
          </cell>
          <cell r="H1560" t="str">
            <v>91350120031551</v>
          </cell>
          <cell r="I1560" t="str">
            <v>ANNUALLY</v>
          </cell>
          <cell r="J1560">
            <v>45704</v>
          </cell>
          <cell r="K1560"/>
          <cell r="L1560"/>
          <cell r="M1560"/>
          <cell r="N1560" t="str">
            <v>JABATAN ANESTHESIA</v>
          </cell>
          <cell r="O1560" t="str">
            <v>Unit Rawatan Rapi (ICU)</v>
          </cell>
        </row>
        <row r="1561">
          <cell r="D1561" t="str">
            <v>KKM/JKN/HSA/10-05-01/H/21/42</v>
          </cell>
          <cell r="E1561" t="str">
            <v>SYRINGE INFUSION PUMP</v>
          </cell>
          <cell r="F1561" t="str">
            <v>MEDCAPTAIN</v>
          </cell>
          <cell r="G1561" t="str">
            <v>MEDCAPTAIN/MP-30</v>
          </cell>
          <cell r="H1561" t="str">
            <v>91350120031553</v>
          </cell>
          <cell r="I1561" t="str">
            <v>ANNUALLY</v>
          </cell>
          <cell r="J1561">
            <v>45704</v>
          </cell>
          <cell r="K1561"/>
          <cell r="L1561"/>
          <cell r="M1561"/>
          <cell r="N1561" t="str">
            <v>JABATAN ANESTHESIA</v>
          </cell>
          <cell r="O1561" t="str">
            <v>Unit Rawatan Rapi (ICU)</v>
          </cell>
        </row>
        <row r="1562">
          <cell r="D1562" t="str">
            <v>KKM/JKN/HSA/10-05-01/H/21/43</v>
          </cell>
          <cell r="E1562" t="str">
            <v>SYRINGE INFUSION PUMP</v>
          </cell>
          <cell r="F1562" t="str">
            <v>MEDCAPTAIN</v>
          </cell>
          <cell r="G1562" t="str">
            <v>MEDCAPTAIN/MP-30</v>
          </cell>
          <cell r="H1562" t="str">
            <v>91350120031680</v>
          </cell>
          <cell r="I1562" t="str">
            <v>ANNUALLY</v>
          </cell>
          <cell r="J1562">
            <v>45763</v>
          </cell>
          <cell r="K1562"/>
          <cell r="L1562"/>
          <cell r="M1562"/>
          <cell r="N1562" t="str">
            <v>JABATAN ANESTHESIA</v>
          </cell>
          <cell r="O1562" t="str">
            <v>Unit Rawatan Rapi (ICU)</v>
          </cell>
        </row>
        <row r="1563">
          <cell r="D1563" t="str">
            <v>KKM/JKN/HSA/10-05-01/H/21/44</v>
          </cell>
          <cell r="E1563" t="str">
            <v>SYRINGE INFUSION PUMP</v>
          </cell>
          <cell r="F1563" t="str">
            <v>MEDCAPTAIN</v>
          </cell>
          <cell r="G1563" t="str">
            <v>MEDCAPTAIN/MP-30</v>
          </cell>
          <cell r="H1563" t="str">
            <v>91350120031709</v>
          </cell>
          <cell r="I1563" t="str">
            <v>ANNUALLY</v>
          </cell>
          <cell r="J1563">
            <v>45763</v>
          </cell>
          <cell r="K1563"/>
          <cell r="L1563"/>
          <cell r="M1563"/>
          <cell r="N1563" t="str">
            <v>JABATAN ANESTHESIA</v>
          </cell>
          <cell r="O1563" t="str">
            <v>Unit Rawatan Rapi (ICU)</v>
          </cell>
        </row>
        <row r="1564">
          <cell r="D1564" t="str">
            <v>KKM/JKN/HSA/10-05-01/H/21/45</v>
          </cell>
          <cell r="E1564" t="str">
            <v>SYRINGE INFUSION PUMP</v>
          </cell>
          <cell r="F1564" t="str">
            <v>MEDCAPTAIN</v>
          </cell>
          <cell r="G1564" t="str">
            <v>MEDCAPTAIN/MP-30</v>
          </cell>
          <cell r="H1564" t="str">
            <v>91350120031691</v>
          </cell>
          <cell r="I1564" t="str">
            <v>ANNUALLY</v>
          </cell>
          <cell r="J1564">
            <v>45763</v>
          </cell>
          <cell r="K1564"/>
          <cell r="L1564"/>
          <cell r="M1564"/>
          <cell r="N1564" t="str">
            <v>JABATAN ANESTHESIA</v>
          </cell>
          <cell r="O1564" t="str">
            <v>Unit Rawatan Rapi (ICU)</v>
          </cell>
        </row>
        <row r="1565">
          <cell r="D1565" t="str">
            <v>KKM/JKN/HSA/10-05-01/H/21/46</v>
          </cell>
          <cell r="E1565" t="str">
            <v>SYRINGE INFUSION PUMP</v>
          </cell>
          <cell r="F1565" t="str">
            <v>MEDCAPTAIN</v>
          </cell>
          <cell r="G1565" t="str">
            <v>MEDCAPTAIN/MP-30</v>
          </cell>
          <cell r="H1565" t="str">
            <v>91350120031687</v>
          </cell>
          <cell r="I1565" t="str">
            <v>ANNUALLY</v>
          </cell>
          <cell r="J1565">
            <v>45763</v>
          </cell>
          <cell r="K1565"/>
          <cell r="L1565"/>
          <cell r="M1565"/>
          <cell r="N1565" t="str">
            <v>JABATAN ANESTHESIA</v>
          </cell>
          <cell r="O1565" t="str">
            <v>Unit Rawatan Rapi (ICU)</v>
          </cell>
        </row>
        <row r="1566">
          <cell r="D1566" t="str">
            <v>KKM/JKN/HSA/10-05-01/H/21/47</v>
          </cell>
          <cell r="E1566" t="str">
            <v>SYRINGE INFUSION PUMP</v>
          </cell>
          <cell r="F1566" t="str">
            <v>MEDCAPTAIN</v>
          </cell>
          <cell r="G1566" t="str">
            <v>MEDCAPTAIN/MP-30</v>
          </cell>
          <cell r="H1566" t="str">
            <v>91350120031686</v>
          </cell>
          <cell r="I1566" t="str">
            <v>ANNUALLY</v>
          </cell>
          <cell r="J1566">
            <v>45763</v>
          </cell>
          <cell r="K1566"/>
          <cell r="L1566"/>
          <cell r="M1566"/>
          <cell r="N1566" t="str">
            <v>JABATAN ANESTHESIA</v>
          </cell>
          <cell r="O1566" t="str">
            <v>Unit Rawatan Rapi (ICU)</v>
          </cell>
        </row>
        <row r="1567">
          <cell r="D1567" t="str">
            <v>KKM/JKN/HSA/10-05-01/H/21/48</v>
          </cell>
          <cell r="E1567" t="str">
            <v>SYRINGE INFUSION PUMP</v>
          </cell>
          <cell r="F1567" t="str">
            <v>MEDCAPTAIN</v>
          </cell>
          <cell r="G1567" t="str">
            <v>MEDCAPTAIN/MP-30</v>
          </cell>
          <cell r="H1567" t="str">
            <v>91350120031763</v>
          </cell>
          <cell r="I1567" t="str">
            <v>ANNUALLY</v>
          </cell>
          <cell r="J1567">
            <v>45793</v>
          </cell>
          <cell r="K1567"/>
          <cell r="L1567"/>
          <cell r="M1567"/>
          <cell r="N1567" t="str">
            <v>JABATAN ANESTHESIA</v>
          </cell>
          <cell r="O1567" t="str">
            <v>Unit Rawatan Rapi (ICU)</v>
          </cell>
        </row>
        <row r="1568">
          <cell r="D1568" t="str">
            <v>KKM/JKN/HSA/10-05-01/H/21/49</v>
          </cell>
          <cell r="E1568" t="str">
            <v>SYRINGE INFUSION PUMP</v>
          </cell>
          <cell r="F1568" t="str">
            <v>MEDCAPTAIN</v>
          </cell>
          <cell r="G1568" t="str">
            <v>MEDCAPTAIN/MP-30</v>
          </cell>
          <cell r="H1568" t="str">
            <v>91350120031767</v>
          </cell>
          <cell r="I1568" t="str">
            <v>ANNUALLY</v>
          </cell>
          <cell r="J1568">
            <v>45793</v>
          </cell>
          <cell r="K1568"/>
          <cell r="L1568"/>
          <cell r="M1568"/>
          <cell r="N1568" t="str">
            <v>JABATAN ANESTHESIA</v>
          </cell>
          <cell r="O1568" t="str">
            <v>Unit Rawatan Rapi (ICU)</v>
          </cell>
        </row>
        <row r="1569">
          <cell r="D1569" t="str">
            <v>KKM/JKN/HSA/10-05-01/H/21/50</v>
          </cell>
          <cell r="E1569" t="str">
            <v>SYRINGE INFUSION PUMP</v>
          </cell>
          <cell r="F1569" t="str">
            <v>MEDCAPTAIN</v>
          </cell>
          <cell r="G1569" t="str">
            <v>MEDCAPTAIN/MP-30</v>
          </cell>
          <cell r="H1569" t="str">
            <v>91350120031868</v>
          </cell>
          <cell r="I1569" t="str">
            <v>ANNUALLY</v>
          </cell>
          <cell r="J1569">
            <v>45793</v>
          </cell>
          <cell r="K1569"/>
          <cell r="L1569"/>
          <cell r="M1569"/>
          <cell r="N1569" t="str">
            <v>JABATAN ANESTHESIA</v>
          </cell>
          <cell r="O1569" t="str">
            <v>Unit Rawatan Rapi (ICU)</v>
          </cell>
        </row>
        <row r="1570">
          <cell r="D1570" t="str">
            <v>KKM/JKN/HSA/10-05-01/H/21/51</v>
          </cell>
          <cell r="E1570" t="str">
            <v>SYRINGE INFUSION PUMP</v>
          </cell>
          <cell r="F1570" t="str">
            <v>MEDCAPTAIN</v>
          </cell>
          <cell r="G1570" t="str">
            <v>MEDCAPTAIN/MP-30</v>
          </cell>
          <cell r="H1570" t="str">
            <v>91350120031826</v>
          </cell>
          <cell r="I1570" t="str">
            <v>ANNUALLY</v>
          </cell>
          <cell r="J1570">
            <v>45793</v>
          </cell>
          <cell r="K1570"/>
          <cell r="L1570"/>
          <cell r="M1570"/>
          <cell r="N1570" t="str">
            <v>JABATAN ANESTHESIA</v>
          </cell>
          <cell r="O1570" t="str">
            <v>Unit Rawatan Rapi (ICU)</v>
          </cell>
        </row>
        <row r="1571">
          <cell r="D1571" t="str">
            <v>KKM/JKN/HSA/10-05-01/H/21/52</v>
          </cell>
          <cell r="E1571" t="str">
            <v>SYRINGE INFUSION PUMP</v>
          </cell>
          <cell r="F1571" t="str">
            <v>MEDCAPTAIN</v>
          </cell>
          <cell r="G1571" t="str">
            <v>MEDCAPTAIN/MP-30</v>
          </cell>
          <cell r="H1571" t="str">
            <v>91350120031866</v>
          </cell>
          <cell r="I1571" t="str">
            <v>ANNUALLY</v>
          </cell>
          <cell r="J1571">
            <v>45793</v>
          </cell>
          <cell r="K1571"/>
          <cell r="L1571"/>
          <cell r="M1571"/>
          <cell r="N1571" t="str">
            <v>JABATAN ANESTHESIA</v>
          </cell>
          <cell r="O1571" t="str">
            <v>Unit Rawatan Rapi (ICU)</v>
          </cell>
        </row>
        <row r="1572">
          <cell r="D1572" t="str">
            <v>KKM/JKN/HSA/10-05-01/H/21/53</v>
          </cell>
          <cell r="E1572" t="str">
            <v>SYRINGE INFUSION PUMP</v>
          </cell>
          <cell r="F1572" t="str">
            <v>MEDCAPTAIN</v>
          </cell>
          <cell r="G1572" t="str">
            <v>MEDCAPTAIN/MP-30</v>
          </cell>
          <cell r="H1572" t="str">
            <v>91350120031808</v>
          </cell>
          <cell r="I1572" t="str">
            <v>ANNUALLY</v>
          </cell>
          <cell r="J1572">
            <v>45793</v>
          </cell>
          <cell r="K1572"/>
          <cell r="L1572"/>
          <cell r="M1572"/>
          <cell r="N1572" t="str">
            <v>JABATAN ANESTHESIA</v>
          </cell>
          <cell r="O1572" t="str">
            <v>Unit Rawatan Rapi (ICU)</v>
          </cell>
        </row>
        <row r="1573">
          <cell r="D1573" t="str">
            <v>KKM/JKN/HSA/10-05-01/H/21/54</v>
          </cell>
          <cell r="E1573" t="str">
            <v>SYRINGE INFUSION PUMP</v>
          </cell>
          <cell r="F1573" t="str">
            <v>MEDCAPTAIN</v>
          </cell>
          <cell r="G1573" t="str">
            <v>MEDCAPTAIN/MP-30</v>
          </cell>
          <cell r="H1573" t="str">
            <v>91350120031853</v>
          </cell>
          <cell r="I1573" t="str">
            <v>ANNUALLY</v>
          </cell>
          <cell r="J1573">
            <v>45885</v>
          </cell>
          <cell r="K1573"/>
          <cell r="L1573"/>
          <cell r="M1573"/>
          <cell r="N1573" t="str">
            <v>JABATAN ANESTHESIA</v>
          </cell>
          <cell r="O1573" t="str">
            <v>Unit Rawatan Rapi (ICU)</v>
          </cell>
        </row>
        <row r="1574">
          <cell r="D1574" t="str">
            <v>KKM/JKN/HSA/10-05-01/H/21/55</v>
          </cell>
          <cell r="E1574" t="str">
            <v>SYRINGE INFUSION PUMP</v>
          </cell>
          <cell r="F1574" t="str">
            <v>MEDCAPTAIN</v>
          </cell>
          <cell r="G1574" t="str">
            <v>MEDCAPTAIN/MP-30</v>
          </cell>
          <cell r="H1574" t="str">
            <v>91350120031784</v>
          </cell>
          <cell r="I1574" t="str">
            <v>ANNUALLY</v>
          </cell>
          <cell r="J1574">
            <v>45885</v>
          </cell>
          <cell r="K1574"/>
          <cell r="L1574"/>
          <cell r="M1574"/>
          <cell r="N1574" t="str">
            <v>JABATAN ANESTHESIA</v>
          </cell>
          <cell r="O1574" t="str">
            <v>Unit Rawatan Rapi (ICU)</v>
          </cell>
        </row>
        <row r="1575">
          <cell r="D1575" t="str">
            <v>KKM/JKN/HSA/10-05-01/H/21/56</v>
          </cell>
          <cell r="E1575" t="str">
            <v>SYRINGE INFUSION PUMP</v>
          </cell>
          <cell r="F1575" t="str">
            <v>MEDCAPTAIN</v>
          </cell>
          <cell r="G1575" t="str">
            <v>MEDCAPTAIN/MP-30</v>
          </cell>
          <cell r="H1575" t="str">
            <v>91350120031806</v>
          </cell>
          <cell r="I1575" t="str">
            <v>ANNUALLY</v>
          </cell>
          <cell r="J1575">
            <v>45885</v>
          </cell>
          <cell r="K1575"/>
          <cell r="L1575"/>
          <cell r="M1575"/>
          <cell r="N1575" t="str">
            <v>JABATAN ANESTHESIA</v>
          </cell>
          <cell r="O1575" t="str">
            <v>Unit Rawatan Rapi (ICU)</v>
          </cell>
        </row>
        <row r="1576">
          <cell r="D1576" t="str">
            <v>KKM/JKN/HSA/10-05-01/H/21/57</v>
          </cell>
          <cell r="E1576" t="str">
            <v>SYRINGE INFUSION PUMP</v>
          </cell>
          <cell r="F1576" t="str">
            <v>MEDCAPTAIN</v>
          </cell>
          <cell r="G1576" t="str">
            <v>MEDCAPTAIN/MP-30</v>
          </cell>
          <cell r="H1576" t="str">
            <v>91350120031707</v>
          </cell>
          <cell r="I1576" t="str">
            <v>ANNUALLY</v>
          </cell>
          <cell r="J1576">
            <v>45885</v>
          </cell>
          <cell r="K1576"/>
          <cell r="L1576"/>
          <cell r="M1576"/>
          <cell r="N1576" t="str">
            <v>JABATAN ANESTHESIA</v>
          </cell>
          <cell r="O1576" t="str">
            <v>Unit Rawatan Rapi (ICU)</v>
          </cell>
        </row>
        <row r="1577">
          <cell r="D1577" t="str">
            <v>KKM/JKN/HSA/10-05-01/H/21/58</v>
          </cell>
          <cell r="E1577" t="str">
            <v>SYRINGE INFUSION PUMP</v>
          </cell>
          <cell r="F1577" t="str">
            <v>MEDCAPTAIN</v>
          </cell>
          <cell r="G1577" t="str">
            <v>MEDCAPTAIN/MP-30</v>
          </cell>
          <cell r="H1577" t="str">
            <v>91350120031723</v>
          </cell>
          <cell r="I1577" t="str">
            <v>ANNUALLY</v>
          </cell>
          <cell r="J1577">
            <v>45885</v>
          </cell>
          <cell r="K1577"/>
          <cell r="L1577"/>
          <cell r="M1577"/>
          <cell r="N1577" t="str">
            <v>JABATAN ANESTHESIA</v>
          </cell>
          <cell r="O1577" t="str">
            <v>Unit Rawatan Rapi (ICU)</v>
          </cell>
        </row>
        <row r="1578">
          <cell r="D1578" t="str">
            <v>KKM/JKN/HSA/10-05-01/H/21/59</v>
          </cell>
          <cell r="E1578" t="str">
            <v>SYRINGE INFUSION PUMP</v>
          </cell>
          <cell r="F1578" t="str">
            <v>MEDCAPTAIN</v>
          </cell>
          <cell r="G1578" t="str">
            <v>MEDCAPTAIN/MP-30</v>
          </cell>
          <cell r="H1578" t="str">
            <v>91350120031622</v>
          </cell>
          <cell r="I1578" t="str">
            <v>ANNUALLY</v>
          </cell>
          <cell r="J1578">
            <v>45885</v>
          </cell>
          <cell r="K1578"/>
          <cell r="L1578"/>
          <cell r="M1578"/>
          <cell r="N1578" t="str">
            <v>JABATAN ANESTHESIA</v>
          </cell>
          <cell r="O1578" t="str">
            <v>Unit Rawatan Rapi (ICU)</v>
          </cell>
        </row>
        <row r="1579">
          <cell r="D1579" t="str">
            <v>KKM/JKN/HSA/10-05-01/H/21/60</v>
          </cell>
          <cell r="E1579" t="str">
            <v>SYRINGE INFUSION PUMP</v>
          </cell>
          <cell r="F1579" t="str">
            <v>MEDCAPTAIN</v>
          </cell>
          <cell r="G1579" t="str">
            <v>MEDCAPTAIN/MP-30</v>
          </cell>
          <cell r="H1579" t="str">
            <v>91350120031634</v>
          </cell>
          <cell r="I1579" t="str">
            <v>ANNUALLY</v>
          </cell>
          <cell r="J1579">
            <v>45885</v>
          </cell>
          <cell r="K1579"/>
          <cell r="L1579"/>
          <cell r="M1579"/>
          <cell r="N1579" t="str">
            <v>JABATAN ANESTHESIA</v>
          </cell>
          <cell r="O1579" t="str">
            <v>Unit Rawatan Rapi (ICU)</v>
          </cell>
        </row>
        <row r="1580">
          <cell r="D1580" t="str">
            <v>KKM/JKN/HSA/10-05-01/H/21/61</v>
          </cell>
          <cell r="E1580" t="str">
            <v>SYRINGE INFUSION PUMP</v>
          </cell>
          <cell r="F1580" t="str">
            <v>MEDCAPTAIN</v>
          </cell>
          <cell r="G1580" t="str">
            <v>MEDCAPTAIN/MP-30</v>
          </cell>
          <cell r="H1580" t="str">
            <v>91350120031637</v>
          </cell>
          <cell r="I1580" t="str">
            <v>ANNUALLY</v>
          </cell>
          <cell r="J1580">
            <v>45885</v>
          </cell>
          <cell r="K1580"/>
          <cell r="L1580"/>
          <cell r="M1580"/>
          <cell r="N1580" t="str">
            <v>JABATAN ANESTHESIA</v>
          </cell>
          <cell r="O1580" t="str">
            <v>Unit Rawatan Rapi (ICU)</v>
          </cell>
        </row>
        <row r="1581">
          <cell r="D1581" t="str">
            <v>KKM/JKN/HSA/10-05-01/H/21/62</v>
          </cell>
          <cell r="E1581" t="str">
            <v>SYRINGE INFUSION PUMP</v>
          </cell>
          <cell r="F1581" t="str">
            <v>MEDCAPTAIN</v>
          </cell>
          <cell r="G1581" t="str">
            <v>MEDCAPTAIN/MP-30</v>
          </cell>
          <cell r="H1581" t="str">
            <v>91350120031588</v>
          </cell>
          <cell r="I1581" t="str">
            <v>ANNUALLY</v>
          </cell>
          <cell r="J1581">
            <v>45916</v>
          </cell>
          <cell r="K1581"/>
          <cell r="L1581"/>
          <cell r="M1581"/>
          <cell r="N1581" t="str">
            <v>JABATAN ANESTHESIA</v>
          </cell>
          <cell r="O1581" t="str">
            <v>Unit Rawatan Rapi (ICU)</v>
          </cell>
        </row>
        <row r="1582">
          <cell r="D1582" t="str">
            <v>KKM/JKN/HSA/10-05-01/H/21/63</v>
          </cell>
          <cell r="E1582" t="str">
            <v>SYRINGE INFUSION PUMP</v>
          </cell>
          <cell r="F1582" t="str">
            <v>MEDCAPTAIN</v>
          </cell>
          <cell r="G1582" t="str">
            <v>MEDCAPTAIN/MP-30</v>
          </cell>
          <cell r="H1582" t="str">
            <v>91350120031617</v>
          </cell>
          <cell r="I1582" t="str">
            <v>ANNUALLY</v>
          </cell>
          <cell r="J1582">
            <v>45916</v>
          </cell>
          <cell r="K1582"/>
          <cell r="L1582"/>
          <cell r="M1582"/>
          <cell r="N1582" t="str">
            <v>JABATAN ANESTHESIA</v>
          </cell>
          <cell r="O1582" t="str">
            <v>Unit Rawatan Rapi (ICU)</v>
          </cell>
        </row>
        <row r="1583">
          <cell r="D1583" t="str">
            <v>KKM/JKN/HSA/10-05-01/H/21/64</v>
          </cell>
          <cell r="E1583" t="str">
            <v>SYRINGE INFUSION PUMP</v>
          </cell>
          <cell r="F1583" t="str">
            <v>MEDCAPTAIN</v>
          </cell>
          <cell r="G1583" t="str">
            <v>MEDCAPTAIN/MP-30</v>
          </cell>
          <cell r="H1583" t="str">
            <v>91350120031600</v>
          </cell>
          <cell r="I1583" t="str">
            <v>ANNUALLY</v>
          </cell>
          <cell r="J1583">
            <v>45916</v>
          </cell>
          <cell r="K1583"/>
          <cell r="L1583"/>
          <cell r="M1583"/>
          <cell r="N1583" t="str">
            <v>JABATAN ANESTHESIA</v>
          </cell>
          <cell r="O1583" t="str">
            <v>Unit Rawatan Rapi (ICU)</v>
          </cell>
        </row>
        <row r="1584">
          <cell r="D1584" t="str">
            <v>KKM/JKN/HSA/10-05-01/H/21/65</v>
          </cell>
          <cell r="E1584" t="str">
            <v>SYRINGE INFUSION PUMP</v>
          </cell>
          <cell r="F1584" t="str">
            <v>MEDCAPTAIN</v>
          </cell>
          <cell r="G1584" t="str">
            <v>MEDCAPTAIN/MP-30</v>
          </cell>
          <cell r="H1584" t="str">
            <v>91350120031552</v>
          </cell>
          <cell r="I1584" t="str">
            <v>ANNUALLY</v>
          </cell>
          <cell r="J1584">
            <v>45916</v>
          </cell>
          <cell r="K1584"/>
          <cell r="L1584"/>
          <cell r="M1584"/>
          <cell r="N1584" t="str">
            <v>JABATAN ANESTHESIA</v>
          </cell>
          <cell r="O1584" t="str">
            <v>Unit Rawatan Rapi (ICU)</v>
          </cell>
        </row>
        <row r="1585">
          <cell r="D1585" t="str">
            <v>KKM/JKN/HSA/10-05-01/H/21/66</v>
          </cell>
          <cell r="E1585" t="str">
            <v>SYRINGE INFUSION PUMP</v>
          </cell>
          <cell r="F1585" t="str">
            <v>MEDCAPTAIN</v>
          </cell>
          <cell r="G1585" t="str">
            <v>MEDCAPTAIN/MP-30</v>
          </cell>
          <cell r="H1585" t="str">
            <v>91350120031572</v>
          </cell>
          <cell r="I1585" t="str">
            <v>ANNUALLY</v>
          </cell>
          <cell r="J1585">
            <v>45916</v>
          </cell>
          <cell r="K1585"/>
          <cell r="L1585"/>
          <cell r="M1585"/>
          <cell r="N1585" t="str">
            <v>JABATAN ANESTHESIA</v>
          </cell>
          <cell r="O1585" t="str">
            <v>Unit Rawatan Rapi (ICU)</v>
          </cell>
        </row>
        <row r="1586">
          <cell r="D1586" t="str">
            <v>KKM/JKN/HSA/10-05-01/H/21/67</v>
          </cell>
          <cell r="E1586" t="str">
            <v>SYRINGE INFUSION PUMP</v>
          </cell>
          <cell r="F1586" t="str">
            <v>MEDCAPTAIN</v>
          </cell>
          <cell r="G1586" t="str">
            <v>MEDCAPTAIN/MP-30</v>
          </cell>
          <cell r="H1586" t="str">
            <v>91350120031635</v>
          </cell>
          <cell r="I1586" t="str">
            <v>ANNUALLY</v>
          </cell>
          <cell r="J1586">
            <v>45916</v>
          </cell>
          <cell r="K1586"/>
          <cell r="L1586"/>
          <cell r="M1586"/>
          <cell r="N1586" t="str">
            <v>JABATAN ANESTHESIA</v>
          </cell>
          <cell r="O1586" t="str">
            <v>Unit Rawatan Rapi (ICU)</v>
          </cell>
        </row>
        <row r="1587">
          <cell r="D1587" t="str">
            <v>KKM/JKN/HSA/10-05-01/H/21/68</v>
          </cell>
          <cell r="E1587" t="str">
            <v>SYRINGE INFUSION PUMP</v>
          </cell>
          <cell r="F1587" t="str">
            <v>MEDCAPTAIN</v>
          </cell>
          <cell r="G1587" t="str">
            <v>MEDCAPTAIN/MP-30</v>
          </cell>
          <cell r="H1587" t="str">
            <v>91350120031647</v>
          </cell>
          <cell r="I1587" t="str">
            <v>ANNUALLY</v>
          </cell>
          <cell r="J1587">
            <v>45922</v>
          </cell>
          <cell r="K1587"/>
          <cell r="L1587"/>
          <cell r="M1587"/>
          <cell r="N1587" t="str">
            <v>JABATAN ANESTHESIA</v>
          </cell>
          <cell r="O1587" t="str">
            <v>Unit Rawatan Rapi (ICU)</v>
          </cell>
        </row>
        <row r="1588">
          <cell r="D1588" t="str">
            <v>KKM/JKN/HSA/10-05-01/H/21/69</v>
          </cell>
          <cell r="E1588" t="str">
            <v>SYRINGE INFUSION PUMP</v>
          </cell>
          <cell r="F1588" t="str">
            <v>MEDCAPTAIN</v>
          </cell>
          <cell r="G1588" t="str">
            <v>MEDCAPTAIN/MP-30</v>
          </cell>
          <cell r="H1588" t="str">
            <v>91350120031580</v>
          </cell>
          <cell r="I1588" t="str">
            <v>ANNUALLY</v>
          </cell>
          <cell r="J1588">
            <v>45922</v>
          </cell>
          <cell r="K1588"/>
          <cell r="L1588"/>
          <cell r="M1588"/>
          <cell r="N1588" t="str">
            <v>JABATAN ANESTHESIA</v>
          </cell>
          <cell r="O1588" t="str">
            <v>Unit Rawatan Rapi (ICU)</v>
          </cell>
        </row>
        <row r="1589">
          <cell r="D1589" t="str">
            <v>KKM/JKN/HSA/10-05-01/H/21/70</v>
          </cell>
          <cell r="E1589" t="str">
            <v>SYRINGE INFUSION PUMP</v>
          </cell>
          <cell r="F1589" t="str">
            <v>MEDCAPTAIN</v>
          </cell>
          <cell r="G1589" t="str">
            <v>MEDCAPTAIN/MP-30</v>
          </cell>
          <cell r="H1589" t="str">
            <v>91350120031656</v>
          </cell>
          <cell r="I1589" t="str">
            <v>ANNUALLY</v>
          </cell>
          <cell r="J1589">
            <v>45922</v>
          </cell>
          <cell r="K1589"/>
          <cell r="L1589"/>
          <cell r="M1589"/>
          <cell r="N1589" t="str">
            <v>JABATAN ANESTHESIA</v>
          </cell>
          <cell r="O1589" t="str">
            <v>Unit Rawatan Rapi (ICU)</v>
          </cell>
        </row>
        <row r="1590">
          <cell r="D1590" t="str">
            <v>KKM/JKN/HSA/10-05-01/H/21/71</v>
          </cell>
          <cell r="E1590" t="str">
            <v>SYRINGE INFUSION PUMP</v>
          </cell>
          <cell r="F1590" t="str">
            <v>MEDCAPTAIN</v>
          </cell>
          <cell r="G1590" t="str">
            <v>MEDCAPTAIN/MP-30</v>
          </cell>
          <cell r="H1590" t="str">
            <v>91350120031651</v>
          </cell>
          <cell r="I1590" t="str">
            <v>ANNUALLY</v>
          </cell>
          <cell r="J1590">
            <v>45922</v>
          </cell>
          <cell r="K1590"/>
          <cell r="L1590"/>
          <cell r="M1590"/>
          <cell r="N1590" t="str">
            <v>JABATAN ANESTHESIA</v>
          </cell>
          <cell r="O1590" t="str">
            <v>Unit Rawatan Rapi (ICU)</v>
          </cell>
        </row>
        <row r="1591">
          <cell r="D1591" t="str">
            <v>KKM/JKN/HSA/10-05-01/H/21/72</v>
          </cell>
          <cell r="E1591" t="str">
            <v>SYRINGE INFUSION PUMP</v>
          </cell>
          <cell r="F1591" t="str">
            <v>MEDCAPTAIN</v>
          </cell>
          <cell r="G1591" t="str">
            <v>MEDCAPTAIN/MP-30</v>
          </cell>
          <cell r="H1591" t="str">
            <v>91350120031604</v>
          </cell>
          <cell r="I1591" t="str">
            <v>ANNUALLY</v>
          </cell>
          <cell r="J1591">
            <v>45939</v>
          </cell>
          <cell r="K1591"/>
          <cell r="L1591"/>
          <cell r="M1591"/>
          <cell r="N1591" t="str">
            <v>JABATAN ANESTHESIA</v>
          </cell>
          <cell r="O1591" t="str">
            <v>Unit Rawatan Rapi (ICU)</v>
          </cell>
        </row>
        <row r="1592">
          <cell r="D1592" t="str">
            <v>KKM/JKN/HSA/10-05-01/H/21/73</v>
          </cell>
          <cell r="E1592" t="str">
            <v>SYRINGE INFUSION PUMP</v>
          </cell>
          <cell r="F1592" t="str">
            <v>MEDCAPTAIN</v>
          </cell>
          <cell r="G1592" t="str">
            <v>MEDCAPTAIN/MP-30</v>
          </cell>
          <cell r="H1592" t="str">
            <v>91350120031643</v>
          </cell>
          <cell r="I1592" t="str">
            <v>ANNUALLY</v>
          </cell>
          <cell r="J1592">
            <v>45939</v>
          </cell>
          <cell r="K1592"/>
          <cell r="L1592"/>
          <cell r="M1592"/>
          <cell r="N1592" t="str">
            <v>JABATAN ANESTHESIA</v>
          </cell>
          <cell r="O1592" t="str">
            <v>Unit Rawatan Rapi (ICU)</v>
          </cell>
        </row>
        <row r="1593">
          <cell r="D1593" t="str">
            <v>KKM/JKN/HSA/10-05-01/H/21/74</v>
          </cell>
          <cell r="E1593" t="str">
            <v>SYRINGE INFUSION PUMP</v>
          </cell>
          <cell r="F1593" t="str">
            <v>MEDCAPTAIN</v>
          </cell>
          <cell r="G1593" t="str">
            <v>MEDCAPTAIN/MP-30</v>
          </cell>
          <cell r="H1593" t="str">
            <v>91350120031472</v>
          </cell>
          <cell r="I1593" t="str">
            <v>ANNUALLY</v>
          </cell>
          <cell r="J1593">
            <v>45939</v>
          </cell>
          <cell r="K1593"/>
          <cell r="L1593"/>
          <cell r="M1593"/>
          <cell r="N1593" t="str">
            <v>JABATAN ANESTHESIA</v>
          </cell>
          <cell r="O1593" t="str">
            <v>Unit Rawatan Rapi (ICU)</v>
          </cell>
        </row>
        <row r="1594">
          <cell r="D1594" t="str">
            <v>KKM/JKN/HSA/10-05-01/H/21/75</v>
          </cell>
          <cell r="E1594" t="str">
            <v>SYRINGE INFUSION PUMP</v>
          </cell>
          <cell r="F1594" t="str">
            <v>MEDCAPTAIN</v>
          </cell>
          <cell r="G1594" t="str">
            <v>MEDCAPTAIN/MP-30</v>
          </cell>
          <cell r="H1594" t="str">
            <v>91350120031703</v>
          </cell>
          <cell r="I1594" t="str">
            <v>ANNUALLY</v>
          </cell>
          <cell r="J1594">
            <v>45939</v>
          </cell>
          <cell r="K1594"/>
          <cell r="L1594"/>
          <cell r="M1594"/>
          <cell r="N1594" t="str">
            <v>JABATAN ANESTHESIA</v>
          </cell>
          <cell r="O1594" t="str">
            <v>Unit Rawatan Rapi (ICU)</v>
          </cell>
        </row>
        <row r="1595">
          <cell r="D1595" t="str">
            <v>KKM/JKN/HSA/10-05-01/H/21/76</v>
          </cell>
          <cell r="E1595" t="str">
            <v>SYRINGE INFUSION PUMP</v>
          </cell>
          <cell r="F1595" t="str">
            <v>MEDCAPTAIN</v>
          </cell>
          <cell r="G1595" t="str">
            <v>MEDCAPTAIN/MP-30</v>
          </cell>
          <cell r="H1595" t="str">
            <v>91350120031783</v>
          </cell>
          <cell r="I1595" t="str">
            <v>ANNUALLY</v>
          </cell>
          <cell r="J1595">
            <v>45939</v>
          </cell>
          <cell r="K1595"/>
          <cell r="L1595"/>
          <cell r="M1595"/>
          <cell r="N1595" t="str">
            <v>JABATAN ANESTHESIA</v>
          </cell>
          <cell r="O1595" t="str">
            <v>Unit Rawatan Rapi (ICU)</v>
          </cell>
        </row>
        <row r="1596">
          <cell r="D1596" t="str">
            <v>KKM/JKN/HSA/10-05-01/H/21/77</v>
          </cell>
          <cell r="E1596" t="str">
            <v>SYRINGE INFUSION PUMP</v>
          </cell>
          <cell r="F1596" t="str">
            <v>MEDCAPTAIN</v>
          </cell>
          <cell r="G1596" t="str">
            <v>MEDCAPTAIN/MP-30</v>
          </cell>
          <cell r="H1596" t="str">
            <v>91350120031841</v>
          </cell>
          <cell r="I1596" t="str">
            <v>ANNUALLY</v>
          </cell>
          <cell r="J1596">
            <v>45939</v>
          </cell>
          <cell r="K1596"/>
          <cell r="L1596"/>
          <cell r="M1596"/>
          <cell r="N1596" t="str">
            <v>JABATAN ANESTHESIA</v>
          </cell>
          <cell r="O1596" t="str">
            <v>Unit Rawatan Rapi (ICU)</v>
          </cell>
        </row>
        <row r="1597">
          <cell r="D1597" t="str">
            <v>KKM/JKN/HSA/10-05-01/H/21/78</v>
          </cell>
          <cell r="E1597" t="str">
            <v>SYRINGE INFUSION PUMP</v>
          </cell>
          <cell r="F1597" t="str">
            <v>MEDCAPTAIN</v>
          </cell>
          <cell r="G1597" t="str">
            <v>MEDCAPTAIN/MP-30</v>
          </cell>
          <cell r="H1597" t="str">
            <v>91350120031885</v>
          </cell>
          <cell r="I1597" t="str">
            <v>ANNUALLY</v>
          </cell>
          <cell r="J1597">
            <v>45939</v>
          </cell>
          <cell r="K1597"/>
          <cell r="L1597"/>
          <cell r="M1597"/>
          <cell r="N1597" t="str">
            <v>JABATAN ANESTHESIA</v>
          </cell>
          <cell r="O1597" t="str">
            <v>Unit Rawatan Rapi (ICU)</v>
          </cell>
        </row>
        <row r="1598">
          <cell r="D1598" t="str">
            <v>KKM/JKN/HSA/10-05-01/H/21/79</v>
          </cell>
          <cell r="E1598" t="str">
            <v>VENTILATOR</v>
          </cell>
          <cell r="F1598" t="str">
            <v>MINDRAY</v>
          </cell>
          <cell r="G1598" t="str">
            <v>SV600</v>
          </cell>
          <cell r="H1598" t="str">
            <v>AA6-0A008560</v>
          </cell>
          <cell r="I1598" t="str">
            <v>SEMI ANNUALLY</v>
          </cell>
          <cell r="J1598">
            <v>45743</v>
          </cell>
          <cell r="K1598">
            <v>45926</v>
          </cell>
          <cell r="L1598"/>
          <cell r="M1598"/>
          <cell r="N1598" t="str">
            <v>JABATAN ANESTHESIA</v>
          </cell>
          <cell r="O1598" t="str">
            <v>Unit Rawatan Rapi (ICU)</v>
          </cell>
        </row>
        <row r="1599">
          <cell r="D1599" t="str">
            <v>KKM/JKN/HSA/10-05-01/H/21/267</v>
          </cell>
          <cell r="E1599" t="str">
            <v>RESPIRATION HUMIDIFIER</v>
          </cell>
          <cell r="F1599" t="str">
            <v>BMC</v>
          </cell>
          <cell r="G1599" t="str">
            <v>H-80A</v>
          </cell>
          <cell r="H1599" t="str">
            <v>F1221204042</v>
          </cell>
          <cell r="I1599" t="str">
            <v>ANNUALLY</v>
          </cell>
          <cell r="J1599">
            <v>45725</v>
          </cell>
          <cell r="K1599"/>
          <cell r="L1599"/>
          <cell r="M1599"/>
          <cell r="N1599" t="str">
            <v>JABATAN ANESTHESIA</v>
          </cell>
          <cell r="O1599" t="str">
            <v>Unit Rawatan Rapi (ICU)</v>
          </cell>
        </row>
        <row r="1600">
          <cell r="D1600" t="str">
            <v>HSAS10096</v>
          </cell>
          <cell r="E1600" t="str">
            <v>LASER PRINTER FOR CENTRAL STATION</v>
          </cell>
          <cell r="F1600" t="str">
            <v>MINDRAY</v>
          </cell>
          <cell r="G1600" t="str">
            <v>HP LASERJET PRINTER</v>
          </cell>
          <cell r="H1600" t="str">
            <v>N/A</v>
          </cell>
          <cell r="I1600" t="str">
            <v>ANNUALLY</v>
          </cell>
          <cell r="J1600">
            <v>45964</v>
          </cell>
          <cell r="K1600"/>
          <cell r="L1600"/>
          <cell r="M1600"/>
          <cell r="N1600" t="str">
            <v>JABATAN PEDIATRIK</v>
          </cell>
          <cell r="O1600" t="str">
            <v>Unit Rawatan Rapi Neonatal (NICU)</v>
          </cell>
        </row>
        <row r="1601">
          <cell r="D1601" t="str">
            <v>KKM/JKN/HSA/10-05-01/H/15/4941</v>
          </cell>
          <cell r="E1601" t="str">
            <v>MONITOR MODULAR 8-CH ECG/RR/NIBP/SPO2/2TEMP/2IBP</v>
          </cell>
          <cell r="F1601" t="str">
            <v>MINDRAY</v>
          </cell>
          <cell r="G1601" t="str">
            <v>BENEVIEW T8</v>
          </cell>
          <cell r="H1601" t="str">
            <v>CF 45122933</v>
          </cell>
          <cell r="I1601" t="str">
            <v>ANNUALLY</v>
          </cell>
          <cell r="J1601">
            <v>45880</v>
          </cell>
          <cell r="K1601"/>
          <cell r="L1601"/>
          <cell r="M1601"/>
          <cell r="N1601" t="str">
            <v>JABATAN PEDIATRIK</v>
          </cell>
          <cell r="O1601" t="str">
            <v>Unit Rawatan Rapi Neonatal (NICU)</v>
          </cell>
        </row>
        <row r="1602">
          <cell r="D1602" t="str">
            <v>KKM/JKN/HSA/10-05-01/H/15/4950</v>
          </cell>
          <cell r="E1602" t="str">
            <v>PHOTOTHERAPY UNIT FREESTANDING</v>
          </cell>
          <cell r="F1602" t="str">
            <v>BISTOS</v>
          </cell>
          <cell r="G1602" t="str">
            <v xml:space="preserve"> BT -400</v>
          </cell>
          <cell r="H1602" t="str">
            <v>EAE40126</v>
          </cell>
          <cell r="I1602" t="str">
            <v>ANNUALLY</v>
          </cell>
          <cell r="J1602">
            <v>45713</v>
          </cell>
          <cell r="K1602"/>
          <cell r="L1602"/>
          <cell r="M1602"/>
          <cell r="N1602" t="str">
            <v>JABATAN PEDIATRIK</v>
          </cell>
          <cell r="O1602" t="str">
            <v>Unit Rawatan Rapi Neonatal (NICU)</v>
          </cell>
        </row>
        <row r="1603">
          <cell r="D1603" t="str">
            <v>KKM/JKN/HSA/10-05-01/H/15/4971</v>
          </cell>
          <cell r="E1603" t="str">
            <v>WARMING UNITS, PATIENT, RADIANT, INFANT</v>
          </cell>
          <cell r="F1603" t="str">
            <v>DRAEGER</v>
          </cell>
          <cell r="G1603" t="str">
            <v>BABYTHERM 8004</v>
          </cell>
          <cell r="H1603" t="str">
            <v>ASEK0002</v>
          </cell>
          <cell r="I1603" t="str">
            <v>ANNUALLY</v>
          </cell>
          <cell r="J1603">
            <v>45880</v>
          </cell>
          <cell r="K1603"/>
          <cell r="L1603"/>
          <cell r="M1603"/>
          <cell r="N1603" t="str">
            <v>JABATAN PEDIATRIK</v>
          </cell>
          <cell r="O1603" t="str">
            <v>Unit Rawatan Rapi Neonatal (NICU)</v>
          </cell>
        </row>
        <row r="1604">
          <cell r="D1604" t="str">
            <v>KKM/JKN/HSA/10-05-01/H/15/5026</v>
          </cell>
          <cell r="E1604" t="str">
            <v>MONITOR APNOEA NON INVASIVE</v>
          </cell>
          <cell r="F1604" t="str">
            <v>MASIMO</v>
          </cell>
          <cell r="G1604" t="str">
            <v>RADICAL-8</v>
          </cell>
          <cell r="H1604" t="str">
            <v>M46929</v>
          </cell>
          <cell r="I1604" t="str">
            <v>ANNUALLY</v>
          </cell>
          <cell r="J1604">
            <v>45888</v>
          </cell>
          <cell r="K1604"/>
          <cell r="L1604"/>
          <cell r="M1604"/>
          <cell r="N1604" t="str">
            <v>JABATAN PEDIATRIK</v>
          </cell>
          <cell r="O1604" t="str">
            <v>Unit Rawatan Rapi Neonatal (NICU)</v>
          </cell>
        </row>
        <row r="1605">
          <cell r="D1605" t="str">
            <v>KKM/JKN/HSA/10-05-01/H/15/785</v>
          </cell>
          <cell r="E1605" t="str">
            <v>PUMP SYRINGE BASIC DOSE RATE (STAND ALONE)</v>
          </cell>
          <cell r="F1605" t="str">
            <v>FRESENIUS KABI</v>
          </cell>
          <cell r="G1605" t="str">
            <v>INJECTOMAT MC AGILIA</v>
          </cell>
          <cell r="H1605">
            <v>22231727</v>
          </cell>
          <cell r="I1605" t="str">
            <v>ANNUALLY</v>
          </cell>
          <cell r="J1605">
            <v>46017</v>
          </cell>
          <cell r="K1605"/>
          <cell r="L1605"/>
          <cell r="M1605"/>
          <cell r="N1605" t="str">
            <v>JABATAN PEDIATRIK</v>
          </cell>
          <cell r="O1605" t="str">
            <v>Unit Rawatan Rapi Neonatal (NICU)</v>
          </cell>
        </row>
        <row r="1606">
          <cell r="D1606" t="str">
            <v>KKM/JKN/HSA/10-05-01/H/15/797</v>
          </cell>
          <cell r="E1606" t="str">
            <v>PUMP SYRINGE BASIC DOSE RATE (STAND ALONE)</v>
          </cell>
          <cell r="F1606" t="str">
            <v>FRESENIUS KABI</v>
          </cell>
          <cell r="G1606" t="str">
            <v>INJECTOMAT MC AGILIA</v>
          </cell>
          <cell r="H1606">
            <v>22231729</v>
          </cell>
          <cell r="I1606" t="str">
            <v>ANNUALLY</v>
          </cell>
          <cell r="J1606">
            <v>45727</v>
          </cell>
          <cell r="K1606"/>
          <cell r="L1606"/>
          <cell r="M1606"/>
          <cell r="N1606" t="str">
            <v>JABATAN PEDIATRIK</v>
          </cell>
          <cell r="O1606" t="str">
            <v>Unit Rawatan Rapi Neonatal (NICU)</v>
          </cell>
        </row>
        <row r="1607">
          <cell r="D1607" t="str">
            <v>KKM/JKN/HSA/10-05-01/H/16/16</v>
          </cell>
          <cell r="E1607" t="str">
            <v>RESUSCITATOR</v>
          </cell>
          <cell r="F1607" t="str">
            <v>NEOPUFF</v>
          </cell>
          <cell r="G1607" t="str">
            <v>RD900</v>
          </cell>
          <cell r="H1607">
            <v>160226005351</v>
          </cell>
          <cell r="I1607" t="str">
            <v>ANNUALLY</v>
          </cell>
          <cell r="J1607">
            <v>45749</v>
          </cell>
          <cell r="K1607"/>
          <cell r="L1607"/>
          <cell r="M1607"/>
          <cell r="N1607" t="str">
            <v>JABATAN PEDIATRIK</v>
          </cell>
          <cell r="O1607" t="str">
            <v>Unit Rawatan Rapi Neonatal (NICU)</v>
          </cell>
        </row>
        <row r="1608">
          <cell r="D1608" t="str">
            <v>KKM/JKN/HSA/10-05-01/H/19/17</v>
          </cell>
          <cell r="E1608" t="str">
            <v>PULSE OXIMETER AND SIMULATOR</v>
          </cell>
          <cell r="F1608" t="str">
            <v>MASIMO RD-97</v>
          </cell>
          <cell r="G1608" t="str">
            <v>RADICAL 97</v>
          </cell>
          <cell r="H1608">
            <v>3000027347</v>
          </cell>
          <cell r="I1608" t="str">
            <v>ANNUALLY</v>
          </cell>
          <cell r="J1608">
            <v>46010</v>
          </cell>
          <cell r="K1608"/>
          <cell r="L1608"/>
          <cell r="M1608"/>
          <cell r="N1608" t="str">
            <v>JABATAN PEDIATRIK</v>
          </cell>
          <cell r="O1608" t="str">
            <v>Unit Rawatan Rapi Neonatal (NICU)</v>
          </cell>
        </row>
        <row r="1609">
          <cell r="D1609" t="str">
            <v>KKM/JKN/HSA/10-05-01/H/19/18</v>
          </cell>
          <cell r="E1609" t="str">
            <v>PULSE OXIMETER AND SIMULATOR</v>
          </cell>
          <cell r="F1609" t="str">
            <v>MASIMO RD-97</v>
          </cell>
          <cell r="G1609" t="str">
            <v>RADICAL 97</v>
          </cell>
          <cell r="H1609">
            <v>3000027378</v>
          </cell>
          <cell r="I1609" t="str">
            <v>ANNUALLY</v>
          </cell>
          <cell r="J1609">
            <v>46010</v>
          </cell>
          <cell r="K1609"/>
          <cell r="L1609"/>
          <cell r="M1609"/>
          <cell r="N1609" t="str">
            <v>JABATAN PEDIATRIK</v>
          </cell>
          <cell r="O1609" t="str">
            <v>Unit Rawatan Rapi Neonatal (NICU)</v>
          </cell>
        </row>
        <row r="1610">
          <cell r="D1610" t="str">
            <v>KKM/JKN/HSA/10-05-01/H/19/20</v>
          </cell>
          <cell r="E1610" t="str">
            <v>INFANT WARMER (RADIANT)</v>
          </cell>
          <cell r="F1610" t="str">
            <v>SUNFLOWER</v>
          </cell>
          <cell r="G1610" t="str">
            <v>N/A</v>
          </cell>
          <cell r="H1610">
            <v>190600581</v>
          </cell>
          <cell r="I1610" t="str">
            <v>ANNUALLY</v>
          </cell>
          <cell r="J1610">
            <v>46010</v>
          </cell>
          <cell r="K1610"/>
          <cell r="L1610"/>
          <cell r="M1610"/>
          <cell r="N1610" t="str">
            <v>JABATAN PEDIATRIK</v>
          </cell>
          <cell r="O1610" t="str">
            <v>Unit Rawatan Rapi Neonatal (NICU)</v>
          </cell>
        </row>
        <row r="1611">
          <cell r="D1611" t="str">
            <v>KKM/JKN/HSA/10-05-01/H/19/21</v>
          </cell>
          <cell r="E1611" t="str">
            <v>INFUSION PUMP</v>
          </cell>
          <cell r="F1611" t="str">
            <v>MEDCAPTAIN</v>
          </cell>
          <cell r="G1611" t="str">
            <v>SYS-6010A</v>
          </cell>
          <cell r="H1611" t="str">
            <v>601015080584</v>
          </cell>
          <cell r="I1611" t="str">
            <v>ANNUALLY</v>
          </cell>
          <cell r="J1611">
            <v>45690</v>
          </cell>
          <cell r="K1611"/>
          <cell r="L1611"/>
          <cell r="M1611"/>
          <cell r="N1611" t="str">
            <v>JABATAN PEDIATRIK</v>
          </cell>
          <cell r="O1611" t="str">
            <v>Unit Rawatan Rapi Neonatal (NICU)</v>
          </cell>
        </row>
        <row r="1612">
          <cell r="D1612" t="str">
            <v>KKM/JKN/HSA/10-05-01/H/19/24</v>
          </cell>
          <cell r="E1612" t="str">
            <v>INFANT WARMER (RADIANT)</v>
          </cell>
          <cell r="F1612" t="str">
            <v>DRAEGER</v>
          </cell>
          <cell r="G1612" t="str">
            <v>BABYTHERM 8004</v>
          </cell>
          <cell r="H1612" t="str">
            <v>ASMA-0051</v>
          </cell>
          <cell r="I1612" t="str">
            <v>ANNUALLY</v>
          </cell>
          <cell r="J1612">
            <v>45932</v>
          </cell>
          <cell r="K1612"/>
          <cell r="L1612"/>
          <cell r="M1612"/>
          <cell r="N1612" t="str">
            <v>JABATAN PEDIATRIK</v>
          </cell>
          <cell r="O1612" t="str">
            <v>Unit Rawatan Rapi Neonatal (NICU)</v>
          </cell>
        </row>
        <row r="1613">
          <cell r="D1613" t="str">
            <v>KKM/JKN/HSA/10-05-01/H/19/5</v>
          </cell>
          <cell r="E1613" t="str">
            <v>PULSE OXIMETER AND SIMULATOR</v>
          </cell>
          <cell r="F1613" t="str">
            <v>MASIMO RD-97</v>
          </cell>
          <cell r="G1613" t="str">
            <v>RADICAL 97</v>
          </cell>
          <cell r="H1613">
            <v>3000024751</v>
          </cell>
          <cell r="I1613" t="str">
            <v>ANNUALLY</v>
          </cell>
          <cell r="J1613">
            <v>45871</v>
          </cell>
          <cell r="K1613"/>
          <cell r="L1613"/>
          <cell r="M1613"/>
          <cell r="N1613" t="str">
            <v>JABATAN PEDIATRIK</v>
          </cell>
          <cell r="O1613" t="str">
            <v>Unit Rawatan Rapi Neonatal (NICU)</v>
          </cell>
        </row>
        <row r="1614">
          <cell r="D1614" t="str">
            <v>KKM/JKN/HSA/10-05-01/R/15/6958</v>
          </cell>
          <cell r="E1614" t="str">
            <v>WEIGHING SCALE TOP LOADING</v>
          </cell>
          <cell r="F1614" t="str">
            <v>DETECTO</v>
          </cell>
          <cell r="G1614" t="str">
            <v>D-30</v>
          </cell>
          <cell r="H1614" t="str">
            <v>C12025798</v>
          </cell>
          <cell r="I1614" t="str">
            <v>ANNUALLY</v>
          </cell>
          <cell r="J1614">
            <v>46028</v>
          </cell>
          <cell r="K1614"/>
          <cell r="L1614"/>
          <cell r="M1614"/>
          <cell r="N1614" t="str">
            <v>JABATAN PEDIATRIK</v>
          </cell>
          <cell r="O1614" t="str">
            <v>Unit Rawatan Rapi Neonatal (NICU)</v>
          </cell>
        </row>
        <row r="1615">
          <cell r="D1615" t="str">
            <v>KKM/JKN/HSA/10-05-01/R/15/7337</v>
          </cell>
          <cell r="E1615" t="str">
            <v>SUCTION UNIT TWIN JAR PIPELINE</v>
          </cell>
          <cell r="F1615" t="str">
            <v>CLEMENTS MEDICAL EQUIP</v>
          </cell>
          <cell r="G1615" t="str">
            <v xml:space="preserve"> SUC89240</v>
          </cell>
          <cell r="H1615" t="str">
            <v>N/A</v>
          </cell>
          <cell r="I1615" t="str">
            <v>ANNUALLY</v>
          </cell>
          <cell r="J1615">
            <v>46014</v>
          </cell>
          <cell r="K1615"/>
          <cell r="L1615"/>
          <cell r="M1615"/>
          <cell r="N1615" t="str">
            <v>JABATAN PEDIATRIK</v>
          </cell>
          <cell r="O1615" t="str">
            <v>Unit Rawatan Rapi Neonatal (NICU)</v>
          </cell>
        </row>
        <row r="1616">
          <cell r="D1616" t="str">
            <v>KKM/JKN/HSA/10-05-01/H/15/1019</v>
          </cell>
          <cell r="E1616" t="str">
            <v>PATIENT MONITORING EQUIP.(AUTOMATIC MULTIPARAMETER)</v>
          </cell>
          <cell r="F1616" t="str">
            <v>WELCH ALLYN</v>
          </cell>
          <cell r="G1616" t="str">
            <v>WELCH ALLYN VSM 300</v>
          </cell>
          <cell r="H1616" t="str">
            <v>JA123470</v>
          </cell>
          <cell r="I1616" t="str">
            <v>ANNUALLY</v>
          </cell>
          <cell r="J1616">
            <v>45825</v>
          </cell>
          <cell r="K1616"/>
          <cell r="L1616"/>
          <cell r="M1616"/>
          <cell r="N1616" t="str">
            <v>JABATAN PEDIATRIK</v>
          </cell>
          <cell r="O1616" t="str">
            <v>Unit Rawatan Rapi Neonatal (NICU)</v>
          </cell>
        </row>
        <row r="1617">
          <cell r="D1617" t="str">
            <v>KKM/JKN/HSA/10-05-01/H/15/1020</v>
          </cell>
          <cell r="E1617" t="str">
            <v>PATIENT MONITORING EQUIP.(AUTOMATIC MULTIPARAMETER)</v>
          </cell>
          <cell r="F1617" t="str">
            <v>WELCH ALLYN</v>
          </cell>
          <cell r="G1617" t="str">
            <v>WELCH ALLYN VSM 300</v>
          </cell>
          <cell r="H1617" t="str">
            <v>JA123462</v>
          </cell>
          <cell r="I1617" t="str">
            <v>ANNUALLY</v>
          </cell>
          <cell r="J1617">
            <v>45825</v>
          </cell>
          <cell r="K1617"/>
          <cell r="L1617"/>
          <cell r="M1617"/>
          <cell r="N1617" t="str">
            <v>JABATAN PEDIATRIK</v>
          </cell>
          <cell r="O1617" t="str">
            <v>Unit Rawatan Rapi Neonatal (NICU)</v>
          </cell>
        </row>
        <row r="1618">
          <cell r="D1618" t="str">
            <v>KKM/JKN/HSA/10-05-01/H/15/1021</v>
          </cell>
          <cell r="E1618" t="str">
            <v>PATIENT MONITORING EQUIP.(AUTOMATIC MULTIPARAMETER)</v>
          </cell>
          <cell r="F1618" t="str">
            <v>WELCH ALLYN</v>
          </cell>
          <cell r="G1618" t="str">
            <v>WELCH ALLYN VSM 300</v>
          </cell>
          <cell r="H1618" t="str">
            <v>JA123463</v>
          </cell>
          <cell r="I1618" t="str">
            <v>ANNUALLY</v>
          </cell>
          <cell r="J1618">
            <v>45825</v>
          </cell>
          <cell r="K1618"/>
          <cell r="L1618"/>
          <cell r="M1618"/>
          <cell r="N1618" t="str">
            <v>JABATAN PEDIATRIK</v>
          </cell>
          <cell r="O1618" t="str">
            <v>Unit Rawatan Rapi Neonatal (NICU)</v>
          </cell>
        </row>
        <row r="1619">
          <cell r="D1619" t="str">
            <v>KKM/JKN/HSA/10-05-01/H/15/1066</v>
          </cell>
          <cell r="E1619" t="str">
            <v>PHOTOTHERAPY MACHINE (LAMP)</v>
          </cell>
          <cell r="F1619" t="str">
            <v>BISTOS</v>
          </cell>
          <cell r="G1619" t="str">
            <v>BT400</v>
          </cell>
          <cell r="H1619" t="str">
            <v>EAE40119</v>
          </cell>
          <cell r="I1619" t="str">
            <v>ANNUALLY</v>
          </cell>
          <cell r="J1619">
            <v>45713</v>
          </cell>
          <cell r="K1619"/>
          <cell r="L1619"/>
          <cell r="M1619"/>
          <cell r="N1619" t="str">
            <v>JABATAN PEDIATRIK</v>
          </cell>
          <cell r="O1619" t="str">
            <v>Unit Rawatan Rapi Neonatal (NICU)</v>
          </cell>
        </row>
        <row r="1620">
          <cell r="D1620" t="str">
            <v>KKM/JKN/HSA/10-05-01/H/15/1067</v>
          </cell>
          <cell r="E1620" t="str">
            <v>PHOTOTHERAPY MACHINE (LAMP)</v>
          </cell>
          <cell r="F1620" t="str">
            <v>BISTOS</v>
          </cell>
          <cell r="G1620" t="str">
            <v>BT400</v>
          </cell>
          <cell r="H1620" t="str">
            <v>EAE40127</v>
          </cell>
          <cell r="I1620" t="str">
            <v>ANNUALLY</v>
          </cell>
          <cell r="J1620">
            <v>45713</v>
          </cell>
          <cell r="K1620"/>
          <cell r="L1620"/>
          <cell r="M1620"/>
          <cell r="N1620" t="str">
            <v>JABATAN PEDIATRIK</v>
          </cell>
          <cell r="O1620" t="str">
            <v>Unit Rawatan Rapi Neonatal (NICU)</v>
          </cell>
        </row>
        <row r="1621">
          <cell r="D1621" t="str">
            <v>KKM/JKN/HSA/10-05-01/H/15/1068</v>
          </cell>
          <cell r="E1621" t="str">
            <v>PHOTOTHERAPY MACHINE (LAMP)</v>
          </cell>
          <cell r="F1621" t="str">
            <v>BISTOS</v>
          </cell>
          <cell r="G1621" t="str">
            <v>BT400</v>
          </cell>
          <cell r="H1621" t="str">
            <v>EAE50025</v>
          </cell>
          <cell r="I1621" t="str">
            <v>ANNUALLY</v>
          </cell>
          <cell r="J1621">
            <v>45713</v>
          </cell>
          <cell r="K1621"/>
          <cell r="L1621"/>
          <cell r="M1621"/>
          <cell r="N1621" t="str">
            <v>JABATAN PEDIATRIK</v>
          </cell>
          <cell r="O1621" t="str">
            <v>Unit Rawatan Rapi Neonatal (NICU)</v>
          </cell>
        </row>
        <row r="1622">
          <cell r="D1622" t="str">
            <v>KKM/JKN/HSA/10-05-01/H/15/1069</v>
          </cell>
          <cell r="E1622" t="str">
            <v>PHOTOTHERAPY MACHINE (LAMP)</v>
          </cell>
          <cell r="F1622" t="str">
            <v>BISTOS</v>
          </cell>
          <cell r="G1622" t="str">
            <v>BT400</v>
          </cell>
          <cell r="H1622" t="str">
            <v>EAE40114</v>
          </cell>
          <cell r="I1622" t="str">
            <v>ANNUALLY</v>
          </cell>
          <cell r="J1622">
            <v>45713</v>
          </cell>
          <cell r="K1622"/>
          <cell r="L1622"/>
          <cell r="M1622"/>
          <cell r="N1622" t="str">
            <v>JABATAN PEDIATRIK</v>
          </cell>
          <cell r="O1622" t="str">
            <v>Unit Rawatan Rapi Neonatal (NICU)</v>
          </cell>
        </row>
        <row r="1623">
          <cell r="D1623" t="str">
            <v>KKM/JKN/HSA/10-05-01/H/15/1070</v>
          </cell>
          <cell r="E1623" t="str">
            <v>PHOTOTHERAPY MACHINE (LAMP)</v>
          </cell>
          <cell r="F1623" t="str">
            <v>BISTOS</v>
          </cell>
          <cell r="G1623" t="str">
            <v>BT400</v>
          </cell>
          <cell r="H1623" t="str">
            <v>EAE50033</v>
          </cell>
          <cell r="I1623" t="str">
            <v>ANNUALLY</v>
          </cell>
          <cell r="J1623">
            <v>45713</v>
          </cell>
          <cell r="K1623"/>
          <cell r="L1623"/>
          <cell r="M1623"/>
          <cell r="N1623" t="str">
            <v>JABATAN PEDIATRIK</v>
          </cell>
          <cell r="O1623" t="str">
            <v>Unit Rawatan Rapi Neonatal (NICU)</v>
          </cell>
        </row>
        <row r="1624">
          <cell r="D1624" t="str">
            <v>KKM/JKN/HSA/10-05-01/H/15/1071</v>
          </cell>
          <cell r="E1624" t="str">
            <v>PHOTOTHERAPY MACHINE (LAMP)</v>
          </cell>
          <cell r="F1624" t="str">
            <v>BISTOS</v>
          </cell>
          <cell r="G1624" t="str">
            <v>BT400</v>
          </cell>
          <cell r="H1624" t="str">
            <v>EAE50065</v>
          </cell>
          <cell r="I1624" t="str">
            <v>ANNUALLY</v>
          </cell>
          <cell r="J1624">
            <v>45713</v>
          </cell>
          <cell r="K1624"/>
          <cell r="L1624"/>
          <cell r="M1624"/>
          <cell r="N1624" t="str">
            <v>JABATAN PEDIATRIK</v>
          </cell>
          <cell r="O1624" t="str">
            <v>Unit Rawatan Rapi Neonatal (NICU)</v>
          </cell>
        </row>
        <row r="1625">
          <cell r="D1625" t="str">
            <v>KKM/JKN/HSA/10-05-01/H/15/1072</v>
          </cell>
          <cell r="E1625" t="str">
            <v>PHOTOTHERAPY MACHINE (LAMP)</v>
          </cell>
          <cell r="F1625" t="str">
            <v>BISTOS</v>
          </cell>
          <cell r="G1625" t="str">
            <v>BT400</v>
          </cell>
          <cell r="H1625" t="str">
            <v>EAE50062</v>
          </cell>
          <cell r="I1625" t="str">
            <v>ANNUALLY</v>
          </cell>
          <cell r="J1625">
            <v>45713</v>
          </cell>
          <cell r="K1625"/>
          <cell r="L1625"/>
          <cell r="M1625"/>
          <cell r="N1625" t="str">
            <v>JABATAN PEDIATRIK</v>
          </cell>
          <cell r="O1625" t="str">
            <v>Unit Rawatan Rapi Neonatal (NICU)</v>
          </cell>
        </row>
        <row r="1626">
          <cell r="D1626" t="str">
            <v>KKM/JKN/HSA/10-05-01/H/15/1074</v>
          </cell>
          <cell r="E1626" t="str">
            <v>PHOTOTHERAPY MACHINE (LAMP)</v>
          </cell>
          <cell r="F1626" t="str">
            <v>BISTOS</v>
          </cell>
          <cell r="G1626" t="str">
            <v>BT400</v>
          </cell>
          <cell r="H1626" t="str">
            <v>EAE40128</v>
          </cell>
          <cell r="I1626" t="str">
            <v>ANNUALLY</v>
          </cell>
          <cell r="J1626">
            <v>45713</v>
          </cell>
          <cell r="K1626"/>
          <cell r="L1626"/>
          <cell r="M1626"/>
          <cell r="N1626" t="str">
            <v>JABATAN PEDIATRIK</v>
          </cell>
          <cell r="O1626" t="str">
            <v>Unit Rawatan Rapi Neonatal (NICU)</v>
          </cell>
        </row>
        <row r="1627">
          <cell r="D1627" t="str">
            <v>KKM/JKN/HSA/10-05-01/H/15/1075</v>
          </cell>
          <cell r="E1627" t="str">
            <v>PHOTOTHERAPY MACHINE (LAMP)</v>
          </cell>
          <cell r="F1627" t="str">
            <v>BISTOS</v>
          </cell>
          <cell r="G1627" t="str">
            <v>BT400</v>
          </cell>
          <cell r="H1627" t="str">
            <v>EAE50031</v>
          </cell>
          <cell r="I1627" t="str">
            <v>ANNUALLY</v>
          </cell>
          <cell r="J1627">
            <v>45713</v>
          </cell>
          <cell r="K1627"/>
          <cell r="L1627"/>
          <cell r="M1627"/>
          <cell r="N1627" t="str">
            <v>JABATAN PEDIATRIK</v>
          </cell>
          <cell r="O1627" t="str">
            <v>Unit Rawatan Rapi Neonatal (NICU)</v>
          </cell>
        </row>
        <row r="1628">
          <cell r="D1628" t="str">
            <v>KKM/JKN/HSA/10-05-01/H/15/1076</v>
          </cell>
          <cell r="E1628" t="str">
            <v>PHOTOTHERAPY MACHINE (LAMP)</v>
          </cell>
          <cell r="F1628" t="str">
            <v>BISTOS</v>
          </cell>
          <cell r="G1628" t="str">
            <v>BT400</v>
          </cell>
          <cell r="H1628" t="str">
            <v>EAE40113</v>
          </cell>
          <cell r="I1628" t="str">
            <v>ANNUALLY</v>
          </cell>
          <cell r="J1628">
            <v>45713</v>
          </cell>
          <cell r="K1628"/>
          <cell r="L1628"/>
          <cell r="M1628"/>
          <cell r="N1628" t="str">
            <v>JABATAN PEDIATRIK</v>
          </cell>
          <cell r="O1628" t="str">
            <v>Unit Rawatan Rapi Neonatal (NICU)</v>
          </cell>
        </row>
        <row r="1629">
          <cell r="D1629" t="str">
            <v>KKM/JKN/HSA/10-05-01/H/15/1077</v>
          </cell>
          <cell r="E1629" t="str">
            <v>PHOTOTHERAPY MACHINE (LAMP)</v>
          </cell>
          <cell r="F1629" t="str">
            <v>BISTOS</v>
          </cell>
          <cell r="G1629" t="str">
            <v>BT400</v>
          </cell>
          <cell r="H1629" t="str">
            <v>EAE40126</v>
          </cell>
          <cell r="I1629" t="str">
            <v>ANNUALLY</v>
          </cell>
          <cell r="J1629">
            <v>45713</v>
          </cell>
          <cell r="K1629"/>
          <cell r="L1629"/>
          <cell r="M1629"/>
          <cell r="N1629" t="str">
            <v>JABATAN PEDIATRIK</v>
          </cell>
          <cell r="O1629" t="str">
            <v>Unit Rawatan Rapi Neonatal (NICU)</v>
          </cell>
        </row>
        <row r="1630">
          <cell r="D1630" t="str">
            <v>KKM/JKN/HSA/10-05-01/H/15/1589</v>
          </cell>
          <cell r="E1630" t="str">
            <v>INFANT WARMER (RADIANT)</v>
          </cell>
          <cell r="F1630" t="str">
            <v>DRAEGER</v>
          </cell>
          <cell r="G1630" t="str">
            <v>RESUSCITAIRE RW-82</v>
          </cell>
          <cell r="H1630" t="str">
            <v>AU 01156</v>
          </cell>
          <cell r="I1630" t="str">
            <v>ANNUALLY</v>
          </cell>
          <cell r="J1630">
            <v>45825</v>
          </cell>
          <cell r="K1630"/>
          <cell r="L1630"/>
          <cell r="M1630"/>
          <cell r="N1630" t="str">
            <v>JABATAN PEDIATRIK</v>
          </cell>
          <cell r="O1630" t="str">
            <v>Unit Rawatan Rapi Neonatal (NICU)</v>
          </cell>
        </row>
        <row r="1631">
          <cell r="D1631" t="str">
            <v>KKM/JKN/HSA/10-05-01/H/15/1590</v>
          </cell>
          <cell r="E1631" t="str">
            <v>INFANT WARMER (RADIANT)</v>
          </cell>
          <cell r="F1631" t="str">
            <v>DRAEGER</v>
          </cell>
          <cell r="G1631" t="str">
            <v>RESUSCITAIRE RW-82</v>
          </cell>
          <cell r="H1631" t="str">
            <v>AU 01145</v>
          </cell>
          <cell r="I1631" t="str">
            <v>ANNUALLY</v>
          </cell>
          <cell r="J1631">
            <v>45825</v>
          </cell>
          <cell r="K1631"/>
          <cell r="L1631"/>
          <cell r="M1631"/>
          <cell r="N1631" t="str">
            <v>JABATAN PEDIATRIK</v>
          </cell>
          <cell r="O1631" t="str">
            <v>Unit Rawatan Rapi Neonatal (NICU)</v>
          </cell>
        </row>
        <row r="1632">
          <cell r="D1632" t="str">
            <v>KKM/JKN/HSA/10-05-01/H/15/1592</v>
          </cell>
          <cell r="E1632" t="str">
            <v>INFANT WARMER (RADIANT)</v>
          </cell>
          <cell r="F1632" t="str">
            <v>DRAEGER</v>
          </cell>
          <cell r="G1632" t="str">
            <v>RESUSCITAIRE RW-82</v>
          </cell>
          <cell r="H1632" t="str">
            <v>AU 01157</v>
          </cell>
          <cell r="I1632" t="str">
            <v>ANNUALLY</v>
          </cell>
          <cell r="J1632">
            <v>45698</v>
          </cell>
          <cell r="K1632"/>
          <cell r="L1632"/>
          <cell r="M1632"/>
          <cell r="N1632" t="str">
            <v>JABATAN PEDIATRIK</v>
          </cell>
          <cell r="O1632" t="str">
            <v>Unit Rawatan Rapi Neonatal (NICU)</v>
          </cell>
        </row>
        <row r="1633">
          <cell r="D1633" t="str">
            <v>KKM/JKN/HSA/10-05-01/H/15/1593</v>
          </cell>
          <cell r="E1633" t="str">
            <v>INFANT WARMER (RADIANT)</v>
          </cell>
          <cell r="F1633" t="str">
            <v>DRAEGER</v>
          </cell>
          <cell r="G1633" t="str">
            <v>RESUSCITAIRE RW-82</v>
          </cell>
          <cell r="H1633" t="str">
            <v>AU 01147</v>
          </cell>
          <cell r="I1633" t="str">
            <v>ANNUALLY</v>
          </cell>
          <cell r="J1633">
            <v>45698</v>
          </cell>
          <cell r="K1633"/>
          <cell r="L1633"/>
          <cell r="M1633"/>
          <cell r="N1633" t="str">
            <v>JABATAN PEDIATRIK</v>
          </cell>
          <cell r="O1633" t="str">
            <v>Unit Rawatan Rapi Neonatal (NICU)</v>
          </cell>
        </row>
        <row r="1634">
          <cell r="D1634" t="str">
            <v>KKM/JKN/HSA/10-05-01/H/15/1594</v>
          </cell>
          <cell r="E1634" t="str">
            <v>INFANT WARMER (RADIANT)</v>
          </cell>
          <cell r="F1634" t="str">
            <v>DRAEGER</v>
          </cell>
          <cell r="G1634" t="str">
            <v>RESUSCITAIRE RW-82</v>
          </cell>
          <cell r="H1634" t="str">
            <v>AU 11153</v>
          </cell>
          <cell r="I1634" t="str">
            <v>ANNUALLY</v>
          </cell>
          <cell r="J1634">
            <v>45698</v>
          </cell>
          <cell r="K1634"/>
          <cell r="L1634"/>
          <cell r="M1634"/>
          <cell r="N1634" t="str">
            <v>JABATAN PEDIATRIK</v>
          </cell>
          <cell r="O1634" t="str">
            <v>Unit Rawatan Rapi Neonatal (NICU)</v>
          </cell>
        </row>
        <row r="1635">
          <cell r="D1635" t="str">
            <v>KKM/JKN/HSA/10-05-01/H/15/1608</v>
          </cell>
          <cell r="E1635" t="str">
            <v>INFANT VENTILATOR</v>
          </cell>
          <cell r="F1635" t="str">
            <v>DRAEGER</v>
          </cell>
          <cell r="G1635" t="str">
            <v>BABYLOG 8000 PLUS PSV/VG</v>
          </cell>
          <cell r="H1635" t="str">
            <v>ASHC0030</v>
          </cell>
          <cell r="I1635" t="str">
            <v>SEMI ANNUALLY</v>
          </cell>
          <cell r="J1635">
            <v>45782</v>
          </cell>
          <cell r="K1635">
            <v>45965</v>
          </cell>
          <cell r="L1635"/>
          <cell r="M1635"/>
          <cell r="N1635" t="str">
            <v>JABATAN PEDIATRIK</v>
          </cell>
          <cell r="O1635" t="str">
            <v>Unit Rawatan Rapi Neonatal (NICU)</v>
          </cell>
        </row>
        <row r="1636">
          <cell r="D1636" t="str">
            <v>KKM/JKN/HSA/10-05-01/H/15/1609</v>
          </cell>
          <cell r="E1636" t="str">
            <v>INFANT VENTILATOR</v>
          </cell>
          <cell r="F1636" t="str">
            <v>DRAEGER</v>
          </cell>
          <cell r="G1636" t="str">
            <v>BABYLOG 8000 PLUS PSV/VG</v>
          </cell>
          <cell r="H1636" t="str">
            <v>ASEJ0077</v>
          </cell>
          <cell r="I1636" t="str">
            <v>SEMI ANNUALLY</v>
          </cell>
          <cell r="J1636">
            <v>46044</v>
          </cell>
          <cell r="K1636">
            <v>46224</v>
          </cell>
          <cell r="L1636"/>
          <cell r="M1636"/>
          <cell r="N1636" t="str">
            <v>JABATAN PEDIATRIK</v>
          </cell>
          <cell r="O1636" t="str">
            <v>Unit Rawatan Rapi Neonatal (NICU)</v>
          </cell>
        </row>
        <row r="1637">
          <cell r="D1637" t="str">
            <v>KKM/JKN/HSA/10-05-01/H/15/1610</v>
          </cell>
          <cell r="E1637" t="str">
            <v>INFANT VENTILATOR</v>
          </cell>
          <cell r="F1637" t="str">
            <v>DRAEGER</v>
          </cell>
          <cell r="G1637" t="str">
            <v>BABYLOG 8000 PLUS PSV/VG</v>
          </cell>
          <cell r="H1637" t="str">
            <v>AHSC0031</v>
          </cell>
          <cell r="I1637" t="str">
            <v>SEMI ANNUALLY</v>
          </cell>
          <cell r="J1637">
            <v>45826</v>
          </cell>
          <cell r="K1637">
            <v>46008</v>
          </cell>
          <cell r="L1637"/>
          <cell r="M1637"/>
          <cell r="N1637" t="str">
            <v>JABATAN PEDIATRIK</v>
          </cell>
          <cell r="O1637" t="str">
            <v>Unit Rawatan Rapi Neonatal (NICU)</v>
          </cell>
        </row>
        <row r="1638">
          <cell r="D1638" t="str">
            <v>KKM/JKN/HSA/10-05-01/H/15/1611</v>
          </cell>
          <cell r="E1638" t="str">
            <v>INFANT VENTILATOR</v>
          </cell>
          <cell r="F1638" t="str">
            <v>DRAEGER</v>
          </cell>
          <cell r="G1638" t="str">
            <v>BABYLOG 8000 PLUS PSV/VG</v>
          </cell>
          <cell r="H1638" t="str">
            <v>ASHC0028</v>
          </cell>
          <cell r="I1638" t="str">
            <v>SEMI ANNUALLY</v>
          </cell>
          <cell r="J1638">
            <v>46044</v>
          </cell>
          <cell r="K1638">
            <v>46224</v>
          </cell>
          <cell r="L1638"/>
          <cell r="M1638"/>
          <cell r="N1638" t="str">
            <v>JABATAN PEDIATRIK</v>
          </cell>
          <cell r="O1638" t="str">
            <v>Unit Rawatan Rapi Neonatal (NICU)</v>
          </cell>
        </row>
        <row r="1639">
          <cell r="D1639" t="str">
            <v>KKM/JKN/HSA/10-05-01/H/15/1612</v>
          </cell>
          <cell r="E1639" t="str">
            <v>INFANT VENTILATOR</v>
          </cell>
          <cell r="F1639" t="str">
            <v>LEONI MOBILE</v>
          </cell>
          <cell r="G1639" t="str">
            <v>C-PAP NASAL</v>
          </cell>
          <cell r="H1639" t="str">
            <v>0217510HUL2100052</v>
          </cell>
          <cell r="I1639" t="str">
            <v>SEMI ANNUALLY</v>
          </cell>
          <cell r="J1639">
            <v>45798</v>
          </cell>
          <cell r="K1639">
            <v>45981</v>
          </cell>
          <cell r="L1639"/>
          <cell r="M1639"/>
          <cell r="N1639" t="str">
            <v>JABATAN PEDIATRIK</v>
          </cell>
          <cell r="O1639" t="str">
            <v>Unit Rawatan Rapi Neonatal (NICU)</v>
          </cell>
        </row>
        <row r="1640">
          <cell r="D1640" t="str">
            <v>KKM/JKN/HSA/10-05-01/H/15/1613</v>
          </cell>
          <cell r="E1640" t="str">
            <v>INFANT VENTILATOR</v>
          </cell>
          <cell r="F1640" t="str">
            <v>LEONI MOBILE</v>
          </cell>
          <cell r="G1640" t="str">
            <v>C-PAP NASAL</v>
          </cell>
          <cell r="H1640" t="str">
            <v>0217510HUL2210123</v>
          </cell>
          <cell r="I1640" t="str">
            <v>SEMI ANNUALLY</v>
          </cell>
          <cell r="J1640">
            <v>45798</v>
          </cell>
          <cell r="K1640">
            <v>45981</v>
          </cell>
          <cell r="L1640"/>
          <cell r="M1640"/>
          <cell r="N1640" t="str">
            <v>JABATAN PEDIATRIK</v>
          </cell>
          <cell r="O1640" t="str">
            <v>Unit Rawatan Rapi Neonatal (NICU)</v>
          </cell>
        </row>
        <row r="1641">
          <cell r="D1641" t="str">
            <v>KKM/JKN/HSA/10-05-01/H/15/1615</v>
          </cell>
          <cell r="E1641" t="str">
            <v>INFANT VENTILATOR</v>
          </cell>
          <cell r="F1641" t="str">
            <v>LEONI MOBILE</v>
          </cell>
          <cell r="G1641" t="str">
            <v>C-PAP NASAL</v>
          </cell>
          <cell r="H1641" t="str">
            <v>0217510HUL2210120</v>
          </cell>
          <cell r="I1641" t="str">
            <v>SEMI ANNUALLY</v>
          </cell>
          <cell r="J1641">
            <v>45798</v>
          </cell>
          <cell r="K1641">
            <v>45981</v>
          </cell>
          <cell r="L1641"/>
          <cell r="M1641"/>
          <cell r="N1641" t="str">
            <v>JABATAN PEDIATRIK</v>
          </cell>
          <cell r="O1641" t="str">
            <v>Unit Rawatan Rapi Neonatal (NICU)</v>
          </cell>
        </row>
        <row r="1642">
          <cell r="D1642" t="str">
            <v>KKM/JKN/HSA/10-05-01/H/15/1616</v>
          </cell>
          <cell r="E1642" t="str">
            <v>INFANT VENTILATOR</v>
          </cell>
          <cell r="F1642" t="str">
            <v>DRAEGER</v>
          </cell>
          <cell r="G1642" t="str">
            <v>BABYLOG 800 PLUS PSV/VG/HFV</v>
          </cell>
          <cell r="H1642" t="str">
            <v>ASEJ0081</v>
          </cell>
          <cell r="I1642" t="str">
            <v>SEMI ANNUALLY</v>
          </cell>
          <cell r="J1642">
            <v>45826</v>
          </cell>
          <cell r="K1642">
            <v>46008</v>
          </cell>
          <cell r="L1642"/>
          <cell r="M1642"/>
          <cell r="N1642" t="str">
            <v>JABATAN PEDIATRIK</v>
          </cell>
          <cell r="O1642" t="str">
            <v>Unit Rawatan Rapi Neonatal (NICU)</v>
          </cell>
        </row>
        <row r="1643">
          <cell r="D1643" t="str">
            <v>KKM/JKN/HSA/10-05-01/H/15/1617</v>
          </cell>
          <cell r="E1643" t="str">
            <v>INFANT VENTILATOR</v>
          </cell>
          <cell r="F1643" t="str">
            <v>DRAEGER</v>
          </cell>
          <cell r="G1643" t="str">
            <v>BABYLOG 800 PLUS PSV/VG/HFV</v>
          </cell>
          <cell r="H1643" t="str">
            <v>ASEJ0080</v>
          </cell>
          <cell r="I1643" t="str">
            <v>SEMI ANNUALLY</v>
          </cell>
          <cell r="J1643">
            <v>45826</v>
          </cell>
          <cell r="K1643">
            <v>46008</v>
          </cell>
          <cell r="L1643"/>
          <cell r="M1643"/>
          <cell r="N1643" t="str">
            <v>JABATAN PEDIATRIK</v>
          </cell>
          <cell r="O1643" t="str">
            <v>Unit Rawatan Rapi Neonatal (NICU)</v>
          </cell>
        </row>
        <row r="1644">
          <cell r="D1644" t="str">
            <v>KKM/JKN/HSA/10-05-01/H/15/1618</v>
          </cell>
          <cell r="E1644" t="str">
            <v>INFANT VENTILATOR</v>
          </cell>
          <cell r="F1644" t="str">
            <v>DRAEGER</v>
          </cell>
          <cell r="G1644" t="str">
            <v>BABYLOG 800 PLUS PSV/VG/HFV</v>
          </cell>
          <cell r="H1644" t="str">
            <v>ASEJ0079</v>
          </cell>
          <cell r="I1644" t="str">
            <v>SEMI ANNUALLY</v>
          </cell>
          <cell r="J1644">
            <v>45826</v>
          </cell>
          <cell r="K1644">
            <v>46008</v>
          </cell>
          <cell r="L1644"/>
          <cell r="M1644"/>
          <cell r="N1644" t="str">
            <v>JABATAN PEDIATRIK</v>
          </cell>
          <cell r="O1644" t="str">
            <v>Unit Rawatan Rapi Neonatal (NICU)</v>
          </cell>
        </row>
        <row r="1645">
          <cell r="D1645" t="str">
            <v>KKM/JKN/HSA/10-05-01/H/15/1622</v>
          </cell>
          <cell r="E1645" t="str">
            <v>INFANT VENTILATOR (HIGH FREQUENCY)</v>
          </cell>
          <cell r="F1645" t="str">
            <v>SENSORMEDIC</v>
          </cell>
          <cell r="G1645" t="str">
            <v>3100A</v>
          </cell>
          <cell r="H1645" t="str">
            <v>BEW01524</v>
          </cell>
          <cell r="I1645" t="str">
            <v>SEMI ANNUALLY</v>
          </cell>
          <cell r="J1645">
            <v>45826</v>
          </cell>
          <cell r="K1645">
            <v>46008</v>
          </cell>
          <cell r="L1645"/>
          <cell r="M1645"/>
          <cell r="N1645" t="str">
            <v>JABATAN PEDIATRIK</v>
          </cell>
          <cell r="O1645" t="str">
            <v>Unit Rawatan Rapi Neonatal (NICU)</v>
          </cell>
        </row>
        <row r="1646">
          <cell r="D1646" t="str">
            <v>KKM/JKN/HSA/10-05-01/H/15/2464</v>
          </cell>
          <cell r="E1646" t="str">
            <v>ULTRASOUND SCANNER</v>
          </cell>
          <cell r="F1646" t="str">
            <v>SIEMENS</v>
          </cell>
          <cell r="G1646" t="str">
            <v>ACUSON X300 PE</v>
          </cell>
          <cell r="H1646" t="str">
            <v>348422</v>
          </cell>
          <cell r="I1646" t="str">
            <v>SEMI ANNUALLY</v>
          </cell>
          <cell r="J1646">
            <v>45820</v>
          </cell>
          <cell r="K1646">
            <v>46002</v>
          </cell>
          <cell r="L1646"/>
          <cell r="M1646"/>
          <cell r="N1646" t="str">
            <v>JABATAN PEDIATRIK</v>
          </cell>
          <cell r="O1646" t="str">
            <v>Unit Rawatan Rapi Neonatal (NICU)</v>
          </cell>
        </row>
        <row r="1647">
          <cell r="D1647" t="str">
            <v>KKM/JKN/HSA/10-05-01/H/15/2504</v>
          </cell>
          <cell r="E1647" t="str">
            <v>SUCTION APPARATUS</v>
          </cell>
          <cell r="F1647" t="str">
            <v>LAERDAL MEDICAL</v>
          </cell>
          <cell r="G1647" t="str">
            <v>LAERDAL MEDICAL</v>
          </cell>
          <cell r="H1647" t="str">
            <v>78051576735</v>
          </cell>
          <cell r="I1647" t="str">
            <v>ANNUALLY</v>
          </cell>
          <cell r="J1647">
            <v>45931</v>
          </cell>
          <cell r="K1647"/>
          <cell r="L1647"/>
          <cell r="M1647"/>
          <cell r="N1647" t="str">
            <v>JABATAN PEDIATRIK</v>
          </cell>
          <cell r="O1647" t="str">
            <v>Unit Rawatan Rapi Neonatal (NICU)</v>
          </cell>
        </row>
        <row r="1648">
          <cell r="D1648" t="str">
            <v>KKM/JKN/HSA/10-05-01/H/15/3627</v>
          </cell>
          <cell r="E1648" t="str">
            <v>INFANT VENTILATOR</v>
          </cell>
          <cell r="F1648" t="str">
            <v>DRAEGER</v>
          </cell>
          <cell r="G1648" t="str">
            <v>BABYLOG 8000 PLUS PSV/VG</v>
          </cell>
          <cell r="H1648" t="str">
            <v>ASEJ0078</v>
          </cell>
          <cell r="I1648" t="str">
            <v>SEMI ANNUALLY</v>
          </cell>
          <cell r="J1648">
            <v>45797</v>
          </cell>
          <cell r="K1648">
            <v>45980</v>
          </cell>
          <cell r="L1648"/>
          <cell r="M1648"/>
          <cell r="N1648" t="str">
            <v>JABATAN PEDIATRIK</v>
          </cell>
          <cell r="O1648" t="str">
            <v>Unit Rawatan Rapi Neonatal (NICU)</v>
          </cell>
        </row>
        <row r="1649">
          <cell r="D1649" t="str">
            <v>KKM/JKN/HSA/10-05-01/H/15/3628</v>
          </cell>
          <cell r="E1649" t="str">
            <v>INFANT VENTILATOR</v>
          </cell>
          <cell r="F1649" t="str">
            <v>DRAEGER</v>
          </cell>
          <cell r="G1649" t="str">
            <v>BABYLOG 8000 PLUS PSV/VG</v>
          </cell>
          <cell r="H1649" t="str">
            <v>ASEJ0076</v>
          </cell>
          <cell r="I1649" t="str">
            <v>SEMI ANNUALLY</v>
          </cell>
          <cell r="J1649">
            <v>45797</v>
          </cell>
          <cell r="K1649">
            <v>45980</v>
          </cell>
          <cell r="L1649"/>
          <cell r="M1649"/>
          <cell r="N1649" t="str">
            <v>JABATAN PEDIATRIK</v>
          </cell>
          <cell r="O1649" t="str">
            <v>Unit Rawatan Rapi Neonatal (NICU)</v>
          </cell>
        </row>
        <row r="1650">
          <cell r="D1650" t="str">
            <v>KKM/JKN/HSA/10-05-01/H/15/3629</v>
          </cell>
          <cell r="E1650" t="str">
            <v>INFANT VENTILATOR</v>
          </cell>
          <cell r="F1650" t="str">
            <v>DRAEGER</v>
          </cell>
          <cell r="G1650" t="str">
            <v>BABYLOG 8000 PLUS PSV/VG</v>
          </cell>
          <cell r="H1650" t="str">
            <v>ASHC0032</v>
          </cell>
          <cell r="I1650" t="str">
            <v>SEMI ANNUALLY</v>
          </cell>
          <cell r="J1650">
            <v>45797</v>
          </cell>
          <cell r="K1650">
            <v>45980</v>
          </cell>
          <cell r="L1650"/>
          <cell r="M1650"/>
          <cell r="N1650" t="str">
            <v>JABATAN PEDIATRIK</v>
          </cell>
          <cell r="O1650" t="str">
            <v>Unit Rawatan Rapi Neonatal (NICU)</v>
          </cell>
        </row>
        <row r="1651">
          <cell r="D1651" t="str">
            <v>KKM/JKN/HSA/10-05-01/H/15/3630</v>
          </cell>
          <cell r="E1651" t="str">
            <v>INFANT VENTILATOR</v>
          </cell>
          <cell r="F1651" t="str">
            <v>DRAEGER</v>
          </cell>
          <cell r="G1651" t="str">
            <v>BABYLOG 8000 PLUS PSV/VG</v>
          </cell>
          <cell r="H1651" t="str">
            <v>ASHC0029</v>
          </cell>
          <cell r="I1651" t="str">
            <v>SEMI ANNUALLY</v>
          </cell>
          <cell r="J1651">
            <v>45797</v>
          </cell>
          <cell r="K1651">
            <v>45980</v>
          </cell>
          <cell r="L1651"/>
          <cell r="M1651"/>
          <cell r="N1651" t="str">
            <v>JABATAN PEDIATRIK</v>
          </cell>
          <cell r="O1651" t="str">
            <v>Unit Rawatan Rapi Neonatal (NICU)</v>
          </cell>
        </row>
        <row r="1652">
          <cell r="D1652" t="str">
            <v>KKM/JKN/HSA/10-05-01/H/15/3885</v>
          </cell>
          <cell r="E1652" t="str">
            <v>SYRINGE INFUSION PUMP</v>
          </cell>
          <cell r="F1652" t="str">
            <v>FRESENIUS KABI</v>
          </cell>
          <cell r="G1652" t="str">
            <v>INJECTOMAT MC AGILIA</v>
          </cell>
          <cell r="H1652" t="str">
            <v>N/A</v>
          </cell>
          <cell r="I1652" t="str">
            <v>ANNUALLY</v>
          </cell>
          <cell r="J1652">
            <v>45733</v>
          </cell>
          <cell r="K1652"/>
          <cell r="L1652"/>
          <cell r="M1652"/>
          <cell r="N1652" t="str">
            <v>JABATAN PEDIATRIK</v>
          </cell>
          <cell r="O1652" t="str">
            <v>Unit Rawatan Rapi Neonatal (NICU)</v>
          </cell>
        </row>
        <row r="1653">
          <cell r="D1653" t="str">
            <v>KKM/JKN/HSA/10-05-01/H/15/3886</v>
          </cell>
          <cell r="E1653" t="str">
            <v>SYRINGE INFUSION PUMP</v>
          </cell>
          <cell r="F1653" t="str">
            <v>FRESENIUS KABI</v>
          </cell>
          <cell r="G1653" t="str">
            <v>INJECTOMAT MC AGILIA</v>
          </cell>
          <cell r="H1653" t="str">
            <v>018130/22233767</v>
          </cell>
          <cell r="I1653" t="str">
            <v>ANNUALLY</v>
          </cell>
          <cell r="J1653">
            <v>45726</v>
          </cell>
          <cell r="K1653"/>
          <cell r="L1653"/>
          <cell r="M1653"/>
          <cell r="N1653" t="str">
            <v>JABATAN PEDIATRIK</v>
          </cell>
          <cell r="O1653" t="str">
            <v>Unit Rawatan Rapi Neonatal (NICU)</v>
          </cell>
        </row>
        <row r="1654">
          <cell r="D1654" t="str">
            <v>KKM/JKN/HSA/10-05-01/H/15/3887</v>
          </cell>
          <cell r="E1654" t="str">
            <v>SYRINGE INFUSION PUMP</v>
          </cell>
          <cell r="F1654" t="str">
            <v>FRESENIUS KABI</v>
          </cell>
          <cell r="G1654" t="str">
            <v>INJECTOMAT MC AGILIA</v>
          </cell>
          <cell r="H1654" t="str">
            <v>018130/22231730</v>
          </cell>
          <cell r="I1654" t="str">
            <v>ANNUALLY</v>
          </cell>
          <cell r="J1654">
            <v>45726</v>
          </cell>
          <cell r="K1654"/>
          <cell r="L1654"/>
          <cell r="M1654"/>
          <cell r="N1654" t="str">
            <v>JABATAN PEDIATRIK</v>
          </cell>
          <cell r="O1654" t="str">
            <v>Unit Rawatan Rapi Neonatal (NICU)</v>
          </cell>
        </row>
        <row r="1655">
          <cell r="D1655" t="str">
            <v>KKM/JKN/HSA/10-05-01/H/15/3888</v>
          </cell>
          <cell r="E1655" t="str">
            <v>SYRINGE INFUSION PUMP</v>
          </cell>
          <cell r="F1655" t="str">
            <v>FRESENIUS KABI</v>
          </cell>
          <cell r="G1655" t="str">
            <v>INJECTOMAT MC AGILIA</v>
          </cell>
          <cell r="H1655" t="str">
            <v>22233789</v>
          </cell>
          <cell r="I1655" t="str">
            <v>ANNUALLY</v>
          </cell>
          <cell r="J1655">
            <v>45726</v>
          </cell>
          <cell r="K1655"/>
          <cell r="L1655"/>
          <cell r="M1655"/>
          <cell r="N1655" t="str">
            <v>JABATAN PEDIATRIK</v>
          </cell>
          <cell r="O1655" t="str">
            <v>Unit Rawatan Rapi Neonatal (NICU)</v>
          </cell>
        </row>
        <row r="1656">
          <cell r="D1656" t="str">
            <v>KKM/JKN/HSA/10-05-01/H/15/4058</v>
          </cell>
          <cell r="E1656" t="str">
            <v>PULSE OXIMETER AND SIMULATOR</v>
          </cell>
          <cell r="F1656" t="str">
            <v>GE HEALTHCARE</v>
          </cell>
          <cell r="G1656" t="str">
            <v>TRUST PULSE OXIMETER</v>
          </cell>
          <cell r="H1656" t="str">
            <v>N/A</v>
          </cell>
          <cell r="I1656" t="str">
            <v>ANNUALLY</v>
          </cell>
          <cell r="J1656">
            <v>45707</v>
          </cell>
          <cell r="K1656"/>
          <cell r="L1656"/>
          <cell r="M1656"/>
          <cell r="N1656" t="str">
            <v>JABATAN PEDIATRIK</v>
          </cell>
          <cell r="O1656" t="str">
            <v>Unit Rawatan Rapi Neonatal (NICU)</v>
          </cell>
        </row>
        <row r="1657">
          <cell r="D1657" t="str">
            <v>KKM/JKN/HSA/10-05-01/H/15/4205</v>
          </cell>
          <cell r="E1657" t="str">
            <v>PATIENT MONITORING EQUIP.(AUTOMATIC MULTIPARAMETER)</v>
          </cell>
          <cell r="F1657" t="str">
            <v>MINDRAY</v>
          </cell>
          <cell r="G1657" t="str">
            <v>BENEVIEW T8/T1</v>
          </cell>
          <cell r="H1657" t="str">
            <v>CF-45122769</v>
          </cell>
          <cell r="I1657" t="str">
            <v>ANNUALLY</v>
          </cell>
          <cell r="J1657">
            <v>45845</v>
          </cell>
          <cell r="K1657"/>
          <cell r="L1657"/>
          <cell r="M1657"/>
          <cell r="N1657" t="str">
            <v>JABATAN PEDIATRIK</v>
          </cell>
          <cell r="O1657" t="str">
            <v>Unit Rawatan Rapi Neonatal (NICU)</v>
          </cell>
        </row>
        <row r="1658">
          <cell r="D1658" t="str">
            <v>KKM/JKN/HSA/10-05-01/H/15/4206</v>
          </cell>
          <cell r="E1658" t="str">
            <v>PATIENT MONITORING EQUIP.(AUTOMATIC MULTIPARAMETER)</v>
          </cell>
          <cell r="F1658" t="str">
            <v>MINDRAY</v>
          </cell>
          <cell r="G1658" t="str">
            <v>BENEVIEW T8/T1</v>
          </cell>
          <cell r="H1658" t="str">
            <v>CF-45122770</v>
          </cell>
          <cell r="I1658" t="str">
            <v>ANNUALLY</v>
          </cell>
          <cell r="J1658">
            <v>45852</v>
          </cell>
          <cell r="K1658"/>
          <cell r="L1658"/>
          <cell r="M1658"/>
          <cell r="N1658" t="str">
            <v>JABATAN PEDIATRIK</v>
          </cell>
          <cell r="O1658" t="str">
            <v>Unit Rawatan Rapi Neonatal (NICU)</v>
          </cell>
        </row>
        <row r="1659">
          <cell r="D1659" t="str">
            <v>KKM/JKN/HSA/10-05-01/H/15/4234</v>
          </cell>
          <cell r="E1659" t="str">
            <v>PUMP BREAST ELECTRIC</v>
          </cell>
          <cell r="F1659" t="str">
            <v>MEDELA</v>
          </cell>
          <cell r="G1659" t="str">
            <v>MEDELA LACTINA ELECTRIC PLUS</v>
          </cell>
          <cell r="H1659" t="str">
            <v>702322</v>
          </cell>
          <cell r="I1659" t="str">
            <v>ANNUALLY</v>
          </cell>
          <cell r="J1659">
            <v>46036</v>
          </cell>
          <cell r="K1659"/>
          <cell r="L1659"/>
          <cell r="M1659"/>
          <cell r="N1659" t="str">
            <v>JABATAN PEDIATRIK</v>
          </cell>
          <cell r="O1659" t="str">
            <v>Unit Rawatan Rapi Neonatal (NICU)</v>
          </cell>
        </row>
        <row r="1660">
          <cell r="D1660" t="str">
            <v>KKM/JKN/HSA/10-05-01/H/15/4235</v>
          </cell>
          <cell r="E1660" t="str">
            <v>PUMP BREAST ELECTRIC</v>
          </cell>
          <cell r="F1660" t="str">
            <v>MEDELA</v>
          </cell>
          <cell r="G1660" t="str">
            <v>MEDELA LACTINA ELECTRIC PLUS</v>
          </cell>
          <cell r="H1660" t="str">
            <v>707254</v>
          </cell>
          <cell r="I1660" t="str">
            <v>ANNUALLY</v>
          </cell>
          <cell r="J1660">
            <v>46036</v>
          </cell>
          <cell r="K1660"/>
          <cell r="L1660"/>
          <cell r="M1660"/>
          <cell r="N1660" t="str">
            <v>JABATAN PEDIATRIK</v>
          </cell>
          <cell r="O1660" t="str">
            <v>Unit Rawatan Rapi Neonatal (NICU)</v>
          </cell>
        </row>
        <row r="1661">
          <cell r="D1661" t="str">
            <v>KKM/JKN/HSA/10-05-01/H/15/428</v>
          </cell>
          <cell r="E1661" t="str">
            <v>DIAGNOSTIC SET</v>
          </cell>
          <cell r="F1661" t="str">
            <v>RUDOLF RIESTER, GMBH</v>
          </cell>
          <cell r="G1661" t="str">
            <v>RI-SCOPE DE LUXE 3772</v>
          </cell>
          <cell r="H1661" t="str">
            <v>N/A</v>
          </cell>
          <cell r="I1661" t="str">
            <v>ANNUALLY</v>
          </cell>
          <cell r="J1661">
            <v>45796</v>
          </cell>
          <cell r="K1661"/>
          <cell r="L1661"/>
          <cell r="M1661"/>
          <cell r="N1661" t="str">
            <v>JABATAN PEDIATRIK</v>
          </cell>
          <cell r="O1661" t="str">
            <v>Unit Rawatan Rapi Neonatal (NICU)</v>
          </cell>
        </row>
        <row r="1662">
          <cell r="D1662" t="str">
            <v>KKM/JKN/HSA/10-05-01/H/15/429</v>
          </cell>
          <cell r="E1662" t="str">
            <v>DIAGNOSTIC SET</v>
          </cell>
          <cell r="F1662" t="str">
            <v>RUDOLF RIESTER, GMBH</v>
          </cell>
          <cell r="G1662" t="str">
            <v>RI-SCOPE DE LUXE 3772</v>
          </cell>
          <cell r="H1662" t="str">
            <v>N/A</v>
          </cell>
          <cell r="I1662" t="str">
            <v>ANNUALLY</v>
          </cell>
          <cell r="J1662">
            <v>45796</v>
          </cell>
          <cell r="K1662"/>
          <cell r="L1662"/>
          <cell r="M1662"/>
          <cell r="N1662" t="str">
            <v>JABATAN PEDIATRIK</v>
          </cell>
          <cell r="O1662" t="str">
            <v>Unit Rawatan Rapi Neonatal (NICU)</v>
          </cell>
        </row>
        <row r="1663">
          <cell r="D1663" t="str">
            <v>KKM/JKN/HSA/10-05-01/H/15/430</v>
          </cell>
          <cell r="E1663" t="str">
            <v>DIAGNOSTIC SET</v>
          </cell>
          <cell r="F1663" t="str">
            <v>RUDOLF RIESTER, GMBH</v>
          </cell>
          <cell r="G1663" t="str">
            <v>RI-SCOPE DE LUXE 3772</v>
          </cell>
          <cell r="H1663" t="str">
            <v>N/A</v>
          </cell>
          <cell r="I1663" t="str">
            <v>ANNUALLY</v>
          </cell>
          <cell r="J1663">
            <v>45785</v>
          </cell>
          <cell r="K1663"/>
          <cell r="L1663"/>
          <cell r="M1663"/>
          <cell r="N1663" t="str">
            <v>JABATAN PEDIATRIK</v>
          </cell>
          <cell r="O1663" t="str">
            <v>Unit Rawatan Rapi Neonatal (NICU)</v>
          </cell>
        </row>
        <row r="1664">
          <cell r="D1664" t="str">
            <v>KKM/JKN/HSA/10-05-01/H/15/431</v>
          </cell>
          <cell r="E1664" t="str">
            <v>DIAGNOSTIC SET</v>
          </cell>
          <cell r="F1664" t="str">
            <v>RUDOLF RIESTER, GMBH</v>
          </cell>
          <cell r="G1664" t="str">
            <v>RI-SCOPE DE LUXE 3772</v>
          </cell>
          <cell r="H1664" t="str">
            <v>N/A</v>
          </cell>
          <cell r="I1664" t="str">
            <v>ANNUALLY</v>
          </cell>
          <cell r="J1664">
            <v>45785</v>
          </cell>
          <cell r="K1664"/>
          <cell r="L1664"/>
          <cell r="M1664"/>
          <cell r="N1664" t="str">
            <v>JABATAN PEDIATRIK</v>
          </cell>
          <cell r="O1664" t="str">
            <v>Unit Rawatan Rapi Neonatal (NICU)</v>
          </cell>
        </row>
        <row r="1665">
          <cell r="D1665" t="str">
            <v>KKM/JKN/HSA/10-05-01/H/15/467</v>
          </cell>
          <cell r="E1665" t="str">
            <v>INFANT INCUBATOR</v>
          </cell>
          <cell r="F1665" t="str">
            <v>DRAEGER</v>
          </cell>
          <cell r="G1665" t="str">
            <v>ISOLETTE C2000</v>
          </cell>
          <cell r="H1665" t="str">
            <v>FU28873</v>
          </cell>
          <cell r="I1665" t="str">
            <v>SEMI ANNUALLY</v>
          </cell>
          <cell r="J1665">
            <v>45705</v>
          </cell>
          <cell r="K1665">
            <v>45885</v>
          </cell>
          <cell r="L1665"/>
          <cell r="M1665"/>
          <cell r="N1665" t="str">
            <v>JABATAN PEDIATRIK</v>
          </cell>
          <cell r="O1665" t="str">
            <v>Unit Rawatan Rapi Neonatal (NICU)</v>
          </cell>
        </row>
        <row r="1666">
          <cell r="D1666" t="str">
            <v>KKM/JKN/HSA/10-05-01/H/15/468</v>
          </cell>
          <cell r="E1666" t="str">
            <v>INFANT INCUBATOR</v>
          </cell>
          <cell r="F1666" t="str">
            <v>DRAEGER</v>
          </cell>
          <cell r="G1666" t="str">
            <v>ISOLETTE C2000</v>
          </cell>
          <cell r="H1666" t="str">
            <v>FU28868</v>
          </cell>
          <cell r="I1666" t="str">
            <v>SEMI ANNUALLY</v>
          </cell>
          <cell r="J1666">
            <v>45705</v>
          </cell>
          <cell r="K1666">
            <v>45885</v>
          </cell>
          <cell r="L1666"/>
          <cell r="M1666"/>
          <cell r="N1666" t="str">
            <v>JABATAN PEDIATRIK</v>
          </cell>
          <cell r="O1666" t="str">
            <v>Unit Rawatan Rapi Neonatal (NICU)</v>
          </cell>
        </row>
        <row r="1667">
          <cell r="D1667" t="str">
            <v>KKM/JKN/HSA/10-05-01/H/15/469</v>
          </cell>
          <cell r="E1667" t="str">
            <v>INFANT INCUBATOR</v>
          </cell>
          <cell r="F1667" t="str">
            <v>DRAEGER</v>
          </cell>
          <cell r="G1667" t="str">
            <v>ISOLETTE C2000</v>
          </cell>
          <cell r="H1667" t="str">
            <v>FU28864</v>
          </cell>
          <cell r="I1667" t="str">
            <v>SEMI ANNUALLY</v>
          </cell>
          <cell r="J1667">
            <v>45705</v>
          </cell>
          <cell r="K1667">
            <v>45885</v>
          </cell>
          <cell r="L1667"/>
          <cell r="M1667"/>
          <cell r="N1667" t="str">
            <v>JABATAN PEDIATRIK</v>
          </cell>
          <cell r="O1667" t="str">
            <v>Unit Rawatan Rapi Neonatal (NICU)</v>
          </cell>
        </row>
        <row r="1668">
          <cell r="D1668" t="str">
            <v>KKM/JKN/HSA/10-05-01/H/15/470</v>
          </cell>
          <cell r="E1668" t="str">
            <v>INFANT INCUBATOR</v>
          </cell>
          <cell r="F1668" t="str">
            <v>DRAEGER</v>
          </cell>
          <cell r="G1668" t="str">
            <v>ISOLETTE C2000</v>
          </cell>
          <cell r="H1668" t="str">
            <v>FU28872</v>
          </cell>
          <cell r="I1668" t="str">
            <v>SEMI ANNUALLY</v>
          </cell>
          <cell r="J1668">
            <v>45706</v>
          </cell>
          <cell r="K1668">
            <v>45886</v>
          </cell>
          <cell r="L1668"/>
          <cell r="M1668"/>
          <cell r="N1668" t="str">
            <v>JABATAN PEDIATRIK</v>
          </cell>
          <cell r="O1668" t="str">
            <v>Unit Rawatan Rapi Neonatal (NICU)</v>
          </cell>
        </row>
        <row r="1669">
          <cell r="D1669" t="str">
            <v>KKM/JKN/HSA/10-05-01/H/15/471</v>
          </cell>
          <cell r="E1669" t="str">
            <v>INFANT INCUBATOR</v>
          </cell>
          <cell r="F1669" t="str">
            <v>DRAEGER</v>
          </cell>
          <cell r="G1669" t="str">
            <v>ISOLETTE C2000</v>
          </cell>
          <cell r="H1669" t="str">
            <v>FU28865</v>
          </cell>
          <cell r="I1669" t="str">
            <v>SEMI ANNUALLY</v>
          </cell>
          <cell r="J1669">
            <v>45699</v>
          </cell>
          <cell r="K1669">
            <v>45879</v>
          </cell>
          <cell r="L1669"/>
          <cell r="M1669"/>
          <cell r="N1669" t="str">
            <v>JABATAN PEDIATRIK</v>
          </cell>
          <cell r="O1669" t="str">
            <v>Unit Rawatan Rapi Neonatal (NICU)</v>
          </cell>
        </row>
        <row r="1670">
          <cell r="D1670" t="str">
            <v>KKM/JKN/HSA/10-05-01/H/15/472</v>
          </cell>
          <cell r="E1670" t="str">
            <v>INFANT INCUBATOR</v>
          </cell>
          <cell r="F1670" t="str">
            <v>DRAEGER</v>
          </cell>
          <cell r="G1670" t="str">
            <v>ISOLETTE C2000</v>
          </cell>
          <cell r="H1670" t="str">
            <v>FU28863</v>
          </cell>
          <cell r="I1670" t="str">
            <v>SEMI ANNUALLY</v>
          </cell>
          <cell r="J1670">
            <v>45700</v>
          </cell>
          <cell r="K1670">
            <v>45880</v>
          </cell>
          <cell r="L1670"/>
          <cell r="M1670"/>
          <cell r="N1670" t="str">
            <v>JABATAN PEDIATRIK</v>
          </cell>
          <cell r="O1670" t="str">
            <v>Unit Rawatan Rapi Neonatal (NICU)</v>
          </cell>
        </row>
        <row r="1671">
          <cell r="D1671" t="str">
            <v>KKM/JKN/HSA/10-05-01/H/15/473</v>
          </cell>
          <cell r="E1671" t="str">
            <v>INFANT INCUBATOR</v>
          </cell>
          <cell r="F1671" t="str">
            <v>DRAEGER</v>
          </cell>
          <cell r="G1671" t="str">
            <v>ISOLETTE C2000</v>
          </cell>
          <cell r="H1671" t="str">
            <v>FU28856</v>
          </cell>
          <cell r="I1671" t="str">
            <v>SEMI ANNUALLY</v>
          </cell>
          <cell r="J1671">
            <v>45700</v>
          </cell>
          <cell r="K1671">
            <v>45880</v>
          </cell>
          <cell r="L1671"/>
          <cell r="M1671"/>
          <cell r="N1671" t="str">
            <v>JABATAN PEDIATRIK</v>
          </cell>
          <cell r="O1671" t="str">
            <v>Unit Rawatan Rapi Neonatal (NICU)</v>
          </cell>
        </row>
        <row r="1672">
          <cell r="D1672" t="str">
            <v>KKM/JKN/HSA/10-05-01/H/15/474</v>
          </cell>
          <cell r="E1672" t="str">
            <v>INFANT INCUBATOR</v>
          </cell>
          <cell r="F1672" t="str">
            <v>DRAEGER</v>
          </cell>
          <cell r="G1672" t="str">
            <v>ISOLETTE C2000</v>
          </cell>
          <cell r="H1672" t="str">
            <v>FU28870</v>
          </cell>
          <cell r="I1672" t="str">
            <v>SEMI ANNUALLY</v>
          </cell>
          <cell r="J1672">
            <v>45700</v>
          </cell>
          <cell r="K1672">
            <v>45880</v>
          </cell>
          <cell r="L1672"/>
          <cell r="M1672"/>
          <cell r="N1672" t="str">
            <v>JABATAN PEDIATRIK</v>
          </cell>
          <cell r="O1672" t="str">
            <v>Unit Rawatan Rapi Neonatal (NICU)</v>
          </cell>
        </row>
        <row r="1673">
          <cell r="D1673" t="str">
            <v>KKM/JKN/HSA/10-05-01/H/15/475</v>
          </cell>
          <cell r="E1673" t="str">
            <v>INFANT INCUBATOR</v>
          </cell>
          <cell r="F1673" t="str">
            <v>DRAEGER</v>
          </cell>
          <cell r="G1673" t="str">
            <v>ISOLETTE C2000</v>
          </cell>
          <cell r="H1673" t="str">
            <v>FU28861</v>
          </cell>
          <cell r="I1673" t="str">
            <v>SEMI ANNUALLY</v>
          </cell>
          <cell r="J1673">
            <v>45697</v>
          </cell>
          <cell r="K1673">
            <v>45877</v>
          </cell>
          <cell r="L1673"/>
          <cell r="M1673"/>
          <cell r="N1673" t="str">
            <v>JABATAN PEDIATRIK</v>
          </cell>
          <cell r="O1673" t="str">
            <v>Unit Rawatan Rapi Neonatal (NICU)</v>
          </cell>
        </row>
        <row r="1674">
          <cell r="D1674" t="str">
            <v>KKM/JKN/HSA/10-05-01/H/15/476</v>
          </cell>
          <cell r="E1674" t="str">
            <v>INFANT INCUBATOR</v>
          </cell>
          <cell r="F1674" t="str">
            <v>DRAEGER</v>
          </cell>
          <cell r="G1674" t="str">
            <v>ISOLETTE C2000</v>
          </cell>
          <cell r="H1674" t="str">
            <v>FU28859</v>
          </cell>
          <cell r="I1674" t="str">
            <v>SEMI ANNUALLY</v>
          </cell>
          <cell r="J1674">
            <v>45697</v>
          </cell>
          <cell r="K1674">
            <v>45877</v>
          </cell>
          <cell r="L1674"/>
          <cell r="M1674"/>
          <cell r="N1674" t="str">
            <v>JABATAN PEDIATRIK</v>
          </cell>
          <cell r="O1674" t="str">
            <v>Unit Rawatan Rapi Neonatal (NICU)</v>
          </cell>
        </row>
        <row r="1675">
          <cell r="D1675" t="str">
            <v>KKM/JKN/HSA/10-05-01/H/15/477</v>
          </cell>
          <cell r="E1675" t="str">
            <v>INFANT INCUBATOR</v>
          </cell>
          <cell r="F1675" t="str">
            <v>DRAEGER</v>
          </cell>
          <cell r="G1675" t="str">
            <v>ISOLETTE C2000</v>
          </cell>
          <cell r="H1675" t="str">
            <v>FU28860</v>
          </cell>
          <cell r="I1675" t="str">
            <v>SEMI ANNUALLY</v>
          </cell>
          <cell r="J1675">
            <v>45698</v>
          </cell>
          <cell r="K1675">
            <v>45878</v>
          </cell>
          <cell r="L1675"/>
          <cell r="M1675"/>
          <cell r="N1675" t="str">
            <v>JABATAN PEDIATRIK</v>
          </cell>
          <cell r="O1675" t="str">
            <v>Unit Rawatan Rapi Neonatal (NICU)</v>
          </cell>
        </row>
        <row r="1676">
          <cell r="D1676" t="str">
            <v>KKM/JKN/HSA/10-05-01/H/15/478</v>
          </cell>
          <cell r="E1676" t="str">
            <v>INFANT INCUBATOR</v>
          </cell>
          <cell r="F1676" t="str">
            <v>DRAEGER</v>
          </cell>
          <cell r="G1676" t="str">
            <v>ISOLETTE C2000</v>
          </cell>
          <cell r="H1676" t="str">
            <v>FU28866</v>
          </cell>
          <cell r="I1676" t="str">
            <v>SEMI ANNUALLY</v>
          </cell>
          <cell r="J1676">
            <v>45698</v>
          </cell>
          <cell r="K1676">
            <v>45878</v>
          </cell>
          <cell r="L1676"/>
          <cell r="M1676"/>
          <cell r="N1676" t="str">
            <v>JABATAN PEDIATRIK</v>
          </cell>
          <cell r="O1676" t="str">
            <v>Unit Rawatan Rapi Neonatal (NICU)</v>
          </cell>
        </row>
        <row r="1677">
          <cell r="D1677" t="str">
            <v>KKM/JKN/HSA/10-05-01/H/15/479</v>
          </cell>
          <cell r="E1677" t="str">
            <v>INFANT INCUBATOR</v>
          </cell>
          <cell r="F1677" t="str">
            <v>DRAEGER</v>
          </cell>
          <cell r="G1677" t="str">
            <v>ISOLETTE C2000</v>
          </cell>
          <cell r="H1677" t="str">
            <v>FU28869</v>
          </cell>
          <cell r="I1677" t="str">
            <v>SEMI ANNUALLY</v>
          </cell>
          <cell r="J1677">
            <v>45698</v>
          </cell>
          <cell r="K1677">
            <v>45878</v>
          </cell>
          <cell r="L1677"/>
          <cell r="M1677"/>
          <cell r="N1677" t="str">
            <v>JABATAN PEDIATRIK</v>
          </cell>
          <cell r="O1677" t="str">
            <v>Unit Rawatan Rapi Neonatal (NICU)</v>
          </cell>
        </row>
        <row r="1678">
          <cell r="D1678" t="str">
            <v>KKM/JKN/HSA/10-05-01/H/15/480</v>
          </cell>
          <cell r="E1678" t="str">
            <v>INFANT INCUBATOR</v>
          </cell>
          <cell r="F1678" t="str">
            <v>DRAEGER</v>
          </cell>
          <cell r="G1678" t="str">
            <v>ISOLETTE C2000</v>
          </cell>
          <cell r="H1678" t="str">
            <v>FU28871</v>
          </cell>
          <cell r="I1678" t="str">
            <v>SEMI ANNUALLY</v>
          </cell>
          <cell r="J1678">
            <v>45699</v>
          </cell>
          <cell r="K1678">
            <v>45879</v>
          </cell>
          <cell r="L1678"/>
          <cell r="M1678"/>
          <cell r="N1678" t="str">
            <v>JABATAN PEDIATRIK</v>
          </cell>
          <cell r="O1678" t="str">
            <v>Unit Rawatan Rapi Neonatal (NICU)</v>
          </cell>
        </row>
        <row r="1679">
          <cell r="D1679" t="str">
            <v>KKM/JKN/HSA/10-05-01/H/15/481</v>
          </cell>
          <cell r="E1679" t="str">
            <v>INFANT INCUBATOR</v>
          </cell>
          <cell r="F1679" t="str">
            <v>DRAEGER</v>
          </cell>
          <cell r="G1679" t="str">
            <v>ISOLETTE C2000</v>
          </cell>
          <cell r="H1679" t="str">
            <v>FU28867</v>
          </cell>
          <cell r="I1679" t="str">
            <v>SEMI ANNUALLY</v>
          </cell>
          <cell r="J1679">
            <v>45699</v>
          </cell>
          <cell r="K1679">
            <v>45879</v>
          </cell>
          <cell r="L1679"/>
          <cell r="M1679"/>
          <cell r="N1679" t="str">
            <v>JABATAN PEDIATRIK</v>
          </cell>
          <cell r="O1679" t="str">
            <v>Unit Rawatan Rapi Neonatal (NICU)</v>
          </cell>
        </row>
        <row r="1680">
          <cell r="D1680" t="str">
            <v>KKM/JKN/HSA/10-05-01/H/15/482</v>
          </cell>
          <cell r="E1680" t="str">
            <v>INFANT INCUBATOR</v>
          </cell>
          <cell r="F1680" t="str">
            <v>DRAEGER</v>
          </cell>
          <cell r="G1680" t="str">
            <v>ISOLETTE C2000</v>
          </cell>
          <cell r="H1680" t="str">
            <v>FU28862</v>
          </cell>
          <cell r="I1680" t="str">
            <v>SEMI ANNUALLY</v>
          </cell>
          <cell r="J1680">
            <v>45690</v>
          </cell>
          <cell r="K1680">
            <v>45870</v>
          </cell>
          <cell r="L1680"/>
          <cell r="M1680"/>
          <cell r="N1680" t="str">
            <v>JABATAN PEDIATRIK</v>
          </cell>
          <cell r="O1680" t="str">
            <v>Unit Rawatan Rapi Neonatal (NICU)</v>
          </cell>
        </row>
        <row r="1681">
          <cell r="D1681" t="str">
            <v>KKM/JKN/HSA/10-05-01/H/15/483</v>
          </cell>
          <cell r="E1681" t="str">
            <v>INFANT INCUBATOR</v>
          </cell>
          <cell r="F1681" t="str">
            <v>DRAEGER</v>
          </cell>
          <cell r="G1681" t="str">
            <v>ISOLETTE C2000</v>
          </cell>
          <cell r="H1681" t="str">
            <v>FU28858</v>
          </cell>
          <cell r="I1681" t="str">
            <v>SEMI ANNUALLY</v>
          </cell>
          <cell r="J1681">
            <v>45690</v>
          </cell>
          <cell r="K1681">
            <v>45870</v>
          </cell>
          <cell r="L1681"/>
          <cell r="M1681"/>
          <cell r="N1681" t="str">
            <v>JABATAN PEDIATRIK</v>
          </cell>
          <cell r="O1681" t="str">
            <v>Unit Rawatan Rapi Neonatal (NICU)</v>
          </cell>
        </row>
        <row r="1682">
          <cell r="D1682" t="str">
            <v>KKM/JKN/HSA/10-05-01/H/15/484</v>
          </cell>
          <cell r="E1682" t="str">
            <v>INFANT INCUBATOR</v>
          </cell>
          <cell r="F1682" t="str">
            <v>DRAEGER</v>
          </cell>
          <cell r="G1682" t="str">
            <v>ISOLETTE C2000</v>
          </cell>
          <cell r="H1682" t="str">
            <v>FU28857</v>
          </cell>
          <cell r="I1682" t="str">
            <v>SEMI ANNUALLY</v>
          </cell>
          <cell r="J1682">
            <v>45697</v>
          </cell>
          <cell r="K1682">
            <v>45877</v>
          </cell>
          <cell r="L1682"/>
          <cell r="M1682"/>
          <cell r="N1682" t="str">
            <v>JABATAN PEDIATRIK</v>
          </cell>
          <cell r="O1682" t="str">
            <v>Unit Rawatan Rapi Neonatal (NICU)</v>
          </cell>
        </row>
        <row r="1683">
          <cell r="D1683" t="str">
            <v>KKM/JKN/HSA/10-05-01/H/15/4972</v>
          </cell>
          <cell r="E1683" t="str">
            <v>PATIENT MONITORING EQUIP.(AUTOMATIC MULTIPARAMETER)</v>
          </cell>
          <cell r="F1683" t="str">
            <v>MINDRAY</v>
          </cell>
          <cell r="G1683" t="str">
            <v>BENEVIEW T8</v>
          </cell>
          <cell r="H1683" t="str">
            <v>CF-45122910</v>
          </cell>
          <cell r="I1683" t="str">
            <v>ANNUALLY</v>
          </cell>
          <cell r="J1683">
            <v>45822</v>
          </cell>
          <cell r="K1683"/>
          <cell r="L1683"/>
          <cell r="M1683"/>
          <cell r="N1683" t="str">
            <v>JABATAN PEDIATRIK</v>
          </cell>
          <cell r="O1683" t="str">
            <v>Unit Rawatan Rapi Neonatal (NICU)</v>
          </cell>
        </row>
        <row r="1684">
          <cell r="D1684" t="str">
            <v>KKM/JKN/HSA/10-05-01/H/15/4973</v>
          </cell>
          <cell r="E1684" t="str">
            <v>PATIENT MONITORING EQUIP.(AUTOMATIC MULTIPARAMETER)</v>
          </cell>
          <cell r="F1684" t="str">
            <v>MINDRAY</v>
          </cell>
          <cell r="G1684" t="str">
            <v>BENEVIEW T8</v>
          </cell>
          <cell r="H1684" t="str">
            <v>CF-45122911</v>
          </cell>
          <cell r="I1684" t="str">
            <v>ANNUALLY</v>
          </cell>
          <cell r="J1684">
            <v>45822</v>
          </cell>
          <cell r="K1684"/>
          <cell r="L1684"/>
          <cell r="M1684"/>
          <cell r="N1684" t="str">
            <v>JABATAN PEDIATRIK</v>
          </cell>
          <cell r="O1684" t="str">
            <v>Unit Rawatan Rapi Neonatal (NICU)</v>
          </cell>
        </row>
        <row r="1685">
          <cell r="D1685" t="str">
            <v>KKM/JKN/HSA/10-05-01/H/15/4974</v>
          </cell>
          <cell r="E1685" t="str">
            <v>PATIENT MONITORING EQUIP.(AUTOMATIC MULTIPARAMETER)</v>
          </cell>
          <cell r="F1685" t="str">
            <v>MINDRAY</v>
          </cell>
          <cell r="G1685" t="str">
            <v>BENEVIEW T8</v>
          </cell>
          <cell r="H1685" t="str">
            <v>CF-45122912</v>
          </cell>
          <cell r="I1685" t="str">
            <v>ANNUALLY</v>
          </cell>
          <cell r="J1685">
            <v>45822</v>
          </cell>
          <cell r="K1685"/>
          <cell r="L1685"/>
          <cell r="M1685"/>
          <cell r="N1685" t="str">
            <v>JABATAN PEDIATRIK</v>
          </cell>
          <cell r="O1685" t="str">
            <v>Unit Rawatan Rapi Neonatal (NICU)</v>
          </cell>
        </row>
        <row r="1686">
          <cell r="D1686" t="str">
            <v>KKM/JKN/HSA/10-05-01/H/15/4975</v>
          </cell>
          <cell r="E1686" t="str">
            <v>PATIENT MONITORING EQUIP.(AUTOMATIC MULTIPARAMETER)</v>
          </cell>
          <cell r="F1686" t="str">
            <v>MINDRAY</v>
          </cell>
          <cell r="G1686" t="str">
            <v>BENEVIEW T8</v>
          </cell>
          <cell r="H1686" t="str">
            <v>CF-45122913</v>
          </cell>
          <cell r="I1686" t="str">
            <v>ANNUALLY</v>
          </cell>
          <cell r="J1686">
            <v>45822</v>
          </cell>
          <cell r="K1686"/>
          <cell r="L1686"/>
          <cell r="M1686"/>
          <cell r="N1686" t="str">
            <v>JABATAN PEDIATRIK</v>
          </cell>
          <cell r="O1686" t="str">
            <v>Unit Rawatan Rapi Neonatal (NICU)</v>
          </cell>
        </row>
        <row r="1687">
          <cell r="D1687" t="str">
            <v>KKM/JKN/HSA/10-05-01/H/15/4976</v>
          </cell>
          <cell r="E1687" t="str">
            <v>PATIENT MONITORING EQUIP.(AUTOMATIC MULTIPARAMETER)</v>
          </cell>
          <cell r="F1687" t="str">
            <v>MINDRAY</v>
          </cell>
          <cell r="G1687" t="str">
            <v>BENEVIEW T8</v>
          </cell>
          <cell r="H1687" t="str">
            <v>CF-45122914</v>
          </cell>
          <cell r="I1687" t="str">
            <v>ANNUALLY</v>
          </cell>
          <cell r="J1687">
            <v>45822</v>
          </cell>
          <cell r="K1687"/>
          <cell r="L1687"/>
          <cell r="M1687"/>
          <cell r="N1687" t="str">
            <v>JABATAN PEDIATRIK</v>
          </cell>
          <cell r="O1687" t="str">
            <v>Unit Rawatan Rapi Neonatal (NICU)</v>
          </cell>
        </row>
        <row r="1688">
          <cell r="D1688" t="str">
            <v>KKM/JKN/HSA/10-05-01/H/15/4977</v>
          </cell>
          <cell r="E1688" t="str">
            <v>PATIENT MONITORING EQUIP.(AUTOMATIC MULTIPARAMETER)</v>
          </cell>
          <cell r="F1688" t="str">
            <v>MINDRAY</v>
          </cell>
          <cell r="G1688" t="str">
            <v>BENEVIEW T8</v>
          </cell>
          <cell r="H1688" t="str">
            <v>CF-45122915</v>
          </cell>
          <cell r="I1688" t="str">
            <v>ANNUALLY</v>
          </cell>
          <cell r="J1688">
            <v>45822</v>
          </cell>
          <cell r="K1688"/>
          <cell r="L1688"/>
          <cell r="M1688"/>
          <cell r="N1688" t="str">
            <v>JABATAN PEDIATRIK</v>
          </cell>
          <cell r="O1688" t="str">
            <v>Unit Rawatan Rapi Neonatal (NICU)</v>
          </cell>
        </row>
        <row r="1689">
          <cell r="D1689" t="str">
            <v>KKM/JKN/HSA/10-05-01/H/15/4978</v>
          </cell>
          <cell r="E1689" t="str">
            <v>PATIENT MONITORING EQUIP.(AUTOMATIC MULTIPARAMETER)</v>
          </cell>
          <cell r="F1689" t="str">
            <v>MINDRAY</v>
          </cell>
          <cell r="G1689" t="str">
            <v>BENEVIEW T8</v>
          </cell>
          <cell r="H1689" t="str">
            <v>CF-45122916</v>
          </cell>
          <cell r="I1689" t="str">
            <v>ANNUALLY</v>
          </cell>
          <cell r="J1689">
            <v>45822</v>
          </cell>
          <cell r="K1689"/>
          <cell r="L1689"/>
          <cell r="M1689"/>
          <cell r="N1689" t="str">
            <v>JABATAN PEDIATRIK</v>
          </cell>
          <cell r="O1689" t="str">
            <v>Unit Rawatan Rapi Neonatal (NICU)</v>
          </cell>
        </row>
        <row r="1690">
          <cell r="D1690" t="str">
            <v>KKM/JKN/HSA/10-05-01/H/15/4979</v>
          </cell>
          <cell r="E1690" t="str">
            <v>PATIENT MONITORING EQUIP.(AUTOMATIC MULTIPARAMETER)</v>
          </cell>
          <cell r="F1690" t="str">
            <v>MINDRAY</v>
          </cell>
          <cell r="G1690" t="str">
            <v>BENEVIEW T8</v>
          </cell>
          <cell r="H1690" t="str">
            <v>CF-45122917</v>
          </cell>
          <cell r="I1690" t="str">
            <v>ANNUALLY</v>
          </cell>
          <cell r="J1690">
            <v>45827</v>
          </cell>
          <cell r="K1690"/>
          <cell r="L1690"/>
          <cell r="M1690"/>
          <cell r="N1690" t="str">
            <v>JABATAN PEDIATRIK</v>
          </cell>
          <cell r="O1690" t="str">
            <v>Unit Rawatan Rapi Neonatal (NICU)</v>
          </cell>
        </row>
        <row r="1691">
          <cell r="D1691" t="str">
            <v>KKM/JKN/HSA/10-05-01/H/15/4980</v>
          </cell>
          <cell r="E1691" t="str">
            <v>PATIENT MONITORING EQUIP.(AUTOMATIC MULTIPARAMETER)</v>
          </cell>
          <cell r="F1691" t="str">
            <v>MINDRAY</v>
          </cell>
          <cell r="G1691" t="str">
            <v>BENEVIEW T8</v>
          </cell>
          <cell r="H1691" t="str">
            <v>CF-45122918</v>
          </cell>
          <cell r="I1691" t="str">
            <v>ANNUALLY</v>
          </cell>
          <cell r="J1691">
            <v>45827</v>
          </cell>
          <cell r="K1691"/>
          <cell r="L1691"/>
          <cell r="M1691"/>
          <cell r="N1691" t="str">
            <v>JABATAN PEDIATRIK</v>
          </cell>
          <cell r="O1691" t="str">
            <v>Unit Rawatan Rapi Neonatal (NICU)</v>
          </cell>
        </row>
        <row r="1692">
          <cell r="D1692" t="str">
            <v>KKM/JKN/HSA/10-05-01/H/15/4981</v>
          </cell>
          <cell r="E1692" t="str">
            <v>PATIENT MONITORING EQUIP.(AUTOMATIC MULTIPARAMETER)</v>
          </cell>
          <cell r="F1692" t="str">
            <v>MINDRAY</v>
          </cell>
          <cell r="G1692" t="str">
            <v>BENEVIEW T8</v>
          </cell>
          <cell r="H1692" t="str">
            <v>CF-45122919</v>
          </cell>
          <cell r="I1692" t="str">
            <v>ANNUALLY</v>
          </cell>
          <cell r="J1692">
            <v>45827</v>
          </cell>
          <cell r="K1692"/>
          <cell r="L1692"/>
          <cell r="M1692"/>
          <cell r="N1692" t="str">
            <v>JABATAN PEDIATRIK</v>
          </cell>
          <cell r="O1692" t="str">
            <v>Unit Rawatan Rapi Neonatal (NICU)</v>
          </cell>
        </row>
        <row r="1693">
          <cell r="D1693" t="str">
            <v>KKM/JKN/HSA/10-05-01/H/15/4982</v>
          </cell>
          <cell r="E1693" t="str">
            <v>PATIENT MONITORING EQUIP.(AUTOMATIC MULTIPARAMETER)</v>
          </cell>
          <cell r="F1693" t="str">
            <v>MINDRAY</v>
          </cell>
          <cell r="G1693" t="str">
            <v>BENEVIEW T8</v>
          </cell>
          <cell r="H1693" t="str">
            <v>CF-45122921</v>
          </cell>
          <cell r="I1693" t="str">
            <v>ANNUALLY</v>
          </cell>
          <cell r="J1693">
            <v>45827</v>
          </cell>
          <cell r="K1693"/>
          <cell r="L1693"/>
          <cell r="M1693"/>
          <cell r="N1693" t="str">
            <v>JABATAN PEDIATRIK</v>
          </cell>
          <cell r="O1693" t="str">
            <v>Unit Rawatan Rapi Neonatal (NICU)</v>
          </cell>
        </row>
        <row r="1694">
          <cell r="D1694" t="str">
            <v>KKM/JKN/HSA/10-05-01/H/15/4983</v>
          </cell>
          <cell r="E1694" t="str">
            <v>PATIENT MONITORING EQUIP.(AUTOMATIC MULTIPARAMETER)</v>
          </cell>
          <cell r="F1694" t="str">
            <v>MINDRAY</v>
          </cell>
          <cell r="G1694" t="str">
            <v>BENEVIEW T8</v>
          </cell>
          <cell r="H1694" t="str">
            <v>CF-45122920</v>
          </cell>
          <cell r="I1694" t="str">
            <v>ANNUALLY</v>
          </cell>
          <cell r="J1694">
            <v>45827</v>
          </cell>
          <cell r="K1694"/>
          <cell r="L1694"/>
          <cell r="M1694"/>
          <cell r="N1694" t="str">
            <v>JABATAN PEDIATRIK</v>
          </cell>
          <cell r="O1694" t="str">
            <v>Unit Rawatan Rapi Neonatal (NICU)</v>
          </cell>
        </row>
        <row r="1695">
          <cell r="D1695" t="str">
            <v>KKM/JKN/HSA/10-05-01/H/15/4984</v>
          </cell>
          <cell r="E1695" t="str">
            <v>PATIENT MONITORING EQUIP.(AUTOMATIC MULTIPARAMETER)</v>
          </cell>
          <cell r="F1695" t="str">
            <v>MINDRAY</v>
          </cell>
          <cell r="G1695" t="str">
            <v>BENEVIEW T8</v>
          </cell>
          <cell r="H1695" t="str">
            <v>CF-45122922</v>
          </cell>
          <cell r="I1695" t="str">
            <v>ANNUALLY</v>
          </cell>
          <cell r="J1695">
            <v>45827</v>
          </cell>
          <cell r="K1695"/>
          <cell r="L1695"/>
          <cell r="M1695"/>
          <cell r="N1695" t="str">
            <v>JABATAN PEDIATRIK</v>
          </cell>
          <cell r="O1695" t="str">
            <v>Unit Rawatan Rapi Neonatal (NICU)</v>
          </cell>
        </row>
        <row r="1696">
          <cell r="D1696" t="str">
            <v>KKM/JKN/HSA/10-05-01/H/15/4985</v>
          </cell>
          <cell r="E1696" t="str">
            <v>PATIENT MONITORING EQUIP.(AUTOMATIC MULTIPARAMETER)</v>
          </cell>
          <cell r="F1696" t="str">
            <v>MINDRAY</v>
          </cell>
          <cell r="G1696" t="str">
            <v>BENEVIEW T8</v>
          </cell>
          <cell r="H1696" t="str">
            <v>CF-45122923</v>
          </cell>
          <cell r="I1696" t="str">
            <v>ANNUALLY</v>
          </cell>
          <cell r="J1696">
            <v>45827</v>
          </cell>
          <cell r="K1696"/>
          <cell r="L1696"/>
          <cell r="M1696"/>
          <cell r="N1696" t="str">
            <v>JABATAN PEDIATRIK</v>
          </cell>
          <cell r="O1696" t="str">
            <v>Unit Rawatan Rapi Neonatal (NICU)</v>
          </cell>
        </row>
        <row r="1697">
          <cell r="D1697" t="str">
            <v>KKM/JKN/HSA/10-05-01/H/15/4986</v>
          </cell>
          <cell r="E1697" t="str">
            <v>PATIENT MONITORING EQUIP.(AUTOMATIC MULTIPARAMETER)</v>
          </cell>
          <cell r="F1697" t="str">
            <v>MINDRAY</v>
          </cell>
          <cell r="G1697" t="str">
            <v>BENEVIEW T8</v>
          </cell>
          <cell r="H1697" t="str">
            <v>CF-45122924</v>
          </cell>
          <cell r="I1697" t="str">
            <v>ANNUALLY</v>
          </cell>
          <cell r="J1697">
            <v>45852</v>
          </cell>
          <cell r="K1697"/>
          <cell r="L1697"/>
          <cell r="M1697"/>
          <cell r="N1697" t="str">
            <v>JABATAN PEDIATRIK</v>
          </cell>
          <cell r="O1697" t="str">
            <v>Unit Rawatan Rapi Neonatal (NICU)</v>
          </cell>
        </row>
        <row r="1698">
          <cell r="D1698" t="str">
            <v>KKM/JKN/HSA/10-05-01/H/15/4987</v>
          </cell>
          <cell r="E1698" t="str">
            <v>PATIENT MONITORING EQUIP.(AUTOMATIC MULTIPARAMETER)</v>
          </cell>
          <cell r="F1698" t="str">
            <v>MINDRAY</v>
          </cell>
          <cell r="G1698" t="str">
            <v>BENEVIEW T8</v>
          </cell>
          <cell r="H1698" t="str">
            <v>CF-45122925</v>
          </cell>
          <cell r="I1698" t="str">
            <v>ANNUALLY</v>
          </cell>
          <cell r="J1698">
            <v>45852</v>
          </cell>
          <cell r="K1698"/>
          <cell r="L1698"/>
          <cell r="M1698"/>
          <cell r="N1698" t="str">
            <v>JABATAN PEDIATRIK</v>
          </cell>
          <cell r="O1698" t="str">
            <v>Unit Rawatan Rapi Neonatal (NICU)</v>
          </cell>
        </row>
        <row r="1699">
          <cell r="D1699" t="str">
            <v>KKM/JKN/HSA/10-05-01/H/15/4988</v>
          </cell>
          <cell r="E1699" t="str">
            <v>PATIENT MONITORING EQUIP.(AUTOMATIC MULTIPARAMETER)</v>
          </cell>
          <cell r="F1699" t="str">
            <v>MINDRAY</v>
          </cell>
          <cell r="G1699" t="str">
            <v>BENEVIEW T8</v>
          </cell>
          <cell r="H1699" t="str">
            <v>CF-45122926</v>
          </cell>
          <cell r="I1699" t="str">
            <v>ANNUALLY</v>
          </cell>
          <cell r="J1699">
            <v>45852</v>
          </cell>
          <cell r="K1699"/>
          <cell r="L1699"/>
          <cell r="M1699"/>
          <cell r="N1699" t="str">
            <v>JABATAN PEDIATRIK</v>
          </cell>
          <cell r="O1699" t="str">
            <v>Unit Rawatan Rapi Neonatal (NICU)</v>
          </cell>
        </row>
        <row r="1700">
          <cell r="D1700" t="str">
            <v>KKM/JKN/HSA/10-05-01/H/15/4989</v>
          </cell>
          <cell r="E1700" t="str">
            <v>PATIENT MONITORING EQUIP.(AUTOMATIC MULTIPARAMETER)</v>
          </cell>
          <cell r="F1700" t="str">
            <v>MINDRAY</v>
          </cell>
          <cell r="G1700" t="str">
            <v>BENEVIEW T8</v>
          </cell>
          <cell r="H1700" t="str">
            <v>CF-45122927</v>
          </cell>
          <cell r="I1700" t="str">
            <v>ANNUALLY</v>
          </cell>
          <cell r="J1700">
            <v>45852</v>
          </cell>
          <cell r="K1700"/>
          <cell r="L1700"/>
          <cell r="M1700"/>
          <cell r="N1700" t="str">
            <v>JABATAN PEDIATRIK</v>
          </cell>
          <cell r="O1700" t="str">
            <v>Unit Rawatan Rapi Neonatal (NICU)</v>
          </cell>
        </row>
        <row r="1701">
          <cell r="D1701" t="str">
            <v>KKM/JKN/HSA/10-05-01/H/15/4990</v>
          </cell>
          <cell r="E1701" t="str">
            <v>PATIENT MONITORING EQUIP.(AUTOMATIC MULTIPARAMETER)</v>
          </cell>
          <cell r="F1701" t="str">
            <v>MINDRAY</v>
          </cell>
          <cell r="G1701" t="str">
            <v>BENEVIEW T8</v>
          </cell>
          <cell r="H1701" t="str">
            <v>CF-45122928</v>
          </cell>
          <cell r="I1701" t="str">
            <v>ANNUALLY</v>
          </cell>
          <cell r="J1701">
            <v>45852</v>
          </cell>
          <cell r="K1701"/>
          <cell r="L1701"/>
          <cell r="M1701"/>
          <cell r="N1701" t="str">
            <v>JABATAN PEDIATRIK</v>
          </cell>
          <cell r="O1701" t="str">
            <v>Unit Rawatan Rapi Neonatal (NICU)</v>
          </cell>
        </row>
        <row r="1702">
          <cell r="D1702" t="str">
            <v>KKM/JKN/HSA/10-05-01/H/15/4991</v>
          </cell>
          <cell r="E1702" t="str">
            <v>PATIENT MONITORING EQUIP.(AUTOMATIC MULTIPARAMETER)</v>
          </cell>
          <cell r="F1702" t="str">
            <v>MINDRAY</v>
          </cell>
          <cell r="G1702" t="str">
            <v>BENEVIEW T8</v>
          </cell>
          <cell r="H1702" t="str">
            <v>CF-45122929</v>
          </cell>
          <cell r="I1702" t="str">
            <v>ANNUALLY</v>
          </cell>
          <cell r="J1702">
            <v>45852</v>
          </cell>
          <cell r="K1702"/>
          <cell r="L1702"/>
          <cell r="M1702"/>
          <cell r="N1702" t="str">
            <v>JABATAN PEDIATRIK</v>
          </cell>
          <cell r="O1702" t="str">
            <v>Unit Rawatan Rapi Neonatal (NICU)</v>
          </cell>
        </row>
        <row r="1703">
          <cell r="D1703" t="str">
            <v>KKM/JKN/HSA/10-05-01/H/15/4992</v>
          </cell>
          <cell r="E1703" t="str">
            <v>PATIENT MONITORING EQUIP.(AUTOMATIC MULTIPARAMETER)</v>
          </cell>
          <cell r="F1703" t="str">
            <v>MINDRAY</v>
          </cell>
          <cell r="G1703" t="str">
            <v>BENEVIEW T8</v>
          </cell>
          <cell r="H1703" t="str">
            <v>CF-45122930</v>
          </cell>
          <cell r="I1703" t="str">
            <v>ANNUALLY</v>
          </cell>
          <cell r="J1703">
            <v>45852</v>
          </cell>
          <cell r="K1703"/>
          <cell r="L1703"/>
          <cell r="M1703"/>
          <cell r="N1703" t="str">
            <v>JABATAN PEDIATRIK</v>
          </cell>
          <cell r="O1703" t="str">
            <v>Unit Rawatan Rapi Neonatal (NICU)</v>
          </cell>
        </row>
        <row r="1704">
          <cell r="D1704" t="str">
            <v>KKM/JKN/HSA/10-05-01/H/15/4993</v>
          </cell>
          <cell r="E1704" t="str">
            <v>PATIENT MONITORING EQUIP.(AUTOMATIC MULTIPARAMETER)</v>
          </cell>
          <cell r="F1704" t="str">
            <v>MINDRAY</v>
          </cell>
          <cell r="G1704" t="str">
            <v>BENEVIEW T8</v>
          </cell>
          <cell r="H1704" t="str">
            <v>CF-45122931</v>
          </cell>
          <cell r="I1704" t="str">
            <v>ANNUALLY</v>
          </cell>
          <cell r="J1704">
            <v>45852</v>
          </cell>
          <cell r="K1704"/>
          <cell r="L1704"/>
          <cell r="M1704"/>
          <cell r="N1704" t="str">
            <v>JABATAN PEDIATRIK</v>
          </cell>
          <cell r="O1704" t="str">
            <v>Unit Rawatan Rapi Neonatal (NICU)</v>
          </cell>
        </row>
        <row r="1705">
          <cell r="D1705" t="str">
            <v>KKM/JKN/HSA/10-05-01/H/15/4994</v>
          </cell>
          <cell r="E1705" t="str">
            <v>PATIENT MONITORING EQUIP.(AUTOMATIC MULTIPARAMETER)</v>
          </cell>
          <cell r="F1705" t="str">
            <v>MINDRAY</v>
          </cell>
          <cell r="G1705" t="str">
            <v>BENEVIEW T8</v>
          </cell>
          <cell r="H1705" t="str">
            <v>CF-45122932</v>
          </cell>
          <cell r="I1705" t="str">
            <v>ANNUALLY</v>
          </cell>
          <cell r="J1705">
            <v>45852</v>
          </cell>
          <cell r="K1705"/>
          <cell r="L1705"/>
          <cell r="M1705"/>
          <cell r="N1705" t="str">
            <v>JABATAN PEDIATRIK</v>
          </cell>
          <cell r="O1705" t="str">
            <v>Unit Rawatan Rapi Neonatal (NICU)</v>
          </cell>
        </row>
        <row r="1706">
          <cell r="D1706" t="str">
            <v>KKM/JKN/HSA/10-05-01/H/15/4995</v>
          </cell>
          <cell r="E1706" t="str">
            <v>PATIENT MONITORING EQUIP.(AUTOMATIC MULTIPARAMETER)</v>
          </cell>
          <cell r="F1706" t="str">
            <v>MINDRAY</v>
          </cell>
          <cell r="G1706" t="str">
            <v>BENEVIEW T8/T1</v>
          </cell>
          <cell r="H1706" t="str">
            <v>CF-45122933</v>
          </cell>
          <cell r="I1706" t="str">
            <v>ANNUALLY</v>
          </cell>
          <cell r="J1706">
            <v>45848</v>
          </cell>
          <cell r="K1706"/>
          <cell r="L1706"/>
          <cell r="M1706"/>
          <cell r="N1706" t="str">
            <v>JABATAN PEDIATRIK</v>
          </cell>
          <cell r="O1706" t="str">
            <v>Unit Rawatan Rapi Neonatal (NICU)</v>
          </cell>
        </row>
        <row r="1707">
          <cell r="D1707" t="str">
            <v>KKM/JKN/HSA/10-05-01/H/15/5023</v>
          </cell>
          <cell r="E1707" t="str">
            <v>PULSE OXIMETER AND SIMULATOR</v>
          </cell>
          <cell r="F1707" t="str">
            <v>MASIMO</v>
          </cell>
          <cell r="G1707" t="str">
            <v>RAD 8</v>
          </cell>
          <cell r="H1707" t="str">
            <v>M40934</v>
          </cell>
          <cell r="I1707" t="str">
            <v>ANNUALLY</v>
          </cell>
          <cell r="J1707">
            <v>45868</v>
          </cell>
          <cell r="K1707"/>
          <cell r="L1707"/>
          <cell r="M1707"/>
          <cell r="N1707" t="str">
            <v>JABATAN PEDIATRIK</v>
          </cell>
          <cell r="O1707" t="str">
            <v>Unit Rawatan Rapi Neonatal (NICU)</v>
          </cell>
        </row>
        <row r="1708">
          <cell r="D1708" t="str">
            <v>KKM/JKN/HSA/10-05-01/H/15/5025</v>
          </cell>
          <cell r="E1708" t="str">
            <v>PULSE OXIMETER AND SIMULATOR</v>
          </cell>
          <cell r="F1708" t="str">
            <v>MASIMO</v>
          </cell>
          <cell r="G1708" t="str">
            <v>RAD 8</v>
          </cell>
          <cell r="H1708" t="str">
            <v>M47091</v>
          </cell>
          <cell r="I1708" t="str">
            <v>ANNUALLY</v>
          </cell>
          <cell r="J1708">
            <v>45868</v>
          </cell>
          <cell r="K1708"/>
          <cell r="L1708"/>
          <cell r="M1708"/>
          <cell r="N1708" t="str">
            <v>JABATAN PEDIATRIK</v>
          </cell>
          <cell r="O1708" t="str">
            <v>Unit Rawatan Rapi Neonatal (NICU)</v>
          </cell>
        </row>
        <row r="1709">
          <cell r="D1709" t="str">
            <v>KKM/JKN/HSA/10-05-01/H/15/527</v>
          </cell>
          <cell r="E1709" t="str">
            <v>INFANT WARMER (RADIANT)</v>
          </cell>
          <cell r="F1709" t="str">
            <v>FISHER &amp; PAYKEL HEALTHCARE</v>
          </cell>
          <cell r="G1709" t="str">
            <v>IW910/ 920 MOBILE INFANT WARMER</v>
          </cell>
          <cell r="H1709" t="str">
            <v>130918000818</v>
          </cell>
          <cell r="I1709" t="str">
            <v>ANNUALLY</v>
          </cell>
          <cell r="J1709">
            <v>45783</v>
          </cell>
          <cell r="K1709"/>
          <cell r="L1709"/>
          <cell r="M1709"/>
          <cell r="N1709" t="str">
            <v>JABATAN OBSTETRIK &amp; GINEKOLOGI</v>
          </cell>
          <cell r="O1709" t="str">
            <v>Dewan Bersalin (LDU)</v>
          </cell>
        </row>
        <row r="1710">
          <cell r="D1710" t="str">
            <v>KKM/JKN/HSA/10-05-01/H/15/543</v>
          </cell>
          <cell r="E1710" t="str">
            <v>INFANT WARMER (RADIANT)</v>
          </cell>
          <cell r="F1710" t="str">
            <v>FISHER &amp; PAYKEL HEALTHCARE</v>
          </cell>
          <cell r="G1710" t="str">
            <v>IW910/ 920 MOBILE INFANT WARMER</v>
          </cell>
          <cell r="H1710" t="str">
            <v>130916000810</v>
          </cell>
          <cell r="I1710" t="str">
            <v>ANNUALLY</v>
          </cell>
          <cell r="J1710">
            <v>45818</v>
          </cell>
          <cell r="K1710"/>
          <cell r="L1710"/>
          <cell r="M1710"/>
          <cell r="N1710" t="str">
            <v>JABATAN PEDIATRIK</v>
          </cell>
          <cell r="O1710" t="str">
            <v>Unit Rawatan Rapi Neonatal (NICU)</v>
          </cell>
        </row>
        <row r="1711">
          <cell r="D1711" t="str">
            <v>KKM/JKN/HSA/10-05-01/H/15/544</v>
          </cell>
          <cell r="E1711" t="str">
            <v>INFANT WARMER (RADIANT)</v>
          </cell>
          <cell r="F1711" t="str">
            <v>FISHER &amp; PAYKEL HEALTHCARE</v>
          </cell>
          <cell r="G1711" t="str">
            <v>IW910/ 920 MOBILE INFANT WARMER</v>
          </cell>
          <cell r="H1711" t="str">
            <v>130916000826</v>
          </cell>
          <cell r="I1711" t="str">
            <v>ANNUALLY</v>
          </cell>
          <cell r="J1711">
            <v>45832</v>
          </cell>
          <cell r="K1711"/>
          <cell r="L1711"/>
          <cell r="M1711"/>
          <cell r="N1711" t="str">
            <v>JABATAN PEDIATRIK</v>
          </cell>
          <cell r="O1711" t="str">
            <v>Unit Rawatan Rapi Neonatal (NICU)</v>
          </cell>
        </row>
        <row r="1712">
          <cell r="D1712" t="str">
            <v>KKM/JKN/HSA/10-05-01/H/15/545</v>
          </cell>
          <cell r="E1712" t="str">
            <v>INFANT WARMER (RADIANT)</v>
          </cell>
          <cell r="F1712" t="str">
            <v>FISHER &amp; PAYKEL HEALTHCARE</v>
          </cell>
          <cell r="G1712" t="str">
            <v>IW910/ 920 MOBILE INFANT WARMER</v>
          </cell>
          <cell r="H1712" t="str">
            <v>130916000804</v>
          </cell>
          <cell r="I1712" t="str">
            <v>ANNUALLY</v>
          </cell>
          <cell r="J1712">
            <v>45832</v>
          </cell>
          <cell r="K1712"/>
          <cell r="L1712"/>
          <cell r="M1712"/>
          <cell r="N1712" t="str">
            <v>JABATAN PEDIATRIK</v>
          </cell>
          <cell r="O1712" t="str">
            <v>Unit Rawatan Rapi Neonatal (NICU)</v>
          </cell>
        </row>
        <row r="1713">
          <cell r="D1713" t="str">
            <v>KKM/JKN/HSA/10-05-01/H/15/546</v>
          </cell>
          <cell r="E1713" t="str">
            <v>INFANT WARMER (RADIANT)</v>
          </cell>
          <cell r="F1713" t="str">
            <v>FISHER &amp; PAYKEL HEALTHCARE</v>
          </cell>
          <cell r="G1713" t="str">
            <v>IW910/ 920 MOBILE INFANT WARMER</v>
          </cell>
          <cell r="H1713" t="str">
            <v>130916000809</v>
          </cell>
          <cell r="I1713" t="str">
            <v>ANNUALLY</v>
          </cell>
          <cell r="J1713">
            <v>45832</v>
          </cell>
          <cell r="K1713"/>
          <cell r="L1713"/>
          <cell r="M1713"/>
          <cell r="N1713" t="str">
            <v>JABATAN PEDIATRIK</v>
          </cell>
          <cell r="O1713" t="str">
            <v>Unit Rawatan Rapi Neonatal (NICU)</v>
          </cell>
        </row>
        <row r="1714">
          <cell r="D1714" t="str">
            <v>KKM/JKN/HSA/10-05-01/H/15/547</v>
          </cell>
          <cell r="E1714" t="str">
            <v>INFANT WARMER (RADIANT)</v>
          </cell>
          <cell r="F1714" t="str">
            <v>FISHER &amp; PAYKEL HEALTHCARE</v>
          </cell>
          <cell r="G1714" t="str">
            <v>IW910/ 920 MOBILE INFANT WARMER</v>
          </cell>
          <cell r="H1714" t="str">
            <v>130916000812</v>
          </cell>
          <cell r="I1714" t="str">
            <v>ANNUALLY</v>
          </cell>
          <cell r="J1714">
            <v>45833</v>
          </cell>
          <cell r="K1714"/>
          <cell r="L1714"/>
          <cell r="M1714"/>
          <cell r="N1714" t="str">
            <v>JABATAN PEDIATRIK</v>
          </cell>
          <cell r="O1714" t="str">
            <v>Unit Rawatan Rapi Neonatal (NICU)</v>
          </cell>
        </row>
        <row r="1715">
          <cell r="D1715" t="str">
            <v>KKM/JKN/HSA/10-05-01/H/15/548</v>
          </cell>
          <cell r="E1715" t="str">
            <v>INFANT WARMER (RADIANT)</v>
          </cell>
          <cell r="F1715" t="str">
            <v>FISHER &amp; PAYKEL HEALTHCARE</v>
          </cell>
          <cell r="G1715" t="str">
            <v>IW910/ 920 MOBILE INFANT WARMER</v>
          </cell>
          <cell r="H1715" t="str">
            <v>130916000809</v>
          </cell>
          <cell r="I1715" t="str">
            <v>ANNUALLY</v>
          </cell>
          <cell r="J1715">
            <v>45833</v>
          </cell>
          <cell r="K1715"/>
          <cell r="L1715"/>
          <cell r="M1715"/>
          <cell r="N1715" t="str">
            <v>JABATAN PEDIATRIK</v>
          </cell>
          <cell r="O1715" t="str">
            <v>Unit Rawatan Rapi Neonatal (NICU)</v>
          </cell>
        </row>
        <row r="1716">
          <cell r="D1716" t="str">
            <v>KKM/JKN/HSA/10-05-01/H/15/549</v>
          </cell>
          <cell r="E1716" t="str">
            <v>INFANT WARMER (RADIANT)</v>
          </cell>
          <cell r="F1716" t="str">
            <v>FISHER &amp; PAYKEL HEALTHCARE</v>
          </cell>
          <cell r="G1716" t="str">
            <v>IW910/ 920 MOBILE INFANT WARMER</v>
          </cell>
          <cell r="H1716" t="str">
            <v>130916000822</v>
          </cell>
          <cell r="I1716" t="str">
            <v>ANNUALLY</v>
          </cell>
          <cell r="J1716">
            <v>45833</v>
          </cell>
          <cell r="K1716"/>
          <cell r="L1716"/>
          <cell r="M1716"/>
          <cell r="N1716" t="str">
            <v>JABATAN PEDIATRIK</v>
          </cell>
          <cell r="O1716" t="str">
            <v>Unit Rawatan Rapi Neonatal (NICU)</v>
          </cell>
        </row>
        <row r="1717">
          <cell r="D1717" t="str">
            <v>KKM/JKN/HSA/10-05-01/H/15/557</v>
          </cell>
          <cell r="E1717" t="str">
            <v>INFANT INCUBATOR</v>
          </cell>
          <cell r="F1717" t="str">
            <v>DRAEGER</v>
          </cell>
          <cell r="G1717" t="str">
            <v>ISOLETTE TI500 W BABYPAC</v>
          </cell>
          <cell r="H1717" t="str">
            <v>AU 09340</v>
          </cell>
          <cell r="I1717" t="str">
            <v>SEMI ANNUALLY</v>
          </cell>
          <cell r="J1717">
            <v>45824</v>
          </cell>
          <cell r="K1717">
            <v>46006</v>
          </cell>
          <cell r="L1717"/>
          <cell r="M1717"/>
          <cell r="N1717" t="str">
            <v>JABATAN PEDIATRIK</v>
          </cell>
          <cell r="O1717" t="str">
            <v>Unit Rawatan Rapi Neonatal (NICU)</v>
          </cell>
        </row>
        <row r="1718">
          <cell r="D1718" t="str">
            <v>KKM/JKN/HSA/10-05-01/H/15/558</v>
          </cell>
          <cell r="E1718" t="str">
            <v>INFANT INCUBATOR</v>
          </cell>
          <cell r="F1718" t="str">
            <v>DRAEGER</v>
          </cell>
          <cell r="G1718" t="str">
            <v>ISOLETTE TI500 W BABYPAC</v>
          </cell>
          <cell r="H1718" t="str">
            <v>AU 09337</v>
          </cell>
          <cell r="I1718" t="str">
            <v>SEMI ANNUALLY</v>
          </cell>
          <cell r="J1718">
            <v>45824</v>
          </cell>
          <cell r="K1718">
            <v>46006</v>
          </cell>
          <cell r="L1718"/>
          <cell r="M1718"/>
          <cell r="N1718" t="str">
            <v>JABATAN PEDIATRIK</v>
          </cell>
          <cell r="O1718" t="str">
            <v>Unit Rawatan Rapi Neonatal (NICU)</v>
          </cell>
        </row>
        <row r="1719">
          <cell r="D1719" t="str">
            <v>KKM/JKN/HSA/10-05-01/H/15/569</v>
          </cell>
          <cell r="E1719" t="str">
            <v>ECG (EKG) MACHINE</v>
          </cell>
          <cell r="F1719" t="str">
            <v>GE HEALTHCARE</v>
          </cell>
          <cell r="G1719" t="str">
            <v>MAC 1200 ST</v>
          </cell>
          <cell r="H1719" t="str">
            <v>550061840</v>
          </cell>
          <cell r="I1719" t="str">
            <v>ANNUALLY</v>
          </cell>
          <cell r="J1719">
            <v>45832</v>
          </cell>
          <cell r="K1719"/>
          <cell r="L1719"/>
          <cell r="M1719"/>
          <cell r="N1719" t="str">
            <v>JABATAN PEDIATRIK</v>
          </cell>
          <cell r="O1719" t="str">
            <v>Unit Rawatan Rapi Neonatal (NICU)</v>
          </cell>
        </row>
        <row r="1720">
          <cell r="D1720" t="str">
            <v>KKM/JKN/HSA/10-05-01/H/15/583</v>
          </cell>
          <cell r="E1720" t="str">
            <v>PATIENT MONITORING EQUIP.(AUTOMATIC MULTIPARAMETER)</v>
          </cell>
          <cell r="F1720" t="str">
            <v>MINDRAY</v>
          </cell>
          <cell r="G1720" t="str">
            <v>BENEVIEW T1</v>
          </cell>
          <cell r="H1720" t="str">
            <v>FB 45005660</v>
          </cell>
          <cell r="I1720" t="str">
            <v>ANNUALLY</v>
          </cell>
          <cell r="J1720">
            <v>45847</v>
          </cell>
          <cell r="K1720"/>
          <cell r="L1720"/>
          <cell r="M1720"/>
          <cell r="N1720" t="str">
            <v>JABATAN PEDIATRIK</v>
          </cell>
          <cell r="O1720" t="str">
            <v>Unit Rawatan Rapi Neonatal (NICU)</v>
          </cell>
        </row>
        <row r="1721">
          <cell r="D1721" t="str">
            <v>KKM/JKN/HSA/10-05-01/H/15/755</v>
          </cell>
          <cell r="E1721" t="str">
            <v>SYRINGE INFUSION PUMP</v>
          </cell>
          <cell r="F1721" t="str">
            <v>FRESENIUS KABI</v>
          </cell>
          <cell r="G1721" t="str">
            <v>INJECTOMAT MC AGILIA</v>
          </cell>
          <cell r="H1721" t="str">
            <v>22233776</v>
          </cell>
          <cell r="I1721" t="str">
            <v>ANNUALLY</v>
          </cell>
          <cell r="J1721">
            <v>45707</v>
          </cell>
          <cell r="K1721"/>
          <cell r="L1721"/>
          <cell r="M1721"/>
          <cell r="N1721" t="str">
            <v>JABATAN PEDIATRIK</v>
          </cell>
          <cell r="O1721" t="str">
            <v>Unit Rawatan Rapi Neonatal (NICU)</v>
          </cell>
        </row>
        <row r="1722">
          <cell r="D1722" t="str">
            <v>KKM/JKN/HSA/10-05-01/H/15/756</v>
          </cell>
          <cell r="E1722" t="str">
            <v>SYRINGE INFUSION PUMP</v>
          </cell>
          <cell r="F1722" t="str">
            <v>FRESENIUS KABI</v>
          </cell>
          <cell r="G1722" t="str">
            <v>INJECTOMAT MC AGILIA</v>
          </cell>
          <cell r="H1722" t="str">
            <v>22233779</v>
          </cell>
          <cell r="I1722" t="str">
            <v>ANNUALLY</v>
          </cell>
          <cell r="J1722">
            <v>45707</v>
          </cell>
          <cell r="K1722"/>
          <cell r="L1722"/>
          <cell r="M1722"/>
          <cell r="N1722" t="str">
            <v>JABATAN PEDIATRIK</v>
          </cell>
          <cell r="O1722" t="str">
            <v>Unit Rawatan Rapi Neonatal (NICU)</v>
          </cell>
        </row>
        <row r="1723">
          <cell r="D1723" t="str">
            <v>KKM/JKN/HSA/10-05-01/H/15/757</v>
          </cell>
          <cell r="E1723" t="str">
            <v>SYRINGE INFUSION PUMP</v>
          </cell>
          <cell r="F1723" t="str">
            <v>FRESENIUS KABI</v>
          </cell>
          <cell r="G1723" t="str">
            <v>INJECTOMAT MC AGILIA</v>
          </cell>
          <cell r="H1723" t="str">
            <v>22233800</v>
          </cell>
          <cell r="I1723" t="str">
            <v>ANNUALLY</v>
          </cell>
          <cell r="J1723">
            <v>45707</v>
          </cell>
          <cell r="K1723"/>
          <cell r="L1723"/>
          <cell r="M1723"/>
          <cell r="N1723" t="str">
            <v>JABATAN PEDIATRIK</v>
          </cell>
          <cell r="O1723" t="str">
            <v>Unit Rawatan Rapi Neonatal (NICU)</v>
          </cell>
        </row>
        <row r="1724">
          <cell r="D1724" t="str">
            <v>KKM/JKN/HSA/10-05-01/H/15/758</v>
          </cell>
          <cell r="E1724" t="str">
            <v>SYRINGE INFUSION PUMP</v>
          </cell>
          <cell r="F1724" t="str">
            <v>FRESENIUS KABI</v>
          </cell>
          <cell r="G1724" t="str">
            <v>INJECTOMAT MC AGILIA</v>
          </cell>
          <cell r="H1724" t="str">
            <v>22231701</v>
          </cell>
          <cell r="I1724" t="str">
            <v>ANNUALLY</v>
          </cell>
          <cell r="J1724">
            <v>45707</v>
          </cell>
          <cell r="K1724"/>
          <cell r="L1724"/>
          <cell r="M1724"/>
          <cell r="N1724" t="str">
            <v>JABATAN PEDIATRIK</v>
          </cell>
          <cell r="O1724" t="str">
            <v>Unit Rawatan Rapi Neonatal (NICU)</v>
          </cell>
        </row>
        <row r="1725">
          <cell r="D1725" t="str">
            <v>KKM/JKN/HSA/10-05-01/H/15/759</v>
          </cell>
          <cell r="E1725" t="str">
            <v>SYRINGE INFUSION PUMP</v>
          </cell>
          <cell r="F1725" t="str">
            <v>FRESENIUS KABI</v>
          </cell>
          <cell r="G1725" t="str">
            <v>INJECTOMAT MC AGILIA</v>
          </cell>
          <cell r="H1725" t="str">
            <v>22231692</v>
          </cell>
          <cell r="I1725" t="str">
            <v>ANNUALLY</v>
          </cell>
          <cell r="J1725">
            <v>45707</v>
          </cell>
          <cell r="K1725"/>
          <cell r="L1725"/>
          <cell r="M1725"/>
          <cell r="N1725" t="str">
            <v>JABATAN PEDIATRIK</v>
          </cell>
          <cell r="O1725" t="str">
            <v>Unit Rawatan Rapi Neonatal (NICU)</v>
          </cell>
        </row>
        <row r="1726">
          <cell r="D1726" t="str">
            <v>KKM/JKN/HSA/10-05-01/H/15/760</v>
          </cell>
          <cell r="E1726" t="str">
            <v>SYRINGE INFUSION PUMP</v>
          </cell>
          <cell r="F1726" t="str">
            <v>FRESENIUS KABI</v>
          </cell>
          <cell r="G1726" t="str">
            <v>INJECTOMAT MC AGILIA</v>
          </cell>
          <cell r="H1726" t="str">
            <v>22233765</v>
          </cell>
          <cell r="I1726" t="str">
            <v>ANNUALLY</v>
          </cell>
          <cell r="J1726">
            <v>45707</v>
          </cell>
          <cell r="K1726"/>
          <cell r="L1726"/>
          <cell r="M1726"/>
          <cell r="N1726" t="str">
            <v>JABATAN PEDIATRIK</v>
          </cell>
          <cell r="O1726" t="str">
            <v>Unit Rawatan Rapi Neonatal (NICU)</v>
          </cell>
        </row>
        <row r="1727">
          <cell r="D1727" t="str">
            <v>KKM/JKN/HSA/10-05-01/H/15/763</v>
          </cell>
          <cell r="E1727" t="str">
            <v>SYRINGE INFUSION PUMP</v>
          </cell>
          <cell r="F1727" t="str">
            <v>FRESENIUS KABI</v>
          </cell>
          <cell r="G1727" t="str">
            <v>INJECTOMAT MC AGILIA</v>
          </cell>
          <cell r="H1727" t="str">
            <v>22233791</v>
          </cell>
          <cell r="I1727" t="str">
            <v>ANNUALLY</v>
          </cell>
          <cell r="J1727">
            <v>45761</v>
          </cell>
          <cell r="K1727"/>
          <cell r="L1727"/>
          <cell r="M1727"/>
          <cell r="N1727" t="str">
            <v>JABATAN PEDIATRIK</v>
          </cell>
          <cell r="O1727" t="str">
            <v>Unit Rawatan Rapi Neonatal (NICU)</v>
          </cell>
        </row>
        <row r="1728">
          <cell r="D1728" t="str">
            <v>KKM/JKN/HSA/10-05-01/H/15/766</v>
          </cell>
          <cell r="E1728" t="str">
            <v>SYRINGE INFUSION PUMP</v>
          </cell>
          <cell r="F1728" t="str">
            <v>FRESENIUS KABI</v>
          </cell>
          <cell r="G1728" t="str">
            <v>INJECTOMAT MC AGILIA</v>
          </cell>
          <cell r="H1728" t="str">
            <v>N/A</v>
          </cell>
          <cell r="I1728" t="str">
            <v>ANNUALLY</v>
          </cell>
          <cell r="J1728">
            <v>45762</v>
          </cell>
          <cell r="K1728"/>
          <cell r="L1728"/>
          <cell r="M1728"/>
          <cell r="N1728" t="str">
            <v>JABATAN PEDIATRIK</v>
          </cell>
          <cell r="O1728" t="str">
            <v>Unit Rawatan Rapi Neonatal (NICU)</v>
          </cell>
        </row>
        <row r="1729">
          <cell r="D1729" t="str">
            <v>KKM/JKN/HSA/10-05-01/H/15/768</v>
          </cell>
          <cell r="E1729" t="str">
            <v>SYRINGE INFUSION PUMP</v>
          </cell>
          <cell r="F1729" t="str">
            <v>FRESENIUS KABI</v>
          </cell>
          <cell r="G1729" t="str">
            <v>INJECTOMAT MC AGILIA</v>
          </cell>
          <cell r="H1729" t="str">
            <v>22233764</v>
          </cell>
          <cell r="I1729" t="str">
            <v>ANNUALLY</v>
          </cell>
          <cell r="J1729">
            <v>45762</v>
          </cell>
          <cell r="K1729"/>
          <cell r="L1729"/>
          <cell r="M1729"/>
          <cell r="N1729" t="str">
            <v>JABATAN PEDIATRIK</v>
          </cell>
          <cell r="O1729" t="str">
            <v>Unit Rawatan Rapi Neonatal (NICU)</v>
          </cell>
        </row>
        <row r="1730">
          <cell r="D1730" t="str">
            <v>KKM/JKN/HSA/10-05-01/H/15/770</v>
          </cell>
          <cell r="E1730" t="str">
            <v>SYRINGE INFUSION PUMP</v>
          </cell>
          <cell r="F1730" t="str">
            <v>FRESENIUS KABI</v>
          </cell>
          <cell r="G1730" t="str">
            <v>INJECTOMAT MC AGILIA</v>
          </cell>
          <cell r="H1730" t="str">
            <v>22231728</v>
          </cell>
          <cell r="I1730" t="str">
            <v>ANNUALLY</v>
          </cell>
          <cell r="J1730">
            <v>45763</v>
          </cell>
          <cell r="K1730"/>
          <cell r="L1730"/>
          <cell r="M1730"/>
          <cell r="N1730" t="str">
            <v>JABATAN PEDIATRIK</v>
          </cell>
          <cell r="O1730" t="str">
            <v>Unit Rawatan Rapi Neonatal (NICU)</v>
          </cell>
        </row>
        <row r="1731">
          <cell r="D1731" t="str">
            <v>KKM/JKN/HSA/10-05-01/H/15/771</v>
          </cell>
          <cell r="E1731" t="str">
            <v>SYRINGE INFUSION PUMP</v>
          </cell>
          <cell r="F1731" t="str">
            <v>FRESENIUS KABI</v>
          </cell>
          <cell r="G1731" t="str">
            <v>INJECTOMAT MC AGILIA</v>
          </cell>
          <cell r="H1731" t="str">
            <v>22233777</v>
          </cell>
          <cell r="I1731" t="str">
            <v>ANNUALLY</v>
          </cell>
          <cell r="J1731">
            <v>45762</v>
          </cell>
          <cell r="K1731"/>
          <cell r="L1731"/>
          <cell r="M1731"/>
          <cell r="N1731" t="str">
            <v>JABATAN PEDIATRIK</v>
          </cell>
          <cell r="O1731" t="str">
            <v>Unit Rawatan Rapi Neonatal (NICU)</v>
          </cell>
        </row>
        <row r="1732">
          <cell r="D1732" t="str">
            <v>KKM/JKN/HSA/10-05-01/H/15/773</v>
          </cell>
          <cell r="E1732" t="str">
            <v>SYRINGE INFUSION PUMP</v>
          </cell>
          <cell r="F1732" t="str">
            <v>FRESENIUS KABI</v>
          </cell>
          <cell r="G1732" t="str">
            <v>INJECTOMAT MC AGILIA</v>
          </cell>
          <cell r="H1732" t="str">
            <v>22233630</v>
          </cell>
          <cell r="I1732" t="str">
            <v>ANNUALLY</v>
          </cell>
          <cell r="J1732">
            <v>45762</v>
          </cell>
          <cell r="K1732"/>
          <cell r="L1732"/>
          <cell r="M1732"/>
          <cell r="N1732" t="str">
            <v>JABATAN PEDIATRIK</v>
          </cell>
          <cell r="O1732" t="str">
            <v>Unit Rawatan Rapi Neonatal (NICU)</v>
          </cell>
        </row>
        <row r="1733">
          <cell r="D1733" t="str">
            <v>KKM/JKN/HSA/10-05-01/H/15/774</v>
          </cell>
          <cell r="E1733" t="str">
            <v>SYRINGE INFUSION PUMP</v>
          </cell>
          <cell r="F1733" t="str">
            <v>FRESENIUS KABI</v>
          </cell>
          <cell r="G1733" t="str">
            <v>INJECTOMAT MC AGILIA</v>
          </cell>
          <cell r="H1733" t="str">
            <v>018130/22230697</v>
          </cell>
          <cell r="I1733" t="str">
            <v>ANNUALLY</v>
          </cell>
          <cell r="J1733">
            <v>45771</v>
          </cell>
          <cell r="K1733"/>
          <cell r="L1733"/>
          <cell r="M1733"/>
          <cell r="N1733" t="str">
            <v>JABATAN PEDIATRIK</v>
          </cell>
          <cell r="O1733" t="str">
            <v>Unit Rawatan Rapi Neonatal (NICU)</v>
          </cell>
        </row>
        <row r="1734">
          <cell r="D1734" t="str">
            <v>KKM/JKN/HSA/10-05-01/H/15/776</v>
          </cell>
          <cell r="E1734" t="str">
            <v>SYRINGE INFUSION PUMP</v>
          </cell>
          <cell r="F1734" t="str">
            <v>FRESENIUS KABI</v>
          </cell>
          <cell r="G1734" t="str">
            <v>INJECTOMAT MC AGILIA</v>
          </cell>
          <cell r="H1734" t="str">
            <v>22233797</v>
          </cell>
          <cell r="I1734" t="str">
            <v>ANNUALLY</v>
          </cell>
          <cell r="J1734">
            <v>45771</v>
          </cell>
          <cell r="K1734"/>
          <cell r="L1734"/>
          <cell r="M1734"/>
          <cell r="N1734" t="str">
            <v>JABATAN PEDIATRIK</v>
          </cell>
          <cell r="O1734" t="str">
            <v>Unit Rawatan Rapi Neonatal (NICU)</v>
          </cell>
        </row>
        <row r="1735">
          <cell r="D1735" t="str">
            <v>KKM/JKN/HSA/10-05-01/H/15/778</v>
          </cell>
          <cell r="E1735" t="str">
            <v>SYRINGE INFUSION PUMP</v>
          </cell>
          <cell r="F1735" t="str">
            <v>FRESENIUS KABI</v>
          </cell>
          <cell r="G1735" t="str">
            <v>INJECTOMAT MC AGILIA</v>
          </cell>
          <cell r="H1735" t="str">
            <v>22231690</v>
          </cell>
          <cell r="I1735" t="str">
            <v>ANNUALLY</v>
          </cell>
          <cell r="J1735">
            <v>45771</v>
          </cell>
          <cell r="K1735"/>
          <cell r="L1735"/>
          <cell r="M1735"/>
          <cell r="N1735" t="str">
            <v>JABATAN PEDIATRIK</v>
          </cell>
          <cell r="O1735" t="str">
            <v>Unit Rawatan Rapi Neonatal (NICU)</v>
          </cell>
        </row>
        <row r="1736">
          <cell r="D1736" t="str">
            <v>KKM/JKN/HSA/10-05-01/H/15/780</v>
          </cell>
          <cell r="E1736" t="str">
            <v>SYRINGE INFUSION PUMP</v>
          </cell>
          <cell r="F1736" t="str">
            <v>FRESENIUS KABI</v>
          </cell>
          <cell r="G1736" t="str">
            <v>INJECTOMAT MC AGILIA</v>
          </cell>
          <cell r="H1736" t="str">
            <v>22231707</v>
          </cell>
          <cell r="I1736" t="str">
            <v>ANNUALLY</v>
          </cell>
          <cell r="J1736">
            <v>45768</v>
          </cell>
          <cell r="K1736"/>
          <cell r="L1736"/>
          <cell r="M1736"/>
          <cell r="N1736" t="str">
            <v>JABATAN PEDIATRIK</v>
          </cell>
          <cell r="O1736" t="str">
            <v>Unit Rawatan Rapi Neonatal (NICU)</v>
          </cell>
        </row>
        <row r="1737">
          <cell r="D1737" t="str">
            <v>KKM/JKN/HSA/10-05-01/H/15/781</v>
          </cell>
          <cell r="E1737" t="str">
            <v>SYRINGE INFUSION PUMP</v>
          </cell>
          <cell r="F1737" t="str">
            <v>FRESENIUS KABI</v>
          </cell>
          <cell r="G1737" t="str">
            <v>INJECTOMAT MC AGILIA</v>
          </cell>
          <cell r="H1737" t="str">
            <v>22230693</v>
          </cell>
          <cell r="I1737" t="str">
            <v>ANNUALLY</v>
          </cell>
          <cell r="J1737">
            <v>45768</v>
          </cell>
          <cell r="K1737"/>
          <cell r="L1737"/>
          <cell r="M1737"/>
          <cell r="N1737" t="str">
            <v>JABATAN PEDIATRIK</v>
          </cell>
          <cell r="O1737" t="str">
            <v>Unit Rawatan Rapi Neonatal (NICU)</v>
          </cell>
        </row>
        <row r="1738">
          <cell r="D1738" t="str">
            <v>KKM/JKN/HSA/10-05-01/H/15/783</v>
          </cell>
          <cell r="E1738" t="str">
            <v>SYRINGE INFUSION PUMP</v>
          </cell>
          <cell r="F1738" t="str">
            <v>FRESENIUS KABI</v>
          </cell>
          <cell r="G1738" t="str">
            <v>INJECTOMAT MC AGILIA</v>
          </cell>
          <cell r="H1738" t="str">
            <v>22233625</v>
          </cell>
          <cell r="I1738" t="str">
            <v>ANNUALLY</v>
          </cell>
          <cell r="J1738">
            <v>45768</v>
          </cell>
          <cell r="K1738"/>
          <cell r="L1738"/>
          <cell r="M1738"/>
          <cell r="N1738" t="str">
            <v>JABATAN PEDIATRIK</v>
          </cell>
          <cell r="O1738" t="str">
            <v>Unit Rawatan Rapi Neonatal (NICU)</v>
          </cell>
        </row>
        <row r="1739">
          <cell r="D1739" t="str">
            <v>KKM/JKN/HSA/10-05-01/H/15/788</v>
          </cell>
          <cell r="E1739" t="str">
            <v>SYRINGE INFUSION PUMP</v>
          </cell>
          <cell r="F1739" t="str">
            <v>FRESENIUS KABI</v>
          </cell>
          <cell r="G1739" t="str">
            <v>INJECTOMAT MC AGILIA</v>
          </cell>
          <cell r="H1739" t="str">
            <v>22231729</v>
          </cell>
          <cell r="I1739" t="str">
            <v>ANNUALLY</v>
          </cell>
          <cell r="J1739">
            <v>46024</v>
          </cell>
          <cell r="K1739"/>
          <cell r="L1739"/>
          <cell r="M1739"/>
          <cell r="N1739" t="str">
            <v>JABATAN PEDIATRIK</v>
          </cell>
          <cell r="O1739" t="str">
            <v>Unit Rawatan Rapi Neonatal (NICU)</v>
          </cell>
        </row>
        <row r="1740">
          <cell r="D1740" t="str">
            <v>KKM/JKN/HSA/10-05-01/H/15/790</v>
          </cell>
          <cell r="E1740" t="str">
            <v>SYRINGE INFUSION PUMP</v>
          </cell>
          <cell r="F1740" t="str">
            <v>FRESENIUS KABI</v>
          </cell>
          <cell r="G1740" t="str">
            <v>INJECTOMAT MC AGILIA</v>
          </cell>
          <cell r="H1740" t="str">
            <v>22233633</v>
          </cell>
          <cell r="I1740" t="str">
            <v>ANNUALLY</v>
          </cell>
          <cell r="J1740">
            <v>46024</v>
          </cell>
          <cell r="K1740"/>
          <cell r="L1740"/>
          <cell r="M1740"/>
          <cell r="N1740" t="str">
            <v>JABATAN PEDIATRIK</v>
          </cell>
          <cell r="O1740" t="str">
            <v>Unit Rawatan Rapi Neonatal (NICU)</v>
          </cell>
        </row>
        <row r="1741">
          <cell r="D1741" t="str">
            <v>KKM/JKN/HSA/10-05-01/H/15/792</v>
          </cell>
          <cell r="E1741" t="str">
            <v>SYRINGE INFUSION PUMP</v>
          </cell>
          <cell r="F1741" t="str">
            <v>FRESENIUS KABI</v>
          </cell>
          <cell r="G1741" t="str">
            <v>INJECTOMAT MC AGILIA</v>
          </cell>
          <cell r="H1741" t="str">
            <v>22231721</v>
          </cell>
          <cell r="I1741" t="str">
            <v>ANNUALLY</v>
          </cell>
          <cell r="J1741">
            <v>46024</v>
          </cell>
          <cell r="K1741"/>
          <cell r="L1741"/>
          <cell r="M1741"/>
          <cell r="N1741" t="str">
            <v>JABATAN PEDIATRIK</v>
          </cell>
          <cell r="O1741" t="str">
            <v>Unit Rawatan Rapi Neonatal (NICU)</v>
          </cell>
        </row>
        <row r="1742">
          <cell r="D1742" t="str">
            <v>KKM/JKN/HSA/10-05-01/H/15/793</v>
          </cell>
          <cell r="E1742" t="str">
            <v>SYRINGE INFUSION PUMP</v>
          </cell>
          <cell r="F1742" t="str">
            <v>FRESENIUS KABI</v>
          </cell>
          <cell r="G1742" t="str">
            <v>INJECTOMAT MC AGILIA</v>
          </cell>
          <cell r="H1742" t="str">
            <v>22233763</v>
          </cell>
          <cell r="I1742" t="str">
            <v>ANNUALLY</v>
          </cell>
          <cell r="J1742">
            <v>46024</v>
          </cell>
          <cell r="K1742"/>
          <cell r="L1742"/>
          <cell r="M1742"/>
          <cell r="N1742" t="str">
            <v>JABATAN PEDIATRIK</v>
          </cell>
          <cell r="O1742" t="str">
            <v>Unit Rawatan Rapi Neonatal (NICU)</v>
          </cell>
        </row>
        <row r="1743">
          <cell r="D1743" t="str">
            <v>KKM/JKN/HSA/10-05-01/H/15/794</v>
          </cell>
          <cell r="E1743" t="str">
            <v>SYRINGE INFUSION PUMP</v>
          </cell>
          <cell r="F1743" t="str">
            <v>FRESENIUS KABI</v>
          </cell>
          <cell r="G1743" t="str">
            <v>INJECTOMAT MC AGILIA</v>
          </cell>
          <cell r="H1743" t="str">
            <v>22233774</v>
          </cell>
          <cell r="I1743" t="str">
            <v>ANNUALLY</v>
          </cell>
          <cell r="J1743">
            <v>46024</v>
          </cell>
          <cell r="K1743"/>
          <cell r="L1743"/>
          <cell r="M1743"/>
          <cell r="N1743" t="str">
            <v>JABATAN PEDIATRIK</v>
          </cell>
          <cell r="O1743" t="str">
            <v>Unit Rawatan Rapi Neonatal (NICU)</v>
          </cell>
        </row>
        <row r="1744">
          <cell r="D1744" t="str">
            <v>KKM/JKN/HSA/10-05-01/H/15/795</v>
          </cell>
          <cell r="E1744" t="str">
            <v>SYRINGE INFUSION PUMP</v>
          </cell>
          <cell r="F1744" t="str">
            <v>FRESENIUS KABI</v>
          </cell>
          <cell r="G1744" t="str">
            <v>INJECTOMAT MC AGILIA</v>
          </cell>
          <cell r="H1744" t="str">
            <v>22231699</v>
          </cell>
          <cell r="I1744" t="str">
            <v>ANNUALLY</v>
          </cell>
          <cell r="J1744">
            <v>45735</v>
          </cell>
          <cell r="K1744"/>
          <cell r="L1744"/>
          <cell r="M1744"/>
          <cell r="N1744" t="str">
            <v>JABATAN PEDIATRIK</v>
          </cell>
          <cell r="O1744" t="str">
            <v>Unit Rawatan Rapi Neonatal (NICU)</v>
          </cell>
        </row>
        <row r="1745">
          <cell r="D1745" t="str">
            <v>KKM/JKN/HSA/10-05-01/H/15/796</v>
          </cell>
          <cell r="E1745" t="str">
            <v>SYRINGE INFUSION PUMP</v>
          </cell>
          <cell r="F1745" t="str">
            <v>FRESENIUS KABI</v>
          </cell>
          <cell r="G1745" t="str">
            <v>INJECTOMAT MC AGILIA</v>
          </cell>
          <cell r="H1745" t="str">
            <v>22231719</v>
          </cell>
          <cell r="I1745" t="str">
            <v>ANNUALLY</v>
          </cell>
          <cell r="J1745">
            <v>45735</v>
          </cell>
          <cell r="K1745"/>
          <cell r="L1745"/>
          <cell r="M1745"/>
          <cell r="N1745" t="str">
            <v>JABATAN PEDIATRIK</v>
          </cell>
          <cell r="O1745" t="str">
            <v>Unit Rawatan Rapi Neonatal (NICU)</v>
          </cell>
        </row>
        <row r="1746">
          <cell r="D1746" t="str">
            <v>KKM/JKN/HSA/10-05-01/H/15/798</v>
          </cell>
          <cell r="E1746" t="str">
            <v>SYRINGE INFUSION PUMP</v>
          </cell>
          <cell r="F1746" t="str">
            <v>FRESENIUS KABI</v>
          </cell>
          <cell r="G1746" t="str">
            <v>INJECTOMAT MC AGILIA</v>
          </cell>
          <cell r="H1746" t="str">
            <v>22231708</v>
          </cell>
          <cell r="I1746" t="str">
            <v>ANNUALLY</v>
          </cell>
          <cell r="J1746">
            <v>45735</v>
          </cell>
          <cell r="K1746"/>
          <cell r="L1746"/>
          <cell r="M1746"/>
          <cell r="N1746" t="str">
            <v>JABATAN PEDIATRIK</v>
          </cell>
          <cell r="O1746" t="str">
            <v>Unit Rawatan Rapi Neonatal (NICU)</v>
          </cell>
        </row>
        <row r="1747">
          <cell r="D1747" t="str">
            <v>KKM/JKN/HSA/10-05-01/H/15/799</v>
          </cell>
          <cell r="E1747" t="str">
            <v>SYRINGE INFUSION PUMP</v>
          </cell>
          <cell r="F1747" t="str">
            <v>FRESENIUS KABI</v>
          </cell>
          <cell r="G1747" t="str">
            <v>INJECTOMAT MC AGILIA</v>
          </cell>
          <cell r="H1747" t="str">
            <v>22231571</v>
          </cell>
          <cell r="I1747" t="str">
            <v>ANNUALLY</v>
          </cell>
          <cell r="J1747">
            <v>45735</v>
          </cell>
          <cell r="K1747"/>
          <cell r="L1747"/>
          <cell r="M1747"/>
          <cell r="N1747" t="str">
            <v>JABATAN PEDIATRIK</v>
          </cell>
          <cell r="O1747" t="str">
            <v>Unit Rawatan Rapi Neonatal (NICU)</v>
          </cell>
        </row>
        <row r="1748">
          <cell r="D1748" t="str">
            <v>KKM/JKN/HSA/10-05-01/H/15/800</v>
          </cell>
          <cell r="E1748" t="str">
            <v>SYRINGE INFUSION PUMP</v>
          </cell>
          <cell r="F1748" t="str">
            <v>FRESENIUS KABI</v>
          </cell>
          <cell r="G1748" t="str">
            <v>INJECTOMAT MC AGILIA</v>
          </cell>
          <cell r="H1748" t="str">
            <v>22233634</v>
          </cell>
          <cell r="I1748" t="str">
            <v>ANNUALLY</v>
          </cell>
          <cell r="J1748">
            <v>45735</v>
          </cell>
          <cell r="K1748"/>
          <cell r="L1748"/>
          <cell r="M1748"/>
          <cell r="N1748" t="str">
            <v>JABATAN PEDIATRIK</v>
          </cell>
          <cell r="O1748" t="str">
            <v>Unit Rawatan Rapi Neonatal (NICU)</v>
          </cell>
        </row>
        <row r="1749">
          <cell r="D1749" t="str">
            <v>KKM/JKN/HSA/10-05-01/H/15/801</v>
          </cell>
          <cell r="E1749" t="str">
            <v>SYRINGE INFUSION PUMP</v>
          </cell>
          <cell r="F1749" t="str">
            <v>FRESENIUS KABI</v>
          </cell>
          <cell r="G1749" t="str">
            <v>INJECTOMAT MC AGILIA</v>
          </cell>
          <cell r="H1749" t="str">
            <v>22235963</v>
          </cell>
          <cell r="I1749" t="str">
            <v>ANNUALLY</v>
          </cell>
          <cell r="J1749">
            <v>45742</v>
          </cell>
          <cell r="K1749"/>
          <cell r="L1749"/>
          <cell r="M1749"/>
          <cell r="N1749" t="str">
            <v>JABATAN PEDIATRIK</v>
          </cell>
          <cell r="O1749" t="str">
            <v>Unit Rawatan Rapi Neonatal (NICU)</v>
          </cell>
        </row>
        <row r="1750">
          <cell r="D1750" t="str">
            <v>KKM/JKN/HSA/10-05-01/H/15/802</v>
          </cell>
          <cell r="E1750" t="str">
            <v>SYRINGE INFUSION PUMP</v>
          </cell>
          <cell r="F1750" t="str">
            <v>FRESENIUS KABI</v>
          </cell>
          <cell r="G1750" t="str">
            <v>INJECTOMAT MC AGILIA</v>
          </cell>
          <cell r="H1750" t="str">
            <v>22233626</v>
          </cell>
          <cell r="I1750" t="str">
            <v>ANNUALLY</v>
          </cell>
          <cell r="J1750">
            <v>45742</v>
          </cell>
          <cell r="K1750"/>
          <cell r="L1750"/>
          <cell r="M1750"/>
          <cell r="N1750" t="str">
            <v>JABATAN PEDIATRIK</v>
          </cell>
          <cell r="O1750" t="str">
            <v>Unit Rawatan Rapi Neonatal (NICU)</v>
          </cell>
        </row>
        <row r="1751">
          <cell r="D1751" t="str">
            <v>KKM/JKN/HSA/10-05-01/H/15/803</v>
          </cell>
          <cell r="E1751" t="str">
            <v>SYRINGE INFUSION PUMP</v>
          </cell>
          <cell r="F1751" t="str">
            <v>FRESENIUS KABI</v>
          </cell>
          <cell r="G1751" t="str">
            <v>INJECTOMAT MC AGILIA</v>
          </cell>
          <cell r="H1751" t="str">
            <v>22233638</v>
          </cell>
          <cell r="I1751" t="str">
            <v>ANNUALLY</v>
          </cell>
          <cell r="J1751">
            <v>45742</v>
          </cell>
          <cell r="K1751"/>
          <cell r="L1751"/>
          <cell r="M1751"/>
          <cell r="N1751" t="str">
            <v>JABATAN PEDIATRIK</v>
          </cell>
          <cell r="O1751" t="str">
            <v>Unit Rawatan Rapi Neonatal (NICU)</v>
          </cell>
        </row>
        <row r="1752">
          <cell r="D1752" t="str">
            <v>KKM/JKN/HSA/10-05-01/H/15/804</v>
          </cell>
          <cell r="E1752" t="str">
            <v>SYRINGE INFUSION PUMP</v>
          </cell>
          <cell r="F1752" t="str">
            <v>FRESENIUS KABI</v>
          </cell>
          <cell r="G1752" t="str">
            <v>INJECTOMAT MC AGILIA</v>
          </cell>
          <cell r="H1752" t="str">
            <v>22231727</v>
          </cell>
          <cell r="I1752" t="str">
            <v>ANNUALLY</v>
          </cell>
          <cell r="J1752">
            <v>45742</v>
          </cell>
          <cell r="K1752"/>
          <cell r="L1752"/>
          <cell r="M1752"/>
          <cell r="N1752" t="str">
            <v>JABATAN PEDIATRIK</v>
          </cell>
          <cell r="O1752" t="str">
            <v>Unit Rawatan Rapi Neonatal (NICU)</v>
          </cell>
        </row>
        <row r="1753">
          <cell r="D1753" t="str">
            <v>KKM/JKN/HSA/10-05-01/H/15/805</v>
          </cell>
          <cell r="E1753" t="str">
            <v>SYRINGE INFUSION PUMP</v>
          </cell>
          <cell r="F1753" t="str">
            <v>FRESENIUS KABI</v>
          </cell>
          <cell r="G1753" t="str">
            <v>INJECTOMAT MC AGILIA</v>
          </cell>
          <cell r="H1753" t="str">
            <v>22231709</v>
          </cell>
          <cell r="I1753" t="str">
            <v>ANNUALLY</v>
          </cell>
          <cell r="J1753">
            <v>45742</v>
          </cell>
          <cell r="K1753"/>
          <cell r="L1753"/>
          <cell r="M1753"/>
          <cell r="N1753" t="str">
            <v>JABATAN PEDIATRIK</v>
          </cell>
          <cell r="O1753" t="str">
            <v>Unit Rawatan Rapi Neonatal (NICU)</v>
          </cell>
        </row>
        <row r="1754">
          <cell r="D1754" t="str">
            <v>KKM/JKN/HSA/10-05-01/H/15/806</v>
          </cell>
          <cell r="E1754" t="str">
            <v>SYRINGE INFUSION PUMP</v>
          </cell>
          <cell r="F1754" t="str">
            <v>FRESENIUS KABI</v>
          </cell>
          <cell r="G1754" t="str">
            <v>INJECTOMAT MC AGILIA</v>
          </cell>
          <cell r="H1754" t="str">
            <v>22233787</v>
          </cell>
          <cell r="I1754" t="str">
            <v>ANNUALLY</v>
          </cell>
          <cell r="J1754">
            <v>45742</v>
          </cell>
          <cell r="K1754"/>
          <cell r="L1754"/>
          <cell r="M1754"/>
          <cell r="N1754" t="str">
            <v>JABATAN PEDIATRIK</v>
          </cell>
          <cell r="O1754" t="str">
            <v>Unit Rawatan Rapi Neonatal (NICU)</v>
          </cell>
        </row>
        <row r="1755">
          <cell r="D1755" t="str">
            <v>KKM/JKN/HSA/10-05-01/H/15/807</v>
          </cell>
          <cell r="E1755" t="str">
            <v>SYRINGE INFUSION PUMP</v>
          </cell>
          <cell r="F1755" t="str">
            <v>FRESENIUS KABI</v>
          </cell>
          <cell r="G1755" t="str">
            <v>INJECTOMAT MC AGILIA</v>
          </cell>
          <cell r="H1755" t="str">
            <v>22233624</v>
          </cell>
          <cell r="I1755" t="str">
            <v>ANNUALLY</v>
          </cell>
          <cell r="J1755">
            <v>45721</v>
          </cell>
          <cell r="K1755"/>
          <cell r="L1755"/>
          <cell r="M1755"/>
          <cell r="N1755" t="str">
            <v>JABATAN PEDIATRIK</v>
          </cell>
          <cell r="O1755" t="str">
            <v>Unit Rawatan Rapi Neonatal (NICU)</v>
          </cell>
        </row>
        <row r="1756">
          <cell r="D1756" t="str">
            <v>KKM/JKN/HSA/10-05-01/H/15/808</v>
          </cell>
          <cell r="E1756" t="str">
            <v>SYRINGE INFUSION PUMP</v>
          </cell>
          <cell r="F1756" t="str">
            <v>FRESENIUS KABI</v>
          </cell>
          <cell r="G1756" t="str">
            <v>INJECTOMAT MC AGILIA</v>
          </cell>
          <cell r="H1756" t="str">
            <v>22231710</v>
          </cell>
          <cell r="I1756" t="str">
            <v>ANNUALLY</v>
          </cell>
          <cell r="J1756">
            <v>45721</v>
          </cell>
          <cell r="K1756"/>
          <cell r="L1756"/>
          <cell r="M1756"/>
          <cell r="N1756" t="str">
            <v>JABATAN PEDIATRIK</v>
          </cell>
          <cell r="O1756" t="str">
            <v>Unit Rawatan Rapi Neonatal (NICU)</v>
          </cell>
        </row>
        <row r="1757">
          <cell r="D1757" t="str">
            <v>KKM/JKN/HSA/10-05-01/H/15/809</v>
          </cell>
          <cell r="E1757" t="str">
            <v>SYRINGE INFUSION PUMP</v>
          </cell>
          <cell r="F1757" t="str">
            <v>FRESENIUS KABI</v>
          </cell>
          <cell r="G1757" t="str">
            <v>INJECTOMAT MC AGILIA</v>
          </cell>
          <cell r="H1757" t="str">
            <v>22233768</v>
          </cell>
          <cell r="I1757" t="str">
            <v>ANNUALLY</v>
          </cell>
          <cell r="J1757">
            <v>45721</v>
          </cell>
          <cell r="K1757"/>
          <cell r="L1757"/>
          <cell r="M1757"/>
          <cell r="N1757" t="str">
            <v>JABATAN PEDIATRIK</v>
          </cell>
          <cell r="O1757" t="str">
            <v>Unit Rawatan Rapi Neonatal (NICU)</v>
          </cell>
        </row>
        <row r="1758">
          <cell r="D1758" t="str">
            <v>KKM/JKN/HSA/10-05-01/H/15/810</v>
          </cell>
          <cell r="E1758" t="str">
            <v>SYRINGE INFUSION PUMP</v>
          </cell>
          <cell r="F1758" t="str">
            <v>FRESENIUS KABI</v>
          </cell>
          <cell r="G1758" t="str">
            <v>INJECTOMAT MC AGILIA</v>
          </cell>
          <cell r="H1758" t="str">
            <v>22231718</v>
          </cell>
          <cell r="I1758" t="str">
            <v>ANNUALLY</v>
          </cell>
          <cell r="J1758">
            <v>45721</v>
          </cell>
          <cell r="K1758"/>
          <cell r="L1758"/>
          <cell r="M1758"/>
          <cell r="N1758" t="str">
            <v>JABATAN PEDIATRIK</v>
          </cell>
          <cell r="O1758" t="str">
            <v>Unit Rawatan Rapi Neonatal (NICU)</v>
          </cell>
        </row>
        <row r="1759">
          <cell r="D1759" t="str">
            <v>KKM/JKN/HSA/10-05-01/H/15/811</v>
          </cell>
          <cell r="E1759" t="str">
            <v>SYRINGE INFUSION PUMP</v>
          </cell>
          <cell r="F1759" t="str">
            <v>FRESENIUS KABI</v>
          </cell>
          <cell r="G1759" t="str">
            <v>INJECTOMAT MC AGILIA</v>
          </cell>
          <cell r="H1759" t="str">
            <v>22233671</v>
          </cell>
          <cell r="I1759" t="str">
            <v>ANNUALLY</v>
          </cell>
          <cell r="J1759">
            <v>45720</v>
          </cell>
          <cell r="K1759"/>
          <cell r="L1759"/>
          <cell r="M1759"/>
          <cell r="N1759" t="str">
            <v>JABATAN PEDIATRIK</v>
          </cell>
          <cell r="O1759" t="str">
            <v>Unit Rawatan Rapi Neonatal (NICU)</v>
          </cell>
        </row>
        <row r="1760">
          <cell r="D1760" t="str">
            <v>KKM/JKN/HSA/10-05-01/H/15/812</v>
          </cell>
          <cell r="E1760" t="str">
            <v>SYRINGE INFUSION PUMP</v>
          </cell>
          <cell r="F1760" t="str">
            <v>FRESENIUS KABI</v>
          </cell>
          <cell r="G1760" t="str">
            <v>INJECTOMAT MC AGILIA</v>
          </cell>
          <cell r="H1760" t="str">
            <v>22233778</v>
          </cell>
          <cell r="I1760" t="str">
            <v>ANNUALLY</v>
          </cell>
          <cell r="J1760">
            <v>45720</v>
          </cell>
          <cell r="K1760"/>
          <cell r="L1760"/>
          <cell r="M1760"/>
          <cell r="N1760" t="str">
            <v>JABATAN PEDIATRIK</v>
          </cell>
          <cell r="O1760" t="str">
            <v>Unit Rawatan Rapi Neonatal (NICU)</v>
          </cell>
        </row>
        <row r="1761">
          <cell r="D1761" t="str">
            <v>KKM/JKN/HSA/10-05-01/H/15/813</v>
          </cell>
          <cell r="E1761" t="str">
            <v>SYRINGE INFUSION PUMP</v>
          </cell>
          <cell r="F1761" t="str">
            <v>FRESENIUS KABI</v>
          </cell>
          <cell r="G1761" t="str">
            <v>INJECTOMAT MC AGILIA</v>
          </cell>
          <cell r="H1761" t="str">
            <v>22235936</v>
          </cell>
          <cell r="I1761" t="str">
            <v>ANNUALLY</v>
          </cell>
          <cell r="J1761">
            <v>45756</v>
          </cell>
          <cell r="K1761"/>
          <cell r="L1761"/>
          <cell r="M1761"/>
          <cell r="N1761" t="str">
            <v>JABATAN PEDIATRIK</v>
          </cell>
          <cell r="O1761" t="str">
            <v>Unit Rawatan Rapi Neonatal (NICU)</v>
          </cell>
        </row>
        <row r="1762">
          <cell r="D1762" t="str">
            <v>KKM/JKN/HSA/10-05-01/H/15/814</v>
          </cell>
          <cell r="E1762" t="str">
            <v>SYRINGE INFUSION PUMP</v>
          </cell>
          <cell r="F1762" t="str">
            <v>FRESENIUS KABI</v>
          </cell>
          <cell r="G1762" t="str">
            <v>INJECTOMAT MC AGILIA</v>
          </cell>
          <cell r="H1762" t="str">
            <v>22233627</v>
          </cell>
          <cell r="I1762" t="str">
            <v>ANNUALLY</v>
          </cell>
          <cell r="J1762">
            <v>45756</v>
          </cell>
          <cell r="K1762"/>
          <cell r="L1762"/>
          <cell r="M1762"/>
          <cell r="N1762" t="str">
            <v>JABATAN PEDIATRIK</v>
          </cell>
          <cell r="O1762" t="str">
            <v>Unit Rawatan Rapi Neonatal (NICU)</v>
          </cell>
        </row>
        <row r="1763">
          <cell r="D1763" t="str">
            <v>KKM/JKN/HSA/10-05-01/H/15/815</v>
          </cell>
          <cell r="E1763" t="str">
            <v>SYRINGE INFUSION PUMP</v>
          </cell>
          <cell r="F1763" t="str">
            <v>FRESENIUS KABI</v>
          </cell>
          <cell r="G1763" t="str">
            <v>INJECTOMAT MC AGILIA</v>
          </cell>
          <cell r="H1763" t="str">
            <v>22230699</v>
          </cell>
          <cell r="I1763" t="str">
            <v>ANNUALLY</v>
          </cell>
          <cell r="J1763">
            <v>45756</v>
          </cell>
          <cell r="K1763"/>
          <cell r="L1763"/>
          <cell r="M1763"/>
          <cell r="N1763" t="str">
            <v>JABATAN PEDIATRIK</v>
          </cell>
          <cell r="O1763" t="str">
            <v>Unit Rawatan Rapi Neonatal (NICU)</v>
          </cell>
        </row>
        <row r="1764">
          <cell r="D1764" t="str">
            <v>KKM/JKN/HSA/10-05-01/H/15/816</v>
          </cell>
          <cell r="E1764" t="str">
            <v>SYRINGE INFUSION PUMP</v>
          </cell>
          <cell r="F1764" t="str">
            <v>FRESENIUS KABI</v>
          </cell>
          <cell r="G1764" t="str">
            <v>INJECTOMAT MC AGILIA</v>
          </cell>
          <cell r="H1764" t="str">
            <v>22233786</v>
          </cell>
          <cell r="I1764" t="str">
            <v>ANNUALLY</v>
          </cell>
          <cell r="J1764">
            <v>45756</v>
          </cell>
          <cell r="K1764"/>
          <cell r="L1764"/>
          <cell r="M1764"/>
          <cell r="N1764" t="str">
            <v>JABATAN PEDIATRIK</v>
          </cell>
          <cell r="O1764" t="str">
            <v>Unit Rawatan Rapi Neonatal (NICU)</v>
          </cell>
        </row>
        <row r="1765">
          <cell r="D1765" t="str">
            <v>KKM/JKN/HSA/10-05-01/H/15/818</v>
          </cell>
          <cell r="E1765" t="str">
            <v>SYRINGE INFUSION PUMP</v>
          </cell>
          <cell r="F1765" t="str">
            <v>FRESENIUS KABI</v>
          </cell>
          <cell r="G1765" t="str">
            <v>INJECTOMAT MC AGILIA</v>
          </cell>
          <cell r="H1765" t="str">
            <v>22233635</v>
          </cell>
          <cell r="I1765" t="str">
            <v>ANNUALLY</v>
          </cell>
          <cell r="J1765">
            <v>45756</v>
          </cell>
          <cell r="K1765"/>
          <cell r="L1765"/>
          <cell r="M1765"/>
          <cell r="N1765" t="str">
            <v>JABATAN PEDIATRIK</v>
          </cell>
          <cell r="O1765" t="str">
            <v>Unit Rawatan Rapi Neonatal (NICU)</v>
          </cell>
        </row>
        <row r="1766">
          <cell r="D1766" t="str">
            <v>KKM/JKN/HSA/10-05-01/H/15/819</v>
          </cell>
          <cell r="E1766" t="str">
            <v>SYRINGE INFUSION PUMP</v>
          </cell>
          <cell r="F1766" t="str">
            <v>FRESENIUS KABI</v>
          </cell>
          <cell r="G1766" t="str">
            <v>INJECTOMAT MC AGILIA</v>
          </cell>
          <cell r="H1766" t="str">
            <v>22233792</v>
          </cell>
          <cell r="I1766" t="str">
            <v>ANNUALLY</v>
          </cell>
          <cell r="J1766">
            <v>45756</v>
          </cell>
          <cell r="K1766"/>
          <cell r="L1766"/>
          <cell r="M1766"/>
          <cell r="N1766" t="str">
            <v>JABATAN PEDIATRIK</v>
          </cell>
          <cell r="O1766" t="str">
            <v>Unit Rawatan Rapi Neonatal (NICU)</v>
          </cell>
        </row>
        <row r="1767">
          <cell r="D1767" t="str">
            <v>KKM/JKN/HSA/10-05-01/H/15/821</v>
          </cell>
          <cell r="E1767" t="str">
            <v>SYRINGE INFUSION PUMP</v>
          </cell>
          <cell r="F1767" t="str">
            <v>FRESENIUS KABI</v>
          </cell>
          <cell r="G1767" t="str">
            <v>INJECTOMAT MC AGILIA</v>
          </cell>
          <cell r="H1767" t="str">
            <v>22233794</v>
          </cell>
          <cell r="I1767" t="str">
            <v>ANNUALLY</v>
          </cell>
          <cell r="J1767">
            <v>45762</v>
          </cell>
          <cell r="K1767"/>
          <cell r="L1767"/>
          <cell r="M1767"/>
          <cell r="N1767" t="str">
            <v>JABATAN PEDIATRIK</v>
          </cell>
          <cell r="O1767" t="str">
            <v>Unit Rawatan Rapi Neonatal (NICU)</v>
          </cell>
        </row>
        <row r="1768">
          <cell r="D1768" t="str">
            <v>KKM/JKN/HSA/10-05-01/H/15/823</v>
          </cell>
          <cell r="E1768" t="str">
            <v>SYRINGE INFUSION PUMP</v>
          </cell>
          <cell r="F1768" t="str">
            <v>FRESENIUS KABI</v>
          </cell>
          <cell r="G1768" t="str">
            <v>INJECTOMAT MC AGILIA</v>
          </cell>
          <cell r="H1768" t="str">
            <v>22233762</v>
          </cell>
          <cell r="I1768" t="str">
            <v>ANNUALLY</v>
          </cell>
          <cell r="J1768">
            <v>45762</v>
          </cell>
          <cell r="K1768"/>
          <cell r="L1768"/>
          <cell r="M1768"/>
          <cell r="N1768" t="str">
            <v>JABATAN PEDIATRIK</v>
          </cell>
          <cell r="O1768" t="str">
            <v>Unit Rawatan Rapi Neonatal (NICU)</v>
          </cell>
        </row>
        <row r="1769">
          <cell r="D1769" t="str">
            <v>KKM/JKN/HSA/10-05-01/H/15/825</v>
          </cell>
          <cell r="E1769" t="str">
            <v>SYRINGE INFUSION PUMP</v>
          </cell>
          <cell r="F1769" t="str">
            <v>FRESENIUS KABI</v>
          </cell>
          <cell r="G1769" t="str">
            <v>INJECTOMAT MC AGILIA</v>
          </cell>
          <cell r="H1769" t="str">
            <v>22233770</v>
          </cell>
          <cell r="I1769" t="str">
            <v>ANNUALLY</v>
          </cell>
          <cell r="J1769">
            <v>45761</v>
          </cell>
          <cell r="K1769"/>
          <cell r="L1769"/>
          <cell r="M1769"/>
          <cell r="N1769" t="str">
            <v>JABATAN PEDIATRIK</v>
          </cell>
          <cell r="O1769" t="str">
            <v>Unit Rawatan Rapi Neonatal (NICU)</v>
          </cell>
        </row>
        <row r="1770">
          <cell r="D1770" t="str">
            <v>KKM/JKN/HSA/10-05-01/H/15/827</v>
          </cell>
          <cell r="E1770" t="str">
            <v>SYRINGE INFUSION PUMP</v>
          </cell>
          <cell r="F1770" t="str">
            <v>FRESENIUS KABI</v>
          </cell>
          <cell r="G1770" t="str">
            <v>INJECTOMAT MC AGILIA</v>
          </cell>
          <cell r="H1770" t="str">
            <v>22231688</v>
          </cell>
          <cell r="I1770" t="str">
            <v>ANNUALLY</v>
          </cell>
          <cell r="J1770">
            <v>45763</v>
          </cell>
          <cell r="K1770"/>
          <cell r="L1770"/>
          <cell r="M1770"/>
          <cell r="N1770" t="str">
            <v>JABATAN PEDIATRIK</v>
          </cell>
          <cell r="O1770" t="str">
            <v>Unit Rawatan Rapi Neonatal (NICU)</v>
          </cell>
        </row>
        <row r="1771">
          <cell r="D1771" t="str">
            <v>KKM/JKN/HSA/10-05-01/H/15/829</v>
          </cell>
          <cell r="E1771" t="str">
            <v>SYRINGE INFUSION PUMP</v>
          </cell>
          <cell r="F1771" t="str">
            <v>FRESENIUS KABI</v>
          </cell>
          <cell r="G1771" t="str">
            <v>INJECTOMAT MC AGILIA</v>
          </cell>
          <cell r="H1771" t="str">
            <v>22233632</v>
          </cell>
          <cell r="I1771" t="str">
            <v>ANNUALLY</v>
          </cell>
          <cell r="J1771">
            <v>45763</v>
          </cell>
          <cell r="K1771"/>
          <cell r="L1771"/>
          <cell r="M1771"/>
          <cell r="N1771" t="str">
            <v>JABATAN PEDIATRIK</v>
          </cell>
          <cell r="O1771" t="str">
            <v>Unit Rawatan Rapi Neonatal (NICU)</v>
          </cell>
        </row>
        <row r="1772">
          <cell r="D1772" t="str">
            <v>KKM/JKN/HSA/10-05-01/H/15/831</v>
          </cell>
          <cell r="E1772" t="str">
            <v>SYRINGE INFUSION PUMP</v>
          </cell>
          <cell r="F1772" t="str">
            <v>FRESENIUS KABI</v>
          </cell>
          <cell r="G1772" t="str">
            <v>INJECTOMAT MC AGILIA</v>
          </cell>
          <cell r="H1772" t="str">
            <v>22231681</v>
          </cell>
          <cell r="I1772" t="str">
            <v>ANNUALLY</v>
          </cell>
          <cell r="J1772">
            <v>45763</v>
          </cell>
          <cell r="K1772"/>
          <cell r="L1772"/>
          <cell r="M1772"/>
          <cell r="N1772" t="str">
            <v>JABATAN PEDIATRIK</v>
          </cell>
          <cell r="O1772" t="str">
            <v>Unit Rawatan Rapi Neonatal (NICU)</v>
          </cell>
        </row>
        <row r="1773">
          <cell r="D1773" t="str">
            <v>KKM/JKN/HSA/10-05-01/H/15/833</v>
          </cell>
          <cell r="E1773" t="str">
            <v>SYRINGE INFUSION PUMP</v>
          </cell>
          <cell r="F1773" t="str">
            <v>FRESENIUS KABI</v>
          </cell>
          <cell r="G1773" t="str">
            <v>INJECTOMAT MC AGILIA</v>
          </cell>
          <cell r="H1773" t="str">
            <v>22231698</v>
          </cell>
          <cell r="I1773" t="str">
            <v>ANNUALLY</v>
          </cell>
          <cell r="J1773">
            <v>45769</v>
          </cell>
          <cell r="K1773"/>
          <cell r="L1773"/>
          <cell r="M1773"/>
          <cell r="N1773" t="str">
            <v>JABATAN PEDIATRIK</v>
          </cell>
          <cell r="O1773" t="str">
            <v>Unit Rawatan Rapi Neonatal (NICU)</v>
          </cell>
        </row>
        <row r="1774">
          <cell r="D1774" t="str">
            <v>KKM/JKN/HSA/10-05-01/H/15/834</v>
          </cell>
          <cell r="E1774" t="str">
            <v>SYRINGE INFUSION PUMP</v>
          </cell>
          <cell r="F1774" t="str">
            <v>FRESENIUS KABI</v>
          </cell>
          <cell r="G1774" t="str">
            <v>INJECTOMAT MC AGILIA</v>
          </cell>
          <cell r="H1774" t="str">
            <v>22231677</v>
          </cell>
          <cell r="I1774" t="str">
            <v>ANNUALLY</v>
          </cell>
          <cell r="J1774">
            <v>45769</v>
          </cell>
          <cell r="K1774"/>
          <cell r="L1774"/>
          <cell r="M1774"/>
          <cell r="N1774" t="str">
            <v>JABATAN PEDIATRIK</v>
          </cell>
          <cell r="O1774" t="str">
            <v>Unit Rawatan Rapi Neonatal (NICU)</v>
          </cell>
        </row>
        <row r="1775">
          <cell r="D1775" t="str">
            <v>KKM/JKN/HSA/10-05-01/H/15/838</v>
          </cell>
          <cell r="E1775" t="str">
            <v>SYRINGE INFUSION PUMP</v>
          </cell>
          <cell r="F1775" t="str">
            <v>FRESENIUS KABI</v>
          </cell>
          <cell r="G1775" t="str">
            <v>INJECTOMAT MC AGILIA</v>
          </cell>
          <cell r="H1775" t="str">
            <v>22231700</v>
          </cell>
          <cell r="I1775" t="str">
            <v>ANNUALLY</v>
          </cell>
          <cell r="J1775">
            <v>45769</v>
          </cell>
          <cell r="K1775"/>
          <cell r="L1775"/>
          <cell r="M1775"/>
          <cell r="N1775" t="str">
            <v>JABATAN PEDIATRIK</v>
          </cell>
          <cell r="O1775" t="str">
            <v>Unit Rawatan Rapi Neonatal (NICU)</v>
          </cell>
        </row>
        <row r="1776">
          <cell r="D1776" t="str">
            <v>KKM/JKN/HSA/10-05-01/H/15/843</v>
          </cell>
          <cell r="E1776" t="str">
            <v>SYRINGE INFUSION PUMP</v>
          </cell>
          <cell r="F1776" t="str">
            <v>FRESENIUS KABI</v>
          </cell>
          <cell r="G1776" t="str">
            <v>INJECTOMAT MC AGILIA</v>
          </cell>
          <cell r="H1776" t="str">
            <v>22233781</v>
          </cell>
          <cell r="I1776" t="str">
            <v>ANNUALLY</v>
          </cell>
          <cell r="J1776">
            <v>45770</v>
          </cell>
          <cell r="K1776"/>
          <cell r="L1776"/>
          <cell r="M1776"/>
          <cell r="N1776" t="str">
            <v>JABATAN PEDIATRIK</v>
          </cell>
          <cell r="O1776" t="str">
            <v>Unit Rawatan Rapi Neonatal (NICU)</v>
          </cell>
        </row>
        <row r="1777">
          <cell r="D1777" t="str">
            <v>KKM/JKN/HSA/10-05-01/H/15/844</v>
          </cell>
          <cell r="E1777" t="str">
            <v>SYRINGE INFUSION PUMP</v>
          </cell>
          <cell r="F1777" t="str">
            <v>FRESENIUS KABI</v>
          </cell>
          <cell r="G1777" t="str">
            <v>INJECTOMAT MC AGILIA</v>
          </cell>
          <cell r="H1777" t="str">
            <v>22233621</v>
          </cell>
          <cell r="I1777" t="str">
            <v>ANNUALLY</v>
          </cell>
          <cell r="J1777">
            <v>45770</v>
          </cell>
          <cell r="K1777"/>
          <cell r="L1777"/>
          <cell r="M1777"/>
          <cell r="N1777" t="str">
            <v>JABATAN PEDIATRIK</v>
          </cell>
          <cell r="O1777" t="str">
            <v>Unit Rawatan Rapi Neonatal (NICU)</v>
          </cell>
        </row>
        <row r="1778">
          <cell r="D1778" t="str">
            <v>KKM/JKN/HSA/10-05-01/H/15/845</v>
          </cell>
          <cell r="E1778" t="str">
            <v>SYRINGE INFUSION PUMP</v>
          </cell>
          <cell r="F1778" t="str">
            <v>FRESENIUS KABI</v>
          </cell>
          <cell r="G1778" t="str">
            <v>INJECTOMAT MC AGILIA</v>
          </cell>
          <cell r="H1778" t="str">
            <v>22233798</v>
          </cell>
          <cell r="I1778" t="str">
            <v>ANNUALLY</v>
          </cell>
          <cell r="J1778">
            <v>45770</v>
          </cell>
          <cell r="K1778"/>
          <cell r="L1778"/>
          <cell r="M1778"/>
          <cell r="N1778" t="str">
            <v>JABATAN PEDIATRIK</v>
          </cell>
          <cell r="O1778" t="str">
            <v>Unit Rawatan Rapi Neonatal (NICU)</v>
          </cell>
        </row>
        <row r="1779">
          <cell r="D1779" t="str">
            <v>KKM/JKN/HSA/10-05-01/H/15/846</v>
          </cell>
          <cell r="E1779" t="str">
            <v>SYRINGE INFUSION PUMP</v>
          </cell>
          <cell r="F1779" t="str">
            <v>FRESENIUS KABI</v>
          </cell>
          <cell r="G1779" t="str">
            <v>INJECTOMAT MC AGILIA</v>
          </cell>
          <cell r="H1779" t="str">
            <v>22231553</v>
          </cell>
          <cell r="I1779" t="str">
            <v>ANNUALLY</v>
          </cell>
          <cell r="J1779">
            <v>45733</v>
          </cell>
          <cell r="K1779"/>
          <cell r="L1779"/>
          <cell r="M1779"/>
          <cell r="N1779" t="str">
            <v>JABATAN PEDIATRIK</v>
          </cell>
          <cell r="O1779" t="str">
            <v>Unit Rawatan Rapi Neonatal (NICU)</v>
          </cell>
        </row>
        <row r="1780">
          <cell r="D1780" t="str">
            <v>KKM/JKN/HSA/10-05-01/H/15/847</v>
          </cell>
          <cell r="E1780" t="str">
            <v>SYRINGE INFUSION PUMP</v>
          </cell>
          <cell r="F1780" t="str">
            <v>FRESENIUS KABI</v>
          </cell>
          <cell r="G1780" t="str">
            <v>INJECTOMAT MC AGILIA</v>
          </cell>
          <cell r="H1780" t="str">
            <v>22233636</v>
          </cell>
          <cell r="I1780" t="str">
            <v>ANNUALLY</v>
          </cell>
          <cell r="J1780">
            <v>46024</v>
          </cell>
          <cell r="K1780"/>
          <cell r="L1780"/>
          <cell r="M1780"/>
          <cell r="N1780" t="str">
            <v>JABATAN PEDIATRIK</v>
          </cell>
          <cell r="O1780" t="str">
            <v>Unit Rawatan Rapi Neonatal (NICU)</v>
          </cell>
        </row>
        <row r="1781">
          <cell r="D1781" t="str">
            <v>KKM/JKN/HSA/10-05-01/H/15/848</v>
          </cell>
          <cell r="E1781" t="str">
            <v>SYRINGE INFUSION PUMP</v>
          </cell>
          <cell r="F1781" t="str">
            <v>FRESENIUS KABI</v>
          </cell>
          <cell r="G1781" t="str">
            <v>INJECTOMAT MC AGILIA</v>
          </cell>
          <cell r="H1781" t="str">
            <v>22231842</v>
          </cell>
          <cell r="I1781" t="str">
            <v>ANNUALLY</v>
          </cell>
          <cell r="J1781">
            <v>46024</v>
          </cell>
          <cell r="K1781"/>
          <cell r="L1781"/>
          <cell r="M1781"/>
          <cell r="N1781" t="str">
            <v>JABATAN PEDIATRIK</v>
          </cell>
          <cell r="O1781" t="str">
            <v>Unit Rawatan Rapi Neonatal (NICU)</v>
          </cell>
        </row>
        <row r="1782">
          <cell r="D1782" t="str">
            <v>KKM/JKN/HSA/10-05-01/H/15/849</v>
          </cell>
          <cell r="E1782" t="str">
            <v>SYRINGE INFUSION PUMP</v>
          </cell>
          <cell r="F1782" t="str">
            <v>FRESENIUS KABI</v>
          </cell>
          <cell r="G1782" t="str">
            <v>INJECTOMAT MC AGILIA</v>
          </cell>
          <cell r="H1782" t="str">
            <v>22233788</v>
          </cell>
          <cell r="I1782" t="str">
            <v>ANNUALLY</v>
          </cell>
          <cell r="J1782">
            <v>46024</v>
          </cell>
          <cell r="K1782"/>
          <cell r="L1782"/>
          <cell r="M1782"/>
          <cell r="N1782" t="str">
            <v>JABATAN PEDIATRIK</v>
          </cell>
          <cell r="O1782" t="str">
            <v>Unit Rawatan Rapi Neonatal (NICU)</v>
          </cell>
        </row>
        <row r="1783">
          <cell r="D1783" t="str">
            <v>KKM/JKN/HSA/10-05-01/H/15/850</v>
          </cell>
          <cell r="E1783" t="str">
            <v>SYRINGE INFUSION PUMP</v>
          </cell>
          <cell r="F1783" t="str">
            <v>FRESENIUS KABI</v>
          </cell>
          <cell r="G1783" t="str">
            <v>INJECTOMAT MC AGILIA</v>
          </cell>
          <cell r="H1783" t="str">
            <v>22233780</v>
          </cell>
          <cell r="I1783" t="str">
            <v>ANNUALLY</v>
          </cell>
          <cell r="J1783">
            <v>46024</v>
          </cell>
          <cell r="K1783"/>
          <cell r="L1783"/>
          <cell r="M1783"/>
          <cell r="N1783" t="str">
            <v>JABATAN PEDIATRIK</v>
          </cell>
          <cell r="O1783" t="str">
            <v>Unit Rawatan Rapi Neonatal (NICU)</v>
          </cell>
        </row>
        <row r="1784">
          <cell r="D1784" t="str">
            <v>KKM/JKN/HSA/10-05-01/H/15/851</v>
          </cell>
          <cell r="E1784" t="str">
            <v>SYRINGE INFUSION PUMP</v>
          </cell>
          <cell r="F1784" t="str">
            <v>FRESENIUS KABI</v>
          </cell>
          <cell r="G1784" t="str">
            <v>INJECTOMAT MC AGILIA</v>
          </cell>
          <cell r="H1784" t="str">
            <v>22233623</v>
          </cell>
          <cell r="I1784" t="str">
            <v>ANNUALLY</v>
          </cell>
          <cell r="J1784">
            <v>46024</v>
          </cell>
          <cell r="K1784"/>
          <cell r="L1784"/>
          <cell r="M1784"/>
          <cell r="N1784" t="str">
            <v>JABATAN PEDIATRIK</v>
          </cell>
          <cell r="O1784" t="str">
            <v>Unit Rawatan Rapi Neonatal (NICU)</v>
          </cell>
        </row>
        <row r="1785">
          <cell r="D1785" t="str">
            <v>KKM/JKN/HSA/10-05-01/H/15/852</v>
          </cell>
          <cell r="E1785" t="str">
            <v>SYRINGE INFUSION PUMP</v>
          </cell>
          <cell r="F1785" t="str">
            <v>FRESENIUS KABI</v>
          </cell>
          <cell r="G1785" t="str">
            <v>INJECTOMAT MC AGILIA</v>
          </cell>
          <cell r="H1785" t="str">
            <v>22231717</v>
          </cell>
          <cell r="I1785" t="str">
            <v>ANNUALLY</v>
          </cell>
          <cell r="J1785">
            <v>45733</v>
          </cell>
          <cell r="K1785"/>
          <cell r="L1785"/>
          <cell r="M1785"/>
          <cell r="N1785" t="str">
            <v>JABATAN PEDIATRIK</v>
          </cell>
          <cell r="O1785" t="str">
            <v>Unit Rawatan Rapi Neonatal (NICU)</v>
          </cell>
        </row>
        <row r="1786">
          <cell r="D1786" t="str">
            <v>KKM/JKN/HSA/10-05-01/H/15/853</v>
          </cell>
          <cell r="E1786" t="str">
            <v>SYRINGE INFUSION PUMP</v>
          </cell>
          <cell r="F1786" t="str">
            <v>FRESENIUS KABI</v>
          </cell>
          <cell r="G1786" t="str">
            <v>INJECTOMAT MC AGILIA</v>
          </cell>
          <cell r="H1786" t="str">
            <v>22231720</v>
          </cell>
          <cell r="I1786" t="str">
            <v>ANNUALLY</v>
          </cell>
          <cell r="J1786">
            <v>45733</v>
          </cell>
          <cell r="K1786"/>
          <cell r="L1786"/>
          <cell r="M1786"/>
          <cell r="N1786" t="str">
            <v>JABATAN PEDIATRIK</v>
          </cell>
          <cell r="O1786" t="str">
            <v>Unit Rawatan Rapi Neonatal (NICU)</v>
          </cell>
        </row>
        <row r="1787">
          <cell r="D1787" t="str">
            <v>KKM/JKN/HSA/10-05-01/H/15/854</v>
          </cell>
          <cell r="E1787" t="str">
            <v>SYRINGE INFUSION PUMP</v>
          </cell>
          <cell r="F1787" t="str">
            <v>FRESENIUS KABI</v>
          </cell>
          <cell r="G1787" t="str">
            <v>INJECTOMAT MC AGILIA</v>
          </cell>
          <cell r="H1787" t="str">
            <v>22231671</v>
          </cell>
          <cell r="I1787" t="str">
            <v>ANNUALLY</v>
          </cell>
          <cell r="J1787">
            <v>45733</v>
          </cell>
          <cell r="K1787"/>
          <cell r="L1787"/>
          <cell r="M1787"/>
          <cell r="N1787" t="str">
            <v>JABATAN PEDIATRIK</v>
          </cell>
          <cell r="O1787" t="str">
            <v>Unit Rawatan Rapi Neonatal (NICU)</v>
          </cell>
        </row>
        <row r="1788">
          <cell r="D1788" t="str">
            <v>KKM/JKN/HSA/10-05-01/H/15/855</v>
          </cell>
          <cell r="E1788" t="str">
            <v>SYRINGE INFUSION PUMP</v>
          </cell>
          <cell r="F1788" t="str">
            <v>FRESENIUS KABI</v>
          </cell>
          <cell r="G1788" t="str">
            <v>INJECTOMAT MC AGILIA</v>
          </cell>
          <cell r="H1788" t="str">
            <v>22231691</v>
          </cell>
          <cell r="I1788" t="str">
            <v>ANNUALLY</v>
          </cell>
          <cell r="J1788">
            <v>45733</v>
          </cell>
          <cell r="K1788"/>
          <cell r="L1788"/>
          <cell r="M1788"/>
          <cell r="N1788" t="str">
            <v>JABATAN PEDIATRIK</v>
          </cell>
          <cell r="O1788" t="str">
            <v>Unit Rawatan Rapi Neonatal (NICU)</v>
          </cell>
        </row>
        <row r="1789">
          <cell r="D1789" t="str">
            <v>KKM/JKN/HSA/10-05-01/H/15/856</v>
          </cell>
          <cell r="E1789" t="str">
            <v>SYRINGE INFUSION PUMP</v>
          </cell>
          <cell r="F1789" t="str">
            <v>FRESENIUS KABI</v>
          </cell>
          <cell r="G1789" t="str">
            <v>INJECTOMAT MC AGILIA</v>
          </cell>
          <cell r="H1789" t="str">
            <v>22231711</v>
          </cell>
          <cell r="I1789" t="str">
            <v>ANNUALLY</v>
          </cell>
          <cell r="J1789">
            <v>45733</v>
          </cell>
          <cell r="K1789"/>
          <cell r="L1789"/>
          <cell r="M1789"/>
          <cell r="N1789" t="str">
            <v>JABATAN PEDIATRIK</v>
          </cell>
          <cell r="O1789" t="str">
            <v>Unit Rawatan Rapi Neonatal (NICU)</v>
          </cell>
        </row>
        <row r="1790">
          <cell r="D1790" t="str">
            <v>KKM/JKN/HSA/10-05-01/H/15/857</v>
          </cell>
          <cell r="E1790" t="str">
            <v>SYRINGE INFUSION PUMP</v>
          </cell>
          <cell r="F1790" t="str">
            <v>FRESENIUS KABI</v>
          </cell>
          <cell r="G1790" t="str">
            <v>INJECTOMAT MC AGILIA</v>
          </cell>
          <cell r="H1790" t="str">
            <v>22233793</v>
          </cell>
          <cell r="I1790" t="str">
            <v>ANNUALLY</v>
          </cell>
          <cell r="J1790">
            <v>45733</v>
          </cell>
          <cell r="K1790"/>
          <cell r="L1790"/>
          <cell r="M1790"/>
          <cell r="N1790" t="str">
            <v>JABATAN PEDIATRIK</v>
          </cell>
          <cell r="O1790" t="str">
            <v>Unit Rawatan Rapi Neonatal (NICU)</v>
          </cell>
        </row>
        <row r="1791">
          <cell r="D1791" t="str">
            <v>KKM/JKN/HSA/10-05-01/H/15/859</v>
          </cell>
          <cell r="E1791" t="str">
            <v>SYRINGE INFUSION PUMP</v>
          </cell>
          <cell r="F1791" t="str">
            <v>FRESENIUS KABI</v>
          </cell>
          <cell r="G1791" t="str">
            <v>INJECTOMAT MC AGILIA</v>
          </cell>
          <cell r="H1791" t="str">
            <v>22230698</v>
          </cell>
          <cell r="I1791" t="str">
            <v>ANNUALLY</v>
          </cell>
          <cell r="J1791">
            <v>45733</v>
          </cell>
          <cell r="K1791"/>
          <cell r="L1791"/>
          <cell r="M1791"/>
          <cell r="N1791" t="str">
            <v>JABATAN PEDIATRIK</v>
          </cell>
          <cell r="O1791" t="str">
            <v>Unit Rawatan Rapi Neonatal (NICU)</v>
          </cell>
        </row>
        <row r="1792">
          <cell r="D1792" t="str">
            <v>KKM/JKN/HSA/10-05-01/H/15/860</v>
          </cell>
          <cell r="E1792" t="str">
            <v>SYRINGE INFUSION PUMP</v>
          </cell>
          <cell r="F1792" t="str">
            <v>FRESENIUS KABI</v>
          </cell>
          <cell r="G1792" t="str">
            <v>INJECTOMAT MC AGILIA</v>
          </cell>
          <cell r="H1792" t="str">
            <v>22233796</v>
          </cell>
          <cell r="I1792" t="str">
            <v>ANNUALLY</v>
          </cell>
          <cell r="J1792">
            <v>45727</v>
          </cell>
          <cell r="K1792"/>
          <cell r="L1792"/>
          <cell r="M1792"/>
          <cell r="N1792" t="str">
            <v>JABATAN PEDIATRIK</v>
          </cell>
          <cell r="O1792" t="str">
            <v>Unit Rawatan Rapi Neonatal (NICU)</v>
          </cell>
        </row>
        <row r="1793">
          <cell r="D1793" t="str">
            <v>KKM/JKN/HSA/10-05-01/H/15/862</v>
          </cell>
          <cell r="E1793" t="str">
            <v>SYRINGE INFUSION PUMP</v>
          </cell>
          <cell r="F1793" t="str">
            <v>FRESENIUS KABI</v>
          </cell>
          <cell r="G1793" t="str">
            <v>INJECTOMAT MC AGILIA</v>
          </cell>
          <cell r="H1793" t="str">
            <v>22233773</v>
          </cell>
          <cell r="I1793" t="str">
            <v>ANNUALLY</v>
          </cell>
          <cell r="J1793">
            <v>45727</v>
          </cell>
          <cell r="K1793"/>
          <cell r="L1793"/>
          <cell r="M1793"/>
          <cell r="N1793" t="str">
            <v>JABATAN PEDIATRIK</v>
          </cell>
          <cell r="O1793" t="str">
            <v>Unit Rawatan Rapi Neonatal (NICU)</v>
          </cell>
        </row>
        <row r="1794">
          <cell r="D1794" t="str">
            <v>KKM/JKN/HSA/10-05-01/H/15/864</v>
          </cell>
          <cell r="E1794" t="str">
            <v>SYRINGE INFUSION PUMP</v>
          </cell>
          <cell r="F1794" t="str">
            <v>FRESENIUS KABI</v>
          </cell>
          <cell r="G1794" t="str">
            <v>INJECTOMAT MC AGILIA</v>
          </cell>
          <cell r="H1794" t="str">
            <v>22233771</v>
          </cell>
          <cell r="I1794" t="str">
            <v>ANNUALLY</v>
          </cell>
          <cell r="J1794">
            <v>45727</v>
          </cell>
          <cell r="K1794"/>
          <cell r="L1794"/>
          <cell r="M1794"/>
          <cell r="N1794" t="str">
            <v>JABATAN PEDIATRIK</v>
          </cell>
          <cell r="O1794" t="str">
            <v>Unit Rawatan Rapi Neonatal (NICU)</v>
          </cell>
        </row>
        <row r="1795">
          <cell r="D1795" t="str">
            <v>KKM/JKN/HSA/10-05-01/H/15/881</v>
          </cell>
          <cell r="E1795" t="str">
            <v>CENTRAL MONITORING SYSTEM</v>
          </cell>
          <cell r="F1795" t="str">
            <v>MINDRAY</v>
          </cell>
          <cell r="G1795" t="str">
            <v>HYPERVISOR VI</v>
          </cell>
          <cell r="H1795" t="str">
            <v>4CV4122V4M</v>
          </cell>
          <cell r="I1795" t="str">
            <v>ANNUALLY</v>
          </cell>
          <cell r="J1795">
            <v>45896</v>
          </cell>
          <cell r="K1795"/>
          <cell r="L1795"/>
          <cell r="M1795"/>
          <cell r="N1795" t="str">
            <v>JABATAN PEDIATRIK</v>
          </cell>
          <cell r="O1795" t="str">
            <v>Unit Rawatan Rapi Neonatal (NICU)</v>
          </cell>
        </row>
        <row r="1796">
          <cell r="D1796" t="str">
            <v>KKM/JKN/HSA/10-05-01/H/15/882</v>
          </cell>
          <cell r="E1796" t="str">
            <v>CENTRAL MONITORING SYSTEM</v>
          </cell>
          <cell r="F1796" t="str">
            <v>MINDRAY</v>
          </cell>
          <cell r="G1796" t="str">
            <v>HYPERVISOR VI</v>
          </cell>
          <cell r="H1796" t="str">
            <v>4CV4122V3W</v>
          </cell>
          <cell r="I1796" t="str">
            <v>ANNUALLY</v>
          </cell>
          <cell r="J1796">
            <v>45896</v>
          </cell>
          <cell r="K1796"/>
          <cell r="L1796"/>
          <cell r="M1796"/>
          <cell r="N1796" t="str">
            <v>JABATAN PEDIATRIK</v>
          </cell>
          <cell r="O1796" t="str">
            <v>Unit Rawatan Rapi Neonatal (NICU)</v>
          </cell>
        </row>
        <row r="1797">
          <cell r="D1797" t="str">
            <v>KKM/JKN/HSA/10-05-01/H/16/11</v>
          </cell>
          <cell r="E1797" t="str">
            <v>PHOTOTHERAPY RADIOMETER</v>
          </cell>
          <cell r="F1797" t="str">
            <v>NEOBLUE RADIOMETER</v>
          </cell>
          <cell r="G1797" t="str">
            <v>NEOBLUE PHOTOTHERAPY</v>
          </cell>
          <cell r="H1797" t="str">
            <v>13670</v>
          </cell>
          <cell r="I1797" t="str">
            <v>ANNUALLY</v>
          </cell>
          <cell r="J1797">
            <v>45722</v>
          </cell>
          <cell r="K1797"/>
          <cell r="L1797"/>
          <cell r="M1797"/>
          <cell r="N1797" t="str">
            <v>JABATAN PEDIATRIK</v>
          </cell>
          <cell r="O1797" t="str">
            <v>Unit Rawatan Rapi Neonatal (NICU)</v>
          </cell>
        </row>
        <row r="1798">
          <cell r="D1798" t="str">
            <v>KKM/JKN/HSA/10-05-01/H/16/123</v>
          </cell>
          <cell r="E1798" t="str">
            <v>Nitric Oxide Delivery Units</v>
          </cell>
          <cell r="F1798" t="str">
            <v xml:space="preserve">Bedfont </v>
          </cell>
          <cell r="G1798" t="str">
            <v>NOXBOXi</v>
          </cell>
          <cell r="H1798" t="str">
            <v>N/A</v>
          </cell>
          <cell r="I1798" t="str">
            <v>SEMI ANNUALLY</v>
          </cell>
          <cell r="J1798">
            <v>45802</v>
          </cell>
          <cell r="K1798">
            <v>45985</v>
          </cell>
          <cell r="L1798"/>
          <cell r="M1798"/>
          <cell r="N1798" t="str">
            <v>JABATAN PEDIATRIK</v>
          </cell>
          <cell r="O1798" t="str">
            <v>Unit Rawatan Rapi Neonatal (NICU)</v>
          </cell>
        </row>
        <row r="1799">
          <cell r="D1799" t="str">
            <v>KKM/JKN/HSA/10-05-01/H/16/132</v>
          </cell>
          <cell r="E1799" t="str">
            <v>PHOTOTHERAPY MACHINE (LAMP)</v>
          </cell>
          <cell r="F1799" t="str">
            <v>BISTOS</v>
          </cell>
          <cell r="G1799" t="str">
            <v>BT400</v>
          </cell>
          <cell r="H1799" t="str">
            <v>EAGA 0087</v>
          </cell>
          <cell r="I1799" t="str">
            <v>ANNUALLY</v>
          </cell>
          <cell r="J1799">
            <v>45706</v>
          </cell>
          <cell r="K1799"/>
          <cell r="L1799"/>
          <cell r="M1799"/>
          <cell r="N1799" t="str">
            <v>JABATAN PEDIATRIK</v>
          </cell>
          <cell r="O1799" t="str">
            <v>Unit Rawatan Rapi Neonatal (NICU)</v>
          </cell>
        </row>
        <row r="1800">
          <cell r="D1800" t="str">
            <v>KKM/JKN/HSA/10-05-01/H/16/133</v>
          </cell>
          <cell r="E1800" t="str">
            <v>PHOTOTHERAPY MACHINE (LAMP)</v>
          </cell>
          <cell r="F1800" t="str">
            <v>BISTOS</v>
          </cell>
          <cell r="G1800" t="str">
            <v>BT400</v>
          </cell>
          <cell r="H1800" t="str">
            <v>EAGA 0088</v>
          </cell>
          <cell r="I1800" t="str">
            <v>ANNUALLY</v>
          </cell>
          <cell r="J1800">
            <v>45706</v>
          </cell>
          <cell r="K1800"/>
          <cell r="L1800"/>
          <cell r="M1800"/>
          <cell r="N1800" t="str">
            <v>JABATAN PEDIATRIK</v>
          </cell>
          <cell r="O1800" t="str">
            <v>Unit Rawatan Rapi Neonatal (NICU)</v>
          </cell>
        </row>
        <row r="1801">
          <cell r="D1801" t="str">
            <v>KKM/JKN/HSA/10-05-01/H/16/134</v>
          </cell>
          <cell r="E1801" t="str">
            <v>PHOTOTHERAPY MACHINE (LAMP)</v>
          </cell>
          <cell r="F1801" t="str">
            <v>BISTOS</v>
          </cell>
          <cell r="G1801" t="str">
            <v>BT400</v>
          </cell>
          <cell r="H1801" t="str">
            <v>EAGA 0089</v>
          </cell>
          <cell r="I1801" t="str">
            <v>ANNUALLY</v>
          </cell>
          <cell r="J1801">
            <v>45706</v>
          </cell>
          <cell r="K1801"/>
          <cell r="L1801"/>
          <cell r="M1801"/>
          <cell r="N1801" t="str">
            <v>JABATAN PEDIATRIK</v>
          </cell>
          <cell r="O1801" t="str">
            <v>Unit Rawatan Rapi Neonatal (NICU)</v>
          </cell>
        </row>
        <row r="1802">
          <cell r="D1802" t="str">
            <v>KKM/JKN/HSA/10-05-01/H/16/135</v>
          </cell>
          <cell r="E1802" t="str">
            <v>PHOTOTHERAPY MACHINE (LAMP)</v>
          </cell>
          <cell r="F1802" t="str">
            <v>BISTOS</v>
          </cell>
          <cell r="G1802" t="str">
            <v>BT400</v>
          </cell>
          <cell r="H1802" t="str">
            <v>EAGA 0090</v>
          </cell>
          <cell r="I1802" t="str">
            <v>ANNUALLY</v>
          </cell>
          <cell r="J1802">
            <v>45706</v>
          </cell>
          <cell r="K1802"/>
          <cell r="L1802"/>
          <cell r="M1802"/>
          <cell r="N1802" t="str">
            <v>JABATAN PEDIATRIK</v>
          </cell>
          <cell r="O1802" t="str">
            <v>Unit Rawatan Rapi Neonatal (NICU)</v>
          </cell>
        </row>
        <row r="1803">
          <cell r="D1803" t="str">
            <v>KKM/JKN/HSA/10-05-01/H/16/136</v>
          </cell>
          <cell r="E1803" t="str">
            <v>PHOTOTHERAPY MACHINE (LAMP)</v>
          </cell>
          <cell r="F1803" t="str">
            <v>BISTOS</v>
          </cell>
          <cell r="G1803" t="str">
            <v>BT400</v>
          </cell>
          <cell r="H1803" t="str">
            <v>EAGA 0091</v>
          </cell>
          <cell r="I1803" t="str">
            <v>ANNUALLY</v>
          </cell>
          <cell r="J1803">
            <v>45706</v>
          </cell>
          <cell r="K1803"/>
          <cell r="L1803"/>
          <cell r="M1803"/>
          <cell r="N1803" t="str">
            <v>JABATAN PEDIATRIK</v>
          </cell>
          <cell r="O1803" t="str">
            <v>Unit Rawatan Rapi Neonatal (NICU)</v>
          </cell>
        </row>
        <row r="1804">
          <cell r="D1804" t="str">
            <v>KKM/JKN/HSA/10-05-01/H/16/137</v>
          </cell>
          <cell r="E1804" t="str">
            <v>PHOTOTHERAPY MACHINE (LAMP)</v>
          </cell>
          <cell r="F1804" t="str">
            <v>BISTOS</v>
          </cell>
          <cell r="G1804" t="str">
            <v>BT400</v>
          </cell>
          <cell r="H1804" t="str">
            <v>EAGA 0092</v>
          </cell>
          <cell r="I1804" t="str">
            <v>ANNUALLY</v>
          </cell>
          <cell r="J1804">
            <v>45706</v>
          </cell>
          <cell r="K1804"/>
          <cell r="L1804"/>
          <cell r="M1804"/>
          <cell r="N1804" t="str">
            <v>JABATAN PEDIATRIK</v>
          </cell>
          <cell r="O1804" t="str">
            <v>Unit Rawatan Rapi Neonatal (NICU)</v>
          </cell>
        </row>
        <row r="1805">
          <cell r="D1805" t="str">
            <v>KKM/JKN/HSA/10-05-01/H/16/14</v>
          </cell>
          <cell r="E1805" t="str">
            <v>NEO PUFF INFANT T-PIECE RESUSCITATOR</v>
          </cell>
          <cell r="F1805" t="str">
            <v>FISHER &amp; PAYKEL HEALTHCARE</v>
          </cell>
          <cell r="G1805" t="str">
            <v>NEOPUFF</v>
          </cell>
          <cell r="H1805" t="str">
            <v>160226005350</v>
          </cell>
          <cell r="I1805" t="str">
            <v>ANNUALLY</v>
          </cell>
          <cell r="J1805">
            <v>45749</v>
          </cell>
          <cell r="K1805"/>
          <cell r="L1805"/>
          <cell r="M1805"/>
          <cell r="N1805" t="str">
            <v>JABATAN PEDIATRIK</v>
          </cell>
          <cell r="O1805" t="str">
            <v>Unit Rawatan Rapi Neonatal (NICU)</v>
          </cell>
        </row>
        <row r="1806">
          <cell r="D1806" t="str">
            <v>KKM/JKN/HSA/10-05-01/H/16/15</v>
          </cell>
          <cell r="E1806" t="str">
            <v>RESUSCITATOR</v>
          </cell>
          <cell r="F1806" t="str">
            <v>FISHER &amp; PAYKEL HEALTHCARE</v>
          </cell>
          <cell r="G1806" t="str">
            <v>NEOPUFF RD900</v>
          </cell>
          <cell r="H1806" t="str">
            <v>160226005350</v>
          </cell>
          <cell r="I1806" t="str">
            <v>ANNUALLY</v>
          </cell>
          <cell r="J1806">
            <v>45749</v>
          </cell>
          <cell r="K1806"/>
          <cell r="L1806"/>
          <cell r="M1806"/>
          <cell r="N1806" t="str">
            <v>JABATAN PEDIATRIK</v>
          </cell>
          <cell r="O1806" t="str">
            <v>Unit Rawatan Rapi Neonatal (NICU)</v>
          </cell>
        </row>
        <row r="1807">
          <cell r="D1807" t="str">
            <v>KKM/JKN/HSA/10-05-01/H/16/17</v>
          </cell>
          <cell r="E1807" t="str">
            <v>NON INVASIVE CARDIAC OUTPUT MONITORING</v>
          </cell>
          <cell r="F1807" t="str">
            <v>GE HEALTHCARE</v>
          </cell>
          <cell r="G1807" t="str">
            <v>B40</v>
          </cell>
          <cell r="H1807" t="str">
            <v>SJF15475274WA</v>
          </cell>
          <cell r="I1807" t="str">
            <v>ANNUALLY</v>
          </cell>
          <cell r="J1807">
            <v>45727</v>
          </cell>
          <cell r="K1807"/>
          <cell r="L1807"/>
          <cell r="M1807"/>
          <cell r="N1807" t="str">
            <v>JABATAN PEDIATRIK</v>
          </cell>
          <cell r="O1807" t="str">
            <v>Unit Rawatan Rapi Neonatal (NICU)</v>
          </cell>
        </row>
        <row r="1808">
          <cell r="D1808" t="str">
            <v>KKM/JKN/HSA/10-05-01/H/16/19</v>
          </cell>
          <cell r="E1808" t="str">
            <v>OXYGEN BREATH ANALYZER</v>
          </cell>
          <cell r="F1808" t="str">
            <v>MX300-I</v>
          </cell>
          <cell r="G1808" t="str">
            <v>N/A</v>
          </cell>
          <cell r="H1808" t="str">
            <v>310951</v>
          </cell>
          <cell r="I1808" t="str">
            <v>ANNUALLY</v>
          </cell>
          <cell r="J1808">
            <v>46038</v>
          </cell>
          <cell r="K1808"/>
          <cell r="L1808"/>
          <cell r="M1808"/>
          <cell r="N1808" t="str">
            <v>JABATAN PEDIATRIK</v>
          </cell>
          <cell r="O1808" t="str">
            <v>Unit Rawatan Rapi Neonatal (NICU)</v>
          </cell>
        </row>
        <row r="1809">
          <cell r="D1809" t="str">
            <v>KKM/JKN/HSA/10-05-01/H/16/27</v>
          </cell>
          <cell r="E1809" t="str">
            <v>THERAPEUTIC HYPOTHERMIA MACHINE SERVO CONTROL</v>
          </cell>
          <cell r="F1809" t="str">
            <v>TC-NEO-SK</v>
          </cell>
          <cell r="G1809" t="str">
            <v>TECOTHERM NEO</v>
          </cell>
          <cell r="H1809" t="str">
            <v>2015/47/03</v>
          </cell>
          <cell r="I1809" t="str">
            <v>ANNUALLY</v>
          </cell>
          <cell r="J1809">
            <v>45874</v>
          </cell>
          <cell r="K1809"/>
          <cell r="L1809"/>
          <cell r="M1809"/>
          <cell r="N1809" t="str">
            <v>JABATAN PEDIATRIK</v>
          </cell>
          <cell r="O1809" t="str">
            <v>Unit Rawatan Rapi Neonatal (NICU)</v>
          </cell>
        </row>
        <row r="1810">
          <cell r="D1810" t="str">
            <v>KKM/JKN/HSA/10-05-01/H/16/30</v>
          </cell>
          <cell r="E1810" t="str">
            <v>ELECTROENCEPHALOGRAM (EEG MONITOR)</v>
          </cell>
          <cell r="F1810" t="str">
            <v>GRAEL EEG 40 CHANNELS</v>
          </cell>
          <cell r="G1810" t="str">
            <v>N/A</v>
          </cell>
          <cell r="H1810" t="str">
            <v>141307</v>
          </cell>
          <cell r="I1810" t="str">
            <v>ANNUALLY</v>
          </cell>
          <cell r="J1810">
            <v>45876</v>
          </cell>
          <cell r="K1810"/>
          <cell r="L1810"/>
          <cell r="M1810"/>
          <cell r="N1810" t="str">
            <v>JABATAN PEDIATRIK</v>
          </cell>
          <cell r="O1810" t="str">
            <v>Unit Rawatan Rapi Neonatal (NICU)</v>
          </cell>
        </row>
        <row r="1811">
          <cell r="D1811" t="str">
            <v>KKM/JKN/HSA/10-05-01/H/16/45</v>
          </cell>
          <cell r="E1811" t="str">
            <v>RESPIROTARY HUMIDIFIER</v>
          </cell>
          <cell r="F1811" t="str">
            <v>FISHER &amp; PAYKEL HEALTHCARE</v>
          </cell>
          <cell r="G1811" t="str">
            <v>MR850</v>
          </cell>
          <cell r="H1811" t="str">
            <v>N/A</v>
          </cell>
          <cell r="I1811" t="str">
            <v>ANNUALLY</v>
          </cell>
          <cell r="J1811">
            <v>45894</v>
          </cell>
          <cell r="K1811"/>
          <cell r="L1811"/>
          <cell r="M1811"/>
          <cell r="N1811" t="str">
            <v>JABATAN PEDIATRIK</v>
          </cell>
          <cell r="O1811" t="str">
            <v>Unit Rawatan Rapi Neonatal (NICU)</v>
          </cell>
        </row>
        <row r="1812">
          <cell r="D1812" t="str">
            <v>KKM/JKN/HSA/10-05-01/H/16/46</v>
          </cell>
          <cell r="E1812" t="str">
            <v>RESPIROTARY HUMIDIFIER</v>
          </cell>
          <cell r="F1812" t="str">
            <v>FISHER &amp; PAYKEL HEALTHCARE</v>
          </cell>
          <cell r="G1812" t="str">
            <v>MR850</v>
          </cell>
          <cell r="H1812" t="str">
            <v>160713290114</v>
          </cell>
          <cell r="I1812" t="str">
            <v>ANNUALLY</v>
          </cell>
          <cell r="J1812">
            <v>45894</v>
          </cell>
          <cell r="K1812"/>
          <cell r="L1812"/>
          <cell r="M1812"/>
          <cell r="N1812" t="str">
            <v>JABATAN PEDIATRIK</v>
          </cell>
          <cell r="O1812" t="str">
            <v>Unit Rawatan Rapi Neonatal (NICU)</v>
          </cell>
        </row>
        <row r="1813">
          <cell r="D1813" t="str">
            <v>KKM/JKN/HSA/10-05-01/H/15/3686</v>
          </cell>
          <cell r="E1813" t="str">
            <v>DEFIBRILLATOR</v>
          </cell>
          <cell r="F1813" t="str">
            <v>PHILIPS</v>
          </cell>
          <cell r="G1813" t="str">
            <v>EFFICIA DFM100</v>
          </cell>
          <cell r="H1813" t="str">
            <v>CN32601412</v>
          </cell>
          <cell r="I1813" t="str">
            <v>SEMI ANNUALLY</v>
          </cell>
          <cell r="J1813">
            <v>45819</v>
          </cell>
          <cell r="K1813">
            <v>46001</v>
          </cell>
          <cell r="L1813"/>
          <cell r="M1813"/>
          <cell r="N1813" t="str">
            <v>JABATAN PEDIATRIK</v>
          </cell>
          <cell r="O1813" t="str">
            <v>Unit Rawatan Rapi Neonatal (NICU)</v>
          </cell>
        </row>
        <row r="1814">
          <cell r="D1814" t="str">
            <v>KKM/JKN/HSA/10-05-01/H/16/49</v>
          </cell>
          <cell r="E1814" t="str">
            <v>OXYGEN BLENDER</v>
          </cell>
          <cell r="F1814" t="str">
            <v>N/A</v>
          </cell>
          <cell r="G1814">
            <v>2003</v>
          </cell>
          <cell r="H1814" t="str">
            <v>BX1652645</v>
          </cell>
          <cell r="I1814" t="str">
            <v>ANNUALLY</v>
          </cell>
          <cell r="J1814">
            <v>45894</v>
          </cell>
          <cell r="K1814"/>
          <cell r="L1814"/>
          <cell r="M1814"/>
          <cell r="N1814" t="str">
            <v>JABATAN PEDIATRIK</v>
          </cell>
          <cell r="O1814" t="str">
            <v>Unit Rawatan Rapi Neonatal (NICU)</v>
          </cell>
        </row>
        <row r="1815">
          <cell r="D1815" t="str">
            <v>KKM/JKN/HSA/10-05-01/H/16/50</v>
          </cell>
          <cell r="E1815" t="str">
            <v>BIOMED OXYGEN BLENDED COMPLETE SET</v>
          </cell>
          <cell r="F1815" t="str">
            <v>N/A</v>
          </cell>
          <cell r="G1815">
            <v>2003</v>
          </cell>
          <cell r="H1815" t="str">
            <v>BX1654009</v>
          </cell>
          <cell r="I1815" t="str">
            <v>ANNUALLY</v>
          </cell>
          <cell r="J1815">
            <v>45894</v>
          </cell>
          <cell r="K1815"/>
          <cell r="L1815"/>
          <cell r="M1815"/>
          <cell r="N1815" t="str">
            <v>JABATAN PEDIATRIK</v>
          </cell>
          <cell r="O1815" t="str">
            <v>Unit Rawatan Rapi Neonatal (NICU)</v>
          </cell>
        </row>
        <row r="1816">
          <cell r="D1816" t="str">
            <v>KKM/JKN/HSA/10-05-01/H/17/23</v>
          </cell>
          <cell r="E1816" t="str">
            <v>APNEA MONITOR</v>
          </cell>
          <cell r="F1816" t="str">
            <v>SCHULTE-ELEKTONIK GMBH</v>
          </cell>
          <cell r="G1816" t="str">
            <v>SISS BABY CONTROL</v>
          </cell>
          <cell r="H1816" t="str">
            <v>BC178336</v>
          </cell>
          <cell r="I1816" t="str">
            <v>ANNUALLY</v>
          </cell>
          <cell r="J1816">
            <v>45874</v>
          </cell>
          <cell r="K1816"/>
          <cell r="L1816"/>
          <cell r="M1816"/>
          <cell r="N1816" t="str">
            <v>JABATAN PEDIATRIK</v>
          </cell>
          <cell r="O1816" t="str">
            <v>Unit Rawatan Rapi Neonatal (NICU)</v>
          </cell>
        </row>
        <row r="1817">
          <cell r="D1817" t="str">
            <v>KKM/JKN/HSA/10-05-01/H/17/24</v>
          </cell>
          <cell r="E1817" t="str">
            <v>APNEA MONITOR</v>
          </cell>
          <cell r="F1817" t="str">
            <v>SCHULTE-ELEKTONIK GMBH</v>
          </cell>
          <cell r="G1817" t="str">
            <v>SISS BABY CONTROL</v>
          </cell>
          <cell r="H1817" t="str">
            <v>BC178335</v>
          </cell>
          <cell r="I1817" t="str">
            <v>ANNUALLY</v>
          </cell>
          <cell r="J1817">
            <v>45874</v>
          </cell>
          <cell r="K1817"/>
          <cell r="L1817"/>
          <cell r="M1817"/>
          <cell r="N1817" t="str">
            <v>JABATAN PEDIATRIK</v>
          </cell>
          <cell r="O1817" t="str">
            <v>Unit Rawatan Rapi Neonatal (NICU)</v>
          </cell>
        </row>
        <row r="1818">
          <cell r="D1818" t="str">
            <v>KKM/JKN/HSA/10-05-01/H/17/25</v>
          </cell>
          <cell r="E1818" t="str">
            <v>APNEA MONITOR</v>
          </cell>
          <cell r="F1818" t="str">
            <v>SCHULTE-ELEKTONIK GMBH</v>
          </cell>
          <cell r="G1818" t="str">
            <v>SISS BABY CONTROL</v>
          </cell>
          <cell r="H1818" t="str">
            <v>BC178337</v>
          </cell>
          <cell r="I1818" t="str">
            <v>ANNUALLY</v>
          </cell>
          <cell r="J1818">
            <v>45874</v>
          </cell>
          <cell r="K1818"/>
          <cell r="L1818"/>
          <cell r="M1818"/>
          <cell r="N1818" t="str">
            <v>JABATAN PEDIATRIK</v>
          </cell>
          <cell r="O1818" t="str">
            <v>Unit Rawatan Rapi Neonatal (NICU)</v>
          </cell>
        </row>
        <row r="1819">
          <cell r="D1819" t="str">
            <v>KKM/JKN/HSA/10-05-01/H/17/26</v>
          </cell>
          <cell r="E1819" t="str">
            <v>APNEA MONITOR</v>
          </cell>
          <cell r="F1819" t="str">
            <v>SCHULTE-ELEKTONIK GMBH</v>
          </cell>
          <cell r="G1819" t="str">
            <v>SISS BABY CONTROL</v>
          </cell>
          <cell r="H1819" t="str">
            <v>BC178334</v>
          </cell>
          <cell r="I1819" t="str">
            <v>ANNUALLY</v>
          </cell>
          <cell r="J1819">
            <v>45874</v>
          </cell>
          <cell r="K1819"/>
          <cell r="L1819"/>
          <cell r="M1819"/>
          <cell r="N1819" t="str">
            <v>JABATAN PEDIATRIK</v>
          </cell>
          <cell r="O1819" t="str">
            <v>Unit Rawatan Rapi Neonatal (NICU)</v>
          </cell>
        </row>
        <row r="1820">
          <cell r="D1820" t="str">
            <v>KKM/JKN/HSA/10-05-01/R/15/7030</v>
          </cell>
          <cell r="E1820" t="str">
            <v>INFANT/ BABY SCALER</v>
          </cell>
          <cell r="F1820" t="str">
            <v>DETECTO</v>
          </cell>
          <cell r="G1820" t="str">
            <v>MB130</v>
          </cell>
          <cell r="H1820" t="str">
            <v>C12025820</v>
          </cell>
          <cell r="I1820" t="str">
            <v>ANNUALLY</v>
          </cell>
          <cell r="J1820">
            <v>46038</v>
          </cell>
          <cell r="K1820"/>
          <cell r="L1820"/>
          <cell r="M1820"/>
          <cell r="N1820" t="str">
            <v>JABATAN PEDIATRIK</v>
          </cell>
          <cell r="O1820" t="str">
            <v>Unit Rawatan Rapi Neonatal (NICU)</v>
          </cell>
        </row>
        <row r="1821">
          <cell r="D1821" t="str">
            <v>KKM/JKN/HSA/10-05-01/R/15/7031</v>
          </cell>
          <cell r="E1821" t="str">
            <v>INFANT/ BABY SCALER</v>
          </cell>
          <cell r="F1821" t="str">
            <v>DETECTO</v>
          </cell>
          <cell r="G1821" t="str">
            <v>MB130</v>
          </cell>
          <cell r="H1821" t="str">
            <v>C12025798</v>
          </cell>
          <cell r="I1821" t="str">
            <v>ANNUALLY</v>
          </cell>
          <cell r="J1821">
            <v>46028</v>
          </cell>
          <cell r="K1821"/>
          <cell r="L1821"/>
          <cell r="M1821"/>
          <cell r="N1821" t="str">
            <v>JABATAN PEDIATRIK</v>
          </cell>
          <cell r="O1821" t="str">
            <v>Unit Rawatan Rapi Neonatal (NICU)</v>
          </cell>
        </row>
        <row r="1822">
          <cell r="D1822" t="str">
            <v>KKM/JKN/HSA/10-05-01/R/15/7032</v>
          </cell>
          <cell r="E1822" t="str">
            <v>INFANT/ BABY SCALER</v>
          </cell>
          <cell r="F1822" t="str">
            <v>DETECTO</v>
          </cell>
          <cell r="G1822" t="str">
            <v>MB130</v>
          </cell>
          <cell r="H1822" t="str">
            <v>C12025453</v>
          </cell>
          <cell r="I1822" t="str">
            <v>ANNUALLY</v>
          </cell>
          <cell r="J1822">
            <v>46028</v>
          </cell>
          <cell r="K1822"/>
          <cell r="L1822"/>
          <cell r="M1822"/>
          <cell r="N1822" t="str">
            <v>JABATAN PEDIATRIK</v>
          </cell>
          <cell r="O1822" t="str">
            <v>Unit Rawatan Rapi Neonatal (NICU)</v>
          </cell>
        </row>
        <row r="1823">
          <cell r="D1823" t="str">
            <v>KKM/JKN/HSA/10-05-01/R/15/7033</v>
          </cell>
          <cell r="E1823" t="str">
            <v>INFANT/ BABY SCALER</v>
          </cell>
          <cell r="F1823" t="str">
            <v>DETECTO</v>
          </cell>
          <cell r="G1823" t="str">
            <v>MB130</v>
          </cell>
          <cell r="H1823" t="str">
            <v>C12025941</v>
          </cell>
          <cell r="I1823" t="str">
            <v>ANNUALLY</v>
          </cell>
          <cell r="J1823">
            <v>46028</v>
          </cell>
          <cell r="K1823"/>
          <cell r="L1823"/>
          <cell r="M1823"/>
          <cell r="N1823" t="str">
            <v>JABATAN PEDIATRIK</v>
          </cell>
          <cell r="O1823" t="str">
            <v>Unit Rawatan Rapi Neonatal (NICU)</v>
          </cell>
        </row>
        <row r="1824">
          <cell r="D1824" t="str">
            <v>KKM/JKN/HSA/10-05-01/R/15/7034</v>
          </cell>
          <cell r="E1824" t="str">
            <v>INFANT/ BABY SCALER</v>
          </cell>
          <cell r="F1824" t="str">
            <v>DETECTO</v>
          </cell>
          <cell r="G1824" t="str">
            <v>MB130</v>
          </cell>
          <cell r="H1824" t="str">
            <v>C12025862</v>
          </cell>
          <cell r="I1824" t="str">
            <v>ANNUALLY</v>
          </cell>
          <cell r="J1824">
            <v>46028</v>
          </cell>
          <cell r="K1824"/>
          <cell r="L1824"/>
          <cell r="M1824"/>
          <cell r="N1824" t="str">
            <v>JABATAN PEDIATRIK</v>
          </cell>
          <cell r="O1824" t="str">
            <v>Unit Rawatan Perubatan Harian (MDC)</v>
          </cell>
        </row>
        <row r="1825">
          <cell r="D1825" t="str">
            <v>KKM/JKN/HSA/10-05-01/R/15/7035</v>
          </cell>
          <cell r="E1825" t="str">
            <v>WEIGHING SCALE</v>
          </cell>
          <cell r="F1825" t="str">
            <v>DETECTO</v>
          </cell>
          <cell r="G1825" t="str">
            <v>D30</v>
          </cell>
          <cell r="H1825" t="str">
            <v>C14002633</v>
          </cell>
          <cell r="I1825" t="str">
            <v>ANNUALLY</v>
          </cell>
          <cell r="J1825">
            <v>46036</v>
          </cell>
          <cell r="K1825"/>
          <cell r="L1825"/>
          <cell r="M1825"/>
          <cell r="N1825" t="str">
            <v>JABATAN PEDIATRIK</v>
          </cell>
          <cell r="O1825" t="str">
            <v>Unit Rawatan Rapi Neonatal (NICU)</v>
          </cell>
        </row>
        <row r="1826">
          <cell r="D1826" t="str">
            <v>KKM/JKN/HSA/10-05-01/H/20/134</v>
          </cell>
          <cell r="E1826" t="str">
            <v>INFUSION PUMP</v>
          </cell>
          <cell r="F1826" t="str">
            <v>MEDCAPTAIN</v>
          </cell>
          <cell r="G1826" t="str">
            <v>MP-60A</v>
          </cell>
          <cell r="H1826" t="str">
            <v>1380119120383</v>
          </cell>
          <cell r="I1826" t="str">
            <v>ANNUALLY</v>
          </cell>
          <cell r="J1826">
            <v>45690</v>
          </cell>
          <cell r="K1826"/>
          <cell r="L1826"/>
          <cell r="M1826"/>
          <cell r="N1826" t="str">
            <v>JABATAN PEDIATRIK</v>
          </cell>
          <cell r="O1826" t="str">
            <v>Unit Rawatan Rapi Neonatal (NICU)</v>
          </cell>
        </row>
        <row r="1827">
          <cell r="D1827" t="str">
            <v>KKM/JKN/HSA/10-05-01/H/20/135</v>
          </cell>
          <cell r="E1827" t="str">
            <v>INFUSION PUMP</v>
          </cell>
          <cell r="F1827" t="str">
            <v>MEDCAPTAIN</v>
          </cell>
          <cell r="G1827" t="str">
            <v>MP-60A</v>
          </cell>
          <cell r="H1827" t="str">
            <v>1380119120366</v>
          </cell>
          <cell r="I1827" t="str">
            <v>ANNUALLY</v>
          </cell>
          <cell r="J1827">
            <v>45690</v>
          </cell>
          <cell r="K1827"/>
          <cell r="L1827"/>
          <cell r="M1827"/>
          <cell r="N1827" t="str">
            <v>JABATAN PEDIATRIK</v>
          </cell>
          <cell r="O1827" t="str">
            <v>Unit Rawatan Rapi Neonatal (NICU)</v>
          </cell>
        </row>
        <row r="1828">
          <cell r="D1828" t="str">
            <v>KKM/JKN/HSA/10-05-01/H/20/136</v>
          </cell>
          <cell r="E1828" t="str">
            <v>INFUSION PUMP</v>
          </cell>
          <cell r="F1828" t="str">
            <v xml:space="preserve">MINDRAY </v>
          </cell>
          <cell r="G1828" t="str">
            <v>BENEFUSION VP3</v>
          </cell>
          <cell r="H1828" t="str">
            <v>SK00404214</v>
          </cell>
          <cell r="I1828" t="str">
            <v>ANNUALLY</v>
          </cell>
          <cell r="J1828">
            <v>45690</v>
          </cell>
          <cell r="K1828"/>
          <cell r="L1828"/>
          <cell r="M1828"/>
          <cell r="N1828" t="str">
            <v>JABATAN PEDIATRIK</v>
          </cell>
          <cell r="O1828" t="str">
            <v>Unit Rawatan Rapi Neonatal (NICU)</v>
          </cell>
        </row>
        <row r="1829">
          <cell r="D1829" t="str">
            <v>KKM/JKN/HSA/10-05-01/H/20/137</v>
          </cell>
          <cell r="E1829" t="str">
            <v>INFUSION PUMP</v>
          </cell>
          <cell r="F1829" t="str">
            <v xml:space="preserve">MINDRAY </v>
          </cell>
          <cell r="G1829" t="str">
            <v>BENEFUSION VP3</v>
          </cell>
          <cell r="H1829" t="str">
            <v>SK00404215</v>
          </cell>
          <cell r="I1829" t="str">
            <v>ANNUALLY</v>
          </cell>
          <cell r="J1829">
            <v>45690</v>
          </cell>
          <cell r="K1829"/>
          <cell r="L1829"/>
          <cell r="M1829"/>
          <cell r="N1829" t="str">
            <v>JABATAN PEDIATRIK</v>
          </cell>
          <cell r="O1829" t="str">
            <v>Unit Rawatan Rapi Neonatal (NICU)</v>
          </cell>
        </row>
        <row r="1830">
          <cell r="D1830" t="str">
            <v>KKM/JKN/HSA/10-05-01/H/20/160</v>
          </cell>
          <cell r="E1830" t="str">
            <v>INFANT INCUBATOR</v>
          </cell>
          <cell r="F1830" t="str">
            <v xml:space="preserve">ATOM </v>
          </cell>
          <cell r="G1830" t="str">
            <v xml:space="preserve">BABY CARE NEO SERVO </v>
          </cell>
          <cell r="H1830" t="str">
            <v>N/A</v>
          </cell>
          <cell r="I1830" t="str">
            <v>SEMI ANNUALLY</v>
          </cell>
          <cell r="J1830">
            <v>45690</v>
          </cell>
          <cell r="K1830">
            <v>45870</v>
          </cell>
          <cell r="L1830"/>
          <cell r="M1830"/>
          <cell r="N1830" t="str">
            <v>JABATAN PEDIATRIK</v>
          </cell>
          <cell r="O1830" t="str">
            <v>Unit Rawatan Rapi Neonatal (NICU)</v>
          </cell>
        </row>
        <row r="1831">
          <cell r="D1831" t="str">
            <v>KKM/JKN/HSA/10-05-01/H/20/161</v>
          </cell>
          <cell r="E1831" t="str">
            <v>INFANT INCUBATOR</v>
          </cell>
          <cell r="F1831" t="str">
            <v xml:space="preserve">ATOM </v>
          </cell>
          <cell r="G1831" t="str">
            <v xml:space="preserve">BABY CARE NEO SERVO </v>
          </cell>
          <cell r="H1831" t="str">
            <v>N/A</v>
          </cell>
          <cell r="I1831" t="str">
            <v>SEMI ANNUALLY</v>
          </cell>
          <cell r="J1831">
            <v>45690</v>
          </cell>
          <cell r="K1831">
            <v>45870</v>
          </cell>
          <cell r="L1831"/>
          <cell r="M1831"/>
          <cell r="N1831" t="str">
            <v>JABATAN PEDIATRIK</v>
          </cell>
          <cell r="O1831" t="str">
            <v>Unit Rawatan Rapi Neonatal (NICU)</v>
          </cell>
        </row>
        <row r="1832">
          <cell r="D1832" t="str">
            <v>KKM/JKN/HSA/10-05-01/H/20/210</v>
          </cell>
          <cell r="E1832" t="str">
            <v>PHOTOTHERAPY MACHINE (LAMP)</v>
          </cell>
          <cell r="F1832" t="str">
            <v>MEDWARM</v>
          </cell>
          <cell r="G1832" t="str">
            <v>KMF-01</v>
          </cell>
          <cell r="H1832" t="str">
            <v>KMF012003002P-Y02</v>
          </cell>
          <cell r="I1832" t="str">
            <v>ANNUALLY</v>
          </cell>
          <cell r="J1832">
            <v>45690</v>
          </cell>
          <cell r="K1832"/>
          <cell r="L1832"/>
          <cell r="M1832"/>
          <cell r="N1832" t="str">
            <v>JABATAN PEDIATRIK</v>
          </cell>
          <cell r="O1832" t="str">
            <v>Unit Rawatan Rapi Neonatal (NICU)</v>
          </cell>
        </row>
        <row r="1833">
          <cell r="D1833" t="str">
            <v>KKM/JKN/HSA/10-05-01/H/20/211</v>
          </cell>
          <cell r="E1833" t="str">
            <v>PHOTOTHERAPY MACHINE (LAMP)</v>
          </cell>
          <cell r="F1833" t="str">
            <v>MEDWARM</v>
          </cell>
          <cell r="G1833" t="str">
            <v>KMF-01</v>
          </cell>
          <cell r="H1833" t="str">
            <v>KMF012003001P-Y02</v>
          </cell>
          <cell r="I1833" t="str">
            <v>ANNUALLY</v>
          </cell>
          <cell r="J1833">
            <v>45690</v>
          </cell>
          <cell r="K1833"/>
          <cell r="L1833"/>
          <cell r="M1833"/>
          <cell r="N1833" t="str">
            <v>JABATAN PEDIATRIK</v>
          </cell>
          <cell r="O1833" t="str">
            <v>Unit Rawatan Rapi Neonatal (NICU)</v>
          </cell>
        </row>
        <row r="1834">
          <cell r="D1834" t="str">
            <v>KKM/JKN/HSA/10-05-01/H/20/254</v>
          </cell>
          <cell r="E1834" t="str">
            <v>BIPAP MACHINE</v>
          </cell>
          <cell r="F1834" t="str">
            <v>PHILIPS RESPIRONIC/BIPAP VISION A30</v>
          </cell>
          <cell r="G1834" t="str">
            <v>RESPIRONIC BIPAP VISION A30</v>
          </cell>
          <cell r="H1834" t="str">
            <v>N2818694534C9</v>
          </cell>
          <cell r="I1834" t="str">
            <v>ANNUALLY</v>
          </cell>
          <cell r="J1834">
            <v>45690</v>
          </cell>
          <cell r="K1834"/>
          <cell r="L1834"/>
          <cell r="M1834"/>
          <cell r="N1834" t="str">
            <v>JABATAN PEDIATRIK</v>
          </cell>
          <cell r="O1834" t="str">
            <v>Unit Rawatan Rapi Neonatal (NICU)</v>
          </cell>
        </row>
        <row r="1835">
          <cell r="D1835" t="str">
            <v>KKM/JKN/HSA/10-05-01/H/20/78</v>
          </cell>
          <cell r="E1835" t="str">
            <v>PULSE OXIMETER AND SIMULATOR</v>
          </cell>
          <cell r="F1835" t="str">
            <v>COVIDIEN NELLCOR</v>
          </cell>
          <cell r="G1835" t="str">
            <v>NELLCOR</v>
          </cell>
          <cell r="H1835" t="str">
            <v>MBB1915032</v>
          </cell>
          <cell r="I1835" t="str">
            <v>ANNUALLY</v>
          </cell>
          <cell r="J1835">
            <v>45724</v>
          </cell>
          <cell r="K1835"/>
          <cell r="L1835"/>
          <cell r="M1835"/>
          <cell r="N1835" t="str">
            <v>JABATAN PEDIATRIK</v>
          </cell>
          <cell r="O1835" t="str">
            <v>Unit Rawatan Rapi Neonatal (NICU)</v>
          </cell>
        </row>
        <row r="1836">
          <cell r="D1836" t="str">
            <v>KKM/JKN/HSA/10-05-01/H/20/80</v>
          </cell>
          <cell r="E1836" t="str">
            <v>INFUSION PUMP</v>
          </cell>
          <cell r="F1836" t="str">
            <v xml:space="preserve">MEDCAPTAIN </v>
          </cell>
          <cell r="G1836" t="str">
            <v>MP-60</v>
          </cell>
          <cell r="H1836" t="str">
            <v>0120119080156</v>
          </cell>
          <cell r="I1836" t="str">
            <v>ANNUALLY</v>
          </cell>
          <cell r="J1836">
            <v>45690</v>
          </cell>
          <cell r="K1836"/>
          <cell r="L1836"/>
          <cell r="M1836"/>
          <cell r="N1836" t="str">
            <v>JABATAN PEDIATRIK</v>
          </cell>
          <cell r="O1836" t="str">
            <v>Unit Rawatan Rapi Neonatal (NICU)</v>
          </cell>
        </row>
        <row r="1837">
          <cell r="D1837" t="str">
            <v>KKM/JKN/HSA/10-05-01/H/20/81</v>
          </cell>
          <cell r="E1837" t="str">
            <v>INFUSION PUMP</v>
          </cell>
          <cell r="F1837" t="str">
            <v xml:space="preserve">MEDCAPTAIN </v>
          </cell>
          <cell r="G1837" t="str">
            <v>MP-60</v>
          </cell>
          <cell r="H1837" t="str">
            <v>0120119080059</v>
          </cell>
          <cell r="I1837" t="str">
            <v>ANNUALLY</v>
          </cell>
          <cell r="J1837">
            <v>45691</v>
          </cell>
          <cell r="K1837"/>
          <cell r="L1837"/>
          <cell r="M1837"/>
          <cell r="N1837" t="str">
            <v>JABATAN PEDIATRIK</v>
          </cell>
          <cell r="O1837" t="str">
            <v>Unit Rawatan Rapi Neonatal (NICU)</v>
          </cell>
        </row>
        <row r="1838">
          <cell r="D1838" t="str">
            <v>KKM/JKN/HSA/10-05-01/H/20/82</v>
          </cell>
          <cell r="E1838" t="str">
            <v>INFUSION PUMP</v>
          </cell>
          <cell r="F1838" t="str">
            <v xml:space="preserve">MEDCAPTAIN </v>
          </cell>
          <cell r="G1838" t="str">
            <v>MP-60</v>
          </cell>
          <cell r="H1838" t="str">
            <v>0120119080069</v>
          </cell>
          <cell r="I1838" t="str">
            <v>ANNUALLY</v>
          </cell>
          <cell r="J1838">
            <v>45692</v>
          </cell>
          <cell r="K1838"/>
          <cell r="L1838"/>
          <cell r="M1838"/>
          <cell r="N1838" t="str">
            <v>JABATAN PEDIATRIK</v>
          </cell>
          <cell r="O1838" t="str">
            <v>Unit Rawatan Rapi Neonatal (NICU)</v>
          </cell>
        </row>
        <row r="1839">
          <cell r="D1839" t="str">
            <v>KKM/JKN/HSA/10-05-01/H/20/83</v>
          </cell>
          <cell r="E1839" t="str">
            <v>INFUSION PUMP</v>
          </cell>
          <cell r="F1839" t="str">
            <v xml:space="preserve">MEDCAPTAIN </v>
          </cell>
          <cell r="G1839" t="str">
            <v>MP-60</v>
          </cell>
          <cell r="H1839" t="str">
            <v>0120119080065</v>
          </cell>
          <cell r="I1839" t="str">
            <v>ANNUALLY</v>
          </cell>
          <cell r="J1839">
            <v>45693</v>
          </cell>
          <cell r="K1839"/>
          <cell r="L1839"/>
          <cell r="M1839"/>
          <cell r="N1839" t="str">
            <v>JABATAN PEDIATRIK</v>
          </cell>
          <cell r="O1839" t="str">
            <v>Unit Rawatan Rapi Neonatal (NICU)</v>
          </cell>
        </row>
        <row r="1840">
          <cell r="D1840" t="str">
            <v>KKM/JKN/HSA/10-05-01/H/20/257</v>
          </cell>
          <cell r="E1840" t="str">
            <v xml:space="preserve">PULSE OXIMETER </v>
          </cell>
          <cell r="F1840" t="str">
            <v>MASIMO</v>
          </cell>
          <cell r="G1840" t="str">
            <v>RAD-8</v>
          </cell>
          <cell r="H1840" t="str">
            <v>M188503</v>
          </cell>
          <cell r="I1840" t="str">
            <v>ANNUALLY</v>
          </cell>
          <cell r="J1840">
            <v>45724</v>
          </cell>
          <cell r="K1840"/>
          <cell r="L1840"/>
          <cell r="M1840"/>
          <cell r="N1840" t="str">
            <v>JABATAN PEDIATRIK</v>
          </cell>
          <cell r="O1840" t="str">
            <v>Unit Rawatan Rapi Neonatal (NICU)</v>
          </cell>
        </row>
        <row r="1841">
          <cell r="D1841" t="str">
            <v>KKM/JKN/HSA/10-05-01/H/20/258</v>
          </cell>
          <cell r="E1841" t="str">
            <v xml:space="preserve">PULSE OXIMETER </v>
          </cell>
          <cell r="F1841" t="str">
            <v>MASIMO</v>
          </cell>
          <cell r="G1841" t="str">
            <v>RAD-8</v>
          </cell>
          <cell r="H1841" t="str">
            <v>M188321</v>
          </cell>
          <cell r="I1841" t="str">
            <v>ANNUALLY</v>
          </cell>
          <cell r="J1841">
            <v>45724</v>
          </cell>
          <cell r="K1841"/>
          <cell r="L1841"/>
          <cell r="M1841"/>
          <cell r="N1841" t="str">
            <v>JABATAN PEDIATRIK</v>
          </cell>
          <cell r="O1841" t="str">
            <v>Unit Rawatan Rapi Neonatal (NICU)</v>
          </cell>
        </row>
        <row r="1842">
          <cell r="D1842" t="str">
            <v>KKM/JKN/HSA/10-05-01/H/20/259</v>
          </cell>
          <cell r="E1842" t="str">
            <v xml:space="preserve">PULSE OXIMETER </v>
          </cell>
          <cell r="F1842" t="str">
            <v>MASIMO</v>
          </cell>
          <cell r="G1842" t="str">
            <v>RAD-8</v>
          </cell>
          <cell r="H1842" t="str">
            <v>M188328</v>
          </cell>
          <cell r="I1842" t="str">
            <v>ANNUALLY</v>
          </cell>
          <cell r="J1842">
            <v>45724</v>
          </cell>
          <cell r="K1842"/>
          <cell r="L1842"/>
          <cell r="M1842"/>
          <cell r="N1842" t="str">
            <v>JABATAN PEDIATRIK</v>
          </cell>
          <cell r="O1842" t="str">
            <v>Unit Rawatan Rapi Neonatal (NICU)</v>
          </cell>
        </row>
        <row r="1843">
          <cell r="D1843" t="str">
            <v>KKM/JKN/HSA/10-05-01/H/20/163</v>
          </cell>
          <cell r="E1843" t="str">
            <v>PHOTOTHERAPY MACHINE (LAMP)</v>
          </cell>
          <cell r="F1843" t="str">
            <v>TENDE</v>
          </cell>
          <cell r="G1843" t="str">
            <v>TENDE</v>
          </cell>
          <cell r="H1843" t="str">
            <v>LPT240-1080</v>
          </cell>
          <cell r="I1843" t="str">
            <v>ANNUALLY</v>
          </cell>
          <cell r="J1843">
            <v>45690</v>
          </cell>
          <cell r="K1843"/>
          <cell r="L1843"/>
          <cell r="M1843"/>
          <cell r="N1843" t="str">
            <v>JABATAN PEDIATRIK</v>
          </cell>
          <cell r="O1843" t="str">
            <v>Unit Rawatan Rapi Neonatal (NICU)</v>
          </cell>
        </row>
        <row r="1844">
          <cell r="D1844" t="str">
            <v>KKM/JKN/HSA/10-05-01/H/20/169</v>
          </cell>
          <cell r="E1844" t="str">
            <v xml:space="preserve">JAUNDICE METER </v>
          </cell>
          <cell r="F1844" t="str">
            <v>DRAGER</v>
          </cell>
          <cell r="G1844" t="str">
            <v>JM-105</v>
          </cell>
          <cell r="H1844" t="str">
            <v>H3505102</v>
          </cell>
          <cell r="I1844" t="str">
            <v>ANNUALLY</v>
          </cell>
          <cell r="J1844">
            <v>45952</v>
          </cell>
          <cell r="K1844"/>
          <cell r="L1844"/>
          <cell r="M1844"/>
          <cell r="N1844" t="str">
            <v>JABATAN PEDIATRIK</v>
          </cell>
          <cell r="O1844" t="str">
            <v>Unit Rawatan Rapi Neonatal (NICU)</v>
          </cell>
        </row>
        <row r="1845">
          <cell r="D1845" t="str">
            <v>KKM/JKN/HSA/10-05-01/H/20/171</v>
          </cell>
          <cell r="E1845" t="str">
            <v>INFANT WARMER</v>
          </cell>
          <cell r="F1845" t="str">
            <v xml:space="preserve">ATOM </v>
          </cell>
          <cell r="G1845" t="str">
            <v xml:space="preserve">SUNFLOWER WARMER </v>
          </cell>
          <cell r="H1845" t="str">
            <v>191100386</v>
          </cell>
          <cell r="I1845" t="str">
            <v>ANNUALLY</v>
          </cell>
          <cell r="J1845">
            <v>45748</v>
          </cell>
          <cell r="K1845"/>
          <cell r="L1845"/>
          <cell r="M1845"/>
          <cell r="N1845" t="str">
            <v>JABATAN PEDIATRIK</v>
          </cell>
          <cell r="O1845" t="str">
            <v>Unit Rawatan Rapi Neonatal (NICU)</v>
          </cell>
        </row>
        <row r="1846">
          <cell r="D1846" t="str">
            <v>KKM/JKN/HSA/10-05-01/H/15/4841</v>
          </cell>
          <cell r="E1846" t="str">
            <v>DETECTOR VASCULAR FLOW</v>
          </cell>
          <cell r="F1846" t="str">
            <v>HUNTLEIGH</v>
          </cell>
          <cell r="G1846" t="str">
            <v>D900</v>
          </cell>
          <cell r="H1846" t="str">
            <v>N/A</v>
          </cell>
          <cell r="I1846" t="str">
            <v>ANNUALLY</v>
          </cell>
          <cell r="J1846">
            <v>45825</v>
          </cell>
          <cell r="K1846"/>
          <cell r="L1846"/>
          <cell r="M1846"/>
          <cell r="N1846" t="str">
            <v>JABATAN ORTOPEDIK</v>
          </cell>
          <cell r="O1846" t="str">
            <v>WAD 11 (Orthopaedic Ward)</v>
          </cell>
        </row>
        <row r="1847">
          <cell r="D1847" t="str">
            <v>KKM/JKN/HSA/10-05-01/R/15/17090</v>
          </cell>
          <cell r="E1847" t="str">
            <v>DIAGNOSTIC SET ADULT</v>
          </cell>
          <cell r="F1847" t="str">
            <v>WELCH ALLYN</v>
          </cell>
          <cell r="G1847" t="str">
            <v>97150-BI</v>
          </cell>
          <cell r="H1847" t="str">
            <v>N/A</v>
          </cell>
          <cell r="I1847" t="str">
            <v>ANNUALLY</v>
          </cell>
          <cell r="J1847">
            <v>45887</v>
          </cell>
          <cell r="K1847"/>
          <cell r="L1847"/>
          <cell r="M1847"/>
          <cell r="N1847" t="str">
            <v>JABATAN OTORINOLARINGOLOGI</v>
          </cell>
          <cell r="O1847" t="str">
            <v>Klinik Otorinolaringologi (ORL) (ENT CLINIC)</v>
          </cell>
        </row>
        <row r="1848">
          <cell r="D1848" t="str">
            <v>KKM/JKN/HSA/10-05-01/R/15/17093</v>
          </cell>
          <cell r="E1848" t="str">
            <v>DIAGNOSTIC SET ADULT</v>
          </cell>
          <cell r="F1848" t="str">
            <v>WELCH ALLYN</v>
          </cell>
          <cell r="G1848" t="str">
            <v>97150-BI</v>
          </cell>
          <cell r="H1848" t="str">
            <v>N/A</v>
          </cell>
          <cell r="I1848" t="str">
            <v>ANNUALLY</v>
          </cell>
          <cell r="J1848">
            <v>45887</v>
          </cell>
          <cell r="K1848"/>
          <cell r="L1848"/>
          <cell r="M1848"/>
          <cell r="N1848" t="str">
            <v>JABATAN ORTOPEDIK</v>
          </cell>
          <cell r="O1848" t="str">
            <v>WAD 11 (Orthopaedic Ward)</v>
          </cell>
        </row>
        <row r="1849">
          <cell r="D1849" t="str">
            <v>KKM/JKN/HSA/10-05-01/H/15/1029</v>
          </cell>
          <cell r="E1849" t="str">
            <v>PATIENT MONITORING EQUIP.(AUTOMATIC MULTIPARAMETER)</v>
          </cell>
          <cell r="F1849" t="str">
            <v>WELCH ALLYN</v>
          </cell>
          <cell r="G1849" t="str">
            <v>WELCH ALLYN VSM 300</v>
          </cell>
          <cell r="H1849" t="str">
            <v>N/A</v>
          </cell>
          <cell r="I1849" t="str">
            <v>ANNUALLY</v>
          </cell>
          <cell r="J1849">
            <v>46031</v>
          </cell>
          <cell r="K1849"/>
          <cell r="L1849"/>
          <cell r="M1849"/>
          <cell r="N1849" t="str">
            <v>JABATAN ORTOPEDIK</v>
          </cell>
          <cell r="O1849" t="str">
            <v>WAD 11 (Orthopaedic Ward)</v>
          </cell>
        </row>
        <row r="1850">
          <cell r="D1850" t="str">
            <v>KKM/JKN/HSA/10-05-01/H/15/1245</v>
          </cell>
          <cell r="E1850" t="str">
            <v>INFUSION PUMP</v>
          </cell>
          <cell r="F1850" t="str">
            <v>FRESENIUS KABI</v>
          </cell>
          <cell r="G1850" t="str">
            <v>VOLUMAT MC AGILIA GB</v>
          </cell>
          <cell r="H1850" t="str">
            <v>019130/ 22235260</v>
          </cell>
          <cell r="I1850" t="str">
            <v>ANNUALLY</v>
          </cell>
          <cell r="J1850">
            <v>45861</v>
          </cell>
          <cell r="K1850"/>
          <cell r="L1850"/>
          <cell r="M1850"/>
          <cell r="N1850" t="str">
            <v>JABATAN ORTOPEDIK</v>
          </cell>
          <cell r="O1850" t="str">
            <v>WAD 11 (Orthopaedic Ward)</v>
          </cell>
        </row>
        <row r="1851">
          <cell r="D1851" t="str">
            <v>KKM/JKN/HSA/10-05-01/H/15/1246</v>
          </cell>
          <cell r="E1851" t="str">
            <v>INFUSION PUMP</v>
          </cell>
          <cell r="F1851" t="str">
            <v>FRESENIUS KABI</v>
          </cell>
          <cell r="G1851" t="str">
            <v>VOLUMAT MC AGILIA GB</v>
          </cell>
          <cell r="H1851" t="str">
            <v>22235269</v>
          </cell>
          <cell r="I1851" t="str">
            <v>ANNUALLY</v>
          </cell>
          <cell r="J1851">
            <v>45856</v>
          </cell>
          <cell r="K1851"/>
          <cell r="L1851"/>
          <cell r="M1851"/>
          <cell r="N1851" t="str">
            <v>JABATAN ORTOPEDIK</v>
          </cell>
          <cell r="O1851" t="str">
            <v>WAD 11 (Orthopaedic Ward)</v>
          </cell>
        </row>
        <row r="1852">
          <cell r="D1852" t="str">
            <v>KKM/JKN/HSA/10-05-01/H/15/1274</v>
          </cell>
          <cell r="E1852" t="str">
            <v>OPERATION TABLE</v>
          </cell>
          <cell r="F1852" t="str">
            <v>TRUMPF MEDIZIN SYSTEME GMBH</v>
          </cell>
          <cell r="G1852" t="str">
            <v>CALYPSO GT 454225</v>
          </cell>
          <cell r="H1852" t="str">
            <v>102094842</v>
          </cell>
          <cell r="I1852" t="str">
            <v>ANNUALLY</v>
          </cell>
          <cell r="J1852">
            <v>45743</v>
          </cell>
          <cell r="K1852"/>
          <cell r="L1852"/>
          <cell r="M1852"/>
          <cell r="N1852" t="str">
            <v>JABATAN ORTOPEDIK</v>
          </cell>
          <cell r="O1852" t="str">
            <v>WAD 11 (Orthopaedic Ward)</v>
          </cell>
        </row>
        <row r="1853">
          <cell r="D1853" t="str">
            <v>KKM/JKN/HSA/10-05-01/H/15/2145</v>
          </cell>
          <cell r="E1853" t="str">
            <v>PATIENT MONITORING EQUIP.(AUTOMATIC MULTIPARAMETER)</v>
          </cell>
          <cell r="F1853" t="str">
            <v>MINDRAY</v>
          </cell>
          <cell r="G1853" t="str">
            <v>IMEC 12</v>
          </cell>
          <cell r="H1853" t="str">
            <v>EV45011641</v>
          </cell>
          <cell r="I1853" t="str">
            <v>ANNUALLY</v>
          </cell>
          <cell r="J1853">
            <v>45697</v>
          </cell>
          <cell r="K1853"/>
          <cell r="L1853"/>
          <cell r="M1853"/>
          <cell r="N1853" t="str">
            <v>JABATAN ORTOPEDIK</v>
          </cell>
          <cell r="O1853" t="str">
            <v>WAD 11 (Orthopaedic Ward)</v>
          </cell>
        </row>
        <row r="1854">
          <cell r="D1854" t="str">
            <v>KKM/JKN/HSA/10-05-01/H/15/2175</v>
          </cell>
          <cell r="E1854" t="str">
            <v>SUCTION APPARATUS</v>
          </cell>
          <cell r="F1854" t="str">
            <v>CAMI</v>
          </cell>
          <cell r="G1854" t="str">
            <v>ASKIR 30</v>
          </cell>
          <cell r="H1854" t="str">
            <v>5915</v>
          </cell>
          <cell r="I1854" t="str">
            <v>ANNUALLY</v>
          </cell>
          <cell r="J1854">
            <v>45750</v>
          </cell>
          <cell r="K1854"/>
          <cell r="L1854"/>
          <cell r="M1854"/>
          <cell r="N1854" t="str">
            <v>JABATAN ORTOPEDIK</v>
          </cell>
          <cell r="O1854" t="str">
            <v>WAD 11 (Orthopaedic Ward)</v>
          </cell>
        </row>
        <row r="1855">
          <cell r="D1855" t="str">
            <v>KKM/JKN/HSA/10-05-01/H/15/2176</v>
          </cell>
          <cell r="E1855" t="str">
            <v>SUCTION APPARATUS</v>
          </cell>
          <cell r="F1855" t="str">
            <v>CAMI</v>
          </cell>
          <cell r="G1855" t="str">
            <v>ASKIR 30</v>
          </cell>
          <cell r="H1855" t="str">
            <v>5907</v>
          </cell>
          <cell r="I1855" t="str">
            <v>ANNUALLY</v>
          </cell>
          <cell r="J1855">
            <v>45750</v>
          </cell>
          <cell r="K1855"/>
          <cell r="L1855"/>
          <cell r="M1855"/>
          <cell r="N1855" t="str">
            <v>JABATAN ORTOPEDIK</v>
          </cell>
          <cell r="O1855" t="str">
            <v>WAD 11 (Orthopaedic Ward)</v>
          </cell>
        </row>
        <row r="1856">
          <cell r="D1856" t="str">
            <v>KKM/JKN/HSA/10-05-01/H/15/2177</v>
          </cell>
          <cell r="E1856" t="str">
            <v>SUCTION APPARATUS</v>
          </cell>
          <cell r="F1856" t="str">
            <v>CAMI</v>
          </cell>
          <cell r="G1856" t="str">
            <v>ASKIR 30</v>
          </cell>
          <cell r="H1856" t="str">
            <v>5908</v>
          </cell>
          <cell r="I1856" t="str">
            <v>ANNUALLY</v>
          </cell>
          <cell r="J1856">
            <v>45750</v>
          </cell>
          <cell r="K1856"/>
          <cell r="L1856"/>
          <cell r="M1856"/>
          <cell r="N1856" t="str">
            <v>JABATAN ORTOPEDIK</v>
          </cell>
          <cell r="O1856" t="str">
            <v>WAD 11 (Orthopaedic Ward)</v>
          </cell>
        </row>
        <row r="1857">
          <cell r="D1857" t="str">
            <v>KKM/JKN/HSA/10-05-01/H/15/2256</v>
          </cell>
          <cell r="E1857" t="str">
            <v>SYRINGE INFUSION PUMP</v>
          </cell>
          <cell r="F1857" t="str">
            <v>FRESENIUS KABI</v>
          </cell>
          <cell r="G1857" t="str">
            <v>INJECTOMAT AGILIA</v>
          </cell>
          <cell r="H1857" t="str">
            <v>22233929</v>
          </cell>
          <cell r="I1857" t="str">
            <v>ANNUALLY</v>
          </cell>
          <cell r="J1857">
            <v>45859</v>
          </cell>
          <cell r="K1857"/>
          <cell r="L1857"/>
          <cell r="M1857"/>
          <cell r="N1857" t="str">
            <v>JABATAN ORTOPEDIK</v>
          </cell>
          <cell r="O1857" t="str">
            <v>WAD 11 (Orthopaedic Ward)</v>
          </cell>
        </row>
        <row r="1858">
          <cell r="D1858" t="str">
            <v>KKM/JKN/HSA/10-05-01/H/15/2257</v>
          </cell>
          <cell r="E1858" t="str">
            <v>SYRINGE INFUSION PUMP</v>
          </cell>
          <cell r="F1858" t="str">
            <v>FRESENIUS KABI</v>
          </cell>
          <cell r="G1858" t="str">
            <v>INJECTOMAT AGILIA</v>
          </cell>
          <cell r="H1858" t="str">
            <v>22233932</v>
          </cell>
          <cell r="I1858" t="str">
            <v>ANNUALLY</v>
          </cell>
          <cell r="J1858">
            <v>45859</v>
          </cell>
          <cell r="K1858"/>
          <cell r="L1858"/>
          <cell r="M1858"/>
          <cell r="N1858" t="str">
            <v>JABATAN ORTOPEDIK</v>
          </cell>
          <cell r="O1858" t="str">
            <v>WAD 11 (Orthopaedic Ward)</v>
          </cell>
        </row>
        <row r="1859">
          <cell r="D1859" t="str">
            <v>KKM/JKN/HSA/10-05-01/H/15/2258</v>
          </cell>
          <cell r="E1859" t="str">
            <v>SYRINGE INFUSION PUMP</v>
          </cell>
          <cell r="F1859" t="str">
            <v>FRESENIUS KABI</v>
          </cell>
          <cell r="G1859" t="str">
            <v>INJECTOMAT AGILIA</v>
          </cell>
          <cell r="H1859" t="str">
            <v>22233930</v>
          </cell>
          <cell r="I1859" t="str">
            <v>ANNUALLY</v>
          </cell>
          <cell r="J1859">
            <v>45859</v>
          </cell>
          <cell r="K1859"/>
          <cell r="L1859"/>
          <cell r="M1859"/>
          <cell r="N1859" t="str">
            <v>JABATAN ORTOPEDIK</v>
          </cell>
          <cell r="O1859" t="str">
            <v>WAD 11 (Orthopaedic Ward)</v>
          </cell>
        </row>
        <row r="1860">
          <cell r="D1860" t="str">
            <v>KKM/JKN/HSA/10-05-01/H/15/2259</v>
          </cell>
          <cell r="E1860" t="str">
            <v>SYRINGE INFUSION PUMP</v>
          </cell>
          <cell r="F1860" t="str">
            <v>FRESENIUS KABI</v>
          </cell>
          <cell r="G1860" t="str">
            <v>INJECTOMAT AGILIA</v>
          </cell>
          <cell r="H1860" t="str">
            <v>22233931</v>
          </cell>
          <cell r="I1860" t="str">
            <v>ANNUALLY</v>
          </cell>
          <cell r="J1860">
            <v>45859</v>
          </cell>
          <cell r="K1860"/>
          <cell r="L1860"/>
          <cell r="M1860"/>
          <cell r="N1860" t="str">
            <v>JABATAN ORTOPEDIK</v>
          </cell>
          <cell r="O1860" t="str">
            <v>WAD 11 (Orthopaedic Ward)</v>
          </cell>
        </row>
        <row r="1861">
          <cell r="D1861" t="str">
            <v>KKM/JKN/HSA/10-05-01/H/15/2797</v>
          </cell>
          <cell r="E1861" t="str">
            <v>RIPPLE MATTRESS</v>
          </cell>
          <cell r="F1861" t="str">
            <v>BANTEX</v>
          </cell>
          <cell r="G1861" t="str">
            <v>APM-5000-G</v>
          </cell>
          <cell r="H1861" t="str">
            <v>EZ141105004</v>
          </cell>
          <cell r="I1861" t="str">
            <v>ANNUALLY</v>
          </cell>
          <cell r="J1861">
            <v>45873</v>
          </cell>
          <cell r="K1861"/>
          <cell r="L1861"/>
          <cell r="M1861"/>
          <cell r="N1861" t="str">
            <v>JABATAN ORTOPEDIK</v>
          </cell>
          <cell r="O1861" t="str">
            <v>WAD 11 (Orthopaedic Ward)</v>
          </cell>
        </row>
        <row r="1862">
          <cell r="D1862" t="str">
            <v>KKM/JKN/HSA/10-05-01/H/15/3688</v>
          </cell>
          <cell r="E1862" t="str">
            <v>DEFIBRILLATOR</v>
          </cell>
          <cell r="F1862" t="str">
            <v>PHILIPS</v>
          </cell>
          <cell r="G1862" t="str">
            <v>EFFICIA DFM100</v>
          </cell>
          <cell r="H1862" t="str">
            <v>CN32601419</v>
          </cell>
          <cell r="I1862" t="str">
            <v>SEMI ANNUALLY</v>
          </cell>
          <cell r="J1862">
            <v>45819</v>
          </cell>
          <cell r="K1862">
            <v>46001</v>
          </cell>
          <cell r="L1862"/>
          <cell r="M1862"/>
          <cell r="N1862" t="str">
            <v>JABATAN ORTOPEDIK</v>
          </cell>
          <cell r="O1862" t="str">
            <v>WAD 11 (Orthopaedic Ward)</v>
          </cell>
        </row>
        <row r="1863">
          <cell r="D1863" t="str">
            <v>KKM/JKN/HSA/10-05-01/H/15/4157</v>
          </cell>
          <cell r="E1863" t="str">
            <v>SAW OSCILLATING ELECTRIC</v>
          </cell>
          <cell r="F1863" t="str">
            <v>OSAMED</v>
          </cell>
          <cell r="G1863" t="str">
            <v>PSV/SC 206-V90</v>
          </cell>
          <cell r="H1863" t="str">
            <v>N/A</v>
          </cell>
          <cell r="I1863" t="str">
            <v>ANNUALLY</v>
          </cell>
          <cell r="J1863">
            <v>46024</v>
          </cell>
          <cell r="K1863"/>
          <cell r="L1863"/>
          <cell r="M1863"/>
          <cell r="N1863" t="str">
            <v>JABATAN ORTOPEDIK</v>
          </cell>
          <cell r="O1863" t="str">
            <v>WAD 11 (Orthopaedic Ward)</v>
          </cell>
        </row>
        <row r="1864">
          <cell r="D1864" t="str">
            <v>KKM/JKN/HSA/10-05-01/H/15/4159</v>
          </cell>
          <cell r="E1864" t="str">
            <v>ECG (EKG) MACHINE</v>
          </cell>
          <cell r="F1864" t="str">
            <v>GE HEALTHCARE</v>
          </cell>
          <cell r="G1864" t="str">
            <v>MAC400</v>
          </cell>
          <cell r="H1864" t="str">
            <v>SCT11486300PA</v>
          </cell>
          <cell r="I1864" t="str">
            <v>ANNUALLY</v>
          </cell>
          <cell r="J1864">
            <v>46045</v>
          </cell>
          <cell r="K1864"/>
          <cell r="L1864"/>
          <cell r="M1864"/>
          <cell r="N1864" t="str">
            <v>JABATAN ORTOPEDIK</v>
          </cell>
          <cell r="O1864" t="str">
            <v>WAD 11 (Orthopaedic Ward)</v>
          </cell>
        </row>
        <row r="1865">
          <cell r="D1865" t="str">
            <v>KKM/JKN/HSA/10-05-01/H/15/4177</v>
          </cell>
          <cell r="E1865" t="str">
            <v>PATIENT MONITORING EQUIP.(AUTOMATIC MULTIPARAMETER)</v>
          </cell>
          <cell r="F1865" t="str">
            <v>WELCH ALLYN</v>
          </cell>
          <cell r="G1865" t="str">
            <v>WELCH ALLYN VSM 300</v>
          </cell>
          <cell r="H1865" t="str">
            <v>JA123429</v>
          </cell>
          <cell r="I1865" t="str">
            <v>ANNUALLY</v>
          </cell>
          <cell r="J1865">
            <v>46031</v>
          </cell>
          <cell r="K1865"/>
          <cell r="L1865"/>
          <cell r="M1865"/>
          <cell r="N1865" t="str">
            <v>JABATAN ORTOPEDIK</v>
          </cell>
          <cell r="O1865" t="str">
            <v>WAD 11 (Orthopaedic Ward)</v>
          </cell>
        </row>
        <row r="1866">
          <cell r="D1866" t="str">
            <v>KKM/JKN/HSA/10-05-01/H/16/111</v>
          </cell>
          <cell r="E1866" t="str">
            <v>MACHINE CPM KNEE (P 0045 N)</v>
          </cell>
          <cell r="F1866" t="str">
            <v>KLC FLEX</v>
          </cell>
          <cell r="G1866" t="str">
            <v>K500</v>
          </cell>
          <cell r="H1866" t="str">
            <v>06500</v>
          </cell>
          <cell r="I1866" t="str">
            <v>QUARTERLY</v>
          </cell>
          <cell r="J1866">
            <v>45722</v>
          </cell>
          <cell r="K1866">
            <v>45814</v>
          </cell>
          <cell r="L1866">
            <v>45906</v>
          </cell>
          <cell r="M1866">
            <v>45997</v>
          </cell>
          <cell r="N1866" t="str">
            <v>JABATAN ORTOPEDIK</v>
          </cell>
          <cell r="O1866" t="str">
            <v>WAD 11 (Orthopaedic Ward)</v>
          </cell>
        </row>
        <row r="1867">
          <cell r="D1867" t="str">
            <v>KKM/JKN/HSA/10-05-01/H/16/32</v>
          </cell>
          <cell r="E1867" t="str">
            <v>VENAFLOW SYSTEM</v>
          </cell>
          <cell r="F1867" t="str">
            <v>DJO GLOBAL</v>
          </cell>
          <cell r="G1867" t="str">
            <v>30B1-B</v>
          </cell>
          <cell r="H1867" t="str">
            <v>E53482</v>
          </cell>
          <cell r="I1867" t="str">
            <v>ANNUALLY</v>
          </cell>
          <cell r="J1867">
            <v>45741</v>
          </cell>
          <cell r="K1867"/>
          <cell r="L1867"/>
          <cell r="M1867"/>
          <cell r="N1867" t="str">
            <v>JABATAN ORTOPEDIK</v>
          </cell>
          <cell r="O1867" t="str">
            <v>WAD 11 (Orthopaedic Ward)</v>
          </cell>
        </row>
        <row r="1868">
          <cell r="D1868" t="str">
            <v>KKM/JKN/HSA/10-05-01/H/16/33</v>
          </cell>
          <cell r="E1868" t="str">
            <v>VENAFLOW SYSTEM</v>
          </cell>
          <cell r="F1868" t="str">
            <v>DJO GLOBAL</v>
          </cell>
          <cell r="G1868" t="str">
            <v>VENAFLOW ELITE</v>
          </cell>
          <cell r="H1868" t="str">
            <v>E53486</v>
          </cell>
          <cell r="I1868" t="str">
            <v>ANNUALLY</v>
          </cell>
          <cell r="J1868">
            <v>46045</v>
          </cell>
          <cell r="K1868"/>
          <cell r="L1868"/>
          <cell r="M1868"/>
          <cell r="N1868" t="str">
            <v>JABATAN ORTOPEDIK</v>
          </cell>
          <cell r="O1868" t="str">
            <v>WAD 11 (Orthopaedic Ward)</v>
          </cell>
        </row>
        <row r="1869">
          <cell r="D1869" t="str">
            <v>KKM/JKN/HSA/10-05-01/R/15/15951</v>
          </cell>
          <cell r="E1869" t="str">
            <v>NEBULIZER</v>
          </cell>
          <cell r="F1869" t="str">
            <v>PHILIPS</v>
          </cell>
          <cell r="G1869" t="str">
            <v>INNOSPIRE DELUXE (UK PLUG)</v>
          </cell>
          <cell r="H1869" t="str">
            <v>022852</v>
          </cell>
          <cell r="I1869" t="str">
            <v>ANNUALLY</v>
          </cell>
          <cell r="J1869">
            <v>45760</v>
          </cell>
          <cell r="K1869"/>
          <cell r="L1869"/>
          <cell r="M1869"/>
          <cell r="N1869" t="str">
            <v>JABATAN ORTOPEDIK</v>
          </cell>
          <cell r="O1869" t="str">
            <v>WAD 11 (Orthopaedic Ward)</v>
          </cell>
        </row>
        <row r="1870">
          <cell r="D1870" t="str">
            <v>KKM/JKN/HSA/10-05-01/H/20/149</v>
          </cell>
          <cell r="E1870" t="str">
            <v>INFUSION PUMP</v>
          </cell>
          <cell r="F1870" t="str">
            <v>EN-V7 SMART</v>
          </cell>
          <cell r="G1870" t="str">
            <v>ENMIND</v>
          </cell>
          <cell r="H1870">
            <v>70200420714</v>
          </cell>
          <cell r="I1870" t="str">
            <v>ANNUALLY</v>
          </cell>
          <cell r="J1870">
            <v>45806</v>
          </cell>
          <cell r="K1870"/>
          <cell r="L1870"/>
          <cell r="M1870"/>
          <cell r="N1870" t="str">
            <v>JABATAN ORTOPEDIK</v>
          </cell>
          <cell r="O1870" t="str">
            <v>WAD 11 (Orthopaedic Ward)</v>
          </cell>
        </row>
        <row r="1871">
          <cell r="D1871" t="str">
            <v>KKM/JKN/HSA/10-05-01/H/20/195</v>
          </cell>
          <cell r="E1871" t="str">
            <v>SPOT VITAL SIGN (NIBP)</v>
          </cell>
          <cell r="F1871" t="str">
            <v>MINDRAY</v>
          </cell>
          <cell r="G1871" t="str">
            <v>VS600</v>
          </cell>
          <cell r="H1871" t="str">
            <v>FU-03020893</v>
          </cell>
          <cell r="I1871" t="str">
            <v>ANNUALLY</v>
          </cell>
          <cell r="J1871">
            <v>45724</v>
          </cell>
          <cell r="K1871"/>
          <cell r="L1871"/>
          <cell r="M1871"/>
          <cell r="N1871" t="str">
            <v>JABATAN ORTOPEDIK</v>
          </cell>
          <cell r="O1871" t="str">
            <v>WAD 11 (Orthopaedic Ward)</v>
          </cell>
        </row>
        <row r="1872">
          <cell r="D1872" t="str">
            <v>KKM/JKN/HSA/10-05-01/R/20/116</v>
          </cell>
          <cell r="E1872" t="str">
            <v>RIPPLE MATTRESS</v>
          </cell>
          <cell r="F1872" t="str">
            <v xml:space="preserve">LKL HEALTHCARE </v>
          </cell>
          <cell r="G1872" t="str">
            <v>BX422</v>
          </cell>
          <cell r="H1872" t="str">
            <v>N/A</v>
          </cell>
          <cell r="I1872" t="str">
            <v>ANNUALLY</v>
          </cell>
          <cell r="J1872">
            <v>45748</v>
          </cell>
          <cell r="K1872"/>
          <cell r="L1872"/>
          <cell r="M1872"/>
          <cell r="N1872" t="str">
            <v>JABATAN ORTOPEDIK</v>
          </cell>
          <cell r="O1872" t="str">
            <v>WAD 11 (Orthopaedic Ward)</v>
          </cell>
        </row>
        <row r="1873">
          <cell r="D1873" t="str">
            <v>KKM/JKN/HSA/10-05-01/R/20/117</v>
          </cell>
          <cell r="E1873" t="str">
            <v>RIPPLE MATTRESS</v>
          </cell>
          <cell r="F1873" t="str">
            <v xml:space="preserve">LKL HEALTHCARE </v>
          </cell>
          <cell r="G1873" t="str">
            <v>BX422</v>
          </cell>
          <cell r="H1873" t="str">
            <v>N/A</v>
          </cell>
          <cell r="I1873" t="str">
            <v>ANNUALLY</v>
          </cell>
          <cell r="J1873">
            <v>45748</v>
          </cell>
          <cell r="K1873"/>
          <cell r="L1873"/>
          <cell r="M1873"/>
          <cell r="N1873" t="str">
            <v>JABATAN ORTOPEDIK</v>
          </cell>
          <cell r="O1873" t="str">
            <v>WAD 11 (Orthopaedic Ward)</v>
          </cell>
        </row>
        <row r="1874">
          <cell r="D1874" t="str">
            <v>KKM/JKN/HSA/10-05-01/H/20/177</v>
          </cell>
          <cell r="E1874" t="str">
            <v>SPOT VITAL SIGN (NIBP)</v>
          </cell>
          <cell r="F1874" t="str">
            <v xml:space="preserve">MINDRAY </v>
          </cell>
          <cell r="G1874" t="str">
            <v>VS900</v>
          </cell>
          <cell r="H1874" t="str">
            <v>FV03035197</v>
          </cell>
          <cell r="I1874" t="str">
            <v>ANNUALLY</v>
          </cell>
          <cell r="J1874">
            <v>45748</v>
          </cell>
          <cell r="K1874"/>
          <cell r="L1874"/>
          <cell r="M1874"/>
          <cell r="N1874" t="str">
            <v>JABATAN ORTOPEDIK</v>
          </cell>
          <cell r="O1874" t="str">
            <v>WAD 11 (Orthopaedic Ward)</v>
          </cell>
        </row>
        <row r="1875">
          <cell r="D1875" t="str">
            <v>KKM/JKN/HSA/10-05-01/R/15/17184</v>
          </cell>
          <cell r="E1875" t="str">
            <v>DIAGNOSTIC SET PAEDIATRIC</v>
          </cell>
          <cell r="F1875" t="str">
            <v>RUDOLF RIESTER, GMBH</v>
          </cell>
          <cell r="G1875" t="str">
            <v>ECONOM XL 3.5V 2053-213</v>
          </cell>
          <cell r="H1875" t="str">
            <v>020301</v>
          </cell>
          <cell r="I1875" t="str">
            <v>ANNUALLY</v>
          </cell>
          <cell r="J1875">
            <v>45876</v>
          </cell>
          <cell r="K1875"/>
          <cell r="L1875"/>
          <cell r="M1875"/>
          <cell r="N1875" t="str">
            <v>JABATAN PEDIATRIK</v>
          </cell>
          <cell r="O1875" t="str">
            <v>WAD 12 (Paediatric Ward)</v>
          </cell>
        </row>
        <row r="1876">
          <cell r="D1876" t="str">
            <v>KKM/JKN/HSA/10-05-01/R/15/7352</v>
          </cell>
          <cell r="E1876" t="str">
            <v>DIAGNOSTIC SET PAEDIATRIC</v>
          </cell>
          <cell r="F1876" t="str">
            <v>RUDOLF RIESTER, GMBH</v>
          </cell>
          <cell r="G1876" t="str">
            <v>ECONOM XL 3.5V 2053-214</v>
          </cell>
          <cell r="H1876" t="str">
            <v>020296</v>
          </cell>
          <cell r="I1876" t="str">
            <v>ANNUALLY</v>
          </cell>
          <cell r="J1876">
            <v>45878</v>
          </cell>
          <cell r="K1876"/>
          <cell r="L1876"/>
          <cell r="M1876"/>
          <cell r="N1876" t="str">
            <v>JABATAN PERUBATAN AM</v>
          </cell>
          <cell r="O1876" t="str">
            <v>Unit Rawatan Perubatan Harian (MDC)</v>
          </cell>
        </row>
        <row r="1877">
          <cell r="D1877" t="str">
            <v>KKM/JKN/HSA/10-05-01/R/15/6757</v>
          </cell>
          <cell r="E1877" t="str">
            <v>DIAGNOSTIC SET PAEDIATRIC</v>
          </cell>
          <cell r="F1877" t="str">
            <v>RUDOLF RIESTER, GMBH</v>
          </cell>
          <cell r="G1877" t="str">
            <v>ECONOM XL 3.5V 2053-209</v>
          </cell>
          <cell r="H1877" t="str">
            <v>N/A</v>
          </cell>
          <cell r="I1877" t="str">
            <v>ANNUALLY</v>
          </cell>
          <cell r="J1877">
            <v>45940</v>
          </cell>
          <cell r="K1877"/>
          <cell r="L1877"/>
          <cell r="M1877"/>
          <cell r="N1877" t="str">
            <v>JABATAN PEDIATRIK</v>
          </cell>
          <cell r="O1877" t="str">
            <v>WAD 12 (Paediatric Ward)</v>
          </cell>
        </row>
        <row r="1878">
          <cell r="D1878" t="str">
            <v>KKM/JKN/HSA/10-05-01/H/15/1032</v>
          </cell>
          <cell r="E1878" t="str">
            <v>PATIENT MONITORING EQUIP.(AUTOMATIC MULTIPARAMETER)</v>
          </cell>
          <cell r="F1878" t="str">
            <v>WELCH ALLYN</v>
          </cell>
          <cell r="G1878" t="str">
            <v>WELCH ALLYN VSM 300</v>
          </cell>
          <cell r="H1878" t="str">
            <v>JA123465</v>
          </cell>
          <cell r="I1878" t="str">
            <v>ANNUALLY</v>
          </cell>
          <cell r="J1878">
            <v>45693</v>
          </cell>
          <cell r="K1878"/>
          <cell r="L1878"/>
          <cell r="M1878"/>
          <cell r="N1878" t="str">
            <v>JABATAN PEDIATRIK</v>
          </cell>
          <cell r="O1878" t="str">
            <v>WAD 12 (Paediatric Ward)</v>
          </cell>
        </row>
        <row r="1879">
          <cell r="D1879" t="str">
            <v>KKM/JKN/HSA/10-05-01/H/15/1247</v>
          </cell>
          <cell r="E1879" t="str">
            <v>INFUSION PUMP</v>
          </cell>
          <cell r="F1879" t="str">
            <v>FRESENIUS KABI</v>
          </cell>
          <cell r="G1879" t="str">
            <v>VOLUMAT MC AGILIA GB</v>
          </cell>
          <cell r="H1879" t="str">
            <v>22235252</v>
          </cell>
          <cell r="I1879" t="str">
            <v>ANNUALLY</v>
          </cell>
          <cell r="J1879">
            <v>45854</v>
          </cell>
          <cell r="K1879"/>
          <cell r="L1879"/>
          <cell r="M1879"/>
          <cell r="N1879" t="str">
            <v>JABATAN PEDIATRIK</v>
          </cell>
          <cell r="O1879" t="str">
            <v>WAD 12 (Paediatric Ward)</v>
          </cell>
        </row>
        <row r="1880">
          <cell r="D1880" t="str">
            <v>KKM/JKN/HSA/10-05-01/H/15/1248</v>
          </cell>
          <cell r="E1880" t="str">
            <v>INFUSION PUMP</v>
          </cell>
          <cell r="F1880" t="str">
            <v>FRESENIUS KABI</v>
          </cell>
          <cell r="G1880" t="str">
            <v>VOLUMAT MC AGILIA GB</v>
          </cell>
          <cell r="H1880" t="str">
            <v>22235259</v>
          </cell>
          <cell r="I1880" t="str">
            <v>ANNUALLY</v>
          </cell>
          <cell r="J1880">
            <v>45854</v>
          </cell>
          <cell r="K1880"/>
          <cell r="L1880"/>
          <cell r="M1880"/>
          <cell r="N1880" t="str">
            <v>JABATAN PEDIATRIK</v>
          </cell>
          <cell r="O1880" t="str">
            <v>WAD 12 (Paediatric Ward)</v>
          </cell>
        </row>
        <row r="1881">
          <cell r="D1881" t="str">
            <v>KKM/JKN/HSA/10-05-01/H/15/1249</v>
          </cell>
          <cell r="E1881" t="str">
            <v>INFUSION PUMP</v>
          </cell>
          <cell r="F1881" t="str">
            <v>FRESENIUS KABI</v>
          </cell>
          <cell r="G1881" t="str">
            <v>VOLUMAT MC AGILIA GB</v>
          </cell>
          <cell r="H1881" t="str">
            <v>222235250</v>
          </cell>
          <cell r="I1881" t="str">
            <v>ANNUALLY</v>
          </cell>
          <cell r="J1881">
            <v>45854</v>
          </cell>
          <cell r="K1881"/>
          <cell r="L1881"/>
          <cell r="M1881"/>
          <cell r="N1881" t="str">
            <v>JABATAN PEDIATRIK</v>
          </cell>
          <cell r="O1881" t="str">
            <v>WAD 12 (Paediatric Ward)</v>
          </cell>
        </row>
        <row r="1882">
          <cell r="D1882" t="str">
            <v>KKM/JKN/HSA/10-05-01/H/15/1250</v>
          </cell>
          <cell r="E1882" t="str">
            <v>INFUSION PUMP</v>
          </cell>
          <cell r="F1882" t="str">
            <v>FRESENIUS KABI</v>
          </cell>
          <cell r="G1882" t="str">
            <v>VOLUMAT MC AGILIA GB</v>
          </cell>
          <cell r="H1882" t="str">
            <v>22235933</v>
          </cell>
          <cell r="I1882" t="str">
            <v>ANNUALLY</v>
          </cell>
          <cell r="J1882">
            <v>45854</v>
          </cell>
          <cell r="K1882"/>
          <cell r="L1882"/>
          <cell r="M1882"/>
          <cell r="N1882" t="str">
            <v>JABATAN PEDIATRIK</v>
          </cell>
          <cell r="O1882" t="str">
            <v>WAD 12 (Paediatric Ward)</v>
          </cell>
        </row>
        <row r="1883">
          <cell r="D1883" t="str">
            <v>KKM/JKN/HSA/10-05-01/H/15/1251</v>
          </cell>
          <cell r="E1883" t="str">
            <v>INFUSION PUMP</v>
          </cell>
          <cell r="F1883" t="str">
            <v>FRESENIUS KABI</v>
          </cell>
          <cell r="G1883" t="str">
            <v>VOLUMAT MC AGILIA GB</v>
          </cell>
          <cell r="H1883" t="str">
            <v>22235951</v>
          </cell>
          <cell r="I1883" t="str">
            <v>ANNUALLY</v>
          </cell>
          <cell r="J1883">
            <v>45867</v>
          </cell>
          <cell r="K1883"/>
          <cell r="L1883"/>
          <cell r="M1883"/>
          <cell r="N1883" t="str">
            <v>JABATAN PEDIATRIK</v>
          </cell>
          <cell r="O1883" t="str">
            <v>WAD 12 (Paediatric Ward)</v>
          </cell>
        </row>
        <row r="1884">
          <cell r="D1884" t="str">
            <v>KKM/JKN/HSA/10-05-01/H/15/1252</v>
          </cell>
          <cell r="E1884" t="str">
            <v>INFUSION PUMP</v>
          </cell>
          <cell r="F1884" t="str">
            <v>FRESENIUS KABI</v>
          </cell>
          <cell r="G1884" t="str">
            <v>VOLUMAT MC AGILIA GB</v>
          </cell>
          <cell r="H1884" t="str">
            <v>22235923</v>
          </cell>
          <cell r="I1884" t="str">
            <v>ANNUALLY</v>
          </cell>
          <cell r="J1884">
            <v>45867</v>
          </cell>
          <cell r="K1884"/>
          <cell r="L1884"/>
          <cell r="M1884"/>
          <cell r="N1884" t="str">
            <v>JABATAN PEDIATRIK</v>
          </cell>
          <cell r="O1884" t="str">
            <v>WAD 12 (Paediatric Ward)</v>
          </cell>
        </row>
        <row r="1885">
          <cell r="D1885" t="str">
            <v>KKM/JKN/HSA/10-05-01/H/15/1253</v>
          </cell>
          <cell r="E1885" t="str">
            <v>INFUSION PUMP</v>
          </cell>
          <cell r="F1885" t="str">
            <v>FRESENIUS KABI</v>
          </cell>
          <cell r="G1885" t="str">
            <v>VOLUMAT MC AGILIA GB</v>
          </cell>
          <cell r="H1885" t="str">
            <v>22170254</v>
          </cell>
          <cell r="I1885" t="str">
            <v>ANNUALLY</v>
          </cell>
          <cell r="J1885">
            <v>45867</v>
          </cell>
          <cell r="K1885"/>
          <cell r="L1885"/>
          <cell r="M1885"/>
          <cell r="N1885" t="str">
            <v>JABATAN PEDIATRIK</v>
          </cell>
          <cell r="O1885" t="str">
            <v>WAD 12 (Paediatric Ward)</v>
          </cell>
        </row>
        <row r="1886">
          <cell r="D1886" t="str">
            <v>KKM/JKN/HSA/10-05-01/H/15/1254</v>
          </cell>
          <cell r="E1886" t="str">
            <v>INFUSION PUMP</v>
          </cell>
          <cell r="F1886" t="str">
            <v>FRESENIUS KABI</v>
          </cell>
          <cell r="G1886" t="str">
            <v>VOLUMAT MC AGILIA GB</v>
          </cell>
          <cell r="H1886" t="str">
            <v>22235946</v>
          </cell>
          <cell r="I1886" t="str">
            <v>ANNUALLY</v>
          </cell>
          <cell r="J1886">
            <v>45867</v>
          </cell>
          <cell r="K1886"/>
          <cell r="L1886"/>
          <cell r="M1886"/>
          <cell r="N1886" t="str">
            <v>JABATAN PEDIATRIK</v>
          </cell>
          <cell r="O1886" t="str">
            <v>WAD 12 (Paediatric Ward)</v>
          </cell>
        </row>
        <row r="1887">
          <cell r="D1887" t="str">
            <v>KKM/JKN/HSA/10-05-01/H/15/1806</v>
          </cell>
          <cell r="E1887" t="str">
            <v>ENTERAL FEEDING PUMP</v>
          </cell>
          <cell r="F1887" t="str">
            <v>FRESENIUS KABI</v>
          </cell>
          <cell r="G1887" t="str">
            <v>APPLIX VISION</v>
          </cell>
          <cell r="H1887" t="str">
            <v>22232624</v>
          </cell>
          <cell r="I1887" t="str">
            <v>ANNUALLY</v>
          </cell>
          <cell r="J1887">
            <v>45880</v>
          </cell>
          <cell r="K1887"/>
          <cell r="L1887"/>
          <cell r="M1887"/>
          <cell r="N1887" t="str">
            <v>JABATAN PEDIATRIK</v>
          </cell>
          <cell r="O1887" t="str">
            <v>WAD 12 (Paediatric Ward)</v>
          </cell>
        </row>
        <row r="1888">
          <cell r="D1888" t="str">
            <v>KKM/JKN/HSA/10-05-01/H/15/2165</v>
          </cell>
          <cell r="E1888" t="str">
            <v>PATIENT MONITORING EQUIP.(AUTOMATIC MULTIPARAMETER)</v>
          </cell>
          <cell r="F1888" t="str">
            <v>MINDRAY</v>
          </cell>
          <cell r="G1888" t="str">
            <v>IMEC 12</v>
          </cell>
          <cell r="H1888" t="str">
            <v>EV45011642</v>
          </cell>
          <cell r="I1888" t="str">
            <v>ANNUALLY</v>
          </cell>
          <cell r="J1888">
            <v>45861</v>
          </cell>
          <cell r="K1888"/>
          <cell r="L1888"/>
          <cell r="M1888"/>
          <cell r="N1888" t="str">
            <v>JABATAN PEDIATRIK</v>
          </cell>
          <cell r="O1888" t="str">
            <v>WAD 12 (Paediatric Ward)</v>
          </cell>
        </row>
        <row r="1889">
          <cell r="D1889" t="str">
            <v>KKM/JKN/HSA/10-05-01/H/15/2166</v>
          </cell>
          <cell r="E1889" t="str">
            <v>PATIENT MONITORING EQUIP.(AUTOMATIC MULTIPARAMETER)</v>
          </cell>
          <cell r="F1889" t="str">
            <v>MINDRAY</v>
          </cell>
          <cell r="G1889" t="str">
            <v>IMEC 12</v>
          </cell>
          <cell r="H1889" t="str">
            <v>EV45011643</v>
          </cell>
          <cell r="I1889" t="str">
            <v>ANNUALLY</v>
          </cell>
          <cell r="J1889">
            <v>45861</v>
          </cell>
          <cell r="K1889"/>
          <cell r="L1889"/>
          <cell r="M1889"/>
          <cell r="N1889" t="str">
            <v>JABATAN PEDIATRIK</v>
          </cell>
          <cell r="O1889" t="str">
            <v>WAD 12 (Paediatric Ward)</v>
          </cell>
        </row>
        <row r="1890">
          <cell r="D1890" t="str">
            <v>KKM/JKN/HSA/10-05-01/H/15/2167</v>
          </cell>
          <cell r="E1890" t="str">
            <v>PATIENT MONITORING EQUIP.(AUTOMATIC MULTIPARAMETER)</v>
          </cell>
          <cell r="F1890" t="str">
            <v>MINDRAY</v>
          </cell>
          <cell r="G1890" t="str">
            <v>IMEC 12</v>
          </cell>
          <cell r="H1890" t="str">
            <v>EV45011644</v>
          </cell>
          <cell r="I1890" t="str">
            <v>ANNUALLY</v>
          </cell>
          <cell r="J1890">
            <v>45861</v>
          </cell>
          <cell r="K1890"/>
          <cell r="L1890"/>
          <cell r="M1890"/>
          <cell r="N1890" t="str">
            <v>JABATAN PEDIATRIK</v>
          </cell>
          <cell r="O1890" t="str">
            <v>WAD 12 (Paediatric Ward)</v>
          </cell>
        </row>
        <row r="1891">
          <cell r="D1891" t="str">
            <v>KKM/JKN/HSA/10-05-01/H/15/3687</v>
          </cell>
          <cell r="E1891" t="str">
            <v>DEFIBRILLATOR</v>
          </cell>
          <cell r="F1891" t="str">
            <v>PHILIPS</v>
          </cell>
          <cell r="G1891" t="str">
            <v>EFFICIA DFM100</v>
          </cell>
          <cell r="H1891" t="str">
            <v>CN32601438</v>
          </cell>
          <cell r="I1891" t="str">
            <v>SEMI ANNUALLY</v>
          </cell>
          <cell r="J1891">
            <v>45819</v>
          </cell>
          <cell r="K1891">
            <v>46001</v>
          </cell>
          <cell r="L1891"/>
          <cell r="M1891"/>
          <cell r="N1891" t="str">
            <v>JABATAN PEDIATRIK</v>
          </cell>
          <cell r="O1891" t="str">
            <v>WAD 12 (Paediatric Ward)</v>
          </cell>
        </row>
        <row r="1892">
          <cell r="D1892" t="str">
            <v>KKM/JKN/HSA/10-05-01/H/15/574</v>
          </cell>
          <cell r="E1892" t="str">
            <v>ECG (EKG) MACHINE</v>
          </cell>
          <cell r="F1892" t="str">
            <v>GE HEALTHCARE</v>
          </cell>
          <cell r="G1892" t="str">
            <v>MAC 1200</v>
          </cell>
          <cell r="H1892" t="str">
            <v>550061831</v>
          </cell>
          <cell r="I1892" t="str">
            <v>ANNUALLY</v>
          </cell>
          <cell r="J1892">
            <v>45719</v>
          </cell>
          <cell r="K1892"/>
          <cell r="L1892"/>
          <cell r="M1892"/>
          <cell r="N1892" t="str">
            <v>JABATAN PEDIATRIK</v>
          </cell>
          <cell r="O1892" t="str">
            <v>WAD 12 (Paediatric Ward)</v>
          </cell>
        </row>
        <row r="1893">
          <cell r="D1893" t="str">
            <v>KKM/JKN/HSA/10-05-01/H/15/654</v>
          </cell>
          <cell r="E1893" t="str">
            <v>SYRINGE INFUSION PUMP</v>
          </cell>
          <cell r="F1893" t="str">
            <v>FRESENIUS KABI</v>
          </cell>
          <cell r="G1893" t="str">
            <v>INJECTOMAT MC AGILIA</v>
          </cell>
          <cell r="H1893" t="str">
            <v>22231837</v>
          </cell>
          <cell r="I1893" t="str">
            <v>ANNUALLY</v>
          </cell>
          <cell r="J1893">
            <v>45755</v>
          </cell>
          <cell r="K1893"/>
          <cell r="L1893"/>
          <cell r="M1893"/>
          <cell r="N1893" t="str">
            <v>JABATAN PEDIATRIK</v>
          </cell>
          <cell r="O1893" t="str">
            <v>WAD 12 (Paediatric Ward)</v>
          </cell>
        </row>
        <row r="1894">
          <cell r="D1894" t="str">
            <v>KKM/JKN/HSA/10-05-01/H/15/655</v>
          </cell>
          <cell r="E1894" t="str">
            <v>SYRINGE INFUSION PUMP</v>
          </cell>
          <cell r="F1894" t="str">
            <v>FRESENIUS KABI</v>
          </cell>
          <cell r="G1894" t="str">
            <v>INJECTOMAT MC AGILIA</v>
          </cell>
          <cell r="H1894" t="str">
            <v>22231857</v>
          </cell>
          <cell r="I1894" t="str">
            <v>ANNUALLY</v>
          </cell>
          <cell r="J1894">
            <v>45755</v>
          </cell>
          <cell r="K1894"/>
          <cell r="L1894"/>
          <cell r="M1894"/>
          <cell r="N1894" t="str">
            <v>JABATAN PEDIATRIK</v>
          </cell>
          <cell r="O1894" t="str">
            <v>WAD 12 (Paediatric Ward)</v>
          </cell>
        </row>
        <row r="1895">
          <cell r="D1895" t="str">
            <v>KKM/JKN/HSA/10-05-01/H/15/656</v>
          </cell>
          <cell r="E1895" t="str">
            <v>SYRINGE INFUSION PUMP</v>
          </cell>
          <cell r="F1895" t="str">
            <v>FRESENIUS KABI</v>
          </cell>
          <cell r="G1895" t="str">
            <v>INJECTOMAT MC AGILIA</v>
          </cell>
          <cell r="H1895" t="str">
            <v>22231687</v>
          </cell>
          <cell r="I1895" t="str">
            <v>ANNUALLY</v>
          </cell>
          <cell r="J1895">
            <v>45755</v>
          </cell>
          <cell r="K1895"/>
          <cell r="L1895"/>
          <cell r="M1895"/>
          <cell r="N1895" t="str">
            <v>JABATAN PEDIATRIK</v>
          </cell>
          <cell r="O1895" t="str">
            <v>WAD 12 (Paediatric Ward)</v>
          </cell>
        </row>
        <row r="1896">
          <cell r="D1896" t="str">
            <v>KKM/JKN/HSA/10-05-01/H/15/658</v>
          </cell>
          <cell r="E1896" t="str">
            <v>SYRINGE INFUSION PUMP</v>
          </cell>
          <cell r="F1896" t="str">
            <v>FRESENIUS KABI</v>
          </cell>
          <cell r="G1896" t="str">
            <v>INJECTOMAT MC AGILIA</v>
          </cell>
          <cell r="H1896" t="str">
            <v>22231858</v>
          </cell>
          <cell r="I1896" t="str">
            <v>ANNUALLY</v>
          </cell>
          <cell r="J1896">
            <v>45755</v>
          </cell>
          <cell r="K1896"/>
          <cell r="L1896"/>
          <cell r="M1896"/>
          <cell r="N1896" t="str">
            <v>JABATAN PEDIATRIK</v>
          </cell>
          <cell r="O1896" t="str">
            <v>WAD 12 (Paediatric Ward)</v>
          </cell>
        </row>
        <row r="1897">
          <cell r="D1897" t="str">
            <v>KKM/JKN/HSA/10-05-01/H/15/659</v>
          </cell>
          <cell r="E1897" t="str">
            <v>SYRINGE INFUSION PUMP</v>
          </cell>
          <cell r="F1897" t="str">
            <v>FRESENIUS KABI</v>
          </cell>
          <cell r="G1897" t="str">
            <v>INJECTOMAT MC AGILIA</v>
          </cell>
          <cell r="H1897" t="str">
            <v>22231635</v>
          </cell>
          <cell r="I1897" t="str">
            <v>ANNUALLY</v>
          </cell>
          <cell r="J1897">
            <v>45762</v>
          </cell>
          <cell r="K1897"/>
          <cell r="L1897"/>
          <cell r="M1897"/>
          <cell r="N1897" t="str">
            <v>JABATAN PEDIATRIK</v>
          </cell>
          <cell r="O1897" t="str">
            <v>WAD 12 (Paediatric Ward)</v>
          </cell>
        </row>
        <row r="1898">
          <cell r="D1898" t="str">
            <v>KKM/JKN/HSA/10-05-01/H/15/660</v>
          </cell>
          <cell r="E1898" t="str">
            <v>SYRINGE INFUSION PUMP</v>
          </cell>
          <cell r="F1898" t="str">
            <v>FRESENIUS KABI</v>
          </cell>
          <cell r="G1898" t="str">
            <v>INJECTOMAT MC AGILIA</v>
          </cell>
          <cell r="H1898" t="str">
            <v>22231672</v>
          </cell>
          <cell r="I1898" t="str">
            <v>ANNUALLY</v>
          </cell>
          <cell r="J1898">
            <v>45762</v>
          </cell>
          <cell r="K1898"/>
          <cell r="L1898"/>
          <cell r="M1898"/>
          <cell r="N1898" t="str">
            <v>JABATAN PEDIATRIK</v>
          </cell>
          <cell r="O1898" t="str">
            <v>WAD 12 (Paediatric Ward)</v>
          </cell>
        </row>
        <row r="1899">
          <cell r="D1899" t="str">
            <v>KKM/JKN/HSA/10-05-01/H/15/661</v>
          </cell>
          <cell r="E1899" t="str">
            <v>SYRINGE INFUSION PUMP</v>
          </cell>
          <cell r="F1899" t="str">
            <v>FRESENIUS KABI</v>
          </cell>
          <cell r="G1899" t="str">
            <v>INJECTOMAT MC AGILIA</v>
          </cell>
          <cell r="H1899" t="str">
            <v>22231843</v>
          </cell>
          <cell r="I1899" t="str">
            <v>ANNUALLY</v>
          </cell>
          <cell r="J1899">
            <v>45762</v>
          </cell>
          <cell r="K1899"/>
          <cell r="L1899"/>
          <cell r="M1899"/>
          <cell r="N1899" t="str">
            <v>JABATAN PEDIATRIK</v>
          </cell>
          <cell r="O1899" t="str">
            <v>WAD 12 (Paediatric Ward)</v>
          </cell>
        </row>
        <row r="1900">
          <cell r="D1900" t="str">
            <v>KKM/JKN/HSA/10-05-01/H/15/662</v>
          </cell>
          <cell r="E1900" t="str">
            <v>SYRINGE INFUSION PUMP</v>
          </cell>
          <cell r="F1900" t="str">
            <v>FRESENIUS KABI</v>
          </cell>
          <cell r="G1900" t="str">
            <v>INJECTOMAT MC AGILIA</v>
          </cell>
          <cell r="H1900" t="str">
            <v>22231706</v>
          </cell>
          <cell r="I1900" t="str">
            <v>ANNUALLY</v>
          </cell>
          <cell r="J1900">
            <v>45762</v>
          </cell>
          <cell r="K1900"/>
          <cell r="L1900"/>
          <cell r="M1900"/>
          <cell r="N1900" t="str">
            <v>JABATAN PEDIATRIK</v>
          </cell>
          <cell r="O1900" t="str">
            <v>WAD 12 (Paediatric Ward)</v>
          </cell>
        </row>
        <row r="1901">
          <cell r="D1901" t="str">
            <v>KKM/JKN/HSA/10-05-01/H/15/926</v>
          </cell>
          <cell r="E1901" t="str">
            <v>SYRINGE INFUSION PUMP</v>
          </cell>
          <cell r="F1901" t="str">
            <v>FRESENIUS KABI</v>
          </cell>
          <cell r="G1901" t="str">
            <v>MODULE DPS</v>
          </cell>
          <cell r="H1901" t="str">
            <v>082594/22233507</v>
          </cell>
          <cell r="I1901" t="str">
            <v>ANNUALLY</v>
          </cell>
          <cell r="J1901">
            <v>45853</v>
          </cell>
          <cell r="K1901"/>
          <cell r="L1901"/>
          <cell r="M1901"/>
          <cell r="N1901" t="str">
            <v>JABATAN PEDIATRIK</v>
          </cell>
          <cell r="O1901" t="str">
            <v>WAD 12 (Paediatric Ward)</v>
          </cell>
        </row>
        <row r="1902">
          <cell r="D1902" t="str">
            <v>KKM/JKN/HSA/10-05-01/H/15/927</v>
          </cell>
          <cell r="E1902" t="str">
            <v>SYRINGE INFUSION PUMP</v>
          </cell>
          <cell r="F1902" t="str">
            <v>FRESENIUS KABI</v>
          </cell>
          <cell r="G1902" t="str">
            <v>MODULE DPS</v>
          </cell>
          <cell r="H1902" t="str">
            <v>082594/21513179</v>
          </cell>
          <cell r="I1902" t="str">
            <v>ANNUALLY</v>
          </cell>
          <cell r="J1902">
            <v>45853</v>
          </cell>
          <cell r="K1902"/>
          <cell r="L1902"/>
          <cell r="M1902"/>
          <cell r="N1902" t="str">
            <v>JABATAN PEDIATRIK</v>
          </cell>
          <cell r="O1902" t="str">
            <v>WAD 12 (Paediatric Ward)</v>
          </cell>
        </row>
        <row r="1903">
          <cell r="D1903" t="str">
            <v>KKM/JKN/HSA/10-05-01/H/15/928</v>
          </cell>
          <cell r="E1903" t="str">
            <v>SYRINGE INFUSION PUMP</v>
          </cell>
          <cell r="F1903" t="str">
            <v>FRESENIUS KABI</v>
          </cell>
          <cell r="G1903" t="str">
            <v>MODULE DPS</v>
          </cell>
          <cell r="H1903" t="str">
            <v>082594/22233516</v>
          </cell>
          <cell r="I1903" t="str">
            <v>ANNUALLY</v>
          </cell>
          <cell r="J1903">
            <v>45854</v>
          </cell>
          <cell r="K1903"/>
          <cell r="L1903"/>
          <cell r="M1903"/>
          <cell r="N1903" t="str">
            <v>JABATAN PEDIATRIK</v>
          </cell>
          <cell r="O1903" t="str">
            <v>WAD 12 (Paediatric Ward)</v>
          </cell>
        </row>
        <row r="1904">
          <cell r="D1904" t="str">
            <v>KKM/JKN/HSA/10-05-01/H/15/978</v>
          </cell>
          <cell r="E1904" t="str">
            <v>PULSE OXIMETER AND SIMULATOR</v>
          </cell>
          <cell r="F1904" t="str">
            <v>GE HEALTHCARE</v>
          </cell>
          <cell r="G1904" t="str">
            <v>TRUSAT OHMEDA</v>
          </cell>
          <cell r="H1904" t="str">
            <v>N/A</v>
          </cell>
          <cell r="I1904" t="str">
            <v>ANNUALLY</v>
          </cell>
          <cell r="J1904">
            <v>45706</v>
          </cell>
          <cell r="K1904"/>
          <cell r="L1904"/>
          <cell r="M1904"/>
          <cell r="N1904" t="str">
            <v>JABATAN PEDIATRIK</v>
          </cell>
          <cell r="O1904" t="str">
            <v>WAD 12 (Paediatric Ward)</v>
          </cell>
        </row>
        <row r="1905">
          <cell r="D1905" t="str">
            <v>KKM/JKN/HSA/10-05-01/H/16/124</v>
          </cell>
          <cell r="E1905" t="str">
            <v>HUMAN PATIENT SIMULATOR</v>
          </cell>
          <cell r="F1905" t="str">
            <v>LAERDAL MEDICAL</v>
          </cell>
          <cell r="G1905" t="str">
            <v>231-05050</v>
          </cell>
          <cell r="H1905" t="str">
            <v>231UMS3816001</v>
          </cell>
          <cell r="I1905" t="str">
            <v>ANNUALLY</v>
          </cell>
          <cell r="J1905">
            <v>45957</v>
          </cell>
          <cell r="K1905"/>
          <cell r="L1905"/>
          <cell r="M1905"/>
          <cell r="N1905" t="str">
            <v>JABATAN PEDIATRIK</v>
          </cell>
          <cell r="O1905" t="str">
            <v>WAD 12 (Paediatric Ward)</v>
          </cell>
        </row>
        <row r="1906">
          <cell r="D1906" t="str">
            <v>KKM/JKN/HSA/10-05-01/H/16/125</v>
          </cell>
          <cell r="E1906" t="str">
            <v>HUMAN PATIENT SIMULATOR</v>
          </cell>
          <cell r="F1906" t="str">
            <v>LAERDAL MEDICAL</v>
          </cell>
          <cell r="G1906">
            <v>18002240</v>
          </cell>
          <cell r="H1906" t="str">
            <v>4914</v>
          </cell>
          <cell r="I1906" t="str">
            <v>ANNUALLY</v>
          </cell>
          <cell r="J1906">
            <v>45957</v>
          </cell>
          <cell r="K1906"/>
          <cell r="L1906"/>
          <cell r="M1906"/>
          <cell r="N1906" t="str">
            <v>JABATAN PEDIATRIK</v>
          </cell>
          <cell r="O1906" t="str">
            <v>WAD 12 (Paediatric Ward)</v>
          </cell>
        </row>
        <row r="1907">
          <cell r="D1907" t="str">
            <v>KKM/JKN/HSA/10-05-01/H/16/126</v>
          </cell>
          <cell r="E1907" t="str">
            <v>HUMAN PATIENT SIMULATOR</v>
          </cell>
          <cell r="F1907" t="str">
            <v>LAERDAL MEDICAL</v>
          </cell>
          <cell r="G1907" t="str">
            <v>220-25050</v>
          </cell>
          <cell r="H1907" t="str">
            <v>220UMS2715010</v>
          </cell>
          <cell r="I1907" t="str">
            <v>ANNUALLY</v>
          </cell>
          <cell r="J1907">
            <v>45957</v>
          </cell>
          <cell r="K1907"/>
          <cell r="L1907"/>
          <cell r="M1907"/>
          <cell r="N1907" t="str">
            <v>JABATAN PEDIATRIK</v>
          </cell>
          <cell r="O1907" t="str">
            <v>WAD 12 (Paediatric Ward)</v>
          </cell>
        </row>
        <row r="1908">
          <cell r="D1908" t="str">
            <v>KKM/JKN/HSA/10-05-01/H/16/127</v>
          </cell>
          <cell r="E1908" t="str">
            <v>COMPUTER TABLET (MANIKIN SIMULATOR)</v>
          </cell>
          <cell r="F1908" t="str">
            <v>LAERDAL MEDICAL</v>
          </cell>
          <cell r="G1908" t="str">
            <v>SIMPAD PLUS</v>
          </cell>
          <cell r="H1908" t="str">
            <v>TSBG07013337</v>
          </cell>
          <cell r="I1908" t="str">
            <v>SEMI ANNUALLY</v>
          </cell>
          <cell r="J1908">
            <v>45774</v>
          </cell>
          <cell r="K1908">
            <v>45956</v>
          </cell>
          <cell r="L1908"/>
          <cell r="M1908"/>
          <cell r="N1908" t="str">
            <v>JABATAN PEDIATRIK</v>
          </cell>
          <cell r="O1908" t="str">
            <v>WAD 12 (Paediatric Ward)</v>
          </cell>
        </row>
        <row r="1909">
          <cell r="D1909" t="str">
            <v>KKM/JKN/HSA/10-05-01/R/15/16155</v>
          </cell>
          <cell r="E1909" t="str">
            <v>NEBULIZER</v>
          </cell>
          <cell r="F1909" t="str">
            <v>PHILIPS</v>
          </cell>
          <cell r="G1909" t="str">
            <v>INNOSPIRE DELUXE (UK PLUG)</v>
          </cell>
          <cell r="H1909">
            <v>22627</v>
          </cell>
          <cell r="I1909" t="str">
            <v>ANNUALLY</v>
          </cell>
          <cell r="J1909">
            <v>45719</v>
          </cell>
          <cell r="K1909"/>
          <cell r="L1909"/>
          <cell r="M1909"/>
          <cell r="N1909" t="str">
            <v>JABATAN PEDIATRIK</v>
          </cell>
          <cell r="O1909" t="str">
            <v>WAD 12 (Paediatric Ward)</v>
          </cell>
        </row>
        <row r="1910">
          <cell r="D1910" t="str">
            <v>KKM/JKN/HSA/10-05-01/R/15/7152</v>
          </cell>
          <cell r="E1910" t="str">
            <v>PATIENT MONITORING EQUIP.(AUTOMATIC MULTIPARAMETER)</v>
          </cell>
          <cell r="F1910" t="str">
            <v>WELCH ALLYN</v>
          </cell>
          <cell r="G1910" t="str">
            <v>WELCH ALLYN VSM 300</v>
          </cell>
          <cell r="H1910" t="str">
            <v>JA123422</v>
          </cell>
          <cell r="I1910" t="str">
            <v>ANNUALLY</v>
          </cell>
          <cell r="J1910">
            <v>45693</v>
          </cell>
          <cell r="K1910"/>
          <cell r="L1910"/>
          <cell r="M1910"/>
          <cell r="N1910" t="str">
            <v>JABATAN PEDIATRIK</v>
          </cell>
          <cell r="O1910" t="str">
            <v>WAD 12 (Paediatric Ward)</v>
          </cell>
        </row>
        <row r="1911">
          <cell r="D1911" t="str">
            <v>KKM/JKN/HSA/10-05-01/H/20/236</v>
          </cell>
          <cell r="E1911" t="str">
            <v>PATIENT MONITORING EQUIP.(AUTOMATIC MULTIPARAMETER)</v>
          </cell>
          <cell r="F1911" t="str">
            <v>NIHON KOHDEN</v>
          </cell>
          <cell r="G1911" t="str">
            <v>SVM7600</v>
          </cell>
          <cell r="H1911">
            <v>8144</v>
          </cell>
          <cell r="I1911" t="str">
            <v>ANNUALLY</v>
          </cell>
          <cell r="J1911">
            <v>45690</v>
          </cell>
          <cell r="K1911"/>
          <cell r="L1911"/>
          <cell r="M1911"/>
          <cell r="N1911" t="str">
            <v>JABATAN PEDIATRIK</v>
          </cell>
          <cell r="O1911" t="str">
            <v>WAD 12 (Paediatric Ward)</v>
          </cell>
        </row>
        <row r="1912">
          <cell r="D1912" t="str">
            <v>KKM/JKN/HSA/10-05-01/H/20/129</v>
          </cell>
          <cell r="E1912" t="str">
            <v>INFUSION PUMP</v>
          </cell>
          <cell r="F1912" t="str">
            <v xml:space="preserve">MEDCAPTAIN </v>
          </cell>
          <cell r="G1912" t="str">
            <v>SYS-6010A</v>
          </cell>
          <cell r="H1912" t="str">
            <v>140120030758</v>
          </cell>
          <cell r="I1912" t="str">
            <v>ANNUALLY</v>
          </cell>
          <cell r="J1912">
            <v>45727</v>
          </cell>
          <cell r="K1912"/>
          <cell r="L1912"/>
          <cell r="M1912"/>
          <cell r="N1912" t="str">
            <v>JABATAN PEDIATRIK</v>
          </cell>
          <cell r="O1912" t="str">
            <v>WAD 12 (Paediatric Ward)</v>
          </cell>
        </row>
        <row r="1913">
          <cell r="D1913" t="str">
            <v>KKM/JKN/HSA/10-05-01/H/20/130</v>
          </cell>
          <cell r="E1913" t="str">
            <v>INFUSION PUMP</v>
          </cell>
          <cell r="F1913" t="str">
            <v xml:space="preserve">MEDCAPTAIN </v>
          </cell>
          <cell r="G1913" t="str">
            <v>SYS-6010A</v>
          </cell>
          <cell r="H1913" t="str">
            <v>140120031034</v>
          </cell>
          <cell r="I1913" t="str">
            <v>ANNUALLY</v>
          </cell>
          <cell r="J1913">
            <v>45727</v>
          </cell>
          <cell r="K1913"/>
          <cell r="L1913"/>
          <cell r="M1913"/>
          <cell r="N1913" t="str">
            <v>JABATAN PEDIATRIK</v>
          </cell>
          <cell r="O1913" t="str">
            <v>WAD 12 (Paediatric Ward)</v>
          </cell>
        </row>
        <row r="1914">
          <cell r="D1914" t="str">
            <v>KKM/JKN/HSA/10-05-01/H/20/131</v>
          </cell>
          <cell r="E1914" t="str">
            <v>INFUSION PUMP</v>
          </cell>
          <cell r="F1914" t="str">
            <v xml:space="preserve">MEDCAPTAIN </v>
          </cell>
          <cell r="G1914" t="str">
            <v>SYS-6010A</v>
          </cell>
          <cell r="H1914" t="str">
            <v>140120030802</v>
          </cell>
          <cell r="I1914" t="str">
            <v>ANNUALLY</v>
          </cell>
          <cell r="J1914">
            <v>45727</v>
          </cell>
          <cell r="K1914"/>
          <cell r="L1914"/>
          <cell r="M1914"/>
          <cell r="N1914" t="str">
            <v>JABATAN PEDIATRIK</v>
          </cell>
          <cell r="O1914" t="str">
            <v>WAD 12 (Paediatric Ward)</v>
          </cell>
        </row>
        <row r="1915">
          <cell r="D1915" t="str">
            <v>KKM/JKN/HSA/10-05-01/H/20/132</v>
          </cell>
          <cell r="E1915" t="str">
            <v>INFUSION PUMP</v>
          </cell>
          <cell r="F1915" t="str">
            <v xml:space="preserve">MEDCAPTAIN </v>
          </cell>
          <cell r="G1915" t="str">
            <v>SYS-6010A</v>
          </cell>
          <cell r="H1915" t="str">
            <v>140120030773</v>
          </cell>
          <cell r="I1915" t="str">
            <v>ANNUALLY</v>
          </cell>
          <cell r="J1915">
            <v>45727</v>
          </cell>
          <cell r="K1915"/>
          <cell r="L1915"/>
          <cell r="M1915"/>
          <cell r="N1915" t="str">
            <v>JABATAN PEDIATRIK</v>
          </cell>
          <cell r="O1915" t="str">
            <v>WAD 12 (Paediatric Ward)</v>
          </cell>
        </row>
        <row r="1916">
          <cell r="D1916" t="str">
            <v>KKM/JKN/HSA/10-05-01/H/20/235</v>
          </cell>
          <cell r="E1916" t="str">
            <v>SYRINGE INFUSION PUMP</v>
          </cell>
          <cell r="F1916" t="str">
            <v>MINDRAY</v>
          </cell>
          <cell r="G1916" t="str">
            <v>SP3</v>
          </cell>
          <cell r="H1916" t="str">
            <v>SK00416924</v>
          </cell>
          <cell r="I1916" t="str">
            <v>ANNUALLY</v>
          </cell>
          <cell r="J1916">
            <v>45727</v>
          </cell>
          <cell r="K1916"/>
          <cell r="L1916"/>
          <cell r="M1916"/>
          <cell r="N1916" t="str">
            <v>JABATAN PEDIATRIK</v>
          </cell>
          <cell r="O1916" t="str">
            <v>WAD 12 (Paediatric Ward)</v>
          </cell>
        </row>
        <row r="1917">
          <cell r="D1917" t="str">
            <v>KKM/JKN/HSA/10-05-01/H/20/194</v>
          </cell>
          <cell r="E1917" t="str">
            <v>SPOT VITAL SIGN (NIBP)</v>
          </cell>
          <cell r="F1917" t="str">
            <v>MINDRAY</v>
          </cell>
          <cell r="G1917" t="str">
            <v>VS600</v>
          </cell>
          <cell r="H1917" t="str">
            <v>FU-03020902</v>
          </cell>
          <cell r="I1917" t="str">
            <v>ANNUALLY</v>
          </cell>
          <cell r="J1917">
            <v>45727</v>
          </cell>
          <cell r="K1917"/>
          <cell r="L1917"/>
          <cell r="M1917"/>
          <cell r="N1917" t="str">
            <v>JABATAN PEDIATRIK</v>
          </cell>
          <cell r="O1917" t="str">
            <v>WAD 12 (Paediatric Ward)</v>
          </cell>
        </row>
        <row r="1918">
          <cell r="D1918" t="str">
            <v>KKM/JKN/HSA/10-05-01/H/20/250</v>
          </cell>
          <cell r="E1918" t="str">
            <v xml:space="preserve">HUMAN PATIENT SIMULATOR </v>
          </cell>
          <cell r="F1918" t="str">
            <v>LAERDAL MEDICAL</v>
          </cell>
          <cell r="G1918" t="str">
            <v>NEWBORN ANNE</v>
          </cell>
          <cell r="H1918" t="str">
            <v>220UMS3120004</v>
          </cell>
          <cell r="I1918" t="str">
            <v>ANNUALLY</v>
          </cell>
          <cell r="J1918">
            <v>45727</v>
          </cell>
          <cell r="K1918"/>
          <cell r="L1918"/>
          <cell r="M1918"/>
          <cell r="N1918" t="str">
            <v>JABATAN PEDIATRIK</v>
          </cell>
          <cell r="O1918" t="str">
            <v>WAD 12 (Paediatric Ward)</v>
          </cell>
        </row>
        <row r="1919">
          <cell r="D1919" t="str">
            <v>KKM/JKN/HSA/10-05-01/H/21/338</v>
          </cell>
          <cell r="E1919" t="str">
            <v>VENTILATOR</v>
          </cell>
          <cell r="F1919" t="str">
            <v>VYAIRE</v>
          </cell>
          <cell r="G1919" t="str">
            <v>VYAIRE/BELLAVISTA 1000</v>
          </cell>
          <cell r="H1919" t="str">
            <v>MB209872</v>
          </cell>
          <cell r="I1919" t="str">
            <v>SEMI ANNUALLY</v>
          </cell>
          <cell r="J1919">
            <v>45787</v>
          </cell>
          <cell r="K1919">
            <v>45970</v>
          </cell>
          <cell r="L1919"/>
          <cell r="M1919"/>
          <cell r="N1919" t="str">
            <v>JABATAN PEDIATRIK</v>
          </cell>
          <cell r="O1919" t="str">
            <v>WAD 12 (Paediatric Ward)</v>
          </cell>
        </row>
        <row r="1920">
          <cell r="D1920" t="str">
            <v>KKM/JKN/HSA/10-05-01/H/15/5042</v>
          </cell>
          <cell r="E1920" t="str">
            <v>ECG PORTABLE MAINS/BATTERY OP</v>
          </cell>
          <cell r="F1920" t="str">
            <v>GE HEALTHCARE</v>
          </cell>
          <cell r="G1920" t="str">
            <v>MAC400</v>
          </cell>
          <cell r="H1920" t="str">
            <v>SCT 11486309PA</v>
          </cell>
          <cell r="I1920" t="str">
            <v>ANNUALLY</v>
          </cell>
          <cell r="J1920">
            <v>45990</v>
          </cell>
          <cell r="K1920"/>
          <cell r="L1920"/>
          <cell r="M1920"/>
          <cell r="N1920" t="str">
            <v>JABATAN PERUBATAN AM</v>
          </cell>
          <cell r="O1920" t="str">
            <v>Wad 13 (VIP)</v>
          </cell>
        </row>
        <row r="1921">
          <cell r="D1921" t="str">
            <v>KKM/JKN/HSA/10-05-01/H/15/5104</v>
          </cell>
          <cell r="E1921" t="str">
            <v>DETECTOR VASCULAR FLOW</v>
          </cell>
          <cell r="F1921" t="str">
            <v>HUNTLEIGH</v>
          </cell>
          <cell r="G1921" t="str">
            <v>D900</v>
          </cell>
          <cell r="H1921" t="str">
            <v>MD2P10527270-13</v>
          </cell>
          <cell r="I1921" t="str">
            <v>ANNUALLY</v>
          </cell>
          <cell r="J1921">
            <v>45823</v>
          </cell>
          <cell r="K1921"/>
          <cell r="L1921"/>
          <cell r="M1921"/>
          <cell r="N1921" t="str">
            <v>JABATAN PERUBATAN AM</v>
          </cell>
          <cell r="O1921" t="str">
            <v>Wad 13 (VIP)</v>
          </cell>
        </row>
        <row r="1922">
          <cell r="D1922" t="str">
            <v>KKM/JKN/HSA/10-05-01/R/15/7402</v>
          </cell>
          <cell r="E1922" t="str">
            <v>DIAGNOSTIC SET ADULT</v>
          </cell>
          <cell r="F1922" t="str">
            <v>RUDOLF RIESTER, GMBH</v>
          </cell>
          <cell r="G1922" t="str">
            <v>RI-SCOPE ENT 3761</v>
          </cell>
          <cell r="H1922" t="str">
            <v>N/A</v>
          </cell>
          <cell r="I1922" t="str">
            <v>ANNUALLY</v>
          </cell>
          <cell r="J1922">
            <v>45814</v>
          </cell>
          <cell r="K1922"/>
          <cell r="L1922"/>
          <cell r="M1922"/>
          <cell r="N1922" t="str">
            <v>JABATAN PERUBATAN AM</v>
          </cell>
          <cell r="O1922" t="str">
            <v>Wad 13 (VIP)</v>
          </cell>
        </row>
        <row r="1923">
          <cell r="D1923" t="str">
            <v>KKM/JKN/HSA/10-05-01/R/15/7403</v>
          </cell>
          <cell r="E1923" t="str">
            <v>DIAGNOSTIC SET ADULT</v>
          </cell>
          <cell r="F1923" t="str">
            <v>RUDOLF RIESTER, GMBH</v>
          </cell>
          <cell r="G1923" t="str">
            <v>RI-SCOPE ENT 3761</v>
          </cell>
          <cell r="H1923" t="str">
            <v>N/A</v>
          </cell>
          <cell r="I1923" t="str">
            <v>ANNUALLY</v>
          </cell>
          <cell r="J1923">
            <v>45815</v>
          </cell>
          <cell r="K1923"/>
          <cell r="L1923"/>
          <cell r="M1923"/>
          <cell r="N1923" t="str">
            <v>JABATAN PERUBATAN AM</v>
          </cell>
          <cell r="O1923" t="str">
            <v>Wad 13 (VIP)</v>
          </cell>
        </row>
        <row r="1924">
          <cell r="D1924" t="str">
            <v>KKM/JKN/HSA/10-05-01/H/15/1263</v>
          </cell>
          <cell r="E1924" t="str">
            <v>INFUSION PUMP</v>
          </cell>
          <cell r="F1924" t="str">
            <v>FRESENIUS KABI</v>
          </cell>
          <cell r="G1924" t="str">
            <v>VOLUMAT MC AGILIA GB</v>
          </cell>
          <cell r="H1924" t="str">
            <v>019130/22235932</v>
          </cell>
          <cell r="I1924" t="str">
            <v>ANNUALLY</v>
          </cell>
          <cell r="J1924">
            <v>45852</v>
          </cell>
          <cell r="K1924"/>
          <cell r="L1924"/>
          <cell r="M1924"/>
          <cell r="N1924" t="str">
            <v>JABATAN PERUBATAN AM</v>
          </cell>
          <cell r="O1924" t="str">
            <v>Wad 13 (VIP)</v>
          </cell>
        </row>
        <row r="1925">
          <cell r="D1925" t="str">
            <v>KKM/JKN/HSA/10-05-01/H/15/1264</v>
          </cell>
          <cell r="E1925" t="str">
            <v>INFUSION PUMP</v>
          </cell>
          <cell r="F1925" t="str">
            <v>FRESENIUS KABI</v>
          </cell>
          <cell r="G1925" t="str">
            <v>VOLUMAT MC AGILIA GB</v>
          </cell>
          <cell r="H1925" t="str">
            <v>22235964</v>
          </cell>
          <cell r="I1925" t="str">
            <v>ANNUALLY</v>
          </cell>
          <cell r="J1925">
            <v>45852</v>
          </cell>
          <cell r="K1925"/>
          <cell r="L1925"/>
          <cell r="M1925"/>
          <cell r="N1925" t="str">
            <v>JABATAN PERUBATAN AM</v>
          </cell>
          <cell r="O1925" t="str">
            <v>Wad 13 (VIP)</v>
          </cell>
        </row>
        <row r="1926">
          <cell r="D1926" t="str">
            <v>KKM/JKN/HSA/10-05-01/H/15/1265</v>
          </cell>
          <cell r="E1926" t="str">
            <v>INFUSION PUMP</v>
          </cell>
          <cell r="F1926" t="str">
            <v>FRESENIUS KABI</v>
          </cell>
          <cell r="G1926" t="str">
            <v>VOLUMAT MC AGILIA GB</v>
          </cell>
          <cell r="H1926" t="str">
            <v>22235934</v>
          </cell>
          <cell r="I1926" t="str">
            <v>ANNUALLY</v>
          </cell>
          <cell r="J1926">
            <v>45852</v>
          </cell>
          <cell r="K1926"/>
          <cell r="L1926"/>
          <cell r="M1926"/>
          <cell r="N1926" t="str">
            <v>JABATAN PERUBATAN AM</v>
          </cell>
          <cell r="O1926" t="str">
            <v>Wad 13 (VIP)</v>
          </cell>
        </row>
        <row r="1927">
          <cell r="D1927" t="str">
            <v>KKM/JKN/HSA/10-05-01/H/15/1808</v>
          </cell>
          <cell r="E1927" t="str">
            <v>ENTERAL FEEDING PUMP</v>
          </cell>
          <cell r="F1927" t="str">
            <v>FRESENIUS KABI</v>
          </cell>
          <cell r="G1927" t="str">
            <v>APPLIX VISION</v>
          </cell>
          <cell r="H1927" t="str">
            <v>7751811/22232622</v>
          </cell>
          <cell r="I1927" t="str">
            <v>ANNUALLY</v>
          </cell>
          <cell r="J1927">
            <v>45880</v>
          </cell>
          <cell r="K1927"/>
          <cell r="L1927"/>
          <cell r="M1927"/>
          <cell r="N1927" t="str">
            <v>JABATAN PERUBATAN AM</v>
          </cell>
          <cell r="O1927" t="str">
            <v>Wad 13 (VIP)</v>
          </cell>
        </row>
        <row r="1928">
          <cell r="D1928" t="str">
            <v>KKM/JKN/HSA/10-05-01/H/15/2169</v>
          </cell>
          <cell r="E1928" t="str">
            <v>PATIENT MONITORING EQUIP.(AUTOMATIC MULTIPARAMETER)</v>
          </cell>
          <cell r="F1928" t="str">
            <v>MINDRAY</v>
          </cell>
          <cell r="G1928" t="str">
            <v>IMEC 12</v>
          </cell>
          <cell r="H1928" t="str">
            <v>EV45011639</v>
          </cell>
          <cell r="I1928" t="str">
            <v>ANNUALLY</v>
          </cell>
          <cell r="J1928">
            <v>45861</v>
          </cell>
          <cell r="K1928"/>
          <cell r="L1928"/>
          <cell r="M1928"/>
          <cell r="N1928" t="str">
            <v>JABATAN PERUBATAN AM</v>
          </cell>
          <cell r="O1928" t="str">
            <v>Wad 13 (VIP)</v>
          </cell>
        </row>
        <row r="1929">
          <cell r="D1929" t="str">
            <v>KKM/JKN/HSA/10-05-01/H/15/2182</v>
          </cell>
          <cell r="E1929" t="str">
            <v>SUCTION APPARATUS</v>
          </cell>
          <cell r="F1929" t="str">
            <v>CAMI</v>
          </cell>
          <cell r="G1929" t="str">
            <v>ASKIR 30</v>
          </cell>
          <cell r="H1929" t="str">
            <v>SN5904</v>
          </cell>
          <cell r="I1929" t="str">
            <v>ANNUALLY</v>
          </cell>
          <cell r="J1929">
            <v>45753</v>
          </cell>
          <cell r="K1929"/>
          <cell r="L1929"/>
          <cell r="M1929"/>
          <cell r="N1929" t="str">
            <v>JABATAN PERUBATAN AM</v>
          </cell>
          <cell r="O1929" t="str">
            <v>Wad 13 (VIP)</v>
          </cell>
        </row>
        <row r="1930">
          <cell r="D1930" t="str">
            <v>KKM/JKN/HSA/10-05-01/H/15/2183</v>
          </cell>
          <cell r="E1930" t="str">
            <v>SUCTION APPARATUS</v>
          </cell>
          <cell r="F1930" t="str">
            <v>CAMI</v>
          </cell>
          <cell r="G1930" t="str">
            <v>ASKIR 30</v>
          </cell>
          <cell r="H1930" t="str">
            <v>SN5906</v>
          </cell>
          <cell r="I1930" t="str">
            <v>ANNUALLY</v>
          </cell>
          <cell r="J1930">
            <v>45753</v>
          </cell>
          <cell r="K1930"/>
          <cell r="L1930"/>
          <cell r="M1930"/>
          <cell r="N1930" t="str">
            <v>JABATAN PERUBATAN AM</v>
          </cell>
          <cell r="O1930" t="str">
            <v>Wad 13 (VIP)</v>
          </cell>
        </row>
        <row r="1931">
          <cell r="D1931" t="str">
            <v>KKM/JKN/HSA/10-05-01/H/15/2184</v>
          </cell>
          <cell r="E1931" t="str">
            <v>SUCTION APPARATUS</v>
          </cell>
          <cell r="F1931" t="str">
            <v>CAMI</v>
          </cell>
          <cell r="G1931" t="str">
            <v>ASKIR 30</v>
          </cell>
          <cell r="H1931" t="str">
            <v>SN5905</v>
          </cell>
          <cell r="I1931" t="str">
            <v>ANNUALLY</v>
          </cell>
          <cell r="J1931">
            <v>45753</v>
          </cell>
          <cell r="K1931"/>
          <cell r="L1931"/>
          <cell r="M1931"/>
          <cell r="N1931" t="str">
            <v>JABATAN PERUBATAN AM</v>
          </cell>
          <cell r="O1931" t="str">
            <v>Wad 13 (VIP)</v>
          </cell>
        </row>
        <row r="1932">
          <cell r="D1932" t="str">
            <v>KKM/JKN/HSA/10-05-01/H/15/2260</v>
          </cell>
          <cell r="E1932" t="str">
            <v>SYRINGE INFUSION PUMP</v>
          </cell>
          <cell r="F1932" t="str">
            <v>FRESENIUS KABI</v>
          </cell>
          <cell r="G1932" t="str">
            <v>INJECTOMAT AGILIA</v>
          </cell>
          <cell r="H1932" t="str">
            <v>22233898</v>
          </cell>
          <cell r="I1932" t="str">
            <v>ANNUALLY</v>
          </cell>
          <cell r="J1932">
            <v>45861</v>
          </cell>
          <cell r="K1932"/>
          <cell r="L1932"/>
          <cell r="M1932"/>
          <cell r="N1932" t="str">
            <v>JABATAN PERUBATAN AM</v>
          </cell>
          <cell r="O1932" t="str">
            <v>Wad 13 (VIP)</v>
          </cell>
        </row>
        <row r="1933">
          <cell r="D1933" t="str">
            <v>KKM/JKN/HSA/10-05-01/H/15/2261</v>
          </cell>
          <cell r="E1933" t="str">
            <v>SYRINGE INFUSION PUMP</v>
          </cell>
          <cell r="F1933" t="str">
            <v>FRESENIUS KABI</v>
          </cell>
          <cell r="G1933" t="str">
            <v>INJECTOMAT AGILIA</v>
          </cell>
          <cell r="H1933" t="str">
            <v>22233895</v>
          </cell>
          <cell r="I1933" t="str">
            <v>ANNUALLY</v>
          </cell>
          <cell r="J1933">
            <v>45861</v>
          </cell>
          <cell r="K1933"/>
          <cell r="L1933"/>
          <cell r="M1933"/>
          <cell r="N1933" t="str">
            <v>JABATAN PERUBATAN AM</v>
          </cell>
          <cell r="O1933" t="str">
            <v>Wad 13 (VIP)</v>
          </cell>
        </row>
        <row r="1934">
          <cell r="D1934" t="str">
            <v>KKM/JKN/HSA/10-05-01/H/15/2262</v>
          </cell>
          <cell r="E1934" t="str">
            <v>SYRINGE INFUSION PUMP</v>
          </cell>
          <cell r="F1934" t="str">
            <v>FRESENIUS KABI</v>
          </cell>
          <cell r="G1934" t="str">
            <v>INJECTOMAT AGILIA</v>
          </cell>
          <cell r="H1934" t="str">
            <v>22233901</v>
          </cell>
          <cell r="I1934" t="str">
            <v>ANNUALLY</v>
          </cell>
          <cell r="J1934">
            <v>45861</v>
          </cell>
          <cell r="K1934"/>
          <cell r="L1934"/>
          <cell r="M1934"/>
          <cell r="N1934" t="str">
            <v>JABATAN PERUBATAN AM</v>
          </cell>
          <cell r="O1934" t="str">
            <v>Wad 13 (VIP)</v>
          </cell>
        </row>
        <row r="1935">
          <cell r="D1935" t="str">
            <v>KKM/JKN/HSA/10-05-01/H/15/2263</v>
          </cell>
          <cell r="E1935" t="str">
            <v>SYRINGE INFUSION PUMP</v>
          </cell>
          <cell r="F1935" t="str">
            <v>FRESENIUS KABI</v>
          </cell>
          <cell r="G1935" t="str">
            <v>INJECTOMAT AGILIA</v>
          </cell>
          <cell r="H1935" t="str">
            <v>018030/22233900</v>
          </cell>
          <cell r="I1935" t="str">
            <v>ANNUALLY</v>
          </cell>
          <cell r="J1935">
            <v>45862</v>
          </cell>
          <cell r="K1935"/>
          <cell r="L1935"/>
          <cell r="M1935"/>
          <cell r="N1935" t="str">
            <v>JABATAN PERUBATAN AM</v>
          </cell>
          <cell r="O1935" t="str">
            <v>Wad 13 (VIP)</v>
          </cell>
        </row>
        <row r="1936">
          <cell r="D1936" t="str">
            <v>KKM/JKN/HSA/10-05-01/H/15/2799</v>
          </cell>
          <cell r="E1936" t="str">
            <v>RIPPLE MATTRESS</v>
          </cell>
          <cell r="F1936" t="str">
            <v>BANTEX</v>
          </cell>
          <cell r="G1936" t="str">
            <v>APM-5000-G</v>
          </cell>
          <cell r="H1936" t="str">
            <v>EZ141105010</v>
          </cell>
          <cell r="I1936" t="str">
            <v>ANNUALLY</v>
          </cell>
          <cell r="J1936">
            <v>45880</v>
          </cell>
          <cell r="K1936"/>
          <cell r="L1936"/>
          <cell r="M1936"/>
          <cell r="N1936" t="str">
            <v>JABATAN PERUBATAN AM</v>
          </cell>
          <cell r="O1936" t="str">
            <v>Wad 13 (VIP)</v>
          </cell>
        </row>
        <row r="1937">
          <cell r="D1937" t="str">
            <v>KKM/JKN/HSA/10-05-01/H/15/3685</v>
          </cell>
          <cell r="E1937" t="str">
            <v>DEFIBRILLATOR</v>
          </cell>
          <cell r="F1937" t="str">
            <v>PHILIPS</v>
          </cell>
          <cell r="G1937" t="str">
            <v>EFFICIA DFM100</v>
          </cell>
          <cell r="H1937" t="str">
            <v>CN32601417</v>
          </cell>
          <cell r="I1937" t="str">
            <v>SEMI ANNUALLY</v>
          </cell>
          <cell r="J1937">
            <v>45819</v>
          </cell>
          <cell r="K1937">
            <v>46001</v>
          </cell>
          <cell r="L1937"/>
          <cell r="M1937"/>
          <cell r="N1937" t="str">
            <v>JABATAN PERUBATAN AM</v>
          </cell>
          <cell r="O1937" t="str">
            <v>Wad 13 (VIP)</v>
          </cell>
        </row>
        <row r="1938">
          <cell r="D1938" t="str">
            <v>KKM/JKN/HSA/10-05-01/H/15/925</v>
          </cell>
          <cell r="E1938" t="str">
            <v>SYRINGE INFUSION PUMP</v>
          </cell>
          <cell r="F1938" t="str">
            <v>FRESENIUS KABI</v>
          </cell>
          <cell r="G1938" t="str">
            <v>MODULE DPS</v>
          </cell>
          <cell r="H1938" t="str">
            <v>082594/22233514</v>
          </cell>
          <cell r="I1938" t="str">
            <v>ANNUALLY</v>
          </cell>
          <cell r="J1938">
            <v>45853</v>
          </cell>
          <cell r="K1938"/>
          <cell r="L1938"/>
          <cell r="M1938"/>
          <cell r="N1938" t="str">
            <v>JABATAN PERUBATAN AM</v>
          </cell>
          <cell r="O1938" t="str">
            <v>Wad 13 (VIP)</v>
          </cell>
        </row>
        <row r="1939">
          <cell r="D1939" t="str">
            <v>KKM/JKN/HSA/10-05-01/H/15/938</v>
          </cell>
          <cell r="E1939" t="str">
            <v>SYRINGE INFUSION PUMP</v>
          </cell>
          <cell r="F1939" t="str">
            <v>FRESENIUS KABI</v>
          </cell>
          <cell r="G1939" t="str">
            <v>MODULE DPS</v>
          </cell>
          <cell r="H1939" t="str">
            <v>082594/22233506</v>
          </cell>
          <cell r="I1939" t="str">
            <v>ANNUALLY</v>
          </cell>
          <cell r="J1939">
            <v>45859</v>
          </cell>
          <cell r="K1939"/>
          <cell r="L1939"/>
          <cell r="M1939"/>
          <cell r="N1939" t="str">
            <v>JABATAN PERUBATAN AM</v>
          </cell>
          <cell r="O1939" t="str">
            <v>Wad 13 (VIP)</v>
          </cell>
        </row>
        <row r="1940">
          <cell r="D1940" t="str">
            <v>KKM/JKN/HSA/10-05-01/R/15/16157</v>
          </cell>
          <cell r="E1940" t="str">
            <v>NEBULIZER</v>
          </cell>
          <cell r="F1940" t="str">
            <v>PHILIPS</v>
          </cell>
          <cell r="G1940" t="str">
            <v>INNOSPIRE DELUXE (UK PLUG)</v>
          </cell>
          <cell r="H1940" t="str">
            <v>022861</v>
          </cell>
          <cell r="I1940" t="str">
            <v>ANNUALLY</v>
          </cell>
          <cell r="J1940">
            <v>45727</v>
          </cell>
          <cell r="K1940"/>
          <cell r="L1940"/>
          <cell r="M1940"/>
          <cell r="N1940" t="str">
            <v>JABATAN PERUBATAN AM</v>
          </cell>
          <cell r="O1940" t="str">
            <v>Wad 13 (VIP)</v>
          </cell>
        </row>
        <row r="1941">
          <cell r="D1941" t="str">
            <v>KKM/JKN/HSA/10-05-01/R/15/16158</v>
          </cell>
          <cell r="E1941" t="str">
            <v>NEBULIZER</v>
          </cell>
          <cell r="F1941" t="str">
            <v>PHILIPS</v>
          </cell>
          <cell r="G1941" t="str">
            <v>INNOSPIRE DELUXE (UK PLUG)</v>
          </cell>
          <cell r="H1941" t="str">
            <v>022635</v>
          </cell>
          <cell r="I1941" t="str">
            <v>ANNUALLY</v>
          </cell>
          <cell r="J1941">
            <v>45727</v>
          </cell>
          <cell r="K1941"/>
          <cell r="L1941"/>
          <cell r="M1941"/>
          <cell r="N1941" t="str">
            <v>JABATAN PERUBATAN AM</v>
          </cell>
          <cell r="O1941" t="str">
            <v>Wad 13 (VIP)</v>
          </cell>
        </row>
        <row r="1942">
          <cell r="D1942" t="str">
            <v>KKM/JKN/HSA/10-05-01/R/15/16159</v>
          </cell>
          <cell r="E1942" t="str">
            <v>NEBULIZER</v>
          </cell>
          <cell r="F1942" t="str">
            <v>PHILIPS</v>
          </cell>
          <cell r="G1942" t="str">
            <v>INNOSPIRE DELUXE (UK PLUG)</v>
          </cell>
          <cell r="H1942" t="str">
            <v>022530</v>
          </cell>
          <cell r="I1942" t="str">
            <v>ANNUALLY</v>
          </cell>
          <cell r="J1942">
            <v>45727</v>
          </cell>
          <cell r="K1942"/>
          <cell r="L1942"/>
          <cell r="M1942"/>
          <cell r="N1942" t="str">
            <v>JABATAN PERUBATAN AM</v>
          </cell>
          <cell r="O1942" t="str">
            <v>Wad 13 (VIP)</v>
          </cell>
        </row>
        <row r="1943">
          <cell r="D1943" t="str">
            <v>KKM/JKN/HSA/10-05-01/R/15/16160</v>
          </cell>
          <cell r="E1943" t="str">
            <v>NEBULIZER</v>
          </cell>
          <cell r="F1943" t="str">
            <v>PHILIPS</v>
          </cell>
          <cell r="G1943" t="str">
            <v>INNOSPIRE DELUXE (UK PLUG)</v>
          </cell>
          <cell r="H1943" t="str">
            <v>022859</v>
          </cell>
          <cell r="I1943" t="str">
            <v>ANNUALLY</v>
          </cell>
          <cell r="J1943">
            <v>45727</v>
          </cell>
          <cell r="K1943"/>
          <cell r="L1943"/>
          <cell r="M1943"/>
          <cell r="N1943" t="str">
            <v>JABATAN PERUBATAN AM</v>
          </cell>
          <cell r="O1943" t="str">
            <v>Wad 13 (VIP)</v>
          </cell>
        </row>
        <row r="1944">
          <cell r="D1944" t="str">
            <v>KKM/JKN/HSA/10-05-01/R/15/7154</v>
          </cell>
          <cell r="E1944" t="str">
            <v>PATIENT MONITORING EQUIP.(AUTOMATIC MULTIPARAMETER)</v>
          </cell>
          <cell r="F1944" t="str">
            <v>WELCH ALLYN</v>
          </cell>
          <cell r="G1944" t="str">
            <v>WELCH ALLYN VSM 300</v>
          </cell>
          <cell r="H1944" t="str">
            <v>JA123427</v>
          </cell>
          <cell r="I1944" t="str">
            <v>ANNUALLY</v>
          </cell>
          <cell r="J1944">
            <v>45698</v>
          </cell>
          <cell r="K1944"/>
          <cell r="L1944"/>
          <cell r="M1944"/>
          <cell r="N1944" t="str">
            <v>JABATAN PERUBATAN AM</v>
          </cell>
          <cell r="O1944" t="str">
            <v>Wad 13 (VIP)</v>
          </cell>
        </row>
        <row r="1945">
          <cell r="D1945" t="str">
            <v>KKM/JKN/HSA/10-05-01/H/20/117</v>
          </cell>
          <cell r="E1945" t="str">
            <v>SYRINGE INFUSION PUMP</v>
          </cell>
          <cell r="F1945" t="str">
            <v xml:space="preserve">MEDCAPTAIN </v>
          </cell>
          <cell r="G1945" t="str">
            <v>SYS-50</v>
          </cell>
          <cell r="H1945" t="str">
            <v>91560120030613</v>
          </cell>
          <cell r="I1945" t="str">
            <v>ANNUALLY</v>
          </cell>
          <cell r="J1945">
            <v>46024</v>
          </cell>
          <cell r="K1945"/>
          <cell r="L1945"/>
          <cell r="M1945"/>
          <cell r="N1945" t="str">
            <v>JABATAN PERUBATAN AM</v>
          </cell>
          <cell r="O1945" t="str">
            <v>Wad 13 (VIP)</v>
          </cell>
        </row>
        <row r="1946">
          <cell r="D1946" t="str">
            <v>KKM/JKN/HSA/10-05-01/H/20/118</v>
          </cell>
          <cell r="E1946" t="str">
            <v>SYRINGE INFUSION PUMP</v>
          </cell>
          <cell r="F1946" t="str">
            <v xml:space="preserve">MEDCAPTAIN </v>
          </cell>
          <cell r="G1946" t="str">
            <v>SYS-50</v>
          </cell>
          <cell r="H1946" t="str">
            <v>91560120030612</v>
          </cell>
          <cell r="I1946" t="str">
            <v>ANNUALLY</v>
          </cell>
          <cell r="J1946">
            <v>45690</v>
          </cell>
          <cell r="K1946"/>
          <cell r="L1946"/>
          <cell r="M1946"/>
          <cell r="N1946" t="str">
            <v>JABATAN PERUBATAN AM</v>
          </cell>
          <cell r="O1946" t="str">
            <v>Wad 13 (VIP)</v>
          </cell>
        </row>
        <row r="1947">
          <cell r="D1947" t="str">
            <v>KKM/JKN/HSA/10-05-01/H/20/230</v>
          </cell>
          <cell r="E1947" t="str">
            <v>SYRINGE INFUSION PUMP</v>
          </cell>
          <cell r="F1947" t="str">
            <v>MINDRAY</v>
          </cell>
          <cell r="G1947" t="str">
            <v>SP3</v>
          </cell>
          <cell r="H1947" t="str">
            <v>SK00416956</v>
          </cell>
          <cell r="I1947" t="str">
            <v>ANNUALLY</v>
          </cell>
          <cell r="J1947">
            <v>45690</v>
          </cell>
          <cell r="K1947"/>
          <cell r="L1947"/>
          <cell r="M1947"/>
          <cell r="N1947" t="str">
            <v>JABATAN PERUBATAN AM</v>
          </cell>
          <cell r="O1947" t="str">
            <v>Wad 13 (VIP)</v>
          </cell>
        </row>
        <row r="1948">
          <cell r="D1948" t="str">
            <v>KKM/JKN/HSA/10-05-01/H/20/231</v>
          </cell>
          <cell r="E1948" t="str">
            <v>SYRINGE INFUSION PUMP</v>
          </cell>
          <cell r="F1948" t="str">
            <v>MINDRAY</v>
          </cell>
          <cell r="G1948" t="str">
            <v>SP3</v>
          </cell>
          <cell r="H1948" t="str">
            <v>SK00416910</v>
          </cell>
          <cell r="I1948" t="str">
            <v>ANNUALLY</v>
          </cell>
          <cell r="J1948">
            <v>45690</v>
          </cell>
          <cell r="K1948"/>
          <cell r="L1948"/>
          <cell r="M1948"/>
          <cell r="N1948" t="str">
            <v>JABATAN PERUBATAN AM</v>
          </cell>
          <cell r="O1948" t="str">
            <v>Wad 13 (VIP)</v>
          </cell>
        </row>
        <row r="1949">
          <cell r="D1949" t="str">
            <v>KKM/JKN/HSA/10-05-01/H/16/194</v>
          </cell>
          <cell r="E1949" t="str">
            <v>PATIENT MONITORING EQUIP. (AUTOMATIC MULTIPARAMETER)</v>
          </cell>
          <cell r="F1949" t="str">
            <v>CONTEC</v>
          </cell>
          <cell r="G1949" t="str">
            <v>CMS6500</v>
          </cell>
          <cell r="H1949" t="str">
            <v>N/A</v>
          </cell>
          <cell r="I1949" t="str">
            <v>ANNUALLY</v>
          </cell>
          <cell r="J1949">
            <v>45724</v>
          </cell>
          <cell r="K1949"/>
          <cell r="L1949"/>
          <cell r="M1949"/>
          <cell r="N1949" t="str">
            <v>JABATAN PERUBATAN AM</v>
          </cell>
          <cell r="O1949" t="str">
            <v>Wad 13 (VIP)</v>
          </cell>
        </row>
        <row r="1950">
          <cell r="D1950" t="str">
            <v>KKM/JKN/HSA/10-05-01/R/20/119</v>
          </cell>
          <cell r="E1950" t="str">
            <v>RIPPLE MATTRESS</v>
          </cell>
          <cell r="F1950" t="str">
            <v xml:space="preserve">LKL HEALTHCARE </v>
          </cell>
          <cell r="G1950" t="str">
            <v>BX422</v>
          </cell>
          <cell r="H1950" t="str">
            <v>N/A</v>
          </cell>
          <cell r="I1950" t="str">
            <v>ANNUALLY</v>
          </cell>
          <cell r="J1950">
            <v>45748</v>
          </cell>
          <cell r="K1950"/>
          <cell r="L1950"/>
          <cell r="M1950"/>
          <cell r="N1950" t="str">
            <v>JABATAN PERUBATAN AM</v>
          </cell>
          <cell r="O1950" t="str">
            <v>Wad 13 (VIP)</v>
          </cell>
        </row>
        <row r="1951">
          <cell r="D1951" t="str">
            <v>KKM/JKN/HSA/10-05-01/R/20/120</v>
          </cell>
          <cell r="E1951" t="str">
            <v>RIPPLE MATTRESS</v>
          </cell>
          <cell r="F1951" t="str">
            <v xml:space="preserve">LKL HEALTHCARE </v>
          </cell>
          <cell r="G1951" t="str">
            <v>BX422</v>
          </cell>
          <cell r="H1951" t="str">
            <v>N/A</v>
          </cell>
          <cell r="I1951" t="str">
            <v>ANNUALLY</v>
          </cell>
          <cell r="J1951">
            <v>45748</v>
          </cell>
          <cell r="K1951"/>
          <cell r="L1951"/>
          <cell r="M1951"/>
          <cell r="N1951" t="str">
            <v>JABATAN PERUBATAN AM</v>
          </cell>
          <cell r="O1951" t="str">
            <v>Wad 13 (VIP)</v>
          </cell>
        </row>
        <row r="1952">
          <cell r="D1952" t="str">
            <v>KKM/JKN/HSA/10-05-01/H/20/179</v>
          </cell>
          <cell r="E1952" t="str">
            <v>SPOT VITAL SIGN (NIBP)</v>
          </cell>
          <cell r="F1952" t="str">
            <v xml:space="preserve">MINDRAY </v>
          </cell>
          <cell r="G1952" t="str">
            <v>VS900</v>
          </cell>
          <cell r="H1952" t="str">
            <v>FV03035201</v>
          </cell>
          <cell r="I1952" t="str">
            <v>ANNUALLY</v>
          </cell>
          <cell r="J1952">
            <v>45748</v>
          </cell>
          <cell r="K1952"/>
          <cell r="L1952"/>
          <cell r="M1952"/>
          <cell r="N1952" t="str">
            <v>JABATAN PERUBATAN AM</v>
          </cell>
          <cell r="O1952" t="str">
            <v>Wad 13 (VIP)</v>
          </cell>
        </row>
        <row r="1953">
          <cell r="D1953" t="str">
            <v>KKM/JKN/HSA/10-05-01/H/21/208</v>
          </cell>
          <cell r="E1953" t="str">
            <v>VITAL SIGN MONITORS</v>
          </cell>
          <cell r="F1953" t="str">
            <v>BETTERLIFE MEDICAL TECHNOLOGY</v>
          </cell>
          <cell r="G1953" t="str">
            <v>IRIS 200 VITAL SIGN</v>
          </cell>
          <cell r="H1953" t="str">
            <v>M10C-2107B18 (11381)</v>
          </cell>
          <cell r="I1953" t="str">
            <v>ANNUALLY</v>
          </cell>
          <cell r="J1953">
            <v>45873</v>
          </cell>
          <cell r="K1953"/>
          <cell r="L1953"/>
          <cell r="M1953"/>
          <cell r="N1953" t="str">
            <v>JABATAN PERUBATAN AM</v>
          </cell>
          <cell r="O1953" t="str">
            <v>Wad 13 (VIP)</v>
          </cell>
        </row>
        <row r="1954">
          <cell r="D1954" t="str">
            <v>KKM/JKN/HSA/10-05-01/H/15/4183</v>
          </cell>
          <cell r="E1954" t="str">
            <v>MONITOR APNOEA NON INVASIVE</v>
          </cell>
          <cell r="F1954" t="str">
            <v>MASIMO</v>
          </cell>
          <cell r="G1954" t="str">
            <v>RADICAL-8</v>
          </cell>
          <cell r="H1954" t="str">
            <v>M45291</v>
          </cell>
          <cell r="I1954" t="str">
            <v>ANNUALLY</v>
          </cell>
          <cell r="J1954">
            <v>45827</v>
          </cell>
          <cell r="K1954"/>
          <cell r="L1954"/>
          <cell r="M1954"/>
          <cell r="N1954" t="str">
            <v>JABATAN OBSTETRIK &amp; GINEKOLOGI</v>
          </cell>
          <cell r="O1954" t="str">
            <v>WAD 8A (Wad Obstetrik &amp; Ginekologi 8A)</v>
          </cell>
        </row>
        <row r="1955">
          <cell r="D1955" t="str">
            <v>KKM/JKN/HSA/10-05-01/H/15/4207</v>
          </cell>
          <cell r="E1955" t="str">
            <v>PUMP BREAST ELECTRIC</v>
          </cell>
          <cell r="F1955" t="str">
            <v>MEDELA</v>
          </cell>
          <cell r="G1955" t="str">
            <v xml:space="preserve"> 016-2017</v>
          </cell>
          <cell r="H1955">
            <v>667095</v>
          </cell>
          <cell r="I1955" t="str">
            <v>ANNUALLY</v>
          </cell>
          <cell r="J1955">
            <v>45704</v>
          </cell>
          <cell r="K1955"/>
          <cell r="L1955"/>
          <cell r="M1955"/>
          <cell r="N1955" t="str">
            <v>JABATAN OBSTETRIK &amp; GINEKOLOGI</v>
          </cell>
          <cell r="O1955" t="str">
            <v>WAD 8A (Wad Obstetrik &amp; Ginekologi 8A)</v>
          </cell>
        </row>
        <row r="1956">
          <cell r="D1956" t="str">
            <v>KKM/JKN/HSA/10-05-01/H/15/1078</v>
          </cell>
          <cell r="E1956" t="str">
            <v>PHOTOTHERAPY MACHINE (LAMP)</v>
          </cell>
          <cell r="F1956" t="str">
            <v>BISTOS</v>
          </cell>
          <cell r="G1956" t="str">
            <v>BT400</v>
          </cell>
          <cell r="H1956" t="str">
            <v>EAE 40134</v>
          </cell>
          <cell r="I1956" t="str">
            <v>ANNUALLY</v>
          </cell>
          <cell r="J1956">
            <v>45798</v>
          </cell>
          <cell r="K1956"/>
          <cell r="L1956"/>
          <cell r="M1956"/>
          <cell r="N1956" t="str">
            <v>JABATAN OBSTETRIK &amp; GINEKOLOGI</v>
          </cell>
          <cell r="O1956" t="str">
            <v>WAD 8A (Wad Obstetrik &amp; Ginekologi 8A)</v>
          </cell>
        </row>
        <row r="1957">
          <cell r="D1957" t="str">
            <v>KKM/JKN/HSA/10-05-01/H/15/1079</v>
          </cell>
          <cell r="E1957" t="str">
            <v>PHOTOTHERAPY MACHINE (LAMP)</v>
          </cell>
          <cell r="F1957" t="str">
            <v>BISTOS</v>
          </cell>
          <cell r="G1957" t="str">
            <v>BT400</v>
          </cell>
          <cell r="H1957" t="str">
            <v>EAE 50020</v>
          </cell>
          <cell r="I1957" t="str">
            <v>ANNUALLY</v>
          </cell>
          <cell r="J1957">
            <v>45798</v>
          </cell>
          <cell r="K1957"/>
          <cell r="L1957"/>
          <cell r="M1957"/>
          <cell r="N1957" t="str">
            <v>JABATAN OBSTETRIK &amp; GINEKOLOGI</v>
          </cell>
          <cell r="O1957" t="str">
            <v>WAD 8A (Wad Obstetrik &amp; Ginekologi 8A)</v>
          </cell>
        </row>
        <row r="1958">
          <cell r="D1958" t="str">
            <v>KKM/JKN/HSA/10-05-01/H/15/1080</v>
          </cell>
          <cell r="E1958" t="str">
            <v>PHOTOTHERAPY MACHINE (LAMP)</v>
          </cell>
          <cell r="F1958" t="str">
            <v>BISTOS</v>
          </cell>
          <cell r="G1958" t="str">
            <v>BT400</v>
          </cell>
          <cell r="H1958" t="str">
            <v>EAE 50035</v>
          </cell>
          <cell r="I1958" t="str">
            <v>ANNUALLY</v>
          </cell>
          <cell r="J1958">
            <v>45798</v>
          </cell>
          <cell r="K1958"/>
          <cell r="L1958"/>
          <cell r="M1958"/>
          <cell r="N1958" t="str">
            <v>JABATAN OBSTETRIK &amp; GINEKOLOGI</v>
          </cell>
          <cell r="O1958" t="str">
            <v>WAD 8A (Wad Obstetrik &amp; Ginekologi 8A)</v>
          </cell>
        </row>
        <row r="1959">
          <cell r="D1959" t="str">
            <v>KKM/JKN/HSA/10-05-01/H/15/1081</v>
          </cell>
          <cell r="E1959" t="str">
            <v>PHOTOTHERAPY MACHINE (LAMP)</v>
          </cell>
          <cell r="F1959" t="str">
            <v>BISTOS</v>
          </cell>
          <cell r="G1959" t="str">
            <v>BT400</v>
          </cell>
          <cell r="H1959" t="str">
            <v>EAE 50064</v>
          </cell>
          <cell r="I1959" t="str">
            <v>ANNUALLY</v>
          </cell>
          <cell r="J1959">
            <v>45798</v>
          </cell>
          <cell r="K1959"/>
          <cell r="L1959"/>
          <cell r="M1959"/>
          <cell r="N1959" t="str">
            <v>JABATAN OBSTETRIK &amp; GINEKOLOGI</v>
          </cell>
          <cell r="O1959" t="str">
            <v>WAD 8A (Wad Obstetrik &amp; Ginekologi 8A)</v>
          </cell>
        </row>
        <row r="1960">
          <cell r="D1960" t="str">
            <v>KKM/JKN/HSA/10-05-01/H/15/1082</v>
          </cell>
          <cell r="E1960" t="str">
            <v>PHOTOTHERAPY MACHINE (LAMP)</v>
          </cell>
          <cell r="F1960" t="str">
            <v>BISTOS</v>
          </cell>
          <cell r="G1960" t="str">
            <v>BT400</v>
          </cell>
          <cell r="H1960" t="str">
            <v>EAE 40124</v>
          </cell>
          <cell r="I1960" t="str">
            <v>ANNUALLY</v>
          </cell>
          <cell r="J1960">
            <v>45798</v>
          </cell>
          <cell r="K1960"/>
          <cell r="L1960"/>
          <cell r="M1960"/>
          <cell r="N1960" t="str">
            <v>JABATAN OBSTETRIK &amp; GINEKOLOGI</v>
          </cell>
          <cell r="O1960" t="str">
            <v>WAD 8A (Wad Obstetrik &amp; Ginekologi 8A)</v>
          </cell>
        </row>
        <row r="1961">
          <cell r="D1961" t="str">
            <v>KKM/JKN/HSA/10-05-01/H/15/1239</v>
          </cell>
          <cell r="E1961" t="str">
            <v>INFUSION PUMP</v>
          </cell>
          <cell r="F1961" t="str">
            <v>FRESENIUS KABI</v>
          </cell>
          <cell r="G1961" t="str">
            <v>LINK 8+ AGILIA/ MOBILE STAND</v>
          </cell>
          <cell r="H1961" t="str">
            <v>019130/ 22235298</v>
          </cell>
          <cell r="I1961" t="str">
            <v>ANNUALLY</v>
          </cell>
          <cell r="J1961">
            <v>45833</v>
          </cell>
          <cell r="K1961"/>
          <cell r="L1961"/>
          <cell r="M1961"/>
          <cell r="N1961" t="str">
            <v>JABATAN OBSTETRIK &amp; GINEKOLOGI</v>
          </cell>
          <cell r="O1961" t="str">
            <v>WAD 8A (Wad Obstetrik &amp; Ginekologi 8A)</v>
          </cell>
        </row>
        <row r="1962">
          <cell r="D1962" t="str">
            <v>KKM/JKN/HSA/10-05-01/H/15/1240</v>
          </cell>
          <cell r="E1962" t="str">
            <v>INFUSION PUMP</v>
          </cell>
          <cell r="F1962" t="str">
            <v>FRESENIUS KABI</v>
          </cell>
          <cell r="G1962" t="str">
            <v xml:space="preserve">VOLUMAT MC AGILIA </v>
          </cell>
          <cell r="H1962" t="str">
            <v>019130/ 22235298</v>
          </cell>
          <cell r="I1962" t="str">
            <v>ANNUALLY</v>
          </cell>
          <cell r="J1962">
            <v>45833</v>
          </cell>
          <cell r="K1962"/>
          <cell r="L1962"/>
          <cell r="M1962"/>
          <cell r="N1962" t="str">
            <v>JABATAN OBSTETRIK &amp; GINEKOLOGI</v>
          </cell>
          <cell r="O1962" t="str">
            <v>WAD 8A (Wad Obstetrik &amp; Ginekologi 8A)</v>
          </cell>
        </row>
        <row r="1963">
          <cell r="D1963" t="str">
            <v>KKM/JKN/HSA/10-05-01/H/15/1241</v>
          </cell>
          <cell r="E1963" t="str">
            <v>INFUSION PUMP</v>
          </cell>
          <cell r="F1963" t="str">
            <v>FRESENIUS KABI</v>
          </cell>
          <cell r="G1963" t="str">
            <v xml:space="preserve">VOLUMAT MC AGILIA </v>
          </cell>
          <cell r="H1963" t="str">
            <v>018030/ 22233882</v>
          </cell>
          <cell r="I1963" t="str">
            <v>ANNUALLY</v>
          </cell>
          <cell r="J1963">
            <v>45833</v>
          </cell>
          <cell r="K1963"/>
          <cell r="L1963"/>
          <cell r="M1963"/>
          <cell r="N1963" t="str">
            <v>JABATAN OBSTETRIK &amp; GINEKOLOGI</v>
          </cell>
          <cell r="O1963" t="str">
            <v>WAD 8A (Wad Obstetrik &amp; Ginekologi 8A)</v>
          </cell>
        </row>
        <row r="1964">
          <cell r="D1964" t="str">
            <v>KKM/JKN/HSA/10-05-01/H/15/1603</v>
          </cell>
          <cell r="E1964" t="str">
            <v>PATIENT MONITORING EQUIP.(AUTOMATIC MULTIPARAMETER)</v>
          </cell>
          <cell r="F1964" t="str">
            <v>WELCH ALLYN</v>
          </cell>
          <cell r="G1964" t="str">
            <v>WELCH ALLYN VSM 300</v>
          </cell>
          <cell r="H1964" t="str">
            <v>JA123477</v>
          </cell>
          <cell r="I1964" t="str">
            <v>ANNUALLY</v>
          </cell>
          <cell r="J1964">
            <v>45885</v>
          </cell>
          <cell r="K1964"/>
          <cell r="L1964"/>
          <cell r="M1964"/>
          <cell r="N1964" t="str">
            <v>JABATAN OBSTETRIK &amp; GINEKOLOGI</v>
          </cell>
          <cell r="O1964" t="str">
            <v>WAD 8A (Wad Obstetrik &amp; Ginekologi 8A)</v>
          </cell>
        </row>
        <row r="1965">
          <cell r="D1965" t="str">
            <v>KKM/JKN/HSA/10-05-01/H/15/1604</v>
          </cell>
          <cell r="E1965" t="str">
            <v>PATIENT MONITORING EQUIP.(AUTOMATIC MULTIPARAMETER)</v>
          </cell>
          <cell r="F1965" t="str">
            <v>WELCH ALLYN</v>
          </cell>
          <cell r="G1965" t="str">
            <v>WELCH ALLYN VSM 300</v>
          </cell>
          <cell r="H1965" t="str">
            <v>JA123484</v>
          </cell>
          <cell r="I1965" t="str">
            <v>ANNUALLY</v>
          </cell>
          <cell r="J1965">
            <v>45885</v>
          </cell>
          <cell r="K1965"/>
          <cell r="L1965"/>
          <cell r="M1965"/>
          <cell r="N1965" t="str">
            <v>JABATAN OBSTETRIK &amp; GINEKOLOGI</v>
          </cell>
          <cell r="O1965" t="str">
            <v>WAD 8A (Wad Obstetrik &amp; Ginekologi 8A)</v>
          </cell>
        </row>
        <row r="1966">
          <cell r="D1966" t="str">
            <v>KKM/JKN/HSA/10-05-01/H/15/2139</v>
          </cell>
          <cell r="E1966" t="str">
            <v>PATIENT MONITORING EQUIP.(AUTOMATIC MULTIPARAMETER)</v>
          </cell>
          <cell r="F1966" t="str">
            <v>MINDRAY</v>
          </cell>
          <cell r="G1966" t="str">
            <v>IMEC 12</v>
          </cell>
          <cell r="H1966" t="str">
            <v>EV45011634</v>
          </cell>
          <cell r="I1966" t="str">
            <v>ANNUALLY</v>
          </cell>
          <cell r="J1966">
            <v>45852</v>
          </cell>
          <cell r="K1966"/>
          <cell r="L1966"/>
          <cell r="M1966"/>
          <cell r="N1966" t="str">
            <v>JABATAN OBSTETRIK &amp; GINEKOLOGI</v>
          </cell>
          <cell r="O1966" t="str">
            <v>WAD 8A (Wad Obstetrik &amp; Ginekologi 8A)</v>
          </cell>
        </row>
        <row r="1967">
          <cell r="D1967" t="str">
            <v>KKM/JKN/HSA/10-05-01/H/15/2140</v>
          </cell>
          <cell r="E1967" t="str">
            <v>PATIENT MONITORING EQUIP.(AUTOMATIC MULTIPARAMETER)</v>
          </cell>
          <cell r="F1967" t="str">
            <v>MINDRAY</v>
          </cell>
          <cell r="G1967" t="str">
            <v>IMEC 12</v>
          </cell>
          <cell r="H1967" t="str">
            <v>EV45011647</v>
          </cell>
          <cell r="I1967" t="str">
            <v>ANNUALLY</v>
          </cell>
          <cell r="J1967">
            <v>45852</v>
          </cell>
          <cell r="K1967"/>
          <cell r="L1967"/>
          <cell r="M1967"/>
          <cell r="N1967" t="str">
            <v>JABATAN OBSTETRIK &amp; GINEKOLOGI</v>
          </cell>
          <cell r="O1967" t="str">
            <v>WAD 8A (Wad Obstetrik &amp; Ginekologi 8A)</v>
          </cell>
        </row>
        <row r="1968">
          <cell r="D1968" t="str">
            <v>KKM/JKN/HSA/10-05-01/H/15/2173</v>
          </cell>
          <cell r="E1968" t="str">
            <v>SUCTION APPARATUS</v>
          </cell>
          <cell r="F1968" t="str">
            <v>CAMI</v>
          </cell>
          <cell r="G1968" t="str">
            <v>ASKIR 30</v>
          </cell>
          <cell r="H1968" t="str">
            <v>927</v>
          </cell>
          <cell r="I1968" t="str">
            <v>ANNUALLY</v>
          </cell>
          <cell r="J1968">
            <v>45745</v>
          </cell>
          <cell r="K1968"/>
          <cell r="L1968"/>
          <cell r="M1968"/>
          <cell r="N1968" t="str">
            <v>JABATAN OBSTETRIK &amp; GINEKOLOGI</v>
          </cell>
          <cell r="O1968" t="str">
            <v>WAD 8A (Wad Obstetrik &amp; Ginekologi 8A)</v>
          </cell>
        </row>
        <row r="1969">
          <cell r="D1969" t="str">
            <v>KKM/JKN/HSA/10-05-01/H/15/2248</v>
          </cell>
          <cell r="E1969" t="str">
            <v>SYRINGE INFUSION PUMP</v>
          </cell>
          <cell r="F1969" t="str">
            <v>FRESENIUS KABI</v>
          </cell>
          <cell r="G1969" t="str">
            <v>INJECTOMAT AGILIA</v>
          </cell>
          <cell r="H1969" t="str">
            <v>018020/ 22233886</v>
          </cell>
          <cell r="I1969" t="str">
            <v>ANNUALLY</v>
          </cell>
          <cell r="J1969">
            <v>45832</v>
          </cell>
          <cell r="K1969"/>
          <cell r="L1969"/>
          <cell r="M1969"/>
          <cell r="N1969" t="str">
            <v>JABATAN OBSTETRIK &amp; GINEKOLOGI</v>
          </cell>
          <cell r="O1969" t="str">
            <v>WAD 8A (Wad Obstetrik &amp; Ginekologi 8A)</v>
          </cell>
        </row>
        <row r="1970">
          <cell r="D1970" t="str">
            <v>KKM/JKN/HSA/10-05-01/H/15/2249</v>
          </cell>
          <cell r="E1970" t="str">
            <v>SYRINGE INFUSION PUMP</v>
          </cell>
          <cell r="F1970" t="str">
            <v>FRESENIUS KABI</v>
          </cell>
          <cell r="G1970" t="str">
            <v>INJECTOMAT AGILIA</v>
          </cell>
          <cell r="H1970" t="str">
            <v>018030/ 22233884</v>
          </cell>
          <cell r="I1970" t="str">
            <v>ANNUALLY</v>
          </cell>
          <cell r="J1970">
            <v>45832</v>
          </cell>
          <cell r="K1970"/>
          <cell r="L1970"/>
          <cell r="M1970"/>
          <cell r="N1970" t="str">
            <v>JABATAN OBSTETRIK &amp; GINEKOLOGI</v>
          </cell>
          <cell r="O1970" t="str">
            <v>WAD 8A (Wad Obstetrik &amp; Ginekologi 8A)</v>
          </cell>
        </row>
        <row r="1971">
          <cell r="D1971" t="str">
            <v>KKM/JKN/HSA/10-05-01/H/15/2250</v>
          </cell>
          <cell r="E1971" t="str">
            <v>SYRINGE INFUSION PUMP</v>
          </cell>
          <cell r="F1971" t="str">
            <v>FRESENIUS KABI</v>
          </cell>
          <cell r="G1971" t="str">
            <v>INJECTOMAT AGILIA</v>
          </cell>
          <cell r="H1971" t="str">
            <v>018030/ 22233886</v>
          </cell>
          <cell r="I1971" t="str">
            <v>ANNUALLY</v>
          </cell>
          <cell r="J1971">
            <v>45832</v>
          </cell>
          <cell r="K1971"/>
          <cell r="L1971"/>
          <cell r="M1971"/>
          <cell r="N1971" t="str">
            <v>JABATAN OBSTETRIK &amp; GINEKOLOGI</v>
          </cell>
          <cell r="O1971" t="str">
            <v>WAD 8A (Wad Obstetrik &amp; Ginekologi 8A)</v>
          </cell>
        </row>
        <row r="1972">
          <cell r="D1972" t="str">
            <v>KKM/JKN/HSA/10-05-01/H/15/2251</v>
          </cell>
          <cell r="E1972" t="str">
            <v>SYRINGE INFUSION PUMP</v>
          </cell>
          <cell r="F1972" t="str">
            <v>FRESENIUS KABI</v>
          </cell>
          <cell r="G1972" t="str">
            <v>INJECTOMAT AGILIA</v>
          </cell>
          <cell r="H1972" t="str">
            <v>22235916</v>
          </cell>
          <cell r="I1972" t="str">
            <v>ANNUALLY</v>
          </cell>
          <cell r="J1972">
            <v>45831</v>
          </cell>
          <cell r="K1972"/>
          <cell r="L1972"/>
          <cell r="M1972"/>
          <cell r="N1972" t="str">
            <v>JABATAN OBSTETRIK &amp; GINEKOLOGI</v>
          </cell>
          <cell r="O1972" t="str">
            <v>WAD 8A (Wad Obstetrik &amp; Ginekologi 8A)</v>
          </cell>
        </row>
        <row r="1973">
          <cell r="D1973" t="str">
            <v>KKM/JKN/HSA/10-05-01/H/15/2795</v>
          </cell>
          <cell r="E1973" t="str">
            <v>RIPPLE MATTRESS</v>
          </cell>
          <cell r="F1973" t="str">
            <v>BANTEX</v>
          </cell>
          <cell r="G1973" t="str">
            <v>GENESIS III</v>
          </cell>
          <cell r="H1973" t="str">
            <v>EZ-141105005</v>
          </cell>
          <cell r="I1973" t="str">
            <v>ANNUALLY</v>
          </cell>
          <cell r="J1973">
            <v>45873</v>
          </cell>
          <cell r="K1973"/>
          <cell r="L1973"/>
          <cell r="M1973"/>
          <cell r="N1973" t="str">
            <v>JABATAN OBSTETRIK &amp; GINEKOLOGI</v>
          </cell>
          <cell r="O1973" t="str">
            <v>WAD 8A (Wad Obstetrik &amp; Ginekologi 8A)</v>
          </cell>
        </row>
        <row r="1974">
          <cell r="D1974" t="str">
            <v>KKM/JKN/HSA/10-05-01/H/15/3679</v>
          </cell>
          <cell r="E1974" t="str">
            <v>DEFIBRILLATOR</v>
          </cell>
          <cell r="F1974" t="str">
            <v>PHILIPS</v>
          </cell>
          <cell r="G1974" t="str">
            <v>EFFICIA DFM100</v>
          </cell>
          <cell r="H1974" t="str">
            <v>CN32601414</v>
          </cell>
          <cell r="I1974" t="str">
            <v>SEMI ANNUALLY</v>
          </cell>
          <cell r="J1974">
            <v>45819</v>
          </cell>
          <cell r="K1974">
            <v>46001</v>
          </cell>
          <cell r="L1974"/>
          <cell r="M1974"/>
          <cell r="N1974" t="str">
            <v>JABATAN OBSTETRIK &amp; GINEKOLOGI</v>
          </cell>
          <cell r="O1974" t="str">
            <v>WAD 8A (Wad Obstetrik &amp; Ginekologi 8A)</v>
          </cell>
        </row>
        <row r="1975">
          <cell r="D1975" t="str">
            <v>KKM/JKN/HSA/10-05-01/H/15/4073</v>
          </cell>
          <cell r="E1975" t="str">
            <v>ULTRASOUND SCANNER</v>
          </cell>
          <cell r="F1975" t="str">
            <v>SIEMENS</v>
          </cell>
          <cell r="G1975" t="str">
            <v>ACUSON X150</v>
          </cell>
          <cell r="H1975" t="str">
            <v>336229</v>
          </cell>
          <cell r="I1975" t="str">
            <v>ANNUALLY</v>
          </cell>
          <cell r="J1975">
            <v>45819</v>
          </cell>
          <cell r="K1975"/>
          <cell r="L1975"/>
          <cell r="M1975"/>
          <cell r="N1975" t="str">
            <v>JABATAN OBSTETRIK &amp; GINEKOLOGI</v>
          </cell>
          <cell r="O1975" t="str">
            <v>WAD 8A (Wad Obstetrik &amp; Ginekologi 8A)</v>
          </cell>
        </row>
        <row r="1976">
          <cell r="D1976" t="str">
            <v>KKM/JKN/HSA/10-05-01/H/15/4245</v>
          </cell>
          <cell r="E1976" t="str">
            <v>ECG (EKG) MACHINE</v>
          </cell>
          <cell r="F1976" t="str">
            <v>GE HEALTHCARE</v>
          </cell>
          <cell r="G1976" t="str">
            <v>MAC400</v>
          </cell>
          <cell r="H1976" t="str">
            <v>SC11486307PA</v>
          </cell>
          <cell r="I1976" t="str">
            <v>ANNUALLY</v>
          </cell>
          <cell r="J1976">
            <v>45938</v>
          </cell>
          <cell r="K1976"/>
          <cell r="L1976"/>
          <cell r="M1976"/>
          <cell r="N1976" t="str">
            <v>JABATAN OBSTETRIK &amp; GINEKOLOGI</v>
          </cell>
          <cell r="O1976" t="str">
            <v>WAD 8A (Wad Obstetrik &amp; Ginekologi 8A)</v>
          </cell>
        </row>
        <row r="1977">
          <cell r="D1977" t="str">
            <v>KKM/JKN/HSA/10-05-01/H/15/4303</v>
          </cell>
          <cell r="E1977" t="str">
            <v>FETAL HEART MONITOR (CTG)</v>
          </cell>
          <cell r="F1977" t="str">
            <v>GE HEALTHCARE</v>
          </cell>
          <cell r="G1977" t="str">
            <v>COROMETRICS 172</v>
          </cell>
          <cell r="H1977" t="str">
            <v>SAS13360954PA</v>
          </cell>
          <cell r="I1977" t="str">
            <v>ANNUALLY</v>
          </cell>
          <cell r="J1977">
            <v>45715</v>
          </cell>
          <cell r="K1977"/>
          <cell r="L1977"/>
          <cell r="M1977"/>
          <cell r="N1977" t="str">
            <v>JABATAN OBSTETRIK &amp; GINEKOLOGI</v>
          </cell>
          <cell r="O1977" t="str">
            <v>WAD 8A (Wad Obstetrik &amp; Ginekologi 8A)</v>
          </cell>
        </row>
        <row r="1978">
          <cell r="D1978" t="str">
            <v>KKM/JKN/HSA/10-05-01/H/15/4305</v>
          </cell>
          <cell r="E1978" t="str">
            <v>FETAL HEART MONITOR (CTG)</v>
          </cell>
          <cell r="F1978" t="str">
            <v>GE HEALTHCARE</v>
          </cell>
          <cell r="G1978" t="str">
            <v>COROMETRICS 172</v>
          </cell>
          <cell r="H1978" t="str">
            <v>SAS13360943PA</v>
          </cell>
          <cell r="I1978" t="str">
            <v>ANNUALLY</v>
          </cell>
          <cell r="J1978">
            <v>45707</v>
          </cell>
          <cell r="K1978"/>
          <cell r="L1978"/>
          <cell r="M1978"/>
          <cell r="N1978" t="str">
            <v>JABATAN OBSTETRIK &amp; GINEKOLOGI</v>
          </cell>
          <cell r="O1978" t="str">
            <v>WAD 8A (Wad Obstetrik &amp; Ginekologi 8A)</v>
          </cell>
        </row>
        <row r="1979">
          <cell r="D1979" t="str">
            <v>KKM/JKN/HSA/10-05-01/H/15/529</v>
          </cell>
          <cell r="E1979" t="str">
            <v>INFANT WARMER (RADIANT)</v>
          </cell>
          <cell r="F1979" t="str">
            <v>FISHER &amp; PAYKEL HEALTHCARE</v>
          </cell>
          <cell r="G1979" t="str">
            <v>IW910/ 920 MOBILE INFANT WARMER</v>
          </cell>
          <cell r="H1979" t="str">
            <v>13091800819</v>
          </cell>
          <cell r="I1979" t="str">
            <v>ANNUALLY</v>
          </cell>
          <cell r="J1979">
            <v>45797</v>
          </cell>
          <cell r="K1979"/>
          <cell r="L1979"/>
          <cell r="M1979"/>
          <cell r="N1979" t="str">
            <v>JABATAN OBSTETRIK &amp; GINEKOLOGI</v>
          </cell>
          <cell r="O1979" t="str">
            <v>WAD 8A (Wad Obstetrik &amp; Ginekologi 8A)</v>
          </cell>
        </row>
        <row r="1980">
          <cell r="D1980" t="str">
            <v>KKM/JKN/HSA/10-05-01/H/15/530</v>
          </cell>
          <cell r="E1980" t="str">
            <v>INFANT WARMER (RADIANT)</v>
          </cell>
          <cell r="F1980" t="str">
            <v>FISHER &amp; PAYKEL HEALTHCARE</v>
          </cell>
          <cell r="G1980" t="str">
            <v>IW910/ 920 MOBILE INFANT WARMER</v>
          </cell>
          <cell r="H1980" t="str">
            <v>130918000824</v>
          </cell>
          <cell r="I1980" t="str">
            <v>ANNUALLY</v>
          </cell>
          <cell r="J1980">
            <v>45797</v>
          </cell>
          <cell r="K1980"/>
          <cell r="L1980"/>
          <cell r="M1980"/>
          <cell r="N1980" t="str">
            <v>JABATAN OBSTETRIK &amp; GINEKOLOGI</v>
          </cell>
          <cell r="O1980" t="str">
            <v>WAD 8A (Wad Obstetrik &amp; Ginekologi 8A)</v>
          </cell>
        </row>
        <row r="1981">
          <cell r="D1981" t="str">
            <v>KKM/JKN/HSA/10-05-01/H/15/533</v>
          </cell>
          <cell r="E1981" t="str">
            <v>INFANT WARMER (RADIANT)</v>
          </cell>
          <cell r="F1981" t="str">
            <v>FISHER &amp; PAYKEL HEALTHCARE</v>
          </cell>
          <cell r="G1981" t="str">
            <v>IW910/ 920 MOBILE INFANT WARMER</v>
          </cell>
          <cell r="H1981" t="str">
            <v>130916000806</v>
          </cell>
          <cell r="I1981" t="str">
            <v>ANNUALLY</v>
          </cell>
          <cell r="J1981">
            <v>45811</v>
          </cell>
          <cell r="K1981"/>
          <cell r="L1981"/>
          <cell r="M1981"/>
          <cell r="N1981" t="str">
            <v>JABATAN OBSTETRIK &amp; GINEKOLOGI</v>
          </cell>
          <cell r="O1981" t="str">
            <v>WAD 8A (Wad Obstetrik &amp; Ginekologi 8A)</v>
          </cell>
        </row>
        <row r="1982">
          <cell r="D1982" t="str">
            <v>KKM/JKN/HSA/10-05-01/H/15/534</v>
          </cell>
          <cell r="E1982" t="str">
            <v>INFANT WARMER (RADIANT)</v>
          </cell>
          <cell r="F1982" t="str">
            <v>FISHER &amp; PAYKEL HEALTHCARE</v>
          </cell>
          <cell r="G1982" t="str">
            <v>IW910/ 920 MOBILE INFANT WARMER</v>
          </cell>
          <cell r="H1982" t="str">
            <v>130916000814</v>
          </cell>
          <cell r="I1982" t="str">
            <v>ANNUALLY</v>
          </cell>
          <cell r="J1982">
            <v>45811</v>
          </cell>
          <cell r="K1982"/>
          <cell r="L1982"/>
          <cell r="M1982"/>
          <cell r="N1982" t="str">
            <v>JABATAN OBSTETRIK &amp; GINEKOLOGI</v>
          </cell>
          <cell r="O1982" t="str">
            <v>WAD 8A (Wad Obstetrik &amp; Ginekologi 8A)</v>
          </cell>
        </row>
        <row r="1983">
          <cell r="D1983" t="str">
            <v>KKM/JKN/HSA/10-05-01/H/15/535</v>
          </cell>
          <cell r="E1983" t="str">
            <v>INFANT WARMER (RADIANT)</v>
          </cell>
          <cell r="F1983" t="str">
            <v>FISHER &amp; PAYKEL HEALTHCARE</v>
          </cell>
          <cell r="G1983" t="str">
            <v>IW910/ 920 MOBILE INFANT WARMER</v>
          </cell>
          <cell r="H1983" t="str">
            <v>130918000823</v>
          </cell>
          <cell r="I1983" t="str">
            <v>ANNUALLY</v>
          </cell>
          <cell r="J1983">
            <v>45811</v>
          </cell>
          <cell r="K1983"/>
          <cell r="L1983"/>
          <cell r="M1983"/>
          <cell r="N1983" t="str">
            <v>JABATAN OBSTETRIK &amp; GINEKOLOGI</v>
          </cell>
          <cell r="O1983" t="str">
            <v>WAD 8A (Wad Obstetrik &amp; Ginekologi 8A)</v>
          </cell>
        </row>
        <row r="1984">
          <cell r="D1984" t="str">
            <v>KKM/JKN/HSA/10-05-01/H/15/552</v>
          </cell>
          <cell r="E1984" t="str">
            <v>INFANT WARMER (RADIANT)</v>
          </cell>
          <cell r="F1984" t="str">
            <v>FISHER &amp; PAYKEL HEALTHCARE</v>
          </cell>
          <cell r="G1984" t="str">
            <v>IW910/ 920 MOBILE INFANT WARMER</v>
          </cell>
          <cell r="H1984" t="str">
            <v>130920000834</v>
          </cell>
          <cell r="I1984" t="str">
            <v>ANNUALLY</v>
          </cell>
          <cell r="J1984">
            <v>45827</v>
          </cell>
          <cell r="K1984"/>
          <cell r="L1984"/>
          <cell r="M1984"/>
          <cell r="N1984" t="str">
            <v>JABATAN OBSTETRIK &amp; GINEKOLOGI</v>
          </cell>
          <cell r="O1984" t="str">
            <v>WAD 8A (Wad Obstetrik &amp; Ginekologi 8A)</v>
          </cell>
        </row>
        <row r="1985">
          <cell r="D1985" t="str">
            <v>KKM/JKN/HSA/10-05-01/H/15/553</v>
          </cell>
          <cell r="E1985" t="str">
            <v>INFANT WARMER (RADIANT)</v>
          </cell>
          <cell r="F1985" t="str">
            <v>FISHER &amp; PAYKEL HEALTHCARE</v>
          </cell>
          <cell r="G1985" t="str">
            <v>IW910/ 920 MOBILE INFANT WARMER</v>
          </cell>
          <cell r="H1985" t="str">
            <v>130916000813</v>
          </cell>
          <cell r="I1985" t="str">
            <v>ANNUALLY</v>
          </cell>
          <cell r="J1985">
            <v>45755</v>
          </cell>
          <cell r="K1985"/>
          <cell r="L1985"/>
          <cell r="M1985"/>
          <cell r="N1985" t="str">
            <v>JABATAN OBSTETRIK &amp; GINEKOLOGI</v>
          </cell>
          <cell r="O1985" t="str">
            <v>WAD 8A (Wad Obstetrik &amp; Ginekologi 8A)</v>
          </cell>
        </row>
        <row r="1986">
          <cell r="D1986" t="str">
            <v>KKM/JKN/HSA/10-05-01/H/15/559</v>
          </cell>
          <cell r="E1986" t="str">
            <v>INFANT INCUBATOR</v>
          </cell>
          <cell r="F1986" t="str">
            <v>DRAEGER</v>
          </cell>
          <cell r="G1986" t="str">
            <v>ISOLETTE TI500 W BABYPAC</v>
          </cell>
          <cell r="H1986" t="str">
            <v>AU 09342</v>
          </cell>
          <cell r="I1986" t="str">
            <v>SEMI ANNUALLY</v>
          </cell>
          <cell r="J1986">
            <v>45789</v>
          </cell>
          <cell r="K1986">
            <v>45972</v>
          </cell>
          <cell r="L1986"/>
          <cell r="M1986"/>
          <cell r="N1986" t="str">
            <v>JABATAN OBSTETRIK &amp; GINEKOLOGI</v>
          </cell>
          <cell r="O1986" t="str">
            <v>WAD 8A (Wad Obstetrik &amp; Ginekologi 8A)</v>
          </cell>
        </row>
        <row r="1987">
          <cell r="D1987" t="str">
            <v>KKM/JKN/HSA/10-05-01/H/15/764</v>
          </cell>
          <cell r="E1987" t="str">
            <v>FETAL HEART MONITOR (CTG)</v>
          </cell>
          <cell r="F1987" t="str">
            <v>GE HEALTHCARE</v>
          </cell>
          <cell r="G1987" t="str">
            <v>COROMETRICS 174</v>
          </cell>
          <cell r="H1987" t="str">
            <v>SAS 13340750 PA</v>
          </cell>
          <cell r="I1987" t="str">
            <v>ANNUALLY</v>
          </cell>
          <cell r="J1987">
            <v>45708</v>
          </cell>
          <cell r="K1987"/>
          <cell r="L1987"/>
          <cell r="M1987"/>
          <cell r="N1987" t="str">
            <v>JABATAN OBSTETRIK &amp; GINEKOLOGI</v>
          </cell>
          <cell r="O1987" t="str">
            <v>WAD 8A (Wad Obstetrik &amp; Ginekologi 8A)</v>
          </cell>
        </row>
        <row r="1988">
          <cell r="D1988" t="str">
            <v>KKM/JKN/HSA/10-05-01/H/16/87</v>
          </cell>
          <cell r="E1988" t="str">
            <v>PULSE OXIMETER AND SIMULATOR</v>
          </cell>
          <cell r="F1988" t="str">
            <v>MASIMO</v>
          </cell>
          <cell r="G1988" t="str">
            <v>R2932-RADICAL 7TS</v>
          </cell>
          <cell r="H1988" t="str">
            <v>DS-243981/HH-1000051459</v>
          </cell>
          <cell r="I1988" t="str">
            <v>ANNUALLY</v>
          </cell>
          <cell r="J1988">
            <v>45910</v>
          </cell>
          <cell r="K1988"/>
          <cell r="L1988"/>
          <cell r="M1988"/>
          <cell r="N1988" t="str">
            <v>JABATAN OBSTETRIK &amp; GINEKOLOGI</v>
          </cell>
          <cell r="O1988" t="str">
            <v>WAD 8A (Wad Obstetrik &amp; Ginekologi 8A)</v>
          </cell>
        </row>
        <row r="1989">
          <cell r="D1989" t="str">
            <v>KKM/JKN/HSA/10-05-01/R/15/14877</v>
          </cell>
          <cell r="E1989" t="str">
            <v>BLOOD PRESSURE MONITOR (SPHYGMOMANOMETER)</v>
          </cell>
          <cell r="F1989" t="str">
            <v xml:space="preserve"> ANEROID DESK MODEL</v>
          </cell>
          <cell r="G1989" t="str">
            <v xml:space="preserve">RIESTER RUDOLF </v>
          </cell>
          <cell r="H1989" t="str">
            <v>150311427</v>
          </cell>
          <cell r="I1989" t="str">
            <v>ANNUALLY</v>
          </cell>
          <cell r="J1989">
            <v>46036</v>
          </cell>
          <cell r="K1989"/>
          <cell r="L1989"/>
          <cell r="M1989"/>
          <cell r="N1989" t="str">
            <v>JABATAN OBSTETRIK &amp; GINEKOLOGI</v>
          </cell>
          <cell r="O1989" t="str">
            <v>WAD 8A (Wad Obstetrik &amp; Ginekologi 8A)</v>
          </cell>
        </row>
        <row r="1990">
          <cell r="D1990" t="str">
            <v>KKM/JKN/HSA/10-05-01/R/15/14878</v>
          </cell>
          <cell r="E1990" t="str">
            <v>BLOOD PRESSURE MONITOR (SPHYGMOMANOMETER)</v>
          </cell>
          <cell r="F1990" t="str">
            <v xml:space="preserve"> ANEROID DESK MODEL</v>
          </cell>
          <cell r="G1990" t="str">
            <v xml:space="preserve">RIESTER RUDOLF </v>
          </cell>
          <cell r="H1990" t="str">
            <v>150311418</v>
          </cell>
          <cell r="I1990" t="str">
            <v>ANNUALLY</v>
          </cell>
          <cell r="J1990">
            <v>46037</v>
          </cell>
          <cell r="K1990"/>
          <cell r="L1990"/>
          <cell r="M1990"/>
          <cell r="N1990" t="str">
            <v>JABATAN OBSTETRIK &amp; GINEKOLOGI</v>
          </cell>
          <cell r="O1990" t="str">
            <v>WAD 8A (Wad Obstetrik &amp; Ginekologi 8A)</v>
          </cell>
        </row>
        <row r="1991">
          <cell r="D1991" t="str">
            <v>KKM/JKN/HSA/10-05-01/R/15/7037</v>
          </cell>
          <cell r="E1991" t="str">
            <v>INFANT/ BABY SCALER</v>
          </cell>
          <cell r="F1991" t="str">
            <v>DETECTO</v>
          </cell>
          <cell r="G1991" t="str">
            <v>N/A</v>
          </cell>
          <cell r="H1991" t="str">
            <v>N/A</v>
          </cell>
          <cell r="I1991" t="str">
            <v>ANNUALLY</v>
          </cell>
          <cell r="J1991">
            <v>46042</v>
          </cell>
          <cell r="K1991"/>
          <cell r="L1991"/>
          <cell r="M1991"/>
          <cell r="N1991" t="str">
            <v>JABATAN OBSTETRIK &amp; GINEKOLOGI</v>
          </cell>
          <cell r="O1991" t="str">
            <v>WAD 8A (Wad Obstetrik &amp; Ginekologi 8A)</v>
          </cell>
        </row>
        <row r="1992">
          <cell r="D1992" t="str">
            <v>KKM/JKN/HSA/10-05-01/H/15/4184</v>
          </cell>
          <cell r="E1992" t="str">
            <v>MONITOR APNOEA NON INVASIVE</v>
          </cell>
          <cell r="F1992" t="str">
            <v>MASIMO</v>
          </cell>
          <cell r="G1992" t="str">
            <v>RADICAL-8</v>
          </cell>
          <cell r="H1992" t="str">
            <v>N/A</v>
          </cell>
          <cell r="I1992" t="str">
            <v>ANNUALLY</v>
          </cell>
          <cell r="J1992">
            <v>45827</v>
          </cell>
          <cell r="K1992"/>
          <cell r="L1992"/>
          <cell r="M1992"/>
          <cell r="N1992" t="str">
            <v>JABATAN OBSTETRIK &amp; GINEKOLOGI</v>
          </cell>
          <cell r="O1992" t="str">
            <v>WAD 8B (Wad Obstetrik &amp; Ginekologi 8B)</v>
          </cell>
        </row>
        <row r="1993">
          <cell r="D1993" t="str">
            <v>KKM/JKN/HSA/10-05-01/H/15/4845</v>
          </cell>
          <cell r="E1993" t="str">
            <v>PUMP BREAST ELECTRIC</v>
          </cell>
          <cell r="F1993" t="str">
            <v>MEDELA</v>
          </cell>
          <cell r="G1993" t="str">
            <v xml:space="preserve"> 016-2017</v>
          </cell>
          <cell r="H1993">
            <v>667094</v>
          </cell>
          <cell r="I1993" t="str">
            <v>ANNUALLY</v>
          </cell>
          <cell r="J1993">
            <v>45698</v>
          </cell>
          <cell r="K1993"/>
          <cell r="L1993"/>
          <cell r="M1993"/>
          <cell r="N1993" t="str">
            <v>JABATAN OBSTETRIK &amp; GINEKOLOGI</v>
          </cell>
          <cell r="O1993" t="str">
            <v>WAD 8B (Wad Obstetrik &amp; Ginekologi 8B)</v>
          </cell>
        </row>
        <row r="1994">
          <cell r="D1994" t="str">
            <v>KKM/JKN/HSA/10-05-01/H/15/1083</v>
          </cell>
          <cell r="E1994" t="str">
            <v>PHOTOTHERAPY MACHINE (LAMP)</v>
          </cell>
          <cell r="F1994" t="str">
            <v>BISTOS</v>
          </cell>
          <cell r="G1994" t="str">
            <v>BT400</v>
          </cell>
          <cell r="H1994" t="str">
            <v>EAE 50036</v>
          </cell>
          <cell r="I1994" t="str">
            <v>ANNUALLY</v>
          </cell>
          <cell r="J1994">
            <v>45798</v>
          </cell>
          <cell r="K1994"/>
          <cell r="L1994"/>
          <cell r="M1994"/>
          <cell r="N1994" t="str">
            <v>JABATAN OBSTETRIK &amp; GINEKOLOGI</v>
          </cell>
          <cell r="O1994" t="str">
            <v>WAD 8B (Wad Obstetrik &amp; Ginekologi 8B)</v>
          </cell>
        </row>
        <row r="1995">
          <cell r="D1995" t="str">
            <v>KKM/JKN/HSA/10-05-01/H/15/1084</v>
          </cell>
          <cell r="E1995" t="str">
            <v>PHOTOTHERAPY MACHINE (LAMP)</v>
          </cell>
          <cell r="F1995" t="str">
            <v>BISTOS</v>
          </cell>
          <cell r="G1995" t="str">
            <v>BT400</v>
          </cell>
          <cell r="H1995" t="str">
            <v>EAE 40132</v>
          </cell>
          <cell r="I1995" t="str">
            <v>ANNUALLY</v>
          </cell>
          <cell r="J1995">
            <v>45798</v>
          </cell>
          <cell r="K1995"/>
          <cell r="L1995"/>
          <cell r="M1995"/>
          <cell r="N1995" t="str">
            <v>JABATAN OBSTETRIK &amp; GINEKOLOGI</v>
          </cell>
          <cell r="O1995" t="str">
            <v>WAD 8B (Wad Obstetrik &amp; Ginekologi 8B)</v>
          </cell>
        </row>
        <row r="1996">
          <cell r="D1996" t="str">
            <v>KKM/JKN/HSA/10-05-01/H/15/1085</v>
          </cell>
          <cell r="E1996" t="str">
            <v>PHOTOTHERAPY MACHINE (LAMP)</v>
          </cell>
          <cell r="F1996" t="str">
            <v>BISTOS</v>
          </cell>
          <cell r="G1996" t="str">
            <v>BT400</v>
          </cell>
          <cell r="H1996" t="str">
            <v>EAE 40129</v>
          </cell>
          <cell r="I1996" t="str">
            <v>ANNUALLY</v>
          </cell>
          <cell r="J1996">
            <v>45798</v>
          </cell>
          <cell r="K1996"/>
          <cell r="L1996"/>
          <cell r="M1996"/>
          <cell r="N1996" t="str">
            <v>JABATAN OBSTETRIK &amp; GINEKOLOGI</v>
          </cell>
          <cell r="O1996" t="str">
            <v>WAD 8B (Wad Obstetrik &amp; Ginekologi 8B)</v>
          </cell>
        </row>
        <row r="1997">
          <cell r="D1997" t="str">
            <v>KKM/JKN/HSA/10-05-01/H/15/1086</v>
          </cell>
          <cell r="E1997" t="str">
            <v>PHOTOTHERAPY MACHINE (LAMP)</v>
          </cell>
          <cell r="F1997" t="str">
            <v>BISTOS</v>
          </cell>
          <cell r="G1997" t="str">
            <v>BT400</v>
          </cell>
          <cell r="H1997" t="str">
            <v>EAE40135</v>
          </cell>
          <cell r="I1997" t="str">
            <v>ANNUALLY</v>
          </cell>
          <cell r="J1997">
            <v>45798</v>
          </cell>
          <cell r="K1997"/>
          <cell r="L1997"/>
          <cell r="M1997"/>
          <cell r="N1997" t="str">
            <v>JABATAN OBSTETRIK &amp; GINEKOLOGI</v>
          </cell>
          <cell r="O1997" t="str">
            <v>WAD 8B (Wad Obstetrik &amp; Ginekologi 8B)</v>
          </cell>
        </row>
        <row r="1998">
          <cell r="D1998" t="str">
            <v>KKM/JKN/HSA/10-05-01/H/15/1087</v>
          </cell>
          <cell r="E1998" t="str">
            <v>PHOTOTHERAPY MACHINE (LAMP)</v>
          </cell>
          <cell r="F1998" t="str">
            <v>BISTOS</v>
          </cell>
          <cell r="G1998" t="str">
            <v>BT400</v>
          </cell>
          <cell r="H1998" t="str">
            <v>EAE50026</v>
          </cell>
          <cell r="I1998" t="str">
            <v>ANNUALLY</v>
          </cell>
          <cell r="J1998">
            <v>45798</v>
          </cell>
          <cell r="K1998"/>
          <cell r="L1998"/>
          <cell r="M1998"/>
          <cell r="N1998" t="str">
            <v>JABATAN OBSTETRIK &amp; GINEKOLOGI</v>
          </cell>
          <cell r="O1998" t="str">
            <v>WAD 8B (Wad Obstetrik &amp; Ginekologi 8B)</v>
          </cell>
        </row>
        <row r="1999">
          <cell r="D1999" t="str">
            <v>KKM/JKN/HSA/10-05-01/H/15/1242</v>
          </cell>
          <cell r="E1999" t="str">
            <v>INFUSION PUMP</v>
          </cell>
          <cell r="F1999" t="str">
            <v>FRESENIUS KABI</v>
          </cell>
          <cell r="G1999" t="str">
            <v>VOLUMAT MC AGILIA GB</v>
          </cell>
          <cell r="H1999" t="str">
            <v>019130/ 22235924</v>
          </cell>
          <cell r="I1999" t="str">
            <v>ANNUALLY</v>
          </cell>
          <cell r="J1999">
            <v>45836</v>
          </cell>
          <cell r="K1999"/>
          <cell r="L1999"/>
          <cell r="M1999"/>
          <cell r="N1999" t="str">
            <v>JABATAN OBSTETRIK &amp; GINEKOLOGI</v>
          </cell>
          <cell r="O1999" t="str">
            <v>WAD 8B (Wad Obstetrik &amp; Ginekologi 8B)</v>
          </cell>
        </row>
        <row r="2000">
          <cell r="D2000" t="str">
            <v>KKM/JKN/HSA/10-05-01/H/15/1243</v>
          </cell>
          <cell r="E2000" t="str">
            <v>INFUSION PUMP</v>
          </cell>
          <cell r="F2000" t="str">
            <v>FRESENIUS KABI</v>
          </cell>
          <cell r="G2000" t="str">
            <v>VOLUMAT MC AGILIA GB</v>
          </cell>
          <cell r="H2000" t="str">
            <v>019130/ 222335918</v>
          </cell>
          <cell r="I2000" t="str">
            <v>ANNUALLY</v>
          </cell>
          <cell r="J2000">
            <v>45836</v>
          </cell>
          <cell r="K2000"/>
          <cell r="L2000"/>
          <cell r="M2000"/>
          <cell r="N2000" t="str">
            <v>JABATAN OBSTETRIK &amp; GINEKOLOGI</v>
          </cell>
          <cell r="O2000" t="str">
            <v>WAD 8B (Wad Obstetrik &amp; Ginekologi 8B)</v>
          </cell>
        </row>
        <row r="2001">
          <cell r="D2001" t="str">
            <v>KKM/JKN/HSA/10-05-01/H/15/1244</v>
          </cell>
          <cell r="E2001" t="str">
            <v>INFUSION PUMP</v>
          </cell>
          <cell r="F2001" t="str">
            <v>FRESENIUS KABI</v>
          </cell>
          <cell r="G2001" t="str">
            <v>VOLUMAT MC AGILIA GB</v>
          </cell>
          <cell r="H2001" t="str">
            <v>019130/ 22235920</v>
          </cell>
          <cell r="I2001" t="str">
            <v>ANNUALLY</v>
          </cell>
          <cell r="J2001">
            <v>45836</v>
          </cell>
          <cell r="K2001"/>
          <cell r="L2001"/>
          <cell r="M2001"/>
          <cell r="N2001" t="str">
            <v>JABATAN OBSTETRIK &amp; GINEKOLOGI</v>
          </cell>
          <cell r="O2001" t="str">
            <v>WAD 8B (Wad Obstetrik &amp; Ginekologi 8B)</v>
          </cell>
        </row>
        <row r="2002">
          <cell r="D2002" t="str">
            <v>KKM/JKN/HSA/10-05-01/H/15/1605</v>
          </cell>
          <cell r="E2002" t="str">
            <v>PATIENT MONITORING EQUIP.(AUTOMATIC MULTIPARAMETER)</v>
          </cell>
          <cell r="F2002" t="str">
            <v>WELCH ALLYN</v>
          </cell>
          <cell r="G2002" t="str">
            <v>WELCH ALLYN VSM 300</v>
          </cell>
          <cell r="H2002" t="str">
            <v>JA 123451</v>
          </cell>
          <cell r="I2002" t="str">
            <v>ANNUALLY</v>
          </cell>
          <cell r="J2002">
            <v>45885</v>
          </cell>
          <cell r="K2002"/>
          <cell r="L2002"/>
          <cell r="M2002"/>
          <cell r="N2002" t="str">
            <v>JABATAN OBSTETRIK &amp; GINEKOLOGI</v>
          </cell>
          <cell r="O2002" t="str">
            <v>WAD 8B (Wad Obstetrik &amp; Ginekologi 8B)</v>
          </cell>
        </row>
        <row r="2003">
          <cell r="D2003" t="str">
            <v>KKM/JKN/HSA/10-05-01/H/15/1606</v>
          </cell>
          <cell r="E2003" t="str">
            <v>PATIENT MONITORING EQUIP.(AUTOMATIC MULTIPARAMETER)</v>
          </cell>
          <cell r="F2003" t="str">
            <v>WELCH ALLYN</v>
          </cell>
          <cell r="G2003" t="str">
            <v>WELCH ALLYN VSM 300</v>
          </cell>
          <cell r="H2003" t="str">
            <v>JA 123457</v>
          </cell>
          <cell r="I2003" t="str">
            <v>ANNUALLY</v>
          </cell>
          <cell r="J2003">
            <v>45732</v>
          </cell>
          <cell r="K2003"/>
          <cell r="L2003"/>
          <cell r="M2003"/>
          <cell r="N2003" t="str">
            <v>JABATAN OBSTETRIK &amp; GINEKOLOGI</v>
          </cell>
          <cell r="O2003" t="str">
            <v>WAD 8B (Wad Obstetrik &amp; Ginekologi 8B)</v>
          </cell>
        </row>
        <row r="2004">
          <cell r="D2004" t="str">
            <v>KKM/JKN/HSA/10-05-01/H/15/1607</v>
          </cell>
          <cell r="E2004" t="str">
            <v>PATIENT MONITORING EQUIP.(AUTOMATIC MULTIPARAMETER)</v>
          </cell>
          <cell r="F2004" t="str">
            <v>WELCH ALLYN</v>
          </cell>
          <cell r="G2004" t="str">
            <v>WELCH ALLYN VSM 300</v>
          </cell>
          <cell r="H2004" t="str">
            <v>JA 123443</v>
          </cell>
          <cell r="I2004" t="str">
            <v>ANNUALLY</v>
          </cell>
          <cell r="J2004">
            <v>45732</v>
          </cell>
          <cell r="K2004"/>
          <cell r="L2004"/>
          <cell r="M2004"/>
          <cell r="N2004" t="str">
            <v>JABATAN OBSTETRIK &amp; GINEKOLOGI</v>
          </cell>
          <cell r="O2004" t="str">
            <v>WAD 8B (Wad Obstetrik &amp; Ginekologi 8B)</v>
          </cell>
        </row>
        <row r="2005">
          <cell r="D2005" t="str">
            <v>KKM/JKN/HSA/10-05-01/H/15/2143</v>
          </cell>
          <cell r="E2005" t="str">
            <v>PATIENT MONITORING EQUIP.(AUTOMATIC MULTIPARAMETER)</v>
          </cell>
          <cell r="F2005" t="str">
            <v>MINDRAY</v>
          </cell>
          <cell r="G2005" t="str">
            <v>IMEC 12</v>
          </cell>
          <cell r="H2005" t="str">
            <v>EV 45011648</v>
          </cell>
          <cell r="I2005" t="str">
            <v>ANNUALLY</v>
          </cell>
          <cell r="J2005">
            <v>45852</v>
          </cell>
          <cell r="K2005"/>
          <cell r="L2005"/>
          <cell r="M2005"/>
          <cell r="N2005" t="str">
            <v>JABATAN OBSTETRIK &amp; GINEKOLOGI</v>
          </cell>
          <cell r="O2005" t="str">
            <v>WAD 8B (Wad Obstetrik &amp; Ginekologi 8B)</v>
          </cell>
        </row>
        <row r="2006">
          <cell r="D2006" t="str">
            <v>KKM/JKN/HSA/10-05-01/H/15/2144</v>
          </cell>
          <cell r="E2006" t="str">
            <v>PATIENT MONITORING EQUIP.(AUTOMATIC MULTIPARAMETER)</v>
          </cell>
          <cell r="F2006" t="str">
            <v>MINDRAY</v>
          </cell>
          <cell r="G2006" t="str">
            <v>IMEC 12</v>
          </cell>
          <cell r="H2006" t="str">
            <v>EV 45011633</v>
          </cell>
          <cell r="I2006" t="str">
            <v>ANNUALLY</v>
          </cell>
          <cell r="J2006">
            <v>45852</v>
          </cell>
          <cell r="K2006"/>
          <cell r="L2006"/>
          <cell r="M2006"/>
          <cell r="N2006" t="str">
            <v>JABATAN OBSTETRIK &amp; GINEKOLOGI</v>
          </cell>
          <cell r="O2006" t="str">
            <v>WAD 8B (Wad Obstetrik &amp; Ginekologi 8B)</v>
          </cell>
        </row>
        <row r="2007">
          <cell r="D2007" t="str">
            <v>KKM/JKN/HSA/10-05-01/H/15/2174</v>
          </cell>
          <cell r="E2007" t="str">
            <v>SUCTION APPARATUS</v>
          </cell>
          <cell r="F2007" t="str">
            <v>CAMI</v>
          </cell>
          <cell r="G2007" t="str">
            <v>ASKIR 30</v>
          </cell>
          <cell r="H2007" t="str">
            <v>5928</v>
          </cell>
          <cell r="I2007" t="str">
            <v>ANNUALLY</v>
          </cell>
          <cell r="J2007">
            <v>45749</v>
          </cell>
          <cell r="K2007"/>
          <cell r="L2007"/>
          <cell r="M2007"/>
          <cell r="N2007" t="str">
            <v>JABATAN OBSTETRIK &amp; GINEKOLOGI</v>
          </cell>
          <cell r="O2007" t="str">
            <v>WAD 8B (Wad Obstetrik &amp; Ginekologi 8B)</v>
          </cell>
        </row>
        <row r="2008">
          <cell r="D2008" t="str">
            <v>KKM/JKN/HSA/10-05-01/H/15/2252</v>
          </cell>
          <cell r="E2008" t="str">
            <v>SYRINGE INFUSION PUMP</v>
          </cell>
          <cell r="F2008" t="str">
            <v>FRESENIUS KABI</v>
          </cell>
          <cell r="G2008" t="str">
            <v>INJECTOMAT AGILIA</v>
          </cell>
          <cell r="H2008" t="str">
            <v>018030/ 22233889</v>
          </cell>
          <cell r="I2008" t="str">
            <v>ANNUALLY</v>
          </cell>
          <cell r="J2008">
            <v>45832</v>
          </cell>
          <cell r="K2008"/>
          <cell r="L2008"/>
          <cell r="M2008"/>
          <cell r="N2008" t="str">
            <v>JABATAN OBSTETRIK &amp; GINEKOLOGI</v>
          </cell>
          <cell r="O2008" t="str">
            <v>WAD 8B (Wad Obstetrik &amp; Ginekologi 8B)</v>
          </cell>
        </row>
        <row r="2009">
          <cell r="D2009" t="str">
            <v>KKM/JKN/HSA/10-05-01/H/15/2253</v>
          </cell>
          <cell r="E2009" t="str">
            <v>SYRINGE INFUSION PUMP</v>
          </cell>
          <cell r="F2009" t="str">
            <v>FRESENIUS KABI</v>
          </cell>
          <cell r="G2009" t="str">
            <v>INJECTOMAT AGILIA</v>
          </cell>
          <cell r="H2009" t="str">
            <v>018030/ 22233892</v>
          </cell>
          <cell r="I2009" t="str">
            <v>ANNUALLY</v>
          </cell>
          <cell r="J2009">
            <v>45832</v>
          </cell>
          <cell r="K2009"/>
          <cell r="L2009"/>
          <cell r="M2009"/>
          <cell r="N2009" t="str">
            <v>JABATAN OBSTETRIK &amp; GINEKOLOGI</v>
          </cell>
          <cell r="O2009" t="str">
            <v>WAD 8B (Wad Obstetrik &amp; Ginekologi 8B)</v>
          </cell>
        </row>
        <row r="2010">
          <cell r="D2010" t="str">
            <v>KKM/JKN/HSA/10-05-01/H/15/2254</v>
          </cell>
          <cell r="E2010" t="str">
            <v>SYRINGE INFUSION PUMP</v>
          </cell>
          <cell r="F2010" t="str">
            <v>FRESENIUS KABI</v>
          </cell>
          <cell r="G2010" t="str">
            <v>INJECTOMAT AGILIA</v>
          </cell>
          <cell r="H2010" t="str">
            <v>018030/ 22233890</v>
          </cell>
          <cell r="I2010" t="str">
            <v>ANNUALLY</v>
          </cell>
          <cell r="J2010">
            <v>45832</v>
          </cell>
          <cell r="K2010"/>
          <cell r="L2010"/>
          <cell r="M2010"/>
          <cell r="N2010" t="str">
            <v>JABATAN OBSTETRIK &amp; GINEKOLOGI</v>
          </cell>
          <cell r="O2010" t="str">
            <v>WAD 8B (Wad Obstetrik &amp; Ginekologi 8B)</v>
          </cell>
        </row>
        <row r="2011">
          <cell r="D2011" t="str">
            <v>KKM/JKN/HSA/10-05-01/H/15/2255</v>
          </cell>
          <cell r="E2011" t="str">
            <v>SYRINGE INFUSION PUMP</v>
          </cell>
          <cell r="F2011" t="str">
            <v>FRESENIUS KABI</v>
          </cell>
          <cell r="G2011" t="str">
            <v>INJECTOMAT AGILIA</v>
          </cell>
          <cell r="H2011" t="str">
            <v>018030/ 22233544</v>
          </cell>
          <cell r="I2011" t="str">
            <v>ANNUALLY</v>
          </cell>
          <cell r="J2011">
            <v>45832</v>
          </cell>
          <cell r="K2011"/>
          <cell r="L2011"/>
          <cell r="M2011"/>
          <cell r="N2011" t="str">
            <v>JABATAN OBSTETRIK &amp; GINEKOLOGI</v>
          </cell>
          <cell r="O2011" t="str">
            <v>WAD 8B (Wad Obstetrik &amp; Ginekologi 8B)</v>
          </cell>
        </row>
        <row r="2012">
          <cell r="D2012" t="str">
            <v>KKM/JKN/HSA/10-05-01/H/15/2796</v>
          </cell>
          <cell r="E2012" t="str">
            <v>RIPPLE MATTRESS</v>
          </cell>
          <cell r="F2012" t="str">
            <v>BANTEX</v>
          </cell>
          <cell r="G2012" t="str">
            <v>GENESIS III</v>
          </cell>
          <cell r="H2012" t="str">
            <v>EZ-141104998</v>
          </cell>
          <cell r="I2012" t="str">
            <v>ANNUALLY</v>
          </cell>
          <cell r="J2012">
            <v>45873</v>
          </cell>
          <cell r="K2012"/>
          <cell r="L2012"/>
          <cell r="M2012"/>
          <cell r="N2012" t="str">
            <v>JABATAN OBSTETRIK &amp; GINEKOLOGI</v>
          </cell>
          <cell r="O2012" t="str">
            <v>WAD 8B (Wad Obstetrik &amp; Ginekologi 8B)</v>
          </cell>
        </row>
        <row r="2013">
          <cell r="D2013" t="str">
            <v>KKM/JKN/HSA/10-05-01/H/15/3680</v>
          </cell>
          <cell r="E2013" t="str">
            <v>DEFIBRILLATOR</v>
          </cell>
          <cell r="F2013" t="str">
            <v>PHILIPS</v>
          </cell>
          <cell r="G2013" t="str">
            <v>EFFICIA DFM100</v>
          </cell>
          <cell r="H2013" t="str">
            <v>CN32601416</v>
          </cell>
          <cell r="I2013" t="str">
            <v>SEMI ANNUALLY</v>
          </cell>
          <cell r="J2013">
            <v>45819</v>
          </cell>
          <cell r="K2013">
            <v>46002</v>
          </cell>
          <cell r="L2013"/>
          <cell r="M2013"/>
          <cell r="N2013" t="str">
            <v>JABATAN OBSTETRIK &amp; GINEKOLOGI</v>
          </cell>
          <cell r="O2013" t="str">
            <v>WAD 8B (Wad Obstetrik &amp; Ginekologi 8B)</v>
          </cell>
        </row>
        <row r="2014">
          <cell r="D2014" t="str">
            <v>KKM/JKN/HSA/10-05-01/H/15/523</v>
          </cell>
          <cell r="E2014" t="str">
            <v>INFANT WARMER (RADIANT)</v>
          </cell>
          <cell r="F2014" t="str">
            <v>FISHER &amp; PAYKEL HEALTHCARE</v>
          </cell>
          <cell r="G2014" t="str">
            <v>IW910/ 920 MOBILE INFANT WARMER</v>
          </cell>
          <cell r="H2014" t="str">
            <v>130916000811</v>
          </cell>
          <cell r="I2014" t="str">
            <v>ANNUALLY</v>
          </cell>
          <cell r="J2014">
            <v>45783</v>
          </cell>
          <cell r="K2014"/>
          <cell r="L2014"/>
          <cell r="M2014"/>
          <cell r="N2014" t="str">
            <v>JABATAN OBSTETRIK &amp; GINEKOLOGI</v>
          </cell>
          <cell r="O2014" t="str">
            <v>WAD 8B (Wad Obstetrik &amp; Ginekologi 8B)</v>
          </cell>
        </row>
        <row r="2015">
          <cell r="D2015" t="str">
            <v>KKM/JKN/HSA/10-05-01/H/15/550</v>
          </cell>
          <cell r="E2015" t="str">
            <v>INFANT WARMER (RADIANT)</v>
          </cell>
          <cell r="F2015" t="str">
            <v>FISHER &amp; PAYKEL HEALTHCARE</v>
          </cell>
          <cell r="G2015" t="str">
            <v>IW910/ 920 MOBILE INFANT WARMER</v>
          </cell>
          <cell r="H2015" t="str">
            <v>130918000827</v>
          </cell>
          <cell r="I2015" t="str">
            <v>ANNUALLY</v>
          </cell>
          <cell r="J2015">
            <v>45827</v>
          </cell>
          <cell r="K2015"/>
          <cell r="L2015"/>
          <cell r="M2015"/>
          <cell r="N2015" t="str">
            <v>JABATAN OBSTETRIK &amp; GINEKOLOGI</v>
          </cell>
          <cell r="O2015" t="str">
            <v>WAD 8B (Wad Obstetrik &amp; Ginekologi 8B)</v>
          </cell>
        </row>
        <row r="2016">
          <cell r="D2016" t="str">
            <v>KKM/JKN/HSA/10-05-01/H/15/551</v>
          </cell>
          <cell r="E2016" t="str">
            <v>INFANT WARMER (RADIANT)</v>
          </cell>
          <cell r="F2016" t="str">
            <v>FISHER &amp; PAYKEL HEALTHCARE</v>
          </cell>
          <cell r="G2016" t="str">
            <v>IW910/ 920 MOBILE INFANT WARMER</v>
          </cell>
          <cell r="H2016" t="str">
            <v>130918000821</v>
          </cell>
          <cell r="I2016" t="str">
            <v>ANNUALLY</v>
          </cell>
          <cell r="J2016">
            <v>45756</v>
          </cell>
          <cell r="K2016"/>
          <cell r="L2016"/>
          <cell r="M2016"/>
          <cell r="N2016" t="str">
            <v>JABATAN OBSTETRIK &amp; GINEKOLOGI</v>
          </cell>
          <cell r="O2016" t="str">
            <v>WAD 8B (Wad Obstetrik &amp; Ginekologi 8B)</v>
          </cell>
        </row>
        <row r="2017">
          <cell r="D2017" t="str">
            <v>KKM/JKN/HSA/10-05-01/H/15/762</v>
          </cell>
          <cell r="E2017" t="str">
            <v>FETAL HEART MONITOR (CTG)</v>
          </cell>
          <cell r="F2017" t="str">
            <v>GE HEALTHCARE</v>
          </cell>
          <cell r="G2017" t="str">
            <v>COROMETRICS 174</v>
          </cell>
          <cell r="H2017" t="str">
            <v>SAS 13360911 PA</v>
          </cell>
          <cell r="I2017" t="str">
            <v>ANNUALLY</v>
          </cell>
          <cell r="J2017">
            <v>45707</v>
          </cell>
          <cell r="K2017"/>
          <cell r="L2017"/>
          <cell r="M2017"/>
          <cell r="N2017" t="str">
            <v>JABATAN OBSTETRIK &amp; GINEKOLOGI</v>
          </cell>
          <cell r="O2017" t="str">
            <v>WAD 8B (Wad Obstetrik &amp; Ginekologi 8B)</v>
          </cell>
        </row>
        <row r="2018">
          <cell r="D2018" t="str">
            <v>KKM/JKN/HSA/10-05-01/R/15/14879</v>
          </cell>
          <cell r="E2018" t="str">
            <v>BLOOD PRESSURE MONITOR (SPHYGMOMANOMETER)</v>
          </cell>
          <cell r="F2018" t="str">
            <v xml:space="preserve"> ANEROID DESK MODEL</v>
          </cell>
          <cell r="G2018" t="str">
            <v xml:space="preserve">RIESTER RUDOLF </v>
          </cell>
          <cell r="H2018" t="str">
            <v>N/A</v>
          </cell>
          <cell r="I2018" t="str">
            <v>ANNUALLY</v>
          </cell>
          <cell r="J2018">
            <v>46037</v>
          </cell>
          <cell r="K2018"/>
          <cell r="L2018"/>
          <cell r="M2018"/>
          <cell r="N2018" t="str">
            <v>JABATAN OBSTETRIK &amp; GINEKOLOGI</v>
          </cell>
          <cell r="O2018" t="str">
            <v>WAD 8B (Wad Obstetrik &amp; Ginekologi 8B)</v>
          </cell>
        </row>
        <row r="2019">
          <cell r="D2019" t="str">
            <v>KKM/JKN/HSA/10-05-01/R/15/14880</v>
          </cell>
          <cell r="E2019" t="str">
            <v>BLOOD PRESSURE MONITOR (SPHYGMOMANOMETER)</v>
          </cell>
          <cell r="F2019" t="str">
            <v xml:space="preserve"> ANEROID DESK MODEL</v>
          </cell>
          <cell r="G2019" t="str">
            <v xml:space="preserve">RIESTER RUDOLF </v>
          </cell>
          <cell r="H2019" t="str">
            <v>150311416</v>
          </cell>
          <cell r="I2019" t="str">
            <v>ANNUALLY</v>
          </cell>
          <cell r="J2019">
            <v>46037</v>
          </cell>
          <cell r="K2019"/>
          <cell r="L2019"/>
          <cell r="M2019"/>
          <cell r="N2019" t="str">
            <v>JABATAN OBSTETRIK &amp; GINEKOLOGI</v>
          </cell>
          <cell r="O2019" t="str">
            <v>WAD 8B (Wad Obstetrik &amp; Ginekologi 8B)</v>
          </cell>
        </row>
        <row r="2020">
          <cell r="D2020" t="str">
            <v>KKM/JKN/HSA/10-05-01/R/15/7038</v>
          </cell>
          <cell r="E2020" t="str">
            <v>INFANT/ BABY SCALER</v>
          </cell>
          <cell r="F2020" t="str">
            <v>DETECTO</v>
          </cell>
          <cell r="G2020" t="str">
            <v>N/A</v>
          </cell>
          <cell r="H2020" t="str">
            <v>N/A</v>
          </cell>
          <cell r="I2020" t="str">
            <v>ANNUALLY</v>
          </cell>
          <cell r="J2020">
            <v>46042</v>
          </cell>
          <cell r="K2020"/>
          <cell r="L2020"/>
          <cell r="M2020"/>
          <cell r="N2020" t="str">
            <v>JABATAN OBSTETRIK &amp; GINEKOLOGI</v>
          </cell>
          <cell r="O2020" t="str">
            <v>WAD 8B (Wad Obstetrik &amp; Ginekologi 8B)</v>
          </cell>
        </row>
        <row r="2021">
          <cell r="D2021" t="str">
            <v>KKM/JKN/HSA/10-05-01/H/20/181</v>
          </cell>
          <cell r="E2021" t="str">
            <v>SPOT VITAL SIGN (NIBP)</v>
          </cell>
          <cell r="F2021" t="str">
            <v xml:space="preserve">MINDRAY </v>
          </cell>
          <cell r="G2021" t="str">
            <v>VS900</v>
          </cell>
          <cell r="H2021" t="str">
            <v>FV03035200</v>
          </cell>
          <cell r="I2021" t="str">
            <v>ANNUALLY</v>
          </cell>
          <cell r="J2021">
            <v>45748</v>
          </cell>
          <cell r="K2021"/>
          <cell r="L2021"/>
          <cell r="M2021"/>
          <cell r="N2021" t="str">
            <v>JABATAN OBSTETRIK &amp; GINEKOLOGI</v>
          </cell>
          <cell r="O2021" t="str">
            <v>WAD 8B (Wad Obstetrik &amp; Ginekologi 8B)</v>
          </cell>
        </row>
        <row r="2022">
          <cell r="D2022" t="str">
            <v>KKM/JKN/HSA/10-05-01/H/21/205</v>
          </cell>
          <cell r="E2022" t="str">
            <v>ECG MACHINE</v>
          </cell>
          <cell r="F2022" t="str">
            <v>EDAN</v>
          </cell>
          <cell r="G2022" t="str">
            <v>SE 301</v>
          </cell>
          <cell r="H2022" t="str">
            <v>360625-M21805400007</v>
          </cell>
          <cell r="I2022" t="str">
            <v>ANNUALLY</v>
          </cell>
          <cell r="J2022">
            <v>45893</v>
          </cell>
          <cell r="K2022"/>
          <cell r="L2022"/>
          <cell r="M2022"/>
          <cell r="N2022" t="str">
            <v>JABATAN OBSTETRIK &amp; GINEKOLOGI</v>
          </cell>
          <cell r="O2022" t="str">
            <v>WAD 8B (Wad Obstetrik &amp; Ginekologi 8B)</v>
          </cell>
        </row>
        <row r="2023">
          <cell r="D2023" t="str">
            <v>KKM/JKN/HSA/10-05-01/R/21/111</v>
          </cell>
          <cell r="E2023" t="str">
            <v>FETAL HEART MONITOR</v>
          </cell>
          <cell r="F2023" t="str">
            <v>EDAN</v>
          </cell>
          <cell r="G2023" t="str">
            <v>SD1</v>
          </cell>
          <cell r="H2023" t="str">
            <v>H18801050015</v>
          </cell>
          <cell r="I2023" t="str">
            <v>ANNUALLY</v>
          </cell>
          <cell r="J2023">
            <v>45886</v>
          </cell>
          <cell r="K2023"/>
          <cell r="L2023"/>
          <cell r="M2023"/>
          <cell r="N2023" t="str">
            <v>JABATAN OBSTETRIK &amp; GINEKOLOGI</v>
          </cell>
          <cell r="O2023" t="str">
            <v>WAD 8B (Wad Obstetrik &amp; Ginekologi 8B)</v>
          </cell>
        </row>
        <row r="2024">
          <cell r="D2024" t="str">
            <v>KKM/JKN/HSA/10-05-01/R/21/112</v>
          </cell>
          <cell r="E2024" t="str">
            <v>FETAL HEART MONITOR</v>
          </cell>
          <cell r="F2024" t="str">
            <v>EDAN</v>
          </cell>
          <cell r="G2024" t="str">
            <v>SD1</v>
          </cell>
          <cell r="H2024" t="str">
            <v>H18801050020</v>
          </cell>
          <cell r="I2024" t="str">
            <v>ANNUALLY</v>
          </cell>
          <cell r="J2024">
            <v>45886</v>
          </cell>
          <cell r="K2024"/>
          <cell r="L2024"/>
          <cell r="M2024"/>
          <cell r="N2024" t="str">
            <v>JABATAN OBSTETRIK &amp; GINEKOLOGI</v>
          </cell>
          <cell r="O2024" t="str">
            <v>WAD 8B (Wad Obstetrik &amp; Ginekologi 8B)</v>
          </cell>
        </row>
        <row r="2025">
          <cell r="D2025" t="str">
            <v>KKM/JKN/HSA/10-05-01/H/15/2186</v>
          </cell>
          <cell r="E2025" t="str">
            <v>SUCTION APPARATUS</v>
          </cell>
          <cell r="F2025" t="str">
            <v>CAMI</v>
          </cell>
          <cell r="G2025" t="str">
            <v>ASKIR 30</v>
          </cell>
          <cell r="H2025" t="str">
            <v>N/A</v>
          </cell>
          <cell r="I2025" t="str">
            <v>ANNUALLY</v>
          </cell>
          <cell r="J2025">
            <v>45753</v>
          </cell>
          <cell r="K2025"/>
          <cell r="L2025"/>
          <cell r="M2025"/>
          <cell r="N2025" t="str">
            <v>JABATAN PERUBATAN AM</v>
          </cell>
          <cell r="O2025" t="str">
            <v>WAD DIRAJA</v>
          </cell>
        </row>
        <row r="2026">
          <cell r="D2026" t="str">
            <v>KKM/JKN/HSA/10-05-01/H/15/4939</v>
          </cell>
          <cell r="E2026" t="str">
            <v>INFUSION PUMP</v>
          </cell>
          <cell r="F2026" t="str">
            <v>FRESENIUS KABI</v>
          </cell>
          <cell r="G2026" t="str">
            <v>VOLUMAT MC AGILIA GB</v>
          </cell>
          <cell r="H2026" t="str">
            <v>22235261</v>
          </cell>
          <cell r="I2026" t="str">
            <v>ANNUALLY</v>
          </cell>
          <cell r="J2026">
            <v>45876</v>
          </cell>
          <cell r="K2026"/>
          <cell r="L2026"/>
          <cell r="M2026"/>
          <cell r="N2026" t="str">
            <v>JABATAN PERUBATAN AM</v>
          </cell>
          <cell r="O2026" t="str">
            <v>WAD DIRAJA</v>
          </cell>
        </row>
        <row r="2027">
          <cell r="D2027" t="str">
            <v>KKM/JKN/HSA/10-05-01/H/15/4940</v>
          </cell>
          <cell r="E2027" t="str">
            <v>INFUSION PUMP</v>
          </cell>
          <cell r="F2027" t="str">
            <v>FRESENIUS KABI</v>
          </cell>
          <cell r="G2027" t="str">
            <v>VOLUMAT MC AGILIA GB</v>
          </cell>
          <cell r="H2027" t="str">
            <v>22235939</v>
          </cell>
          <cell r="I2027" t="str">
            <v>ANNUALLY</v>
          </cell>
          <cell r="J2027">
            <v>45876</v>
          </cell>
          <cell r="K2027"/>
          <cell r="L2027"/>
          <cell r="M2027"/>
          <cell r="N2027" t="str">
            <v>JABATAN PERUBATAN AM</v>
          </cell>
          <cell r="O2027" t="str">
            <v>WAD DIRAJA</v>
          </cell>
        </row>
        <row r="2028">
          <cell r="D2028" t="str">
            <v>KKM/JKN/HSA/10-05-01/H/15/4324</v>
          </cell>
          <cell r="E2028" t="str">
            <v>ECG PORTABLE MAINS/BATTERY OP</v>
          </cell>
          <cell r="F2028" t="str">
            <v>GE HEALTHCARE</v>
          </cell>
          <cell r="G2028" t="str">
            <v>MAC400</v>
          </cell>
          <cell r="H2028" t="str">
            <v>SCT 11486289 PA</v>
          </cell>
          <cell r="I2028" t="str">
            <v>ANNUALLY</v>
          </cell>
          <cell r="J2028">
            <v>45799</v>
          </cell>
          <cell r="K2028"/>
          <cell r="L2028"/>
          <cell r="M2028"/>
          <cell r="N2028" t="str">
            <v>JABATAN PEMBEDAHAN AM</v>
          </cell>
          <cell r="O2028" t="str">
            <v>WAD 9A (Wad Pembedahan Lelaki 9A)</v>
          </cell>
        </row>
        <row r="2029">
          <cell r="D2029" t="str">
            <v>KKM/JKN/HSA/10-05-01/H/19/23</v>
          </cell>
          <cell r="E2029" t="str">
            <v>SYRINGE INFUSION PUMP</v>
          </cell>
          <cell r="F2029" t="str">
            <v>INJECTOMAT AGILIA</v>
          </cell>
          <cell r="G2029" t="str">
            <v>N/A</v>
          </cell>
          <cell r="H2029" t="str">
            <v>23615030</v>
          </cell>
          <cell r="I2029" t="str">
            <v>ANNUALLY</v>
          </cell>
          <cell r="J2029">
            <v>45932</v>
          </cell>
          <cell r="K2029"/>
          <cell r="L2029"/>
          <cell r="M2029"/>
          <cell r="N2029" t="str">
            <v>JABATAN PEMBEDAHAN AM</v>
          </cell>
          <cell r="O2029" t="str">
            <v>WAD 9A (Wad Pembedahan Lelaki 9A)</v>
          </cell>
        </row>
        <row r="2030">
          <cell r="D2030" t="str">
            <v>KKM/JKN/HSA/10-05-01/R/15/7354</v>
          </cell>
          <cell r="E2030" t="str">
            <v>DIAGNOSTIC SET ADULT</v>
          </cell>
          <cell r="F2030" t="str">
            <v>RUDOLF RIESTER, GMBH</v>
          </cell>
          <cell r="G2030" t="str">
            <v>RI-SCOPE ENT 3761</v>
          </cell>
          <cell r="H2030" t="str">
            <v>WELCH ALLYN 901026</v>
          </cell>
          <cell r="I2030" t="str">
            <v>ANNUALLY</v>
          </cell>
          <cell r="J2030">
            <v>45880</v>
          </cell>
          <cell r="K2030"/>
          <cell r="L2030"/>
          <cell r="M2030"/>
          <cell r="N2030" t="str">
            <v>JABATAN PEMBEDAHAN AM</v>
          </cell>
          <cell r="O2030" t="str">
            <v>WAD 9A (Wad Pembedahan Lelaki 9A)</v>
          </cell>
        </row>
        <row r="2031">
          <cell r="D2031" t="str">
            <v>KKM/JKN/HSA/10-05-01/R/15/7404</v>
          </cell>
          <cell r="E2031" t="str">
            <v>DIAGNOSTIC SET ADULT</v>
          </cell>
          <cell r="F2031" t="str">
            <v>RUDOLF RIESTER, GMBH</v>
          </cell>
          <cell r="G2031" t="str">
            <v>RI-SCOPE ENT 3761</v>
          </cell>
          <cell r="H2031" t="str">
            <v>N/A</v>
          </cell>
          <cell r="I2031" t="str">
            <v>ANNUALLY</v>
          </cell>
          <cell r="J2031">
            <v>45815</v>
          </cell>
          <cell r="K2031"/>
          <cell r="L2031"/>
          <cell r="M2031"/>
          <cell r="N2031" t="str">
            <v>JABATAN PEMBEDAHAN AM</v>
          </cell>
          <cell r="O2031" t="str">
            <v>WAD 9A (Wad Pembedahan Lelaki 9A)</v>
          </cell>
        </row>
        <row r="2032">
          <cell r="D2032" t="str">
            <v>KKM/JKN/HSA/10-05-01/R/15/7405</v>
          </cell>
          <cell r="E2032" t="str">
            <v>DIAGNOSTIC SET ADULT</v>
          </cell>
          <cell r="F2032" t="str">
            <v>RUDOLF RIESTER, GMBH</v>
          </cell>
          <cell r="G2032" t="str">
            <v>RI-SCOPE ENT 3761</v>
          </cell>
          <cell r="H2032" t="str">
            <v>N/A</v>
          </cell>
          <cell r="I2032" t="str">
            <v>ANNUALLY</v>
          </cell>
          <cell r="J2032">
            <v>45815</v>
          </cell>
          <cell r="K2032"/>
          <cell r="L2032"/>
          <cell r="M2032"/>
          <cell r="N2032" t="str">
            <v>JABATAN PEMBEDAHAN AM</v>
          </cell>
          <cell r="O2032" t="str">
            <v>WAD 9A (Wad Pembedahan Lelaki 9A)</v>
          </cell>
        </row>
        <row r="2033">
          <cell r="D2033" t="str">
            <v>KKM/JKN/HSA/10-05-01/R/15/7406</v>
          </cell>
          <cell r="E2033" t="str">
            <v>DIAGNOSTIC SET ADULT</v>
          </cell>
          <cell r="F2033" t="str">
            <v>RUDOLF RIESTER, GMBH</v>
          </cell>
          <cell r="G2033" t="str">
            <v>RI-SCOPE ENT 3761</v>
          </cell>
          <cell r="H2033" t="str">
            <v>N/A</v>
          </cell>
          <cell r="I2033" t="str">
            <v>ANNUALLY</v>
          </cell>
          <cell r="J2033">
            <v>45813</v>
          </cell>
          <cell r="K2033"/>
          <cell r="L2033"/>
          <cell r="M2033"/>
          <cell r="N2033" t="str">
            <v>JABATAN PEMBEDAHAN AM</v>
          </cell>
          <cell r="O2033" t="str">
            <v>WAD 9A (Wad Pembedahan Lelaki 9A)</v>
          </cell>
        </row>
        <row r="2034">
          <cell r="D2034" t="str">
            <v>KKM/JKN/HSA/10-05-01/H/15/2107</v>
          </cell>
          <cell r="E2034" t="str">
            <v>PATIENT MONITORING EQUIP.(AUTOMATIC MULTIPARAMETER)</v>
          </cell>
          <cell r="F2034" t="str">
            <v>MINDRAY</v>
          </cell>
          <cell r="G2034" t="str">
            <v>IMEC 12</v>
          </cell>
          <cell r="H2034" t="str">
            <v>EV45011646</v>
          </cell>
          <cell r="I2034" t="str">
            <v>ANNUALLY</v>
          </cell>
          <cell r="J2034">
            <v>45855</v>
          </cell>
          <cell r="K2034"/>
          <cell r="L2034"/>
          <cell r="M2034"/>
          <cell r="N2034" t="str">
            <v>JABATAN PEMBEDAHAN AM</v>
          </cell>
          <cell r="O2034" t="str">
            <v>WAD 9A (Wad Pembedahan Lelaki 9A)</v>
          </cell>
        </row>
        <row r="2035">
          <cell r="D2035" t="str">
            <v>KKM/JKN/HSA/10-05-01/H/15/2108</v>
          </cell>
          <cell r="E2035" t="str">
            <v>PATIENT MONITORING EQUIP.(AUTOMATIC MULTIPARAMETER)</v>
          </cell>
          <cell r="F2035" t="str">
            <v>MINDRAY</v>
          </cell>
          <cell r="G2035" t="str">
            <v>IMEC 12</v>
          </cell>
          <cell r="H2035" t="str">
            <v>EV45011632</v>
          </cell>
          <cell r="I2035" t="str">
            <v>ANNUALLY</v>
          </cell>
          <cell r="J2035">
            <v>45855</v>
          </cell>
          <cell r="K2035"/>
          <cell r="L2035"/>
          <cell r="M2035"/>
          <cell r="N2035" t="str">
            <v>JABATAN PEMBEDAHAN AM</v>
          </cell>
          <cell r="O2035" t="str">
            <v>WAD 9A (Wad Pembedahan Lelaki 9A)</v>
          </cell>
        </row>
        <row r="2036">
          <cell r="D2036" t="str">
            <v>KKM/JKN/HSA/10-05-01/H/15/2185</v>
          </cell>
          <cell r="E2036" t="str">
            <v>SUCTION APPARATUS</v>
          </cell>
          <cell r="F2036" t="str">
            <v>CAMI</v>
          </cell>
          <cell r="G2036" t="str">
            <v>ASKIR 30</v>
          </cell>
          <cell r="H2036" t="str">
            <v>5918</v>
          </cell>
          <cell r="I2036" t="str">
            <v>ANNUALLY</v>
          </cell>
          <cell r="J2036">
            <v>45753</v>
          </cell>
          <cell r="K2036"/>
          <cell r="L2036"/>
          <cell r="M2036"/>
          <cell r="N2036" t="str">
            <v>JABATAN PEMBEDAHAN AM</v>
          </cell>
          <cell r="O2036" t="str">
            <v>WAD 9A (Wad Pembedahan Lelaki 9A)</v>
          </cell>
        </row>
        <row r="2037">
          <cell r="D2037" t="str">
            <v>KKM/JKN/HSA/10-05-01/H/15/2268</v>
          </cell>
          <cell r="E2037" t="str">
            <v>SYRINGE INFUSION PUMP</v>
          </cell>
          <cell r="F2037" t="str">
            <v>FRESENIUS KABI</v>
          </cell>
          <cell r="G2037" t="str">
            <v>INJECTOMAT AGILIA</v>
          </cell>
          <cell r="H2037" t="str">
            <v>22233935</v>
          </cell>
          <cell r="I2037" t="str">
            <v>ANNUALLY</v>
          </cell>
          <cell r="J2037">
            <v>45726</v>
          </cell>
          <cell r="K2037"/>
          <cell r="L2037"/>
          <cell r="M2037"/>
          <cell r="N2037" t="str">
            <v>JABATAN PEMBEDAHAN AM</v>
          </cell>
          <cell r="O2037" t="str">
            <v>WAD 9A (Wad Pembedahan Lelaki 9A)</v>
          </cell>
        </row>
        <row r="2038">
          <cell r="D2038" t="str">
            <v>KKM/JKN/HSA/10-05-01/H/15/2269</v>
          </cell>
          <cell r="E2038" t="str">
            <v>SYRINGE INFUSION PUMP</v>
          </cell>
          <cell r="F2038" t="str">
            <v>FRESENIUS KABI</v>
          </cell>
          <cell r="G2038" t="str">
            <v>INJECTOMAT AGILIA</v>
          </cell>
          <cell r="H2038" t="str">
            <v>22233934</v>
          </cell>
          <cell r="I2038" t="str">
            <v>ANNUALLY</v>
          </cell>
          <cell r="J2038">
            <v>45726</v>
          </cell>
          <cell r="K2038"/>
          <cell r="L2038"/>
          <cell r="M2038"/>
          <cell r="N2038" t="str">
            <v>JABATAN PEMBEDAHAN AM</v>
          </cell>
          <cell r="O2038" t="str">
            <v>WAD 9A (Wad Pembedahan Lelaki 9A)</v>
          </cell>
        </row>
        <row r="2039">
          <cell r="D2039" t="str">
            <v>KKM/JKN/HSA/10-05-01/H/15/2270</v>
          </cell>
          <cell r="E2039" t="str">
            <v>SYRINGE INFUSION PUMP</v>
          </cell>
          <cell r="F2039" t="str">
            <v>FRESENIUS KABI</v>
          </cell>
          <cell r="G2039" t="str">
            <v>INJECTOMAT AGILIA</v>
          </cell>
          <cell r="H2039" t="str">
            <v>22233937</v>
          </cell>
          <cell r="I2039" t="str">
            <v>ANNUALLY</v>
          </cell>
          <cell r="J2039">
            <v>45726</v>
          </cell>
          <cell r="K2039"/>
          <cell r="L2039"/>
          <cell r="M2039"/>
          <cell r="N2039" t="str">
            <v>JABATAN PEMBEDAHAN AM</v>
          </cell>
          <cell r="O2039" t="str">
            <v>WAD 9A (Wad Pembedahan Lelaki 9A)</v>
          </cell>
        </row>
        <row r="2040">
          <cell r="D2040" t="str">
            <v>KKM/JKN/HSA/10-05-01/H/15/2271</v>
          </cell>
          <cell r="E2040" t="str">
            <v>SYRINGE INFUSION PUMP</v>
          </cell>
          <cell r="F2040" t="str">
            <v>FRESENIUS KABI</v>
          </cell>
          <cell r="G2040" t="str">
            <v>INJECTOMAT AGILIA</v>
          </cell>
          <cell r="H2040" t="str">
            <v>22233936</v>
          </cell>
          <cell r="I2040" t="str">
            <v>ANNUALLY</v>
          </cell>
          <cell r="J2040">
            <v>45726</v>
          </cell>
          <cell r="K2040"/>
          <cell r="L2040"/>
          <cell r="M2040"/>
          <cell r="N2040" t="str">
            <v>JABATAN PEMBEDAHAN AM</v>
          </cell>
          <cell r="O2040" t="str">
            <v>WAD 9A (Wad Pembedahan Lelaki 9A)</v>
          </cell>
        </row>
        <row r="2041">
          <cell r="D2041" t="str">
            <v>KKM/JKN/HSA/10-05-01/H/15/2800</v>
          </cell>
          <cell r="E2041" t="str">
            <v>RIPPLE MATTRESS</v>
          </cell>
          <cell r="F2041" t="str">
            <v>BANTEX</v>
          </cell>
          <cell r="G2041" t="str">
            <v>APM-5000-G/DOMUS I</v>
          </cell>
          <cell r="H2041" t="str">
            <v>KSPI 1603-02038</v>
          </cell>
          <cell r="I2041" t="str">
            <v>ANNUALLY</v>
          </cell>
          <cell r="J2041">
            <v>45880</v>
          </cell>
          <cell r="K2041"/>
          <cell r="L2041"/>
          <cell r="M2041"/>
          <cell r="N2041" t="str">
            <v>JABATAN PEMBEDAHAN AM</v>
          </cell>
          <cell r="O2041" t="str">
            <v>WAD 9A (Wad Pembedahan Lelaki 9A)</v>
          </cell>
        </row>
        <row r="2042">
          <cell r="D2042" t="str">
            <v>KKM/JKN/HSA/10-05-01/H/15/3667</v>
          </cell>
          <cell r="E2042" t="str">
            <v>DEFIBRILLATOR</v>
          </cell>
          <cell r="F2042" t="str">
            <v>PHILIPS</v>
          </cell>
          <cell r="G2042" t="str">
            <v>EFFICIA DFM100</v>
          </cell>
          <cell r="H2042" t="str">
            <v>CN32601430</v>
          </cell>
          <cell r="I2042" t="str">
            <v>SEMI ANNUALLY</v>
          </cell>
          <cell r="J2042">
            <v>45817</v>
          </cell>
          <cell r="K2042">
            <v>45999</v>
          </cell>
          <cell r="L2042"/>
          <cell r="M2042"/>
          <cell r="N2042" t="str">
            <v>JABATAN PEMBEDAHAN AM</v>
          </cell>
          <cell r="O2042" t="str">
            <v>WAD 9A (Wad Pembedahan Lelaki 9A)</v>
          </cell>
        </row>
        <row r="2043">
          <cell r="D2043" t="str">
            <v>KKM/JKN/HSA/10-05-01/H/15/4079</v>
          </cell>
          <cell r="E2043" t="str">
            <v>SUCTION APPARATUS</v>
          </cell>
          <cell r="F2043" t="str">
            <v>CAMI</v>
          </cell>
          <cell r="G2043" t="str">
            <v>ASKIR C30</v>
          </cell>
          <cell r="H2043" t="str">
            <v>5931</v>
          </cell>
          <cell r="I2043" t="str">
            <v>ANNUALLY</v>
          </cell>
          <cell r="J2043">
            <v>45916</v>
          </cell>
          <cell r="K2043"/>
          <cell r="L2043"/>
          <cell r="M2043"/>
          <cell r="N2043" t="str">
            <v>JABATAN PEMBEDAHAN AM</v>
          </cell>
          <cell r="O2043" t="str">
            <v>WAD 9A (Wad Pembedahan Lelaki 9A)</v>
          </cell>
        </row>
        <row r="2044">
          <cell r="D2044" t="str">
            <v>KKM/JKN/HSA/10-05-01/H/15/4951</v>
          </cell>
          <cell r="E2044" t="str">
            <v>ELECTROCARDIOGRAPH</v>
          </cell>
          <cell r="F2044" t="str">
            <v>GE HEALTHCARE</v>
          </cell>
          <cell r="G2044" t="str">
            <v>MAC400</v>
          </cell>
          <cell r="H2044" t="str">
            <v>SCT11486289PA</v>
          </cell>
          <cell r="I2044" t="str">
            <v>ANNUALLY</v>
          </cell>
          <cell r="J2044">
            <v>45870</v>
          </cell>
          <cell r="K2044"/>
          <cell r="L2044"/>
          <cell r="M2044"/>
          <cell r="N2044" t="str">
            <v>JABATAN PEMBEDAHAN AM</v>
          </cell>
          <cell r="O2044" t="str">
            <v>WAD 9A (Wad Pembedahan Lelaki 9A)</v>
          </cell>
        </row>
        <row r="2045">
          <cell r="D2045" t="str">
            <v>KKM/JKN/HSA/10-05-01/H/15/575</v>
          </cell>
          <cell r="E2045" t="str">
            <v>ELECTROCARDIOGRAPH</v>
          </cell>
          <cell r="F2045" t="str">
            <v>GE HEALTHCARE</v>
          </cell>
          <cell r="G2045" t="str">
            <v>MAC 2000</v>
          </cell>
          <cell r="H2045" t="str">
            <v>SMT16127394PA</v>
          </cell>
          <cell r="I2045" t="str">
            <v>ANNUALLY</v>
          </cell>
          <cell r="J2045">
            <v>45713</v>
          </cell>
          <cell r="K2045"/>
          <cell r="L2045"/>
          <cell r="M2045"/>
          <cell r="N2045" t="str">
            <v>JABATAN PEMBEDAHAN AM</v>
          </cell>
          <cell r="O2045" t="str">
            <v>WAD 9A (Wad Pembedahan Lelaki 9A)</v>
          </cell>
        </row>
        <row r="2046">
          <cell r="D2046" t="str">
            <v>KKM/JKN/HSA/10-05-01/R/15/16184</v>
          </cell>
          <cell r="E2046" t="str">
            <v>NEBULIZER</v>
          </cell>
          <cell r="F2046" t="str">
            <v>PHILIPS</v>
          </cell>
          <cell r="G2046" t="str">
            <v>INNOSPIRE DELUXE (UK PLUG)</v>
          </cell>
          <cell r="H2046" t="str">
            <v>022830</v>
          </cell>
          <cell r="I2046" t="str">
            <v>ANNUALLY</v>
          </cell>
          <cell r="J2046">
            <v>45760</v>
          </cell>
          <cell r="K2046"/>
          <cell r="L2046"/>
          <cell r="M2046"/>
          <cell r="N2046" t="str">
            <v>JABATAN PEMBEDAHAN AM</v>
          </cell>
          <cell r="O2046" t="str">
            <v>WAD 9A (Wad Pembedahan Lelaki 9A)</v>
          </cell>
        </row>
        <row r="2047">
          <cell r="D2047" t="str">
            <v>KKM/JKN/HSA/10-05-01/R/15/7155</v>
          </cell>
          <cell r="E2047" t="str">
            <v>PATIENT MONITORING EQUIP.(AUTOMATIC MULTIPARAMETER)</v>
          </cell>
          <cell r="F2047" t="str">
            <v>WELCH ALLYN</v>
          </cell>
          <cell r="G2047" t="str">
            <v>WELCH ALLYN VSM 300</v>
          </cell>
          <cell r="H2047" t="str">
            <v>JA123420</v>
          </cell>
          <cell r="I2047" t="str">
            <v>ANNUALLY</v>
          </cell>
          <cell r="J2047">
            <v>45698</v>
          </cell>
          <cell r="K2047"/>
          <cell r="L2047"/>
          <cell r="M2047"/>
          <cell r="N2047" t="str">
            <v>JABATAN PEMBEDAHAN AM</v>
          </cell>
          <cell r="O2047" t="str">
            <v>WAD 9A (Wad Pembedahan Lelaki 9A)</v>
          </cell>
        </row>
        <row r="2048">
          <cell r="D2048" t="str">
            <v>KKM/JKN/HSA/10-05-01/H/20/125</v>
          </cell>
          <cell r="E2048" t="str">
            <v>SYRINGE INFUSION PUMP</v>
          </cell>
          <cell r="F2048" t="str">
            <v xml:space="preserve">MEDCAPTAIN </v>
          </cell>
          <cell r="G2048" t="str">
            <v>SYS-50</v>
          </cell>
          <cell r="H2048" t="str">
            <v>91560120030749</v>
          </cell>
          <cell r="I2048" t="str">
            <v>ANNUALLY</v>
          </cell>
          <cell r="J2048">
            <v>45690</v>
          </cell>
          <cell r="K2048"/>
          <cell r="L2048"/>
          <cell r="M2048"/>
          <cell r="N2048" t="str">
            <v>JABATAN PEMBEDAHAN AM</v>
          </cell>
          <cell r="O2048" t="str">
            <v>WAD 9A (Wad Pembedahan Lelaki 9A)</v>
          </cell>
        </row>
        <row r="2049">
          <cell r="D2049" t="str">
            <v>KKM/JKN/HSA/10-05-01/H/20/126</v>
          </cell>
          <cell r="E2049" t="str">
            <v>SYRINGE INFUSION PUMP</v>
          </cell>
          <cell r="F2049" t="str">
            <v xml:space="preserve">MEDCAPTAIN </v>
          </cell>
          <cell r="G2049" t="str">
            <v>SYS-50</v>
          </cell>
          <cell r="H2049" t="str">
            <v>91560120030736</v>
          </cell>
          <cell r="I2049" t="str">
            <v>ANNUALLY</v>
          </cell>
          <cell r="J2049">
            <v>45690</v>
          </cell>
          <cell r="K2049"/>
          <cell r="L2049"/>
          <cell r="M2049"/>
          <cell r="N2049" t="str">
            <v>JABATAN PEMBEDAHAN AM</v>
          </cell>
          <cell r="O2049" t="str">
            <v>WAD 9A (Wad Pembedahan Lelaki 9A)</v>
          </cell>
        </row>
        <row r="2050">
          <cell r="D2050" t="str">
            <v>KKM/JKN/HSA/10-05-01/H/20/46</v>
          </cell>
          <cell r="E2050" t="str">
            <v>DEFIBRILLATOR W/INTERNAL/EXT PADDLES/PACEMAKER</v>
          </cell>
          <cell r="F2050" t="str">
            <v>NIHON KOHDEN</v>
          </cell>
          <cell r="G2050" t="str">
            <v>TEC-5631K</v>
          </cell>
          <cell r="H2050" t="str">
            <v>09152</v>
          </cell>
          <cell r="I2050" t="str">
            <v>ANNUALLY</v>
          </cell>
          <cell r="J2050">
            <v>45871</v>
          </cell>
          <cell r="K2050"/>
          <cell r="L2050"/>
          <cell r="M2050"/>
          <cell r="N2050" t="str">
            <v>JABATAN PEMBEDAHAN AM</v>
          </cell>
          <cell r="O2050" t="str">
            <v>WAD 9B (Wad Pembedahan Lelaki 9B)</v>
          </cell>
        </row>
        <row r="2051">
          <cell r="D2051" t="str">
            <v>KKM/JKN/HSA/10-05-01/H/20/47</v>
          </cell>
          <cell r="E2051" t="str">
            <v>PUMP VOLUMETRIC INFUSION (STAND ALONE)</v>
          </cell>
          <cell r="F2051" t="str">
            <v>FRESENIUS KABI</v>
          </cell>
          <cell r="G2051" t="str">
            <v>INFUSIA VP7</v>
          </cell>
          <cell r="H2051" t="str">
            <v>18800825</v>
          </cell>
          <cell r="I2051" t="str">
            <v>ANNUALLY</v>
          </cell>
          <cell r="J2051">
            <v>45871</v>
          </cell>
          <cell r="K2051"/>
          <cell r="L2051"/>
          <cell r="M2051"/>
          <cell r="N2051" t="str">
            <v>JABATAN PEMBEDAHAN AM</v>
          </cell>
          <cell r="O2051" t="str">
            <v>WAD 9B (Wad Pembedahan Lelaki 9B)</v>
          </cell>
        </row>
        <row r="2052">
          <cell r="D2052" t="str">
            <v>KKM/JKN/HSA/10-05-01/H/20/48</v>
          </cell>
          <cell r="E2052" t="str">
            <v>PUMP VOLUMETRIC INFUSION (STAND ALONE)</v>
          </cell>
          <cell r="F2052" t="str">
            <v>FRESENIUS KABI</v>
          </cell>
          <cell r="G2052" t="str">
            <v>INFUSIA VP7</v>
          </cell>
          <cell r="H2052" t="str">
            <v>18800875</v>
          </cell>
          <cell r="I2052" t="str">
            <v>ANNUALLY</v>
          </cell>
          <cell r="J2052">
            <v>45871</v>
          </cell>
          <cell r="K2052"/>
          <cell r="L2052"/>
          <cell r="M2052"/>
          <cell r="N2052" t="str">
            <v>JABATAN PEMBEDAHAN AM</v>
          </cell>
          <cell r="O2052" t="str">
            <v>WAD 9B (Wad Pembedahan Lelaki 9B)</v>
          </cell>
        </row>
        <row r="2053">
          <cell r="D2053" t="str">
            <v>KKM/JKN/HSA/10-05-01/H/20/49</v>
          </cell>
          <cell r="E2053" t="str">
            <v>PUMP VOLUMETRIC INFUSION (STAND ALONE)</v>
          </cell>
          <cell r="F2053" t="str">
            <v>FRESENIUS KABI</v>
          </cell>
          <cell r="G2053" t="str">
            <v>INFUSIA VP7</v>
          </cell>
          <cell r="H2053" t="str">
            <v>18800879</v>
          </cell>
          <cell r="I2053" t="str">
            <v>ANNUALLY</v>
          </cell>
          <cell r="J2053">
            <v>45873</v>
          </cell>
          <cell r="K2053"/>
          <cell r="L2053"/>
          <cell r="M2053"/>
          <cell r="N2053" t="str">
            <v>JABATAN PEMBEDAHAN AM</v>
          </cell>
          <cell r="O2053" t="str">
            <v>WAD 9B (Wad Pembedahan Lelaki 9B)</v>
          </cell>
        </row>
        <row r="2054">
          <cell r="D2054" t="str">
            <v>KKM/JKN/HSA/10-05-01/H/20/50</v>
          </cell>
          <cell r="E2054" t="str">
            <v>PUMP VOLUMETRIC INFUSION (STAND ALONE)</v>
          </cell>
          <cell r="F2054" t="str">
            <v>FRESENIUS KABI</v>
          </cell>
          <cell r="G2054" t="str">
            <v>INFUSIA VP7</v>
          </cell>
          <cell r="H2054" t="str">
            <v>18800886</v>
          </cell>
          <cell r="I2054" t="str">
            <v>ANNUALLY</v>
          </cell>
          <cell r="J2054">
            <v>45873</v>
          </cell>
          <cell r="K2054"/>
          <cell r="L2054"/>
          <cell r="M2054"/>
          <cell r="N2054" t="str">
            <v>JABATAN PEMBEDAHAN AM</v>
          </cell>
          <cell r="O2054" t="str">
            <v>WAD 9B (Wad Pembedahan Lelaki 9B)</v>
          </cell>
        </row>
        <row r="2055">
          <cell r="D2055" t="str">
            <v>KKM/JKN/HSA/10-05-01/H/20/51</v>
          </cell>
          <cell r="E2055" t="str">
            <v>PUMP VOLUMETRIC INFUSION (STAND ALONE)</v>
          </cell>
          <cell r="F2055" t="str">
            <v>FRESENIUS KABI</v>
          </cell>
          <cell r="G2055" t="str">
            <v>INFUSIA VP7</v>
          </cell>
          <cell r="H2055" t="str">
            <v>18800902</v>
          </cell>
          <cell r="I2055" t="str">
            <v>ANNUALLY</v>
          </cell>
          <cell r="J2055">
            <v>45873</v>
          </cell>
          <cell r="K2055"/>
          <cell r="L2055"/>
          <cell r="M2055"/>
          <cell r="N2055" t="str">
            <v>JABATAN PEMBEDAHAN AM</v>
          </cell>
          <cell r="O2055" t="str">
            <v>WAD 9B (Wad Pembedahan Lelaki 9B)</v>
          </cell>
        </row>
        <row r="2056">
          <cell r="D2056" t="str">
            <v>KKM/JKN/HSA/10-05-01/H/20/56</v>
          </cell>
          <cell r="E2056" t="str">
            <v>ECG  (EKG) MACHINE</v>
          </cell>
          <cell r="F2056" t="str">
            <v>MINDRAY</v>
          </cell>
          <cell r="G2056" t="str">
            <v>BENEHEART R3A</v>
          </cell>
          <cell r="H2056" t="str">
            <v>SK-93017607</v>
          </cell>
          <cell r="I2056" t="str">
            <v>ANNUALLY</v>
          </cell>
          <cell r="J2056">
            <v>45873</v>
          </cell>
          <cell r="K2056"/>
          <cell r="L2056"/>
          <cell r="M2056"/>
          <cell r="N2056" t="str">
            <v>JABATAN PEMBEDAHAN AM</v>
          </cell>
          <cell r="O2056" t="str">
            <v>WAD 9B (Wad Pembedahan Lelaki 9B)</v>
          </cell>
        </row>
        <row r="2057">
          <cell r="D2057" t="str">
            <v>KKM/JKN/HSA/10-05-01/H/15/932</v>
          </cell>
          <cell r="E2057" t="str">
            <v>SYRINGE INFUSION PUMP</v>
          </cell>
          <cell r="F2057" t="str">
            <v>FRESENIUS KABI</v>
          </cell>
          <cell r="G2057" t="str">
            <v>MODULE DPS</v>
          </cell>
          <cell r="H2057" t="str">
            <v>082594/22233523</v>
          </cell>
          <cell r="I2057" t="str">
            <v>ANNUALLY</v>
          </cell>
          <cell r="J2057">
            <v>45859</v>
          </cell>
          <cell r="K2057"/>
          <cell r="L2057"/>
          <cell r="M2057"/>
          <cell r="N2057" t="str">
            <v>JABATAN PEMBEDAHAN AM</v>
          </cell>
          <cell r="O2057" t="str">
            <v>WAD 9B (Wad Pembedahan Lelaki 9B)</v>
          </cell>
        </row>
        <row r="2058">
          <cell r="D2058" t="str">
            <v>KKM/JKN/HSA/10-05-01/H/15/935</v>
          </cell>
          <cell r="E2058" t="str">
            <v>SYRINGE INFUSION PUMP</v>
          </cell>
          <cell r="F2058" t="str">
            <v>FRESENIUS KABI</v>
          </cell>
          <cell r="G2058" t="str">
            <v>MODULE DPS</v>
          </cell>
          <cell r="H2058" t="str">
            <v>082594/22233522</v>
          </cell>
          <cell r="I2058" t="str">
            <v>ANNUALLY</v>
          </cell>
          <cell r="J2058">
            <v>45859</v>
          </cell>
          <cell r="K2058"/>
          <cell r="L2058"/>
          <cell r="M2058"/>
          <cell r="N2058" t="str">
            <v>JABATAN KECEMASAN &amp; TRAUMA</v>
          </cell>
          <cell r="O2058" t="str">
            <v>Jabatan Kecemasan &amp; Trauma (ED)</v>
          </cell>
        </row>
        <row r="2059">
          <cell r="D2059" t="str">
            <v>KKM/JKN/HSA/10-05-01/H/15/936</v>
          </cell>
          <cell r="E2059" t="str">
            <v>SYRINGE INFUSION PUMP</v>
          </cell>
          <cell r="F2059" t="str">
            <v>FRESENIUS KABI</v>
          </cell>
          <cell r="G2059" t="str">
            <v>MODULE DPS</v>
          </cell>
          <cell r="H2059" t="str">
            <v>082594/22233526</v>
          </cell>
          <cell r="I2059" t="str">
            <v>ANNUALLY</v>
          </cell>
          <cell r="J2059">
            <v>45859</v>
          </cell>
          <cell r="K2059"/>
          <cell r="L2059"/>
          <cell r="M2059"/>
          <cell r="N2059" t="str">
            <v>JABATAN PEMBEDAHAN AM</v>
          </cell>
          <cell r="O2059" t="str">
            <v>WAD 9B (Wad Pembedahan Lelaki 9B)</v>
          </cell>
        </row>
        <row r="2060">
          <cell r="D2060" t="str">
            <v>KKM/JKN/HSA/10-05-01/H/15/937</v>
          </cell>
          <cell r="E2060" t="str">
            <v>SYRINGE INFUSION PUMP</v>
          </cell>
          <cell r="F2060" t="str">
            <v>FRESENIUS KABI</v>
          </cell>
          <cell r="G2060" t="str">
            <v>MODULE DPS</v>
          </cell>
          <cell r="H2060" t="str">
            <v>082594/22233524</v>
          </cell>
          <cell r="I2060" t="str">
            <v>ANNUALLY</v>
          </cell>
          <cell r="J2060">
            <v>45859</v>
          </cell>
          <cell r="K2060"/>
          <cell r="L2060"/>
          <cell r="M2060"/>
          <cell r="N2060" t="str">
            <v>JABATAN PEMBEDAHAN AM</v>
          </cell>
          <cell r="O2060" t="str">
            <v>WAD 9B (Wad Pembedahan Lelaki 9B)</v>
          </cell>
        </row>
        <row r="2061">
          <cell r="D2061" t="str">
            <v>KKM/JKN/HSA/10-05-01/H/20/69</v>
          </cell>
          <cell r="E2061" t="str">
            <v>SYRINGE INFUSION PUMP</v>
          </cell>
          <cell r="F2061" t="str">
            <v>MEDCAPTAIN</v>
          </cell>
          <cell r="G2061" t="str">
            <v>MEDCAPTAIN/ MP-30</v>
          </cell>
          <cell r="H2061" t="str">
            <v>0110119090057</v>
          </cell>
          <cell r="I2061" t="str">
            <v>ANNUALLY</v>
          </cell>
          <cell r="J2061">
            <v>45769</v>
          </cell>
          <cell r="K2061"/>
          <cell r="L2061"/>
          <cell r="M2061"/>
          <cell r="N2061" t="str">
            <v>JABATAN PEMBEDAHAN AM</v>
          </cell>
          <cell r="O2061" t="str">
            <v>WAD 9B (Wad Pembedahan Lelaki 9B)</v>
          </cell>
        </row>
        <row r="2062">
          <cell r="D2062" t="str">
            <v>KKM/JKN/HSA/10-05-01/H/20/70</v>
          </cell>
          <cell r="E2062" t="str">
            <v>SYRINGE INFUSION PUMP</v>
          </cell>
          <cell r="F2062" t="str">
            <v>MEDCAPTAIN</v>
          </cell>
          <cell r="G2062" t="str">
            <v>MEDCAPTAIN/MP-30</v>
          </cell>
          <cell r="H2062" t="str">
            <v>0110119090173</v>
          </cell>
          <cell r="I2062" t="str">
            <v>ANNUALLY</v>
          </cell>
          <cell r="J2062">
            <v>45769</v>
          </cell>
          <cell r="K2062"/>
          <cell r="L2062"/>
          <cell r="M2062"/>
          <cell r="N2062" t="str">
            <v>JABATAN PEMBEDAHAN AM</v>
          </cell>
          <cell r="O2062" t="str">
            <v>WAD 9B (Wad Pembedahan Lelaki 9B)</v>
          </cell>
        </row>
        <row r="2063">
          <cell r="D2063" t="str">
            <v>KKM/JKN/HSA/10-05-01/H/20/71</v>
          </cell>
          <cell r="E2063" t="str">
            <v>SYRINGE INFUSION PUMP</v>
          </cell>
          <cell r="F2063" t="str">
            <v>MEDCAPTAIN</v>
          </cell>
          <cell r="G2063" t="str">
            <v>MEDCAPTAIN/MP-30</v>
          </cell>
          <cell r="H2063" t="str">
            <v>0110119090058</v>
          </cell>
          <cell r="I2063" t="str">
            <v>ANNUALLY</v>
          </cell>
          <cell r="J2063">
            <v>45769</v>
          </cell>
          <cell r="K2063"/>
          <cell r="L2063"/>
          <cell r="M2063"/>
          <cell r="N2063" t="str">
            <v>JABATAN PEMBEDAHAN AM</v>
          </cell>
          <cell r="O2063" t="str">
            <v>WAD 9B (Wad Pembedahan Lelaki 9B)</v>
          </cell>
        </row>
        <row r="2064">
          <cell r="D2064" t="str">
            <v>KKM/JKN/HSA/10-05-01/H/20/72</v>
          </cell>
          <cell r="E2064" t="str">
            <v>SYRINGE INFUSION PUMP</v>
          </cell>
          <cell r="F2064" t="str">
            <v>MEDCAPTAIN</v>
          </cell>
          <cell r="G2064" t="str">
            <v>MEDCAPTAIN/MP-30</v>
          </cell>
          <cell r="H2064" t="str">
            <v>0110119090215</v>
          </cell>
          <cell r="I2064" t="str">
            <v>ANNUALLY</v>
          </cell>
          <cell r="J2064">
            <v>45769</v>
          </cell>
          <cell r="K2064"/>
          <cell r="L2064"/>
          <cell r="M2064"/>
          <cell r="N2064" t="str">
            <v>JABATAN PEMBEDAHAN AM</v>
          </cell>
          <cell r="O2064" t="str">
            <v>WAD 9B (Wad Pembedahan Lelaki 9B)</v>
          </cell>
        </row>
        <row r="2065">
          <cell r="D2065" t="str">
            <v>KKM/JKN/HSA/10-05-01/H/20/73</v>
          </cell>
          <cell r="E2065" t="str">
            <v>SYRINGE INFUSION PUMP</v>
          </cell>
          <cell r="F2065" t="str">
            <v>MEDCAPTAIN</v>
          </cell>
          <cell r="G2065" t="str">
            <v>MEDCAPTAIN/MP-30</v>
          </cell>
          <cell r="H2065" t="str">
            <v>0110119090061</v>
          </cell>
          <cell r="I2065" t="str">
            <v>ANNUALLY</v>
          </cell>
          <cell r="J2065">
            <v>45769</v>
          </cell>
          <cell r="K2065"/>
          <cell r="L2065"/>
          <cell r="M2065"/>
          <cell r="N2065" t="str">
            <v>JABATAN PEMBEDAHAN AM</v>
          </cell>
          <cell r="O2065" t="str">
            <v>WAD 9B (Wad Pembedahan Lelaki 9B)</v>
          </cell>
        </row>
        <row r="2066">
          <cell r="D2066" t="str">
            <v>KKM/JKN/HSA/10-05-01/H/20/74</v>
          </cell>
          <cell r="E2066" t="str">
            <v>SYRINGE INFUSION PUMP</v>
          </cell>
          <cell r="F2066" t="str">
            <v>MEDCAPTAIN</v>
          </cell>
          <cell r="G2066" t="str">
            <v>MEDCAPTAIN/MP-30</v>
          </cell>
          <cell r="H2066" t="str">
            <v>0110119090368</v>
          </cell>
          <cell r="I2066" t="str">
            <v>ANNUALLY</v>
          </cell>
          <cell r="J2066">
            <v>45769</v>
          </cell>
          <cell r="K2066"/>
          <cell r="L2066"/>
          <cell r="M2066"/>
          <cell r="N2066" t="str">
            <v>JABATAN PEMBEDAHAN AM</v>
          </cell>
          <cell r="O2066" t="str">
            <v>WAD 9B (Wad Pembedahan Lelaki 9B)</v>
          </cell>
        </row>
        <row r="2067">
          <cell r="D2067" t="str">
            <v>KKM/JKN/HSA/10-05-01/H/20/225</v>
          </cell>
          <cell r="E2067" t="str">
            <v>PATIENT MONITORING EQUIPMENT</v>
          </cell>
          <cell r="F2067" t="str">
            <v>MINDRAY</v>
          </cell>
          <cell r="G2067" t="str">
            <v>M2K3B-CTO-S01</v>
          </cell>
          <cell r="H2067" t="str">
            <v>KQ-04039882</v>
          </cell>
          <cell r="I2067" t="str">
            <v>ANNUALLY</v>
          </cell>
          <cell r="J2067">
            <v>45732</v>
          </cell>
          <cell r="K2067"/>
          <cell r="L2067"/>
          <cell r="M2067"/>
          <cell r="N2067" t="str">
            <v>JABATAN PEMBEDAHAN AM</v>
          </cell>
          <cell r="O2067" t="str">
            <v>WAD 9B (Wad Pembedahan Lelaki 9B)</v>
          </cell>
        </row>
        <row r="2068">
          <cell r="D2068" t="str">
            <v>KKM/JKN/HSA/10-05-01/H/20/226</v>
          </cell>
          <cell r="E2068" t="str">
            <v>PATIENT MONITORING EQUIPMENT</v>
          </cell>
          <cell r="F2068" t="str">
            <v>MINDRAY</v>
          </cell>
          <cell r="G2068" t="str">
            <v>M2K3B-CTO-S02</v>
          </cell>
          <cell r="H2068" t="str">
            <v>KQ-04039881</v>
          </cell>
          <cell r="I2068" t="str">
            <v>ANNUALLY</v>
          </cell>
          <cell r="J2068">
            <v>45732</v>
          </cell>
          <cell r="K2068"/>
          <cell r="L2068"/>
          <cell r="M2068"/>
          <cell r="N2068" t="str">
            <v>JABATAN PEMBEDAHAN AM</v>
          </cell>
          <cell r="O2068" t="str">
            <v>WAD 9B (Wad Pembedahan Lelaki 9B)</v>
          </cell>
        </row>
        <row r="2069">
          <cell r="D2069" t="str">
            <v>KKM/JKN/HSA/10-05-01/H/20/227</v>
          </cell>
          <cell r="E2069" t="str">
            <v>PATIENT MONITORING EQUIPMENT</v>
          </cell>
          <cell r="F2069" t="str">
            <v>MINDRAY</v>
          </cell>
          <cell r="G2069" t="str">
            <v>M2K3B-CTO-S03</v>
          </cell>
          <cell r="H2069" t="str">
            <v>KQ-04039883</v>
          </cell>
          <cell r="I2069" t="str">
            <v>ANNUALLY</v>
          </cell>
          <cell r="J2069">
            <v>45732</v>
          </cell>
          <cell r="K2069"/>
          <cell r="L2069"/>
          <cell r="M2069"/>
          <cell r="N2069" t="str">
            <v>JABATAN PEMBEDAHAN AM</v>
          </cell>
          <cell r="O2069" t="str">
            <v>WAD 9B (Wad Pembedahan Lelaki 9B)</v>
          </cell>
        </row>
        <row r="2070">
          <cell r="D2070" t="str">
            <v>KKM/JKN/HSA/10-05-01/H/15/4251</v>
          </cell>
          <cell r="E2070" t="str">
            <v>PUMP VOLUMETRIC INFUSION (STAND ALONE)</v>
          </cell>
          <cell r="F2070" t="str">
            <v>FRESENIUS KABI</v>
          </cell>
          <cell r="G2070" t="str">
            <v>LINK 8+ AGILIA/ MOBILE STAND</v>
          </cell>
          <cell r="H2070" t="str">
            <v>019130/2217024</v>
          </cell>
          <cell r="I2070" t="str">
            <v>ANNUALLY</v>
          </cell>
          <cell r="J2070">
            <v>45888</v>
          </cell>
          <cell r="K2070"/>
          <cell r="L2070"/>
          <cell r="M2070"/>
          <cell r="N2070" t="str">
            <v>JABATAN PERUBATAN AM</v>
          </cell>
          <cell r="O2070" t="str">
            <v>WAD 10A (Wad Perubatan Lelaki 10A)</v>
          </cell>
        </row>
        <row r="2071">
          <cell r="D2071" t="str">
            <v>KKM/JKN/HSA/10-05-01/R/15/17067</v>
          </cell>
          <cell r="E2071" t="str">
            <v>DIAGNOSTIC SET ADULT</v>
          </cell>
          <cell r="F2071" t="str">
            <v>WELCH ALLYN</v>
          </cell>
          <cell r="G2071" t="str">
            <v>97150-BI</v>
          </cell>
          <cell r="H2071" t="str">
            <v>N/A</v>
          </cell>
          <cell r="I2071" t="str">
            <v>ANNUALLY</v>
          </cell>
          <cell r="J2071">
            <v>45735</v>
          </cell>
          <cell r="K2071"/>
          <cell r="L2071"/>
          <cell r="M2071"/>
          <cell r="N2071" t="str">
            <v>JABATAN PERUBATAN AM</v>
          </cell>
          <cell r="O2071" t="str">
            <v>WAD 10A (Wad Perubatan Lelaki 10A)</v>
          </cell>
        </row>
        <row r="2072">
          <cell r="D2072" t="str">
            <v>KKM/JKN/HSA/10-05-01/R/15/17068</v>
          </cell>
          <cell r="E2072" t="str">
            <v>DIAGNOSTIC SET ADULT</v>
          </cell>
          <cell r="F2072" t="str">
            <v>WELCH ALLYN</v>
          </cell>
          <cell r="G2072" t="str">
            <v>97150-BI</v>
          </cell>
          <cell r="H2072" t="str">
            <v>N/A</v>
          </cell>
          <cell r="I2072" t="str">
            <v>ANNUALLY</v>
          </cell>
          <cell r="J2072">
            <v>45902</v>
          </cell>
          <cell r="K2072"/>
          <cell r="L2072"/>
          <cell r="M2072"/>
          <cell r="N2072" t="str">
            <v>JABATAN PERUBATAN AM</v>
          </cell>
          <cell r="O2072" t="str">
            <v>WAD 10A (Wad Perubatan Lelaki 10A)</v>
          </cell>
        </row>
        <row r="2073">
          <cell r="D2073" t="str">
            <v>KKM/JKN/HSA/10-05-01/R/15/17069</v>
          </cell>
          <cell r="E2073" t="str">
            <v>DIAGNOSTIC SET ADULT</v>
          </cell>
          <cell r="F2073" t="str">
            <v>WELCH ALLYN</v>
          </cell>
          <cell r="G2073" t="str">
            <v>97150-BI</v>
          </cell>
          <cell r="H2073" t="str">
            <v>N/A</v>
          </cell>
          <cell r="I2073" t="str">
            <v>ANNUALLY</v>
          </cell>
          <cell r="J2073">
            <v>45902</v>
          </cell>
          <cell r="K2073"/>
          <cell r="L2073"/>
          <cell r="M2073"/>
          <cell r="N2073" t="str">
            <v>JABATAN PERUBATAN AM</v>
          </cell>
          <cell r="O2073" t="str">
            <v>WAD 10A (Wad Perubatan Lelaki 10A)</v>
          </cell>
        </row>
        <row r="2074">
          <cell r="D2074" t="str">
            <v>KKM/JKN/HSA/10-05-01/H/15/1016</v>
          </cell>
          <cell r="E2074" t="str">
            <v>PATIENT MONITORING EQUIP.(AUTOMATIC MULTIPARAMETER)</v>
          </cell>
          <cell r="F2074" t="str">
            <v>WELCH ALLYN</v>
          </cell>
          <cell r="G2074" t="str">
            <v>WELCH ALLYN VSM 300</v>
          </cell>
          <cell r="H2074" t="str">
            <v>JA 123467</v>
          </cell>
          <cell r="I2074" t="str">
            <v>ANNUALLY</v>
          </cell>
          <cell r="J2074">
            <v>45855</v>
          </cell>
          <cell r="K2074"/>
          <cell r="L2074"/>
          <cell r="M2074"/>
          <cell r="N2074" t="str">
            <v>JABATAN PERUBATAN AM</v>
          </cell>
          <cell r="O2074" t="str">
            <v>WAD 10A (Wad Perubatan Lelaki 10A)</v>
          </cell>
        </row>
        <row r="2075">
          <cell r="D2075" t="str">
            <v>KKM/JKN/HSA/10-05-01/H/15/1027</v>
          </cell>
          <cell r="E2075" t="str">
            <v>PATIENT MONITORING EQUIP.(AUTOMATIC MULTIPARAMETER)</v>
          </cell>
          <cell r="F2075" t="str">
            <v>WELCH ALLYN</v>
          </cell>
          <cell r="G2075" t="str">
            <v>WELCH ALLYN VSM 300</v>
          </cell>
          <cell r="H2075" t="str">
            <v>JA123472</v>
          </cell>
          <cell r="I2075" t="str">
            <v>ANNUALLY</v>
          </cell>
          <cell r="J2075">
            <v>45844</v>
          </cell>
          <cell r="K2075"/>
          <cell r="L2075"/>
          <cell r="M2075"/>
          <cell r="N2075" t="str">
            <v>JABATAN PERUBATAN AM</v>
          </cell>
          <cell r="O2075" t="str">
            <v>WAD 10A (Wad Perubatan Lelaki 10A)</v>
          </cell>
        </row>
        <row r="2076">
          <cell r="D2076" t="str">
            <v>KKM/JKN/HSA/10-05-01/H/15/1225</v>
          </cell>
          <cell r="E2076" t="str">
            <v>INFUSION PUMP</v>
          </cell>
          <cell r="F2076" t="str">
            <v>FRESENIUS KABI</v>
          </cell>
          <cell r="G2076" t="str">
            <v>VOLUMAT MC AGILIA GB</v>
          </cell>
          <cell r="H2076" t="str">
            <v>019130/22170854</v>
          </cell>
          <cell r="I2076" t="str">
            <v>ANNUALLY</v>
          </cell>
          <cell r="J2076">
            <v>46017</v>
          </cell>
          <cell r="K2076"/>
          <cell r="L2076"/>
          <cell r="M2076"/>
          <cell r="N2076" t="str">
            <v>JABATAN PERUBATAN AM</v>
          </cell>
          <cell r="O2076" t="str">
            <v>WAD 10A (Wad Perubatan Lelaki 10A)</v>
          </cell>
        </row>
        <row r="2077">
          <cell r="D2077" t="str">
            <v>KKM/JKN/HSA/10-05-01/H/15/1226</v>
          </cell>
          <cell r="E2077" t="str">
            <v>INFUSION PUMP</v>
          </cell>
          <cell r="F2077" t="str">
            <v>FRESENIUS KABI</v>
          </cell>
          <cell r="G2077" t="str">
            <v>LINK 8+ AGILIA/MOBILE STAND</v>
          </cell>
          <cell r="H2077" t="str">
            <v>019130/22170238</v>
          </cell>
          <cell r="I2077" t="str">
            <v>ANNUALLY</v>
          </cell>
          <cell r="J2077">
            <v>46017</v>
          </cell>
          <cell r="K2077"/>
          <cell r="L2077"/>
          <cell r="M2077"/>
          <cell r="N2077" t="str">
            <v>JABATAN PERUBATAN AM</v>
          </cell>
          <cell r="O2077" t="str">
            <v>WAD 10A (Wad Perubatan Lelaki 10A)</v>
          </cell>
        </row>
        <row r="2078">
          <cell r="D2078" t="str">
            <v>KKM/JKN/HSA/10-05-01/H/15/1227</v>
          </cell>
          <cell r="E2078" t="str">
            <v>INFUSION PUMP</v>
          </cell>
          <cell r="F2078" t="str">
            <v>FRESENIUS KABI</v>
          </cell>
          <cell r="G2078" t="str">
            <v>VOLUMAT MC AGILIA GB</v>
          </cell>
          <cell r="H2078" t="str">
            <v>019130/22235950</v>
          </cell>
          <cell r="I2078" t="str">
            <v>ANNUALLY</v>
          </cell>
          <cell r="J2078">
            <v>46017</v>
          </cell>
          <cell r="K2078"/>
          <cell r="L2078"/>
          <cell r="M2078"/>
          <cell r="N2078" t="str">
            <v>JABATAN PERUBATAN AM</v>
          </cell>
          <cell r="O2078" t="str">
            <v>WAD 10A (Wad Perubatan Lelaki 10A)</v>
          </cell>
        </row>
        <row r="2079">
          <cell r="D2079" t="str">
            <v>KKM/JKN/HSA/10-05-01/H/15/1228</v>
          </cell>
          <cell r="E2079" t="str">
            <v>INFUSION PUMP</v>
          </cell>
          <cell r="F2079" t="str">
            <v>FRESENIUS KABI</v>
          </cell>
          <cell r="G2079" t="str">
            <v>VOLUMAT MC AGILIA GB</v>
          </cell>
          <cell r="H2079" t="str">
            <v>019130/22235959</v>
          </cell>
          <cell r="I2079" t="str">
            <v>ANNUALLY</v>
          </cell>
          <cell r="J2079">
            <v>46017</v>
          </cell>
          <cell r="K2079"/>
          <cell r="L2079"/>
          <cell r="M2079"/>
          <cell r="N2079" t="str">
            <v>JABATAN PERUBATAN AM</v>
          </cell>
          <cell r="O2079" t="str">
            <v>WAD 10A (Wad Perubatan Lelaki 10A)</v>
          </cell>
        </row>
        <row r="2080">
          <cell r="D2080" t="str">
            <v>KKM/JKN/HSA/10-05-01/H/15/1229</v>
          </cell>
          <cell r="E2080" t="str">
            <v>INFUSION PUMP</v>
          </cell>
          <cell r="F2080" t="str">
            <v>FRESENIUS KABI</v>
          </cell>
          <cell r="G2080" t="str">
            <v>VOLUMAT MC AGILIA GB</v>
          </cell>
          <cell r="H2080" t="str">
            <v>019130/22170890</v>
          </cell>
          <cell r="I2080" t="str">
            <v>ANNUALLY</v>
          </cell>
          <cell r="J2080">
            <v>46016</v>
          </cell>
          <cell r="K2080"/>
          <cell r="L2080"/>
          <cell r="M2080"/>
          <cell r="N2080" t="str">
            <v>JABATAN PERUBATAN AM</v>
          </cell>
          <cell r="O2080" t="str">
            <v>WAD 10A (Wad Perubatan Lelaki 10A)</v>
          </cell>
        </row>
        <row r="2081">
          <cell r="D2081" t="str">
            <v>KKM/JKN/HSA/10-05-01/H/15/1230</v>
          </cell>
          <cell r="E2081" t="str">
            <v>INFUSION PUMP</v>
          </cell>
          <cell r="F2081" t="str">
            <v>FRESENIUS KABI</v>
          </cell>
          <cell r="G2081" t="str">
            <v>VOLUMAT MC AGILIA GB</v>
          </cell>
          <cell r="H2081" t="str">
            <v>22235943</v>
          </cell>
          <cell r="I2081" t="str">
            <v>ANNUALLY</v>
          </cell>
          <cell r="J2081">
            <v>46016</v>
          </cell>
          <cell r="K2081"/>
          <cell r="L2081"/>
          <cell r="M2081"/>
          <cell r="N2081" t="str">
            <v>JABATAN PERUBATAN AM</v>
          </cell>
          <cell r="O2081" t="str">
            <v>WAD 10A (Wad Perubatan Lelaki 10A)</v>
          </cell>
        </row>
        <row r="2082">
          <cell r="D2082" t="str">
            <v>KKM/JKN/HSA/10-05-01/H/15/1231</v>
          </cell>
          <cell r="E2082" t="str">
            <v>INFUSION PUMP</v>
          </cell>
          <cell r="F2082" t="str">
            <v>FRESENIUS KABI</v>
          </cell>
          <cell r="G2082" t="str">
            <v>VOLUMAT MC AGILIA GB</v>
          </cell>
          <cell r="H2082" t="str">
            <v>019130/22235953</v>
          </cell>
          <cell r="I2082" t="str">
            <v>ANNUALLY</v>
          </cell>
          <cell r="J2082">
            <v>46016</v>
          </cell>
          <cell r="K2082"/>
          <cell r="L2082"/>
          <cell r="M2082"/>
          <cell r="N2082" t="str">
            <v>JABATAN PERUBATAN AM</v>
          </cell>
          <cell r="O2082" t="str">
            <v>WAD 10A (Wad Perubatan Lelaki 10A)</v>
          </cell>
        </row>
        <row r="2083">
          <cell r="D2083" t="str">
            <v>KKM/JKN/HSA/10-05-01/H/15/1600</v>
          </cell>
          <cell r="E2083" t="str">
            <v>PATIENT MONITORING EQUIP.(AUTOMATIC MULTIPARAMETER)</v>
          </cell>
          <cell r="F2083" t="str">
            <v>WELCH ALLYN</v>
          </cell>
          <cell r="G2083" t="str">
            <v>WELCH ALLYN VSM 300</v>
          </cell>
          <cell r="H2083" t="str">
            <v>JA123449</v>
          </cell>
          <cell r="I2083" t="str">
            <v>ANNUALLY</v>
          </cell>
          <cell r="J2083">
            <v>45849</v>
          </cell>
          <cell r="K2083"/>
          <cell r="L2083"/>
          <cell r="M2083"/>
          <cell r="N2083" t="str">
            <v>JABATAN PERUBATAN AM</v>
          </cell>
          <cell r="O2083" t="str">
            <v>WAD 10A (Wad Perubatan Lelaki 10A)</v>
          </cell>
        </row>
        <row r="2084">
          <cell r="D2084" t="str">
            <v>KKM/JKN/HSA/10-05-01/H/15/1803</v>
          </cell>
          <cell r="E2084" t="str">
            <v>ENTERAL FEEDING PUMP</v>
          </cell>
          <cell r="F2084" t="str">
            <v>FRESENIUS KABI</v>
          </cell>
          <cell r="G2084" t="str">
            <v>APPLIX VISION</v>
          </cell>
          <cell r="H2084" t="str">
            <v>22201172</v>
          </cell>
          <cell r="I2084" t="str">
            <v>ANNUALLY</v>
          </cell>
          <cell r="J2084">
            <v>45880</v>
          </cell>
          <cell r="K2084"/>
          <cell r="L2084"/>
          <cell r="M2084"/>
          <cell r="N2084" t="str">
            <v>JABATAN PERUBATAN AM</v>
          </cell>
          <cell r="O2084" t="str">
            <v>WAD 10A (Wad Perubatan Lelaki 10A)</v>
          </cell>
        </row>
        <row r="2085">
          <cell r="D2085" t="str">
            <v>KKM/JKN/HSA/10-05-01/H/15/2130</v>
          </cell>
          <cell r="E2085" t="str">
            <v>PATIENT MONITORING EQUIP.(AUTOMATIC MULTIPARAMETER)</v>
          </cell>
          <cell r="F2085" t="str">
            <v>MINDRAY</v>
          </cell>
          <cell r="G2085" t="str">
            <v>IMEC 12</v>
          </cell>
          <cell r="H2085" t="str">
            <v>EV45011635</v>
          </cell>
          <cell r="I2085" t="str">
            <v>ANNUALLY</v>
          </cell>
          <cell r="J2085">
            <v>45963</v>
          </cell>
          <cell r="K2085"/>
          <cell r="L2085"/>
          <cell r="M2085"/>
          <cell r="N2085" t="str">
            <v>JABATAN PERUBATAN AM</v>
          </cell>
          <cell r="O2085" t="str">
            <v>WAD 10A (Wad Perubatan Lelaki 10A)</v>
          </cell>
        </row>
        <row r="2086">
          <cell r="D2086" t="str">
            <v>KKM/JKN/HSA/10-05-01/H/15/2131</v>
          </cell>
          <cell r="E2086" t="str">
            <v>PATIENT MONITORING EQUIP.(AUTOMATIC MULTIPARAMETER)</v>
          </cell>
          <cell r="F2086" t="str">
            <v>MINDRAY</v>
          </cell>
          <cell r="G2086" t="str">
            <v>IMEC 12</v>
          </cell>
          <cell r="H2086" t="str">
            <v>EV45011636</v>
          </cell>
          <cell r="I2086" t="str">
            <v>ANNUALLY</v>
          </cell>
          <cell r="J2086">
            <v>45963</v>
          </cell>
          <cell r="K2086"/>
          <cell r="L2086"/>
          <cell r="M2086"/>
          <cell r="N2086" t="str">
            <v>JABATAN PERUBATAN AM</v>
          </cell>
          <cell r="O2086" t="str">
            <v>WAD 10A (Wad Perubatan Lelaki 10A)</v>
          </cell>
        </row>
        <row r="2087">
          <cell r="D2087" t="str">
            <v>KKM/JKN/HSA/10-05-01/H/15/2154</v>
          </cell>
          <cell r="E2087" t="str">
            <v>SUCTION APPARATUS</v>
          </cell>
          <cell r="F2087" t="str">
            <v>CAMI</v>
          </cell>
          <cell r="G2087" t="str">
            <v>ASKIR 30</v>
          </cell>
          <cell r="H2087" t="str">
            <v>5912</v>
          </cell>
          <cell r="I2087" t="str">
            <v>ANNUALLY</v>
          </cell>
          <cell r="J2087">
            <v>46045</v>
          </cell>
          <cell r="K2087"/>
          <cell r="L2087"/>
          <cell r="M2087"/>
          <cell r="N2087" t="str">
            <v>JABATAN PERUBATAN AM</v>
          </cell>
          <cell r="O2087" t="str">
            <v>WAD 10A (Wad Perubatan Lelaki 10A)</v>
          </cell>
        </row>
        <row r="2088">
          <cell r="D2088" t="str">
            <v>KKM/JKN/HSA/10-05-01/H/15/2155</v>
          </cell>
          <cell r="E2088" t="str">
            <v>SUCTION APPARATUS</v>
          </cell>
          <cell r="F2088" t="str">
            <v>CAMI</v>
          </cell>
          <cell r="G2088" t="str">
            <v>ASKIR 30</v>
          </cell>
          <cell r="H2088" t="str">
            <v>5913</v>
          </cell>
          <cell r="I2088" t="str">
            <v>ANNUALLY</v>
          </cell>
          <cell r="J2088">
            <v>46045</v>
          </cell>
          <cell r="K2088"/>
          <cell r="L2088"/>
          <cell r="M2088"/>
          <cell r="N2088" t="str">
            <v>JABATAN PERUBATAN AM</v>
          </cell>
          <cell r="O2088" t="str">
            <v>WAD 10A (Wad Perubatan Lelaki 10A)</v>
          </cell>
        </row>
        <row r="2089">
          <cell r="D2089" t="str">
            <v>KKM/JKN/HSA/10-05-01/H/15/2162</v>
          </cell>
          <cell r="E2089" t="str">
            <v>SUCTION APPARATUS</v>
          </cell>
          <cell r="F2089" t="str">
            <v>CAMI</v>
          </cell>
          <cell r="G2089" t="str">
            <v>ASKIR 30</v>
          </cell>
          <cell r="H2089" t="str">
            <v>5914</v>
          </cell>
          <cell r="I2089" t="str">
            <v>ANNUALLY</v>
          </cell>
          <cell r="J2089">
            <v>46045</v>
          </cell>
          <cell r="K2089"/>
          <cell r="L2089"/>
          <cell r="M2089"/>
          <cell r="N2089" t="str">
            <v>JABATAN PERUBATAN AM</v>
          </cell>
          <cell r="O2089" t="str">
            <v>WAD 10A (Wad Perubatan Lelaki 10A)</v>
          </cell>
        </row>
        <row r="2090">
          <cell r="D2090" t="str">
            <v>KKM/JKN/HSA/10-05-01/H/15/2238</v>
          </cell>
          <cell r="E2090" t="str">
            <v>SYRINGE INFUSION PUMP</v>
          </cell>
          <cell r="F2090" t="str">
            <v>FRESENIUS KABI</v>
          </cell>
          <cell r="G2090" t="str">
            <v>INJECTOMAT AGILIA</v>
          </cell>
          <cell r="H2090" t="str">
            <v>018030/22233918</v>
          </cell>
          <cell r="I2090" t="str">
            <v>ANNUALLY</v>
          </cell>
          <cell r="J2090">
            <v>45853</v>
          </cell>
          <cell r="K2090"/>
          <cell r="L2090"/>
          <cell r="M2090"/>
          <cell r="N2090" t="str">
            <v>JABATAN PERUBATAN AM</v>
          </cell>
          <cell r="O2090" t="str">
            <v>WAD 10A (Wad Perubatan Lelaki 10A)</v>
          </cell>
        </row>
        <row r="2091">
          <cell r="D2091" t="str">
            <v>KKM/JKN/HSA/10-05-01/H/15/2239</v>
          </cell>
          <cell r="E2091" t="str">
            <v>SYRINGE INFUSION PUMP</v>
          </cell>
          <cell r="F2091" t="str">
            <v>FRESENIUS KABI</v>
          </cell>
          <cell r="G2091" t="str">
            <v>INJECTOMAT AGILIA</v>
          </cell>
          <cell r="H2091" t="str">
            <v>018030/22233919</v>
          </cell>
          <cell r="I2091" t="str">
            <v>ANNUALLY</v>
          </cell>
          <cell r="J2091">
            <v>45853</v>
          </cell>
          <cell r="K2091"/>
          <cell r="L2091"/>
          <cell r="M2091"/>
          <cell r="N2091" t="str">
            <v>JABATAN PERUBATAN AM</v>
          </cell>
          <cell r="O2091" t="str">
            <v>WAD 10A (Wad Perubatan Lelaki 10A)</v>
          </cell>
        </row>
        <row r="2092">
          <cell r="D2092" t="str">
            <v>KKM/JKN/HSA/10-05-01/H/15/2240</v>
          </cell>
          <cell r="E2092" t="str">
            <v>SYRINGE INFUSION PUMP</v>
          </cell>
          <cell r="F2092" t="str">
            <v>FRESENIUS KABI</v>
          </cell>
          <cell r="G2092" t="str">
            <v>INJECTOMAT AGILIA</v>
          </cell>
          <cell r="H2092" t="str">
            <v>018030/22233922</v>
          </cell>
          <cell r="I2092" t="str">
            <v>ANNUALLY</v>
          </cell>
          <cell r="J2092">
            <v>45840</v>
          </cell>
          <cell r="K2092"/>
          <cell r="L2092"/>
          <cell r="M2092"/>
          <cell r="N2092" t="str">
            <v>JABATAN PERUBATAN AM</v>
          </cell>
          <cell r="O2092" t="str">
            <v>WAD 10A (Wad Perubatan Lelaki 10A)</v>
          </cell>
        </row>
        <row r="2093">
          <cell r="D2093" t="str">
            <v>KKM/JKN/HSA/10-05-01/H/15/2241</v>
          </cell>
          <cell r="E2093" t="str">
            <v>SYRINGE INFUSION PUMP</v>
          </cell>
          <cell r="F2093" t="str">
            <v>FRESENIUS KABI</v>
          </cell>
          <cell r="G2093" t="str">
            <v>INJECTOMAT AGILIA</v>
          </cell>
          <cell r="H2093" t="str">
            <v>018030/22233921</v>
          </cell>
          <cell r="I2093" t="str">
            <v>ANNUALLY</v>
          </cell>
          <cell r="J2093">
            <v>45863</v>
          </cell>
          <cell r="K2093"/>
          <cell r="L2093"/>
          <cell r="M2093"/>
          <cell r="N2093" t="str">
            <v>JABATAN PERUBATAN AM</v>
          </cell>
          <cell r="O2093" t="str">
            <v>WAD 10A (Wad Perubatan Lelaki 10A)</v>
          </cell>
        </row>
        <row r="2094">
          <cell r="D2094" t="str">
            <v>KKM/JKN/HSA/10-05-01/H/15/2242</v>
          </cell>
          <cell r="E2094" t="str">
            <v>SYRINGE INFUSION PUMP</v>
          </cell>
          <cell r="F2094" t="str">
            <v>FRESENIUS KABI</v>
          </cell>
          <cell r="G2094" t="str">
            <v>INJECTOMAT AGILIA</v>
          </cell>
          <cell r="H2094" t="str">
            <v>018030/22233920</v>
          </cell>
          <cell r="I2094" t="str">
            <v>ANNUALLY</v>
          </cell>
          <cell r="J2094">
            <v>45863</v>
          </cell>
          <cell r="K2094"/>
          <cell r="L2094"/>
          <cell r="M2094"/>
          <cell r="N2094" t="str">
            <v>JABATAN PERUBATAN AM</v>
          </cell>
          <cell r="O2094" t="str">
            <v>WAD 10A (Wad Perubatan Lelaki 10A)</v>
          </cell>
        </row>
        <row r="2095">
          <cell r="D2095" t="str">
            <v>KKM/JKN/HSA/10-05-01/H/15/2791</v>
          </cell>
          <cell r="E2095" t="str">
            <v>RIPPLE MATTRESS</v>
          </cell>
          <cell r="F2095" t="str">
            <v>BANTEX</v>
          </cell>
          <cell r="G2095" t="str">
            <v>APM-5000-G</v>
          </cell>
          <cell r="H2095" t="str">
            <v>E2141104997</v>
          </cell>
          <cell r="I2095" t="str">
            <v>ANNUALLY</v>
          </cell>
          <cell r="J2095">
            <v>45873</v>
          </cell>
          <cell r="K2095"/>
          <cell r="L2095"/>
          <cell r="M2095"/>
          <cell r="N2095" t="str">
            <v>JABATAN PERUBATAN AM</v>
          </cell>
          <cell r="O2095" t="str">
            <v>WAD 10A (Wad Perubatan Lelaki 10A)</v>
          </cell>
        </row>
        <row r="2096">
          <cell r="D2096" t="str">
            <v>KKM/JKN/HSA/10-05-01/H/15/2792</v>
          </cell>
          <cell r="E2096" t="str">
            <v>RIPPLE MATTRESS</v>
          </cell>
          <cell r="F2096" t="str">
            <v>BANTEX</v>
          </cell>
          <cell r="G2096" t="str">
            <v>APM-5000-G</v>
          </cell>
          <cell r="H2096" t="str">
            <v>E2141104997</v>
          </cell>
          <cell r="I2096" t="str">
            <v>ANNUALLY</v>
          </cell>
          <cell r="J2096">
            <v>45873</v>
          </cell>
          <cell r="K2096"/>
          <cell r="L2096"/>
          <cell r="M2096"/>
          <cell r="N2096" t="str">
            <v>JABATAN PERUBATAN AM</v>
          </cell>
          <cell r="O2096" t="str">
            <v>WAD 10A (Wad Perubatan Lelaki 10A)</v>
          </cell>
        </row>
        <row r="2097">
          <cell r="D2097" t="str">
            <v>KKM/JKN/HSA/10-05-01/H/15/572</v>
          </cell>
          <cell r="E2097" t="str">
            <v>ECG (EKG) MACHINE</v>
          </cell>
          <cell r="F2097" t="str">
            <v>GE HEALTHCARE</v>
          </cell>
          <cell r="G2097" t="str">
            <v>MAC 1200</v>
          </cell>
          <cell r="H2097" t="str">
            <v>550061836</v>
          </cell>
          <cell r="I2097" t="str">
            <v>ANNUALLY</v>
          </cell>
          <cell r="J2097">
            <v>45847</v>
          </cell>
          <cell r="K2097"/>
          <cell r="L2097"/>
          <cell r="M2097"/>
          <cell r="N2097" t="str">
            <v>JABATAN PERUBATAN AM</v>
          </cell>
          <cell r="O2097" t="str">
            <v>WAD 10A (Wad Perubatan Lelaki 10A)</v>
          </cell>
        </row>
        <row r="2098">
          <cell r="D2098" t="str">
            <v>KKM/JKN/HSA/10-05-01/H/15/930</v>
          </cell>
          <cell r="E2098" t="str">
            <v>SYRINGE INFUSION PUMP</v>
          </cell>
          <cell r="F2098" t="str">
            <v>FRESENIUS KABI</v>
          </cell>
          <cell r="G2098" t="str">
            <v>MODULE DPS</v>
          </cell>
          <cell r="H2098" t="str">
            <v>082594/20829873</v>
          </cell>
          <cell r="I2098" t="str">
            <v>ANNUALLY</v>
          </cell>
          <cell r="J2098">
            <v>45854</v>
          </cell>
          <cell r="K2098"/>
          <cell r="L2098"/>
          <cell r="M2098"/>
          <cell r="N2098" t="str">
            <v>JABATAN PERUBATAN AM</v>
          </cell>
          <cell r="O2098" t="str">
            <v>WAD 10A (Wad Perubatan Lelaki 10A)</v>
          </cell>
        </row>
        <row r="2099">
          <cell r="D2099" t="str">
            <v>KKM/JKN/HSA/10-05-01/H/15/933</v>
          </cell>
          <cell r="E2099" t="str">
            <v>SYRINGE INFUSION PUMP</v>
          </cell>
          <cell r="F2099" t="str">
            <v>FRESENIUS KABI</v>
          </cell>
          <cell r="G2099" t="str">
            <v>MODULE DPS</v>
          </cell>
          <cell r="H2099" t="str">
            <v>082594/22233508</v>
          </cell>
          <cell r="I2099" t="str">
            <v>ANNUALLY</v>
          </cell>
          <cell r="J2099">
            <v>45859</v>
          </cell>
          <cell r="K2099"/>
          <cell r="L2099"/>
          <cell r="M2099"/>
          <cell r="N2099" t="str">
            <v>JABATAN PERUBATAN AM</v>
          </cell>
          <cell r="O2099" t="str">
            <v>WAD 10A (Wad Perubatan Lelaki 10A)</v>
          </cell>
        </row>
        <row r="2100">
          <cell r="D2100" t="str">
            <v>KKM/JKN/HSA/10-05-01/H/15/934</v>
          </cell>
          <cell r="E2100" t="str">
            <v>SYRINGE INFUSION PUMP</v>
          </cell>
          <cell r="F2100" t="str">
            <v>FRESENIUS KABI</v>
          </cell>
          <cell r="G2100" t="str">
            <v>MODULE DPS</v>
          </cell>
          <cell r="H2100" t="str">
            <v>082594/22233510</v>
          </cell>
          <cell r="I2100" t="str">
            <v>ANNUALLY</v>
          </cell>
          <cell r="J2100">
            <v>45859</v>
          </cell>
          <cell r="K2100"/>
          <cell r="L2100"/>
          <cell r="M2100"/>
          <cell r="N2100" t="str">
            <v>JABATAN PERUBATAN AM</v>
          </cell>
          <cell r="O2100" t="str">
            <v>WAD 10A (Wad Perubatan Lelaki 10A)</v>
          </cell>
        </row>
        <row r="2101">
          <cell r="D2101" t="str">
            <v>KKM/JKN/HSA/10-05-01/H/15/975</v>
          </cell>
          <cell r="E2101" t="str">
            <v>PULSE OXIMETER AND SIMULATOR</v>
          </cell>
          <cell r="F2101" t="str">
            <v>GE HEALTHCARE</v>
          </cell>
          <cell r="G2101" t="str">
            <v>TRUST PULSE OXIMETER</v>
          </cell>
          <cell r="H2101" t="str">
            <v>FCC14250154SA</v>
          </cell>
          <cell r="I2101" t="str">
            <v>ANNUALLY</v>
          </cell>
          <cell r="J2101">
            <v>46009</v>
          </cell>
          <cell r="K2101"/>
          <cell r="L2101"/>
          <cell r="M2101"/>
          <cell r="N2101" t="str">
            <v>JABATAN PERUBATAN AM</v>
          </cell>
          <cell r="O2101" t="str">
            <v>WAD 10A (Wad Perubatan Lelaki 10A)</v>
          </cell>
        </row>
        <row r="2102">
          <cell r="D2102" t="str">
            <v>KKM/JKN/HSA/10-05-01/R/15/16174</v>
          </cell>
          <cell r="E2102" t="str">
            <v>NEBULIZER</v>
          </cell>
          <cell r="F2102" t="str">
            <v>PHILIPS</v>
          </cell>
          <cell r="G2102" t="str">
            <v>INNOSPIRE DELUXE (UK PLUG)</v>
          </cell>
          <cell r="H2102" t="str">
            <v>022620</v>
          </cell>
          <cell r="I2102" t="str">
            <v>ANNUALLY</v>
          </cell>
          <cell r="J2102">
            <v>46048</v>
          </cell>
          <cell r="K2102"/>
          <cell r="L2102"/>
          <cell r="M2102"/>
          <cell r="N2102" t="str">
            <v>JABATAN PERUBATAN AM</v>
          </cell>
          <cell r="O2102" t="str">
            <v>WAD 10A (Wad Perubatan Lelaki 10A)</v>
          </cell>
        </row>
        <row r="2103">
          <cell r="D2103" t="str">
            <v>KKM/JKN/HSA/10-05-01/R/15/16175</v>
          </cell>
          <cell r="E2103" t="str">
            <v>NEBULIZER</v>
          </cell>
          <cell r="F2103" t="str">
            <v>PHILIPS</v>
          </cell>
          <cell r="G2103" t="str">
            <v>INNOSPIRE DELUXE (UK PLUG)</v>
          </cell>
          <cell r="H2103" t="str">
            <v>022857</v>
          </cell>
          <cell r="I2103" t="str">
            <v>ANNUALLY</v>
          </cell>
          <cell r="J2103">
            <v>46048</v>
          </cell>
          <cell r="K2103"/>
          <cell r="L2103"/>
          <cell r="M2103"/>
          <cell r="N2103" t="str">
            <v>JABATAN PERUBATAN AM</v>
          </cell>
          <cell r="O2103" t="str">
            <v>WAD 10A (Wad Perubatan Lelaki 10A)</v>
          </cell>
        </row>
        <row r="2104">
          <cell r="D2104" t="str">
            <v>KKM/JKN/HSA/10-05-01/R/15/16176</v>
          </cell>
          <cell r="E2104" t="str">
            <v>NEBULIZER</v>
          </cell>
          <cell r="F2104" t="str">
            <v>PHILIPS</v>
          </cell>
          <cell r="G2104" t="str">
            <v>INNOSPIRE DELUXE (UK PLUG)</v>
          </cell>
          <cell r="H2104" t="str">
            <v>022623</v>
          </cell>
          <cell r="I2104" t="str">
            <v>ANNUALLY</v>
          </cell>
          <cell r="J2104">
            <v>46048</v>
          </cell>
          <cell r="K2104"/>
          <cell r="L2104"/>
          <cell r="M2104"/>
          <cell r="N2104" t="str">
            <v>JABATAN PERUBATAN AM</v>
          </cell>
          <cell r="O2104" t="str">
            <v>WAD 10A (Wad Perubatan Lelaki 10A)</v>
          </cell>
        </row>
        <row r="2105">
          <cell r="D2105" t="str">
            <v>KKM/JKN/HSA/10-05-01/R/15/16177</v>
          </cell>
          <cell r="E2105" t="str">
            <v>NEBULIZER</v>
          </cell>
          <cell r="F2105" t="str">
            <v>PHILIPS</v>
          </cell>
          <cell r="G2105" t="str">
            <v>INNOSPIRE DELUXE (UK PLUG)</v>
          </cell>
          <cell r="H2105" t="str">
            <v>022628</v>
          </cell>
          <cell r="I2105" t="str">
            <v>ANNUALLY</v>
          </cell>
          <cell r="J2105">
            <v>46048</v>
          </cell>
          <cell r="K2105"/>
          <cell r="L2105"/>
          <cell r="M2105"/>
          <cell r="N2105" t="str">
            <v>JABATAN PERUBATAN AM</v>
          </cell>
          <cell r="O2105" t="str">
            <v>WAD 10A (Wad Perubatan Lelaki 10A)</v>
          </cell>
        </row>
        <row r="2106">
          <cell r="D2106" t="str">
            <v>KKM/JKN/HSA/10-05-01/R/15/16178</v>
          </cell>
          <cell r="E2106" t="str">
            <v>NEBULIZER</v>
          </cell>
          <cell r="F2106" t="str">
            <v>PHILIPS</v>
          </cell>
          <cell r="G2106" t="str">
            <v>INNOSPIRE DELUXE (UK PLUG)</v>
          </cell>
          <cell r="H2106" t="str">
            <v>022856</v>
          </cell>
          <cell r="I2106" t="str">
            <v>ANNUALLY</v>
          </cell>
          <cell r="J2106">
            <v>46048</v>
          </cell>
          <cell r="K2106"/>
          <cell r="L2106"/>
          <cell r="M2106"/>
          <cell r="N2106" t="str">
            <v>JABATAN PERUBATAN AM</v>
          </cell>
          <cell r="O2106" t="str">
            <v>WAD 10A (Wad Perubatan Lelaki 10A)</v>
          </cell>
        </row>
        <row r="2107">
          <cell r="D2107" t="str">
            <v>KKM/JKN/HSA/10-05-01/H/20/145</v>
          </cell>
          <cell r="E2107" t="str">
            <v>INFUSION PUMP</v>
          </cell>
          <cell r="F2107" t="str">
            <v>ENMIND</v>
          </cell>
          <cell r="G2107" t="str">
            <v>EN-V7 SMART</v>
          </cell>
          <cell r="H2107">
            <v>70200420807</v>
          </cell>
          <cell r="I2107" t="str">
            <v>ANNUALLY</v>
          </cell>
          <cell r="J2107">
            <v>45691</v>
          </cell>
          <cell r="K2107"/>
          <cell r="L2107"/>
          <cell r="M2107"/>
          <cell r="N2107" t="str">
            <v>JABATAN PERUBATAN AM</v>
          </cell>
          <cell r="O2107" t="str">
            <v>WAD 10A (Wad Perubatan Lelaki 10A)</v>
          </cell>
        </row>
        <row r="2108">
          <cell r="D2108" t="str">
            <v>KKM/JKN/HSA/10-05-01/H/20/214</v>
          </cell>
          <cell r="E2108" t="str">
            <v>PATIENT MONITOR</v>
          </cell>
          <cell r="F2108" t="str">
            <v xml:space="preserve">PHILIPS </v>
          </cell>
          <cell r="G2108" t="str">
            <v>INTELLIVUE MX430</v>
          </cell>
          <cell r="H2108" t="str">
            <v>DE67207511/DE69539011</v>
          </cell>
          <cell r="I2108" t="str">
            <v>ANNUALLY</v>
          </cell>
          <cell r="J2108">
            <v>45691</v>
          </cell>
          <cell r="K2108"/>
          <cell r="L2108"/>
          <cell r="M2108"/>
          <cell r="N2108" t="str">
            <v>JABATAN PERUBATAN AM</v>
          </cell>
          <cell r="O2108" t="str">
            <v>WAD 10A (Wad Perubatan Lelaki 10A)</v>
          </cell>
        </row>
        <row r="2109">
          <cell r="D2109" t="str">
            <v>KKM/JKN/HSA/10-05-01/H/20/215</v>
          </cell>
          <cell r="E2109" t="str">
            <v>PATIENT MONITOR</v>
          </cell>
          <cell r="F2109" t="str">
            <v xml:space="preserve">PHILIPS </v>
          </cell>
          <cell r="G2109" t="str">
            <v>INTELLIVUE MX430</v>
          </cell>
          <cell r="H2109" t="str">
            <v>DE67207482/DE69539008</v>
          </cell>
          <cell r="I2109" t="str">
            <v>ANNUALLY</v>
          </cell>
          <cell r="J2109">
            <v>45691</v>
          </cell>
          <cell r="K2109"/>
          <cell r="L2109"/>
          <cell r="M2109"/>
          <cell r="N2109" t="str">
            <v>JABATAN PERUBATAN AM</v>
          </cell>
          <cell r="O2109" t="str">
            <v>WAD 10A (Wad Perubatan Lelaki 10A)</v>
          </cell>
        </row>
        <row r="2110">
          <cell r="D2110" t="str">
            <v>KKM/JKN/HSA/10-05-01/R/15/7397</v>
          </cell>
          <cell r="E2110" t="str">
            <v>DIAGNOSTIC SET ADULT</v>
          </cell>
          <cell r="F2110" t="str">
            <v>RUDOLF RIESTER, GMBH</v>
          </cell>
          <cell r="G2110" t="str">
            <v>RI-SCOPE ENT 3761</v>
          </cell>
          <cell r="H2110" t="str">
            <v>N/A</v>
          </cell>
          <cell r="I2110" t="str">
            <v>ANNUALLY</v>
          </cell>
          <cell r="J2110">
            <v>45813</v>
          </cell>
          <cell r="K2110"/>
          <cell r="L2110"/>
          <cell r="M2110"/>
          <cell r="N2110" t="str">
            <v>JABATAN PERUBATAN AM</v>
          </cell>
          <cell r="O2110" t="str">
            <v>WAD 10B (Wad Perubatan Perempuan 10B)</v>
          </cell>
        </row>
        <row r="2111">
          <cell r="D2111" t="str">
            <v>KKM/JKN/HSA/10-05-01/R/15/7398</v>
          </cell>
          <cell r="E2111" t="str">
            <v>DIAGNOSTIC SET ADULT</v>
          </cell>
          <cell r="F2111" t="str">
            <v>RUDOLF RIESTER, GMBH</v>
          </cell>
          <cell r="G2111" t="str">
            <v>RI-SCOPE ENT 3761</v>
          </cell>
          <cell r="H2111" t="str">
            <v>N/A</v>
          </cell>
          <cell r="I2111" t="str">
            <v>ANNUALLY</v>
          </cell>
          <cell r="J2111">
            <v>45813</v>
          </cell>
          <cell r="K2111"/>
          <cell r="L2111"/>
          <cell r="M2111"/>
          <cell r="N2111" t="str">
            <v>JABATAN PERUBATAN AM</v>
          </cell>
          <cell r="O2111" t="str">
            <v>WAD 10B (Wad Perubatan Perempuan 10B)</v>
          </cell>
        </row>
        <row r="2112">
          <cell r="D2112" t="str">
            <v>KKM/JKN/HSA/10-05-01/R/15/7399</v>
          </cell>
          <cell r="E2112" t="str">
            <v>DIAGNOSTIC SET ADULT</v>
          </cell>
          <cell r="F2112" t="str">
            <v>RUDOLF RIESTER, GMBH</v>
          </cell>
          <cell r="G2112" t="str">
            <v>RI-SCOPE ENT 3761</v>
          </cell>
          <cell r="H2112" t="str">
            <v>N/A</v>
          </cell>
          <cell r="I2112" t="str">
            <v>ANNUALLY</v>
          </cell>
          <cell r="J2112">
            <v>45814</v>
          </cell>
          <cell r="K2112"/>
          <cell r="L2112"/>
          <cell r="M2112"/>
          <cell r="N2112" t="str">
            <v>JABATAN PERUBATAN AM</v>
          </cell>
          <cell r="O2112" t="str">
            <v>WAD 10B (Wad Perubatan Perempuan 10B)</v>
          </cell>
        </row>
        <row r="2113">
          <cell r="D2113" t="str">
            <v>KKM/JKN/HSA/10-05-01/H/15/1028</v>
          </cell>
          <cell r="E2113" t="str">
            <v>PATIENT MONITORING EQUIP.(AUTOMATIC MULTIPARAMETER)</v>
          </cell>
          <cell r="F2113" t="str">
            <v>WELCH ALLYN</v>
          </cell>
          <cell r="G2113" t="str">
            <v>WELCH ALLYN VSM 300</v>
          </cell>
          <cell r="H2113" t="str">
            <v>JA123475</v>
          </cell>
          <cell r="I2113" t="str">
            <v>ANNUALLY</v>
          </cell>
          <cell r="J2113">
            <v>45842</v>
          </cell>
          <cell r="K2113"/>
          <cell r="L2113"/>
          <cell r="M2113"/>
          <cell r="N2113" t="str">
            <v>JABATAN PERUBATAN AM</v>
          </cell>
          <cell r="O2113" t="str">
            <v>WAD 10B (Wad Perubatan Perempuan 10B)</v>
          </cell>
        </row>
        <row r="2114">
          <cell r="D2114" t="str">
            <v>KKM/JKN/HSA/10-05-01/H/15/1232</v>
          </cell>
          <cell r="E2114" t="str">
            <v>INFUSION PUMP</v>
          </cell>
          <cell r="F2114" t="str">
            <v>FRESENIUS KABI</v>
          </cell>
          <cell r="G2114" t="str">
            <v>LINK 8+ AGILIA/MOBILE STAND</v>
          </cell>
          <cell r="H2114" t="str">
            <v>22235296</v>
          </cell>
          <cell r="I2114" t="str">
            <v>ANNUALLY</v>
          </cell>
          <cell r="J2114">
            <v>45719</v>
          </cell>
          <cell r="K2114"/>
          <cell r="L2114"/>
          <cell r="M2114"/>
          <cell r="N2114" t="str">
            <v>JABATAN PERUBATAN AM</v>
          </cell>
          <cell r="O2114" t="str">
            <v>WAD 10B (Wad Perubatan Perempuan 10B)</v>
          </cell>
        </row>
        <row r="2115">
          <cell r="D2115" t="str">
            <v>KKM/JKN/HSA/10-05-01/H/15/1234</v>
          </cell>
          <cell r="E2115" t="str">
            <v>INFUSION PUMP</v>
          </cell>
          <cell r="F2115" t="str">
            <v>FRESENIUS KABI</v>
          </cell>
          <cell r="G2115" t="str">
            <v>LINK 8+ AGILIA/MOBILE STAND</v>
          </cell>
          <cell r="H2115" t="str">
            <v>22235937</v>
          </cell>
          <cell r="I2115" t="str">
            <v>ANNUALLY</v>
          </cell>
          <cell r="J2115">
            <v>45719</v>
          </cell>
          <cell r="K2115"/>
          <cell r="L2115"/>
          <cell r="M2115"/>
          <cell r="N2115" t="str">
            <v>JABATAN PERUBATAN AM</v>
          </cell>
          <cell r="O2115" t="str">
            <v>WAD 10B (Wad Perubatan Perempuan 10B)</v>
          </cell>
        </row>
        <row r="2116">
          <cell r="D2116" t="str">
            <v>KKM/JKN/HSA/10-05-01/H/15/1235</v>
          </cell>
          <cell r="E2116" t="str">
            <v>INFUSION PUMP</v>
          </cell>
          <cell r="F2116" t="str">
            <v>FRESENIUS KABI</v>
          </cell>
          <cell r="G2116" t="str">
            <v>LINK 8+ AGILIA/MOBILE STAND</v>
          </cell>
          <cell r="H2116" t="str">
            <v>22235929</v>
          </cell>
          <cell r="I2116" t="str">
            <v>ANNUALLY</v>
          </cell>
          <cell r="J2116">
            <v>45719</v>
          </cell>
          <cell r="K2116"/>
          <cell r="L2116"/>
          <cell r="M2116"/>
          <cell r="N2116" t="str">
            <v>JABATAN PERUBATAN AM</v>
          </cell>
          <cell r="O2116" t="str">
            <v>WAD 10B (Wad Perubatan Perempuan 10B)</v>
          </cell>
        </row>
        <row r="2117">
          <cell r="D2117" t="str">
            <v>KKM/JKN/HSA/10-05-01/H/15/1236</v>
          </cell>
          <cell r="E2117" t="str">
            <v>INFUSION PUMP</v>
          </cell>
          <cell r="F2117" t="str">
            <v>FRESENIUS KABI</v>
          </cell>
          <cell r="G2117" t="str">
            <v>LINK 8+ AGILIA/MOBILE STAND</v>
          </cell>
          <cell r="H2117" t="str">
            <v>22235301</v>
          </cell>
          <cell r="I2117" t="str">
            <v>ANNUALLY</v>
          </cell>
          <cell r="J2117">
            <v>45719</v>
          </cell>
          <cell r="K2117"/>
          <cell r="L2117"/>
          <cell r="M2117"/>
          <cell r="N2117" t="str">
            <v>JABATAN PERUBATAN AM</v>
          </cell>
          <cell r="O2117" t="str">
            <v>WAD 10B (Wad Perubatan Perempuan 10B)</v>
          </cell>
        </row>
        <row r="2118">
          <cell r="D2118" t="str">
            <v>KKM/JKN/HSA/10-05-01/H/15/1237</v>
          </cell>
          <cell r="E2118" t="str">
            <v>INFUSION PUMP</v>
          </cell>
          <cell r="F2118" t="str">
            <v>FRESENIUS KABI</v>
          </cell>
          <cell r="G2118" t="str">
            <v>VOLUMAT AGILIA MC</v>
          </cell>
          <cell r="H2118" t="str">
            <v>22235302</v>
          </cell>
          <cell r="I2118" t="str">
            <v>ANNUALLY</v>
          </cell>
          <cell r="J2118">
            <v>45719</v>
          </cell>
          <cell r="K2118"/>
          <cell r="L2118"/>
          <cell r="M2118"/>
          <cell r="N2118" t="str">
            <v>JABATAN PERUBATAN AM</v>
          </cell>
          <cell r="O2118" t="str">
            <v>WAD 10B (Wad Perubatan Perempuan 10B)</v>
          </cell>
        </row>
        <row r="2119">
          <cell r="D2119" t="str">
            <v>KKM/JKN/HSA/10-05-01/H/15/1238</v>
          </cell>
          <cell r="E2119" t="str">
            <v>INFUSION PUMP</v>
          </cell>
          <cell r="F2119" t="str">
            <v>FRESENIUS KABI</v>
          </cell>
          <cell r="G2119" t="str">
            <v>LINK 8+ AGILIA/MOBILE STAND</v>
          </cell>
          <cell r="H2119" t="str">
            <v>22235297</v>
          </cell>
          <cell r="I2119" t="str">
            <v>ANNUALLY</v>
          </cell>
          <cell r="J2119">
            <v>45799</v>
          </cell>
          <cell r="K2119"/>
          <cell r="L2119"/>
          <cell r="M2119"/>
          <cell r="N2119" t="str">
            <v>JABATAN PERUBATAN AM</v>
          </cell>
          <cell r="O2119" t="str">
            <v>WAD 10B (Wad Perubatan Perempuan 10B)</v>
          </cell>
        </row>
        <row r="2120">
          <cell r="D2120" t="str">
            <v>KKM/JKN/HSA/10-05-01/H/15/1601</v>
          </cell>
          <cell r="E2120" t="str">
            <v>PATIENT MONITORING EQUIP.(AUTOMATIC MULTIPARAMETER)</v>
          </cell>
          <cell r="F2120" t="str">
            <v>WELCH ALLYN</v>
          </cell>
          <cell r="G2120" t="str">
            <v>WELCH ALLYN VSM 300</v>
          </cell>
          <cell r="H2120" t="str">
            <v>JA 123452</v>
          </cell>
          <cell r="I2120" t="str">
            <v>ANNUALLY</v>
          </cell>
          <cell r="J2120">
            <v>45849</v>
          </cell>
          <cell r="K2120"/>
          <cell r="L2120"/>
          <cell r="M2120"/>
          <cell r="N2120" t="str">
            <v>JABATAN PERUBATAN AM</v>
          </cell>
          <cell r="O2120" t="str">
            <v>WAD 10B (Wad Perubatan Perempuan 10B)</v>
          </cell>
        </row>
        <row r="2121">
          <cell r="D2121" t="str">
            <v>KKM/JKN/HSA/10-05-01/H/15/2134</v>
          </cell>
          <cell r="E2121" t="str">
            <v>PATIENT MONITORING EQUIP.(AUTOMATIC MULTIPARAMETER)</v>
          </cell>
          <cell r="F2121" t="str">
            <v>MINDRAY</v>
          </cell>
          <cell r="G2121" t="str">
            <v>IMEC 12</v>
          </cell>
          <cell r="H2121" t="str">
            <v>EV-45011637</v>
          </cell>
          <cell r="I2121" t="str">
            <v>ANNUALLY</v>
          </cell>
          <cell r="J2121">
            <v>46024</v>
          </cell>
          <cell r="K2121"/>
          <cell r="L2121"/>
          <cell r="M2121"/>
          <cell r="N2121" t="str">
            <v>JABATAN PERUBATAN AM</v>
          </cell>
          <cell r="O2121" t="str">
            <v>WAD 10B (Wad Perubatan Perempuan 10B)</v>
          </cell>
        </row>
        <row r="2122">
          <cell r="D2122" t="str">
            <v>KKM/JKN/HSA/10-05-01/H/15/2135</v>
          </cell>
          <cell r="E2122" t="str">
            <v>PATIENT MONITORING EQUIP.(AUTOMATIC MULTIPARAMETER)</v>
          </cell>
          <cell r="F2122" t="str">
            <v>MINDRAY</v>
          </cell>
          <cell r="G2122" t="str">
            <v>IMEC 12</v>
          </cell>
          <cell r="H2122" t="str">
            <v>EV-45011638</v>
          </cell>
          <cell r="I2122" t="str">
            <v>ANNUALLY</v>
          </cell>
          <cell r="J2122">
            <v>46028</v>
          </cell>
          <cell r="K2122"/>
          <cell r="L2122"/>
          <cell r="M2122"/>
          <cell r="N2122" t="str">
            <v>JABATAN PERUBATAN AM</v>
          </cell>
          <cell r="O2122" t="str">
            <v>WAD 10B (Wad Perubatan Perempuan 10B)</v>
          </cell>
        </row>
        <row r="2123">
          <cell r="D2123" t="str">
            <v>KKM/JKN/HSA/10-05-01/H/15/2170</v>
          </cell>
          <cell r="E2123" t="str">
            <v>SUCTION APPARATUS</v>
          </cell>
          <cell r="F2123" t="str">
            <v>CAMI</v>
          </cell>
          <cell r="G2123" t="str">
            <v>ASKIR 30</v>
          </cell>
          <cell r="H2123" t="str">
            <v>5910</v>
          </cell>
          <cell r="I2123" t="str">
            <v>ANNUALLY</v>
          </cell>
          <cell r="J2123">
            <v>45721</v>
          </cell>
          <cell r="K2123"/>
          <cell r="L2123"/>
          <cell r="M2123"/>
          <cell r="N2123" t="str">
            <v>JABATAN PERUBATAN AM</v>
          </cell>
          <cell r="O2123" t="str">
            <v>WAD 10B (Wad Perubatan Perempuan 10B)</v>
          </cell>
        </row>
        <row r="2124">
          <cell r="D2124" t="str">
            <v>KKM/JKN/HSA/10-05-01/H/15/2171</v>
          </cell>
          <cell r="E2124" t="str">
            <v>SUCTION APPARATUS</v>
          </cell>
          <cell r="F2124" t="str">
            <v>CAMI</v>
          </cell>
          <cell r="G2124" t="str">
            <v>ASKIR 30</v>
          </cell>
          <cell r="H2124" t="str">
            <v>5909</v>
          </cell>
          <cell r="I2124" t="str">
            <v>ANNUALLY</v>
          </cell>
          <cell r="J2124">
            <v>45749</v>
          </cell>
          <cell r="K2124"/>
          <cell r="L2124"/>
          <cell r="M2124"/>
          <cell r="N2124" t="str">
            <v>JABATAN PERUBATAN AM</v>
          </cell>
          <cell r="O2124" t="str">
            <v>WAD 10B (Wad Perubatan Perempuan 10B)</v>
          </cell>
        </row>
        <row r="2125">
          <cell r="D2125" t="str">
            <v>KKM/JKN/HSA/10-05-01/H/15/2172</v>
          </cell>
          <cell r="E2125" t="str">
            <v>SUCTION APPARATUS</v>
          </cell>
          <cell r="F2125" t="str">
            <v>CAMI</v>
          </cell>
          <cell r="G2125" t="str">
            <v>ASKIR 30</v>
          </cell>
          <cell r="H2125" t="str">
            <v>5911</v>
          </cell>
          <cell r="I2125" t="str">
            <v>ANNUALLY</v>
          </cell>
          <cell r="J2125">
            <v>45749</v>
          </cell>
          <cell r="K2125"/>
          <cell r="L2125"/>
          <cell r="M2125"/>
          <cell r="N2125" t="str">
            <v>JABATAN PERUBATAN AM</v>
          </cell>
          <cell r="O2125" t="str">
            <v>WAD 10B (Wad Perubatan Perempuan 10B)</v>
          </cell>
        </row>
        <row r="2126">
          <cell r="D2126" t="str">
            <v>KKM/JKN/HSA/10-05-01/H/15/2243</v>
          </cell>
          <cell r="E2126" t="str">
            <v>SYRINGE INFUSION PUMP</v>
          </cell>
          <cell r="F2126" t="str">
            <v>FRESENIUS KABI</v>
          </cell>
          <cell r="G2126" t="str">
            <v>INJECTOMAT AGILIA</v>
          </cell>
          <cell r="H2126" t="str">
            <v>22233924</v>
          </cell>
          <cell r="I2126" t="str">
            <v>ANNUALLY</v>
          </cell>
          <cell r="J2126">
            <v>45720</v>
          </cell>
          <cell r="K2126"/>
          <cell r="L2126"/>
          <cell r="M2126"/>
          <cell r="N2126" t="str">
            <v>JABATAN PERUBATAN AM</v>
          </cell>
          <cell r="O2126" t="str">
            <v>WAD 10B (Wad Perubatan Perempuan 10B)</v>
          </cell>
        </row>
        <row r="2127">
          <cell r="D2127" t="str">
            <v>KKM/JKN/HSA/10-05-01/H/15/2244</v>
          </cell>
          <cell r="E2127" t="str">
            <v>SYRINGE INFUSION PUMP</v>
          </cell>
          <cell r="F2127" t="str">
            <v>FRESENIUS KABI</v>
          </cell>
          <cell r="G2127" t="str">
            <v>INJECTOMAT AGILIA</v>
          </cell>
          <cell r="H2127" t="str">
            <v>22233923</v>
          </cell>
          <cell r="I2127" t="str">
            <v>ANNUALLY</v>
          </cell>
          <cell r="J2127">
            <v>45720</v>
          </cell>
          <cell r="K2127"/>
          <cell r="L2127"/>
          <cell r="M2127"/>
          <cell r="N2127" t="str">
            <v>JABATAN PERUBATAN AM</v>
          </cell>
          <cell r="O2127" t="str">
            <v>WAD 10B (Wad Perubatan Perempuan 10B)</v>
          </cell>
        </row>
        <row r="2128">
          <cell r="D2128" t="str">
            <v>KKM/JKN/HSA/10-05-01/H/15/2245</v>
          </cell>
          <cell r="E2128" t="str">
            <v>SYRINGE INFUSION PUMP</v>
          </cell>
          <cell r="F2128" t="str">
            <v>FRESENIUS KABI</v>
          </cell>
          <cell r="G2128" t="str">
            <v>INJECTOMAT AGILIA</v>
          </cell>
          <cell r="H2128" t="str">
            <v>22233925</v>
          </cell>
          <cell r="I2128" t="str">
            <v>ANNUALLY</v>
          </cell>
          <cell r="J2128">
            <v>45720</v>
          </cell>
          <cell r="K2128"/>
          <cell r="L2128"/>
          <cell r="M2128"/>
          <cell r="N2128" t="str">
            <v>JABATAN PERUBATAN AM</v>
          </cell>
          <cell r="O2128" t="str">
            <v>WAD 10B (Wad Perubatan Perempuan 10B)</v>
          </cell>
        </row>
        <row r="2129">
          <cell r="D2129" t="str">
            <v>KKM/JKN/HSA/10-05-01/H/15/2246</v>
          </cell>
          <cell r="E2129" t="str">
            <v>SYRINGE INFUSION PUMP</v>
          </cell>
          <cell r="F2129" t="str">
            <v>FRESENIUS KABI</v>
          </cell>
          <cell r="G2129" t="str">
            <v>INJECTOMAT AGILIA</v>
          </cell>
          <cell r="H2129" t="str">
            <v>22233927</v>
          </cell>
          <cell r="I2129" t="str">
            <v>ANNUALLY</v>
          </cell>
          <cell r="J2129">
            <v>45720</v>
          </cell>
          <cell r="K2129"/>
          <cell r="L2129"/>
          <cell r="M2129"/>
          <cell r="N2129" t="str">
            <v>JABATAN PERUBATAN AM</v>
          </cell>
          <cell r="O2129" t="str">
            <v>WAD 10B (Wad Perubatan Perempuan 10B)</v>
          </cell>
        </row>
        <row r="2130">
          <cell r="D2130" t="str">
            <v>KKM/JKN/HSA/10-05-01/H/15/2247</v>
          </cell>
          <cell r="E2130" t="str">
            <v>SYRINGE INFUSION PUMP</v>
          </cell>
          <cell r="F2130" t="str">
            <v>FRESENIUS KABI</v>
          </cell>
          <cell r="G2130" t="str">
            <v>INJECTOMAT AGILIA</v>
          </cell>
          <cell r="H2130" t="str">
            <v>018030/22233928</v>
          </cell>
          <cell r="I2130" t="str">
            <v>ANNUALLY</v>
          </cell>
          <cell r="J2130">
            <v>45722</v>
          </cell>
          <cell r="K2130"/>
          <cell r="L2130"/>
          <cell r="M2130"/>
          <cell r="N2130" t="str">
            <v>JABATAN PERUBATAN AM</v>
          </cell>
          <cell r="O2130" t="str">
            <v>WAD 10B (Wad Perubatan Perempuan 10B)</v>
          </cell>
        </row>
        <row r="2131">
          <cell r="D2131" t="str">
            <v>KKM/JKN/HSA/10-05-01/H/15/2793</v>
          </cell>
          <cell r="E2131" t="str">
            <v>RIPPLE MATTRESS</v>
          </cell>
          <cell r="F2131" t="str">
            <v>BANTEX</v>
          </cell>
          <cell r="G2131" t="str">
            <v>APM-5000-G</v>
          </cell>
          <cell r="H2131" t="str">
            <v>EZ141105003</v>
          </cell>
          <cell r="I2131" t="str">
            <v>ANNUALLY</v>
          </cell>
          <cell r="J2131">
            <v>45873</v>
          </cell>
          <cell r="K2131"/>
          <cell r="L2131"/>
          <cell r="M2131"/>
          <cell r="N2131" t="str">
            <v>JABATAN PERUBATAN AM</v>
          </cell>
          <cell r="O2131" t="str">
            <v>WAD 10B (Wad Perubatan Perempuan 10B)</v>
          </cell>
        </row>
        <row r="2132">
          <cell r="D2132" t="str">
            <v>KKM/JKN/HSA/10-05-01/H/15/2794</v>
          </cell>
          <cell r="E2132" t="str">
            <v>RIPPLE MATTRESS</v>
          </cell>
          <cell r="F2132" t="str">
            <v>BANTEX</v>
          </cell>
          <cell r="G2132" t="str">
            <v>APM-5000-G</v>
          </cell>
          <cell r="H2132" t="str">
            <v>EZ141105006</v>
          </cell>
          <cell r="I2132" t="str">
            <v>ANNUALLY</v>
          </cell>
          <cell r="J2132">
            <v>45873</v>
          </cell>
          <cell r="K2132"/>
          <cell r="L2132"/>
          <cell r="M2132"/>
          <cell r="N2132" t="str">
            <v>JABATAN PERUBATAN AM</v>
          </cell>
          <cell r="O2132" t="str">
            <v>WAD 10B (Wad Perubatan Perempuan 10B)</v>
          </cell>
        </row>
        <row r="2133">
          <cell r="D2133" t="str">
            <v>KKM/JKN/HSA/10-05-01/H/15/3666</v>
          </cell>
          <cell r="E2133" t="str">
            <v>DEFIBRILLATOR</v>
          </cell>
          <cell r="F2133" t="str">
            <v>PHILIPS</v>
          </cell>
          <cell r="G2133" t="str">
            <v>EFFICIA DFM100</v>
          </cell>
          <cell r="H2133" t="str">
            <v>CN32601437</v>
          </cell>
          <cell r="I2133" t="str">
            <v>SEMI ANNUALLY</v>
          </cell>
          <cell r="J2133">
            <v>45817</v>
          </cell>
          <cell r="K2133">
            <v>45999</v>
          </cell>
          <cell r="L2133"/>
          <cell r="M2133"/>
          <cell r="N2133" t="str">
            <v>JABATAN PERUBATAN AM</v>
          </cell>
          <cell r="O2133" t="str">
            <v>WAD 10B (Wad Perubatan Perempuan 10B)</v>
          </cell>
        </row>
        <row r="2134">
          <cell r="D2134" t="str">
            <v>KKM/JKN/HSA/10-05-01/H/15/573</v>
          </cell>
          <cell r="E2134" t="str">
            <v>ECG (EKG) MACHINE</v>
          </cell>
          <cell r="F2134" t="str">
            <v>GE HEALTHCARE</v>
          </cell>
          <cell r="G2134" t="str">
            <v>MAC 1200</v>
          </cell>
          <cell r="H2134" t="str">
            <v>550061832</v>
          </cell>
          <cell r="I2134" t="str">
            <v>ANNUALLY</v>
          </cell>
          <cell r="J2134">
            <v>45847</v>
          </cell>
          <cell r="K2134"/>
          <cell r="L2134"/>
          <cell r="M2134"/>
          <cell r="N2134" t="str">
            <v>JABATAN PERUBATAN AM</v>
          </cell>
          <cell r="O2134" t="str">
            <v>WAD 10B (Wad Perubatan Perempuan 10B)</v>
          </cell>
        </row>
        <row r="2135">
          <cell r="D2135" t="str">
            <v>KKM/JKN/HSA/10-05-01/H/15/929</v>
          </cell>
          <cell r="E2135" t="str">
            <v>SYRINGE INFUSION PUMP</v>
          </cell>
          <cell r="F2135" t="str">
            <v>FRESENIUS KABI</v>
          </cell>
          <cell r="G2135" t="str">
            <v>ORCHESTRA MODULE DPS</v>
          </cell>
          <cell r="H2135" t="str">
            <v>082594/22233518</v>
          </cell>
          <cell r="I2135" t="str">
            <v>ANNUALLY</v>
          </cell>
          <cell r="J2135">
            <v>45854</v>
          </cell>
          <cell r="K2135"/>
          <cell r="L2135"/>
          <cell r="M2135"/>
          <cell r="N2135" t="str">
            <v>JABATAN PERUBATAN AM</v>
          </cell>
          <cell r="O2135" t="str">
            <v>WAD 10B (Wad Perubatan Perempuan 10B)</v>
          </cell>
        </row>
        <row r="2136">
          <cell r="D2136" t="str">
            <v>KKM/JKN/HSA/10-05-01/H/15/931</v>
          </cell>
          <cell r="E2136" t="str">
            <v>SYRINGE INFUSION PUMP</v>
          </cell>
          <cell r="F2136" t="str">
            <v>FRESENIUS KABI</v>
          </cell>
          <cell r="G2136" t="str">
            <v>ORCHESTRA MODULE DPS</v>
          </cell>
          <cell r="H2136" t="str">
            <v>21513232</v>
          </cell>
          <cell r="I2136" t="str">
            <v>ANNUALLY</v>
          </cell>
          <cell r="J2136">
            <v>45860</v>
          </cell>
          <cell r="K2136"/>
          <cell r="L2136"/>
          <cell r="M2136"/>
          <cell r="N2136" t="str">
            <v>JABATAN PERUBATAN AM</v>
          </cell>
          <cell r="O2136" t="str">
            <v>WAD 10B (Wad Perubatan Perempuan 10B)</v>
          </cell>
        </row>
        <row r="2137">
          <cell r="D2137" t="str">
            <v>KKM/JKN/HSA/10-05-01/H/15/940</v>
          </cell>
          <cell r="E2137" t="str">
            <v>SYRINGE INFUSION PUMP</v>
          </cell>
          <cell r="F2137" t="str">
            <v>FRESENIUS KABI</v>
          </cell>
          <cell r="G2137" t="str">
            <v>ORCHESTRA MODULE DPS</v>
          </cell>
          <cell r="H2137" t="str">
            <v>22203148</v>
          </cell>
          <cell r="I2137" t="str">
            <v>ANNUALLY</v>
          </cell>
          <cell r="J2137">
            <v>45860</v>
          </cell>
          <cell r="K2137"/>
          <cell r="L2137"/>
          <cell r="M2137"/>
          <cell r="N2137" t="str">
            <v>JABATAN PERUBATAN AM</v>
          </cell>
          <cell r="O2137" t="str">
            <v>WAD 10B (Wad Perubatan Perempuan 10B)</v>
          </cell>
        </row>
        <row r="2138">
          <cell r="D2138" t="str">
            <v>KKM/JKN/HSA/10-05-01/H/15/977</v>
          </cell>
          <cell r="E2138" t="str">
            <v>PULSE OXIMETER AND SIMULATOR</v>
          </cell>
          <cell r="F2138" t="str">
            <v>GE HEALTHCARE</v>
          </cell>
          <cell r="G2138" t="str">
            <v>TRUST PULSE OXIMETER</v>
          </cell>
          <cell r="H2138" t="str">
            <v>SNFCC14250149SA</v>
          </cell>
          <cell r="I2138" t="str">
            <v>ANNUALLY</v>
          </cell>
          <cell r="J2138">
            <v>45706</v>
          </cell>
          <cell r="K2138"/>
          <cell r="L2138"/>
          <cell r="M2138"/>
          <cell r="N2138" t="str">
            <v>JABATAN PERUBATAN AM</v>
          </cell>
          <cell r="O2138" t="str">
            <v>WAD 10B (Wad Perubatan Perempuan 10B)</v>
          </cell>
        </row>
        <row r="2139">
          <cell r="D2139" t="str">
            <v>KKM/JKN/HSA/10-05-01/R/15/16179</v>
          </cell>
          <cell r="E2139" t="str">
            <v>NEBULIZER</v>
          </cell>
          <cell r="F2139" t="str">
            <v>PHILIPS</v>
          </cell>
          <cell r="G2139" t="str">
            <v>INNOSPIRE DELUXE (UK PLUG)</v>
          </cell>
          <cell r="H2139" t="str">
            <v>022851</v>
          </cell>
          <cell r="I2139" t="str">
            <v>ANNUALLY</v>
          </cell>
          <cell r="J2139">
            <v>45739</v>
          </cell>
          <cell r="K2139"/>
          <cell r="L2139"/>
          <cell r="M2139"/>
          <cell r="N2139" t="str">
            <v>JABATAN PERUBATAN AM</v>
          </cell>
          <cell r="O2139" t="str">
            <v>WAD 10B (Wad Perubatan Perempuan 10B)</v>
          </cell>
        </row>
        <row r="2140">
          <cell r="D2140" t="str">
            <v>KKM/JKN/HSA/10-05-01/R/15/16180</v>
          </cell>
          <cell r="E2140" t="str">
            <v>NEBULIZER</v>
          </cell>
          <cell r="F2140" t="str">
            <v>PHILIPS</v>
          </cell>
          <cell r="G2140" t="str">
            <v>INNOSPIRE DELUXE (UK PLUG)</v>
          </cell>
          <cell r="H2140" t="str">
            <v>022829</v>
          </cell>
          <cell r="I2140" t="str">
            <v>ANNUALLY</v>
          </cell>
          <cell r="J2140">
            <v>45739</v>
          </cell>
          <cell r="K2140"/>
          <cell r="L2140"/>
          <cell r="M2140"/>
          <cell r="N2140" t="str">
            <v>JABATAN PERUBATAN AM</v>
          </cell>
          <cell r="O2140" t="str">
            <v>WAD 10B (Wad Perubatan Perempuan 10B)</v>
          </cell>
        </row>
        <row r="2141">
          <cell r="D2141" t="str">
            <v>KKM/JKN/HSA/10-05-01/R/15/16181</v>
          </cell>
          <cell r="E2141" t="str">
            <v>NEBULIZER</v>
          </cell>
          <cell r="F2141" t="str">
            <v>PHILIPS</v>
          </cell>
          <cell r="G2141" t="str">
            <v>INNOSPIRE DELUXE (UK PLUG)</v>
          </cell>
          <cell r="H2141" t="str">
            <v>022862</v>
          </cell>
          <cell r="I2141" t="str">
            <v>ANNUALLY</v>
          </cell>
          <cell r="J2141">
            <v>45760</v>
          </cell>
          <cell r="K2141"/>
          <cell r="L2141"/>
          <cell r="M2141"/>
          <cell r="N2141" t="str">
            <v>JABATAN PERUBATAN AM</v>
          </cell>
          <cell r="O2141" t="str">
            <v>WAD 10B (Wad Perubatan Perempuan 10B)</v>
          </cell>
        </row>
        <row r="2142">
          <cell r="D2142" t="str">
            <v>KKM/JKN/HSA/10-05-01/R/15/16182</v>
          </cell>
          <cell r="E2142" t="str">
            <v>NEBULIZER</v>
          </cell>
          <cell r="F2142" t="str">
            <v>PHILIPS</v>
          </cell>
          <cell r="G2142" t="str">
            <v>INNOSPIRE DELUXE (UK PLUG)</v>
          </cell>
          <cell r="H2142" t="str">
            <v>022849</v>
          </cell>
          <cell r="I2142" t="str">
            <v>ANNUALLY</v>
          </cell>
          <cell r="J2142">
            <v>45760</v>
          </cell>
          <cell r="K2142"/>
          <cell r="L2142"/>
          <cell r="M2142"/>
          <cell r="N2142" t="str">
            <v>JABATAN PERUBATAN AM</v>
          </cell>
          <cell r="O2142" t="str">
            <v>WAD 10B (Wad Perubatan Perempuan 10B)</v>
          </cell>
        </row>
        <row r="2143">
          <cell r="D2143" t="str">
            <v>KKM/JKN/HSA/10-05-01/R/15/16183</v>
          </cell>
          <cell r="E2143" t="str">
            <v>NEBULIZER</v>
          </cell>
          <cell r="F2143" t="str">
            <v>PHILIPS</v>
          </cell>
          <cell r="G2143" t="str">
            <v>INNOSPIRE DELUXE (UK PLUG)</v>
          </cell>
          <cell r="H2143" t="str">
            <v>022848</v>
          </cell>
          <cell r="I2143" t="str">
            <v>ANNUALLY</v>
          </cell>
          <cell r="J2143">
            <v>45760</v>
          </cell>
          <cell r="K2143"/>
          <cell r="L2143"/>
          <cell r="M2143"/>
          <cell r="N2143" t="str">
            <v>JABATAN PERUBATAN AM</v>
          </cell>
          <cell r="O2143" t="str">
            <v>WAD 10B (Wad Perubatan Perempuan 10B)</v>
          </cell>
        </row>
        <row r="2144">
          <cell r="D2144" t="str">
            <v>KKM/JKN/HSA/10-05-01/R/15/7150</v>
          </cell>
          <cell r="E2144" t="str">
            <v>PATIENT MONITORING EQUIP.(AUTOMATIC MULTIPARAMETER)</v>
          </cell>
          <cell r="F2144" t="str">
            <v>WELCH ALLYN</v>
          </cell>
          <cell r="G2144" t="str">
            <v>WELCH ALLYN VSM 300</v>
          </cell>
          <cell r="H2144" t="str">
            <v>JA123424</v>
          </cell>
          <cell r="I2144" t="str">
            <v>ANNUALLY</v>
          </cell>
          <cell r="J2144">
            <v>46052</v>
          </cell>
          <cell r="K2144"/>
          <cell r="L2144"/>
          <cell r="M2144"/>
          <cell r="N2144" t="str">
            <v>JABATAN PERUBATAN AM</v>
          </cell>
          <cell r="O2144" t="str">
            <v>WAD 10B (Wad Perubatan Perempuan 10B)</v>
          </cell>
        </row>
        <row r="2145">
          <cell r="D2145" t="str">
            <v>KKM/JKN/HSA/10-05-01/R/20/118</v>
          </cell>
          <cell r="E2145" t="str">
            <v>RIPPLE MATTRESS</v>
          </cell>
          <cell r="F2145" t="str">
            <v xml:space="preserve">LKL HEALTHCARE </v>
          </cell>
          <cell r="G2145" t="str">
            <v>BX422</v>
          </cell>
          <cell r="H2145" t="str">
            <v>N/A</v>
          </cell>
          <cell r="I2145" t="str">
            <v>ANNUALLY</v>
          </cell>
          <cell r="J2145">
            <v>45748</v>
          </cell>
          <cell r="K2145"/>
          <cell r="L2145"/>
          <cell r="M2145"/>
          <cell r="N2145" t="str">
            <v>JABATAN PERUBATAN AM</v>
          </cell>
          <cell r="O2145" t="str">
            <v>WAD 10B (Wad Perubatan Perempuan 10B)</v>
          </cell>
        </row>
        <row r="2146">
          <cell r="D2146" t="str">
            <v>KKM/JKN/HSA/10-01-05/R/15/1438-01</v>
          </cell>
          <cell r="E2146" t="str">
            <v>MONITOR 20"</v>
          </cell>
          <cell r="F2146" t="str">
            <v>SONY</v>
          </cell>
          <cell r="G2146" t="str">
            <v>LMD-2110MD</v>
          </cell>
          <cell r="H2146">
            <v>3203931</v>
          </cell>
          <cell r="I2146" t="str">
            <v>ANNUALLY</v>
          </cell>
          <cell r="J2146">
            <v>45970</v>
          </cell>
          <cell r="K2146"/>
          <cell r="L2146"/>
          <cell r="M2146"/>
          <cell r="N2146" t="str">
            <v>JABATAN PERUBATAN AM</v>
          </cell>
          <cell r="O2146" t="str">
            <v>Unit Rawatan Perubatan Harian (MDC)</v>
          </cell>
        </row>
        <row r="2147">
          <cell r="D2147" t="str">
            <v>KKM/JKN/HSA/10-05-01/H/15/1437-01</v>
          </cell>
          <cell r="E2147" t="str">
            <v>MONITOR 20"</v>
          </cell>
          <cell r="F2147" t="str">
            <v>SONY</v>
          </cell>
          <cell r="G2147" t="str">
            <v>LMD-2110MD</v>
          </cell>
          <cell r="H2147" t="str">
            <v>3203943S</v>
          </cell>
          <cell r="I2147" t="str">
            <v>ANNUALLY</v>
          </cell>
          <cell r="J2147">
            <v>45970</v>
          </cell>
          <cell r="K2147"/>
          <cell r="L2147"/>
          <cell r="M2147"/>
          <cell r="N2147" t="str">
            <v>JABATAN PERUBATAN AM</v>
          </cell>
          <cell r="O2147" t="str">
            <v>Unit Rawatan Perubatan Harian (MDC)</v>
          </cell>
        </row>
        <row r="2148">
          <cell r="D2148" t="str">
            <v>KKM/JKN/HSA/10-05-01/H/15/454</v>
          </cell>
          <cell r="E2148" t="str">
            <v>DISINFECTOR MANUAL</v>
          </cell>
          <cell r="F2148" t="str">
            <v>OLYMPUS</v>
          </cell>
          <cell r="G2148" t="str">
            <v>TD-20</v>
          </cell>
          <cell r="H2148">
            <v>21412182</v>
          </cell>
          <cell r="I2148" t="str">
            <v>ANNUALLY</v>
          </cell>
          <cell r="J2148">
            <v>45825</v>
          </cell>
          <cell r="K2148"/>
          <cell r="L2148"/>
          <cell r="M2148"/>
          <cell r="N2148" t="str">
            <v>JABATAN PERUBATAN AM</v>
          </cell>
          <cell r="O2148" t="str">
            <v>Unit Rawatan Perubatan Harian (MDC)</v>
          </cell>
        </row>
        <row r="2149">
          <cell r="D2149" t="str">
            <v xml:space="preserve">KKM/JKN/HSA/10-05-01/H/15/459 </v>
          </cell>
          <cell r="E2149" t="str">
            <v>WASHER/DISINFECTOR ENDOSCOPE</v>
          </cell>
          <cell r="F2149" t="str">
            <v>OLYMPUS</v>
          </cell>
          <cell r="G2149" t="str">
            <v>OER-AW</v>
          </cell>
          <cell r="H2149">
            <v>2421444</v>
          </cell>
          <cell r="I2149" t="str">
            <v>ANNUALLY</v>
          </cell>
          <cell r="J2149">
            <v>45825</v>
          </cell>
          <cell r="K2149"/>
          <cell r="L2149"/>
          <cell r="M2149"/>
          <cell r="N2149" t="str">
            <v>JABATAN PERUBATAN AM</v>
          </cell>
          <cell r="O2149" t="str">
            <v>Unit Rawatan Perubatan Harian (MDC)</v>
          </cell>
        </row>
        <row r="2150">
          <cell r="D2150" t="str">
            <v>KKM/JKN/HSA/10-05-01/R/15/15385</v>
          </cell>
          <cell r="E2150" t="str">
            <v>VIDEO RECORDER</v>
          </cell>
          <cell r="F2150" t="str">
            <v>PANASONIC</v>
          </cell>
          <cell r="G2150" t="str">
            <v>DMR-EH59</v>
          </cell>
          <cell r="H2150" t="str">
            <v>VN4H0001003</v>
          </cell>
          <cell r="I2150" t="str">
            <v>ANNUALLY</v>
          </cell>
          <cell r="J2150">
            <v>45906</v>
          </cell>
          <cell r="K2150"/>
          <cell r="L2150"/>
          <cell r="M2150"/>
          <cell r="N2150" t="str">
            <v>JABATAN PERUBATAN AM</v>
          </cell>
          <cell r="O2150" t="str">
            <v>Unit Rawatan Perubatan Harian (MDC)</v>
          </cell>
        </row>
        <row r="2151">
          <cell r="D2151" t="str">
            <v>KKM/JKN/HSA/10-05-01/R/15/17076</v>
          </cell>
          <cell r="E2151" t="str">
            <v>DIAGNOSTIC SET ADULT</v>
          </cell>
          <cell r="F2151" t="str">
            <v>WELCH ALLYN</v>
          </cell>
          <cell r="G2151" t="str">
            <v>97150-BI</v>
          </cell>
          <cell r="H2151" t="str">
            <v>N/A</v>
          </cell>
          <cell r="I2151" t="str">
            <v>ANNUALLY</v>
          </cell>
          <cell r="J2151">
            <v>45902</v>
          </cell>
          <cell r="K2151"/>
          <cell r="L2151"/>
          <cell r="M2151"/>
          <cell r="N2151" t="str">
            <v>JABATAN PERUBATAN AM</v>
          </cell>
          <cell r="O2151" t="str">
            <v>Unit Rawatan Perubatan Harian (MDC)</v>
          </cell>
        </row>
        <row r="2152">
          <cell r="D2152" t="str">
            <v>KKM/JKN/HSA/10-05-01/R/15/17087</v>
          </cell>
          <cell r="E2152" t="str">
            <v>DIAGNOSTIC SET ADULT</v>
          </cell>
          <cell r="F2152" t="str">
            <v>WELCH ALLYN</v>
          </cell>
          <cell r="G2152" t="str">
            <v>97150-BI</v>
          </cell>
          <cell r="H2152" t="str">
            <v>N/A</v>
          </cell>
          <cell r="I2152" t="str">
            <v>ANNUALLY</v>
          </cell>
          <cell r="J2152">
            <v>45902</v>
          </cell>
          <cell r="K2152"/>
          <cell r="L2152"/>
          <cell r="M2152"/>
          <cell r="N2152" t="str">
            <v>JABATAN PERUBATAN AM</v>
          </cell>
          <cell r="O2152" t="str">
            <v>Unit Rawatan Perubatan Harian (MDC)</v>
          </cell>
        </row>
        <row r="2153">
          <cell r="D2153" t="str">
            <v>KKM/JKN/HSA/10-05-01/R/15/17355</v>
          </cell>
          <cell r="E2153" t="str">
            <v>VIDEO RECORDER</v>
          </cell>
          <cell r="F2153" t="str">
            <v>PANASONIC</v>
          </cell>
          <cell r="G2153" t="str">
            <v>DMR-EH59</v>
          </cell>
          <cell r="H2153" t="str">
            <v>VN4HC001029</v>
          </cell>
          <cell r="I2153" t="str">
            <v>ANNUALLY</v>
          </cell>
          <cell r="J2153">
            <v>45920</v>
          </cell>
          <cell r="K2153"/>
          <cell r="L2153"/>
          <cell r="M2153"/>
          <cell r="N2153" t="str">
            <v>JABATAN OTORINOLARINGOLOGI</v>
          </cell>
          <cell r="O2153" t="str">
            <v>Klinik Otorinolaringologi (ORL) (ENT CLINIC)</v>
          </cell>
        </row>
        <row r="2154">
          <cell r="D2154" t="str">
            <v>KKM/JKN/HSA/10-01-01/H/15/1329</v>
          </cell>
          <cell r="E2154" t="str">
            <v>LIGHT SOURCE XENON 300 WATTS</v>
          </cell>
          <cell r="F2154" t="str">
            <v>OLYMPUS</v>
          </cell>
          <cell r="G2154" t="str">
            <v>CLV-190</v>
          </cell>
          <cell r="H2154">
            <v>7457043</v>
          </cell>
          <cell r="I2154" t="str">
            <v>ANNUALLY</v>
          </cell>
          <cell r="J2154">
            <v>45823</v>
          </cell>
          <cell r="K2154"/>
          <cell r="L2154"/>
          <cell r="M2154"/>
          <cell r="N2154" t="str">
            <v>JABATAN PERUBATAN AM</v>
          </cell>
          <cell r="O2154" t="str">
            <v>Unit Rawatan Perubatan Harian (MDC)</v>
          </cell>
        </row>
        <row r="2155">
          <cell r="D2155" t="str">
            <v>KKM/JKN/HSA/10-01-01/H/15/1331</v>
          </cell>
          <cell r="E2155" t="str">
            <v>LIGHT SOURCE XENON 300 WATTS</v>
          </cell>
          <cell r="F2155" t="str">
            <v>OLYMPUS</v>
          </cell>
          <cell r="G2155" t="str">
            <v>CLV-190</v>
          </cell>
          <cell r="H2155" t="str">
            <v>N/A</v>
          </cell>
          <cell r="I2155" t="str">
            <v>ANNUALLY</v>
          </cell>
          <cell r="J2155">
            <v>45822</v>
          </cell>
          <cell r="K2155"/>
          <cell r="L2155"/>
          <cell r="M2155"/>
          <cell r="N2155" t="str">
            <v>JABATAN ANESTHESIA</v>
          </cell>
          <cell r="O2155" t="str">
            <v>Dewan Bedah Utama (GOT)</v>
          </cell>
        </row>
        <row r="2156">
          <cell r="D2156" t="str">
            <v>KKM/JKN/HSA/10-05-01/H/15/1015</v>
          </cell>
          <cell r="E2156" t="str">
            <v>PATIENT MONITORING EQUIP.(AUTOMATIC MULTIPARAMETER)</v>
          </cell>
          <cell r="F2156" t="str">
            <v>WELCH ALLYN</v>
          </cell>
          <cell r="G2156" t="str">
            <v>WELCH ALLYN VSM 300</v>
          </cell>
          <cell r="H2156" t="str">
            <v>JA 123448</v>
          </cell>
          <cell r="I2156" t="str">
            <v>ANNUALLY</v>
          </cell>
          <cell r="J2156">
            <v>45856</v>
          </cell>
          <cell r="K2156"/>
          <cell r="L2156"/>
          <cell r="M2156"/>
          <cell r="N2156" t="str">
            <v>JABATAN PERUBATAN AM</v>
          </cell>
          <cell r="O2156" t="str">
            <v>Unit Rawatan Perubatan Harian (MDC)</v>
          </cell>
        </row>
        <row r="2157">
          <cell r="D2157" t="str">
            <v>KKM/JKN/HSA/10-05-01/H/15/1223</v>
          </cell>
          <cell r="E2157" t="str">
            <v>INFUSION PUMP</v>
          </cell>
          <cell r="F2157" t="str">
            <v>FRESENIUS KABI</v>
          </cell>
          <cell r="G2157" t="str">
            <v>VOLUMAT MC AGILIA GB</v>
          </cell>
          <cell r="H2157" t="str">
            <v>019130/22235952</v>
          </cell>
          <cell r="I2157" t="str">
            <v>ANNUALLY</v>
          </cell>
          <cell r="J2157">
            <v>45706</v>
          </cell>
          <cell r="K2157"/>
          <cell r="L2157"/>
          <cell r="M2157"/>
          <cell r="N2157" t="str">
            <v>JABATAN PERUBATAN AM</v>
          </cell>
          <cell r="O2157" t="str">
            <v>Unit Rawatan Perubatan Harian (MDC)</v>
          </cell>
        </row>
        <row r="2158">
          <cell r="D2158" t="str">
            <v>KKM/JKN/HSA/10-05-01/H/15/1224</v>
          </cell>
          <cell r="E2158" t="str">
            <v>INFUSION PUMP</v>
          </cell>
          <cell r="F2158" t="str">
            <v>FRESENIUS KABI</v>
          </cell>
          <cell r="G2158" t="str">
            <v>VOLUMAT MC AGILIA GB</v>
          </cell>
          <cell r="H2158" t="str">
            <v>019130/22235927</v>
          </cell>
          <cell r="I2158" t="str">
            <v>ANNUALLY</v>
          </cell>
          <cell r="J2158">
            <v>45706</v>
          </cell>
          <cell r="K2158"/>
          <cell r="L2158"/>
          <cell r="M2158"/>
          <cell r="N2158" t="str">
            <v>JABATAN PERUBATAN AM</v>
          </cell>
          <cell r="O2158" t="str">
            <v>Unit Rawatan Perubatan Harian (MDC)</v>
          </cell>
        </row>
        <row r="2159">
          <cell r="D2159" t="str">
            <v>KKM/JKN/HSA/10-05-01/H/15/1327</v>
          </cell>
          <cell r="E2159" t="str">
            <v>LIGHT SOURCE</v>
          </cell>
          <cell r="F2159" t="str">
            <v>OLYMPUS</v>
          </cell>
          <cell r="G2159" t="str">
            <v>OLYMPUS/ CLV-190</v>
          </cell>
          <cell r="H2159" t="str">
            <v>7457072</v>
          </cell>
          <cell r="I2159" t="str">
            <v>ANNUALLY</v>
          </cell>
          <cell r="J2159">
            <v>45853</v>
          </cell>
          <cell r="K2159"/>
          <cell r="L2159"/>
          <cell r="M2159"/>
          <cell r="N2159" t="str">
            <v>JABATAN PERUBATAN AM</v>
          </cell>
          <cell r="O2159" t="str">
            <v>Unit Rawatan Perubatan Harian (MDC)</v>
          </cell>
        </row>
        <row r="2160">
          <cell r="D2160" t="str">
            <v>KKM/JKN/HSA/10-05-01/H/15/1355</v>
          </cell>
          <cell r="E2160" t="str">
            <v>SIGMOIDOSCOPE</v>
          </cell>
          <cell r="F2160" t="str">
            <v>OLYMPUS</v>
          </cell>
          <cell r="G2160" t="str">
            <v>CF-Q160S</v>
          </cell>
          <cell r="H2160" t="str">
            <v>2412254</v>
          </cell>
          <cell r="I2160" t="str">
            <v>ANNUALLY</v>
          </cell>
          <cell r="J2160">
            <v>45853</v>
          </cell>
          <cell r="K2160"/>
          <cell r="L2160"/>
          <cell r="M2160"/>
          <cell r="N2160" t="str">
            <v>JABATAN PERUBATAN AM</v>
          </cell>
          <cell r="O2160" t="str">
            <v>Unit Rawatan Perubatan Harian (MDC)</v>
          </cell>
        </row>
        <row r="2161">
          <cell r="D2161" t="str">
            <v>KKM/JKN/HSA/10-05-01/H/15/1569</v>
          </cell>
          <cell r="E2161" t="str">
            <v>PATIENT MONITORING EQUIP.(AUTOMATIC MULTIPARAMETER)</v>
          </cell>
          <cell r="F2161" t="str">
            <v>WELCH ALLYN</v>
          </cell>
          <cell r="G2161" t="str">
            <v>WELCH ALLYN VSM 300</v>
          </cell>
          <cell r="H2161" t="str">
            <v>JA123476</v>
          </cell>
          <cell r="I2161" t="str">
            <v>ANNUALLY</v>
          </cell>
          <cell r="J2161">
            <v>45842</v>
          </cell>
          <cell r="K2161"/>
          <cell r="L2161"/>
          <cell r="M2161"/>
          <cell r="N2161" t="str">
            <v>JABATAN PERUBATAN AM</v>
          </cell>
          <cell r="O2161" t="str">
            <v>Unit Rawatan Perubatan Harian (MDC)</v>
          </cell>
        </row>
        <row r="2162">
          <cell r="D2162" t="str">
            <v>KKM/JKN/HSA/10-05-01/H/15/1658</v>
          </cell>
          <cell r="E2162" t="str">
            <v>GASTROINTESTINAL VEDIOSCOPE / GASTROSCOPE</v>
          </cell>
          <cell r="F2162" t="str">
            <v>OLYMPUS</v>
          </cell>
          <cell r="G2162" t="str">
            <v>GIF-H190</v>
          </cell>
          <cell r="H2162" t="str">
            <v>2414489</v>
          </cell>
          <cell r="I2162" t="str">
            <v>ANNUALLY</v>
          </cell>
          <cell r="J2162">
            <v>45845</v>
          </cell>
          <cell r="K2162"/>
          <cell r="L2162"/>
          <cell r="M2162"/>
          <cell r="N2162" t="str">
            <v>JABATAN PERUBATAN AM</v>
          </cell>
          <cell r="O2162" t="str">
            <v>Unit Rawatan Perubatan Harian (MDC)</v>
          </cell>
        </row>
        <row r="2163">
          <cell r="D2163" t="str">
            <v>KKM/JKN/HSA/10-05-01/H/15/2100</v>
          </cell>
          <cell r="E2163" t="str">
            <v>PATIENT MONITORING EQUIP.(AUTOMATIC MULTIPARAMETER)</v>
          </cell>
          <cell r="F2163" t="str">
            <v>MINDRAY</v>
          </cell>
          <cell r="G2163" t="str">
            <v>IMEC 12</v>
          </cell>
          <cell r="H2163" t="str">
            <v>EV 45011631</v>
          </cell>
          <cell r="I2163" t="str">
            <v>ANNUALLY</v>
          </cell>
          <cell r="J2163">
            <v>45854</v>
          </cell>
          <cell r="K2163"/>
          <cell r="L2163"/>
          <cell r="M2163"/>
          <cell r="N2163" t="str">
            <v>JABATAN PERUBATAN AM</v>
          </cell>
          <cell r="O2163" t="str">
            <v>Unit Rawatan Perubatan Harian (MDC)</v>
          </cell>
        </row>
        <row r="2164">
          <cell r="D2164" t="str">
            <v>KKM/JKN/HSA/10-05-01/H/15/2101</v>
          </cell>
          <cell r="E2164" t="str">
            <v>PATIENT MONITORING EQUIP.(AUTOMATIC MULTIPARAMETER)</v>
          </cell>
          <cell r="F2164" t="str">
            <v>MINDRAY</v>
          </cell>
          <cell r="G2164" t="str">
            <v>IMEC 12</v>
          </cell>
          <cell r="H2164" t="str">
            <v>EV 45011630</v>
          </cell>
          <cell r="I2164" t="str">
            <v>ANNUALLY</v>
          </cell>
          <cell r="J2164">
            <v>45854</v>
          </cell>
          <cell r="K2164"/>
          <cell r="L2164"/>
          <cell r="M2164"/>
          <cell r="N2164" t="str">
            <v>JABATAN PERUBATAN AM</v>
          </cell>
          <cell r="O2164" t="str">
            <v>Unit Rawatan Perubatan Harian (MDC)</v>
          </cell>
        </row>
        <row r="2165">
          <cell r="D2165" t="str">
            <v>KKM/JKN/HSA/10-05-01/H/15/2102</v>
          </cell>
          <cell r="E2165" t="str">
            <v>PATIENT MONITORING EQUIP.(AUTOMATIC MULTIPARAMETER)</v>
          </cell>
          <cell r="F2165" t="str">
            <v>MINDRAY</v>
          </cell>
          <cell r="G2165" t="str">
            <v>IMEC 12</v>
          </cell>
          <cell r="H2165" t="str">
            <v>EV 45011629</v>
          </cell>
          <cell r="I2165" t="str">
            <v>ANNUALLY</v>
          </cell>
          <cell r="J2165">
            <v>45854</v>
          </cell>
          <cell r="K2165"/>
          <cell r="L2165"/>
          <cell r="M2165"/>
          <cell r="N2165" t="str">
            <v>JABATAN PERUBATAN AM</v>
          </cell>
          <cell r="O2165" t="str">
            <v>Unit Rawatan Perubatan Harian (MDC)</v>
          </cell>
        </row>
        <row r="2166">
          <cell r="D2166" t="str">
            <v>KKM/JKN/HSA/10-05-01/H/15/2103</v>
          </cell>
          <cell r="E2166" t="str">
            <v>PATIENT MONITORING EQUIP.(AUTOMATIC MULTIPARAMETER)</v>
          </cell>
          <cell r="F2166" t="str">
            <v>MINDRAY</v>
          </cell>
          <cell r="G2166" t="str">
            <v>IMEC 12</v>
          </cell>
          <cell r="H2166" t="str">
            <v>EV 45011627</v>
          </cell>
          <cell r="I2166" t="str">
            <v>ANNUALLY</v>
          </cell>
          <cell r="J2166">
            <v>45855</v>
          </cell>
          <cell r="K2166"/>
          <cell r="L2166"/>
          <cell r="M2166"/>
          <cell r="N2166" t="str">
            <v>JABATAN PERUBATAN AM</v>
          </cell>
          <cell r="O2166" t="str">
            <v>Unit Rawatan Perubatan Harian (MDC)</v>
          </cell>
        </row>
        <row r="2167">
          <cell r="D2167" t="str">
            <v>KKM/JKN/HSA/10-05-01/H/15/2104</v>
          </cell>
          <cell r="E2167" t="str">
            <v>PATIENT MONITORING EQUIP.(AUTOMATIC MULTIPARAMETER)</v>
          </cell>
          <cell r="F2167" t="str">
            <v>MINDRAY</v>
          </cell>
          <cell r="G2167" t="str">
            <v>IMEC 12</v>
          </cell>
          <cell r="H2167" t="str">
            <v>EV 45011625</v>
          </cell>
          <cell r="I2167" t="str">
            <v>ANNUALLY</v>
          </cell>
          <cell r="J2167">
            <v>45855</v>
          </cell>
          <cell r="K2167"/>
          <cell r="L2167"/>
          <cell r="M2167"/>
          <cell r="N2167" t="str">
            <v>JABATAN PERUBATAN AM</v>
          </cell>
          <cell r="O2167" t="str">
            <v>Unit Rawatan Perubatan Harian (MDC)</v>
          </cell>
        </row>
        <row r="2168">
          <cell r="D2168" t="str">
            <v>KKM/JKN/HSA/10-05-01/H/15/2105</v>
          </cell>
          <cell r="E2168" t="str">
            <v>PATIENT MONITORING EQUIP.(AUTOMATIC MULTIPARAMETER)</v>
          </cell>
          <cell r="F2168" t="str">
            <v>MINDRAY</v>
          </cell>
          <cell r="G2168" t="str">
            <v>IMEC 12</v>
          </cell>
          <cell r="H2168" t="str">
            <v>EV 45011626</v>
          </cell>
          <cell r="I2168" t="str">
            <v>ANNUALLY</v>
          </cell>
          <cell r="J2168">
            <v>45855</v>
          </cell>
          <cell r="K2168"/>
          <cell r="L2168"/>
          <cell r="M2168"/>
          <cell r="N2168" t="str">
            <v>JABATAN PERUBATAN AM</v>
          </cell>
          <cell r="O2168" t="str">
            <v>Unit Rawatan Perubatan Harian (MDC)</v>
          </cell>
        </row>
        <row r="2169">
          <cell r="D2169" t="str">
            <v>KKM/JKN/HSA/10-05-01/H/15/2106</v>
          </cell>
          <cell r="E2169" t="str">
            <v>PATIENT MONITORING EQUIP.(AUTOMATIC MULTIPARAMETER)</v>
          </cell>
          <cell r="F2169" t="str">
            <v>MINDRAY</v>
          </cell>
          <cell r="G2169" t="str">
            <v>IMEC 12</v>
          </cell>
          <cell r="H2169" t="str">
            <v>EV 45011628</v>
          </cell>
          <cell r="I2169" t="str">
            <v>ANNUALLY</v>
          </cell>
          <cell r="J2169">
            <v>45855</v>
          </cell>
          <cell r="K2169"/>
          <cell r="L2169"/>
          <cell r="M2169"/>
          <cell r="N2169" t="str">
            <v>JABATAN PERUBATAN AM</v>
          </cell>
          <cell r="O2169" t="str">
            <v>Unit Rawatan Perubatan Harian (MDC)</v>
          </cell>
        </row>
        <row r="2170">
          <cell r="D2170" t="str">
            <v>KKM/JKN/HSA/10-05-01/H/15/4053</v>
          </cell>
          <cell r="E2170" t="str">
            <v>GASTROINTESTINAL VEDIOSCOPE / GASTROSCOPE</v>
          </cell>
          <cell r="F2170" t="str">
            <v>OLYMPUS</v>
          </cell>
          <cell r="G2170" t="str">
            <v>GIF-XTQ160</v>
          </cell>
          <cell r="H2170" t="str">
            <v>2400921</v>
          </cell>
          <cell r="I2170" t="str">
            <v>ANNUALLY</v>
          </cell>
          <cell r="J2170">
            <v>45819</v>
          </cell>
          <cell r="K2170"/>
          <cell r="L2170"/>
          <cell r="M2170"/>
          <cell r="N2170" t="str">
            <v>JABATAN PERUBATAN AM</v>
          </cell>
          <cell r="O2170" t="str">
            <v>Unit Rawatan Perubatan Harian (MDC)</v>
          </cell>
        </row>
        <row r="2171">
          <cell r="D2171" t="str">
            <v>KKM/JKN/HSA/10-05-01/H/15/4054</v>
          </cell>
          <cell r="E2171" t="str">
            <v>SYRINGE INFUSION PUMP</v>
          </cell>
          <cell r="F2171" t="str">
            <v>FRESENIUS KABI</v>
          </cell>
          <cell r="G2171" t="str">
            <v>INJECTOMAT MC AGILIA</v>
          </cell>
          <cell r="H2171" t="str">
            <v>018130 / 22231669</v>
          </cell>
          <cell r="I2171" t="str">
            <v>ANNUALLY</v>
          </cell>
          <cell r="J2171">
            <v>45863</v>
          </cell>
          <cell r="K2171"/>
          <cell r="L2171"/>
          <cell r="M2171"/>
          <cell r="N2171" t="str">
            <v>JABATAN PERUBATAN AM</v>
          </cell>
          <cell r="O2171" t="str">
            <v>Unit Rawatan Perubatan Harian (MDC)</v>
          </cell>
        </row>
        <row r="2172">
          <cell r="D2172" t="str">
            <v>KKM/JKN/HSA/10-05-01/H/15/4055</v>
          </cell>
          <cell r="E2172" t="str">
            <v>SYRINGE INFUSION PUMP</v>
          </cell>
          <cell r="F2172" t="str">
            <v>FRESENIUS KABI</v>
          </cell>
          <cell r="G2172" t="str">
            <v>INJECTOMAT AGILIA</v>
          </cell>
          <cell r="H2172" t="str">
            <v>018130 / 2221829</v>
          </cell>
          <cell r="I2172" t="str">
            <v>ANNUALLY</v>
          </cell>
          <cell r="J2172">
            <v>45863</v>
          </cell>
          <cell r="K2172"/>
          <cell r="L2172"/>
          <cell r="M2172"/>
          <cell r="N2172" t="str">
            <v>JABATAN PERUBATAN AM</v>
          </cell>
          <cell r="O2172" t="str">
            <v>Unit Rawatan Perubatan Harian (MDC)</v>
          </cell>
        </row>
        <row r="2173">
          <cell r="D2173" t="str">
            <v>KKM/JKN/HSA/10-05-01/H/15/4068</v>
          </cell>
          <cell r="E2173" t="str">
            <v>ECG (EKG) MACHINE</v>
          </cell>
          <cell r="F2173" t="str">
            <v>GE HEALTHCARE</v>
          </cell>
          <cell r="G2173" t="str">
            <v>MAC400</v>
          </cell>
          <cell r="H2173" t="str">
            <v>SCT 11496317 PA</v>
          </cell>
          <cell r="I2173" t="str">
            <v>ANNUALLY</v>
          </cell>
          <cell r="J2173">
            <v>45693</v>
          </cell>
          <cell r="K2173"/>
          <cell r="L2173"/>
          <cell r="M2173"/>
          <cell r="N2173" t="str">
            <v>JABATAN PERUBATAN AM</v>
          </cell>
          <cell r="O2173" t="str">
            <v>Unit Rawatan Perubatan Harian (MDC)</v>
          </cell>
        </row>
        <row r="2174">
          <cell r="D2174" t="str">
            <v>KKM/JKN/HSA/10-05-01/H/15/4076</v>
          </cell>
          <cell r="E2174" t="str">
            <v>SUCTION APPARATUS</v>
          </cell>
          <cell r="F2174" t="str">
            <v>CAMI</v>
          </cell>
          <cell r="G2174" t="str">
            <v>ASKIR C30</v>
          </cell>
          <cell r="H2174" t="str">
            <v>5897</v>
          </cell>
          <cell r="I2174" t="str">
            <v>ANNUALLY</v>
          </cell>
          <cell r="J2174">
            <v>45916</v>
          </cell>
          <cell r="K2174"/>
          <cell r="L2174"/>
          <cell r="M2174"/>
          <cell r="N2174" t="str">
            <v>JABATAN PERUBATAN AM</v>
          </cell>
          <cell r="O2174" t="str">
            <v>Unit Rawatan Perubatan Harian (MDC)</v>
          </cell>
        </row>
        <row r="2175">
          <cell r="D2175" t="str">
            <v>KKM/JKN/HSA/10-05-01/H/15/4077</v>
          </cell>
          <cell r="E2175" t="str">
            <v>SUCTION APPARATUS</v>
          </cell>
          <cell r="F2175" t="str">
            <v>CAMI</v>
          </cell>
          <cell r="G2175" t="str">
            <v>ASKIR C30</v>
          </cell>
          <cell r="H2175" t="str">
            <v>5899</v>
          </cell>
          <cell r="I2175" t="str">
            <v>ANNUALLY</v>
          </cell>
          <cell r="J2175">
            <v>45916</v>
          </cell>
          <cell r="K2175"/>
          <cell r="L2175"/>
          <cell r="M2175"/>
          <cell r="N2175" t="str">
            <v>JABATAN PERUBATAN AM</v>
          </cell>
          <cell r="O2175" t="str">
            <v>Unit Rawatan Perubatan Harian (MDC)</v>
          </cell>
        </row>
        <row r="2176">
          <cell r="D2176" t="str">
            <v>KKM/JKN/HSA/10-05-01/H/15/4078</v>
          </cell>
          <cell r="E2176" t="str">
            <v>SUCTION APPARATUS</v>
          </cell>
          <cell r="F2176" t="str">
            <v>CAMI</v>
          </cell>
          <cell r="G2176" t="str">
            <v>ASKIR C30</v>
          </cell>
          <cell r="H2176" t="str">
            <v>5898</v>
          </cell>
          <cell r="I2176" t="str">
            <v>ANNUALLY</v>
          </cell>
          <cell r="J2176">
            <v>45916</v>
          </cell>
          <cell r="K2176"/>
          <cell r="L2176"/>
          <cell r="M2176"/>
          <cell r="N2176" t="str">
            <v>JABATAN PERUBATAN AM</v>
          </cell>
          <cell r="O2176" t="str">
            <v>Unit Rawatan Perubatan Harian (MDC)</v>
          </cell>
        </row>
        <row r="2177">
          <cell r="D2177" t="str">
            <v>KKM/JKN/HSA/10-05-01/H/15/4086</v>
          </cell>
          <cell r="E2177" t="str">
            <v>VIDEO IMAGE PRINTER</v>
          </cell>
          <cell r="F2177" t="str">
            <v>SONY</v>
          </cell>
          <cell r="G2177" t="str">
            <v>UP-25MD</v>
          </cell>
          <cell r="H2177" t="str">
            <v>720178</v>
          </cell>
          <cell r="I2177" t="str">
            <v>SEMI ANNUALLY</v>
          </cell>
          <cell r="J2177">
            <v>45763</v>
          </cell>
          <cell r="K2177">
            <v>45945</v>
          </cell>
          <cell r="L2177"/>
          <cell r="M2177"/>
          <cell r="N2177" t="str">
            <v>JABATAN PERUBATAN AM</v>
          </cell>
          <cell r="O2177" t="str">
            <v>Unit Rawatan Perubatan Harian (MDC)</v>
          </cell>
        </row>
        <row r="2178">
          <cell r="D2178" t="str">
            <v>KKM/JKN/HSA/10-05-01/H/15/4087</v>
          </cell>
          <cell r="E2178" t="str">
            <v>VIDEO IMAGE PRINTER</v>
          </cell>
          <cell r="F2178" t="str">
            <v>SONY</v>
          </cell>
          <cell r="G2178" t="str">
            <v>UP-25MD</v>
          </cell>
          <cell r="H2178" t="str">
            <v>720156</v>
          </cell>
          <cell r="I2178" t="str">
            <v>SEMI ANNUALLY</v>
          </cell>
          <cell r="J2178">
            <v>45769</v>
          </cell>
          <cell r="K2178">
            <v>45951</v>
          </cell>
          <cell r="L2178"/>
          <cell r="M2178"/>
          <cell r="N2178" t="str">
            <v>JABATAN PERUBATAN AM</v>
          </cell>
          <cell r="O2178" t="str">
            <v>Unit Rawatan Perubatan Harian (MDC)</v>
          </cell>
        </row>
        <row r="2179">
          <cell r="D2179" t="str">
            <v>KKM/JKN/HSA/10-05-01/H/15/4088</v>
          </cell>
          <cell r="E2179" t="str">
            <v>VIDEO IMAGE PRINTER</v>
          </cell>
          <cell r="F2179" t="str">
            <v>SONY</v>
          </cell>
          <cell r="G2179" t="str">
            <v>UP-25MD</v>
          </cell>
          <cell r="H2179" t="str">
            <v>719963</v>
          </cell>
          <cell r="I2179" t="str">
            <v>SEMI ANNUALLY</v>
          </cell>
          <cell r="J2179">
            <v>45769</v>
          </cell>
          <cell r="K2179">
            <v>45951</v>
          </cell>
          <cell r="L2179"/>
          <cell r="M2179"/>
          <cell r="N2179" t="str">
            <v>JABATAN PERUBATAN AM</v>
          </cell>
          <cell r="O2179" t="str">
            <v>Unit Rawatan Perubatan Harian (MDC)</v>
          </cell>
        </row>
        <row r="2180">
          <cell r="D2180" t="str">
            <v>KKM/JKN/HSA/10-05-01/H/15/4089</v>
          </cell>
          <cell r="E2180" t="str">
            <v>CLINICAL &amp; SURGICAL IMAGE RECORDING SYSTEM AIDA COMPACT</v>
          </cell>
          <cell r="F2180" t="str">
            <v>OLYMPUS</v>
          </cell>
          <cell r="G2180" t="str">
            <v>ELVIS EXERA III/ CV 190</v>
          </cell>
          <cell r="H2180" t="str">
            <v>7408412</v>
          </cell>
          <cell r="I2180" t="str">
            <v>ANNUALLY</v>
          </cell>
          <cell r="J2180">
            <v>45853</v>
          </cell>
          <cell r="K2180"/>
          <cell r="L2180"/>
          <cell r="M2180"/>
          <cell r="N2180" t="str">
            <v>JABATAN PERUBATAN AM</v>
          </cell>
          <cell r="O2180" t="str">
            <v>Unit Rawatan Perubatan Harian (MDC)</v>
          </cell>
        </row>
        <row r="2181">
          <cell r="D2181" t="str">
            <v>KKM/JKN/HSA/10-05-01/H/15/4090</v>
          </cell>
          <cell r="E2181" t="str">
            <v>CLINICAL &amp; SURGICAL IMAGE RECORDING SYSTEM AIDA COMPACT</v>
          </cell>
          <cell r="F2181" t="str">
            <v>OLYMPUS</v>
          </cell>
          <cell r="G2181" t="str">
            <v>ELVIS EXERA III/ CV 190</v>
          </cell>
          <cell r="H2181" t="str">
            <v>7408414</v>
          </cell>
          <cell r="I2181" t="str">
            <v>ANNUALLY</v>
          </cell>
          <cell r="J2181">
            <v>45853</v>
          </cell>
          <cell r="K2181"/>
          <cell r="L2181"/>
          <cell r="M2181"/>
          <cell r="N2181" t="str">
            <v>JABATAN PERUBATAN AM</v>
          </cell>
          <cell r="O2181" t="str">
            <v>Unit Rawatan Perubatan Harian (MDC)</v>
          </cell>
        </row>
        <row r="2182">
          <cell r="D2182" t="str">
            <v>KKM/JKN/HSA/10-05-01/H/15/4091</v>
          </cell>
          <cell r="E2182" t="str">
            <v>CLINICAL &amp; SURGICAL IMAGE RECORDING SYSTEM AIDA COMPACT</v>
          </cell>
          <cell r="F2182" t="str">
            <v>OLYMPUS</v>
          </cell>
          <cell r="G2182" t="str">
            <v>ELVIS EXERA III/ CV 190</v>
          </cell>
          <cell r="H2182" t="str">
            <v>7408419</v>
          </cell>
          <cell r="I2182" t="str">
            <v>ANNUALLY</v>
          </cell>
          <cell r="J2182">
            <v>45853</v>
          </cell>
          <cell r="K2182"/>
          <cell r="L2182"/>
          <cell r="M2182"/>
          <cell r="N2182" t="str">
            <v>JABATAN PERUBATAN AM</v>
          </cell>
          <cell r="O2182" t="str">
            <v>Unit Rawatan Perubatan Harian (MDC)</v>
          </cell>
        </row>
        <row r="2183">
          <cell r="D2183" t="str">
            <v>KKM/JKN/HSA/10-05-01/H/15/4918</v>
          </cell>
          <cell r="E2183" t="str">
            <v>ELECTROSURGICAL UNIT, ARGON</v>
          </cell>
          <cell r="F2183" t="str">
            <v>ERBE ELEKTROMEDIZIN</v>
          </cell>
          <cell r="G2183" t="str">
            <v>APC2</v>
          </cell>
          <cell r="H2183" t="str">
            <v>11373311</v>
          </cell>
          <cell r="I2183" t="str">
            <v>SEMI ANNUALLY</v>
          </cell>
          <cell r="J2183">
            <v>45834</v>
          </cell>
          <cell r="K2183">
            <v>46016</v>
          </cell>
          <cell r="L2183"/>
          <cell r="M2183"/>
          <cell r="N2183" t="str">
            <v>JABATAN PERUBATAN AM</v>
          </cell>
          <cell r="O2183" t="str">
            <v>Unit Rawatan Perubatan Harian (MDC)</v>
          </cell>
        </row>
        <row r="2184">
          <cell r="D2184" t="str">
            <v>KKM/JKN/HSA/10-05-01/H/15/560</v>
          </cell>
          <cell r="E2184" t="str">
            <v>DIATHERMY (RADIOFREQUENCY/SHORTWAVE)</v>
          </cell>
          <cell r="F2184" t="str">
            <v>OLYMPUS</v>
          </cell>
          <cell r="G2184" t="str">
            <v>ESG-100</v>
          </cell>
          <cell r="H2184" t="str">
            <v>14294d500001</v>
          </cell>
          <cell r="I2184" t="str">
            <v>ANNUALLY</v>
          </cell>
          <cell r="J2184">
            <v>45819</v>
          </cell>
          <cell r="K2184"/>
          <cell r="L2184"/>
          <cell r="M2184"/>
          <cell r="N2184" t="str">
            <v>JABATAN PERUBATAN AM</v>
          </cell>
          <cell r="O2184" t="str">
            <v>Unit Rawatan Perubatan Harian (MDC)</v>
          </cell>
        </row>
        <row r="2185">
          <cell r="D2185" t="str">
            <v>KKM/JKN/HSA/10-05-01/H/15/607</v>
          </cell>
          <cell r="E2185" t="str">
            <v>BRONCHOSCOPES</v>
          </cell>
          <cell r="F2185" t="str">
            <v>OLYMPUS</v>
          </cell>
          <cell r="G2185" t="str">
            <v>BF-XP60</v>
          </cell>
          <cell r="H2185" t="str">
            <v>2441126</v>
          </cell>
          <cell r="I2185" t="str">
            <v>ANNUALLY</v>
          </cell>
          <cell r="J2185">
            <v>46028</v>
          </cell>
          <cell r="K2185"/>
          <cell r="L2185"/>
          <cell r="M2185"/>
          <cell r="N2185" t="str">
            <v>JABATAN PERUBATAN AM</v>
          </cell>
          <cell r="O2185" t="str">
            <v>Unit Rawatan Perubatan Harian (MDC)</v>
          </cell>
        </row>
        <row r="2186">
          <cell r="D2186" t="str">
            <v>KKM/JKN/HSA/10-05-01/H/15/611</v>
          </cell>
          <cell r="E2186" t="str">
            <v>COLONOSCOPE</v>
          </cell>
          <cell r="F2186" t="str">
            <v>OLYMPUS</v>
          </cell>
          <cell r="G2186" t="str">
            <v>CF-H190L</v>
          </cell>
          <cell r="H2186" t="str">
            <v>2400966</v>
          </cell>
          <cell r="I2186" t="str">
            <v>ANNUALLY</v>
          </cell>
          <cell r="J2186">
            <v>45796</v>
          </cell>
          <cell r="K2186"/>
          <cell r="L2186"/>
          <cell r="M2186"/>
          <cell r="N2186" t="str">
            <v>JABATAN PERUBATAN AM</v>
          </cell>
          <cell r="O2186" t="str">
            <v>Unit Rawatan Perubatan Harian (MDC)</v>
          </cell>
        </row>
        <row r="2187">
          <cell r="D2187" t="str">
            <v>KKM/JKN/HSA/10-05-01/H/15/613</v>
          </cell>
          <cell r="E2187" t="str">
            <v>COLONOSCOPE</v>
          </cell>
          <cell r="F2187" t="str">
            <v>OLYMPUS</v>
          </cell>
          <cell r="G2187" t="str">
            <v>CF-H190L</v>
          </cell>
          <cell r="H2187" t="str">
            <v>2400982</v>
          </cell>
          <cell r="I2187" t="str">
            <v>ANNUALLY</v>
          </cell>
          <cell r="J2187">
            <v>45796</v>
          </cell>
          <cell r="K2187"/>
          <cell r="L2187"/>
          <cell r="M2187"/>
          <cell r="N2187" t="str">
            <v>JABATAN PERUBATAN AM</v>
          </cell>
          <cell r="O2187" t="str">
            <v>Unit Rawatan Perubatan Harian (MDC)</v>
          </cell>
        </row>
        <row r="2188">
          <cell r="D2188" t="str">
            <v>KKM/JKN/HSA/10-05-01/R/15/15382</v>
          </cell>
          <cell r="E2188" t="str">
            <v>ELECTROSURGICAL UNIT</v>
          </cell>
          <cell r="F2188" t="str">
            <v>ELEKTROMEDIZIN GMBH</v>
          </cell>
          <cell r="G2188" t="str">
            <v>VIO 200D</v>
          </cell>
          <cell r="H2188">
            <v>11385435</v>
          </cell>
          <cell r="I2188" t="str">
            <v>ANNUALLY</v>
          </cell>
          <cell r="J2188">
            <v>45824</v>
          </cell>
          <cell r="K2188"/>
          <cell r="L2188"/>
          <cell r="M2188"/>
          <cell r="N2188" t="str">
            <v>JABATAN PERUBATAN AM</v>
          </cell>
          <cell r="O2188" t="str">
            <v>Unit Rawatan Perubatan Harian (MDC)</v>
          </cell>
        </row>
        <row r="2189">
          <cell r="D2189" t="str">
            <v>KKM/JKN/HSA/10-05-01/R/15/16172</v>
          </cell>
          <cell r="E2189" t="str">
            <v>NEBULIZER</v>
          </cell>
          <cell r="F2189" t="str">
            <v>PHILIPS</v>
          </cell>
          <cell r="G2189" t="str">
            <v>INNOSPIRE DELUXE (UK PLUG)</v>
          </cell>
          <cell r="H2189" t="str">
            <v>022831</v>
          </cell>
          <cell r="I2189" t="str">
            <v>ANNUALLY</v>
          </cell>
          <cell r="J2189">
            <v>45734</v>
          </cell>
          <cell r="K2189"/>
          <cell r="L2189"/>
          <cell r="M2189"/>
          <cell r="N2189" t="str">
            <v>JABATAN PERUBATAN AM</v>
          </cell>
          <cell r="O2189" t="str">
            <v>Unit Rawatan Perubatan Harian (MDC)</v>
          </cell>
        </row>
        <row r="2190">
          <cell r="D2190" t="str">
            <v>KKM/JKN/HSA/10-05-01/R/15/7136</v>
          </cell>
          <cell r="E2190" t="str">
            <v>PATIENT MONITORING EQUIP.(AUTOMATIC MULTIPARAMETER)</v>
          </cell>
          <cell r="F2190" t="str">
            <v>WELCH ALLYN</v>
          </cell>
          <cell r="G2190" t="str">
            <v>WELCH ALLYN VSM 300</v>
          </cell>
          <cell r="H2190" t="str">
            <v>JA123423</v>
          </cell>
          <cell r="I2190" t="str">
            <v>ANNUALLY</v>
          </cell>
          <cell r="J2190">
            <v>46042</v>
          </cell>
          <cell r="K2190"/>
          <cell r="L2190"/>
          <cell r="M2190"/>
          <cell r="N2190" t="str">
            <v>JABATAN PEMBEDAHAN AM</v>
          </cell>
          <cell r="O2190" t="str">
            <v>WAD 9A (Wad Pembedahan Lelaki 9A)</v>
          </cell>
        </row>
        <row r="2191">
          <cell r="D2191" t="str">
            <v>KKM/JKN/HSA/10-05-01/R/15/7151</v>
          </cell>
          <cell r="E2191" t="str">
            <v>VITAL SIGN MONITOR</v>
          </cell>
          <cell r="F2191" t="str">
            <v>WELCH ALLYN</v>
          </cell>
          <cell r="G2191" t="str">
            <v>VSM 300</v>
          </cell>
          <cell r="H2191" t="str">
            <v>N/A</v>
          </cell>
          <cell r="I2191" t="str">
            <v>ANNUALLY</v>
          </cell>
          <cell r="J2191">
            <v>45770</v>
          </cell>
          <cell r="K2191"/>
          <cell r="L2191"/>
          <cell r="M2191"/>
          <cell r="N2191" t="str">
            <v>JABATAN ORTOPEDIK</v>
          </cell>
          <cell r="O2191" t="str">
            <v>WAD 11 (Orthopaedic Ward)</v>
          </cell>
        </row>
        <row r="2192">
          <cell r="D2192" t="str">
            <v>KKM/JKN/HSA/10-05-01/H/15/452</v>
          </cell>
          <cell r="E2192" t="str">
            <v>DISINFECTOR MANUAL</v>
          </cell>
          <cell r="F2192" t="str">
            <v>OLYMPUS</v>
          </cell>
          <cell r="G2192" t="str">
            <v>TD-20</v>
          </cell>
          <cell r="H2192">
            <v>21412183</v>
          </cell>
          <cell r="I2192" t="str">
            <v>ANNUALLY</v>
          </cell>
          <cell r="J2192">
            <v>45825</v>
          </cell>
          <cell r="K2192"/>
          <cell r="L2192"/>
          <cell r="M2192"/>
          <cell r="N2192" t="str">
            <v>JABATAN PERUBATAN AM</v>
          </cell>
          <cell r="O2192" t="str">
            <v>Unit Rawatan Perubatan Harian (MDC)</v>
          </cell>
        </row>
        <row r="2193">
          <cell r="D2193" t="str">
            <v>KKM/JKN/HSA/10-05-01/H/15/3673</v>
          </cell>
          <cell r="E2193" t="str">
            <v>DEFIBRILLATOR W/INTERNAL/EXT PADDLES/PACEMAKER</v>
          </cell>
          <cell r="F2193" t="str">
            <v>PHILIPS</v>
          </cell>
          <cell r="G2193" t="str">
            <v>EFFICIA DFM100</v>
          </cell>
          <cell r="H2193" t="str">
            <v>CN32601434</v>
          </cell>
          <cell r="I2193" t="str">
            <v>SEMI ANNUALLY</v>
          </cell>
          <cell r="J2193">
            <v>45756</v>
          </cell>
          <cell r="K2193">
            <v>45938</v>
          </cell>
          <cell r="L2193"/>
          <cell r="M2193"/>
          <cell r="N2193" t="str">
            <v>JABATAN PERUBATAN AM</v>
          </cell>
          <cell r="O2193" t="str">
            <v>Unit Rawatan Perubatan Harian (MDC)</v>
          </cell>
        </row>
        <row r="2194">
          <cell r="D2194" t="str">
            <v>KKM/JKN/HSA/10-05-01/R/15/17089</v>
          </cell>
          <cell r="E2194" t="str">
            <v>DIAGNOSTIC SET ADULT</v>
          </cell>
          <cell r="F2194" t="str">
            <v>WELCH ALLYN</v>
          </cell>
          <cell r="G2194" t="str">
            <v>97150-BI</v>
          </cell>
          <cell r="H2194" t="str">
            <v>N/A</v>
          </cell>
          <cell r="I2194" t="str">
            <v>ANNUALLY</v>
          </cell>
          <cell r="J2194">
            <v>45902</v>
          </cell>
          <cell r="K2194"/>
          <cell r="L2194"/>
          <cell r="M2194"/>
          <cell r="N2194" t="str">
            <v>JABATAN PEMBEDAHAN AM</v>
          </cell>
          <cell r="O2194" t="str">
            <v>Klinik Pembedahan Am (GEN SURGICAL CLINIC)</v>
          </cell>
        </row>
        <row r="2195">
          <cell r="D2195" t="str">
            <v>KKM/JKN/HSA/10-05-01/R/15/15915</v>
          </cell>
          <cell r="E2195" t="str">
            <v>SPOT VITAL SIGN (NIBP)</v>
          </cell>
          <cell r="F2195" t="str">
            <v>WELCH ALLYN</v>
          </cell>
          <cell r="G2195" t="str">
            <v>PROBP 3400 SERIES</v>
          </cell>
          <cell r="H2195">
            <v>100055162814</v>
          </cell>
          <cell r="I2195" t="str">
            <v>ANNUALLY</v>
          </cell>
          <cell r="J2195">
            <v>46031</v>
          </cell>
          <cell r="K2195"/>
          <cell r="L2195"/>
          <cell r="M2195"/>
          <cell r="N2195" t="str">
            <v>JABATAN OFTALMOLOGI</v>
          </cell>
          <cell r="O2195" t="str">
            <v>Klinik Oftalmologi (OPHTHAL CLINIC)</v>
          </cell>
        </row>
        <row r="2196">
          <cell r="D2196" t="str">
            <v>KKM/JKN/HSA/10-05-01/R/15/16746</v>
          </cell>
          <cell r="E2196" t="str">
            <v>SPOT VITAL SIGN (NIBP)</v>
          </cell>
          <cell r="F2196" t="str">
            <v>WELCH ALLYN</v>
          </cell>
          <cell r="G2196" t="str">
            <v>PROBP 3400 SERIES</v>
          </cell>
          <cell r="H2196">
            <v>100054962814</v>
          </cell>
          <cell r="I2196" t="str">
            <v>ANNUALLY</v>
          </cell>
          <cell r="J2196">
            <v>46031</v>
          </cell>
          <cell r="K2196"/>
          <cell r="L2196"/>
          <cell r="M2196"/>
          <cell r="N2196" t="str">
            <v>JABATAN PERUBATAN AM</v>
          </cell>
          <cell r="O2196" t="str">
            <v>Klinik Perubatan AM (GEN MEDICINE CLINIC)</v>
          </cell>
        </row>
        <row r="2197">
          <cell r="D2197" t="str">
            <v>KKM/JKN/HSA/10-05-01/H/15/4894</v>
          </cell>
          <cell r="E2197" t="str">
            <v>SNELLEN TEST CHART W/4 DOT TEST W/M</v>
          </cell>
          <cell r="F2197" t="str">
            <v>CLEMENT CLARKE</v>
          </cell>
          <cell r="G2197" t="str">
            <v>4101500 ROTATING DRUM</v>
          </cell>
          <cell r="H2197" t="str">
            <v>N/A</v>
          </cell>
          <cell r="I2197" t="str">
            <v>ANNUALLY</v>
          </cell>
          <cell r="J2197">
            <v>46031</v>
          </cell>
          <cell r="K2197"/>
          <cell r="L2197"/>
          <cell r="M2197"/>
          <cell r="N2197" t="str">
            <v>JABATAN OFTALMOLOGI</v>
          </cell>
          <cell r="O2197" t="str">
            <v>Jabatan Kecemasan &amp; Trauma (ED)</v>
          </cell>
        </row>
        <row r="2198">
          <cell r="D2198"/>
          <cell r="E2198" t="str">
            <v>NASOPHARYNGOSCOPE FIBEROPTIC</v>
          </cell>
          <cell r="F2198" t="str">
            <v>OLYMPUS</v>
          </cell>
          <cell r="G2198" t="str">
            <v>ENF-T3</v>
          </cell>
          <cell r="H2198" t="str">
            <v>N/A</v>
          </cell>
          <cell r="I2198" t="str">
            <v>ANNUALLY</v>
          </cell>
          <cell r="J2198">
            <v>45919</v>
          </cell>
          <cell r="K2198"/>
          <cell r="L2198"/>
          <cell r="M2198"/>
          <cell r="N2198" t="str">
            <v>JABATAN OTORINOLARINGOLOGI</v>
          </cell>
          <cell r="O2198" t="str">
            <v>Klinik Otorinolaringologi (ORL) (ENT CLINIC)</v>
          </cell>
        </row>
        <row r="2199">
          <cell r="D2199" t="str">
            <v>KKM/JKN/HSA/10-05-01/R/15/17211</v>
          </cell>
          <cell r="E2199" t="str">
            <v>INFUSOR PRESSURE</v>
          </cell>
          <cell r="F2199" t="str">
            <v>ERKA</v>
          </cell>
          <cell r="G2199" t="str">
            <v>N/A</v>
          </cell>
          <cell r="H2199">
            <v>15018098</v>
          </cell>
          <cell r="I2199" t="str">
            <v>ANNUALLY</v>
          </cell>
          <cell r="J2199">
            <v>45742</v>
          </cell>
          <cell r="K2199"/>
          <cell r="L2199"/>
          <cell r="M2199"/>
          <cell r="N2199" t="str">
            <v>JABATAN ANESTHESIA</v>
          </cell>
          <cell r="O2199" t="str">
            <v>Dewan Bedah Bersalin (MOT)</v>
          </cell>
        </row>
        <row r="2200">
          <cell r="D2200" t="str">
            <v>KKM/JKN/HSA/10-05-01/H/21/232</v>
          </cell>
          <cell r="E2200" t="str">
            <v>VOLUMETRIC PUMP</v>
          </cell>
          <cell r="F2200" t="str">
            <v>MEDCAPTAIN</v>
          </cell>
          <cell r="G2200" t="str">
            <v>SYS-6010A</v>
          </cell>
          <cell r="H2200" t="str">
            <v>9142012105345</v>
          </cell>
          <cell r="I2200" t="str">
            <v>ANNUALLY</v>
          </cell>
          <cell r="J2200">
            <v>45881</v>
          </cell>
          <cell r="K2200"/>
          <cell r="L2200"/>
          <cell r="M2200"/>
          <cell r="N2200" t="str">
            <v>JABATAN OBSTETRIK &amp; GINEKOLOGI</v>
          </cell>
          <cell r="O2200" t="str">
            <v>Dewan Bersalin (LDU)</v>
          </cell>
        </row>
        <row r="2201">
          <cell r="D2201" t="str">
            <v>KKM/JKN/HSA/10-05-01/H/21/9</v>
          </cell>
          <cell r="E2201" t="str">
            <v>PORTABLE  REVERSE OSMOSIS (RO) WATER SYSTEM</v>
          </cell>
          <cell r="F2201" t="str">
            <v>FRESENIUS</v>
          </cell>
          <cell r="G2201" t="str">
            <v>AQUA WTU 125</v>
          </cell>
          <cell r="H2201" t="str">
            <v>044S2835</v>
          </cell>
          <cell r="I2201" t="str">
            <v>SEMI ANNUALLY</v>
          </cell>
          <cell r="J2201">
            <v>45732</v>
          </cell>
          <cell r="K2201">
            <v>45915</v>
          </cell>
          <cell r="L2201"/>
          <cell r="M2201"/>
          <cell r="N2201" t="str">
            <v>UNIT HEMODIALISIS</v>
          </cell>
          <cell r="O2201" t="str">
            <v>High Dependency Ward (HDW)</v>
          </cell>
        </row>
        <row r="2202">
          <cell r="D2202" t="str">
            <v>KKM/JKN/HSA/10-05-01/H/21/211</v>
          </cell>
          <cell r="E2202" t="str">
            <v>LARYNGOSCOPE</v>
          </cell>
          <cell r="F2202" t="str">
            <v>VERATHON MEDICAL</v>
          </cell>
          <cell r="G2202" t="str">
            <v xml:space="preserve">GLIDESCOPE GO </v>
          </cell>
          <cell r="H2202" t="str">
            <v>HM231324</v>
          </cell>
          <cell r="I2202" t="str">
            <v>ANNUALLY</v>
          </cell>
          <cell r="J2202">
            <v>45902</v>
          </cell>
          <cell r="K2202"/>
          <cell r="L2202"/>
          <cell r="M2202"/>
          <cell r="N2202" t="str">
            <v>JABATAN KECEMASAN &amp; TRAUMA</v>
          </cell>
          <cell r="O2202" t="str">
            <v>Jabatan Kecemasan &amp; Trauma (ED)</v>
          </cell>
        </row>
        <row r="2203">
          <cell r="D2203" t="str">
            <v>KKM/JKN/HSA/10-05-01/H/21/202</v>
          </cell>
          <cell r="E2203" t="str">
            <v>VENTILATOR</v>
          </cell>
          <cell r="F2203" t="str">
            <v>DRAEGER</v>
          </cell>
          <cell r="G2203" t="str">
            <v>OXYLOG 3000 PLUS</v>
          </cell>
          <cell r="H2203" t="str">
            <v>ASPJ-0001</v>
          </cell>
          <cell r="I2203" t="str">
            <v>SEMI ANNUALLY</v>
          </cell>
          <cell r="J2203">
            <v>45712</v>
          </cell>
          <cell r="K2203">
            <v>45711</v>
          </cell>
          <cell r="L2203"/>
          <cell r="M2203"/>
          <cell r="N2203" t="str">
            <v>JABATAN KECEMASAN &amp; TRAUMA</v>
          </cell>
          <cell r="O2203" t="str">
            <v>Jabatan Kecemasan &amp; Trauma (ED)</v>
          </cell>
        </row>
        <row r="2204">
          <cell r="D2204" t="str">
            <v>KKM/JKN/HSA/10-05-01/H/21/110</v>
          </cell>
          <cell r="E2204" t="str">
            <v>SECHRIST VENTILATOR</v>
          </cell>
          <cell r="F2204" t="str">
            <v>FISHER &amp; PAYKEL</v>
          </cell>
          <cell r="G2204" t="str">
            <v>AIRVO 2</v>
          </cell>
          <cell r="H2204" t="str">
            <v>10241737</v>
          </cell>
          <cell r="I2204" t="str">
            <v>ANNUALLY</v>
          </cell>
          <cell r="J2204">
            <v>45838</v>
          </cell>
          <cell r="K2204"/>
          <cell r="L2204"/>
          <cell r="M2204"/>
          <cell r="N2204" t="str">
            <v>JABATAN KECEMASAN &amp; TRAUMA</v>
          </cell>
          <cell r="O2204" t="str">
            <v>Jabatan Kecemasan &amp; Trauma (ED)</v>
          </cell>
        </row>
        <row r="2205">
          <cell r="D2205" t="str">
            <v>KKM/JKN/HSA/10-05-01/H/21/111</v>
          </cell>
          <cell r="E2205" t="str">
            <v>SECHRIST VENTILATOR</v>
          </cell>
          <cell r="F2205" t="str">
            <v>FISHER &amp; PAYKEL</v>
          </cell>
          <cell r="G2205" t="str">
            <v>AIRVO 2</v>
          </cell>
          <cell r="H2205" t="str">
            <v>10241753</v>
          </cell>
          <cell r="I2205" t="str">
            <v>ANNUALLY</v>
          </cell>
          <cell r="J2205">
            <v>45838</v>
          </cell>
          <cell r="K2205"/>
          <cell r="L2205"/>
          <cell r="M2205"/>
          <cell r="N2205" t="str">
            <v>JABATAN KECEMASAN &amp; TRAUMA</v>
          </cell>
          <cell r="O2205" t="str">
            <v>Jabatan Kecemasan &amp; Trauma (ED)</v>
          </cell>
        </row>
        <row r="2206">
          <cell r="D2206" t="str">
            <v>KKM/JKN/HSA/10-05-01/H/21/112</v>
          </cell>
          <cell r="E2206" t="str">
            <v>SECHRIST VENTILATOR</v>
          </cell>
          <cell r="F2206" t="str">
            <v>FISHER &amp; PAYKEL</v>
          </cell>
          <cell r="G2206" t="str">
            <v>AIRVO 2</v>
          </cell>
          <cell r="H2206" t="str">
            <v>10241735</v>
          </cell>
          <cell r="I2206" t="str">
            <v>ANNUALLY</v>
          </cell>
          <cell r="J2206">
            <v>45838</v>
          </cell>
          <cell r="K2206"/>
          <cell r="L2206"/>
          <cell r="M2206"/>
          <cell r="N2206" t="str">
            <v>JABATAN KECEMASAN &amp; TRAUMA</v>
          </cell>
          <cell r="O2206" t="str">
            <v>Jabatan Kecemasan &amp; Trauma (ED)</v>
          </cell>
        </row>
        <row r="2207">
          <cell r="D2207" t="str">
            <v>KKM/JKN/HSA/10-05-01/H/21/17</v>
          </cell>
          <cell r="E2207" t="str">
            <v>POWERED AIR PURIFYING RESPIRATOR (PAPR)</v>
          </cell>
          <cell r="F2207" t="str">
            <v>SHINE</v>
          </cell>
          <cell r="G2207" t="str">
            <v>P-SH100</v>
          </cell>
          <cell r="H2207" t="str">
            <v>XAH2102246740004</v>
          </cell>
          <cell r="I2207" t="str">
            <v>ANNUALLY</v>
          </cell>
          <cell r="J2207">
            <v>45779</v>
          </cell>
          <cell r="K2207"/>
          <cell r="L2207"/>
          <cell r="M2207"/>
          <cell r="N2207" t="str">
            <v>JABATAN ANESTESIOLOGI</v>
          </cell>
          <cell r="O2207" t="str">
            <v>Jabatan Kecemasan &amp; Trauma (ED)</v>
          </cell>
        </row>
        <row r="2208">
          <cell r="D2208" t="str">
            <v>KKM/JKN/HSA/10-05-01/H/21/18</v>
          </cell>
          <cell r="E2208" t="str">
            <v>POWERED AIR PURIFYING RESPIRATOR (PAPR)</v>
          </cell>
          <cell r="F2208" t="str">
            <v>SHINE</v>
          </cell>
          <cell r="G2208" t="str">
            <v>P-SH100</v>
          </cell>
          <cell r="H2208" t="str">
            <v>XAH2102246740005</v>
          </cell>
          <cell r="I2208" t="str">
            <v>ANNUALLY</v>
          </cell>
          <cell r="J2208">
            <v>45779</v>
          </cell>
          <cell r="K2208"/>
          <cell r="L2208"/>
          <cell r="M2208"/>
          <cell r="N2208" t="str">
            <v>JABATAN ANESTESIOLOGI</v>
          </cell>
          <cell r="O2208" t="str">
            <v>Jabatan Kecemasan &amp; Trauma (ED)</v>
          </cell>
        </row>
        <row r="2209">
          <cell r="D2209" t="str">
            <v>KKM/JKN/HSA/10-05-01/H/21/341</v>
          </cell>
          <cell r="E2209" t="str">
            <v>TRANSPORT VENTILATOR</v>
          </cell>
          <cell r="F2209" t="str">
            <v>OXIVENT</v>
          </cell>
          <cell r="G2209" t="str">
            <v>OXI4PLUS</v>
          </cell>
          <cell r="H2209" t="str">
            <v>070520/ P004-000240</v>
          </cell>
          <cell r="I2209" t="str">
            <v>SEMI ANNUALLY</v>
          </cell>
          <cell r="J2209">
            <v>45798</v>
          </cell>
          <cell r="K2209">
            <v>45981</v>
          </cell>
          <cell r="L2209"/>
          <cell r="M2209"/>
          <cell r="N2209" t="str">
            <v>JABATAN KECEMASAN &amp; TRAUMA</v>
          </cell>
          <cell r="O2209" t="str">
            <v>Jabatan Kecemasan &amp; Trauma (ED)</v>
          </cell>
        </row>
        <row r="2210">
          <cell r="D2210" t="str">
            <v>KKM/JKN/HSA/10-05-01/H/21/342</v>
          </cell>
          <cell r="E2210" t="str">
            <v>TRANSPORT VENTILATOR</v>
          </cell>
          <cell r="F2210" t="str">
            <v>OXIVENT</v>
          </cell>
          <cell r="G2210" t="str">
            <v>OXI4PLUS</v>
          </cell>
          <cell r="H2210" t="str">
            <v>070520/ P004-000245</v>
          </cell>
          <cell r="I2210" t="str">
            <v>SEMI ANNUALLY</v>
          </cell>
          <cell r="J2210">
            <v>45798</v>
          </cell>
          <cell r="K2210">
            <v>45981</v>
          </cell>
          <cell r="L2210"/>
          <cell r="M2210"/>
          <cell r="N2210" t="str">
            <v>JABATAN KECEMASAN &amp; TRAUMA</v>
          </cell>
          <cell r="O2210" t="str">
            <v>Jabatan Kecemasan &amp; Trauma (ED)</v>
          </cell>
        </row>
        <row r="2211">
          <cell r="D2211" t="str">
            <v>KKM/JKN/HSA/10-05-01/H/21/87</v>
          </cell>
          <cell r="E2211" t="str">
            <v xml:space="preserve">AEROSOL SUCTION </v>
          </cell>
          <cell r="F2211" t="str">
            <v>GREELOY</v>
          </cell>
          <cell r="G2211" t="str">
            <v>GS-E1000</v>
          </cell>
          <cell r="H2211" t="str">
            <v>YS02336</v>
          </cell>
          <cell r="I2211" t="str">
            <v>ANNUALLY</v>
          </cell>
          <cell r="J2211">
            <v>45831</v>
          </cell>
          <cell r="K2211"/>
          <cell r="L2211"/>
          <cell r="M2211"/>
          <cell r="N2211" t="str">
            <v>JABATAN PERGIGIAN PEDIATRIK</v>
          </cell>
          <cell r="O2211" t="str">
            <v>Klinik Bedah Mulut &amp; Klinik Pergigian Pediatrik</v>
          </cell>
        </row>
        <row r="2212">
          <cell r="D2212" t="str">
            <v>KKM/JKN/HSA/10-05-01/H/21/231</v>
          </cell>
          <cell r="E2212" t="str">
            <v>VOLUMETRIC PUMP</v>
          </cell>
          <cell r="F2212" t="str">
            <v>MEDCAPTAIN</v>
          </cell>
          <cell r="G2212" t="str">
            <v>SYS-6010A</v>
          </cell>
          <cell r="H2212" t="str">
            <v>9142012105489</v>
          </cell>
          <cell r="I2212" t="str">
            <v>ANNUALLY</v>
          </cell>
          <cell r="J2212">
            <v>45879</v>
          </cell>
          <cell r="K2212"/>
          <cell r="L2212"/>
          <cell r="M2212"/>
          <cell r="N2212" t="str">
            <v>JABATAN OBSTETRIK &amp; GINEKOLOGI</v>
          </cell>
          <cell r="O2212" t="str">
            <v>Klinik Obstetrik Ginekologi (O&amp;G CLINIC)</v>
          </cell>
        </row>
        <row r="2213">
          <cell r="D2213" t="str">
            <v>KKM/JKN/HSA/10-05-01/H/21/453</v>
          </cell>
          <cell r="E2213" t="str">
            <v>OXYGEN CONCENTRATOR</v>
          </cell>
          <cell r="F2213" t="str">
            <v>ANGEL</v>
          </cell>
          <cell r="G2213" t="str">
            <v>D02-5AH</v>
          </cell>
          <cell r="H2213" t="str">
            <v>DM210677110</v>
          </cell>
          <cell r="I2213" t="str">
            <v>ANNUALLY</v>
          </cell>
          <cell r="J2213">
            <v>45911</v>
          </cell>
          <cell r="K2213"/>
          <cell r="L2213"/>
          <cell r="M2213"/>
          <cell r="N2213" t="str">
            <v>JABATAN PEMBEDAHAN AM</v>
          </cell>
          <cell r="O2213" t="str">
            <v>(Multidiscipline Ward) MDW</v>
          </cell>
        </row>
        <row r="2214">
          <cell r="D2214" t="str">
            <v>KKM/JKN/HSA/10-05-01/H/21/265</v>
          </cell>
          <cell r="E2214" t="str">
            <v>DEFIBRILLATOR PACER ANALYZER</v>
          </cell>
          <cell r="F2214" t="str">
            <v>MINDRAY</v>
          </cell>
          <cell r="G2214" t="str">
            <v>BENEHEART D3</v>
          </cell>
          <cell r="H2214" t="str">
            <v>EZ-18070460</v>
          </cell>
          <cell r="I2214" t="str">
            <v>SEMI ANNUALLY</v>
          </cell>
          <cell r="J2214">
            <v>45727</v>
          </cell>
          <cell r="K2214">
            <v>45910</v>
          </cell>
          <cell r="L2214"/>
          <cell r="M2214"/>
          <cell r="N2214" t="str">
            <v>JABATAN PEMBEDAHAN AM</v>
          </cell>
          <cell r="O2214" t="str">
            <v>(Multidiscipline Ward) MDW</v>
          </cell>
        </row>
        <row r="2215">
          <cell r="D2215" t="str">
            <v>KKM/JKN/HSA/10-05-01/H/21/206</v>
          </cell>
          <cell r="E2215" t="str">
            <v>ECG (EKG) MACHINE</v>
          </cell>
          <cell r="F2215" t="str">
            <v>EDAN</v>
          </cell>
          <cell r="G2215" t="str">
            <v>SE-301</v>
          </cell>
          <cell r="H2215" t="str">
            <v>360625-M21805400003</v>
          </cell>
          <cell r="I2215" t="str">
            <v>ANNUALLY</v>
          </cell>
          <cell r="J2215">
            <v>45712</v>
          </cell>
          <cell r="K2215"/>
          <cell r="L2215"/>
          <cell r="M2215"/>
          <cell r="N2215" t="str">
            <v>JABATAN PEMBEDAHAN AM</v>
          </cell>
          <cell r="O2215" t="str">
            <v>(Multidiscipline Ward) MDW</v>
          </cell>
        </row>
        <row r="2216">
          <cell r="D2216" t="str">
            <v>KKM/JKN/HSA/10-05-01/H/21/452</v>
          </cell>
          <cell r="E2216" t="str">
            <v>OXYGEN CONCENTRATOR</v>
          </cell>
          <cell r="F2216" t="str">
            <v>ANGEL</v>
          </cell>
          <cell r="G2216" t="str">
            <v>ANGEL-5A</v>
          </cell>
          <cell r="H2216" t="str">
            <v>X2010311249 5A</v>
          </cell>
          <cell r="I2216" t="str">
            <v>ANNUALLY</v>
          </cell>
          <cell r="J2216">
            <v>45911</v>
          </cell>
          <cell r="K2216"/>
          <cell r="L2216"/>
          <cell r="M2216"/>
          <cell r="N2216" t="str">
            <v>JABATAN PEMBEDAHAN AM</v>
          </cell>
          <cell r="O2216" t="str">
            <v>(Multidiscipline Ward) MDW</v>
          </cell>
        </row>
        <row r="2217">
          <cell r="D2217" t="str">
            <v>KKM/JKN/HSA/10-05-01/H/21/203</v>
          </cell>
          <cell r="E2217" t="str">
            <v>MESIN HEMODIALYSIS</v>
          </cell>
          <cell r="F2217" t="str">
            <v>FRESENIUS</v>
          </cell>
          <cell r="G2217" t="str">
            <v>5008S ADVANCE THERAPY SYSTEM</v>
          </cell>
          <cell r="H2217" t="str">
            <v>6128901WX0</v>
          </cell>
          <cell r="I2217" t="str">
            <v>SEMI ANNUALLY</v>
          </cell>
          <cell r="J2217">
            <v>45712</v>
          </cell>
          <cell r="K2217">
            <v>45892</v>
          </cell>
          <cell r="L2217"/>
          <cell r="M2217"/>
          <cell r="N2217" t="str">
            <v>UNIT HEMODIALISIS</v>
          </cell>
          <cell r="O2217" t="str">
            <v>Unit Hemodialisis (HDU)</v>
          </cell>
        </row>
        <row r="2218">
          <cell r="D2218" t="str">
            <v>KKM/JKN/HSA/10-05-01/H/22/1</v>
          </cell>
          <cell r="E2218" t="str">
            <v>ULTRASOUND SCANNER</v>
          </cell>
          <cell r="F2218" t="str">
            <v>GE</v>
          </cell>
          <cell r="G2218" t="str">
            <v>VERSANA ACTIVE 4D READY</v>
          </cell>
          <cell r="H2218" t="str">
            <v>9142012105340</v>
          </cell>
          <cell r="I2218" t="str">
            <v>SEMI ANNUALLY</v>
          </cell>
          <cell r="J2218">
            <v>45807</v>
          </cell>
          <cell r="K2218">
            <v>45806</v>
          </cell>
          <cell r="L2218"/>
          <cell r="M2218"/>
          <cell r="N2218" t="str">
            <v>JABATAN PERUBATAN AM</v>
          </cell>
          <cell r="O2218" t="str">
            <v>Unit Rawatan Koronari (CCU)</v>
          </cell>
        </row>
        <row r="2219">
          <cell r="D2219" t="str">
            <v>KKM/JKN/HSA/10-05-01/H/21/233</v>
          </cell>
          <cell r="E2219" t="str">
            <v>VOLUMETRIC PUMP</v>
          </cell>
          <cell r="F2219" t="str">
            <v>MEDCAPTAIN</v>
          </cell>
          <cell r="G2219" t="str">
            <v>SYS-6010A</v>
          </cell>
          <cell r="H2219" t="str">
            <v>9142012105326</v>
          </cell>
          <cell r="I2219" t="str">
            <v>ANNUALLY</v>
          </cell>
          <cell r="J2219">
            <v>45725</v>
          </cell>
          <cell r="K2219"/>
          <cell r="L2219"/>
          <cell r="M2219"/>
          <cell r="N2219" t="str">
            <v>JABATAN OBSTETRIK &amp; GINEKOLOGI</v>
          </cell>
          <cell r="O2219" t="str">
            <v>Unit Rawatan Koronari (CCU)</v>
          </cell>
        </row>
        <row r="2220">
          <cell r="D2220" t="str">
            <v>KKM/JKN/HSA/10-05-01/H/21/234</v>
          </cell>
          <cell r="E2220" t="str">
            <v>VOLUMETRIC PUMP</v>
          </cell>
          <cell r="F2220" t="str">
            <v>MEDCAPTAIN</v>
          </cell>
          <cell r="G2220" t="str">
            <v>SYS-6010A</v>
          </cell>
          <cell r="H2220" t="str">
            <v>9142012105469</v>
          </cell>
          <cell r="I2220" t="str">
            <v>ANNUALLY</v>
          </cell>
          <cell r="J2220">
            <v>45725</v>
          </cell>
          <cell r="K2220"/>
          <cell r="L2220"/>
          <cell r="M2220"/>
          <cell r="N2220" t="str">
            <v>JABATAN PERUBATAN AM</v>
          </cell>
          <cell r="O2220" t="str">
            <v>Unit Rawatan Koronari (CCU)</v>
          </cell>
        </row>
        <row r="2221">
          <cell r="D2221" t="str">
            <v>KKM/JKN/HSA/10-05-01/H/21/235</v>
          </cell>
          <cell r="E2221" t="str">
            <v>VOLUMETRIC PUMP</v>
          </cell>
          <cell r="F2221" t="str">
            <v>MEDCAPTAIN</v>
          </cell>
          <cell r="G2221" t="str">
            <v>SYS-6010A</v>
          </cell>
          <cell r="H2221" t="str">
            <v>9142012105481</v>
          </cell>
          <cell r="I2221" t="str">
            <v>ANNUALLY</v>
          </cell>
          <cell r="J2221">
            <v>45725</v>
          </cell>
          <cell r="K2221"/>
          <cell r="L2221"/>
          <cell r="M2221"/>
          <cell r="N2221" t="str">
            <v>JABATAN PERUBATAN AM</v>
          </cell>
          <cell r="O2221" t="str">
            <v>Unit Rawatan Koronari (CCU)</v>
          </cell>
        </row>
        <row r="2222">
          <cell r="D2222" t="str">
            <v>KKM/JKN/HSA/10-05-01/H/21/236</v>
          </cell>
          <cell r="E2222" t="str">
            <v>VOLUMETRIC PUMP</v>
          </cell>
          <cell r="F2222" t="str">
            <v>MEDCAPTAIN</v>
          </cell>
          <cell r="G2222" t="str">
            <v>SYS-6010A</v>
          </cell>
          <cell r="H2222" t="str">
            <v>9142012105481</v>
          </cell>
          <cell r="I2222" t="str">
            <v>ANNUALLY</v>
          </cell>
          <cell r="J2222">
            <v>45725</v>
          </cell>
          <cell r="K2222"/>
          <cell r="L2222"/>
          <cell r="M2222"/>
          <cell r="N2222" t="str">
            <v>JABATAN PERUBATAN AM</v>
          </cell>
          <cell r="O2222" t="str">
            <v>Unit Rawatan Koronari (CCU)</v>
          </cell>
        </row>
        <row r="2223">
          <cell r="D2223" t="str">
            <v>KKM/JKN/HSA/10-05-01/H/20/127</v>
          </cell>
          <cell r="E2223" t="str">
            <v>SYRINGE INFUSION PUMP</v>
          </cell>
          <cell r="F2223" t="str">
            <v xml:space="preserve">MEDCAPTAIN </v>
          </cell>
          <cell r="G2223" t="str">
            <v>SYS-50</v>
          </cell>
          <cell r="H2223" t="str">
            <v>91560120030807</v>
          </cell>
          <cell r="I2223" t="str">
            <v>ANNUALLY</v>
          </cell>
          <cell r="J2223">
            <v>45790</v>
          </cell>
          <cell r="K2223"/>
          <cell r="L2223"/>
          <cell r="M2223"/>
          <cell r="N2223" t="str">
            <v>JABATAN PEMBEDAHAN AM</v>
          </cell>
          <cell r="O2223" t="str">
            <v>Unit Rawatan Perubatan Harian (MDC)</v>
          </cell>
        </row>
        <row r="2224">
          <cell r="D2224" t="str">
            <v>KKM/JKN/HSA/10-05-01/H/20/128</v>
          </cell>
          <cell r="E2224" t="str">
            <v>SYRINGE INFUSION PUMP</v>
          </cell>
          <cell r="F2224" t="str">
            <v xml:space="preserve">MEDCAPTAIN </v>
          </cell>
          <cell r="G2224" t="str">
            <v>SYS-50</v>
          </cell>
          <cell r="H2224" t="str">
            <v>91560120030832</v>
          </cell>
          <cell r="I2224" t="str">
            <v>ANNUALLY</v>
          </cell>
          <cell r="J2224">
            <v>45790</v>
          </cell>
          <cell r="K2224"/>
          <cell r="L2224"/>
          <cell r="M2224"/>
          <cell r="N2224" t="str">
            <v>JABATAN PEMBEDAHAN AM</v>
          </cell>
          <cell r="O2224" t="str">
            <v>Unit Rawatan Perubatan Harian (MDC)</v>
          </cell>
        </row>
        <row r="2225">
          <cell r="D2225" t="str">
            <v>KKM/JKN/HSA/10-05-01/H/21/197</v>
          </cell>
          <cell r="E2225" t="str">
            <v>RIPPLE MATTRESS</v>
          </cell>
          <cell r="F2225" t="str">
            <v>LINET</v>
          </cell>
          <cell r="G2225" t="str">
            <v>AIR2 CARE MATTRESS</v>
          </cell>
          <cell r="H2225" t="str">
            <v>20210202952</v>
          </cell>
          <cell r="I2225" t="str">
            <v>ANNUALLY</v>
          </cell>
          <cell r="J2225">
            <v>45862</v>
          </cell>
          <cell r="K2225"/>
          <cell r="L2225"/>
          <cell r="M2225"/>
          <cell r="N2225" t="str">
            <v>JABATAN ANESTESIOLOGI DAN RAWATAN RAPI</v>
          </cell>
          <cell r="O2225" t="str">
            <v>Unit Rawatan Rapi (ICU)</v>
          </cell>
        </row>
        <row r="2226">
          <cell r="D2226" t="str">
            <v>KKM/JKN/HSA/10-05-01/H/21/198</v>
          </cell>
          <cell r="E2226" t="str">
            <v>RIPPLE MATTRESS</v>
          </cell>
          <cell r="F2226" t="str">
            <v>LINET</v>
          </cell>
          <cell r="G2226" t="str">
            <v>AIR2 CARE MATTRESS</v>
          </cell>
          <cell r="H2226" t="str">
            <v>20210202955</v>
          </cell>
          <cell r="I2226" t="str">
            <v>ANNUALLY</v>
          </cell>
          <cell r="J2226">
            <v>45862</v>
          </cell>
          <cell r="K2226"/>
          <cell r="L2226"/>
          <cell r="M2226"/>
          <cell r="N2226" t="str">
            <v>JABATAN ANESTESIOLOGI DAN RAWATAN RAPI</v>
          </cell>
          <cell r="O2226" t="str">
            <v>Unit Rawatan Rapi (ICU)</v>
          </cell>
        </row>
        <row r="2227">
          <cell r="D2227" t="str">
            <v>KKM/JKN/HSA/10-05-01/H/21/199</v>
          </cell>
          <cell r="E2227" t="str">
            <v>RIPPLE MATTRESS</v>
          </cell>
          <cell r="F2227" t="str">
            <v>LINET</v>
          </cell>
          <cell r="G2227" t="str">
            <v>AIR2 CARE MATTRESS</v>
          </cell>
          <cell r="H2227" t="str">
            <v>20210202945</v>
          </cell>
          <cell r="I2227" t="str">
            <v>ANNUALLY</v>
          </cell>
          <cell r="J2227">
            <v>45862</v>
          </cell>
          <cell r="K2227"/>
          <cell r="L2227"/>
          <cell r="M2227"/>
          <cell r="N2227" t="str">
            <v>JABATAN ANESTESIOLOGI DAN RAWATAN RAPI</v>
          </cell>
          <cell r="O2227" t="str">
            <v>Unit Rawatan Rapi (ICU)</v>
          </cell>
        </row>
        <row r="2228">
          <cell r="D2228" t="str">
            <v>KKM/JKN/HSA/10-05-01/H/21/200</v>
          </cell>
          <cell r="E2228" t="str">
            <v>RIPPLE MATTRESS</v>
          </cell>
          <cell r="F2228" t="str">
            <v>LINET</v>
          </cell>
          <cell r="G2228" t="str">
            <v>AIR2 CARE MATTRESS</v>
          </cell>
          <cell r="H2228" t="str">
            <v>20210202950</v>
          </cell>
          <cell r="I2228" t="str">
            <v>ANNUALLY</v>
          </cell>
          <cell r="J2228">
            <v>45862</v>
          </cell>
          <cell r="K2228"/>
          <cell r="L2228"/>
          <cell r="M2228"/>
          <cell r="N2228" t="str">
            <v>JABATAN ANESTESIOLOGI DAN RAWATAN RAPI</v>
          </cell>
          <cell r="O2228" t="str">
            <v>Unit Rawatan Rapi (ICU)</v>
          </cell>
        </row>
        <row r="2229">
          <cell r="D2229" t="str">
            <v>KKM/JKN/HSA/10-05-01/H/21/201</v>
          </cell>
          <cell r="E2229" t="str">
            <v>RIPPLE MATTRESS</v>
          </cell>
          <cell r="F2229" t="str">
            <v>LINET</v>
          </cell>
          <cell r="G2229" t="str">
            <v>AIR2 CARE MATTRESS</v>
          </cell>
          <cell r="H2229" t="str">
            <v>20210202954</v>
          </cell>
          <cell r="I2229" t="str">
            <v>ANNUALLY</v>
          </cell>
          <cell r="J2229">
            <v>45862</v>
          </cell>
          <cell r="K2229"/>
          <cell r="L2229"/>
          <cell r="M2229"/>
          <cell r="N2229" t="str">
            <v>JABATAN ANESTESIOLOGI DAN RAWATAN RAPI</v>
          </cell>
          <cell r="O2229" t="str">
            <v>Unit Rawatan Rapi (ICU)</v>
          </cell>
        </row>
        <row r="2230">
          <cell r="D2230" t="str">
            <v>KKM/JKN/HSA/10-05-01/H/21/137</v>
          </cell>
          <cell r="E2230" t="str">
            <v>ULTRASOUND SCANNER</v>
          </cell>
          <cell r="F2230" t="str">
            <v>VERSANA ACTIVE</v>
          </cell>
          <cell r="G2230" t="str">
            <v>H48722BA</v>
          </cell>
          <cell r="H2230" t="str">
            <v>6129806WXO</v>
          </cell>
          <cell r="I2230" t="str">
            <v>SEMI ANNUALLY</v>
          </cell>
          <cell r="J2230">
            <v>45707</v>
          </cell>
          <cell r="K2230">
            <v>45887</v>
          </cell>
          <cell r="L2230"/>
          <cell r="M2230"/>
          <cell r="N2230" t="str">
            <v>JABATAN ANESTESIOLOGI DAN RAWATAN RAPI</v>
          </cell>
          <cell r="O2230" t="str">
            <v>Unit Rawatan Rapi (ICU)</v>
          </cell>
        </row>
        <row r="2231">
          <cell r="D2231" t="str">
            <v>KKM/JKN/HSA/10-05-01/H/21/130</v>
          </cell>
          <cell r="E2231" t="str">
            <v>FLUID MANAGEMENT SYSTEM</v>
          </cell>
          <cell r="F2231" t="str">
            <v xml:space="preserve">MEDCAPTAIN </v>
          </cell>
          <cell r="G2231" t="str">
            <v>HP SERIES FLUID MANAGEMENT SYSTEM</v>
          </cell>
          <cell r="H2231" t="str">
            <v>MP110TC210701351</v>
          </cell>
          <cell r="I2231" t="str">
            <v>ANNUALLY</v>
          </cell>
          <cell r="J2231">
            <v>46031</v>
          </cell>
          <cell r="K2231"/>
          <cell r="L2231"/>
          <cell r="M2231"/>
          <cell r="N2231" t="str">
            <v>JABATAN ANESTESIOLOGI DAN RAWATAN RAPI</v>
          </cell>
          <cell r="O2231" t="str">
            <v>Unit Rawatan Rapi (ICU)</v>
          </cell>
        </row>
        <row r="2232">
          <cell r="D2232" t="str">
            <v>KKM/JKN/HSA/10-05-01/H/21/131</v>
          </cell>
          <cell r="E2232" t="str">
            <v>FLUID MANAGEMENT SYSTEM</v>
          </cell>
          <cell r="F2232" t="str">
            <v xml:space="preserve">MEDCAPTAIN </v>
          </cell>
          <cell r="G2232" t="str">
            <v>HP SERIES FLUID MANAGEMENT SYSTEM</v>
          </cell>
          <cell r="H2232" t="str">
            <v>MP110TC210701352</v>
          </cell>
          <cell r="I2232" t="str">
            <v>ANNUALLY</v>
          </cell>
          <cell r="J2232">
            <v>46031</v>
          </cell>
          <cell r="K2232"/>
          <cell r="L2232"/>
          <cell r="M2232"/>
          <cell r="N2232" t="str">
            <v>JABATAN ANESTESIOLOGI DAN RAWATAN RAPI</v>
          </cell>
          <cell r="O2232" t="str">
            <v>Unit Rawatan Rapi (ICU)</v>
          </cell>
        </row>
        <row r="2233">
          <cell r="D2233" t="str">
            <v>KKM/JKN/HSA/10-05-01/H/21/132</v>
          </cell>
          <cell r="E2233" t="str">
            <v>FLUID MANAGEMENT SYSTEM</v>
          </cell>
          <cell r="F2233" t="str">
            <v xml:space="preserve">MEDCAPTAIN </v>
          </cell>
          <cell r="G2233" t="str">
            <v>HP SERIES FLUID MANAGEMENT SYSTEM</v>
          </cell>
          <cell r="H2233" t="str">
            <v>MP110TC210701363</v>
          </cell>
          <cell r="I2233" t="str">
            <v>ANNUALLY</v>
          </cell>
          <cell r="J2233">
            <v>46031</v>
          </cell>
          <cell r="K2233"/>
          <cell r="L2233"/>
          <cell r="M2233"/>
          <cell r="N2233" t="str">
            <v>JABATAN ANESTESIOLOGI DAN RAWATAN RAPI</v>
          </cell>
          <cell r="O2233" t="str">
            <v>Unit Rawatan Rapi (ICU)</v>
          </cell>
        </row>
        <row r="2234">
          <cell r="D2234" t="str">
            <v>KKM/JKN/HSA/10-05-01/H/21/133</v>
          </cell>
          <cell r="E2234" t="str">
            <v>FLUID MANAGEMENT SYSTEM</v>
          </cell>
          <cell r="F2234" t="str">
            <v xml:space="preserve">MEDCAPTAIN </v>
          </cell>
          <cell r="G2234" t="str">
            <v>HP SERIES FLUID MANAGEMENT SYSTEM</v>
          </cell>
          <cell r="H2234" t="str">
            <v>MP110TC210701419</v>
          </cell>
          <cell r="I2234" t="str">
            <v>ANNUALLY</v>
          </cell>
          <cell r="J2234">
            <v>46031</v>
          </cell>
          <cell r="K2234"/>
          <cell r="L2234"/>
          <cell r="M2234"/>
          <cell r="N2234" t="str">
            <v>JABATAN ANESTESIOLOGI DAN RAWATAN RAPI</v>
          </cell>
          <cell r="O2234" t="str">
            <v>Unit Rawatan Rapi (ICU)</v>
          </cell>
        </row>
        <row r="2235">
          <cell r="D2235" t="str">
            <v>KKM/JKN/HSA/10-05-01/H/21/134</v>
          </cell>
          <cell r="E2235" t="str">
            <v>FLUID MANAGEMENT SYSTEM</v>
          </cell>
          <cell r="F2235" t="str">
            <v xml:space="preserve">MEDCAPTAIN </v>
          </cell>
          <cell r="G2235" t="str">
            <v>HP SERIES FLUID MANAGEMENT SYSTEM</v>
          </cell>
          <cell r="H2235" t="str">
            <v>MP110TC210701425</v>
          </cell>
          <cell r="I2235" t="str">
            <v>ANNUALLY</v>
          </cell>
          <cell r="J2235">
            <v>46031</v>
          </cell>
          <cell r="K2235"/>
          <cell r="L2235"/>
          <cell r="M2235"/>
          <cell r="N2235" t="str">
            <v>JABATAN ANESTESIOLOGI DAN RAWATAN RAPI</v>
          </cell>
          <cell r="O2235" t="str">
            <v>Unit Rawatan Rapi (ICU)</v>
          </cell>
        </row>
        <row r="2236">
          <cell r="D2236" t="str">
            <v>KKM/JKN/HSA/10-05-01/H/21/138</v>
          </cell>
          <cell r="E2236" t="str">
            <v>VOLUMETRIC PUMP</v>
          </cell>
          <cell r="F2236" t="str">
            <v>B.BRAUN</v>
          </cell>
          <cell r="G2236" t="str">
            <v>INFUSOMAT COMPACT PLUS P</v>
          </cell>
          <cell r="H2236" t="str">
            <v>001946</v>
          </cell>
          <cell r="I2236" t="str">
            <v>ANNUALLY</v>
          </cell>
          <cell r="J2236">
            <v>46036</v>
          </cell>
          <cell r="K2236"/>
          <cell r="L2236"/>
          <cell r="M2236"/>
          <cell r="N2236" t="str">
            <v>JABATAN ANESTESIOLOGI DAN RAWATAN RAPI</v>
          </cell>
          <cell r="O2236" t="str">
            <v>Unit Rawatan Rapi (ICU)</v>
          </cell>
        </row>
        <row r="2237">
          <cell r="D2237" t="str">
            <v>KKM/JKN/HSA/10-05-01/H/21/139</v>
          </cell>
          <cell r="E2237" t="str">
            <v>VOLUMETRIC PUMP</v>
          </cell>
          <cell r="F2237" t="str">
            <v>B.BRAUN</v>
          </cell>
          <cell r="G2237" t="str">
            <v>INFUSOMAT COMPACT PLUS P</v>
          </cell>
          <cell r="H2237" t="str">
            <v>001947</v>
          </cell>
          <cell r="I2237" t="str">
            <v>ANNUALLY</v>
          </cell>
          <cell r="J2237">
            <v>45757</v>
          </cell>
          <cell r="K2237"/>
          <cell r="L2237"/>
          <cell r="M2237"/>
          <cell r="N2237" t="str">
            <v>JABATAN ANESTESIOLOGI DAN RAWATAN RAPI</v>
          </cell>
          <cell r="O2237" t="str">
            <v>Unit Rawatan Rapi (ICU)</v>
          </cell>
        </row>
        <row r="2238">
          <cell r="D2238" t="str">
            <v>KKM/JKN/HSA/10-05-01/H/21/204</v>
          </cell>
          <cell r="E2238" t="str">
            <v>ECG MACHINE</v>
          </cell>
          <cell r="F2238" t="str">
            <v>EDAN</v>
          </cell>
          <cell r="G2238" t="str">
            <v>SE-301</v>
          </cell>
          <cell r="H2238" t="str">
            <v>360625-M21805400018</v>
          </cell>
          <cell r="I2238" t="str">
            <v>ANNUALLY</v>
          </cell>
          <cell r="J2238">
            <v>46036</v>
          </cell>
          <cell r="K2238"/>
          <cell r="L2238"/>
          <cell r="M2238"/>
          <cell r="N2238" t="str">
            <v>JABATAN ANESTESIOLOGI DAN RAWATAN RAPI</v>
          </cell>
          <cell r="O2238" t="str">
            <v>Unit Rawatan Rapi (ICU)</v>
          </cell>
        </row>
        <row r="2239">
          <cell r="D2239" t="str">
            <v>KKM/JKN/HSA/10-05-01/H/21/187</v>
          </cell>
          <cell r="E2239" t="str">
            <v xml:space="preserve">CONTINUOUS RENAL REPLACEMENT THERAPY </v>
          </cell>
          <cell r="F2239" t="str">
            <v>FRESENIUS</v>
          </cell>
          <cell r="G2239" t="str">
            <v>MULTIFLITRATE PRO M205001</v>
          </cell>
          <cell r="H2239" t="str">
            <v>1FTG4820</v>
          </cell>
          <cell r="I2239" t="str">
            <v>SEMI ANNUALLY</v>
          </cell>
          <cell r="J2239">
            <v>46051</v>
          </cell>
          <cell r="K2239">
            <v>46231</v>
          </cell>
          <cell r="L2239"/>
          <cell r="M2239"/>
          <cell r="N2239" t="str">
            <v>UNIT HEMODIALISIS</v>
          </cell>
          <cell r="O2239" t="str">
            <v>Unit Rawatan Rapi (ICU)</v>
          </cell>
        </row>
        <row r="2240">
          <cell r="D2240" t="str">
            <v>KKM/JKN/HSA/10-05-01/H/21/11</v>
          </cell>
          <cell r="E2240" t="str">
            <v>POWERED AIR PURIFYING RESPIRATOR (PAPR)</v>
          </cell>
          <cell r="F2240" t="str">
            <v>SHINE</v>
          </cell>
          <cell r="G2240" t="str">
            <v>P-SH100</v>
          </cell>
          <cell r="H2240" t="str">
            <v>XAH2102246740006</v>
          </cell>
          <cell r="I2240" t="str">
            <v>ANNUALLY</v>
          </cell>
          <cell r="J2240">
            <v>45782</v>
          </cell>
          <cell r="K2240"/>
          <cell r="L2240"/>
          <cell r="M2240"/>
          <cell r="N2240" t="str">
            <v>JABATAN ANESTESIOLOGI</v>
          </cell>
          <cell r="O2240" t="str">
            <v>Unit Rawatan Rapi (ICU)</v>
          </cell>
        </row>
        <row r="2241">
          <cell r="D2241" t="str">
            <v>KKM/JKN/HSA/10-05-01/H/21/12</v>
          </cell>
          <cell r="E2241" t="str">
            <v>POWERED AIR PURIFYING RESPIRATOR (PAPR)</v>
          </cell>
          <cell r="F2241" t="str">
            <v>SHINE</v>
          </cell>
          <cell r="G2241" t="str">
            <v>P-SH100</v>
          </cell>
          <cell r="H2241" t="str">
            <v>XAH2102246740015</v>
          </cell>
          <cell r="I2241" t="str">
            <v>ANNUALLY</v>
          </cell>
          <cell r="J2241">
            <v>45782</v>
          </cell>
          <cell r="K2241"/>
          <cell r="L2241"/>
          <cell r="M2241"/>
          <cell r="N2241" t="str">
            <v>JABATAN ANESTESIOLOGI</v>
          </cell>
          <cell r="O2241" t="str">
            <v>Unit Rawatan Rapi (ICU)</v>
          </cell>
        </row>
        <row r="2242">
          <cell r="D2242" t="str">
            <v>KKM/JKN/HSA/10-05-01/H/21/13</v>
          </cell>
          <cell r="E2242" t="str">
            <v>POWERED AIR PURIFYING RESPIRATOR (PAPR)</v>
          </cell>
          <cell r="F2242" t="str">
            <v>SHINE</v>
          </cell>
          <cell r="G2242" t="str">
            <v>P-SH100</v>
          </cell>
          <cell r="H2242" t="str">
            <v>XAH2102246740020</v>
          </cell>
          <cell r="I2242" t="str">
            <v>ANNUALLY</v>
          </cell>
          <cell r="J2242">
            <v>45782</v>
          </cell>
          <cell r="K2242"/>
          <cell r="L2242"/>
          <cell r="M2242"/>
          <cell r="N2242" t="str">
            <v>JABATAN ANESTESIOLOGI</v>
          </cell>
          <cell r="O2242" t="str">
            <v>Unit Rawatan Rapi (ICU)</v>
          </cell>
        </row>
        <row r="2243">
          <cell r="D2243" t="str">
            <v>KKM/JKN/HSA/10-05-01/H/21/14</v>
          </cell>
          <cell r="E2243" t="str">
            <v>POWERED AIR PURIFYING RESPIRATOR (PAPR)</v>
          </cell>
          <cell r="F2243" t="str">
            <v>SHINE</v>
          </cell>
          <cell r="G2243" t="str">
            <v>P-SH100</v>
          </cell>
          <cell r="H2243" t="str">
            <v>XAH2102246740001</v>
          </cell>
          <cell r="I2243" t="str">
            <v>ANNUALLY</v>
          </cell>
          <cell r="J2243">
            <v>45782</v>
          </cell>
          <cell r="K2243"/>
          <cell r="L2243"/>
          <cell r="M2243"/>
          <cell r="N2243" t="str">
            <v>JABATAN ANESTESIOLOGI</v>
          </cell>
          <cell r="O2243" t="str">
            <v>Unit Rawatan Rapi (ICU)</v>
          </cell>
        </row>
        <row r="2244">
          <cell r="D2244" t="str">
            <v>KKM/JKN/HSA/10-05-01/H/21/15</v>
          </cell>
          <cell r="E2244" t="str">
            <v>POWERED AIR PURIFYING RESPIRATOR (PAPR)</v>
          </cell>
          <cell r="F2244" t="str">
            <v>SHINE</v>
          </cell>
          <cell r="G2244" t="str">
            <v>P-SH100</v>
          </cell>
          <cell r="H2244" t="str">
            <v>XAH2102246740002</v>
          </cell>
          <cell r="I2244" t="str">
            <v>ANNUALLY</v>
          </cell>
          <cell r="J2244">
            <v>45782</v>
          </cell>
          <cell r="K2244"/>
          <cell r="L2244"/>
          <cell r="M2244"/>
          <cell r="N2244" t="str">
            <v>JABATAN ANESTESIOLOGI</v>
          </cell>
          <cell r="O2244" t="str">
            <v>Unit Rawatan Rapi (ICU)</v>
          </cell>
        </row>
        <row r="2245">
          <cell r="D2245" t="str">
            <v>KKM/JKN/HSA/10-05-01/H/21/16</v>
          </cell>
          <cell r="E2245" t="str">
            <v>POWERED AIR PURIFYING RESPIRATOR (PAPR)</v>
          </cell>
          <cell r="F2245" t="str">
            <v>SHINE</v>
          </cell>
          <cell r="G2245" t="str">
            <v>P-SH100</v>
          </cell>
          <cell r="H2245" t="str">
            <v>XAH2102246740003</v>
          </cell>
          <cell r="I2245" t="str">
            <v>ANNUALLY</v>
          </cell>
          <cell r="J2245">
            <v>45782</v>
          </cell>
          <cell r="K2245"/>
          <cell r="L2245"/>
          <cell r="M2245"/>
          <cell r="N2245" t="str">
            <v>JABATAN ANESTESIOLOGI</v>
          </cell>
          <cell r="O2245" t="str">
            <v>Unit Rawatan Rapi (ICU)</v>
          </cell>
        </row>
        <row r="2246">
          <cell r="D2246" t="str">
            <v>KKM/JKN/HSA/10-05-01/H/21/123</v>
          </cell>
          <cell r="E2246" t="str">
            <v>VENTILATOR</v>
          </cell>
          <cell r="F2246" t="str">
            <v>MINDRAY</v>
          </cell>
          <cell r="G2246" t="str">
            <v>SV600</v>
          </cell>
          <cell r="H2246" t="str">
            <v>AA6-16013105</v>
          </cell>
          <cell r="I2246" t="str">
            <v>SEMI ANNUALLY</v>
          </cell>
          <cell r="J2246">
            <v>45699</v>
          </cell>
          <cell r="K2246">
            <v>45879</v>
          </cell>
          <cell r="L2246"/>
          <cell r="M2246"/>
          <cell r="N2246" t="str">
            <v>JABATAN ANESTESIOLOGI</v>
          </cell>
          <cell r="O2246" t="str">
            <v>Unit Rawatan Rapi (ICU)</v>
          </cell>
        </row>
        <row r="2247">
          <cell r="D2247" t="str">
            <v>KKM/JKN/HSA/10-05-01/H/21/124</v>
          </cell>
          <cell r="E2247" t="str">
            <v>VENTILATOR</v>
          </cell>
          <cell r="F2247" t="str">
            <v>MINDRAY</v>
          </cell>
          <cell r="G2247" t="str">
            <v>SV600</v>
          </cell>
          <cell r="H2247" t="str">
            <v>AA6-16013125</v>
          </cell>
          <cell r="I2247" t="str">
            <v>SEMI ANNUALLY</v>
          </cell>
          <cell r="J2247">
            <v>45699</v>
          </cell>
          <cell r="K2247">
            <v>45879</v>
          </cell>
          <cell r="L2247"/>
          <cell r="M2247"/>
          <cell r="N2247" t="str">
            <v>JABATAN ANESTESIOLOGI</v>
          </cell>
          <cell r="O2247" t="str">
            <v>Unit Rawatan Rapi (ICU)</v>
          </cell>
        </row>
        <row r="2248">
          <cell r="D2248" t="str">
            <v>KKM/JKN/HSA/10-05-01/H/21/125</v>
          </cell>
          <cell r="E2248" t="str">
            <v>VENTILATOR</v>
          </cell>
          <cell r="F2248" t="str">
            <v>MINDRAY</v>
          </cell>
          <cell r="G2248" t="str">
            <v>SV600</v>
          </cell>
          <cell r="H2248" t="str">
            <v>AA6-17013313</v>
          </cell>
          <cell r="I2248" t="str">
            <v>SEMI ANNUALLY</v>
          </cell>
          <cell r="J2248">
            <v>45699</v>
          </cell>
          <cell r="K2248">
            <v>45879</v>
          </cell>
          <cell r="L2248"/>
          <cell r="M2248"/>
          <cell r="N2248" t="str">
            <v>JABATAN ANESTESIOLOGI</v>
          </cell>
          <cell r="O2248" t="str">
            <v>Unit Rawatan Rapi (ICU)</v>
          </cell>
        </row>
        <row r="2249">
          <cell r="D2249" t="str">
            <v>KKM/JKN/HSA/10-05-01/H/21/126</v>
          </cell>
          <cell r="E2249" t="str">
            <v>VENTILATOR</v>
          </cell>
          <cell r="F2249" t="str">
            <v>MINDRAY</v>
          </cell>
          <cell r="G2249" t="str">
            <v>SV600</v>
          </cell>
          <cell r="H2249" t="str">
            <v>AA6-17013314</v>
          </cell>
          <cell r="I2249" t="str">
            <v>SEMI ANNUALLY</v>
          </cell>
          <cell r="J2249">
            <v>45699</v>
          </cell>
          <cell r="K2249">
            <v>45879</v>
          </cell>
          <cell r="L2249"/>
          <cell r="M2249"/>
          <cell r="N2249" t="str">
            <v>JABATAN ANESTESIOLOGI</v>
          </cell>
          <cell r="O2249" t="str">
            <v>Unit Rawatan Rapi (ICU)</v>
          </cell>
        </row>
        <row r="2250">
          <cell r="D2250" t="str">
            <v>KKM/JKN/HSA/10-05-01/H/21/127</v>
          </cell>
          <cell r="E2250" t="str">
            <v>VENTILATOR</v>
          </cell>
          <cell r="F2250" t="str">
            <v>MINDRAY</v>
          </cell>
          <cell r="G2250" t="str">
            <v>SV600</v>
          </cell>
          <cell r="H2250" t="str">
            <v>AA6-17013315</v>
          </cell>
          <cell r="I2250" t="str">
            <v>SEMI ANNUALLY</v>
          </cell>
          <cell r="J2250">
            <v>45699</v>
          </cell>
          <cell r="K2250">
            <v>45879</v>
          </cell>
          <cell r="L2250"/>
          <cell r="M2250"/>
          <cell r="N2250" t="str">
            <v>JABATAN ANESTESIOLOGI</v>
          </cell>
          <cell r="O2250" t="str">
            <v>Unit Rawatan Rapi (ICU)</v>
          </cell>
        </row>
        <row r="2251">
          <cell r="D2251" t="str">
            <v>KKM/JKN/HSA/10-05-01/H/21/107</v>
          </cell>
          <cell r="E2251" t="str">
            <v>INFANT VENTILATOR</v>
          </cell>
          <cell r="F2251" t="str">
            <v>WILAMED</v>
          </cell>
          <cell r="G2251" t="str">
            <v>WILAFLOW ELITE</v>
          </cell>
          <cell r="H2251" t="str">
            <v>WFEKAZCJBJC</v>
          </cell>
          <cell r="I2251" t="str">
            <v>SEMI ANNUALLY</v>
          </cell>
          <cell r="J2251">
            <v>46031</v>
          </cell>
          <cell r="K2251">
            <v>46211</v>
          </cell>
          <cell r="L2251"/>
          <cell r="M2251"/>
          <cell r="N2251" t="str">
            <v>JABATAN PEDIATRIK</v>
          </cell>
          <cell r="O2251" t="str">
            <v>Unit Rawatan Rapi Neonatal (NICU)</v>
          </cell>
        </row>
        <row r="2252">
          <cell r="D2252" t="str">
            <v>KKM/JKN/HSA/10-05-01/H/21/108</v>
          </cell>
          <cell r="E2252" t="str">
            <v>INFANT VENTILATOR</v>
          </cell>
          <cell r="F2252" t="str">
            <v>WILAMED</v>
          </cell>
          <cell r="G2252" t="str">
            <v>WILAFLOW ELITE</v>
          </cell>
          <cell r="H2252" t="str">
            <v>WFEKAZCJALF</v>
          </cell>
          <cell r="I2252" t="str">
            <v>SEMI ANNUALLY</v>
          </cell>
          <cell r="J2252">
            <v>46031</v>
          </cell>
          <cell r="K2252">
            <v>46211</v>
          </cell>
          <cell r="L2252"/>
          <cell r="M2252"/>
          <cell r="N2252" t="str">
            <v>JABATAN PEDIATRIK</v>
          </cell>
          <cell r="O2252" t="str">
            <v>Unit Rawatan Rapi Neonatal (NICU)</v>
          </cell>
        </row>
        <row r="2253">
          <cell r="D2253" t="str">
            <v>KKM/JKN/HSA/10-05-01/H/21/109</v>
          </cell>
          <cell r="E2253" t="str">
            <v>INFANT VENTILATOR</v>
          </cell>
          <cell r="F2253" t="str">
            <v>WILAMED</v>
          </cell>
          <cell r="G2253" t="str">
            <v>WILAFLOW ELITE</v>
          </cell>
          <cell r="H2253" t="str">
            <v>WFEKAZCJAME</v>
          </cell>
          <cell r="I2253" t="str">
            <v>SEMI ANNUALLY</v>
          </cell>
          <cell r="J2253">
            <v>46031</v>
          </cell>
          <cell r="K2253">
            <v>46211</v>
          </cell>
          <cell r="L2253"/>
          <cell r="M2253"/>
          <cell r="N2253" t="str">
            <v>JABATAN PEDIATRIK</v>
          </cell>
          <cell r="O2253" t="str">
            <v>Unit Rawatan Rapi Neonatal (NICU)</v>
          </cell>
        </row>
        <row r="2254">
          <cell r="D2254" t="str">
            <v>KKM/JKN/HSA/10-05-01/H/21/104</v>
          </cell>
          <cell r="E2254" t="str">
            <v>INFANT VENTILATOR</v>
          </cell>
          <cell r="F2254" t="str">
            <v>DRAEGER</v>
          </cell>
          <cell r="G2254" t="str">
            <v>BABYLOG VN600</v>
          </cell>
          <cell r="H2254" t="str">
            <v>ASPF-0043</v>
          </cell>
          <cell r="I2254" t="str">
            <v>SEMI ANNUALLY</v>
          </cell>
          <cell r="J2254">
            <v>46031</v>
          </cell>
          <cell r="K2254">
            <v>46211</v>
          </cell>
          <cell r="L2254"/>
          <cell r="M2254"/>
          <cell r="N2254" t="str">
            <v>JABATAN PEDIATRIK</v>
          </cell>
          <cell r="O2254" t="str">
            <v>Unit Rawatan Rapi Neonatal (NICU)</v>
          </cell>
        </row>
        <row r="2255">
          <cell r="D2255" t="str">
            <v>KKM/JKN/HSA/10-05-01/H/21/105</v>
          </cell>
          <cell r="E2255" t="str">
            <v>INFANT VENTILATOR</v>
          </cell>
          <cell r="F2255" t="str">
            <v>DRAEGER</v>
          </cell>
          <cell r="G2255" t="str">
            <v>BABYLOG VN600</v>
          </cell>
          <cell r="H2255" t="str">
            <v>ASPF-0044</v>
          </cell>
          <cell r="I2255" t="str">
            <v>SEMI ANNUALLY</v>
          </cell>
          <cell r="J2255">
            <v>46031</v>
          </cell>
          <cell r="K2255">
            <v>46211</v>
          </cell>
          <cell r="L2255"/>
          <cell r="M2255"/>
          <cell r="N2255" t="str">
            <v>JABATAN PEDIATRIK</v>
          </cell>
          <cell r="O2255" t="str">
            <v>Unit Rawatan Rapi Neonatal (NICU)</v>
          </cell>
        </row>
        <row r="2256">
          <cell r="D2256" t="str">
            <v>KKM/JKN/HSA/10-05-01/H/21/106</v>
          </cell>
          <cell r="E2256" t="str">
            <v>INFANT VENTILATOR</v>
          </cell>
          <cell r="F2256" t="str">
            <v>DRAEGER</v>
          </cell>
          <cell r="G2256" t="str">
            <v>BABYLOG VN600</v>
          </cell>
          <cell r="H2256" t="str">
            <v>ASPF-0045</v>
          </cell>
          <cell r="I2256" t="str">
            <v>SEMI ANNUALLY</v>
          </cell>
          <cell r="J2256">
            <v>46031</v>
          </cell>
          <cell r="K2256">
            <v>46211</v>
          </cell>
          <cell r="L2256"/>
          <cell r="M2256"/>
          <cell r="N2256" t="str">
            <v>JABATAN PEDIATRIK</v>
          </cell>
          <cell r="O2256" t="str">
            <v>Unit Rawatan Rapi Neonatal (NICU)</v>
          </cell>
        </row>
        <row r="2257">
          <cell r="D2257" t="str">
            <v>KKM/JKN/HSA/10-05-01/H/21/328</v>
          </cell>
          <cell r="E2257" t="str">
            <v>INKUBATOR</v>
          </cell>
          <cell r="F2257" t="str">
            <v>ATOM</v>
          </cell>
          <cell r="G2257" t="str">
            <v>AIR INCU I</v>
          </cell>
          <cell r="H2257" t="str">
            <v>210700859</v>
          </cell>
          <cell r="I2257" t="str">
            <v>SEMI ANNUALLY</v>
          </cell>
          <cell r="J2257">
            <v>46030</v>
          </cell>
          <cell r="K2257">
            <v>46210</v>
          </cell>
          <cell r="L2257"/>
          <cell r="M2257"/>
          <cell r="N2257" t="str">
            <v>JABATAN PEDIATRIK</v>
          </cell>
          <cell r="O2257" t="str">
            <v>Unit Rawatan Rapi Neonatal (NICU)</v>
          </cell>
        </row>
        <row r="2258">
          <cell r="D2258" t="str">
            <v>KKM/JKN/HSA/10-05-01/H/21/441</v>
          </cell>
          <cell r="E2258" t="str">
            <v>INFANT INCUBATOR</v>
          </cell>
          <cell r="F2258" t="str">
            <v>DRAGER</v>
          </cell>
          <cell r="G2258" t="str">
            <v>ISOLETTE 8000 PLUS</v>
          </cell>
          <cell r="H2258" t="str">
            <v>DSPH-0010</v>
          </cell>
          <cell r="I2258" t="str">
            <v>SEMI ANNUALLY</v>
          </cell>
          <cell r="J2258">
            <v>45697</v>
          </cell>
          <cell r="K2258">
            <v>45845</v>
          </cell>
          <cell r="L2258"/>
          <cell r="M2258"/>
          <cell r="N2258" t="str">
            <v>JABATAN PEDIATRIK</v>
          </cell>
          <cell r="O2258" t="str">
            <v>Unit Rawatan Rapi Neonatal (NICU)</v>
          </cell>
        </row>
        <row r="2259">
          <cell r="D2259" t="str">
            <v>KKM/JKN/HSA/10-05-01/H/21/442</v>
          </cell>
          <cell r="E2259" t="str">
            <v>INFANT INCUBATOR</v>
          </cell>
          <cell r="F2259" t="str">
            <v>DRAGER</v>
          </cell>
          <cell r="G2259" t="str">
            <v>ISOLETTE 8000 PLUS</v>
          </cell>
          <cell r="H2259" t="str">
            <v>DSPH-0011</v>
          </cell>
          <cell r="I2259" t="str">
            <v>SEMI ANNUALLY</v>
          </cell>
          <cell r="J2259">
            <v>45697</v>
          </cell>
          <cell r="K2259">
            <v>45845</v>
          </cell>
          <cell r="L2259"/>
          <cell r="M2259"/>
          <cell r="N2259" t="str">
            <v>JABATAN PEDIATRIK</v>
          </cell>
          <cell r="O2259" t="str">
            <v>Unit Rawatan Rapi Neonatal (NICU)</v>
          </cell>
        </row>
        <row r="2260">
          <cell r="D2260" t="str">
            <v>KKM/JKN/HSA/10-05-01/H/21/443</v>
          </cell>
          <cell r="E2260" t="str">
            <v>INFANT INCUBATOR</v>
          </cell>
          <cell r="F2260" t="str">
            <v>DRAGER</v>
          </cell>
          <cell r="G2260" t="str">
            <v>ISOLETTE 8000 PLUS</v>
          </cell>
          <cell r="H2260" t="str">
            <v>DSPH-0012</v>
          </cell>
          <cell r="I2260" t="str">
            <v>SEMI ANNUALLY</v>
          </cell>
          <cell r="J2260">
            <v>45697</v>
          </cell>
          <cell r="K2260">
            <v>45845</v>
          </cell>
          <cell r="L2260"/>
          <cell r="M2260"/>
          <cell r="N2260" t="str">
            <v>JABATAN PEDIATRIK</v>
          </cell>
          <cell r="O2260" t="str">
            <v>Unit Rawatan Rapi Neonatal (NICU)</v>
          </cell>
        </row>
        <row r="2261">
          <cell r="D2261" t="str">
            <v>KKM/JKN/HSA/10-05-01/H/21/439</v>
          </cell>
          <cell r="E2261" t="str">
            <v>INFANT INCUBATOR</v>
          </cell>
          <cell r="F2261" t="str">
            <v>DRAGER</v>
          </cell>
          <cell r="G2261" t="str">
            <v>ISOLETTE 8000 PLUS</v>
          </cell>
          <cell r="H2261" t="str">
            <v>DSPH-0008</v>
          </cell>
          <cell r="I2261" t="str">
            <v>SEMI ANNUALLY</v>
          </cell>
          <cell r="J2261">
            <v>45697</v>
          </cell>
          <cell r="K2261">
            <v>45845</v>
          </cell>
          <cell r="L2261"/>
          <cell r="M2261"/>
          <cell r="N2261" t="str">
            <v>JABATAN PEDIATRIK</v>
          </cell>
          <cell r="O2261" t="str">
            <v>Unit Rawatan Rapi Neonatal (NICU)</v>
          </cell>
        </row>
        <row r="2262">
          <cell r="D2262" t="str">
            <v>KKM/JKN/HSA/10-05-01/H/21/440</v>
          </cell>
          <cell r="E2262" t="str">
            <v>INFANT INCUBATOR</v>
          </cell>
          <cell r="F2262" t="str">
            <v>DRAGER</v>
          </cell>
          <cell r="G2262" t="str">
            <v>ISOLETTE 8000 PLUS</v>
          </cell>
          <cell r="H2262" t="str">
            <v>DSPH-0009</v>
          </cell>
          <cell r="I2262" t="str">
            <v>SEMI ANNUALLY</v>
          </cell>
          <cell r="J2262">
            <v>45697</v>
          </cell>
          <cell r="K2262">
            <v>45845</v>
          </cell>
          <cell r="L2262"/>
          <cell r="M2262"/>
          <cell r="N2262" t="str">
            <v>JABATAN PEDIATRIK</v>
          </cell>
          <cell r="O2262" t="str">
            <v>Unit Rawatan Rapi Neonatal (NICU)</v>
          </cell>
        </row>
        <row r="2263">
          <cell r="D2263" t="str">
            <v>KKM/JKN/HSA/10-05-01/H/22/2</v>
          </cell>
          <cell r="E2263" t="str">
            <v>TRANSPORT INCUBATOR</v>
          </cell>
          <cell r="F2263" t="str">
            <v>DRAGER</v>
          </cell>
          <cell r="G2263" t="str">
            <v>ISOLETTE TI500</v>
          </cell>
          <cell r="H2263" t="str">
            <v>DSPM-0014</v>
          </cell>
          <cell r="I2263" t="str">
            <v>SEMI ANNUALLY</v>
          </cell>
          <cell r="J2263">
            <v>45701</v>
          </cell>
          <cell r="K2263">
            <v>45881</v>
          </cell>
          <cell r="L2263"/>
          <cell r="M2263"/>
          <cell r="N2263" t="str">
            <v>JABATAN PEDIATRIK</v>
          </cell>
          <cell r="O2263" t="str">
            <v>Unit Rawatan Rapi Neonatal (NICU)</v>
          </cell>
        </row>
        <row r="2264">
          <cell r="D2264" t="str">
            <v>KKM/JKN/HSA/10-05-01/H/22/3</v>
          </cell>
          <cell r="E2264" t="str">
            <v>INFANT WARMER (RADIANT)</v>
          </cell>
          <cell r="F2264" t="str">
            <v>GE HEALTHCARE</v>
          </cell>
          <cell r="G2264" t="str">
            <v>PANDA IRES</v>
          </cell>
          <cell r="H2264" t="str">
            <v>PFSZ70122</v>
          </cell>
          <cell r="I2264" t="str">
            <v>ANNUALLY</v>
          </cell>
          <cell r="J2264">
            <v>45705</v>
          </cell>
          <cell r="K2264"/>
          <cell r="L2264"/>
          <cell r="M2264"/>
          <cell r="N2264" t="str">
            <v>JABATAN PEDIATRIK</v>
          </cell>
          <cell r="O2264" t="str">
            <v>Unit Rawatan Rapi Neonatal (NICU)</v>
          </cell>
        </row>
        <row r="2265">
          <cell r="D2265" t="str">
            <v>KKM/JKN/HSA/10-05-01/H/21/335</v>
          </cell>
          <cell r="E2265" t="str">
            <v>PATIENT MONITOR EQUIPMENT / VITAL SIGN MONITOR</v>
          </cell>
          <cell r="F2265" t="str">
            <v>MINDRAY</v>
          </cell>
          <cell r="G2265" t="str">
            <v>UMEC 15</v>
          </cell>
          <cell r="H2265" t="str">
            <v>KR-19006620</v>
          </cell>
          <cell r="I2265" t="str">
            <v>ANNUALLY</v>
          </cell>
          <cell r="J2265">
            <v>45970</v>
          </cell>
          <cell r="K2265"/>
          <cell r="L2265"/>
          <cell r="M2265"/>
          <cell r="N2265" t="str">
            <v>JABATAN PEDIATRIK</v>
          </cell>
          <cell r="O2265" t="str">
            <v>Unit Rawatan Rapi Neonatal (NICU)</v>
          </cell>
        </row>
        <row r="2266">
          <cell r="D2266" t="str">
            <v>KKM/JKN/HSA/10-05-01/H/21/339</v>
          </cell>
          <cell r="E2266" t="str">
            <v>VENTILATOR (NEONATAL)</v>
          </cell>
          <cell r="F2266" t="str">
            <v>ACUTRONIC</v>
          </cell>
          <cell r="G2266" t="str">
            <v>FABIAN HFOi VENTILATOR</v>
          </cell>
          <cell r="H2266" t="str">
            <v>AI-02378</v>
          </cell>
          <cell r="I2266" t="str">
            <v>SEMI ANNUALLY</v>
          </cell>
          <cell r="J2266">
            <v>45786</v>
          </cell>
          <cell r="K2266">
            <v>45969</v>
          </cell>
          <cell r="L2266"/>
          <cell r="M2266"/>
          <cell r="N2266" t="str">
            <v>JABATAN PEDIATRIK</v>
          </cell>
          <cell r="O2266" t="str">
            <v>Unit Rawatan Rapi Neonatal (NICU)</v>
          </cell>
        </row>
        <row r="2267">
          <cell r="D2267" t="str">
            <v>KKM/JKN/HSA/10-05-01/H/21/337</v>
          </cell>
          <cell r="E2267" t="str">
            <v>VENTILATOR / FABIAN THERAPY</v>
          </cell>
          <cell r="F2267" t="str">
            <v>ACUTRONIC</v>
          </cell>
          <cell r="G2267" t="str">
            <v>FABIAN THERAPY EVOLUTION VENTILATOR</v>
          </cell>
          <cell r="H2267" t="str">
            <v>AT-04997</v>
          </cell>
          <cell r="I2267" t="str">
            <v>SEMI ANNUALLY</v>
          </cell>
          <cell r="J2267">
            <v>45786</v>
          </cell>
          <cell r="K2267">
            <v>45969</v>
          </cell>
          <cell r="L2267"/>
          <cell r="M2267"/>
          <cell r="N2267" t="str">
            <v>JABATAN PEDIATRIK</v>
          </cell>
          <cell r="O2267" t="str">
            <v>Unit Rawatan Rapi Neonatal (NICU)</v>
          </cell>
        </row>
        <row r="2268">
          <cell r="D2268" t="str">
            <v>KKM/JKN/HSA/10-05-01/H/21/455</v>
          </cell>
          <cell r="E2268" t="str">
            <v>INFANT WARMER (RADIANT)</v>
          </cell>
          <cell r="F2268" t="str">
            <v>ATOM</v>
          </cell>
          <cell r="G2268" t="str">
            <v>SUNFLOWER</v>
          </cell>
          <cell r="H2268" t="str">
            <v>210900358</v>
          </cell>
          <cell r="I2268" t="str">
            <v>ANNUALLY</v>
          </cell>
          <cell r="J2268">
            <v>46038</v>
          </cell>
          <cell r="K2268"/>
          <cell r="L2268"/>
          <cell r="M2268"/>
          <cell r="N2268" t="str">
            <v>JABATAN PEDIATRIK</v>
          </cell>
          <cell r="O2268" t="str">
            <v>Unit Rawatan Rapi Neonatal (NICU)</v>
          </cell>
        </row>
        <row r="2269">
          <cell r="D2269" t="str">
            <v>KKM/JKN/HSA/10-05-01/H/22/22</v>
          </cell>
          <cell r="E2269" t="str">
            <v>PATIENT MONITOR EQUIPMENT</v>
          </cell>
          <cell r="F2269" t="str">
            <v>EDAN</v>
          </cell>
          <cell r="G2269" t="str">
            <v>X SERIES X12</v>
          </cell>
          <cell r="H2269" t="str">
            <v>N/A</v>
          </cell>
          <cell r="I2269" t="str">
            <v>ANNUALLY</v>
          </cell>
          <cell r="J2269">
            <v>45726</v>
          </cell>
          <cell r="K2269"/>
          <cell r="L2269"/>
          <cell r="M2269"/>
          <cell r="N2269" t="str">
            <v>JABATAN PEDIATRIK</v>
          </cell>
          <cell r="O2269" t="str">
            <v>Unit Rawatan Rapi Neonatal (NICU)</v>
          </cell>
        </row>
        <row r="2270">
          <cell r="D2270" t="str">
            <v>KKM/JKN/HSA/10-05-01/H/22/5</v>
          </cell>
          <cell r="E2270" t="str">
            <v>PATIENT MONITOR EQUIPMENT</v>
          </cell>
          <cell r="F2270" t="str">
            <v>MINDRAY</v>
          </cell>
          <cell r="G2270" t="str">
            <v>UMEC 12 (M2K3B-CTO-S01)</v>
          </cell>
          <cell r="H2270" t="str">
            <v>KQ-1A074623</v>
          </cell>
          <cell r="I2270" t="str">
            <v>ANNUALLY</v>
          </cell>
          <cell r="J2270">
            <v>45697</v>
          </cell>
          <cell r="K2270"/>
          <cell r="L2270"/>
          <cell r="M2270"/>
          <cell r="N2270" t="str">
            <v>JABATAN PEDIATRIK</v>
          </cell>
          <cell r="O2270" t="str">
            <v>Unit Rawatan Rapi Neonatal (NICU)</v>
          </cell>
        </row>
        <row r="2271">
          <cell r="D2271" t="str">
            <v>KKM/JKN/HSA/10-05-01/H/22/328</v>
          </cell>
          <cell r="E2271" t="str">
            <v>INCUBATOR</v>
          </cell>
          <cell r="F2271" t="str">
            <v>ATOM</v>
          </cell>
          <cell r="G2271" t="str">
            <v>AIR INCU I</v>
          </cell>
          <cell r="H2271">
            <v>210700860</v>
          </cell>
          <cell r="I2271" t="str">
            <v>SEMI ANNUALLY</v>
          </cell>
          <cell r="J2271">
            <v>46036</v>
          </cell>
          <cell r="K2271">
            <v>46216</v>
          </cell>
          <cell r="L2271"/>
          <cell r="M2271"/>
          <cell r="N2271" t="str">
            <v>JABATAN PEDIATRIK</v>
          </cell>
          <cell r="O2271" t="str">
            <v>Unit Rawatan Rapi Neonatal (NICU)</v>
          </cell>
        </row>
        <row r="2272">
          <cell r="D2272" t="str">
            <v>KKM/JKN/HSA/10-05-01/H/20/123</v>
          </cell>
          <cell r="E2272" t="str">
            <v>SYRINGE INFUSION PUMP</v>
          </cell>
          <cell r="F2272" t="str">
            <v xml:space="preserve">MEDCAPTAIN </v>
          </cell>
          <cell r="G2272" t="str">
            <v>SYS-50</v>
          </cell>
          <cell r="H2272" t="str">
            <v>91560120030759</v>
          </cell>
          <cell r="I2272" t="str">
            <v>ANNUALLY</v>
          </cell>
          <cell r="J2272">
            <v>46038</v>
          </cell>
          <cell r="K2272"/>
          <cell r="L2272"/>
          <cell r="M2272"/>
          <cell r="N2272" t="str">
            <v>JABATAN PERUBATAN AM</v>
          </cell>
          <cell r="O2272" t="str">
            <v>WAD 10A (Wad Perubatan Lelaki 10A)</v>
          </cell>
        </row>
        <row r="2273">
          <cell r="D2273" t="str">
            <v>KKM/JKN/HSA/10-05-01/H/20/124</v>
          </cell>
          <cell r="E2273" t="str">
            <v>SYRINGE INFUSION PUMP</v>
          </cell>
          <cell r="F2273" t="str">
            <v xml:space="preserve">MEDCAPTAIN </v>
          </cell>
          <cell r="G2273" t="str">
            <v>SYS-50</v>
          </cell>
          <cell r="H2273" t="str">
            <v>91560120030717</v>
          </cell>
          <cell r="I2273" t="str">
            <v>ANNUALLY</v>
          </cell>
          <cell r="J2273">
            <v>46038</v>
          </cell>
          <cell r="K2273"/>
          <cell r="L2273"/>
          <cell r="M2273"/>
          <cell r="N2273" t="str">
            <v>JABATAN PERUBATAN AM</v>
          </cell>
          <cell r="O2273" t="str">
            <v>WAD 10A (Wad Perubatan Lelaki 10A)</v>
          </cell>
        </row>
        <row r="2274">
          <cell r="D2274" t="str">
            <v>KKM/JKN/HSA/10-05-01/H/21/247</v>
          </cell>
          <cell r="E2274" t="str">
            <v>VOLUMETRIC PUMP</v>
          </cell>
          <cell r="F2274" t="str">
            <v>MEDCAPTAIN</v>
          </cell>
          <cell r="G2274" t="str">
            <v>SYS-6010A</v>
          </cell>
          <cell r="H2274" t="str">
            <v>9142012105342</v>
          </cell>
          <cell r="I2274" t="str">
            <v>ANNUALLY</v>
          </cell>
          <cell r="J2274">
            <v>46038</v>
          </cell>
          <cell r="K2274"/>
          <cell r="L2274"/>
          <cell r="M2274"/>
          <cell r="N2274" t="str">
            <v>JABATAN PERUBATAN AM</v>
          </cell>
          <cell r="O2274" t="str">
            <v>WAD 10A (Wad Perubatan Lelaki 10A)</v>
          </cell>
        </row>
        <row r="2275">
          <cell r="D2275" t="str">
            <v>KKM/JKN/HSA/10-05-01/H/21/248</v>
          </cell>
          <cell r="E2275" t="str">
            <v>VOLUMETRIC PUMP</v>
          </cell>
          <cell r="F2275" t="str">
            <v>MEDCAPTAIN</v>
          </cell>
          <cell r="G2275" t="str">
            <v>SYS-6010A</v>
          </cell>
          <cell r="H2275" t="str">
            <v>9142012105370</v>
          </cell>
          <cell r="I2275" t="str">
            <v>ANNUALLY</v>
          </cell>
          <cell r="J2275">
            <v>46038</v>
          </cell>
          <cell r="K2275"/>
          <cell r="L2275"/>
          <cell r="M2275"/>
          <cell r="N2275" t="str">
            <v>JABATAN PERUBATAN AM</v>
          </cell>
          <cell r="O2275" t="str">
            <v>WAD 10A (Wad Perubatan Lelaki 10A)</v>
          </cell>
        </row>
        <row r="2276">
          <cell r="D2276" t="str">
            <v>KKM/JKN/HSA/10-05-01/H/21/249</v>
          </cell>
          <cell r="E2276" t="str">
            <v>VOLUMETRIC PUMP</v>
          </cell>
          <cell r="F2276" t="str">
            <v>MEDCAPTAIN</v>
          </cell>
          <cell r="G2276" t="str">
            <v>SYS-6010A</v>
          </cell>
          <cell r="H2276" t="str">
            <v>9142012105410</v>
          </cell>
          <cell r="I2276" t="str">
            <v>ANNUALLY</v>
          </cell>
          <cell r="J2276">
            <v>46041</v>
          </cell>
          <cell r="K2276"/>
          <cell r="L2276"/>
          <cell r="M2276"/>
          <cell r="N2276" t="str">
            <v>JABATAN PERUBATAN AM</v>
          </cell>
          <cell r="O2276" t="str">
            <v>WAD 10A (Wad Perubatan Lelaki 10A)</v>
          </cell>
        </row>
        <row r="2277">
          <cell r="D2277" t="str">
            <v>KKM/JKN/HSA/10-05-01/H/21/250</v>
          </cell>
          <cell r="E2277" t="str">
            <v>VOLUMETRIC PUMP</v>
          </cell>
          <cell r="F2277" t="str">
            <v>MEDCAPTAIN</v>
          </cell>
          <cell r="G2277" t="str">
            <v>SYS-6010A</v>
          </cell>
          <cell r="H2277" t="str">
            <v>9142012105440</v>
          </cell>
          <cell r="I2277" t="str">
            <v>ANNUALLY</v>
          </cell>
          <cell r="J2277">
            <v>46041</v>
          </cell>
          <cell r="K2277"/>
          <cell r="L2277"/>
          <cell r="M2277"/>
          <cell r="N2277" t="str">
            <v>JABATAN PERUBATAN AM</v>
          </cell>
          <cell r="O2277" t="str">
            <v>WAD 10A (Wad Perubatan Lelaki 10A)</v>
          </cell>
        </row>
        <row r="2278">
          <cell r="D2278" t="str">
            <v>KKM/JKN/HSA/10-05-01/H/21/251</v>
          </cell>
          <cell r="E2278" t="str">
            <v>VOLUMETRIC PUMP</v>
          </cell>
          <cell r="F2278" t="str">
            <v>MEDCAPTAIN</v>
          </cell>
          <cell r="G2278" t="str">
            <v>SYS-6010A</v>
          </cell>
          <cell r="H2278" t="str">
            <v>9142012105449</v>
          </cell>
          <cell r="I2278" t="str">
            <v>ANNUALLY</v>
          </cell>
          <cell r="J2278">
            <v>46041</v>
          </cell>
          <cell r="K2278"/>
          <cell r="L2278"/>
          <cell r="M2278"/>
          <cell r="N2278" t="str">
            <v>JABATAN PERUBATAN AM</v>
          </cell>
          <cell r="O2278" t="str">
            <v>WAD 10A (Wad Perubatan Lelaki 10A)</v>
          </cell>
        </row>
        <row r="2279">
          <cell r="D2279" t="str">
            <v>KKM/JKN/HSA/10-05-01/H/21/252</v>
          </cell>
          <cell r="E2279" t="str">
            <v>VOLUMETRIC PUMP</v>
          </cell>
          <cell r="F2279" t="str">
            <v>MEDCAPTAIN</v>
          </cell>
          <cell r="G2279" t="str">
            <v>SYS-6010A</v>
          </cell>
          <cell r="H2279" t="str">
            <v>9142012105396</v>
          </cell>
          <cell r="I2279" t="str">
            <v>ANNUALLY</v>
          </cell>
          <cell r="J2279">
            <v>46044</v>
          </cell>
          <cell r="K2279"/>
          <cell r="L2279"/>
          <cell r="M2279"/>
          <cell r="N2279" t="str">
            <v>JABATAN PERUBATAN AM</v>
          </cell>
          <cell r="O2279" t="str">
            <v>WAD 10B (Wad Perubatan Perempuan 10B)</v>
          </cell>
        </row>
        <row r="2280">
          <cell r="D2280" t="str">
            <v>KKM/JKN/HSA/10-05-01/H/21/253</v>
          </cell>
          <cell r="E2280" t="str">
            <v>VOLUMETRIC PUMP</v>
          </cell>
          <cell r="F2280" t="str">
            <v>MEDCAPTAIN</v>
          </cell>
          <cell r="G2280" t="str">
            <v>SYS-6010A</v>
          </cell>
          <cell r="H2280" t="str">
            <v>9142012105435</v>
          </cell>
          <cell r="I2280" t="str">
            <v>ANNUALLY</v>
          </cell>
          <cell r="J2280">
            <v>46044</v>
          </cell>
          <cell r="K2280"/>
          <cell r="L2280"/>
          <cell r="M2280"/>
          <cell r="N2280" t="str">
            <v>JABATAN PERUBATAN AM</v>
          </cell>
          <cell r="O2280" t="str">
            <v>WAD 10B (Wad Perubatan Perempuan 10B)</v>
          </cell>
        </row>
        <row r="2281">
          <cell r="D2281" t="str">
            <v>KKM/JKN/HSA/10-05-01/H/21/254</v>
          </cell>
          <cell r="E2281" t="str">
            <v>VOLUMETRIC PUMP</v>
          </cell>
          <cell r="F2281" t="str">
            <v>MEDCAPTAIN</v>
          </cell>
          <cell r="G2281" t="str">
            <v>SYS-6010A</v>
          </cell>
          <cell r="H2281" t="str">
            <v>9142012105452</v>
          </cell>
          <cell r="I2281" t="str">
            <v>ANNUALLY</v>
          </cell>
          <cell r="J2281">
            <v>46045</v>
          </cell>
          <cell r="K2281"/>
          <cell r="L2281"/>
          <cell r="M2281"/>
          <cell r="N2281" t="str">
            <v>JABATAN PERUBATAN AM</v>
          </cell>
          <cell r="O2281" t="str">
            <v>WAD 10B (Wad Perubatan Perempuan 10B)</v>
          </cell>
        </row>
        <row r="2282">
          <cell r="D2282" t="str">
            <v>KKM/JKN/HSA/10-05-01/H/21/255</v>
          </cell>
          <cell r="E2282" t="str">
            <v>VOLUMETRIC PUMP</v>
          </cell>
          <cell r="F2282" t="str">
            <v>MEDCAPTAIN</v>
          </cell>
          <cell r="G2282" t="str">
            <v>SYS-6010A</v>
          </cell>
          <cell r="H2282" t="str">
            <v>9142012105518</v>
          </cell>
          <cell r="I2282" t="str">
            <v>ANNUALLY</v>
          </cell>
          <cell r="J2282">
            <v>46045</v>
          </cell>
          <cell r="K2282"/>
          <cell r="L2282"/>
          <cell r="M2282"/>
          <cell r="N2282" t="str">
            <v>JABATAN PERUBATAN AM</v>
          </cell>
          <cell r="O2282" t="str">
            <v>WAD 10B (Wad Perubatan Perempuan 10B)</v>
          </cell>
        </row>
        <row r="2283">
          <cell r="D2283" t="str">
            <v>KKM/JKN/HSA/10-05-01/H/21/256</v>
          </cell>
          <cell r="E2283" t="str">
            <v>VOLUMETRIC PUMP</v>
          </cell>
          <cell r="F2283" t="str">
            <v>MEDCAPTAIN</v>
          </cell>
          <cell r="G2283" t="str">
            <v>SYS-6010A</v>
          </cell>
          <cell r="H2283" t="str">
            <v>9142012105536</v>
          </cell>
          <cell r="I2283" t="str">
            <v>ANNUALLY</v>
          </cell>
          <cell r="J2283">
            <v>46045</v>
          </cell>
          <cell r="K2283"/>
          <cell r="L2283"/>
          <cell r="M2283"/>
          <cell r="N2283" t="str">
            <v>JABATAN PERUBATAN AM</v>
          </cell>
          <cell r="O2283" t="str">
            <v>WAD 10B (Wad Perubatan Perempuan 10B)</v>
          </cell>
        </row>
        <row r="2284">
          <cell r="D2284" t="str">
            <v>KKM/JKN/HSA/10-05-01/H/21/227</v>
          </cell>
          <cell r="E2284" t="str">
            <v>VOLUMETRIC PUMP</v>
          </cell>
          <cell r="F2284" t="str">
            <v>MEDCAPTAIN</v>
          </cell>
          <cell r="G2284" t="str">
            <v>SYS-6010A</v>
          </cell>
          <cell r="H2284" t="str">
            <v>9142012105343</v>
          </cell>
          <cell r="I2284" t="str">
            <v>ANNUALLY</v>
          </cell>
          <cell r="J2284">
            <v>46048</v>
          </cell>
          <cell r="K2284"/>
          <cell r="L2284"/>
          <cell r="M2284"/>
          <cell r="N2284" t="str">
            <v>JABATAN ORTOPEDIK</v>
          </cell>
          <cell r="O2284" t="str">
            <v>WAD 11 (Orthopaedic Ward)</v>
          </cell>
        </row>
        <row r="2285">
          <cell r="D2285" t="str">
            <v>KKM/JKN/HSA/10-05-01/H/21/228</v>
          </cell>
          <cell r="E2285" t="str">
            <v>VOLUMETRIC PUMP</v>
          </cell>
          <cell r="F2285" t="str">
            <v>MEDCAPTAIN</v>
          </cell>
          <cell r="G2285" t="str">
            <v>SYS-6010A</v>
          </cell>
          <cell r="H2285" t="str">
            <v>9142012105436</v>
          </cell>
          <cell r="I2285" t="str">
            <v>ANNUALLY</v>
          </cell>
          <cell r="J2285">
            <v>46048</v>
          </cell>
          <cell r="K2285"/>
          <cell r="L2285"/>
          <cell r="M2285"/>
          <cell r="N2285" t="str">
            <v>JABATAN ORTOPEDIK</v>
          </cell>
          <cell r="O2285" t="str">
            <v>WAD 11 (Orthopaedic Ward)</v>
          </cell>
        </row>
        <row r="2286">
          <cell r="D2286" t="str">
            <v>KKM/JKN/HSA/10-05-01/H/21/229</v>
          </cell>
          <cell r="E2286" t="str">
            <v>VOLUMETRIC PUMP</v>
          </cell>
          <cell r="F2286" t="str">
            <v>MEDCAPTAIN</v>
          </cell>
          <cell r="G2286" t="str">
            <v>SYS-6010A</v>
          </cell>
          <cell r="H2286" t="str">
            <v>9142012105501</v>
          </cell>
          <cell r="I2286" t="str">
            <v>ANNUALLY</v>
          </cell>
          <cell r="J2286">
            <v>46048</v>
          </cell>
          <cell r="K2286"/>
          <cell r="L2286"/>
          <cell r="M2286"/>
          <cell r="N2286" t="str">
            <v>JABATAN ORTOPEDIK</v>
          </cell>
          <cell r="O2286" t="str">
            <v>WAD 11 (Orthopaedic Ward)</v>
          </cell>
        </row>
        <row r="2287">
          <cell r="D2287" t="str">
            <v>KKM/JKN/HSA/10-05-01/H/21/140</v>
          </cell>
          <cell r="E2287" t="str">
            <v>INFANT VENTILATOR</v>
          </cell>
          <cell r="F2287" t="str">
            <v>RESMED STELLAR</v>
          </cell>
          <cell r="G2287" t="str">
            <v>STELLAR 150</v>
          </cell>
          <cell r="H2287" t="str">
            <v>22201303952</v>
          </cell>
          <cell r="I2287" t="str">
            <v>SEMI ANNUALLY</v>
          </cell>
          <cell r="J2287">
            <v>46035</v>
          </cell>
          <cell r="K2287">
            <v>46213</v>
          </cell>
          <cell r="L2287"/>
          <cell r="M2287"/>
          <cell r="N2287" t="str">
            <v>JABATAN PEDIATRIK</v>
          </cell>
          <cell r="O2287" t="str">
            <v>WAD 12 (Paediatric Ward)</v>
          </cell>
        </row>
        <row r="2288">
          <cell r="D2288" t="str">
            <v>KKM/JKN/HSA/10-05-01/H/21/141</v>
          </cell>
          <cell r="E2288" t="str">
            <v>INFANT VENTILATOR</v>
          </cell>
          <cell r="F2288" t="str">
            <v>RESMED STELLAR</v>
          </cell>
          <cell r="G2288" t="str">
            <v>STELLAR 150</v>
          </cell>
          <cell r="H2288" t="str">
            <v>22201304134</v>
          </cell>
          <cell r="I2288" t="str">
            <v>SEMI ANNUALLY</v>
          </cell>
          <cell r="J2288">
            <v>46035</v>
          </cell>
          <cell r="K2288">
            <v>46213</v>
          </cell>
          <cell r="L2288"/>
          <cell r="M2288"/>
          <cell r="N2288" t="str">
            <v>JABATAN PEDIATRIK</v>
          </cell>
          <cell r="O2288" t="str">
            <v>WAD 12 (Paediatric Ward)</v>
          </cell>
        </row>
        <row r="2289">
          <cell r="D2289" t="str">
            <v>KKM/JKN/HSA/10-05-01/H/21/142</v>
          </cell>
          <cell r="E2289" t="str">
            <v>INFANT VENTILATOR</v>
          </cell>
          <cell r="F2289" t="str">
            <v>RESMED STELLAR</v>
          </cell>
          <cell r="G2289" t="str">
            <v>STELLAR 150</v>
          </cell>
          <cell r="H2289" t="str">
            <v>22201303971</v>
          </cell>
          <cell r="I2289" t="str">
            <v>SEMI ANNUALLY</v>
          </cell>
          <cell r="J2289">
            <v>46035</v>
          </cell>
          <cell r="K2289">
            <v>46213</v>
          </cell>
          <cell r="L2289"/>
          <cell r="M2289"/>
          <cell r="N2289" t="str">
            <v>JABATAN PEDIATRIK</v>
          </cell>
          <cell r="O2289" t="str">
            <v>WAD 12 (Paediatric Ward)</v>
          </cell>
        </row>
        <row r="2290">
          <cell r="D2290" t="str">
            <v>KKM/JKN/HSA/10-05-01/H/21/336</v>
          </cell>
          <cell r="E2290" t="str">
            <v>PATIENT MONITOR EQUIPMENT / VITAL SIGN MONITOR</v>
          </cell>
          <cell r="F2290" t="str">
            <v>MINDRAY</v>
          </cell>
          <cell r="G2290" t="str">
            <v>UMEC 15</v>
          </cell>
          <cell r="H2290" t="str">
            <v>KR-19006622</v>
          </cell>
          <cell r="I2290" t="str">
            <v>ANNUALLY</v>
          </cell>
          <cell r="J2290">
            <v>46035</v>
          </cell>
          <cell r="K2290"/>
          <cell r="L2290"/>
          <cell r="M2290"/>
          <cell r="N2290" t="str">
            <v>JABATAN PEDIATRIK</v>
          </cell>
          <cell r="O2290" t="str">
            <v>WAD 12 (Paediatric Ward)</v>
          </cell>
        </row>
        <row r="2291">
          <cell r="D2291" t="str">
            <v>KKM/JKN/HSA/10-05-01/H/22/19</v>
          </cell>
          <cell r="E2291" t="str">
            <v>INFANT VENTILATOR</v>
          </cell>
          <cell r="F2291" t="str">
            <v>RESMED</v>
          </cell>
          <cell r="G2291" t="str">
            <v>STELLAR 150</v>
          </cell>
          <cell r="H2291" t="str">
            <v>9142012105339</v>
          </cell>
          <cell r="I2291" t="str">
            <v>SEMI ANNUALLY</v>
          </cell>
          <cell r="J2291">
            <v>46031</v>
          </cell>
          <cell r="K2291">
            <v>46213</v>
          </cell>
          <cell r="L2291"/>
          <cell r="M2291"/>
          <cell r="N2291" t="str">
            <v>JABATAN PEDIATRIK</v>
          </cell>
          <cell r="O2291" t="str">
            <v>WAD 12 (Paediatric Ward)</v>
          </cell>
        </row>
        <row r="2292">
          <cell r="D2292" t="str">
            <v>KKM/JKN/HSA/10-05-01/H/22/20</v>
          </cell>
          <cell r="E2292" t="str">
            <v>INFANT VENTILATOR</v>
          </cell>
          <cell r="F2292" t="str">
            <v>RESMED</v>
          </cell>
          <cell r="G2292" t="str">
            <v>STELLAR 150</v>
          </cell>
          <cell r="H2292" t="str">
            <v>9142012105354</v>
          </cell>
          <cell r="I2292" t="str">
            <v>SEMI ANNUALLY</v>
          </cell>
          <cell r="J2292">
            <v>46031</v>
          </cell>
          <cell r="K2292">
            <v>46213</v>
          </cell>
          <cell r="L2292"/>
          <cell r="M2292"/>
          <cell r="N2292" t="str">
            <v>JABATAN PEDIATRIK</v>
          </cell>
          <cell r="O2292" t="str">
            <v>WAD 12 (Paediatric Ward)</v>
          </cell>
        </row>
        <row r="2293">
          <cell r="D2293" t="str">
            <v>KKM/JKN/HSA/10-05-01/H/22/21</v>
          </cell>
          <cell r="E2293" t="str">
            <v>INFANT VENTILATOR</v>
          </cell>
          <cell r="F2293" t="str">
            <v>RESMED</v>
          </cell>
          <cell r="G2293" t="str">
            <v>STELLAR 150</v>
          </cell>
          <cell r="H2293" t="str">
            <v>9142012105494</v>
          </cell>
          <cell r="I2293" t="str">
            <v>SEMI ANNUALLY</v>
          </cell>
          <cell r="J2293">
            <v>46031</v>
          </cell>
          <cell r="K2293">
            <v>46213</v>
          </cell>
          <cell r="L2293"/>
          <cell r="M2293"/>
          <cell r="N2293" t="str">
            <v>JABATAN PEDIATRIK</v>
          </cell>
          <cell r="O2293" t="str">
            <v>WAD 12 (Paediatric Ward)</v>
          </cell>
        </row>
        <row r="2294">
          <cell r="D2294" t="str">
            <v>KKM/JKN/HSA/10-05-01/H/22/4</v>
          </cell>
          <cell r="E2294" t="str">
            <v>PATIENT MONITOR EQUIPMENT</v>
          </cell>
          <cell r="F2294" t="str">
            <v>MINDRAY</v>
          </cell>
          <cell r="G2294" t="str">
            <v>UMEC 12 (M2K3B-CTO-S01)</v>
          </cell>
          <cell r="H2294" t="str">
            <v>9142012105529</v>
          </cell>
          <cell r="I2294" t="str">
            <v>ANNUALLY</v>
          </cell>
          <cell r="J2294">
            <v>45699</v>
          </cell>
          <cell r="K2294"/>
          <cell r="L2294"/>
          <cell r="M2294"/>
          <cell r="N2294" t="str">
            <v>JABATAN PEDIATRIK</v>
          </cell>
          <cell r="O2294" t="str">
            <v>WAD 12 (Paediatric Ward)</v>
          </cell>
        </row>
        <row r="2295">
          <cell r="D2295" t="str">
            <v>KKM/JKN/HSA/10-05-01/H/21/242</v>
          </cell>
          <cell r="E2295" t="str">
            <v>VOLUMETRIC PUMP</v>
          </cell>
          <cell r="F2295" t="str">
            <v>MEDCAPTAIN</v>
          </cell>
          <cell r="G2295" t="str">
            <v>SYS-6010A</v>
          </cell>
          <cell r="H2295" t="str">
            <v>9142012105339</v>
          </cell>
          <cell r="I2295" t="str">
            <v>ANNUALLY</v>
          </cell>
          <cell r="J2295">
            <v>45706</v>
          </cell>
          <cell r="K2295"/>
          <cell r="L2295"/>
          <cell r="M2295"/>
          <cell r="N2295" t="str">
            <v>JABATAN PEMBEDAHAN AM</v>
          </cell>
          <cell r="O2295" t="str">
            <v>WAD 9A (Wad Pembedahan Lelaki 9A)</v>
          </cell>
        </row>
        <row r="2296">
          <cell r="D2296" t="str">
            <v>KKM/JKN/HSA/10-05-01/H/21/243</v>
          </cell>
          <cell r="E2296" t="str">
            <v>VOLUMETRIC PUMP</v>
          </cell>
          <cell r="F2296" t="str">
            <v>MEDCAPTAIN</v>
          </cell>
          <cell r="G2296" t="str">
            <v>SYS-6010A</v>
          </cell>
          <cell r="H2296" t="str">
            <v>9142012105354</v>
          </cell>
          <cell r="I2296" t="str">
            <v>ANNUALLY</v>
          </cell>
          <cell r="J2296">
            <v>45706</v>
          </cell>
          <cell r="K2296"/>
          <cell r="L2296"/>
          <cell r="M2296"/>
          <cell r="N2296" t="str">
            <v>JABATAN PEMBEDAHAN AM</v>
          </cell>
          <cell r="O2296" t="str">
            <v>WAD 9A (Wad Pembedahan Lelaki 9A)</v>
          </cell>
        </row>
        <row r="2297">
          <cell r="D2297" t="str">
            <v>KKM/JKN/HSA/10-05-01/H/21/244</v>
          </cell>
          <cell r="E2297" t="str">
            <v>VOLUMETRIC PUMP</v>
          </cell>
          <cell r="F2297" t="str">
            <v>MEDCAPTAIN</v>
          </cell>
          <cell r="G2297" t="str">
            <v>SYS-6010A</v>
          </cell>
          <cell r="H2297" t="str">
            <v>9142012105494</v>
          </cell>
          <cell r="I2297" t="str">
            <v>ANNUALLY</v>
          </cell>
          <cell r="J2297">
            <v>45706</v>
          </cell>
          <cell r="K2297"/>
          <cell r="L2297"/>
          <cell r="M2297"/>
          <cell r="N2297" t="str">
            <v>JABATAN PEMBEDAHAN AM</v>
          </cell>
          <cell r="O2297" t="str">
            <v>WAD 9A (Wad Pembedahan Lelaki 9A)</v>
          </cell>
        </row>
        <row r="2298">
          <cell r="D2298" t="str">
            <v>KKM/JKN/HSA/10-05-01/H/21/245</v>
          </cell>
          <cell r="E2298" t="str">
            <v>VOLUMETRIC PUMP</v>
          </cell>
          <cell r="F2298" t="str">
            <v>MEDCAPTAIN</v>
          </cell>
          <cell r="G2298" t="str">
            <v>SYS-6010A</v>
          </cell>
          <cell r="H2298" t="str">
            <v>9142012105529</v>
          </cell>
          <cell r="I2298" t="str">
            <v>ANNUALLY</v>
          </cell>
          <cell r="J2298">
            <v>45706</v>
          </cell>
          <cell r="K2298"/>
          <cell r="L2298"/>
          <cell r="M2298"/>
          <cell r="N2298" t="str">
            <v>JABATAN PEMBEDAHAN AM</v>
          </cell>
          <cell r="O2298" t="str">
            <v>WAD 9A (Wad Pembedahan Lelaki 9A)</v>
          </cell>
        </row>
        <row r="2299">
          <cell r="D2299" t="str">
            <v>KKM/JKN/HSA/10-05-01/H/21/246</v>
          </cell>
          <cell r="E2299" t="str">
            <v>VOLUMETRIC PUMP</v>
          </cell>
          <cell r="F2299" t="str">
            <v>MEDCAPTAIN</v>
          </cell>
          <cell r="G2299" t="str">
            <v>SYS-6010A</v>
          </cell>
          <cell r="H2299" t="str">
            <v>9142012105534</v>
          </cell>
          <cell r="I2299" t="str">
            <v>ANNUALLY</v>
          </cell>
          <cell r="J2299">
            <v>45706</v>
          </cell>
          <cell r="K2299"/>
          <cell r="L2299"/>
          <cell r="M2299"/>
          <cell r="N2299" t="str">
            <v>JABATAN PEMBEDAHAN AM</v>
          </cell>
          <cell r="O2299" t="str">
            <v>WAD 9A (Wad Pembedahan Lelaki 9A)</v>
          </cell>
        </row>
        <row r="2300">
          <cell r="D2300" t="str">
            <v>KKM/JKN/HSA/10-05-01/H/21/143</v>
          </cell>
          <cell r="E2300" t="str">
            <v>SYRINGE INFUSION PUMP</v>
          </cell>
          <cell r="F2300" t="str">
            <v>MINDRAY</v>
          </cell>
          <cell r="G2300" t="str">
            <v>BENEFUSION eSP (8521B-CTO-S01)</v>
          </cell>
          <cell r="H2300" t="str">
            <v>SH1-16000768</v>
          </cell>
          <cell r="I2300" t="str">
            <v>ANNUALLY</v>
          </cell>
          <cell r="J2300">
            <v>45704</v>
          </cell>
          <cell r="K2300"/>
          <cell r="L2300"/>
          <cell r="M2300"/>
          <cell r="N2300" t="str">
            <v>JABATAN PEMBEDAHAN AM</v>
          </cell>
          <cell r="O2300" t="str">
            <v>WAD 9B (Wad Pembedahan Lelaki 9B)</v>
          </cell>
        </row>
        <row r="2301">
          <cell r="D2301" t="str">
            <v>KKM/JKN/HSA/10-05-01/H/21/237</v>
          </cell>
          <cell r="E2301" t="str">
            <v>VOLUMETRIC PUMP</v>
          </cell>
          <cell r="F2301" t="str">
            <v>MEDCAPTAIN</v>
          </cell>
          <cell r="G2301" t="str">
            <v>SYS-6010A</v>
          </cell>
          <cell r="H2301" t="str">
            <v>9142012105347</v>
          </cell>
          <cell r="I2301" t="str">
            <v>ANNUALLY</v>
          </cell>
          <cell r="J2301">
            <v>45704</v>
          </cell>
          <cell r="K2301"/>
          <cell r="L2301"/>
          <cell r="M2301"/>
          <cell r="N2301" t="str">
            <v>JABATAN PEMBEDAHAN AM</v>
          </cell>
          <cell r="O2301" t="str">
            <v>WAD 9B (Wad Pembedahan Lelaki 9B)</v>
          </cell>
        </row>
        <row r="2302">
          <cell r="D2302" t="str">
            <v>KKM/JKN/HSA/10-05-01/H/21/238</v>
          </cell>
          <cell r="E2302" t="str">
            <v>VOLUMETRIC PUMP</v>
          </cell>
          <cell r="F2302" t="str">
            <v>MEDCAPTAIN</v>
          </cell>
          <cell r="G2302" t="str">
            <v>SYS-6010A</v>
          </cell>
          <cell r="H2302" t="str">
            <v>9142012105464</v>
          </cell>
          <cell r="I2302" t="str">
            <v>ANNUALLY</v>
          </cell>
          <cell r="J2302">
            <v>45704</v>
          </cell>
          <cell r="K2302"/>
          <cell r="L2302"/>
          <cell r="M2302"/>
          <cell r="N2302" t="str">
            <v>JABATAN PEMBEDAHAN AM</v>
          </cell>
          <cell r="O2302" t="str">
            <v>WAD 9B (Wad Pembedahan Lelaki 9B)</v>
          </cell>
        </row>
        <row r="2303">
          <cell r="D2303" t="str">
            <v>KKM/JKN/HSA/10-05-01/H/21/239</v>
          </cell>
          <cell r="E2303" t="str">
            <v>VOLUMETRIC PUMP</v>
          </cell>
          <cell r="F2303" t="str">
            <v>MEDCAPTAIN</v>
          </cell>
          <cell r="G2303" t="str">
            <v>SYS-6010A</v>
          </cell>
          <cell r="H2303" t="str">
            <v>9142012105468</v>
          </cell>
          <cell r="I2303" t="str">
            <v>ANNUALLY</v>
          </cell>
          <cell r="J2303">
            <v>45704</v>
          </cell>
          <cell r="K2303"/>
          <cell r="L2303"/>
          <cell r="M2303"/>
          <cell r="N2303" t="str">
            <v>JABATAN PEMBEDAHAN AM</v>
          </cell>
          <cell r="O2303" t="str">
            <v>WAD 9B (Wad Pembedahan Lelaki 9B)</v>
          </cell>
        </row>
        <row r="2304">
          <cell r="D2304" t="str">
            <v>KKM/JKN/HSA/10-05-01/H/21/240</v>
          </cell>
          <cell r="E2304" t="str">
            <v>VOLUMETRIC PUMP</v>
          </cell>
          <cell r="F2304" t="str">
            <v>MEDCAPTAIN</v>
          </cell>
          <cell r="G2304" t="str">
            <v>SYS-6010A</v>
          </cell>
          <cell r="H2304" t="str">
            <v>9142012105485</v>
          </cell>
          <cell r="I2304" t="str">
            <v>ANNUALLY</v>
          </cell>
          <cell r="J2304">
            <v>45704</v>
          </cell>
          <cell r="K2304"/>
          <cell r="L2304"/>
          <cell r="M2304"/>
          <cell r="N2304" t="str">
            <v>JABATAN PEMBEDAHAN AM</v>
          </cell>
          <cell r="O2304" t="str">
            <v>WAD 9B (Wad Pembedahan Lelaki 9B)</v>
          </cell>
        </row>
        <row r="2305">
          <cell r="D2305" t="str">
            <v>KKM/JKN/HSA/10-05-01/H/21/241</v>
          </cell>
          <cell r="E2305" t="str">
            <v>VOLUMETRIC PUMP</v>
          </cell>
          <cell r="F2305" t="str">
            <v>MEDCAPTAIN</v>
          </cell>
          <cell r="G2305" t="str">
            <v>SYS-6010A</v>
          </cell>
          <cell r="H2305" t="str">
            <v>9142012105527</v>
          </cell>
          <cell r="I2305" t="str">
            <v>ANNUALLY</v>
          </cell>
          <cell r="J2305">
            <v>45704</v>
          </cell>
          <cell r="K2305"/>
          <cell r="L2305"/>
          <cell r="M2305"/>
          <cell r="N2305" t="str">
            <v>JABATAN PEMBEDAHAN AM</v>
          </cell>
          <cell r="O2305" t="str">
            <v>WAD 9B (Wad Pembedahan Lelaki 9B)</v>
          </cell>
        </row>
        <row r="2306">
          <cell r="D2306" t="str">
            <v>KKM/JKN/HSA/10-05-01/R/20/253</v>
          </cell>
          <cell r="E2306" t="str">
            <v xml:space="preserve">PORTABLE FETAL DOPPLER </v>
          </cell>
          <cell r="F2306" t="str">
            <v>EDAN</v>
          </cell>
          <cell r="G2306" t="str">
            <v>SONOTRAX BASIC A</v>
          </cell>
          <cell r="H2306" t="str">
            <v>560042-M18A06960032</v>
          </cell>
          <cell r="I2306" t="str">
            <v>ANNUALLY</v>
          </cell>
          <cell r="J2306">
            <v>46045</v>
          </cell>
          <cell r="K2306"/>
          <cell r="L2306"/>
          <cell r="M2306"/>
          <cell r="N2306" t="str">
            <v>JABATAN OBSTETRIK &amp; GINEKOLOGI</v>
          </cell>
          <cell r="O2306" t="str">
            <v>PAC</v>
          </cell>
        </row>
        <row r="2307">
          <cell r="D2307" t="str">
            <v>KKM/JKN/HSA/10-05-01/R/20/254</v>
          </cell>
          <cell r="E2307" t="str">
            <v xml:space="preserve">PORTABLE FETAL DOPPLER </v>
          </cell>
          <cell r="F2307" t="str">
            <v>EDAN</v>
          </cell>
          <cell r="G2307" t="str">
            <v>SONOTRAX BASIC A</v>
          </cell>
          <cell r="H2307" t="str">
            <v>560042-M18A06960036</v>
          </cell>
          <cell r="I2307" t="str">
            <v>ANNUALLY</v>
          </cell>
          <cell r="J2307">
            <v>46045</v>
          </cell>
          <cell r="K2307"/>
          <cell r="L2307"/>
          <cell r="M2307"/>
          <cell r="N2307" t="str">
            <v>JABATAN OBSTETRIK &amp; GINEKOLOGI</v>
          </cell>
          <cell r="O2307" t="str">
            <v>WAD 8A (Wad Obstetrik &amp; Ginekologi 8A)</v>
          </cell>
        </row>
        <row r="2308">
          <cell r="D2308" t="str">
            <v xml:space="preserve"> KKM/JKN/HSA/10-05-01/R/20/255</v>
          </cell>
          <cell r="E2308" t="str">
            <v xml:space="preserve">PORTABLE FETAL DOPPLER </v>
          </cell>
          <cell r="F2308" t="str">
            <v>EDAN</v>
          </cell>
          <cell r="G2308" t="str">
            <v>SONOTRAX BASIC A</v>
          </cell>
          <cell r="H2308" t="str">
            <v>560042-M18A06960040</v>
          </cell>
          <cell r="I2308" t="str">
            <v>ANNUALLY</v>
          </cell>
          <cell r="J2308">
            <v>46045</v>
          </cell>
          <cell r="K2308"/>
          <cell r="L2308"/>
          <cell r="M2308"/>
          <cell r="N2308" t="str">
            <v>JABATAN OBSTETRIK &amp; GINEKOLOGI</v>
          </cell>
          <cell r="O2308" t="str">
            <v>WAD 8B (Wad Obstetrik &amp; Ginekologi 8B)</v>
          </cell>
        </row>
        <row r="2309">
          <cell r="D2309" t="str">
            <v>KKM/JKN/HSA/10-05-01/R/22/28</v>
          </cell>
          <cell r="E2309" t="str">
            <v>LARYNGOSCOPE/
PEADIATRIC LARYNGOSCOPE</v>
          </cell>
          <cell r="F2309" t="str">
            <v>PEADIATRIC LARYNGOSCOPE</v>
          </cell>
          <cell r="G2309" t="str">
            <v>PEADIATRIC LARYNGOSCOPE</v>
          </cell>
          <cell r="H2309" t="str">
            <v>N/A</v>
          </cell>
          <cell r="I2309" t="str">
            <v>ANNUALLY</v>
          </cell>
          <cell r="J2309">
            <v>46045</v>
          </cell>
          <cell r="K2309"/>
          <cell r="L2309"/>
          <cell r="M2309"/>
          <cell r="N2309" t="str">
            <v>JABATAN KECEMASAN &amp; TRAUMA</v>
          </cell>
          <cell r="O2309" t="str">
            <v>Jabatan Kecemasan &amp; Trauma (ED)</v>
          </cell>
        </row>
        <row r="2310">
          <cell r="D2310" t="str">
            <v>KKM/JKN/HSA/10-05-01/R/22/11</v>
          </cell>
          <cell r="E2310" t="str">
            <v>RIPPLE MATTRESS</v>
          </cell>
          <cell r="F2310" t="str">
            <v>LKL</v>
          </cell>
          <cell r="G2310" t="str">
            <v>BX422</v>
          </cell>
          <cell r="H2310" t="str">
            <v>21SBX016961</v>
          </cell>
          <cell r="I2310" t="str">
            <v>ANNUALLY</v>
          </cell>
          <cell r="J2310">
            <v>46028</v>
          </cell>
          <cell r="K2310"/>
          <cell r="L2310"/>
          <cell r="M2310"/>
          <cell r="N2310" t="str">
            <v>JABATAN KECEMASAN &amp; TRAUMA</v>
          </cell>
          <cell r="O2310" t="str">
            <v>Jabatan Kecemasan &amp; Trauma (ED)</v>
          </cell>
        </row>
        <row r="2311">
          <cell r="D2311" t="str">
            <v>KKM/JKN/HSA/10-05-01/R/22/12</v>
          </cell>
          <cell r="E2311" t="str">
            <v>RIPPLE MATTRESS</v>
          </cell>
          <cell r="F2311" t="str">
            <v>LKL</v>
          </cell>
          <cell r="G2311" t="str">
            <v>BX422</v>
          </cell>
          <cell r="H2311" t="str">
            <v>21SBX016962</v>
          </cell>
          <cell r="I2311" t="str">
            <v>ANNUALLY</v>
          </cell>
          <cell r="J2311">
            <v>46028</v>
          </cell>
          <cell r="K2311"/>
          <cell r="L2311"/>
          <cell r="M2311"/>
          <cell r="N2311" t="str">
            <v>JABATAN KECEMASAN &amp; TRAUMA</v>
          </cell>
          <cell r="O2311" t="str">
            <v>Jabatan Kecemasan &amp; Trauma (ED)</v>
          </cell>
        </row>
        <row r="2312">
          <cell r="D2312" t="str">
            <v>KKM/JKN/HSA/10-05-01/R/22/13</v>
          </cell>
          <cell r="E2312" t="str">
            <v>RIPPLE MATTRESS</v>
          </cell>
          <cell r="F2312" t="str">
            <v>LKL</v>
          </cell>
          <cell r="G2312" t="str">
            <v>BX422</v>
          </cell>
          <cell r="H2312" t="str">
            <v>21SBX016963</v>
          </cell>
          <cell r="I2312" t="str">
            <v>ANNUALLY</v>
          </cell>
          <cell r="J2312">
            <v>46028</v>
          </cell>
          <cell r="K2312"/>
          <cell r="L2312"/>
          <cell r="M2312"/>
          <cell r="N2312" t="str">
            <v>JABATAN ANESTESIOLOGI</v>
          </cell>
          <cell r="O2312" t="str">
            <v>Unit Rawatan Rapi (ICU)</v>
          </cell>
        </row>
        <row r="2313">
          <cell r="D2313" t="str">
            <v>KKM/JKN/HSA/10-05-01/R/22/14</v>
          </cell>
          <cell r="E2313" t="str">
            <v>RIPPLE MATTRESS</v>
          </cell>
          <cell r="F2313" t="str">
            <v>LKL</v>
          </cell>
          <cell r="G2313" t="str">
            <v>BX422</v>
          </cell>
          <cell r="H2313" t="str">
            <v>21SBX016964</v>
          </cell>
          <cell r="I2313" t="str">
            <v>ANNUALLY</v>
          </cell>
          <cell r="J2313">
            <v>46028</v>
          </cell>
          <cell r="K2313"/>
          <cell r="L2313"/>
          <cell r="M2313"/>
          <cell r="N2313" t="str">
            <v>JABATAN ANESTESIOLOGI</v>
          </cell>
          <cell r="O2313" t="str">
            <v>Unit Rawatan Rapi (ICU)</v>
          </cell>
        </row>
        <row r="2314">
          <cell r="D2314" t="str">
            <v>KKM/JKN/HSA/10-05-01/R/22/15</v>
          </cell>
          <cell r="E2314" t="str">
            <v>RIPPLE MATTRESS</v>
          </cell>
          <cell r="F2314" t="str">
            <v>LKL</v>
          </cell>
          <cell r="G2314" t="str">
            <v>BX422</v>
          </cell>
          <cell r="H2314" t="str">
            <v>21SBX016965</v>
          </cell>
          <cell r="I2314" t="str">
            <v>ANNUALLY</v>
          </cell>
          <cell r="J2314">
            <v>46028</v>
          </cell>
          <cell r="K2314"/>
          <cell r="L2314"/>
          <cell r="M2314"/>
          <cell r="N2314" t="str">
            <v>JABATAN ANESTESIOLOGI</v>
          </cell>
          <cell r="O2314" t="str">
            <v>Unit Rawatan Rapi (ICU)</v>
          </cell>
        </row>
        <row r="2315">
          <cell r="D2315" t="str">
            <v>KKM/JKN/HSA/10-05-01/R/22/16</v>
          </cell>
          <cell r="E2315" t="str">
            <v>FETAL HEART MONITOR</v>
          </cell>
          <cell r="F2315" t="str">
            <v>EDAN</v>
          </cell>
          <cell r="G2315" t="str">
            <v>SONOTRAX BASIC A</v>
          </cell>
          <cell r="H2315" t="str">
            <v>560042-M20A09540001</v>
          </cell>
          <cell r="I2315" t="str">
            <v>ANNUALLY</v>
          </cell>
          <cell r="J2315">
            <v>46036</v>
          </cell>
          <cell r="K2315"/>
          <cell r="L2315"/>
          <cell r="M2315"/>
          <cell r="N2315" t="str">
            <v>JABATAN OBSTETRIK &amp; GINEKOLOGI</v>
          </cell>
          <cell r="O2315" t="str">
            <v>PAC</v>
          </cell>
        </row>
        <row r="2316">
          <cell r="D2316" t="str">
            <v>KKM/JKN/HSA/10-05-01/R/22/17</v>
          </cell>
          <cell r="E2316" t="str">
            <v>FETAL HEART MONITOR</v>
          </cell>
          <cell r="F2316" t="str">
            <v>EDAN</v>
          </cell>
          <cell r="G2316" t="str">
            <v>SONOTRAX BASIC A</v>
          </cell>
          <cell r="H2316" t="str">
            <v>560042-M20A09540002</v>
          </cell>
          <cell r="I2316" t="str">
            <v>ANNUALLY</v>
          </cell>
          <cell r="J2316">
            <v>46036</v>
          </cell>
          <cell r="K2316"/>
          <cell r="L2316"/>
          <cell r="M2316"/>
          <cell r="N2316" t="str">
            <v>JABATAN OBSTETRIK &amp; GINEKOLOGI</v>
          </cell>
          <cell r="O2316" t="str">
            <v>Klinik Obstetrik Ginekologi (O&amp;G CLINIC)</v>
          </cell>
        </row>
        <row r="2317">
          <cell r="D2317" t="str">
            <v>KKM/JKN/HSA/10-05-01/R/22/18</v>
          </cell>
          <cell r="E2317" t="str">
            <v>FETAL HEART MONITOR</v>
          </cell>
          <cell r="F2317" t="str">
            <v>EDAN</v>
          </cell>
          <cell r="G2317" t="str">
            <v>SONOTRAX BASIC A</v>
          </cell>
          <cell r="H2317" t="str">
            <v>560042-M20A09540003</v>
          </cell>
          <cell r="I2317" t="str">
            <v>ANNUALLY</v>
          </cell>
          <cell r="J2317">
            <v>46036</v>
          </cell>
          <cell r="K2317"/>
          <cell r="L2317"/>
          <cell r="M2317"/>
          <cell r="N2317" t="str">
            <v>JABATAN OBSTETRIK &amp; GINEKOLOGI</v>
          </cell>
          <cell r="O2317" t="str">
            <v>PAC</v>
          </cell>
        </row>
        <row r="2318">
          <cell r="D2318" t="str">
            <v>KKM/JKN/HSA/10-05-01/R/22/19</v>
          </cell>
          <cell r="E2318" t="str">
            <v>FETAL HEART MONITOR</v>
          </cell>
          <cell r="F2318" t="str">
            <v>EDAN</v>
          </cell>
          <cell r="G2318" t="str">
            <v>SONOTRAX BASIC A</v>
          </cell>
          <cell r="H2318" t="str">
            <v>560042-M20A09540010</v>
          </cell>
          <cell r="I2318" t="str">
            <v>ANNUALLY</v>
          </cell>
          <cell r="J2318">
            <v>46036</v>
          </cell>
          <cell r="K2318"/>
          <cell r="L2318"/>
          <cell r="M2318"/>
          <cell r="N2318" t="str">
            <v>JABATAN OBSTETRIK &amp; GINEKOLOGI</v>
          </cell>
          <cell r="O2318" t="str">
            <v>Klinik Obstetrik Ginekologi (O&amp;G CLINIC)</v>
          </cell>
        </row>
        <row r="2319">
          <cell r="D2319" t="str">
            <v>KKM/JKN/HSA/10-05-01/H/22/39</v>
          </cell>
          <cell r="E2319" t="str">
            <v>CTG MACHINE</v>
          </cell>
          <cell r="F2319" t="str">
            <v>EDAN</v>
          </cell>
          <cell r="G2319" t="str">
            <v>F9</v>
          </cell>
          <cell r="H2319" t="str">
            <v>560053-M21912100002</v>
          </cell>
          <cell r="I2319" t="str">
            <v>ANNUALLY</v>
          </cell>
          <cell r="J2319">
            <v>46044</v>
          </cell>
          <cell r="K2319"/>
          <cell r="L2319"/>
          <cell r="M2319"/>
          <cell r="N2319" t="str">
            <v>JABATAN OBSTETRIK &amp; GINEKOLOGI</v>
          </cell>
          <cell r="O2319" t="str">
            <v>Dewan Bersalin (LDU)</v>
          </cell>
        </row>
        <row r="2320">
          <cell r="D2320" t="str">
            <v>KKM/JKN/HSA/10-05-01/H/22/40</v>
          </cell>
          <cell r="E2320" t="str">
            <v>CTG MACHINE</v>
          </cell>
          <cell r="F2320" t="str">
            <v>EDAN</v>
          </cell>
          <cell r="G2320" t="str">
            <v>F9</v>
          </cell>
          <cell r="H2320" t="str">
            <v>560053-M21912100003</v>
          </cell>
          <cell r="I2320" t="str">
            <v>ANNUALLY</v>
          </cell>
          <cell r="J2320">
            <v>46044</v>
          </cell>
          <cell r="K2320"/>
          <cell r="L2320"/>
          <cell r="M2320"/>
          <cell r="N2320" t="str">
            <v>JABATAN OBSTETRIK &amp; GINEKOLOGI</v>
          </cell>
          <cell r="O2320" t="str">
            <v>PAC</v>
          </cell>
        </row>
        <row r="2321">
          <cell r="D2321" t="str">
            <v>KKM/JKN/HSA/10-05-01/R/22/31</v>
          </cell>
          <cell r="E2321" t="str">
            <v>LARYNGOSCOPE</v>
          </cell>
          <cell r="F2321" t="str">
            <v>PARKER</v>
          </cell>
          <cell r="G2321" t="str">
            <v>REUSABLE FIBREOPTIC MACINTOSH</v>
          </cell>
          <cell r="H2321" t="str">
            <v>N/A</v>
          </cell>
          <cell r="I2321" t="str">
            <v>ANNUALLY</v>
          </cell>
          <cell r="J2321">
            <v>46044</v>
          </cell>
          <cell r="K2321"/>
          <cell r="L2321"/>
          <cell r="M2321"/>
          <cell r="N2321" t="str">
            <v>PAKAR PERUBATAN SURGERI AM</v>
          </cell>
          <cell r="O2321" t="str">
            <v>(Multidiscipline Ward) MDW</v>
          </cell>
        </row>
        <row r="2322">
          <cell r="D2322" t="str">
            <v>HSAS11561</v>
          </cell>
          <cell r="E2322" t="str">
            <v>SPHYGMOMANOMETER DIGITAL BATTERY OP</v>
          </cell>
          <cell r="F2322" t="str">
            <v>WELCH ALLYN</v>
          </cell>
          <cell r="G2322" t="str">
            <v>PRO BP SERIES 3400</v>
          </cell>
          <cell r="H2322">
            <v>100054892814</v>
          </cell>
          <cell r="I2322" t="str">
            <v>ANNUALLY</v>
          </cell>
          <cell r="J2322">
            <v>45935</v>
          </cell>
          <cell r="K2322"/>
          <cell r="L2322"/>
          <cell r="M2322"/>
          <cell r="N2322" t="str">
            <v>JABATAN PEMBEDAHAN AM</v>
          </cell>
          <cell r="O2322" t="str">
            <v>Klinik Pembedahan Am (GEN SURGICAL CLINIC)</v>
          </cell>
        </row>
        <row r="2323">
          <cell r="D2323" t="str">
            <v>HSAS13425</v>
          </cell>
          <cell r="E2323" t="str">
            <v>CONTRAST INJECTOR</v>
          </cell>
          <cell r="F2323" t="str">
            <v>NEMOTO</v>
          </cell>
          <cell r="G2323" t="str">
            <v>DUAL SHOT ALPHA 7</v>
          </cell>
          <cell r="H2323" t="str">
            <v>QCB00083</v>
          </cell>
          <cell r="I2323" t="str">
            <v>SEMI ANNUALLY</v>
          </cell>
          <cell r="J2323">
            <v>45819</v>
          </cell>
          <cell r="K2323">
            <v>46001</v>
          </cell>
          <cell r="L2323"/>
          <cell r="M2323"/>
          <cell r="N2323" t="str">
            <v>JABATAN PENGIMEJAN &amp; DIAGNOSTIK</v>
          </cell>
          <cell r="O2323" t="str">
            <v>Jabatan Pengimejan &amp; Diagnostik</v>
          </cell>
        </row>
        <row r="2324">
          <cell r="D2324" t="str">
            <v>KKM/JKN/HSA/10-05-01/H/21/286</v>
          </cell>
          <cell r="E2324" t="str">
            <v>PATIENT MONITORING EQUIPMENT</v>
          </cell>
          <cell r="F2324" t="str">
            <v>HUNTLEIGH</v>
          </cell>
          <cell r="G2324" t="str">
            <v>SC1200</v>
          </cell>
          <cell r="H2324" t="str">
            <v>(21)782AA10024020</v>
          </cell>
          <cell r="I2324" t="str">
            <v>ANNUALLY</v>
          </cell>
          <cell r="J2324">
            <v>46041</v>
          </cell>
          <cell r="K2324"/>
          <cell r="L2324"/>
          <cell r="M2324"/>
          <cell r="N2324" t="str">
            <v xml:space="preserve">JABATAN PERUBATAN AM </v>
          </cell>
          <cell r="O2324" t="str">
            <v>WAD 10A (Wad Perubatan Lelaki 10A)</v>
          </cell>
        </row>
        <row r="2325">
          <cell r="D2325" t="str">
            <v>KKM/JKN/HSA/10-05-01/H/21/287</v>
          </cell>
          <cell r="E2325" t="str">
            <v>PATIENT MONITORING EQUIPMENT</v>
          </cell>
          <cell r="F2325" t="str">
            <v>HUNTLEIGH</v>
          </cell>
          <cell r="G2325" t="str">
            <v>SC1200</v>
          </cell>
          <cell r="H2325" t="str">
            <v>(21)782AA10024320</v>
          </cell>
          <cell r="I2325" t="str">
            <v>ANNUALLY</v>
          </cell>
          <cell r="J2325">
            <v>46042</v>
          </cell>
          <cell r="K2325"/>
          <cell r="L2325"/>
          <cell r="M2325"/>
          <cell r="N2325" t="str">
            <v xml:space="preserve">JABATAN PERUBATAN AM </v>
          </cell>
          <cell r="O2325" t="str">
            <v>WAD 9A (Wad Pembedahan Lelaki 9A)</v>
          </cell>
        </row>
        <row r="2326">
          <cell r="D2326" t="str">
            <v>KKM/JKN/HSA/10-05-01/H/21/288</v>
          </cell>
          <cell r="E2326" t="str">
            <v>PATIENT MONITORING EQUIPMENT</v>
          </cell>
          <cell r="F2326" t="str">
            <v>HUNTLEIGH</v>
          </cell>
          <cell r="G2326" t="str">
            <v>SC1200</v>
          </cell>
          <cell r="H2326" t="str">
            <v>(21)782AA10024120</v>
          </cell>
          <cell r="I2326" t="str">
            <v>ANNUALLY</v>
          </cell>
          <cell r="J2326">
            <v>46042</v>
          </cell>
          <cell r="K2326"/>
          <cell r="L2326"/>
          <cell r="M2326"/>
          <cell r="N2326" t="str">
            <v xml:space="preserve">JABATAN PERUBATAN AM </v>
          </cell>
          <cell r="O2326" t="str">
            <v>WAD 9B (Wad Pembedahan Lelaki 9B)</v>
          </cell>
        </row>
        <row r="2327">
          <cell r="D2327" t="str">
            <v>KKM/JKN/HSA/10-05-01/H/21/303</v>
          </cell>
          <cell r="E2327" t="str">
            <v>SYRINGE INFUSION PUMP</v>
          </cell>
          <cell r="F2327" t="str">
            <v>MEDCAPTAIN</v>
          </cell>
          <cell r="G2327" t="str">
            <v>SYS-50</v>
          </cell>
          <cell r="H2327" t="str">
            <v>9156012104244</v>
          </cell>
          <cell r="I2327" t="str">
            <v>ANNUALLY</v>
          </cell>
          <cell r="J2327">
            <v>46041</v>
          </cell>
          <cell r="K2327"/>
          <cell r="L2327"/>
          <cell r="M2327"/>
          <cell r="N2327" t="str">
            <v xml:space="preserve">JABATAN PERUBATAN AM </v>
          </cell>
          <cell r="O2327" t="str">
            <v>WAD 10A (Wad Perubatan Lelaki 10A)</v>
          </cell>
        </row>
        <row r="2328">
          <cell r="D2328" t="str">
            <v>KKM/JKN/HSA/10-05-01/H/21/304</v>
          </cell>
          <cell r="E2328" t="str">
            <v>SYRINGE INFUSION PUMP</v>
          </cell>
          <cell r="F2328" t="str">
            <v>MEDCAPTAIN</v>
          </cell>
          <cell r="G2328" t="str">
            <v>SYS-50</v>
          </cell>
          <cell r="H2328" t="str">
            <v>9156012104260</v>
          </cell>
          <cell r="I2328" t="str">
            <v>ANNUALLY</v>
          </cell>
          <cell r="J2328">
            <v>46037</v>
          </cell>
          <cell r="K2328"/>
          <cell r="L2328"/>
          <cell r="M2328"/>
          <cell r="N2328" t="str">
            <v xml:space="preserve">JABATAN PERUBATAN AM </v>
          </cell>
          <cell r="O2328" t="str">
            <v>WAD 10B (Wad Perubatan Perempuan 10B)</v>
          </cell>
        </row>
        <row r="2329">
          <cell r="D2329" t="str">
            <v>KKM/JKN/HSA/10-05-01/H/21/305</v>
          </cell>
          <cell r="E2329" t="str">
            <v>SYRINGE INFUSION PUMP</v>
          </cell>
          <cell r="F2329" t="str">
            <v>MEDCAPTAIN</v>
          </cell>
          <cell r="G2329" t="str">
            <v>SYS-50</v>
          </cell>
          <cell r="H2329" t="str">
            <v>9156012104734</v>
          </cell>
          <cell r="I2329" t="str">
            <v>ANNUALLY</v>
          </cell>
          <cell r="J2329">
            <v>46042</v>
          </cell>
          <cell r="K2329"/>
          <cell r="L2329"/>
          <cell r="M2329"/>
          <cell r="N2329" t="str">
            <v xml:space="preserve">JABATAN PERUBATAN AM </v>
          </cell>
          <cell r="O2329" t="str">
            <v>WAD 9B (Wad Pembedahan Lelaki 9B)</v>
          </cell>
        </row>
        <row r="2330">
          <cell r="D2330" t="str">
            <v>KKM/JKN/HSA/10-05-01/H/22/85</v>
          </cell>
          <cell r="E2330" t="str">
            <v>PHOTOTHERAPY MACHINE</v>
          </cell>
          <cell r="F2330" t="str">
            <v>MEDWARM</v>
          </cell>
          <cell r="G2330" t="str">
            <v>KMF-01</v>
          </cell>
          <cell r="H2330" t="str">
            <v>KMF012112003.Y02</v>
          </cell>
          <cell r="I2330" t="str">
            <v>ANNUALLY</v>
          </cell>
          <cell r="J2330">
            <v>45690</v>
          </cell>
          <cell r="K2330"/>
          <cell r="L2330"/>
          <cell r="M2330"/>
          <cell r="N2330" t="str">
            <v>JABATAN PEDIATRIK</v>
          </cell>
          <cell r="O2330" t="str">
            <v>Unit Rawatan Rapi Neonatal (NICU)</v>
          </cell>
        </row>
        <row r="2331">
          <cell r="D2331" t="str">
            <v>KKM/JKN/HSA/10-05-01/H/22/84</v>
          </cell>
          <cell r="E2331" t="str">
            <v>PHOTOTHERAPY MACHINE</v>
          </cell>
          <cell r="F2331" t="str">
            <v>MEDWARM</v>
          </cell>
          <cell r="G2331" t="str">
            <v>KMF-01</v>
          </cell>
          <cell r="H2331" t="str">
            <v>KMF012109008.Y02</v>
          </cell>
          <cell r="I2331" t="str">
            <v>ANNUALLY</v>
          </cell>
          <cell r="J2331">
            <v>45690</v>
          </cell>
          <cell r="K2331"/>
          <cell r="L2331"/>
          <cell r="M2331"/>
          <cell r="N2331" t="str">
            <v>JABATAN PEDIATRIK</v>
          </cell>
          <cell r="O2331" t="str">
            <v>Unit Rawatan Rapi Neonatal (NICU)</v>
          </cell>
        </row>
        <row r="2332">
          <cell r="D2332" t="str">
            <v>KKM/JKN/HSA/10-05-01/H/22/83</v>
          </cell>
          <cell r="E2332" t="str">
            <v>PHOTOTHERAPY MACHINE</v>
          </cell>
          <cell r="F2332" t="str">
            <v>MEDWARM</v>
          </cell>
          <cell r="G2332" t="str">
            <v>KMF-01</v>
          </cell>
          <cell r="H2332" t="str">
            <v>KMF012111005.Y02</v>
          </cell>
          <cell r="I2332" t="str">
            <v>ANNUALLY</v>
          </cell>
          <cell r="J2332">
            <v>45690</v>
          </cell>
          <cell r="K2332"/>
          <cell r="L2332"/>
          <cell r="M2332"/>
          <cell r="N2332" t="str">
            <v>JABATAN PEDIATRIK</v>
          </cell>
          <cell r="O2332" t="str">
            <v>Unit Rawatan Rapi Neonatal (NICU)</v>
          </cell>
        </row>
        <row r="2333">
          <cell r="D2333" t="str">
            <v>KKM/JKN/HSA/10-05-01/H/22/86</v>
          </cell>
          <cell r="E2333" t="str">
            <v>INFANT WARMER RADIANT</v>
          </cell>
          <cell r="F2333" t="str">
            <v>SHVABE-ZURICH</v>
          </cell>
          <cell r="G2333" t="str">
            <v>BONO</v>
          </cell>
          <cell r="H2333" t="str">
            <v>0293</v>
          </cell>
          <cell r="I2333" t="str">
            <v>ANNUALLY</v>
          </cell>
          <cell r="J2333">
            <v>46031</v>
          </cell>
          <cell r="K2333"/>
          <cell r="L2333"/>
          <cell r="M2333"/>
          <cell r="N2333" t="str">
            <v>JABATAN PEDIATRIK</v>
          </cell>
          <cell r="O2333" t="str">
            <v>Unit Rawatan Rapi Neonatal (NICU)</v>
          </cell>
        </row>
        <row r="2334">
          <cell r="D2334" t="str">
            <v>KKM/JKN/HSA/10-05-01/H/22/52</v>
          </cell>
          <cell r="E2334" t="str">
            <v>INFANT INCUBATOR</v>
          </cell>
          <cell r="F2334" t="str">
            <v>DRAEGER</v>
          </cell>
          <cell r="G2334" t="str">
            <v>ISOLETTE C200</v>
          </cell>
          <cell r="H2334" t="str">
            <v>DSPK-0020</v>
          </cell>
          <cell r="I2334" t="str">
            <v>SEMI ANNUALLY</v>
          </cell>
          <cell r="J2334">
            <v>45705</v>
          </cell>
          <cell r="K2334">
            <v>45885</v>
          </cell>
          <cell r="L2334"/>
          <cell r="M2334"/>
          <cell r="N2334" t="str">
            <v>JABATAN PEDIATRIK</v>
          </cell>
          <cell r="O2334" t="str">
            <v>Unit Rawatan Rapi Neonatal (NICU)</v>
          </cell>
        </row>
        <row r="2335">
          <cell r="D2335" t="str">
            <v>KKM/JKN/HSA/10-05-01/H/22/88</v>
          </cell>
          <cell r="E2335" t="str">
            <v>INTENSIVE CARE VENTILATOR</v>
          </cell>
          <cell r="F2335" t="str">
            <v>DRAEGER</v>
          </cell>
          <cell r="G2335" t="str">
            <v>SAVINA 300</v>
          </cell>
          <cell r="H2335" t="str">
            <v>ASPH-0217</v>
          </cell>
          <cell r="I2335" t="str">
            <v>ANNUALLY</v>
          </cell>
          <cell r="J2335">
            <v>46042</v>
          </cell>
          <cell r="K2335"/>
          <cell r="L2335"/>
          <cell r="M2335"/>
          <cell r="N2335" t="str">
            <v>JABATAN ANESTESIOLOGI DAN RAWATAN RAPI</v>
          </cell>
          <cell r="O2335" t="str">
            <v>Unit Rawatan Rapi (ICU)</v>
          </cell>
        </row>
        <row r="2336">
          <cell r="D2336" t="str">
            <v>KKM/JKN/HSA/10-05-01/H/22/87</v>
          </cell>
          <cell r="E2336" t="str">
            <v>VENTILATOR</v>
          </cell>
          <cell r="F2336" t="str">
            <v>LOWENSTEIN MEDICAL</v>
          </cell>
          <cell r="G2336" t="str">
            <v>ELISA 300</v>
          </cell>
          <cell r="H2336" t="str">
            <v>03211127</v>
          </cell>
          <cell r="I2336" t="str">
            <v>SEMI ANNUALLY</v>
          </cell>
          <cell r="J2336">
            <v>45767</v>
          </cell>
          <cell r="K2336">
            <v>45949</v>
          </cell>
          <cell r="L2336"/>
          <cell r="M2336"/>
          <cell r="N2336" t="str">
            <v>JABATAN ANESTESIOLOGI DAN RAWATAN RAPI</v>
          </cell>
          <cell r="O2336" t="str">
            <v>Unit Rawatan Rapi (ICU)</v>
          </cell>
        </row>
        <row r="2337">
          <cell r="D2337" t="str">
            <v>KKM/JKN/HSA/10-05-01/H/21/454</v>
          </cell>
          <cell r="E2337" t="str">
            <v>CTG MACHINE</v>
          </cell>
          <cell r="F2337" t="str">
            <v>EDAN ANTEPARTUM</v>
          </cell>
          <cell r="G2337" t="str">
            <v>F6</v>
          </cell>
          <cell r="H2337" t="str">
            <v>560038-M21907920002</v>
          </cell>
          <cell r="I2337" t="str">
            <v>ANNUALLY</v>
          </cell>
          <cell r="J2337">
            <v>46042</v>
          </cell>
          <cell r="K2337"/>
          <cell r="L2337"/>
          <cell r="M2337"/>
          <cell r="N2337" t="str">
            <v>JABATAN OBSTETRIK &amp; GINEKOLOGI</v>
          </cell>
          <cell r="O2337" t="str">
            <v>WAD 8B (Wad Obstetrik &amp; Ginekologi 8B)</v>
          </cell>
        </row>
        <row r="2338">
          <cell r="D2338" t="str">
            <v>KKM/JKN/HSA/10-05-01/H/22/51</v>
          </cell>
          <cell r="E2338" t="str">
            <v>SOUND LEVEL METER</v>
          </cell>
          <cell r="F2338" t="str">
            <v>FAB</v>
          </cell>
          <cell r="G2338" t="str">
            <v>ACOUSTIC VOICE ASSESMENT SYSTEM</v>
          </cell>
          <cell r="H2338">
            <v>12965</v>
          </cell>
          <cell r="I2338" t="str">
            <v>ANNUALLY</v>
          </cell>
          <cell r="J2338">
            <v>45854</v>
          </cell>
          <cell r="K2338"/>
          <cell r="L2338"/>
          <cell r="M2338"/>
          <cell r="N2338" t="str">
            <v>JABATAN OTORINOLARINGOLOGI</v>
          </cell>
          <cell r="O2338" t="str">
            <v>Klinik Otorinolaringologi (ORL) (ENT CLINIC)</v>
          </cell>
        </row>
        <row r="2339">
          <cell r="D2339" t="str">
            <v>KKM/JKN/HSA/10-05-01/H/22/99</v>
          </cell>
          <cell r="E2339" t="str">
            <v>VENTILATOR</v>
          </cell>
          <cell r="F2339" t="str">
            <v>OXIVENT</v>
          </cell>
          <cell r="G2339" t="str">
            <v>OX14-PLUS</v>
          </cell>
          <cell r="H2339" t="str">
            <v>070520/P004-000241</v>
          </cell>
          <cell r="I2339" t="str">
            <v>SEMI ANNUALLY</v>
          </cell>
          <cell r="J2339">
            <v>45798</v>
          </cell>
          <cell r="K2339">
            <v>45981</v>
          </cell>
          <cell r="L2339"/>
          <cell r="M2339"/>
          <cell r="N2339" t="str">
            <v>JABATAN KECEMASAN &amp; TRAUMA</v>
          </cell>
          <cell r="O2339" t="str">
            <v>Jabatan Kecemasan &amp; Trauma (ED)</v>
          </cell>
        </row>
        <row r="2340">
          <cell r="D2340" t="str">
            <v>KKM/JKN/HSA/10-05-01/H/22/341</v>
          </cell>
          <cell r="E2340" t="str">
            <v>VENTILATOR</v>
          </cell>
          <cell r="F2340" t="str">
            <v>OXIVENT</v>
          </cell>
          <cell r="G2340" t="str">
            <v>OX14-PLUS</v>
          </cell>
          <cell r="H2340" t="str">
            <v>070520/P004-000240</v>
          </cell>
          <cell r="I2340" t="str">
            <v>SEMI ANNUALLY</v>
          </cell>
          <cell r="J2340">
            <v>45798</v>
          </cell>
          <cell r="K2340">
            <v>45981</v>
          </cell>
          <cell r="L2340"/>
          <cell r="M2340"/>
          <cell r="N2340" t="str">
            <v>JABATAN KECEMASAN &amp; TRAUMA</v>
          </cell>
          <cell r="O2340" t="str">
            <v>Jabatan Kecemasan &amp; Trauma (ED)</v>
          </cell>
        </row>
        <row r="2341">
          <cell r="D2341" t="str">
            <v>KKM/JKN/HSA/10-05-01/H/22/342</v>
          </cell>
          <cell r="E2341" t="str">
            <v>VENTILATOR</v>
          </cell>
          <cell r="F2341" t="str">
            <v>OXIVENT</v>
          </cell>
          <cell r="G2341" t="str">
            <v>OX14-PLUS</v>
          </cell>
          <cell r="H2341" t="str">
            <v>070520/P004-000245</v>
          </cell>
          <cell r="I2341" t="str">
            <v>SEMI ANNUALLY</v>
          </cell>
          <cell r="J2341">
            <v>45798</v>
          </cell>
          <cell r="K2341">
            <v>45981</v>
          </cell>
          <cell r="L2341"/>
          <cell r="M2341"/>
          <cell r="N2341" t="str">
            <v>JABATAN KECEMASAN &amp; TRAUMA</v>
          </cell>
          <cell r="O2341" t="str">
            <v>Jabatan Kecemasan &amp; Trauma (ED)</v>
          </cell>
        </row>
        <row r="2342">
          <cell r="D2342" t="str">
            <v>KKM/JKN/HSA/10-05-01/H/20/121</v>
          </cell>
          <cell r="E2342" t="str">
            <v>SYRINGE INFUSION PUMP</v>
          </cell>
          <cell r="F2342" t="str">
            <v>MEDCAPTAIN</v>
          </cell>
          <cell r="G2342" t="str">
            <v>SYS-50</v>
          </cell>
          <cell r="H2342" t="str">
            <v>91560120030654</v>
          </cell>
          <cell r="I2342" t="str">
            <v>ANNUALLY</v>
          </cell>
          <cell r="J2342">
            <v>46037</v>
          </cell>
          <cell r="K2342"/>
          <cell r="L2342"/>
          <cell r="M2342"/>
          <cell r="N2342" t="str">
            <v>JABATAN PERUBATAN AM</v>
          </cell>
          <cell r="O2342" t="str">
            <v>WAD 10B (Wad Perubatan Perempuan 10B)</v>
          </cell>
        </row>
        <row r="2343">
          <cell r="D2343" t="str">
            <v>KKM/JKN/HSA/10-05-01/H/20/122</v>
          </cell>
          <cell r="E2343" t="str">
            <v>SYRINGE INFUSION PUMP</v>
          </cell>
          <cell r="F2343" t="str">
            <v>MEDCAPTAIN</v>
          </cell>
          <cell r="G2343" t="str">
            <v>SYS-50</v>
          </cell>
          <cell r="H2343" t="str">
            <v>91560120030740</v>
          </cell>
          <cell r="I2343" t="str">
            <v>ANNUALLY</v>
          </cell>
          <cell r="J2343">
            <v>46037</v>
          </cell>
          <cell r="K2343"/>
          <cell r="L2343"/>
          <cell r="M2343"/>
          <cell r="N2343" t="str">
            <v>JABATAN PERUBATAN AM</v>
          </cell>
          <cell r="O2343" t="str">
            <v>WAD 10B (Wad Perubatan Perempuan 10B)</v>
          </cell>
        </row>
        <row r="2344">
          <cell r="D2344" t="str">
            <v>KKM/JKN/HSA/10-05-01/H/21/81</v>
          </cell>
          <cell r="E2344" t="str">
            <v>ULTRASOUND SCANNER</v>
          </cell>
          <cell r="F2344" t="str">
            <v>GE HEALTHCARE</v>
          </cell>
          <cell r="G2344" t="str">
            <v>VENUE GO</v>
          </cell>
          <cell r="H2344" t="str">
            <v>VGB002983</v>
          </cell>
          <cell r="I2344" t="str">
            <v>ANNUALLY</v>
          </cell>
          <cell r="J2344">
            <v>46042</v>
          </cell>
          <cell r="K2344"/>
          <cell r="L2344"/>
          <cell r="M2344"/>
          <cell r="N2344" t="str">
            <v>JABATAN ANESTESIOLOGI DAN RAWATAN RAPI</v>
          </cell>
          <cell r="O2344" t="str">
            <v>Unit Rawatan Rapi (ICU)</v>
          </cell>
        </row>
        <row r="2345">
          <cell r="D2345" t="str">
            <v>KKM/JKN/HSA/10-05-01/H/22/97</v>
          </cell>
          <cell r="E2345" t="str">
            <v>INFUSION PUMP</v>
          </cell>
          <cell r="F2345" t="str">
            <v>LIFEPUMP MEDITECH</v>
          </cell>
          <cell r="G2345" t="str">
            <v>SC113</v>
          </cell>
          <cell r="H2345" t="str">
            <v>U90305025</v>
          </cell>
          <cell r="I2345" t="str">
            <v>ANNUALLY</v>
          </cell>
          <cell r="J2345">
            <v>45706</v>
          </cell>
          <cell r="K2345"/>
          <cell r="L2345"/>
          <cell r="M2345"/>
          <cell r="N2345" t="str">
            <v>JABATAN PEMBEDAHAN AM</v>
          </cell>
          <cell r="O2345" t="str">
            <v>(Multidiscipline Ward) MDW</v>
          </cell>
        </row>
        <row r="2346">
          <cell r="D2346" t="str">
            <v>KKM/JKN/HSA/10-05-01/H/22/96</v>
          </cell>
          <cell r="E2346" t="str">
            <v>INFUSION PUMP</v>
          </cell>
          <cell r="F2346" t="str">
            <v>LIFEPUMP MEDITECH</v>
          </cell>
          <cell r="G2346" t="str">
            <v>SC113</v>
          </cell>
          <cell r="H2346" t="str">
            <v>U90305026</v>
          </cell>
          <cell r="I2346" t="str">
            <v>ANNUALLY</v>
          </cell>
          <cell r="J2346">
            <v>46038</v>
          </cell>
          <cell r="K2346"/>
          <cell r="L2346"/>
          <cell r="M2346"/>
          <cell r="N2346" t="str">
            <v>JABATAN PEMBEDAHAN AM</v>
          </cell>
          <cell r="O2346" t="str">
            <v>Wad 13 (VIP)</v>
          </cell>
        </row>
        <row r="2347">
          <cell r="D2347" t="str">
            <v>KKM/JKN/HSA/10-05-01/H/22/95</v>
          </cell>
          <cell r="E2347" t="str">
            <v>INFUSION PUMP</v>
          </cell>
          <cell r="F2347" t="str">
            <v>LIFEPUMP MEDITECH</v>
          </cell>
          <cell r="G2347" t="str">
            <v>SC113</v>
          </cell>
          <cell r="H2347" t="str">
            <v>U90305027</v>
          </cell>
          <cell r="I2347" t="str">
            <v>ANNUALLY</v>
          </cell>
          <cell r="J2347">
            <v>46038</v>
          </cell>
          <cell r="K2347"/>
          <cell r="L2347"/>
          <cell r="M2347"/>
          <cell r="N2347" t="str">
            <v>JABATAN PEMBEDAHAN AM</v>
          </cell>
          <cell r="O2347" t="str">
            <v>Wad 13 (VIP)</v>
          </cell>
        </row>
        <row r="2348">
          <cell r="D2348" t="str">
            <v>KKM/JKN/HSA/10-05-01/H/22/94</v>
          </cell>
          <cell r="E2348" t="str">
            <v>INFUSION PUMP</v>
          </cell>
          <cell r="F2348" t="str">
            <v>LIFEPUMP MEDITECH</v>
          </cell>
          <cell r="G2348" t="str">
            <v>SC113</v>
          </cell>
          <cell r="H2348" t="str">
            <v>U90305029</v>
          </cell>
          <cell r="I2348" t="str">
            <v>ANNUALLY</v>
          </cell>
          <cell r="J2348">
            <v>46034</v>
          </cell>
          <cell r="K2348"/>
          <cell r="L2348"/>
          <cell r="M2348"/>
          <cell r="N2348" t="str">
            <v>JABATAN PEMBEDAHAN AM</v>
          </cell>
          <cell r="O2348" t="str">
            <v>LEVEL 6 (Wad Multidisiplin Perempuan)</v>
          </cell>
        </row>
        <row r="2349">
          <cell r="D2349" t="str">
            <v>KKM/JKN/HSA/10-05-01/H/22/93</v>
          </cell>
          <cell r="E2349" t="str">
            <v>INFUSION PUMP</v>
          </cell>
          <cell r="F2349" t="str">
            <v>LIFEPUMP MEDITECH</v>
          </cell>
          <cell r="G2349" t="str">
            <v>SC113</v>
          </cell>
          <cell r="H2349" t="str">
            <v>U90305001</v>
          </cell>
          <cell r="I2349" t="str">
            <v>ANNUALLY</v>
          </cell>
          <cell r="J2349">
            <v>46034</v>
          </cell>
          <cell r="K2349"/>
          <cell r="L2349"/>
          <cell r="M2349"/>
          <cell r="N2349" t="str">
            <v>JABATAN PEMBEDAHAN AM</v>
          </cell>
          <cell r="O2349" t="str">
            <v>LEVEL 6 (Wad Multidisiplin Perempuan)</v>
          </cell>
        </row>
        <row r="2350">
          <cell r="D2350" t="str">
            <v>KKM/JKN/HSA/10-05-01/H/21/1</v>
          </cell>
          <cell r="E2350" t="str">
            <v>ENTERAL FEEDING PUMP</v>
          </cell>
          <cell r="F2350" t="str">
            <v>SINO</v>
          </cell>
          <cell r="G2350" t="str">
            <v>SN 600N</v>
          </cell>
          <cell r="H2350" t="str">
            <v>0062150325A00059 (001-147469)</v>
          </cell>
          <cell r="I2350" t="str">
            <v>ANNUALLY</v>
          </cell>
          <cell r="J2350">
            <v>46035</v>
          </cell>
          <cell r="K2350"/>
          <cell r="L2350"/>
          <cell r="M2350"/>
          <cell r="N2350" t="str">
            <v>JABATAN PEDIATRIK</v>
          </cell>
          <cell r="O2350" t="str">
            <v>WAD 12 (Paediatric Ward)</v>
          </cell>
        </row>
        <row r="2351">
          <cell r="D2351" t="str">
            <v>KKM/JKN/HSA/10-05-01/H/22/132</v>
          </cell>
          <cell r="E2351" t="str">
            <v>PATIENT MONITORING EQUIPMENT</v>
          </cell>
          <cell r="F2351" t="str">
            <v>MINDRAY</v>
          </cell>
          <cell r="G2351" t="str">
            <v>UMEC10</v>
          </cell>
          <cell r="H2351" t="str">
            <v>KN-1A119599</v>
          </cell>
          <cell r="I2351" t="str">
            <v>ANNUALLY</v>
          </cell>
          <cell r="J2351">
            <v>45943</v>
          </cell>
          <cell r="K2351"/>
          <cell r="L2351"/>
          <cell r="M2351"/>
          <cell r="N2351" t="str">
            <v>JABATAN PEDIATRIK</v>
          </cell>
          <cell r="O2351" t="str">
            <v>WAD 12 (Paediatric Ward)</v>
          </cell>
        </row>
        <row r="2352">
          <cell r="D2352" t="str">
            <v>KKM/JKN/HSA/10-05-01/H/22/133</v>
          </cell>
          <cell r="E2352" t="str">
            <v>PATIENT MONITORING EQUIPMENT</v>
          </cell>
          <cell r="F2352" t="str">
            <v>MINDRAY</v>
          </cell>
          <cell r="G2352" t="str">
            <v>UMEC10</v>
          </cell>
          <cell r="H2352" t="str">
            <v>KN-1A119590</v>
          </cell>
          <cell r="I2352" t="str">
            <v>ANNUALLY</v>
          </cell>
          <cell r="J2352">
            <v>45943</v>
          </cell>
          <cell r="K2352"/>
          <cell r="L2352"/>
          <cell r="M2352"/>
          <cell r="N2352" t="str">
            <v>JABATAN PEDIATRIK</v>
          </cell>
          <cell r="O2352" t="str">
            <v>WAD 12 (Paediatric Ward)</v>
          </cell>
        </row>
        <row r="2353">
          <cell r="D2353" t="str">
            <v>KKM/JKN/HSA/10-05-01/H/22/134</v>
          </cell>
          <cell r="E2353" t="str">
            <v>PATIENT MONITORING EQUIPMENT</v>
          </cell>
          <cell r="F2353" t="str">
            <v>MINDRAY</v>
          </cell>
          <cell r="G2353" t="str">
            <v>UMEC12</v>
          </cell>
          <cell r="H2353" t="str">
            <v>KN-1A119591</v>
          </cell>
          <cell r="I2353" t="str">
            <v>ANNUALLY</v>
          </cell>
          <cell r="J2353">
            <v>45943</v>
          </cell>
          <cell r="K2353"/>
          <cell r="L2353"/>
          <cell r="M2353"/>
          <cell r="N2353" t="str">
            <v>JABATAN PEDIATRIK</v>
          </cell>
          <cell r="O2353" t="str">
            <v>WAD 12 (Paediatric Ward)</v>
          </cell>
        </row>
        <row r="2354">
          <cell r="D2354" t="str">
            <v>KKM/JKN/HSA/10-05-01/H/22/135</v>
          </cell>
          <cell r="E2354" t="str">
            <v>PATIENT MONITORING EQUIPMENT</v>
          </cell>
          <cell r="F2354" t="str">
            <v>MINDRAY</v>
          </cell>
          <cell r="G2354" t="str">
            <v>UMEC12</v>
          </cell>
          <cell r="H2354" t="str">
            <v>KN-1A119593</v>
          </cell>
          <cell r="I2354" t="str">
            <v>ANNUALLY</v>
          </cell>
          <cell r="J2354">
            <v>45943</v>
          </cell>
          <cell r="K2354"/>
          <cell r="L2354"/>
          <cell r="M2354"/>
          <cell r="N2354" t="str">
            <v>JABATAN PEDIATRIK</v>
          </cell>
          <cell r="O2354" t="str">
            <v>WAD 12 (Paediatric Ward)</v>
          </cell>
        </row>
        <row r="2355">
          <cell r="D2355" t="str">
            <v>KKM/JKN/HSA/10-05-01/H/23/1</v>
          </cell>
          <cell r="E2355" t="str">
            <v>SLIT LAMP</v>
          </cell>
          <cell r="F2355" t="str">
            <v>TOPCON</v>
          </cell>
          <cell r="G2355" t="str">
            <v>SL-D7</v>
          </cell>
          <cell r="H2355" t="str">
            <v>7000596-038-040469</v>
          </cell>
          <cell r="I2355" t="str">
            <v>ANNUALLY</v>
          </cell>
          <cell r="J2355">
            <v>45713</v>
          </cell>
          <cell r="K2355"/>
          <cell r="L2355"/>
          <cell r="M2355"/>
          <cell r="N2355" t="str">
            <v>JABATAN OFTALMOLOGI</v>
          </cell>
          <cell r="O2355" t="str">
            <v>Klinik Oftalmologi (OPHTHAL CLINIC)</v>
          </cell>
        </row>
        <row r="2356">
          <cell r="D2356" t="str">
            <v>KKM/JKN/HSA/10-05-01/H/21/89</v>
          </cell>
          <cell r="E2356" t="str">
            <v>PORTABLE REVERSE OSMOSIS</v>
          </cell>
          <cell r="F2356" t="str">
            <v>CANTEL MEDICAL USA</v>
          </cell>
          <cell r="G2356" t="str">
            <v>MILLENIUM HX</v>
          </cell>
          <cell r="H2356">
            <v>1388759</v>
          </cell>
          <cell r="I2356" t="str">
            <v>SEMI ANNUALLY</v>
          </cell>
          <cell r="J2356">
            <v>45759</v>
          </cell>
          <cell r="K2356">
            <v>45941</v>
          </cell>
          <cell r="L2356"/>
          <cell r="M2356"/>
          <cell r="N2356" t="str">
            <v>UNIT HEMODIALISIS</v>
          </cell>
          <cell r="O2356" t="str">
            <v>Unit Hemodialisis (HDU)</v>
          </cell>
        </row>
        <row r="2357">
          <cell r="D2357" t="str">
            <v>KKM/JKN/HSA/10-05-01/H/21/90</v>
          </cell>
          <cell r="E2357" t="str">
            <v>MESIN HEMODIALISIS</v>
          </cell>
          <cell r="F2357" t="str">
            <v>FRESENIUS</v>
          </cell>
          <cell r="G2357" t="str">
            <v>4008S NG</v>
          </cell>
          <cell r="H2357" t="str">
            <v>1SXA2LGK</v>
          </cell>
          <cell r="I2357" t="str">
            <v>SEMI ANNUALLY</v>
          </cell>
          <cell r="J2357">
            <v>46036</v>
          </cell>
          <cell r="K2357">
            <v>46216</v>
          </cell>
          <cell r="L2357"/>
          <cell r="M2357"/>
          <cell r="N2357" t="str">
            <v>UNIT HEMODIALISIS</v>
          </cell>
          <cell r="O2357" t="str">
            <v>Unit Hemodialisis (HDU)</v>
          </cell>
        </row>
        <row r="2358">
          <cell r="D2358" t="str">
            <v>KKM/JKN/HSA/10-05-01/H/21/321</v>
          </cell>
          <cell r="E2358" t="str">
            <v>VENTILATOR</v>
          </cell>
          <cell r="F2358" t="str">
            <v>DRAEGER</v>
          </cell>
          <cell r="G2358" t="str">
            <v>SAVINA 300</v>
          </cell>
          <cell r="H2358" t="str">
            <v>ASPJ-0852</v>
          </cell>
          <cell r="I2358" t="str">
            <v>ANNUALLY</v>
          </cell>
          <cell r="J2358">
            <v>45951</v>
          </cell>
          <cell r="K2358"/>
          <cell r="L2358"/>
          <cell r="M2358"/>
          <cell r="N2358" t="str">
            <v>JABATAN PEDIATRIK</v>
          </cell>
          <cell r="O2358" t="str">
            <v>WAD 12 (Paediatric Ward)</v>
          </cell>
        </row>
        <row r="2359">
          <cell r="D2359" t="str">
            <v>KKM/JKN/HSA/10-05-01/H/21/322</v>
          </cell>
          <cell r="E2359" t="str">
            <v>VENTILATOR</v>
          </cell>
          <cell r="F2359" t="str">
            <v>DRAEGER</v>
          </cell>
          <cell r="G2359" t="str">
            <v>SAVINA 300</v>
          </cell>
          <cell r="H2359" t="str">
            <v>ASPJ-0857</v>
          </cell>
          <cell r="I2359" t="str">
            <v>ANNUALLY</v>
          </cell>
          <cell r="J2359">
            <v>45951</v>
          </cell>
          <cell r="K2359"/>
          <cell r="L2359"/>
          <cell r="M2359"/>
          <cell r="N2359" t="str">
            <v>JABATAN PEDIATRIK</v>
          </cell>
          <cell r="O2359" t="str">
            <v>WAD 12 (Paediatric Ward)</v>
          </cell>
        </row>
        <row r="2360">
          <cell r="D2360" t="str">
            <v>KKM/JKN/HSA/10-05-01/H/21/323</v>
          </cell>
          <cell r="E2360" t="str">
            <v>VENTILATOR</v>
          </cell>
          <cell r="F2360" t="str">
            <v>PHILIPS RESPIRONICS</v>
          </cell>
          <cell r="G2360" t="str">
            <v>TRILOGY EV 300</v>
          </cell>
          <cell r="H2360" t="str">
            <v>H303388426F0A5</v>
          </cell>
          <cell r="I2360" t="str">
            <v>SEMI ANNUALLY</v>
          </cell>
          <cell r="J2360">
            <v>46035</v>
          </cell>
          <cell r="K2360">
            <v>46213</v>
          </cell>
          <cell r="L2360"/>
          <cell r="M2360"/>
          <cell r="N2360" t="str">
            <v>JABATAN PEDIATRIK</v>
          </cell>
          <cell r="O2360" t="str">
            <v>WAD 12 (Paediatric Ward)</v>
          </cell>
        </row>
        <row r="2361">
          <cell r="D2361" t="str">
            <v>KKM/JKN/HSA/10-05-01/H/22/125</v>
          </cell>
          <cell r="E2361" t="str">
            <v>ULTRASOUND SCANNER</v>
          </cell>
          <cell r="F2361" t="str">
            <v>QUANTEL MEDICAL</v>
          </cell>
          <cell r="G2361" t="str">
            <v>COMPACT TOUCH2 ULTRASOUND A/B SCAN</v>
          </cell>
          <cell r="H2361">
            <v>7812</v>
          </cell>
          <cell r="I2361" t="str">
            <v>ANNUALLY</v>
          </cell>
          <cell r="J2361">
            <v>45713</v>
          </cell>
          <cell r="K2361"/>
          <cell r="L2361"/>
          <cell r="M2361"/>
          <cell r="N2361" t="str">
            <v>JABATAN OFTALMOLOGI</v>
          </cell>
          <cell r="O2361" t="str">
            <v>Klinik Oftalmologi (OPHTHAL CLINIC)</v>
          </cell>
        </row>
        <row r="2362">
          <cell r="D2362" t="str">
            <v>KKM/JKN/HSA/10-05-01/H/22/126</v>
          </cell>
          <cell r="E2362" t="str">
            <v>ULTRASOUND SCANNER</v>
          </cell>
          <cell r="F2362" t="str">
            <v>SONOSCAPE</v>
          </cell>
          <cell r="G2362" t="str">
            <v>E2</v>
          </cell>
          <cell r="H2362" t="str">
            <v>0725169754</v>
          </cell>
          <cell r="I2362" t="str">
            <v>ANNUALLY</v>
          </cell>
          <cell r="J2362">
            <v>45950</v>
          </cell>
          <cell r="K2362"/>
          <cell r="L2362"/>
          <cell r="M2362"/>
          <cell r="N2362" t="str">
            <v>JABATAN OBSTETRIK &amp; GINEKOLOGI</v>
          </cell>
          <cell r="O2362" t="str">
            <v>Dewan Bersalin (LDU)</v>
          </cell>
        </row>
        <row r="2363">
          <cell r="D2363" t="str">
            <v>KKM/JKN/HSA/10-05-01/H/22/127</v>
          </cell>
          <cell r="E2363" t="str">
            <v>CHEST VIBRATOR</v>
          </cell>
          <cell r="F2363" t="str">
            <v>LEGA</v>
          </cell>
          <cell r="G2363" t="str">
            <v>LEGA A</v>
          </cell>
          <cell r="H2363" t="str">
            <v>A9-DEV-01-22002-030</v>
          </cell>
          <cell r="I2363" t="str">
            <v>ANNUALLY</v>
          </cell>
          <cell r="J2363">
            <v>45881</v>
          </cell>
          <cell r="K2363"/>
          <cell r="L2363"/>
          <cell r="M2363"/>
          <cell r="N2363" t="str">
            <v>JABATAN PERUBATAN REHABILITASI</v>
          </cell>
          <cell r="O2363" t="str">
            <v>Jabatan Perubatan Rehabilitasi</v>
          </cell>
        </row>
        <row r="2364">
          <cell r="D2364" t="str">
            <v>KKM/JKN/HSA/10-05-01/H/21/278</v>
          </cell>
          <cell r="E2364" t="str">
            <v>PATIENT MONITORING EQUIPMENT</v>
          </cell>
          <cell r="F2364" t="str">
            <v>MINDRAY</v>
          </cell>
          <cell r="G2364" t="str">
            <v>M1K6B-PA00097</v>
          </cell>
          <cell r="H2364" t="str">
            <v>KN-18116193</v>
          </cell>
          <cell r="I2364" t="str">
            <v>ANNUALLY</v>
          </cell>
          <cell r="J2364">
            <v>46045</v>
          </cell>
          <cell r="K2364"/>
          <cell r="L2364"/>
          <cell r="M2364"/>
          <cell r="N2364" t="str">
            <v>JABATAN KECEMASAN &amp; TRAUMA</v>
          </cell>
          <cell r="O2364" t="str">
            <v>Jabatan Kecemasan &amp; Trauma (ED)</v>
          </cell>
        </row>
        <row r="2365">
          <cell r="D2365" t="str">
            <v>KKM/JKN/HSA/10-05-01/H/21/279</v>
          </cell>
          <cell r="E2365" t="str">
            <v>PATIENT MONITORING EQUIPMENT</v>
          </cell>
          <cell r="F2365" t="str">
            <v>MINDRAY</v>
          </cell>
          <cell r="G2365" t="str">
            <v>M1K6B-PA00097</v>
          </cell>
          <cell r="H2365" t="str">
            <v>KN-18116194</v>
          </cell>
          <cell r="I2365" t="str">
            <v>ANNUALLY</v>
          </cell>
          <cell r="J2365">
            <v>46045</v>
          </cell>
          <cell r="K2365"/>
          <cell r="L2365"/>
          <cell r="M2365"/>
          <cell r="N2365" t="str">
            <v>JABATAN KECEMASAN &amp; TRAUMA</v>
          </cell>
          <cell r="O2365" t="str">
            <v>Jabatan Kecemasan &amp; Trauma (ED)</v>
          </cell>
        </row>
        <row r="2366">
          <cell r="D2366" t="str">
            <v>KKM/JKN/HSA/10-05-01/H/21/280</v>
          </cell>
          <cell r="E2366" t="str">
            <v>PATIENT MONITORING EQUIPMENT</v>
          </cell>
          <cell r="F2366" t="str">
            <v>MINDRAY</v>
          </cell>
          <cell r="G2366" t="str">
            <v>M1K6B-PA00097</v>
          </cell>
          <cell r="H2366" t="str">
            <v>KN-18116196</v>
          </cell>
          <cell r="I2366" t="str">
            <v>ANNUALLY</v>
          </cell>
          <cell r="J2366">
            <v>46045</v>
          </cell>
          <cell r="K2366"/>
          <cell r="L2366"/>
          <cell r="M2366"/>
          <cell r="N2366" t="str">
            <v>JABATAN KECEMASAN &amp; TRAUMA</v>
          </cell>
          <cell r="O2366" t="str">
            <v>Jabatan Kecemasan &amp; Trauma (ED)</v>
          </cell>
        </row>
        <row r="2367">
          <cell r="D2367" t="str">
            <v>KKM/JKN/HSA/10-05-01/H/20/116</v>
          </cell>
          <cell r="E2367" t="str">
            <v>VENTILATOR</v>
          </cell>
          <cell r="F2367" t="str">
            <v>DRAEGER</v>
          </cell>
          <cell r="G2367" t="str">
            <v>SAVINA 300</v>
          </cell>
          <cell r="H2367" t="str">
            <v>ASND-0612</v>
          </cell>
          <cell r="I2367" t="str">
            <v>ANNUALLY</v>
          </cell>
          <cell r="J2367">
            <v>46037</v>
          </cell>
          <cell r="K2367"/>
          <cell r="L2367"/>
          <cell r="M2367"/>
          <cell r="N2367" t="str">
            <v>JABATAN ANESTESIOLOGI DAN RAWATAN RAPI</v>
          </cell>
          <cell r="O2367" t="str">
            <v>Unit Rawatan Rapi (ICU)</v>
          </cell>
        </row>
        <row r="2368">
          <cell r="D2368" t="str">
            <v>KKM/JKN/HSA/10-05-01/H/20/229</v>
          </cell>
          <cell r="E2368" t="str">
            <v>SYRINGE INFUSION PUMP</v>
          </cell>
          <cell r="F2368" t="str">
            <v>MINDRAY</v>
          </cell>
          <cell r="G2368" t="str">
            <v>SP3</v>
          </cell>
          <cell r="H2368" t="str">
            <v>SK00416846</v>
          </cell>
          <cell r="I2368" t="str">
            <v>ANNUALLY</v>
          </cell>
          <cell r="J2368">
            <v>46042</v>
          </cell>
          <cell r="K2368"/>
          <cell r="L2368"/>
          <cell r="M2368"/>
          <cell r="N2368" t="str">
            <v>JABATAN PEMBEDAHAN AM</v>
          </cell>
          <cell r="O2368" t="str">
            <v>WAD 9B (Wad Pembedahan Lelaki 9B)</v>
          </cell>
        </row>
        <row r="2369">
          <cell r="D2369" t="str">
            <v>KKM/JKN/HSA/10-05-01/H/20/234</v>
          </cell>
          <cell r="E2369" t="str">
            <v>SYRINGE INFUSION PUMP</v>
          </cell>
          <cell r="F2369" t="str">
            <v>MINDRAY</v>
          </cell>
          <cell r="G2369" t="str">
            <v>SP3</v>
          </cell>
          <cell r="H2369" t="str">
            <v>SK00416876</v>
          </cell>
          <cell r="I2369" t="str">
            <v>ANNUALLY</v>
          </cell>
          <cell r="J2369">
            <v>46042</v>
          </cell>
          <cell r="K2369"/>
          <cell r="L2369"/>
          <cell r="M2369"/>
          <cell r="N2369" t="str">
            <v>JABATAN PERUBATAN AM</v>
          </cell>
          <cell r="O2369" t="str">
            <v>WAD 9B (Wad Pembedahan Lelaki 9B)</v>
          </cell>
        </row>
        <row r="2370">
          <cell r="D2370" t="str">
            <v>KKM/JKN/HSA/10-05-01/H/22/6</v>
          </cell>
          <cell r="E2370" t="str">
            <v>SYRINGE INFUSION PUMP</v>
          </cell>
          <cell r="F2370" t="str">
            <v>TERUMO</v>
          </cell>
          <cell r="G2370" t="str">
            <v>TE*SS730N02</v>
          </cell>
          <cell r="H2370">
            <v>2007010183</v>
          </cell>
          <cell r="I2370" t="str">
            <v>ANNUALLY</v>
          </cell>
          <cell r="J2370">
            <v>45706</v>
          </cell>
          <cell r="K2370"/>
          <cell r="L2370"/>
          <cell r="M2370"/>
          <cell r="N2370" t="str">
            <v>JABATAN PEMBEDAHAN AM</v>
          </cell>
          <cell r="O2370" t="str">
            <v>(Multidiscipline Ward) MDW</v>
          </cell>
        </row>
        <row r="2371">
          <cell r="D2371" t="str">
            <v>KKM/JKN/HSA/10-05-01/H/22/7</v>
          </cell>
          <cell r="E2371" t="str">
            <v>SYRINGE INFUSION PUMP</v>
          </cell>
          <cell r="F2371" t="str">
            <v>TERUMO</v>
          </cell>
          <cell r="G2371" t="str">
            <v>TE*SS730N02</v>
          </cell>
          <cell r="H2371">
            <v>2007010184</v>
          </cell>
          <cell r="I2371" t="str">
            <v>ANNUALLY</v>
          </cell>
          <cell r="J2371">
            <v>45706</v>
          </cell>
          <cell r="K2371"/>
          <cell r="L2371"/>
          <cell r="M2371"/>
          <cell r="N2371" t="str">
            <v>JABATAN PEMBEDAHAN AM</v>
          </cell>
          <cell r="O2371" t="str">
            <v>(Multidiscipline Ward) MDW</v>
          </cell>
        </row>
        <row r="2372">
          <cell r="D2372" t="str">
            <v>KKM/JKN/HSA/10-05-01/H/22/8</v>
          </cell>
          <cell r="E2372" t="str">
            <v>SYRINGE INFUSION PUMP</v>
          </cell>
          <cell r="F2372" t="str">
            <v>TERUMO</v>
          </cell>
          <cell r="G2372" t="str">
            <v>TE*SS730N02</v>
          </cell>
          <cell r="H2372">
            <v>2007010185</v>
          </cell>
          <cell r="I2372" t="str">
            <v>ANNUALLY</v>
          </cell>
          <cell r="J2372">
            <v>46038</v>
          </cell>
          <cell r="K2372"/>
          <cell r="L2372"/>
          <cell r="M2372"/>
          <cell r="N2372" t="str">
            <v>JABATAN PEMBEDAHAN AM</v>
          </cell>
          <cell r="O2372" t="str">
            <v>Wad 13 (VIP)</v>
          </cell>
        </row>
        <row r="2373">
          <cell r="D2373" t="str">
            <v>KKM/JKN/HSA/10-05-01/H/22/9</v>
          </cell>
          <cell r="E2373" t="str">
            <v>SYRINGE INFUSION PUMP</v>
          </cell>
          <cell r="F2373" t="str">
            <v>TERUMO</v>
          </cell>
          <cell r="G2373" t="str">
            <v>TE*SS730N02</v>
          </cell>
          <cell r="H2373">
            <v>2007010186</v>
          </cell>
          <cell r="I2373" t="str">
            <v>ANNUALLY</v>
          </cell>
          <cell r="J2373">
            <v>46034</v>
          </cell>
          <cell r="K2373"/>
          <cell r="L2373"/>
          <cell r="M2373"/>
          <cell r="N2373" t="str">
            <v>JABATAN PEMBEDAHAN AM</v>
          </cell>
          <cell r="O2373" t="str">
            <v>LEVEL 6 (Wad Multidisiplin Perempuan)</v>
          </cell>
        </row>
        <row r="2374">
          <cell r="D2374" t="str">
            <v>KKM/JKN/HSA/10-05-01/H/20/216</v>
          </cell>
          <cell r="E2374" t="str">
            <v>PATIENT MONITORING EQUIPMENT</v>
          </cell>
          <cell r="F2374" t="str">
            <v>PHILIPS</v>
          </cell>
          <cell r="G2374" t="str">
            <v>INTELLIVUE MX430</v>
          </cell>
          <cell r="H2374" t="str">
            <v>DE67207481 / DE69539004</v>
          </cell>
          <cell r="I2374" t="str">
            <v>ANNUALLY</v>
          </cell>
          <cell r="J2374">
            <v>46031</v>
          </cell>
          <cell r="K2374"/>
          <cell r="L2374"/>
          <cell r="M2374"/>
          <cell r="N2374" t="str">
            <v>JABATAN PERUBATAN AM</v>
          </cell>
          <cell r="O2374" t="str">
            <v>WAD 10B (Wad Perubatan Perempuan 10B)</v>
          </cell>
        </row>
        <row r="2375">
          <cell r="D2375" t="str">
            <v>KKM/JKN/HSA/10-05-01/H/21/306</v>
          </cell>
          <cell r="E2375" t="str">
            <v>PATIENT MONITORING EQUIPMENT</v>
          </cell>
          <cell r="F2375" t="str">
            <v>BETTERLIFE MEDICAL TECHNOLOGY</v>
          </cell>
          <cell r="G2375" t="str">
            <v>IRIS 200</v>
          </cell>
          <cell r="H2375" t="str">
            <v>M10C-2107B08</v>
          </cell>
          <cell r="I2375" t="str">
            <v>ANNUALLY</v>
          </cell>
          <cell r="J2375">
            <v>46034</v>
          </cell>
          <cell r="K2375"/>
          <cell r="L2375"/>
          <cell r="M2375"/>
          <cell r="N2375" t="str">
            <v>JABATAN PEMBEDAHAN AM</v>
          </cell>
          <cell r="O2375" t="str">
            <v>LEVEL 6 (Wad Multidisiplin Perempuan)</v>
          </cell>
        </row>
        <row r="2376">
          <cell r="D2376" t="str">
            <v>KKM/JKN/HSA/10-05-01/H/21/307</v>
          </cell>
          <cell r="E2376" t="str">
            <v>PATIENT MONITORING EQUIPMENT</v>
          </cell>
          <cell r="F2376" t="str">
            <v>BETTERLIFE MEDICAL TECHNOLOGY</v>
          </cell>
          <cell r="G2376" t="str">
            <v>IRIS 200</v>
          </cell>
          <cell r="H2376" t="str">
            <v>M10C-2107B07</v>
          </cell>
          <cell r="I2376" t="str">
            <v>ANNUALLY</v>
          </cell>
          <cell r="J2376">
            <v>45698</v>
          </cell>
          <cell r="K2376"/>
          <cell r="L2376"/>
          <cell r="M2376"/>
          <cell r="N2376" t="str">
            <v>JABATAN PEMBEDAHAN AM</v>
          </cell>
          <cell r="O2376" t="str">
            <v>(Multidiscipline Ward) MDW</v>
          </cell>
        </row>
        <row r="2377">
          <cell r="D2377" t="str">
            <v>KKM/JKN/HSA/10-05-01/H/21/308</v>
          </cell>
          <cell r="E2377" t="str">
            <v>PATIENT MONITORING EQUIPMENT</v>
          </cell>
          <cell r="F2377" t="str">
            <v>BETTERLIFE MEDICAL TECHNOLOGY</v>
          </cell>
          <cell r="G2377" t="str">
            <v>IRIS 200</v>
          </cell>
          <cell r="H2377" t="str">
            <v>M10C-2107B10</v>
          </cell>
          <cell r="I2377" t="str">
            <v>ANNUALLY</v>
          </cell>
          <cell r="J2377">
            <v>45698</v>
          </cell>
          <cell r="K2377"/>
          <cell r="L2377"/>
          <cell r="M2377"/>
          <cell r="N2377" t="str">
            <v>JABATAN PEMBEDAHAN AM</v>
          </cell>
          <cell r="O2377" t="str">
            <v>(Multidiscipline Ward) MDW</v>
          </cell>
        </row>
        <row r="2378">
          <cell r="D2378" t="str">
            <v>KKM/JKN/HSA/10-05-01/H/21/193</v>
          </cell>
          <cell r="E2378" t="str">
            <v>POWERED AIR PURIFYING RESPIRATOR (PAPR)</v>
          </cell>
          <cell r="F2378" t="str">
            <v>SHINE</v>
          </cell>
          <cell r="G2378" t="str">
            <v>P-SH100</v>
          </cell>
          <cell r="H2378" t="str">
            <v>2122855520072</v>
          </cell>
          <cell r="I2378" t="str">
            <v>ANNUALLY</v>
          </cell>
          <cell r="J2378">
            <v>45782</v>
          </cell>
          <cell r="K2378"/>
          <cell r="L2378"/>
          <cell r="M2378"/>
          <cell r="N2378" t="str">
            <v>JABATAN FORENSIK</v>
          </cell>
          <cell r="O2378" t="str">
            <v>Perubatan Forensik (MORTUARY)</v>
          </cell>
        </row>
        <row r="2379">
          <cell r="D2379" t="str">
            <v>KKM/JKN/HSA/10-05-01/H/21/194</v>
          </cell>
          <cell r="E2379" t="str">
            <v>POWERED AIR PURIFYING RESPIRATOR (PAPR)</v>
          </cell>
          <cell r="F2379" t="str">
            <v>SHINE</v>
          </cell>
          <cell r="G2379" t="str">
            <v>P-SH100</v>
          </cell>
          <cell r="H2379" t="str">
            <v>2122855520073</v>
          </cell>
          <cell r="I2379" t="str">
            <v>ANNUALLY</v>
          </cell>
          <cell r="J2379">
            <v>45782</v>
          </cell>
          <cell r="K2379"/>
          <cell r="L2379"/>
          <cell r="M2379"/>
          <cell r="N2379" t="str">
            <v>JABATAN FORENSIK</v>
          </cell>
          <cell r="O2379" t="str">
            <v>Perubatan Forensik (MORTUARY)</v>
          </cell>
        </row>
        <row r="2380">
          <cell r="D2380" t="str">
            <v>KKM/JKN/HSA/10-05-01/H/21/195</v>
          </cell>
          <cell r="E2380" t="str">
            <v>POWERED AIR PURIFYING RESPIRATOR (PAPR)</v>
          </cell>
          <cell r="F2380" t="str">
            <v>SHINE</v>
          </cell>
          <cell r="G2380" t="str">
            <v>P-SH100</v>
          </cell>
          <cell r="H2380" t="str">
            <v>2122855520074</v>
          </cell>
          <cell r="I2380" t="str">
            <v>ANNUALLY</v>
          </cell>
          <cell r="J2380">
            <v>45782</v>
          </cell>
          <cell r="K2380"/>
          <cell r="L2380"/>
          <cell r="M2380"/>
          <cell r="N2380" t="str">
            <v>JABATAN FORENSIK</v>
          </cell>
          <cell r="O2380" t="str">
            <v>Perubatan Forensik (MORTUARY)</v>
          </cell>
        </row>
        <row r="2381">
          <cell r="D2381" t="str">
            <v>KKM/JKN/HSA/10-05-01/H/21/196</v>
          </cell>
          <cell r="E2381" t="str">
            <v>POWERED AIR PURIFYING RESPIRATOR (PAPR)</v>
          </cell>
          <cell r="F2381" t="str">
            <v>SHINE</v>
          </cell>
          <cell r="G2381" t="str">
            <v>P-SH100</v>
          </cell>
          <cell r="H2381" t="str">
            <v>2122855520075</v>
          </cell>
          <cell r="I2381" t="str">
            <v>ANNUALLY</v>
          </cell>
          <cell r="J2381">
            <v>45782</v>
          </cell>
          <cell r="K2381"/>
          <cell r="L2381"/>
          <cell r="M2381"/>
          <cell r="N2381" t="str">
            <v>JABATAN FORENSIK</v>
          </cell>
          <cell r="O2381" t="str">
            <v>Perubatan Forensik (MORTUARY)</v>
          </cell>
        </row>
        <row r="2382">
          <cell r="D2382" t="str">
            <v>KKM/JKN/HSA/10-05-01/H/22/106</v>
          </cell>
          <cell r="E2382" t="str">
            <v>SYRINGE INFUSION PUMP</v>
          </cell>
          <cell r="F2382" t="str">
            <v>BBRAUN</v>
          </cell>
          <cell r="G2382" t="str">
            <v>PERFUSOR COMPACT PLUS</v>
          </cell>
          <cell r="H2382" t="str">
            <v>052594</v>
          </cell>
          <cell r="I2382" t="str">
            <v>ANNUALLY</v>
          </cell>
          <cell r="J2382">
            <v>45706</v>
          </cell>
          <cell r="K2382"/>
          <cell r="L2382"/>
          <cell r="M2382"/>
          <cell r="N2382" t="str">
            <v>JABATAN PEMBEDAHAN AM</v>
          </cell>
          <cell r="O2382" t="str">
            <v>(Multidiscipline Ward) MDW</v>
          </cell>
        </row>
        <row r="2383">
          <cell r="D2383" t="str">
            <v>KKM/JKN/HSA/10-05-01/H/22/107</v>
          </cell>
          <cell r="E2383" t="str">
            <v>SYRINGE INFUSION PUMP</v>
          </cell>
          <cell r="F2383" t="str">
            <v>BBRAUN</v>
          </cell>
          <cell r="G2383" t="str">
            <v>PERFUSOR COMPACT PLUS</v>
          </cell>
          <cell r="H2383" t="str">
            <v>052502</v>
          </cell>
          <cell r="I2383" t="str">
            <v>ANNUALLY</v>
          </cell>
          <cell r="J2383">
            <v>46034</v>
          </cell>
          <cell r="K2383"/>
          <cell r="L2383"/>
          <cell r="M2383"/>
          <cell r="N2383" t="str">
            <v>JABATAN PEMBEDAHAN AM</v>
          </cell>
          <cell r="O2383" t="str">
            <v>LEVEL 6 (Wad Multidisiplin Perempuan)</v>
          </cell>
        </row>
        <row r="2384">
          <cell r="D2384" t="str">
            <v>KKM/JKN/HSA/10-05-01/H/22/109</v>
          </cell>
          <cell r="E2384" t="str">
            <v>SYRINGE INFUSION PUMP</v>
          </cell>
          <cell r="F2384" t="str">
            <v>BBRAUN</v>
          </cell>
          <cell r="G2384" t="str">
            <v>PERFUSOR COMPACT PLUS</v>
          </cell>
          <cell r="H2384" t="str">
            <v>037361</v>
          </cell>
          <cell r="I2384" t="str">
            <v>ANNUALLY</v>
          </cell>
          <cell r="J2384">
            <v>46031</v>
          </cell>
          <cell r="K2384"/>
          <cell r="L2384"/>
          <cell r="M2384"/>
          <cell r="N2384" t="str">
            <v>JABATAN PEMBEDAHAN AM</v>
          </cell>
          <cell r="O2384" t="str">
            <v>Wad 13 (VIP)</v>
          </cell>
        </row>
        <row r="2385">
          <cell r="D2385" t="str">
            <v>KKM/JKN/HSA/10-05-01/H/22/110</v>
          </cell>
          <cell r="E2385" t="str">
            <v>SYRINGE INFUSION PUMP</v>
          </cell>
          <cell r="F2385" t="str">
            <v>BBRAUN</v>
          </cell>
          <cell r="G2385" t="str">
            <v>PERFUSOR COMPACT PLUS</v>
          </cell>
          <cell r="H2385" t="str">
            <v>052576</v>
          </cell>
          <cell r="I2385" t="str">
            <v>ANNUALLY</v>
          </cell>
          <cell r="J2385">
            <v>45701</v>
          </cell>
          <cell r="K2385"/>
          <cell r="L2385"/>
          <cell r="M2385"/>
          <cell r="N2385" t="str">
            <v>JABATAN ANESTESIOLOGI DAN RAWATAN RAPI</v>
          </cell>
          <cell r="O2385" t="str">
            <v>High Dependency Ward (HDW)</v>
          </cell>
        </row>
        <row r="2386">
          <cell r="D2386" t="str">
            <v>KKM/JKN/HSA/10-05-01/H/22/112</v>
          </cell>
          <cell r="E2386" t="str">
            <v>SYRINGE INFUSION PUMP</v>
          </cell>
          <cell r="F2386" t="str">
            <v>BBRAUN</v>
          </cell>
          <cell r="G2386" t="str">
            <v>PERFUSOR COMPACT PLUS</v>
          </cell>
          <cell r="H2386" t="str">
            <v>036468</v>
          </cell>
          <cell r="I2386" t="str">
            <v>ANNUALLY</v>
          </cell>
          <cell r="J2386">
            <v>46036</v>
          </cell>
          <cell r="K2386"/>
          <cell r="L2386"/>
          <cell r="M2386"/>
          <cell r="N2386" t="str">
            <v>JABATAN ANESTESIOLOGI DAN RAWATAN RAPI</v>
          </cell>
          <cell r="O2386" t="str">
            <v>Unit Rawatan Rapi (ICU)</v>
          </cell>
        </row>
        <row r="2387">
          <cell r="D2387" t="str">
            <v>KKM/JKN/HSA/10-05-01/R/23/1</v>
          </cell>
          <cell r="E2387" t="str">
            <v>PORTABLE FETAL DOPPLER</v>
          </cell>
          <cell r="F2387" t="str">
            <v>EDAN</v>
          </cell>
          <cell r="G2387" t="str">
            <v>SD3</v>
          </cell>
          <cell r="H2387" t="str">
            <v>H23304020004</v>
          </cell>
          <cell r="I2387" t="str">
            <v>ANNUALLY</v>
          </cell>
          <cell r="J2387">
            <v>45764</v>
          </cell>
          <cell r="K2387"/>
          <cell r="L2387"/>
          <cell r="M2387"/>
          <cell r="N2387" t="str">
            <v>JABATAN OBSTETRIK &amp; GINEKOLOGI</v>
          </cell>
          <cell r="O2387" t="str">
            <v>WAD 8A (Wad Obstetrik &amp; Ginekologi 8A)</v>
          </cell>
        </row>
        <row r="2388">
          <cell r="D2388" t="str">
            <v>KKM/JKN/HSA/10-05-01/R/23/2</v>
          </cell>
          <cell r="E2388" t="str">
            <v>PORTABLE FETAL DOPPLER</v>
          </cell>
          <cell r="F2388" t="str">
            <v>EDAN</v>
          </cell>
          <cell r="G2388" t="str">
            <v>SD3</v>
          </cell>
          <cell r="H2388" t="str">
            <v>H23304020007</v>
          </cell>
          <cell r="I2388" t="str">
            <v>ANNUALLY</v>
          </cell>
          <cell r="J2388">
            <v>45764</v>
          </cell>
          <cell r="K2388"/>
          <cell r="L2388"/>
          <cell r="M2388"/>
          <cell r="N2388" t="str">
            <v>JABATAN OBSTETRIK &amp; GINEKOLOGI</v>
          </cell>
          <cell r="O2388" t="str">
            <v>PAC</v>
          </cell>
        </row>
        <row r="2389">
          <cell r="D2389" t="str">
            <v>KKM/JKN/HSA/10-05-01/R/23/3</v>
          </cell>
          <cell r="E2389" t="str">
            <v>PORTABLE FETAL DOPPLER</v>
          </cell>
          <cell r="F2389" t="str">
            <v>EDAN</v>
          </cell>
          <cell r="G2389" t="str">
            <v>SD3</v>
          </cell>
          <cell r="H2389" t="str">
            <v>H23304020006</v>
          </cell>
          <cell r="I2389" t="str">
            <v>ANNUALLY</v>
          </cell>
          <cell r="J2389">
            <v>45764</v>
          </cell>
          <cell r="K2389"/>
          <cell r="L2389"/>
          <cell r="M2389"/>
          <cell r="N2389" t="str">
            <v>JABATAN OBSTETRIK &amp; GINEKOLOGI</v>
          </cell>
          <cell r="O2389" t="str">
            <v>WAD 8B (Wad Obstetrik &amp; Ginekologi 8B)</v>
          </cell>
        </row>
        <row r="2390">
          <cell r="D2390" t="str">
            <v>KKM/JKN/HSA/10-05-01/R/23/4</v>
          </cell>
          <cell r="E2390" t="str">
            <v>PORTABLE FETAL DOPPLER</v>
          </cell>
          <cell r="F2390" t="str">
            <v>EDAN</v>
          </cell>
          <cell r="G2390" t="str">
            <v>SD3</v>
          </cell>
          <cell r="H2390" t="str">
            <v>H23304020001</v>
          </cell>
          <cell r="I2390" t="str">
            <v>ANNUALLY</v>
          </cell>
          <cell r="J2390">
            <v>45764</v>
          </cell>
          <cell r="K2390"/>
          <cell r="L2390"/>
          <cell r="M2390"/>
          <cell r="N2390" t="str">
            <v>JABATAN OBSTETRIK &amp; GINEKOLOGI</v>
          </cell>
          <cell r="O2390" t="str">
            <v>Dewan Bedah Bersalin (MOT)</v>
          </cell>
        </row>
        <row r="2391">
          <cell r="D2391" t="str">
            <v>KKM/JKN/HSA/10-05-01/R/23/5</v>
          </cell>
          <cell r="E2391" t="str">
            <v>PORTABLE FETAL DOPPLER</v>
          </cell>
          <cell r="F2391" t="str">
            <v>EDAN</v>
          </cell>
          <cell r="G2391" t="str">
            <v>SD3</v>
          </cell>
          <cell r="H2391" t="str">
            <v>H23304020005</v>
          </cell>
          <cell r="I2391" t="str">
            <v>ANNUALLY</v>
          </cell>
          <cell r="J2391">
            <v>45764</v>
          </cell>
          <cell r="K2391"/>
          <cell r="L2391"/>
          <cell r="M2391"/>
          <cell r="N2391" t="str">
            <v>JABATAN OBSTETRIK &amp; GINEKOLOGI</v>
          </cell>
          <cell r="O2391" t="str">
            <v>Dewan Bersalin (LDU)</v>
          </cell>
        </row>
        <row r="2392">
          <cell r="D2392" t="str">
            <v>KKM/JKN/HSA/10-05-01/R/23/6</v>
          </cell>
          <cell r="E2392" t="str">
            <v>PORTABLE FETAL DOPPLER</v>
          </cell>
          <cell r="F2392" t="str">
            <v>EDAN</v>
          </cell>
          <cell r="G2392" t="str">
            <v>SD3</v>
          </cell>
          <cell r="H2392" t="str">
            <v>H23304020002</v>
          </cell>
          <cell r="I2392" t="str">
            <v>ANNUALLY</v>
          </cell>
          <cell r="J2392">
            <v>45764</v>
          </cell>
          <cell r="K2392"/>
          <cell r="L2392"/>
          <cell r="M2392"/>
          <cell r="N2392" t="str">
            <v>JABATAN ANESTHESIA</v>
          </cell>
          <cell r="O2392" t="str">
            <v>Dewan Bedah Utama (GOT)</v>
          </cell>
        </row>
        <row r="2393">
          <cell r="D2393" t="str">
            <v>KKM/JKN/HSA/10-05-01/R/23/7</v>
          </cell>
          <cell r="E2393" t="str">
            <v>PORTABLE FETAL DOPPLER</v>
          </cell>
          <cell r="F2393" t="str">
            <v>EDAN</v>
          </cell>
          <cell r="G2393" t="str">
            <v>SD3</v>
          </cell>
          <cell r="H2393" t="str">
            <v>H23304020003</v>
          </cell>
          <cell r="I2393" t="str">
            <v>ANNUALLY</v>
          </cell>
          <cell r="J2393">
            <v>45764</v>
          </cell>
          <cell r="K2393"/>
          <cell r="L2393"/>
          <cell r="M2393"/>
          <cell r="N2393" t="str">
            <v>JABATAN OBSTETRIK &amp; GINEKOLOGI</v>
          </cell>
          <cell r="O2393" t="str">
            <v>WAD 8A (Wad Obstetrik &amp; Ginekologi 8A)</v>
          </cell>
        </row>
        <row r="2394">
          <cell r="D2394" t="str">
            <v>KKM/JKN/HSA/10-05-01/R/23/8</v>
          </cell>
          <cell r="E2394" t="str">
            <v>PORTABLE FETAL DOPPLER</v>
          </cell>
          <cell r="F2394" t="str">
            <v>EDAN</v>
          </cell>
          <cell r="G2394" t="str">
            <v>SD3</v>
          </cell>
          <cell r="H2394" t="str">
            <v>H23203510003</v>
          </cell>
          <cell r="I2394" t="str">
            <v>ANNUALLY</v>
          </cell>
          <cell r="J2394">
            <v>45764</v>
          </cell>
          <cell r="K2394"/>
          <cell r="L2394"/>
          <cell r="M2394"/>
          <cell r="N2394" t="str">
            <v>JABATAN OBSTETRIK &amp; GINEKOLOGI</v>
          </cell>
          <cell r="O2394" t="str">
            <v>Klinik Obstetrik Ginekologi (O&amp;G CLINIC)</v>
          </cell>
        </row>
        <row r="2395">
          <cell r="D2395" t="str">
            <v>KKM/JKN/HSA/10-05-01/R/23/9</v>
          </cell>
          <cell r="E2395" t="str">
            <v>PORTABLE FETAL DOPPLER</v>
          </cell>
          <cell r="F2395" t="str">
            <v>EDAN</v>
          </cell>
          <cell r="G2395" t="str">
            <v>SD3</v>
          </cell>
          <cell r="H2395" t="str">
            <v>H23203510002</v>
          </cell>
          <cell r="I2395" t="str">
            <v>ANNUALLY</v>
          </cell>
          <cell r="J2395">
            <v>45764</v>
          </cell>
          <cell r="K2395"/>
          <cell r="L2395"/>
          <cell r="M2395"/>
          <cell r="N2395" t="str">
            <v>JABATAN OBSTETRIK &amp; GINEKOLOGI</v>
          </cell>
          <cell r="O2395" t="str">
            <v>WAD 8B (Wad Obstetrik &amp; Ginekologi 8B)</v>
          </cell>
        </row>
        <row r="2396">
          <cell r="D2396" t="str">
            <v>KKM/JKN/HSA/10-05-01/R/23/10</v>
          </cell>
          <cell r="E2396" t="str">
            <v>PORTABLE FETAL DOPPLER</v>
          </cell>
          <cell r="F2396" t="str">
            <v>EDAN</v>
          </cell>
          <cell r="G2396" t="str">
            <v>SD3</v>
          </cell>
          <cell r="H2396" t="str">
            <v>H23203510004</v>
          </cell>
          <cell r="I2396" t="str">
            <v>ANNUALLY</v>
          </cell>
          <cell r="J2396">
            <v>45764</v>
          </cell>
          <cell r="K2396"/>
          <cell r="L2396"/>
          <cell r="M2396"/>
          <cell r="N2396" t="str">
            <v>JABATAN OBSTETRIK &amp; GINEKOLOGI</v>
          </cell>
          <cell r="O2396" t="str">
            <v>Dewan Bersalin (LDU)</v>
          </cell>
        </row>
        <row r="2397">
          <cell r="D2397" t="str">
            <v>KKM/JKN/HSA/10-05-01/H/23/40</v>
          </cell>
          <cell r="E2397" t="str">
            <v>MICRODEBRIDER ELECTRIC HIGH SPEED DRILL</v>
          </cell>
          <cell r="F2397" t="str">
            <v>MEDTRONIC</v>
          </cell>
          <cell r="G2397" t="str">
            <v>EC300</v>
          </cell>
          <cell r="H2397" t="str">
            <v>NTC69622</v>
          </cell>
          <cell r="I2397" t="str">
            <v>ANNUALLY</v>
          </cell>
          <cell r="J2397">
            <v>45832</v>
          </cell>
          <cell r="K2397"/>
          <cell r="L2397"/>
          <cell r="M2397"/>
          <cell r="N2397" t="str">
            <v>JABATAN OTORINOLARINGOLOGI</v>
          </cell>
          <cell r="O2397" t="str">
            <v>Klinik Otorinolaringologi (ORL) (ENT CLINIC)</v>
          </cell>
        </row>
        <row r="2398">
          <cell r="D2398" t="str">
            <v>KKM/JKN/HSA/10-05-01/H/23/39</v>
          </cell>
          <cell r="E2398" t="str">
            <v>LASER INDIRECT OFTHALMOSCAPE SLIT LAMP LASER</v>
          </cell>
          <cell r="F2398" t="str">
            <v>QUANTEL MEDICAL FRANCE</v>
          </cell>
          <cell r="G2398" t="str">
            <v>VITRA2/ CAPSULO</v>
          </cell>
          <cell r="H2398" t="str">
            <v>5644 / 06-02-062</v>
          </cell>
          <cell r="I2398" t="str">
            <v>ANNUALLY</v>
          </cell>
          <cell r="J2398">
            <v>45823</v>
          </cell>
          <cell r="K2398"/>
          <cell r="L2398"/>
          <cell r="M2398"/>
          <cell r="N2398" t="str">
            <v>JABATAN OFTALMOLOGI</v>
          </cell>
          <cell r="O2398" t="str">
            <v>Klinik Oftalmologi (OPHTHAL CLINIC)</v>
          </cell>
        </row>
        <row r="2399">
          <cell r="D2399" t="str">
            <v>KKM/JKN/HSA/10-05-01/H/22/139</v>
          </cell>
          <cell r="E2399" t="str">
            <v>RESPIRATORY HUMIDIFIER/HIGH FLOW HUMIDIFIER</v>
          </cell>
          <cell r="F2399" t="str">
            <v>BMC</v>
          </cell>
          <cell r="G2399" t="str">
            <v>H-80A</v>
          </cell>
          <cell r="H2399" t="str">
            <v>F1221917019</v>
          </cell>
          <cell r="I2399" t="str">
            <v>ANNUALLY</v>
          </cell>
          <cell r="J2399">
            <v>46045</v>
          </cell>
          <cell r="K2399"/>
          <cell r="L2399"/>
          <cell r="M2399"/>
          <cell r="N2399" t="str">
            <v>JABATAN PEDIATRIK</v>
          </cell>
          <cell r="O2399" t="str">
            <v>WAD 12 (Paediatric Ward)</v>
          </cell>
        </row>
        <row r="2400">
          <cell r="D2400" t="str">
            <v>KKM/JKN/HSA/10-05-01/H/22/140</v>
          </cell>
          <cell r="E2400" t="str">
            <v>RESPIRATORY HUMIDIFIER/HIGH FLOW HUMIDIFIER</v>
          </cell>
          <cell r="F2400" t="str">
            <v>BMC</v>
          </cell>
          <cell r="G2400" t="str">
            <v>H-80A</v>
          </cell>
          <cell r="H2400" t="str">
            <v>F1221917026</v>
          </cell>
          <cell r="I2400" t="str">
            <v>ANNUALLY</v>
          </cell>
          <cell r="J2400">
            <v>46045</v>
          </cell>
          <cell r="K2400"/>
          <cell r="L2400"/>
          <cell r="M2400"/>
          <cell r="N2400" t="str">
            <v>JABATAN PEDIATRIK</v>
          </cell>
          <cell r="O2400" t="str">
            <v>WAD 12 (Paediatric Ward)</v>
          </cell>
        </row>
        <row r="2401">
          <cell r="D2401" t="str">
            <v>KKM/JKN/HSA/10-05-01/H/22/136</v>
          </cell>
          <cell r="E2401" t="str">
            <v>CPAP MACHINE</v>
          </cell>
          <cell r="F2401" t="str">
            <v>WILAMED</v>
          </cell>
          <cell r="G2401" t="str">
            <v>WILAFLOW ELITE</v>
          </cell>
          <cell r="H2401" t="str">
            <v>WFEKBZEJCE</v>
          </cell>
          <cell r="I2401" t="str">
            <v>SEMI ANNUALLY</v>
          </cell>
          <cell r="J2401">
            <v>46031</v>
          </cell>
          <cell r="K2401">
            <v>46213</v>
          </cell>
          <cell r="L2401"/>
          <cell r="M2401"/>
          <cell r="N2401" t="str">
            <v>JABATAN PEDIATRIK</v>
          </cell>
          <cell r="O2401" t="str">
            <v>Unit Rawatan Rapi Neonatal (NICU)</v>
          </cell>
        </row>
        <row r="2402">
          <cell r="D2402" t="str">
            <v>KKM/JKN/HSA/10-05-01/R/23/24</v>
          </cell>
          <cell r="E2402" t="str">
            <v>BODY FAT ANALYZER</v>
          </cell>
          <cell r="F2402" t="str">
            <v>OMRON</v>
          </cell>
          <cell r="G2402" t="str">
            <v>HBF-702T</v>
          </cell>
          <cell r="H2402" t="str">
            <v>20230400293F</v>
          </cell>
          <cell r="I2402" t="str">
            <v>ANNUALLY</v>
          </cell>
          <cell r="J2402">
            <v>45847</v>
          </cell>
          <cell r="K2402"/>
          <cell r="L2402"/>
          <cell r="M2402"/>
          <cell r="N2402" t="str">
            <v>UNIT PENDIDIKAN KESIHATAN</v>
          </cell>
          <cell r="O2402" t="str">
            <v>Unit Kesihatan Awam/Pendidikan Kesihatan (UKA/UPK)</v>
          </cell>
        </row>
        <row r="2403">
          <cell r="D2403" t="str">
            <v>KKM/JKN/HSA/10-05-01/H/23/5</v>
          </cell>
          <cell r="E2403" t="str">
            <v>DEFIBRILLATOR</v>
          </cell>
          <cell r="F2403" t="str">
            <v>PHILLIPS</v>
          </cell>
          <cell r="G2403" t="str">
            <v>EFFICIA DFM100</v>
          </cell>
          <cell r="H2403" t="str">
            <v>CN32671232</v>
          </cell>
          <cell r="I2403" t="str">
            <v>SEMI ANNUALLY</v>
          </cell>
          <cell r="J2403">
            <v>45734</v>
          </cell>
          <cell r="K2403">
            <v>45917</v>
          </cell>
          <cell r="L2403"/>
          <cell r="M2403"/>
          <cell r="N2403" t="str">
            <v>JABATAN OBSTETRIK &amp; GINEKOLOGI</v>
          </cell>
          <cell r="O2403" t="str">
            <v>PAC</v>
          </cell>
        </row>
        <row r="2404">
          <cell r="D2404" t="str">
            <v>KKM/JKN/HSA/10-05-01/H/23/41</v>
          </cell>
          <cell r="E2404" t="str">
            <v>RHINOSCOPE</v>
          </cell>
          <cell r="F2404" t="str">
            <v xml:space="preserve">KARL STORZ </v>
          </cell>
          <cell r="G2404" t="str">
            <v>C-MAC 8404 ZX</v>
          </cell>
          <cell r="H2404" t="str">
            <v>93529 (ZN5474)</v>
          </cell>
          <cell r="I2404" t="str">
            <v>ANNUALLY</v>
          </cell>
          <cell r="J2404">
            <v>45862</v>
          </cell>
          <cell r="K2404"/>
          <cell r="L2404"/>
          <cell r="M2404"/>
          <cell r="N2404" t="str">
            <v>JABATAN OTORINOLARINGOLOGI</v>
          </cell>
          <cell r="O2404" t="str">
            <v>Klinik Otorinolaringologi (ORL) (ENT CLINIC)</v>
          </cell>
        </row>
        <row r="2405">
          <cell r="D2405" t="str">
            <v>KKM/JKN/HSA/10-05-01/H/21/210</v>
          </cell>
          <cell r="E2405" t="str">
            <v>VITAL SIGN PATIENT MONITOR</v>
          </cell>
          <cell r="F2405" t="str">
            <v>BETTERLIFE MEDICAL TECHNOLOGY</v>
          </cell>
          <cell r="G2405" t="str">
            <v>IRIS 200</v>
          </cell>
          <cell r="H2405" t="str">
            <v>M10C-2106A06</v>
          </cell>
          <cell r="I2405" t="str">
            <v>ANNUALLY</v>
          </cell>
          <cell r="J2405">
            <v>46031</v>
          </cell>
          <cell r="K2405"/>
          <cell r="L2405"/>
          <cell r="M2405"/>
          <cell r="N2405" t="str">
            <v>JABATAN PEMBEDAHAN AM</v>
          </cell>
          <cell r="O2405" t="str">
            <v>Wad 13 (VIP)</v>
          </cell>
        </row>
        <row r="2406">
          <cell r="D2406" t="str">
            <v>KKM/JKN/HSA/ 10-05-01/H/22/98</v>
          </cell>
          <cell r="E2406" t="str">
            <v>VENTILATOR</v>
          </cell>
          <cell r="F2406" t="str">
            <v>MONNAL</v>
          </cell>
          <cell r="G2406" t="str">
            <v>T60</v>
          </cell>
          <cell r="H2406" t="str">
            <v>MT60-11715</v>
          </cell>
          <cell r="I2406" t="str">
            <v>SEMI ANNUALLY</v>
          </cell>
          <cell r="J2406">
            <v>46037</v>
          </cell>
          <cell r="K2406">
            <v>46217</v>
          </cell>
          <cell r="L2406"/>
          <cell r="M2406"/>
          <cell r="N2406" t="str">
            <v>JABATAN KECEMASAN &amp; TRAUMA</v>
          </cell>
          <cell r="O2406" t="str">
            <v>Jabatan Kecemasan &amp; Trauma (ED)</v>
          </cell>
        </row>
        <row r="2407">
          <cell r="D2407" t="str">
            <v>KKM/JKN/HSA/10-05-01/H/22/105</v>
          </cell>
          <cell r="E2407" t="str">
            <v>DEFIBRILLATOR</v>
          </cell>
          <cell r="F2407" t="str">
            <v xml:space="preserve">ZOLL MEDICAL </v>
          </cell>
          <cell r="G2407" t="str">
            <v>ZOLL M2</v>
          </cell>
          <cell r="H2407" t="str">
            <v>BA20K000066</v>
          </cell>
          <cell r="I2407" t="str">
            <v>SEMI ANNUALLY</v>
          </cell>
          <cell r="J2407">
            <v>46037</v>
          </cell>
          <cell r="K2407">
            <v>46217</v>
          </cell>
          <cell r="L2407"/>
          <cell r="M2407"/>
          <cell r="N2407" t="str">
            <v>JABATAN KECEMASAN &amp; TRAUMA</v>
          </cell>
          <cell r="O2407" t="str">
            <v>Jabatan Kecemasan &amp; Trauma (ED)</v>
          </cell>
        </row>
        <row r="2408">
          <cell r="D2408" t="str">
            <v>KKM/JKN/HSA/10-05-01/H/23/28</v>
          </cell>
          <cell r="E2408" t="str">
            <v>SPOT VITAL SIGN (NIBP)</v>
          </cell>
          <cell r="F2408" t="str">
            <v>EDAN</v>
          </cell>
          <cell r="G2408" t="str">
            <v>iM3</v>
          </cell>
          <cell r="H2408" t="str">
            <v>261436M23318790002</v>
          </cell>
          <cell r="I2408" t="str">
            <v>ANNUALLY</v>
          </cell>
          <cell r="J2408">
            <v>45764</v>
          </cell>
          <cell r="K2408"/>
          <cell r="L2408"/>
          <cell r="M2408"/>
          <cell r="N2408" t="str">
            <v>JABATAN OBSTETRIK &amp; GINEKOLOGI</v>
          </cell>
          <cell r="O2408" t="str">
            <v>Dewan Bersalin (LDU)</v>
          </cell>
        </row>
        <row r="2409">
          <cell r="D2409" t="str">
            <v>KKM/JKN/HSA/10-05-01/H/23/29</v>
          </cell>
          <cell r="E2409" t="str">
            <v>SPOT VITAL SIGN (NIBP)</v>
          </cell>
          <cell r="F2409" t="str">
            <v>EDAN</v>
          </cell>
          <cell r="G2409" t="str">
            <v>iM3</v>
          </cell>
          <cell r="H2409" t="str">
            <v>261436M23318790007</v>
          </cell>
          <cell r="I2409" t="str">
            <v>ANNUALLY</v>
          </cell>
          <cell r="J2409">
            <v>45764</v>
          </cell>
          <cell r="K2409"/>
          <cell r="L2409"/>
          <cell r="M2409"/>
          <cell r="N2409" t="str">
            <v>JABATAN OBSTETRIK &amp; GINEKOLOGI</v>
          </cell>
          <cell r="O2409" t="str">
            <v>Dewan Bersalin (LDU)</v>
          </cell>
        </row>
        <row r="2410">
          <cell r="D2410" t="str">
            <v>KKM/JKN/HSA/10-05-01/H/23/30</v>
          </cell>
          <cell r="E2410" t="str">
            <v>SPOT VITAL SIGN (NIBP)</v>
          </cell>
          <cell r="F2410" t="str">
            <v>EDAN</v>
          </cell>
          <cell r="G2410" t="str">
            <v>iM3</v>
          </cell>
          <cell r="H2410" t="str">
            <v>261436M23318790009</v>
          </cell>
          <cell r="I2410" t="str">
            <v>ANNUALLY</v>
          </cell>
          <cell r="J2410">
            <v>45764</v>
          </cell>
          <cell r="K2410"/>
          <cell r="L2410"/>
          <cell r="M2410"/>
          <cell r="N2410" t="str">
            <v>JABATAN OBSTETRIK &amp; GINEKOLOGI</v>
          </cell>
          <cell r="O2410" t="str">
            <v>Dewan Bersalin (LDU)</v>
          </cell>
        </row>
        <row r="2411">
          <cell r="D2411" t="str">
            <v>KKM/JKN/HSA/10-05-01/H/23/31</v>
          </cell>
          <cell r="E2411" t="str">
            <v>SPOT VITAL SIGN (NIBP)</v>
          </cell>
          <cell r="F2411" t="str">
            <v>EDAN</v>
          </cell>
          <cell r="G2411" t="str">
            <v>iM3</v>
          </cell>
          <cell r="H2411" t="str">
            <v>261436M23318790001</v>
          </cell>
          <cell r="I2411" t="str">
            <v>ANNUALLY</v>
          </cell>
          <cell r="J2411">
            <v>45764</v>
          </cell>
          <cell r="K2411"/>
          <cell r="L2411"/>
          <cell r="M2411"/>
          <cell r="N2411" t="str">
            <v>JABATAN OBSTETRIK &amp; GINEKOLOGI</v>
          </cell>
          <cell r="O2411" t="str">
            <v>Dewan Bersalin (LDU)</v>
          </cell>
        </row>
        <row r="2412">
          <cell r="D2412" t="str">
            <v>KKM/JKN/HSA/10-05-01/H/23/32</v>
          </cell>
          <cell r="E2412" t="str">
            <v>SPOT VITAL SIGN (NIBP)</v>
          </cell>
          <cell r="F2412" t="str">
            <v>EDAN</v>
          </cell>
          <cell r="G2412" t="str">
            <v>iM3</v>
          </cell>
          <cell r="H2412" t="str">
            <v>261436M23318790005</v>
          </cell>
          <cell r="I2412" t="str">
            <v>ANNUALLY</v>
          </cell>
          <cell r="J2412">
            <v>45764</v>
          </cell>
          <cell r="K2412"/>
          <cell r="L2412"/>
          <cell r="M2412"/>
          <cell r="N2412" t="str">
            <v>JABATAN OBSTETRIK &amp; GINEKOLOGI</v>
          </cell>
          <cell r="O2412" t="str">
            <v>Dewan Bersalin (LDU)</v>
          </cell>
        </row>
        <row r="2413">
          <cell r="D2413" t="str">
            <v>KKM/JKN/HSA/10-05-01/H/23/33</v>
          </cell>
          <cell r="E2413" t="str">
            <v>SPOT VITAL SIGN (NIBP)</v>
          </cell>
          <cell r="F2413" t="str">
            <v>EDAN</v>
          </cell>
          <cell r="G2413" t="str">
            <v>iM3</v>
          </cell>
          <cell r="H2413" t="str">
            <v>261436M23318790008</v>
          </cell>
          <cell r="I2413" t="str">
            <v>ANNUALLY</v>
          </cell>
          <cell r="J2413">
            <v>45764</v>
          </cell>
          <cell r="K2413"/>
          <cell r="L2413"/>
          <cell r="M2413"/>
          <cell r="N2413" t="str">
            <v>JABATAN OBSTETRIK &amp; GINEKOLOGI</v>
          </cell>
          <cell r="O2413" t="str">
            <v>Dewan Bersalin (LDU)</v>
          </cell>
        </row>
        <row r="2414">
          <cell r="D2414" t="str">
            <v>KKM/JKN/HSA/10-05-01/H/23/34</v>
          </cell>
          <cell r="E2414" t="str">
            <v>SPOT VITAL SIGN (NIBP)</v>
          </cell>
          <cell r="F2414" t="str">
            <v>EDAN</v>
          </cell>
          <cell r="G2414" t="str">
            <v>iM3</v>
          </cell>
          <cell r="H2414" t="str">
            <v>261436M23318790003</v>
          </cell>
          <cell r="I2414" t="str">
            <v>ANNUALLY</v>
          </cell>
          <cell r="J2414">
            <v>45764</v>
          </cell>
          <cell r="K2414"/>
          <cell r="L2414"/>
          <cell r="M2414"/>
          <cell r="N2414" t="str">
            <v>JABATAN OBSTETRIK &amp; GINEKOLOGI</v>
          </cell>
          <cell r="O2414" t="str">
            <v>Dewan Bersalin (LDU)</v>
          </cell>
        </row>
        <row r="2415">
          <cell r="D2415" t="str">
            <v>KKM/JKN/HSA/10-05-01/H/23/35</v>
          </cell>
          <cell r="E2415" t="str">
            <v>SPOT VITAL SIGN (NIBP)</v>
          </cell>
          <cell r="F2415" t="str">
            <v>EDAN</v>
          </cell>
          <cell r="G2415" t="str">
            <v>iM3</v>
          </cell>
          <cell r="H2415" t="str">
            <v>261436M23318790004</v>
          </cell>
          <cell r="I2415" t="str">
            <v>ANNUALLY</v>
          </cell>
          <cell r="J2415">
            <v>45764</v>
          </cell>
          <cell r="K2415"/>
          <cell r="L2415"/>
          <cell r="M2415"/>
          <cell r="N2415" t="str">
            <v>JABATAN OBSTETRIK &amp; GINEKOLOGI</v>
          </cell>
          <cell r="O2415" t="str">
            <v>Dewan Bersalin (LDU)</v>
          </cell>
        </row>
        <row r="2416">
          <cell r="D2416" t="str">
            <v>KKM/JKN/HSA/10-05-01/H/18/111</v>
          </cell>
          <cell r="E2416" t="str">
            <v>LAB CENTRIFUGE</v>
          </cell>
          <cell r="F2416" t="str">
            <v>EPPENDORF</v>
          </cell>
          <cell r="G2416" t="str">
            <v>5702R</v>
          </cell>
          <cell r="H2416" t="str">
            <v>5703GQ317790</v>
          </cell>
          <cell r="I2416" t="str">
            <v>ANNUALLY</v>
          </cell>
          <cell r="J2416">
            <v>45941</v>
          </cell>
          <cell r="K2416"/>
          <cell r="L2416"/>
          <cell r="M2416"/>
          <cell r="N2416" t="str">
            <v>JABATAN PATOLOGI (UNIT PENYELIDIKAN &amp; KAWALAN KUALITI)</v>
          </cell>
          <cell r="O2416" t="str">
            <v>PATHOLOGY</v>
          </cell>
        </row>
        <row r="2417">
          <cell r="D2417" t="str">
            <v>KKM/JKN/HSA/10-05-01/H/20/114</v>
          </cell>
          <cell r="E2417" t="str">
            <v>VENTILATOR</v>
          </cell>
          <cell r="F2417" t="str">
            <v>DRAEGER</v>
          </cell>
          <cell r="G2417" t="str">
            <v>SAVINA 300</v>
          </cell>
          <cell r="H2417" t="str">
            <v>ASND-0610</v>
          </cell>
          <cell r="I2417" t="str">
            <v>ANNUALLY</v>
          </cell>
          <cell r="J2417">
            <v>45847</v>
          </cell>
          <cell r="K2417"/>
          <cell r="L2417"/>
          <cell r="M2417"/>
          <cell r="N2417" t="str">
            <v>JABATAN ANESTHESIA &amp; RAWATAN RAPI</v>
          </cell>
          <cell r="O2417" t="str">
            <v>Unit Rawatan Rapi (ICU)</v>
          </cell>
        </row>
        <row r="2418">
          <cell r="D2418" t="str">
            <v>KKM/JKN/HSA/10-05-01/H/20/115</v>
          </cell>
          <cell r="E2418" t="str">
            <v>VENTILATOR</v>
          </cell>
          <cell r="F2418" t="str">
            <v>DRAEGER</v>
          </cell>
          <cell r="G2418" t="str">
            <v>SAVINA 300</v>
          </cell>
          <cell r="H2418" t="str">
            <v>ASND-0609</v>
          </cell>
          <cell r="I2418" t="str">
            <v>ANNUALLY</v>
          </cell>
          <cell r="J2418">
            <v>46037</v>
          </cell>
          <cell r="K2418"/>
          <cell r="L2418"/>
          <cell r="M2418"/>
          <cell r="N2418" t="str">
            <v>JABATAN ANESTHESIA &amp; RAWATAN RAPI</v>
          </cell>
          <cell r="O2418" t="str">
            <v>Unit Rawatan Rapi (ICU)</v>
          </cell>
        </row>
        <row r="2419">
          <cell r="D2419" t="str">
            <v>KKM/JKN/HSA/10-05-01/H/20/138</v>
          </cell>
          <cell r="E2419" t="str">
            <v>VENTILATOR</v>
          </cell>
          <cell r="F2419" t="str">
            <v>PHILIPS</v>
          </cell>
          <cell r="G2419" t="str">
            <v>V60 PLUS</v>
          </cell>
          <cell r="H2419">
            <v>100345517</v>
          </cell>
          <cell r="I2419" t="str">
            <v>SEMI ANNUALLY</v>
          </cell>
          <cell r="J2419">
            <v>46037</v>
          </cell>
          <cell r="K2419">
            <v>46217</v>
          </cell>
          <cell r="L2419"/>
          <cell r="M2419"/>
          <cell r="N2419" t="str">
            <v>JABATAN ANESTHESIA &amp; RAWATAN RAPI</v>
          </cell>
          <cell r="O2419" t="str">
            <v>Unit Rawatan Rapi (ICU)</v>
          </cell>
        </row>
        <row r="2420">
          <cell r="D2420" t="str">
            <v>KKM/JKN/HSA/10-05-01/H/20/162</v>
          </cell>
          <cell r="E2420" t="str">
            <v>VENTILATOR</v>
          </cell>
          <cell r="F2420" t="str">
            <v>LOWEINSTEIN MEDICAL</v>
          </cell>
          <cell r="G2420" t="str">
            <v>ELISA 600</v>
          </cell>
          <cell r="H2420">
            <v>6150014</v>
          </cell>
          <cell r="I2420" t="str">
            <v>SEMI ANNUALLY</v>
          </cell>
          <cell r="J2420">
            <v>45767</v>
          </cell>
          <cell r="K2420">
            <v>45949</v>
          </cell>
          <cell r="L2420"/>
          <cell r="M2420"/>
          <cell r="N2420" t="str">
            <v>JABATAN ANESTHESIA &amp; RAWATAN RAPI</v>
          </cell>
          <cell r="O2420" t="str">
            <v>Unit Rawatan Rapi (ICU)</v>
          </cell>
        </row>
        <row r="2421">
          <cell r="D2421" t="str">
            <v>KKM/JKN/HSA/10-05-01/H/20/219</v>
          </cell>
          <cell r="E2421" t="str">
            <v>VENTILATOR</v>
          </cell>
          <cell r="F2421" t="str">
            <v>PHILIPS</v>
          </cell>
          <cell r="G2421" t="str">
            <v>RESPIRONICS TRILOGY 202</v>
          </cell>
          <cell r="H2421" t="str">
            <v>TV011051929</v>
          </cell>
          <cell r="I2421" t="str">
            <v>ANNUALLY</v>
          </cell>
          <cell r="J2421">
            <v>46037</v>
          </cell>
          <cell r="K2421"/>
          <cell r="L2421"/>
          <cell r="M2421"/>
          <cell r="N2421" t="str">
            <v>JABATAN ANESTHESIA &amp; RAWATAN RAPI</v>
          </cell>
          <cell r="O2421" t="str">
            <v>Unit Rawatan Rapi (ICU)</v>
          </cell>
        </row>
        <row r="2422">
          <cell r="D2422" t="str">
            <v>KKM/JKN/HSA/10-05-01/H/20/220</v>
          </cell>
          <cell r="E2422" t="str">
            <v>VENTILATOR</v>
          </cell>
          <cell r="F2422" t="str">
            <v>PHILIPS</v>
          </cell>
          <cell r="G2422" t="str">
            <v>V60 PLUS</v>
          </cell>
          <cell r="H2422">
            <v>100015340</v>
          </cell>
          <cell r="I2422" t="str">
            <v>SEMI ANNUALLY</v>
          </cell>
          <cell r="J2422">
            <v>46037</v>
          </cell>
          <cell r="K2422">
            <v>46217</v>
          </cell>
          <cell r="L2422"/>
          <cell r="M2422"/>
          <cell r="N2422" t="str">
            <v>JABATAN ANESTHESIA &amp; RAWATAN RAPI</v>
          </cell>
          <cell r="O2422" t="str">
            <v>Unit Rawatan Rapi (ICU)</v>
          </cell>
        </row>
        <row r="2423">
          <cell r="D2423" t="str">
            <v>KKM/JKN/HSA/10-05-01/H/21/82</v>
          </cell>
          <cell r="E2423" t="str">
            <v>VENTILATOR</v>
          </cell>
          <cell r="F2423" t="str">
            <v>MINDRAY</v>
          </cell>
          <cell r="G2423" t="str">
            <v>SV600</v>
          </cell>
          <cell r="H2423" t="str">
            <v>AA6-15013024</v>
          </cell>
          <cell r="I2423" t="str">
            <v>SEMI ANNUALLY</v>
          </cell>
          <cell r="J2423">
            <v>46027</v>
          </cell>
          <cell r="K2423">
            <v>46206</v>
          </cell>
          <cell r="L2423"/>
          <cell r="M2423"/>
          <cell r="N2423" t="str">
            <v>JABATAN ANESTHESIA &amp; RAWATAN RAPI</v>
          </cell>
          <cell r="O2423" t="str">
            <v>Unit Rawatan Rapi (ICU)</v>
          </cell>
        </row>
        <row r="2424">
          <cell r="D2424" t="str">
            <v>KKM/JKN/HSA/10-05-01/H/21/83</v>
          </cell>
          <cell r="E2424" t="str">
            <v>VENTILATOR</v>
          </cell>
          <cell r="F2424" t="str">
            <v>MINDRAY</v>
          </cell>
          <cell r="G2424" t="str">
            <v>SV600</v>
          </cell>
          <cell r="H2424" t="str">
            <v>AA6-15013025</v>
          </cell>
          <cell r="I2424" t="str">
            <v>SEMI ANNUALLY</v>
          </cell>
          <cell r="J2424">
            <v>46027</v>
          </cell>
          <cell r="K2424">
            <v>46206</v>
          </cell>
          <cell r="L2424"/>
          <cell r="M2424"/>
          <cell r="N2424" t="str">
            <v>JABATAN ANESTHESIA &amp; RAWATAN RAPI</v>
          </cell>
          <cell r="O2424" t="str">
            <v>Unit Rawatan Rapi (ICU)</v>
          </cell>
        </row>
        <row r="2425">
          <cell r="D2425" t="str">
            <v>KKM/JKN/HSA/10-05-01/H/21/84</v>
          </cell>
          <cell r="E2425" t="str">
            <v>VENTILATOR</v>
          </cell>
          <cell r="F2425" t="str">
            <v>MINDRAY</v>
          </cell>
          <cell r="G2425" t="str">
            <v>SV600</v>
          </cell>
          <cell r="H2425" t="str">
            <v>AA6-15013026</v>
          </cell>
          <cell r="I2425" t="str">
            <v>SEMI ANNUALLY</v>
          </cell>
          <cell r="J2425">
            <v>46027</v>
          </cell>
          <cell r="K2425">
            <v>46206</v>
          </cell>
          <cell r="L2425"/>
          <cell r="M2425"/>
          <cell r="N2425" t="str">
            <v>JABATAN ANESTHESIA &amp; RAWATAN RAPI</v>
          </cell>
          <cell r="O2425" t="str">
            <v>Unit Rawatan Rapi (ICU)</v>
          </cell>
        </row>
        <row r="2426">
          <cell r="D2426" t="str">
            <v>KKM/JKN/HSA/10-05-01/H/21/85</v>
          </cell>
          <cell r="E2426" t="str">
            <v>VENTILATOR</v>
          </cell>
          <cell r="F2426" t="str">
            <v>MINDRAY</v>
          </cell>
          <cell r="G2426" t="str">
            <v>SV600</v>
          </cell>
          <cell r="H2426" t="str">
            <v>AA6-15013027</v>
          </cell>
          <cell r="I2426" t="str">
            <v>SEMI ANNUALLY</v>
          </cell>
          <cell r="J2426">
            <v>46027</v>
          </cell>
          <cell r="K2426">
            <v>46206</v>
          </cell>
          <cell r="L2426"/>
          <cell r="M2426"/>
          <cell r="N2426" t="str">
            <v>JABATAN ANESTHESIA &amp; RAWATAN RAPI</v>
          </cell>
          <cell r="O2426" t="str">
            <v>Unit Rawatan Rapi (ICU)</v>
          </cell>
        </row>
        <row r="2427">
          <cell r="D2427" t="str">
            <v>KKM/JKN/HSA/10-05-01/H/21/86</v>
          </cell>
          <cell r="E2427" t="str">
            <v>VENTILATOR</v>
          </cell>
          <cell r="F2427" t="str">
            <v>MINDRAY</v>
          </cell>
          <cell r="G2427" t="str">
            <v>SV600</v>
          </cell>
          <cell r="H2427" t="str">
            <v>AA6-15013028</v>
          </cell>
          <cell r="I2427" t="str">
            <v>SEMI ANNUALLY</v>
          </cell>
          <cell r="J2427">
            <v>46027</v>
          </cell>
          <cell r="K2427">
            <v>46206</v>
          </cell>
          <cell r="L2427"/>
          <cell r="M2427"/>
          <cell r="N2427" t="str">
            <v>JABATAN ANESTHESIA &amp; RAWATAN RAPI</v>
          </cell>
          <cell r="O2427" t="str">
            <v>Unit Rawatan Rapi (ICU)</v>
          </cell>
        </row>
        <row r="2428">
          <cell r="D2428" t="str">
            <v>KKM/JKN/HSA/10-05-01/H/23/6</v>
          </cell>
          <cell r="E2428" t="str">
            <v>ULTRASOUND SCANNER</v>
          </cell>
          <cell r="F2428" t="str">
            <v>GE HEALTHCARE</v>
          </cell>
          <cell r="G2428" t="str">
            <v>VOLUSON P8 BT18</v>
          </cell>
          <cell r="H2428" t="str">
            <v>VP8811828</v>
          </cell>
          <cell r="I2428" t="str">
            <v>SEMI ANNUALLY</v>
          </cell>
          <cell r="J2428">
            <v>45728</v>
          </cell>
          <cell r="K2428">
            <v>45911</v>
          </cell>
          <cell r="L2428"/>
          <cell r="M2428"/>
          <cell r="N2428" t="str">
            <v>JABATAN OBSTETRIK &amp; GINEKOLOGI</v>
          </cell>
          <cell r="O2428" t="str">
            <v>Klinik Obstetrik Ginekologi (O&amp;G CLINIC)</v>
          </cell>
        </row>
        <row r="2429">
          <cell r="D2429" t="str">
            <v>KKM/JKN/HSA/10-05-01/H/23/7</v>
          </cell>
          <cell r="E2429" t="str">
            <v>ULTRASOUND SCANNER</v>
          </cell>
          <cell r="F2429" t="str">
            <v>GE HEALTHCARE</v>
          </cell>
          <cell r="G2429" t="str">
            <v>VERSANA BALANCE</v>
          </cell>
          <cell r="H2429" t="str">
            <v>6052430WX0</v>
          </cell>
          <cell r="I2429" t="str">
            <v>SEMI ANNUALLY</v>
          </cell>
          <cell r="J2429">
            <v>45740</v>
          </cell>
          <cell r="K2429">
            <v>45923</v>
          </cell>
          <cell r="L2429"/>
          <cell r="M2429"/>
          <cell r="N2429" t="str">
            <v>JABATAN OBSTETRIK &amp; GINEKOLOGI</v>
          </cell>
          <cell r="O2429" t="str">
            <v>Klinik Obstetrik Ginekologi (O&amp;G CLINIC)</v>
          </cell>
        </row>
        <row r="2430">
          <cell r="D2430" t="str">
            <v>KKM/JKN/HSA/10-05-01/H/23/8</v>
          </cell>
          <cell r="E2430" t="str">
            <v>ULTRASOUND SCANNER</v>
          </cell>
          <cell r="F2430" t="str">
            <v>GE HEALTHCARE</v>
          </cell>
          <cell r="G2430" t="str">
            <v>VERSANA BALANCE</v>
          </cell>
          <cell r="H2430" t="str">
            <v>6052429WXO</v>
          </cell>
          <cell r="I2430" t="str">
            <v>SEMI ANNUALLY</v>
          </cell>
          <cell r="J2430">
            <v>45740</v>
          </cell>
          <cell r="K2430">
            <v>45923</v>
          </cell>
          <cell r="L2430"/>
          <cell r="M2430"/>
          <cell r="N2430" t="str">
            <v>JABATAN OBSTETRIK &amp; GINEKOLOGI</v>
          </cell>
          <cell r="O2430" t="str">
            <v>PAC</v>
          </cell>
        </row>
        <row r="2431">
          <cell r="D2431" t="str">
            <v>KKM/JKN/HSA/10-05-01/H/20/89</v>
          </cell>
          <cell r="E2431" t="str">
            <v>SPOT VITAL SIGN (NIBP)</v>
          </cell>
          <cell r="F2431" t="str">
            <v>EDAN</v>
          </cell>
          <cell r="G2431" t="str">
            <v>M3</v>
          </cell>
          <cell r="H2431" t="str">
            <v>360124-M20214490003</v>
          </cell>
          <cell r="I2431" t="str">
            <v>ANNUALLY</v>
          </cell>
          <cell r="J2431">
            <v>46042</v>
          </cell>
          <cell r="K2431"/>
          <cell r="L2431"/>
          <cell r="M2431"/>
          <cell r="N2431" t="str">
            <v>JABATAN PERUBATAN AM</v>
          </cell>
          <cell r="O2431" t="str">
            <v>WAD 9B (Wad Pembedahan Lelaki 9B)</v>
          </cell>
        </row>
        <row r="2432">
          <cell r="D2432" t="str">
            <v>KKM/JKN/HSA/10-05-01/H/23/27</v>
          </cell>
          <cell r="E2432" t="str">
            <v>SPOT VITAL SIGN (NIBP)</v>
          </cell>
          <cell r="F2432" t="str">
            <v>EDAN</v>
          </cell>
          <cell r="G2432" t="str">
            <v>iM3</v>
          </cell>
          <cell r="H2432" t="str">
            <v>261436M23318790006</v>
          </cell>
          <cell r="I2432" t="str">
            <v>ANNUALLY</v>
          </cell>
          <cell r="J2432">
            <v>45764</v>
          </cell>
          <cell r="K2432"/>
          <cell r="L2432"/>
          <cell r="M2432"/>
          <cell r="N2432" t="str">
            <v>JABATAN OBSTETRIK &amp; GINEKOLOGI</v>
          </cell>
          <cell r="O2432" t="str">
            <v>Dewan Bersalin (LDU)</v>
          </cell>
        </row>
        <row r="2433">
          <cell r="D2433" t="str">
            <v>KKM/JKN/HSA/10-05-01/H/23/36</v>
          </cell>
          <cell r="E2433" t="str">
            <v>INFANT INCUBATOR</v>
          </cell>
          <cell r="F2433" t="str">
            <v>ATOM MEDICAL</v>
          </cell>
          <cell r="G2433" t="str">
            <v>INCUARCH</v>
          </cell>
          <cell r="H2433" t="str">
            <v>621012300023</v>
          </cell>
          <cell r="I2433" t="str">
            <v>ANNUALLY</v>
          </cell>
          <cell r="J2433">
            <v>45818</v>
          </cell>
          <cell r="K2433"/>
          <cell r="L2433"/>
          <cell r="M2433"/>
          <cell r="N2433" t="str">
            <v>JABATAN OBSTETRIK &amp; GINEKOLOGI</v>
          </cell>
          <cell r="O2433" t="str">
            <v>WAD 8B (Wad Obstetrik &amp; Ginekologi 8B)</v>
          </cell>
        </row>
        <row r="2434">
          <cell r="D2434" t="str">
            <v>KKM/JKN/HSA/10-05-01/H/23/37</v>
          </cell>
          <cell r="E2434" t="str">
            <v>INFANT INCUBATOR</v>
          </cell>
          <cell r="F2434" t="str">
            <v>ATOM MEDICAL</v>
          </cell>
          <cell r="G2434" t="str">
            <v>SUNFLOWER WARMER CABINET/TILT</v>
          </cell>
          <cell r="H2434" t="str">
            <v>615672300037</v>
          </cell>
          <cell r="I2434" t="str">
            <v>ANNUALLY</v>
          </cell>
          <cell r="J2434">
            <v>45818</v>
          </cell>
          <cell r="K2434"/>
          <cell r="L2434"/>
          <cell r="M2434"/>
          <cell r="N2434" t="str">
            <v>JABATAN OBSTETRIK &amp; GINEKOLOGI</v>
          </cell>
          <cell r="O2434" t="str">
            <v>WAD 8A (Wad Obstetrik &amp; Ginekologi 8A)</v>
          </cell>
        </row>
        <row r="2435">
          <cell r="D2435" t="str">
            <v>KKM/JKN/HSA/10-05-01/H/23/38</v>
          </cell>
          <cell r="E2435" t="str">
            <v>INFANT INCUBATOR</v>
          </cell>
          <cell r="F2435" t="str">
            <v>ATOM MEDICAL</v>
          </cell>
          <cell r="G2435" t="str">
            <v>SUNFLOWER WARMER CABINET/TILT</v>
          </cell>
          <cell r="H2435" t="str">
            <v>615672300040</v>
          </cell>
          <cell r="I2435" t="str">
            <v>ANNUALLY</v>
          </cell>
          <cell r="J2435">
            <v>45818</v>
          </cell>
          <cell r="K2435"/>
          <cell r="L2435"/>
          <cell r="M2435"/>
          <cell r="N2435" t="str">
            <v>JABATAN OBSTETRIK &amp; GINEKOLOGI</v>
          </cell>
          <cell r="O2435" t="str">
            <v>WAD 8B (Wad Obstetrik &amp; Ginekologi 8B)</v>
          </cell>
        </row>
        <row r="2436">
          <cell r="D2436" t="str">
            <v>KKM/JKN/HSA/10-05-01/H/23/42</v>
          </cell>
          <cell r="E2436" t="str">
            <v>X-RAY CARM</v>
          </cell>
          <cell r="F2436" t="str">
            <v>SIEMENS</v>
          </cell>
          <cell r="G2436" t="str">
            <v>SIREMOBIL COMPACT</v>
          </cell>
          <cell r="H2436">
            <v>4292</v>
          </cell>
          <cell r="I2436" t="str">
            <v>SEMI ANNUALLY</v>
          </cell>
          <cell r="J2436">
            <v>45724</v>
          </cell>
          <cell r="K2436">
            <v>45907</v>
          </cell>
          <cell r="L2436"/>
          <cell r="M2436"/>
          <cell r="N2436" t="str">
            <v>JABATAN ANESTHESIA</v>
          </cell>
          <cell r="O2436" t="str">
            <v>Dewan Bedah Utama (GOT)</v>
          </cell>
        </row>
        <row r="2437">
          <cell r="D2437" t="str">
            <v>KKM/JKN/HSA/10-05-01/H/23/43</v>
          </cell>
          <cell r="E2437" t="str">
            <v>VIDEO HEAD IMPULSE TEST</v>
          </cell>
          <cell r="F2437" t="str">
            <v>SYNAPSYS</v>
          </cell>
          <cell r="G2437" t="str">
            <v>VIDEO HEAD IMPULSE TEST (VHIT) SET</v>
          </cell>
          <cell r="H2437" t="str">
            <v>CFUSB22241957</v>
          </cell>
          <cell r="I2437" t="str">
            <v>ANNUALLY</v>
          </cell>
          <cell r="J2437">
            <v>45842</v>
          </cell>
          <cell r="K2437"/>
          <cell r="L2437"/>
          <cell r="M2437"/>
          <cell r="N2437" t="str">
            <v>JABATAN OTORINOLARINGOLOGI</v>
          </cell>
          <cell r="O2437" t="str">
            <v>Klinik Otorinolaringologi (ORL) (ENT CLINIC)</v>
          </cell>
        </row>
        <row r="2438">
          <cell r="D2438" t="str">
            <v>KKM/JKN/HSA/10-05-01/H/23/44</v>
          </cell>
          <cell r="E2438" t="str">
            <v>VIDEO NYSTAGMOGRAPHY</v>
          </cell>
          <cell r="F2438" t="str">
            <v>SYNAPSYS</v>
          </cell>
          <cell r="G2438" t="str">
            <v>VIDEO NYSTAGMOGRAPHY</v>
          </cell>
          <cell r="H2438" t="str">
            <v>CF9367-75</v>
          </cell>
          <cell r="I2438" t="str">
            <v>ANNUALLY</v>
          </cell>
          <cell r="J2438">
            <v>45842</v>
          </cell>
          <cell r="K2438"/>
          <cell r="L2438"/>
          <cell r="M2438"/>
          <cell r="N2438" t="str">
            <v>JABATAN OTORINOLARINGOLOGI</v>
          </cell>
          <cell r="O2438" t="str">
            <v>Klinik Otorinolaringologi (ORL) (ENT CLINIC)</v>
          </cell>
        </row>
        <row r="2439">
          <cell r="D2439" t="str">
            <v>KKM/JKN/HSA/10-05-01/H/23/9</v>
          </cell>
          <cell r="E2439" t="str">
            <v>CARDIOTOCOGRAPH MACHINE</v>
          </cell>
          <cell r="F2439" t="str">
            <v>EDAN</v>
          </cell>
          <cell r="G2439" t="str">
            <v>F6 (INTRAPARTUM TWIN)</v>
          </cell>
          <cell r="H2439" t="str">
            <v>560038M23106960001</v>
          </cell>
          <cell r="I2439" t="str">
            <v>ANNUALLY</v>
          </cell>
          <cell r="J2439">
            <v>45742</v>
          </cell>
          <cell r="K2439"/>
          <cell r="L2439"/>
          <cell r="M2439"/>
          <cell r="N2439" t="str">
            <v>JABATAN OBSTETRIK &amp; GINEKOLOGI</v>
          </cell>
          <cell r="O2439" t="str">
            <v>Dewan Bersalin (LDU)</v>
          </cell>
        </row>
        <row r="2440">
          <cell r="D2440" t="str">
            <v>KKM/JKN/HSA/10-05-01/H/23/10</v>
          </cell>
          <cell r="E2440" t="str">
            <v>CARDIOTOCOGRAPH MACHINE</v>
          </cell>
          <cell r="F2440" t="str">
            <v>EDAN</v>
          </cell>
          <cell r="G2440" t="str">
            <v>F6 (INTRAPARTUM TWIN)</v>
          </cell>
          <cell r="H2440" t="str">
            <v>560038M23106960002</v>
          </cell>
          <cell r="I2440" t="str">
            <v>ANNUALLY</v>
          </cell>
          <cell r="J2440">
            <v>45742</v>
          </cell>
          <cell r="K2440"/>
          <cell r="L2440"/>
          <cell r="M2440"/>
          <cell r="N2440" t="str">
            <v>JABATAN OBSTETRIK &amp; GINEKOLOGI</v>
          </cell>
          <cell r="O2440" t="str">
            <v>Dewan Bersalin (LDU)</v>
          </cell>
        </row>
        <row r="2441">
          <cell r="D2441" t="str">
            <v>KKM/JKN/HSA/10-05-01/H/23/11</v>
          </cell>
          <cell r="E2441" t="str">
            <v>CARDIOTOCOGRAPH MACHINE</v>
          </cell>
          <cell r="F2441" t="str">
            <v>EDAN</v>
          </cell>
          <cell r="G2441" t="str">
            <v>F6 (INTRAPARTUM TWIN)</v>
          </cell>
          <cell r="H2441" t="str">
            <v>560038M23106960003</v>
          </cell>
          <cell r="I2441" t="str">
            <v>ANNUALLY</v>
          </cell>
          <cell r="J2441">
            <v>45742</v>
          </cell>
          <cell r="K2441"/>
          <cell r="L2441"/>
          <cell r="M2441"/>
          <cell r="N2441" t="str">
            <v>JABATAN OBSTETRIK &amp; GINEKOLOGI</v>
          </cell>
          <cell r="O2441" t="str">
            <v>Dewan Bersalin (LDU)</v>
          </cell>
        </row>
        <row r="2442">
          <cell r="D2442" t="str">
            <v>KKM/JKN/HSA/10-05-01/H/23/12</v>
          </cell>
          <cell r="E2442" t="str">
            <v>CARDIOTOCOGRAPH MACHINE</v>
          </cell>
          <cell r="F2442" t="str">
            <v>EDAN</v>
          </cell>
          <cell r="G2442" t="str">
            <v>F6 (INTRAPARTUM TWIN)</v>
          </cell>
          <cell r="H2442" t="str">
            <v>560038M23106960004</v>
          </cell>
          <cell r="I2442" t="str">
            <v>ANNUALLY</v>
          </cell>
          <cell r="J2442">
            <v>45742</v>
          </cell>
          <cell r="K2442"/>
          <cell r="L2442"/>
          <cell r="M2442"/>
          <cell r="N2442" t="str">
            <v>JABATAN OBSTETRIK &amp; GINEKOLOGI</v>
          </cell>
          <cell r="O2442" t="str">
            <v>Dewan Bersalin (LDU)</v>
          </cell>
        </row>
        <row r="2443">
          <cell r="D2443" t="str">
            <v>KKM/JKN/HSA/10-05-01/H/23/13</v>
          </cell>
          <cell r="E2443" t="str">
            <v>CARDIOTOCOGRAPH MACHINE</v>
          </cell>
          <cell r="F2443" t="str">
            <v>EDAN</v>
          </cell>
          <cell r="G2443" t="str">
            <v>F6 (INTRAPARTUM TWIN)</v>
          </cell>
          <cell r="H2443" t="str">
            <v>560038M23106960005</v>
          </cell>
          <cell r="I2443" t="str">
            <v>ANNUALLY</v>
          </cell>
          <cell r="J2443">
            <v>45742</v>
          </cell>
          <cell r="K2443"/>
          <cell r="L2443"/>
          <cell r="M2443"/>
          <cell r="N2443" t="str">
            <v>JABATAN OBSTETRIK &amp; GINEKOLOGI</v>
          </cell>
          <cell r="O2443" t="str">
            <v>Dewan Bersalin (LDU)</v>
          </cell>
        </row>
        <row r="2444">
          <cell r="D2444" t="str">
            <v>KKM/JKN/HSA/10-05-01/H/23/14</v>
          </cell>
          <cell r="E2444" t="str">
            <v>CARDIOTOCOGRAPH MACHINE</v>
          </cell>
          <cell r="F2444" t="str">
            <v>EDAN</v>
          </cell>
          <cell r="G2444" t="str">
            <v>F6 (INTRAPARTUM TWIN)</v>
          </cell>
          <cell r="H2444" t="str">
            <v>560038M23106960006</v>
          </cell>
          <cell r="I2444" t="str">
            <v>ANNUALLY</v>
          </cell>
          <cell r="J2444">
            <v>45742</v>
          </cell>
          <cell r="K2444"/>
          <cell r="L2444"/>
          <cell r="M2444"/>
          <cell r="N2444" t="str">
            <v>JABATAN OBSTETRIK &amp; GINEKOLOGI</v>
          </cell>
          <cell r="O2444" t="str">
            <v>Dewan Bersalin (LDU)</v>
          </cell>
        </row>
        <row r="2445">
          <cell r="D2445" t="str">
            <v>KKM/JKN/HSA/10-05-01/H/23/15</v>
          </cell>
          <cell r="E2445" t="str">
            <v>CARDIOTOCOGRAPH MACHINE</v>
          </cell>
          <cell r="F2445" t="str">
            <v>EDAN</v>
          </cell>
          <cell r="G2445" t="str">
            <v>F6 (INTRAPARTUM TWIN)</v>
          </cell>
          <cell r="H2445" t="str">
            <v>560038M23106960007</v>
          </cell>
          <cell r="I2445" t="str">
            <v>ANNUALLY</v>
          </cell>
          <cell r="J2445">
            <v>45742</v>
          </cell>
          <cell r="K2445"/>
          <cell r="L2445"/>
          <cell r="M2445"/>
          <cell r="N2445" t="str">
            <v>JABATAN OBSTETRIK &amp; GINEKOLOGI</v>
          </cell>
          <cell r="O2445" t="str">
            <v>Dewan Bersalin (LDU)</v>
          </cell>
        </row>
        <row r="2446">
          <cell r="D2446" t="str">
            <v>KKM/JKN/HSA/10-05-01/H/23/16</v>
          </cell>
          <cell r="E2446" t="str">
            <v>CARDIOTOCOGRAPH MACHINE</v>
          </cell>
          <cell r="F2446" t="str">
            <v>EDAN</v>
          </cell>
          <cell r="G2446" t="str">
            <v>F6 (INTRAPARTUM TWIN)</v>
          </cell>
          <cell r="H2446" t="str">
            <v>560038M23106960008</v>
          </cell>
          <cell r="I2446" t="str">
            <v>ANNUALLY</v>
          </cell>
          <cell r="J2446">
            <v>45742</v>
          </cell>
          <cell r="K2446"/>
          <cell r="L2446"/>
          <cell r="M2446"/>
          <cell r="N2446" t="str">
            <v>JABATAN OBSTETRIK &amp; GINEKOLOGI</v>
          </cell>
          <cell r="O2446" t="str">
            <v>Dewan Bersalin (LDU)</v>
          </cell>
        </row>
        <row r="2447">
          <cell r="D2447" t="str">
            <v>KKM/JKN/HSA/10-05-01/H/23/17</v>
          </cell>
          <cell r="E2447" t="str">
            <v>CARDIOTOCOGRAPH MACHINE</v>
          </cell>
          <cell r="F2447" t="str">
            <v>EDAN</v>
          </cell>
          <cell r="G2447" t="str">
            <v>F6 (INTEPARTUM TWIN)</v>
          </cell>
          <cell r="H2447" t="str">
            <v>560038M22502240006</v>
          </cell>
          <cell r="I2447" t="str">
            <v>ANNUALLY</v>
          </cell>
          <cell r="J2447">
            <v>45742</v>
          </cell>
          <cell r="K2447"/>
          <cell r="L2447"/>
          <cell r="M2447"/>
          <cell r="N2447" t="str">
            <v>JABATAN OBSTETRIK &amp; GINEKOLOGI</v>
          </cell>
          <cell r="O2447" t="str">
            <v>WAD 8A (Wad Obstetrik &amp; Ginekologi 8A)</v>
          </cell>
        </row>
        <row r="2448">
          <cell r="D2448" t="str">
            <v>KKM/JKN/HSA/10-05-01/H/23/18</v>
          </cell>
          <cell r="E2448" t="str">
            <v>CARDIOTOCOGRAPH MACHINE</v>
          </cell>
          <cell r="F2448" t="str">
            <v>EDAN</v>
          </cell>
          <cell r="G2448" t="str">
            <v>F6 (INTEPARTUM TWIN)</v>
          </cell>
          <cell r="H2448" t="str">
            <v>560038M22502240007</v>
          </cell>
          <cell r="I2448" t="str">
            <v>ANNUALLY</v>
          </cell>
          <cell r="J2448">
            <v>45742</v>
          </cell>
          <cell r="K2448"/>
          <cell r="L2448"/>
          <cell r="M2448"/>
          <cell r="N2448" t="str">
            <v>JABATAN OBSTETRIK &amp; GINEKOLOGI</v>
          </cell>
          <cell r="O2448" t="str">
            <v>WAD 8A (Wad Obstetrik &amp; Ginekologi 8A)</v>
          </cell>
        </row>
        <row r="2449">
          <cell r="D2449" t="str">
            <v>KKM/JKN/HSA/10-05-01/H/23/19</v>
          </cell>
          <cell r="E2449" t="str">
            <v>CARDIOTOCOGRAPH MACHINE</v>
          </cell>
          <cell r="F2449" t="str">
            <v>EDAN</v>
          </cell>
          <cell r="G2449" t="str">
            <v>F6 (INTEPARTUM TWIN)</v>
          </cell>
          <cell r="H2449" t="str">
            <v>560038M22502240008</v>
          </cell>
          <cell r="I2449" t="str">
            <v>ANNUALLY</v>
          </cell>
          <cell r="J2449">
            <v>45742</v>
          </cell>
          <cell r="K2449"/>
          <cell r="L2449"/>
          <cell r="M2449"/>
          <cell r="N2449" t="str">
            <v>JABATAN OBSTETRIK &amp; GINEKOLOGI</v>
          </cell>
          <cell r="O2449" t="str">
            <v>WAD 8B (Wad Obstetrik &amp; Ginekologi 8B)</v>
          </cell>
        </row>
        <row r="2450">
          <cell r="D2450" t="str">
            <v>KKM/JKN/HSA/10-05-01/H/23/20</v>
          </cell>
          <cell r="E2450" t="str">
            <v>CARDIOTOCOGRAPH MACHINE</v>
          </cell>
          <cell r="F2450" t="str">
            <v>EDAN</v>
          </cell>
          <cell r="G2450" t="str">
            <v>F6 (INTEPARTUM TWIN)</v>
          </cell>
          <cell r="H2450" t="str">
            <v>560038M22502240009</v>
          </cell>
          <cell r="I2450" t="str">
            <v>ANNUALLY</v>
          </cell>
          <cell r="J2450">
            <v>45742</v>
          </cell>
          <cell r="K2450"/>
          <cell r="L2450"/>
          <cell r="M2450"/>
          <cell r="N2450" t="str">
            <v>JABATAN OBSTETRIK &amp; GINEKOLOGI</v>
          </cell>
          <cell r="O2450" t="str">
            <v>WAD 8B (Wad Obstetrik &amp; Ginekologi 8B)</v>
          </cell>
        </row>
        <row r="2451">
          <cell r="D2451" t="str">
            <v>KKM/JKNS/HSA/10-05-01/R/15/11804</v>
          </cell>
          <cell r="E2451" t="str">
            <v>DIGITAL BABY WEIGHING SCALE</v>
          </cell>
          <cell r="F2451" t="str">
            <v>TANITA</v>
          </cell>
          <cell r="G2451">
            <v>1583</v>
          </cell>
          <cell r="H2451">
            <v>15020045</v>
          </cell>
          <cell r="I2451" t="str">
            <v>ANNUALLY</v>
          </cell>
          <cell r="J2451">
            <v>45939</v>
          </cell>
          <cell r="K2451"/>
          <cell r="L2451"/>
          <cell r="M2451"/>
          <cell r="N2451" t="str">
            <v>JABATAN OBSTETRIK &amp; GINEKOLOGI</v>
          </cell>
          <cell r="O2451" t="str">
            <v>Dewan Bersalin (LDU)</v>
          </cell>
        </row>
        <row r="2452">
          <cell r="D2452" t="str">
            <v>KKM/JKNS/HSA/10-05-01/R/15/11805</v>
          </cell>
          <cell r="E2452" t="str">
            <v>DIGITAL BABY WEIGHING SCALE</v>
          </cell>
          <cell r="F2452" t="str">
            <v>TANITA</v>
          </cell>
          <cell r="G2452">
            <v>1583</v>
          </cell>
          <cell r="H2452">
            <v>15020047</v>
          </cell>
          <cell r="I2452" t="str">
            <v>ANNUALLY</v>
          </cell>
          <cell r="J2452">
            <v>45939</v>
          </cell>
          <cell r="K2452"/>
          <cell r="L2452"/>
          <cell r="M2452"/>
          <cell r="N2452" t="str">
            <v>JABATAN OBSTETRIK &amp; GINEKOLOGI</v>
          </cell>
          <cell r="O2452" t="str">
            <v>Dewan Bersalin (LDU)</v>
          </cell>
        </row>
        <row r="2453">
          <cell r="D2453" t="str">
            <v>KKM/JKNS/HAS/10-05-01/R/15/11806</v>
          </cell>
          <cell r="E2453" t="str">
            <v>DIGITAL BABY WEIGHING SCALE</v>
          </cell>
          <cell r="F2453" t="str">
            <v>TANITA</v>
          </cell>
          <cell r="G2453">
            <v>1583</v>
          </cell>
          <cell r="H2453">
            <v>15020044</v>
          </cell>
          <cell r="I2453" t="str">
            <v>ANNUALLY</v>
          </cell>
          <cell r="J2453">
            <v>45939</v>
          </cell>
          <cell r="K2453"/>
          <cell r="L2453"/>
          <cell r="M2453"/>
          <cell r="N2453" t="str">
            <v>JABATAN OBSTETRIK &amp; GINEKOLOGI</v>
          </cell>
          <cell r="O2453" t="str">
            <v>Dewan Bersalin (LDU)</v>
          </cell>
        </row>
        <row r="2454">
          <cell r="D2454" t="str">
            <v>KKM/JKNS/HSA/10-05-01/R/15/11807</v>
          </cell>
          <cell r="E2454" t="str">
            <v>DIGITAL BABY WEIGHING SCALE</v>
          </cell>
          <cell r="F2454" t="str">
            <v>TANITA</v>
          </cell>
          <cell r="G2454">
            <v>1583</v>
          </cell>
          <cell r="H2454">
            <v>15020049</v>
          </cell>
          <cell r="I2454" t="str">
            <v>ANNUALLY</v>
          </cell>
          <cell r="J2454">
            <v>45939</v>
          </cell>
          <cell r="K2454"/>
          <cell r="L2454"/>
          <cell r="M2454"/>
          <cell r="N2454" t="str">
            <v>JABATAN OBSTETRIK &amp; GINEKOLOGI</v>
          </cell>
          <cell r="O2454" t="str">
            <v>Dewan Bersalin (LDU)</v>
          </cell>
        </row>
        <row r="2455">
          <cell r="D2455" t="str">
            <v>KKM/JKNS/HSA/10-05-01/R/15/11808</v>
          </cell>
          <cell r="E2455" t="str">
            <v>DIGITAL BABY WEIGHING SCALE</v>
          </cell>
          <cell r="F2455" t="str">
            <v>TANITA</v>
          </cell>
          <cell r="G2455">
            <v>1583</v>
          </cell>
          <cell r="H2455">
            <v>15020048</v>
          </cell>
          <cell r="I2455" t="str">
            <v>ANNUALLY</v>
          </cell>
          <cell r="J2455">
            <v>45939</v>
          </cell>
          <cell r="K2455"/>
          <cell r="L2455"/>
          <cell r="M2455"/>
          <cell r="N2455" t="str">
            <v>JABATAN OBSTETRIK &amp; GINEKOLOGI</v>
          </cell>
          <cell r="O2455" t="str">
            <v>Dewan Bersalin (LDU)</v>
          </cell>
        </row>
        <row r="2456">
          <cell r="D2456" t="str">
            <v>KKM/JKNS/HSA/10-05-01/R/15/11809</v>
          </cell>
          <cell r="E2456" t="str">
            <v>DIGITAL BABY WEIGHING SCALE</v>
          </cell>
          <cell r="F2456" t="str">
            <v>TANITA</v>
          </cell>
          <cell r="G2456">
            <v>1583</v>
          </cell>
          <cell r="H2456">
            <v>15020046</v>
          </cell>
          <cell r="I2456" t="str">
            <v>ANNUALLY</v>
          </cell>
          <cell r="J2456">
            <v>45939</v>
          </cell>
          <cell r="K2456"/>
          <cell r="L2456"/>
          <cell r="M2456"/>
          <cell r="N2456" t="str">
            <v>JABATAN OBSTETRIK &amp; GINEKOLOGI</v>
          </cell>
          <cell r="O2456" t="str">
            <v>Dewan Bersalin (LDU)</v>
          </cell>
        </row>
        <row r="2457">
          <cell r="D2457" t="str">
            <v>KKM/JKNS/HSA/10-05-01/R/15/11810</v>
          </cell>
          <cell r="E2457" t="str">
            <v>DIGITAL BABY WEIGHING SCALE</v>
          </cell>
          <cell r="F2457" t="str">
            <v>TANITA</v>
          </cell>
          <cell r="G2457">
            <v>1583</v>
          </cell>
          <cell r="H2457">
            <v>15020043</v>
          </cell>
          <cell r="I2457" t="str">
            <v>ANNUALLY</v>
          </cell>
          <cell r="J2457">
            <v>45939</v>
          </cell>
          <cell r="K2457"/>
          <cell r="L2457"/>
          <cell r="M2457"/>
          <cell r="N2457" t="str">
            <v>JABATAN OBSTETRIK &amp; GINEKOLOGI</v>
          </cell>
          <cell r="O2457" t="str">
            <v>Dewan Bersalin (LDU)</v>
          </cell>
        </row>
        <row r="2458">
          <cell r="D2458" t="str">
            <v>KKM/JKNS/HSA/10-05-01/R/15/11811</v>
          </cell>
          <cell r="E2458" t="str">
            <v>DIGITAL BABY WEIGHING SCALE</v>
          </cell>
          <cell r="F2458" t="str">
            <v>TANITA</v>
          </cell>
          <cell r="G2458">
            <v>1583</v>
          </cell>
          <cell r="H2458">
            <v>15020041</v>
          </cell>
          <cell r="I2458" t="str">
            <v>ANNUALLY</v>
          </cell>
          <cell r="J2458">
            <v>45939</v>
          </cell>
          <cell r="K2458"/>
          <cell r="L2458"/>
          <cell r="M2458"/>
          <cell r="N2458" t="str">
            <v>JABATAN OBSTETRIK &amp; GINEKOLOGI</v>
          </cell>
          <cell r="O2458" t="str">
            <v>Dewan Bersalin (LDU)</v>
          </cell>
        </row>
        <row r="2459">
          <cell r="D2459" t="str">
            <v>KKM/JKNS/HSA/10-05-01/R/15/11812</v>
          </cell>
          <cell r="E2459" t="str">
            <v>DIGITAL BABY WEIGHING SCALE</v>
          </cell>
          <cell r="F2459" t="str">
            <v>TANITA</v>
          </cell>
          <cell r="G2459">
            <v>1583</v>
          </cell>
          <cell r="H2459">
            <v>15020040</v>
          </cell>
          <cell r="I2459" t="str">
            <v>ANNUALLY</v>
          </cell>
          <cell r="J2459">
            <v>45939</v>
          </cell>
          <cell r="K2459"/>
          <cell r="L2459"/>
          <cell r="M2459"/>
          <cell r="N2459" t="str">
            <v>JABATAN OBSTETRIK &amp; GINEKOLOGI</v>
          </cell>
          <cell r="O2459" t="str">
            <v>Dewan Bersalin (LDU)</v>
          </cell>
        </row>
        <row r="2460">
          <cell r="D2460" t="str">
            <v>KKM/JKN/HSA/10-05-01/H/20/174</v>
          </cell>
          <cell r="E2460" t="str">
            <v>ECG MACHINE</v>
          </cell>
          <cell r="F2460" t="str">
            <v>MINDRAY</v>
          </cell>
          <cell r="G2460" t="str">
            <v>BENEHEART R3A</v>
          </cell>
          <cell r="H2460" t="str">
            <v>FK-04022686</v>
          </cell>
          <cell r="I2460" t="str">
            <v>ANNUALLY</v>
          </cell>
          <cell r="J2460">
            <v>45701</v>
          </cell>
          <cell r="K2460"/>
          <cell r="L2460"/>
          <cell r="M2460"/>
          <cell r="N2460" t="str">
            <v>JABATAN OTORINOLARINGOLOGI</v>
          </cell>
          <cell r="O2460" t="str">
            <v>Klinik Otorinolaringologi (ORL) (ENT CLINIC)</v>
          </cell>
        </row>
        <row r="2461">
          <cell r="D2461" t="str">
            <v>KKM/JKN/HSA/10-05-01/H/21/191</v>
          </cell>
          <cell r="E2461" t="str">
            <v>POWERED AIR PURIFYING RESPIRATOR (PAPR)</v>
          </cell>
          <cell r="F2461" t="str">
            <v>SHINE</v>
          </cell>
          <cell r="G2461" t="str">
            <v>P-SH100</v>
          </cell>
          <cell r="H2461" t="str">
            <v>2122855520070</v>
          </cell>
          <cell r="I2461" t="str">
            <v>ANNUALLY</v>
          </cell>
          <cell r="J2461">
            <v>45782</v>
          </cell>
          <cell r="K2461"/>
          <cell r="L2461"/>
          <cell r="M2461"/>
          <cell r="N2461" t="str">
            <v>JABATAN PERUBATAN AM</v>
          </cell>
          <cell r="O2461" t="str">
            <v>WAD 9B (Wad Pembedahan Lelaki 9B)</v>
          </cell>
        </row>
        <row r="2462">
          <cell r="D2462" t="str">
            <v>KKM/JKN/HSA/10-05-01/H/21/192</v>
          </cell>
          <cell r="E2462" t="str">
            <v>POWERED AIR PURIFYING RESPIRATOR (PAPR)</v>
          </cell>
          <cell r="F2462" t="str">
            <v>SHINE</v>
          </cell>
          <cell r="G2462" t="str">
            <v>P-SH100</v>
          </cell>
          <cell r="H2462" t="str">
            <v>2122855520071</v>
          </cell>
          <cell r="I2462" t="str">
            <v>ANNUALLY</v>
          </cell>
          <cell r="J2462">
            <v>45782</v>
          </cell>
          <cell r="K2462"/>
          <cell r="L2462"/>
          <cell r="M2462"/>
          <cell r="N2462" t="str">
            <v>JABATAN PERUBATAN AM</v>
          </cell>
          <cell r="O2462" t="str">
            <v>WAD 9B (Wad Pembedahan Lelaki 9B)</v>
          </cell>
        </row>
        <row r="2463">
          <cell r="D2463" t="str">
            <v>KKM/JKN/HSA/10-05-01/H/21/190</v>
          </cell>
          <cell r="E2463" t="str">
            <v>POWERED AIR PURIFYING RESPIRATOR (PAPR)</v>
          </cell>
          <cell r="F2463" t="str">
            <v>SHINE</v>
          </cell>
          <cell r="G2463" t="str">
            <v>P-SH100</v>
          </cell>
          <cell r="H2463" t="str">
            <v>2122855520069</v>
          </cell>
          <cell r="I2463" t="str">
            <v>ANNUALLY</v>
          </cell>
          <cell r="J2463">
            <v>45782</v>
          </cell>
          <cell r="K2463"/>
          <cell r="L2463"/>
          <cell r="M2463"/>
          <cell r="N2463" t="str">
            <v>JABATAN PERUBATAN AM</v>
          </cell>
          <cell r="O2463" t="str">
            <v>WAD 9B (Wad Pembedahan Lelaki 9B)</v>
          </cell>
        </row>
        <row r="2464">
          <cell r="D2464" t="str">
            <v>KKM/JKN/HSA/10-05-01/H/21/347</v>
          </cell>
          <cell r="E2464" t="str">
            <v>OXYGEN CONCENTRATOR</v>
          </cell>
          <cell r="F2464" t="str">
            <v>OWGELS</v>
          </cell>
          <cell r="G2464" t="str">
            <v>OZ-5-01GW0</v>
          </cell>
          <cell r="H2464" t="str">
            <v>20210730-669</v>
          </cell>
          <cell r="I2464" t="str">
            <v>ANNUALLY</v>
          </cell>
          <cell r="J2464">
            <v>46028</v>
          </cell>
          <cell r="K2464"/>
          <cell r="L2464"/>
          <cell r="M2464"/>
          <cell r="N2464" t="str">
            <v>JABATAN KECEMASAN &amp; TRAUMA</v>
          </cell>
          <cell r="O2464" t="str">
            <v>Jabatan Kecemasan &amp; Trauma (ED)</v>
          </cell>
        </row>
        <row r="2465">
          <cell r="D2465" t="str">
            <v>KKM/JKN/HSA/10-05-01/H/21/346</v>
          </cell>
          <cell r="E2465" t="str">
            <v>OXYGEN CONCENTRATOR</v>
          </cell>
          <cell r="F2465" t="str">
            <v>OWGELS</v>
          </cell>
          <cell r="G2465" t="str">
            <v>OZ-5-01GW0</v>
          </cell>
          <cell r="H2465" t="str">
            <v>20210730-689</v>
          </cell>
          <cell r="I2465" t="str">
            <v>ANNUALLY</v>
          </cell>
          <cell r="J2465">
            <v>46028</v>
          </cell>
          <cell r="K2465"/>
          <cell r="L2465"/>
          <cell r="M2465"/>
          <cell r="N2465" t="str">
            <v>JABATAN KECEMASAN &amp; TRAUMA</v>
          </cell>
          <cell r="O2465" t="str">
            <v>Jabatan Kecemasan &amp; Trauma (ED)</v>
          </cell>
        </row>
        <row r="2466">
          <cell r="D2466" t="str">
            <v>KKM/JKN/HSA/10-05-01/H/21/345</v>
          </cell>
          <cell r="E2466" t="str">
            <v>OXYGEN CONCENTRATOR</v>
          </cell>
          <cell r="F2466" t="str">
            <v>OWGELS</v>
          </cell>
          <cell r="G2466" t="str">
            <v>OZ-5-01GW0</v>
          </cell>
          <cell r="H2466" t="str">
            <v>20210731-055</v>
          </cell>
          <cell r="I2466" t="str">
            <v>ANNUALLY</v>
          </cell>
          <cell r="J2466">
            <v>46028</v>
          </cell>
          <cell r="K2466"/>
          <cell r="L2466"/>
          <cell r="M2466"/>
          <cell r="N2466" t="str">
            <v>JABATAN KECEMASAN &amp; TRAUMA</v>
          </cell>
          <cell r="O2466" t="str">
            <v>Jabatan Kecemasan &amp; Trauma (ED)</v>
          </cell>
        </row>
        <row r="2467">
          <cell r="D2467" t="str">
            <v>KKM/JKN/HSA/10-05-01/H/21/344</v>
          </cell>
          <cell r="E2467" t="str">
            <v>OXYGEN CONCENTRATOR</v>
          </cell>
          <cell r="F2467" t="str">
            <v>OWGELS</v>
          </cell>
          <cell r="G2467" t="str">
            <v>OZ-5-01GW0</v>
          </cell>
          <cell r="H2467" t="str">
            <v>20210731-152</v>
          </cell>
          <cell r="I2467" t="str">
            <v>ANNUALLY</v>
          </cell>
          <cell r="J2467">
            <v>46028</v>
          </cell>
          <cell r="K2467"/>
          <cell r="L2467"/>
          <cell r="M2467"/>
          <cell r="N2467" t="str">
            <v>JABATAN KECEMASAN &amp; TRAUMA</v>
          </cell>
          <cell r="O2467" t="str">
            <v>Jabatan Kecemasan &amp; Trauma (ED)</v>
          </cell>
        </row>
        <row r="2468">
          <cell r="D2468" t="str">
            <v>KKM/JKN/HSA/10-05-01/H/21/343</v>
          </cell>
          <cell r="E2468" t="str">
            <v>OXYGEN CONCENTRATOR</v>
          </cell>
          <cell r="F2468" t="str">
            <v>OWGELS</v>
          </cell>
          <cell r="G2468" t="str">
            <v>OZ-5-01GW0</v>
          </cell>
          <cell r="H2468" t="str">
            <v>20210731-156</v>
          </cell>
          <cell r="I2468" t="str">
            <v>ANNUALLY</v>
          </cell>
          <cell r="J2468">
            <v>46028</v>
          </cell>
          <cell r="K2468"/>
          <cell r="L2468"/>
          <cell r="M2468"/>
          <cell r="N2468" t="str">
            <v>JABATAN KECEMASAN &amp; TRAUMA</v>
          </cell>
          <cell r="O2468" t="str">
            <v>Jabatan Kecemasan &amp; Trauma (ED)</v>
          </cell>
        </row>
        <row r="2469">
          <cell r="D2469" t="str">
            <v>KKM/JKN/HSA/10-05-01/H/23/45</v>
          </cell>
          <cell r="E2469" t="str">
            <v>PATIENT MONITORING EQUIPMENT</v>
          </cell>
          <cell r="F2469" t="str">
            <v>MINDRAY</v>
          </cell>
          <cell r="G2469" t="str">
            <v>EPM10</v>
          </cell>
          <cell r="H2469" t="str">
            <v>AC7-32092342</v>
          </cell>
          <cell r="I2469" t="str">
            <v>ANNUALLY</v>
          </cell>
          <cell r="J2469">
            <v>45896</v>
          </cell>
          <cell r="K2469"/>
          <cell r="L2469"/>
          <cell r="M2469"/>
          <cell r="N2469" t="str">
            <v>JABATAN PERUBATAN AM</v>
          </cell>
          <cell r="O2469" t="str">
            <v>WAD 9A (Wad Pembedahan Lelaki 9A)</v>
          </cell>
        </row>
        <row r="2470">
          <cell r="D2470" t="str">
            <v>KKM/JKN/HSA/10-05-01/H/23/46</v>
          </cell>
          <cell r="E2470" t="str">
            <v>PATIENT MONITORING EQUIPMENT</v>
          </cell>
          <cell r="F2470" t="str">
            <v>MINDRAY</v>
          </cell>
          <cell r="G2470" t="str">
            <v>EPM10</v>
          </cell>
          <cell r="H2470" t="str">
            <v>AC7-32092343</v>
          </cell>
          <cell r="I2470" t="str">
            <v>ANNUALLY</v>
          </cell>
          <cell r="J2470">
            <v>45896</v>
          </cell>
          <cell r="K2470"/>
          <cell r="L2470"/>
          <cell r="M2470"/>
          <cell r="N2470" t="str">
            <v>JABATAN PERUBATAN AM</v>
          </cell>
          <cell r="O2470" t="str">
            <v>WAD 9B (Wad Pembedahan Lelaki 9B)</v>
          </cell>
        </row>
        <row r="2471">
          <cell r="D2471" t="str">
            <v>KKM/JKN/HSA/10-05-01/H/23/62</v>
          </cell>
          <cell r="E2471" t="str">
            <v xml:space="preserve">GASTROINTESTINAL VIDEO SCOPE </v>
          </cell>
          <cell r="F2471" t="str">
            <v>OLYMPUS</v>
          </cell>
          <cell r="G2471" t="str">
            <v>EXERA III GIF-H190</v>
          </cell>
          <cell r="H2471">
            <v>2368937</v>
          </cell>
          <cell r="I2471" t="str">
            <v>ANNUALLY</v>
          </cell>
          <cell r="J2471">
            <v>45961</v>
          </cell>
          <cell r="K2471"/>
          <cell r="L2471"/>
          <cell r="M2471"/>
          <cell r="N2471" t="str">
            <v>JABATAN PEMBEDAHAN AM</v>
          </cell>
          <cell r="O2471" t="str">
            <v>Unit Rawatan Perubatan Harian (MDC)</v>
          </cell>
        </row>
        <row r="2472">
          <cell r="D2472" t="str">
            <v>KKM/JKN/HSA/10-05-01/H/23/67</v>
          </cell>
          <cell r="E2472" t="str">
            <v>DENTAL ELECTROSURGERY SET</v>
          </cell>
          <cell r="F2472" t="str">
            <v>SATELEC</v>
          </cell>
          <cell r="G2472" t="str">
            <v>SERVOTOME</v>
          </cell>
          <cell r="H2472">
            <v>1818777036</v>
          </cell>
          <cell r="I2472" t="str">
            <v>ANNUALLY</v>
          </cell>
          <cell r="J2472">
            <v>45962</v>
          </cell>
          <cell r="K2472"/>
          <cell r="L2472"/>
          <cell r="M2472"/>
          <cell r="N2472" t="str">
            <v>JABATAN BEDAH MULUT</v>
          </cell>
          <cell r="O2472" t="str">
            <v>Klinik Bedah Mulut &amp; Klinik Pergigian Pediatrik</v>
          </cell>
        </row>
        <row r="2473">
          <cell r="D2473" t="str">
            <v>KKM/JKN/HSA/10-05-01/H/15/5059</v>
          </cell>
          <cell r="E2473" t="str">
            <v>ECG (EKG) MACHINE</v>
          </cell>
          <cell r="F2473" t="str">
            <v>GE HEALTHCARE</v>
          </cell>
          <cell r="G2473" t="str">
            <v>MAC400</v>
          </cell>
          <cell r="H2473" t="str">
            <v>SCT11496312PA</v>
          </cell>
          <cell r="I2473" t="str">
            <v>ANNUALLY</v>
          </cell>
          <cell r="J2473">
            <v>45945</v>
          </cell>
          <cell r="K2473"/>
          <cell r="L2473"/>
          <cell r="M2473"/>
          <cell r="N2473" t="str">
            <v>JABATAN PEDIATRIK</v>
          </cell>
          <cell r="O2473" t="str">
            <v>Klinik Pediatrik (PAEDIATRIC CLINIC)</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HEDULE PPM 2026"/>
    </sheetNames>
    <sheetDataSet>
      <sheetData sheetId="0">
        <row r="1">
          <cell r="E1"/>
        </row>
        <row r="2">
          <cell r="D2"/>
          <cell r="E2" t="str">
            <v>PPM SCHEDULE BEMS</v>
          </cell>
        </row>
        <row r="3">
          <cell r="D3"/>
          <cell r="E3" t="str">
            <v>PLAN PREVENTIVE MAINTENANCE 2026</v>
          </cell>
        </row>
        <row r="4">
          <cell r="D4"/>
          <cell r="E4" t="str">
            <v>BIOMEDICAL ENGINEERING MAINTENANCE SERVICES (BEMS)</v>
          </cell>
        </row>
        <row r="5">
          <cell r="D5"/>
          <cell r="E5"/>
        </row>
        <row r="6">
          <cell r="D6" t="str">
            <v>Asset No</v>
          </cell>
          <cell r="E6" t="str">
            <v>Type Description</v>
          </cell>
        </row>
        <row r="7">
          <cell r="D7" t="str">
            <v>KKM/JKN/HSA/10-05-01/H/15/2801</v>
          </cell>
          <cell r="E7" t="str">
            <v>ECG (EKG) MACHINE</v>
          </cell>
        </row>
        <row r="8">
          <cell r="D8" t="str">
            <v>KKM/JKN/HSA/10-05-01/H/21/330</v>
          </cell>
          <cell r="E8" t="str">
            <v>SYRINGE INFUSION PUMP</v>
          </cell>
        </row>
        <row r="9">
          <cell r="D9" t="str">
            <v>KKM/JKN/HSA/10-05-01/H/21/331</v>
          </cell>
          <cell r="E9" t="str">
            <v>SYRINGE INFUSION PUMP</v>
          </cell>
        </row>
        <row r="10">
          <cell r="D10" t="str">
            <v>KKM/JKN/HSA/10-05-01/H/21/332</v>
          </cell>
          <cell r="E10" t="str">
            <v>SYRINGE INFUSION PUMP</v>
          </cell>
        </row>
        <row r="11">
          <cell r="D11" t="str">
            <v>KKM/JKN/HSA/10-05-01/H/21/333</v>
          </cell>
          <cell r="E11" t="str">
            <v>SYRINGE INFUSION PUMP</v>
          </cell>
        </row>
        <row r="12">
          <cell r="D12" t="str">
            <v>KKM/JKN/HSA/10-05-01/H/21/334</v>
          </cell>
          <cell r="E12" t="str">
            <v>SYRINGE INFUSION PUMP</v>
          </cell>
        </row>
        <row r="13">
          <cell r="D13" t="str">
            <v>KKM/JKN/HSA/10-05-01/R/15/16384</v>
          </cell>
          <cell r="E13" t="str">
            <v>BALANCE ELECTRONIC</v>
          </cell>
        </row>
        <row r="14">
          <cell r="D14" t="str">
            <v>KKM/JKN/HSA/10-05-01/H/15/1662</v>
          </cell>
          <cell r="E14" t="str">
            <v>DENTAL IMPLANT SYSTEM</v>
          </cell>
        </row>
        <row r="15">
          <cell r="D15" t="str">
            <v>KKM/JKN/HSA/10-05-01/H/15/5105</v>
          </cell>
          <cell r="E15" t="str">
            <v>SURGICAL MOTOR SYSTEM</v>
          </cell>
        </row>
        <row r="16">
          <cell r="D16" t="str">
            <v>KKM/JKN/HSA/10-05-01/R/15/6750</v>
          </cell>
          <cell r="E16" t="str">
            <v>OTOSCOPE</v>
          </cell>
        </row>
        <row r="17">
          <cell r="D17" t="str">
            <v>KKM/JKN/HSA/10-05-01/H/15/2153</v>
          </cell>
          <cell r="E17" t="str">
            <v>SUCTION APPARATUS</v>
          </cell>
        </row>
        <row r="18">
          <cell r="D18" t="str">
            <v>KKM/JKN/HSA/10-05-01/H/15/3966</v>
          </cell>
          <cell r="E18" t="str">
            <v>INKUBATOR (INCUBATOR)</v>
          </cell>
        </row>
        <row r="19">
          <cell r="D19" t="str">
            <v>KKM/JKN/HSA/10-05-01/H/15/3970</v>
          </cell>
          <cell r="E19" t="str">
            <v>HOT AIR DRIER</v>
          </cell>
        </row>
        <row r="20">
          <cell r="D20" t="str">
            <v>KKM/JKN/HSA/10-05-01/H/15/3967</v>
          </cell>
          <cell r="E20" t="str">
            <v>INKUBATOR (INCUBATOR)</v>
          </cell>
        </row>
        <row r="21">
          <cell r="D21" t="str">
            <v>KKM/JKN/HSA/10-05-01/H/15/3971</v>
          </cell>
          <cell r="E21" t="str">
            <v>HOT AIR DRIER</v>
          </cell>
        </row>
        <row r="22">
          <cell r="D22" t="str">
            <v>KKM/JKN/HSA/10-05-01/R/15/1439-01</v>
          </cell>
          <cell r="E22" t="str">
            <v>MONITOR 20"</v>
          </cell>
        </row>
        <row r="23">
          <cell r="D23" t="str">
            <v xml:space="preserve">KKM/JKN/HSA/10-05-01/H/15/2419 </v>
          </cell>
          <cell r="E23" t="str">
            <v>TABLE, OPERATING, O &amp; G, ELECTRIC</v>
          </cell>
        </row>
        <row r="24">
          <cell r="D24" t="str">
            <v xml:space="preserve">KKM/JKN/HSA/10-05-01/H/15/2420 </v>
          </cell>
          <cell r="E24" t="str">
            <v>TABLE, OPERATING, O &amp; G, ELECTRIC</v>
          </cell>
        </row>
        <row r="25">
          <cell r="D25" t="str">
            <v>KKM/JKN/HSA/10-05-01/H/15/5020</v>
          </cell>
          <cell r="E25" t="str">
            <v>WARMER BLOOD DRY HEAT TYPE</v>
          </cell>
        </row>
        <row r="26">
          <cell r="D26" t="str">
            <v>KKM/JKN/HSA/10-05-01/H/15/5021</v>
          </cell>
          <cell r="E26" t="str">
            <v>WARMER BLOOD DRY HEAT TYPE</v>
          </cell>
        </row>
        <row r="27">
          <cell r="D27" t="str">
            <v>KKM/JKN/HSA/10-05-01/H/15/5027</v>
          </cell>
          <cell r="E27" t="str">
            <v>WARMER BLOOD WATER TYPE</v>
          </cell>
        </row>
        <row r="28">
          <cell r="D28" t="str">
            <v>KKM/JKN/HSA/10-05-01/H/15/5028</v>
          </cell>
          <cell r="E28" t="str">
            <v>WARMER BLOOD WATER TYPE</v>
          </cell>
        </row>
        <row r="29">
          <cell r="D29" t="str">
            <v>KKM/JKN/HSA/10-05-01/H/15/5047</v>
          </cell>
          <cell r="E29" t="str">
            <v>MONITOR MODULAR 8-CH ECG/RR/NIBP/SPO2/2TEMP/2IBP</v>
          </cell>
        </row>
        <row r="30">
          <cell r="D30" t="str">
            <v>KKM/JKN/HSA/10-05-01/H/15/5048</v>
          </cell>
          <cell r="E30" t="str">
            <v>MONITOR MODULAR 8-CH ECG/RR/NIBP/SPO2/2TEMP/2IBP</v>
          </cell>
        </row>
        <row r="31">
          <cell r="D31" t="str">
            <v>KKM/JKN/HSA/10-05-01/H/15/5049</v>
          </cell>
          <cell r="E31" t="str">
            <v>MONITOR MODULAR 8-CH ECG/RR/NIBP/SPO2/2TEMP/2IBP</v>
          </cell>
        </row>
        <row r="32">
          <cell r="D32" t="str">
            <v>KKM/JKN/HSA/10-05-01/H/15/5050</v>
          </cell>
          <cell r="E32" t="str">
            <v>MONITOR MODULAR 8-CH ECG/RR/NIBP/SPO2/2TEMP/2IBP</v>
          </cell>
        </row>
        <row r="33">
          <cell r="D33" t="str">
            <v>KKM/JKN/HSA/10-05-01/R/15/17037</v>
          </cell>
          <cell r="E33" t="str">
            <v>NEBULISER COMPRESSOR</v>
          </cell>
        </row>
        <row r="34">
          <cell r="D34" t="str">
            <v>KKM/JKN/HSA/10-05-01/R/15/17038</v>
          </cell>
          <cell r="E34" t="str">
            <v>NEBULISER COMPRESSOR</v>
          </cell>
        </row>
        <row r="35">
          <cell r="D35" t="str">
            <v>KKM/JKN/HSA/10-05-01/R/15/17212</v>
          </cell>
          <cell r="E35" t="str">
            <v>INFUSOR PRESSURE</v>
          </cell>
        </row>
        <row r="36">
          <cell r="D36" t="str">
            <v>KKM/JKN/HSA/10-05-01/H/15/1126</v>
          </cell>
          <cell r="E36" t="str">
            <v>SUCTION APPARATUS</v>
          </cell>
        </row>
        <row r="37">
          <cell r="D37" t="str">
            <v>KKM/JKN/HSA/10-05-01/H/15/1127</v>
          </cell>
          <cell r="E37" t="str">
            <v>SUCTION APPARATUS</v>
          </cell>
        </row>
        <row r="38">
          <cell r="D38" t="str">
            <v>KKM/JKN/HSA/10-05-01/H/15/1585</v>
          </cell>
          <cell r="E38" t="str">
            <v>INFANT WARMER (RADIANT)</v>
          </cell>
        </row>
        <row r="39">
          <cell r="D39" t="str">
            <v>KKM/JKN/HSA/10-05-01/H/15/1586</v>
          </cell>
          <cell r="E39" t="str">
            <v>INFANT WARMER (RADIANT)</v>
          </cell>
        </row>
        <row r="40">
          <cell r="D40" t="str">
            <v>KKM/JKN/HSA/10-05-01/H/15/2110</v>
          </cell>
          <cell r="E40" t="str">
            <v>PATIENT MONITORING EQUIP.(AUTOMATIC MULTIPARAMETER)</v>
          </cell>
        </row>
        <row r="41">
          <cell r="D41" t="str">
            <v>KKM/JKN/HSA/10-05-01/H/15/2148</v>
          </cell>
          <cell r="E41" t="str">
            <v>SUCTION APPARATUS</v>
          </cell>
        </row>
        <row r="42">
          <cell r="D42" t="str">
            <v>KKM/JKN/HSA/10-05-01/H/15/2437</v>
          </cell>
          <cell r="E42" t="str">
            <v>PATIENT WARMER (BLANKET)</v>
          </cell>
        </row>
        <row r="43">
          <cell r="D43" t="str">
            <v>KKM/JKN/HSA/10-05-01/H/15/2438</v>
          </cell>
          <cell r="E43" t="str">
            <v>PATIENT WARMER (BLANKET)</v>
          </cell>
        </row>
        <row r="44">
          <cell r="D44" t="str">
            <v>KKM/JKN/HSA/10-05-01/H/15/328</v>
          </cell>
          <cell r="E44" t="str">
            <v>ANESTHESIA MACHINE/UNIT</v>
          </cell>
        </row>
        <row r="45">
          <cell r="D45" t="str">
            <v>KKM/JKN/HSA/10-05-01/H/15/329</v>
          </cell>
          <cell r="E45" t="str">
            <v>ANESTHESIA MACHINE/UNIT</v>
          </cell>
        </row>
        <row r="46">
          <cell r="D46" t="str">
            <v>KKM/JKN/HSA/10-05-01/H/15/3676</v>
          </cell>
          <cell r="E46" t="str">
            <v>DEFIBRILLATOR</v>
          </cell>
        </row>
        <row r="47">
          <cell r="D47" t="str">
            <v>KKM/JKN/HSA/10-05-01/H/15/3677</v>
          </cell>
          <cell r="E47" t="str">
            <v>DEFIBRILLATOR</v>
          </cell>
        </row>
        <row r="48">
          <cell r="D48" t="str">
            <v>KKM/JKN/HSA/10-05-01/H/15/4884</v>
          </cell>
          <cell r="E48" t="str">
            <v>OPERATION LIGHT</v>
          </cell>
        </row>
        <row r="49">
          <cell r="D49" t="str">
            <v>KKM/JKN/HSA/10-05-01/H/15/4885</v>
          </cell>
          <cell r="E49" t="str">
            <v>OPERATION TABLE</v>
          </cell>
        </row>
        <row r="50">
          <cell r="D50" t="str">
            <v>KKM/JKN/HSA/10-05-01/H/15/5019</v>
          </cell>
          <cell r="E50" t="str">
            <v>BLOOD FLUID WARMER</v>
          </cell>
        </row>
        <row r="51">
          <cell r="D51" t="str">
            <v>KKM/JKN/HSA/10-05-01/H/15/5040</v>
          </cell>
          <cell r="E51" t="str">
            <v>ELECTROSURGICAL UNIT</v>
          </cell>
        </row>
        <row r="52">
          <cell r="D52" t="str">
            <v>KKM/JKN/HSA/10-05-01/H/15/5041</v>
          </cell>
          <cell r="E52" t="str">
            <v>ELECTROSURGICAL UNIT</v>
          </cell>
        </row>
        <row r="53">
          <cell r="D53" t="str">
            <v>KKM/JKN/HSA/10-05-01/H/15/871</v>
          </cell>
          <cell r="E53" t="str">
            <v>SYRINGE INFUSION PUMP</v>
          </cell>
        </row>
        <row r="54">
          <cell r="D54" t="str">
            <v>KKM/JKN/HSA/10-05-01/H/15/872</v>
          </cell>
          <cell r="E54" t="str">
            <v>SYRINGE INFUSION PUMP</v>
          </cell>
        </row>
        <row r="55">
          <cell r="D55" t="str">
            <v>KKM/JKN/HSA/10-05-01/R/15/14850</v>
          </cell>
          <cell r="E55" t="str">
            <v>BLOOD PRESSURE MONITOR (SPHYGMOMANOMETER)</v>
          </cell>
        </row>
        <row r="56">
          <cell r="D56" t="str">
            <v>KKM/JKN/HSA/10-05-01/R/15/14851</v>
          </cell>
          <cell r="E56" t="str">
            <v>BLOOD PRESSURE MONITOR (SPHYGMOMANOMETER)</v>
          </cell>
        </row>
        <row r="57">
          <cell r="D57" t="str">
            <v>KKM/JKN/HSA/10-05-01/R/15/14855</v>
          </cell>
          <cell r="E57" t="str">
            <v>BLOOD PRESSURE MONITOR (SPHYGMOMANOMETER)</v>
          </cell>
        </row>
        <row r="58">
          <cell r="D58" t="str">
            <v>HSAS10002</v>
          </cell>
          <cell r="E58" t="str">
            <v>SHAVER UNIT FOR ARTHROSCOPY</v>
          </cell>
        </row>
        <row r="59">
          <cell r="D59" t="str">
            <v>HSAS10004</v>
          </cell>
          <cell r="E59" t="str">
            <v>MATTRESS PRESSURE RELIEF</v>
          </cell>
        </row>
        <row r="60">
          <cell r="D60" t="str">
            <v>HSAS10010</v>
          </cell>
          <cell r="E60" t="str">
            <v>DRILL, SURGICAL, MULTIPURPOSE W/IRRIGATION</v>
          </cell>
        </row>
        <row r="61">
          <cell r="D61" t="str">
            <v>HSAS10012</v>
          </cell>
          <cell r="E61" t="str">
            <v>DRILL, SURGICAL, MULTIPURPOSE W/IRRIGATION</v>
          </cell>
        </row>
        <row r="62">
          <cell r="D62" t="str">
            <v>HSAS10013</v>
          </cell>
          <cell r="E62" t="str">
            <v>DRILL, SURGICAL, MULTIPURPOSE W/IRRIGATION</v>
          </cell>
        </row>
        <row r="63">
          <cell r="D63" t="str">
            <v>HSAS10014</v>
          </cell>
          <cell r="E63" t="str">
            <v>DRILL, SURGICAL, ORTHO. SMALL BONE, ELECTRIC</v>
          </cell>
        </row>
        <row r="64">
          <cell r="D64" t="str">
            <v>HSAS10015</v>
          </cell>
          <cell r="E64" t="str">
            <v>DRILL, SURGICAL, ORTHO. SMALL BONE, ELECTRIC</v>
          </cell>
        </row>
        <row r="65">
          <cell r="D65" t="str">
            <v>HSAS10016</v>
          </cell>
          <cell r="E65" t="str">
            <v>DRILL, SURGICAL, SMALL BONE, PNEUMATIC</v>
          </cell>
        </row>
        <row r="66">
          <cell r="D66" t="str">
            <v>HSAS10017</v>
          </cell>
          <cell r="E66" t="str">
            <v>DRILL, SURGICAL, SMALL BONE, PNEUMATIC</v>
          </cell>
        </row>
        <row r="67">
          <cell r="D67" t="str">
            <v>HSAS10018</v>
          </cell>
          <cell r="E67" t="str">
            <v>DRILL, SURGICAL, SMALL BONE, PNEUMATIC</v>
          </cell>
        </row>
        <row r="68">
          <cell r="D68" t="str">
            <v>HSAS10044</v>
          </cell>
          <cell r="E68" t="str">
            <v>MONITOR MODULAR 8-CH ECG/RR/NIBP/SPO2/2TEMP/2IBP</v>
          </cell>
        </row>
        <row r="69">
          <cell r="D69" t="str">
            <v>HSAS10051</v>
          </cell>
          <cell r="E69" t="str">
            <v>MONITOR MODULAR 8-CH ECG/RR/NIBP/SPO2/2TEMP/2IBP</v>
          </cell>
        </row>
        <row r="70">
          <cell r="D70" t="str">
            <v>HSAS10052</v>
          </cell>
          <cell r="E70" t="str">
            <v>MONITOR 20"</v>
          </cell>
        </row>
        <row r="71">
          <cell r="D71" t="str">
            <v>HSAS10053</v>
          </cell>
          <cell r="E71" t="str">
            <v>MONITOR 20"</v>
          </cell>
        </row>
        <row r="72">
          <cell r="D72" t="str">
            <v>HSAS10054</v>
          </cell>
          <cell r="E72" t="str">
            <v>MONITOR MODULAR 8-CH ECG/RR/NIBP/SPO2/2TEMP/2IBP</v>
          </cell>
        </row>
        <row r="73">
          <cell r="D73" t="str">
            <v>HSAS10056</v>
          </cell>
          <cell r="E73" t="str">
            <v>MONITOR MODULAR 8-CH ECG/RR/NIBP/SPO2/2TEMP/2IBP</v>
          </cell>
        </row>
        <row r="74">
          <cell r="D74" t="str">
            <v>HSAS10057</v>
          </cell>
          <cell r="E74" t="str">
            <v>MONITOR MODULAR 8-CH ECG/RR/NIBP/SPO2/2TEMP/2IBP</v>
          </cell>
        </row>
        <row r="75">
          <cell r="D75" t="str">
            <v>HSAS10059</v>
          </cell>
          <cell r="E75" t="str">
            <v>MONITOR 20"</v>
          </cell>
        </row>
        <row r="76">
          <cell r="D76" t="str">
            <v>HSAS10065</v>
          </cell>
          <cell r="E76" t="str">
            <v>MONITOR MODULAR 8-CH ECG/RR/NIBP/SPO2/2TEMP/2IBP</v>
          </cell>
        </row>
        <row r="77">
          <cell r="D77" t="str">
            <v>HSAS10066</v>
          </cell>
          <cell r="E77" t="str">
            <v>MONITOR MODULAR 8-CH ECG/RR/NIBP/SPO2/2TEMP/2IBP</v>
          </cell>
        </row>
        <row r="78">
          <cell r="D78" t="str">
            <v>HSAS10067</v>
          </cell>
          <cell r="E78" t="str">
            <v>MONITOR MODULAR 8-CH ECG/RR/NIBP/SPO2/2TEMP/2IBP</v>
          </cell>
        </row>
        <row r="79">
          <cell r="D79" t="str">
            <v>HSAS10068</v>
          </cell>
          <cell r="E79" t="str">
            <v>MONITOR MODULAR 8-CH ECG/RR/NIBP/SPO2/2TEMP/2IBP</v>
          </cell>
        </row>
        <row r="80">
          <cell r="D80" t="str">
            <v>HSAS10070</v>
          </cell>
          <cell r="E80" t="str">
            <v>MONITOR MODULAR 8-CH ECG/RR/NIBP/SPO2/2TEMP/2IBP</v>
          </cell>
        </row>
        <row r="81">
          <cell r="D81" t="str">
            <v>HSAS10074</v>
          </cell>
          <cell r="E81" t="str">
            <v>LARYNGOSCOPE C/W 3 BLADES ADULT</v>
          </cell>
        </row>
        <row r="82">
          <cell r="D82" t="str">
            <v>HSAS10075</v>
          </cell>
          <cell r="E82" t="str">
            <v>MONITOR MODULAR 8-CH ECG/RR/NIBP/SPO2/2TEMP/2IBP</v>
          </cell>
        </row>
        <row r="83">
          <cell r="D83" t="str">
            <v>HSAS10076</v>
          </cell>
          <cell r="E83" t="str">
            <v>LARYNGOSCOPE C/W 3 BLADES ADULT</v>
          </cell>
        </row>
        <row r="84">
          <cell r="D84" t="str">
            <v>HSAS10078</v>
          </cell>
          <cell r="E84" t="str">
            <v>LARYNGOSCOPE C/W 3 BLADES ADULT</v>
          </cell>
        </row>
        <row r="85">
          <cell r="D85" t="str">
            <v>HSAS10079</v>
          </cell>
          <cell r="E85" t="str">
            <v>LARYNGOSCOPE C/W 3 BLADES ADULT</v>
          </cell>
        </row>
        <row r="86">
          <cell r="D86" t="str">
            <v>HSAS10080</v>
          </cell>
          <cell r="E86" t="str">
            <v>MONITOR MODULAR 8-CH ECG/RR/NIBP/SPO2/2TEMP/2IBP</v>
          </cell>
        </row>
        <row r="87">
          <cell r="D87" t="str">
            <v>HSAS10081</v>
          </cell>
          <cell r="E87" t="str">
            <v>LARYNGOSCOPE C/W 3 BLADES ADULT</v>
          </cell>
        </row>
        <row r="88">
          <cell r="D88" t="str">
            <v>HSAS10082</v>
          </cell>
          <cell r="E88" t="str">
            <v>LARYNGOSCOPE C/W 3 BLADES ADULT</v>
          </cell>
        </row>
        <row r="89">
          <cell r="D89" t="str">
            <v>HSAS10083</v>
          </cell>
          <cell r="E89" t="str">
            <v>LARYNGOSCOPE C/W 3 BLADES ADULT</v>
          </cell>
        </row>
        <row r="90">
          <cell r="D90" t="str">
            <v>HSAS10086</v>
          </cell>
          <cell r="E90" t="str">
            <v>LARYNGOSCOPE C/W 3 BLADES ADULT</v>
          </cell>
        </row>
        <row r="91">
          <cell r="D91" t="str">
            <v>HSAS10087</v>
          </cell>
          <cell r="E91" t="str">
            <v>LARYNGOSCOPE C/W 3 BLADES ADULT</v>
          </cell>
        </row>
        <row r="92">
          <cell r="D92" t="str">
            <v>HSAS10090</v>
          </cell>
          <cell r="E92" t="str">
            <v>LARYNGOSCOPE C/W 3 BLADES ADULT</v>
          </cell>
        </row>
        <row r="93">
          <cell r="D93" t="str">
            <v>HSAS10097</v>
          </cell>
          <cell r="E93" t="str">
            <v>PUMP LIQUID MEDIA, ARTHROSCOPY</v>
          </cell>
        </row>
        <row r="94">
          <cell r="D94" t="str">
            <v>HSAS10098 (HSAS13581)</v>
          </cell>
          <cell r="E94" t="str">
            <v>Ortho drill</v>
          </cell>
        </row>
        <row r="95">
          <cell r="D95" t="str">
            <v>HSAS10099 (HSAS13582)</v>
          </cell>
          <cell r="E95" t="str">
            <v>Ortho drill</v>
          </cell>
        </row>
        <row r="96">
          <cell r="D96" t="str">
            <v>HSAS10100 (HSAS13585)</v>
          </cell>
          <cell r="E96" t="str">
            <v>Ortho drill</v>
          </cell>
        </row>
        <row r="97">
          <cell r="D97" t="str">
            <v>HSAS10101</v>
          </cell>
          <cell r="E97" t="str">
            <v>HARMONIC SCALPEL</v>
          </cell>
        </row>
        <row r="98">
          <cell r="D98" t="str">
            <v>KKM/JKN/HSA/062678/H/12/203</v>
          </cell>
          <cell r="E98" t="str">
            <v>MICROSCOPE</v>
          </cell>
        </row>
        <row r="99">
          <cell r="D99" t="str">
            <v xml:space="preserve">KKM/JKN/HSA/10-05-01/H/15/2533 </v>
          </cell>
          <cell r="E99" t="str">
            <v>X-RAY MESIN C ARM</v>
          </cell>
        </row>
        <row r="100">
          <cell r="D100" t="str">
            <v>KKM/JKN/HSA/10-05-01/H/15/4877</v>
          </cell>
          <cell r="E100" t="str">
            <v>LAMP OPERATING MAJOR + SATELLITE C/W UPS</v>
          </cell>
        </row>
        <row r="101">
          <cell r="D101" t="str">
            <v>KKM/JKN/HSA/10-05-01/H/15/4879</v>
          </cell>
          <cell r="E101" t="str">
            <v>LAMP OPERATING MAJOR + SATELLITE C/W UPS</v>
          </cell>
        </row>
        <row r="102">
          <cell r="D102" t="str">
            <v>KKM/JKN/HSA/10-05-01/H/15/4881</v>
          </cell>
          <cell r="E102" t="str">
            <v>LAMP OPERATING MAJOR + SATELLITE C/W UPS</v>
          </cell>
        </row>
        <row r="103">
          <cell r="D103" t="str">
            <v>KKM/JKN/HSA/10-05-01/H/15/4882</v>
          </cell>
          <cell r="E103" t="str">
            <v>LAMP OPERATING MAJOR + SATELLITE C/W UPS</v>
          </cell>
        </row>
        <row r="104">
          <cell r="D104" t="str">
            <v>KKM/JKN/HSA/10-05-01/H/15/4883</v>
          </cell>
          <cell r="E104" t="str">
            <v>LAMP OPERATING MAJOR + SATELLITE C/W UPS</v>
          </cell>
        </row>
        <row r="105">
          <cell r="D105" t="str">
            <v>KKM/JKN/HSA/10-05-01/H/15/5058</v>
          </cell>
          <cell r="E105" t="str">
            <v>VITRECTOMY MICRO UNIT ANT/POST</v>
          </cell>
        </row>
        <row r="106">
          <cell r="D106" t="str">
            <v>KKM/JKN/HSA/10-05-01/H/15/5110</v>
          </cell>
          <cell r="E106" t="str">
            <v>TOURNIQUET PNEUMATIC ONE CUFF</v>
          </cell>
        </row>
        <row r="107">
          <cell r="D107" t="str">
            <v>KKM/JKN/HSA/10-05-01/H/15/5111</v>
          </cell>
          <cell r="E107" t="str">
            <v>TOURNIQUET PNEUMATIC ONE CUFF</v>
          </cell>
        </row>
        <row r="108">
          <cell r="D108" t="str">
            <v>KKM/JKN/HSA/10-05-01/H/16/43</v>
          </cell>
          <cell r="E108" t="str">
            <v>CHOLEDOSCHOPE</v>
          </cell>
        </row>
        <row r="109">
          <cell r="D109" t="str">
            <v>KKM/JKN/HSA/10-05-01/R/15/17357</v>
          </cell>
          <cell r="E109" t="str">
            <v>VIDEO RECORDER</v>
          </cell>
        </row>
        <row r="110">
          <cell r="D110" t="str">
            <v>KKM/JKN/HSA/10-05-01/R/15/17358</v>
          </cell>
          <cell r="E110" t="str">
            <v>VIDEO RECORDER</v>
          </cell>
        </row>
        <row r="111">
          <cell r="D111" t="str">
            <v>KKM/JKN/HSA/10-05-01/R/15/6818</v>
          </cell>
          <cell r="E111" t="str">
            <v>LIGHT GUIDE 3.5MM</v>
          </cell>
        </row>
        <row r="112">
          <cell r="D112" t="str">
            <v>KKM/JKN/HSA/10-05-01/R/15/6819</v>
          </cell>
          <cell r="E112" t="str">
            <v>LIGHT GUIDE 3.5MM</v>
          </cell>
        </row>
        <row r="113">
          <cell r="D113" t="str">
            <v>KKM/JKN/HSA/10-05-01/R/15/6821</v>
          </cell>
          <cell r="E113" t="str">
            <v>LIGHT GUIDE 3.5MM</v>
          </cell>
        </row>
        <row r="114">
          <cell r="D114" t="str">
            <v>KKM/JKN/HSA/10-05-01/R/15/7338</v>
          </cell>
          <cell r="E114" t="str">
            <v>SUCTION UNIT TWIN JAR PIPELINE</v>
          </cell>
        </row>
        <row r="115">
          <cell r="D115" t="str">
            <v>KKM/JKN/HSA/10-05-01/R/15/7340</v>
          </cell>
          <cell r="E115" t="str">
            <v>SUCTION UNIT TWIN JAR PIPELINE</v>
          </cell>
        </row>
        <row r="116">
          <cell r="D116" t="str">
            <v>KKM/JKN/HSA/10-05-01/R/15/7341</v>
          </cell>
          <cell r="E116" t="str">
            <v>SUCTION UNIT TWIN JAR PIPELINE</v>
          </cell>
        </row>
        <row r="117">
          <cell r="D117" t="str">
            <v>HSAS10055</v>
          </cell>
          <cell r="E117" t="str">
            <v>PATIENT MONITORING EQUIP.(AUTOMATIC MULTIPARAMETER)</v>
          </cell>
        </row>
        <row r="118">
          <cell r="D118" t="str">
            <v>HSAS10058</v>
          </cell>
          <cell r="E118" t="str">
            <v>PATIENT MONITORING EQUIP.(AUTOMATIC MULTIPARAMETER)</v>
          </cell>
        </row>
        <row r="119">
          <cell r="D119" t="str">
            <v>HSAS10063</v>
          </cell>
          <cell r="E119" t="str">
            <v>PATIENT MONITORING EQUIP.(AUTOMATIC MULTIPARAMETER)</v>
          </cell>
        </row>
        <row r="120">
          <cell r="D120" t="str">
            <v>HSAS10071</v>
          </cell>
          <cell r="E120" t="str">
            <v>PATIENT MONITORING EQUIP.(AUTOMATIC MULTIPARAMETER)</v>
          </cell>
        </row>
        <row r="121">
          <cell r="D121" t="str">
            <v>HSAS10072</v>
          </cell>
          <cell r="E121" t="str">
            <v>PATIENT MONITORING EQUIP.(AUTOMATIC MULTIPARAMETER)</v>
          </cell>
        </row>
        <row r="122">
          <cell r="D122" t="str">
            <v>HSAS10084</v>
          </cell>
          <cell r="E122" t="str">
            <v>PATIENT MONITORING EQUIP.(AUTOMATIC MULTIPARAMETER)</v>
          </cell>
        </row>
        <row r="123">
          <cell r="D123" t="str">
            <v>HSAS10085</v>
          </cell>
          <cell r="E123" t="str">
            <v>PATIENT MONITORING EQUIP.(AUTOMATIC MULTIPARAMETER)</v>
          </cell>
        </row>
        <row r="124">
          <cell r="D124" t="str">
            <v>KKM/JKN/HSA/10-01-01/H/15/1328</v>
          </cell>
          <cell r="E124" t="str">
            <v>LIGHT SOURCE XENON 300 WATTS</v>
          </cell>
        </row>
        <row r="125">
          <cell r="D125" t="str">
            <v>KKM/JKN/HSA/10-01-01/H/15/1332</v>
          </cell>
          <cell r="E125" t="str">
            <v>LIGHT SOURCE XENON 300 WATTS</v>
          </cell>
        </row>
        <row r="126">
          <cell r="D126" t="str">
            <v>KKM/JKN/HSA/10-05-01/H/14/1</v>
          </cell>
          <cell r="E126" t="str">
            <v>ULTRASOUND SCANNER</v>
          </cell>
        </row>
        <row r="127">
          <cell r="D127" t="str">
            <v>KKM/JKN/HSA/10-05-01/H/14/2</v>
          </cell>
          <cell r="E127" t="str">
            <v>ULTRASOUND SCANNER</v>
          </cell>
        </row>
        <row r="128">
          <cell r="D128" t="str">
            <v>KKM/JKN/HSA/10-05-01/H/15/1023</v>
          </cell>
          <cell r="E128" t="str">
            <v>PATIENT MONITORING EQUIP.(AUTOMATIC MULTIPARAMETER)</v>
          </cell>
        </row>
        <row r="129">
          <cell r="D129" t="str">
            <v>KKM/JKN/HSA/10-05-01/H/15/1056</v>
          </cell>
          <cell r="E129" t="str">
            <v>PATIENT MONITORING EQUIP.(AUTOMATIC MULTIPARAMETER)</v>
          </cell>
        </row>
        <row r="130">
          <cell r="D130" t="str">
            <v>KKM/JKN/HSA/10-05-01/H/15/1057</v>
          </cell>
          <cell r="E130" t="str">
            <v>PATIENT MONITORING EQUIP.(AUTOMATIC MULTIPARAMETER)</v>
          </cell>
        </row>
        <row r="131">
          <cell r="D131" t="str">
            <v>KKM/JKN/HSA/10-05-01/H/15/1058</v>
          </cell>
          <cell r="E131" t="str">
            <v>PATIENT MONITORING EQUIP.(AUTOMATIC MULTIPARAMETER)</v>
          </cell>
        </row>
        <row r="132">
          <cell r="D132" t="str">
            <v>KKM/JKN/HSA/10-05-01/H/15/1059</v>
          </cell>
          <cell r="E132" t="str">
            <v>PATIENT MONITORING EQUIP.(AUTOMATIC MULTIPARAMETER)</v>
          </cell>
        </row>
        <row r="133">
          <cell r="D133" t="str">
            <v>KKM/JKN/HSA/10-05-01/H/15/1060</v>
          </cell>
          <cell r="E133" t="str">
            <v>PATIENT MONITORING EQUIP.(AUTOMATIC MULTIPARAMETER)</v>
          </cell>
        </row>
        <row r="134">
          <cell r="D134" t="str">
            <v>KKM/JKN/HSA/10-05-01/H/15/1061</v>
          </cell>
          <cell r="E134" t="str">
            <v>PATIENT MONITORING EQUIP.(AUTOMATIC MULTIPARAMETER)</v>
          </cell>
        </row>
        <row r="135">
          <cell r="D135" t="str">
            <v>KKM/JKN/HSA/10-05-01/H/15/1062</v>
          </cell>
          <cell r="E135" t="str">
            <v>PATIENT MONITORING EQUIP.(AUTOMATIC MULTIPARAMETER)</v>
          </cell>
        </row>
        <row r="136">
          <cell r="D136" t="str">
            <v>KKM/JKN/HSA/10-05-01/H/15/1063</v>
          </cell>
          <cell r="E136" t="str">
            <v>PATIENT MONITORING EQUIP.(AUTOMATIC MULTIPARAMETER)</v>
          </cell>
        </row>
        <row r="137">
          <cell r="D137" t="str">
            <v>KKM/JKN/HSA/10-05-01/H/15/1093</v>
          </cell>
          <cell r="E137" t="str">
            <v>SUCTION APPARATUS</v>
          </cell>
        </row>
        <row r="138">
          <cell r="D138" t="str">
            <v>KKM/JKN/HSA/10-05-01/H/15/1130</v>
          </cell>
          <cell r="E138" t="str">
            <v>SUCTION APPARATUS</v>
          </cell>
        </row>
        <row r="139">
          <cell r="D139" t="str">
            <v>KKM/JKN/HSA/10-05-01/H/15/1131</v>
          </cell>
          <cell r="E139" t="str">
            <v>SUCTION APPARATUS</v>
          </cell>
        </row>
        <row r="140">
          <cell r="D140" t="str">
            <v>KKM/JKN/HSA/10-05-01/H/15/1132</v>
          </cell>
          <cell r="E140" t="str">
            <v>SUCTION APPARATUS</v>
          </cell>
        </row>
        <row r="141">
          <cell r="D141" t="str">
            <v>KKM/JKN/HSA/10-05-01/H/15/1134</v>
          </cell>
          <cell r="E141" t="str">
            <v>VACUUM REGULATOR PORATBLE</v>
          </cell>
        </row>
        <row r="142">
          <cell r="D142" t="str">
            <v>KKM/JKN/HSA/10-05-01/H/15/1135</v>
          </cell>
          <cell r="E142" t="str">
            <v>SUCTION APPARATUS</v>
          </cell>
        </row>
        <row r="143">
          <cell r="D143" t="str">
            <v>KKM/JKN/HSA/10-05-01/H/15/1136</v>
          </cell>
          <cell r="E143" t="str">
            <v>SUCTION APPARATUS</v>
          </cell>
        </row>
        <row r="144">
          <cell r="D144" t="str">
            <v>KKM/JKN/HSA/10-05-01/H/15/1137</v>
          </cell>
          <cell r="E144" t="str">
            <v>SUCTION APPARATUS</v>
          </cell>
        </row>
        <row r="145">
          <cell r="D145" t="str">
            <v>KKM/JKN/HSA/10-05-01/H/15/1138</v>
          </cell>
          <cell r="E145" t="str">
            <v>VACUUM REGULATOR PORATBLE</v>
          </cell>
        </row>
        <row r="146">
          <cell r="D146" t="str">
            <v>KKM/JKN/HSA/10-05-01/H/15/1139</v>
          </cell>
          <cell r="E146" t="str">
            <v>SUCTION APPARATUS</v>
          </cell>
        </row>
        <row r="147">
          <cell r="D147" t="str">
            <v>KKM/JKN/HSA/10-05-01/H/15/1166</v>
          </cell>
          <cell r="E147" t="str">
            <v>SURGICAL MICROSCOPE</v>
          </cell>
        </row>
        <row r="148">
          <cell r="D148" t="str">
            <v>KKM/JKN/HSA/10-05-01/H/15/1276</v>
          </cell>
          <cell r="E148" t="str">
            <v>OPERATION TABLE</v>
          </cell>
        </row>
        <row r="149">
          <cell r="D149" t="str">
            <v>KKM/JKN/HSA/10-05-01/H/15/1277</v>
          </cell>
          <cell r="E149" t="str">
            <v>OPERATION TABLE</v>
          </cell>
        </row>
        <row r="150">
          <cell r="D150" t="str">
            <v>KKM/JKN/HSA/10-05-01/H/15/1278</v>
          </cell>
          <cell r="E150" t="str">
            <v>OPERATION TABLE</v>
          </cell>
        </row>
        <row r="151">
          <cell r="D151" t="str">
            <v>KKM/JKN/HSA/10-05-01/H/15/1330</v>
          </cell>
          <cell r="E151" t="str">
            <v>LIGHT SOURCE</v>
          </cell>
        </row>
        <row r="152">
          <cell r="D152" t="str">
            <v>KKM/JKN/HSA/10-05-01/H/15/1584</v>
          </cell>
          <cell r="E152" t="str">
            <v>INFANT WARMER (RADIANT)</v>
          </cell>
        </row>
        <row r="153">
          <cell r="D153" t="str">
            <v>KKM/JKN/HSA/10-05-01/H/15/1595</v>
          </cell>
          <cell r="E153" t="str">
            <v>PATIENT MONITORING EQUIP.(AUTOMATIC MULTIPARAMETER)</v>
          </cell>
        </row>
        <row r="154">
          <cell r="D154" t="str">
            <v>KKM/JKN/HSA/10-05-01/H/15/1656</v>
          </cell>
          <cell r="E154" t="str">
            <v>GASTROINTESTINAL VEDIOSCOPE / GASTROSCOPE</v>
          </cell>
        </row>
        <row r="155">
          <cell r="D155" t="str">
            <v>KKM/JKN/HSA/10-05-01/H/15/1699</v>
          </cell>
          <cell r="E155" t="str">
            <v>INSUFFLATOR</v>
          </cell>
        </row>
        <row r="156">
          <cell r="D156" t="str">
            <v>KKM/JKN/HSA/10-05-01/H/15/1700</v>
          </cell>
          <cell r="E156" t="str">
            <v>INSUFFLATOR</v>
          </cell>
        </row>
        <row r="157">
          <cell r="D157" t="str">
            <v>KKM/JKN/HSA/10-05-01/H/15/2124</v>
          </cell>
          <cell r="E157" t="str">
            <v>PATIENT MONITORING EQUIP.(AUTOMATIC MULTIPARAMETER)</v>
          </cell>
        </row>
        <row r="158">
          <cell r="D158" t="str">
            <v>KKM/JKN/HSA/10-05-01/H/15/2125</v>
          </cell>
          <cell r="E158" t="str">
            <v>PATIENT MONITORING EQUIP.(AUTOMATIC MULTIPARAMETER)</v>
          </cell>
        </row>
        <row r="159">
          <cell r="D159" t="str">
            <v>KKM/JKN/HSA/10-05-01/H/15/2149</v>
          </cell>
          <cell r="E159" t="str">
            <v>SUCTION APPARATUS</v>
          </cell>
        </row>
        <row r="160">
          <cell r="D160" t="str">
            <v>KKM/JKN/HSA/10-05-01/H/15/2150</v>
          </cell>
          <cell r="E160" t="str">
            <v>SUCTION APPARATUS</v>
          </cell>
        </row>
        <row r="161">
          <cell r="D161" t="str">
            <v>KKM/JKN/HSA/10-05-01/H/15/2413</v>
          </cell>
          <cell r="E161" t="str">
            <v>OPERATION TABLE</v>
          </cell>
        </row>
        <row r="162">
          <cell r="D162" t="str">
            <v>KKM/JKN/HSA/10-05-01/H/15/2414</v>
          </cell>
          <cell r="E162" t="str">
            <v>OPERATION TABLE</v>
          </cell>
        </row>
        <row r="163">
          <cell r="D163" t="str">
            <v>KKM/JKN/HSA/10-05-01/H/15/2415</v>
          </cell>
          <cell r="E163" t="str">
            <v>OPERATION TABLE</v>
          </cell>
        </row>
        <row r="164">
          <cell r="D164" t="str">
            <v>KKM/JKN/HSA/10-05-01/H/15/2416</v>
          </cell>
          <cell r="E164" t="str">
            <v>OPERATION TABLE</v>
          </cell>
        </row>
        <row r="165">
          <cell r="D165" t="str">
            <v>KKM/JKN/HSA/10-05-01/H/15/2417</v>
          </cell>
          <cell r="E165" t="str">
            <v>OPERATION TABLE</v>
          </cell>
        </row>
        <row r="166">
          <cell r="D166" t="str">
            <v>KKM/JKN/HSA/10-05-01/H/15/2418</v>
          </cell>
          <cell r="E166" t="str">
            <v>OPERATION TABLE</v>
          </cell>
        </row>
        <row r="167">
          <cell r="D167" t="str">
            <v>KKM/JKN/HSA/10-05-01/H/15/2439</v>
          </cell>
          <cell r="E167" t="str">
            <v>PATIENT WARMER (BLANKET)</v>
          </cell>
        </row>
        <row r="168">
          <cell r="D168" t="str">
            <v>KKM/JKN/HSA/10-05-01/H/15/2440</v>
          </cell>
          <cell r="E168" t="str">
            <v>WARMER BLANKET</v>
          </cell>
        </row>
        <row r="169">
          <cell r="D169" t="str">
            <v>KKM/JKN/HSA/10-05-01/H/15/2441</v>
          </cell>
          <cell r="E169" t="str">
            <v>PATIENT WARMER (BLANKET)</v>
          </cell>
        </row>
        <row r="170">
          <cell r="D170" t="str">
            <v>KKM/JKN/HSA/10-05-01/H/15/2442</v>
          </cell>
          <cell r="E170" t="str">
            <v>PATIENT WARMER (BLANKET)</v>
          </cell>
        </row>
        <row r="171">
          <cell r="D171" t="str">
            <v>KKM/JKN/HSA/10-05-01/H/15/2443</v>
          </cell>
          <cell r="E171" t="str">
            <v>PATIENT WARMER (BLANKET)</v>
          </cell>
        </row>
        <row r="172">
          <cell r="D172" t="str">
            <v>KKM/JKN/HSA/10-05-01/H/15/2444</v>
          </cell>
          <cell r="E172" t="str">
            <v>PATIENT WARMER (BLANKET)</v>
          </cell>
        </row>
        <row r="173">
          <cell r="D173" t="str">
            <v>KKM/JKN/HSA/10-05-01/H/15/2445</v>
          </cell>
          <cell r="E173" t="str">
            <v>PATIENT WARMER (BLANKET)</v>
          </cell>
        </row>
        <row r="174">
          <cell r="D174" t="str">
            <v>KKM/JKN/HSA/10-05-01/H/15/2446</v>
          </cell>
          <cell r="E174" t="str">
            <v>PATIENT WARMER (BLANKET)</v>
          </cell>
        </row>
        <row r="175">
          <cell r="D175" t="str">
            <v>KKM/JKN/HSA/10-05-01/H/15/2447</v>
          </cell>
          <cell r="E175" t="str">
            <v>PATIENT WARMER (BLANKET)</v>
          </cell>
        </row>
        <row r="176">
          <cell r="D176" t="str">
            <v>KKM/JKN/HSA/10-05-01/H/15/2448</v>
          </cell>
          <cell r="E176" t="str">
            <v>PATIENT WARMER (BLANKET)</v>
          </cell>
        </row>
        <row r="177">
          <cell r="D177" t="str">
            <v>KKM/JKN/HSA/10-05-01/H/15/2449</v>
          </cell>
          <cell r="E177" t="str">
            <v>PATIENT WARMER (BLANKET)</v>
          </cell>
        </row>
        <row r="178">
          <cell r="D178" t="str">
            <v>KKM/JKN/HSA/10-05-01/H/15/2450</v>
          </cell>
          <cell r="E178" t="str">
            <v>PATIENT WARMER (BLANKET)</v>
          </cell>
        </row>
        <row r="179">
          <cell r="D179" t="str">
            <v>KKM/JKN/HSA/10-05-01/H/15/2451</v>
          </cell>
          <cell r="E179" t="str">
            <v>PATIENT WARMER (BLANKET)</v>
          </cell>
        </row>
        <row r="180">
          <cell r="D180" t="str">
            <v>KKM/JKN/HSA/10-05-01/H/15/2452</v>
          </cell>
          <cell r="E180" t="str">
            <v>PATIENT WARMER (BLANKET)</v>
          </cell>
        </row>
        <row r="181">
          <cell r="D181" t="str">
            <v>KKM/JKN/HSA/10-05-01/H/15/2475</v>
          </cell>
          <cell r="E181" t="str">
            <v>HEADLIGHTS</v>
          </cell>
        </row>
        <row r="182">
          <cell r="D182" t="str">
            <v>KKM/JKN/HSA/10-05-01/H/15/306</v>
          </cell>
          <cell r="E182" t="str">
            <v>VENTILATOR</v>
          </cell>
        </row>
        <row r="183">
          <cell r="D183" t="str">
            <v>KKM/JKN/HSA/10-05-01/H/15/307</v>
          </cell>
          <cell r="E183" t="str">
            <v>VENTILATOR</v>
          </cell>
        </row>
        <row r="184">
          <cell r="D184" t="str">
            <v>KKM/JKN/HSA/10-05-01/H/15/330</v>
          </cell>
          <cell r="E184" t="str">
            <v>ANESTHESIA MACHINE/UNIT</v>
          </cell>
        </row>
        <row r="185">
          <cell r="D185" t="str">
            <v>KKM/JKN/HSA/10-05-01/H/15/331</v>
          </cell>
          <cell r="E185" t="str">
            <v>ANESTHESIA MACHINE/UNIT</v>
          </cell>
        </row>
        <row r="186">
          <cell r="D186" t="str">
            <v>KKM/JKN/HSA/10-05-01/H/15/332</v>
          </cell>
          <cell r="E186" t="str">
            <v>ANESTHESIA MACHINE/UNIT</v>
          </cell>
        </row>
        <row r="187">
          <cell r="D187" t="str">
            <v>KKM/JKN/HSA/10-05-01/H/15/333</v>
          </cell>
          <cell r="E187" t="str">
            <v>ANESTHESIA MACHINE/UNIT</v>
          </cell>
        </row>
        <row r="188">
          <cell r="D188" t="str">
            <v>KKM/JKN/HSA/10-05-01/H/15/334</v>
          </cell>
          <cell r="E188" t="str">
            <v>ANESTHESIA MACHINE/UNIT</v>
          </cell>
        </row>
        <row r="189">
          <cell r="D189" t="str">
            <v>KKM/JKN/HSA/10-05-01/H/15/335</v>
          </cell>
          <cell r="E189" t="str">
            <v>ANESTHESIA MACHINE/UNIT</v>
          </cell>
        </row>
        <row r="190">
          <cell r="D190" t="str">
            <v>KKM/JKN/HSA/10-05-01/H/15/336</v>
          </cell>
          <cell r="E190" t="str">
            <v>ANESTHESIA MACHINE/UNIT</v>
          </cell>
        </row>
        <row r="191">
          <cell r="D191" t="str">
            <v>KKM/JKN/HSA/10-05-01/H/15/337</v>
          </cell>
          <cell r="E191" t="str">
            <v>ANESTHESIA MACHINE/UNIT</v>
          </cell>
        </row>
        <row r="192">
          <cell r="D192" t="str">
            <v>KKM/JKN/HSA/10-05-01/H/15/338</v>
          </cell>
          <cell r="E192" t="str">
            <v>ELECTRICAL NERVE STIMULATOR</v>
          </cell>
        </row>
        <row r="193">
          <cell r="D193" t="str">
            <v>KKM/JKN/HSA/10-05-01/H/15/339</v>
          </cell>
          <cell r="E193" t="str">
            <v>ELECTRICAL NERVE STIMULATOR</v>
          </cell>
        </row>
        <row r="194">
          <cell r="D194" t="str">
            <v>KKM/JKN/HSA/10-05-01/H/15/340</v>
          </cell>
          <cell r="E194" t="str">
            <v>ELECTRICAL NERVE STIMULATOR</v>
          </cell>
        </row>
        <row r="195">
          <cell r="D195" t="str">
            <v>KKM/JKN/HSA/10-05-01/H/15/341</v>
          </cell>
          <cell r="E195" t="str">
            <v>ELECTRICAL NERVE STIMULATOR</v>
          </cell>
        </row>
        <row r="196">
          <cell r="D196" t="str">
            <v>KKM/JKN/HSA/10-05-01/H/15/342</v>
          </cell>
          <cell r="E196" t="str">
            <v>ELECTRICAL NERVE STIMULATOR</v>
          </cell>
        </row>
        <row r="197">
          <cell r="D197" t="str">
            <v>KKM/JKN/HSA/10-05-01/H/15/3631</v>
          </cell>
          <cell r="E197" t="str">
            <v>ORTHOPEDIC GRAP DRILL</v>
          </cell>
        </row>
        <row r="198">
          <cell r="D198" t="str">
            <v>KKM/JKN/HSA/10-05-01/H/15/3632</v>
          </cell>
          <cell r="E198" t="str">
            <v>ORTHOPEDIC GRAP DRILL</v>
          </cell>
        </row>
        <row r="199">
          <cell r="D199" t="str">
            <v>KKM/JKN/HSA/10-05-01/H/15/3633</v>
          </cell>
          <cell r="E199" t="str">
            <v>ORTHOPEDIC GRAP DRILL</v>
          </cell>
        </row>
        <row r="200">
          <cell r="D200" t="str">
            <v>KKM/JKN/HSA/10-05-01/H/15/3674</v>
          </cell>
          <cell r="E200" t="str">
            <v>DEFIBRILLATOR</v>
          </cell>
        </row>
        <row r="201">
          <cell r="D201" t="str">
            <v>KKM/JKN/HSA/10-05-01/H/15/3675</v>
          </cell>
          <cell r="E201" t="str">
            <v>DEFIBRILLATOR</v>
          </cell>
        </row>
        <row r="202">
          <cell r="D202" t="str">
            <v>KKM/JKN/HSA/10-05-01/H/15/4134</v>
          </cell>
          <cell r="E202" t="str">
            <v>PATIENT MONITORING EQUIP.(AUTOMATIC MULTIPARAMETER)</v>
          </cell>
        </row>
        <row r="203">
          <cell r="D203" t="str">
            <v>KKM/JKN/HSA/10-05-01/H/15/4135</v>
          </cell>
          <cell r="E203" t="str">
            <v>PATIENT MONITORING EQUIP.(AUTOMATIC MULTIPARAMETER)</v>
          </cell>
        </row>
        <row r="204">
          <cell r="D204" t="str">
            <v>KKM/JKN/HSA/10-05-01/H/15/4136</v>
          </cell>
          <cell r="E204" t="str">
            <v>PATIENT MONITORING EQUIP.(AUTOMATIC MULTIPARAMETER)</v>
          </cell>
        </row>
        <row r="205">
          <cell r="D205" t="str">
            <v>KKM/JKN/HSA/10-05-01/H/15/4137</v>
          </cell>
          <cell r="E205" t="str">
            <v>PATIENT MONITORING EQUIP.(AUTOMATIC MULTIPARAMETER)</v>
          </cell>
        </row>
        <row r="206">
          <cell r="D206" t="str">
            <v>KKM/JKN/HSA/10-05-01/H/15/4138</v>
          </cell>
          <cell r="E206" t="str">
            <v>PATIENT MONITORING EQUIP.(AUTOMATIC MULTIPARAMETER)</v>
          </cell>
        </row>
        <row r="207">
          <cell r="D207" t="str">
            <v>KKM/JKN/HSA/10-05-01/H/15/4139</v>
          </cell>
          <cell r="E207" t="str">
            <v>PATIENT MONITORING EQUIP.(AUTOMATIC MULTIPARAMETER)</v>
          </cell>
        </row>
        <row r="208">
          <cell r="D208" t="str">
            <v>KKM/JKN/HSA/10-05-01/H/15/4140</v>
          </cell>
          <cell r="E208" t="str">
            <v>PATIENT MONITORING EQUIP.(AUTOMATIC MULTIPARAMETER)</v>
          </cell>
        </row>
        <row r="209">
          <cell r="D209" t="str">
            <v>KKM/JKN/HSA/10-05-01/H/15/4263</v>
          </cell>
          <cell r="E209" t="str">
            <v>BLOOD FLUID WARMER</v>
          </cell>
        </row>
        <row r="210">
          <cell r="D210" t="str">
            <v>KKM/JKN/HSA/10-05-01/H/15/4265</v>
          </cell>
          <cell r="E210" t="str">
            <v>BLOOD FLUID WARMER</v>
          </cell>
        </row>
        <row r="211">
          <cell r="D211" t="str">
            <v>KKM/JKN/HSA/10-05-01/H/15/4266</v>
          </cell>
          <cell r="E211" t="str">
            <v>BLOOD FLUID WARMER</v>
          </cell>
        </row>
        <row r="212">
          <cell r="D212" t="str">
            <v>KKM/JKN/HSA/10-05-01/H/15/4268</v>
          </cell>
          <cell r="E212" t="str">
            <v>BLOOD FLUID WARMER</v>
          </cell>
        </row>
        <row r="213">
          <cell r="D213" t="str">
            <v>KKM/JKN/HSA/10-05-01/H/15/4269</v>
          </cell>
          <cell r="E213" t="str">
            <v>BLOOD FLUID WARMER</v>
          </cell>
        </row>
        <row r="214">
          <cell r="D214" t="str">
            <v>KKM/JKN/HSA/10-05-01/H/15/4272</v>
          </cell>
          <cell r="E214" t="str">
            <v>BLOOD FLUID WARMER</v>
          </cell>
        </row>
        <row r="215">
          <cell r="D215" t="str">
            <v>KKM/JKN/HSA/10-05-01/H/15/4273</v>
          </cell>
          <cell r="E215" t="str">
            <v>BLOOD FLUID WARMER</v>
          </cell>
        </row>
        <row r="216">
          <cell r="D216" t="str">
            <v>KKM/JKN/HSA/10-05-01/H/15/434</v>
          </cell>
          <cell r="E216" t="str">
            <v>SMOKE EVACUATOR</v>
          </cell>
        </row>
        <row r="217">
          <cell r="D217" t="str">
            <v>KKM/JKN/HSA/10-05-01/H/15/4876</v>
          </cell>
          <cell r="E217" t="str">
            <v>OPERATION LIGHT</v>
          </cell>
        </row>
        <row r="218">
          <cell r="D218" t="str">
            <v>KKM/JKN/HSA/10-05-01/H/15/4878</v>
          </cell>
          <cell r="E218" t="str">
            <v>OPERATION LIGHT</v>
          </cell>
        </row>
        <row r="219">
          <cell r="D219" t="str">
            <v>KKM/JKN/HSA/10-05-01/H/15/4880</v>
          </cell>
          <cell r="E219" t="str">
            <v>OPERATION LIGHT</v>
          </cell>
        </row>
        <row r="220">
          <cell r="D220" t="str">
            <v>KKM/JKN/HSA/10-05-01/H/15/4931</v>
          </cell>
          <cell r="E220" t="str">
            <v>ELECTROSURGICAL UNIT</v>
          </cell>
        </row>
        <row r="221">
          <cell r="D221" t="str">
            <v>KKM/JKN/HSA/10-05-01/H/15/4932</v>
          </cell>
          <cell r="E221" t="str">
            <v>ELECTROSURGICAL UNIT</v>
          </cell>
        </row>
        <row r="222">
          <cell r="D222" t="str">
            <v>KKM/JKN/HSA/10-05-01/H/15/4933</v>
          </cell>
          <cell r="E222" t="str">
            <v>ELECTROSURGICAL UNIT</v>
          </cell>
        </row>
        <row r="223">
          <cell r="D223" t="str">
            <v>KKM/JKN/HSA/10-05-01/H/15/4934</v>
          </cell>
          <cell r="E223" t="str">
            <v>ELECTROSURGICAL UNIT</v>
          </cell>
        </row>
        <row r="224">
          <cell r="D224" t="str">
            <v>KKM/JKN/HSA/10-05-01/H/15/4935</v>
          </cell>
          <cell r="E224" t="str">
            <v>ELECTROSURGICAL UNIT</v>
          </cell>
        </row>
        <row r="225">
          <cell r="D225" t="str">
            <v>KKM/JKN/HSA/10-05-01/H/15/4936</v>
          </cell>
          <cell r="E225" t="str">
            <v>ELECTROSURGICAL UNIT</v>
          </cell>
        </row>
        <row r="226">
          <cell r="D226" t="str">
            <v>KKM/JKN/HSA/10-05-01/H/15/4937</v>
          </cell>
          <cell r="E226" t="str">
            <v>ELECTROSURGICAL UNIT</v>
          </cell>
        </row>
        <row r="227">
          <cell r="D227" t="str">
            <v>KKM/JKN/HSA/10-05-01/H/15/4938</v>
          </cell>
          <cell r="E227" t="str">
            <v>ELECTROSURGICAL UNIT</v>
          </cell>
        </row>
        <row r="228">
          <cell r="D228" t="str">
            <v>KKM/JKN/HSA/10-05-01/H/15/5109</v>
          </cell>
          <cell r="E228" t="str">
            <v>TORNIQUET</v>
          </cell>
        </row>
        <row r="229">
          <cell r="D229" t="str">
            <v>KKM/JKN/HSA/10-05-01/H/15/570</v>
          </cell>
          <cell r="E229" t="str">
            <v>ELECTROCARDIOGRAPH</v>
          </cell>
        </row>
        <row r="230">
          <cell r="D230" t="str">
            <v>KKM/JKN/HSA/10-05-01/H/15/584</v>
          </cell>
          <cell r="E230" t="str">
            <v>PATIENT MONITORING EQUIP.(AUTOMATIC MULTIPARAMETER)</v>
          </cell>
        </row>
        <row r="231">
          <cell r="D231" t="str">
            <v>KKM/JKN/HSA/10-05-01/H/15/597</v>
          </cell>
          <cell r="E231" t="str">
            <v>SYRINGE INFUSION PUMP</v>
          </cell>
        </row>
        <row r="232">
          <cell r="D232" t="str">
            <v>KKM/JKN/HSA/10-05-01/H/15/598</v>
          </cell>
          <cell r="E232" t="str">
            <v>SYRINGE INFUSION PUMP</v>
          </cell>
        </row>
        <row r="233">
          <cell r="D233" t="str">
            <v>KKM/JKN/HSA/10-05-01/H/15/599</v>
          </cell>
          <cell r="E233" t="str">
            <v>SYRINGE INFUSION PUMP</v>
          </cell>
        </row>
        <row r="234">
          <cell r="D234" t="str">
            <v>KKM/JKN/HSA/10-05-01/H/15/609</v>
          </cell>
          <cell r="E234" t="str">
            <v>SYRINGE INFUSION PUMP</v>
          </cell>
        </row>
        <row r="235">
          <cell r="D235" t="str">
            <v>KKM/JKN/HSA/10-05-01/H/15/610</v>
          </cell>
          <cell r="E235" t="str">
            <v>SYRINGE INFUSION PUMP</v>
          </cell>
        </row>
        <row r="236">
          <cell r="D236" t="str">
            <v>KKM/JKN/HSA/10-05-01/H/15/612</v>
          </cell>
          <cell r="E236" t="str">
            <v>SYRINGE INFUSION PUMP</v>
          </cell>
        </row>
        <row r="237">
          <cell r="D237" t="str">
            <v>KKM/JKN/HSA/10-05-01/H/15/614</v>
          </cell>
          <cell r="E237" t="str">
            <v>SYRINGE INFUSION PUMP</v>
          </cell>
        </row>
        <row r="238">
          <cell r="D238" t="str">
            <v>KKM/JKN/HSA/10-05-01/H/15/616</v>
          </cell>
          <cell r="E238" t="str">
            <v>SYRINGE INFUSION PUMP</v>
          </cell>
        </row>
        <row r="239">
          <cell r="D239" t="str">
            <v>KKM/JKN/HSA/10-05-01/H/15/617</v>
          </cell>
          <cell r="E239" t="str">
            <v>SYRINGE INFUSION PUMP</v>
          </cell>
        </row>
        <row r="240">
          <cell r="D240" t="str">
            <v>KKM/JKN/HSA/10-05-01/H/15/942</v>
          </cell>
          <cell r="E240" t="str">
            <v>SYRINGE INFUSION PUMP</v>
          </cell>
        </row>
        <row r="241">
          <cell r="D241" t="str">
            <v>KKM/JKN/HSA/10-05-01/H/15/943</v>
          </cell>
          <cell r="E241" t="str">
            <v>SYRINGE INFUSION PUMP</v>
          </cell>
        </row>
        <row r="242">
          <cell r="D242" t="str">
            <v>KKM/JKN/HSA/10-05-01/H/15/944</v>
          </cell>
          <cell r="E242" t="str">
            <v>SYRINGE INFUSION PUMP</v>
          </cell>
        </row>
        <row r="243">
          <cell r="D243" t="str">
            <v>KKM/JKN/HSA/10-05-01/H/15/945</v>
          </cell>
          <cell r="E243" t="str">
            <v>SYRINGE INFUSION PUMP</v>
          </cell>
        </row>
        <row r="244">
          <cell r="D244" t="str">
            <v>KKM/JKN/HSA/10-05-01/H/15/954</v>
          </cell>
          <cell r="E244" t="str">
            <v>BLOOD FLUID WARMER</v>
          </cell>
        </row>
        <row r="245">
          <cell r="D245" t="str">
            <v>KKM/JKN/HSA/10-05-01/H/15/964</v>
          </cell>
          <cell r="E245" t="str">
            <v>ELECTROENCEPHALOGRAM (EEG MONITOR)</v>
          </cell>
        </row>
        <row r="246">
          <cell r="D246" t="str">
            <v>KKM/JKN/HSA/10-05-01/H/15/965</v>
          </cell>
          <cell r="E246" t="str">
            <v>ELECTROENCEPHALOGRAM (EEG MONITOR)</v>
          </cell>
        </row>
        <row r="247">
          <cell r="D247" t="str">
            <v>KKM/JKN/HSA/10-05-01/H/15/985</v>
          </cell>
          <cell r="E247" t="str">
            <v>ELECTROSURGICAL UNIT</v>
          </cell>
        </row>
        <row r="248">
          <cell r="D248" t="str">
            <v>KKM/JKN/HSA/10-05-01/H/15/987</v>
          </cell>
          <cell r="E248" t="str">
            <v>LAPAROSCOPE</v>
          </cell>
        </row>
        <row r="249">
          <cell r="D249" t="str">
            <v>KKM/JKN/HSA/10-05-01/H/16/174</v>
          </cell>
          <cell r="E249" t="str">
            <v xml:space="preserve">EYEMAG LOUPE </v>
          </cell>
        </row>
        <row r="250">
          <cell r="D250" t="str">
            <v>KKM/JKN/HSA/10-05-01/H/16/20</v>
          </cell>
          <cell r="E250" t="str">
            <v>SINUSCOPE SET</v>
          </cell>
        </row>
        <row r="251">
          <cell r="D251" t="str">
            <v>KKM/JKN/HSA/10-05-01/H/16/21</v>
          </cell>
          <cell r="E251" t="str">
            <v>SINUSCOPE SET</v>
          </cell>
        </row>
        <row r="252">
          <cell r="D252" t="str">
            <v>KKM/JKN/HSA/10-05-01/H/16/41</v>
          </cell>
          <cell r="E252" t="str">
            <v>CYSTOSCOPE</v>
          </cell>
        </row>
        <row r="253">
          <cell r="D253" t="str">
            <v>KKM/JKN/HSA/10-05-01/H/16/42</v>
          </cell>
          <cell r="E253" t="str">
            <v>CYSTOSCOPE</v>
          </cell>
        </row>
        <row r="254">
          <cell r="D254" t="str">
            <v>KKM/JKN/HSA/10-05-01/H/16/70</v>
          </cell>
          <cell r="E254" t="str">
            <v>INTUBATION SCOPE</v>
          </cell>
        </row>
        <row r="255">
          <cell r="D255" t="str">
            <v>KKM/JKN/HSA/10-05-01/H/16/73</v>
          </cell>
          <cell r="E255" t="str">
            <v>INTERMITTENT PNEUMATIC COMPRESSION SYSTEM</v>
          </cell>
        </row>
        <row r="256">
          <cell r="D256" t="str">
            <v>KKM/JKN/HSA/10-05-01/H/16/74</v>
          </cell>
          <cell r="E256" t="str">
            <v>INTERMITTENT PNEUMATIC COMPRESSION SYSTEM</v>
          </cell>
        </row>
        <row r="257">
          <cell r="D257" t="str">
            <v>KKM/JKN/HSA/10-05-01/H/16/75</v>
          </cell>
          <cell r="E257" t="str">
            <v>INTERMITTENT PNEUMATIC COMPRESSION SYSTEM</v>
          </cell>
        </row>
        <row r="258">
          <cell r="D258" t="str">
            <v>KKM/JKN/HSA/10-05-01/H/16/76</v>
          </cell>
          <cell r="E258" t="str">
            <v>INTERMITTENT PNEUMATIC COMPRESSION SYSTEM</v>
          </cell>
        </row>
        <row r="259">
          <cell r="D259" t="str">
            <v>KKM/JKN/HSA/10-05-01/H/16/77</v>
          </cell>
          <cell r="E259" t="str">
            <v>INTERMITTENT PNEUMATIC COMPRESSION SYSTEM</v>
          </cell>
        </row>
        <row r="260">
          <cell r="D260" t="str">
            <v>KKM/JKN/HSA/10-05-01/H/16/79</v>
          </cell>
          <cell r="E260" t="str">
            <v>INTERMITTENT PNEUMATIC COMPRESSION SYSTEM</v>
          </cell>
        </row>
        <row r="261">
          <cell r="D261" t="str">
            <v>KKM/JKN/HSA/10-05-01/H/16/8</v>
          </cell>
          <cell r="E261" t="str">
            <v>LAPAROSCOPE</v>
          </cell>
        </row>
        <row r="262">
          <cell r="D262" t="str">
            <v>KKM/JKN/HSA/10-05-01/H/16/80</v>
          </cell>
          <cell r="E262" t="str">
            <v>INTERMITTENT PNEUMATIC COMPRESSION SYSTEM</v>
          </cell>
        </row>
        <row r="263">
          <cell r="D263" t="str">
            <v>KKM/JKN/HSA/10-05-01/H/16/81</v>
          </cell>
          <cell r="E263" t="str">
            <v>INTERMITTENT PNEUMATIC COMPRESSION SYSTEM</v>
          </cell>
        </row>
        <row r="264">
          <cell r="D264" t="str">
            <v>KKM/JKN/HSA/10-05-01/H/16/9</v>
          </cell>
          <cell r="E264" t="str">
            <v>LAPAROSCOPE</v>
          </cell>
        </row>
        <row r="265">
          <cell r="D265" t="str">
            <v>KKM/JKN/HSA/10-05-01/H/18/144</v>
          </cell>
          <cell r="E265" t="str">
            <v>DENTAL HANDPIECE</v>
          </cell>
        </row>
        <row r="266">
          <cell r="D266" t="str">
            <v>KKM/JKN/HSA/10-05-01/R/15/14883</v>
          </cell>
          <cell r="E266" t="str">
            <v>BLOOD PRESSURE MONITOR (SPHYGMOMANOMETER)</v>
          </cell>
        </row>
        <row r="267">
          <cell r="D267" t="str">
            <v>KKM/JKN/HSA/10-05-01/H/20/57</v>
          </cell>
          <cell r="E267" t="str">
            <v>LARYNGOSCOPE</v>
          </cell>
        </row>
        <row r="268">
          <cell r="D268" t="str">
            <v>KKM/JKN/HSA/10-05-01/H/20/79</v>
          </cell>
          <cell r="E268" t="str">
            <v>PULSE OXIMETER AND SIMULATOR</v>
          </cell>
        </row>
        <row r="269">
          <cell r="D269" t="str">
            <v>KKM/JKN/HSA/10-05-01/H/20/176</v>
          </cell>
          <cell r="E269" t="str">
            <v xml:space="preserve">ECG (EKG) MACHINE </v>
          </cell>
        </row>
        <row r="270">
          <cell r="D270" t="str">
            <v>KKM/JKN/HSA/10-05-01/H/20/224</v>
          </cell>
          <cell r="E270" t="str">
            <v>INFANT WARMER</v>
          </cell>
        </row>
        <row r="271">
          <cell r="D271" t="str">
            <v>HSAS10040</v>
          </cell>
          <cell r="E271" t="str">
            <v>MONITOR PRE-CONFIG 6-CH ECG/RR/SPO2/NIBP/2TEMP/2IBP/12L/ARRHYTH</v>
          </cell>
        </row>
        <row r="272">
          <cell r="D272" t="str">
            <v>HSAS10041</v>
          </cell>
          <cell r="E272" t="str">
            <v>MONITOR PRE-CONFIG 6-CH ECG/RR/SPO2/NIBP/2TEMP/2IBP/12L/ARRHYTH</v>
          </cell>
        </row>
        <row r="273">
          <cell r="D273" t="str">
            <v>HSAS10042</v>
          </cell>
          <cell r="E273" t="str">
            <v>MONITOR PRE-CONFIG 6-CH ECG/RR/SPO2/NIBP/2TEMP/2IBP/12L/ARRHYTH</v>
          </cell>
        </row>
        <row r="274">
          <cell r="D274" t="str">
            <v>HSAS10043</v>
          </cell>
          <cell r="E274" t="str">
            <v>MONITOR PRE-CONFIG 6-CH ECG/RR/SPO2/NIBP/2TEMP/2IBP/12L/ARRHYTH</v>
          </cell>
        </row>
        <row r="275">
          <cell r="D275" t="str">
            <v>HSAS10034</v>
          </cell>
          <cell r="E275" t="str">
            <v>LARYNGOSCOPE C/W 3 BLADES ADULT</v>
          </cell>
        </row>
        <row r="276">
          <cell r="D276" t="str">
            <v>HSAS10035</v>
          </cell>
          <cell r="E276" t="str">
            <v>LARYNGOSCOPE C/W 3 BLADES ADULT</v>
          </cell>
        </row>
        <row r="277">
          <cell r="D277" t="str">
            <v>HSAS10036</v>
          </cell>
          <cell r="E277" t="str">
            <v>LARYNGOSCOPE C/W 3 BLADES ADULT</v>
          </cell>
        </row>
        <row r="278">
          <cell r="D278" t="str">
            <v>HSAS10037</v>
          </cell>
          <cell r="E278" t="str">
            <v>LARYNGOSCOPE C/W 3 BLADES ADULT</v>
          </cell>
        </row>
        <row r="279">
          <cell r="D279" t="str">
            <v>KKM/JKN/HSA/10-05-01/H/15/4298</v>
          </cell>
          <cell r="E279" t="str">
            <v>MONITOR ANTEPARTUM W/INTEGRAL PRINTER</v>
          </cell>
        </row>
        <row r="280">
          <cell r="D280" t="str">
            <v>KKM/JKN/HSA/10-05-01/R/15/17088</v>
          </cell>
          <cell r="E280" t="str">
            <v>DIAGNOSTIC SET ADULT</v>
          </cell>
        </row>
        <row r="281">
          <cell r="D281" t="str">
            <v>KKM/JKN/HSA/10-05-01/H/15/1168</v>
          </cell>
          <cell r="E281" t="str">
            <v>SUCTION APPARATUS</v>
          </cell>
        </row>
        <row r="282">
          <cell r="D282" t="str">
            <v>KKM/JKN/HSA/10-05-01/H/15/1169</v>
          </cell>
          <cell r="E282" t="str">
            <v>SUCTION APPARATUS</v>
          </cell>
        </row>
        <row r="283">
          <cell r="D283" t="str">
            <v>KKM/JKN/HSA/10-05-01/H/15/1170</v>
          </cell>
          <cell r="E283" t="str">
            <v>SUCTION APPARATUS</v>
          </cell>
        </row>
        <row r="284">
          <cell r="D284" t="str">
            <v>KKM/JKN/HSA/10-05-01/H/15/1208</v>
          </cell>
          <cell r="E284" t="str">
            <v>INFUSION PUMP</v>
          </cell>
        </row>
        <row r="285">
          <cell r="D285" t="str">
            <v>KKM/JKN/HSA/10-05-01/H/15/1209</v>
          </cell>
          <cell r="E285" t="str">
            <v>INFUSION PUMP</v>
          </cell>
        </row>
        <row r="286">
          <cell r="D286" t="str">
            <v>KKM/JKN/HSA/10-05-01/H/15/1210</v>
          </cell>
          <cell r="E286" t="str">
            <v>INFUSION PUMP</v>
          </cell>
        </row>
        <row r="287">
          <cell r="D287" t="str">
            <v>KKM/JKN/HSA/10-05-01/H/15/1211</v>
          </cell>
          <cell r="E287" t="str">
            <v>INFUSION PUMP</v>
          </cell>
        </row>
        <row r="288">
          <cell r="D288" t="str">
            <v>KKM/JKN/HSA/10-05-01/H/15/1212</v>
          </cell>
          <cell r="E288" t="str">
            <v>INFUSION PUMP</v>
          </cell>
        </row>
        <row r="289">
          <cell r="D289" t="str">
            <v>KKM/JKN/HSA/10-05-01/H/15/1213</v>
          </cell>
          <cell r="E289" t="str">
            <v>INFUSION PUMP</v>
          </cell>
        </row>
        <row r="290">
          <cell r="D290" t="str">
            <v>KKM/JKN/HSA/10-05-01/H/15/1214</v>
          </cell>
          <cell r="E290" t="str">
            <v>INFUSION PUMP</v>
          </cell>
        </row>
        <row r="291">
          <cell r="D291" t="str">
            <v>KKM/JKN/HSA/10-05-01/H/15/1215</v>
          </cell>
          <cell r="E291" t="str">
            <v>INFUSION PUMP</v>
          </cell>
        </row>
        <row r="292">
          <cell r="D292" t="str">
            <v>KKM/JKN/HSA/10-05-01/H/15/1216</v>
          </cell>
          <cell r="E292" t="str">
            <v>INFUSION PUMP</v>
          </cell>
        </row>
        <row r="293">
          <cell r="D293" t="str">
            <v>KKM/JKN/HSA/10-05-01/H/15/1217</v>
          </cell>
          <cell r="E293" t="str">
            <v>INFUSION PUMP</v>
          </cell>
        </row>
        <row r="294">
          <cell r="D294" t="str">
            <v>KKM/JKN/HSA/10-05-01/H/15/1218</v>
          </cell>
          <cell r="E294" t="str">
            <v>INFUSION PUMP</v>
          </cell>
        </row>
        <row r="295">
          <cell r="D295" t="str">
            <v>KKM/JKN/HSA/10-05-01/H/15/1219</v>
          </cell>
          <cell r="E295" t="str">
            <v>INFUSION PUMP</v>
          </cell>
        </row>
        <row r="296">
          <cell r="D296" t="str">
            <v>KKM/JKN/HSA/10-05-01/H/15/1220</v>
          </cell>
          <cell r="E296" t="str">
            <v>INFUSION PUMP</v>
          </cell>
        </row>
        <row r="297">
          <cell r="D297" t="str">
            <v>KKM/JKN/HSA/10-05-01/H/15/1570</v>
          </cell>
          <cell r="E297" t="str">
            <v>PATIENT MONITORING EQUIP.(AUTOMATIC MULTIPARAMETER)</v>
          </cell>
        </row>
        <row r="298">
          <cell r="D298" t="str">
            <v>KKM/JKN/HSA/10-05-01/H/15/1571</v>
          </cell>
          <cell r="E298" t="str">
            <v>PATIENT MONITORING EQUIP.(AUTOMATIC MULTIPARAMETER)</v>
          </cell>
        </row>
        <row r="299">
          <cell r="D299" t="str">
            <v>KKM/JKN/HSA/10-05-01/H/15/1572</v>
          </cell>
          <cell r="E299" t="str">
            <v>PATIENT MONITORING EQUIP.(AUTOMATIC MULTIPARAMETER)</v>
          </cell>
        </row>
        <row r="300">
          <cell r="D300" t="str">
            <v>KKM/JKN/HSA/10-05-01/H/15/1573</v>
          </cell>
          <cell r="E300" t="str">
            <v>PATIENT MONITORING EQUIP.(AUTOMATIC MULTIPARAMETER)</v>
          </cell>
        </row>
        <row r="301">
          <cell r="D301" t="str">
            <v>KKM/JKN/HSA/10-05-01/H/15/1574</v>
          </cell>
          <cell r="E301" t="str">
            <v>PATIENT MONITORING EQUIP.(AUTOMATIC MULTIPARAMETER)</v>
          </cell>
        </row>
        <row r="302">
          <cell r="D302" t="str">
            <v>KKM/JKN/HSA/10-05-01/H/15/1575</v>
          </cell>
          <cell r="E302" t="str">
            <v>PATIENT MONITORING EQUIP.(AUTOMATIC MULTIPARAMETER)</v>
          </cell>
        </row>
        <row r="303">
          <cell r="D303" t="str">
            <v>KKM/JKN/HSA/10-05-01/H/15/1576</v>
          </cell>
          <cell r="E303" t="str">
            <v>PATIENT MONITORING EQUIP.(AUTOMATIC MULTIPARAMETER)</v>
          </cell>
        </row>
        <row r="304">
          <cell r="D304" t="str">
            <v>KKM/JKN/HSA/10-05-01/H/15/1577</v>
          </cell>
          <cell r="E304" t="str">
            <v>PATIENT MONITORING EQUIP.(AUTOMATIC MULTIPARAMETER)</v>
          </cell>
        </row>
        <row r="305">
          <cell r="D305" t="str">
            <v>KKM/JKN/HSA/10-05-01/H/15/1578</v>
          </cell>
          <cell r="E305" t="str">
            <v>PATIENT MONITORING EQUIP.(AUTOMATIC MULTIPARAMETER)</v>
          </cell>
        </row>
        <row r="306">
          <cell r="D306" t="str">
            <v>KKM/JKN/HSA/10-05-01/H/15/1579</v>
          </cell>
          <cell r="E306" t="str">
            <v>PATIENT MONITORING EQUIP.(AUTOMATIC MULTIPARAMETER)</v>
          </cell>
        </row>
        <row r="307">
          <cell r="D307" t="str">
            <v>KKM/JKN/HSA/10-05-01/H/15/1581</v>
          </cell>
          <cell r="E307" t="str">
            <v>INFANT WARMER (RADIANT)</v>
          </cell>
        </row>
        <row r="308">
          <cell r="D308" t="str">
            <v>KKM/JKN/HSA/10-05-01/H/15/1582</v>
          </cell>
          <cell r="E308" t="str">
            <v>INFANT WARMER (RADIANT)</v>
          </cell>
        </row>
        <row r="309">
          <cell r="D309" t="str">
            <v>KKM/JKN/HSA/10-05-01/H/15/1583</v>
          </cell>
          <cell r="E309" t="str">
            <v>INFANT WARMER (RADIANT)</v>
          </cell>
        </row>
        <row r="310">
          <cell r="D310" t="str">
            <v>KKM/JKN/HSA/10-05-01/H/15/191</v>
          </cell>
          <cell r="E310" t="str">
            <v>LARYNGOSCOPE</v>
          </cell>
        </row>
        <row r="311">
          <cell r="D311" t="str">
            <v>KKM/JKN/HSA/10-05-01/H/15/192</v>
          </cell>
          <cell r="E311" t="str">
            <v>LARYNGOSCOPE</v>
          </cell>
        </row>
        <row r="312">
          <cell r="D312" t="str">
            <v>KKM/JKN/HSA/10-05-01/H/15/2111</v>
          </cell>
          <cell r="E312" t="str">
            <v>PATIENT MONITORING EQUIP.(AUTOMATIC MULTIPARAMETER)</v>
          </cell>
        </row>
        <row r="313">
          <cell r="D313" t="str">
            <v>KKM/JKN/HSA/10-05-01/H/15/2118</v>
          </cell>
          <cell r="E313" t="str">
            <v>PATIENT MONITORING EQUIP.(AUTOMATIC MULTIPARAMETER)</v>
          </cell>
        </row>
        <row r="314">
          <cell r="D314" t="str">
            <v>KKM/JKN/HSA/10-05-01/H/15/2119</v>
          </cell>
          <cell r="E314" t="str">
            <v>PATIENT MONITORING EQUIP.(AUTOMATIC MULTIPARAMETER)</v>
          </cell>
        </row>
        <row r="315">
          <cell r="D315" t="str">
            <v>KKM/JKN/HSA/10-05-01/H/15/2120</v>
          </cell>
          <cell r="E315" t="str">
            <v>PATIENT MONITORING EQUIP.(AUTOMATIC MULTIPARAMETER)</v>
          </cell>
        </row>
        <row r="316">
          <cell r="D316" t="str">
            <v>KKM/JKN/HSA/10-05-01/H/15/2233</v>
          </cell>
          <cell r="E316" t="str">
            <v>SYRINGE INFUSION PUMP</v>
          </cell>
        </row>
        <row r="317">
          <cell r="D317" t="str">
            <v>KKM/JKN/HSA/10-05-01/H/15/2234</v>
          </cell>
          <cell r="E317" t="str">
            <v>SYRINGE INFUSION PUMP</v>
          </cell>
        </row>
        <row r="318">
          <cell r="D318" t="str">
            <v>KKM/JKN/HSA/10-05-01/H/15/2235</v>
          </cell>
          <cell r="E318" t="str">
            <v>SYRINGE INFUSION PUMP</v>
          </cell>
        </row>
        <row r="319">
          <cell r="D319" t="str">
            <v>KKM/JKN/HSA/10-05-01/H/15/2236</v>
          </cell>
          <cell r="E319" t="str">
            <v>SYRINGE INFUSION PUMP</v>
          </cell>
        </row>
        <row r="320">
          <cell r="D320" t="str">
            <v>KKM/JKN/HSA/10-05-01/H/15/2237</v>
          </cell>
          <cell r="E320" t="str">
            <v>SYRINGE INFUSION PUMP</v>
          </cell>
        </row>
        <row r="321">
          <cell r="D321" t="str">
            <v>KKM/JKN/HSA/10-05-01/H/15/2436</v>
          </cell>
          <cell r="E321" t="str">
            <v>PATIENT WARMER (BLANKET)</v>
          </cell>
        </row>
        <row r="322">
          <cell r="D322" t="str">
            <v>KKM/JKN/HSA/10-05-01/H/15/4236</v>
          </cell>
          <cell r="E322" t="str">
            <v>PUMP BREAST ELECTRIC</v>
          </cell>
        </row>
        <row r="323">
          <cell r="D323" t="str">
            <v>KKM/JKN/HSA/10-05-01/H/15/4914</v>
          </cell>
          <cell r="E323" t="str">
            <v>BLOOD FLUID WARMER</v>
          </cell>
        </row>
        <row r="324">
          <cell r="D324" t="str">
            <v>KKM/JKN/HSA/10-05-01/H/15/5085</v>
          </cell>
          <cell r="E324" t="str">
            <v>ELECTROCARDIOGRAPH</v>
          </cell>
        </row>
        <row r="325">
          <cell r="D325" t="str">
            <v>KKM/JKN/HSA/10-05-01/H/15/524</v>
          </cell>
          <cell r="E325" t="str">
            <v>INFANT WARMER (RADIANT)</v>
          </cell>
        </row>
        <row r="326">
          <cell r="D326" t="str">
            <v>KKM/JKN/HSA/10-05-01/H/15/525</v>
          </cell>
          <cell r="E326" t="str">
            <v>INFANT WARMER (RADIANT)</v>
          </cell>
        </row>
        <row r="327">
          <cell r="D327" t="str">
            <v>KKM/JKN/HSA/10-05-01/H/15/526</v>
          </cell>
          <cell r="E327" t="str">
            <v>INFANT WARMER (RADIANT)</v>
          </cell>
        </row>
        <row r="328">
          <cell r="D328" t="str">
            <v>KKM/JKN/HSA/10-05-01/H/15/528</v>
          </cell>
          <cell r="E328" t="str">
            <v>INFANT WARMER (RADIANT)</v>
          </cell>
        </row>
        <row r="329">
          <cell r="D329" t="str">
            <v>KKM/JKN/HSA/10-05-01/H/15/531</v>
          </cell>
          <cell r="E329" t="str">
            <v>INFANT WARMER (RADIANT)</v>
          </cell>
        </row>
        <row r="330">
          <cell r="D330" t="str">
            <v>KKM/JKN/HSA/10-05-01/H/15/532</v>
          </cell>
          <cell r="E330" t="str">
            <v>INFANT WARMER (RADIANT)</v>
          </cell>
        </row>
        <row r="331">
          <cell r="D331" t="str">
            <v>KKM/JKN/HSA/10-05-01/H/15/536</v>
          </cell>
          <cell r="E331" t="str">
            <v>INFANT WARMER (RADIANT)</v>
          </cell>
        </row>
        <row r="332">
          <cell r="D332" t="str">
            <v>KKM/JKN/HSA/10-05-01/H/15/537</v>
          </cell>
          <cell r="E332" t="str">
            <v>INFANT WARMER (RADIANT)</v>
          </cell>
        </row>
        <row r="333">
          <cell r="D333" t="str">
            <v>KKM/JKN/HSA/10-05-01/H/15/538</v>
          </cell>
          <cell r="E333" t="str">
            <v>INFANT WARMER (RADIANT)</v>
          </cell>
        </row>
        <row r="334">
          <cell r="D334" t="str">
            <v>KKM/JKN/HSA/10-05-01/H/15/539</v>
          </cell>
          <cell r="E334" t="str">
            <v>INFANT WARMER (RADIANT)</v>
          </cell>
        </row>
        <row r="335">
          <cell r="D335" t="str">
            <v>KKM/JKN/HSA/10-05-01/H/15/540</v>
          </cell>
          <cell r="E335" t="str">
            <v>INFANT WARMER (RADIANT)</v>
          </cell>
        </row>
        <row r="336">
          <cell r="D336" t="str">
            <v>KKM/JKN/HSA/10-05-01/H/15/541</v>
          </cell>
          <cell r="E336" t="str">
            <v>INFANT WARMER (RADIANT)</v>
          </cell>
        </row>
        <row r="337">
          <cell r="D337" t="str">
            <v>KKM/JKN/HSA/10-05-01/H/15/542</v>
          </cell>
          <cell r="E337" t="str">
            <v>INFANT WARMER (RADIANT)</v>
          </cell>
        </row>
        <row r="338">
          <cell r="D338" t="str">
            <v>KKM/JKN/HSA/10-05-01/H/15/555</v>
          </cell>
          <cell r="E338" t="str">
            <v>INFANT INCUBATOR</v>
          </cell>
        </row>
        <row r="339">
          <cell r="D339" t="str">
            <v>KKM/JKN/HSA/10-05-01/H/15/556</v>
          </cell>
          <cell r="E339" t="str">
            <v>INFANT INCUBATOR</v>
          </cell>
        </row>
        <row r="340">
          <cell r="D340" t="str">
            <v>KKM/JKN/HSA/10-05-01/H/15/582</v>
          </cell>
          <cell r="E340" t="str">
            <v>PATIENT MONITORING EQUIP.(AUTOMATIC MULTIPARAMETER)</v>
          </cell>
        </row>
        <row r="341">
          <cell r="D341" t="str">
            <v>KKM/JKN/HSA/10-05-01/H/15/594</v>
          </cell>
          <cell r="E341" t="str">
            <v>FETAL HEART MONITOR (DAPTONE)</v>
          </cell>
        </row>
        <row r="342">
          <cell r="D342" t="str">
            <v>KKM/JKN/HSA/10-05-01/H/15/761</v>
          </cell>
          <cell r="E342" t="str">
            <v>FETAL HEART MONITOR (CTG)</v>
          </cell>
        </row>
        <row r="343">
          <cell r="D343" t="str">
            <v>KKM/JKN/HSA/10-05-01/H/15/765</v>
          </cell>
          <cell r="E343" t="str">
            <v>FETAL HEART MONITOR (CTG)</v>
          </cell>
        </row>
        <row r="344">
          <cell r="D344" t="str">
            <v>KKM/JKN/HSA/10-05-01/H/15/769</v>
          </cell>
          <cell r="E344" t="str">
            <v>FETAL HEART MONITOR (DAPTONE)</v>
          </cell>
        </row>
        <row r="345">
          <cell r="D345" t="str">
            <v>KKM/JKN/HSA/10-05-01/H/15/941</v>
          </cell>
          <cell r="E345" t="str">
            <v>SYRINGE INFUSION PUMP</v>
          </cell>
        </row>
        <row r="346">
          <cell r="D346" t="str">
            <v>KKM/JKN/HSA/10-05-01/H/16/83</v>
          </cell>
          <cell r="E346" t="str">
            <v>PULSE OXIMETER AND SIMULATOR</v>
          </cell>
        </row>
        <row r="347">
          <cell r="D347" t="str">
            <v>KKM/JKN/HSA/10-05-01/H/16/84</v>
          </cell>
          <cell r="E347" t="str">
            <v>PULSE OXIMETER AND SIMULATOR</v>
          </cell>
        </row>
        <row r="348">
          <cell r="D348" t="str">
            <v>KKM/JKN/HSA/10-05-01/H/16/85</v>
          </cell>
          <cell r="E348" t="str">
            <v>PULSE OXIMETER AND SIMULATOR</v>
          </cell>
        </row>
        <row r="349">
          <cell r="D349" t="str">
            <v>KKM/JKN/HSA/10-05-01/R/15/14846</v>
          </cell>
          <cell r="E349" t="str">
            <v>BLOOD PRESSURE MONITOR (SPHYGMOMANOMETER)</v>
          </cell>
        </row>
        <row r="350">
          <cell r="D350" t="str">
            <v>KKM/JKN/HSA/10-05-01/R/15/14847</v>
          </cell>
          <cell r="E350" t="str">
            <v>BLOOD PRESSURE MONITOR (SPHYGMOMANOMETER)</v>
          </cell>
        </row>
        <row r="351">
          <cell r="D351" t="str">
            <v>KKM/JKN/HSA/10-05-01/R/15/14848</v>
          </cell>
          <cell r="E351" t="str">
            <v>BLOOD PRESSURE MONITOR (SPHYGMOMANOMETER)</v>
          </cell>
        </row>
        <row r="352">
          <cell r="D352" t="str">
            <v>KKM/JKN/HSA/10-05-01/R/15/14849</v>
          </cell>
          <cell r="E352" t="str">
            <v>BLOOD PRESSURE MONITOR (SPHYGMOMANOMETER)</v>
          </cell>
        </row>
        <row r="353">
          <cell r="D353" t="str">
            <v>KKM/JKN/HSA/10-05-01/R/15/14852</v>
          </cell>
          <cell r="E353" t="str">
            <v>BLOOD PRESSURE MONITOR (SPHYGMOMANOMETER)</v>
          </cell>
        </row>
        <row r="354">
          <cell r="D354" t="str">
            <v>KKM/JKN/HSA/10-05-01/R/15/14853</v>
          </cell>
          <cell r="E354" t="str">
            <v>BLOOD PRESSURE MONITOR (SPHYGMOMANOMETER)</v>
          </cell>
        </row>
        <row r="355">
          <cell r="D355" t="str">
            <v>KKM/JKN/HSA/10-05-01/R/15/14854</v>
          </cell>
          <cell r="E355" t="str">
            <v>BLOOD PRESSURE MONITOR (SPHYGMOMANOMETER)</v>
          </cell>
        </row>
        <row r="356">
          <cell r="D356" t="str">
            <v>KKM/JKN/HSA/10-05-01/R/15/14860</v>
          </cell>
          <cell r="E356" t="str">
            <v>BLOOD PRESSURE MONITOR (SPHYGMOMANOMETER)</v>
          </cell>
        </row>
        <row r="357">
          <cell r="D357" t="str">
            <v>KKM/JKN/HSA/10-05-01/R/15/14863</v>
          </cell>
          <cell r="E357" t="str">
            <v>BLOOD PRESSURE MONITOR (SPHYGMOMANOMETER)</v>
          </cell>
        </row>
        <row r="358">
          <cell r="D358" t="str">
            <v>KKM/JKN/HSA/10-05-01/R/15/14864</v>
          </cell>
          <cell r="E358" t="str">
            <v>BLOOD PRESSURE MONITOR (SPHYGMOMANOMETER)</v>
          </cell>
        </row>
        <row r="359">
          <cell r="D359" t="str">
            <v>KKM/JKN/HSA/10-05-01/R/15/14870</v>
          </cell>
          <cell r="E359" t="str">
            <v>BLOOD PRESSURE MONITOR (SPHYGMOMANOMETER)</v>
          </cell>
        </row>
        <row r="360">
          <cell r="D360" t="str">
            <v>KKM/JKN/HSA/10-05-01/R/15/15084</v>
          </cell>
          <cell r="E360" t="str">
            <v>PORTABLE FETAL DOPPLER/CAPNOGRAPH</v>
          </cell>
        </row>
        <row r="361">
          <cell r="D361" t="str">
            <v>KKM/JKN/HSA/10-05-01/R/15/15086</v>
          </cell>
          <cell r="E361" t="str">
            <v>PORTABLE FETAL DOPPLER/CAPNOGRAPH</v>
          </cell>
        </row>
        <row r="362">
          <cell r="D362" t="str">
            <v>KKM/JKN/HSA/10-05-01/R/15/7025</v>
          </cell>
          <cell r="E362" t="str">
            <v>INFANT/ BABY SCALER</v>
          </cell>
        </row>
        <row r="363">
          <cell r="D363" t="str">
            <v>KKM/JKN/HSA/10-05-01/R/15/7026</v>
          </cell>
          <cell r="E363" t="str">
            <v>INFANT/ BABY SCALER</v>
          </cell>
        </row>
        <row r="364">
          <cell r="D364" t="str">
            <v>KKM/JKN/HSA/10-05-01/R/15/7027</v>
          </cell>
          <cell r="E364" t="str">
            <v>INFANT/ BABY SCALER</v>
          </cell>
        </row>
        <row r="365">
          <cell r="D365" t="str">
            <v>KKM/JKN/HSA/10-05-01/R/15/7028</v>
          </cell>
          <cell r="E365" t="str">
            <v>INFANT/ BABY SCALER</v>
          </cell>
        </row>
        <row r="366">
          <cell r="D366" t="str">
            <v>KKM/JKN/HSA/10-05-01/H/20/75</v>
          </cell>
          <cell r="E366" t="str">
            <v>PULSE OXIMETER AND SIMULATOR</v>
          </cell>
        </row>
        <row r="367">
          <cell r="D367" t="str">
            <v>KKM/JKN/HSA/10-05-01/H/20/76</v>
          </cell>
          <cell r="E367" t="str">
            <v>PULSE OXIMETER AND SIMULATOR</v>
          </cell>
        </row>
        <row r="368">
          <cell r="D368" t="str">
            <v>KKM/JKN/HSA/10-05-01/H/20/77</v>
          </cell>
          <cell r="E368" t="str">
            <v>PULSE OXIMETER AND SIMULATOR</v>
          </cell>
        </row>
        <row r="369">
          <cell r="D369" t="str">
            <v>KKM/JKN/HSA/10-05-01/H/21/282</v>
          </cell>
          <cell r="E369" t="str">
            <v>CTG MACHINE/ FETAL MONITOR TOUCH SCREEN</v>
          </cell>
        </row>
        <row r="370">
          <cell r="D370" t="str">
            <v>KKM/JKN/HSA/10-05-01/H/21/188</v>
          </cell>
          <cell r="E370" t="str">
            <v>PATIENT MONITORING EQUIPMENT</v>
          </cell>
        </row>
        <row r="371">
          <cell r="D371" t="str">
            <v>HSAS10001</v>
          </cell>
          <cell r="E371" t="str">
            <v>ANALGESIA UNIT 2 GAS</v>
          </cell>
        </row>
        <row r="372">
          <cell r="D372" t="str">
            <v>HSAS10038</v>
          </cell>
          <cell r="E372" t="str">
            <v>SPHYGMOMANOMETER ANEROID DESK MODEL</v>
          </cell>
        </row>
        <row r="373">
          <cell r="D373" t="str">
            <v xml:space="preserve">KKM/JKN/HSA/10-05-01/H/15/2804 </v>
          </cell>
          <cell r="E373" t="str">
            <v>ANALGESIA UNIT 2 GAS</v>
          </cell>
        </row>
        <row r="374">
          <cell r="D374" t="str">
            <v>KKM/JKN/HSA/10-05-01/H/15/308</v>
          </cell>
          <cell r="E374" t="str">
            <v>VENTILATOR PORTABLE</v>
          </cell>
        </row>
        <row r="375">
          <cell r="D375" t="str">
            <v>KKM/JKN/HSA/10-05-01/H/15/3550</v>
          </cell>
          <cell r="E375" t="str">
            <v>PORTABLE PNEUMATIC POWERED RESUSCITATOR/OXYGEN RESUSCITATOR</v>
          </cell>
        </row>
        <row r="376">
          <cell r="D376" t="str">
            <v>KKM/JKN/HSA/10-05-01/H/15/3636</v>
          </cell>
          <cell r="E376" t="str">
            <v>RESUSCITATION MODEL BABY WITH CASE</v>
          </cell>
        </row>
        <row r="377">
          <cell r="D377" t="str">
            <v>KKM/JKN/HSA/10-05-01/H/15/3655</v>
          </cell>
          <cell r="E377" t="str">
            <v>AMBULANCE STRETCHER</v>
          </cell>
        </row>
        <row r="378">
          <cell r="D378" t="str">
            <v>KKM/JKN/HSA/10-05-01/H/15/3656</v>
          </cell>
          <cell r="E378" t="str">
            <v>AMBULANCE STRETCHER</v>
          </cell>
        </row>
        <row r="379">
          <cell r="D379" t="str">
            <v>KKM/JKN/HSA/10-05-01/H/15/3657</v>
          </cell>
          <cell r="E379" t="str">
            <v>RESUSCITATION MODEL BABY WITH CASE</v>
          </cell>
        </row>
        <row r="380">
          <cell r="D380" t="str">
            <v>KKM/JKN/HSA/10-05-01/H/15/4870</v>
          </cell>
          <cell r="E380" t="str">
            <v>ASR SIMULATOR MANNEQUIN WITH MONITOR</v>
          </cell>
        </row>
        <row r="381">
          <cell r="D381" t="str">
            <v xml:space="preserve">KKM/JKN/HSA/10-05-01/H/15/4892 </v>
          </cell>
          <cell r="E381" t="str">
            <v>DENTAL CHAIR, OFFICER</v>
          </cell>
        </row>
        <row r="382">
          <cell r="D382" t="str">
            <v>KKM/JKN/HSA/10-05-01/H/15/4908</v>
          </cell>
          <cell r="E382" t="str">
            <v>DIAGNOSTIC SET RECHARGABLE WALL MTD</v>
          </cell>
        </row>
        <row r="383">
          <cell r="D383" t="str">
            <v>KKM/JKN/HSA/10-05-01/H/15/4909</v>
          </cell>
          <cell r="E383" t="str">
            <v>DIAGNOSTIC SET RECHARGABLE WALL MTD</v>
          </cell>
        </row>
        <row r="384">
          <cell r="D384" t="str">
            <v>KKM/JKN/HSA/10-05-01/H/15/4910</v>
          </cell>
          <cell r="E384" t="str">
            <v>DIAGNOSTIC SET RECHARGABLE WALL MTD</v>
          </cell>
        </row>
        <row r="385">
          <cell r="D385" t="str">
            <v>KKM/JKN/HSA/10-05-01/H/15/4911</v>
          </cell>
          <cell r="E385" t="str">
            <v>DIAGNOSTIC SET RECHARGABLE WALL MTD</v>
          </cell>
        </row>
        <row r="386">
          <cell r="D386" t="str">
            <v>KKM/JKN/HSA/10-05-01/H/15/4912</v>
          </cell>
          <cell r="E386" t="str">
            <v>DIAGNOSTIC SET RECHARGABLE WALL MTD</v>
          </cell>
        </row>
        <row r="387">
          <cell r="D387" t="str">
            <v>KKM/JKN/HSA/10-05-01/H/15/5002</v>
          </cell>
          <cell r="E387" t="str">
            <v>DIAGNOSTIC SET RECHARGABLE WALL MTD</v>
          </cell>
        </row>
        <row r="388">
          <cell r="D388" t="str">
            <v>KKM/JKN/HSA/10-05-01/H/15/5003</v>
          </cell>
          <cell r="E388" t="str">
            <v>DIAGNOSTIC SET RECHARGABLE WALL MTD</v>
          </cell>
        </row>
        <row r="389">
          <cell r="D389" t="str">
            <v>KKM/JKN/HSA/10-05-01/H/15/5007</v>
          </cell>
          <cell r="E389" t="str">
            <v>MONITOR MODULAR 8-CH ECG/RR/NIBP/SPO2/2TEMP/2IBP</v>
          </cell>
        </row>
        <row r="390">
          <cell r="D390" t="str">
            <v>KKM/JKN/HSA/10-05-01/H/15/5008</v>
          </cell>
          <cell r="E390" t="str">
            <v>MONITOR MODULAR 8-CH ECG/RR/NIBP/SPO2/2TEMP/2IBP</v>
          </cell>
        </row>
        <row r="391">
          <cell r="D391" t="str">
            <v>KKM/JKN/HSA/10-05-01/H/15/5009</v>
          </cell>
          <cell r="E391" t="str">
            <v>MONITOR MODULAR 8-CH ECG/RR/NIBP/SPO2/2TEMP/2IBP</v>
          </cell>
        </row>
        <row r="392">
          <cell r="D392" t="str">
            <v>KKM/JKN/HSA/10-05-01/H/15/5010</v>
          </cell>
          <cell r="E392" t="str">
            <v>MONITOR MODULAR 8-CH ECG/RR/NIBP/SPO2/2TEMP/2IBP</v>
          </cell>
        </row>
        <row r="393">
          <cell r="D393" t="str">
            <v>KKM/JKN/HSA/10-05-01/H/15/5011</v>
          </cell>
          <cell r="E393" t="str">
            <v>MONITOR MODULAR 8-CH ECG/RR/NIBP/SPO2/2TEMP/2IBP</v>
          </cell>
        </row>
        <row r="394">
          <cell r="D394" t="str">
            <v>KKM/JKN/HSA/10-05-01/H/15/5012</v>
          </cell>
          <cell r="E394" t="str">
            <v>MONITOR, TRANSPORT</v>
          </cell>
        </row>
        <row r="395">
          <cell r="D395" t="str">
            <v>KKM/JKN/HSA/10-05-01/H/15/5013</v>
          </cell>
          <cell r="E395" t="str">
            <v>MONITOR, TRANSPORT</v>
          </cell>
        </row>
        <row r="396">
          <cell r="D396" t="str">
            <v>KKM/JKN/HSA/10-05-01/H/15/5014</v>
          </cell>
          <cell r="E396" t="str">
            <v>MONITOR, TRANSPORT</v>
          </cell>
        </row>
        <row r="397">
          <cell r="D397" t="str">
            <v>KKM/JKN/HSA/10-05-01/H/15/5038</v>
          </cell>
          <cell r="E397" t="str">
            <v>WARMER BLOOD WATER TYPE</v>
          </cell>
        </row>
        <row r="398">
          <cell r="D398" t="str">
            <v>KKM/JKN/HSA/10-05-01/H/15/5039</v>
          </cell>
          <cell r="E398" t="str">
            <v>WARMER BLOOD DRY HEAT TYPE</v>
          </cell>
        </row>
        <row r="399">
          <cell r="D399" t="str">
            <v>KKM/JKN/HSA/10-05-01/H/16/181</v>
          </cell>
          <cell r="E399" t="str">
            <v>SUCTION APPARATUS/SPENCER</v>
          </cell>
        </row>
        <row r="400">
          <cell r="D400" t="str">
            <v>KKM/JKN/HSA/10-05-01/H/17/1</v>
          </cell>
          <cell r="E400" t="str">
            <v>ECG  (EKG) MACHINE/ECG 1200G</v>
          </cell>
        </row>
        <row r="401">
          <cell r="D401" t="str">
            <v>KKM/JKN/HSA/10-05-01/H/17/4</v>
          </cell>
          <cell r="E401" t="str">
            <v>ULTRASOUND SCANNER/MINDRAY M9</v>
          </cell>
        </row>
        <row r="402">
          <cell r="D402" t="str">
            <v>KKM/JKN/HSA/10-05-01/H/17/41</v>
          </cell>
          <cell r="E402" t="str">
            <v>AUTOMATIC EXTERNAL DEFIBRILLATOR (AED)</v>
          </cell>
        </row>
        <row r="403">
          <cell r="D403" t="str">
            <v>KKM/JKN/HSA/10-05-01/H/17/42</v>
          </cell>
          <cell r="E403" t="str">
            <v>AUTOMATIC EXTERNAL DEFIBRILLATOR (AED)</v>
          </cell>
        </row>
        <row r="404">
          <cell r="D404" t="str">
            <v>KKM/JKN/HSA/10-05-01/H/17/44</v>
          </cell>
          <cell r="E404" t="str">
            <v>BLOOD PRESURE MONITOR MACHINE</v>
          </cell>
        </row>
        <row r="405">
          <cell r="D405" t="str">
            <v>KKM/JKN/HSA/10-05-01/H/17/45</v>
          </cell>
          <cell r="E405" t="str">
            <v>BLOOD PRESURE MONITOR MACHINE</v>
          </cell>
        </row>
        <row r="406">
          <cell r="D406" t="str">
            <v>KKM/JKN/HSA/10-05-01/H/17/46</v>
          </cell>
          <cell r="E406" t="str">
            <v>DEFIBRILLATOR/ZOLL/ X SERIES</v>
          </cell>
        </row>
        <row r="407">
          <cell r="D407" t="str">
            <v>KKM/JKN/HSA/10-05-01/H/18/127</v>
          </cell>
          <cell r="E407" t="str">
            <v>ECG  (EKG) MACHINE</v>
          </cell>
        </row>
        <row r="408">
          <cell r="D408" t="str">
            <v>KKM/JKN/HSA/10-05-01/H/18/128</v>
          </cell>
          <cell r="E408" t="str">
            <v>ECG  (EKG) MACHINE</v>
          </cell>
        </row>
        <row r="409">
          <cell r="D409" t="str">
            <v>KKM/JKN/HSA/10-05-01/H/18/136</v>
          </cell>
          <cell r="E409" t="str">
            <v>VENTILATOR</v>
          </cell>
        </row>
        <row r="410">
          <cell r="D410" t="str">
            <v>KKM/JKN/HSA/10-05-01/H/18/137</v>
          </cell>
          <cell r="E410" t="str">
            <v>PATIENT MONITORING EQUIP</v>
          </cell>
        </row>
        <row r="411">
          <cell r="D411" t="str">
            <v>KKM/JKN/HSA/10-05-01/H/18/138</v>
          </cell>
          <cell r="E411" t="str">
            <v>PATIENT MONITORING EQUIP</v>
          </cell>
        </row>
        <row r="412">
          <cell r="D412" t="str">
            <v>KKM/JKN/HSA/10-05-01/H/18/140</v>
          </cell>
          <cell r="E412" t="str">
            <v>INFUSION PUMP</v>
          </cell>
        </row>
        <row r="413">
          <cell r="D413" t="str">
            <v>KKM/JKN/HSA/10-05-01/H/18/141</v>
          </cell>
          <cell r="E413" t="str">
            <v>INFUSION PUMP</v>
          </cell>
        </row>
        <row r="414">
          <cell r="D414" t="str">
            <v>KKM/JKN/HSA/10-05-01/H/18/142</v>
          </cell>
          <cell r="E414" t="str">
            <v>INFUSION PUMP</v>
          </cell>
        </row>
        <row r="415">
          <cell r="D415" t="str">
            <v>KKM/JKN/HSA/10-05-01/H/18/143</v>
          </cell>
          <cell r="E415" t="str">
            <v>GLIDESCOPE</v>
          </cell>
        </row>
        <row r="416">
          <cell r="D416" t="str">
            <v>KKM/JKN/HSA/10-05-01/H/18/145</v>
          </cell>
          <cell r="E416" t="str">
            <v>AUTOPULSE MECHANICAL CPR SYSTEM</v>
          </cell>
        </row>
        <row r="417">
          <cell r="D417" t="str">
            <v>KKM/JKN/HSA/10-05-01/R/15/17039</v>
          </cell>
          <cell r="E417" t="str">
            <v>NEBULISER COMPRESSOR</v>
          </cell>
        </row>
        <row r="418">
          <cell r="D418" t="str">
            <v>KKM/JKN/HSA/10-05-01/R/15/17040</v>
          </cell>
          <cell r="E418" t="str">
            <v>NEBULISER COMPRESSOR</v>
          </cell>
        </row>
        <row r="419">
          <cell r="D419" t="str">
            <v>KKM/JKN/HSA/10-05-01/R/15/17058</v>
          </cell>
          <cell r="E419" t="str">
            <v>DIAGNOSTIC SET ADULT</v>
          </cell>
        </row>
        <row r="420">
          <cell r="D420" t="str">
            <v>KKM/JKN/HSA/10-05-01/R/15/17059</v>
          </cell>
          <cell r="E420" t="str">
            <v>DIAGNOSTIC SET ADULT</v>
          </cell>
        </row>
        <row r="421">
          <cell r="D421" t="str">
            <v>KKM/JKN/HSA/10-05-01/R/15/17060</v>
          </cell>
          <cell r="E421" t="str">
            <v>DIAGNOSTIC SET ADULT</v>
          </cell>
        </row>
        <row r="422">
          <cell r="D422" t="str">
            <v>KKM/JKN/HSA/10-05-01/R/15/17061</v>
          </cell>
          <cell r="E422" t="str">
            <v>DIAGNOSTIC SET ADULT</v>
          </cell>
        </row>
        <row r="423">
          <cell r="D423" t="str">
            <v>KKM/JKN/HSA/10-05-01/R/15/17065</v>
          </cell>
          <cell r="E423" t="str">
            <v>DIAGNOSTIC SET ADULT</v>
          </cell>
        </row>
        <row r="424">
          <cell r="D424" t="str">
            <v>KKM/JKN/HSA/10-05-01/R/15/17066</v>
          </cell>
          <cell r="E424" t="str">
            <v>DIAGNOSTIC SET ADULT</v>
          </cell>
        </row>
        <row r="425">
          <cell r="D425" t="str">
            <v>KKM/JKN/HSA/10-05-01/R/15/6743</v>
          </cell>
          <cell r="E425" t="str">
            <v>DIAGNOSTIC SET PAEDIATRIC</v>
          </cell>
        </row>
        <row r="426">
          <cell r="D426" t="str">
            <v>KKM/JKN/HSA/10-05-01/R/15/6756</v>
          </cell>
          <cell r="E426" t="str">
            <v>DIAGNOSTIC SET PAEDIATRIC</v>
          </cell>
        </row>
        <row r="427">
          <cell r="D427" t="str">
            <v>KKM/JKN/HSA/10-05-01/R/15/7023</v>
          </cell>
          <cell r="E427" t="str">
            <v>PRINTER FOR PRE-CONFIGURED MONITOR</v>
          </cell>
        </row>
        <row r="428">
          <cell r="D428" t="str">
            <v>KKM/JKN/HSA/10-05-01/R/15/7353</v>
          </cell>
          <cell r="E428" t="str">
            <v>DIAGNOSTIC SET PAEDIATRIC</v>
          </cell>
        </row>
        <row r="429">
          <cell r="D429" t="str">
            <v>KKM/JKN/HSA/10-05-01/H/15/1125</v>
          </cell>
          <cell r="E429" t="str">
            <v>SUCTION APPARATUS</v>
          </cell>
        </row>
        <row r="430">
          <cell r="D430" t="str">
            <v>KKM/JKN/HSA/10-05-01/H/15/1167</v>
          </cell>
          <cell r="E430" t="str">
            <v>SUCTION APPARATUS</v>
          </cell>
        </row>
        <row r="431">
          <cell r="D431" t="str">
            <v>KKM/JKN/HSA/10-05-01/H/15/1171</v>
          </cell>
          <cell r="E431" t="str">
            <v>INFUSION PUMP</v>
          </cell>
        </row>
        <row r="432">
          <cell r="D432" t="str">
            <v>KKM/JKN/HSA/10-05-01/H/15/1172</v>
          </cell>
          <cell r="E432" t="str">
            <v>INFUSION PUMP</v>
          </cell>
        </row>
        <row r="433">
          <cell r="D433" t="str">
            <v>KKM/JKN/HSA/10-05-01/H/15/1173</v>
          </cell>
          <cell r="E433" t="str">
            <v>INFUSION PUMP</v>
          </cell>
        </row>
        <row r="434">
          <cell r="D434" t="str">
            <v>KKM/JKN/HSA/10-05-01/H/15/1174</v>
          </cell>
          <cell r="E434" t="str">
            <v>INFUSION PUMP</v>
          </cell>
        </row>
        <row r="435">
          <cell r="D435" t="str">
            <v>KKM/JKN/HSA/10-05-01/H/15/1580</v>
          </cell>
          <cell r="E435" t="str">
            <v>INFANT WARMER (RADIANT)</v>
          </cell>
        </row>
        <row r="436">
          <cell r="D436" t="str">
            <v>KKM/JKN/HSA/10-05-01/H/15/2084</v>
          </cell>
          <cell r="E436" t="str">
            <v>PATIENT MONITORING EQUIP.(AUTOMATIC MULTIPARAMETER)</v>
          </cell>
        </row>
        <row r="437">
          <cell r="D437" t="str">
            <v>KKM/JKN/HSA/10-05-01/H/15/2085</v>
          </cell>
          <cell r="E437" t="str">
            <v>PATIENT MONITORING EQUIP.(AUTOMATIC MULTIPARAMETER)</v>
          </cell>
        </row>
        <row r="438">
          <cell r="D438" t="str">
            <v>KKM/JKN/HSA/10-05-01/H/15/2086</v>
          </cell>
          <cell r="E438" t="str">
            <v>PATIENT MONITORING EQUIP.(AUTOMATIC MULTIPARAMETER)</v>
          </cell>
        </row>
        <row r="439">
          <cell r="D439" t="str">
            <v>KKM/JKN/HSA/10-05-01/H/15/2087</v>
          </cell>
          <cell r="E439" t="str">
            <v>PATIENT MONITORING EQUIP.(AUTOMATIC MULTIPARAMETER)</v>
          </cell>
        </row>
        <row r="440">
          <cell r="D440" t="str">
            <v>KKM/JKN/HSA/10-05-01/H/15/2088</v>
          </cell>
          <cell r="E440" t="str">
            <v>PATIENT MONITORING EQUIP.(AUTOMATIC MULTIPARAMETER)</v>
          </cell>
        </row>
        <row r="441">
          <cell r="D441" t="str">
            <v>KKM/JKN/HSA/10-05-01/H/15/2089</v>
          </cell>
          <cell r="E441" t="str">
            <v>PATIENT MONITORING EQUIP.(AUTOMATIC MULTIPARAMETER)</v>
          </cell>
        </row>
        <row r="442">
          <cell r="D442" t="str">
            <v>KKM/JKN/HSA/10-05-01/H/15/2090</v>
          </cell>
          <cell r="E442" t="str">
            <v>PATIENT MONITORING EQUIP.(AUTOMATIC MULTIPARAMETER)</v>
          </cell>
        </row>
        <row r="443">
          <cell r="D443" t="str">
            <v>KKM/JKN/HSA/10-05-01/H/15/2091</v>
          </cell>
          <cell r="E443" t="str">
            <v>PATIENT MONITORING EQUIP.(AUTOMATIC MULTIPARAMETER)</v>
          </cell>
        </row>
        <row r="444">
          <cell r="D444" t="str">
            <v>KKM/JKN/HSA/10-05-01/H/15/2092</v>
          </cell>
          <cell r="E444" t="str">
            <v>PATIENT MONITORING EQUIP.(AUTOMATIC MULTIPARAMETER)</v>
          </cell>
        </row>
        <row r="445">
          <cell r="D445" t="str">
            <v>KKM/JKN/HSA/10-05-01/H/15/2093</v>
          </cell>
          <cell r="E445" t="str">
            <v>PATIENT MONITORING EQUIP.(AUTOMATIC MULTIPARAMETER)</v>
          </cell>
        </row>
        <row r="446">
          <cell r="D446" t="str">
            <v>KKM/JKN/HSA/10-05-01/H/15/2094</v>
          </cell>
          <cell r="E446" t="str">
            <v>PATIENT MONITORING EQUIP.(AUTOMATIC MULTIPARAMETER)</v>
          </cell>
        </row>
        <row r="447">
          <cell r="D447" t="str">
            <v>KKM/JKN/HSA/10-05-01/H/15/2095</v>
          </cell>
          <cell r="E447" t="str">
            <v>PATIENT MONITORING EQUIP.(AUTOMATIC MULTIPARAMETER)</v>
          </cell>
        </row>
        <row r="448">
          <cell r="D448" t="str">
            <v>KKM/JKN/HSA/10-05-01/H/15/2096</v>
          </cell>
          <cell r="E448" t="str">
            <v>PATIENT MONITORING EQUIP.(AUTOMATIC MULTIPARAMETER)</v>
          </cell>
        </row>
        <row r="449">
          <cell r="D449" t="str">
            <v>KKM/JKN/HSA/10-05-01/H/15/2097</v>
          </cell>
          <cell r="E449" t="str">
            <v>PATIENT MONITORING EQUIP.(AUTOMATIC MULTIPARAMETER)</v>
          </cell>
        </row>
        <row r="450">
          <cell r="D450" t="str">
            <v>KKM/JKN/HSA/10-05-01/H/15/2098</v>
          </cell>
          <cell r="E450" t="str">
            <v>PATIENT MONITORING EQUIP.(AUTOMATIC MULTIPARAMETER)</v>
          </cell>
        </row>
        <row r="451">
          <cell r="D451" t="str">
            <v>KKM/JKN/HSA/10-05-01/H/15/2099</v>
          </cell>
          <cell r="E451" t="str">
            <v>PATIENT MONITORING EQUIP.(AUTOMATIC MULTIPARAMETER)</v>
          </cell>
        </row>
        <row r="452">
          <cell r="D452" t="str">
            <v>KKM/JKN/HSA/10-05-01/H/15/2121</v>
          </cell>
          <cell r="E452" t="str">
            <v>SUCTION APPARATUS</v>
          </cell>
        </row>
        <row r="453">
          <cell r="D453" t="str">
            <v>KKM/JKN/HSA/10-05-01/H/15/2122</v>
          </cell>
          <cell r="E453" t="str">
            <v>SUCTION APPARATUS</v>
          </cell>
        </row>
        <row r="454">
          <cell r="D454" t="str">
            <v>KKM/JKN/HSA/10-05-01/H/15/2123</v>
          </cell>
          <cell r="E454" t="str">
            <v>SUCTION APPARATUS</v>
          </cell>
        </row>
        <row r="455">
          <cell r="D455" t="str">
            <v>KKM/JKN/HSA/10-05-01/H/15/2126</v>
          </cell>
          <cell r="E455" t="str">
            <v>SUCTION APPARATUS</v>
          </cell>
        </row>
        <row r="456">
          <cell r="D456" t="str">
            <v>KKM/JKN/HSA/10-05-01/H/15/2431</v>
          </cell>
          <cell r="E456" t="str">
            <v>PATIENT WARMER (BLANKET)</v>
          </cell>
        </row>
        <row r="457">
          <cell r="D457" t="str">
            <v>KKM/JKN/HSA/10-05-01/H/15/2432</v>
          </cell>
          <cell r="E457" t="str">
            <v>PATIENT WARMER (BLANKET)</v>
          </cell>
        </row>
        <row r="458">
          <cell r="D458" t="str">
            <v>KKM/JKN/HSA/10-05-01/H/15/2433</v>
          </cell>
          <cell r="E458" t="str">
            <v>PATIENT WARMER (BLANKET)</v>
          </cell>
        </row>
        <row r="459">
          <cell r="D459" t="str">
            <v>KKM/JKN/HSA/10-05-01/H/15/2434</v>
          </cell>
          <cell r="E459" t="str">
            <v>PATIENT WARMER (BLANKET)</v>
          </cell>
        </row>
        <row r="460">
          <cell r="D460" t="str">
            <v>KKM/JKN/HSA/10-05-01/H/15/2467</v>
          </cell>
          <cell r="E460" t="str">
            <v>ULTRASOUND SCANNER</v>
          </cell>
        </row>
        <row r="461">
          <cell r="D461" t="str">
            <v>KKM/JKN/HSA/10-05-01/H/15/2778</v>
          </cell>
          <cell r="E461" t="str">
            <v>INFUSION PUMP</v>
          </cell>
        </row>
        <row r="462">
          <cell r="D462" t="str">
            <v>KKM/JKN/HSA/10-05-01/H/15/2780</v>
          </cell>
          <cell r="E462" t="str">
            <v>INFUSION PUMP</v>
          </cell>
        </row>
        <row r="463">
          <cell r="D463" t="str">
            <v>KKM/JKN/HSA/10-05-01/H/15/2802</v>
          </cell>
          <cell r="E463" t="str">
            <v>ECG (EKG) MACHINE</v>
          </cell>
        </row>
        <row r="464">
          <cell r="D464" t="str">
            <v>KKM/JKN/HSA/10-05-01/H/15/2803</v>
          </cell>
          <cell r="E464" t="str">
            <v>ECG (EKG) MACHINE</v>
          </cell>
        </row>
        <row r="465">
          <cell r="D465" t="str">
            <v>KKM/JKN/HSA/10-05-01/H/15/2806</v>
          </cell>
          <cell r="E465" t="str">
            <v>PATIENT MONITORING EQUIP.(AUTOMATIC MULTIPARAMETER)</v>
          </cell>
        </row>
        <row r="466">
          <cell r="D466" t="str">
            <v>KKM/JKN/HSA/10-05-01/H/15/2807</v>
          </cell>
          <cell r="E466" t="str">
            <v>DEFIBRILLATOR</v>
          </cell>
        </row>
        <row r="467">
          <cell r="D467" t="str">
            <v>KKM/JKN/HSA/10-05-01/H/15/2810</v>
          </cell>
          <cell r="E467" t="str">
            <v>CENTRAL MONITORING SYSTEM</v>
          </cell>
        </row>
        <row r="468">
          <cell r="D468" t="str">
            <v>KKM/JKN/HSA/10-05-01/H/15/2811</v>
          </cell>
          <cell r="E468" t="str">
            <v>LARYNGOSCOPE</v>
          </cell>
        </row>
        <row r="469">
          <cell r="D469" t="str">
            <v>KKM/JKN/HSA/10-05-01/H/15/2812</v>
          </cell>
          <cell r="E469" t="str">
            <v>LARYNGOSCOPE</v>
          </cell>
        </row>
        <row r="470">
          <cell r="D470" t="str">
            <v>KKM/JKN/HSA/10-05-01/H/15/2813</v>
          </cell>
          <cell r="E470" t="str">
            <v>LARYNGOSCOPE</v>
          </cell>
        </row>
        <row r="471">
          <cell r="D471" t="str">
            <v>KKM/JKN/HSA/10-05-01/H/15/2814</v>
          </cell>
          <cell r="E471" t="str">
            <v>LARYNGOSCOPE</v>
          </cell>
        </row>
        <row r="472">
          <cell r="D472" t="str">
            <v>KKM/JKN/HSA/10-05-01/H/15/2826</v>
          </cell>
          <cell r="E472" t="str">
            <v>CAST CUTTER &amp; DUST EXTRACTION SYSTEM</v>
          </cell>
        </row>
        <row r="473">
          <cell r="D473" t="str">
            <v>KKM/JKN/HSA/10-05-01/H/15/303</v>
          </cell>
          <cell r="E473" t="str">
            <v>VENTILATOR</v>
          </cell>
        </row>
        <row r="474">
          <cell r="D474" t="str">
            <v>KKM/JKN/HSA/10-05-01/H/15/309</v>
          </cell>
          <cell r="E474" t="str">
            <v>VENTILATOR</v>
          </cell>
        </row>
        <row r="475">
          <cell r="D475" t="str">
            <v>KKM/JKN/HSA/10-05-01/H/15/310</v>
          </cell>
          <cell r="E475" t="str">
            <v>VENTILATOR</v>
          </cell>
        </row>
        <row r="476">
          <cell r="D476" t="str">
            <v>KKM/JKN/HSA/10-05-01/H/15/311</v>
          </cell>
          <cell r="E476" t="str">
            <v>VENTILATOR</v>
          </cell>
        </row>
        <row r="477">
          <cell r="D477" t="str">
            <v>KKM/JKN/HSA/10-05-01/H/15/3551</v>
          </cell>
          <cell r="E477" t="str">
            <v>PORTABLE PNEUMATIC POWERED RESUSCITATOR/OXYGEN RESUSCITATOR</v>
          </cell>
        </row>
        <row r="478">
          <cell r="D478" t="str">
            <v>KKM/JKN/HSA/10-05-01/H/15/3552</v>
          </cell>
          <cell r="E478" t="str">
            <v>PORTABLE PNEUMATIC POWERED RESUSCITATOR/OXYGEN RESUSCITATOR</v>
          </cell>
        </row>
        <row r="479">
          <cell r="D479" t="str">
            <v>KKM/JKN/HSA/10-05-01/H/15/3553</v>
          </cell>
          <cell r="E479" t="str">
            <v>PORTABLE PNEUMATIC POWERED RESUSCITATOR/OXYGEN RESUSCITATOR</v>
          </cell>
        </row>
        <row r="480">
          <cell r="D480" t="str">
            <v>KKM/JKN/HSA/10-05-01/H/15/3554</v>
          </cell>
          <cell r="E480" t="str">
            <v>PORTABLE PNEUMATIC POWERED RESUSCITATOR/OXYGEN RESUSCITATOR</v>
          </cell>
        </row>
        <row r="481">
          <cell r="D481" t="str">
            <v>KKM/JKN/HSA/10-05-01/H/15/3555</v>
          </cell>
          <cell r="E481" t="str">
            <v>PORTABLE PNEUMATIC POWERED RESUSCITATOR/OXYGEN RESUSCITATOR</v>
          </cell>
        </row>
        <row r="482">
          <cell r="D482" t="str">
            <v>KKM/JKN/HSA/10-05-01/H/15/3556</v>
          </cell>
          <cell r="E482" t="str">
            <v>PORTABLE PNEUMATIC POWERED RESUSCITATOR/OXYGEN RESUSCITATOR</v>
          </cell>
        </row>
        <row r="483">
          <cell r="D483" t="str">
            <v>KKM/JKN/HSA/10-05-01/H/15/3557</v>
          </cell>
          <cell r="E483" t="str">
            <v>PORTABLE PNEUMATIC POWERED RESUSCITATOR/OXYGEN RESUSCITATOR</v>
          </cell>
        </row>
        <row r="484">
          <cell r="D484" t="str">
            <v>KKM/JKN/HSA/10-05-01/H/15/3593</v>
          </cell>
          <cell r="E484" t="str">
            <v>TRANSPORT VITAL SIGN MONITIR 5 PARAMETER</v>
          </cell>
        </row>
        <row r="485">
          <cell r="D485" t="str">
            <v>KKM/JKN/HSA/10-05-01/H/15/3596</v>
          </cell>
          <cell r="E485" t="str">
            <v>TRANSPORT VITAL SIGN MONITIR 5 PARAMETER</v>
          </cell>
        </row>
        <row r="486">
          <cell r="D486" t="str">
            <v>KKM/JKN/HSA/10-05-01/H/15/3598</v>
          </cell>
          <cell r="E486" t="str">
            <v>TRANSPORT VITAL SIGN MONITIR 5 PARAMETER</v>
          </cell>
        </row>
        <row r="487">
          <cell r="D487" t="str">
            <v>KKM/JKN/HSA/10-05-01/H/15/3603</v>
          </cell>
          <cell r="E487" t="str">
            <v>SUCTION APPARATUS</v>
          </cell>
        </row>
        <row r="488">
          <cell r="D488" t="str">
            <v>KKM/JKN/HSA/10-05-01/H/15/3604</v>
          </cell>
          <cell r="E488" t="str">
            <v>SUCTION APPARATUS</v>
          </cell>
        </row>
        <row r="489">
          <cell r="D489" t="str">
            <v>KKM/JKN/HSA/10-05-01/H/15/3605</v>
          </cell>
          <cell r="E489" t="str">
            <v>SUCTION APPARATUS</v>
          </cell>
        </row>
        <row r="490">
          <cell r="D490" t="str">
            <v>KKM/JKN/HSA/10-05-01/H/15/3606</v>
          </cell>
          <cell r="E490" t="str">
            <v>SUCTION APPARATUS</v>
          </cell>
        </row>
        <row r="491">
          <cell r="D491" t="str">
            <v>KKM/JKN/HSA/10-05-01/H/15/3607</v>
          </cell>
          <cell r="E491" t="str">
            <v>SUCTION APPARATUS</v>
          </cell>
        </row>
        <row r="492">
          <cell r="D492" t="str">
            <v>KKM/JKN/HSA/10-05-01/H/15/3608</v>
          </cell>
          <cell r="E492" t="str">
            <v>SUCTION APPARATUS</v>
          </cell>
        </row>
        <row r="493">
          <cell r="D493" t="str">
            <v>KKM/JKN/HSA/10-05-01/H/15/3609</v>
          </cell>
          <cell r="E493" t="str">
            <v>SUCTION APPARATUS</v>
          </cell>
        </row>
        <row r="494">
          <cell r="D494" t="str">
            <v>KKM/JKN/HSA/10-05-01/H/15/3610</v>
          </cell>
          <cell r="E494" t="str">
            <v>SUCTION APPARATUS</v>
          </cell>
        </row>
        <row r="495">
          <cell r="D495" t="str">
            <v>KKM/JKN/HSA/10-05-01/H/15/3611</v>
          </cell>
          <cell r="E495" t="str">
            <v>PORTABLE PNEUMATIC POWERED RESUSCITATOR/OXYGEN RESUSCITATOR</v>
          </cell>
        </row>
        <row r="496">
          <cell r="D496" t="str">
            <v>KKM/JKN/HSA/10-05-01/H/15/3612</v>
          </cell>
          <cell r="E496" t="str">
            <v>PORTABLE PNEUMATIC POWERED RESUSCITATOR/OXYGEN RESUSCITATOR</v>
          </cell>
        </row>
        <row r="497">
          <cell r="D497" t="str">
            <v>KKM/JKN/HSA/10-05-01/H/15/3613</v>
          </cell>
          <cell r="E497" t="str">
            <v>PORTABLE PNEUMATIC POWERED RESUSCITATOR/OXYGEN RESUSCITATOR</v>
          </cell>
        </row>
        <row r="498">
          <cell r="D498" t="str">
            <v>KKM/JKN/HSA/10-05-01/H/15/3614</v>
          </cell>
          <cell r="E498" t="str">
            <v>PORTABLE PNEUMATIC POWERED RESUSCITATOR/OXYGEN RESUSCITATOR</v>
          </cell>
        </row>
        <row r="499">
          <cell r="D499" t="str">
            <v>KKM/JKN/HSA/10-05-01/H/15/3615</v>
          </cell>
          <cell r="E499" t="str">
            <v>PORTABLE PNEUMATIC POWERED RESUSCITATOR/OXYGEN RESUSCITATOR</v>
          </cell>
        </row>
        <row r="500">
          <cell r="D500" t="str">
            <v>KKM/JKN/HSA/10-05-01/H/15/3616</v>
          </cell>
          <cell r="E500" t="str">
            <v>PORTABLE PNEUMATIC POWERED RESUSCITATOR/OXYGEN RESUSCITATOR</v>
          </cell>
        </row>
        <row r="501">
          <cell r="D501" t="str">
            <v>KKM/JKN/HSA/10-05-01/H/15/3617</v>
          </cell>
          <cell r="E501" t="str">
            <v>PORTABLE PNEUMATIC POWERED RESUSCITATOR/OXYGEN RESUSCITATOR</v>
          </cell>
        </row>
        <row r="502">
          <cell r="D502" t="str">
            <v>KKM/JKN/HSA/10-05-01/H/15/3618</v>
          </cell>
          <cell r="E502" t="str">
            <v>PORTABLE PNEUMATIC POWERED RESUSCITATOR/OXYGEN RESUSCITATOR</v>
          </cell>
        </row>
        <row r="503">
          <cell r="D503" t="str">
            <v>KKM/JKN/HSA/10-05-01/H/15/3647</v>
          </cell>
          <cell r="E503" t="str">
            <v>TRAUMA KIT FIRST RESPONDER BAG</v>
          </cell>
        </row>
        <row r="504">
          <cell r="D504" t="str">
            <v>KKM/JKN/HSA/10-05-01/H/15/3648</v>
          </cell>
          <cell r="E504" t="str">
            <v>TRAUMA KIT FIRST RESPONDER BAG</v>
          </cell>
        </row>
        <row r="505">
          <cell r="D505" t="str">
            <v>KKM/JKN/HSA/10-05-01/H/15/3649</v>
          </cell>
          <cell r="E505" t="str">
            <v>TRAUMA KIT FIRST RESPONDER BAG</v>
          </cell>
        </row>
        <row r="506">
          <cell r="D506" t="str">
            <v>KKM/JKN/HSA/10-05-01/H/15/3650</v>
          </cell>
          <cell r="E506" t="str">
            <v>TRAUMA KIT FIRST RESPONDER BAG</v>
          </cell>
        </row>
        <row r="507">
          <cell r="D507" t="str">
            <v>KKM/JKN/HSA/10-05-01/H/15/3651</v>
          </cell>
          <cell r="E507" t="str">
            <v>TRAUMA KIT FIRST RESPONDER BAG</v>
          </cell>
        </row>
        <row r="508">
          <cell r="D508" t="str">
            <v>KKM/JKN/HSA/10-05-01/H/15/3652</v>
          </cell>
          <cell r="E508" t="str">
            <v>TRAUMA KIT FIRST RESPONDER BAG</v>
          </cell>
        </row>
        <row r="509">
          <cell r="D509" t="str">
            <v>KKM/JKN/HSA/10-05-01/H/15/3653</v>
          </cell>
          <cell r="E509" t="str">
            <v>TRAUMA KIT FIRST RESPONDER BAG</v>
          </cell>
        </row>
        <row r="510">
          <cell r="D510" t="str">
            <v>KKM/JKN/HSA/10-05-01/H/15/3654</v>
          </cell>
          <cell r="E510" t="str">
            <v>TRAUMA KIT FIRST RESPONDER BAG</v>
          </cell>
        </row>
        <row r="511">
          <cell r="D511" t="str">
            <v>KKM/JKN/HSA/10-05-01/H/15/3659</v>
          </cell>
          <cell r="E511" t="str">
            <v>DEFIBRILLATOR</v>
          </cell>
        </row>
        <row r="512">
          <cell r="D512" t="str">
            <v>KKM/JKN/HSA/10-05-01/H/15/3660</v>
          </cell>
          <cell r="E512" t="str">
            <v>DEFIBRILLATOR</v>
          </cell>
        </row>
        <row r="513">
          <cell r="D513" t="str">
            <v>KKM/JKN/HSA/10-05-01/H/15/3661</v>
          </cell>
          <cell r="E513" t="str">
            <v>DEFIBRILLATOR</v>
          </cell>
        </row>
        <row r="514">
          <cell r="D514" t="str">
            <v>KKM/JKN/HSA/10-05-01/H/15/37</v>
          </cell>
          <cell r="E514" t="str">
            <v>VENTILATOR</v>
          </cell>
        </row>
        <row r="515">
          <cell r="D515" t="str">
            <v>KKM/JKN/HSA/10-05-01/H/15/38</v>
          </cell>
          <cell r="E515" t="str">
            <v>HEMATOLOGY ANALYSER</v>
          </cell>
        </row>
        <row r="516">
          <cell r="D516" t="str">
            <v>KKM/JKN/HSA/10-05-01/H/15/427</v>
          </cell>
          <cell r="E516" t="str">
            <v>DIAGNOSTIC SET</v>
          </cell>
        </row>
        <row r="517">
          <cell r="D517" t="str">
            <v>KKM/JKN/HSA/10-05-01/H/15/438</v>
          </cell>
          <cell r="E517" t="str">
            <v>SYRINGE INFUSION PUMP</v>
          </cell>
        </row>
        <row r="518">
          <cell r="D518" t="str">
            <v>KKM/JKN/HSA/10-05-01/H/15/439</v>
          </cell>
          <cell r="E518" t="str">
            <v>SYRINGE INFUSION PUMP</v>
          </cell>
        </row>
        <row r="519">
          <cell r="D519" t="str">
            <v>KKM/JKN/HSA/10-05-01/H/15/440</v>
          </cell>
          <cell r="E519" t="str">
            <v>SYRINGE INFUSION PUMP</v>
          </cell>
        </row>
        <row r="520">
          <cell r="D520" t="str">
            <v>KKM/JKN/HSA/10-05-01/H/15/441</v>
          </cell>
          <cell r="E520" t="str">
            <v>SYRINGE INFUSION PUMP</v>
          </cell>
        </row>
        <row r="521">
          <cell r="D521" t="str">
            <v>KKM/JKN/HSA/10-05-01/H/15/442</v>
          </cell>
          <cell r="E521" t="str">
            <v>SYRINGE INFUSION PUMP</v>
          </cell>
        </row>
        <row r="522">
          <cell r="D522" t="str">
            <v>KKM/JKN/HSA/10-05-01/H/15/443</v>
          </cell>
          <cell r="E522" t="str">
            <v>SYRINGE INFUSION PUMP</v>
          </cell>
        </row>
        <row r="523">
          <cell r="D523" t="str">
            <v>KKM/JKN/HSA/10-05-01/H/15/444</v>
          </cell>
          <cell r="E523" t="str">
            <v>SYRINGE INFUSION PUMP</v>
          </cell>
        </row>
        <row r="524">
          <cell r="D524" t="str">
            <v>KKM/JKN/HSA/10-05-01/H/15/445</v>
          </cell>
          <cell r="E524" t="str">
            <v>SYRINGE INFUSION PUMP</v>
          </cell>
        </row>
        <row r="525">
          <cell r="D525" t="str">
            <v>KKM/JKN/HSA/10-05-01/H/15/446</v>
          </cell>
          <cell r="E525" t="str">
            <v>SYRINGE INFUSION PUMP</v>
          </cell>
        </row>
        <row r="526">
          <cell r="D526" t="str">
            <v>KKM/JKN/HSA/10-05-01/H/15/447</v>
          </cell>
          <cell r="E526" t="str">
            <v>SYRINGE INFUSION PUMP</v>
          </cell>
        </row>
        <row r="527">
          <cell r="D527" t="str">
            <v xml:space="preserve">KKM/JKN/HSA/10-05-01/H/15/466 </v>
          </cell>
          <cell r="E527" t="str">
            <v>SUCTION APPARATUS</v>
          </cell>
        </row>
        <row r="528">
          <cell r="D528" t="str">
            <v>KKM/JKN/HSA/10-05-01/H/15/4858</v>
          </cell>
          <cell r="E528" t="str">
            <v>AUTOMATIC EXTERNAL DEFIBRILLATOR (AED)</v>
          </cell>
        </row>
        <row r="529">
          <cell r="D529" t="str">
            <v>KKM/JKN/HSA/10-05-01/H/15/4859</v>
          </cell>
          <cell r="E529" t="str">
            <v>AUTOMATIC EXTERNAL DEFIBRILLATOR (AED)</v>
          </cell>
        </row>
        <row r="530">
          <cell r="D530" t="str">
            <v>KKM/JKN/HSA/10-05-01/H/15/4861</v>
          </cell>
          <cell r="E530" t="str">
            <v>AUTOMATIC EXTERNAL DEFIBRILLATOR (AED)</v>
          </cell>
        </row>
        <row r="531">
          <cell r="D531" t="str">
            <v>KKM/JKN/HSA/10-05-01/H/15/4862</v>
          </cell>
          <cell r="E531" t="str">
            <v>AUTOMATIC EXTERNAL DEFIBRILLATOR (AED)</v>
          </cell>
        </row>
        <row r="532">
          <cell r="D532" t="str">
            <v>KKM/JKN/HSA/10-05-01/H/15/4863</v>
          </cell>
          <cell r="E532" t="str">
            <v>AUTOMATIC EXTERNAL DEFIBRILLATOR (AED)</v>
          </cell>
        </row>
        <row r="533">
          <cell r="D533" t="str">
            <v>KKM/JKN/HSA/10-05-01/H/15/4864</v>
          </cell>
          <cell r="E533" t="str">
            <v>AUTOMATIC EXTERNAL DEFIBRILLATOR (AED)</v>
          </cell>
        </row>
        <row r="534">
          <cell r="D534" t="str">
            <v>KKM/JKN/HSA/10-05-01/H/15/4865</v>
          </cell>
          <cell r="E534" t="str">
            <v>AUTOMATIC EXTERNAL DEFIBRILLATOR (AED)</v>
          </cell>
        </row>
        <row r="535">
          <cell r="D535" t="str">
            <v>KKM/JKN/HSA/10-05-01/H/15/4866</v>
          </cell>
          <cell r="E535" t="str">
            <v>AUTOMATIC EXTERNAL DEFIBRILLATOR (AED)</v>
          </cell>
        </row>
        <row r="536">
          <cell r="D536" t="str">
            <v xml:space="preserve">KKM/JKN/HSA/10-05-01/H/15/4893 </v>
          </cell>
          <cell r="E536" t="str">
            <v>COMPRESSOR AIR (DENTAL)</v>
          </cell>
        </row>
        <row r="537">
          <cell r="D537" t="str">
            <v>KKM/JKN/HSA/10-05-01/H/15/5034</v>
          </cell>
          <cell r="E537" t="str">
            <v>BLOOD FLUID WARMER</v>
          </cell>
        </row>
        <row r="538">
          <cell r="D538" t="str">
            <v>KKM/JKN/HSA/10-05-01/H/15/5035</v>
          </cell>
          <cell r="E538" t="str">
            <v>BLOOD FLUID WARMER</v>
          </cell>
        </row>
        <row r="539">
          <cell r="D539" t="str">
            <v>KKM/JKN/HSA/10-05-01/H/15/5036</v>
          </cell>
          <cell r="E539" t="str">
            <v>BLOOD FLUID WARMER</v>
          </cell>
        </row>
        <row r="540">
          <cell r="D540" t="str">
            <v>KKM/JKN/HSA/10-05-01/H/15/5037</v>
          </cell>
          <cell r="E540" t="str">
            <v>HOTLINE FLUID WARMER</v>
          </cell>
        </row>
        <row r="541">
          <cell r="D541" t="str">
            <v>KKM/JKN/HSA/10-05-01/H/15/554</v>
          </cell>
          <cell r="E541" t="str">
            <v>INFANT INCUBATOR</v>
          </cell>
        </row>
        <row r="542">
          <cell r="D542" t="str">
            <v>KKM/JKN/HSA/10-05-01/H/15/564</v>
          </cell>
          <cell r="E542" t="str">
            <v>ECG (EKG) MACHINE</v>
          </cell>
        </row>
        <row r="543">
          <cell r="D543" t="str">
            <v>KKM/JKN/HSA/10-05-01/H/15/565</v>
          </cell>
          <cell r="E543" t="str">
            <v>ECG (EKG) MACHINE</v>
          </cell>
        </row>
        <row r="544">
          <cell r="D544" t="str">
            <v>KKM/JKN/HSA/10-05-01/H/15/605</v>
          </cell>
          <cell r="E544" t="str">
            <v>DEFIBRILLATOR</v>
          </cell>
        </row>
        <row r="545">
          <cell r="D545" t="str">
            <v>KKM/JKN/HSA/10-05-01/H/15/879</v>
          </cell>
          <cell r="E545" t="str">
            <v>CENTRAL MONITORING SYSTEM</v>
          </cell>
        </row>
        <row r="546">
          <cell r="D546" t="str">
            <v>KKM/JKN/HSA/10-05-01/H/15/939</v>
          </cell>
          <cell r="E546" t="str">
            <v>SYRINGE INFUSION PUMP</v>
          </cell>
        </row>
        <row r="547">
          <cell r="D547" t="str">
            <v>KKM/JKN/HSA/10-05-01/H/15/971</v>
          </cell>
          <cell r="E547" t="str">
            <v>PULSE OXIMETER AND SIMULATOR</v>
          </cell>
        </row>
        <row r="548">
          <cell r="D548" t="str">
            <v>KKM/JKN/HSA/10-05-01/H/15/972</v>
          </cell>
          <cell r="E548" t="str">
            <v>PULSE OXIMETER AND SIMULATOR</v>
          </cell>
        </row>
        <row r="549">
          <cell r="D549" t="str">
            <v>KKM/JKN/HSA/10-05-01/H/16/122</v>
          </cell>
          <cell r="E549" t="str">
            <v>DEFIBRILLATOR</v>
          </cell>
        </row>
        <row r="550">
          <cell r="D550" t="str">
            <v>KKM/JKN/HSA/10-05-01/H/16/180</v>
          </cell>
          <cell r="E550" t="str">
            <v>VENTILATOR</v>
          </cell>
        </row>
        <row r="551">
          <cell r="D551" t="str">
            <v>KKM/JKN/HSA/10-05-01/H/16/182</v>
          </cell>
          <cell r="E551" t="str">
            <v>SYRINGE INFUSION PUMP</v>
          </cell>
        </row>
        <row r="552">
          <cell r="D552" t="str">
            <v>KKM/JKN/HSA/10-05-01/H/16/183</v>
          </cell>
          <cell r="E552" t="str">
            <v>SYRINGE INFUSION PUMP</v>
          </cell>
        </row>
        <row r="553">
          <cell r="D553" t="str">
            <v>KKM/JKN/HSA/10-05-01/H/16/64</v>
          </cell>
          <cell r="E553" t="str">
            <v>VIDEO LARYNGOSCOPE</v>
          </cell>
        </row>
        <row r="554">
          <cell r="D554" t="str">
            <v>KKM/JKN/HSA/10-05-01/H/16/65</v>
          </cell>
          <cell r="E554" t="str">
            <v>PATIENT MONITORING EQUIP.(AUTOMATIC MULTIPARAMETER)</v>
          </cell>
        </row>
        <row r="555">
          <cell r="D555" t="str">
            <v>KKM/JKN/HSA/10-05-01/H/16/66</v>
          </cell>
          <cell r="E555" t="str">
            <v>PATIENT MONITORING EQUIP.(AUTOMATIC MULTIPARAMETER)</v>
          </cell>
        </row>
        <row r="556">
          <cell r="D556" t="str">
            <v>KKM/JKN/HSA/10-05-01/H/17/29</v>
          </cell>
          <cell r="E556" t="str">
            <v>PATIENT MONITORING EQUIP.(AUTOMATIC MULTIPARAMETER)</v>
          </cell>
        </row>
        <row r="557">
          <cell r="D557" t="str">
            <v>KKM/JKN/HSA/10-05-01/H/17/30</v>
          </cell>
          <cell r="E557" t="str">
            <v>PATIENT MONITORING EQUIP.(AUTOMATIC MULTIPARAMETER)</v>
          </cell>
        </row>
        <row r="558">
          <cell r="D558" t="str">
            <v>KKM/JKN/HSA/10-05-01/H/17/6</v>
          </cell>
          <cell r="E558" t="str">
            <v>DEFIBRILLATOR</v>
          </cell>
        </row>
        <row r="559">
          <cell r="D559" t="str">
            <v>KKM/JKN/HSA/10-05-01/R/15/6987</v>
          </cell>
          <cell r="E559" t="str">
            <v>CENTRAL MONITORING SYSTEM</v>
          </cell>
        </row>
        <row r="560">
          <cell r="D560" t="str">
            <v>KKM/JKN/HSA/10-05-01/R/15/7024</v>
          </cell>
          <cell r="E560" t="str">
            <v>INFANT/ BABY SCALER</v>
          </cell>
        </row>
        <row r="561">
          <cell r="D561" t="str">
            <v>KKM/JKN/HSA/10-05-01/R/15/7125</v>
          </cell>
          <cell r="E561" t="str">
            <v>PULP TESTER</v>
          </cell>
        </row>
        <row r="562">
          <cell r="D562" t="str">
            <v>KKM/JKN/HSA/10-05-01/H/20/54</v>
          </cell>
          <cell r="E562" t="str">
            <v>VENTILATOR</v>
          </cell>
        </row>
        <row r="563">
          <cell r="D563" t="str">
            <v>KKM/JKN/HSA/10-05-01/H/20/55</v>
          </cell>
          <cell r="E563" t="str">
            <v>VENTILATOR</v>
          </cell>
        </row>
        <row r="564">
          <cell r="D564" t="str">
            <v>KKM/JKN/HSA/10-05-01/H/20/212</v>
          </cell>
          <cell r="E564" t="str">
            <v>ULTRASOUND SCANNER</v>
          </cell>
        </row>
        <row r="565">
          <cell r="D565" t="str">
            <v>KKM/JKN/HSA/10-05-01/H/20/213</v>
          </cell>
          <cell r="E565" t="str">
            <v>GLIDESCOPE</v>
          </cell>
        </row>
        <row r="566">
          <cell r="D566" t="str">
            <v>KKM/JKN/HSA/10-05-01/H/20/249</v>
          </cell>
          <cell r="E566" t="str">
            <v>PATIENT MONITORING EQUIP.(AUTOMATIC MULTIPARAMETER)</v>
          </cell>
        </row>
        <row r="567">
          <cell r="D567" t="str">
            <v>KKM/JKN/HSA/10-05-01/H/20/193</v>
          </cell>
          <cell r="E567" t="str">
            <v>SPOT VITAL SIGN (NIBP)</v>
          </cell>
        </row>
        <row r="568">
          <cell r="D568" t="str">
            <v>KKM/JKN/HSA/10-05-01/H/20/182</v>
          </cell>
          <cell r="E568" t="str">
            <v>SPOT VITAL SIGN (NIBP)</v>
          </cell>
        </row>
        <row r="569">
          <cell r="D569" t="str">
            <v>KKM/JKN/HSA/10-05-01/H/21/264</v>
          </cell>
          <cell r="E569" t="str">
            <v>ECG MACHINE</v>
          </cell>
        </row>
        <row r="570">
          <cell r="D570" t="str">
            <v>KKM/JKN/HSA/10-05-01/H/21/209</v>
          </cell>
          <cell r="E570" t="str">
            <v>VITAL SIGN MONITORS</v>
          </cell>
        </row>
        <row r="571">
          <cell r="D571" t="str">
            <v>KKM/JKN/HSA/10-05-01/H/21/180</v>
          </cell>
          <cell r="E571" t="str">
            <v>PATIENT MONITORING EQUIPMENT</v>
          </cell>
        </row>
        <row r="572">
          <cell r="D572" t="str">
            <v>KKM/JKN/HSA/10-05-01/H/21/181</v>
          </cell>
          <cell r="E572" t="str">
            <v>PATIENT MONITORING EQUIPMENT</v>
          </cell>
        </row>
        <row r="573">
          <cell r="D573" t="str">
            <v>KKM/JKN/HSA/10-05-01/H/21/182</v>
          </cell>
          <cell r="E573" t="str">
            <v>PATIENT MONITORING EQUIPMENT</v>
          </cell>
        </row>
        <row r="574">
          <cell r="D574" t="str">
            <v>KKM/JKN/HSA/10-05-01/H/21/94</v>
          </cell>
          <cell r="E574" t="str">
            <v>SYRINGE INFUSION PUMP</v>
          </cell>
        </row>
        <row r="575">
          <cell r="D575" t="str">
            <v>KKM/JKN/HSA/10-05-01/H/21/95</v>
          </cell>
          <cell r="E575" t="str">
            <v>SYRINGE INFUSION PUMP</v>
          </cell>
        </row>
        <row r="576">
          <cell r="D576" t="str">
            <v>KKM/JKN/HSA/10-05-01/H/21/96</v>
          </cell>
          <cell r="E576" t="str">
            <v>SYRINGE INFUSION PUMP</v>
          </cell>
        </row>
        <row r="577">
          <cell r="D577" t="str">
            <v>KKM/JKN/HSA/10-05-01/H/21/97</v>
          </cell>
          <cell r="E577" t="str">
            <v>SYRINGE INFUSION PUMP</v>
          </cell>
        </row>
        <row r="578">
          <cell r="D578" t="str">
            <v>KKM/JKN/HSA/10-05-01/H/21/98</v>
          </cell>
          <cell r="E578" t="str">
            <v>SYRINGE INFUSION PUMP</v>
          </cell>
        </row>
        <row r="579">
          <cell r="D579" t="str">
            <v>KKM/JKN/HSA/10-05-01/H/21/99</v>
          </cell>
          <cell r="E579" t="str">
            <v>SYRINGE INFUSION PUMP</v>
          </cell>
        </row>
        <row r="580">
          <cell r="D580" t="str">
            <v>KKM/JKN/HSA/10-05-01/H/21/100</v>
          </cell>
          <cell r="E580" t="str">
            <v>SYRINGE INFUSION PUMP</v>
          </cell>
        </row>
        <row r="581">
          <cell r="D581" t="str">
            <v>KKM/JKN/HSA/10-05-01/H/21/101</v>
          </cell>
          <cell r="E581" t="str">
            <v>SYRINGE INFUSION PUMP</v>
          </cell>
        </row>
        <row r="582">
          <cell r="D582" t="str">
            <v>KKM/JKN/HSA/10-05-01/H/21/102</v>
          </cell>
          <cell r="E582" t="str">
            <v>SYRINGE INFUSION PUMP</v>
          </cell>
        </row>
        <row r="583">
          <cell r="D583" t="str">
            <v>KKM/JKN/HSA/10-05-01/H/21/103</v>
          </cell>
          <cell r="E583" t="str">
            <v>SYRINGE INFUSION PUMP</v>
          </cell>
        </row>
        <row r="584">
          <cell r="D584" t="str">
            <v>KKM/JKN/HSA/10-05-01/H/21/311</v>
          </cell>
          <cell r="E584" t="str">
            <v>INFUSION PUMP</v>
          </cell>
        </row>
        <row r="585">
          <cell r="D585" t="str">
            <v>KKM/JKN/HSA/10-05-01/H/21/312</v>
          </cell>
          <cell r="E585" t="str">
            <v>INFUSION PUMP</v>
          </cell>
        </row>
        <row r="586">
          <cell r="D586" t="str">
            <v>KKM/JKN/HSA/10-05-01/H/21/313</v>
          </cell>
          <cell r="E586" t="str">
            <v>INFUSION PUMP</v>
          </cell>
        </row>
        <row r="587">
          <cell r="D587" t="str">
            <v>KKM/JKN/HSA/10-05-01/H/21/314</v>
          </cell>
          <cell r="E587" t="str">
            <v>INFUSION PUMP</v>
          </cell>
        </row>
        <row r="588">
          <cell r="D588" t="str">
            <v>KKM/JKN/HSA/10-05-01/H/21/315</v>
          </cell>
          <cell r="E588" t="str">
            <v>INFUSION PUMP</v>
          </cell>
        </row>
        <row r="589">
          <cell r="D589" t="str">
            <v>KKM/JKN/HSA/10-05-01/H/21/316</v>
          </cell>
          <cell r="E589" t="str">
            <v>INFUSION PUMP</v>
          </cell>
        </row>
        <row r="590">
          <cell r="D590" t="str">
            <v>KKM/JKN/HSA/10-05-01/H/21/317</v>
          </cell>
          <cell r="E590" t="str">
            <v>INFUSION PUMP</v>
          </cell>
        </row>
        <row r="591">
          <cell r="D591" t="str">
            <v>KKM/JKN/HSA/10-05-01/H/21/318</v>
          </cell>
          <cell r="E591" t="str">
            <v>INFUSION PUMP</v>
          </cell>
        </row>
        <row r="592">
          <cell r="D592" t="str">
            <v>KKM/JKN/HSA/10-05-01/H/21/319</v>
          </cell>
          <cell r="E592" t="str">
            <v>INFUSION PUMP</v>
          </cell>
        </row>
        <row r="593">
          <cell r="D593" t="str">
            <v>KKM/JKN/HSA/10-05-01/H/21/320</v>
          </cell>
          <cell r="E593" t="str">
            <v>INFUSION PUMP</v>
          </cell>
        </row>
        <row r="594">
          <cell r="D594" t="str">
            <v>KKM/JKN/HSA/10-05-01/H/21/289</v>
          </cell>
          <cell r="E594" t="str">
            <v>DEFIBRILLATOR</v>
          </cell>
        </row>
        <row r="595">
          <cell r="D595" t="str">
            <v>HSAS10045</v>
          </cell>
          <cell r="E595" t="str">
            <v>MONITOR MODULAR 8-CH ECG/RR/NIBP/SPO2/2TEMP/2IBP</v>
          </cell>
        </row>
        <row r="596">
          <cell r="D596" t="str">
            <v>HSAS10046</v>
          </cell>
          <cell r="E596" t="str">
            <v>MONITOR MODULAR 8-CH ECG/RR/NIBP/SPO2/2TEMP/2IBP</v>
          </cell>
        </row>
        <row r="597">
          <cell r="D597" t="str">
            <v>HSAS10069</v>
          </cell>
          <cell r="E597" t="str">
            <v>FLUID MANAGEMENT SYSTEM INTENSIVE COMPLETE SYS</v>
          </cell>
        </row>
        <row r="598">
          <cell r="D598" t="str">
            <v>HSAS10091</v>
          </cell>
          <cell r="E598" t="str">
            <v>DOCKING SYSTEM</v>
          </cell>
        </row>
        <row r="599">
          <cell r="D599" t="str">
            <v>HSAS10095</v>
          </cell>
          <cell r="E599" t="str">
            <v>LASER PRINTER FOR CENTRAL STATION</v>
          </cell>
        </row>
        <row r="600">
          <cell r="D600" t="str">
            <v>KKM/JKN/HSA/10-05-01/R/15/17098</v>
          </cell>
          <cell r="E600" t="str">
            <v>DIAGNOSTIC SET ADULT</v>
          </cell>
        </row>
        <row r="601">
          <cell r="D601" t="str">
            <v>KKM/JKN/HSA/10-05-01/R/15/7360</v>
          </cell>
          <cell r="E601" t="str">
            <v>DIAGNOSTIC SET ADULT</v>
          </cell>
        </row>
        <row r="602">
          <cell r="D602" t="str">
            <v>KKM/JKN/HSA/10-05-01/H/15/1098</v>
          </cell>
          <cell r="E602" t="str">
            <v>SUCTION APPARATUS</v>
          </cell>
        </row>
        <row r="603">
          <cell r="D603" t="str">
            <v>KKM/JKN/HSA/10-05-01/H/15/1099</v>
          </cell>
          <cell r="E603" t="str">
            <v>SUCTION APPARATUS</v>
          </cell>
        </row>
        <row r="604">
          <cell r="D604" t="str">
            <v>KKM/JKN/HSA/10-05-01/H/15/1100</v>
          </cell>
          <cell r="E604" t="str">
            <v>SUCTION APPARATUS</v>
          </cell>
        </row>
        <row r="605">
          <cell r="D605" t="str">
            <v>KKM/JKN/HSA/10-05-01/H/15/1101</v>
          </cell>
          <cell r="E605" t="str">
            <v>SUCTION APPARATUS</v>
          </cell>
        </row>
        <row r="606">
          <cell r="D606" t="str">
            <v>KKM/JKN/HSA/10-05-01/H/15/1182</v>
          </cell>
          <cell r="E606" t="str">
            <v>INFUSION PUMP</v>
          </cell>
        </row>
        <row r="607">
          <cell r="D607" t="str">
            <v>KKM/JKN/HSA/10-05-01/H/15/1183</v>
          </cell>
          <cell r="E607" t="str">
            <v>INFUSION PUMP</v>
          </cell>
        </row>
        <row r="608">
          <cell r="D608" t="str">
            <v>KKM/JKN/HSA/10-05-01/H/15/1184</v>
          </cell>
          <cell r="E608" t="str">
            <v>INFUSION PUMP</v>
          </cell>
        </row>
        <row r="609">
          <cell r="D609" t="str">
            <v>KKM/JKN/HSA/10-05-01/H/15/1185</v>
          </cell>
          <cell r="E609" t="str">
            <v>INFUSION PUMP</v>
          </cell>
        </row>
        <row r="610">
          <cell r="D610" t="str">
            <v>KKM/JKN/HSA/10-05-01/H/15/1186</v>
          </cell>
          <cell r="E610" t="str">
            <v>INFUSION PUMP</v>
          </cell>
        </row>
        <row r="611">
          <cell r="D611" t="str">
            <v>KKM/JKN/HSA/10-05-01/H/15/1187</v>
          </cell>
          <cell r="E611" t="str">
            <v>INFUSION PUMP</v>
          </cell>
        </row>
        <row r="612">
          <cell r="D612" t="str">
            <v>KKM/JKN/HSA/10-05-01/H/15/1188</v>
          </cell>
          <cell r="E612" t="str">
            <v>INFUSION PUMP</v>
          </cell>
        </row>
        <row r="613">
          <cell r="D613" t="str">
            <v>KKM/JKN/HSA/10-05-01/H/15/1189</v>
          </cell>
          <cell r="E613" t="str">
            <v>INFUSION PUMP</v>
          </cell>
        </row>
        <row r="614">
          <cell r="D614" t="str">
            <v>KKM/JKN/HSA/10-05-01/H/15/1190</v>
          </cell>
          <cell r="E614" t="str">
            <v>INFUSION PUMP</v>
          </cell>
        </row>
        <row r="615">
          <cell r="D615" t="str">
            <v>KKM/JKN/HSA/10-05-01/H/15/1191</v>
          </cell>
          <cell r="E615" t="str">
            <v>INFUSION PUMP</v>
          </cell>
        </row>
        <row r="616">
          <cell r="D616" t="str">
            <v>KKM/JKN/HSA/10-05-01/H/15/1192</v>
          </cell>
          <cell r="E616" t="str">
            <v>DOCKING SYSTEM INFUSION/SYRINGE PUMP</v>
          </cell>
        </row>
        <row r="617">
          <cell r="D617" t="str">
            <v>KKM/JKN/HSA/10-05-01/H/15/1193</v>
          </cell>
          <cell r="E617" t="str">
            <v>DOCKING SYSTEM INFUSION/SYRINGE PUMP</v>
          </cell>
        </row>
        <row r="618">
          <cell r="D618" t="str">
            <v>KKM/JKN/HSA/10-05-01/H/15/1194</v>
          </cell>
          <cell r="E618" t="str">
            <v>INFUSION PUMP</v>
          </cell>
        </row>
        <row r="619">
          <cell r="D619" t="str">
            <v>KKM/JKN/HSA/10-05-01/H/15/1195</v>
          </cell>
          <cell r="E619" t="str">
            <v>INFUSION PUMP</v>
          </cell>
        </row>
        <row r="620">
          <cell r="D620" t="str">
            <v>KKM/JKN/HSA/10-05-01/H/15/1196</v>
          </cell>
          <cell r="E620" t="str">
            <v>INFUSION PUMP</v>
          </cell>
        </row>
        <row r="621">
          <cell r="D621" t="str">
            <v>KKM/JKN/HSA/10-05-01/H/15/1197</v>
          </cell>
          <cell r="E621" t="str">
            <v>INFUSION PUMP</v>
          </cell>
        </row>
        <row r="622">
          <cell r="D622" t="str">
            <v>KKM/JKN/HSA/10-05-01/H/15/1774</v>
          </cell>
          <cell r="E622" t="str">
            <v>ENTERAL FEEDING PUMP</v>
          </cell>
        </row>
        <row r="623">
          <cell r="D623" t="str">
            <v>KKM/JKN/HSA/10-05-01/H/15/1775</v>
          </cell>
          <cell r="E623" t="str">
            <v>ENTERAL FEEDING PUMP</v>
          </cell>
        </row>
        <row r="624">
          <cell r="D624" t="str">
            <v>KKM/JKN/HSA/10-05-01/H/15/1776</v>
          </cell>
          <cell r="E624" t="str">
            <v>ENTERAL FEEDING PUMP</v>
          </cell>
        </row>
        <row r="625">
          <cell r="D625" t="str">
            <v>KKM/JKN/HSA/10-05-01/H/15/1777</v>
          </cell>
          <cell r="E625" t="str">
            <v>ENTERAL FEEDING PUMP</v>
          </cell>
        </row>
        <row r="626">
          <cell r="D626" t="str">
            <v>KKM/JKN/HSA/10-05-01/H/15/2147</v>
          </cell>
          <cell r="E626" t="str">
            <v>SUCTION APPARATUS</v>
          </cell>
        </row>
        <row r="627">
          <cell r="D627" t="str">
            <v>KKM/JKN/HSA/10-05-01/H/15/2435</v>
          </cell>
          <cell r="E627" t="str">
            <v>PATIENT WARMER (BLANKET)</v>
          </cell>
        </row>
        <row r="628">
          <cell r="D628" t="str">
            <v>KKM/JKN/HSA/10-05-01/H/15/2776</v>
          </cell>
          <cell r="E628" t="str">
            <v>INFUSION PUMP</v>
          </cell>
        </row>
        <row r="629">
          <cell r="D629" t="str">
            <v>KKM/JKN/HSA/10-05-01/H/15/2777</v>
          </cell>
          <cell r="E629" t="str">
            <v>INFUSION PUMP</v>
          </cell>
        </row>
        <row r="630">
          <cell r="D630" t="str">
            <v>KKM/JKN/HSA/10-05-01/H/15/2782</v>
          </cell>
          <cell r="E630" t="str">
            <v>RIPPLE MATTRESS</v>
          </cell>
        </row>
        <row r="631">
          <cell r="D631" t="str">
            <v>KKM/JKN/HSA/10-05-01/H/15/2783</v>
          </cell>
          <cell r="E631" t="str">
            <v>RIPPLE MATTRESS</v>
          </cell>
        </row>
        <row r="632">
          <cell r="D632" t="str">
            <v>KKM/JKN/HSA/10-05-01/H/15/2784</v>
          </cell>
          <cell r="E632" t="str">
            <v>RIPPLE MATTRESS</v>
          </cell>
        </row>
        <row r="633">
          <cell r="D633" t="str">
            <v>KKM/JKN/HSA/10-05-01/H/15/2785</v>
          </cell>
          <cell r="E633" t="str">
            <v>RIPPLE MATTRESS</v>
          </cell>
        </row>
        <row r="634">
          <cell r="D634" t="str">
            <v>KKM/JKN/HSA/10-05-01/H/15/2786</v>
          </cell>
          <cell r="E634" t="str">
            <v>RIPPLE MATTRESS</v>
          </cell>
        </row>
        <row r="635">
          <cell r="D635" t="str">
            <v>KKM/JKN/HSA/10-05-01/H/15/2787</v>
          </cell>
          <cell r="E635" t="str">
            <v>RIPPLE MATTRESS</v>
          </cell>
        </row>
        <row r="636">
          <cell r="D636" t="str">
            <v>KKM/JKN/HSA/10-05-01/H/15/315</v>
          </cell>
          <cell r="E636" t="str">
            <v>VENTILATOR</v>
          </cell>
        </row>
        <row r="637">
          <cell r="D637" t="str">
            <v>KKM/JKN/HSA/10-05-01/H/15/316</v>
          </cell>
          <cell r="E637" t="str">
            <v>VENTILATOR</v>
          </cell>
        </row>
        <row r="638">
          <cell r="D638" t="str">
            <v>KKM/JKN/HSA/10-05-01/H/15/317</v>
          </cell>
          <cell r="E638" t="str">
            <v>VENTILATOR</v>
          </cell>
        </row>
        <row r="639">
          <cell r="D639" t="str">
            <v>KKM/JKN/HSA/10-05-01/H/15/319</v>
          </cell>
          <cell r="E639" t="str">
            <v>VENTILATOR</v>
          </cell>
        </row>
        <row r="640">
          <cell r="D640" t="str">
            <v>KKM/JKN/HSA/10-05-01/H/15/320</v>
          </cell>
          <cell r="E640" t="str">
            <v>VENTILATOR</v>
          </cell>
        </row>
        <row r="641">
          <cell r="D641" t="str">
            <v>KKM/JKN/HSA/10-05-01/H/15/3669</v>
          </cell>
          <cell r="E641" t="str">
            <v>DEFIBRILLATOR</v>
          </cell>
        </row>
        <row r="642">
          <cell r="D642" t="str">
            <v>KKM/JKN/HSA/10-05-01/H/15/3670</v>
          </cell>
          <cell r="E642" t="str">
            <v>DEFIBRILLATOR</v>
          </cell>
        </row>
        <row r="643">
          <cell r="D643" t="str">
            <v>KKM/JKN/HSA/10-05-01/H/15/4141</v>
          </cell>
          <cell r="E643" t="str">
            <v>PATIENT MONITORING EQUIP.(AUTOMATIC MULTIPARAMETER)</v>
          </cell>
        </row>
        <row r="644">
          <cell r="D644" t="str">
            <v>KKM/JKN/HSA/10-05-01/H/15/450</v>
          </cell>
          <cell r="E644" t="str">
            <v>SYRINGE INFUSION PUMP</v>
          </cell>
        </row>
        <row r="645">
          <cell r="D645" t="str">
            <v>KKM/JKN/HSA/10-05-01/H/15/451</v>
          </cell>
          <cell r="E645" t="str">
            <v>SYRINGE INFUSION PUMP</v>
          </cell>
        </row>
        <row r="646">
          <cell r="D646" t="str">
            <v>KKM/JKN/HSA/10-05-01/H/15/453</v>
          </cell>
          <cell r="E646" t="str">
            <v>SYRINGE INFUSION PUMP</v>
          </cell>
        </row>
        <row r="647">
          <cell r="D647" t="str">
            <v>KKM/JKN/HSA/10-05-01/H/15/461</v>
          </cell>
          <cell r="E647" t="str">
            <v>SYRINGE INFUSION PUMP</v>
          </cell>
        </row>
        <row r="648">
          <cell r="D648" t="str">
            <v>KKM/JKN/HSA/10-05-01/H/15/462</v>
          </cell>
          <cell r="E648" t="str">
            <v>SYRINGE INFUSION PUMP</v>
          </cell>
        </row>
        <row r="649">
          <cell r="D649" t="str">
            <v>KKM/JKN/HSA/10-05-01/H/15/5112</v>
          </cell>
          <cell r="E649" t="str">
            <v>FEEDING PUMP</v>
          </cell>
        </row>
        <row r="650">
          <cell r="D650" t="str">
            <v>KKM/JKN/HSA/10-05-01/H/15/5116</v>
          </cell>
          <cell r="E650" t="str">
            <v>FEEDING PUMP</v>
          </cell>
        </row>
        <row r="651">
          <cell r="D651" t="str">
            <v>KKM/JKN/HSA/10-05-01/H/15/567</v>
          </cell>
          <cell r="E651" t="str">
            <v>ECG (EKG) MACHINE</v>
          </cell>
        </row>
        <row r="652">
          <cell r="D652" t="str">
            <v>KKM/JKN/HSA/10-05-01/H/15/665</v>
          </cell>
          <cell r="E652" t="str">
            <v>SYRINGE INFUSION PUMP</v>
          </cell>
        </row>
        <row r="653">
          <cell r="D653" t="str">
            <v>KKM/JKN/HSA/10-05-01/H/15/666</v>
          </cell>
          <cell r="E653" t="str">
            <v>SYRINGE INFUSION PUMP</v>
          </cell>
        </row>
        <row r="654">
          <cell r="D654" t="str">
            <v>KKM/JKN/HSA/10-05-01/H/15/668</v>
          </cell>
          <cell r="E654" t="str">
            <v>SYRINGE INFUSION PUMP</v>
          </cell>
        </row>
        <row r="655">
          <cell r="D655" t="str">
            <v>KKM/JKN/HSA/10-05-01/H/15/669</v>
          </cell>
          <cell r="E655" t="str">
            <v>SYRINGE INFUSION PUMP</v>
          </cell>
        </row>
        <row r="656">
          <cell r="D656" t="str">
            <v>KKM/JKN/HSA/10-05-01/H/15/670</v>
          </cell>
          <cell r="E656" t="str">
            <v>SYRINGE INFUSION PUMP</v>
          </cell>
        </row>
        <row r="657">
          <cell r="D657" t="str">
            <v>KKM/JKN/HSA/10-05-01/H/15/671</v>
          </cell>
          <cell r="E657" t="str">
            <v>SYRINGE INFUSION PUMP</v>
          </cell>
        </row>
        <row r="658">
          <cell r="D658" t="str">
            <v>KKM/JKN/HSA/10-05-01/H/15/672</v>
          </cell>
          <cell r="E658" t="str">
            <v>SYRINGE INFUSION PUMP</v>
          </cell>
        </row>
        <row r="659">
          <cell r="D659" t="str">
            <v>KKM/JKN/HSA/10-05-01/H/15/673</v>
          </cell>
          <cell r="E659" t="str">
            <v>SYRINGE INFUSION PUMP</v>
          </cell>
        </row>
        <row r="660">
          <cell r="D660" t="str">
            <v>KKM/JKN/HSA/10-05-01/H/15/674</v>
          </cell>
          <cell r="E660" t="str">
            <v>SYRINGE INFUSION PUMP</v>
          </cell>
        </row>
        <row r="661">
          <cell r="D661" t="str">
            <v>KKM/JKN/HSA/10-05-01/H/15/675</v>
          </cell>
          <cell r="E661" t="str">
            <v>SYRINGE INFUSION PUMP</v>
          </cell>
        </row>
        <row r="662">
          <cell r="D662" t="str">
            <v>KKM/JKN/HSA/10-05-01/H/15/676</v>
          </cell>
          <cell r="E662" t="str">
            <v>SYRINGE INFUSION PUMP</v>
          </cell>
        </row>
        <row r="663">
          <cell r="D663" t="str">
            <v>KKM/JKN/HSA/10-05-01/H/15/677</v>
          </cell>
          <cell r="E663" t="str">
            <v>SYRINGE INFUSION PUMP</v>
          </cell>
        </row>
        <row r="664">
          <cell r="D664" t="str">
            <v>KKM/JKN/HSA/10-05-01/H/15/678</v>
          </cell>
          <cell r="E664" t="str">
            <v>SYRINGE INFUSION PUMP</v>
          </cell>
        </row>
        <row r="665">
          <cell r="D665" t="str">
            <v>KKM/JKN/HSA/10-05-01/H/15/679</v>
          </cell>
          <cell r="E665" t="str">
            <v>SYRINGE INFUSION PUMP</v>
          </cell>
        </row>
        <row r="666">
          <cell r="D666" t="str">
            <v>KKM/JKN/HSA/10-05-01/H/15/680</v>
          </cell>
          <cell r="E666" t="str">
            <v>SYRINGE INFUSION PUMP</v>
          </cell>
        </row>
        <row r="667">
          <cell r="D667" t="str">
            <v>KKM/JKN/HSA/10-05-01/H/15/681</v>
          </cell>
          <cell r="E667" t="str">
            <v>SYRINGE INFUSION PUMP</v>
          </cell>
        </row>
        <row r="668">
          <cell r="D668" t="str">
            <v>KKM/JKN/HSA/10-05-01/H/15/682</v>
          </cell>
          <cell r="E668" t="str">
            <v>SYRINGE INFUSION PUMP</v>
          </cell>
        </row>
        <row r="669">
          <cell r="D669" t="str">
            <v>KKM/JKN/HSA/10-05-01/H/15/683</v>
          </cell>
          <cell r="E669" t="str">
            <v>SYRINGE INFUSION PUMP</v>
          </cell>
        </row>
        <row r="670">
          <cell r="D670" t="str">
            <v>KKM/JKN/HSA/10-05-01/H/15/684</v>
          </cell>
          <cell r="E670" t="str">
            <v>SYRINGE INFUSION PUMP</v>
          </cell>
        </row>
        <row r="671">
          <cell r="D671" t="str">
            <v>KKM/JKN/HSA/10-05-01/H/15/685</v>
          </cell>
          <cell r="E671" t="str">
            <v>SYRINGE INFUSION PUMP</v>
          </cell>
        </row>
        <row r="672">
          <cell r="D672" t="str">
            <v>KKM/JKN/HSA/10-05-01/H/15/873</v>
          </cell>
          <cell r="E672" t="str">
            <v>CENTRAL MONITORING SYSTEM</v>
          </cell>
        </row>
        <row r="673">
          <cell r="D673" t="str">
            <v>KKM/JKN/HSA/10-05-01/H/15/917</v>
          </cell>
          <cell r="E673" t="str">
            <v>SYRINGE INFUSION PUMP</v>
          </cell>
        </row>
        <row r="674">
          <cell r="D674" t="str">
            <v>KKM/JKN/HSA/10-05-01/H/15/918</v>
          </cell>
          <cell r="E674" t="str">
            <v>SYRINGE INFUSION PUMP</v>
          </cell>
        </row>
        <row r="675">
          <cell r="D675" t="str">
            <v>KKM/JKN/HSA/10-05-01/H/15/919</v>
          </cell>
          <cell r="E675" t="str">
            <v>SYRINGE INFUSION PUMP</v>
          </cell>
        </row>
        <row r="676">
          <cell r="D676" t="str">
            <v>KKM/JKN/HSA/10-05-01/H/15/920</v>
          </cell>
          <cell r="E676" t="str">
            <v>SYRINGE INFUSION PUMP</v>
          </cell>
        </row>
        <row r="677">
          <cell r="D677" t="str">
            <v>KKM/JKN/HSA/10-05-01/H/15/921</v>
          </cell>
          <cell r="E677" t="str">
            <v>SYRINGE INFUSION PUMP</v>
          </cell>
        </row>
        <row r="678">
          <cell r="D678" t="str">
            <v>KKM/JKN/HSA/10-05-01/H/15/922</v>
          </cell>
          <cell r="E678" t="str">
            <v>SYRINGE INFUSION PUMP</v>
          </cell>
        </row>
        <row r="679">
          <cell r="D679" t="str">
            <v>KKM/JKN/HSA/10-05-01/H/15/923</v>
          </cell>
          <cell r="E679" t="str">
            <v>SYRINGE INFUSION PUMP</v>
          </cell>
        </row>
        <row r="680">
          <cell r="D680" t="str">
            <v>KKM/JKN/HSA/10-05-01/H/15/924</v>
          </cell>
          <cell r="E680" t="str">
            <v>SYRINGE INFUSION PUMP</v>
          </cell>
        </row>
        <row r="681">
          <cell r="D681" t="str">
            <v>KKM/JKN/HSA/10-05-01/H/16/72</v>
          </cell>
          <cell r="E681" t="str">
            <v>PNEUMATIC COMPRESSION DEVICES</v>
          </cell>
        </row>
        <row r="682">
          <cell r="D682" t="str">
            <v>KKM/JKN/HSA/10-05-01/H/16/78</v>
          </cell>
          <cell r="E682" t="str">
            <v>PNEUMATIC COMPRESSION DEVICES</v>
          </cell>
        </row>
        <row r="683">
          <cell r="D683" t="str">
            <v>KKM/JKN/HSA/10-05-01/H/16/94</v>
          </cell>
          <cell r="E683" t="str">
            <v>PATIENT WARMER (BLANKET)</v>
          </cell>
        </row>
        <row r="684">
          <cell r="D684" t="str">
            <v>KKM/JKN/HSA/10-05-01/H/16/95</v>
          </cell>
          <cell r="E684" t="str">
            <v>PATIENT WARMER (BLANKET)</v>
          </cell>
        </row>
        <row r="685">
          <cell r="D685" t="str">
            <v>KKM/JKN/HSA/10-05-01/R/15/6989</v>
          </cell>
          <cell r="E685" t="str">
            <v>CENTRAL MONITORING SYSTEM</v>
          </cell>
        </row>
        <row r="686">
          <cell r="D686" t="str">
            <v>KKM/JKN/HSA/10-05-01/H/16/104</v>
          </cell>
          <cell r="E686" t="str">
            <v>HOMOGENIZER</v>
          </cell>
        </row>
        <row r="687">
          <cell r="D687" t="str">
            <v>KKM/JKN/HSA/10-05-01/H/16/25</v>
          </cell>
          <cell r="E687" t="str">
            <v>HOT PLATE BLOCK</v>
          </cell>
        </row>
        <row r="688">
          <cell r="D688" t="str">
            <v>KKM/JKN/HSA/10-05-01/H/16/26</v>
          </cell>
          <cell r="E688" t="str">
            <v>UNIVERSAL OVEN</v>
          </cell>
        </row>
        <row r="689">
          <cell r="D689" t="str">
            <v>KKM/JKN/HSA/10-05-01/H/16/54</v>
          </cell>
          <cell r="E689" t="str">
            <v>LAB MIXER</v>
          </cell>
        </row>
        <row r="690">
          <cell r="D690" t="str">
            <v>KKM/JKN/HSA/10-05-01/H/16/55</v>
          </cell>
          <cell r="E690" t="str">
            <v>HOMOGENIZER</v>
          </cell>
        </row>
        <row r="691">
          <cell r="D691" t="str">
            <v>KKM/JKN/HSA/10-05-01/R/15/16383</v>
          </cell>
          <cell r="E691" t="str">
            <v>BALANCES ELECTRONICS</v>
          </cell>
        </row>
        <row r="692">
          <cell r="D692" t="str">
            <v>KKM/JKN/HSA/10-05-01/H/15/4860</v>
          </cell>
          <cell r="E692" t="str">
            <v>WATER DISTILLER</v>
          </cell>
        </row>
        <row r="693">
          <cell r="D693" t="str">
            <v>HSAS10119</v>
          </cell>
          <cell r="E693" t="str">
            <v>WATER PURIFICATION SYSTEMS, DEIONIZATION</v>
          </cell>
        </row>
        <row r="694">
          <cell r="D694" t="str">
            <v>HSAS10120</v>
          </cell>
          <cell r="E694" t="str">
            <v>WATER PURIFICATION SYSTEMS, DEIONIZATION</v>
          </cell>
        </row>
        <row r="695">
          <cell r="D695" t="str">
            <v>KKM/JKN/HSA/10-05-01/H/15/2534</v>
          </cell>
          <cell r="E695" t="str">
            <v>MOBILE X-RAY MACHINE</v>
          </cell>
        </row>
        <row r="696">
          <cell r="D696" t="str">
            <v>KKM/JKN/HSA/10-05-01/H/15/2535</v>
          </cell>
          <cell r="E696" t="str">
            <v>MOBILE X-RAY MACHINE</v>
          </cell>
        </row>
        <row r="697">
          <cell r="D697" t="str">
            <v xml:space="preserve">KKM/JKN/HSA/10-05-01/H/15/2537 </v>
          </cell>
          <cell r="E697" t="str">
            <v>MOBILE X-RAY MACHINE</v>
          </cell>
        </row>
        <row r="698">
          <cell r="D698" t="str">
            <v xml:space="preserve">KKM/JKN/HSA/10-05-01/H/15/2540 </v>
          </cell>
          <cell r="E698" t="str">
            <v>DICOM NETWORK PRINTER</v>
          </cell>
        </row>
        <row r="699">
          <cell r="D699" t="str">
            <v>KKM/JKN/HSA/10-05-01/H/15/2541</v>
          </cell>
          <cell r="E699" t="str">
            <v>DICOM NETWORK PRINTER</v>
          </cell>
        </row>
        <row r="700">
          <cell r="D700" t="str">
            <v xml:space="preserve">KKM/JKN/HSA/10-05-01/H/15/2542 </v>
          </cell>
          <cell r="E700" t="str">
            <v>COMPUTER RADIOGRAPHY (MULTI LOADER &amp; WORKSTATION)</v>
          </cell>
        </row>
        <row r="701">
          <cell r="D701" t="str">
            <v xml:space="preserve">KKM/JKN/HSA/10-05-01/H/15/2543 </v>
          </cell>
          <cell r="E701" t="str">
            <v>COMPUTER RADIOGRAPHY (MULTI LOADER &amp; WORKSTATION)</v>
          </cell>
        </row>
        <row r="702">
          <cell r="D702" t="str">
            <v>KKM/JKN/HSA/10-05-01/H/15/4996</v>
          </cell>
          <cell r="E702" t="str">
            <v>TOURNIQUET FOR VENOGRAM</v>
          </cell>
        </row>
        <row r="703">
          <cell r="D703" t="str">
            <v>KKM/JKN/HSA/10-05-01/H/15/4999</v>
          </cell>
          <cell r="E703" t="str">
            <v>MOBILE X-RAY MACHINE</v>
          </cell>
        </row>
        <row r="704">
          <cell r="D704" t="str">
            <v>KKM/JKN/HSA/10-05-01/H/15/5022</v>
          </cell>
          <cell r="E704" t="str">
            <v>WARMER BLOOD DRY HEAT TYPE</v>
          </cell>
        </row>
        <row r="705">
          <cell r="D705" t="str">
            <v>KKM/JKN/HSA/10-05-01/H/15/5088</v>
          </cell>
          <cell r="E705" t="str">
            <v>DENSITOMETER</v>
          </cell>
        </row>
        <row r="706">
          <cell r="D706" t="str">
            <v>KKM/JKN/HSA/10-05-01/H/15/5089</v>
          </cell>
          <cell r="E706" t="str">
            <v>DUAL COLOR ELECTRONIC SENSITOMETER</v>
          </cell>
        </row>
        <row r="707">
          <cell r="D707" t="str">
            <v>KKM/JKN/HSA/10-05-01/H/15/5090</v>
          </cell>
          <cell r="E707" t="str">
            <v>MAMMO DIGITAL KVP METER</v>
          </cell>
        </row>
        <row r="708">
          <cell r="D708" t="str">
            <v>KKM/JKN/HSA/10-05-01/H/15/5091</v>
          </cell>
          <cell r="E708" t="str">
            <v>VICTOREEN NON INVASIVE TEST DEVICE</v>
          </cell>
        </row>
        <row r="709">
          <cell r="D709" t="str">
            <v>KKM/JKN/HSA/10-05-01/H/15/5092</v>
          </cell>
          <cell r="E709" t="str">
            <v>DOSIMETER (CALIBRATION)</v>
          </cell>
        </row>
        <row r="710">
          <cell r="D710" t="str">
            <v>KKM/JKN/HSA/10-05-01/H/15/5093</v>
          </cell>
          <cell r="E710" t="str">
            <v>DOSIMETER (CALIBRATION)</v>
          </cell>
        </row>
        <row r="711">
          <cell r="D711" t="str">
            <v>KKM/JKN/HSA/10-05-01/H/15/5094</v>
          </cell>
          <cell r="E711" t="str">
            <v>DOSIMETER (CALIBRATION)</v>
          </cell>
        </row>
        <row r="712">
          <cell r="D712" t="str">
            <v>KKM/JKN/HSA/10-05-01/H/15/5095</v>
          </cell>
          <cell r="E712" t="str">
            <v>DOSIMETER (CALIBRATION)</v>
          </cell>
        </row>
        <row r="713">
          <cell r="D713" t="str">
            <v>KKM/JKN/HSA/10-05-01/H/15/5096</v>
          </cell>
          <cell r="E713" t="str">
            <v>DOSIMETER (CALIBRATION)</v>
          </cell>
        </row>
        <row r="714">
          <cell r="D714" t="str">
            <v>KKM/JKN/HSA/10-05-01/H/15/5097</v>
          </cell>
          <cell r="E714" t="str">
            <v>DOSIMETER (CALIBRATION)</v>
          </cell>
        </row>
        <row r="715">
          <cell r="D715" t="str">
            <v>KKM/JKN/HSA/10-05-01/H/15/5098</v>
          </cell>
          <cell r="E715" t="str">
            <v>DOSIMETER (CALIBRATION)</v>
          </cell>
        </row>
        <row r="716">
          <cell r="D716" t="str">
            <v>KKM/JKN/HSA/10-05-01/H/15/5099</v>
          </cell>
          <cell r="E716" t="str">
            <v>DOSIMETER (CALIBRATION)</v>
          </cell>
        </row>
        <row r="717">
          <cell r="D717" t="str">
            <v>KKM/JKN/HSA/10-05-01/H/15/5100</v>
          </cell>
          <cell r="E717" t="str">
            <v>DOSIMETER (CALIBRATION)</v>
          </cell>
        </row>
        <row r="718">
          <cell r="D718" t="str">
            <v>KKM/JKN/HSA/10-05-01/H/15/5101</v>
          </cell>
          <cell r="E718" t="str">
            <v>DOSIMETER (CALIBRATION)</v>
          </cell>
        </row>
        <row r="719">
          <cell r="D719" t="str">
            <v>KKM/JKN/HSA/10-05-01/H/16/192</v>
          </cell>
          <cell r="E719" t="str">
            <v>CARESTREAM DIRECTVIEW CLASSIC SYSTEM</v>
          </cell>
        </row>
        <row r="720">
          <cell r="D720" t="str">
            <v>KKM/JKN/HSA/10-05-01/H/19/25</v>
          </cell>
          <cell r="E720" t="str">
            <v>CAST CUTTER &amp; DUST EXTRACTION SYSTEM</v>
          </cell>
        </row>
        <row r="721">
          <cell r="D721" t="str">
            <v>KKM/JKN/HSA/10-05-01/R/15/15383</v>
          </cell>
          <cell r="E721" t="str">
            <v>VIDEO RECORDER</v>
          </cell>
        </row>
        <row r="722">
          <cell r="D722" t="str">
            <v>KKM/JKN/HSA/10-05-01/H/15/1018</v>
          </cell>
          <cell r="E722" t="str">
            <v>PATIENT MONITORING EQUIP.(AUTOMATIC MULTIPARAMETER)</v>
          </cell>
        </row>
        <row r="723">
          <cell r="D723" t="str">
            <v>KKM/JKN/HSA/10-05-01/H/15/1599</v>
          </cell>
          <cell r="E723" t="str">
            <v>PATIENT MONITORING EQUIP.(AUTOMATIC MULTIPARAMETER)</v>
          </cell>
        </row>
        <row r="724">
          <cell r="D724" t="str">
            <v>KKM/JKN/HSA/10-05-01/H/15/2469</v>
          </cell>
          <cell r="E724" t="str">
            <v>ULTRASOUND SCANNER</v>
          </cell>
        </row>
        <row r="725">
          <cell r="D725" t="str">
            <v>KKM/JKN/HSA/10-05-01/H/15/2470</v>
          </cell>
          <cell r="E725" t="str">
            <v>ULTRASOUND SCANNER</v>
          </cell>
        </row>
        <row r="726">
          <cell r="D726" t="str">
            <v xml:space="preserve">KKM/JKN/HSA/10-05-01/H/15/2538 </v>
          </cell>
          <cell r="E726" t="str">
            <v>MAMMOGRAPHY WITH BIOPSY, DIGITAL</v>
          </cell>
        </row>
        <row r="727">
          <cell r="D727" t="str">
            <v xml:space="preserve">KKM/JKN/HSA/10-05-01/H/15/2539 </v>
          </cell>
          <cell r="E727" t="str">
            <v>FLUOROSCOPY SYSTEM  DIGITAL ,W/ ANGIO  FACILITIES AND 2nd TUBE</v>
          </cell>
        </row>
        <row r="728">
          <cell r="D728" t="str">
            <v>KKM/JKN/HSA/10-05-01/H/15/2544</v>
          </cell>
          <cell r="E728" t="str">
            <v>COMPUTED TOMOGRAPHY</v>
          </cell>
        </row>
        <row r="729">
          <cell r="D729" t="str">
            <v>KKM/JKN/HSA/10-05-01/H/15/2545</v>
          </cell>
          <cell r="E729" t="str">
            <v>DENTAL X-RAY MACHINE</v>
          </cell>
        </row>
        <row r="730">
          <cell r="D730" t="str">
            <v>KKM/JKN/HSA/10-05-01/H/15/4872</v>
          </cell>
          <cell r="E730" t="str">
            <v>GENERAL X-RAY</v>
          </cell>
        </row>
        <row r="731">
          <cell r="D731" t="str">
            <v>KKM/JKN/HSA/10-05-01/H/15/4873</v>
          </cell>
          <cell r="E731" t="str">
            <v>GENERAL X-RAY</v>
          </cell>
        </row>
        <row r="732">
          <cell r="D732" t="str">
            <v>KKM/JKN/HSA/10-05-01/H/15/4874</v>
          </cell>
          <cell r="E732" t="str">
            <v>GENERAL X-RAY</v>
          </cell>
        </row>
        <row r="733">
          <cell r="D733" t="str">
            <v>KKM/JKN/HSA/10-05-01/H/15/4875</v>
          </cell>
          <cell r="E733" t="str">
            <v>DENTAL X-RAY</v>
          </cell>
        </row>
        <row r="734">
          <cell r="D734" t="str">
            <v>KKM/JKN/HSA/10-05-01/H/16/161</v>
          </cell>
          <cell r="E734" t="str">
            <v>BOTTLE WARMER</v>
          </cell>
        </row>
        <row r="735">
          <cell r="D735" t="str">
            <v>KKM/JKN/HSA/10-05-01/H/16/162</v>
          </cell>
          <cell r="E735" t="str">
            <v>BOTTLE WARMER</v>
          </cell>
        </row>
        <row r="736">
          <cell r="D736" t="str">
            <v>KKM/JKN/HSA/10-05-01/H/20/63</v>
          </cell>
          <cell r="E736" t="str">
            <v>ULTRASOUND SCANNER</v>
          </cell>
        </row>
        <row r="737">
          <cell r="D737" t="str">
            <v>KKM/JKN/HSA/10-05-01/H/20/64</v>
          </cell>
          <cell r="E737" t="str">
            <v>COMPUTED RADIOGRAPHY READER</v>
          </cell>
        </row>
        <row r="738">
          <cell r="D738" t="str">
            <v>KKM/JKN/HSA/10-05-01/H/15/2466</v>
          </cell>
          <cell r="E738" t="str">
            <v>ULTRASOUND SCANNER</v>
          </cell>
        </row>
        <row r="739">
          <cell r="D739" t="str">
            <v>KKM/JKN/HSA/10-05-01/H/15/4856</v>
          </cell>
          <cell r="E739" t="str">
            <v>BIO-FEEDBACK UNIT (sEMG)</v>
          </cell>
        </row>
        <row r="740">
          <cell r="D740" t="str">
            <v>KKM/JKN/HSA/10-05-01/H/15/1064</v>
          </cell>
          <cell r="E740" t="str">
            <v>MULE SYSTEM</v>
          </cell>
        </row>
        <row r="741">
          <cell r="D741" t="str">
            <v>KKM/JKN/HSA/10-05-01/H/15/1065</v>
          </cell>
          <cell r="E741" t="str">
            <v>MULE SYSTEM</v>
          </cell>
        </row>
        <row r="742">
          <cell r="D742" t="str">
            <v>KKM/JKN/HSA/10-05-01/H/15/1128</v>
          </cell>
          <cell r="E742" t="str">
            <v>SUCTION APPARATUS</v>
          </cell>
        </row>
        <row r="743">
          <cell r="D743" t="str">
            <v>KKM/JKN/HSA/10-05-01/H/15/1354</v>
          </cell>
          <cell r="E743" t="str">
            <v>TRICYCLE EXERCISE CHILDREN</v>
          </cell>
        </row>
        <row r="744">
          <cell r="D744" t="str">
            <v>KKM/JKN/HSA/10-05-01/H/15/1366</v>
          </cell>
          <cell r="E744" t="str">
            <v>TREADMILL</v>
          </cell>
        </row>
        <row r="745">
          <cell r="D745" t="str">
            <v>KKM/JKN/HSA/10-05-01/H/15/2547</v>
          </cell>
          <cell r="E745" t="str">
            <v>INTERFERENTIAL MUSCLE STIMULATOR</v>
          </cell>
        </row>
        <row r="746">
          <cell r="D746" t="str">
            <v>KKM/JKN/HSA/10-05-01/H/15/2548</v>
          </cell>
          <cell r="E746" t="str">
            <v>INTERFERENTIAL MUSCLE STIMULATOR</v>
          </cell>
        </row>
        <row r="747">
          <cell r="D747" t="str">
            <v>KKM/JKN/HSA/10-05-01/H/15/2734</v>
          </cell>
          <cell r="E747" t="str">
            <v>DYNAMOMETER</v>
          </cell>
        </row>
        <row r="748">
          <cell r="D748" t="str">
            <v>KKM/JKN/HSA/10-05-01/H/15/2735</v>
          </cell>
          <cell r="E748" t="str">
            <v>DYNAMOMETER</v>
          </cell>
        </row>
        <row r="749">
          <cell r="D749" t="str">
            <v>KKM/JKN/HSA/10-05-01/H/15/2757</v>
          </cell>
          <cell r="E749" t="str">
            <v>ELECTROTHERAPY BIOFEEDBACK</v>
          </cell>
        </row>
        <row r="750">
          <cell r="D750" t="str">
            <v>KKM/JKN/HSA/10-05-01/H/15/36</v>
          </cell>
          <cell r="E750" t="str">
            <v>SHOCKWAVE THERAPY UNIT</v>
          </cell>
        </row>
        <row r="751">
          <cell r="D751" t="str">
            <v>KKM/JKN/HSA/10-05-01/H/15/420</v>
          </cell>
          <cell r="E751" t="str">
            <v>ULTRASOUND NEUROMUSCULAR STIMULATORS</v>
          </cell>
        </row>
        <row r="752">
          <cell r="D752" t="str">
            <v>KKM/JKN/HSA/10-05-01/H/15/425</v>
          </cell>
          <cell r="E752" t="str">
            <v>MACHINE CPM SHOULDER (PE 0043 N)</v>
          </cell>
        </row>
        <row r="753">
          <cell r="D753" t="str">
            <v>KKM/JKN/HSA/10-05-01/H/15/955</v>
          </cell>
          <cell r="E753" t="str">
            <v>ULTRASOUND SYSTEM</v>
          </cell>
        </row>
        <row r="754">
          <cell r="D754" t="str">
            <v>KKM/JKN/HSA/10-05-01/H/15/956</v>
          </cell>
          <cell r="E754" t="str">
            <v>ULTRASOUND SYSTEM</v>
          </cell>
        </row>
        <row r="755">
          <cell r="D755" t="str">
            <v>KKM/JKN/HSA/10-05-01/H/15/957</v>
          </cell>
          <cell r="E755" t="str">
            <v>VITALOGRAPH SPIROMETER</v>
          </cell>
        </row>
        <row r="756">
          <cell r="D756" t="str">
            <v>KKM/JKN/HSA/10-05-01/H/15/966</v>
          </cell>
          <cell r="E756" t="str">
            <v>SHORT WAVE DIATHERMY</v>
          </cell>
        </row>
        <row r="757">
          <cell r="D757" t="str">
            <v>KKM/JKN/HSA/10-05-01/H/15/967</v>
          </cell>
          <cell r="E757" t="str">
            <v>SHORT WAVE DIATHERMY</v>
          </cell>
        </row>
        <row r="758">
          <cell r="D758" t="str">
            <v>KKM/JKN/HSA/10-05-01/H/15/969</v>
          </cell>
          <cell r="E758" t="str">
            <v>VITALOGRAPH SPIROMETER</v>
          </cell>
        </row>
        <row r="759">
          <cell r="D759" t="str">
            <v>KKM/JKN/HSA/10-05-01/H/15/973</v>
          </cell>
          <cell r="E759" t="str">
            <v>VITALOGRAPH SPIROMETER</v>
          </cell>
        </row>
        <row r="760">
          <cell r="D760" t="str">
            <v>KKM/JKN/HSA/10-05-01/H/16/139</v>
          </cell>
          <cell r="E760" t="str">
            <v>AERO UPPERCYCLE</v>
          </cell>
        </row>
        <row r="761">
          <cell r="D761" t="str">
            <v>KKM/JKN/HSA/10-05-01/R/15/16749</v>
          </cell>
          <cell r="E761" t="str">
            <v>STIMULATOR TRANSCUTANEOUS NERVE</v>
          </cell>
        </row>
        <row r="762">
          <cell r="D762" t="str">
            <v>KKM/JKN/HSA/10-05-01/R/15/16750</v>
          </cell>
          <cell r="E762" t="str">
            <v>TENS UNIT</v>
          </cell>
        </row>
        <row r="763">
          <cell r="D763" t="str">
            <v>KKM/JKN/HSA/10-05-01/H/20/256</v>
          </cell>
          <cell r="E763" t="str">
            <v>SPOT VITAL SIGN (NIBP)</v>
          </cell>
        </row>
        <row r="764">
          <cell r="D764" t="str">
            <v>KKM/JKN/HSA/10-05-01/H/15/5074</v>
          </cell>
          <cell r="E764" t="str">
            <v>POLISHING UNIT</v>
          </cell>
        </row>
        <row r="765">
          <cell r="D765" t="str">
            <v>KKM/JKN/HSA/10-05-01/H/15/4024</v>
          </cell>
          <cell r="E765" t="str">
            <v>WATER DISTILLER</v>
          </cell>
        </row>
        <row r="766">
          <cell r="D766" t="str">
            <v>KKM/JKN/HSA/10-05-01/H/15/4214</v>
          </cell>
          <cell r="E766" t="str">
            <v>HANDPIECE MAINTENANCE EQUIPMENT</v>
          </cell>
        </row>
        <row r="767">
          <cell r="D767" t="str">
            <v>KKM/JKN/HSA/10-05-01/H/15/4215</v>
          </cell>
          <cell r="E767" t="str">
            <v>ARTICULATOR W/MAGNET AND FACE BOW</v>
          </cell>
        </row>
        <row r="768">
          <cell r="D768" t="str">
            <v>KKM/JKN/HSA/10-05-01/H/15/4216</v>
          </cell>
          <cell r="E768" t="str">
            <v>ARTICULATOR W/MAGNET AND FACE BOW</v>
          </cell>
        </row>
        <row r="769">
          <cell r="D769" t="str">
            <v>KKM/JKN/HSA/10-05-01/H/15/4218</v>
          </cell>
          <cell r="E769" t="str">
            <v>PRISM LOUPE OPERATING</v>
          </cell>
        </row>
        <row r="770">
          <cell r="D770" t="str">
            <v>KKM/JKN/HSA/10-05-01/H/15/4886</v>
          </cell>
          <cell r="E770" t="str">
            <v>CENTRAL SUCTION (DENTAL)</v>
          </cell>
        </row>
        <row r="771">
          <cell r="D771" t="str">
            <v>KKM/JKN/HSA/10-05-01/H/19/2</v>
          </cell>
          <cell r="E771" t="str">
            <v>APEX LOCATOR</v>
          </cell>
        </row>
        <row r="772">
          <cell r="D772" t="str">
            <v>KKM/JKN/HSA/10-05-01/H/19/4</v>
          </cell>
          <cell r="E772" t="str">
            <v>VASCULAR DOPPLER</v>
          </cell>
        </row>
        <row r="773">
          <cell r="D773" t="str">
            <v>KKM/JKN/HSA/10-05-01/R/15/15058</v>
          </cell>
          <cell r="E773" t="str">
            <v>VIBRATOR UNIT</v>
          </cell>
        </row>
        <row r="774">
          <cell r="D774" t="str">
            <v>KKM/JKN/HSA/10-05-01/R/15/15059</v>
          </cell>
          <cell r="E774" t="str">
            <v>WAX POT</v>
          </cell>
        </row>
        <row r="775">
          <cell r="D775" t="str">
            <v>KKM/JKN/HSA/10-05-01/R/15/17209</v>
          </cell>
          <cell r="E775" t="str">
            <v>LOUPE BINOCULAR</v>
          </cell>
        </row>
        <row r="776">
          <cell r="D776" t="str">
            <v>KKM/JKN/HSA/10-05-01/R/15/7395</v>
          </cell>
          <cell r="E776" t="str">
            <v>DIAGNOSTIC SET ADULT</v>
          </cell>
        </row>
        <row r="777">
          <cell r="D777" t="str">
            <v>KKM/JKN/HSA/10-05-01/R/15/7396</v>
          </cell>
          <cell r="E777" t="str">
            <v>DIAGNOSTIC SET ADULT</v>
          </cell>
        </row>
        <row r="778">
          <cell r="D778" t="str">
            <v>KKM/JKN/HSA/10-05-01/H/14/3</v>
          </cell>
          <cell r="E778" t="str">
            <v>ALAT PENYUNTIK TUMESCENT ANESTESIA</v>
          </cell>
        </row>
        <row r="779">
          <cell r="D779" t="str">
            <v>KKM/JKN/HSA/10-05-01/H/15/1026</v>
          </cell>
          <cell r="E779" t="str">
            <v>PATIENT MONITORING EQUIP.(AUTOMATIC MULTIPARAMETER)</v>
          </cell>
        </row>
        <row r="780">
          <cell r="D780" t="str">
            <v>KKM/JKN/HSA/10-05-01/H/15/1089</v>
          </cell>
          <cell r="E780" t="str">
            <v>DENTAL X-RAY CHAIR</v>
          </cell>
        </row>
        <row r="781">
          <cell r="D781" t="str">
            <v>KKM/JKN/HSA/10-05-01/H/15/1118</v>
          </cell>
          <cell r="E781" t="str">
            <v xml:space="preserve">DENTAL CHAIR </v>
          </cell>
        </row>
        <row r="782">
          <cell r="D782" t="str">
            <v>KKM/JKN/HSA/10-05-01/H/15/1119</v>
          </cell>
          <cell r="E782" t="str">
            <v xml:space="preserve">DENTAL CHAIR </v>
          </cell>
        </row>
        <row r="783">
          <cell r="D783" t="str">
            <v>KKM/JKN/HSA/10-05-01/H/15/1120</v>
          </cell>
          <cell r="E783" t="str">
            <v xml:space="preserve">DENTAL CHAIR </v>
          </cell>
        </row>
        <row r="784">
          <cell r="D784" t="str">
            <v>KKM/JKN/HSA/10-05-01/H/15/1121</v>
          </cell>
          <cell r="E784" t="str">
            <v xml:space="preserve">DENTAL CHAIR </v>
          </cell>
        </row>
        <row r="785">
          <cell r="D785" t="str">
            <v>KKM/JKN/HSA/10-05-01/H/15/1122</v>
          </cell>
          <cell r="E785" t="str">
            <v xml:space="preserve">DENTAL CHAIR </v>
          </cell>
        </row>
        <row r="786">
          <cell r="D786" t="str">
            <v>KKM/JKN/HSA/10-05-01/H/15/1123</v>
          </cell>
          <cell r="E786" t="str">
            <v xml:space="preserve">DENTAL CHAIR </v>
          </cell>
        </row>
        <row r="787">
          <cell r="D787" t="str">
            <v>KKM/JKN/HSA/10-05-01/H/15/1124</v>
          </cell>
          <cell r="E787" t="str">
            <v xml:space="preserve">DENTAL CHAIR </v>
          </cell>
        </row>
        <row r="788">
          <cell r="D788" t="str">
            <v>KKM/JKN/HSA/10-05-01/H/15/1129</v>
          </cell>
          <cell r="E788" t="str">
            <v>SUCTION APPARATUS</v>
          </cell>
        </row>
        <row r="789">
          <cell r="D789" t="str">
            <v>KKM/JKN/HSA/10-05-01/H/15/1161</v>
          </cell>
          <cell r="E789" t="str">
            <v>LOUPES MOUNTEDON</v>
          </cell>
        </row>
        <row r="790">
          <cell r="D790" t="str">
            <v>KKM/JKN/HSA/10-05-01/H/15/1162</v>
          </cell>
          <cell r="E790" t="str">
            <v>LOUPES MOUNTEDON</v>
          </cell>
        </row>
        <row r="791">
          <cell r="D791" t="str">
            <v>KKM/JKN/HSA/10-05-01/H/15/1489</v>
          </cell>
          <cell r="E791" t="str">
            <v xml:space="preserve">DENTAL CHAIR </v>
          </cell>
        </row>
        <row r="792">
          <cell r="D792" t="str">
            <v>KKM/JKN/HSA/10-05-01/H/15/1490</v>
          </cell>
          <cell r="E792" t="str">
            <v xml:space="preserve">DENTAL CHAIR </v>
          </cell>
        </row>
        <row r="793">
          <cell r="D793" t="str">
            <v>KKM/JKN/HSA/10-05-01/H/15/1491</v>
          </cell>
          <cell r="E793" t="str">
            <v xml:space="preserve">DENTAL CHAIR </v>
          </cell>
        </row>
        <row r="794">
          <cell r="D794" t="str">
            <v>KKM/JKN/HSA/10-05-01/H/15/1660</v>
          </cell>
          <cell r="E794" t="str">
            <v>DENTAL ELECTROSURGERY SET</v>
          </cell>
        </row>
        <row r="795">
          <cell r="D795" t="str">
            <v>KKM/JKN/HSA/10-05-01/H/15/1661</v>
          </cell>
          <cell r="E795" t="str">
            <v>MODEL SURVEYOR</v>
          </cell>
        </row>
        <row r="796">
          <cell r="D796" t="str">
            <v>KKM/JKN/HSA/10-05-01/H/15/1663</v>
          </cell>
          <cell r="E796" t="str">
            <v>DENTAL IMPLANT SYSTEM</v>
          </cell>
        </row>
        <row r="797">
          <cell r="D797" t="str">
            <v>KKM/JKN/HSA/10-05-01/H/15/1664</v>
          </cell>
          <cell r="E797" t="str">
            <v>DENTAL IMPLANT SYSTEM</v>
          </cell>
        </row>
        <row r="798">
          <cell r="D798" t="str">
            <v>KKM/JKN/HSA/10-05-01/H/15/1701</v>
          </cell>
          <cell r="E798" t="str">
            <v>DENTAL CURING LIGHT</v>
          </cell>
        </row>
        <row r="799">
          <cell r="D799" t="str">
            <v>KKM/JKN/HSA/10-05-01/H/15/1702</v>
          </cell>
          <cell r="E799" t="str">
            <v>DENTAL CURING LIGHT</v>
          </cell>
        </row>
        <row r="800">
          <cell r="D800" t="str">
            <v>KKM/JKN/HSA/10-05-01/H/15/1703</v>
          </cell>
          <cell r="E800" t="str">
            <v>DENTAL CURING LIGHT</v>
          </cell>
        </row>
        <row r="801">
          <cell r="D801" t="str">
            <v>KKM/JKN/HSA/10-05-01/H/15/1704</v>
          </cell>
          <cell r="E801" t="str">
            <v>DENTAL CURING LIGHT</v>
          </cell>
        </row>
        <row r="802">
          <cell r="D802" t="str">
            <v>KKM/JKN/HSA/10-05-01/H/15/1705</v>
          </cell>
          <cell r="E802" t="str">
            <v>DENTAL CURING LIGHT</v>
          </cell>
        </row>
        <row r="803">
          <cell r="D803" t="str">
            <v>KKM/JKN/HSA/10-05-01/H/15/1706</v>
          </cell>
          <cell r="E803" t="str">
            <v>DENTAL CURING LIGHT</v>
          </cell>
        </row>
        <row r="804">
          <cell r="D804" t="str">
            <v>KKM/JKN/HSA/10-05-01/H/15/1707</v>
          </cell>
          <cell r="E804" t="str">
            <v>DENTAL CURING LIGHT</v>
          </cell>
        </row>
        <row r="805">
          <cell r="D805" t="str">
            <v>KKM/JKN/HSA/10-05-01/H/15/1708</v>
          </cell>
          <cell r="E805" t="str">
            <v>DENTAL CURING LIGHT</v>
          </cell>
        </row>
        <row r="806">
          <cell r="D806" t="str">
            <v>KKM/JKN/HSA/10-05-01/H/15/1709</v>
          </cell>
          <cell r="E806" t="str">
            <v>DENTAL CURING LIGHT</v>
          </cell>
        </row>
        <row r="807">
          <cell r="D807" t="str">
            <v>KKM/JKN/HSA/10-05-01/H/15/1710</v>
          </cell>
          <cell r="E807" t="str">
            <v>DENTAL CURING LIGHT</v>
          </cell>
        </row>
        <row r="808">
          <cell r="D808" t="str">
            <v>KKM/JKN/HSA/10-05-01/H/15/2045</v>
          </cell>
          <cell r="E808" t="str">
            <v>APEX LOCATOR</v>
          </cell>
        </row>
        <row r="809">
          <cell r="D809" t="str">
            <v>KKM/JKN/HSA/10-05-01/H/15/2046</v>
          </cell>
          <cell r="E809" t="str">
            <v>APEX LOCATOR</v>
          </cell>
        </row>
        <row r="810">
          <cell r="D810" t="str">
            <v>KKM/JKN/HSA/10-05-01/H/15/2549</v>
          </cell>
          <cell r="E810" t="str">
            <v>PROCESSOR FILM DENTAL</v>
          </cell>
        </row>
        <row r="811">
          <cell r="D811" t="str">
            <v>KKM/JKN/HSA/10-05-01/H/15/3564</v>
          </cell>
          <cell r="E811" t="str">
            <v>AMALGAMATOR EQUIPMENT</v>
          </cell>
        </row>
        <row r="812">
          <cell r="D812" t="str">
            <v>KKM/JKN/HSA/10-05-01/H/15/3565</v>
          </cell>
          <cell r="E812" t="str">
            <v>AMALGAMATOR EQUIPMENT</v>
          </cell>
        </row>
        <row r="813">
          <cell r="D813" t="str">
            <v>KKM/JKN/HSA/10-05-01/H/15/3566</v>
          </cell>
          <cell r="E813" t="str">
            <v>AMALGAMATOR EQUIPMENT</v>
          </cell>
        </row>
        <row r="814">
          <cell r="D814" t="str">
            <v>KKM/JKN/HSA/10-05-01/H/15/3567</v>
          </cell>
          <cell r="E814" t="str">
            <v>AMALGAMATOR EQUIPMENT</v>
          </cell>
        </row>
        <row r="815">
          <cell r="D815" t="str">
            <v>KKM/JKN/HSA/10-05-01/H/15/3568</v>
          </cell>
          <cell r="E815" t="str">
            <v>AMALGAMATOR EQUIPMENT</v>
          </cell>
        </row>
        <row r="816">
          <cell r="D816" t="str">
            <v>KKM/JKN/HSA/10-05-01/H/15/3569</v>
          </cell>
          <cell r="E816" t="str">
            <v>AMALGAMATOR EQUIPMENT</v>
          </cell>
        </row>
        <row r="817">
          <cell r="D817" t="str">
            <v>KKM/JKN/HSA/10-05-01/H/15/3570</v>
          </cell>
          <cell r="E817" t="str">
            <v>AMALGAMATOR EQUIPMENT</v>
          </cell>
        </row>
        <row r="818">
          <cell r="D818" t="str">
            <v>KKM/JKN/HSA/10-05-01/H/15/3571</v>
          </cell>
          <cell r="E818" t="str">
            <v>AMALGAMATOR EQUIPMENT</v>
          </cell>
        </row>
        <row r="819">
          <cell r="D819" t="str">
            <v>KKM/JKN/HSA/10-05-01/H/15/3572</v>
          </cell>
          <cell r="E819" t="str">
            <v>AMALGAMATOR EQUIPMENT</v>
          </cell>
        </row>
        <row r="820">
          <cell r="D820" t="str">
            <v>KKM/JKN/HSA/10-05-01/H/15/3573</v>
          </cell>
          <cell r="E820" t="str">
            <v>AMALGAMATOR EQUIPMENT</v>
          </cell>
        </row>
        <row r="821">
          <cell r="D821" t="str">
            <v>KKM/JKN/HSA/10-05-01/H/15/3574</v>
          </cell>
          <cell r="E821" t="str">
            <v>HEADLIGHTS</v>
          </cell>
        </row>
        <row r="822">
          <cell r="D822" t="str">
            <v>KKM/JKN/HSA/10-05-01/H/15/3575</v>
          </cell>
          <cell r="E822" t="str">
            <v>HEADLIGHTS</v>
          </cell>
        </row>
        <row r="823">
          <cell r="D823" t="str">
            <v>KKM/JKN/HSA/10-05-01/H/15/3577</v>
          </cell>
          <cell r="E823" t="str">
            <v>INTRAORAL CAMERA</v>
          </cell>
        </row>
        <row r="824">
          <cell r="D824" t="str">
            <v>KKM/JKN/HSA/10-05-01/H/15/3578</v>
          </cell>
          <cell r="E824" t="str">
            <v>INTRAORAL CAMERA</v>
          </cell>
        </row>
        <row r="825">
          <cell r="D825" t="str">
            <v>KKM/JKN/HSA/10-05-01/H/15/3624</v>
          </cell>
          <cell r="E825" t="str">
            <v>AMALGAMATOR EQUIPMENT</v>
          </cell>
        </row>
        <row r="826">
          <cell r="D826" t="str">
            <v>KKM/JKN/HSA/10-05-01/H/15/3682</v>
          </cell>
          <cell r="E826" t="str">
            <v>DEFIBRILLATOR</v>
          </cell>
        </row>
        <row r="827">
          <cell r="D827" t="str">
            <v>KKM/JKN/HSA/10-05-01/H/15/4025</v>
          </cell>
          <cell r="E827" t="str">
            <v>DENTAL LAB EQUIPMENT POLYMERIZATION UNIT</v>
          </cell>
        </row>
        <row r="828">
          <cell r="D828" t="str">
            <v>KKM/JKN/HSA/10-05-01/H/15/4026</v>
          </cell>
          <cell r="E828" t="str">
            <v>DENTAL LAB EQUIPMENT POLYMERIZATION UNIT</v>
          </cell>
        </row>
        <row r="829">
          <cell r="D829" t="str">
            <v>KKM/JKN/HSA/10-05-01/H/15/4029</v>
          </cell>
          <cell r="E829" t="str">
            <v>DENTAL MODEL TRIMMERS/POLISHING</v>
          </cell>
        </row>
        <row r="830">
          <cell r="D830" t="str">
            <v>KKM/JKN/HSA/10-05-01/H/15/4045</v>
          </cell>
          <cell r="E830" t="str">
            <v>THERMOFORMING MACHINE</v>
          </cell>
        </row>
        <row r="831">
          <cell r="D831" t="str">
            <v>KKM/JKN/HSA/10-05-01/H/15/4891</v>
          </cell>
          <cell r="E831" t="str">
            <v>CENTRAL COMPRESSOR (DENTAL)</v>
          </cell>
        </row>
        <row r="832">
          <cell r="D832" t="str">
            <v>KKM/JKN/HSA/10-05-01/H/16/100</v>
          </cell>
          <cell r="E832" t="str">
            <v>DENTAL HANDPIECE</v>
          </cell>
        </row>
        <row r="833">
          <cell r="D833" t="str">
            <v>KKM/JKN/HSA/10-05-01/H/16/101</v>
          </cell>
          <cell r="E833" t="str">
            <v>DENTAL DELIVERY UNIT ( VACUUM SYSTEM)</v>
          </cell>
        </row>
        <row r="834">
          <cell r="D834" t="str">
            <v>KKM/JKN/HSA/10-05-01/H/16/102</v>
          </cell>
          <cell r="E834" t="str">
            <v>IMPRESSION MATERIAL MIXER</v>
          </cell>
        </row>
        <row r="835">
          <cell r="D835" t="str">
            <v>KKM/JKN/HSA/10-05-01/H/16/103</v>
          </cell>
          <cell r="E835" t="str">
            <v>IMPRESSION MATERIAL MIXER</v>
          </cell>
        </row>
        <row r="836">
          <cell r="D836" t="str">
            <v>KKM/JKN/HSA/10-05-01/H/16/34</v>
          </cell>
          <cell r="E836" t="str">
            <v>DIGITAL CAMERA</v>
          </cell>
        </row>
        <row r="837">
          <cell r="D837" t="str">
            <v>KKM/JKN/HSA/10-05-01/H/16/35</v>
          </cell>
          <cell r="E837" t="str">
            <v>DENTAL HANDPIECE</v>
          </cell>
        </row>
        <row r="838">
          <cell r="D838" t="str">
            <v>KKM/JKN/HSA/10-05-01/H/16/36</v>
          </cell>
          <cell r="E838" t="str">
            <v>DENTAL HANDPIECE</v>
          </cell>
        </row>
        <row r="839">
          <cell r="D839" t="str">
            <v>KKM/JKN/HSA/10-05-01/H/16/37</v>
          </cell>
          <cell r="E839" t="str">
            <v>DENTAL SUCTION PUMP</v>
          </cell>
        </row>
        <row r="840">
          <cell r="D840" t="str">
            <v>KKM/JKN/HSA/10-05-01/H/16/38</v>
          </cell>
          <cell r="E840" t="str">
            <v>DENTAL SUCTION PUMP</v>
          </cell>
        </row>
        <row r="841">
          <cell r="D841" t="str">
            <v>KKM/JKN/HSA/10-05-01/H/16/47</v>
          </cell>
          <cell r="E841" t="str">
            <v>ELECTROSURGERY</v>
          </cell>
        </row>
        <row r="842">
          <cell r="D842" t="str">
            <v>KKM/JKN/HSA/10-05-01/H/16/48</v>
          </cell>
          <cell r="E842" t="str">
            <v>LAB CENTRIFUGE</v>
          </cell>
        </row>
        <row r="843">
          <cell r="D843" t="str">
            <v>KKM/JKN/HSA/10-05-01/H/16/52</v>
          </cell>
          <cell r="E843" t="str">
            <v>DIGITAL NITROUS OXIDE SEDATION SYSTEM</v>
          </cell>
        </row>
        <row r="844">
          <cell r="D844" t="str">
            <v>KKM/JKN/HSA/10-05-01/H/16/82</v>
          </cell>
          <cell r="E844" t="str">
            <v>DENTAL DIODE LASER</v>
          </cell>
        </row>
        <row r="845">
          <cell r="D845" t="str">
            <v>KKM/JKN/HSA/10-05-01/H/16/96</v>
          </cell>
          <cell r="E845" t="str">
            <v>DENTAL HANDPIECE</v>
          </cell>
        </row>
        <row r="846">
          <cell r="D846" t="str">
            <v>KKM/JKN/HSA/10-05-01/H/16/97</v>
          </cell>
          <cell r="E846" t="str">
            <v>DENTAL HANDPIECE</v>
          </cell>
        </row>
        <row r="847">
          <cell r="D847" t="str">
            <v>KKM/JKN/HSA/10-05-01/H/16/98</v>
          </cell>
          <cell r="E847" t="str">
            <v>DENTAL HANDPIECE</v>
          </cell>
        </row>
        <row r="848">
          <cell r="D848" t="str">
            <v>KKM/JKN/HSA/10-05-01/H/16/99</v>
          </cell>
          <cell r="E848" t="str">
            <v>DENTAL HANDPIECE</v>
          </cell>
        </row>
        <row r="849">
          <cell r="D849" t="str">
            <v>KKM/JKN/HSA/10-05-01/R/15/7126</v>
          </cell>
          <cell r="E849" t="str">
            <v>PULP TESTER</v>
          </cell>
        </row>
        <row r="850">
          <cell r="D850" t="str">
            <v>KKM/JKN/HSA/10-05-01/R/15/7127</v>
          </cell>
          <cell r="E850" t="str">
            <v>PULP TESTER</v>
          </cell>
        </row>
        <row r="851">
          <cell r="D851" t="str">
            <v>KKM/JKN/HSA/10-05-01/R/15/7128</v>
          </cell>
          <cell r="E851" t="str">
            <v>PULP TESTER</v>
          </cell>
        </row>
        <row r="852">
          <cell r="D852" t="str">
            <v>KKM/JKN/HSA/10-05-01/R/15/7129</v>
          </cell>
          <cell r="E852" t="str">
            <v>PULP TESTER</v>
          </cell>
        </row>
        <row r="853">
          <cell r="D853" t="str">
            <v>KKM/JKN/HSA/10-05-01/R/15/7130</v>
          </cell>
          <cell r="E853" t="str">
            <v>PULP TESTER</v>
          </cell>
        </row>
        <row r="854">
          <cell r="D854" t="str">
            <v>KKM/JKN/HSA/10-05-01/R/15/7131</v>
          </cell>
          <cell r="E854" t="str">
            <v>PULP TESTER</v>
          </cell>
        </row>
        <row r="855">
          <cell r="D855" t="str">
            <v>KKM/JKN/HSA/10-05-01/R/15/7132</v>
          </cell>
          <cell r="E855" t="str">
            <v>PULP TESTER</v>
          </cell>
        </row>
        <row r="856">
          <cell r="D856" t="str">
            <v>KKM/JKN/HSA/10-05-01/R/15/7133</v>
          </cell>
          <cell r="E856" t="str">
            <v>PULP TESTER</v>
          </cell>
        </row>
        <row r="857">
          <cell r="D857" t="str">
            <v>KKM/JKN/HSA/10-05-01/R/15/7134</v>
          </cell>
          <cell r="E857" t="str">
            <v>PULP TESTER</v>
          </cell>
        </row>
        <row r="858">
          <cell r="D858" t="str">
            <v>KKM/JKN/HSA/10-05-01/R/15/7135</v>
          </cell>
          <cell r="E858" t="str">
            <v>PULP TESTER</v>
          </cell>
        </row>
        <row r="859">
          <cell r="D859" t="str">
            <v>KKM/JKN/HSA/10-05-01/R/15/7146</v>
          </cell>
          <cell r="E859" t="str">
            <v>PATIENT MONITORING EQUIP.(AUTOMATIC MULTIPARAMETER)</v>
          </cell>
        </row>
        <row r="860">
          <cell r="D860" t="str">
            <v>KKM/JKN/HSA/10-05-01/R/15/7381</v>
          </cell>
          <cell r="E860" t="str">
            <v>DIAGNOSTIC (SET ADULT)</v>
          </cell>
        </row>
        <row r="861">
          <cell r="D861" t="str">
            <v>KKM/JKN/HSA/10-05-01/H/15/3576</v>
          </cell>
          <cell r="E861" t="str">
            <v>INTRA-ORAL CAMERA WORKSTATION</v>
          </cell>
        </row>
        <row r="862">
          <cell r="D862" t="str">
            <v>KKM/JKN/HSA/10-05-01/H/15/3576-01</v>
          </cell>
          <cell r="E862" t="str">
            <v xml:space="preserve">MONITOR </v>
          </cell>
        </row>
        <row r="863">
          <cell r="D863" t="str">
            <v>KKM/JKN/HSA/10-05-01/H/20/9</v>
          </cell>
          <cell r="E863" t="str">
            <v>OPTION 2 SURGIC XT NON OPTIC</v>
          </cell>
        </row>
        <row r="864">
          <cell r="D864" t="str">
            <v>KKM/JKN/HSA/10-05-01/H/20/228</v>
          </cell>
          <cell r="E864" t="str">
            <v>AEROSOL SUCTION / VACUUM MACHINE</v>
          </cell>
        </row>
        <row r="865">
          <cell r="D865" t="str">
            <v>KKM/JKN/HSA/10-05-01/H/20/243</v>
          </cell>
          <cell r="E865" t="str">
            <v>AEROSOL SUCTION / VACUUM MACHINE</v>
          </cell>
        </row>
        <row r="866">
          <cell r="D866" t="str">
            <v>KKM/JKN/HSA/10-05-01/H/20/244</v>
          </cell>
          <cell r="E866" t="str">
            <v>AEROSOL SUCTION / VACUUM MACHINE</v>
          </cell>
        </row>
        <row r="867">
          <cell r="D867" t="str">
            <v>HSAS10156</v>
          </cell>
          <cell r="E867" t="str">
            <v>DIATHERMY UNIT</v>
          </cell>
        </row>
        <row r="868">
          <cell r="D868" t="str">
            <v>KKM/JKN/HSA/10-05-01/H/15/4300</v>
          </cell>
          <cell r="E868" t="str">
            <v>MONITOR ANTEPARTUM W/INTEGRAL PRINTER</v>
          </cell>
        </row>
        <row r="869">
          <cell r="D869" t="str">
            <v>KKM/JKN/HSA/10-05-01/H/15/5121</v>
          </cell>
          <cell r="E869" t="str">
            <v>HAEMOGLOBINOMETER DIGITAL</v>
          </cell>
        </row>
        <row r="870">
          <cell r="D870" t="str">
            <v>KKM/JKN/HSA/10-05-01/H/15/5122</v>
          </cell>
          <cell r="E870" t="str">
            <v>INCUBATOR BACTERIOLOGICAL</v>
          </cell>
        </row>
        <row r="871">
          <cell r="D871" t="str">
            <v>KKM/JKN/HSA/10-05-01/R/15/16763</v>
          </cell>
          <cell r="E871" t="str">
            <v>SPHYGMOMANOMETER DIGITAL BATTERY OP</v>
          </cell>
        </row>
        <row r="872">
          <cell r="D872" t="str">
            <v>KKM/JKN/HSA/10-05-01/R/15/17351</v>
          </cell>
          <cell r="E872" t="str">
            <v>SPHYGMOMANOMETER ANEROID DESK MODEL</v>
          </cell>
        </row>
        <row r="873">
          <cell r="D873" t="str">
            <v>KKM/JKN/HSA/10-05-01/H/15/1345</v>
          </cell>
          <cell r="E873" t="str">
            <v>COLPOSCOPE</v>
          </cell>
        </row>
        <row r="874">
          <cell r="D874" t="str">
            <v>KKM/JKN/HSA/10-05-01/H/15/1597</v>
          </cell>
          <cell r="E874" t="str">
            <v>PATIENT MONITORING EQUIP.(AUTOMATIC MULTIPARAMETER)</v>
          </cell>
        </row>
        <row r="875">
          <cell r="D875" t="str">
            <v>KKM/JKN/HSA/10-05-01/H/15/2465</v>
          </cell>
          <cell r="E875" t="str">
            <v>ULTRASOUND COLOR DOPPLER, HI RES. ,GYNEC.</v>
          </cell>
        </row>
        <row r="876">
          <cell r="D876" t="str">
            <v>KKM/JKN/HSA/10-05-01/H/15/2473</v>
          </cell>
          <cell r="E876" t="str">
            <v>ULTRASOUND SCANNER</v>
          </cell>
        </row>
        <row r="877">
          <cell r="D877" t="str">
            <v>KKM/JKN/HSA/10-05-01/H/15/2474</v>
          </cell>
          <cell r="E877" t="str">
            <v>ULTRASOUND SCANNER</v>
          </cell>
        </row>
        <row r="878">
          <cell r="D878" t="str">
            <v>KKM/JKN/HSA/10-05-01/H/15/3678</v>
          </cell>
          <cell r="E878" t="str">
            <v>DEFIBRILLATOR</v>
          </cell>
        </row>
        <row r="879">
          <cell r="D879" t="str">
            <v>KKM/JKN/HSA/10-05-01/H/15/4301</v>
          </cell>
          <cell r="E879" t="str">
            <v>FETAL HEART MONITOR (CTG)</v>
          </cell>
        </row>
        <row r="880">
          <cell r="D880" t="str">
            <v>KKM/JKN/HSA/10-05-01/H/15/5120</v>
          </cell>
          <cell r="E880" t="str">
            <v>CENTRIFUGE</v>
          </cell>
        </row>
        <row r="881">
          <cell r="D881" t="str">
            <v>KKM/JKN/HSA/10-05-01/H/15/5123</v>
          </cell>
          <cell r="E881" t="str">
            <v>MICROSCOPE</v>
          </cell>
        </row>
        <row r="882">
          <cell r="D882" t="str">
            <v>KKM/JKN/HSA/10-05-01/R/15/14859</v>
          </cell>
          <cell r="E882" t="str">
            <v>BLOOD PRESSURE MONITOR (SPHYGMOMANOMETER)</v>
          </cell>
        </row>
        <row r="883">
          <cell r="D883" t="str">
            <v>KKM/JKN/HSA/10-05-01/R/15/14861</v>
          </cell>
          <cell r="E883" t="str">
            <v>BLOOD PRESSURE MONITOR (SPHYGMOMANOMETER)</v>
          </cell>
        </row>
        <row r="884">
          <cell r="D884" t="str">
            <v>KKM/JKN/HSA/10-05-01/R/15/14862</v>
          </cell>
          <cell r="E884" t="str">
            <v>BLOOD PRESSURE MONITOR (SPHYGMOMANOMETER)</v>
          </cell>
        </row>
        <row r="885">
          <cell r="D885" t="str">
            <v>KKM/JKN/HSA/10-05-01/R/15/14865</v>
          </cell>
          <cell r="E885" t="str">
            <v>BLOOD PRESSURE MONITOR (SPHYGMOMANOMETER)</v>
          </cell>
        </row>
        <row r="886">
          <cell r="D886" t="str">
            <v>KKM/JKN/HSA/10-05-01/R/15/14866</v>
          </cell>
          <cell r="E886" t="str">
            <v>BLOOD PRESSURE MONITOR (SPHYGMOMANOMETER)</v>
          </cell>
        </row>
        <row r="887">
          <cell r="D887" t="str">
            <v>KKM/JKN/HSA/10-05-01/R/15/14867</v>
          </cell>
          <cell r="E887" t="str">
            <v>BLOOD PRESSURE MONITOR (SPHYGMOMANOMETER)</v>
          </cell>
        </row>
        <row r="888">
          <cell r="D888" t="str">
            <v>KKM/JKN/HSA/10-05-01/R/15/14868</v>
          </cell>
          <cell r="E888" t="str">
            <v>BLOOD PRESSURE MONITOR (SPHYGMOMANOMETER)</v>
          </cell>
        </row>
        <row r="889">
          <cell r="D889" t="str">
            <v>KKM/JKN/HSA/10-05-01/R/15/14869</v>
          </cell>
          <cell r="E889" t="str">
            <v>BLOOD PRESSURE MONITOR (SPHYGMOMANOMETER)</v>
          </cell>
        </row>
        <row r="890">
          <cell r="D890" t="str">
            <v>KKM/JKN/HSA/10-05-01/R/15/14871</v>
          </cell>
          <cell r="E890" t="str">
            <v>BLOOD PRESSURE MONITOR (SPHYGMOMANOMETER)</v>
          </cell>
        </row>
        <row r="891">
          <cell r="D891" t="str">
            <v>KKM/JKN/HSA/10-05-01/R/15/14872</v>
          </cell>
          <cell r="E891" t="str">
            <v>BLOOD PRESSURE MONITOR (SPHYGMOMANOMETER)</v>
          </cell>
        </row>
        <row r="892">
          <cell r="D892" t="str">
            <v>KKM/JKN/HSA/10-05-01/R/15/14873</v>
          </cell>
          <cell r="E892" t="str">
            <v>BLOOD PRESSURE MONITOR (SPHYGMOMANOMETER)</v>
          </cell>
        </row>
        <row r="893">
          <cell r="D893" t="str">
            <v>KKM/JKN/HSA/10-05-01/R/15/14874</v>
          </cell>
          <cell r="E893" t="str">
            <v>BLOOD PRESSURE MONITOR (SPHYGMOMANOMETER)</v>
          </cell>
        </row>
        <row r="894">
          <cell r="D894" t="str">
            <v>KKM/JKN/HSA/10-05-01/R/15/14876</v>
          </cell>
          <cell r="E894" t="str">
            <v>BLOOD PRESSURE MONITOR (SPHYGMOMANOMETER)</v>
          </cell>
        </row>
        <row r="895">
          <cell r="D895" t="str">
            <v>KKM/JKN/HSA/10-05-01/R/15/15101</v>
          </cell>
          <cell r="E895" t="str">
            <v>PORTABLE FETAL DOPPLER/CAPNOGRAPH</v>
          </cell>
        </row>
        <row r="896">
          <cell r="D896" t="str">
            <v>KKM/JKN/HSA/10-05-01/R/15/15103</v>
          </cell>
          <cell r="E896" t="str">
            <v>PORTABLE FETAL DOPPLER/CAPNOGRAPH</v>
          </cell>
        </row>
        <row r="897">
          <cell r="D897" t="str">
            <v>KKM/JKN/HSA/10-05-01/R/15/15104</v>
          </cell>
          <cell r="E897" t="str">
            <v>PORTABLE FETAL DOPPLER/CAPNOGRAPH</v>
          </cell>
        </row>
        <row r="898">
          <cell r="D898" t="str">
            <v>KKM/JKN/HSA/10-05-01/R/15/15105</v>
          </cell>
          <cell r="E898" t="str">
            <v>PORTABLE FETAL DOPPLER/CAPNOGRAPH</v>
          </cell>
        </row>
        <row r="899">
          <cell r="D899" t="str">
            <v>KKM/JKN/HSA/10-05-01/R/15/16149</v>
          </cell>
          <cell r="E899" t="str">
            <v>NEBULIZER</v>
          </cell>
        </row>
        <row r="900">
          <cell r="D900" t="str">
            <v>KKM/JKN/HSA/10-05-01/R/15/16386</v>
          </cell>
          <cell r="E900" t="str">
            <v>PATIENT MONITORING EQUIP.(AUTOMATIC MULTIPARAMETER)</v>
          </cell>
        </row>
        <row r="901">
          <cell r="D901" t="str">
            <v>KKM/JKN/HSA/10-05-01/R/15/6758</v>
          </cell>
          <cell r="E901" t="str">
            <v>DIAGNOSTIC SET</v>
          </cell>
        </row>
        <row r="902">
          <cell r="D902" t="str">
            <v>KKM/JKN/HSA/10-05-01/R/15/7144</v>
          </cell>
          <cell r="E902" t="str">
            <v>PATIENT MONITORING EQUIP.(AUTOMATIC MULTIPARAMETER)</v>
          </cell>
        </row>
        <row r="903">
          <cell r="D903" t="str">
            <v>KKM/JKN/HSA/10-05-01/H/16/89</v>
          </cell>
          <cell r="E903" t="str">
            <v xml:space="preserve">PULSE OXIMETER AND SIMULATOR </v>
          </cell>
        </row>
        <row r="904">
          <cell r="D904" t="str">
            <v>KKM/JKN/HSA/10-05-01/H/16/90</v>
          </cell>
          <cell r="E904" t="str">
            <v xml:space="preserve">PULSE OXIMETER AND SIMULATOR </v>
          </cell>
        </row>
        <row r="905">
          <cell r="D905" t="str">
            <v>KKM/JKN/HSA/10-05-01/H/20/232</v>
          </cell>
          <cell r="E905" t="str">
            <v>SYRINGE INFUSION PUMP</v>
          </cell>
        </row>
        <row r="906">
          <cell r="D906" t="str">
            <v>KKM/JKN/HSA/10-05-01/H/20/233</v>
          </cell>
          <cell r="E906" t="str">
            <v>SYRINGE INFUSION PUMP</v>
          </cell>
        </row>
        <row r="907">
          <cell r="D907" t="str">
            <v>KKM/JKN/HSA/10-05-01/H/20/175</v>
          </cell>
          <cell r="E907" t="str">
            <v xml:space="preserve">ECG (EKG) MACHINE </v>
          </cell>
        </row>
        <row r="908">
          <cell r="D908" t="str">
            <v>HSAS10047</v>
          </cell>
          <cell r="E908" t="str">
            <v>OPHTHALMOSCOPE W/RECHARGABLE HANDLE</v>
          </cell>
        </row>
        <row r="909">
          <cell r="D909" t="str">
            <v>HSAS10048</v>
          </cell>
          <cell r="E909" t="str">
            <v>OPHTHALMOSCOPE W/RECHARGABLE HANDLE</v>
          </cell>
        </row>
        <row r="910">
          <cell r="D910" t="str">
            <v>HSAS10049</v>
          </cell>
          <cell r="E910" t="str">
            <v>OPHTHALMOSCOPE W/RECHARGABLE HANDLE</v>
          </cell>
        </row>
        <row r="911">
          <cell r="D911" t="str">
            <v>HSAS10060</v>
          </cell>
          <cell r="E911" t="str">
            <v>OPHTHALMASCOPE INDIRECT/20/28D LENS</v>
          </cell>
        </row>
        <row r="912">
          <cell r="D912" t="str">
            <v>HSAS10061</v>
          </cell>
          <cell r="E912" t="str">
            <v>OPHTHALMASCOPE INDIRECT/20/28D LENS</v>
          </cell>
        </row>
        <row r="913">
          <cell r="D913" t="str">
            <v>KKM/JKN/HSA/10-05-01/H/15/2832</v>
          </cell>
          <cell r="E913" t="str">
            <v>LAMP SLIT/TONOMETER/3 MIRROR/LENSES</v>
          </cell>
        </row>
        <row r="914">
          <cell r="D914" t="str">
            <v>KKM/JKN/HSA/10-05-01/H/15/4125</v>
          </cell>
          <cell r="E914" t="str">
            <v>FOCIMETER (LENSOMETER)</v>
          </cell>
        </row>
        <row r="915">
          <cell r="D915" t="str">
            <v>KKM/JKN/HSA/10-05-01/H/15/4343</v>
          </cell>
          <cell r="E915" t="str">
            <v>KERATOMETER</v>
          </cell>
        </row>
        <row r="916">
          <cell r="D916" t="str">
            <v>KKM/JKN/HSA/10-05-01/H/15/4344</v>
          </cell>
          <cell r="E916" t="str">
            <v>KERATOMETER</v>
          </cell>
        </row>
        <row r="917">
          <cell r="D917" t="str">
            <v>KKM/JKN/HSA/10-05-01/H/15/5044</v>
          </cell>
          <cell r="E917" t="str">
            <v>SCREEN HESS ELECTRIC</v>
          </cell>
        </row>
        <row r="918">
          <cell r="D918" t="str">
            <v>KKM/JKN/HSA/10-05-01/H/15/5108</v>
          </cell>
          <cell r="E918" t="str">
            <v>LAMP OPERATING MINOR</v>
          </cell>
        </row>
        <row r="919">
          <cell r="D919" t="str">
            <v>KKM/JKN/HSA/10-05-01/H/17/37</v>
          </cell>
          <cell r="E919" t="str">
            <v>ECG  (EKG) MACHINE</v>
          </cell>
        </row>
        <row r="920">
          <cell r="D920" t="str">
            <v>KKM/JKN/HSA/10-05-01/R/15/15921</v>
          </cell>
          <cell r="E920" t="str">
            <v>LOUPE BINOCULAR</v>
          </cell>
        </row>
        <row r="921">
          <cell r="D921" t="str">
            <v>KKM/JKN/HSA/10-05-01/R/15/17201</v>
          </cell>
          <cell r="E921" t="str">
            <v>LOUPE BINOCULAR</v>
          </cell>
        </row>
        <row r="922">
          <cell r="D922" t="str">
            <v>KKM/JKN/HSA/10-05-01/R/15/17210</v>
          </cell>
          <cell r="E922" t="str">
            <v>LOUPE BINOCULAR</v>
          </cell>
        </row>
        <row r="923">
          <cell r="D923" t="str">
            <v>KKM/JKN/HSA/10-05-01/H/15/1598</v>
          </cell>
          <cell r="E923" t="str">
            <v>PATIENT MONITORING EQUIP.(AUTOMATIC MULTIPARAMETER)</v>
          </cell>
        </row>
        <row r="924">
          <cell r="D924" t="str">
            <v>KKM/JKN/HSA/10-05-01/H/15/2052</v>
          </cell>
          <cell r="E924" t="str">
            <v>KERATOMETER/REFRACTOMETER</v>
          </cell>
        </row>
        <row r="925">
          <cell r="D925" t="str">
            <v>KKM/JKN/HSA/10-05-01/H/15/2053</v>
          </cell>
          <cell r="E925" t="str">
            <v>KERATOMETER/REFRACTOMETER</v>
          </cell>
        </row>
        <row r="926">
          <cell r="D926" t="str">
            <v>KKM/JKN/HSA/10-05-01/H/15/2073</v>
          </cell>
          <cell r="E926" t="str">
            <v>VISUAL ACUITY TEST CHART</v>
          </cell>
        </row>
        <row r="927">
          <cell r="D927" t="str">
            <v>KKM/JKN/HSA/10-05-01/H/15/2074</v>
          </cell>
          <cell r="E927" t="str">
            <v>VISUAL ACUITY TEST CHART</v>
          </cell>
        </row>
        <row r="928">
          <cell r="D928" t="str">
            <v>KKM/JKN/HSA/10-05-01/H/15/2075</v>
          </cell>
          <cell r="E928" t="str">
            <v>VISUAL ACUITY TEST CHART</v>
          </cell>
        </row>
        <row r="929">
          <cell r="D929" t="str">
            <v>KKM/JKN/HSA/10-05-01/H/15/2076</v>
          </cell>
          <cell r="E929" t="str">
            <v>VISUAL ACUITY TEST CHART</v>
          </cell>
        </row>
        <row r="930">
          <cell r="D930" t="str">
            <v>KKM/JKN/HSA/10-05-01/H/15/2077</v>
          </cell>
          <cell r="E930" t="str">
            <v>VISUAL ACUITY TEST CHART</v>
          </cell>
        </row>
        <row r="931">
          <cell r="D931" t="str">
            <v>KKM/JKN/HSA/10-05-01/H/15/2081</v>
          </cell>
          <cell r="E931" t="str">
            <v>VISUAL ACUITY TEST CHART</v>
          </cell>
        </row>
        <row r="932">
          <cell r="D932" t="str">
            <v>KKM/JKN/HSA/10-05-01/H/15/2082</v>
          </cell>
          <cell r="E932" t="str">
            <v>VISUAL ACUITY TEST CHART</v>
          </cell>
        </row>
        <row r="933">
          <cell r="D933" t="str">
            <v>KKM/JKN/HSA/10-05-01/H/15/2083</v>
          </cell>
          <cell r="E933" t="str">
            <v>VISUAL ACUITY TEST CHART</v>
          </cell>
        </row>
        <row r="934">
          <cell r="D934" t="str">
            <v>KKM/JKN/HSA/10-05-01/H/15/2479</v>
          </cell>
          <cell r="E934" t="str">
            <v>HEADLIGHTS</v>
          </cell>
        </row>
        <row r="935">
          <cell r="D935" t="str">
            <v>KKM/JKN/HSA/10-05-01/H/15/2752</v>
          </cell>
          <cell r="E935" t="str">
            <v>LASER INDIRECT OPTHALMOSCAPE SLIT LAMP LASER</v>
          </cell>
        </row>
        <row r="936">
          <cell r="D936" t="str">
            <v>KKM/JKN/HSA/10-05-01/H/15/2827</v>
          </cell>
          <cell r="E936" t="str">
            <v>SLIT LAMP</v>
          </cell>
        </row>
        <row r="937">
          <cell r="D937" t="str">
            <v>KKM/JKN/HSA/10-05-01/H/15/2828</v>
          </cell>
          <cell r="E937" t="str">
            <v>SLIT LAMP</v>
          </cell>
        </row>
        <row r="938">
          <cell r="D938" t="str">
            <v>KKM/JKN/HSA/10-05-01/H/15/2830</v>
          </cell>
          <cell r="E938" t="str">
            <v>SLIT LAMP</v>
          </cell>
        </row>
        <row r="939">
          <cell r="D939" t="str">
            <v>KKM/JKN/HSA/10-05-01/H/15/2831</v>
          </cell>
          <cell r="E939" t="str">
            <v>SLIT LAMP</v>
          </cell>
        </row>
        <row r="940">
          <cell r="D940" t="str">
            <v>KKM/JKN/HSA/10-05-01/H/15/2833</v>
          </cell>
          <cell r="E940" t="str">
            <v>SLIT LAMP</v>
          </cell>
        </row>
        <row r="941">
          <cell r="D941" t="str">
            <v>KKM/JKN/HSA/10-05-01/H/15/3681</v>
          </cell>
          <cell r="E941" t="str">
            <v>DEFIBRILLATOR</v>
          </cell>
        </row>
        <row r="942">
          <cell r="D942" t="str">
            <v>KKM/JKN/HSA/10-05-01/H/15/4121</v>
          </cell>
          <cell r="E942" t="str">
            <v>DIATHERMY UNIT SHORT WAVE</v>
          </cell>
        </row>
        <row r="943">
          <cell r="D943" t="str">
            <v>KKM/JKN/HSA/10-05-01/H/15/4122</v>
          </cell>
          <cell r="E943" t="str">
            <v>CRYOSURGICAL UNIT</v>
          </cell>
        </row>
        <row r="944">
          <cell r="D944" t="str">
            <v>KKM/JKN/HSA/10-05-01/H/15/4126</v>
          </cell>
          <cell r="E944" t="str">
            <v>LENSOMETER (FOCIMETER)</v>
          </cell>
        </row>
        <row r="945">
          <cell r="D945" t="str">
            <v>KKM/JKN/HSA/10-05-01/H/15/4142</v>
          </cell>
          <cell r="E945" t="str">
            <v>NEAR VISION TEST CHART</v>
          </cell>
        </row>
        <row r="946">
          <cell r="D946" t="str">
            <v>KKM/JKN/HSA/10-05-01/H/15/4149</v>
          </cell>
          <cell r="E946" t="str">
            <v>CONTRAST SENSIVITY TEST</v>
          </cell>
        </row>
        <row r="947">
          <cell r="D947" t="str">
            <v>KKM/JKN/HSA/10-05-01/H/15/4260</v>
          </cell>
          <cell r="E947" t="str">
            <v>LASER DIODE (RED) PHOTOCOAGULATION</v>
          </cell>
        </row>
        <row r="948">
          <cell r="D948" t="str">
            <v>KKM/JKN/HSA/10-05-01/H/15/4261</v>
          </cell>
          <cell r="E948" t="str">
            <v>LASER DIODE (RED) PHOTOCOAGULATION</v>
          </cell>
        </row>
        <row r="949">
          <cell r="D949" t="str">
            <v>KKM/JKN/HSA/10-05-01/H/15/4326</v>
          </cell>
          <cell r="E949" t="str">
            <v>SLIT LAMP</v>
          </cell>
        </row>
        <row r="950">
          <cell r="D950" t="str">
            <v>KKM/JKN/HSA/10-05-01/H/15/4328</v>
          </cell>
          <cell r="E950" t="str">
            <v>RETINOSCOPE</v>
          </cell>
        </row>
        <row r="951">
          <cell r="D951" t="str">
            <v>KKM/JKN/HSA/10-05-01/H/15/4329</v>
          </cell>
          <cell r="E951" t="str">
            <v>RETINOSCOPE</v>
          </cell>
        </row>
        <row r="952">
          <cell r="D952" t="str">
            <v>KKM/JKN/HSA/10-05-01/H/15/4330</v>
          </cell>
          <cell r="E952" t="str">
            <v>RETINOSCOPE</v>
          </cell>
        </row>
        <row r="953">
          <cell r="D953" t="str">
            <v>KKM/JKN/HSA/10-05-01/H/15/4331</v>
          </cell>
          <cell r="E953" t="str">
            <v>RETINOSCOPE</v>
          </cell>
        </row>
        <row r="954">
          <cell r="D954" t="str">
            <v>KKM/JKN/HSA/10-05-01/H/15/4332</v>
          </cell>
          <cell r="E954" t="str">
            <v>RETINOSCOPE</v>
          </cell>
        </row>
        <row r="955">
          <cell r="D955" t="str">
            <v>KKM/JKN/HSA/10-05-01/H/15/4333</v>
          </cell>
          <cell r="E955" t="str">
            <v>RETINOSCOPE</v>
          </cell>
        </row>
        <row r="956">
          <cell r="D956" t="str">
            <v>KKM/JKN/HSA/10-05-01/H/15/4335</v>
          </cell>
          <cell r="E956" t="str">
            <v>ULTRASOUND OPTHALMIC</v>
          </cell>
        </row>
        <row r="957">
          <cell r="D957" t="str">
            <v>KKM/JKN/HSA/10-05-01/H/15/4336</v>
          </cell>
          <cell r="E957" t="str">
            <v>PERIMETERS (OPHTHALMIC)</v>
          </cell>
        </row>
        <row r="958">
          <cell r="D958" t="str">
            <v>KKM/JKN/HSA/10-05-01/H/15/4345</v>
          </cell>
          <cell r="E958" t="str">
            <v>TONOMETER</v>
          </cell>
        </row>
        <row r="959">
          <cell r="D959" t="str">
            <v>KKM/JKN/HSA/10-05-01/H/16/108</v>
          </cell>
          <cell r="E959" t="str">
            <v>GLIDESCOPE</v>
          </cell>
        </row>
        <row r="960">
          <cell r="D960" t="str">
            <v>KKM/JKN/HSA/10-05-01/H/16/114</v>
          </cell>
          <cell r="E960" t="str">
            <v>COMPUTER TABLET/SOFTWARE</v>
          </cell>
        </row>
        <row r="961">
          <cell r="D961" t="str">
            <v>KKM/JKN/HSA/10-05-01/H/16/116</v>
          </cell>
          <cell r="E961" t="str">
            <v>SLIT LAMP</v>
          </cell>
        </row>
        <row r="962">
          <cell r="D962" t="str">
            <v>KKM/JKN/HSA/10-05-01/H/16/117</v>
          </cell>
          <cell r="E962" t="str">
            <v>OPHTHALMOSCOPE</v>
          </cell>
        </row>
        <row r="963">
          <cell r="D963" t="str">
            <v>KKM/JKN/HSA/10-05-01/H/16/118</v>
          </cell>
          <cell r="E963" t="str">
            <v>OPHTHALMOSCOPE</v>
          </cell>
        </row>
        <row r="964">
          <cell r="D964" t="str">
            <v>KKM/JKN/HSA/10-05-01/H/16/119</v>
          </cell>
          <cell r="E964" t="str">
            <v>OPHTHALMOSCOPE</v>
          </cell>
        </row>
        <row r="965">
          <cell r="D965" t="str">
            <v>KKM/JKN/HSA/10-05-01/H/16/120</v>
          </cell>
          <cell r="E965" t="str">
            <v>SPECTRAL IMAGING SYSTEM</v>
          </cell>
        </row>
        <row r="966">
          <cell r="D966" t="str">
            <v>KKM/JKN/HSA/10-05-01/H/16/128</v>
          </cell>
          <cell r="E966" t="str">
            <v>SLIT LAMP</v>
          </cell>
        </row>
        <row r="967">
          <cell r="D967" t="str">
            <v>KKM/JKN/HSA/10-05-01/H/16/138</v>
          </cell>
          <cell r="E967" t="str">
            <v>KERATOMETER/REFRACTOMETER</v>
          </cell>
        </row>
        <row r="968">
          <cell r="D968" t="str">
            <v>KKM/JKN/HSA/10-05-01/H/16/175</v>
          </cell>
          <cell r="E968" t="str">
            <v>TONOPEN</v>
          </cell>
        </row>
        <row r="969">
          <cell r="D969" t="str">
            <v>KKM/JKN/HSA/10-05-01/H/16/68</v>
          </cell>
          <cell r="E969" t="str">
            <v>SLIT LAMP</v>
          </cell>
        </row>
        <row r="970">
          <cell r="D970" t="str">
            <v>KKM/JKN/HSA/10-05-01/H/16/69</v>
          </cell>
          <cell r="E970" t="str">
            <v>FUNDUS CAMERA</v>
          </cell>
        </row>
        <row r="971">
          <cell r="D971" t="str">
            <v>KKM/JKN/HSA/10-05-01/R/15/16387</v>
          </cell>
          <cell r="E971" t="str">
            <v>BLOOD PRESSURE MONITOR NON INVASIVE</v>
          </cell>
        </row>
        <row r="972">
          <cell r="D972" t="str">
            <v>KKM/JKN/HSA/10-05-01/R/15/17202</v>
          </cell>
          <cell r="E972" t="str">
            <v>BINOCULAR INDIRECT OPTHALMOSCOPE (BIO)</v>
          </cell>
        </row>
        <row r="973">
          <cell r="D973" t="str">
            <v>KKM/JKN/HSA/10-05-01/R/15/7145</v>
          </cell>
          <cell r="E973" t="str">
            <v>PATIENT MONITORING EQUIP.(AUTOMATIC MULTIPARAMETER)</v>
          </cell>
        </row>
        <row r="974">
          <cell r="D974" t="str">
            <v>KKM/JKN/HSA/10-05-01/H/20/245</v>
          </cell>
          <cell r="E974" t="str">
            <v>SLIT LAMP</v>
          </cell>
        </row>
        <row r="975">
          <cell r="D975" t="str">
            <v>KKM/JKN/HSA/10-05-01/H/20/246</v>
          </cell>
          <cell r="E975" t="str">
            <v>SLIT LAMP</v>
          </cell>
        </row>
        <row r="976">
          <cell r="D976" t="str">
            <v>KKM/JKN/HSA/10-05-01/H/20/247</v>
          </cell>
          <cell r="E976" t="str">
            <v>KEELER VANTAGE PLUS WIRELESS BIO &amp; CHARGER</v>
          </cell>
        </row>
        <row r="977">
          <cell r="D977" t="str">
            <v>KKM/JKN/HSA/10-05-01/H/20/248</v>
          </cell>
          <cell r="E977" t="str">
            <v>KEELER VANTAGE PLUS WIRELESS BIO &amp; CHARGER</v>
          </cell>
        </row>
        <row r="978">
          <cell r="D978" t="str">
            <v>KKM/JKN/HSA/10-05-01/R/15/7372</v>
          </cell>
          <cell r="E978" t="str">
            <v>DIAGNOSTIC SET ADULT</v>
          </cell>
        </row>
        <row r="979">
          <cell r="D979" t="str">
            <v>KKM/JKN/HSA/10-05-01/R/15/7373</v>
          </cell>
          <cell r="E979" t="str">
            <v>DIAGNOSTIC SET ADULT</v>
          </cell>
        </row>
        <row r="980">
          <cell r="D980" t="str">
            <v>KKM/JKN/HSA/10-05-01/R/15/7374</v>
          </cell>
          <cell r="E980" t="str">
            <v>DIAGNOSTIC SET ADULT</v>
          </cell>
        </row>
        <row r="981">
          <cell r="D981" t="str">
            <v>KKM/JKN/HSA/10-05-01/R/15/7375</v>
          </cell>
          <cell r="E981" t="str">
            <v>DIAGNOSTIC SET ADULT</v>
          </cell>
        </row>
        <row r="982">
          <cell r="D982" t="str">
            <v>KKM/JKN/HSA/10-05-01/R/15/7376</v>
          </cell>
          <cell r="E982" t="str">
            <v>DIAGNOSTIC SET ADULT</v>
          </cell>
        </row>
        <row r="983">
          <cell r="D983" t="str">
            <v>KKM/JKN/HSA/10-05-01/R/15/7377</v>
          </cell>
          <cell r="E983" t="str">
            <v>DIAGNOSTIC SET ADULT</v>
          </cell>
        </row>
        <row r="984">
          <cell r="D984" t="str">
            <v>KKM/JKN/HSA/10-05-01/R/15/7379</v>
          </cell>
          <cell r="E984" t="str">
            <v>DIAGNOSTIC SET ADULT</v>
          </cell>
        </row>
        <row r="985">
          <cell r="D985" t="str">
            <v>KKM/JKN/HSA/10-05-01/R/15/7380</v>
          </cell>
          <cell r="E985" t="str">
            <v>DIAGNOSTIC SET ADULT</v>
          </cell>
        </row>
        <row r="986">
          <cell r="D986" t="str">
            <v>KKM/JKN/HSA/10-05-01/H/15/1272</v>
          </cell>
          <cell r="E986" t="str">
            <v>OPERATION TABLE</v>
          </cell>
        </row>
        <row r="987">
          <cell r="D987" t="str">
            <v>KKM/JKN/HSA/10-05-01/H/15/1273</v>
          </cell>
          <cell r="E987" t="str">
            <v>OPERATION TABLE</v>
          </cell>
        </row>
        <row r="988">
          <cell r="D988" t="str">
            <v>KKM/JKN/HSA/10-05-01/H/15/4162</v>
          </cell>
          <cell r="E988" t="str">
            <v>VASCULAR DOPPLER</v>
          </cell>
        </row>
        <row r="989">
          <cell r="D989" t="str">
            <v>KKM/JKN/HSA/10-05-01/H/15/4166</v>
          </cell>
          <cell r="E989" t="str">
            <v>VASCULAR DOPPLER</v>
          </cell>
        </row>
        <row r="990">
          <cell r="D990" t="str">
            <v>KKM/JKN/HSA/10-05-01/H/15/4167</v>
          </cell>
          <cell r="E990" t="str">
            <v>VASCULAR DOPPLER</v>
          </cell>
        </row>
        <row r="991">
          <cell r="D991" t="str">
            <v>KKM/JKN/HSA/10-05-01/H/15/4168</v>
          </cell>
          <cell r="E991" t="str">
            <v>VASCULAR DOPPLER</v>
          </cell>
        </row>
        <row r="992">
          <cell r="D992" t="str">
            <v>KKM/JKN/HSA/10-05-01/H/15/4169</v>
          </cell>
          <cell r="E992" t="str">
            <v>VASCULAR DOPPLER</v>
          </cell>
        </row>
        <row r="993">
          <cell r="D993" t="str">
            <v>KKM/JKN/HSA/10-05-01/H/15/4255</v>
          </cell>
          <cell r="E993" t="str">
            <v>POP CUTTER</v>
          </cell>
        </row>
        <row r="994">
          <cell r="D994" t="str">
            <v>KKM/JKN/HSA/10-05-01/H/15/4256</v>
          </cell>
          <cell r="E994" t="str">
            <v>POP CUTTER</v>
          </cell>
        </row>
        <row r="995">
          <cell r="D995" t="str">
            <v>KKM/JKN/HSA/10-05-01/H/15/4257</v>
          </cell>
          <cell r="E995" t="str">
            <v>POP CUTTER</v>
          </cell>
        </row>
        <row r="996">
          <cell r="D996" t="str">
            <v>KKM/JKN/HSA/10-05-01/H/15/4258</v>
          </cell>
          <cell r="E996" t="str">
            <v>ECG (EKG) MACHINE</v>
          </cell>
        </row>
        <row r="997">
          <cell r="D997" t="str">
            <v>KKM/JKN/HSA/10-05-01/R/15/16150</v>
          </cell>
          <cell r="E997" t="str">
            <v>NEBULIZER</v>
          </cell>
        </row>
        <row r="998">
          <cell r="D998" t="str">
            <v>HSAS10020</v>
          </cell>
          <cell r="E998" t="str">
            <v>MONITOR 20"</v>
          </cell>
        </row>
        <row r="999">
          <cell r="D999" t="str">
            <v>HSAS10039</v>
          </cell>
          <cell r="E999" t="str">
            <v>CAMERA VIDEO</v>
          </cell>
        </row>
        <row r="1000">
          <cell r="D1000" t="str">
            <v>HSAS10064</v>
          </cell>
          <cell r="E1000" t="str">
            <v>NASOPHARYNGOSCOPE FIBEROPTIC</v>
          </cell>
        </row>
        <row r="1001">
          <cell r="D1001" t="str">
            <v>KKM/JKN/HSA/10-05-01/H/15/5029</v>
          </cell>
          <cell r="E1001" t="str">
            <v>EXAM UNIT AIR/WATER/SUCTION/CAUTERY</v>
          </cell>
        </row>
        <row r="1002">
          <cell r="D1002" t="str">
            <v>KKM/JKN/HSA/10-05-01/H/15/5030</v>
          </cell>
          <cell r="E1002" t="str">
            <v>EXAM UNIT AIR/WATER/SUCTION/CAUTERY</v>
          </cell>
        </row>
        <row r="1003">
          <cell r="D1003" t="str">
            <v>KKM/JKN/HSA/10-05-01/H/15/5031</v>
          </cell>
          <cell r="E1003" t="str">
            <v>EXAM UNIT AIR/WATER/SUCTION/CAUTERY</v>
          </cell>
        </row>
        <row r="1004">
          <cell r="D1004" t="str">
            <v>KKM/JKN/HSA/10-05-01/H/15/5032</v>
          </cell>
          <cell r="E1004" t="str">
            <v>EXAM UNIT AIR/WATER/SUCTION/CAUTERY</v>
          </cell>
        </row>
        <row r="1005">
          <cell r="D1005" t="str">
            <v>KKM/JKN/HSA/10-05-01/H/15/5033</v>
          </cell>
          <cell r="E1005" t="str">
            <v>EXAM UNIT AIR/WATER/SUCTION/CAUTERY</v>
          </cell>
        </row>
        <row r="1006">
          <cell r="D1006" t="str">
            <v>KKM/JKN/HSA/10-05-01/H/15/5107</v>
          </cell>
          <cell r="E1006" t="str">
            <v>LAMP OPERATING MINOR</v>
          </cell>
        </row>
        <row r="1007">
          <cell r="D1007" t="str">
            <v>KKM/JKN/HSA/10-05-01/H/15/5251</v>
          </cell>
          <cell r="E1007" t="str">
            <v>TYMPANOMETER SCREENING</v>
          </cell>
        </row>
        <row r="1008">
          <cell r="D1008" t="str">
            <v>KKM/JKN/HSA/10-05-01/H/15/5258</v>
          </cell>
          <cell r="E1008" t="str">
            <v>VIDEO NYSTAGMOGRAPHY</v>
          </cell>
        </row>
        <row r="1009">
          <cell r="D1009" t="str">
            <v>KKM/JKN/HSA/10-05-01/H/15/5261</v>
          </cell>
          <cell r="E1009" t="str">
            <v>HEARING AID PRESCRIBER SYSTEM</v>
          </cell>
        </row>
        <row r="1010">
          <cell r="D1010" t="str">
            <v>KKM/JKN/HSA/10-05-01/H/15/880</v>
          </cell>
          <cell r="E1010" t="str">
            <v>SURFACE ELECTRO MIOGRAPH 'sEMG' - DYSPAGIA</v>
          </cell>
        </row>
        <row r="1011">
          <cell r="D1011" t="str">
            <v>KKM/JKN/HSA/10-05-01/H/17/22</v>
          </cell>
          <cell r="E1011" t="str">
            <v>AUTOMATED AUDIOTORY BRAINSTEAM RESPONSE C/W LAP TOP</v>
          </cell>
        </row>
        <row r="1012">
          <cell r="D1012" t="str">
            <v>KKM/JKN/HSA/10-05-01/H/15/2737</v>
          </cell>
          <cell r="E1012" t="str">
            <v>METER SOUND LEVEL (AUDIO METER)</v>
          </cell>
        </row>
        <row r="1013">
          <cell r="D1013" t="str">
            <v>KKM/JKN/HSA/10-05-01/R/15/10322</v>
          </cell>
          <cell r="E1013" t="str">
            <v>OTOSCOPE WITH RECHARGABLE HANDLE</v>
          </cell>
        </row>
        <row r="1014">
          <cell r="D1014" t="str">
            <v>KKM/JKN/HSA/10-05-01/R/15/10323</v>
          </cell>
          <cell r="E1014" t="str">
            <v>OTOSCOPE WITH RECHARGABLE HANDLE</v>
          </cell>
        </row>
        <row r="1015">
          <cell r="D1015" t="str">
            <v>KKM/JKN/HSA/10-05-01/R/15/15384</v>
          </cell>
          <cell r="E1015" t="str">
            <v>VIDEO RECORDER</v>
          </cell>
        </row>
        <row r="1016">
          <cell r="D1016" t="str">
            <v>KKM/JKN/HSA/10-05-01/R/15/17356</v>
          </cell>
          <cell r="E1016" t="str">
            <v>VIDEO RECORDER</v>
          </cell>
        </row>
        <row r="1017">
          <cell r="D1017" t="str">
            <v>KKM/JKN/HSA/10-05-01/H/15/1012</v>
          </cell>
          <cell r="E1017" t="str">
            <v>NASOPHARYNGOSCOPE FIBEROPTIC</v>
          </cell>
        </row>
        <row r="1018">
          <cell r="D1018" t="str">
            <v>KKM/JKN/HSA/10-05-01/H/15/1094</v>
          </cell>
          <cell r="E1018" t="str">
            <v>SUCTION APPARATUS</v>
          </cell>
        </row>
        <row r="1019">
          <cell r="D1019" t="str">
            <v>KKM/JKN/HSA/10-05-01/H/15/2457</v>
          </cell>
          <cell r="E1019" t="str">
            <v>AUDIOMETER</v>
          </cell>
        </row>
        <row r="1020">
          <cell r="D1020" t="str">
            <v>KKM/JKN/HSA/10-05-01/H/15/2458</v>
          </cell>
          <cell r="E1020" t="str">
            <v>AUDIOMETER</v>
          </cell>
        </row>
        <row r="1021">
          <cell r="D1021" t="str">
            <v>KKM/JKN/HSA/10-05-01/H/15/2476</v>
          </cell>
          <cell r="E1021" t="str">
            <v>HEADLIGHTS</v>
          </cell>
        </row>
        <row r="1022">
          <cell r="D1022" t="str">
            <v>KKM/JKN/HSA/10-05-01/H/15/2477</v>
          </cell>
          <cell r="E1022" t="str">
            <v>HEADLIGHTS</v>
          </cell>
        </row>
        <row r="1023">
          <cell r="D1023" t="str">
            <v>KKM/JKN/HSA/10-05-01/H/15/2478</v>
          </cell>
          <cell r="E1023" t="str">
            <v>HEADLIGHTS</v>
          </cell>
        </row>
        <row r="1024">
          <cell r="D1024" t="str">
            <v>KKM/JKN/HSA/10-05-01/H/15/2480</v>
          </cell>
          <cell r="E1024" t="str">
            <v>LIGHT SOURCE</v>
          </cell>
        </row>
        <row r="1025">
          <cell r="D1025" t="str">
            <v>KKM/JKN/HSA/10-05-01/H/15/2481</v>
          </cell>
          <cell r="E1025" t="str">
            <v>LIGHT SOURCE</v>
          </cell>
        </row>
        <row r="1026">
          <cell r="D1026" t="str">
            <v>KKM/JKN/HSA/10-05-01/H/15/2736</v>
          </cell>
          <cell r="E1026" t="str">
            <v>EVOKED OTOAOUSTIC EMISSION SYSTEM</v>
          </cell>
        </row>
        <row r="1027">
          <cell r="D1027" t="str">
            <v>KKM/JKN/HSA/10-05-01/H/15/2740</v>
          </cell>
          <cell r="E1027" t="str">
            <v>SURGICAL MICROSCOPE</v>
          </cell>
        </row>
        <row r="1028">
          <cell r="D1028" t="str">
            <v>KKM/JKN/HSA/10-05-01/H/15/2741</v>
          </cell>
          <cell r="E1028" t="str">
            <v>SURGICAL MICROSCOPE</v>
          </cell>
        </row>
        <row r="1029">
          <cell r="D1029" t="str">
            <v>KKM/JKN/HSA/10-05-01/H/15/2742</v>
          </cell>
          <cell r="E1029" t="str">
            <v>SURGICAL MICROSCOPE</v>
          </cell>
        </row>
        <row r="1030">
          <cell r="D1030" t="str">
            <v>KKM/JKN/HSA/10-05-01/H/15/463</v>
          </cell>
          <cell r="E1030" t="str">
            <v>BRONCHOSCOPES</v>
          </cell>
        </row>
        <row r="1031">
          <cell r="D1031" t="str">
            <v>KKM/JKN/HSA/10-05-01/H/15/563</v>
          </cell>
          <cell r="E1031" t="str">
            <v>DIATHERMY (RADIOFREQUENCY/ SHORTWAVE)</v>
          </cell>
        </row>
        <row r="1032">
          <cell r="D1032" t="str">
            <v>KKM/JKN/HSA/10-05-01/R/15/10316</v>
          </cell>
          <cell r="E1032" t="str">
            <v>OTOSCOPE</v>
          </cell>
        </row>
        <row r="1033">
          <cell r="D1033" t="str">
            <v>KKM/JKN/HSA/10-05-01/R/15/10317</v>
          </cell>
          <cell r="E1033" t="str">
            <v>OTOSCOPE</v>
          </cell>
        </row>
        <row r="1034">
          <cell r="D1034" t="str">
            <v>KKM/JKN/HSA/10-05-01/R/15/10319</v>
          </cell>
          <cell r="E1034" t="str">
            <v>OTOSCOPE</v>
          </cell>
        </row>
        <row r="1035">
          <cell r="D1035" t="str">
            <v>KKM/JKN/HSA/10-05-01/R/15/10320</v>
          </cell>
          <cell r="E1035" t="str">
            <v>OTOSCOPE</v>
          </cell>
        </row>
        <row r="1036">
          <cell r="D1036" t="str">
            <v>KKM/JKN/HSA/10-05-01/R/15/10321</v>
          </cell>
          <cell r="E1036" t="str">
            <v>OTOSCOPE</v>
          </cell>
        </row>
        <row r="1037">
          <cell r="D1037" t="str">
            <v>KKM/JKN/HSA/10-05-01/R/15/16744</v>
          </cell>
          <cell r="E1037" t="str">
            <v>BLOOD PRESSURE MONITOR (SPHYGMOMANOMETER)</v>
          </cell>
        </row>
        <row r="1038">
          <cell r="D1038" t="str">
            <v>KKM/JKN/HSA/10-05-01/R/15/7143</v>
          </cell>
          <cell r="E1038" t="str">
            <v>PATIENT MONITORING EQUIP.(AUTOMATIC MULTIPARAMETER)</v>
          </cell>
        </row>
        <row r="1039">
          <cell r="D1039" t="str">
            <v>KKM/JKN/HSA/10-05-01/R/15/7440</v>
          </cell>
          <cell r="E1039" t="str">
            <v>NEUROMUSCULAR STIMULATORS</v>
          </cell>
        </row>
        <row r="1040">
          <cell r="D1040" t="str">
            <v>KKM/JKN/HSA/10-05-01/R/15/7575</v>
          </cell>
          <cell r="E1040" t="str">
            <v>LIGHT SOURCE</v>
          </cell>
        </row>
        <row r="1041">
          <cell r="D1041" t="str">
            <v>KKM/JKN/HSA/10-05-01/H/15/1022</v>
          </cell>
          <cell r="E1041" t="str">
            <v>PATIENT MONITORING EQUIP.(AUTOMATIC MULTIPARAMETER)</v>
          </cell>
        </row>
        <row r="1042">
          <cell r="D1042" t="str">
            <v>KKM/JKN/HSA/10-05-01/H/16/18</v>
          </cell>
          <cell r="E1042" t="str">
            <v>NON INVASIVE CARDIAC OUTPUT MONITORING</v>
          </cell>
        </row>
        <row r="1043">
          <cell r="D1043" t="str">
            <v>KKM/JKN/HSA/10-05-01/R/15/14881</v>
          </cell>
          <cell r="E1043" t="str">
            <v>BLOOD PRESSURE MONITOR (SPHYGMOMANOMETER)</v>
          </cell>
        </row>
        <row r="1044">
          <cell r="D1044" t="str">
            <v>KKM/JKN/HSA/10-05-01/R/15/14882</v>
          </cell>
          <cell r="E1044" t="str">
            <v>BLOOD PRESSURE MONITOR (SPHYGMOMANOMETER)</v>
          </cell>
        </row>
        <row r="1045">
          <cell r="D1045" t="str">
            <v>KKM/JKN/HSA/10-05-01/R/15/15296</v>
          </cell>
          <cell r="E1045" t="str">
            <v>PATIENT MONITORING EQUIP.(AUTOMATIC MULTIPARAMETER)</v>
          </cell>
        </row>
        <row r="1046">
          <cell r="D1046" t="str">
            <v>KKM/JKN/HSA/10-05-01/R/15/16151</v>
          </cell>
          <cell r="E1046" t="str">
            <v>NEBULIZER</v>
          </cell>
        </row>
        <row r="1047">
          <cell r="D1047" t="str">
            <v>KKM/JKN/HSA/10-05-01/R/15/16152</v>
          </cell>
          <cell r="E1047" t="str">
            <v>NEBULIZER</v>
          </cell>
        </row>
        <row r="1048">
          <cell r="D1048" t="str">
            <v>KKM/JKN/HSA/10-05-01/R/15/16153</v>
          </cell>
          <cell r="E1048" t="str">
            <v>NEBULIZER</v>
          </cell>
        </row>
        <row r="1049">
          <cell r="D1049" t="str">
            <v>KKM/JKN/HSA/10-05-01/R/15/16154</v>
          </cell>
          <cell r="E1049" t="str">
            <v>NEBULIZER</v>
          </cell>
        </row>
        <row r="1050">
          <cell r="D1050" t="str">
            <v>KKM/JKN/HSA/10-05-01/R/15/16747</v>
          </cell>
          <cell r="E1050" t="str">
            <v>BLOOD PRESSURE MONITOR (SPHYGMOMANOMETER)</v>
          </cell>
        </row>
        <row r="1051">
          <cell r="D1051" t="str">
            <v>KKM/JKN/HSA/10-05-01/R/15/6744</v>
          </cell>
          <cell r="E1051" t="str">
            <v>OTOSCOPE</v>
          </cell>
        </row>
        <row r="1052">
          <cell r="D1052" t="str">
            <v>KKM/JKN/HSA/10-05-01/R/15/6745</v>
          </cell>
          <cell r="E1052" t="str">
            <v>OTOSCOPE</v>
          </cell>
        </row>
        <row r="1053">
          <cell r="D1053" t="str">
            <v>KKM/JKN/HSA/10-05-01/R/15/6746</v>
          </cell>
          <cell r="E1053" t="str">
            <v>OTOSCOPE</v>
          </cell>
        </row>
        <row r="1054">
          <cell r="D1054" t="str">
            <v>KKM/JKN/HSA/10-05-01/R/15/6747</v>
          </cell>
          <cell r="E1054" t="str">
            <v>OTOSCOPE</v>
          </cell>
        </row>
        <row r="1055">
          <cell r="D1055" t="str">
            <v>KKM/JKN/HSA/10-05-01/R/15/6748</v>
          </cell>
          <cell r="E1055" t="str">
            <v>OTOSCOPE</v>
          </cell>
        </row>
        <row r="1056">
          <cell r="D1056" t="str">
            <v>KKM/JKN/HSA/10-05-01/R/15/6749</v>
          </cell>
          <cell r="E1056" t="str">
            <v>OTOSCOPE</v>
          </cell>
        </row>
        <row r="1057">
          <cell r="D1057" t="str">
            <v>KKM/JKN/HSA/10-05-01/R/15/6752</v>
          </cell>
          <cell r="E1057" t="str">
            <v>OTOSCOPE</v>
          </cell>
        </row>
        <row r="1058">
          <cell r="D1058" t="str">
            <v>KKM/JKN/HSA/10-05-01/R/15/6754</v>
          </cell>
          <cell r="E1058" t="str">
            <v>OTOSCOPE</v>
          </cell>
        </row>
        <row r="1059">
          <cell r="D1059" t="str">
            <v>KKM/JKN/HSA/10-05-01/R/15/6755</v>
          </cell>
          <cell r="E1059" t="str">
            <v>OTOSCOPE</v>
          </cell>
        </row>
        <row r="1060">
          <cell r="D1060" t="str">
            <v>KKM/JKN/HSA/10-05-01/R/15/7036</v>
          </cell>
          <cell r="E1060" t="str">
            <v>INFANT/ BABY SCALER</v>
          </cell>
        </row>
        <row r="1061">
          <cell r="D1061" t="str">
            <v>KKM/JKN/HSA/10-05-01/R/15/7148</v>
          </cell>
          <cell r="E1061" t="str">
            <v>PATIENT MONITORING EQUIP.(AUTOMATIC MULTIPARAMETER)</v>
          </cell>
        </row>
        <row r="1062">
          <cell r="D1062" t="str">
            <v>KKM/JKN/HSA/10-05-01/H/15/5250</v>
          </cell>
          <cell r="E1062" t="str">
            <v>THERMOMETER CALIBRATOR TYMPANIC</v>
          </cell>
        </row>
        <row r="1063">
          <cell r="D1063" t="str">
            <v>HSAS10050</v>
          </cell>
          <cell r="E1063" t="str">
            <v>SPHYGMOMANOMETER DIGITAL BATTERY OP</v>
          </cell>
        </row>
        <row r="1064">
          <cell r="D1064" t="str">
            <v>HSAS10157</v>
          </cell>
          <cell r="E1064" t="str">
            <v>SPHYGMOMANOMETER ANEROID DESK MODEL</v>
          </cell>
        </row>
        <row r="1065">
          <cell r="D1065" t="str">
            <v>KKM/JKN/HSA/10-05-01/R/15/17091</v>
          </cell>
          <cell r="E1065" t="str">
            <v>DIAGNOSTIC SET ADULT</v>
          </cell>
        </row>
        <row r="1066">
          <cell r="D1066" t="str">
            <v>KKM/JKN/HSA/10-05-01/R/15/17092</v>
          </cell>
          <cell r="E1066" t="str">
            <v>DIAGNOSTIC SET ADULT</v>
          </cell>
        </row>
        <row r="1067">
          <cell r="D1067" t="str">
            <v>KKM/JKN/HSA/10-05-01/R/15/17094</v>
          </cell>
          <cell r="E1067" t="str">
            <v>DIAGNOSTIC SET ADULT</v>
          </cell>
        </row>
        <row r="1068">
          <cell r="D1068" t="str">
            <v>KKM/JKN/HSA/10-05-01/R/15/17095</v>
          </cell>
          <cell r="E1068" t="str">
            <v>DIAGNOSTIC SET ADULT</v>
          </cell>
        </row>
        <row r="1069">
          <cell r="D1069" t="str">
            <v>KKM/JKN/HSA/10-05-01/R/15/17096</v>
          </cell>
          <cell r="E1069" t="str">
            <v>DIAGNOSTIC SET ADULT</v>
          </cell>
        </row>
        <row r="1070">
          <cell r="D1070" t="str">
            <v>KKM/JKN/HSA/10-05-01/R/15/17097</v>
          </cell>
          <cell r="E1070" t="str">
            <v>DIAGNOSTIC SET ADULT</v>
          </cell>
        </row>
        <row r="1071">
          <cell r="D1071" t="str">
            <v>KKM/JKN/HSA/10-05-01/R/15/17256</v>
          </cell>
          <cell r="E1071" t="str">
            <v>DIAGNOSTIC SET ADULT</v>
          </cell>
        </row>
        <row r="1072">
          <cell r="D1072" t="str">
            <v>KKM/JKN/HSA/10-05-01/R/15/17257</v>
          </cell>
          <cell r="E1072" t="str">
            <v>DIAGNOSTIC SET ADULT</v>
          </cell>
        </row>
        <row r="1073">
          <cell r="D1073" t="str">
            <v>KKM/JKN/HSA/10-05-01/R/15/17258</v>
          </cell>
          <cell r="E1073" t="str">
            <v>DIAGNOSTIC SET ADULT</v>
          </cell>
        </row>
        <row r="1074">
          <cell r="D1074" t="str">
            <v>KKM/JKN/HSA/10-05-01/H/15/2152</v>
          </cell>
          <cell r="E1074" t="str">
            <v>SUCTION APPARATUS</v>
          </cell>
        </row>
        <row r="1075">
          <cell r="D1075" t="str">
            <v>KKM/JKN/HSA/10-05-01/H/15/3683</v>
          </cell>
          <cell r="E1075" t="str">
            <v>DEFIBRILLATOR</v>
          </cell>
        </row>
        <row r="1076">
          <cell r="D1076" t="str">
            <v>KKM/JKN/HSA/10-05-01/H/15/4160</v>
          </cell>
          <cell r="E1076" t="str">
            <v>VASCULAR DOPPLER</v>
          </cell>
        </row>
        <row r="1077">
          <cell r="D1077" t="str">
            <v>KKM/JKN/HSA/10-05-01/H/15/4164</v>
          </cell>
          <cell r="E1077" t="str">
            <v>OPERATION LIGHT</v>
          </cell>
        </row>
        <row r="1078">
          <cell r="D1078" t="str">
            <v>KKM/JKN/HSA/10-05-01/H/15/4165</v>
          </cell>
          <cell r="E1078" t="str">
            <v>ECG (EKG) MACHINE</v>
          </cell>
        </row>
        <row r="1079">
          <cell r="D1079" t="str">
            <v>KKM/JKN/HSA/10-05-01/R/15/14844</v>
          </cell>
          <cell r="E1079" t="str">
            <v>BLOOD PRESSURE MONITOR (SPHYGMOMANOMETER)</v>
          </cell>
        </row>
        <row r="1080">
          <cell r="D1080" t="str">
            <v>KKM/JKN/HSA/10-05-01/R/15/16166</v>
          </cell>
          <cell r="E1080" t="str">
            <v>NEBULIZER</v>
          </cell>
        </row>
        <row r="1081">
          <cell r="D1081" t="str">
            <v>KKM/JKN/HSA/10-05-01/R/15/7147</v>
          </cell>
          <cell r="E1081" t="str">
            <v>PATIENT MONITORING EQUIP.(AUTOMATIC MULTIPARAMETER)</v>
          </cell>
        </row>
        <row r="1082">
          <cell r="D1082" t="str">
            <v>KKM/JKN/HSA/10-05-01/R/15/16764</v>
          </cell>
          <cell r="E1082" t="str">
            <v>SPHYGMOMANOMETER DIGITAL BATTERY OP</v>
          </cell>
        </row>
        <row r="1083">
          <cell r="D1083" t="str">
            <v>KKM/JKN/HSA/10-05-01/R/15/7361</v>
          </cell>
          <cell r="E1083" t="str">
            <v>DIAGNOSTIC SET ADULT</v>
          </cell>
        </row>
        <row r="1084">
          <cell r="D1084" t="str">
            <v>KKM/JKN/HSA/10-05-01/R/15/7362</v>
          </cell>
          <cell r="E1084" t="str">
            <v>DIAGNOSTIC SET ADULT</v>
          </cell>
        </row>
        <row r="1085">
          <cell r="D1085" t="str">
            <v>KKM/JKN/HSA/10-05-01/R/15/7363</v>
          </cell>
          <cell r="E1085" t="str">
            <v>DIAGNOSTIC SET ADULT</v>
          </cell>
        </row>
        <row r="1086">
          <cell r="D1086" t="str">
            <v>KKM/JKN/HSA/10-05-01/R/15/7364</v>
          </cell>
          <cell r="E1086" t="str">
            <v>DIAGNOSTIC SET ADULT</v>
          </cell>
        </row>
        <row r="1087">
          <cell r="D1087" t="str">
            <v>KKM/JKN/HSA/10-05-01/R/15/7365</v>
          </cell>
          <cell r="E1087" t="str">
            <v>DIAGNOSTIC SET ADULT</v>
          </cell>
        </row>
        <row r="1088">
          <cell r="D1088" t="str">
            <v>KKM/JKN/HSA/10-05-01/R/15/7366</v>
          </cell>
          <cell r="E1088" t="str">
            <v>DIAGNOSTIC SET ADULT</v>
          </cell>
        </row>
        <row r="1089">
          <cell r="D1089" t="str">
            <v>KKM/JKN/HSA/10-05-01/R/15/7367</v>
          </cell>
          <cell r="E1089" t="str">
            <v>DIAGNOSTIC SET ADULT</v>
          </cell>
        </row>
        <row r="1090">
          <cell r="D1090" t="str">
            <v>KKM/JKN/HSA/10-05-01/R/15/7368</v>
          </cell>
          <cell r="E1090" t="str">
            <v>DIAGNOSTIC SET ADULT</v>
          </cell>
        </row>
        <row r="1091">
          <cell r="D1091" t="str">
            <v>KKM/JKN/HSA/10-05-01/R/15/7369</v>
          </cell>
          <cell r="E1091" t="str">
            <v>DIAGNOSTIC SET ADULT</v>
          </cell>
        </row>
        <row r="1092">
          <cell r="D1092" t="str">
            <v>KKM/JKN/HSA/10-05-01/R/15/7370</v>
          </cell>
          <cell r="E1092" t="str">
            <v>DIAGNOSTIC SET ADULT</v>
          </cell>
        </row>
        <row r="1093">
          <cell r="D1093" t="str">
            <v>KKM/JKN/HSA/10-05-01/R/15/7371</v>
          </cell>
          <cell r="E1093" t="str">
            <v>DIAGNOSTIC SET ADULT</v>
          </cell>
        </row>
        <row r="1094">
          <cell r="D1094" t="str">
            <v>KKM/JKN/HSA/10-05-01/H/15/1024</v>
          </cell>
          <cell r="E1094" t="str">
            <v>PATIENT MONITORING EQUIP.(AUTOMATIC MULTIPARAMETER)</v>
          </cell>
        </row>
        <row r="1095">
          <cell r="D1095" t="str">
            <v>KKM/JKN/HSA/10-05-01/H/15/1025</v>
          </cell>
          <cell r="E1095" t="str">
            <v>PATIENT MONITORING EQUIP.(AUTOMATIC MULTIPARAMETER)</v>
          </cell>
        </row>
        <row r="1096">
          <cell r="D1096" t="str">
            <v>KKM/JKN/HSA/10-05-01/H/15/1596</v>
          </cell>
          <cell r="E1096" t="str">
            <v>PATIENT MONITORING EQUIP.(AUTOMATIC MULTIPARAMETER)</v>
          </cell>
        </row>
        <row r="1097">
          <cell r="D1097" t="str">
            <v>KKM/JKN/HSA/10-05-01/H/15/2151</v>
          </cell>
          <cell r="E1097" t="str">
            <v>SUCTION APPARATUS</v>
          </cell>
        </row>
        <row r="1098">
          <cell r="D1098" t="str">
            <v>KKM/JKN/HSA/10-05-01/H/15/2453</v>
          </cell>
          <cell r="E1098" t="str">
            <v>ULTRASOUND SCANNER</v>
          </cell>
        </row>
        <row r="1099">
          <cell r="D1099" t="str">
            <v>KKM/JKN/HSA/10-05-01/H/15/3664</v>
          </cell>
          <cell r="E1099" t="str">
            <v>DEFIBRILLATOR</v>
          </cell>
        </row>
        <row r="1100">
          <cell r="D1100" t="str">
            <v>KKM/JKN/HSA/10-05-01/H/15/4070</v>
          </cell>
          <cell r="E1100" t="str">
            <v>ECG (EKG) MACHINE</v>
          </cell>
        </row>
        <row r="1101">
          <cell r="D1101" t="str">
            <v>KKM/JKN/HSA/10-05-01/H/15/571</v>
          </cell>
          <cell r="E1101" t="str">
            <v>ECG (EKG) MACHINE</v>
          </cell>
        </row>
        <row r="1102">
          <cell r="D1102" t="str">
            <v>KKM/JKN/HSA/10-05-01/H/15/667</v>
          </cell>
          <cell r="E1102" t="str">
            <v>ECG (EKG) MONITOR</v>
          </cell>
        </row>
        <row r="1103">
          <cell r="D1103" t="str">
            <v>KKM/JKN/HSA/10-05-01/H/15/686</v>
          </cell>
          <cell r="E1103" t="str">
            <v>ECG (EKG) MACHINE HOLTER</v>
          </cell>
        </row>
        <row r="1104">
          <cell r="D1104" t="str">
            <v>KKM/JKN/HSA/10-05-01/H/15/687</v>
          </cell>
          <cell r="E1104" t="str">
            <v>ECG (EKG) MACHINE HOLTER</v>
          </cell>
        </row>
        <row r="1105">
          <cell r="D1105" t="str">
            <v>KKM/JKN/HSA/10-05-01/H/15/688</v>
          </cell>
          <cell r="E1105" t="str">
            <v>ECG (EKG) MACHINE HOLTER</v>
          </cell>
        </row>
        <row r="1106">
          <cell r="D1106" t="str">
            <v>KKM/JKN/HSA/10-05-01/H/15/689</v>
          </cell>
          <cell r="E1106" t="str">
            <v>ECG (EKG) MACHINE HOLTER</v>
          </cell>
        </row>
        <row r="1107">
          <cell r="D1107" t="str">
            <v>KKM/JKN/HSA/10-05-01/H/15/690</v>
          </cell>
          <cell r="E1107" t="str">
            <v>ECG (EKG) MACHINE HOLTER</v>
          </cell>
        </row>
        <row r="1108">
          <cell r="D1108" t="str">
            <v>KKM/JKN/HSA/10-05-01/H/15/691</v>
          </cell>
          <cell r="E1108" t="str">
            <v>ECG (EKG) MACHINE HOLTER</v>
          </cell>
        </row>
        <row r="1109">
          <cell r="D1109" t="str">
            <v>KKM/JKN/HSA/10-05-01/H/15/692</v>
          </cell>
          <cell r="E1109" t="str">
            <v>ECG (EKG) MACHINE HOLTER</v>
          </cell>
        </row>
        <row r="1110">
          <cell r="D1110" t="str">
            <v>KKM/JKN/HSA/10-05-01/H/15/693</v>
          </cell>
          <cell r="E1110" t="str">
            <v>ECG (EKG) MACHINE HOLTER</v>
          </cell>
        </row>
        <row r="1111">
          <cell r="D1111" t="str">
            <v>KKM/JKN/HSA/10-05-01/H/15/884</v>
          </cell>
          <cell r="E1111" t="str">
            <v>STRESS TEST EQUIPMENT</v>
          </cell>
        </row>
        <row r="1112">
          <cell r="D1112" t="str">
            <v>KKM/JKN/HSA/10-05-01/H/15/970</v>
          </cell>
          <cell r="E1112" t="str">
            <v>VITALOGRAPH SPIROMETER</v>
          </cell>
        </row>
        <row r="1113">
          <cell r="D1113" t="str">
            <v>KKM/JKN/HSA/10-05-01/H/15/976</v>
          </cell>
          <cell r="E1113" t="str">
            <v>VITALOGRAPH SPIROMETER</v>
          </cell>
        </row>
        <row r="1114">
          <cell r="D1114" t="str">
            <v>KKM/JKN/HSA/10-05-01/H/16/142</v>
          </cell>
          <cell r="E1114" t="str">
            <v>ULTRASOUND SCANNER</v>
          </cell>
        </row>
        <row r="1115">
          <cell r="D1115" t="str">
            <v>KKM/JKN/HSA/10-05-01/R/15/14884</v>
          </cell>
          <cell r="E1115" t="str">
            <v>BLOOD PRESSURE MONITOR (SPHYGMOMANOMETER)</v>
          </cell>
        </row>
        <row r="1116">
          <cell r="D1116" t="str">
            <v>KKM/JKN/HSA/10-05-01/R/15/15914</v>
          </cell>
          <cell r="E1116" t="str">
            <v>SPHYGMOMANOMETER ELECTRONICS</v>
          </cell>
        </row>
        <row r="1117">
          <cell r="D1117" t="str">
            <v>KKM/JKN/HSA/10-05-01/R/15/16173</v>
          </cell>
          <cell r="E1117" t="str">
            <v>NEBULIZER</v>
          </cell>
        </row>
        <row r="1118">
          <cell r="D1118" t="str">
            <v>KKM/JKN/HSA/10-05-01/R/15/16745</v>
          </cell>
          <cell r="E1118" t="str">
            <v>SPHYGMOMANOMETER ELECTRONICS</v>
          </cell>
        </row>
        <row r="1119">
          <cell r="D1119" t="str">
            <v>KKM/JKN/HSA/10-05-01/R/15/7400</v>
          </cell>
          <cell r="E1119" t="str">
            <v>DIAGNOSTIC SET ADULT</v>
          </cell>
        </row>
        <row r="1120">
          <cell r="D1120" t="str">
            <v>KKM/JKN/HSA/10-05-01/R/15/7401</v>
          </cell>
          <cell r="E1120" t="str">
            <v>DIAGNOSTIC SET ADULT</v>
          </cell>
        </row>
        <row r="1121">
          <cell r="D1121" t="str">
            <v>KKM/JKN/HSA/10-05-01/H/15/1031</v>
          </cell>
          <cell r="E1121" t="str">
            <v>PATIENT MONITORING EQUIP.(AUTOMATIC MULTIPARAMETER)</v>
          </cell>
        </row>
        <row r="1122">
          <cell r="D1122" t="str">
            <v>KKM/JKN/HSA/10-05-01/H/15/1266</v>
          </cell>
          <cell r="E1122" t="str">
            <v>INFUSION PUMP</v>
          </cell>
        </row>
        <row r="1123">
          <cell r="D1123" t="str">
            <v>KKM/JKN/HSA/10-05-01/H/15/1267</v>
          </cell>
          <cell r="E1123" t="str">
            <v>INFUSION PUMP</v>
          </cell>
        </row>
        <row r="1124">
          <cell r="D1124" t="str">
            <v>KKM/JKN/HSA/10-05-01/H/15/1268</v>
          </cell>
          <cell r="E1124" t="str">
            <v>INFUSION PUMP</v>
          </cell>
        </row>
        <row r="1125">
          <cell r="D1125" t="str">
            <v>KKM/JKN/HSA/10-05-01/H/15/1814</v>
          </cell>
          <cell r="E1125" t="str">
            <v>ENTERAL FEEDING PUMP</v>
          </cell>
        </row>
        <row r="1126">
          <cell r="D1126" t="str">
            <v>KKM/JKN/HSA/10-05-01/H/15/2168</v>
          </cell>
          <cell r="E1126" t="str">
            <v>PATIENT MONITORING EQUIP.(AUTOMATIC MULTIPARAMETER)</v>
          </cell>
        </row>
        <row r="1127">
          <cell r="D1127" t="str">
            <v>KKM/JKN/HSA/10-05-01/H/15/2179</v>
          </cell>
          <cell r="E1127" t="str">
            <v>SUCTION APPARATUS</v>
          </cell>
        </row>
        <row r="1128">
          <cell r="D1128" t="str">
            <v>KKM/JKN/HSA/10-05-01/H/15/2180</v>
          </cell>
          <cell r="E1128" t="str">
            <v>SUCTION APPARATUS</v>
          </cell>
        </row>
        <row r="1129">
          <cell r="D1129" t="str">
            <v>KKM/JKN/HSA/10-05-01/H/15/2181</v>
          </cell>
          <cell r="E1129" t="str">
            <v>SUCTION APPARATUS</v>
          </cell>
        </row>
        <row r="1130">
          <cell r="D1130" t="str">
            <v>KKM/JKN/HSA/10-05-01/H/15/2264</v>
          </cell>
          <cell r="E1130" t="str">
            <v>SYRINGE INFUSION PUMP</v>
          </cell>
        </row>
        <row r="1131">
          <cell r="D1131" t="str">
            <v>KKM/JKN/HSA/10-05-01/H/15/2265</v>
          </cell>
          <cell r="E1131" t="str">
            <v>SYRINGE INFUSION PUMP</v>
          </cell>
        </row>
        <row r="1132">
          <cell r="D1132" t="str">
            <v>KKM/JKN/HSA/10-05-01/H/15/2266</v>
          </cell>
          <cell r="E1132" t="str">
            <v>SYRINGE INFUSION PUMP</v>
          </cell>
        </row>
        <row r="1133">
          <cell r="D1133" t="str">
            <v>KKM/JKN/HSA/10-05-01/H/15/2267</v>
          </cell>
          <cell r="E1133" t="str">
            <v>SYRINGE INFUSION PUMP</v>
          </cell>
        </row>
        <row r="1134">
          <cell r="D1134" t="str">
            <v>KKM/JKN/HSA/10-05-01/H/15/2798</v>
          </cell>
          <cell r="E1134" t="str">
            <v>RIPPLE MATTRESS</v>
          </cell>
        </row>
        <row r="1135">
          <cell r="D1135" t="str">
            <v>KKM/JKN/HSA/10-05-01/H/15/3684</v>
          </cell>
          <cell r="E1135" t="str">
            <v>DEFIBRILLATOR</v>
          </cell>
        </row>
        <row r="1136">
          <cell r="D1136" t="str">
            <v>KKM/JKN/HSA/10-05-01/H/15/5043</v>
          </cell>
          <cell r="E1136" t="str">
            <v>ECG (EKG) MACHINE</v>
          </cell>
        </row>
        <row r="1137">
          <cell r="D1137" t="str">
            <v>KKM/JKN/HSA/10-05-01/R/15/14842</v>
          </cell>
          <cell r="E1137" t="str">
            <v>BLOOD PRESSURE MONITOR (SPHYGMOMANOMETER)</v>
          </cell>
        </row>
        <row r="1138">
          <cell r="D1138" t="str">
            <v>KKM/JKN/HSA/10-05-01/R/15/14843</v>
          </cell>
          <cell r="E1138" t="str">
            <v>BLOOD PRESSURE MONITOR (SPHYGMOMANOMETER)</v>
          </cell>
        </row>
        <row r="1139">
          <cell r="D1139" t="str">
            <v>KKM/JKN/HSA/10-05-01/R/15/16156</v>
          </cell>
          <cell r="E1139" t="str">
            <v>NEBULIZER</v>
          </cell>
        </row>
        <row r="1140">
          <cell r="D1140" t="str">
            <v>KKM/JKN/HSA/10-05-01/R/15/16161</v>
          </cell>
          <cell r="E1140" t="str">
            <v>NEBULIZER</v>
          </cell>
        </row>
        <row r="1141">
          <cell r="D1141" t="str">
            <v>KKM/JKN/HSA/10-05-01/R/15/16162</v>
          </cell>
          <cell r="E1141" t="str">
            <v>NEBULIZER</v>
          </cell>
        </row>
        <row r="1142">
          <cell r="D1142" t="str">
            <v>KKM/JKN/HSA/10-05-01/R/15/16163</v>
          </cell>
          <cell r="E1142" t="str">
            <v>NEBULIZER</v>
          </cell>
        </row>
        <row r="1143">
          <cell r="D1143" t="str">
            <v>KKM/JKN/HSA/10-05-01/R/15/16164</v>
          </cell>
          <cell r="E1143" t="str">
            <v>NEBULIZER</v>
          </cell>
        </row>
        <row r="1144">
          <cell r="D1144" t="str">
            <v>KKM/JKN/HSA/10-05-01/R/15/16165</v>
          </cell>
          <cell r="E1144" t="str">
            <v>NEBULIZER</v>
          </cell>
        </row>
        <row r="1145">
          <cell r="D1145" t="str">
            <v>KKM/JKN/HSA/10-05-01/R/15/7153</v>
          </cell>
          <cell r="E1145" t="str">
            <v>PATIENT MONITORING EQUIP.(AUTOMATIC MULTIPARAMETER)</v>
          </cell>
        </row>
        <row r="1146">
          <cell r="D1146" t="str">
            <v>KKM/JKN/HSA/10-05-01/H/16/195</v>
          </cell>
          <cell r="E1146" t="str">
            <v>PATIENT MONITORING EQUIP. (AUTOMATIC MULTIPARAMETER)</v>
          </cell>
        </row>
        <row r="1147">
          <cell r="D1147" t="str">
            <v>KKM/JKN/HSA/10-05-01/H/20/119</v>
          </cell>
          <cell r="E1147" t="str">
            <v>SYRINGE INFUSION PUMP</v>
          </cell>
        </row>
        <row r="1148">
          <cell r="D1148" t="str">
            <v>KKM/JKN/HSA/10-05-01/H/20/120</v>
          </cell>
          <cell r="E1148" t="str">
            <v>SYRINGE INFUSION PUMP</v>
          </cell>
        </row>
        <row r="1149">
          <cell r="D1149" t="str">
            <v>KKM/JKN/HSA/10-05-01/H/20/178</v>
          </cell>
          <cell r="E1149" t="str">
            <v>SPOT VITAL SIGN (NIBP)</v>
          </cell>
        </row>
        <row r="1150">
          <cell r="D1150" t="str">
            <v>KKM/JKN/HSA/10-05-01/H/15/1221</v>
          </cell>
          <cell r="E1150" t="str">
            <v>INFUSION PUMP</v>
          </cell>
        </row>
        <row r="1151">
          <cell r="D1151" t="str">
            <v>KKM/JKN/HSA/10-05-01/H/15/1222</v>
          </cell>
          <cell r="E1151" t="str">
            <v>INFUSION PUMP</v>
          </cell>
        </row>
        <row r="1152">
          <cell r="D1152" t="str">
            <v>KKM/JKN/HSA/10-05-01/H/15/1587</v>
          </cell>
          <cell r="E1152" t="str">
            <v>INFANT WARMER (RADIANT)</v>
          </cell>
        </row>
        <row r="1153">
          <cell r="D1153" t="str">
            <v>KKM/JKN/HSA/10-05-01/H/15/1588</v>
          </cell>
          <cell r="E1153" t="str">
            <v>PATIENT MONITORING EQUIP.(AUTOMATIC MULTIPARAMETER)</v>
          </cell>
        </row>
        <row r="1154">
          <cell r="D1154" t="str">
            <v>KKM/JKN/HSA/10-05-01/H/15/1591</v>
          </cell>
          <cell r="E1154" t="str">
            <v>PATIENT MONITORING EQUIP.(AUTOMATIC MULTIPARAMETER)</v>
          </cell>
        </row>
        <row r="1155">
          <cell r="D1155" t="str">
            <v>KKM/JKN/HSA/10-05-01/H/15/4296</v>
          </cell>
          <cell r="E1155" t="str">
            <v>FETAL HEART MONITOR (CTG)</v>
          </cell>
        </row>
        <row r="1156">
          <cell r="D1156" t="str">
            <v>KKM/JKN/HSA/10-05-01/H/15/4299</v>
          </cell>
          <cell r="E1156" t="str">
            <v>FETAL HEART MONITOR (CTG)</v>
          </cell>
        </row>
        <row r="1157">
          <cell r="D1157" t="str">
            <v>KKM/JKN/HSA/10-05-01/H/15/595</v>
          </cell>
          <cell r="E1157" t="str">
            <v>FETAL HEART MONITOR (DAPTONE)</v>
          </cell>
        </row>
        <row r="1158">
          <cell r="D1158" t="str">
            <v>KKM/JKN/HSA/10-05-01/H/16/86</v>
          </cell>
          <cell r="E1158" t="str">
            <v>PULSE OXIMETER AND SIMULATOR</v>
          </cell>
        </row>
        <row r="1159">
          <cell r="D1159" t="str">
            <v>KKM/JKN/HSA/10-05-01/R/15/14856</v>
          </cell>
          <cell r="E1159" t="str">
            <v>BLOOD PRESSURE MONITOR (SPHYGMOMANOMETER)</v>
          </cell>
        </row>
        <row r="1160">
          <cell r="D1160" t="str">
            <v>KKM/JKN/HSA/10-05-01/R/15/14857</v>
          </cell>
          <cell r="E1160" t="str">
            <v>BLOOD PRESSURE MONITOR (SPHYGMOMANOMETER)</v>
          </cell>
        </row>
        <row r="1161">
          <cell r="D1161" t="str">
            <v>KKM/JKN/HSA/10-05-01/R/15/14858</v>
          </cell>
          <cell r="E1161" t="str">
            <v>BLOOD PRESSURE MONITOR (SPHYGMOMANOMETER)</v>
          </cell>
        </row>
        <row r="1162">
          <cell r="D1162" t="str">
            <v>KKM/JKN/HSA/10-05-01/R/15/7029</v>
          </cell>
          <cell r="E1162" t="str">
            <v>INFANT/ BABY SCALER</v>
          </cell>
        </row>
        <row r="1163">
          <cell r="D1163" t="str">
            <v>KKM/JKN/HSA/10-05-01/H/20/238</v>
          </cell>
          <cell r="E1163" t="str">
            <v>PATIENT MONITORING EQUIP.(AUTOMATIC MULTIPARAMETER)</v>
          </cell>
        </row>
        <row r="1164">
          <cell r="D1164" t="str">
            <v>KKM/JKN/HSA/10-05-01/H/21/207</v>
          </cell>
          <cell r="E1164" t="str">
            <v>VITAL SIGN MONITORS</v>
          </cell>
        </row>
        <row r="1165">
          <cell r="D1165" t="str">
            <v>KKM/JKN/HSA/10-05-01/H/21/189</v>
          </cell>
          <cell r="E1165" t="str">
            <v>PATIENT MONITORING EQUIPMENT</v>
          </cell>
        </row>
        <row r="1166">
          <cell r="D1166" t="str">
            <v>HSAS10118</v>
          </cell>
          <cell r="E1166" t="str">
            <v>BATH DRY WITH TEST TUBE BLOCKS</v>
          </cell>
        </row>
        <row r="1167">
          <cell r="D1167" t="str">
            <v>KKM/JKN/HSA/10-05-01/H/15/3934</v>
          </cell>
          <cell r="E1167" t="str">
            <v>WATER PURIFICATION SYSTEMS, DEIONIZATION</v>
          </cell>
        </row>
        <row r="1168">
          <cell r="D1168" t="str">
            <v>KKM/JKN/HSA/10-05-01/H/15/4020</v>
          </cell>
          <cell r="E1168" t="str">
            <v>WATER PURIFICATION SYSTEMS, DEIONIZATION</v>
          </cell>
        </row>
        <row r="1169">
          <cell r="D1169" t="str">
            <v>KKM/JKN/HSA/10-05-01/H/16/13</v>
          </cell>
          <cell r="E1169" t="str">
            <v>LAB CENTRIFUGE</v>
          </cell>
        </row>
        <row r="1170">
          <cell r="D1170" t="str">
            <v>KKM/JKN/HSA/10-05-01/H/19/22</v>
          </cell>
          <cell r="E1170" t="str">
            <v>SHIMADZU UNIBLOC TOP LOADING BALANCES</v>
          </cell>
        </row>
        <row r="1171">
          <cell r="D1171" t="str">
            <v>KKM/JKN/HSA/10-05-01/H/15/3899</v>
          </cell>
          <cell r="E1171" t="str">
            <v>LAB CENTRIFUGE</v>
          </cell>
        </row>
        <row r="1172">
          <cell r="D1172" t="str">
            <v>KKM/JKN/HSA/10-05-01/H/15/3900</v>
          </cell>
          <cell r="E1172" t="str">
            <v>LAB CENTRIFUGE</v>
          </cell>
        </row>
        <row r="1173">
          <cell r="D1173" t="str">
            <v>KKM/JKN/HSA/10-05-01/H/15/3901</v>
          </cell>
          <cell r="E1173" t="str">
            <v>LAB CENTRIFUGE</v>
          </cell>
        </row>
        <row r="1174">
          <cell r="D1174" t="str">
            <v>KKM/JKN/HSA/10-05-01/H/15/3902</v>
          </cell>
          <cell r="E1174" t="str">
            <v>LAB CENTRIFUGE</v>
          </cell>
        </row>
        <row r="1175">
          <cell r="D1175" t="str">
            <v>KKM/JKN/HSA/10-05-01/H/15/3904</v>
          </cell>
          <cell r="E1175" t="str">
            <v>LAB CENTRIFUGE</v>
          </cell>
        </row>
        <row r="1176">
          <cell r="D1176" t="str">
            <v>KKM/JKN/HSA/10-05-01/H/15/3905</v>
          </cell>
          <cell r="E1176" t="str">
            <v>LAB CENTRIFUGE</v>
          </cell>
        </row>
        <row r="1177">
          <cell r="D1177" t="str">
            <v>KKM/JKN/HSA/10-05-01/H/15/3906</v>
          </cell>
          <cell r="E1177" t="str">
            <v>LAB CENTRIFUGE</v>
          </cell>
        </row>
        <row r="1178">
          <cell r="D1178" t="str">
            <v>KKM/JKN/HSA/10-05-01/H/15/3907</v>
          </cell>
          <cell r="E1178" t="str">
            <v>LAB CENTRIFUGE</v>
          </cell>
        </row>
        <row r="1179">
          <cell r="D1179" t="str">
            <v>KKM/JKN/HSA/10-05-01/H/15/3908</v>
          </cell>
          <cell r="E1179" t="str">
            <v>LAB CENTRIFUGE</v>
          </cell>
        </row>
        <row r="1180">
          <cell r="D1180" t="str">
            <v>KKM/JKN/HSA/10-05-01/H/15/3915</v>
          </cell>
          <cell r="E1180" t="str">
            <v>COAGULATION ANALYSER</v>
          </cell>
        </row>
        <row r="1181">
          <cell r="D1181" t="str">
            <v>KKM/JKN/HSA/10-05-01/H/15/3916</v>
          </cell>
          <cell r="E1181" t="str">
            <v>COAGULATION ANALYSER</v>
          </cell>
        </row>
        <row r="1182">
          <cell r="D1182" t="str">
            <v>KKM/JKN/HSA/10-05-01/H/15/3940</v>
          </cell>
          <cell r="E1182" t="str">
            <v>WAX HEATER</v>
          </cell>
        </row>
        <row r="1183">
          <cell r="D1183" t="str">
            <v>KKM/JKN/HSA/10-05-01/H/15/3941</v>
          </cell>
          <cell r="E1183" t="str">
            <v>SHIMADZU UNIBLOC TOP LOADING BALANCES</v>
          </cell>
        </row>
        <row r="1184">
          <cell r="D1184" t="str">
            <v>KKM/JKN/HSA/10-05-01/H/15/3942</v>
          </cell>
          <cell r="E1184" t="str">
            <v>SLIDE DRYING BENCHES</v>
          </cell>
        </row>
        <row r="1185">
          <cell r="D1185" t="str">
            <v>KKM/JKN/HSA/10-05-01/H/15/3943</v>
          </cell>
          <cell r="E1185" t="str">
            <v>SLIDE DRYING BENCHES</v>
          </cell>
        </row>
        <row r="1186">
          <cell r="D1186" t="str">
            <v>KKM/JKN/HSA/10-05-01/H/15/3944</v>
          </cell>
          <cell r="E1186" t="str">
            <v>SLIDE DRYING BENCHES</v>
          </cell>
        </row>
        <row r="1187">
          <cell r="D1187" t="str">
            <v>KKM/JKN/HSA/10-05-01/H/15/3947</v>
          </cell>
          <cell r="E1187" t="str">
            <v>ANALYTICAL BALANCE</v>
          </cell>
        </row>
        <row r="1188">
          <cell r="D1188" t="str">
            <v>KKM/JKN/HSA/10-05-01/H/15/3948</v>
          </cell>
          <cell r="E1188" t="str">
            <v>BLOOD CULTURE ANALYZER</v>
          </cell>
        </row>
        <row r="1189">
          <cell r="D1189" t="str">
            <v>KKM/JKN/HSA/10-05-01/H/15/3949</v>
          </cell>
          <cell r="E1189" t="str">
            <v>MICROSCOPE</v>
          </cell>
        </row>
        <row r="1190">
          <cell r="D1190" t="str">
            <v>KKM/JKN/HSA/10-05-01/H/15/3950</v>
          </cell>
          <cell r="E1190" t="str">
            <v>MICROSCOPE</v>
          </cell>
        </row>
        <row r="1191">
          <cell r="D1191" t="str">
            <v>KKM/JKN/HSA/10-05-01/H/15/3951</v>
          </cell>
          <cell r="E1191" t="str">
            <v>MICROSCOPE</v>
          </cell>
        </row>
        <row r="1192">
          <cell r="D1192" t="str">
            <v>KKM/JKN/HSA/10-05-01/H/15/3952</v>
          </cell>
          <cell r="E1192" t="str">
            <v>MICROSCOPE</v>
          </cell>
        </row>
        <row r="1193">
          <cell r="D1193" t="str">
            <v>KKM/JKN/HSA/10-05-01/H/15/3953</v>
          </cell>
          <cell r="E1193" t="str">
            <v>MICROSCOPE</v>
          </cell>
        </row>
        <row r="1194">
          <cell r="D1194" t="str">
            <v>KKM/JKN/HSA/10-05-01/H/15/3954</v>
          </cell>
          <cell r="E1194" t="str">
            <v>MICROSCOPE</v>
          </cell>
        </row>
        <row r="1195">
          <cell r="D1195" t="str">
            <v>KKM/JKN/HSA/10-05-01/H/15/3955</v>
          </cell>
          <cell r="E1195" t="str">
            <v>MICROSCOPE</v>
          </cell>
        </row>
        <row r="1196">
          <cell r="D1196" t="str">
            <v>KKM/JKN/HSA/10-05-01/H/15/3956</v>
          </cell>
          <cell r="E1196" t="str">
            <v>MICROSCOPE</v>
          </cell>
        </row>
        <row r="1197">
          <cell r="D1197" t="str">
            <v>KKM/JKN/HSA/10-05-01/H/15/3957</v>
          </cell>
          <cell r="E1197" t="str">
            <v>MICROSCOPE</v>
          </cell>
        </row>
        <row r="1198">
          <cell r="D1198" t="str">
            <v>KKM/JKN/HSA/10-05-01/H/15/3958</v>
          </cell>
          <cell r="E1198" t="str">
            <v>MICROSCOPE</v>
          </cell>
        </row>
        <row r="1199">
          <cell r="D1199" t="str">
            <v>KKM/JKN/HSA/10-05-01/H/15/3959</v>
          </cell>
          <cell r="E1199" t="str">
            <v>MICROSCOPE</v>
          </cell>
        </row>
        <row r="1200">
          <cell r="D1200" t="str">
            <v>KKM/JKN/HSA/10-05-01/H/15/3960</v>
          </cell>
          <cell r="E1200" t="str">
            <v>MICROSCOPE</v>
          </cell>
        </row>
        <row r="1201">
          <cell r="D1201" t="str">
            <v>KKM/JKN/HSA/10-05-01/H/15/3961</v>
          </cell>
          <cell r="E1201" t="str">
            <v>MICROSCOPE</v>
          </cell>
        </row>
        <row r="1202">
          <cell r="D1202" t="str">
            <v>KKM/JKN/HSA/10-05-01/H/15/3962</v>
          </cell>
          <cell r="E1202" t="str">
            <v>MICROSCOPE</v>
          </cell>
        </row>
        <row r="1203">
          <cell r="D1203" t="str">
            <v>KKM/JKN/HSA/10-05-01/H/15/3963</v>
          </cell>
          <cell r="E1203" t="str">
            <v>MICROSCOPE</v>
          </cell>
        </row>
        <row r="1204">
          <cell r="D1204" t="str">
            <v>KKM/JKN/HSA/10-05-01/H/15/3964</v>
          </cell>
          <cell r="E1204" t="str">
            <v>INCUBATOR, CARBON DIOXIDE(CO2)</v>
          </cell>
        </row>
        <row r="1205">
          <cell r="D1205" t="str">
            <v>KKM/JKN/HSA/10-05-01/H/15/3965</v>
          </cell>
          <cell r="E1205" t="str">
            <v>INCUBATOR, CARBON DIOXIDE(CO2)</v>
          </cell>
        </row>
        <row r="1206">
          <cell r="D1206" t="str">
            <v>KKM/JKN/HSA/10-05-01/H/15/3968</v>
          </cell>
          <cell r="E1206" t="str">
            <v>INKUBATOR (INCUBATOR)</v>
          </cell>
        </row>
        <row r="1207">
          <cell r="D1207" t="str">
            <v>KKM/JKN/HSA/10-05-01/H/15/3969</v>
          </cell>
          <cell r="E1207" t="str">
            <v>HOT AIR OVEN MEMMERT</v>
          </cell>
        </row>
        <row r="1208">
          <cell r="D1208" t="str">
            <v>KKM/JKN/HSA/10-05-01/H/15/3975</v>
          </cell>
          <cell r="E1208" t="str">
            <v>MICROTOMES</v>
          </cell>
        </row>
        <row r="1209">
          <cell r="D1209" t="str">
            <v>KKM/JKN/HSA/10-05-01/H/15/3978</v>
          </cell>
          <cell r="E1209" t="str">
            <v>TISSUE EMBEDDING UNIT</v>
          </cell>
        </row>
        <row r="1210">
          <cell r="D1210" t="str">
            <v>KKM/JKN/HSA/10-05-01/H/15/3979</v>
          </cell>
          <cell r="E1210" t="str">
            <v>SLIDE STAINERS</v>
          </cell>
        </row>
        <row r="1211">
          <cell r="D1211" t="str">
            <v>KKM/JKN/HSA/10-05-01/H/15/3980</v>
          </cell>
          <cell r="E1211" t="str">
            <v>SLIDE STAINERS</v>
          </cell>
        </row>
        <row r="1212">
          <cell r="D1212" t="str">
            <v>KKM/JKN/HSA/10-05-01/H/15/3981</v>
          </cell>
          <cell r="E1212" t="str">
            <v>CRYOSTAT</v>
          </cell>
        </row>
        <row r="1213">
          <cell r="D1213" t="str">
            <v>KKM/JKN/HSA/10-05-01/H/15/3982</v>
          </cell>
          <cell r="E1213" t="str">
            <v>TUBE SEALER</v>
          </cell>
        </row>
        <row r="1214">
          <cell r="D1214" t="str">
            <v>KKM/JKN/HSA/10-05-01/H/15/3983</v>
          </cell>
          <cell r="E1214" t="str">
            <v>PLATELET AGITATOR WITH INCUBATOR</v>
          </cell>
        </row>
        <row r="1215">
          <cell r="D1215" t="str">
            <v>KKM/JKN/HSA/10-05-01/H/15/3984</v>
          </cell>
          <cell r="E1215" t="str">
            <v>PLATELET AGITATOR WITH INCUBATOR</v>
          </cell>
        </row>
        <row r="1216">
          <cell r="D1216" t="str">
            <v>KKM/JKN/HSA/10-05-01/H/15/3985</v>
          </cell>
          <cell r="E1216" t="str">
            <v>BLOOD ROLLER MIXER</v>
          </cell>
        </row>
        <row r="1217">
          <cell r="D1217" t="str">
            <v>KKM/JKN/HSA/10-05-01/H/15/3986</v>
          </cell>
          <cell r="E1217" t="str">
            <v>BLOOD ROLLER MIXER</v>
          </cell>
        </row>
        <row r="1218">
          <cell r="D1218" t="str">
            <v>KKM/JKN/HSA/10-05-01/H/15/3987</v>
          </cell>
          <cell r="E1218" t="str">
            <v>BLOOD ROLLER MIXER</v>
          </cell>
        </row>
        <row r="1219">
          <cell r="D1219" t="str">
            <v>KKM/JKN/HSA/10-05-01/H/15/3988</v>
          </cell>
          <cell r="E1219" t="str">
            <v>BLOOD ROLLER MIXER</v>
          </cell>
        </row>
        <row r="1220">
          <cell r="D1220" t="str">
            <v>KKM/JKN/HSA/10-05-01/H/15/3989</v>
          </cell>
          <cell r="E1220" t="str">
            <v>BLOOD ROLLER MIXER</v>
          </cell>
        </row>
        <row r="1221">
          <cell r="D1221" t="str">
            <v>KKM/JKN/HSA/10-05-01/H/15/3990</v>
          </cell>
          <cell r="E1221" t="str">
            <v>HEMATOLOGY ANALYSER</v>
          </cell>
        </row>
        <row r="1222">
          <cell r="D1222" t="str">
            <v>KKM/JKN/HSA/10-05-01/H/15/3992</v>
          </cell>
          <cell r="E1222" t="str">
            <v>MICROCENTRIFUGE</v>
          </cell>
        </row>
        <row r="1223">
          <cell r="D1223" t="str">
            <v>KKM/JKN/HSA/10-05-01/H/15/3993</v>
          </cell>
          <cell r="E1223" t="str">
            <v>MICROCENTRIFUGE</v>
          </cell>
        </row>
        <row r="1224">
          <cell r="D1224" t="str">
            <v>KKM/JKN/HSA/10-05-01/H/15/3994</v>
          </cell>
          <cell r="E1224" t="str">
            <v>MICROCENTRIFUGE</v>
          </cell>
        </row>
        <row r="1225">
          <cell r="D1225" t="str">
            <v>KKM/JKN/HSA/10-05-01/H/15/3995</v>
          </cell>
          <cell r="E1225" t="str">
            <v>MICROCENTRIFUGE</v>
          </cell>
        </row>
        <row r="1226">
          <cell r="D1226" t="str">
            <v>KKM/JKN/HSA/10-05-01/H/15/3996</v>
          </cell>
          <cell r="E1226" t="str">
            <v>MICROCENTRIFUGE</v>
          </cell>
        </row>
        <row r="1227">
          <cell r="D1227" t="str">
            <v>KKM/JKN/HSA/10-05-01/H/15/3999</v>
          </cell>
          <cell r="E1227" t="str">
            <v>OSMOMETERS</v>
          </cell>
        </row>
        <row r="1228">
          <cell r="D1228" t="str">
            <v>KKM/JKN/HSA/10-05-01/H/15/4002</v>
          </cell>
          <cell r="E1228" t="str">
            <v>WATER BATH</v>
          </cell>
        </row>
        <row r="1229">
          <cell r="D1229" t="str">
            <v>KKM/JKN/HSA/10-05-01/H/15/4004</v>
          </cell>
          <cell r="E1229" t="str">
            <v>WATER BATH</v>
          </cell>
        </row>
        <row r="1230">
          <cell r="D1230" t="str">
            <v>KKM/JKN/HSA/10-05-01/H/15/4005</v>
          </cell>
          <cell r="E1230" t="str">
            <v>PARRAFIN SECTION MOUNTING BATH</v>
          </cell>
        </row>
        <row r="1231">
          <cell r="D1231" t="str">
            <v>KKM/JKN/HSA/10-05-01/H/15/4007</v>
          </cell>
          <cell r="E1231" t="str">
            <v>PLASMA THAWER</v>
          </cell>
        </row>
        <row r="1232">
          <cell r="D1232" t="str">
            <v>KKM/JKN/HSA/10-05-01/H/15/4013</v>
          </cell>
          <cell r="E1232" t="str">
            <v>LAB CENTRIFUGE</v>
          </cell>
        </row>
        <row r="1233">
          <cell r="D1233" t="str">
            <v>KKM/JKN/HSA/10-05-01/H/15/4014</v>
          </cell>
          <cell r="E1233" t="str">
            <v>CELL WASH CENTRIFUGE (SEROFUGE)</v>
          </cell>
        </row>
        <row r="1234">
          <cell r="D1234" t="str">
            <v>KKM/JKN/HSA/10-05-01/H/15/4015</v>
          </cell>
          <cell r="E1234" t="str">
            <v>CELL WASH CENTRIFUGE (SEROFUGE)</v>
          </cell>
        </row>
        <row r="1235">
          <cell r="D1235" t="str">
            <v>KKM/JKN/HSA/10-05-01/H/15/4016</v>
          </cell>
          <cell r="E1235" t="str">
            <v>SEDIMENTATION RATE ANALYZER(ESR)</v>
          </cell>
        </row>
        <row r="1236">
          <cell r="D1236" t="str">
            <v>KKM/JKN/HSA/10-05-01/H/15/4017</v>
          </cell>
          <cell r="E1236" t="str">
            <v>SEDIMENTATION RATE ANALYZER(ESR)</v>
          </cell>
        </row>
        <row r="1237">
          <cell r="D1237" t="str">
            <v>KKM/JKN/HSA/10-05-01/H/15/4018</v>
          </cell>
          <cell r="E1237" t="str">
            <v>HEMOGLOBIN SYSTEM FOR HBA1C</v>
          </cell>
        </row>
        <row r="1238">
          <cell r="D1238" t="str">
            <v>KKM/JKN/HSA/10-05-01/H/15/4019</v>
          </cell>
          <cell r="E1238" t="str">
            <v>ACCUBLOCK DIGITAL DRY BATH INCUBATOR</v>
          </cell>
        </row>
        <row r="1239">
          <cell r="D1239" t="str">
            <v>KKM/JKN/HSA/10-05-01/H/16/12</v>
          </cell>
          <cell r="E1239" t="str">
            <v>GEL CARD INCUBATOR/ID INCUBATOR 37 SI</v>
          </cell>
        </row>
        <row r="1240">
          <cell r="D1240" t="str">
            <v>KKM/JKN/HSA/10-05-01/H/16/3</v>
          </cell>
          <cell r="E1240" t="str">
            <v>MAGNETIC STIRRER WITH HEATING</v>
          </cell>
        </row>
        <row r="1241">
          <cell r="D1241" t="str">
            <v>KKM/JKN/HSA/10-05-01/H/16/4</v>
          </cell>
          <cell r="E1241" t="str">
            <v>MAGNETIC STIRRER WITH HEATING</v>
          </cell>
        </row>
        <row r="1242">
          <cell r="D1242" t="str">
            <v>KKM/JKN/HSA/10-05-01/H/16/5</v>
          </cell>
          <cell r="E1242" t="str">
            <v>MAGNETIC STIRRER WITH HEATING</v>
          </cell>
        </row>
        <row r="1243">
          <cell r="D1243" t="str">
            <v>KKM/JKN/HSA/10-05-01/H/16/51</v>
          </cell>
          <cell r="E1243" t="str">
            <v>TISSUE PROCESSOR</v>
          </cell>
        </row>
        <row r="1244">
          <cell r="D1244" t="str">
            <v>KKM/JKN/HSA/10-05-01/H/16/6</v>
          </cell>
          <cell r="E1244" t="str">
            <v>ROTATOR</v>
          </cell>
        </row>
        <row r="1245">
          <cell r="D1245" t="str">
            <v>KKM/JKN/HSA/10-05-01/H/16/7</v>
          </cell>
          <cell r="E1245" t="str">
            <v>ROTATOR</v>
          </cell>
        </row>
        <row r="1246">
          <cell r="D1246" t="str">
            <v>KKM/JKN/HSA/10-05-01/H/16/92</v>
          </cell>
          <cell r="E1246" t="str">
            <v>MICROSCOPE</v>
          </cell>
        </row>
        <row r="1247">
          <cell r="D1247" t="str">
            <v>KKM/JKN/HSA/10-05-01/R/15/15032</v>
          </cell>
          <cell r="E1247" t="str">
            <v>VORTEX MIXER</v>
          </cell>
        </row>
        <row r="1248">
          <cell r="D1248" t="str">
            <v>KKM/JKN/HSA/10-05-01/R/15/15033</v>
          </cell>
          <cell r="E1248" t="str">
            <v>VORTEX MIXER</v>
          </cell>
        </row>
        <row r="1249">
          <cell r="D1249" t="str">
            <v>KKM/JKN/HSA/10-05-01/R/15/15034</v>
          </cell>
          <cell r="E1249" t="str">
            <v>VORTEX MIXER</v>
          </cell>
        </row>
        <row r="1250">
          <cell r="D1250" t="str">
            <v>KKM/JKN/HSA/10-05-01/R/15/15051</v>
          </cell>
          <cell r="E1250" t="str">
            <v>UV BOX</v>
          </cell>
        </row>
        <row r="1251">
          <cell r="D1251" t="str">
            <v>KKM/JKN/HSA/10-05-01/R/15/15056</v>
          </cell>
          <cell r="E1251" t="str">
            <v>BALANCES ELECTRONICS</v>
          </cell>
        </row>
        <row r="1252">
          <cell r="D1252" t="str">
            <v>KKM/JKN/HSA/10-05-01/R/15/15057</v>
          </cell>
          <cell r="E1252" t="str">
            <v>BALANCES ELECTRONICS</v>
          </cell>
        </row>
        <row r="1253">
          <cell r="D1253" t="str">
            <v>KKM/JKN/HSA/10-05-01/H/21/326</v>
          </cell>
          <cell r="E1253" t="str">
            <v>GENEXPERT</v>
          </cell>
        </row>
        <row r="1254">
          <cell r="D1254" t="str">
            <v>KKM/JKN/HSA/10-05-01/H/15/2834</v>
          </cell>
          <cell r="E1254" t="str">
            <v>MICROSCOPE BINO 4X/10X/40X/100X LENS W FITTING FOR VIDEO CAMERA</v>
          </cell>
        </row>
        <row r="1255">
          <cell r="D1255" t="str">
            <v>KKM/JKN/HSA/10-05-01/H/15/5106</v>
          </cell>
          <cell r="E1255" t="str">
            <v>VIDEO CAMERA SYSTEM FOR MICROSCOPE</v>
          </cell>
        </row>
        <row r="1256">
          <cell r="D1256" t="str">
            <v>KKM/JKN/HSA/10-05-01/H/15/2835</v>
          </cell>
          <cell r="E1256" t="str">
            <v>MICROSCOPE</v>
          </cell>
        </row>
        <row r="1257">
          <cell r="D1257" t="str">
            <v>KKM/JKN/HSA/10-05-01/H/15/2842</v>
          </cell>
          <cell r="E1257" t="str">
            <v>BALANCES ELECTRONICS</v>
          </cell>
        </row>
        <row r="1258">
          <cell r="D1258" t="str">
            <v>KKM/JKN/HSA/10-05-01/H/15/3093</v>
          </cell>
          <cell r="E1258" t="str">
            <v>BALANCES ELECTRONICS</v>
          </cell>
        </row>
        <row r="1259">
          <cell r="D1259" t="str">
            <v>KKM/JKN/HSA/10-05-01/R/15/13485</v>
          </cell>
          <cell r="E1259" t="str">
            <v>BALANCES ELECTRONICS</v>
          </cell>
        </row>
        <row r="1260">
          <cell r="D1260" t="str">
            <v>KKM/JKN/HSA/10-05-01/H/16/31</v>
          </cell>
          <cell r="E1260" t="str">
            <v>BODY COMPOSITION ANALYSER WITH INTEGRAL PRINTER</v>
          </cell>
        </row>
        <row r="1261">
          <cell r="D1261" t="str">
            <v>HSAS 10138</v>
          </cell>
          <cell r="E1261" t="str">
            <v>RO Water Storage Tank</v>
          </cell>
        </row>
        <row r="1262">
          <cell r="D1262" t="str">
            <v>HSAS10139</v>
          </cell>
          <cell r="E1262" t="str">
            <v>RO SYSTEM</v>
          </cell>
        </row>
        <row r="1263">
          <cell r="D1263" t="str">
            <v>HSAS10137</v>
          </cell>
          <cell r="E1263" t="str">
            <v>RO Raw Water Tank</v>
          </cell>
        </row>
        <row r="1264">
          <cell r="D1264" t="str">
            <v>HSAS10140</v>
          </cell>
          <cell r="E1264" t="str">
            <v>RO SYSTEM</v>
          </cell>
        </row>
        <row r="1265">
          <cell r="D1265" t="str">
            <v>KKM/JKN/HSA/10-05-01/H/15/2460</v>
          </cell>
          <cell r="E1265" t="str">
            <v>PORTABLE RO UNIT</v>
          </cell>
        </row>
        <row r="1266">
          <cell r="D1266" t="str">
            <v>KKM/JKN/HSA/10-05-01/H/15/2461</v>
          </cell>
          <cell r="E1266" t="str">
            <v>PORTABLE RO UNIT</v>
          </cell>
        </row>
        <row r="1267">
          <cell r="D1267" t="str">
            <v>KKM/JKN/HSA/10-05-01/H/15/4262</v>
          </cell>
          <cell r="E1267" t="str">
            <v>WARMER BLOOD DRY HEAT TYPE</v>
          </cell>
        </row>
        <row r="1268">
          <cell r="D1268" t="str">
            <v>KKM/JKN/HSA/10-05-01/R/15/7355</v>
          </cell>
          <cell r="E1268" t="str">
            <v>DIAGNOSTIC SET ADULT</v>
          </cell>
        </row>
        <row r="1269">
          <cell r="D1269" t="str">
            <v>KKM/JKN/HSA/10-05-01/R/15/7356</v>
          </cell>
          <cell r="E1269" t="str">
            <v>DIAGNOSTIC SET ADULT</v>
          </cell>
        </row>
        <row r="1270">
          <cell r="D1270" t="str">
            <v>KKM/JKN/HSA/10-05-01/R/15/7357</v>
          </cell>
          <cell r="E1270" t="str">
            <v>DIAGNOSTIC SET ADULT</v>
          </cell>
        </row>
        <row r="1271">
          <cell r="D1271" t="str">
            <v>KKM/JKN/HSA/10-05-01/R/15/7359</v>
          </cell>
          <cell r="E1271" t="str">
            <v>DIAGNOSTIC SET ADULT</v>
          </cell>
        </row>
        <row r="1272">
          <cell r="D1272" t="str">
            <v>KKM/JKN/HSA/10-05-01/H/15/1626</v>
          </cell>
          <cell r="E1272" t="str">
            <v>MESIN HEMODIALYSIS</v>
          </cell>
        </row>
        <row r="1273">
          <cell r="D1273" t="str">
            <v>KKM/JKN/HSA/10-05-01/H/15/1627</v>
          </cell>
          <cell r="E1273" t="str">
            <v>MESIN HEMODIALYSIS</v>
          </cell>
        </row>
        <row r="1274">
          <cell r="D1274" t="str">
            <v>KKM/JKN/HSA/10-05-01/H/15/1628</v>
          </cell>
          <cell r="E1274" t="str">
            <v>MESIN HEMODIALYSIS</v>
          </cell>
        </row>
        <row r="1275">
          <cell r="D1275" t="str">
            <v>KKM/JKN/HSA/10-05-01/H/15/1629</v>
          </cell>
          <cell r="E1275" t="str">
            <v>MESIN HEMODIALYSIS</v>
          </cell>
        </row>
        <row r="1276">
          <cell r="D1276" t="str">
            <v>KKM/JKN/HSA/10-05-01/H/15/1630</v>
          </cell>
          <cell r="E1276" t="str">
            <v>MESIN HEMODIALYSIS</v>
          </cell>
        </row>
        <row r="1277">
          <cell r="D1277" t="str">
            <v>KKM/JKN/HSA/10-05-01/H/15/1631</v>
          </cell>
          <cell r="E1277" t="str">
            <v>MESIN HEMODIALYSIS</v>
          </cell>
        </row>
        <row r="1278">
          <cell r="D1278" t="str">
            <v>KKM/JKN/HSA/10-05-01/H/15/1632</v>
          </cell>
          <cell r="E1278" t="str">
            <v>MESIN HEMODIALYSIS</v>
          </cell>
        </row>
        <row r="1279">
          <cell r="D1279" t="str">
            <v>KKM/JKN/HSA/10-05-01/H/15/1633</v>
          </cell>
          <cell r="E1279" t="str">
            <v>MESIN HEMODIALYSIS</v>
          </cell>
        </row>
        <row r="1280">
          <cell r="D1280" t="str">
            <v>KKM/JKN/HSA/10-05-01/H/15/1634</v>
          </cell>
          <cell r="E1280" t="str">
            <v>MESIN HEMODIALYSIS</v>
          </cell>
        </row>
        <row r="1281">
          <cell r="D1281" t="str">
            <v>KKM/JKN/HSA/10-05-01/H/15/1635</v>
          </cell>
          <cell r="E1281" t="str">
            <v>MESIN HEMODIALYSIS</v>
          </cell>
        </row>
        <row r="1282">
          <cell r="D1282" t="str">
            <v>KKM/JKN/HSA/10-05-01/H/15/1636</v>
          </cell>
          <cell r="E1282" t="str">
            <v>MESIN HEMODIALYSIS</v>
          </cell>
        </row>
        <row r="1283">
          <cell r="D1283" t="str">
            <v>KKM/JKN/HSA/10-05-01/H/15/1637</v>
          </cell>
          <cell r="E1283" t="str">
            <v>MESIN HEMODIALYSIS</v>
          </cell>
        </row>
        <row r="1284">
          <cell r="D1284" t="str">
            <v>KKM/JKN/HSA/10-05-01/H/15/1638</v>
          </cell>
          <cell r="E1284" t="str">
            <v>MESIN HEMODIALYSIS</v>
          </cell>
        </row>
        <row r="1285">
          <cell r="D1285" t="str">
            <v>KKM/JKN/HSA/10-05-01/H/15/1639</v>
          </cell>
          <cell r="E1285" t="str">
            <v>MESIN HEMODIALYSIS</v>
          </cell>
        </row>
        <row r="1286">
          <cell r="D1286" t="str">
            <v>KKM/JKN/HSA/10-05-01/H/15/1640</v>
          </cell>
          <cell r="E1286" t="str">
            <v>MESIN HEMODIALYSIS</v>
          </cell>
        </row>
        <row r="1287">
          <cell r="D1287" t="str">
            <v>KKM/JKN/HSA/10-05-01/H/15/1641</v>
          </cell>
          <cell r="E1287" t="str">
            <v>MESIN HEMODIALYSIS</v>
          </cell>
        </row>
        <row r="1288">
          <cell r="D1288" t="str">
            <v>KKM/JKN/HSA/10-05-01/H/15/1652</v>
          </cell>
          <cell r="E1288" t="str">
            <v>MESIN HEMODIALYSIS</v>
          </cell>
        </row>
        <row r="1289">
          <cell r="D1289" t="str">
            <v>KKM/JKN/HSA/10-05-01/H/15/1653</v>
          </cell>
          <cell r="E1289" t="str">
            <v>MESIN HEMODIALYSIS</v>
          </cell>
        </row>
        <row r="1290">
          <cell r="D1290" t="str">
            <v>KKM/JKN/HSA/10-05-01/H/15/1654</v>
          </cell>
          <cell r="E1290" t="str">
            <v>MESIN HEMODIALYSIS</v>
          </cell>
        </row>
        <row r="1291">
          <cell r="D1291" t="str">
            <v>KKM/JKN/HSA/10-05-01/H/15/1655</v>
          </cell>
          <cell r="E1291" t="str">
            <v>MESIN HEMODIALYSIS</v>
          </cell>
        </row>
        <row r="1292">
          <cell r="D1292" t="str">
            <v>KKM/JKN/HSA/10-05-01/H/15/2109</v>
          </cell>
          <cell r="E1292" t="str">
            <v>PATIENT MONITORING EQUIP.(AUTOMATIC MULTIPARAMETER)</v>
          </cell>
        </row>
        <row r="1293">
          <cell r="D1293" t="str">
            <v>KKM/JKN/HSA/10-05-01/H/15/2146</v>
          </cell>
          <cell r="E1293" t="str">
            <v>SUCTION APPARATUS</v>
          </cell>
        </row>
        <row r="1294">
          <cell r="D1294" t="str">
            <v>KKM/JKN/HSA/10-05-01/H/15/3668</v>
          </cell>
          <cell r="E1294" t="str">
            <v>DEFIBRILLATOR</v>
          </cell>
        </row>
        <row r="1295">
          <cell r="D1295" t="str">
            <v>KKM/JKN/HSA/10-05-01/H/15/4030</v>
          </cell>
          <cell r="E1295" t="str">
            <v>OPERATION LIGHT</v>
          </cell>
        </row>
        <row r="1296">
          <cell r="D1296" t="str">
            <v>KKM/JKN/HSA/10-05-01/H/15/4032</v>
          </cell>
          <cell r="E1296" t="str">
            <v>ECG (EKG) MACHINE</v>
          </cell>
        </row>
        <row r="1297">
          <cell r="D1297" t="str">
            <v>KKM/JKN/HSA/10-05-01/H/15/4033</v>
          </cell>
          <cell r="E1297" t="str">
            <v>DIALYZER REPROCESSING UNIT</v>
          </cell>
        </row>
        <row r="1298">
          <cell r="D1298" t="str">
            <v>KKM/JKN/HSA/10-05-01/H/15/4034</v>
          </cell>
          <cell r="E1298" t="str">
            <v>DIALYZER REPROCESSING UNIT</v>
          </cell>
        </row>
        <row r="1299">
          <cell r="D1299" t="str">
            <v>KKM/JKN/HSA/10-05-01/H/15/4035</v>
          </cell>
          <cell r="E1299" t="str">
            <v>DIALYZER REPROCESSING UNIT</v>
          </cell>
        </row>
        <row r="1300">
          <cell r="D1300" t="str">
            <v>KKM/JKN/HSA/10-05-01/H/15/4036</v>
          </cell>
          <cell r="E1300" t="str">
            <v>DIALYZER REPROCESSING UNIT</v>
          </cell>
        </row>
        <row r="1301">
          <cell r="D1301" t="str">
            <v>KKM/JKN/HSA/10-05-01/H/15/4037</v>
          </cell>
          <cell r="E1301" t="str">
            <v>DIALYZER REPROCESSING UNIT</v>
          </cell>
        </row>
        <row r="1302">
          <cell r="D1302" t="str">
            <v>KKM/JKN/HSA/10-05-01/H/15/4038</v>
          </cell>
          <cell r="E1302" t="str">
            <v>DIALYZER REPROCESSING UNIT</v>
          </cell>
        </row>
        <row r="1303">
          <cell r="D1303" t="str">
            <v>KKM/JKN/HSA/10-05-01/H/15/4248</v>
          </cell>
          <cell r="E1303" t="str">
            <v>HEMODIALYSIS MACHINE</v>
          </cell>
        </row>
        <row r="1304">
          <cell r="D1304" t="str">
            <v>KKM/JKN/HSA/10-05-01/H/15/4249</v>
          </cell>
          <cell r="E1304" t="str">
            <v>HEMODIALYSIS MACHINE</v>
          </cell>
        </row>
        <row r="1305">
          <cell r="D1305" t="str">
            <v>KKM/JKN/HSA/10-05-01/H/15/4721</v>
          </cell>
          <cell r="E1305" t="str">
            <v>WEIGHING SCALE</v>
          </cell>
        </row>
        <row r="1306">
          <cell r="D1306" t="str">
            <v>KKM/JKN/HSA/10-05-01/H/15/992</v>
          </cell>
          <cell r="E1306" t="str">
            <v>HEMO DIAFILTRATION</v>
          </cell>
        </row>
        <row r="1307">
          <cell r="D1307" t="str">
            <v>KKM/JKN/HSA/10-05-01/R/15/7137</v>
          </cell>
          <cell r="E1307" t="str">
            <v>PATIENT MONITORING EQUIP.(AUTOMATIC MULTIPARAMETER)</v>
          </cell>
        </row>
        <row r="1308">
          <cell r="D1308" t="str">
            <v>KKM/JKN/HSA/10-05-01/R/15/7138</v>
          </cell>
          <cell r="E1308" t="str">
            <v>PATIENT MONITORING EQUIP.(AUTOMATIC MULTIPARAMETER)</v>
          </cell>
        </row>
        <row r="1309">
          <cell r="D1309" t="str">
            <v>KKM/JKN/HSA/10-05-01/R/15/7139</v>
          </cell>
          <cell r="E1309" t="str">
            <v>PATIENT MONITORING EQUIP.(AUTOMATIC MULTIPARAMETER)</v>
          </cell>
        </row>
        <row r="1310">
          <cell r="D1310" t="str">
            <v>KKM/JKN/HSA/10-05-01/R/15/7140</v>
          </cell>
          <cell r="E1310" t="str">
            <v>PATIENT MONITORING EQUIP.(AUTOMATIC MULTIPARAMETER)</v>
          </cell>
        </row>
        <row r="1311">
          <cell r="D1311" t="str">
            <v>KKM/JKN/HSA/10-05-01/R/15/7141</v>
          </cell>
          <cell r="E1311" t="str">
            <v>PATIENT MONITORING EQUIP.(AUTOMATIC MULTIPARAMETER)</v>
          </cell>
        </row>
        <row r="1312">
          <cell r="D1312" t="str">
            <v>KKM/JKN/HSA/10-05-01/R/15/7142</v>
          </cell>
          <cell r="E1312" t="str">
            <v>PATIENT MONITORING EQUIP.(AUTOMATIC MULTIPARAMETER)</v>
          </cell>
        </row>
        <row r="1313">
          <cell r="D1313" t="str">
            <v>KKM/JKN/HSA/10-05-01/H/20/144</v>
          </cell>
          <cell r="E1313" t="str">
            <v>MESIN HEMODIALYSIS</v>
          </cell>
        </row>
        <row r="1314">
          <cell r="D1314" t="str">
            <v>KKM/JKN/HSA/10-05-01/H/20/199</v>
          </cell>
          <cell r="E1314" t="str">
            <v xml:space="preserve">PORTABLE REVERSE OSMOSIS (RO)WATER SYSTEM </v>
          </cell>
        </row>
        <row r="1315">
          <cell r="D1315" t="str">
            <v>KKM/JKN/HSA/10-05-01/R/15/17062</v>
          </cell>
          <cell r="E1315" t="str">
            <v>DIAGNOSTIC SET ADULT</v>
          </cell>
        </row>
        <row r="1316">
          <cell r="D1316" t="str">
            <v>KKM/JKN/HSA/10-05-01/H/15/1013</v>
          </cell>
          <cell r="E1316" t="str">
            <v>PATIENT MONITORING EQUIP.(AUTOMATIC MULTIPARAMETER)</v>
          </cell>
        </row>
        <row r="1317">
          <cell r="D1317" t="str">
            <v>KKM/JKN/HSA/10-05-01/H/16/167</v>
          </cell>
          <cell r="E1317" t="str">
            <v>PICO + SMOKERLYZER</v>
          </cell>
        </row>
        <row r="1318">
          <cell r="D1318" t="str">
            <v>KKM/JKN/HSA/10-05-01/H/16/44</v>
          </cell>
          <cell r="E1318" t="str">
            <v>MICRO + SMOKERLYZER</v>
          </cell>
        </row>
        <row r="1319">
          <cell r="D1319" t="str">
            <v>HSAS10006</v>
          </cell>
          <cell r="E1319" t="str">
            <v>DOCKING SYSTEM</v>
          </cell>
        </row>
        <row r="1320">
          <cell r="D1320" t="str">
            <v>HSAS10007</v>
          </cell>
          <cell r="E1320" t="str">
            <v>DOCKING SYSTEM</v>
          </cell>
        </row>
        <row r="1321">
          <cell r="D1321" t="str">
            <v>HSAS10008</v>
          </cell>
          <cell r="E1321" t="str">
            <v>DOCKING SYSTEM</v>
          </cell>
        </row>
        <row r="1322">
          <cell r="D1322" t="str">
            <v>HSAS10009</v>
          </cell>
          <cell r="E1322" t="str">
            <v>DOCKING SYSTEM</v>
          </cell>
        </row>
        <row r="1323">
          <cell r="D1323" t="str">
            <v>HSAS10011</v>
          </cell>
          <cell r="E1323" t="str">
            <v>DOCKING SYSTEM</v>
          </cell>
        </row>
        <row r="1324">
          <cell r="D1324" t="str">
            <v>HSAS10073</v>
          </cell>
          <cell r="E1324" t="str">
            <v>LASER PRINTER FOR CENTRAL STATION</v>
          </cell>
        </row>
        <row r="1325">
          <cell r="D1325" t="str">
            <v>KKM/JKN/HSA/10-05-01/H/15/896</v>
          </cell>
          <cell r="E1325" t="str">
            <v>PATIENT MONITORING EQUIP.(AUTOMATIC MULTIPARAMETER)</v>
          </cell>
        </row>
        <row r="1326">
          <cell r="D1326" t="str">
            <v>KKM/JKN/HSA/10-05-01/H/15/897</v>
          </cell>
          <cell r="E1326" t="str">
            <v>PATIENT MONITORING EQUIP.(AUTOMATIC MULTIPARAMETER)</v>
          </cell>
        </row>
        <row r="1327">
          <cell r="D1327" t="str">
            <v>KKM/JKN/HSA/10-05-01/H/15/898</v>
          </cell>
          <cell r="E1327" t="str">
            <v>PATIENT MONITORING EQUIP.(AUTOMATIC MULTIPARAMETER)</v>
          </cell>
        </row>
        <row r="1328">
          <cell r="D1328" t="str">
            <v>KKM/JKN/HSA/10-05-01/H/15/1014</v>
          </cell>
          <cell r="E1328" t="str">
            <v>PATIENT MONITORING EQUIP.(AUTOMATIC MULTIPARAMETER)</v>
          </cell>
        </row>
        <row r="1329">
          <cell r="D1329" t="str">
            <v>KKM/JKN/HSA/10-05-01/H/15/1038</v>
          </cell>
          <cell r="E1329" t="str">
            <v>PATIENT MONITORING EQUIP.(AUTOMATIC MULTIPARAMETER) (CO2 MODULE)</v>
          </cell>
        </row>
        <row r="1330">
          <cell r="D1330" t="str">
            <v>KKM/JKN/HSA/10-05-01/H/15/1039</v>
          </cell>
          <cell r="E1330" t="str">
            <v>PATIENT MONITORING EQUIP.(AUTOMATIC MULTIPARAMETER) (CO2 MODULE)</v>
          </cell>
        </row>
        <row r="1331">
          <cell r="D1331" t="str">
            <v>KKM/JKN/HSA/10-05-01/H/15/1040</v>
          </cell>
          <cell r="E1331" t="str">
            <v>PATIENT MONITORING EQUIP.(AUTOMATIC MULTIPARAMETER) (CO2 MODULE)</v>
          </cell>
        </row>
        <row r="1332">
          <cell r="D1332" t="str">
            <v>KKM/JKN/HSA/10-05-01/H/15/1041</v>
          </cell>
          <cell r="E1332" t="str">
            <v>PATIENT MONITORING EQUIP.(AUTOMATIC MULTIPARAMETER) (CO2 MODULE)</v>
          </cell>
        </row>
        <row r="1333">
          <cell r="D1333" t="str">
            <v>KKM/JKN/HSA/10-05-01/H/15/1042</v>
          </cell>
          <cell r="E1333" t="str">
            <v>PATIENT MONITORING EQUIP.(AUTOMATIC MULTIPARAMETER)</v>
          </cell>
        </row>
        <row r="1334">
          <cell r="D1334" t="str">
            <v>KKM/JKN/HSA/10-05-01/H/15/1043</v>
          </cell>
          <cell r="E1334" t="str">
            <v>PATIENT MONITORING EQUIP.(AUTOMATIC MULTIPARAMETER)</v>
          </cell>
        </row>
        <row r="1335">
          <cell r="D1335" t="str">
            <v>KKM/JKN/HSA/10-05-01/H/15/1044</v>
          </cell>
          <cell r="E1335" t="str">
            <v>PATIENT MONITORING EQUIP.(AUTOMATIC MULTIPARAMETER)</v>
          </cell>
        </row>
        <row r="1336">
          <cell r="D1336" t="str">
            <v>KKM/JKN/HSA/10-05-01/H/15/1096</v>
          </cell>
          <cell r="E1336" t="str">
            <v>SUCTION APPARATUS</v>
          </cell>
        </row>
        <row r="1337">
          <cell r="D1337" t="str">
            <v>KKM/JKN/HSA/10-05-01/H/15/1097</v>
          </cell>
          <cell r="E1337" t="str">
            <v>SUCTION APPARATUS</v>
          </cell>
        </row>
        <row r="1338">
          <cell r="D1338" t="str">
            <v>KKM/JKN/HSA/10-05-01/H/15/1141</v>
          </cell>
          <cell r="E1338" t="str">
            <v>CARDIAC OUTPUT MODULE</v>
          </cell>
        </row>
        <row r="1339">
          <cell r="D1339" t="str">
            <v>KKM/JKN/HSA/10-05-01/H/15/1142</v>
          </cell>
          <cell r="E1339" t="str">
            <v>CARDIAC OUTPUT MODULE</v>
          </cell>
        </row>
        <row r="1340">
          <cell r="D1340" t="str">
            <v>KKM/JKN/HSA/10-05-01/H/15/1143</v>
          </cell>
          <cell r="E1340" t="str">
            <v>CARDIAC OUTPUT MODULE</v>
          </cell>
        </row>
        <row r="1341">
          <cell r="D1341" t="str">
            <v>KKM/JKN/HSA/10-05-01/H/15/1144</v>
          </cell>
          <cell r="E1341" t="str">
            <v>CARDIAC OUTPUT MODULE</v>
          </cell>
        </row>
        <row r="1342">
          <cell r="D1342" t="str">
            <v>KKM/JKN/HSA/10-05-01/H/15/1145</v>
          </cell>
          <cell r="E1342" t="str">
            <v>CARDIAC OUTPUT MODULE</v>
          </cell>
        </row>
        <row r="1343">
          <cell r="D1343" t="str">
            <v>KKM/JKN/HSA/10-05-01/H/15/1146</v>
          </cell>
          <cell r="E1343" t="str">
            <v>CARDIAC OUTPUT MODULE</v>
          </cell>
        </row>
        <row r="1344">
          <cell r="D1344" t="str">
            <v>KKM/JKN/HSA/10-05-01/H/15/1175</v>
          </cell>
          <cell r="E1344" t="str">
            <v>INFUSION PUMP</v>
          </cell>
        </row>
        <row r="1345">
          <cell r="D1345" t="str">
            <v>KKM/JKN/HSA/10-05-01/H/15/1176</v>
          </cell>
          <cell r="E1345" t="str">
            <v>INFUSION PUMP</v>
          </cell>
        </row>
        <row r="1346">
          <cell r="D1346" t="str">
            <v>KKM/JKN/HSA/10-05-01/H/15/1177</v>
          </cell>
          <cell r="E1346" t="str">
            <v>INFUSION PUMP</v>
          </cell>
        </row>
        <row r="1347">
          <cell r="D1347" t="str">
            <v>KKM/JKN/HSA/10-05-01/H/15/1178</v>
          </cell>
          <cell r="E1347" t="str">
            <v>INFUSION PUMP</v>
          </cell>
        </row>
        <row r="1348">
          <cell r="D1348" t="str">
            <v>KKM/JKN/HSA/10-05-01/H/15/1179</v>
          </cell>
          <cell r="E1348" t="str">
            <v>INFUSION PUMP</v>
          </cell>
        </row>
        <row r="1349">
          <cell r="D1349" t="str">
            <v>KKM/JKN/HSA/10-05-01/H/15/1180</v>
          </cell>
          <cell r="E1349" t="str">
            <v>INFUSION PUMP</v>
          </cell>
        </row>
        <row r="1350">
          <cell r="D1350" t="str">
            <v>KKM/JKN/HSA/10-05-01/H/15/1181</v>
          </cell>
          <cell r="E1350" t="str">
            <v>INFUSION PUMP</v>
          </cell>
        </row>
        <row r="1351">
          <cell r="D1351" t="str">
            <v>KKM/JKN/HSA/10-05-01/H/15/1773</v>
          </cell>
          <cell r="E1351" t="str">
            <v>ENTERAL FEEDING PUMP</v>
          </cell>
        </row>
        <row r="1352">
          <cell r="D1352" t="str">
            <v>KKM/JKN/HSA/10-05-01/H/15/296</v>
          </cell>
          <cell r="E1352" t="str">
            <v>VENTILATOR</v>
          </cell>
        </row>
        <row r="1353">
          <cell r="D1353" t="str">
            <v>KKM/JKN/HSA/10-05-01/H/15/312</v>
          </cell>
          <cell r="E1353" t="str">
            <v>VENTILATOR</v>
          </cell>
        </row>
        <row r="1354">
          <cell r="D1354" t="str">
            <v>KKM/JKN/HSA/10-05-01/H/15/313</v>
          </cell>
          <cell r="E1354" t="str">
            <v>VENTILATOR</v>
          </cell>
        </row>
        <row r="1355">
          <cell r="D1355" t="str">
            <v>KKM/JKN/HSA/10-05-01/H/15/314</v>
          </cell>
          <cell r="E1355" t="str">
            <v>VENTILATOR</v>
          </cell>
        </row>
        <row r="1356">
          <cell r="D1356" t="str">
            <v>KKM/JKN/HSA/10-05-01/H/15/3662</v>
          </cell>
          <cell r="E1356" t="str">
            <v>DEFIBRILLATOR</v>
          </cell>
        </row>
        <row r="1357">
          <cell r="D1357" t="str">
            <v>KKM/JKN/HSA/10-05-01/H/15/3663</v>
          </cell>
          <cell r="E1357" t="str">
            <v>DEFIBRILLATOR</v>
          </cell>
        </row>
        <row r="1358">
          <cell r="D1358" t="str">
            <v>KKM/JKN/HSA/10-05-01/H/15/4871</v>
          </cell>
          <cell r="E1358" t="str">
            <v>VASCULAR DOPPLER</v>
          </cell>
        </row>
        <row r="1359">
          <cell r="D1359" t="str">
            <v>KKM/JKN/HSA/10-05-01/H/15/566</v>
          </cell>
          <cell r="E1359" t="str">
            <v>ECG (EKG) MACHINE</v>
          </cell>
        </row>
        <row r="1360">
          <cell r="D1360" t="str">
            <v>KKM/JKN/HSA/10-05-01/H/15/579</v>
          </cell>
          <cell r="E1360" t="str">
            <v>PATIENT MONITORING EQUIP.(AUTOMATIC MULTIPARAMETER)</v>
          </cell>
        </row>
        <row r="1361">
          <cell r="D1361" t="str">
            <v>KKM/JKN/HSA/10-05-01/H/15/618</v>
          </cell>
          <cell r="E1361" t="str">
            <v>SYRINGE INFUSION PUMP</v>
          </cell>
        </row>
        <row r="1362">
          <cell r="D1362" t="str">
            <v>KKM/JKN/HSA/10-05-01/H/15/620</v>
          </cell>
          <cell r="E1362" t="str">
            <v>SYRINGE INFUSION PUMP</v>
          </cell>
        </row>
        <row r="1363">
          <cell r="D1363" t="str">
            <v>KKM/JKN/HSA/10-05-01/H/15/621</v>
          </cell>
          <cell r="E1363" t="str">
            <v>SYRINGE INFUSION PUMP</v>
          </cell>
        </row>
        <row r="1364">
          <cell r="D1364" t="str">
            <v>KKM/JKN/HSA/10-05-01/H/15/622</v>
          </cell>
          <cell r="E1364" t="str">
            <v>SYRINGE INFUSION PUMP</v>
          </cell>
        </row>
        <row r="1365">
          <cell r="D1365" t="str">
            <v>KKM/JKN/HSA/10-05-01/H/15/623</v>
          </cell>
          <cell r="E1365" t="str">
            <v>SYRINGE INFUSION PUMP</v>
          </cell>
        </row>
        <row r="1366">
          <cell r="D1366" t="str">
            <v>KKM/JKN/HSA/10-05-01/H/15/624</v>
          </cell>
          <cell r="E1366" t="str">
            <v>SYRINGE INFUSION PUMP</v>
          </cell>
        </row>
        <row r="1367">
          <cell r="D1367" t="str">
            <v>KKM/JKN/HSA/10-05-01/H/15/625</v>
          </cell>
          <cell r="E1367" t="str">
            <v>SYRINGE INFUSION PUMP</v>
          </cell>
        </row>
        <row r="1368">
          <cell r="D1368" t="str">
            <v>KKM/JKN/HSA/10-05-01/H/15/626</v>
          </cell>
          <cell r="E1368" t="str">
            <v>SYRINGE INFUSION PUMP</v>
          </cell>
        </row>
        <row r="1369">
          <cell r="D1369" t="str">
            <v>KKM/JKN/HSA/10-05-01/H/15/627</v>
          </cell>
          <cell r="E1369" t="str">
            <v>SYRINGE INFUSION PUMP</v>
          </cell>
        </row>
        <row r="1370">
          <cell r="D1370" t="str">
            <v>KKM/JKN/HSA/10-05-01/H/15/628</v>
          </cell>
          <cell r="E1370" t="str">
            <v>SYRINGE INFUSION PUMP</v>
          </cell>
        </row>
        <row r="1371">
          <cell r="D1371" t="str">
            <v>KKM/JKN/HSA/10-05-01/H/15/629</v>
          </cell>
          <cell r="E1371" t="str">
            <v>SYRINGE INFUSION PUMP</v>
          </cell>
        </row>
        <row r="1372">
          <cell r="D1372" t="str">
            <v>KKM/JKN/HSA/10-05-01/H/15/630</v>
          </cell>
          <cell r="E1372" t="str">
            <v>SYRINGE INFUSION PUMP</v>
          </cell>
        </row>
        <row r="1373">
          <cell r="D1373" t="str">
            <v>KKM/JKN/HSA/10-05-01/H/15/632</v>
          </cell>
          <cell r="E1373" t="str">
            <v>SYRINGE INFUSION PUMP</v>
          </cell>
        </row>
        <row r="1374">
          <cell r="D1374" t="str">
            <v>KKM/JKN/HSA/10-05-01/H/15/635</v>
          </cell>
          <cell r="E1374" t="str">
            <v>SYRINGE INFUSION PUMP</v>
          </cell>
        </row>
        <row r="1375">
          <cell r="D1375" t="str">
            <v>KKM/JKN/HSA/10-05-01/H/15/636</v>
          </cell>
          <cell r="E1375" t="str">
            <v>SYRINGE INFUSION PUMP</v>
          </cell>
        </row>
        <row r="1376">
          <cell r="D1376" t="str">
            <v>KKM/JKN/HSA/10-05-01/H/15/637</v>
          </cell>
          <cell r="E1376" t="str">
            <v>SYRINGE INFUSION PUMP</v>
          </cell>
        </row>
        <row r="1377">
          <cell r="D1377" t="str">
            <v>KKM/JKN/HSA/10-05-01/H/15/638</v>
          </cell>
          <cell r="E1377" t="str">
            <v>SYRINGE INFUSION PUMP</v>
          </cell>
        </row>
        <row r="1378">
          <cell r="D1378" t="str">
            <v>KKM/JKN/HSA/10-05-01/H/15/639</v>
          </cell>
          <cell r="E1378" t="str">
            <v>SYRINGE INFUSION PUMP</v>
          </cell>
        </row>
        <row r="1379">
          <cell r="D1379" t="str">
            <v>KKM/JKN/HSA/10-05-01/H/15/640</v>
          </cell>
          <cell r="E1379" t="str">
            <v>SYRINGE INFUSION PUMP</v>
          </cell>
        </row>
        <row r="1380">
          <cell r="D1380" t="str">
            <v>KKM/JKN/HSA/10-05-01/H/15/641</v>
          </cell>
          <cell r="E1380" t="str">
            <v>SYRINGE INFUSION PUMP</v>
          </cell>
        </row>
        <row r="1381">
          <cell r="D1381" t="str">
            <v>KKM/JKN/HSA/10-05-01/H/15/642</v>
          </cell>
          <cell r="E1381" t="str">
            <v>SYRINGE INFUSION PUMP</v>
          </cell>
        </row>
        <row r="1382">
          <cell r="D1382" t="str">
            <v>KKM/JKN/HSA/10-05-01/H/15/643</v>
          </cell>
          <cell r="E1382" t="str">
            <v>SYRINGE INFUSION PUMP</v>
          </cell>
        </row>
        <row r="1383">
          <cell r="D1383" t="str">
            <v>KKM/JKN/HSA/10-05-01/H/15/644</v>
          </cell>
          <cell r="E1383" t="str">
            <v>SYRINGE INFUSION PUMP</v>
          </cell>
        </row>
        <row r="1384">
          <cell r="D1384" t="str">
            <v>KKM/JKN/HSA/10-05-01/H/15/645</v>
          </cell>
          <cell r="E1384" t="str">
            <v>SYRINGE INFUSION PUMP</v>
          </cell>
        </row>
        <row r="1385">
          <cell r="D1385" t="str">
            <v>KKM/JKN/HSA/10-05-01/H/15/646</v>
          </cell>
          <cell r="E1385" t="str">
            <v>SYRINGE INFUSION PUMP</v>
          </cell>
        </row>
        <row r="1386">
          <cell r="D1386" t="str">
            <v>KKM/JKN/HSA/10-05-01/H/15/647</v>
          </cell>
          <cell r="E1386" t="str">
            <v>SYRINGE INFUSION PUMP</v>
          </cell>
        </row>
        <row r="1387">
          <cell r="D1387" t="str">
            <v>KKM/JKN/HSA/10-05-01/H/15/648</v>
          </cell>
          <cell r="E1387" t="str">
            <v>SYRINGE INFUSION PUMP</v>
          </cell>
        </row>
        <row r="1388">
          <cell r="D1388" t="str">
            <v>KKM/JKN/HSA/10-05-01/H/15/649</v>
          </cell>
          <cell r="E1388" t="str">
            <v>SYRINGE INFUSION PUMP</v>
          </cell>
        </row>
        <row r="1389">
          <cell r="D1389" t="str">
            <v>KKM/JKN/HSA/10-05-01/H/15/650</v>
          </cell>
          <cell r="E1389" t="str">
            <v>SYRINGE INFUSION PUMP</v>
          </cell>
        </row>
        <row r="1390">
          <cell r="D1390" t="str">
            <v>KKM/JKN/HSA/10-05-01/H/15/651</v>
          </cell>
          <cell r="E1390" t="str">
            <v>SYRINGE INFUSION PUMP</v>
          </cell>
        </row>
        <row r="1391">
          <cell r="D1391" t="str">
            <v>KKM/JKN/HSA/10-05-01/H/15/652</v>
          </cell>
          <cell r="E1391" t="str">
            <v>TRANSCUTANEOUS/DEFIBRILLATOR PACER ANALYZER</v>
          </cell>
        </row>
        <row r="1392">
          <cell r="D1392" t="str">
            <v>KKM/JKN/HSA/10-05-01/H/15/653</v>
          </cell>
          <cell r="E1392" t="str">
            <v>TRANSCUTANEOUS/DEFIBRILLATOR PACER ANALYZER</v>
          </cell>
        </row>
        <row r="1393">
          <cell r="D1393" t="str">
            <v>KKM/JKN/HSA/10-05-01/H/15/874</v>
          </cell>
          <cell r="E1393" t="str">
            <v>CENTRAL MONITORING SYSTEM</v>
          </cell>
        </row>
        <row r="1394">
          <cell r="D1394" t="str">
            <v>KKM/JKN/HSA/10-05-01/H/15/914</v>
          </cell>
          <cell r="E1394" t="str">
            <v>SYRINGE INFUSION PUMP</v>
          </cell>
        </row>
        <row r="1395">
          <cell r="D1395" t="str">
            <v>KKM/JKN/HSA/10-05-01/H/15/915</v>
          </cell>
          <cell r="E1395" t="str">
            <v>SYRINGE INFUSION PUMP</v>
          </cell>
        </row>
        <row r="1396">
          <cell r="D1396" t="str">
            <v>KKM/JKN/HSA/10-05-01/H/15/916</v>
          </cell>
          <cell r="E1396" t="str">
            <v>SYRINGE INFUSION PUMP</v>
          </cell>
        </row>
        <row r="1397">
          <cell r="D1397" t="str">
            <v>KKM/JKN/HSA/10-05-01/H/15/947</v>
          </cell>
          <cell r="E1397" t="str">
            <v>PATIENT MONITORING EQUIP.(AUTOMATIC MULTIPARAMETER)</v>
          </cell>
        </row>
        <row r="1398">
          <cell r="D1398" t="str">
            <v>KKM/JKN/HSA/10-05-01/H/15/948</v>
          </cell>
          <cell r="E1398" t="str">
            <v>PATIENT MONITORING EQUIP.(AUTOMATIC MULTIPARAMETER)</v>
          </cell>
        </row>
        <row r="1399">
          <cell r="D1399" t="str">
            <v>KKM/JKN/HSA/10-05-01/H/15/949</v>
          </cell>
          <cell r="E1399" t="str">
            <v xml:space="preserve">PATIENT MONITOR </v>
          </cell>
        </row>
        <row r="1400">
          <cell r="D1400" t="str">
            <v>KKM/JKN/HSA/10-05-01/H/15/968</v>
          </cell>
          <cell r="E1400" t="str">
            <v>VITALOGRAPH SPIROMETER</v>
          </cell>
        </row>
        <row r="1401">
          <cell r="D1401" t="str">
            <v>KKM/JKN/HSA/10-05-01/R/15/16169</v>
          </cell>
          <cell r="E1401" t="str">
            <v>NEBULIZER</v>
          </cell>
        </row>
        <row r="1402">
          <cell r="D1402" t="str">
            <v>KKM/JKN/HSA/10-05-01/R/15/16170</v>
          </cell>
          <cell r="E1402" t="str">
            <v>NEBULIZER</v>
          </cell>
        </row>
        <row r="1403">
          <cell r="D1403" t="str">
            <v>KKM/JKN/HSA/10-05-01/R/15/16171</v>
          </cell>
          <cell r="E1403" t="str">
            <v>NEBULIZER</v>
          </cell>
        </row>
        <row r="1404">
          <cell r="D1404" t="str">
            <v>KKM/JKN/HSA/10-05-01/R/15/6988</v>
          </cell>
          <cell r="E1404" t="str">
            <v>CENTRAL MONITORING SYSTEM</v>
          </cell>
        </row>
        <row r="1405">
          <cell r="D1405" t="str">
            <v>HSAS10003</v>
          </cell>
          <cell r="E1405" t="str">
            <v>MATTRESS PRESSURE RELIEF</v>
          </cell>
        </row>
        <row r="1406">
          <cell r="D1406" t="str">
            <v>HSAS10092</v>
          </cell>
          <cell r="E1406" t="str">
            <v>DOCKING SYSTEM</v>
          </cell>
        </row>
        <row r="1407">
          <cell r="D1407" t="str">
            <v>HSAS10093</v>
          </cell>
          <cell r="E1407" t="str">
            <v>DOCKING SYSTEM</v>
          </cell>
        </row>
        <row r="1408">
          <cell r="D1408" t="str">
            <v>HSAS10094</v>
          </cell>
          <cell r="E1408" t="str">
            <v>DOCKING SYSTEM</v>
          </cell>
        </row>
        <row r="1409">
          <cell r="D1409" t="str">
            <v>HSAS10114</v>
          </cell>
          <cell r="E1409" t="str">
            <v>LASER PRINTER FOR CENTRAL STATION</v>
          </cell>
        </row>
        <row r="1410">
          <cell r="D1410" t="str">
            <v>HSAS10115</v>
          </cell>
          <cell r="E1410" t="str">
            <v>LARYNGOSCOPE C/W 3 BLADES ADULT</v>
          </cell>
        </row>
        <row r="1411">
          <cell r="D1411" t="str">
            <v>HSAS10116</v>
          </cell>
          <cell r="E1411" t="str">
            <v>LARYNGOSCOPE C/W 3 BLADES ADULT</v>
          </cell>
        </row>
        <row r="1412">
          <cell r="D1412" t="str">
            <v>KKM/JKN/HSA/10-05-01/H/15/4221</v>
          </cell>
          <cell r="E1412" t="str">
            <v>PCA AMBULATORY</v>
          </cell>
        </row>
        <row r="1413">
          <cell r="D1413" t="str">
            <v>KKM/JKN/HSA/10-05-01/H/15/4222</v>
          </cell>
          <cell r="E1413" t="str">
            <v>PCA AMBULATORY</v>
          </cell>
        </row>
        <row r="1414">
          <cell r="D1414" t="str">
            <v>KKM/JKN/HSA/10-05-01/H/15/4223</v>
          </cell>
          <cell r="E1414" t="str">
            <v>PCA AMBULATORY</v>
          </cell>
        </row>
        <row r="1415">
          <cell r="D1415" t="str">
            <v>KKM/JKN/HSA/10-05-01/H/15/4293</v>
          </cell>
          <cell r="E1415" t="str">
            <v>MONITOR MODULAR 8-CH ECG/RR/NIBP/SPO2/2TEMP/2IBP</v>
          </cell>
        </row>
        <row r="1416">
          <cell r="D1416" t="str">
            <v>KKM/JKN/HSA/10-05-01/H/15/5113</v>
          </cell>
          <cell r="E1416" t="str">
            <v>PUMP ENTERAL FEEDING</v>
          </cell>
        </row>
        <row r="1417">
          <cell r="D1417" t="str">
            <v>KKM/JKN/HSA/10-05-01/H/15/5114</v>
          </cell>
          <cell r="E1417" t="str">
            <v>PUMP ENTERAL FEEDING</v>
          </cell>
        </row>
        <row r="1418">
          <cell r="D1418" t="str">
            <v>KKM/JKN/HSA/10-05-01/H/15/5115</v>
          </cell>
          <cell r="E1418" t="str">
            <v>PUMP ENTERAL FEEDING</v>
          </cell>
        </row>
        <row r="1419">
          <cell r="D1419" t="str">
            <v>KKM/JKN/HSA/10-05-01/H/15/5117</v>
          </cell>
          <cell r="E1419" t="str">
            <v>PUMP ENTERAL FEEDING</v>
          </cell>
        </row>
        <row r="1420">
          <cell r="D1420" t="str">
            <v>KKM/JKN/HSA/10-05-01/H/15/5118</v>
          </cell>
          <cell r="E1420" t="str">
            <v>PUMP ENTERAL FEEDING</v>
          </cell>
        </row>
        <row r="1421">
          <cell r="D1421" t="str">
            <v>KKM/JKN/HSA/10-05-01/R/15/17099</v>
          </cell>
          <cell r="E1421" t="str">
            <v>DIAGNOSTIC SET ADULT</v>
          </cell>
        </row>
        <row r="1422">
          <cell r="D1422" t="str">
            <v>KKM/JKN/HSA/10-05-01/H/15/1045</v>
          </cell>
          <cell r="E1422" t="str">
            <v>PATIENT MONITORING EQUIP.(AUTOMATIC MULTIPARAMETER)</v>
          </cell>
        </row>
        <row r="1423">
          <cell r="D1423" t="str">
            <v>KKM/JKN/HSA/10-05-01/H/15/1046</v>
          </cell>
          <cell r="E1423" t="str">
            <v>PATIENT MONITORING EQUIP.(AUTOMATIC MULTIPARAMETER)</v>
          </cell>
        </row>
        <row r="1424">
          <cell r="D1424" t="str">
            <v>KKM/JKN/HSA/10-05-01/H/15/1047</v>
          </cell>
          <cell r="E1424" t="str">
            <v>PATIENT MONITORING EQUIP.(AUTOMATIC MULTIPARAMETER)</v>
          </cell>
        </row>
        <row r="1425">
          <cell r="D1425" t="str">
            <v>KKM/JKN/HSA/10-05-01/H/15/1048</v>
          </cell>
          <cell r="E1425" t="str">
            <v>PATIENT MONITORING EQUIP.(AUTOMATIC MULTIPARAMETER)</v>
          </cell>
        </row>
        <row r="1426">
          <cell r="D1426" t="str">
            <v>KKM/JKN/HSA/10-05-01/H/15/1049</v>
          </cell>
          <cell r="E1426" t="str">
            <v>PATIENT MONITORING EQUIP.(AUTOMATIC MULTIPARAMETER)</v>
          </cell>
        </row>
        <row r="1427">
          <cell r="D1427" t="str">
            <v>KKM/JKN/HSA/10-05-01/H/15/1050</v>
          </cell>
          <cell r="E1427" t="str">
            <v>PATIENT MONITORING EQUIP.(AUTOMATIC MULTIPARAMETER)</v>
          </cell>
        </row>
        <row r="1428">
          <cell r="D1428" t="str">
            <v>KKM/JKN/HSA/10-05-01/H/15/1051</v>
          </cell>
          <cell r="E1428" t="str">
            <v>PATIENT MONITORING EQUIP.(AUTOMATIC MULTIPARAMETER)</v>
          </cell>
        </row>
        <row r="1429">
          <cell r="D1429" t="str">
            <v>KKM/JKN/HSA/10-05-01/H/15/1147</v>
          </cell>
          <cell r="E1429" t="str">
            <v>CARDIAC OUTPUT MODULE</v>
          </cell>
        </row>
        <row r="1430">
          <cell r="D1430" t="str">
            <v>KKM/JKN/HSA/10-05-01/H/15/1148</v>
          </cell>
          <cell r="E1430" t="str">
            <v>CARDIAC OUTPUT MODULE</v>
          </cell>
        </row>
        <row r="1431">
          <cell r="D1431" t="str">
            <v>KKM/JKN/HSA/10-05-01/H/15/1149</v>
          </cell>
          <cell r="E1431" t="str">
            <v>CARDIAC OUTPUT MODULE</v>
          </cell>
        </row>
        <row r="1432">
          <cell r="D1432" t="str">
            <v>KKM/JKN/HSA/10-05-01/H/15/1150</v>
          </cell>
          <cell r="E1432" t="str">
            <v>CARDIAC OUTPUT MODULE</v>
          </cell>
        </row>
        <row r="1433">
          <cell r="D1433" t="str">
            <v>KKM/JKN/HSA/10-05-01/H/15/1151</v>
          </cell>
          <cell r="E1433" t="str">
            <v>CARDIAC OUTPUT MODULE</v>
          </cell>
        </row>
        <row r="1434">
          <cell r="D1434" t="str">
            <v>KKM/JKN/HSA/10-05-01/H/15/1198</v>
          </cell>
          <cell r="E1434" t="str">
            <v>INFUSION PUMP</v>
          </cell>
        </row>
        <row r="1435">
          <cell r="D1435" t="str">
            <v>KKM/JKN/HSA/10-05-01/H/15/1199</v>
          </cell>
          <cell r="E1435" t="str">
            <v>INFUSION PUMP</v>
          </cell>
        </row>
        <row r="1436">
          <cell r="D1436" t="str">
            <v>KKM/JKN/HSA/10-05-01/H/15/1200</v>
          </cell>
          <cell r="E1436" t="str">
            <v>INFUSION PUMP</v>
          </cell>
        </row>
        <row r="1437">
          <cell r="D1437" t="str">
            <v>KKM/JKN/HSA/10-05-01/H/15/1201</v>
          </cell>
          <cell r="E1437" t="str">
            <v>INFUSION PUMP</v>
          </cell>
        </row>
        <row r="1438">
          <cell r="D1438" t="str">
            <v>KKM/JKN/HSA/10-05-01/H/15/1202</v>
          </cell>
          <cell r="E1438" t="str">
            <v>INFUSION PUMP</v>
          </cell>
        </row>
        <row r="1439">
          <cell r="D1439" t="str">
            <v>KKM/JKN/HSA/10-05-01/H/15/1203</v>
          </cell>
          <cell r="E1439" t="str">
            <v>INFUSION PUMP</v>
          </cell>
        </row>
        <row r="1440">
          <cell r="D1440" t="str">
            <v>KKM/JKN/HSA/10-05-01/H/15/1204</v>
          </cell>
          <cell r="E1440" t="str">
            <v>INFUSION PUMP</v>
          </cell>
        </row>
        <row r="1441">
          <cell r="D1441" t="str">
            <v>KKM/JKN/HSA/10-05-01/H/15/1205</v>
          </cell>
          <cell r="E1441" t="str">
            <v>INFUSION PUMP</v>
          </cell>
        </row>
        <row r="1442">
          <cell r="D1442" t="str">
            <v>KKM/JKN/HSA/10-05-01/H/15/1206</v>
          </cell>
          <cell r="E1442" t="str">
            <v>INFUSION PUMP</v>
          </cell>
        </row>
        <row r="1443">
          <cell r="D1443" t="str">
            <v>KKM/JKN/HSA/10-05-01/H/15/1207</v>
          </cell>
          <cell r="E1443" t="str">
            <v>INFUSION PUMP</v>
          </cell>
        </row>
        <row r="1444">
          <cell r="D1444" t="str">
            <v>KKM/JKN/HSA/10-05-01/H/15/187</v>
          </cell>
          <cell r="E1444" t="str">
            <v>INTERMITTENT PNEUMATIC COMPRESSION SYSTEM/DVT PUMP (KENDALL/SCD EXPRESS)</v>
          </cell>
        </row>
        <row r="1445">
          <cell r="D1445" t="str">
            <v>KKM/JKN/HSA/10-05-01/H/15/188</v>
          </cell>
          <cell r="E1445" t="str">
            <v>INTERMITTENT PNEUMATIC COMPRESSION SYSTEM/DVT PUMP (KENDALL/SCD EXPRESS)</v>
          </cell>
        </row>
        <row r="1446">
          <cell r="D1446" t="str">
            <v>KKM/JKN/HSA/10-05-01/H/15/189</v>
          </cell>
          <cell r="E1446" t="str">
            <v>LARYNGOSCOPE</v>
          </cell>
        </row>
        <row r="1447">
          <cell r="D1447" t="str">
            <v>KKM/JKN/HSA/10-05-01/H/15/190</v>
          </cell>
          <cell r="E1447" t="str">
            <v>LARYNGOSCOPE</v>
          </cell>
        </row>
        <row r="1448">
          <cell r="D1448" t="str">
            <v>KKM/JKN/HSA/10-05-01/H/15/2779</v>
          </cell>
          <cell r="E1448" t="str">
            <v>INFUSION PUMP</v>
          </cell>
        </row>
        <row r="1449">
          <cell r="D1449" t="str">
            <v>KKM/JKN/HSA/10-05-01/H/15/2781</v>
          </cell>
          <cell r="E1449" t="str">
            <v>INFUSION PUMP</v>
          </cell>
        </row>
        <row r="1450">
          <cell r="D1450" t="str">
            <v>KKM/JKN/HSA/10-05-01/H/15/2788</v>
          </cell>
          <cell r="E1450" t="str">
            <v>RIPPLE MATTRESS</v>
          </cell>
        </row>
        <row r="1451">
          <cell r="D1451" t="str">
            <v>KKM/JKN/HSA/10-05-01/H/15/2789</v>
          </cell>
          <cell r="E1451" t="str">
            <v>RIPPLE MATTRESS</v>
          </cell>
        </row>
        <row r="1452">
          <cell r="D1452" t="str">
            <v>KKM/JKN/HSA/10-05-01/H/15/2790</v>
          </cell>
          <cell r="E1452" t="str">
            <v>RIPPLE MATTRESS</v>
          </cell>
        </row>
        <row r="1453">
          <cell r="D1453" t="str">
            <v>KKM/JKN/HSA/10-05-01/H/15/297</v>
          </cell>
          <cell r="E1453" t="str">
            <v>VENTILATOR</v>
          </cell>
        </row>
        <row r="1454">
          <cell r="D1454" t="str">
            <v>KKM/JKN/HSA/10-05-01/H/15/298</v>
          </cell>
          <cell r="E1454" t="str">
            <v>VENTILATOR</v>
          </cell>
        </row>
        <row r="1455">
          <cell r="D1455" t="str">
            <v>KKM/JKN/HSA/10-05-01/H/15/299</v>
          </cell>
          <cell r="E1455" t="str">
            <v>VENTILATOR</v>
          </cell>
        </row>
        <row r="1456">
          <cell r="D1456" t="str">
            <v>KKM/JKN/HSA/10-05-01/H/15/300</v>
          </cell>
          <cell r="E1456" t="str">
            <v>VENTILATOR</v>
          </cell>
        </row>
        <row r="1457">
          <cell r="D1457" t="str">
            <v>KKM/JKN/HSA/10-05-01/H/15/301</v>
          </cell>
          <cell r="E1457" t="str">
            <v>VENTILATOR</v>
          </cell>
        </row>
        <row r="1458">
          <cell r="D1458" t="str">
            <v>KKM/JKN/HSA/10-05-01/H/15/302</v>
          </cell>
          <cell r="E1458" t="str">
            <v>VENTILATOR</v>
          </cell>
        </row>
        <row r="1459">
          <cell r="D1459" t="str">
            <v>KKM/JKN/HSA/10-05-01/H/15/304</v>
          </cell>
          <cell r="E1459" t="str">
            <v>VENTILATOR</v>
          </cell>
        </row>
        <row r="1460">
          <cell r="D1460" t="str">
            <v>KKM/JKN/HSA/10-05-01/H/15/305</v>
          </cell>
          <cell r="E1460" t="str">
            <v>VENTILATOR</v>
          </cell>
        </row>
        <row r="1461">
          <cell r="D1461" t="str">
            <v>KKM/JKN/HSA/10-05-01/H/15/321</v>
          </cell>
          <cell r="E1461" t="str">
            <v>VENTILATOR</v>
          </cell>
        </row>
        <row r="1462">
          <cell r="D1462" t="str">
            <v>KKM/JKN/HSA/10-05-01/H/15/322</v>
          </cell>
          <cell r="E1462" t="str">
            <v>VENTILATOR</v>
          </cell>
        </row>
        <row r="1463">
          <cell r="D1463" t="str">
            <v>KKM/JKN/HSA/10-05-01/H/15/323</v>
          </cell>
          <cell r="E1463" t="str">
            <v>VENTILATOR</v>
          </cell>
        </row>
        <row r="1464">
          <cell r="D1464" t="str">
            <v>KKM/JKN/HSA/10-05-01/H/15/324</v>
          </cell>
          <cell r="E1464" t="str">
            <v>VENTILATOR</v>
          </cell>
        </row>
        <row r="1465">
          <cell r="D1465" t="str">
            <v>KKM/JKN/HSA/10-05-01/H/15/325</v>
          </cell>
          <cell r="E1465" t="str">
            <v>VENTILATOR</v>
          </cell>
        </row>
        <row r="1466">
          <cell r="D1466" t="str">
            <v>KKM/JKN/HSA/10-05-01/H/15/326</v>
          </cell>
          <cell r="E1466" t="str">
            <v>VENTILATOR</v>
          </cell>
        </row>
        <row r="1467">
          <cell r="D1467" t="str">
            <v>KKM/JKN/HSA/10-05-01/H/15/327</v>
          </cell>
          <cell r="E1467" t="str">
            <v>VENTILATOR</v>
          </cell>
        </row>
        <row r="1468">
          <cell r="D1468" t="str">
            <v>KKM/JKN/HSA/10-05-01/H/15/3671</v>
          </cell>
          <cell r="E1468" t="str">
            <v>DEFIBRILLATOR</v>
          </cell>
        </row>
        <row r="1469">
          <cell r="D1469" t="str">
            <v>KKM/JKN/HSA/10-05-01/H/15/3672</v>
          </cell>
          <cell r="E1469" t="str">
            <v>DEFIBRILLATOR</v>
          </cell>
        </row>
        <row r="1470">
          <cell r="D1470" t="str">
            <v>KKM/JKN/HSA/10-05-01/H/15/4170</v>
          </cell>
          <cell r="E1470" t="str">
            <v>VASCULAR DOPPLER</v>
          </cell>
        </row>
        <row r="1471">
          <cell r="D1471" t="str">
            <v>KKM/JKN/HSA/10-05-01/H/15/4219</v>
          </cell>
          <cell r="E1471" t="str">
            <v>INFUSION PUMP-DRIVER SYRINGE</v>
          </cell>
        </row>
        <row r="1472">
          <cell r="D1472" t="str">
            <v>KKM/JKN/HSA/10-05-01/H/15/4220</v>
          </cell>
          <cell r="E1472" t="str">
            <v>INFUSION PUMP-DRIVER SYRINGE</v>
          </cell>
        </row>
        <row r="1473">
          <cell r="D1473" t="str">
            <v>KKM/JKN/HSA/10-05-01/H/15/4224</v>
          </cell>
          <cell r="E1473" t="str">
            <v>PCA</v>
          </cell>
        </row>
        <row r="1474">
          <cell r="D1474" t="str">
            <v>KKM/JKN/HSA/10-05-01/H/15/4225</v>
          </cell>
          <cell r="E1474" t="str">
            <v>PCA</v>
          </cell>
        </row>
        <row r="1475">
          <cell r="D1475" t="str">
            <v>KKM/JKN/HSA/10-05-01/H/15/4226</v>
          </cell>
          <cell r="E1475" t="str">
            <v>PCA</v>
          </cell>
        </row>
        <row r="1476">
          <cell r="D1476" t="str">
            <v>KKM/JKN/HSA/10-05-01/H/15/4228</v>
          </cell>
          <cell r="E1476" t="str">
            <v>PCA</v>
          </cell>
        </row>
        <row r="1477">
          <cell r="D1477" t="str">
            <v>KKM/JKN/HSA/10-05-01/H/15/4230</v>
          </cell>
          <cell r="E1477" t="str">
            <v>PCA</v>
          </cell>
        </row>
        <row r="1478">
          <cell r="D1478" t="str">
            <v>KKM/JKN/HSA/10-05-01/H/15/4231</v>
          </cell>
          <cell r="E1478" t="str">
            <v>PCA</v>
          </cell>
        </row>
        <row r="1479">
          <cell r="D1479" t="str">
            <v>KKM/JKN/HSA/10-05-01/H/15/4232</v>
          </cell>
          <cell r="E1479" t="str">
            <v>PCA</v>
          </cell>
        </row>
        <row r="1480">
          <cell r="D1480" t="str">
            <v>KKM/JKN/HSA/10-05-01/H/15/4233</v>
          </cell>
          <cell r="E1480" t="str">
            <v>PCA</v>
          </cell>
        </row>
        <row r="1481">
          <cell r="D1481" t="str">
            <v>KKM/JKN/HSA/10-05-01/H/15/4288</v>
          </cell>
          <cell r="E1481" t="str">
            <v>RIPPLE MATTRESS</v>
          </cell>
        </row>
        <row r="1482">
          <cell r="D1482" t="str">
            <v>KKM/JKN/HSA/10-05-01/H/15/4289</v>
          </cell>
          <cell r="E1482" t="str">
            <v>MONITOR MODULAR</v>
          </cell>
        </row>
        <row r="1483">
          <cell r="D1483" t="str">
            <v>KKM/JKN/HSA/10-05-01/H/15/4290</v>
          </cell>
          <cell r="E1483" t="str">
            <v>PATIENT MONITOR</v>
          </cell>
        </row>
        <row r="1484">
          <cell r="D1484" t="str">
            <v>KKM/JKN/HSA/10-05-01/H/15/4291</v>
          </cell>
          <cell r="E1484" t="str">
            <v>PATIENT MONITOR</v>
          </cell>
        </row>
        <row r="1485">
          <cell r="D1485" t="str">
            <v>KKM/JKN/HSA/10-05-01/H/15/4292</v>
          </cell>
          <cell r="E1485" t="str">
            <v>PATIENT MONITOR</v>
          </cell>
        </row>
        <row r="1486">
          <cell r="D1486" t="str">
            <v>KKM/JKN/HSA/10-05-01/H/15/4294</v>
          </cell>
          <cell r="E1486" t="str">
            <v>PATIENT MONITOR</v>
          </cell>
        </row>
        <row r="1487">
          <cell r="D1487" t="str">
            <v>KKM/JKN/HSA/10-05-01/H/15/4295</v>
          </cell>
          <cell r="E1487" t="str">
            <v>PATIENT MONITOR</v>
          </cell>
        </row>
        <row r="1488">
          <cell r="D1488" t="str">
            <v>KKM/JKN/HSA/10-05-01/H/15/448</v>
          </cell>
          <cell r="E1488" t="str">
            <v>SYRINGE INFUSION PUMP</v>
          </cell>
        </row>
        <row r="1489">
          <cell r="D1489" t="str">
            <v>KKM/JKN/HSA/10-05-01/H/15/464</v>
          </cell>
          <cell r="E1489" t="str">
            <v>BRONCHOSCOPES</v>
          </cell>
        </row>
        <row r="1490">
          <cell r="D1490" t="str">
            <v>KKM/JKN/HSA/10-05-01/H/15/568</v>
          </cell>
          <cell r="E1490" t="str">
            <v>ECG (EKG) MACHINE</v>
          </cell>
        </row>
        <row r="1491">
          <cell r="D1491" t="str">
            <v>KKM/JKN/HSA/10-05-01/H/15/580</v>
          </cell>
          <cell r="E1491" t="str">
            <v>PATIENT MONITORING EQUIP.(AUTOMATIC MULTIPARAMETER)</v>
          </cell>
        </row>
        <row r="1492">
          <cell r="D1492" t="str">
            <v>KKM/JKN/HSA/10-05-01/H/15/581</v>
          </cell>
          <cell r="E1492" t="str">
            <v>PATIENT MONITORING EQUIP.(AUTOMATIC MULTIPARAMETER)</v>
          </cell>
        </row>
        <row r="1493">
          <cell r="D1493" t="str">
            <v>KKM/JKN/HSA/10-05-01/H/15/615</v>
          </cell>
          <cell r="E1493" t="str">
            <v>SYRINGE INFUSION PUMP</v>
          </cell>
        </row>
        <row r="1494">
          <cell r="D1494" t="str">
            <v>KKM/JKN/HSA/10-05-01/H/15/694</v>
          </cell>
          <cell r="E1494" t="str">
            <v>SYRINGE INFUSION PUMP</v>
          </cell>
        </row>
        <row r="1495">
          <cell r="D1495" t="str">
            <v>KKM/JKN/HSA/10-05-01/H/15/695</v>
          </cell>
          <cell r="E1495" t="str">
            <v>SYRINGE INFUSION PUMP</v>
          </cell>
        </row>
        <row r="1496">
          <cell r="D1496" t="str">
            <v>KKM/JKN/HSA/10-05-01/H/15/696</v>
          </cell>
          <cell r="E1496" t="str">
            <v>SYRINGE INFUSION PUMP</v>
          </cell>
        </row>
        <row r="1497">
          <cell r="D1497" t="str">
            <v>KKM/JKN/HSA/10-05-01/H/15/697</v>
          </cell>
          <cell r="E1497" t="str">
            <v>SYRINGE INFUSION PUMP</v>
          </cell>
        </row>
        <row r="1498">
          <cell r="D1498" t="str">
            <v>KKM/JKN/HSA/10-05-01/H/15/698</v>
          </cell>
          <cell r="E1498" t="str">
            <v>SYRINGE INFUSION PUMP</v>
          </cell>
        </row>
        <row r="1499">
          <cell r="D1499" t="str">
            <v>KKM/JKN/HSA/10-05-01/H/15/699</v>
          </cell>
          <cell r="E1499" t="str">
            <v>SYRINGE INFUSION PUMP</v>
          </cell>
        </row>
        <row r="1500">
          <cell r="D1500" t="str">
            <v>KKM/JKN/HSA/10-05-01/H/15/700</v>
          </cell>
          <cell r="E1500" t="str">
            <v>SYRINGE INFUSION PUMP</v>
          </cell>
        </row>
        <row r="1501">
          <cell r="D1501" t="str">
            <v>KKM/JKN/HSA/10-05-01/H/15/701</v>
          </cell>
          <cell r="E1501" t="str">
            <v>SYRINGE INFUSION PUMP</v>
          </cell>
        </row>
        <row r="1502">
          <cell r="D1502" t="str">
            <v>KKM/JKN/HSA/10-05-01/H/15/702</v>
          </cell>
          <cell r="E1502" t="str">
            <v>SYRINGE INFUSION PUMP</v>
          </cell>
        </row>
        <row r="1503">
          <cell r="D1503" t="str">
            <v>KKM/JKN/HSA/10-05-01/H/15/703</v>
          </cell>
          <cell r="E1503" t="str">
            <v>SYRINGE INFUSION PUMP</v>
          </cell>
        </row>
        <row r="1504">
          <cell r="D1504" t="str">
            <v>KKM/JKN/HSA/10-05-01/H/15/704</v>
          </cell>
          <cell r="E1504" t="str">
            <v>SYRINGE INFUSION PUMP</v>
          </cell>
        </row>
        <row r="1505">
          <cell r="D1505" t="str">
            <v>KKM/JKN/HSA/10-05-01/H/15/705</v>
          </cell>
          <cell r="E1505" t="str">
            <v>SYRINGE INFUSION PUMP</v>
          </cell>
        </row>
        <row r="1506">
          <cell r="D1506" t="str">
            <v>KKM/JKN/HSA/10-05-01/H/15/706</v>
          </cell>
          <cell r="E1506" t="str">
            <v>SYRINGE INFUSION PUMP</v>
          </cell>
        </row>
        <row r="1507">
          <cell r="D1507" t="str">
            <v>KKM/JKN/HSA/10-05-01/H/15/707</v>
          </cell>
          <cell r="E1507" t="str">
            <v>SYRINGE INFUSION PUMP</v>
          </cell>
        </row>
        <row r="1508">
          <cell r="D1508" t="str">
            <v>KKM/JKN/HSA/10-05-01/H/15/708</v>
          </cell>
          <cell r="E1508" t="str">
            <v>SYRINGE INFUSION PUMP</v>
          </cell>
        </row>
        <row r="1509">
          <cell r="D1509" t="str">
            <v>KKM/JKN/HSA/10-05-01/H/15/709</v>
          </cell>
          <cell r="E1509" t="str">
            <v>SYRINGE INFUSION PUMP</v>
          </cell>
        </row>
        <row r="1510">
          <cell r="D1510" t="str">
            <v>KKM/JKN/HSA/10-05-01/H/15/710</v>
          </cell>
          <cell r="E1510" t="str">
            <v>SYRINGE INFUSION PUMP</v>
          </cell>
        </row>
        <row r="1511">
          <cell r="D1511" t="str">
            <v>KKM/JKN/HSA/10-05-01/H/15/711</v>
          </cell>
          <cell r="E1511" t="str">
            <v>SYRINGE INFUSION PUMP</v>
          </cell>
        </row>
        <row r="1512">
          <cell r="D1512" t="str">
            <v>KKM/JKN/HSA/10-05-01/H/15/712</v>
          </cell>
          <cell r="E1512" t="str">
            <v>SYRINGE INFUSION PUMP</v>
          </cell>
        </row>
        <row r="1513">
          <cell r="D1513" t="str">
            <v>KKM/JKN/HSA/10-05-01/H/15/713</v>
          </cell>
          <cell r="E1513" t="str">
            <v>SYRINGE INFUSION PUMP</v>
          </cell>
        </row>
        <row r="1514">
          <cell r="D1514" t="str">
            <v>KKM/JKN/HSA/10-05-01/H/15/714</v>
          </cell>
          <cell r="E1514" t="str">
            <v>SYRINGE INFUSION PUMP</v>
          </cell>
        </row>
        <row r="1515">
          <cell r="D1515" t="str">
            <v>KKM/JKN/HSA/10-05-01/H/15/715</v>
          </cell>
          <cell r="E1515" t="str">
            <v>SYRINGE INFUSION PUMP</v>
          </cell>
        </row>
        <row r="1516">
          <cell r="D1516" t="str">
            <v>KKM/JKN/HSA/10-05-01/H/15/716</v>
          </cell>
          <cell r="E1516" t="str">
            <v>SYRINGE INFUSION PUMP</v>
          </cell>
        </row>
        <row r="1517">
          <cell r="D1517" t="str">
            <v>KKM/JKN/HSA/10-05-01/H/15/717</v>
          </cell>
          <cell r="E1517" t="str">
            <v>SYRINGE INFUSION PUMP</v>
          </cell>
        </row>
        <row r="1518">
          <cell r="D1518" t="str">
            <v>KKM/JKN/HSA/10-05-01/H/15/718</v>
          </cell>
          <cell r="E1518" t="str">
            <v>SYRINGE INFUSION PUMP</v>
          </cell>
        </row>
        <row r="1519">
          <cell r="D1519" t="str">
            <v>KKM/JKN/HSA/10-05-01/H/15/719</v>
          </cell>
          <cell r="E1519" t="str">
            <v>SYRINGE INFUSION PUMP</v>
          </cell>
        </row>
        <row r="1520">
          <cell r="D1520" t="str">
            <v>KKM/JKN/HSA/10-05-01/H/15/720</v>
          </cell>
          <cell r="E1520" t="str">
            <v>SYRINGE INFUSION PUMP</v>
          </cell>
        </row>
        <row r="1521">
          <cell r="D1521" t="str">
            <v>KKM/JKN/HSA/10-05-01/H/15/721</v>
          </cell>
          <cell r="E1521" t="str">
            <v>SYRINGE INFUSION PUMP</v>
          </cell>
        </row>
        <row r="1522">
          <cell r="D1522" t="str">
            <v>KKM/JKN/HSA/10-05-01/H/15/722</v>
          </cell>
          <cell r="E1522" t="str">
            <v>SYRINGE INFUSION PUMP</v>
          </cell>
        </row>
        <row r="1523">
          <cell r="D1523" t="str">
            <v>KKM/JKN/HSA/10-05-01/H/15/723</v>
          </cell>
          <cell r="E1523" t="str">
            <v>SYRINGE INFUSION PUMP</v>
          </cell>
        </row>
        <row r="1524">
          <cell r="D1524" t="str">
            <v>KKM/JKN/HSA/10-05-01/H/15/724</v>
          </cell>
          <cell r="E1524" t="str">
            <v>SYRINGE INFUSION PUMP</v>
          </cell>
        </row>
        <row r="1525">
          <cell r="D1525" t="str">
            <v>KKM/JKN/HSA/10-05-01/H/15/725</v>
          </cell>
          <cell r="E1525" t="str">
            <v>SYRINGE INFUSION PUMP</v>
          </cell>
        </row>
        <row r="1526">
          <cell r="D1526" t="str">
            <v>KKM/JKN/HSA/10-05-01/H/15/726</v>
          </cell>
          <cell r="E1526" t="str">
            <v>SYRINGE INFUSION PUMP</v>
          </cell>
        </row>
        <row r="1527">
          <cell r="D1527" t="str">
            <v>KKM/JKN/HSA/10-05-01/H/15/727</v>
          </cell>
          <cell r="E1527" t="str">
            <v>SYRINGE INFUSION PUMP</v>
          </cell>
        </row>
        <row r="1528">
          <cell r="D1528" t="str">
            <v>KKM/JKN/HSA/10-05-01/H/15/728</v>
          </cell>
          <cell r="E1528" t="str">
            <v>SYRINGE INFUSION PUMP</v>
          </cell>
        </row>
        <row r="1529">
          <cell r="D1529" t="str">
            <v>KKM/JKN/HSA/10-05-01/H/15/729</v>
          </cell>
          <cell r="E1529" t="str">
            <v>SYRINGE INFUSION PUMP</v>
          </cell>
        </row>
        <row r="1530">
          <cell r="D1530" t="str">
            <v>KKM/JKN/HSA/10-05-01/H/15/730</v>
          </cell>
          <cell r="E1530" t="str">
            <v>SYRINGE INFUSION PUMP</v>
          </cell>
        </row>
        <row r="1531">
          <cell r="D1531" t="str">
            <v>KKM/JKN/HSA/10-05-01/H/15/731</v>
          </cell>
          <cell r="E1531" t="str">
            <v>SYRINGE INFUSION PUMP</v>
          </cell>
        </row>
        <row r="1532">
          <cell r="D1532" t="str">
            <v>KKM/JKN/HSA/10-05-01/H/15/732</v>
          </cell>
          <cell r="E1532" t="str">
            <v>SYRINGE INFUSION PUMP</v>
          </cell>
        </row>
        <row r="1533">
          <cell r="D1533" t="str">
            <v>KKM/JKN/HSA/10-05-01/H/15/875</v>
          </cell>
          <cell r="E1533" t="str">
            <v>CENTRAL MONITORING SYSTEM</v>
          </cell>
        </row>
        <row r="1534">
          <cell r="D1534" t="str">
            <v>KKM/JKN/HSA/10-05-01/R/15/16167</v>
          </cell>
          <cell r="E1534" t="str">
            <v>NEBULIZER</v>
          </cell>
        </row>
        <row r="1535">
          <cell r="D1535" t="str">
            <v>KKM/JKN/HSA/10-05-01/R/15/16168</v>
          </cell>
          <cell r="E1535" t="str">
            <v>NEBULIZER</v>
          </cell>
        </row>
        <row r="1536">
          <cell r="D1536" t="str">
            <v>KKM/JKN/HSA/10-05-01/R/15/6990</v>
          </cell>
          <cell r="E1536" t="str">
            <v>CENTRAL MONITORING SYSTEM</v>
          </cell>
        </row>
        <row r="1537">
          <cell r="D1537" t="str">
            <v>KKM/JKN/HSA/10-05-01/R/15/7358</v>
          </cell>
          <cell r="E1537" t="str">
            <v>OTOSCOPE</v>
          </cell>
        </row>
        <row r="1538">
          <cell r="D1538" t="str">
            <v>KKM/JKN/HSA/10-05-01/H/21/6</v>
          </cell>
          <cell r="E1538" t="str">
            <v>VENTILATOR</v>
          </cell>
        </row>
        <row r="1539">
          <cell r="D1539" t="str">
            <v>KKM/JKN/HSA/10-05-01/H/21/7</v>
          </cell>
          <cell r="E1539" t="str">
            <v>VENTILATOR</v>
          </cell>
        </row>
        <row r="1540">
          <cell r="D1540" t="str">
            <v>KKM/JKN/HSA/10-05-01/H/21/8</v>
          </cell>
          <cell r="E1540" t="str">
            <v>VENTILATOR</v>
          </cell>
        </row>
        <row r="1541">
          <cell r="D1541" t="str">
            <v>KKM/JKN/HSA/10-05-01/H/20/260</v>
          </cell>
          <cell r="E1541" t="str">
            <v>VENTILATOR</v>
          </cell>
        </row>
        <row r="1542">
          <cell r="D1542" t="str">
            <v>KKM/JKN/HSA/10-05-01/H/20/261</v>
          </cell>
          <cell r="E1542" t="str">
            <v>VENTILATOR</v>
          </cell>
        </row>
        <row r="1543">
          <cell r="D1543" t="str">
            <v>KKM/JKN/HSA/10-05-01/H/20/262</v>
          </cell>
          <cell r="E1543" t="str">
            <v>VENTILATOR</v>
          </cell>
        </row>
        <row r="1544">
          <cell r="D1544" t="str">
            <v>KKM/JKN/HSA/10-05-01/H/21/26</v>
          </cell>
          <cell r="E1544" t="str">
            <v>VOLUMETRIC PUMP</v>
          </cell>
        </row>
        <row r="1545">
          <cell r="D1545" t="str">
            <v>KKM/JKN/HSA/10-05-01/H/21/27</v>
          </cell>
          <cell r="E1545" t="str">
            <v>VOLUMETRIC PUMP</v>
          </cell>
        </row>
        <row r="1546">
          <cell r="D1546" t="str">
            <v>KKM/JKN/HSA/10-05-01/H/21/28</v>
          </cell>
          <cell r="E1546" t="str">
            <v>VOLUMETRIC PUMP</v>
          </cell>
        </row>
        <row r="1547">
          <cell r="D1547" t="str">
            <v>KKM/JKN/HSA/10-05-01/H/21/29</v>
          </cell>
          <cell r="E1547" t="str">
            <v>VENTILATOR</v>
          </cell>
        </row>
        <row r="1548">
          <cell r="D1548" t="str">
            <v>KKM/JKN/HSA/10-05-01/H/21/30</v>
          </cell>
          <cell r="E1548" t="str">
            <v>VENTILATOR</v>
          </cell>
        </row>
        <row r="1549">
          <cell r="D1549" t="str">
            <v>KKM/JKN/HSA/10-05-01/H/21/31</v>
          </cell>
          <cell r="E1549" t="str">
            <v>VENTILATOR</v>
          </cell>
        </row>
        <row r="1550">
          <cell r="D1550" t="str">
            <v>KKM/JKN/HSA/10-05-01/H/21/32</v>
          </cell>
          <cell r="E1550" t="str">
            <v>VENTILATOR</v>
          </cell>
        </row>
        <row r="1551">
          <cell r="D1551" t="str">
            <v>KKM/JKN/HSA/10-05-01/H/21/33</v>
          </cell>
          <cell r="E1551" t="str">
            <v>VIDEO LARYNGOSCOPE</v>
          </cell>
        </row>
        <row r="1552">
          <cell r="D1552" t="str">
            <v>KKM/JKN/HSA/10-05-01/H/21/34</v>
          </cell>
          <cell r="E1552" t="str">
            <v>ENTERAL FEEDING PUMP</v>
          </cell>
        </row>
        <row r="1553">
          <cell r="D1553" t="str">
            <v>KKM/JKN/HSA/10-05-01/H/21/35</v>
          </cell>
          <cell r="E1553" t="str">
            <v>ENTERAL FEEDING PUMP</v>
          </cell>
        </row>
        <row r="1554">
          <cell r="D1554" t="str">
            <v>KKM/JKN/HSA/10-05-01/H/21/36</v>
          </cell>
          <cell r="E1554" t="str">
            <v>ENTERAL FEEDING PUMP</v>
          </cell>
        </row>
        <row r="1555">
          <cell r="D1555" t="str">
            <v>KKM/JKN/HSA/10-05-01/H/21/37</v>
          </cell>
          <cell r="E1555" t="str">
            <v>ENTERAL FEEDING PUMP</v>
          </cell>
        </row>
        <row r="1556">
          <cell r="D1556" t="str">
            <v>KKM/JKN/HSA/10-05-01/H/21/38</v>
          </cell>
          <cell r="E1556" t="str">
            <v>ENTERAL FEEDING PUMP</v>
          </cell>
        </row>
        <row r="1557">
          <cell r="D1557" t="str">
            <v>KKM/JKN/HSA/10-05-01/H/21/39</v>
          </cell>
          <cell r="E1557" t="str">
            <v>SYRINGE INFUSION PUMP</v>
          </cell>
        </row>
        <row r="1558">
          <cell r="D1558" t="str">
            <v>KKM/JKN/HSA/10-05-01/H/21/40</v>
          </cell>
          <cell r="E1558" t="str">
            <v>SYRINGE INFUSION PUMP</v>
          </cell>
        </row>
        <row r="1559">
          <cell r="D1559" t="str">
            <v>KKM/JKN/HSA/10-05-01/H/21/41</v>
          </cell>
          <cell r="E1559" t="str">
            <v>SYRINGE INFUSION PUMP</v>
          </cell>
        </row>
        <row r="1560">
          <cell r="D1560" t="str">
            <v>KKM/JKN/HSA/10-05-01/H/21/42</v>
          </cell>
          <cell r="E1560" t="str">
            <v>SYRINGE INFUSION PUMP</v>
          </cell>
        </row>
        <row r="1561">
          <cell r="D1561" t="str">
            <v>KKM/JKN/HSA/10-05-01/H/21/43</v>
          </cell>
          <cell r="E1561" t="str">
            <v>SYRINGE INFUSION PUMP</v>
          </cell>
        </row>
        <row r="1562">
          <cell r="D1562" t="str">
            <v>KKM/JKN/HSA/10-05-01/H/21/44</v>
          </cell>
          <cell r="E1562" t="str">
            <v>SYRINGE INFUSION PUMP</v>
          </cell>
        </row>
        <row r="1563">
          <cell r="D1563" t="str">
            <v>KKM/JKN/HSA/10-05-01/H/21/45</v>
          </cell>
          <cell r="E1563" t="str">
            <v>SYRINGE INFUSION PUMP</v>
          </cell>
        </row>
        <row r="1564">
          <cell r="D1564" t="str">
            <v>KKM/JKN/HSA/10-05-01/H/21/46</v>
          </cell>
          <cell r="E1564" t="str">
            <v>SYRINGE INFUSION PUMP</v>
          </cell>
        </row>
        <row r="1565">
          <cell r="D1565" t="str">
            <v>KKM/JKN/HSA/10-05-01/H/21/47</v>
          </cell>
          <cell r="E1565" t="str">
            <v>SYRINGE INFUSION PUMP</v>
          </cell>
        </row>
        <row r="1566">
          <cell r="D1566" t="str">
            <v>KKM/JKN/HSA/10-05-01/H/21/48</v>
          </cell>
          <cell r="E1566" t="str">
            <v>SYRINGE INFUSION PUMP</v>
          </cell>
        </row>
        <row r="1567">
          <cell r="D1567" t="str">
            <v>KKM/JKN/HSA/10-05-01/H/21/49</v>
          </cell>
          <cell r="E1567" t="str">
            <v>SYRINGE INFUSION PUMP</v>
          </cell>
        </row>
        <row r="1568">
          <cell r="D1568" t="str">
            <v>KKM/JKN/HSA/10-05-01/H/21/50</v>
          </cell>
          <cell r="E1568" t="str">
            <v>SYRINGE INFUSION PUMP</v>
          </cell>
        </row>
        <row r="1569">
          <cell r="D1569" t="str">
            <v>KKM/JKN/HSA/10-05-01/H/21/51</v>
          </cell>
          <cell r="E1569" t="str">
            <v>SYRINGE INFUSION PUMP</v>
          </cell>
        </row>
        <row r="1570">
          <cell r="D1570" t="str">
            <v>KKM/JKN/HSA/10-05-01/H/21/52</v>
          </cell>
          <cell r="E1570" t="str">
            <v>SYRINGE INFUSION PUMP</v>
          </cell>
        </row>
        <row r="1571">
          <cell r="D1571" t="str">
            <v>KKM/JKN/HSA/10-05-01/H/21/53</v>
          </cell>
          <cell r="E1571" t="str">
            <v>SYRINGE INFUSION PUMP</v>
          </cell>
        </row>
        <row r="1572">
          <cell r="D1572" t="str">
            <v>KKM/JKN/HSA/10-05-01/H/21/54</v>
          </cell>
          <cell r="E1572" t="str">
            <v>SYRINGE INFUSION PUMP</v>
          </cell>
        </row>
        <row r="1573">
          <cell r="D1573" t="str">
            <v>KKM/JKN/HSA/10-05-01/H/21/55</v>
          </cell>
          <cell r="E1573" t="str">
            <v>SYRINGE INFUSION PUMP</v>
          </cell>
        </row>
        <row r="1574">
          <cell r="D1574" t="str">
            <v>KKM/JKN/HSA/10-05-01/H/21/56</v>
          </cell>
          <cell r="E1574" t="str">
            <v>SYRINGE INFUSION PUMP</v>
          </cell>
        </row>
        <row r="1575">
          <cell r="D1575" t="str">
            <v>KKM/JKN/HSA/10-05-01/H/21/57</v>
          </cell>
          <cell r="E1575" t="str">
            <v>SYRINGE INFUSION PUMP</v>
          </cell>
        </row>
        <row r="1576">
          <cell r="D1576" t="str">
            <v>KKM/JKN/HSA/10-05-01/H/21/58</v>
          </cell>
          <cell r="E1576" t="str">
            <v>SYRINGE INFUSION PUMP</v>
          </cell>
        </row>
        <row r="1577">
          <cell r="D1577" t="str">
            <v>KKM/JKN/HSA/10-05-01/H/21/59</v>
          </cell>
          <cell r="E1577" t="str">
            <v>SYRINGE INFUSION PUMP</v>
          </cell>
        </row>
        <row r="1578">
          <cell r="D1578" t="str">
            <v>KKM/JKN/HSA/10-05-01/H/21/60</v>
          </cell>
          <cell r="E1578" t="str">
            <v>SYRINGE INFUSION PUMP</v>
          </cell>
        </row>
        <row r="1579">
          <cell r="D1579" t="str">
            <v>KKM/JKN/HSA/10-05-01/H/21/61</v>
          </cell>
          <cell r="E1579" t="str">
            <v>SYRINGE INFUSION PUMP</v>
          </cell>
        </row>
        <row r="1580">
          <cell r="D1580" t="str">
            <v>KKM/JKN/HSA/10-05-01/H/21/62</v>
          </cell>
          <cell r="E1580" t="str">
            <v>SYRINGE INFUSION PUMP</v>
          </cell>
        </row>
        <row r="1581">
          <cell r="D1581" t="str">
            <v>KKM/JKN/HSA/10-05-01/H/21/63</v>
          </cell>
          <cell r="E1581" t="str">
            <v>SYRINGE INFUSION PUMP</v>
          </cell>
        </row>
        <row r="1582">
          <cell r="D1582" t="str">
            <v>KKM/JKN/HSA/10-05-01/H/21/64</v>
          </cell>
          <cell r="E1582" t="str">
            <v>SYRINGE INFUSION PUMP</v>
          </cell>
        </row>
        <row r="1583">
          <cell r="D1583" t="str">
            <v>KKM/JKN/HSA/10-05-01/H/21/65</v>
          </cell>
          <cell r="E1583" t="str">
            <v>SYRINGE INFUSION PUMP</v>
          </cell>
        </row>
        <row r="1584">
          <cell r="D1584" t="str">
            <v>KKM/JKN/HSA/10-05-01/H/21/66</v>
          </cell>
          <cell r="E1584" t="str">
            <v>SYRINGE INFUSION PUMP</v>
          </cell>
        </row>
        <row r="1585">
          <cell r="D1585" t="str">
            <v>KKM/JKN/HSA/10-05-01/H/21/67</v>
          </cell>
          <cell r="E1585" t="str">
            <v>SYRINGE INFUSION PUMP</v>
          </cell>
        </row>
        <row r="1586">
          <cell r="D1586" t="str">
            <v>KKM/JKN/HSA/10-05-01/H/21/68</v>
          </cell>
          <cell r="E1586" t="str">
            <v>SYRINGE INFUSION PUMP</v>
          </cell>
        </row>
        <row r="1587">
          <cell r="D1587" t="str">
            <v>KKM/JKN/HSA/10-05-01/H/21/69</v>
          </cell>
          <cell r="E1587" t="str">
            <v>SYRINGE INFUSION PUMP</v>
          </cell>
        </row>
        <row r="1588">
          <cell r="D1588" t="str">
            <v>KKM/JKN/HSA/10-05-01/H/21/70</v>
          </cell>
          <cell r="E1588" t="str">
            <v>SYRINGE INFUSION PUMP</v>
          </cell>
        </row>
        <row r="1589">
          <cell r="D1589" t="str">
            <v>KKM/JKN/HSA/10-05-01/H/21/71</v>
          </cell>
          <cell r="E1589" t="str">
            <v>SYRINGE INFUSION PUMP</v>
          </cell>
        </row>
        <row r="1590">
          <cell r="D1590" t="str">
            <v>KKM/JKN/HSA/10-05-01/H/21/72</v>
          </cell>
          <cell r="E1590" t="str">
            <v>SYRINGE INFUSION PUMP</v>
          </cell>
        </row>
        <row r="1591">
          <cell r="D1591" t="str">
            <v>KKM/JKN/HSA/10-05-01/H/21/73</v>
          </cell>
          <cell r="E1591" t="str">
            <v>SYRINGE INFUSION PUMP</v>
          </cell>
        </row>
        <row r="1592">
          <cell r="D1592" t="str">
            <v>KKM/JKN/HSA/10-05-01/H/21/74</v>
          </cell>
          <cell r="E1592" t="str">
            <v>SYRINGE INFUSION PUMP</v>
          </cell>
        </row>
        <row r="1593">
          <cell r="D1593" t="str">
            <v>KKM/JKN/HSA/10-05-01/H/21/75</v>
          </cell>
          <cell r="E1593" t="str">
            <v>SYRINGE INFUSION PUMP</v>
          </cell>
        </row>
        <row r="1594">
          <cell r="D1594" t="str">
            <v>KKM/JKN/HSA/10-05-01/H/21/76</v>
          </cell>
          <cell r="E1594" t="str">
            <v>SYRINGE INFUSION PUMP</v>
          </cell>
        </row>
        <row r="1595">
          <cell r="D1595" t="str">
            <v>KKM/JKN/HSA/10-05-01/H/21/77</v>
          </cell>
          <cell r="E1595" t="str">
            <v>SYRINGE INFUSION PUMP</v>
          </cell>
        </row>
        <row r="1596">
          <cell r="D1596" t="str">
            <v>KKM/JKN/HSA/10-05-01/H/21/78</v>
          </cell>
          <cell r="E1596" t="str">
            <v>SYRINGE INFUSION PUMP</v>
          </cell>
        </row>
        <row r="1597">
          <cell r="D1597" t="str">
            <v>KKM/JKN/HSA/10-05-01/H/21/79</v>
          </cell>
          <cell r="E1597" t="str">
            <v>VENTILATOR</v>
          </cell>
        </row>
        <row r="1598">
          <cell r="D1598" t="str">
            <v>KKM/JKN/HSA/10-05-01/H/21/267</v>
          </cell>
          <cell r="E1598" t="str">
            <v>RESPIRATION HUMIDIFIER</v>
          </cell>
        </row>
        <row r="1599">
          <cell r="D1599" t="str">
            <v>HSAS10096</v>
          </cell>
          <cell r="E1599" t="str">
            <v>LASER PRINTER FOR CENTRAL STATION</v>
          </cell>
        </row>
        <row r="1600">
          <cell r="D1600" t="str">
            <v>KKM/JKN/HSA/10-05-01/H/15/4941</v>
          </cell>
          <cell r="E1600" t="str">
            <v>MONITOR MODULAR 8-CH ECG/RR/NIBP/SPO2/2TEMP/2IBP</v>
          </cell>
        </row>
        <row r="1601">
          <cell r="D1601" t="str">
            <v>KKM/JKN/HSA/10-05-01/H/15/4950</v>
          </cell>
          <cell r="E1601" t="str">
            <v>PHOTOTHERAPY UNIT FREESTANDING</v>
          </cell>
        </row>
        <row r="1602">
          <cell r="D1602" t="str">
            <v>KKM/JKN/HSA/10-05-01/H/15/4971</v>
          </cell>
          <cell r="E1602" t="str">
            <v>WARMING UNITS, PATIENT, RADIANT, INFANT</v>
          </cell>
        </row>
        <row r="1603">
          <cell r="D1603" t="str">
            <v>KKM/JKN/HSA/10-05-01/H/15/5026</v>
          </cell>
          <cell r="E1603" t="str">
            <v>MONITOR APNOEA NON INVASIVE</v>
          </cell>
        </row>
        <row r="1604">
          <cell r="D1604" t="str">
            <v>KKM/JKN/HSA/10-05-01/H/15/785</v>
          </cell>
          <cell r="E1604" t="str">
            <v>PUMP SYRINGE BASIC DOSE RATE (STAND ALONE)</v>
          </cell>
        </row>
        <row r="1605">
          <cell r="D1605" t="str">
            <v>KKM/JKN/HSA/10-05-01/H/15/797</v>
          </cell>
          <cell r="E1605" t="str">
            <v>PUMP SYRINGE BASIC DOSE RATE (STAND ALONE)</v>
          </cell>
        </row>
        <row r="1606">
          <cell r="D1606" t="str">
            <v>KKM/JKN/HSA/10-05-01/H/16/16</v>
          </cell>
          <cell r="E1606" t="str">
            <v>RESUSCITATOR</v>
          </cell>
        </row>
        <row r="1607">
          <cell r="D1607" t="str">
            <v>KKM/JKN/HSA/10-05-01/H/19/17</v>
          </cell>
          <cell r="E1607" t="str">
            <v>PULSE OXIMETER AND SIMULATOR</v>
          </cell>
        </row>
        <row r="1608">
          <cell r="D1608" t="str">
            <v>KKM/JKN/HSA/10-05-01/H/19/18</v>
          </cell>
          <cell r="E1608" t="str">
            <v>PULSE OXIMETER AND SIMULATOR</v>
          </cell>
        </row>
        <row r="1609">
          <cell r="D1609" t="str">
            <v>KKM/JKN/HSA/10-05-01/H/19/20</v>
          </cell>
          <cell r="E1609" t="str">
            <v>INFANT WARMER (RADIANT)</v>
          </cell>
        </row>
        <row r="1610">
          <cell r="D1610" t="str">
            <v>KKM/JKN/HSA/10-05-01/H/19/21</v>
          </cell>
          <cell r="E1610" t="str">
            <v>INFUSION PUMP</v>
          </cell>
        </row>
        <row r="1611">
          <cell r="D1611" t="str">
            <v>KKM/JKN/HSA/10-05-01/H/19/24</v>
          </cell>
          <cell r="E1611" t="str">
            <v>INFANT WARMER (RADIANT)</v>
          </cell>
        </row>
        <row r="1612">
          <cell r="D1612" t="str">
            <v>KKM/JKN/HSA/10-05-01/H/19/5</v>
          </cell>
          <cell r="E1612" t="str">
            <v>PULSE OXIMETER AND SIMULATOR</v>
          </cell>
        </row>
        <row r="1613">
          <cell r="D1613" t="str">
            <v>KKM/JKN/HSA/10-05-01/R/15/6958</v>
          </cell>
          <cell r="E1613" t="str">
            <v>WEIGHING SCALE TOP LOADING</v>
          </cell>
        </row>
        <row r="1614">
          <cell r="D1614" t="str">
            <v>KKM/JKN/HSA/10-05-01/R/15/7337</v>
          </cell>
          <cell r="E1614" t="str">
            <v>SUCTION UNIT TWIN JAR PIPELINE</v>
          </cell>
        </row>
        <row r="1615">
          <cell r="D1615" t="str">
            <v>KKM/JKN/HSA/10-05-01/H/15/1019</v>
          </cell>
          <cell r="E1615" t="str">
            <v>PATIENT MONITORING EQUIP.(AUTOMATIC MULTIPARAMETER)</v>
          </cell>
        </row>
        <row r="1616">
          <cell r="D1616" t="str">
            <v>KKM/JKN/HSA/10-05-01/H/15/1020</v>
          </cell>
          <cell r="E1616" t="str">
            <v>PATIENT MONITORING EQUIP.(AUTOMATIC MULTIPARAMETER)</v>
          </cell>
        </row>
        <row r="1617">
          <cell r="D1617" t="str">
            <v>KKM/JKN/HSA/10-05-01/H/15/1021</v>
          </cell>
          <cell r="E1617" t="str">
            <v>PATIENT MONITORING EQUIP.(AUTOMATIC MULTIPARAMETER)</v>
          </cell>
        </row>
        <row r="1618">
          <cell r="D1618" t="str">
            <v>KKM/JKN/HSA/10-05-01/H/15/1066</v>
          </cell>
          <cell r="E1618" t="str">
            <v>PHOTOTHERAPY MACHINE (LAMP)</v>
          </cell>
        </row>
        <row r="1619">
          <cell r="D1619" t="str">
            <v>KKM/JKN/HSA/10-05-01/H/15/1067</v>
          </cell>
          <cell r="E1619" t="str">
            <v>PHOTOTHERAPY MACHINE (LAMP)</v>
          </cell>
        </row>
        <row r="1620">
          <cell r="D1620" t="str">
            <v>KKM/JKN/HSA/10-05-01/H/15/1068</v>
          </cell>
          <cell r="E1620" t="str">
            <v>PHOTOTHERAPY MACHINE (LAMP)</v>
          </cell>
        </row>
        <row r="1621">
          <cell r="D1621" t="str">
            <v>KKM/JKN/HSA/10-05-01/H/15/1069</v>
          </cell>
          <cell r="E1621" t="str">
            <v>PHOTOTHERAPY MACHINE (LAMP)</v>
          </cell>
        </row>
        <row r="1622">
          <cell r="D1622" t="str">
            <v>KKM/JKN/HSA/10-05-01/H/15/1070</v>
          </cell>
          <cell r="E1622" t="str">
            <v>PHOTOTHERAPY MACHINE (LAMP)</v>
          </cell>
        </row>
        <row r="1623">
          <cell r="D1623" t="str">
            <v>KKM/JKN/HSA/10-05-01/H/15/1071</v>
          </cell>
          <cell r="E1623" t="str">
            <v>PHOTOTHERAPY MACHINE (LAMP)</v>
          </cell>
        </row>
        <row r="1624">
          <cell r="D1624" t="str">
            <v>KKM/JKN/HSA/10-05-01/H/15/1072</v>
          </cell>
          <cell r="E1624" t="str">
            <v>PHOTOTHERAPY MACHINE (LAMP)</v>
          </cell>
        </row>
        <row r="1625">
          <cell r="D1625" t="str">
            <v>KKM/JKN/HSA/10-05-01/H/15/1074</v>
          </cell>
          <cell r="E1625" t="str">
            <v>PHOTOTHERAPY MACHINE (LAMP)</v>
          </cell>
        </row>
        <row r="1626">
          <cell r="D1626" t="str">
            <v>KKM/JKN/HSA/10-05-01/H/15/1075</v>
          </cell>
          <cell r="E1626" t="str">
            <v>PHOTOTHERAPY MACHINE (LAMP)</v>
          </cell>
        </row>
        <row r="1627">
          <cell r="D1627" t="str">
            <v>KKM/JKN/HSA/10-05-01/H/15/1076</v>
          </cell>
          <cell r="E1627" t="str">
            <v>PHOTOTHERAPY MACHINE (LAMP)</v>
          </cell>
        </row>
        <row r="1628">
          <cell r="D1628" t="str">
            <v>KKM/JKN/HSA/10-05-01/H/15/1077</v>
          </cell>
          <cell r="E1628" t="str">
            <v>PHOTOTHERAPY MACHINE (LAMP)</v>
          </cell>
        </row>
        <row r="1629">
          <cell r="D1629" t="str">
            <v>KKM/JKN/HSA/10-05-01/H/15/1589</v>
          </cell>
          <cell r="E1629" t="str">
            <v>INFANT WARMER (RADIANT)</v>
          </cell>
        </row>
        <row r="1630">
          <cell r="D1630" t="str">
            <v>KKM/JKN/HSA/10-05-01/H/15/1590</v>
          </cell>
          <cell r="E1630" t="str">
            <v>INFANT WARMER (RADIANT)</v>
          </cell>
        </row>
        <row r="1631">
          <cell r="D1631" t="str">
            <v>KKM/JKN/HSA/10-05-01/H/15/1592</v>
          </cell>
          <cell r="E1631" t="str">
            <v>INFANT WARMER (RADIANT)</v>
          </cell>
        </row>
        <row r="1632">
          <cell r="D1632" t="str">
            <v>KKM/JKN/HSA/10-05-01/H/15/1593</v>
          </cell>
          <cell r="E1632" t="str">
            <v>INFANT WARMER (RADIANT)</v>
          </cell>
        </row>
        <row r="1633">
          <cell r="D1633" t="str">
            <v>KKM/JKN/HSA/10-05-01/H/15/1594</v>
          </cell>
          <cell r="E1633" t="str">
            <v>INFANT WARMER (RADIANT)</v>
          </cell>
        </row>
        <row r="1634">
          <cell r="D1634" t="str">
            <v>KKM/JKN/HSA/10-05-01/H/15/1608</v>
          </cell>
          <cell r="E1634" t="str">
            <v>INFANT VENTILATOR</v>
          </cell>
        </row>
        <row r="1635">
          <cell r="D1635" t="str">
            <v>KKM/JKN/HSA/10-05-01/H/15/1609</v>
          </cell>
          <cell r="E1635" t="str">
            <v>INFANT VENTILATOR</v>
          </cell>
        </row>
        <row r="1636">
          <cell r="D1636" t="str">
            <v>KKM/JKN/HSA/10-05-01/H/15/1610</v>
          </cell>
          <cell r="E1636" t="str">
            <v>INFANT VENTILATOR</v>
          </cell>
        </row>
        <row r="1637">
          <cell r="D1637" t="str">
            <v>KKM/JKN/HSA/10-05-01/H/15/1611</v>
          </cell>
          <cell r="E1637" t="str">
            <v>INFANT VENTILATOR</v>
          </cell>
        </row>
        <row r="1638">
          <cell r="D1638" t="str">
            <v>KKM/JKN/HSA/10-05-01/H/15/1612</v>
          </cell>
          <cell r="E1638" t="str">
            <v>INFANT VENTILATOR</v>
          </cell>
        </row>
        <row r="1639">
          <cell r="D1639" t="str">
            <v>KKM/JKN/HSA/10-05-01/H/15/1613</v>
          </cell>
          <cell r="E1639" t="str">
            <v>INFANT VENTILATOR</v>
          </cell>
        </row>
        <row r="1640">
          <cell r="D1640" t="str">
            <v>KKM/JKN/HSA/10-05-01/H/15/1615</v>
          </cell>
          <cell r="E1640" t="str">
            <v>INFANT VENTILATOR</v>
          </cell>
        </row>
        <row r="1641">
          <cell r="D1641" t="str">
            <v>KKM/JKN/HSA/10-05-01/H/15/1616</v>
          </cell>
          <cell r="E1641" t="str">
            <v>INFANT VENTILATOR</v>
          </cell>
        </row>
        <row r="1642">
          <cell r="D1642" t="str">
            <v>KKM/JKN/HSA/10-05-01/H/15/1617</v>
          </cell>
          <cell r="E1642" t="str">
            <v>INFANT VENTILATOR</v>
          </cell>
        </row>
        <row r="1643">
          <cell r="D1643" t="str">
            <v>KKM/JKN/HSA/10-05-01/H/15/1618</v>
          </cell>
          <cell r="E1643" t="str">
            <v>INFANT VENTILATOR</v>
          </cell>
        </row>
        <row r="1644">
          <cell r="D1644" t="str">
            <v>KKM/JKN/HSA/10-05-01/H/15/1622</v>
          </cell>
          <cell r="E1644" t="str">
            <v>INFANT VENTILATOR (HIGH FREQUENCY)</v>
          </cell>
        </row>
        <row r="1645">
          <cell r="D1645" t="str">
            <v>KKM/JKN/HSA/10-05-01/H/15/2464</v>
          </cell>
          <cell r="E1645" t="str">
            <v>ULTRASOUND SCANNER</v>
          </cell>
        </row>
        <row r="1646">
          <cell r="D1646" t="str">
            <v>KKM/JKN/HSA/10-05-01/H/15/2504</v>
          </cell>
          <cell r="E1646" t="str">
            <v>SUCTION APPARATUS</v>
          </cell>
        </row>
        <row r="1647">
          <cell r="D1647" t="str">
            <v>KKM/JKN/HSA/10-05-01/H/15/3627</v>
          </cell>
          <cell r="E1647" t="str">
            <v>INFANT VENTILATOR</v>
          </cell>
        </row>
        <row r="1648">
          <cell r="D1648" t="str">
            <v>KKM/JKN/HSA/10-05-01/H/15/3628</v>
          </cell>
          <cell r="E1648" t="str">
            <v>INFANT VENTILATOR</v>
          </cell>
        </row>
        <row r="1649">
          <cell r="D1649" t="str">
            <v>KKM/JKN/HSA/10-05-01/H/15/3629</v>
          </cell>
          <cell r="E1649" t="str">
            <v>INFANT VENTILATOR</v>
          </cell>
        </row>
        <row r="1650">
          <cell r="D1650" t="str">
            <v>KKM/JKN/HSA/10-05-01/H/15/3630</v>
          </cell>
          <cell r="E1650" t="str">
            <v>INFANT VENTILATOR</v>
          </cell>
        </row>
        <row r="1651">
          <cell r="D1651" t="str">
            <v>KKM/JKN/HSA/10-05-01/H/15/3885</v>
          </cell>
          <cell r="E1651" t="str">
            <v>SYRINGE INFUSION PUMP</v>
          </cell>
        </row>
        <row r="1652">
          <cell r="D1652" t="str">
            <v>KKM/JKN/HSA/10-05-01/H/15/3886</v>
          </cell>
          <cell r="E1652" t="str">
            <v>SYRINGE INFUSION PUMP</v>
          </cell>
        </row>
        <row r="1653">
          <cell r="D1653" t="str">
            <v>KKM/JKN/HSA/10-05-01/H/15/3887</v>
          </cell>
          <cell r="E1653" t="str">
            <v>SYRINGE INFUSION PUMP</v>
          </cell>
        </row>
        <row r="1654">
          <cell r="D1654" t="str">
            <v>KKM/JKN/HSA/10-05-01/H/15/3888</v>
          </cell>
          <cell r="E1654" t="str">
            <v>SYRINGE INFUSION PUMP</v>
          </cell>
        </row>
        <row r="1655">
          <cell r="D1655" t="str">
            <v>KKM/JKN/HSA/10-05-01/H/15/4058</v>
          </cell>
          <cell r="E1655" t="str">
            <v>PULSE OXIMETER AND SIMULATOR</v>
          </cell>
        </row>
        <row r="1656">
          <cell r="D1656" t="str">
            <v>KKM/JKN/HSA/10-05-01/H/15/4205</v>
          </cell>
          <cell r="E1656" t="str">
            <v>PATIENT MONITORING EQUIP.(AUTOMATIC MULTIPARAMETER)</v>
          </cell>
        </row>
        <row r="1657">
          <cell r="D1657" t="str">
            <v>KKM/JKN/HSA/10-05-01/H/15/4206</v>
          </cell>
          <cell r="E1657" t="str">
            <v>PATIENT MONITORING EQUIP.(AUTOMATIC MULTIPARAMETER)</v>
          </cell>
        </row>
        <row r="1658">
          <cell r="D1658" t="str">
            <v>KKM/JKN/HSA/10-05-01/H/15/4234</v>
          </cell>
          <cell r="E1658" t="str">
            <v>PUMP BREAST ELECTRIC</v>
          </cell>
        </row>
        <row r="1659">
          <cell r="D1659" t="str">
            <v>KKM/JKN/HSA/10-05-01/H/15/4235</v>
          </cell>
          <cell r="E1659" t="str">
            <v>PUMP BREAST ELECTRIC</v>
          </cell>
        </row>
        <row r="1660">
          <cell r="D1660" t="str">
            <v>KKM/JKN/HSA/10-05-01/H/15/428</v>
          </cell>
          <cell r="E1660" t="str">
            <v>DIAGNOSTIC SET</v>
          </cell>
        </row>
        <row r="1661">
          <cell r="D1661" t="str">
            <v>KKM/JKN/HSA/10-05-01/H/15/429</v>
          </cell>
          <cell r="E1661" t="str">
            <v>DIAGNOSTIC SET</v>
          </cell>
        </row>
        <row r="1662">
          <cell r="D1662" t="str">
            <v>KKM/JKN/HSA/10-05-01/H/15/430</v>
          </cell>
          <cell r="E1662" t="str">
            <v>DIAGNOSTIC SET</v>
          </cell>
        </row>
        <row r="1663">
          <cell r="D1663" t="str">
            <v>KKM/JKN/HSA/10-05-01/H/15/431</v>
          </cell>
          <cell r="E1663" t="str">
            <v>DIAGNOSTIC SET</v>
          </cell>
        </row>
        <row r="1664">
          <cell r="D1664" t="str">
            <v>KKM/JKN/HSA/10-05-01/H/15/467</v>
          </cell>
          <cell r="E1664" t="str">
            <v>INFANT INCUBATOR</v>
          </cell>
        </row>
        <row r="1665">
          <cell r="D1665" t="str">
            <v>KKM/JKN/HSA/10-05-01/H/15/468</v>
          </cell>
          <cell r="E1665" t="str">
            <v>INFANT INCUBATOR</v>
          </cell>
        </row>
        <row r="1666">
          <cell r="D1666" t="str">
            <v>KKM/JKN/HSA/10-05-01/H/15/469</v>
          </cell>
          <cell r="E1666" t="str">
            <v>INFANT INCUBATOR</v>
          </cell>
        </row>
        <row r="1667">
          <cell r="D1667" t="str">
            <v>KKM/JKN/HSA/10-05-01/H/15/470</v>
          </cell>
          <cell r="E1667" t="str">
            <v>INFANT INCUBATOR</v>
          </cell>
        </row>
        <row r="1668">
          <cell r="D1668" t="str">
            <v>KKM/JKN/HSA/10-05-01/H/15/471</v>
          </cell>
          <cell r="E1668" t="str">
            <v>INFANT INCUBATOR</v>
          </cell>
        </row>
        <row r="1669">
          <cell r="D1669" t="str">
            <v>KKM/JKN/HSA/10-05-01/H/15/472</v>
          </cell>
          <cell r="E1669" t="str">
            <v>INFANT INCUBATOR</v>
          </cell>
        </row>
        <row r="1670">
          <cell r="D1670" t="str">
            <v>KKM/JKN/HSA/10-05-01/H/15/473</v>
          </cell>
          <cell r="E1670" t="str">
            <v>INFANT INCUBATOR</v>
          </cell>
        </row>
        <row r="1671">
          <cell r="D1671" t="str">
            <v>KKM/JKN/HSA/10-05-01/H/15/474</v>
          </cell>
          <cell r="E1671" t="str">
            <v>INFANT INCUBATOR</v>
          </cell>
        </row>
        <row r="1672">
          <cell r="D1672" t="str">
            <v>KKM/JKN/HSA/10-05-01/H/15/475</v>
          </cell>
          <cell r="E1672" t="str">
            <v>INFANT INCUBATOR</v>
          </cell>
        </row>
        <row r="1673">
          <cell r="D1673" t="str">
            <v>KKM/JKN/HSA/10-05-01/H/15/476</v>
          </cell>
          <cell r="E1673" t="str">
            <v>INFANT INCUBATOR</v>
          </cell>
        </row>
        <row r="1674">
          <cell r="D1674" t="str">
            <v>KKM/JKN/HSA/10-05-01/H/15/477</v>
          </cell>
          <cell r="E1674" t="str">
            <v>INFANT INCUBATOR</v>
          </cell>
        </row>
        <row r="1675">
          <cell r="D1675" t="str">
            <v>KKM/JKN/HSA/10-05-01/H/15/478</v>
          </cell>
          <cell r="E1675" t="str">
            <v>INFANT INCUBATOR</v>
          </cell>
        </row>
        <row r="1676">
          <cell r="D1676" t="str">
            <v>KKM/JKN/HSA/10-05-01/H/15/479</v>
          </cell>
          <cell r="E1676" t="str">
            <v>INFANT INCUBATOR</v>
          </cell>
        </row>
        <row r="1677">
          <cell r="D1677" t="str">
            <v>KKM/JKN/HSA/10-05-01/H/15/480</v>
          </cell>
          <cell r="E1677" t="str">
            <v>INFANT INCUBATOR</v>
          </cell>
        </row>
        <row r="1678">
          <cell r="D1678" t="str">
            <v>KKM/JKN/HSA/10-05-01/H/15/481</v>
          </cell>
          <cell r="E1678" t="str">
            <v>INFANT INCUBATOR</v>
          </cell>
        </row>
        <row r="1679">
          <cell r="D1679" t="str">
            <v>KKM/JKN/HSA/10-05-01/H/15/482</v>
          </cell>
          <cell r="E1679" t="str">
            <v>INFANT INCUBATOR</v>
          </cell>
        </row>
        <row r="1680">
          <cell r="D1680" t="str">
            <v>KKM/JKN/HSA/10-05-01/H/15/483</v>
          </cell>
          <cell r="E1680" t="str">
            <v>INFANT INCUBATOR</v>
          </cell>
        </row>
        <row r="1681">
          <cell r="D1681" t="str">
            <v>KKM/JKN/HSA/10-05-01/H/15/484</v>
          </cell>
          <cell r="E1681" t="str">
            <v>INFANT INCUBATOR</v>
          </cell>
        </row>
        <row r="1682">
          <cell r="D1682" t="str">
            <v>KKM/JKN/HSA/10-05-01/H/15/4972</v>
          </cell>
          <cell r="E1682" t="str">
            <v>PATIENT MONITORING EQUIP.(AUTOMATIC MULTIPARAMETER)</v>
          </cell>
        </row>
        <row r="1683">
          <cell r="D1683" t="str">
            <v>KKM/JKN/HSA/10-05-01/H/15/4973</v>
          </cell>
          <cell r="E1683" t="str">
            <v>PATIENT MONITORING EQUIP.(AUTOMATIC MULTIPARAMETER)</v>
          </cell>
        </row>
        <row r="1684">
          <cell r="D1684" t="str">
            <v>KKM/JKN/HSA/10-05-01/H/15/4974</v>
          </cell>
          <cell r="E1684" t="str">
            <v>PATIENT MONITORING EQUIP.(AUTOMATIC MULTIPARAMETER)</v>
          </cell>
        </row>
        <row r="1685">
          <cell r="D1685" t="str">
            <v>KKM/JKN/HSA/10-05-01/H/15/4975</v>
          </cell>
          <cell r="E1685" t="str">
            <v>PATIENT MONITORING EQUIP.(AUTOMATIC MULTIPARAMETER)</v>
          </cell>
        </row>
        <row r="1686">
          <cell r="D1686" t="str">
            <v>KKM/JKN/HSA/10-05-01/H/15/4976</v>
          </cell>
          <cell r="E1686" t="str">
            <v>PATIENT MONITORING EQUIP.(AUTOMATIC MULTIPARAMETER)</v>
          </cell>
        </row>
        <row r="1687">
          <cell r="D1687" t="str">
            <v>KKM/JKN/HSA/10-05-01/H/15/4977</v>
          </cell>
          <cell r="E1687" t="str">
            <v>PATIENT MONITORING EQUIP.(AUTOMATIC MULTIPARAMETER)</v>
          </cell>
        </row>
        <row r="1688">
          <cell r="D1688" t="str">
            <v>KKM/JKN/HSA/10-05-01/H/15/4978</v>
          </cell>
          <cell r="E1688" t="str">
            <v>PATIENT MONITORING EQUIP.(AUTOMATIC MULTIPARAMETER)</v>
          </cell>
        </row>
        <row r="1689">
          <cell r="D1689" t="str">
            <v>KKM/JKN/HSA/10-05-01/H/15/4979</v>
          </cell>
          <cell r="E1689" t="str">
            <v>PATIENT MONITORING EQUIP.(AUTOMATIC MULTIPARAMETER)</v>
          </cell>
        </row>
        <row r="1690">
          <cell r="D1690" t="str">
            <v>KKM/JKN/HSA/10-05-01/H/15/4980</v>
          </cell>
          <cell r="E1690" t="str">
            <v>PATIENT MONITORING EQUIP.(AUTOMATIC MULTIPARAMETER)</v>
          </cell>
        </row>
        <row r="1691">
          <cell r="D1691" t="str">
            <v>KKM/JKN/HSA/10-05-01/H/15/4981</v>
          </cell>
          <cell r="E1691" t="str">
            <v>PATIENT MONITORING EQUIP.(AUTOMATIC MULTIPARAMETER)</v>
          </cell>
        </row>
        <row r="1692">
          <cell r="D1692" t="str">
            <v>KKM/JKN/HSA/10-05-01/H/15/4982</v>
          </cell>
          <cell r="E1692" t="str">
            <v>PATIENT MONITORING EQUIP.(AUTOMATIC MULTIPARAMETER)</v>
          </cell>
        </row>
        <row r="1693">
          <cell r="D1693" t="str">
            <v>KKM/JKN/HSA/10-05-01/H/15/4983</v>
          </cell>
          <cell r="E1693" t="str">
            <v>PATIENT MONITORING EQUIP.(AUTOMATIC MULTIPARAMETER)</v>
          </cell>
        </row>
        <row r="1694">
          <cell r="D1694" t="str">
            <v>KKM/JKN/HSA/10-05-01/H/15/4984</v>
          </cell>
          <cell r="E1694" t="str">
            <v>PATIENT MONITORING EQUIP.(AUTOMATIC MULTIPARAMETER)</v>
          </cell>
        </row>
        <row r="1695">
          <cell r="D1695" t="str">
            <v>KKM/JKN/HSA/10-05-01/H/15/4985</v>
          </cell>
          <cell r="E1695" t="str">
            <v>PATIENT MONITORING EQUIP.(AUTOMATIC MULTIPARAMETER)</v>
          </cell>
        </row>
        <row r="1696">
          <cell r="D1696" t="str">
            <v>KKM/JKN/HSA/10-05-01/H/15/4986</v>
          </cell>
          <cell r="E1696" t="str">
            <v>PATIENT MONITORING EQUIP.(AUTOMATIC MULTIPARAMETER)</v>
          </cell>
        </row>
        <row r="1697">
          <cell r="D1697" t="str">
            <v>KKM/JKN/HSA/10-05-01/H/15/4987</v>
          </cell>
          <cell r="E1697" t="str">
            <v>PATIENT MONITORING EQUIP.(AUTOMATIC MULTIPARAMETER)</v>
          </cell>
        </row>
        <row r="1698">
          <cell r="D1698" t="str">
            <v>KKM/JKN/HSA/10-05-01/H/15/4988</v>
          </cell>
          <cell r="E1698" t="str">
            <v>PATIENT MONITORING EQUIP.(AUTOMATIC MULTIPARAMETER)</v>
          </cell>
        </row>
        <row r="1699">
          <cell r="D1699" t="str">
            <v>KKM/JKN/HSA/10-05-01/H/15/4989</v>
          </cell>
          <cell r="E1699" t="str">
            <v>PATIENT MONITORING EQUIP.(AUTOMATIC MULTIPARAMETER)</v>
          </cell>
        </row>
        <row r="1700">
          <cell r="D1700" t="str">
            <v>KKM/JKN/HSA/10-05-01/H/15/4990</v>
          </cell>
          <cell r="E1700" t="str">
            <v>PATIENT MONITORING EQUIP.(AUTOMATIC MULTIPARAMETER)</v>
          </cell>
        </row>
        <row r="1701">
          <cell r="D1701" t="str">
            <v>KKM/JKN/HSA/10-05-01/H/15/4991</v>
          </cell>
          <cell r="E1701" t="str">
            <v>PATIENT MONITORING EQUIP.(AUTOMATIC MULTIPARAMETER)</v>
          </cell>
        </row>
        <row r="1702">
          <cell r="D1702" t="str">
            <v>KKM/JKN/HSA/10-05-01/H/15/4992</v>
          </cell>
          <cell r="E1702" t="str">
            <v>PATIENT MONITORING EQUIP.(AUTOMATIC MULTIPARAMETER)</v>
          </cell>
        </row>
        <row r="1703">
          <cell r="D1703" t="str">
            <v>KKM/JKN/HSA/10-05-01/H/15/4993</v>
          </cell>
          <cell r="E1703" t="str">
            <v>PATIENT MONITORING EQUIP.(AUTOMATIC MULTIPARAMETER)</v>
          </cell>
        </row>
        <row r="1704">
          <cell r="D1704" t="str">
            <v>KKM/JKN/HSA/10-05-01/H/15/4994</v>
          </cell>
          <cell r="E1704" t="str">
            <v>PATIENT MONITORING EQUIP.(AUTOMATIC MULTIPARAMETER)</v>
          </cell>
        </row>
        <row r="1705">
          <cell r="D1705" t="str">
            <v>KKM/JKN/HSA/10-05-01/H/15/4995</v>
          </cell>
          <cell r="E1705" t="str">
            <v>PATIENT MONITORING EQUIP.(AUTOMATIC MULTIPARAMETER)</v>
          </cell>
        </row>
        <row r="1706">
          <cell r="D1706" t="str">
            <v>KKM/JKN/HSA/10-05-01/H/15/5023</v>
          </cell>
          <cell r="E1706" t="str">
            <v>PULSE OXIMETER AND SIMULATOR</v>
          </cell>
        </row>
        <row r="1707">
          <cell r="D1707" t="str">
            <v>KKM/JKN/HSA/10-05-01/H/15/5025</v>
          </cell>
          <cell r="E1707" t="str">
            <v>PULSE OXIMETER AND SIMULATOR</v>
          </cell>
        </row>
        <row r="1708">
          <cell r="D1708" t="str">
            <v>KKM/JKN/HSA/10-05-01/H/15/527</v>
          </cell>
          <cell r="E1708" t="str">
            <v>INFANT WARMER (RADIANT)</v>
          </cell>
        </row>
        <row r="1709">
          <cell r="D1709" t="str">
            <v>KKM/JKN/HSA/10-05-01/H/15/543</v>
          </cell>
          <cell r="E1709" t="str">
            <v>INFANT WARMER (RADIANT)</v>
          </cell>
        </row>
        <row r="1710">
          <cell r="D1710" t="str">
            <v>KKM/JKN/HSA/10-05-01/H/15/544</v>
          </cell>
          <cell r="E1710" t="str">
            <v>INFANT WARMER (RADIANT)</v>
          </cell>
        </row>
        <row r="1711">
          <cell r="D1711" t="str">
            <v>KKM/JKN/HSA/10-05-01/H/15/545</v>
          </cell>
          <cell r="E1711" t="str">
            <v>INFANT WARMER (RADIANT)</v>
          </cell>
        </row>
        <row r="1712">
          <cell r="D1712" t="str">
            <v>KKM/JKN/HSA/10-05-01/H/15/546</v>
          </cell>
          <cell r="E1712" t="str">
            <v>INFANT WARMER (RADIANT)</v>
          </cell>
        </row>
        <row r="1713">
          <cell r="D1713" t="str">
            <v>KKM/JKN/HSA/10-05-01/H/15/547</v>
          </cell>
          <cell r="E1713" t="str">
            <v>INFANT WARMER (RADIANT)</v>
          </cell>
        </row>
        <row r="1714">
          <cell r="D1714" t="str">
            <v>KKM/JKN/HSA/10-05-01/H/15/548</v>
          </cell>
          <cell r="E1714" t="str">
            <v>INFANT WARMER (RADIANT)</v>
          </cell>
        </row>
        <row r="1715">
          <cell r="D1715" t="str">
            <v>KKM/JKN/HSA/10-05-01/H/15/549</v>
          </cell>
          <cell r="E1715" t="str">
            <v>INFANT WARMER (RADIANT)</v>
          </cell>
        </row>
        <row r="1716">
          <cell r="D1716" t="str">
            <v>KKM/JKN/HSA/10-05-01/H/15/557</v>
          </cell>
          <cell r="E1716" t="str">
            <v>INFANT INCUBATOR</v>
          </cell>
        </row>
        <row r="1717">
          <cell r="D1717" t="str">
            <v>KKM/JKN/HSA/10-05-01/H/15/558</v>
          </cell>
          <cell r="E1717" t="str">
            <v>INFANT INCUBATOR</v>
          </cell>
        </row>
        <row r="1718">
          <cell r="D1718" t="str">
            <v>KKM/JKN/HSA/10-05-01/H/15/569</v>
          </cell>
          <cell r="E1718" t="str">
            <v>ECG (EKG) MACHINE</v>
          </cell>
        </row>
        <row r="1719">
          <cell r="D1719" t="str">
            <v>KKM/JKN/HSA/10-05-01/H/15/583</v>
          </cell>
          <cell r="E1719" t="str">
            <v>PATIENT MONITORING EQUIP.(AUTOMATIC MULTIPARAMETER)</v>
          </cell>
        </row>
        <row r="1720">
          <cell r="D1720" t="str">
            <v>KKM/JKN/HSA/10-05-01/H/15/755</v>
          </cell>
          <cell r="E1720" t="str">
            <v>SYRINGE INFUSION PUMP</v>
          </cell>
        </row>
        <row r="1721">
          <cell r="D1721" t="str">
            <v>KKM/JKN/HSA/10-05-01/H/15/756</v>
          </cell>
          <cell r="E1721" t="str">
            <v>SYRINGE INFUSION PUMP</v>
          </cell>
        </row>
        <row r="1722">
          <cell r="D1722" t="str">
            <v>KKM/JKN/HSA/10-05-01/H/15/757</v>
          </cell>
          <cell r="E1722" t="str">
            <v>SYRINGE INFUSION PUMP</v>
          </cell>
        </row>
        <row r="1723">
          <cell r="D1723" t="str">
            <v>KKM/JKN/HSA/10-05-01/H/15/758</v>
          </cell>
          <cell r="E1723" t="str">
            <v>SYRINGE INFUSION PUMP</v>
          </cell>
        </row>
        <row r="1724">
          <cell r="D1724" t="str">
            <v>KKM/JKN/HSA/10-05-01/H/15/759</v>
          </cell>
          <cell r="E1724" t="str">
            <v>SYRINGE INFUSION PUMP</v>
          </cell>
        </row>
        <row r="1725">
          <cell r="D1725" t="str">
            <v>KKM/JKN/HSA/10-05-01/H/15/760</v>
          </cell>
          <cell r="E1725" t="str">
            <v>SYRINGE INFUSION PUMP</v>
          </cell>
        </row>
        <row r="1726">
          <cell r="D1726" t="str">
            <v>KKM/JKN/HSA/10-05-01/H/15/763</v>
          </cell>
          <cell r="E1726" t="str">
            <v>SYRINGE INFUSION PUMP</v>
          </cell>
        </row>
        <row r="1727">
          <cell r="D1727" t="str">
            <v>KKM/JKN/HSA/10-05-01/H/15/766</v>
          </cell>
          <cell r="E1727" t="str">
            <v>SYRINGE INFUSION PUMP</v>
          </cell>
        </row>
        <row r="1728">
          <cell r="D1728" t="str">
            <v>KKM/JKN/HSA/10-05-01/H/15/768</v>
          </cell>
          <cell r="E1728" t="str">
            <v>SYRINGE INFUSION PUMP</v>
          </cell>
        </row>
        <row r="1729">
          <cell r="D1729" t="str">
            <v>KKM/JKN/HSA/10-05-01/H/15/770</v>
          </cell>
          <cell r="E1729" t="str">
            <v>SYRINGE INFUSION PUMP</v>
          </cell>
        </row>
        <row r="1730">
          <cell r="D1730" t="str">
            <v>KKM/JKN/HSA/10-05-01/H/15/771</v>
          </cell>
          <cell r="E1730" t="str">
            <v>SYRINGE INFUSION PUMP</v>
          </cell>
        </row>
        <row r="1731">
          <cell r="D1731" t="str">
            <v>KKM/JKN/HSA/10-05-01/H/15/773</v>
          </cell>
          <cell r="E1731" t="str">
            <v>SYRINGE INFUSION PUMP</v>
          </cell>
        </row>
        <row r="1732">
          <cell r="D1732" t="str">
            <v>KKM/JKN/HSA/10-05-01/H/15/774</v>
          </cell>
          <cell r="E1732" t="str">
            <v>SYRINGE INFUSION PUMP</v>
          </cell>
        </row>
        <row r="1733">
          <cell r="D1733" t="str">
            <v>KKM/JKN/HSA/10-05-01/H/15/776</v>
          </cell>
          <cell r="E1733" t="str">
            <v>SYRINGE INFUSION PUMP</v>
          </cell>
        </row>
        <row r="1734">
          <cell r="D1734" t="str">
            <v>KKM/JKN/HSA/10-05-01/H/15/778</v>
          </cell>
          <cell r="E1734" t="str">
            <v>SYRINGE INFUSION PUMP</v>
          </cell>
        </row>
        <row r="1735">
          <cell r="D1735" t="str">
            <v>KKM/JKN/HSA/10-05-01/H/15/780</v>
          </cell>
          <cell r="E1735" t="str">
            <v>SYRINGE INFUSION PUMP</v>
          </cell>
        </row>
        <row r="1736">
          <cell r="D1736" t="str">
            <v>KKM/JKN/HSA/10-05-01/H/15/781</v>
          </cell>
          <cell r="E1736" t="str">
            <v>SYRINGE INFUSION PUMP</v>
          </cell>
        </row>
        <row r="1737">
          <cell r="D1737" t="str">
            <v>KKM/JKN/HSA/10-05-01/H/15/783</v>
          </cell>
          <cell r="E1737" t="str">
            <v>SYRINGE INFUSION PUMP</v>
          </cell>
        </row>
        <row r="1738">
          <cell r="D1738" t="str">
            <v>KKM/JKN/HSA/10-05-01/H/15/788</v>
          </cell>
          <cell r="E1738" t="str">
            <v>SYRINGE INFUSION PUMP</v>
          </cell>
        </row>
        <row r="1739">
          <cell r="D1739" t="str">
            <v>KKM/JKN/HSA/10-05-01/H/15/790</v>
          </cell>
          <cell r="E1739" t="str">
            <v>SYRINGE INFUSION PUMP</v>
          </cell>
        </row>
        <row r="1740">
          <cell r="D1740" t="str">
            <v>KKM/JKN/HSA/10-05-01/H/15/792</v>
          </cell>
          <cell r="E1740" t="str">
            <v>SYRINGE INFUSION PUMP</v>
          </cell>
        </row>
        <row r="1741">
          <cell r="D1741" t="str">
            <v>KKM/JKN/HSA/10-05-01/H/15/793</v>
          </cell>
          <cell r="E1741" t="str">
            <v>SYRINGE INFUSION PUMP</v>
          </cell>
        </row>
        <row r="1742">
          <cell r="D1742" t="str">
            <v>KKM/JKN/HSA/10-05-01/H/15/794</v>
          </cell>
          <cell r="E1742" t="str">
            <v>SYRINGE INFUSION PUMP</v>
          </cell>
        </row>
        <row r="1743">
          <cell r="D1743" t="str">
            <v>KKM/JKN/HSA/10-05-01/H/15/795</v>
          </cell>
          <cell r="E1743" t="str">
            <v>SYRINGE INFUSION PUMP</v>
          </cell>
        </row>
        <row r="1744">
          <cell r="D1744" t="str">
            <v>KKM/JKN/HSA/10-05-01/H/15/796</v>
          </cell>
          <cell r="E1744" t="str">
            <v>SYRINGE INFUSION PUMP</v>
          </cell>
        </row>
        <row r="1745">
          <cell r="D1745" t="str">
            <v>KKM/JKN/HSA/10-05-01/H/15/798</v>
          </cell>
          <cell r="E1745" t="str">
            <v>SYRINGE INFUSION PUMP</v>
          </cell>
        </row>
        <row r="1746">
          <cell r="D1746" t="str">
            <v>KKM/JKN/HSA/10-05-01/H/15/799</v>
          </cell>
          <cell r="E1746" t="str">
            <v>SYRINGE INFUSION PUMP</v>
          </cell>
        </row>
        <row r="1747">
          <cell r="D1747" t="str">
            <v>KKM/JKN/HSA/10-05-01/H/15/800</v>
          </cell>
          <cell r="E1747" t="str">
            <v>SYRINGE INFUSION PUMP</v>
          </cell>
        </row>
        <row r="1748">
          <cell r="D1748" t="str">
            <v>KKM/JKN/HSA/10-05-01/H/15/801</v>
          </cell>
          <cell r="E1748" t="str">
            <v>SYRINGE INFUSION PUMP</v>
          </cell>
        </row>
        <row r="1749">
          <cell r="D1749" t="str">
            <v>KKM/JKN/HSA/10-05-01/H/15/802</v>
          </cell>
          <cell r="E1749" t="str">
            <v>SYRINGE INFUSION PUMP</v>
          </cell>
        </row>
        <row r="1750">
          <cell r="D1750" t="str">
            <v>KKM/JKN/HSA/10-05-01/H/15/803</v>
          </cell>
          <cell r="E1750" t="str">
            <v>SYRINGE INFUSION PUMP</v>
          </cell>
        </row>
        <row r="1751">
          <cell r="D1751" t="str">
            <v>KKM/JKN/HSA/10-05-01/H/15/804</v>
          </cell>
          <cell r="E1751" t="str">
            <v>SYRINGE INFUSION PUMP</v>
          </cell>
        </row>
        <row r="1752">
          <cell r="D1752" t="str">
            <v>KKM/JKN/HSA/10-05-01/H/15/805</v>
          </cell>
          <cell r="E1752" t="str">
            <v>SYRINGE INFUSION PUMP</v>
          </cell>
        </row>
        <row r="1753">
          <cell r="D1753" t="str">
            <v>KKM/JKN/HSA/10-05-01/H/15/806</v>
          </cell>
          <cell r="E1753" t="str">
            <v>SYRINGE INFUSION PUMP</v>
          </cell>
        </row>
        <row r="1754">
          <cell r="D1754" t="str">
            <v>KKM/JKN/HSA/10-05-01/H/15/807</v>
          </cell>
          <cell r="E1754" t="str">
            <v>SYRINGE INFUSION PUMP</v>
          </cell>
        </row>
        <row r="1755">
          <cell r="D1755" t="str">
            <v>KKM/JKN/HSA/10-05-01/H/15/808</v>
          </cell>
          <cell r="E1755" t="str">
            <v>SYRINGE INFUSION PUMP</v>
          </cell>
        </row>
        <row r="1756">
          <cell r="D1756" t="str">
            <v>KKM/JKN/HSA/10-05-01/H/15/809</v>
          </cell>
          <cell r="E1756" t="str">
            <v>SYRINGE INFUSION PUMP</v>
          </cell>
        </row>
        <row r="1757">
          <cell r="D1757" t="str">
            <v>KKM/JKN/HSA/10-05-01/H/15/810</v>
          </cell>
          <cell r="E1757" t="str">
            <v>SYRINGE INFUSION PUMP</v>
          </cell>
        </row>
        <row r="1758">
          <cell r="D1758" t="str">
            <v>KKM/JKN/HSA/10-05-01/H/15/811</v>
          </cell>
          <cell r="E1758" t="str">
            <v>SYRINGE INFUSION PUMP</v>
          </cell>
        </row>
        <row r="1759">
          <cell r="D1759" t="str">
            <v>KKM/JKN/HSA/10-05-01/H/15/812</v>
          </cell>
          <cell r="E1759" t="str">
            <v>SYRINGE INFUSION PUMP</v>
          </cell>
        </row>
        <row r="1760">
          <cell r="D1760" t="str">
            <v>KKM/JKN/HSA/10-05-01/H/15/813</v>
          </cell>
          <cell r="E1760" t="str">
            <v>SYRINGE INFUSION PUMP</v>
          </cell>
        </row>
        <row r="1761">
          <cell r="D1761" t="str">
            <v>KKM/JKN/HSA/10-05-01/H/15/814</v>
          </cell>
          <cell r="E1761" t="str">
            <v>SYRINGE INFUSION PUMP</v>
          </cell>
        </row>
        <row r="1762">
          <cell r="D1762" t="str">
            <v>KKM/JKN/HSA/10-05-01/H/15/815</v>
          </cell>
          <cell r="E1762" t="str">
            <v>SYRINGE INFUSION PUMP</v>
          </cell>
        </row>
        <row r="1763">
          <cell r="D1763" t="str">
            <v>KKM/JKN/HSA/10-05-01/H/15/816</v>
          </cell>
          <cell r="E1763" t="str">
            <v>SYRINGE INFUSION PUMP</v>
          </cell>
        </row>
        <row r="1764">
          <cell r="D1764" t="str">
            <v>KKM/JKN/HSA/10-05-01/H/15/818</v>
          </cell>
          <cell r="E1764" t="str">
            <v>SYRINGE INFUSION PUMP</v>
          </cell>
        </row>
        <row r="1765">
          <cell r="D1765" t="str">
            <v>KKM/JKN/HSA/10-05-01/H/15/819</v>
          </cell>
          <cell r="E1765" t="str">
            <v>SYRINGE INFUSION PUMP</v>
          </cell>
        </row>
        <row r="1766">
          <cell r="D1766" t="str">
            <v>KKM/JKN/HSA/10-05-01/H/15/821</v>
          </cell>
          <cell r="E1766" t="str">
            <v>SYRINGE INFUSION PUMP</v>
          </cell>
        </row>
        <row r="1767">
          <cell r="D1767" t="str">
            <v>KKM/JKN/HSA/10-05-01/H/15/823</v>
          </cell>
          <cell r="E1767" t="str">
            <v>SYRINGE INFUSION PUMP</v>
          </cell>
        </row>
        <row r="1768">
          <cell r="D1768" t="str">
            <v>KKM/JKN/HSA/10-05-01/H/15/825</v>
          </cell>
          <cell r="E1768" t="str">
            <v>SYRINGE INFUSION PUMP</v>
          </cell>
        </row>
        <row r="1769">
          <cell r="D1769" t="str">
            <v>KKM/JKN/HSA/10-05-01/H/15/827</v>
          </cell>
          <cell r="E1769" t="str">
            <v>SYRINGE INFUSION PUMP</v>
          </cell>
        </row>
        <row r="1770">
          <cell r="D1770" t="str">
            <v>KKM/JKN/HSA/10-05-01/H/15/829</v>
          </cell>
          <cell r="E1770" t="str">
            <v>SYRINGE INFUSION PUMP</v>
          </cell>
        </row>
        <row r="1771">
          <cell r="D1771" t="str">
            <v>KKM/JKN/HSA/10-05-01/H/15/831</v>
          </cell>
          <cell r="E1771" t="str">
            <v>SYRINGE INFUSION PUMP</v>
          </cell>
        </row>
        <row r="1772">
          <cell r="D1772" t="str">
            <v>KKM/JKN/HSA/10-05-01/H/15/833</v>
          </cell>
          <cell r="E1772" t="str">
            <v>SYRINGE INFUSION PUMP</v>
          </cell>
        </row>
        <row r="1773">
          <cell r="D1773" t="str">
            <v>KKM/JKN/HSA/10-05-01/H/15/834</v>
          </cell>
          <cell r="E1773" t="str">
            <v>SYRINGE INFUSION PUMP</v>
          </cell>
        </row>
        <row r="1774">
          <cell r="D1774" t="str">
            <v>KKM/JKN/HSA/10-05-01/H/15/838</v>
          </cell>
          <cell r="E1774" t="str">
            <v>SYRINGE INFUSION PUMP</v>
          </cell>
        </row>
        <row r="1775">
          <cell r="D1775" t="str">
            <v>KKM/JKN/HSA/10-05-01/H/15/843</v>
          </cell>
          <cell r="E1775" t="str">
            <v>SYRINGE INFUSION PUMP</v>
          </cell>
        </row>
        <row r="1776">
          <cell r="D1776" t="str">
            <v>KKM/JKN/HSA/10-05-01/H/15/844</v>
          </cell>
          <cell r="E1776" t="str">
            <v>SYRINGE INFUSION PUMP</v>
          </cell>
        </row>
        <row r="1777">
          <cell r="D1777" t="str">
            <v>KKM/JKN/HSA/10-05-01/H/15/845</v>
          </cell>
          <cell r="E1777" t="str">
            <v>SYRINGE INFUSION PUMP</v>
          </cell>
        </row>
        <row r="1778">
          <cell r="D1778" t="str">
            <v>KKM/JKN/HSA/10-05-01/H/15/846</v>
          </cell>
          <cell r="E1778" t="str">
            <v>SYRINGE INFUSION PUMP</v>
          </cell>
        </row>
        <row r="1779">
          <cell r="D1779" t="str">
            <v>KKM/JKN/HSA/10-05-01/H/15/847</v>
          </cell>
          <cell r="E1779" t="str">
            <v>SYRINGE INFUSION PUMP</v>
          </cell>
        </row>
        <row r="1780">
          <cell r="D1780" t="str">
            <v>KKM/JKN/HSA/10-05-01/H/15/848</v>
          </cell>
          <cell r="E1780" t="str">
            <v>SYRINGE INFUSION PUMP</v>
          </cell>
        </row>
        <row r="1781">
          <cell r="D1781" t="str">
            <v>KKM/JKN/HSA/10-05-01/H/15/849</v>
          </cell>
          <cell r="E1781" t="str">
            <v>SYRINGE INFUSION PUMP</v>
          </cell>
        </row>
        <row r="1782">
          <cell r="D1782" t="str">
            <v>KKM/JKN/HSA/10-05-01/H/15/850</v>
          </cell>
          <cell r="E1782" t="str">
            <v>SYRINGE INFUSION PUMP</v>
          </cell>
        </row>
        <row r="1783">
          <cell r="D1783" t="str">
            <v>KKM/JKN/HSA/10-05-01/H/15/851</v>
          </cell>
          <cell r="E1783" t="str">
            <v>SYRINGE INFUSION PUMP</v>
          </cell>
        </row>
        <row r="1784">
          <cell r="D1784" t="str">
            <v>KKM/JKN/HSA/10-05-01/H/15/852</v>
          </cell>
          <cell r="E1784" t="str">
            <v>SYRINGE INFUSION PUMP</v>
          </cell>
        </row>
        <row r="1785">
          <cell r="D1785" t="str">
            <v>KKM/JKN/HSA/10-05-01/H/15/853</v>
          </cell>
          <cell r="E1785" t="str">
            <v>SYRINGE INFUSION PUMP</v>
          </cell>
        </row>
        <row r="1786">
          <cell r="D1786" t="str">
            <v>KKM/JKN/HSA/10-05-01/H/15/854</v>
          </cell>
          <cell r="E1786" t="str">
            <v>SYRINGE INFUSION PUMP</v>
          </cell>
        </row>
        <row r="1787">
          <cell r="D1787" t="str">
            <v>KKM/JKN/HSA/10-05-01/H/15/855</v>
          </cell>
          <cell r="E1787" t="str">
            <v>SYRINGE INFUSION PUMP</v>
          </cell>
        </row>
        <row r="1788">
          <cell r="D1788" t="str">
            <v>KKM/JKN/HSA/10-05-01/H/15/856</v>
          </cell>
          <cell r="E1788" t="str">
            <v>SYRINGE INFUSION PUMP</v>
          </cell>
        </row>
        <row r="1789">
          <cell r="D1789" t="str">
            <v>KKM/JKN/HSA/10-05-01/H/15/857</v>
          </cell>
          <cell r="E1789" t="str">
            <v>SYRINGE INFUSION PUMP</v>
          </cell>
        </row>
        <row r="1790">
          <cell r="D1790" t="str">
            <v>KKM/JKN/HSA/10-05-01/H/15/859</v>
          </cell>
          <cell r="E1790" t="str">
            <v>SYRINGE INFUSION PUMP</v>
          </cell>
        </row>
        <row r="1791">
          <cell r="D1791" t="str">
            <v>KKM/JKN/HSA/10-05-01/H/15/860</v>
          </cell>
          <cell r="E1791" t="str">
            <v>SYRINGE INFUSION PUMP</v>
          </cell>
        </row>
        <row r="1792">
          <cell r="D1792" t="str">
            <v>KKM/JKN/HSA/10-05-01/H/15/862</v>
          </cell>
          <cell r="E1792" t="str">
            <v>SYRINGE INFUSION PUMP</v>
          </cell>
        </row>
        <row r="1793">
          <cell r="D1793" t="str">
            <v>KKM/JKN/HSA/10-05-01/H/15/864</v>
          </cell>
          <cell r="E1793" t="str">
            <v>SYRINGE INFUSION PUMP</v>
          </cell>
        </row>
        <row r="1794">
          <cell r="D1794" t="str">
            <v>KKM/JKN/HSA/10-05-01/H/15/881</v>
          </cell>
          <cell r="E1794" t="str">
            <v>CENTRAL MONITORING SYSTEM</v>
          </cell>
        </row>
        <row r="1795">
          <cell r="D1795" t="str">
            <v>KKM/JKN/HSA/10-05-01/H/15/882</v>
          </cell>
          <cell r="E1795" t="str">
            <v>CENTRAL MONITORING SYSTEM</v>
          </cell>
        </row>
        <row r="1796">
          <cell r="D1796" t="str">
            <v>KKM/JKN/HSA/10-05-01/H/16/11</v>
          </cell>
          <cell r="E1796" t="str">
            <v>PHOTOTHERAPY RADIOMETER</v>
          </cell>
        </row>
        <row r="1797">
          <cell r="D1797" t="str">
            <v>KKM/JKN/HSA/10-05-01/H/16/123</v>
          </cell>
          <cell r="E1797" t="str">
            <v>Nitric Oxide Delivery Units</v>
          </cell>
        </row>
        <row r="1798">
          <cell r="D1798" t="str">
            <v>KKM/JKN/HSA/10-05-01/H/16/132</v>
          </cell>
          <cell r="E1798" t="str">
            <v>PHOTOTHERAPY MACHINE (LAMP)</v>
          </cell>
        </row>
        <row r="1799">
          <cell r="D1799" t="str">
            <v>KKM/JKN/HSA/10-05-01/H/16/133</v>
          </cell>
          <cell r="E1799" t="str">
            <v>PHOTOTHERAPY MACHINE (LAMP)</v>
          </cell>
        </row>
        <row r="1800">
          <cell r="D1800" t="str">
            <v>KKM/JKN/HSA/10-05-01/H/16/134</v>
          </cell>
          <cell r="E1800" t="str">
            <v>PHOTOTHERAPY MACHINE (LAMP)</v>
          </cell>
        </row>
        <row r="1801">
          <cell r="D1801" t="str">
            <v>KKM/JKN/HSA/10-05-01/H/16/135</v>
          </cell>
          <cell r="E1801" t="str">
            <v>PHOTOTHERAPY MACHINE (LAMP)</v>
          </cell>
        </row>
        <row r="1802">
          <cell r="D1802" t="str">
            <v>KKM/JKN/HSA/10-05-01/H/16/136</v>
          </cell>
          <cell r="E1802" t="str">
            <v>PHOTOTHERAPY MACHINE (LAMP)</v>
          </cell>
        </row>
        <row r="1803">
          <cell r="D1803" t="str">
            <v>KKM/JKN/HSA/10-05-01/H/16/137</v>
          </cell>
          <cell r="E1803" t="str">
            <v>PHOTOTHERAPY MACHINE (LAMP)</v>
          </cell>
        </row>
        <row r="1804">
          <cell r="D1804" t="str">
            <v>KKM/JKN/HSA/10-05-01/H/16/14</v>
          </cell>
          <cell r="E1804" t="str">
            <v>NEO PUFF INFANT T-PIECE RESUSCITATOR</v>
          </cell>
        </row>
        <row r="1805">
          <cell r="D1805" t="str">
            <v>KKM/JKN/HSA/10-05-01/H/16/15</v>
          </cell>
          <cell r="E1805" t="str">
            <v>RESUSCITATOR</v>
          </cell>
        </row>
        <row r="1806">
          <cell r="D1806" t="str">
            <v>KKM/JKN/HSA/10-05-01/H/16/17</v>
          </cell>
          <cell r="E1806" t="str">
            <v>NON INVASIVE CARDIAC OUTPUT MONITORING</v>
          </cell>
        </row>
        <row r="1807">
          <cell r="D1807" t="str">
            <v>KKM/JKN/HSA/10-05-01/H/16/19</v>
          </cell>
          <cell r="E1807" t="str">
            <v>OXYGEN BREATH ANALYZER</v>
          </cell>
        </row>
        <row r="1808">
          <cell r="D1808" t="str">
            <v>KKM/JKN/HSA/10-05-01/H/16/27</v>
          </cell>
          <cell r="E1808" t="str">
            <v>THERAPEUTIC HYPOTHERMIA MACHINE SERVO CONTROL</v>
          </cell>
        </row>
        <row r="1809">
          <cell r="D1809" t="str">
            <v>KKM/JKN/HSA/10-05-01/H/16/30</v>
          </cell>
          <cell r="E1809" t="str">
            <v>ELECTROENCEPHALOGRAM (EEG MONITOR)</v>
          </cell>
        </row>
        <row r="1810">
          <cell r="D1810" t="str">
            <v>KKM/JKN/HSA/10-05-01/H/16/45</v>
          </cell>
          <cell r="E1810" t="str">
            <v>RESPIROTARY HUMIDIFIER</v>
          </cell>
        </row>
        <row r="1811">
          <cell r="D1811" t="str">
            <v>KKM/JKN/HSA/10-05-01/H/16/46</v>
          </cell>
          <cell r="E1811" t="str">
            <v>RESPIROTARY HUMIDIFIER</v>
          </cell>
        </row>
        <row r="1812">
          <cell r="D1812" t="str">
            <v>KKM/JKN/HSA/10-05-01/H/15/3686</v>
          </cell>
          <cell r="E1812" t="str">
            <v>DEFIBRILLATOR</v>
          </cell>
        </row>
        <row r="1813">
          <cell r="D1813" t="str">
            <v>KKM/JKN/HSA/10-05-01/H/16/49</v>
          </cell>
          <cell r="E1813" t="str">
            <v>OXYGEN BLENDER</v>
          </cell>
        </row>
        <row r="1814">
          <cell r="D1814" t="str">
            <v>KKM/JKN/HSA/10-05-01/H/16/50</v>
          </cell>
          <cell r="E1814" t="str">
            <v>BIOMED OXYGEN BLENDED COMPLETE SET</v>
          </cell>
        </row>
        <row r="1815">
          <cell r="D1815" t="str">
            <v>KKM/JKN/HSA/10-05-01/H/17/23</v>
          </cell>
          <cell r="E1815" t="str">
            <v>APNEA MONITOR</v>
          </cell>
        </row>
        <row r="1816">
          <cell r="D1816" t="str">
            <v>KKM/JKN/HSA/10-05-01/H/17/24</v>
          </cell>
          <cell r="E1816" t="str">
            <v>APNEA MONITOR</v>
          </cell>
        </row>
        <row r="1817">
          <cell r="D1817" t="str">
            <v>KKM/JKN/HSA/10-05-01/H/17/25</v>
          </cell>
          <cell r="E1817" t="str">
            <v>APNEA MONITOR</v>
          </cell>
        </row>
        <row r="1818">
          <cell r="D1818" t="str">
            <v>KKM/JKN/HSA/10-05-01/H/17/26</v>
          </cell>
          <cell r="E1818" t="str">
            <v>APNEA MONITOR</v>
          </cell>
        </row>
        <row r="1819">
          <cell r="D1819" t="str">
            <v>KKM/JKN/HSA/10-05-01/R/15/7030</v>
          </cell>
          <cell r="E1819" t="str">
            <v>INFANT/ BABY SCALER</v>
          </cell>
        </row>
        <row r="1820">
          <cell r="D1820" t="str">
            <v>KKM/JKN/HSA/10-05-01/R/15/7031</v>
          </cell>
          <cell r="E1820" t="str">
            <v>INFANT/ BABY SCALER</v>
          </cell>
        </row>
        <row r="1821">
          <cell r="D1821" t="str">
            <v>KKM/JKN/HSA/10-05-01/R/15/7032</v>
          </cell>
          <cell r="E1821" t="str">
            <v>INFANT/ BABY SCALER</v>
          </cell>
        </row>
        <row r="1822">
          <cell r="D1822" t="str">
            <v>KKM/JKN/HSA/10-05-01/R/15/7033</v>
          </cell>
          <cell r="E1822" t="str">
            <v>INFANT/ BABY SCALER</v>
          </cell>
        </row>
        <row r="1823">
          <cell r="D1823" t="str">
            <v>KKM/JKN/HSA/10-05-01/R/15/7034</v>
          </cell>
          <cell r="E1823" t="str">
            <v>INFANT/ BABY SCALER</v>
          </cell>
        </row>
        <row r="1824">
          <cell r="D1824" t="str">
            <v>KKM/JKN/HSA/10-05-01/R/15/7035</v>
          </cell>
          <cell r="E1824" t="str">
            <v>WEIGHING SCALE</v>
          </cell>
        </row>
        <row r="1825">
          <cell r="D1825" t="str">
            <v>KKM/JKN/HSA/10-05-01/H/20/134</v>
          </cell>
          <cell r="E1825" t="str">
            <v>INFUSION PUMP</v>
          </cell>
        </row>
        <row r="1826">
          <cell r="D1826" t="str">
            <v>KKM/JKN/HSA/10-05-01/H/20/135</v>
          </cell>
          <cell r="E1826" t="str">
            <v>INFUSION PUMP</v>
          </cell>
        </row>
        <row r="1827">
          <cell r="D1827" t="str">
            <v>KKM/JKN/HSA/10-05-01/H/20/136</v>
          </cell>
          <cell r="E1827" t="str">
            <v>INFUSION PUMP</v>
          </cell>
        </row>
        <row r="1828">
          <cell r="D1828" t="str">
            <v>KKM/JKN/HSA/10-05-01/H/20/137</v>
          </cell>
          <cell r="E1828" t="str">
            <v>INFUSION PUMP</v>
          </cell>
        </row>
        <row r="1829">
          <cell r="D1829" t="str">
            <v>KKM/JKN/HSA/10-05-01/H/20/160</v>
          </cell>
          <cell r="E1829" t="str">
            <v>INFANT INCUBATOR</v>
          </cell>
        </row>
        <row r="1830">
          <cell r="D1830" t="str">
            <v>KKM/JKN/HSA/10-05-01/H/20/161</v>
          </cell>
          <cell r="E1830" t="str">
            <v>INFANT INCUBATOR</v>
          </cell>
        </row>
        <row r="1831">
          <cell r="D1831" t="str">
            <v>KKM/JKN/HSA/10-05-01/H/20/210</v>
          </cell>
          <cell r="E1831" t="str">
            <v>PHOTOTHERAPY MACHINE (LAMP)</v>
          </cell>
        </row>
        <row r="1832">
          <cell r="D1832" t="str">
            <v>KKM/JKN/HSA/10-05-01/H/20/211</v>
          </cell>
          <cell r="E1832" t="str">
            <v>PHOTOTHERAPY MACHINE (LAMP)</v>
          </cell>
        </row>
        <row r="1833">
          <cell r="D1833" t="str">
            <v>KKM/JKN/HSA/10-05-01/H/20/254</v>
          </cell>
          <cell r="E1833" t="str">
            <v>BIPAP MACHINE</v>
          </cell>
        </row>
        <row r="1834">
          <cell r="D1834" t="str">
            <v>KKM/JKN/HSA/10-05-01/H/20/78</v>
          </cell>
          <cell r="E1834" t="str">
            <v>PULSE OXIMETER AND SIMULATOR</v>
          </cell>
        </row>
        <row r="1835">
          <cell r="D1835" t="str">
            <v>KKM/JKN/HSA/10-05-01/H/20/80</v>
          </cell>
          <cell r="E1835" t="str">
            <v>INFUSION PUMP</v>
          </cell>
        </row>
        <row r="1836">
          <cell r="D1836" t="str">
            <v>KKM/JKN/HSA/10-05-01/H/20/81</v>
          </cell>
          <cell r="E1836" t="str">
            <v>INFUSION PUMP</v>
          </cell>
        </row>
        <row r="1837">
          <cell r="D1837" t="str">
            <v>KKM/JKN/HSA/10-05-01/H/20/82</v>
          </cell>
          <cell r="E1837" t="str">
            <v>INFUSION PUMP</v>
          </cell>
        </row>
        <row r="1838">
          <cell r="D1838" t="str">
            <v>KKM/JKN/HSA/10-05-01/H/20/83</v>
          </cell>
          <cell r="E1838" t="str">
            <v>INFUSION PUMP</v>
          </cell>
        </row>
        <row r="1839">
          <cell r="D1839" t="str">
            <v>KKM/JKN/HSA/10-05-01/H/20/257</v>
          </cell>
          <cell r="E1839" t="str">
            <v xml:space="preserve">PULSE OXIMETER </v>
          </cell>
        </row>
        <row r="1840">
          <cell r="D1840" t="str">
            <v>KKM/JKN/HSA/10-05-01/H/20/258</v>
          </cell>
          <cell r="E1840" t="str">
            <v xml:space="preserve">PULSE OXIMETER </v>
          </cell>
        </row>
        <row r="1841">
          <cell r="D1841" t="str">
            <v>KKM/JKN/HSA/10-05-01/H/20/259</v>
          </cell>
          <cell r="E1841" t="str">
            <v xml:space="preserve">PULSE OXIMETER </v>
          </cell>
        </row>
        <row r="1842">
          <cell r="D1842" t="str">
            <v>KKM/JKN/HSA/10-05-01/H/20/163</v>
          </cell>
          <cell r="E1842" t="str">
            <v>PHOTOTHERAPY MACHINE (LAMP)</v>
          </cell>
        </row>
        <row r="1843">
          <cell r="D1843" t="str">
            <v>KKM/JKN/HSA/10-05-01/H/20/169</v>
          </cell>
          <cell r="E1843" t="str">
            <v xml:space="preserve">JAUNDICE METER </v>
          </cell>
        </row>
        <row r="1844">
          <cell r="D1844" t="str">
            <v>KKM/JKN/HSA/10-05-01/H/20/171</v>
          </cell>
          <cell r="E1844" t="str">
            <v>INFANT WARMER</v>
          </cell>
        </row>
        <row r="1845">
          <cell r="D1845" t="str">
            <v>KKM/JKN/HSA/10-05-01/H/15/4841</v>
          </cell>
          <cell r="E1845" t="str">
            <v>DETECTOR VASCULAR FLOW</v>
          </cell>
        </row>
        <row r="1846">
          <cell r="D1846" t="str">
            <v>KKM/JKN/HSA/10-05-01/R/15/17090</v>
          </cell>
          <cell r="E1846" t="str">
            <v>DIAGNOSTIC SET ADULT</v>
          </cell>
        </row>
        <row r="1847">
          <cell r="D1847" t="str">
            <v>KKM/JKN/HSA/10-05-01/R/15/17093</v>
          </cell>
          <cell r="E1847" t="str">
            <v>DIAGNOSTIC SET ADULT</v>
          </cell>
        </row>
        <row r="1848">
          <cell r="D1848" t="str">
            <v>KKM/JKN/HSA/10-05-01/H/15/1029</v>
          </cell>
          <cell r="E1848" t="str">
            <v>PATIENT MONITORING EQUIP.(AUTOMATIC MULTIPARAMETER)</v>
          </cell>
        </row>
        <row r="1849">
          <cell r="D1849" t="str">
            <v>KKM/JKN/HSA/10-05-01/H/15/1245</v>
          </cell>
          <cell r="E1849" t="str">
            <v>INFUSION PUMP</v>
          </cell>
        </row>
        <row r="1850">
          <cell r="D1850" t="str">
            <v>KKM/JKN/HSA/10-05-01/H/15/1246</v>
          </cell>
          <cell r="E1850" t="str">
            <v>INFUSION PUMP</v>
          </cell>
        </row>
        <row r="1851">
          <cell r="D1851" t="str">
            <v>KKM/JKN/HSA/10-05-01/H/15/1274</v>
          </cell>
          <cell r="E1851" t="str">
            <v>OPERATION TABLE</v>
          </cell>
        </row>
        <row r="1852">
          <cell r="D1852" t="str">
            <v>KKM/JKN/HSA/10-05-01/H/15/2145</v>
          </cell>
          <cell r="E1852" t="str">
            <v>PATIENT MONITORING EQUIP.(AUTOMATIC MULTIPARAMETER)</v>
          </cell>
        </row>
        <row r="1853">
          <cell r="D1853" t="str">
            <v>KKM/JKN/HSA/10-05-01/H/15/2175</v>
          </cell>
          <cell r="E1853" t="str">
            <v>SUCTION APPARATUS</v>
          </cell>
        </row>
        <row r="1854">
          <cell r="D1854" t="str">
            <v>KKM/JKN/HSA/10-05-01/H/15/2176</v>
          </cell>
          <cell r="E1854" t="str">
            <v>SUCTION APPARATUS</v>
          </cell>
        </row>
        <row r="1855">
          <cell r="D1855" t="str">
            <v>KKM/JKN/HSA/10-05-01/H/15/2177</v>
          </cell>
          <cell r="E1855" t="str">
            <v>SUCTION APPARATUS</v>
          </cell>
        </row>
        <row r="1856">
          <cell r="D1856" t="str">
            <v>KKM/JKN/HSA/10-05-01/H/15/2256</v>
          </cell>
          <cell r="E1856" t="str">
            <v>SYRINGE INFUSION PUMP</v>
          </cell>
        </row>
        <row r="1857">
          <cell r="D1857" t="str">
            <v>KKM/JKN/HSA/10-05-01/H/15/2257</v>
          </cell>
          <cell r="E1857" t="str">
            <v>SYRINGE INFUSION PUMP</v>
          </cell>
        </row>
        <row r="1858">
          <cell r="D1858" t="str">
            <v>KKM/JKN/HSA/10-05-01/H/15/2258</v>
          </cell>
          <cell r="E1858" t="str">
            <v>SYRINGE INFUSION PUMP</v>
          </cell>
        </row>
        <row r="1859">
          <cell r="D1859" t="str">
            <v>KKM/JKN/HSA/10-05-01/H/15/2259</v>
          </cell>
          <cell r="E1859" t="str">
            <v>SYRINGE INFUSION PUMP</v>
          </cell>
        </row>
        <row r="1860">
          <cell r="D1860" t="str">
            <v>KKM/JKN/HSA/10-05-01/H/15/2797</v>
          </cell>
          <cell r="E1860" t="str">
            <v>RIPPLE MATTRESS</v>
          </cell>
        </row>
        <row r="1861">
          <cell r="D1861" t="str">
            <v>KKM/JKN/HSA/10-05-01/H/15/3688</v>
          </cell>
          <cell r="E1861" t="str">
            <v>DEFIBRILLATOR</v>
          </cell>
        </row>
        <row r="1862">
          <cell r="D1862" t="str">
            <v>KKM/JKN/HSA/10-05-01/H/15/4157</v>
          </cell>
          <cell r="E1862" t="str">
            <v>SAW OSCILLATING ELECTRIC</v>
          </cell>
        </row>
        <row r="1863">
          <cell r="D1863" t="str">
            <v>KKM/JKN/HSA/10-05-01/H/15/4159</v>
          </cell>
          <cell r="E1863" t="str">
            <v>ECG (EKG) MACHINE</v>
          </cell>
        </row>
        <row r="1864">
          <cell r="D1864" t="str">
            <v>KKM/JKN/HSA/10-05-01/H/15/4177</v>
          </cell>
          <cell r="E1864" t="str">
            <v>PATIENT MONITORING EQUIP.(AUTOMATIC MULTIPARAMETER)</v>
          </cell>
        </row>
        <row r="1865">
          <cell r="D1865" t="str">
            <v>KKM/JKN/HSA/10-05-01/H/16/111</v>
          </cell>
          <cell r="E1865" t="str">
            <v>MACHINE CPM KNEE (P 0045 N)</v>
          </cell>
        </row>
        <row r="1866">
          <cell r="D1866" t="str">
            <v>KKM/JKN/HSA/10-05-01/H/16/32</v>
          </cell>
          <cell r="E1866" t="str">
            <v>VENAFLOW SYSTEM</v>
          </cell>
        </row>
        <row r="1867">
          <cell r="D1867" t="str">
            <v>KKM/JKN/HSA/10-05-01/H/16/33</v>
          </cell>
          <cell r="E1867" t="str">
            <v>VENAFLOW SYSTEM</v>
          </cell>
        </row>
        <row r="1868">
          <cell r="D1868" t="str">
            <v>KKM/JKN/HSA/10-05-01/R/15/15951</v>
          </cell>
          <cell r="E1868" t="str">
            <v>NEBULIZER</v>
          </cell>
        </row>
        <row r="1869">
          <cell r="D1869" t="str">
            <v>KKM/JKN/HSA/10-05-01/H/20/149</v>
          </cell>
          <cell r="E1869" t="str">
            <v>INFUSION PUMP</v>
          </cell>
        </row>
        <row r="1870">
          <cell r="D1870" t="str">
            <v>KKM/JKN/HSA/10-05-01/H/20/195</v>
          </cell>
          <cell r="E1870" t="str">
            <v>SPOT VITAL SIGN (NIBP)</v>
          </cell>
        </row>
        <row r="1871">
          <cell r="D1871" t="str">
            <v>KKM/JKN/HSA/10-05-01/R/20/116</v>
          </cell>
          <cell r="E1871" t="str">
            <v>RIPPLE MATTRESS</v>
          </cell>
        </row>
        <row r="1872">
          <cell r="D1872" t="str">
            <v>KKM/JKN/HSA/10-05-01/R/20/117</v>
          </cell>
          <cell r="E1872" t="str">
            <v>RIPPLE MATTRESS</v>
          </cell>
        </row>
        <row r="1873">
          <cell r="D1873" t="str">
            <v>KKM/JKN/HSA/10-05-01/H/20/177</v>
          </cell>
          <cell r="E1873" t="str">
            <v>SPOT VITAL SIGN (NIBP)</v>
          </cell>
        </row>
        <row r="1874">
          <cell r="D1874" t="str">
            <v>KKM/JKN/HSA/10-05-01/R/15/17184</v>
          </cell>
          <cell r="E1874" t="str">
            <v>DIAGNOSTIC SET PAEDIATRIC</v>
          </cell>
        </row>
        <row r="1875">
          <cell r="D1875" t="str">
            <v>KKM/JKN/HSA/10-05-01/R/15/7352</v>
          </cell>
          <cell r="E1875" t="str">
            <v>DIAGNOSTIC SET PAEDIATRIC</v>
          </cell>
        </row>
        <row r="1876">
          <cell r="D1876" t="str">
            <v>KKM/JKN/HSA/10-05-01/R/15/6757</v>
          </cell>
          <cell r="E1876" t="str">
            <v>DIAGNOSTIC SET PAEDIATRIC</v>
          </cell>
        </row>
        <row r="1877">
          <cell r="D1877" t="str">
            <v>KKM/JKN/HSA/10-05-01/H/15/1032</v>
          </cell>
          <cell r="E1877" t="str">
            <v>PATIENT MONITORING EQUIP.(AUTOMATIC MULTIPARAMETER)</v>
          </cell>
        </row>
        <row r="1878">
          <cell r="D1878" t="str">
            <v>KKM/JKN/HSA/10-05-01/H/15/1247</v>
          </cell>
          <cell r="E1878" t="str">
            <v>INFUSION PUMP</v>
          </cell>
        </row>
        <row r="1879">
          <cell r="D1879" t="str">
            <v>KKM/JKN/HSA/10-05-01/H/15/1248</v>
          </cell>
          <cell r="E1879" t="str">
            <v>INFUSION PUMP</v>
          </cell>
        </row>
        <row r="1880">
          <cell r="D1880" t="str">
            <v>KKM/JKN/HSA/10-05-01/H/15/1249</v>
          </cell>
          <cell r="E1880" t="str">
            <v>INFUSION PUMP</v>
          </cell>
        </row>
        <row r="1881">
          <cell r="D1881" t="str">
            <v>KKM/JKN/HSA/10-05-01/H/15/1250</v>
          </cell>
          <cell r="E1881" t="str">
            <v>INFUSION PUMP</v>
          </cell>
        </row>
        <row r="1882">
          <cell r="D1882" t="str">
            <v>KKM/JKN/HSA/10-05-01/H/15/1251</v>
          </cell>
          <cell r="E1882" t="str">
            <v>INFUSION PUMP</v>
          </cell>
        </row>
        <row r="1883">
          <cell r="D1883" t="str">
            <v>KKM/JKN/HSA/10-05-01/H/15/1252</v>
          </cell>
          <cell r="E1883" t="str">
            <v>INFUSION PUMP</v>
          </cell>
        </row>
        <row r="1884">
          <cell r="D1884" t="str">
            <v>KKM/JKN/HSA/10-05-01/H/15/1253</v>
          </cell>
          <cell r="E1884" t="str">
            <v>INFUSION PUMP</v>
          </cell>
        </row>
        <row r="1885">
          <cell r="D1885" t="str">
            <v>KKM/JKN/HSA/10-05-01/H/15/1254</v>
          </cell>
          <cell r="E1885" t="str">
            <v>INFUSION PUMP</v>
          </cell>
        </row>
        <row r="1886">
          <cell r="D1886" t="str">
            <v>KKM/JKN/HSA/10-05-01/H/15/1806</v>
          </cell>
          <cell r="E1886" t="str">
            <v>ENTERAL FEEDING PUMP</v>
          </cell>
        </row>
        <row r="1887">
          <cell r="D1887" t="str">
            <v>KKM/JKN/HSA/10-05-01/H/15/2165</v>
          </cell>
          <cell r="E1887" t="str">
            <v>PATIENT MONITORING EQUIP.(AUTOMATIC MULTIPARAMETER)</v>
          </cell>
        </row>
        <row r="1888">
          <cell r="D1888" t="str">
            <v>KKM/JKN/HSA/10-05-01/H/15/2166</v>
          </cell>
          <cell r="E1888" t="str">
            <v>PATIENT MONITORING EQUIP.(AUTOMATIC MULTIPARAMETER)</v>
          </cell>
        </row>
        <row r="1889">
          <cell r="D1889" t="str">
            <v>KKM/JKN/HSA/10-05-01/H/15/2167</v>
          </cell>
          <cell r="E1889" t="str">
            <v>PATIENT MONITORING EQUIP.(AUTOMATIC MULTIPARAMETER)</v>
          </cell>
        </row>
        <row r="1890">
          <cell r="D1890" t="str">
            <v>KKM/JKN/HSA/10-05-01/H/15/3687</v>
          </cell>
          <cell r="E1890" t="str">
            <v>DEFIBRILLATOR</v>
          </cell>
        </row>
        <row r="1891">
          <cell r="D1891" t="str">
            <v>KKM/JKN/HSA/10-05-01/H/15/574</v>
          </cell>
          <cell r="E1891" t="str">
            <v>ECG (EKG) MACHINE</v>
          </cell>
        </row>
        <row r="1892">
          <cell r="D1892" t="str">
            <v>KKM/JKN/HSA/10-05-01/H/15/654</v>
          </cell>
          <cell r="E1892" t="str">
            <v>SYRINGE INFUSION PUMP</v>
          </cell>
        </row>
        <row r="1893">
          <cell r="D1893" t="str">
            <v>KKM/JKN/HSA/10-05-01/H/15/655</v>
          </cell>
          <cell r="E1893" t="str">
            <v>SYRINGE INFUSION PUMP</v>
          </cell>
        </row>
        <row r="1894">
          <cell r="D1894" t="str">
            <v>KKM/JKN/HSA/10-05-01/H/15/656</v>
          </cell>
          <cell r="E1894" t="str">
            <v>SYRINGE INFUSION PUMP</v>
          </cell>
        </row>
        <row r="1895">
          <cell r="D1895" t="str">
            <v>KKM/JKN/HSA/10-05-01/H/15/658</v>
          </cell>
          <cell r="E1895" t="str">
            <v>SYRINGE INFUSION PUMP</v>
          </cell>
        </row>
        <row r="1896">
          <cell r="D1896" t="str">
            <v>KKM/JKN/HSA/10-05-01/H/15/659</v>
          </cell>
          <cell r="E1896" t="str">
            <v>SYRINGE INFUSION PUMP</v>
          </cell>
        </row>
        <row r="1897">
          <cell r="D1897" t="str">
            <v>KKM/JKN/HSA/10-05-01/H/15/660</v>
          </cell>
          <cell r="E1897" t="str">
            <v>SYRINGE INFUSION PUMP</v>
          </cell>
        </row>
        <row r="1898">
          <cell r="D1898" t="str">
            <v>KKM/JKN/HSA/10-05-01/H/15/661</v>
          </cell>
          <cell r="E1898" t="str">
            <v>SYRINGE INFUSION PUMP</v>
          </cell>
        </row>
        <row r="1899">
          <cell r="D1899" t="str">
            <v>KKM/JKN/HSA/10-05-01/H/15/662</v>
          </cell>
          <cell r="E1899" t="str">
            <v>SYRINGE INFUSION PUMP</v>
          </cell>
        </row>
        <row r="1900">
          <cell r="D1900" t="str">
            <v>KKM/JKN/HSA/10-05-01/H/15/926</v>
          </cell>
          <cell r="E1900" t="str">
            <v>SYRINGE INFUSION PUMP</v>
          </cell>
        </row>
        <row r="1901">
          <cell r="D1901" t="str">
            <v>KKM/JKN/HSA/10-05-01/H/15/927</v>
          </cell>
          <cell r="E1901" t="str">
            <v>SYRINGE INFUSION PUMP</v>
          </cell>
        </row>
        <row r="1902">
          <cell r="D1902" t="str">
            <v>KKM/JKN/HSA/10-05-01/H/15/928</v>
          </cell>
          <cell r="E1902" t="str">
            <v>SYRINGE INFUSION PUMP</v>
          </cell>
        </row>
        <row r="1903">
          <cell r="D1903" t="str">
            <v>KKM/JKN/HSA/10-05-01/H/15/978</v>
          </cell>
          <cell r="E1903" t="str">
            <v>PULSE OXIMETER AND SIMULATOR</v>
          </cell>
        </row>
        <row r="1904">
          <cell r="D1904" t="str">
            <v>KKM/JKN/HSA/10-05-01/H/16/124</v>
          </cell>
          <cell r="E1904" t="str">
            <v>HUMAN PATIENT SIMULATOR</v>
          </cell>
        </row>
        <row r="1905">
          <cell r="D1905" t="str">
            <v>KKM/JKN/HSA/10-05-01/H/16/125</v>
          </cell>
          <cell r="E1905" t="str">
            <v>HUMAN PATIENT SIMULATOR</v>
          </cell>
        </row>
        <row r="1906">
          <cell r="D1906" t="str">
            <v>KKM/JKN/HSA/10-05-01/H/16/126</v>
          </cell>
          <cell r="E1906" t="str">
            <v>HUMAN PATIENT SIMULATOR</v>
          </cell>
        </row>
        <row r="1907">
          <cell r="D1907" t="str">
            <v>KKM/JKN/HSA/10-05-01/H/16/127</v>
          </cell>
          <cell r="E1907" t="str">
            <v>COMPUTER TABLET (MANIKIN SIMULATOR)</v>
          </cell>
        </row>
        <row r="1908">
          <cell r="D1908" t="str">
            <v>KKM/JKN/HSA/10-05-01/R/15/16155</v>
          </cell>
          <cell r="E1908" t="str">
            <v>NEBULIZER</v>
          </cell>
        </row>
        <row r="1909">
          <cell r="D1909" t="str">
            <v>KKM/JKN/HSA/10-05-01/R/15/7152</v>
          </cell>
          <cell r="E1909" t="str">
            <v>PATIENT MONITORING EQUIP.(AUTOMATIC MULTIPARAMETER)</v>
          </cell>
        </row>
        <row r="1910">
          <cell r="D1910" t="str">
            <v>KKM/JKN/HSA/10-05-01/H/20/236</v>
          </cell>
          <cell r="E1910" t="str">
            <v>PATIENT MONITORING EQUIP.(AUTOMATIC MULTIPARAMETER)</v>
          </cell>
        </row>
        <row r="1911">
          <cell r="D1911" t="str">
            <v>KKM/JKN/HSA/10-05-01/H/20/129</v>
          </cell>
          <cell r="E1911" t="str">
            <v>INFUSION PUMP</v>
          </cell>
        </row>
        <row r="1912">
          <cell r="D1912" t="str">
            <v>KKM/JKN/HSA/10-05-01/H/20/130</v>
          </cell>
          <cell r="E1912" t="str">
            <v>INFUSION PUMP</v>
          </cell>
        </row>
        <row r="1913">
          <cell r="D1913" t="str">
            <v>KKM/JKN/HSA/10-05-01/H/20/131</v>
          </cell>
          <cell r="E1913" t="str">
            <v>INFUSION PUMP</v>
          </cell>
        </row>
        <row r="1914">
          <cell r="D1914" t="str">
            <v>KKM/JKN/HSA/10-05-01/H/20/132</v>
          </cell>
          <cell r="E1914" t="str">
            <v>INFUSION PUMP</v>
          </cell>
        </row>
        <row r="1915">
          <cell r="D1915" t="str">
            <v>KKM/JKN/HSA/10-05-01/H/20/235</v>
          </cell>
          <cell r="E1915" t="str">
            <v>SYRINGE INFUSION PUMP</v>
          </cell>
        </row>
        <row r="1916">
          <cell r="D1916" t="str">
            <v>KKM/JKN/HSA/10-05-01/H/20/194</v>
          </cell>
          <cell r="E1916" t="str">
            <v>SPOT VITAL SIGN (NIBP)</v>
          </cell>
        </row>
        <row r="1917">
          <cell r="D1917" t="str">
            <v>KKM/JKN/HSA/10-05-01/H/20/250</v>
          </cell>
          <cell r="E1917" t="str">
            <v xml:space="preserve">HUMAN PATIENT SIMULATOR </v>
          </cell>
        </row>
        <row r="1918">
          <cell r="D1918" t="str">
            <v>KKM/JKN/HSA/10-05-01/H/21/338</v>
          </cell>
          <cell r="E1918" t="str">
            <v>VENTILATOR</v>
          </cell>
        </row>
        <row r="1919">
          <cell r="D1919" t="str">
            <v>KKM/JKN/HSA/10-05-01/H/15/5042</v>
          </cell>
          <cell r="E1919" t="str">
            <v>ECG PORTABLE MAINS/BATTERY OP</v>
          </cell>
        </row>
        <row r="1920">
          <cell r="D1920" t="str">
            <v>KKM/JKN/HSA/10-05-01/H/15/5104</v>
          </cell>
          <cell r="E1920" t="str">
            <v>DETECTOR VASCULAR FLOW</v>
          </cell>
        </row>
        <row r="1921">
          <cell r="D1921" t="str">
            <v>KKM/JKN/HSA/10-05-01/R/15/7402</v>
          </cell>
          <cell r="E1921" t="str">
            <v>DIAGNOSTIC SET ADULT</v>
          </cell>
        </row>
        <row r="1922">
          <cell r="D1922" t="str">
            <v>KKM/JKN/HSA/10-05-01/R/15/7403</v>
          </cell>
          <cell r="E1922" t="str">
            <v>DIAGNOSTIC SET ADULT</v>
          </cell>
        </row>
        <row r="1923">
          <cell r="D1923" t="str">
            <v>KKM/JKN/HSA/10-05-01/H/15/1263</v>
          </cell>
          <cell r="E1923" t="str">
            <v>INFUSION PUMP</v>
          </cell>
        </row>
        <row r="1924">
          <cell r="D1924" t="str">
            <v>KKM/JKN/HSA/10-05-01/H/15/1264</v>
          </cell>
          <cell r="E1924" t="str">
            <v>INFUSION PUMP</v>
          </cell>
        </row>
        <row r="1925">
          <cell r="D1925" t="str">
            <v>KKM/JKN/HSA/10-05-01/H/15/1265</v>
          </cell>
          <cell r="E1925" t="str">
            <v>INFUSION PUMP</v>
          </cell>
        </row>
        <row r="1926">
          <cell r="D1926" t="str">
            <v>KKM/JKN/HSA/10-05-01/H/15/1808</v>
          </cell>
          <cell r="E1926" t="str">
            <v>ENTERAL FEEDING PUMP</v>
          </cell>
        </row>
        <row r="1927">
          <cell r="D1927" t="str">
            <v>KKM/JKN/HSA/10-05-01/H/15/2169</v>
          </cell>
          <cell r="E1927" t="str">
            <v>PATIENT MONITORING EQUIP.(AUTOMATIC MULTIPARAMETER)</v>
          </cell>
        </row>
        <row r="1928">
          <cell r="D1928" t="str">
            <v>KKM/JKN/HSA/10-05-01/H/15/2182</v>
          </cell>
          <cell r="E1928" t="str">
            <v>SUCTION APPARATUS</v>
          </cell>
        </row>
        <row r="1929">
          <cell r="D1929" t="str">
            <v>KKM/JKN/HSA/10-05-01/H/15/2183</v>
          </cell>
          <cell r="E1929" t="str">
            <v>SUCTION APPARATUS</v>
          </cell>
        </row>
        <row r="1930">
          <cell r="D1930" t="str">
            <v>KKM/JKN/HSA/10-05-01/H/15/2184</v>
          </cell>
          <cell r="E1930" t="str">
            <v>SUCTION APPARATUS</v>
          </cell>
        </row>
        <row r="1931">
          <cell r="D1931" t="str">
            <v>KKM/JKN/HSA/10-05-01/H/15/2260</v>
          </cell>
          <cell r="E1931" t="str">
            <v>SYRINGE INFUSION PUMP</v>
          </cell>
        </row>
        <row r="1932">
          <cell r="D1932" t="str">
            <v>KKM/JKN/HSA/10-05-01/H/15/2261</v>
          </cell>
          <cell r="E1932" t="str">
            <v>SYRINGE INFUSION PUMP</v>
          </cell>
        </row>
        <row r="1933">
          <cell r="D1933" t="str">
            <v>KKM/JKN/HSA/10-05-01/H/15/2262</v>
          </cell>
          <cell r="E1933" t="str">
            <v>SYRINGE INFUSION PUMP</v>
          </cell>
        </row>
        <row r="1934">
          <cell r="D1934" t="str">
            <v>KKM/JKN/HSA/10-05-01/H/15/2263</v>
          </cell>
          <cell r="E1934" t="str">
            <v>SYRINGE INFUSION PUMP</v>
          </cell>
        </row>
        <row r="1935">
          <cell r="D1935" t="str">
            <v>KKM/JKN/HSA/10-05-01/H/15/2799</v>
          </cell>
          <cell r="E1935" t="str">
            <v>RIPPLE MATTRESS</v>
          </cell>
        </row>
        <row r="1936">
          <cell r="D1936" t="str">
            <v>KKM/JKN/HSA/10-05-01/H/15/3685</v>
          </cell>
          <cell r="E1936" t="str">
            <v>DEFIBRILLATOR</v>
          </cell>
        </row>
        <row r="1937">
          <cell r="D1937" t="str">
            <v>KKM/JKN/HSA/10-05-01/H/15/925</v>
          </cell>
          <cell r="E1937" t="str">
            <v>SYRINGE INFUSION PUMP</v>
          </cell>
        </row>
        <row r="1938">
          <cell r="D1938" t="str">
            <v>KKM/JKN/HSA/10-05-01/H/15/938</v>
          </cell>
          <cell r="E1938" t="str">
            <v>SYRINGE INFUSION PUMP</v>
          </cell>
        </row>
        <row r="1939">
          <cell r="D1939" t="str">
            <v>KKM/JKN/HSA/10-05-01/R/15/16157</v>
          </cell>
          <cell r="E1939" t="str">
            <v>NEBULIZER</v>
          </cell>
        </row>
        <row r="1940">
          <cell r="D1940" t="str">
            <v>KKM/JKN/HSA/10-05-01/R/15/16158</v>
          </cell>
          <cell r="E1940" t="str">
            <v>NEBULIZER</v>
          </cell>
        </row>
        <row r="1941">
          <cell r="D1941" t="str">
            <v>KKM/JKN/HSA/10-05-01/R/15/16159</v>
          </cell>
          <cell r="E1941" t="str">
            <v>NEBULIZER</v>
          </cell>
        </row>
        <row r="1942">
          <cell r="D1942" t="str">
            <v>KKM/JKN/HSA/10-05-01/R/15/16160</v>
          </cell>
          <cell r="E1942" t="str">
            <v>NEBULIZER</v>
          </cell>
        </row>
        <row r="1943">
          <cell r="D1943" t="str">
            <v>KKM/JKN/HSA/10-05-01/R/15/7154</v>
          </cell>
          <cell r="E1943" t="str">
            <v>PATIENT MONITORING EQUIP.(AUTOMATIC MULTIPARAMETER)</v>
          </cell>
        </row>
        <row r="1944">
          <cell r="D1944" t="str">
            <v>KKM/JKN/HSA/10-05-01/H/20/117</v>
          </cell>
          <cell r="E1944" t="str">
            <v>SYRINGE INFUSION PUMP</v>
          </cell>
        </row>
        <row r="1945">
          <cell r="D1945" t="str">
            <v>KKM/JKN/HSA/10-05-01/H/20/118</v>
          </cell>
          <cell r="E1945" t="str">
            <v>SYRINGE INFUSION PUMP</v>
          </cell>
        </row>
        <row r="1946">
          <cell r="D1946" t="str">
            <v>KKM/JKN/HSA/10-05-01/H/20/230</v>
          </cell>
          <cell r="E1946" t="str">
            <v>SYRINGE INFUSION PUMP</v>
          </cell>
        </row>
        <row r="1947">
          <cell r="D1947" t="str">
            <v>KKM/JKN/HSA/10-05-01/H/20/231</v>
          </cell>
          <cell r="E1947" t="str">
            <v>SYRINGE INFUSION PUMP</v>
          </cell>
        </row>
        <row r="1948">
          <cell r="D1948" t="str">
            <v>KKM/JKN/HSA/10-05-01/H/16/194</v>
          </cell>
          <cell r="E1948" t="str">
            <v>PATIENT MONITORING EQUIP. (AUTOMATIC MULTIPARAMETER)</v>
          </cell>
        </row>
        <row r="1949">
          <cell r="D1949" t="str">
            <v>KKM/JKN/HSA/10-05-01/R/20/119</v>
          </cell>
          <cell r="E1949" t="str">
            <v>RIPPLE MATTRESS</v>
          </cell>
        </row>
        <row r="1950">
          <cell r="D1950" t="str">
            <v>KKM/JKN/HSA/10-05-01/R/20/120</v>
          </cell>
          <cell r="E1950" t="str">
            <v>RIPPLE MATTRESS</v>
          </cell>
        </row>
        <row r="1951">
          <cell r="D1951" t="str">
            <v>KKM/JKN/HSA/10-05-01/H/20/179</v>
          </cell>
          <cell r="E1951" t="str">
            <v>SPOT VITAL SIGN (NIBP)</v>
          </cell>
        </row>
        <row r="1952">
          <cell r="D1952" t="str">
            <v>KKM/JKN/HSA/10-05-01/H/21/208</v>
          </cell>
          <cell r="E1952" t="str">
            <v>VITAL SIGN MONITORS</v>
          </cell>
        </row>
        <row r="1953">
          <cell r="D1953" t="str">
            <v>KKM/JKN/HSA/10-05-01/H/15/4183</v>
          </cell>
          <cell r="E1953" t="str">
            <v>MONITOR APNOEA NON INVASIVE</v>
          </cell>
        </row>
        <row r="1954">
          <cell r="D1954" t="str">
            <v>KKM/JKN/HSA/10-05-01/H/15/4207</v>
          </cell>
          <cell r="E1954" t="str">
            <v>PUMP BREAST ELECTRIC</v>
          </cell>
        </row>
        <row r="1955">
          <cell r="D1955" t="str">
            <v>KKM/JKN/HSA/10-05-01/H/15/1078</v>
          </cell>
          <cell r="E1955" t="str">
            <v>PHOTOTHERAPY MACHINE (LAMP)</v>
          </cell>
        </row>
        <row r="1956">
          <cell r="D1956" t="str">
            <v>KKM/JKN/HSA/10-05-01/H/15/1079</v>
          </cell>
          <cell r="E1956" t="str">
            <v>PHOTOTHERAPY MACHINE (LAMP)</v>
          </cell>
        </row>
        <row r="1957">
          <cell r="D1957" t="str">
            <v>KKM/JKN/HSA/10-05-01/H/15/1080</v>
          </cell>
          <cell r="E1957" t="str">
            <v>PHOTOTHERAPY MACHINE (LAMP)</v>
          </cell>
        </row>
        <row r="1958">
          <cell r="D1958" t="str">
            <v>KKM/JKN/HSA/10-05-01/H/15/1081</v>
          </cell>
          <cell r="E1958" t="str">
            <v>PHOTOTHERAPY MACHINE (LAMP)</v>
          </cell>
        </row>
        <row r="1959">
          <cell r="D1959" t="str">
            <v>KKM/JKN/HSA/10-05-01/H/15/1082</v>
          </cell>
          <cell r="E1959" t="str">
            <v>PHOTOTHERAPY MACHINE (LAMP)</v>
          </cell>
        </row>
        <row r="1960">
          <cell r="D1960" t="str">
            <v>KKM/JKN/HSA/10-05-01/H/15/1239</v>
          </cell>
          <cell r="E1960" t="str">
            <v>INFUSION PUMP</v>
          </cell>
        </row>
        <row r="1961">
          <cell r="D1961" t="str">
            <v>KKM/JKN/HSA/10-05-01/H/15/1240</v>
          </cell>
          <cell r="E1961" t="str">
            <v>INFUSION PUMP</v>
          </cell>
        </row>
        <row r="1962">
          <cell r="D1962" t="str">
            <v>KKM/JKN/HSA/10-05-01/H/15/1241</v>
          </cell>
          <cell r="E1962" t="str">
            <v>INFUSION PUMP</v>
          </cell>
        </row>
        <row r="1963">
          <cell r="D1963" t="str">
            <v>KKM/JKN/HSA/10-05-01/H/15/1603</v>
          </cell>
          <cell r="E1963" t="str">
            <v>PATIENT MONITORING EQUIP.(AUTOMATIC MULTIPARAMETER)</v>
          </cell>
        </row>
        <row r="1964">
          <cell r="D1964" t="str">
            <v>KKM/JKN/HSA/10-05-01/H/15/1604</v>
          </cell>
          <cell r="E1964" t="str">
            <v>PATIENT MONITORING EQUIP.(AUTOMATIC MULTIPARAMETER)</v>
          </cell>
        </row>
        <row r="1965">
          <cell r="D1965" t="str">
            <v>KKM/JKN/HSA/10-05-01/H/15/2139</v>
          </cell>
          <cell r="E1965" t="str">
            <v>PATIENT MONITORING EQUIP.(AUTOMATIC MULTIPARAMETER)</v>
          </cell>
        </row>
        <row r="1966">
          <cell r="D1966" t="str">
            <v>KKM/JKN/HSA/10-05-01/H/15/2140</v>
          </cell>
          <cell r="E1966" t="str">
            <v>PATIENT MONITORING EQUIP.(AUTOMATIC MULTIPARAMETER)</v>
          </cell>
        </row>
        <row r="1967">
          <cell r="D1967" t="str">
            <v>KKM/JKN/HSA/10-05-01/H/15/2173</v>
          </cell>
          <cell r="E1967" t="str">
            <v>SUCTION APPARATUS</v>
          </cell>
        </row>
        <row r="1968">
          <cell r="D1968" t="str">
            <v>KKM/JKN/HSA/10-05-01/H/15/2248</v>
          </cell>
          <cell r="E1968" t="str">
            <v>SYRINGE INFUSION PUMP</v>
          </cell>
        </row>
        <row r="1969">
          <cell r="D1969" t="str">
            <v>KKM/JKN/HSA/10-05-01/H/15/2249</v>
          </cell>
          <cell r="E1969" t="str">
            <v>SYRINGE INFUSION PUMP</v>
          </cell>
        </row>
        <row r="1970">
          <cell r="D1970" t="str">
            <v>KKM/JKN/HSA/10-05-01/H/15/2250</v>
          </cell>
          <cell r="E1970" t="str">
            <v>SYRINGE INFUSION PUMP</v>
          </cell>
        </row>
        <row r="1971">
          <cell r="D1971" t="str">
            <v>KKM/JKN/HSA/10-05-01/H/15/2251</v>
          </cell>
          <cell r="E1971" t="str">
            <v>SYRINGE INFUSION PUMP</v>
          </cell>
        </row>
        <row r="1972">
          <cell r="D1972" t="str">
            <v>KKM/JKN/HSA/10-05-01/H/15/2795</v>
          </cell>
          <cell r="E1972" t="str">
            <v>RIPPLE MATTRESS</v>
          </cell>
        </row>
        <row r="1973">
          <cell r="D1973" t="str">
            <v>KKM/JKN/HSA/10-05-01/H/15/3679</v>
          </cell>
          <cell r="E1973" t="str">
            <v>DEFIBRILLATOR</v>
          </cell>
        </row>
        <row r="1974">
          <cell r="D1974" t="str">
            <v>KKM/JKN/HSA/10-05-01/H/15/4073</v>
          </cell>
          <cell r="E1974" t="str">
            <v>ULTRASOUND SCANNER</v>
          </cell>
        </row>
        <row r="1975">
          <cell r="D1975" t="str">
            <v>KKM/JKN/HSA/10-05-01/H/15/4245</v>
          </cell>
          <cell r="E1975" t="str">
            <v>ECG (EKG) MACHINE</v>
          </cell>
        </row>
        <row r="1976">
          <cell r="D1976" t="str">
            <v>KKM/JKN/HSA/10-05-01/H/15/4303</v>
          </cell>
          <cell r="E1976" t="str">
            <v>FETAL HEART MONITOR (CTG)</v>
          </cell>
        </row>
        <row r="1977">
          <cell r="D1977" t="str">
            <v>KKM/JKN/HSA/10-05-01/H/15/4305</v>
          </cell>
          <cell r="E1977" t="str">
            <v>FETAL HEART MONITOR (CTG)</v>
          </cell>
        </row>
        <row r="1978">
          <cell r="D1978" t="str">
            <v>KKM/JKN/HSA/10-05-01/H/15/529</v>
          </cell>
          <cell r="E1978" t="str">
            <v>INFANT WARMER (RADIANT)</v>
          </cell>
        </row>
        <row r="1979">
          <cell r="D1979" t="str">
            <v>KKM/JKN/HSA/10-05-01/H/15/530</v>
          </cell>
          <cell r="E1979" t="str">
            <v>INFANT WARMER (RADIANT)</v>
          </cell>
        </row>
        <row r="1980">
          <cell r="D1980" t="str">
            <v>KKM/JKN/HSA/10-05-01/H/15/533</v>
          </cell>
          <cell r="E1980" t="str">
            <v>INFANT WARMER (RADIANT)</v>
          </cell>
        </row>
        <row r="1981">
          <cell r="D1981" t="str">
            <v>KKM/JKN/HSA/10-05-01/H/15/534</v>
          </cell>
          <cell r="E1981" t="str">
            <v>INFANT WARMER (RADIANT)</v>
          </cell>
        </row>
        <row r="1982">
          <cell r="D1982" t="str">
            <v>KKM/JKN/HSA/10-05-01/H/15/535</v>
          </cell>
          <cell r="E1982" t="str">
            <v>INFANT WARMER (RADIANT)</v>
          </cell>
        </row>
        <row r="1983">
          <cell r="D1983" t="str">
            <v>KKM/JKN/HSA/10-05-01/H/15/552</v>
          </cell>
          <cell r="E1983" t="str">
            <v>INFANT WARMER (RADIANT)</v>
          </cell>
        </row>
        <row r="1984">
          <cell r="D1984" t="str">
            <v>KKM/JKN/HSA/10-05-01/H/15/553</v>
          </cell>
          <cell r="E1984" t="str">
            <v>INFANT WARMER (RADIANT)</v>
          </cell>
        </row>
        <row r="1985">
          <cell r="D1985" t="str">
            <v>KKM/JKN/HSA/10-05-01/H/15/559</v>
          </cell>
          <cell r="E1985" t="str">
            <v>INFANT INCUBATOR</v>
          </cell>
        </row>
        <row r="1986">
          <cell r="D1986" t="str">
            <v>KKM/JKN/HSA/10-05-01/H/15/764</v>
          </cell>
          <cell r="E1986" t="str">
            <v>FETAL HEART MONITOR (CTG)</v>
          </cell>
        </row>
        <row r="1987">
          <cell r="D1987" t="str">
            <v>KKM/JKN/HSA/10-05-01/H/16/87</v>
          </cell>
          <cell r="E1987" t="str">
            <v>PULSE OXIMETER AND SIMULATOR</v>
          </cell>
        </row>
        <row r="1988">
          <cell r="D1988" t="str">
            <v>KKM/JKN/HSA/10-05-01/R/15/14877</v>
          </cell>
          <cell r="E1988" t="str">
            <v>BLOOD PRESSURE MONITOR (SPHYGMOMANOMETER)</v>
          </cell>
        </row>
        <row r="1989">
          <cell r="D1989" t="str">
            <v>KKM/JKN/HSA/10-05-01/R/15/14878</v>
          </cell>
          <cell r="E1989" t="str">
            <v>BLOOD PRESSURE MONITOR (SPHYGMOMANOMETER)</v>
          </cell>
        </row>
        <row r="1990">
          <cell r="D1990" t="str">
            <v>KKM/JKN/HSA/10-05-01/R/15/7037</v>
          </cell>
          <cell r="E1990" t="str">
            <v>INFANT/ BABY SCALER</v>
          </cell>
        </row>
        <row r="1991">
          <cell r="D1991" t="str">
            <v>KKM/JKN/HSA/10-05-01/H/15/4184</v>
          </cell>
          <cell r="E1991" t="str">
            <v>MONITOR APNOEA NON INVASIVE</v>
          </cell>
        </row>
        <row r="1992">
          <cell r="D1992" t="str">
            <v>KKM/JKN/HSA/10-05-01/H/15/4845</v>
          </cell>
          <cell r="E1992" t="str">
            <v>PUMP BREAST ELECTRIC</v>
          </cell>
        </row>
        <row r="1993">
          <cell r="D1993" t="str">
            <v>KKM/JKN/HSA/10-05-01/H/15/1083</v>
          </cell>
          <cell r="E1993" t="str">
            <v>PHOTOTHERAPY MACHINE (LAMP)</v>
          </cell>
        </row>
        <row r="1994">
          <cell r="D1994" t="str">
            <v>KKM/JKN/HSA/10-05-01/H/15/1084</v>
          </cell>
          <cell r="E1994" t="str">
            <v>PHOTOTHERAPY MACHINE (LAMP)</v>
          </cell>
        </row>
        <row r="1995">
          <cell r="D1995" t="str">
            <v>KKM/JKN/HSA/10-05-01/H/15/1085</v>
          </cell>
          <cell r="E1995" t="str">
            <v>PHOTOTHERAPY MACHINE (LAMP)</v>
          </cell>
        </row>
        <row r="1996">
          <cell r="D1996" t="str">
            <v>KKM/JKN/HSA/10-05-01/H/15/1086</v>
          </cell>
          <cell r="E1996" t="str">
            <v>PHOTOTHERAPY MACHINE (LAMP)</v>
          </cell>
        </row>
        <row r="1997">
          <cell r="D1997" t="str">
            <v>KKM/JKN/HSA/10-05-01/H/15/1087</v>
          </cell>
          <cell r="E1997" t="str">
            <v>PHOTOTHERAPY MACHINE (LAMP)</v>
          </cell>
        </row>
        <row r="1998">
          <cell r="D1998" t="str">
            <v>KKM/JKN/HSA/10-05-01/H/15/1242</v>
          </cell>
          <cell r="E1998" t="str">
            <v>INFUSION PUMP</v>
          </cell>
        </row>
        <row r="1999">
          <cell r="D1999" t="str">
            <v>KKM/JKN/HSA/10-05-01/H/15/1243</v>
          </cell>
          <cell r="E1999" t="str">
            <v>INFUSION PUMP</v>
          </cell>
        </row>
        <row r="2000">
          <cell r="D2000" t="str">
            <v>KKM/JKN/HSA/10-05-01/H/15/1244</v>
          </cell>
          <cell r="E2000" t="str">
            <v>INFUSION PUMP</v>
          </cell>
        </row>
        <row r="2001">
          <cell r="D2001" t="str">
            <v>KKM/JKN/HSA/10-05-01/H/15/1605</v>
          </cell>
          <cell r="E2001" t="str">
            <v>PATIENT MONITORING EQUIP.(AUTOMATIC MULTIPARAMETER)</v>
          </cell>
        </row>
        <row r="2002">
          <cell r="D2002" t="str">
            <v>KKM/JKN/HSA/10-05-01/H/15/1606</v>
          </cell>
          <cell r="E2002" t="str">
            <v>PATIENT MONITORING EQUIP.(AUTOMATIC MULTIPARAMETER)</v>
          </cell>
        </row>
        <row r="2003">
          <cell r="D2003" t="str">
            <v>KKM/JKN/HSA/10-05-01/H/15/1607</v>
          </cell>
          <cell r="E2003" t="str">
            <v>PATIENT MONITORING EQUIP.(AUTOMATIC MULTIPARAMETER)</v>
          </cell>
        </row>
        <row r="2004">
          <cell r="D2004" t="str">
            <v>KKM/JKN/HSA/10-05-01/H/15/2143</v>
          </cell>
          <cell r="E2004" t="str">
            <v>PATIENT MONITORING EQUIP.(AUTOMATIC MULTIPARAMETER)</v>
          </cell>
        </row>
        <row r="2005">
          <cell r="D2005" t="str">
            <v>KKM/JKN/HSA/10-05-01/H/15/2144</v>
          </cell>
          <cell r="E2005" t="str">
            <v>PATIENT MONITORING EQUIP.(AUTOMATIC MULTIPARAMETER)</v>
          </cell>
        </row>
        <row r="2006">
          <cell r="D2006" t="str">
            <v>KKM/JKN/HSA/10-05-01/H/15/2174</v>
          </cell>
          <cell r="E2006" t="str">
            <v>SUCTION APPARATUS</v>
          </cell>
        </row>
        <row r="2007">
          <cell r="D2007" t="str">
            <v>KKM/JKN/HSA/10-05-01/H/15/2252</v>
          </cell>
          <cell r="E2007" t="str">
            <v>SYRINGE INFUSION PUMP</v>
          </cell>
        </row>
        <row r="2008">
          <cell r="D2008" t="str">
            <v>KKM/JKN/HSA/10-05-01/H/15/2253</v>
          </cell>
          <cell r="E2008" t="str">
            <v>SYRINGE INFUSION PUMP</v>
          </cell>
        </row>
        <row r="2009">
          <cell r="D2009" t="str">
            <v>KKM/JKN/HSA/10-05-01/H/15/2254</v>
          </cell>
          <cell r="E2009" t="str">
            <v>SYRINGE INFUSION PUMP</v>
          </cell>
        </row>
        <row r="2010">
          <cell r="D2010" t="str">
            <v>KKM/JKN/HSA/10-05-01/H/15/2255</v>
          </cell>
          <cell r="E2010" t="str">
            <v>SYRINGE INFUSION PUMP</v>
          </cell>
        </row>
        <row r="2011">
          <cell r="D2011" t="str">
            <v>KKM/JKN/HSA/10-05-01/H/15/2796</v>
          </cell>
          <cell r="E2011" t="str">
            <v>RIPPLE MATTRESS</v>
          </cell>
        </row>
        <row r="2012">
          <cell r="D2012" t="str">
            <v>KKM/JKN/HSA/10-05-01/H/15/3680</v>
          </cell>
          <cell r="E2012" t="str">
            <v>DEFIBRILLATOR</v>
          </cell>
        </row>
        <row r="2013">
          <cell r="D2013" t="str">
            <v>KKM/JKN/HSA/10-05-01/H/15/523</v>
          </cell>
          <cell r="E2013" t="str">
            <v>INFANT WARMER (RADIANT)</v>
          </cell>
        </row>
        <row r="2014">
          <cell r="D2014" t="str">
            <v>KKM/JKN/HSA/10-05-01/H/15/550</v>
          </cell>
          <cell r="E2014" t="str">
            <v>INFANT WARMER (RADIANT)</v>
          </cell>
        </row>
        <row r="2015">
          <cell r="D2015" t="str">
            <v>KKM/JKN/HSA/10-05-01/H/15/551</v>
          </cell>
          <cell r="E2015" t="str">
            <v>INFANT WARMER (RADIANT)</v>
          </cell>
        </row>
        <row r="2016">
          <cell r="D2016" t="str">
            <v>KKM/JKN/HSA/10-05-01/H/15/762</v>
          </cell>
          <cell r="E2016" t="str">
            <v>FETAL HEART MONITOR (CTG)</v>
          </cell>
        </row>
        <row r="2017">
          <cell r="D2017" t="str">
            <v>KKM/JKN/HSA/10-05-01/R/15/14879</v>
          </cell>
          <cell r="E2017" t="str">
            <v>BLOOD PRESSURE MONITOR (SPHYGMOMANOMETER)</v>
          </cell>
        </row>
        <row r="2018">
          <cell r="D2018" t="str">
            <v>KKM/JKN/HSA/10-05-01/R/15/14880</v>
          </cell>
          <cell r="E2018" t="str">
            <v>BLOOD PRESSURE MONITOR (SPHYGMOMANOMETER)</v>
          </cell>
        </row>
        <row r="2019">
          <cell r="D2019" t="str">
            <v>KKM/JKN/HSA/10-05-01/R/15/7038</v>
          </cell>
          <cell r="E2019" t="str">
            <v>INFANT/ BABY SCALER</v>
          </cell>
        </row>
        <row r="2020">
          <cell r="D2020" t="str">
            <v>KKM/JKN/HSA/10-05-01/H/20/181</v>
          </cell>
          <cell r="E2020" t="str">
            <v>SPOT VITAL SIGN (NIBP)</v>
          </cell>
        </row>
        <row r="2021">
          <cell r="D2021" t="str">
            <v>KKM/JKN/HSA/10-05-01/H/21/205</v>
          </cell>
          <cell r="E2021" t="str">
            <v>ECG MACHINE</v>
          </cell>
        </row>
        <row r="2022">
          <cell r="D2022" t="str">
            <v>KKM/JKN/HSA/10-05-01/R/21/111</v>
          </cell>
          <cell r="E2022" t="str">
            <v>FETAL HEART MONITOR</v>
          </cell>
        </row>
        <row r="2023">
          <cell r="D2023" t="str">
            <v>KKM/JKN/HSA/10-05-01/R/21/112</v>
          </cell>
          <cell r="E2023" t="str">
            <v>FETAL HEART MONITOR</v>
          </cell>
        </row>
        <row r="2024">
          <cell r="D2024" t="str">
            <v>KKM/JKN/HSA/10-05-01/H/15/2186</v>
          </cell>
          <cell r="E2024" t="str">
            <v>SUCTION APPARATUS</v>
          </cell>
        </row>
        <row r="2025">
          <cell r="D2025" t="str">
            <v>KKM/JKN/HSA/10-05-01/H/15/4939</v>
          </cell>
          <cell r="E2025" t="str">
            <v>INFUSION PUMP</v>
          </cell>
        </row>
        <row r="2026">
          <cell r="D2026" t="str">
            <v>KKM/JKN/HSA/10-05-01/H/15/4940</v>
          </cell>
          <cell r="E2026" t="str">
            <v>INFUSION PUMP</v>
          </cell>
        </row>
        <row r="2027">
          <cell r="D2027" t="str">
            <v>KKM/JKN/HSA/10-05-01/H/15/4324</v>
          </cell>
          <cell r="E2027" t="str">
            <v>ECG PORTABLE MAINS/BATTERY OP</v>
          </cell>
        </row>
        <row r="2028">
          <cell r="D2028" t="str">
            <v>KKM/JKN/HSA/10-05-01/H/19/23</v>
          </cell>
          <cell r="E2028" t="str">
            <v>SYRINGE INFUSION PUMP</v>
          </cell>
        </row>
        <row r="2029">
          <cell r="D2029" t="str">
            <v>KKM/JKN/HSA/10-05-01/R/15/7354</v>
          </cell>
          <cell r="E2029" t="str">
            <v>DIAGNOSTIC SET ADULT</v>
          </cell>
        </row>
        <row r="2030">
          <cell r="D2030" t="str">
            <v>KKM/JKN/HSA/10-05-01/R/15/7404</v>
          </cell>
          <cell r="E2030" t="str">
            <v>DIAGNOSTIC SET ADULT</v>
          </cell>
        </row>
        <row r="2031">
          <cell r="D2031" t="str">
            <v>KKM/JKN/HSA/10-05-01/R/15/7405</v>
          </cell>
          <cell r="E2031" t="str">
            <v>DIAGNOSTIC SET ADULT</v>
          </cell>
        </row>
        <row r="2032">
          <cell r="D2032" t="str">
            <v>KKM/JKN/HSA/10-05-01/R/15/7406</v>
          </cell>
          <cell r="E2032" t="str">
            <v>DIAGNOSTIC SET ADULT</v>
          </cell>
        </row>
        <row r="2033">
          <cell r="D2033" t="str">
            <v>KKM/JKN/HSA/10-05-01/H/15/2107</v>
          </cell>
          <cell r="E2033" t="str">
            <v>PATIENT MONITORING EQUIP.(AUTOMATIC MULTIPARAMETER)</v>
          </cell>
        </row>
        <row r="2034">
          <cell r="D2034" t="str">
            <v>KKM/JKN/HSA/10-05-01/H/15/2108</v>
          </cell>
          <cell r="E2034" t="str">
            <v>PATIENT MONITORING EQUIP.(AUTOMATIC MULTIPARAMETER)</v>
          </cell>
        </row>
        <row r="2035">
          <cell r="D2035" t="str">
            <v>KKM/JKN/HSA/10-05-01/H/15/2185</v>
          </cell>
          <cell r="E2035" t="str">
            <v>SUCTION APPARATUS</v>
          </cell>
        </row>
        <row r="2036">
          <cell r="D2036" t="str">
            <v>KKM/JKN/HSA/10-05-01/H/15/2268</v>
          </cell>
          <cell r="E2036" t="str">
            <v>SYRINGE INFUSION PUMP</v>
          </cell>
        </row>
        <row r="2037">
          <cell r="D2037" t="str">
            <v>KKM/JKN/HSA/10-05-01/H/15/2269</v>
          </cell>
          <cell r="E2037" t="str">
            <v>SYRINGE INFUSION PUMP</v>
          </cell>
        </row>
        <row r="2038">
          <cell r="D2038" t="str">
            <v>KKM/JKN/HSA/10-05-01/H/15/2270</v>
          </cell>
          <cell r="E2038" t="str">
            <v>SYRINGE INFUSION PUMP</v>
          </cell>
        </row>
        <row r="2039">
          <cell r="D2039" t="str">
            <v>KKM/JKN/HSA/10-05-01/H/15/2271</v>
          </cell>
          <cell r="E2039" t="str">
            <v>SYRINGE INFUSION PUMP</v>
          </cell>
        </row>
        <row r="2040">
          <cell r="D2040" t="str">
            <v>KKM/JKN/HSA/10-05-01/H/15/2800</v>
          </cell>
          <cell r="E2040" t="str">
            <v>RIPPLE MATTRESS</v>
          </cell>
        </row>
        <row r="2041">
          <cell r="D2041" t="str">
            <v>KKM/JKN/HSA/10-05-01/H/15/3667</v>
          </cell>
          <cell r="E2041" t="str">
            <v>DEFIBRILLATOR</v>
          </cell>
        </row>
        <row r="2042">
          <cell r="D2042" t="str">
            <v>KKM/JKN/HSA/10-05-01/H/15/4079</v>
          </cell>
          <cell r="E2042" t="str">
            <v>SUCTION APPARATUS</v>
          </cell>
        </row>
        <row r="2043">
          <cell r="D2043" t="str">
            <v>KKM/JKN/HSA/10-05-01/H/15/4951</v>
          </cell>
          <cell r="E2043" t="str">
            <v>ELECTROCARDIOGRAPH</v>
          </cell>
        </row>
        <row r="2044">
          <cell r="D2044" t="str">
            <v>KKM/JKN/HSA/10-05-01/H/15/575</v>
          </cell>
          <cell r="E2044" t="str">
            <v>ELECTROCARDIOGRAPH</v>
          </cell>
        </row>
        <row r="2045">
          <cell r="D2045" t="str">
            <v>KKM/JKN/HSA/10-05-01/R/15/16184</v>
          </cell>
          <cell r="E2045" t="str">
            <v>NEBULIZER</v>
          </cell>
        </row>
        <row r="2046">
          <cell r="D2046" t="str">
            <v>KKM/JKN/HSA/10-05-01/R/15/7155</v>
          </cell>
          <cell r="E2046" t="str">
            <v>PATIENT MONITORING EQUIP.(AUTOMATIC MULTIPARAMETER)</v>
          </cell>
        </row>
        <row r="2047">
          <cell r="D2047" t="str">
            <v>KKM/JKN/HSA/10-05-01/H/20/125</v>
          </cell>
          <cell r="E2047" t="str">
            <v>SYRINGE INFUSION PUMP</v>
          </cell>
        </row>
        <row r="2048">
          <cell r="D2048" t="str">
            <v>KKM/JKN/HSA/10-05-01/H/20/126</v>
          </cell>
          <cell r="E2048" t="str">
            <v>SYRINGE INFUSION PUMP</v>
          </cell>
        </row>
        <row r="2049">
          <cell r="D2049" t="str">
            <v>KKM/JKN/HSA/10-05-01/H/20/46</v>
          </cell>
          <cell r="E2049" t="str">
            <v>DEFIBRILLATOR W/INTERNAL/EXT PADDLES/PACEMAKER</v>
          </cell>
        </row>
        <row r="2050">
          <cell r="D2050" t="str">
            <v>KKM/JKN/HSA/10-05-01/H/20/47</v>
          </cell>
          <cell r="E2050" t="str">
            <v>PUMP VOLUMETRIC INFUSION (STAND ALONE)</v>
          </cell>
        </row>
        <row r="2051">
          <cell r="D2051" t="str">
            <v>KKM/JKN/HSA/10-05-01/H/20/48</v>
          </cell>
          <cell r="E2051" t="str">
            <v>PUMP VOLUMETRIC INFUSION (STAND ALONE)</v>
          </cell>
        </row>
        <row r="2052">
          <cell r="D2052" t="str">
            <v>KKM/JKN/HSA/10-05-01/H/20/49</v>
          </cell>
          <cell r="E2052" t="str">
            <v>PUMP VOLUMETRIC INFUSION (STAND ALONE)</v>
          </cell>
        </row>
        <row r="2053">
          <cell r="D2053" t="str">
            <v>KKM/JKN/HSA/10-05-01/H/20/50</v>
          </cell>
          <cell r="E2053" t="str">
            <v>PUMP VOLUMETRIC INFUSION (STAND ALONE)</v>
          </cell>
        </row>
        <row r="2054">
          <cell r="D2054" t="str">
            <v>KKM/JKN/HSA/10-05-01/H/20/51</v>
          </cell>
          <cell r="E2054" t="str">
            <v>PUMP VOLUMETRIC INFUSION (STAND ALONE)</v>
          </cell>
        </row>
        <row r="2055">
          <cell r="D2055" t="str">
            <v>KKM/JKN/HSA/10-05-01/H/20/56</v>
          </cell>
          <cell r="E2055" t="str">
            <v>ECG  (EKG) MACHINE</v>
          </cell>
        </row>
        <row r="2056">
          <cell r="D2056" t="str">
            <v>KKM/JKN/HSA/10-05-01/H/15/932</v>
          </cell>
          <cell r="E2056" t="str">
            <v>SYRINGE INFUSION PUMP</v>
          </cell>
        </row>
        <row r="2057">
          <cell r="D2057" t="str">
            <v>KKM/JKN/HSA/10-05-01/H/15/935</v>
          </cell>
          <cell r="E2057" t="str">
            <v>SYRINGE INFUSION PUMP</v>
          </cell>
        </row>
        <row r="2058">
          <cell r="D2058" t="str">
            <v>KKM/JKN/HSA/10-05-01/H/15/936</v>
          </cell>
          <cell r="E2058" t="str">
            <v>SYRINGE INFUSION PUMP</v>
          </cell>
        </row>
        <row r="2059">
          <cell r="D2059" t="str">
            <v>KKM/JKN/HSA/10-05-01/H/15/937</v>
          </cell>
          <cell r="E2059" t="str">
            <v>SYRINGE INFUSION PUMP</v>
          </cell>
        </row>
        <row r="2060">
          <cell r="D2060" t="str">
            <v>KKM/JKN/HSA/10-05-01/H/20/69</v>
          </cell>
          <cell r="E2060" t="str">
            <v>SYRINGE INFUSION PUMP</v>
          </cell>
        </row>
        <row r="2061">
          <cell r="D2061" t="str">
            <v>KKM/JKN/HSA/10-05-01/H/20/70</v>
          </cell>
          <cell r="E2061" t="str">
            <v>SYRINGE INFUSION PUMP</v>
          </cell>
        </row>
        <row r="2062">
          <cell r="D2062" t="str">
            <v>KKM/JKN/HSA/10-05-01/H/20/71</v>
          </cell>
          <cell r="E2062" t="str">
            <v>SYRINGE INFUSION PUMP</v>
          </cell>
        </row>
        <row r="2063">
          <cell r="D2063" t="str">
            <v>KKM/JKN/HSA/10-05-01/H/20/72</v>
          </cell>
          <cell r="E2063" t="str">
            <v>SYRINGE INFUSION PUMP</v>
          </cell>
        </row>
        <row r="2064">
          <cell r="D2064" t="str">
            <v>KKM/JKN/HSA/10-05-01/H/20/73</v>
          </cell>
          <cell r="E2064" t="str">
            <v>SYRINGE INFUSION PUMP</v>
          </cell>
        </row>
        <row r="2065">
          <cell r="D2065" t="str">
            <v>KKM/JKN/HSA/10-05-01/H/20/74</v>
          </cell>
          <cell r="E2065" t="str">
            <v>SYRINGE INFUSION PUMP</v>
          </cell>
        </row>
        <row r="2066">
          <cell r="D2066" t="str">
            <v>KKM/JKN/HSA/10-05-01/H/20/225</v>
          </cell>
          <cell r="E2066" t="str">
            <v>PATIENT MONITORING EQUIPMENT</v>
          </cell>
        </row>
        <row r="2067">
          <cell r="D2067" t="str">
            <v>KKM/JKN/HSA/10-05-01/H/20/226</v>
          </cell>
          <cell r="E2067" t="str">
            <v>PATIENT MONITORING EQUIPMENT</v>
          </cell>
        </row>
        <row r="2068">
          <cell r="D2068" t="str">
            <v>KKM/JKN/HSA/10-05-01/H/20/227</v>
          </cell>
          <cell r="E2068" t="str">
            <v>PATIENT MONITORING EQUIPMENT</v>
          </cell>
        </row>
        <row r="2069">
          <cell r="D2069" t="str">
            <v>KKM/JKN/HSA/10-05-01/H/15/4251</v>
          </cell>
          <cell r="E2069" t="str">
            <v>PUMP VOLUMETRIC INFUSION (STAND ALONE)</v>
          </cell>
        </row>
        <row r="2070">
          <cell r="D2070" t="str">
            <v>KKM/JKN/HSA/10-05-01/R/15/17067</v>
          </cell>
          <cell r="E2070" t="str">
            <v>DIAGNOSTIC SET ADULT</v>
          </cell>
        </row>
        <row r="2071">
          <cell r="D2071" t="str">
            <v>KKM/JKN/HSA/10-05-01/R/15/17068</v>
          </cell>
          <cell r="E2071" t="str">
            <v>DIAGNOSTIC SET ADULT</v>
          </cell>
        </row>
        <row r="2072">
          <cell r="D2072" t="str">
            <v>KKM/JKN/HSA/10-05-01/R/15/17069</v>
          </cell>
          <cell r="E2072" t="str">
            <v>DIAGNOSTIC SET ADULT</v>
          </cell>
        </row>
        <row r="2073">
          <cell r="D2073" t="str">
            <v>KKM/JKN/HSA/10-05-01/H/15/1016</v>
          </cell>
          <cell r="E2073" t="str">
            <v>PATIENT MONITORING EQUIP.(AUTOMATIC MULTIPARAMETER)</v>
          </cell>
        </row>
        <row r="2074">
          <cell r="D2074" t="str">
            <v>KKM/JKN/HSA/10-05-01/H/15/1027</v>
          </cell>
          <cell r="E2074" t="str">
            <v>PATIENT MONITORING EQUIP.(AUTOMATIC MULTIPARAMETER)</v>
          </cell>
        </row>
        <row r="2075">
          <cell r="D2075" t="str">
            <v>KKM/JKN/HSA/10-05-01/H/15/1225</v>
          </cell>
          <cell r="E2075" t="str">
            <v>INFUSION PUMP</v>
          </cell>
        </row>
        <row r="2076">
          <cell r="D2076" t="str">
            <v>KKM/JKN/HSA/10-05-01/H/15/1226</v>
          </cell>
          <cell r="E2076" t="str">
            <v>INFUSION PUMP</v>
          </cell>
        </row>
        <row r="2077">
          <cell r="D2077" t="str">
            <v>KKM/JKN/HSA/10-05-01/H/15/1227</v>
          </cell>
          <cell r="E2077" t="str">
            <v>INFUSION PUMP</v>
          </cell>
        </row>
        <row r="2078">
          <cell r="D2078" t="str">
            <v>KKM/JKN/HSA/10-05-01/H/15/1228</v>
          </cell>
          <cell r="E2078" t="str">
            <v>INFUSION PUMP</v>
          </cell>
        </row>
        <row r="2079">
          <cell r="D2079" t="str">
            <v>KKM/JKN/HSA/10-05-01/H/15/1229</v>
          </cell>
          <cell r="E2079" t="str">
            <v>INFUSION PUMP</v>
          </cell>
        </row>
        <row r="2080">
          <cell r="D2080" t="str">
            <v>KKM/JKN/HSA/10-05-01/H/15/1230</v>
          </cell>
          <cell r="E2080" t="str">
            <v>INFUSION PUMP</v>
          </cell>
        </row>
        <row r="2081">
          <cell r="D2081" t="str">
            <v>KKM/JKN/HSA/10-05-01/H/15/1231</v>
          </cell>
          <cell r="E2081" t="str">
            <v>INFUSION PUMP</v>
          </cell>
        </row>
        <row r="2082">
          <cell r="D2082" t="str">
            <v>KKM/JKN/HSA/10-05-01/H/15/1600</v>
          </cell>
          <cell r="E2082" t="str">
            <v>PATIENT MONITORING EQUIP.(AUTOMATIC MULTIPARAMETER)</v>
          </cell>
        </row>
        <row r="2083">
          <cell r="D2083" t="str">
            <v>KKM/JKN/HSA/10-05-01/H/15/1803</v>
          </cell>
          <cell r="E2083" t="str">
            <v>ENTERAL FEEDING PUMP</v>
          </cell>
        </row>
        <row r="2084">
          <cell r="D2084" t="str">
            <v>KKM/JKN/HSA/10-05-01/H/15/2130</v>
          </cell>
          <cell r="E2084" t="str">
            <v>PATIENT MONITORING EQUIP.(AUTOMATIC MULTIPARAMETER)</v>
          </cell>
        </row>
        <row r="2085">
          <cell r="D2085" t="str">
            <v>KKM/JKN/HSA/10-05-01/H/15/2131</v>
          </cell>
          <cell r="E2085" t="str">
            <v>PATIENT MONITORING EQUIP.(AUTOMATIC MULTIPARAMETER)</v>
          </cell>
        </row>
        <row r="2086">
          <cell r="D2086" t="str">
            <v>KKM/JKN/HSA/10-05-01/H/15/2154</v>
          </cell>
          <cell r="E2086" t="str">
            <v>SUCTION APPARATUS</v>
          </cell>
        </row>
        <row r="2087">
          <cell r="D2087" t="str">
            <v>KKM/JKN/HSA/10-05-01/H/15/2155</v>
          </cell>
          <cell r="E2087" t="str">
            <v>SUCTION APPARATUS</v>
          </cell>
        </row>
        <row r="2088">
          <cell r="D2088" t="str">
            <v>KKM/JKN/HSA/10-05-01/H/15/2162</v>
          </cell>
          <cell r="E2088" t="str">
            <v>SUCTION APPARATUS</v>
          </cell>
        </row>
        <row r="2089">
          <cell r="D2089" t="str">
            <v>KKM/JKN/HSA/10-05-01/H/15/2238</v>
          </cell>
          <cell r="E2089" t="str">
            <v>SYRINGE INFUSION PUMP</v>
          </cell>
        </row>
        <row r="2090">
          <cell r="D2090" t="str">
            <v>KKM/JKN/HSA/10-05-01/H/15/2239</v>
          </cell>
          <cell r="E2090" t="str">
            <v>SYRINGE INFUSION PUMP</v>
          </cell>
        </row>
        <row r="2091">
          <cell r="D2091" t="str">
            <v>KKM/JKN/HSA/10-05-01/H/15/2240</v>
          </cell>
          <cell r="E2091" t="str">
            <v>SYRINGE INFUSION PUMP</v>
          </cell>
        </row>
        <row r="2092">
          <cell r="D2092" t="str">
            <v>KKM/JKN/HSA/10-05-01/H/15/2241</v>
          </cell>
          <cell r="E2092" t="str">
            <v>SYRINGE INFUSION PUMP</v>
          </cell>
        </row>
        <row r="2093">
          <cell r="D2093" t="str">
            <v>KKM/JKN/HSA/10-05-01/H/15/2242</v>
          </cell>
          <cell r="E2093" t="str">
            <v>SYRINGE INFUSION PUMP</v>
          </cell>
        </row>
        <row r="2094">
          <cell r="D2094" t="str">
            <v>KKM/JKN/HSA/10-05-01/H/15/2791</v>
          </cell>
          <cell r="E2094" t="str">
            <v>RIPPLE MATTRESS</v>
          </cell>
        </row>
        <row r="2095">
          <cell r="D2095" t="str">
            <v>KKM/JKN/HSA/10-05-01/H/15/2792</v>
          </cell>
          <cell r="E2095" t="str">
            <v>RIPPLE MATTRESS</v>
          </cell>
        </row>
        <row r="2096">
          <cell r="D2096" t="str">
            <v>KKM/JKN/HSA/10-05-01/H/15/572</v>
          </cell>
          <cell r="E2096" t="str">
            <v>ECG (EKG) MACHINE</v>
          </cell>
        </row>
        <row r="2097">
          <cell r="D2097" t="str">
            <v>KKM/JKN/HSA/10-05-01/H/15/930</v>
          </cell>
          <cell r="E2097" t="str">
            <v>SYRINGE INFUSION PUMP</v>
          </cell>
        </row>
        <row r="2098">
          <cell r="D2098" t="str">
            <v>KKM/JKN/HSA/10-05-01/H/15/933</v>
          </cell>
          <cell r="E2098" t="str">
            <v>SYRINGE INFUSION PUMP</v>
          </cell>
        </row>
        <row r="2099">
          <cell r="D2099" t="str">
            <v>KKM/JKN/HSA/10-05-01/H/15/934</v>
          </cell>
          <cell r="E2099" t="str">
            <v>SYRINGE INFUSION PUMP</v>
          </cell>
        </row>
        <row r="2100">
          <cell r="D2100" t="str">
            <v>KKM/JKN/HSA/10-05-01/H/15/975</v>
          </cell>
          <cell r="E2100" t="str">
            <v>PULSE OXIMETER AND SIMULATOR</v>
          </cell>
        </row>
        <row r="2101">
          <cell r="D2101" t="str">
            <v>KKM/JKN/HSA/10-05-01/R/15/16174</v>
          </cell>
          <cell r="E2101" t="str">
            <v>NEBULIZER</v>
          </cell>
        </row>
        <row r="2102">
          <cell r="D2102" t="str">
            <v>KKM/JKN/HSA/10-05-01/R/15/16175</v>
          </cell>
          <cell r="E2102" t="str">
            <v>NEBULIZER</v>
          </cell>
        </row>
        <row r="2103">
          <cell r="D2103" t="str">
            <v>KKM/JKN/HSA/10-05-01/R/15/16176</v>
          </cell>
          <cell r="E2103" t="str">
            <v>NEBULIZER</v>
          </cell>
        </row>
        <row r="2104">
          <cell r="D2104" t="str">
            <v>KKM/JKN/HSA/10-05-01/R/15/16177</v>
          </cell>
          <cell r="E2104" t="str">
            <v>NEBULIZER</v>
          </cell>
        </row>
        <row r="2105">
          <cell r="D2105" t="str">
            <v>KKM/JKN/HSA/10-05-01/R/15/16178</v>
          </cell>
          <cell r="E2105" t="str">
            <v>NEBULIZER</v>
          </cell>
        </row>
        <row r="2106">
          <cell r="D2106" t="str">
            <v>KKM/JKN/HSA/10-05-01/H/20/145</v>
          </cell>
          <cell r="E2106" t="str">
            <v>INFUSION PUMP</v>
          </cell>
        </row>
        <row r="2107">
          <cell r="D2107" t="str">
            <v>KKM/JKN/HSA/10-05-01/H/20/214</v>
          </cell>
          <cell r="E2107" t="str">
            <v>PATIENT MONITOR</v>
          </cell>
        </row>
        <row r="2108">
          <cell r="D2108" t="str">
            <v>KKM/JKN/HSA/10-05-01/H/20/215</v>
          </cell>
          <cell r="E2108" t="str">
            <v>PATIENT MONITOR</v>
          </cell>
        </row>
        <row r="2109">
          <cell r="D2109" t="str">
            <v>KKM/JKN/HSA/10-05-01/R/15/7397</v>
          </cell>
          <cell r="E2109" t="str">
            <v>DIAGNOSTIC SET ADULT</v>
          </cell>
        </row>
        <row r="2110">
          <cell r="D2110" t="str">
            <v>KKM/JKN/HSA/10-05-01/R/15/7398</v>
          </cell>
          <cell r="E2110" t="str">
            <v>DIAGNOSTIC SET ADULT</v>
          </cell>
        </row>
        <row r="2111">
          <cell r="D2111" t="str">
            <v>KKM/JKN/HSA/10-05-01/R/15/7399</v>
          </cell>
          <cell r="E2111" t="str">
            <v>DIAGNOSTIC SET ADULT</v>
          </cell>
        </row>
        <row r="2112">
          <cell r="D2112" t="str">
            <v>KKM/JKN/HSA/10-05-01/H/15/1028</v>
          </cell>
          <cell r="E2112" t="str">
            <v>PATIENT MONITORING EQUIP.(AUTOMATIC MULTIPARAMETER)</v>
          </cell>
        </row>
        <row r="2113">
          <cell r="D2113" t="str">
            <v>KKM/JKN/HSA/10-05-01/H/15/1232</v>
          </cell>
          <cell r="E2113" t="str">
            <v>INFUSION PUMP</v>
          </cell>
        </row>
        <row r="2114">
          <cell r="D2114" t="str">
            <v>KKM/JKN/HSA/10-05-01/H/15/1234</v>
          </cell>
          <cell r="E2114" t="str">
            <v>INFUSION PUMP</v>
          </cell>
        </row>
        <row r="2115">
          <cell r="D2115" t="str">
            <v>KKM/JKN/HSA/10-05-01/H/15/1235</v>
          </cell>
          <cell r="E2115" t="str">
            <v>INFUSION PUMP</v>
          </cell>
        </row>
        <row r="2116">
          <cell r="D2116" t="str">
            <v>KKM/JKN/HSA/10-05-01/H/15/1236</v>
          </cell>
          <cell r="E2116" t="str">
            <v>INFUSION PUMP</v>
          </cell>
        </row>
        <row r="2117">
          <cell r="D2117" t="str">
            <v>KKM/JKN/HSA/10-05-01/H/15/1237</v>
          </cell>
          <cell r="E2117" t="str">
            <v>INFUSION PUMP</v>
          </cell>
        </row>
        <row r="2118">
          <cell r="D2118" t="str">
            <v>KKM/JKN/HSA/10-05-01/H/15/1238</v>
          </cell>
          <cell r="E2118" t="str">
            <v>INFUSION PUMP</v>
          </cell>
        </row>
        <row r="2119">
          <cell r="D2119" t="str">
            <v>KKM/JKN/HSA/10-05-01/H/15/1601</v>
          </cell>
          <cell r="E2119" t="str">
            <v>PATIENT MONITORING EQUIP.(AUTOMATIC MULTIPARAMETER)</v>
          </cell>
        </row>
        <row r="2120">
          <cell r="D2120" t="str">
            <v>KKM/JKN/HSA/10-05-01/H/15/2134</v>
          </cell>
          <cell r="E2120" t="str">
            <v>PATIENT MONITORING EQUIP.(AUTOMATIC MULTIPARAMETER)</v>
          </cell>
        </row>
        <row r="2121">
          <cell r="D2121" t="str">
            <v>KKM/JKN/HSA/10-05-01/H/15/2135</v>
          </cell>
          <cell r="E2121" t="str">
            <v>PATIENT MONITORING EQUIP.(AUTOMATIC MULTIPARAMETER)</v>
          </cell>
        </row>
        <row r="2122">
          <cell r="D2122" t="str">
            <v>KKM/JKN/HSA/10-05-01/H/15/2170</v>
          </cell>
          <cell r="E2122" t="str">
            <v>SUCTION APPARATUS</v>
          </cell>
        </row>
        <row r="2123">
          <cell r="D2123" t="str">
            <v>KKM/JKN/HSA/10-05-01/H/15/2171</v>
          </cell>
          <cell r="E2123" t="str">
            <v>SUCTION APPARATUS</v>
          </cell>
        </row>
        <row r="2124">
          <cell r="D2124" t="str">
            <v>KKM/JKN/HSA/10-05-01/H/15/2172</v>
          </cell>
          <cell r="E2124" t="str">
            <v>SUCTION APPARATUS</v>
          </cell>
        </row>
        <row r="2125">
          <cell r="D2125" t="str">
            <v>KKM/JKN/HSA/10-05-01/H/15/2243</v>
          </cell>
          <cell r="E2125" t="str">
            <v>SYRINGE INFUSION PUMP</v>
          </cell>
        </row>
        <row r="2126">
          <cell r="D2126" t="str">
            <v>KKM/JKN/HSA/10-05-01/H/15/2244</v>
          </cell>
          <cell r="E2126" t="str">
            <v>SYRINGE INFUSION PUMP</v>
          </cell>
        </row>
        <row r="2127">
          <cell r="D2127" t="str">
            <v>KKM/JKN/HSA/10-05-01/H/15/2245</v>
          </cell>
          <cell r="E2127" t="str">
            <v>SYRINGE INFUSION PUMP</v>
          </cell>
        </row>
        <row r="2128">
          <cell r="D2128" t="str">
            <v>KKM/JKN/HSA/10-05-01/H/15/2246</v>
          </cell>
          <cell r="E2128" t="str">
            <v>SYRINGE INFUSION PUMP</v>
          </cell>
        </row>
        <row r="2129">
          <cell r="D2129" t="str">
            <v>KKM/JKN/HSA/10-05-01/H/15/2247</v>
          </cell>
          <cell r="E2129" t="str">
            <v>SYRINGE INFUSION PUMP</v>
          </cell>
        </row>
        <row r="2130">
          <cell r="D2130" t="str">
            <v>KKM/JKN/HSA/10-05-01/H/15/2793</v>
          </cell>
          <cell r="E2130" t="str">
            <v>RIPPLE MATTRESS</v>
          </cell>
        </row>
        <row r="2131">
          <cell r="D2131" t="str">
            <v>KKM/JKN/HSA/10-05-01/H/15/2794</v>
          </cell>
          <cell r="E2131" t="str">
            <v>RIPPLE MATTRESS</v>
          </cell>
        </row>
        <row r="2132">
          <cell r="D2132" t="str">
            <v>KKM/JKN/HSA/10-05-01/H/15/3666</v>
          </cell>
          <cell r="E2132" t="str">
            <v>DEFIBRILLATOR</v>
          </cell>
        </row>
        <row r="2133">
          <cell r="D2133" t="str">
            <v>KKM/JKN/HSA/10-05-01/H/15/573</v>
          </cell>
          <cell r="E2133" t="str">
            <v>ECG (EKG) MACHINE</v>
          </cell>
        </row>
        <row r="2134">
          <cell r="D2134" t="str">
            <v>KKM/JKN/HSA/10-05-01/H/15/929</v>
          </cell>
          <cell r="E2134" t="str">
            <v>SYRINGE INFUSION PUMP</v>
          </cell>
        </row>
        <row r="2135">
          <cell r="D2135" t="str">
            <v>KKM/JKN/HSA/10-05-01/H/15/931</v>
          </cell>
          <cell r="E2135" t="str">
            <v>SYRINGE INFUSION PUMP</v>
          </cell>
        </row>
        <row r="2136">
          <cell r="D2136" t="str">
            <v>KKM/JKN/HSA/10-05-01/H/15/940</v>
          </cell>
          <cell r="E2136" t="str">
            <v>SYRINGE INFUSION PUMP</v>
          </cell>
        </row>
        <row r="2137">
          <cell r="D2137" t="str">
            <v>KKM/JKN/HSA/10-05-01/H/15/977</v>
          </cell>
          <cell r="E2137" t="str">
            <v>PULSE OXIMETER AND SIMULATOR</v>
          </cell>
        </row>
        <row r="2138">
          <cell r="D2138" t="str">
            <v>KKM/JKN/HSA/10-05-01/R/15/16179</v>
          </cell>
          <cell r="E2138" t="str">
            <v>NEBULIZER</v>
          </cell>
        </row>
        <row r="2139">
          <cell r="D2139" t="str">
            <v>KKM/JKN/HSA/10-05-01/R/15/16180</v>
          </cell>
          <cell r="E2139" t="str">
            <v>NEBULIZER</v>
          </cell>
        </row>
        <row r="2140">
          <cell r="D2140" t="str">
            <v>KKM/JKN/HSA/10-05-01/R/15/16181</v>
          </cell>
          <cell r="E2140" t="str">
            <v>NEBULIZER</v>
          </cell>
        </row>
        <row r="2141">
          <cell r="D2141" t="str">
            <v>KKM/JKN/HSA/10-05-01/R/15/16182</v>
          </cell>
          <cell r="E2141" t="str">
            <v>NEBULIZER</v>
          </cell>
        </row>
        <row r="2142">
          <cell r="D2142" t="str">
            <v>KKM/JKN/HSA/10-05-01/R/15/16183</v>
          </cell>
          <cell r="E2142" t="str">
            <v>NEBULIZER</v>
          </cell>
        </row>
        <row r="2143">
          <cell r="D2143" t="str">
            <v>KKM/JKN/HSA/10-05-01/R/15/7150</v>
          </cell>
          <cell r="E2143" t="str">
            <v>PATIENT MONITORING EQUIP.(AUTOMATIC MULTIPARAMETER)</v>
          </cell>
        </row>
        <row r="2144">
          <cell r="D2144" t="str">
            <v>KKM/JKN/HSA/10-05-01/R/20/118</v>
          </cell>
          <cell r="E2144" t="str">
            <v>RIPPLE MATTRESS</v>
          </cell>
        </row>
        <row r="2145">
          <cell r="D2145" t="str">
            <v>KKM/JKN/HSA/10-01-05/R/15/1438-01</v>
          </cell>
          <cell r="E2145" t="str">
            <v>MONITOR 20"</v>
          </cell>
        </row>
        <row r="2146">
          <cell r="D2146" t="str">
            <v>KKM/JKN/HSA/10-05-01/H/15/1437-01</v>
          </cell>
          <cell r="E2146" t="str">
            <v>MONITOR 20"</v>
          </cell>
        </row>
        <row r="2147">
          <cell r="D2147" t="str">
            <v>KKM/JKN/HSA/10-05-01/H/15/454</v>
          </cell>
          <cell r="E2147" t="str">
            <v>DISINFECTOR MANUAL</v>
          </cell>
        </row>
        <row r="2148">
          <cell r="D2148" t="str">
            <v xml:space="preserve">KKM/JKN/HSA/10-05-01/H/15/459 </v>
          </cell>
          <cell r="E2148" t="str">
            <v>WASHER/DISINFECTOR ENDOSCOPE</v>
          </cell>
        </row>
        <row r="2149">
          <cell r="D2149" t="str">
            <v>KKM/JKN/HSA/10-05-01/R/15/15385</v>
          </cell>
          <cell r="E2149" t="str">
            <v>VIDEO RECORDER</v>
          </cell>
        </row>
        <row r="2150">
          <cell r="D2150" t="str">
            <v>KKM/JKN/HSA/10-05-01/R/15/17076</v>
          </cell>
          <cell r="E2150" t="str">
            <v>DIAGNOSTIC SET ADULT</v>
          </cell>
        </row>
        <row r="2151">
          <cell r="D2151" t="str">
            <v>KKM/JKN/HSA/10-05-01/R/15/17087</v>
          </cell>
          <cell r="E2151" t="str">
            <v>DIAGNOSTIC SET ADULT</v>
          </cell>
        </row>
        <row r="2152">
          <cell r="D2152" t="str">
            <v>KKM/JKN/HSA/10-05-01/R/15/17355</v>
          </cell>
          <cell r="E2152" t="str">
            <v>VIDEO RECORDER</v>
          </cell>
        </row>
        <row r="2153">
          <cell r="D2153" t="str">
            <v>KKM/JKN/HSA/10-01-01/H/15/1329</v>
          </cell>
          <cell r="E2153" t="str">
            <v>LIGHT SOURCE XENON 300 WATTS</v>
          </cell>
        </row>
        <row r="2154">
          <cell r="D2154" t="str">
            <v>KKM/JKN/HSA/10-01-01/H/15/1331</v>
          </cell>
          <cell r="E2154" t="str">
            <v>LIGHT SOURCE XENON 300 WATTS</v>
          </cell>
        </row>
        <row r="2155">
          <cell r="D2155" t="str">
            <v>KKM/JKN/HSA/10-05-01/H/15/1015</v>
          </cell>
          <cell r="E2155" t="str">
            <v>PATIENT MONITORING EQUIP.(AUTOMATIC MULTIPARAMETER)</v>
          </cell>
        </row>
        <row r="2156">
          <cell r="D2156" t="str">
            <v>KKM/JKN/HSA/10-05-01/H/15/1223</v>
          </cell>
          <cell r="E2156" t="str">
            <v>INFUSION PUMP</v>
          </cell>
        </row>
        <row r="2157">
          <cell r="D2157" t="str">
            <v>KKM/JKN/HSA/10-05-01/H/15/1224</v>
          </cell>
          <cell r="E2157" t="str">
            <v>INFUSION PUMP</v>
          </cell>
        </row>
        <row r="2158">
          <cell r="D2158" t="str">
            <v>KKM/JKN/HSA/10-05-01/H/15/1327</v>
          </cell>
          <cell r="E2158" t="str">
            <v>LIGHT SOURCE</v>
          </cell>
        </row>
        <row r="2159">
          <cell r="D2159" t="str">
            <v>KKM/JKN/HSA/10-05-01/H/15/1355</v>
          </cell>
          <cell r="E2159" t="str">
            <v>SIGMOIDOSCOPE</v>
          </cell>
        </row>
        <row r="2160">
          <cell r="D2160" t="str">
            <v>KKM/JKN/HSA/10-05-01/H/15/1569</v>
          </cell>
          <cell r="E2160" t="str">
            <v>PATIENT MONITORING EQUIP.(AUTOMATIC MULTIPARAMETER)</v>
          </cell>
        </row>
        <row r="2161">
          <cell r="D2161" t="str">
            <v>KKM/JKN/HSA/10-05-01/H/15/1658</v>
          </cell>
          <cell r="E2161" t="str">
            <v>GASTROINTESTINAL VEDIOSCOPE / GASTROSCOPE</v>
          </cell>
        </row>
        <row r="2162">
          <cell r="D2162" t="str">
            <v>KKM/JKN/HSA/10-05-01/H/15/2100</v>
          </cell>
          <cell r="E2162" t="str">
            <v>PATIENT MONITORING EQUIP.(AUTOMATIC MULTIPARAMETER)</v>
          </cell>
        </row>
        <row r="2163">
          <cell r="D2163" t="str">
            <v>KKM/JKN/HSA/10-05-01/H/15/2101</v>
          </cell>
          <cell r="E2163" t="str">
            <v>PATIENT MONITORING EQUIP.(AUTOMATIC MULTIPARAMETER)</v>
          </cell>
        </row>
        <row r="2164">
          <cell r="D2164" t="str">
            <v>KKM/JKN/HSA/10-05-01/H/15/2102</v>
          </cell>
          <cell r="E2164" t="str">
            <v>PATIENT MONITORING EQUIP.(AUTOMATIC MULTIPARAMETER)</v>
          </cell>
        </row>
        <row r="2165">
          <cell r="D2165" t="str">
            <v>KKM/JKN/HSA/10-05-01/H/15/2103</v>
          </cell>
          <cell r="E2165" t="str">
            <v>PATIENT MONITORING EQUIP.(AUTOMATIC MULTIPARAMETER)</v>
          </cell>
        </row>
        <row r="2166">
          <cell r="D2166" t="str">
            <v>KKM/JKN/HSA/10-05-01/H/15/2104</v>
          </cell>
          <cell r="E2166" t="str">
            <v>PATIENT MONITORING EQUIP.(AUTOMATIC MULTIPARAMETER)</v>
          </cell>
        </row>
        <row r="2167">
          <cell r="D2167" t="str">
            <v>KKM/JKN/HSA/10-05-01/H/15/2105</v>
          </cell>
          <cell r="E2167" t="str">
            <v>PATIENT MONITORING EQUIP.(AUTOMATIC MULTIPARAMETER)</v>
          </cell>
        </row>
        <row r="2168">
          <cell r="D2168" t="str">
            <v>KKM/JKN/HSA/10-05-01/H/15/2106</v>
          </cell>
          <cell r="E2168" t="str">
            <v>PATIENT MONITORING EQUIP.(AUTOMATIC MULTIPARAMETER)</v>
          </cell>
        </row>
        <row r="2169">
          <cell r="D2169" t="str">
            <v>KKM/JKN/HSA/10-05-01/H/15/4053</v>
          </cell>
          <cell r="E2169" t="str">
            <v>GASTROINTESTINAL VEDIOSCOPE / GASTROSCOPE</v>
          </cell>
        </row>
        <row r="2170">
          <cell r="D2170" t="str">
            <v>KKM/JKN/HSA/10-05-01/H/15/4054</v>
          </cell>
          <cell r="E2170" t="str">
            <v>SYRINGE INFUSION PUMP</v>
          </cell>
        </row>
        <row r="2171">
          <cell r="D2171" t="str">
            <v>KKM/JKN/HSA/10-05-01/H/15/4055</v>
          </cell>
          <cell r="E2171" t="str">
            <v>SYRINGE INFUSION PUMP</v>
          </cell>
        </row>
        <row r="2172">
          <cell r="D2172" t="str">
            <v>KKM/JKN/HSA/10-05-01/H/15/4068</v>
          </cell>
          <cell r="E2172" t="str">
            <v>ECG (EKG) MACHINE</v>
          </cell>
        </row>
        <row r="2173">
          <cell r="D2173" t="str">
            <v>KKM/JKN/HSA/10-05-01/H/15/4076</v>
          </cell>
          <cell r="E2173" t="str">
            <v>SUCTION APPARATUS</v>
          </cell>
        </row>
        <row r="2174">
          <cell r="D2174" t="str">
            <v>KKM/JKN/HSA/10-05-01/H/15/4077</v>
          </cell>
          <cell r="E2174" t="str">
            <v>SUCTION APPARATUS</v>
          </cell>
        </row>
        <row r="2175">
          <cell r="D2175" t="str">
            <v>KKM/JKN/HSA/10-05-01/H/15/4078</v>
          </cell>
          <cell r="E2175" t="str">
            <v>SUCTION APPARATUS</v>
          </cell>
        </row>
        <row r="2176">
          <cell r="D2176" t="str">
            <v>KKM/JKN/HSA/10-05-01/H/15/4086</v>
          </cell>
          <cell r="E2176" t="str">
            <v>VIDEO IMAGE PRINTER</v>
          </cell>
        </row>
        <row r="2177">
          <cell r="D2177" t="str">
            <v>KKM/JKN/HSA/10-05-01/H/15/4087</v>
          </cell>
          <cell r="E2177" t="str">
            <v>VIDEO IMAGE PRINTER</v>
          </cell>
        </row>
        <row r="2178">
          <cell r="D2178" t="str">
            <v>KKM/JKN/HSA/10-05-01/H/15/4088</v>
          </cell>
          <cell r="E2178" t="str">
            <v>VIDEO IMAGE PRINTER</v>
          </cell>
        </row>
        <row r="2179">
          <cell r="D2179" t="str">
            <v>KKM/JKN/HSA/10-05-01/H/15/4089</v>
          </cell>
          <cell r="E2179" t="str">
            <v>CLINICAL &amp; SURGICAL IMAGE RECORDING SYSTEM AIDA COMPACT</v>
          </cell>
        </row>
        <row r="2180">
          <cell r="D2180" t="str">
            <v>KKM/JKN/HSA/10-05-01/H/15/4090</v>
          </cell>
          <cell r="E2180" t="str">
            <v>CLINICAL &amp; SURGICAL IMAGE RECORDING SYSTEM AIDA COMPACT</v>
          </cell>
        </row>
        <row r="2181">
          <cell r="D2181" t="str">
            <v>KKM/JKN/HSA/10-05-01/H/15/4091</v>
          </cell>
          <cell r="E2181" t="str">
            <v>CLINICAL &amp; SURGICAL IMAGE RECORDING SYSTEM AIDA COMPACT</v>
          </cell>
        </row>
        <row r="2182">
          <cell r="D2182" t="str">
            <v>KKM/JKN/HSA/10-05-01/H/15/4918</v>
          </cell>
          <cell r="E2182" t="str">
            <v>ELECTROSURGICAL UNIT, ARGON</v>
          </cell>
        </row>
        <row r="2183">
          <cell r="D2183" t="str">
            <v>KKM/JKN/HSA/10-05-01/H/15/560</v>
          </cell>
          <cell r="E2183" t="str">
            <v>DIATHERMY (RADIOFREQUENCY/SHORTWAVE)</v>
          </cell>
        </row>
        <row r="2184">
          <cell r="D2184" t="str">
            <v>KKM/JKN/HSA/10-05-01/H/15/607</v>
          </cell>
          <cell r="E2184" t="str">
            <v>BRONCHOSCOPES</v>
          </cell>
        </row>
        <row r="2185">
          <cell r="D2185" t="str">
            <v>KKM/JKN/HSA/10-05-01/H/15/611</v>
          </cell>
          <cell r="E2185" t="str">
            <v>COLONOSCOPE</v>
          </cell>
        </row>
        <row r="2186">
          <cell r="D2186" t="str">
            <v>KKM/JKN/HSA/10-05-01/H/15/613</v>
          </cell>
          <cell r="E2186" t="str">
            <v>COLONOSCOPE</v>
          </cell>
        </row>
        <row r="2187">
          <cell r="D2187" t="str">
            <v>KKM/JKN/HSA/10-05-01/R/15/15382</v>
          </cell>
          <cell r="E2187" t="str">
            <v>ELECTROSURGICAL UNIT</v>
          </cell>
        </row>
        <row r="2188">
          <cell r="D2188" t="str">
            <v>KKM/JKN/HSA/10-05-01/R/15/16172</v>
          </cell>
          <cell r="E2188" t="str">
            <v>NEBULIZER</v>
          </cell>
        </row>
        <row r="2189">
          <cell r="D2189" t="str">
            <v>KKM/JKN/HSA/10-05-01/R/15/7136</v>
          </cell>
          <cell r="E2189" t="str">
            <v>PATIENT MONITORING EQUIP.(AUTOMATIC MULTIPARAMETER)</v>
          </cell>
        </row>
        <row r="2190">
          <cell r="D2190" t="str">
            <v>KKM/JKN/HSA/10-05-01/R/15/7151</v>
          </cell>
          <cell r="E2190" t="str">
            <v>VITAL SIGN MONITOR</v>
          </cell>
        </row>
        <row r="2191">
          <cell r="D2191" t="str">
            <v>KKM/JKN/HSA/10-05-01/H/15/452</v>
          </cell>
          <cell r="E2191" t="str">
            <v>DISINFECTOR MANUAL</v>
          </cell>
        </row>
        <row r="2192">
          <cell r="D2192" t="str">
            <v>KKM/JKN/HSA/10-05-01/H/15/3673</v>
          </cell>
          <cell r="E2192" t="str">
            <v>DEFIBRILLATOR W/INTERNAL/EXT PADDLES/PACEMAKER</v>
          </cell>
        </row>
        <row r="2193">
          <cell r="D2193" t="str">
            <v>KKM/JKN/HSA/10-05-01/R/15/17089</v>
          </cell>
          <cell r="E2193" t="str">
            <v>DIAGNOSTIC SET ADULT</v>
          </cell>
        </row>
        <row r="2194">
          <cell r="D2194" t="str">
            <v>KKM/JKN/HSA/10-05-01/R/15/15915</v>
          </cell>
          <cell r="E2194" t="str">
            <v>SPOT VITAL SIGN (NIBP)</v>
          </cell>
        </row>
        <row r="2195">
          <cell r="D2195" t="str">
            <v>KKM/JKN/HSA/10-05-01/R/15/16746</v>
          </cell>
          <cell r="E2195" t="str">
            <v>SPOT VITAL SIGN (NIBP)</v>
          </cell>
        </row>
        <row r="2196">
          <cell r="D2196" t="str">
            <v>KKM/JKN/HSA/10-05-01/H/15/4894</v>
          </cell>
          <cell r="E2196" t="str">
            <v>SNELLEN TEST CHART W/4 DOT TEST W/M</v>
          </cell>
        </row>
        <row r="2197">
          <cell r="D2197"/>
          <cell r="E2197" t="str">
            <v>NASOPHARYNGOSCOPE FIBEROPTIC</v>
          </cell>
        </row>
        <row r="2198">
          <cell r="D2198" t="str">
            <v>KKM/JKN/HSA/10-05-01/R/15/17211</v>
          </cell>
          <cell r="E2198" t="str">
            <v>INFUSOR PRESSURE</v>
          </cell>
        </row>
        <row r="2199">
          <cell r="D2199" t="str">
            <v>KKM/JKN/HSA/10-05-01/H/21/232</v>
          </cell>
          <cell r="E2199" t="str">
            <v>VOLUMETRIC PUMP</v>
          </cell>
        </row>
        <row r="2200">
          <cell r="D2200" t="str">
            <v>KKM/JKN/HSA/10-05-01/H/21/9</v>
          </cell>
          <cell r="E2200" t="str">
            <v>PORTABLE  REVERSE OSMOSIS (RO) WATER SYSTEM</v>
          </cell>
        </row>
        <row r="2201">
          <cell r="D2201" t="str">
            <v>KKM/JKN/HSA/10-05-01/H/21/211</v>
          </cell>
          <cell r="E2201" t="str">
            <v>LARYNGOSCOPE</v>
          </cell>
        </row>
        <row r="2202">
          <cell r="D2202" t="str">
            <v>KKM/JKN/HSA/10-05-01/H/21/202</v>
          </cell>
          <cell r="E2202" t="str">
            <v>VENTILATOR</v>
          </cell>
        </row>
        <row r="2203">
          <cell r="D2203" t="str">
            <v>KKM/JKN/HSA/10-05-01/H/21/110</v>
          </cell>
          <cell r="E2203" t="str">
            <v>SECHRIST VENTILATOR</v>
          </cell>
        </row>
        <row r="2204">
          <cell r="D2204" t="str">
            <v>KKM/JKN/HSA/10-05-01/H/21/111</v>
          </cell>
          <cell r="E2204" t="str">
            <v>SECHRIST VENTILATOR</v>
          </cell>
        </row>
        <row r="2205">
          <cell r="D2205" t="str">
            <v>KKM/JKN/HSA/10-05-01/H/21/112</v>
          </cell>
          <cell r="E2205" t="str">
            <v>SECHRIST VENTILATOR</v>
          </cell>
        </row>
        <row r="2206">
          <cell r="D2206" t="str">
            <v>KKM/JKN/HSA/10-05-01/H/21/17</v>
          </cell>
          <cell r="E2206" t="str">
            <v>POWERED AIR PURIFYING RESPIRATOR (PAPR)</v>
          </cell>
        </row>
        <row r="2207">
          <cell r="D2207" t="str">
            <v>KKM/JKN/HSA/10-05-01/H/21/18</v>
          </cell>
          <cell r="E2207" t="str">
            <v>POWERED AIR PURIFYING RESPIRATOR (PAPR)</v>
          </cell>
        </row>
        <row r="2208">
          <cell r="D2208" t="str">
            <v>KKM/JKN/HSA/10-05-01/H/21/341</v>
          </cell>
          <cell r="E2208" t="str">
            <v>TRANSPORT VENTILATOR</v>
          </cell>
        </row>
        <row r="2209">
          <cell r="D2209" t="str">
            <v>KKM/JKN/HSA/10-05-01/H/21/342</v>
          </cell>
          <cell r="E2209" t="str">
            <v>TRANSPORT VENTILATOR</v>
          </cell>
        </row>
        <row r="2210">
          <cell r="D2210" t="str">
            <v>KKM/JKN/HSA/10-05-01/H/21/87</v>
          </cell>
          <cell r="E2210" t="str">
            <v xml:space="preserve">AEROSOL SUCTION </v>
          </cell>
        </row>
        <row r="2211">
          <cell r="D2211" t="str">
            <v>KKM/JKN/HSA/10-05-01/H/21/231</v>
          </cell>
          <cell r="E2211" t="str">
            <v>VOLUMETRIC PUMP</v>
          </cell>
        </row>
        <row r="2212">
          <cell r="D2212" t="str">
            <v>KKM/JKN/HSA/10-05-01/H/21/453</v>
          </cell>
          <cell r="E2212" t="str">
            <v>OXYGEN CONCENTRATOR</v>
          </cell>
        </row>
        <row r="2213">
          <cell r="D2213" t="str">
            <v>KKM/JKN/HSA/10-05-01/H/21/265</v>
          </cell>
          <cell r="E2213" t="str">
            <v>DEFIBRILLATOR PACER ANALYZER</v>
          </cell>
        </row>
        <row r="2214">
          <cell r="D2214" t="str">
            <v>KKM/JKN/HSA/10-05-01/H/21/206</v>
          </cell>
          <cell r="E2214" t="str">
            <v>ECG (EKG) MACHINE</v>
          </cell>
        </row>
        <row r="2215">
          <cell r="D2215" t="str">
            <v>KKM/JKN/HSA/10-05-01/H/21/452</v>
          </cell>
          <cell r="E2215" t="str">
            <v>OXYGEN CONCENTRATOR</v>
          </cell>
        </row>
        <row r="2216">
          <cell r="D2216" t="str">
            <v>KKM/JKN/HSA/10-05-01/H/21/203</v>
          </cell>
          <cell r="E2216" t="str">
            <v>MESIN HEMODIALYSIS</v>
          </cell>
        </row>
        <row r="2217">
          <cell r="D2217" t="str">
            <v>KKM/JKN/HSA/10-05-01/H/22/1</v>
          </cell>
          <cell r="E2217" t="str">
            <v>ULTRASOUND SCANNER</v>
          </cell>
        </row>
        <row r="2218">
          <cell r="D2218" t="str">
            <v>KKM/JKN/HSA/10-05-01/H/21/233</v>
          </cell>
          <cell r="E2218" t="str">
            <v>VOLUMETRIC PUMP</v>
          </cell>
        </row>
        <row r="2219">
          <cell r="D2219" t="str">
            <v>KKM/JKN/HSA/10-05-01/H/21/234</v>
          </cell>
          <cell r="E2219" t="str">
            <v>VOLUMETRIC PUMP</v>
          </cell>
        </row>
        <row r="2220">
          <cell r="D2220" t="str">
            <v>KKM/JKN/HSA/10-05-01/H/21/235</v>
          </cell>
          <cell r="E2220" t="str">
            <v>VOLUMETRIC PUMP</v>
          </cell>
        </row>
        <row r="2221">
          <cell r="D2221" t="str">
            <v>KKM/JKN/HSA/10-05-01/H/21/236</v>
          </cell>
          <cell r="E2221" t="str">
            <v>VOLUMETRIC PUMP</v>
          </cell>
        </row>
        <row r="2222">
          <cell r="D2222" t="str">
            <v>KKM/JKN/HSA/10-05-01/H/20/127</v>
          </cell>
          <cell r="E2222" t="str">
            <v>SYRINGE INFUSION PUMP</v>
          </cell>
        </row>
        <row r="2223">
          <cell r="D2223" t="str">
            <v>KKM/JKN/HSA/10-05-01/H/20/128</v>
          </cell>
          <cell r="E2223" t="str">
            <v>SYRINGE INFUSION PUMP</v>
          </cell>
        </row>
        <row r="2224">
          <cell r="D2224" t="str">
            <v>KKM/JKN/HSA/10-05-01/H/21/197</v>
          </cell>
          <cell r="E2224" t="str">
            <v>RIPPLE MATTRESS</v>
          </cell>
        </row>
        <row r="2225">
          <cell r="D2225" t="str">
            <v>KKM/JKN/HSA/10-05-01/H/21/198</v>
          </cell>
          <cell r="E2225" t="str">
            <v>RIPPLE MATTRESS</v>
          </cell>
        </row>
        <row r="2226">
          <cell r="D2226" t="str">
            <v>KKM/JKN/HSA/10-05-01/H/21/199</v>
          </cell>
          <cell r="E2226" t="str">
            <v>RIPPLE MATTRESS</v>
          </cell>
        </row>
        <row r="2227">
          <cell r="D2227" t="str">
            <v>KKM/JKN/HSA/10-05-01/H/21/200</v>
          </cell>
          <cell r="E2227" t="str">
            <v>RIPPLE MATTRESS</v>
          </cell>
        </row>
        <row r="2228">
          <cell r="D2228" t="str">
            <v>KKM/JKN/HSA/10-05-01/H/21/201</v>
          </cell>
          <cell r="E2228" t="str">
            <v>RIPPLE MATTRESS</v>
          </cell>
        </row>
        <row r="2229">
          <cell r="D2229" t="str">
            <v>KKM/JKN/HSA/10-05-01/H/21/137</v>
          </cell>
          <cell r="E2229" t="str">
            <v>ULTRASOUND SCANNER</v>
          </cell>
        </row>
        <row r="2230">
          <cell r="D2230" t="str">
            <v>KKM/JKN/HSA/10-05-01/H/21/130</v>
          </cell>
          <cell r="E2230" t="str">
            <v>FLUID MANAGEMENT SYSTEM</v>
          </cell>
        </row>
        <row r="2231">
          <cell r="D2231" t="str">
            <v>KKM/JKN/HSA/10-05-01/H/21/131</v>
          </cell>
          <cell r="E2231" t="str">
            <v>FLUID MANAGEMENT SYSTEM</v>
          </cell>
        </row>
        <row r="2232">
          <cell r="D2232" t="str">
            <v>KKM/JKN/HSA/10-05-01/H/21/132</v>
          </cell>
          <cell r="E2232" t="str">
            <v>FLUID MANAGEMENT SYSTEM</v>
          </cell>
        </row>
        <row r="2233">
          <cell r="D2233" t="str">
            <v>KKM/JKN/HSA/10-05-01/H/21/133</v>
          </cell>
          <cell r="E2233" t="str">
            <v>FLUID MANAGEMENT SYSTEM</v>
          </cell>
        </row>
        <row r="2234">
          <cell r="D2234" t="str">
            <v>KKM/JKN/HSA/10-05-01/H/21/134</v>
          </cell>
          <cell r="E2234" t="str">
            <v>FLUID MANAGEMENT SYSTEM</v>
          </cell>
        </row>
        <row r="2235">
          <cell r="D2235" t="str">
            <v>KKM/JKN/HSA/10-05-01/H/21/138</v>
          </cell>
          <cell r="E2235" t="str">
            <v>VOLUMETRIC PUMP</v>
          </cell>
        </row>
        <row r="2236">
          <cell r="D2236" t="str">
            <v>KKM/JKN/HSA/10-05-01/H/21/139</v>
          </cell>
          <cell r="E2236" t="str">
            <v>VOLUMETRIC PUMP</v>
          </cell>
        </row>
        <row r="2237">
          <cell r="D2237" t="str">
            <v>KKM/JKN/HSA/10-05-01/H/21/204</v>
          </cell>
          <cell r="E2237" t="str">
            <v>ECG MACHINE</v>
          </cell>
        </row>
        <row r="2238">
          <cell r="D2238" t="str">
            <v>KKM/JKN/HSA/10-05-01/H/21/187</v>
          </cell>
          <cell r="E2238" t="str">
            <v xml:space="preserve">CONTINUOUS RENAL REPLACEMENT THERAPY </v>
          </cell>
        </row>
        <row r="2239">
          <cell r="D2239" t="str">
            <v>KKM/JKN/HSA/10-05-01/H/21/11</v>
          </cell>
          <cell r="E2239" t="str">
            <v>POWERED AIR PURIFYING RESPIRATOR (PAPR)</v>
          </cell>
        </row>
        <row r="2240">
          <cell r="D2240" t="str">
            <v>KKM/JKN/HSA/10-05-01/H/21/12</v>
          </cell>
          <cell r="E2240" t="str">
            <v>POWERED AIR PURIFYING RESPIRATOR (PAPR)</v>
          </cell>
        </row>
        <row r="2241">
          <cell r="D2241" t="str">
            <v>KKM/JKN/HSA/10-05-01/H/21/13</v>
          </cell>
          <cell r="E2241" t="str">
            <v>POWERED AIR PURIFYING RESPIRATOR (PAPR)</v>
          </cell>
        </row>
        <row r="2242">
          <cell r="D2242" t="str">
            <v>KKM/JKN/HSA/10-05-01/H/21/14</v>
          </cell>
          <cell r="E2242" t="str">
            <v>POWERED AIR PURIFYING RESPIRATOR (PAPR)</v>
          </cell>
        </row>
        <row r="2243">
          <cell r="D2243" t="str">
            <v>KKM/JKN/HSA/10-05-01/H/21/15</v>
          </cell>
          <cell r="E2243" t="str">
            <v>POWERED AIR PURIFYING RESPIRATOR (PAPR)</v>
          </cell>
        </row>
        <row r="2244">
          <cell r="D2244" t="str">
            <v>KKM/JKN/HSA/10-05-01/H/21/16</v>
          </cell>
          <cell r="E2244" t="str">
            <v>POWERED AIR PURIFYING RESPIRATOR (PAPR)</v>
          </cell>
        </row>
        <row r="2245">
          <cell r="D2245" t="str">
            <v>KKM/JKN/HSA/10-05-01/H/21/123</v>
          </cell>
          <cell r="E2245" t="str">
            <v>VENTILATOR</v>
          </cell>
        </row>
        <row r="2246">
          <cell r="D2246" t="str">
            <v>KKM/JKN/HSA/10-05-01/H/21/124</v>
          </cell>
          <cell r="E2246" t="str">
            <v>VENTILATOR</v>
          </cell>
        </row>
        <row r="2247">
          <cell r="D2247" t="str">
            <v>KKM/JKN/HSA/10-05-01/H/21/125</v>
          </cell>
          <cell r="E2247" t="str">
            <v>VENTILATOR</v>
          </cell>
        </row>
        <row r="2248">
          <cell r="D2248" t="str">
            <v>KKM/JKN/HSA/10-05-01/H/21/126</v>
          </cell>
          <cell r="E2248" t="str">
            <v>VENTILATOR</v>
          </cell>
        </row>
        <row r="2249">
          <cell r="D2249" t="str">
            <v>KKM/JKN/HSA/10-05-01/H/21/127</v>
          </cell>
          <cell r="E2249" t="str">
            <v>VENTILATOR</v>
          </cell>
        </row>
        <row r="2250">
          <cell r="D2250" t="str">
            <v>KKM/JKN/HSA/10-05-01/H/21/107</v>
          </cell>
          <cell r="E2250" t="str">
            <v>INFANT VENTILATOR</v>
          </cell>
        </row>
        <row r="2251">
          <cell r="D2251" t="str">
            <v>KKM/JKN/HSA/10-05-01/H/21/108</v>
          </cell>
          <cell r="E2251" t="str">
            <v>INFANT VENTILATOR</v>
          </cell>
        </row>
        <row r="2252">
          <cell r="D2252" t="str">
            <v>KKM/JKN/HSA/10-05-01/H/21/109</v>
          </cell>
          <cell r="E2252" t="str">
            <v>INFANT VENTILATOR</v>
          </cell>
        </row>
        <row r="2253">
          <cell r="D2253" t="str">
            <v>KKM/JKN/HSA/10-05-01/H/21/104</v>
          </cell>
          <cell r="E2253" t="str">
            <v>INFANT VENTILATOR</v>
          </cell>
        </row>
        <row r="2254">
          <cell r="D2254" t="str">
            <v>KKM/JKN/HSA/10-05-01/H/21/105</v>
          </cell>
          <cell r="E2254" t="str">
            <v>INFANT VENTILATOR</v>
          </cell>
        </row>
        <row r="2255">
          <cell r="D2255" t="str">
            <v>KKM/JKN/HSA/10-05-01/H/21/106</v>
          </cell>
          <cell r="E2255" t="str">
            <v>INFANT VENTILATOR</v>
          </cell>
        </row>
        <row r="2256">
          <cell r="D2256" t="str">
            <v>KKM/JKN/HSA/10-05-01/H/21/328</v>
          </cell>
          <cell r="E2256" t="str">
            <v>INKUBATOR</v>
          </cell>
        </row>
        <row r="2257">
          <cell r="D2257" t="str">
            <v>KKM/JKN/HSA/10-05-01/H/21/441</v>
          </cell>
          <cell r="E2257" t="str">
            <v>INFANT INCUBATOR</v>
          </cell>
        </row>
        <row r="2258">
          <cell r="D2258" t="str">
            <v>KKM/JKN/HSA/10-05-01/H/21/442</v>
          </cell>
          <cell r="E2258" t="str">
            <v>INFANT INCUBATOR</v>
          </cell>
        </row>
        <row r="2259">
          <cell r="D2259" t="str">
            <v>KKM/JKN/HSA/10-05-01/H/21/443</v>
          </cell>
          <cell r="E2259" t="str">
            <v>INFANT INCUBATOR</v>
          </cell>
        </row>
        <row r="2260">
          <cell r="D2260" t="str">
            <v>KKM/JKN/HSA/10-05-01/H/21/439</v>
          </cell>
          <cell r="E2260" t="str">
            <v>INFANT INCUBATOR</v>
          </cell>
        </row>
        <row r="2261">
          <cell r="D2261" t="str">
            <v>KKM/JKN/HSA/10-05-01/H/21/440</v>
          </cell>
          <cell r="E2261" t="str">
            <v>INFANT INCUBATOR</v>
          </cell>
        </row>
        <row r="2262">
          <cell r="D2262" t="str">
            <v>KKM/JKN/HSA/10-05-01/H/22/2</v>
          </cell>
          <cell r="E2262" t="str">
            <v>TRANSPORT INCUBATOR</v>
          </cell>
        </row>
        <row r="2263">
          <cell r="D2263" t="str">
            <v>KKM/JKN/HSA/10-05-01/H/22/3</v>
          </cell>
          <cell r="E2263" t="str">
            <v>INFANT WARMER (RADIANT)</v>
          </cell>
        </row>
        <row r="2264">
          <cell r="D2264" t="str">
            <v>KKM/JKN/HSA/10-05-01/H/21/335</v>
          </cell>
          <cell r="E2264" t="str">
            <v>PATIENT MONITOR EQUIPMENT / VITAL SIGN MONITOR</v>
          </cell>
        </row>
        <row r="2265">
          <cell r="D2265" t="str">
            <v>KKM/JKN/HSA/10-05-01/H/21/339</v>
          </cell>
          <cell r="E2265" t="str">
            <v>VENTILATOR (NEONATAL)</v>
          </cell>
        </row>
        <row r="2266">
          <cell r="D2266" t="str">
            <v>KKM/JKN/HSA/10-05-01/H/21/337</v>
          </cell>
          <cell r="E2266" t="str">
            <v>VENTILATOR / FABIAN THERAPY</v>
          </cell>
        </row>
        <row r="2267">
          <cell r="D2267" t="str">
            <v>KKM/JKN/HSA/10-05-01/H/21/455</v>
          </cell>
          <cell r="E2267" t="str">
            <v>INFANT WARMER (RADIANT)</v>
          </cell>
        </row>
        <row r="2268">
          <cell r="D2268" t="str">
            <v>KKM/JKN/HSA/10-05-01/H/22/22</v>
          </cell>
          <cell r="E2268" t="str">
            <v>PATIENT MONITOR EQUIPMENT</v>
          </cell>
        </row>
        <row r="2269">
          <cell r="D2269" t="str">
            <v>KKM/JKN/HSA/10-05-01/H/22/5</v>
          </cell>
          <cell r="E2269" t="str">
            <v>PATIENT MONITOR EQUIPMENT</v>
          </cell>
        </row>
        <row r="2270">
          <cell r="D2270" t="str">
            <v>KKM/JKN/HSA/10-05-01/H/22/328</v>
          </cell>
          <cell r="E2270" t="str">
            <v>INCUBATOR</v>
          </cell>
        </row>
        <row r="2271">
          <cell r="D2271" t="str">
            <v>KKM/JKN/HSA/10-05-01/H/20/123</v>
          </cell>
          <cell r="E2271" t="str">
            <v>SYRINGE INFUSION PUMP</v>
          </cell>
        </row>
        <row r="2272">
          <cell r="D2272" t="str">
            <v>KKM/JKN/HSA/10-05-01/H/20/124</v>
          </cell>
          <cell r="E2272" t="str">
            <v>SYRINGE INFUSION PUMP</v>
          </cell>
        </row>
        <row r="2273">
          <cell r="D2273" t="str">
            <v>KKM/JKN/HSA/10-05-01/H/21/247</v>
          </cell>
          <cell r="E2273" t="str">
            <v>VOLUMETRIC PUMP</v>
          </cell>
        </row>
        <row r="2274">
          <cell r="D2274" t="str">
            <v>KKM/JKN/HSA/10-05-01/H/21/248</v>
          </cell>
          <cell r="E2274" t="str">
            <v>VOLUMETRIC PUMP</v>
          </cell>
        </row>
        <row r="2275">
          <cell r="D2275" t="str">
            <v>KKM/JKN/HSA/10-05-01/H/21/249</v>
          </cell>
          <cell r="E2275" t="str">
            <v>VOLUMETRIC PUMP</v>
          </cell>
        </row>
        <row r="2276">
          <cell r="D2276" t="str">
            <v>KKM/JKN/HSA/10-05-01/H/21/250</v>
          </cell>
          <cell r="E2276" t="str">
            <v>VOLUMETRIC PUMP</v>
          </cell>
        </row>
        <row r="2277">
          <cell r="D2277" t="str">
            <v>KKM/JKN/HSA/10-05-01/H/21/251</v>
          </cell>
          <cell r="E2277" t="str">
            <v>VOLUMETRIC PUMP</v>
          </cell>
        </row>
        <row r="2278">
          <cell r="D2278" t="str">
            <v>KKM/JKN/HSA/10-05-01/H/21/252</v>
          </cell>
          <cell r="E2278" t="str">
            <v>VOLUMETRIC PUMP</v>
          </cell>
        </row>
        <row r="2279">
          <cell r="D2279" t="str">
            <v>KKM/JKN/HSA/10-05-01/H/21/253</v>
          </cell>
          <cell r="E2279" t="str">
            <v>VOLUMETRIC PUMP</v>
          </cell>
        </row>
        <row r="2280">
          <cell r="D2280" t="str">
            <v>KKM/JKN/HSA/10-05-01/H/21/254</v>
          </cell>
          <cell r="E2280" t="str">
            <v>VOLUMETRIC PUMP</v>
          </cell>
        </row>
        <row r="2281">
          <cell r="D2281" t="str">
            <v>KKM/JKN/HSA/10-05-01/H/21/255</v>
          </cell>
          <cell r="E2281" t="str">
            <v>VOLUMETRIC PUMP</v>
          </cell>
        </row>
        <row r="2282">
          <cell r="D2282" t="str">
            <v>KKM/JKN/HSA/10-05-01/H/21/256</v>
          </cell>
          <cell r="E2282" t="str">
            <v>VOLUMETRIC PUMP</v>
          </cell>
        </row>
        <row r="2283">
          <cell r="D2283" t="str">
            <v>KKM/JKN/HSA/10-05-01/H/21/227</v>
          </cell>
          <cell r="E2283" t="str">
            <v>VOLUMETRIC PUMP</v>
          </cell>
        </row>
        <row r="2284">
          <cell r="D2284" t="str">
            <v>KKM/JKN/HSA/10-05-01/H/21/228</v>
          </cell>
          <cell r="E2284" t="str">
            <v>VOLUMETRIC PUMP</v>
          </cell>
        </row>
        <row r="2285">
          <cell r="D2285" t="str">
            <v>KKM/JKN/HSA/10-05-01/H/21/229</v>
          </cell>
          <cell r="E2285" t="str">
            <v>VOLUMETRIC PUMP</v>
          </cell>
        </row>
        <row r="2286">
          <cell r="D2286" t="str">
            <v>KKM/JKN/HSA/10-05-01/H/21/140</v>
          </cell>
          <cell r="E2286" t="str">
            <v>INFANT VENTILATOR</v>
          </cell>
        </row>
        <row r="2287">
          <cell r="D2287" t="str">
            <v>KKM/JKN/HSA/10-05-01/H/21/141</v>
          </cell>
          <cell r="E2287" t="str">
            <v>INFANT VENTILATOR</v>
          </cell>
        </row>
        <row r="2288">
          <cell r="D2288" t="str">
            <v>KKM/JKN/HSA/10-05-01/H/21/142</v>
          </cell>
          <cell r="E2288" t="str">
            <v>INFANT VENTILATOR</v>
          </cell>
        </row>
        <row r="2289">
          <cell r="D2289" t="str">
            <v>KKM/JKN/HSA/10-05-01/H/21/336</v>
          </cell>
          <cell r="E2289" t="str">
            <v>PATIENT MONITOR EQUIPMENT / VITAL SIGN MONITOR</v>
          </cell>
        </row>
        <row r="2290">
          <cell r="D2290" t="str">
            <v>KKM/JKN/HSA/10-05-01/H/22/19</v>
          </cell>
          <cell r="E2290" t="str">
            <v>INFANT VENTILATOR</v>
          </cell>
        </row>
        <row r="2291">
          <cell r="D2291" t="str">
            <v>KKM/JKN/HSA/10-05-01/H/22/20</v>
          </cell>
          <cell r="E2291" t="str">
            <v>INFANT VENTILATOR</v>
          </cell>
        </row>
        <row r="2292">
          <cell r="D2292" t="str">
            <v>KKM/JKN/HSA/10-05-01/H/22/21</v>
          </cell>
          <cell r="E2292" t="str">
            <v>INFANT VENTILATOR</v>
          </cell>
        </row>
        <row r="2293">
          <cell r="D2293" t="str">
            <v>KKM/JKN/HSA/10-05-01/H/22/4</v>
          </cell>
          <cell r="E2293" t="str">
            <v>PATIENT MONITOR EQUIPMENT</v>
          </cell>
        </row>
        <row r="2294">
          <cell r="D2294" t="str">
            <v>KKM/JKN/HSA/10-05-01/H/21/242</v>
          </cell>
          <cell r="E2294" t="str">
            <v>VOLUMETRIC PUMP</v>
          </cell>
        </row>
        <row r="2295">
          <cell r="D2295" t="str">
            <v>KKM/JKN/HSA/10-05-01/H/21/243</v>
          </cell>
          <cell r="E2295" t="str">
            <v>VOLUMETRIC PUMP</v>
          </cell>
        </row>
        <row r="2296">
          <cell r="D2296" t="str">
            <v>KKM/JKN/HSA/10-05-01/H/21/244</v>
          </cell>
          <cell r="E2296" t="str">
            <v>VOLUMETRIC PUMP</v>
          </cell>
        </row>
        <row r="2297">
          <cell r="D2297" t="str">
            <v>KKM/JKN/HSA/10-05-01/H/21/245</v>
          </cell>
          <cell r="E2297" t="str">
            <v>VOLUMETRIC PUMP</v>
          </cell>
        </row>
        <row r="2298">
          <cell r="D2298" t="str">
            <v>KKM/JKN/HSA/10-05-01/H/21/246</v>
          </cell>
          <cell r="E2298" t="str">
            <v>VOLUMETRIC PUMP</v>
          </cell>
        </row>
        <row r="2299">
          <cell r="D2299" t="str">
            <v>KKM/JKN/HSA/10-05-01/H/21/143</v>
          </cell>
          <cell r="E2299" t="str">
            <v>SYRINGE INFUSION PUMP</v>
          </cell>
        </row>
        <row r="2300">
          <cell r="D2300" t="str">
            <v>KKM/JKN/HSA/10-05-01/H/21/237</v>
          </cell>
          <cell r="E2300" t="str">
            <v>VOLUMETRIC PUMP</v>
          </cell>
        </row>
        <row r="2301">
          <cell r="D2301" t="str">
            <v>KKM/JKN/HSA/10-05-01/H/21/238</v>
          </cell>
          <cell r="E2301" t="str">
            <v>VOLUMETRIC PUMP</v>
          </cell>
        </row>
        <row r="2302">
          <cell r="D2302" t="str">
            <v>KKM/JKN/HSA/10-05-01/H/21/239</v>
          </cell>
          <cell r="E2302" t="str">
            <v>VOLUMETRIC PUMP</v>
          </cell>
        </row>
        <row r="2303">
          <cell r="D2303" t="str">
            <v>KKM/JKN/HSA/10-05-01/H/21/240</v>
          </cell>
          <cell r="E2303" t="str">
            <v>VOLUMETRIC PUMP</v>
          </cell>
        </row>
        <row r="2304">
          <cell r="D2304" t="str">
            <v>KKM/JKN/HSA/10-05-01/H/21/241</v>
          </cell>
          <cell r="E2304" t="str">
            <v>VOLUMETRIC PUMP</v>
          </cell>
        </row>
        <row r="2305">
          <cell r="D2305" t="str">
            <v>KKM/JKN/HSA/10-05-01/R/20/253</v>
          </cell>
          <cell r="E2305" t="str">
            <v xml:space="preserve">PORTABLE FETAL DOPPLER </v>
          </cell>
        </row>
        <row r="2306">
          <cell r="D2306" t="str">
            <v>KKM/JKN/HSA/10-05-01/R/20/254</v>
          </cell>
          <cell r="E2306" t="str">
            <v xml:space="preserve">PORTABLE FETAL DOPPLER </v>
          </cell>
        </row>
        <row r="2307">
          <cell r="D2307" t="str">
            <v xml:space="preserve"> KKM/JKN/HSA/10-05-01/R/20/255</v>
          </cell>
          <cell r="E2307" t="str">
            <v xml:space="preserve">PORTABLE FETAL DOPPLER </v>
          </cell>
        </row>
        <row r="2308">
          <cell r="D2308" t="str">
            <v>KKM/JKN/HSA/10-05-01/R/22/28</v>
          </cell>
          <cell r="E2308" t="str">
            <v>LARYNGOSCOPE/
PEADIATRIC LARYNGOSCOPE</v>
          </cell>
        </row>
        <row r="2309">
          <cell r="D2309" t="str">
            <v>KKM/JKN/HSA/10-05-01/R/22/11</v>
          </cell>
          <cell r="E2309" t="str">
            <v>RIPPLE MATTRESS</v>
          </cell>
        </row>
        <row r="2310">
          <cell r="D2310" t="str">
            <v>KKM/JKN/HSA/10-05-01/R/22/12</v>
          </cell>
          <cell r="E2310" t="str">
            <v>RIPPLE MATTRESS</v>
          </cell>
        </row>
        <row r="2311">
          <cell r="D2311" t="str">
            <v>KKM/JKN/HSA/10-05-01/R/22/13</v>
          </cell>
          <cell r="E2311" t="str">
            <v>RIPPLE MATTRESS</v>
          </cell>
        </row>
        <row r="2312">
          <cell r="D2312" t="str">
            <v>KKM/JKN/HSA/10-05-01/R/22/14</v>
          </cell>
          <cell r="E2312" t="str">
            <v>RIPPLE MATTRESS</v>
          </cell>
        </row>
        <row r="2313">
          <cell r="D2313" t="str">
            <v>KKM/JKN/HSA/10-05-01/R/22/15</v>
          </cell>
          <cell r="E2313" t="str">
            <v>RIPPLE MATTRESS</v>
          </cell>
        </row>
        <row r="2314">
          <cell r="D2314" t="str">
            <v>KKM/JKN/HSA/10-05-01/R/22/16</v>
          </cell>
          <cell r="E2314" t="str">
            <v>FETAL HEART MONITOR</v>
          </cell>
        </row>
        <row r="2315">
          <cell r="D2315" t="str">
            <v>KKM/JKN/HSA/10-05-01/R/22/17</v>
          </cell>
          <cell r="E2315" t="str">
            <v>FETAL HEART MONITOR</v>
          </cell>
        </row>
        <row r="2316">
          <cell r="D2316" t="str">
            <v>KKM/JKN/HSA/10-05-01/R/22/18</v>
          </cell>
          <cell r="E2316" t="str">
            <v>FETAL HEART MONITOR</v>
          </cell>
        </row>
        <row r="2317">
          <cell r="D2317" t="str">
            <v>KKM/JKN/HSA/10-05-01/R/22/19</v>
          </cell>
          <cell r="E2317" t="str">
            <v>FETAL HEART MONITOR</v>
          </cell>
        </row>
        <row r="2318">
          <cell r="D2318" t="str">
            <v>KKM/JKN/HSA/10-05-01/H/22/39</v>
          </cell>
          <cell r="E2318" t="str">
            <v>CTG MACHINE</v>
          </cell>
        </row>
        <row r="2319">
          <cell r="D2319" t="str">
            <v>KKM/JKN/HSA/10-05-01/H/22/40</v>
          </cell>
          <cell r="E2319" t="str">
            <v>CTG MACHINE</v>
          </cell>
        </row>
        <row r="2320">
          <cell r="D2320" t="str">
            <v>KKM/JKN/HSA/10-05-01/R/22/31</v>
          </cell>
          <cell r="E2320" t="str">
            <v>LARYNGOSCOPE</v>
          </cell>
        </row>
        <row r="2321">
          <cell r="D2321" t="str">
            <v>HSAS11561</v>
          </cell>
          <cell r="E2321" t="str">
            <v>SPHYGMOMANOMETER DIGITAL BATTERY OP</v>
          </cell>
        </row>
        <row r="2322">
          <cell r="D2322" t="str">
            <v>HSAS13425</v>
          </cell>
          <cell r="E2322" t="str">
            <v>CONTRAST INJECTOR</v>
          </cell>
        </row>
        <row r="2323">
          <cell r="D2323" t="str">
            <v>KKM/JKN/HSA/10-05-01/H/21/286</v>
          </cell>
          <cell r="E2323" t="str">
            <v>PATIENT MONITORING EQUIPMENT</v>
          </cell>
        </row>
        <row r="2324">
          <cell r="D2324" t="str">
            <v>KKM/JKN/HSA/10-05-01/H/21/287</v>
          </cell>
          <cell r="E2324" t="str">
            <v>PATIENT MONITORING EQUIPMENT</v>
          </cell>
        </row>
        <row r="2325">
          <cell r="D2325" t="str">
            <v>KKM/JKN/HSA/10-05-01/H/21/288</v>
          </cell>
          <cell r="E2325" t="str">
            <v>PATIENT MONITORING EQUIPMENT</v>
          </cell>
        </row>
        <row r="2326">
          <cell r="D2326" t="str">
            <v>KKM/JKN/HSA/10-05-01/H/21/303</v>
          </cell>
          <cell r="E2326" t="str">
            <v>SYRINGE INFUSION PUMP</v>
          </cell>
        </row>
        <row r="2327">
          <cell r="D2327" t="str">
            <v>KKM/JKN/HSA/10-05-01/H/21/304</v>
          </cell>
          <cell r="E2327" t="str">
            <v>SYRINGE INFUSION PUMP</v>
          </cell>
        </row>
        <row r="2328">
          <cell r="D2328" t="str">
            <v>KKM/JKN/HSA/10-05-01/H/21/305</v>
          </cell>
          <cell r="E2328" t="str">
            <v>SYRINGE INFUSION PUMP</v>
          </cell>
        </row>
        <row r="2329">
          <cell r="D2329" t="str">
            <v>KKM/JKN/HSA/10-05-01/H/22/85</v>
          </cell>
          <cell r="E2329" t="str">
            <v>PHOTOTHERAPY MACHINE</v>
          </cell>
        </row>
        <row r="2330">
          <cell r="D2330" t="str">
            <v>KKM/JKN/HSA/10-05-01/H/22/84</v>
          </cell>
          <cell r="E2330" t="str">
            <v>PHOTOTHERAPY MACHINE</v>
          </cell>
        </row>
        <row r="2331">
          <cell r="D2331" t="str">
            <v>KKM/JKN/HSA/10-05-01/H/22/83</v>
          </cell>
          <cell r="E2331" t="str">
            <v>PHOTOTHERAPY MACHINE</v>
          </cell>
        </row>
        <row r="2332">
          <cell r="D2332" t="str">
            <v>KKM/JKN/HSA/10-05-01/H/22/86</v>
          </cell>
          <cell r="E2332" t="str">
            <v>INFANT WARMER RADIANT</v>
          </cell>
        </row>
        <row r="2333">
          <cell r="D2333" t="str">
            <v>KKM/JKN/HSA/10-05-01/H/22/52</v>
          </cell>
          <cell r="E2333" t="str">
            <v>INFANT INCUBATOR</v>
          </cell>
        </row>
        <row r="2334">
          <cell r="D2334" t="str">
            <v>KKM/JKN/HSA/10-05-01/H/22/88</v>
          </cell>
          <cell r="E2334" t="str">
            <v>INTENSIVE CARE VENTILATOR</v>
          </cell>
        </row>
        <row r="2335">
          <cell r="D2335" t="str">
            <v>KKM/JKN/HSA/10-05-01/H/22/87</v>
          </cell>
          <cell r="E2335" t="str">
            <v>VENTILATOR</v>
          </cell>
        </row>
        <row r="2336">
          <cell r="D2336" t="str">
            <v>KKM/JKN/HSA/10-05-01/H/21/454</v>
          </cell>
          <cell r="E2336" t="str">
            <v>CTG MACHINE</v>
          </cell>
        </row>
        <row r="2337">
          <cell r="D2337" t="str">
            <v>KKM/JKN/HSA/10-05-01/H/22/51</v>
          </cell>
          <cell r="E2337" t="str">
            <v>SOUND LEVEL METER</v>
          </cell>
        </row>
        <row r="2338">
          <cell r="D2338" t="str">
            <v>KKM/JKN/HSA/10-05-01/H/22/99</v>
          </cell>
          <cell r="E2338" t="str">
            <v>VENTILATOR</v>
          </cell>
        </row>
        <row r="2339">
          <cell r="D2339" t="str">
            <v>KKM/JKN/HSA/10-05-01/H/22/341</v>
          </cell>
          <cell r="E2339" t="str">
            <v>VENTILATOR</v>
          </cell>
        </row>
        <row r="2340">
          <cell r="D2340" t="str">
            <v>KKM/JKN/HSA/10-05-01/H/22/342</v>
          </cell>
          <cell r="E2340" t="str">
            <v>VENTILATOR</v>
          </cell>
        </row>
        <row r="2341">
          <cell r="D2341" t="str">
            <v>KKM/JKN/HSA/10-05-01/H/20/121</v>
          </cell>
          <cell r="E2341" t="str">
            <v>SYRINGE INFUSION PUMP</v>
          </cell>
        </row>
        <row r="2342">
          <cell r="D2342" t="str">
            <v>KKM/JKN/HSA/10-05-01/H/20/122</v>
          </cell>
          <cell r="E2342" t="str">
            <v>SYRINGE INFUSION PUMP</v>
          </cell>
        </row>
        <row r="2343">
          <cell r="D2343" t="str">
            <v>KKM/JKN/HSA/10-05-01/H/21/81</v>
          </cell>
          <cell r="E2343" t="str">
            <v>ULTRASOUND SCANNER</v>
          </cell>
        </row>
        <row r="2344">
          <cell r="D2344" t="str">
            <v>KKM/JKN/HSA/10-05-01/H/22/97</v>
          </cell>
          <cell r="E2344" t="str">
            <v>INFUSION PUMP</v>
          </cell>
        </row>
        <row r="2345">
          <cell r="D2345" t="str">
            <v>KKM/JKN/HSA/10-05-01/H/22/96</v>
          </cell>
          <cell r="E2345" t="str">
            <v>INFUSION PUMP</v>
          </cell>
        </row>
        <row r="2346">
          <cell r="D2346" t="str">
            <v>KKM/JKN/HSA/10-05-01/H/22/95</v>
          </cell>
          <cell r="E2346" t="str">
            <v>INFUSION PUMP</v>
          </cell>
        </row>
        <row r="2347">
          <cell r="D2347" t="str">
            <v>KKM/JKN/HSA/10-05-01/H/22/94</v>
          </cell>
          <cell r="E2347" t="str">
            <v>INFUSION PUMP</v>
          </cell>
        </row>
        <row r="2348">
          <cell r="D2348" t="str">
            <v>KKM/JKN/HSA/10-05-01/H/22/93</v>
          </cell>
          <cell r="E2348" t="str">
            <v>INFUSION PUMP</v>
          </cell>
        </row>
        <row r="2349">
          <cell r="D2349" t="str">
            <v>KKM/JKN/HSA/10-05-01/H/21/1</v>
          </cell>
          <cell r="E2349" t="str">
            <v>ENTERAL FEEDING PUMP</v>
          </cell>
        </row>
        <row r="2350">
          <cell r="D2350" t="str">
            <v>KKM/JKN/HSA/10-05-01/H/22/132</v>
          </cell>
          <cell r="E2350" t="str">
            <v>PATIENT MONITORING EQUIPMENT</v>
          </cell>
        </row>
        <row r="2351">
          <cell r="D2351" t="str">
            <v>KKM/JKN/HSA/10-05-01/H/22/133</v>
          </cell>
          <cell r="E2351" t="str">
            <v>PATIENT MONITORING EQUIPMENT</v>
          </cell>
        </row>
        <row r="2352">
          <cell r="D2352" t="str">
            <v>KKM/JKN/HSA/10-05-01/H/22/134</v>
          </cell>
          <cell r="E2352" t="str">
            <v>PATIENT MONITORING EQUIPMENT</v>
          </cell>
        </row>
        <row r="2353">
          <cell r="D2353" t="str">
            <v>KKM/JKN/HSA/10-05-01/H/22/135</v>
          </cell>
          <cell r="E2353" t="str">
            <v>PATIENT MONITORING EQUIPMENT</v>
          </cell>
        </row>
        <row r="2354">
          <cell r="D2354" t="str">
            <v>KKM/JKN/HSA/10-05-01/H/23/1</v>
          </cell>
          <cell r="E2354" t="str">
            <v>SLIT LAMP</v>
          </cell>
        </row>
        <row r="2355">
          <cell r="D2355" t="str">
            <v>KKM/JKN/HSA/10-05-01/H/21/89</v>
          </cell>
          <cell r="E2355" t="str">
            <v>PORTABLE REVERSE OSMOSIS</v>
          </cell>
        </row>
        <row r="2356">
          <cell r="D2356" t="str">
            <v>KKM/JKN/HSA/10-05-01/H/21/90</v>
          </cell>
          <cell r="E2356" t="str">
            <v>MESIN HEMODIALISIS</v>
          </cell>
        </row>
        <row r="2357">
          <cell r="D2357" t="str">
            <v>KKM/JKN/HSA/10-05-01/H/21/321</v>
          </cell>
          <cell r="E2357" t="str">
            <v>VENTILATOR</v>
          </cell>
        </row>
        <row r="2358">
          <cell r="D2358" t="str">
            <v>KKM/JKN/HSA/10-05-01/H/21/322</v>
          </cell>
          <cell r="E2358" t="str">
            <v>VENTILATOR</v>
          </cell>
        </row>
        <row r="2359">
          <cell r="D2359" t="str">
            <v>KKM/JKN/HSA/10-05-01/H/21/323</v>
          </cell>
          <cell r="E2359" t="str">
            <v>VENTILATOR</v>
          </cell>
        </row>
        <row r="2360">
          <cell r="D2360" t="str">
            <v>KKM/JKN/HSA/10-05-01/H/22/125</v>
          </cell>
          <cell r="E2360" t="str">
            <v>ULTRASOUND SCANNER</v>
          </cell>
        </row>
        <row r="2361">
          <cell r="D2361" t="str">
            <v>KKM/JKN/HSA/10-05-01/H/22/126</v>
          </cell>
          <cell r="E2361" t="str">
            <v>ULTRASOUND SCANNER</v>
          </cell>
        </row>
        <row r="2362">
          <cell r="D2362" t="str">
            <v>KKM/JKN/HSA/10-05-01/H/22/127</v>
          </cell>
          <cell r="E2362" t="str">
            <v>CHEST VIBRATOR</v>
          </cell>
        </row>
        <row r="2363">
          <cell r="D2363" t="str">
            <v>KKM/JKN/HSA/10-05-01/H/21/278</v>
          </cell>
          <cell r="E2363" t="str">
            <v>PATIENT MONITORING EQUIPMENT</v>
          </cell>
        </row>
        <row r="2364">
          <cell r="D2364" t="str">
            <v>KKM/JKN/HSA/10-05-01/H/21/279</v>
          </cell>
          <cell r="E2364" t="str">
            <v>PATIENT MONITORING EQUIPMENT</v>
          </cell>
        </row>
        <row r="2365">
          <cell r="D2365" t="str">
            <v>KKM/JKN/HSA/10-05-01/H/21/280</v>
          </cell>
          <cell r="E2365" t="str">
            <v>PATIENT MONITORING EQUIPMENT</v>
          </cell>
        </row>
        <row r="2366">
          <cell r="D2366" t="str">
            <v>KKM/JKN/HSA/10-05-01/H/20/116</v>
          </cell>
          <cell r="E2366" t="str">
            <v>VENTILATOR</v>
          </cell>
        </row>
        <row r="2367">
          <cell r="D2367" t="str">
            <v>KKM/JKN/HSA/10-05-01/H/20/229</v>
          </cell>
          <cell r="E2367" t="str">
            <v>SYRINGE INFUSION PUMP</v>
          </cell>
        </row>
        <row r="2368">
          <cell r="D2368" t="str">
            <v>KKM/JKN/HSA/10-05-01/H/20/234</v>
          </cell>
          <cell r="E2368" t="str">
            <v>SYRINGE INFUSION PUMP</v>
          </cell>
        </row>
        <row r="2369">
          <cell r="D2369" t="str">
            <v>KKM/JKN/HSA/10-05-01/H/22/6</v>
          </cell>
          <cell r="E2369" t="str">
            <v>SYRINGE INFUSION PUMP</v>
          </cell>
        </row>
        <row r="2370">
          <cell r="D2370" t="str">
            <v>KKM/JKN/HSA/10-05-01/H/22/7</v>
          </cell>
          <cell r="E2370" t="str">
            <v>SYRINGE INFUSION PUMP</v>
          </cell>
        </row>
        <row r="2371">
          <cell r="D2371" t="str">
            <v>KKM/JKN/HSA/10-05-01/H/22/8</v>
          </cell>
          <cell r="E2371" t="str">
            <v>SYRINGE INFUSION PUMP</v>
          </cell>
        </row>
        <row r="2372">
          <cell r="D2372" t="str">
            <v>KKM/JKN/HSA/10-05-01/H/22/9</v>
          </cell>
          <cell r="E2372" t="str">
            <v>SYRINGE INFUSION PUMP</v>
          </cell>
        </row>
        <row r="2373">
          <cell r="D2373" t="str">
            <v>KKM/JKN/HSA/10-05-01/H/20/216</v>
          </cell>
          <cell r="E2373" t="str">
            <v>PATIENT MONITORING EQUIPMENT</v>
          </cell>
        </row>
        <row r="2374">
          <cell r="D2374" t="str">
            <v>KKM/JKN/HSA/10-05-01/H/21/306</v>
          </cell>
          <cell r="E2374" t="str">
            <v>PATIENT MONITORING EQUIPMENT</v>
          </cell>
        </row>
        <row r="2375">
          <cell r="D2375" t="str">
            <v>KKM/JKN/HSA/10-05-01/H/21/307</v>
          </cell>
          <cell r="E2375" t="str">
            <v>PATIENT MONITORING EQUIPMENT</v>
          </cell>
        </row>
        <row r="2376">
          <cell r="D2376" t="str">
            <v>KKM/JKN/HSA/10-05-01/H/21/308</v>
          </cell>
          <cell r="E2376" t="str">
            <v>PATIENT MONITORING EQUIPMENT</v>
          </cell>
        </row>
        <row r="2377">
          <cell r="D2377" t="str">
            <v>KKM/JKN/HSA/10-05-01/H/21/193</v>
          </cell>
          <cell r="E2377" t="str">
            <v>POWERED AIR PURIFYING RESPIRATOR (PAPR)</v>
          </cell>
        </row>
        <row r="2378">
          <cell r="D2378" t="str">
            <v>KKM/JKN/HSA/10-05-01/H/21/194</v>
          </cell>
          <cell r="E2378" t="str">
            <v>POWERED AIR PURIFYING RESPIRATOR (PAPR)</v>
          </cell>
        </row>
        <row r="2379">
          <cell r="D2379" t="str">
            <v>KKM/JKN/HSA/10-05-01/H/21/195</v>
          </cell>
          <cell r="E2379" t="str">
            <v>POWERED AIR PURIFYING RESPIRATOR (PAPR)</v>
          </cell>
        </row>
        <row r="2380">
          <cell r="D2380" t="str">
            <v>KKM/JKN/HSA/10-05-01/H/21/196</v>
          </cell>
          <cell r="E2380" t="str">
            <v>POWERED AIR PURIFYING RESPIRATOR (PAPR)</v>
          </cell>
        </row>
        <row r="2381">
          <cell r="D2381" t="str">
            <v>KKM/JKN/HSA/10-05-01/H/22/106</v>
          </cell>
          <cell r="E2381" t="str">
            <v>SYRINGE INFUSION PUMP</v>
          </cell>
        </row>
        <row r="2382">
          <cell r="D2382" t="str">
            <v>KKM/JKN/HSA/10-05-01/H/22/107</v>
          </cell>
          <cell r="E2382" t="str">
            <v>SYRINGE INFUSION PUMP</v>
          </cell>
        </row>
        <row r="2383">
          <cell r="D2383" t="str">
            <v>KKM/JKN/HSA/10-05-01/H/22/109</v>
          </cell>
          <cell r="E2383" t="str">
            <v>SYRINGE INFUSION PUMP</v>
          </cell>
        </row>
        <row r="2384">
          <cell r="D2384" t="str">
            <v>KKM/JKN/HSA/10-05-01/H/22/110</v>
          </cell>
          <cell r="E2384" t="str">
            <v>SYRINGE INFUSION PUMP</v>
          </cell>
        </row>
        <row r="2385">
          <cell r="D2385" t="str">
            <v>KKM/JKN/HSA/10-05-01/H/22/112</v>
          </cell>
          <cell r="E2385" t="str">
            <v>SYRINGE INFUSION PUMP</v>
          </cell>
        </row>
        <row r="2386">
          <cell r="D2386" t="str">
            <v>KKM/JKN/HSA/10-05-01/R/23/1</v>
          </cell>
          <cell r="E2386" t="str">
            <v>PORTABLE FETAL DOPPLER</v>
          </cell>
        </row>
        <row r="2387">
          <cell r="D2387" t="str">
            <v>KKM/JKN/HSA/10-05-01/R/23/2</v>
          </cell>
          <cell r="E2387" t="str">
            <v>PORTABLE FETAL DOPPLER</v>
          </cell>
        </row>
        <row r="2388">
          <cell r="D2388" t="str">
            <v>KKM/JKN/HSA/10-05-01/R/23/3</v>
          </cell>
          <cell r="E2388" t="str">
            <v>PORTABLE FETAL DOPPLER</v>
          </cell>
        </row>
        <row r="2389">
          <cell r="D2389" t="str">
            <v>KKM/JKN/HSA/10-05-01/R/23/4</v>
          </cell>
          <cell r="E2389" t="str">
            <v>PORTABLE FETAL DOPPLER</v>
          </cell>
        </row>
        <row r="2390">
          <cell r="D2390" t="str">
            <v>KKM/JKN/HSA/10-05-01/R/23/5</v>
          </cell>
          <cell r="E2390" t="str">
            <v>PORTABLE FETAL DOPPLER</v>
          </cell>
        </row>
        <row r="2391">
          <cell r="D2391" t="str">
            <v>KKM/JKN/HSA/10-05-01/R/23/6</v>
          </cell>
          <cell r="E2391" t="str">
            <v>PORTABLE FETAL DOPPLER</v>
          </cell>
        </row>
        <row r="2392">
          <cell r="D2392" t="str">
            <v>KKM/JKN/HSA/10-05-01/R/23/7</v>
          </cell>
          <cell r="E2392" t="str">
            <v>PORTABLE FETAL DOPPLER</v>
          </cell>
        </row>
        <row r="2393">
          <cell r="D2393" t="str">
            <v>KKM/JKN/HSA/10-05-01/R/23/8</v>
          </cell>
          <cell r="E2393" t="str">
            <v>PORTABLE FETAL DOPPLER</v>
          </cell>
        </row>
        <row r="2394">
          <cell r="D2394" t="str">
            <v>KKM/JKN/HSA/10-05-01/R/23/9</v>
          </cell>
          <cell r="E2394" t="str">
            <v>PORTABLE FETAL DOPPLER</v>
          </cell>
        </row>
        <row r="2395">
          <cell r="D2395" t="str">
            <v>KKM/JKN/HSA/10-05-01/R/23/10</v>
          </cell>
          <cell r="E2395" t="str">
            <v>PORTABLE FETAL DOPPLER</v>
          </cell>
        </row>
        <row r="2396">
          <cell r="D2396" t="str">
            <v>KKM/JKN/HSA/10-05-01/H/23/40</v>
          </cell>
          <cell r="E2396" t="str">
            <v>MICRODEBRIDER ELECTRIC HIGH SPEED DRILL</v>
          </cell>
        </row>
        <row r="2397">
          <cell r="D2397" t="str">
            <v>KKM/JKN/HSA/10-05-01/H/23/39</v>
          </cell>
          <cell r="E2397" t="str">
            <v>LASER INDIRECT OFTHALMOSCAPE SLIT LAMP LASER</v>
          </cell>
        </row>
        <row r="2398">
          <cell r="D2398" t="str">
            <v>KKM/JKN/HSA/10-05-01/H/22/139</v>
          </cell>
          <cell r="E2398" t="str">
            <v>RESPIRATORY HUMIDIFIER/HIGH FLOW HUMIDIFIER</v>
          </cell>
        </row>
        <row r="2399">
          <cell r="D2399" t="str">
            <v>KKM/JKN/HSA/10-05-01/H/22/140</v>
          </cell>
          <cell r="E2399" t="str">
            <v>RESPIRATORY HUMIDIFIER/HIGH FLOW HUMIDIFIER</v>
          </cell>
        </row>
        <row r="2400">
          <cell r="D2400" t="str">
            <v>KKM/JKN/HSA/10-05-01/H/22/136</v>
          </cell>
          <cell r="E2400" t="str">
            <v>CPAP MACHINE</v>
          </cell>
        </row>
        <row r="2401">
          <cell r="D2401" t="str">
            <v>KKM/JKN/HSA/10-05-01/R/23/24</v>
          </cell>
          <cell r="E2401" t="str">
            <v>BODY FAT ANALYZER</v>
          </cell>
        </row>
        <row r="2402">
          <cell r="D2402" t="str">
            <v>KKM/JKN/HSA/10-05-01/H/23/5</v>
          </cell>
          <cell r="E2402" t="str">
            <v>DEFIBRILLATOR</v>
          </cell>
        </row>
        <row r="2403">
          <cell r="D2403" t="str">
            <v>KKM/JKN/HSA/10-05-01/H/23/41</v>
          </cell>
          <cell r="E2403" t="str">
            <v>RHINOSCOPE</v>
          </cell>
        </row>
        <row r="2404">
          <cell r="D2404" t="str">
            <v>KKM/JKN/HSA/10-05-01/H/21/210</v>
          </cell>
          <cell r="E2404" t="str">
            <v>VITAL SIGN PATIENT MONITOR</v>
          </cell>
        </row>
        <row r="2405">
          <cell r="D2405" t="str">
            <v>KKM/JKN/HSA/ 10-05-01/H/22/98</v>
          </cell>
          <cell r="E2405" t="str">
            <v>VENTILATOR</v>
          </cell>
        </row>
        <row r="2406">
          <cell r="D2406" t="str">
            <v>KKM/JKN/HSA/10-05-01/H/22/105</v>
          </cell>
          <cell r="E2406" t="str">
            <v>DEFIBRILLATOR</v>
          </cell>
        </row>
        <row r="2407">
          <cell r="D2407" t="str">
            <v>KKM/JKN/HSA/10-05-01/H/23/28</v>
          </cell>
          <cell r="E2407" t="str">
            <v>SPOT VITAL SIGN (NIBP)</v>
          </cell>
        </row>
        <row r="2408">
          <cell r="D2408" t="str">
            <v>KKM/JKN/HSA/10-05-01/H/23/29</v>
          </cell>
          <cell r="E2408" t="str">
            <v>SPOT VITAL SIGN (NIBP)</v>
          </cell>
        </row>
        <row r="2409">
          <cell r="D2409" t="str">
            <v>KKM/JKN/HSA/10-05-01/H/23/30</v>
          </cell>
          <cell r="E2409" t="str">
            <v>SPOT VITAL SIGN (NIBP)</v>
          </cell>
        </row>
        <row r="2410">
          <cell r="D2410" t="str">
            <v>KKM/JKN/HSA/10-05-01/H/23/31</v>
          </cell>
          <cell r="E2410" t="str">
            <v>SPOT VITAL SIGN (NIBP)</v>
          </cell>
        </row>
        <row r="2411">
          <cell r="D2411" t="str">
            <v>KKM/JKN/HSA/10-05-01/H/23/32</v>
          </cell>
          <cell r="E2411" t="str">
            <v>SPOT VITAL SIGN (NIBP)</v>
          </cell>
        </row>
        <row r="2412">
          <cell r="D2412" t="str">
            <v>KKM/JKN/HSA/10-05-01/H/23/33</v>
          </cell>
          <cell r="E2412" t="str">
            <v>SPOT VITAL SIGN (NIBP)</v>
          </cell>
        </row>
        <row r="2413">
          <cell r="D2413" t="str">
            <v>KKM/JKN/HSA/10-05-01/H/23/34</v>
          </cell>
          <cell r="E2413" t="str">
            <v>SPOT VITAL SIGN (NIBP)</v>
          </cell>
        </row>
        <row r="2414">
          <cell r="D2414" t="str">
            <v>KKM/JKN/HSA/10-05-01/H/23/35</v>
          </cell>
          <cell r="E2414" t="str">
            <v>SPOT VITAL SIGN (NIBP)</v>
          </cell>
        </row>
        <row r="2415">
          <cell r="D2415" t="str">
            <v>KKM/JKN/HSA/10-05-01/H/18/111</v>
          </cell>
          <cell r="E2415" t="str">
            <v>LAB CENTRIFUGE</v>
          </cell>
        </row>
        <row r="2416">
          <cell r="D2416" t="str">
            <v>KKM/JKN/HSA/10-05-01/H/20/114</v>
          </cell>
          <cell r="E2416" t="str">
            <v>VENTILATOR</v>
          </cell>
        </row>
        <row r="2417">
          <cell r="D2417" t="str">
            <v>KKM/JKN/HSA/10-05-01/H/20/115</v>
          </cell>
          <cell r="E2417" t="str">
            <v>VENTILATOR</v>
          </cell>
        </row>
        <row r="2418">
          <cell r="D2418" t="str">
            <v>KKM/JKN/HSA/10-05-01/H/20/138</v>
          </cell>
          <cell r="E2418" t="str">
            <v>VENTILATOR</v>
          </cell>
        </row>
        <row r="2419">
          <cell r="D2419" t="str">
            <v>KKM/JKN/HSA/10-05-01/H/20/162</v>
          </cell>
          <cell r="E2419" t="str">
            <v>VENTILATOR</v>
          </cell>
        </row>
        <row r="2420">
          <cell r="D2420" t="str">
            <v>KKM/JKN/HSA/10-05-01/H/20/219</v>
          </cell>
          <cell r="E2420" t="str">
            <v>VENTILATOR</v>
          </cell>
        </row>
        <row r="2421">
          <cell r="D2421" t="str">
            <v>KKM/JKN/HSA/10-05-01/H/20/220</v>
          </cell>
          <cell r="E2421" t="str">
            <v>VENTILATOR</v>
          </cell>
        </row>
        <row r="2422">
          <cell r="D2422" t="str">
            <v>KKM/JKN/HSA/10-05-01/H/21/82</v>
          </cell>
          <cell r="E2422" t="str">
            <v>VENTILATOR</v>
          </cell>
        </row>
        <row r="2423">
          <cell r="D2423" t="str">
            <v>KKM/JKN/HSA/10-05-01/H/21/83</v>
          </cell>
          <cell r="E2423" t="str">
            <v>VENTILATOR</v>
          </cell>
        </row>
        <row r="2424">
          <cell r="D2424" t="str">
            <v>KKM/JKN/HSA/10-05-01/H/21/84</v>
          </cell>
          <cell r="E2424" t="str">
            <v>VENTILATOR</v>
          </cell>
        </row>
        <row r="2425">
          <cell r="D2425" t="str">
            <v>KKM/JKN/HSA/10-05-01/H/21/85</v>
          </cell>
          <cell r="E2425" t="str">
            <v>VENTILATOR</v>
          </cell>
        </row>
        <row r="2426">
          <cell r="D2426" t="str">
            <v>KKM/JKN/HSA/10-05-01/H/21/86</v>
          </cell>
          <cell r="E2426" t="str">
            <v>VENTILATOR</v>
          </cell>
        </row>
        <row r="2427">
          <cell r="D2427" t="str">
            <v>KKM/JKN/HSA/10-05-01/H/23/6</v>
          </cell>
          <cell r="E2427" t="str">
            <v>ULTRASOUND SCANNER</v>
          </cell>
        </row>
        <row r="2428">
          <cell r="D2428" t="str">
            <v>KKM/JKN/HSA/10-05-01/H/23/7</v>
          </cell>
          <cell r="E2428" t="str">
            <v>ULTRASOUND SCANNER</v>
          </cell>
        </row>
        <row r="2429">
          <cell r="D2429" t="str">
            <v>KKM/JKN/HSA/10-05-01/H/23/8</v>
          </cell>
          <cell r="E2429" t="str">
            <v>ULTRASOUND SCANNER</v>
          </cell>
        </row>
        <row r="2430">
          <cell r="D2430" t="str">
            <v>KKM/JKN/HSA/10-05-01/H/20/89</v>
          </cell>
          <cell r="E2430" t="str">
            <v>SPOT VITAL SIGN (NIBP)</v>
          </cell>
        </row>
        <row r="2431">
          <cell r="D2431" t="str">
            <v>KKM/JKN/HSA/10-05-01/H/23/27</v>
          </cell>
          <cell r="E2431" t="str">
            <v>SPOT VITAL SIGN (NIBP)</v>
          </cell>
        </row>
        <row r="2432">
          <cell r="D2432" t="str">
            <v>KKM/JKN/HSA/10-05-01/H/23/36</v>
          </cell>
          <cell r="E2432" t="str">
            <v>INFANT INCUBATOR</v>
          </cell>
        </row>
        <row r="2433">
          <cell r="D2433" t="str">
            <v>KKM/JKN/HSA/10-05-01/H/23/37</v>
          </cell>
          <cell r="E2433" t="str">
            <v>INFANT INCUBATOR</v>
          </cell>
        </row>
        <row r="2434">
          <cell r="D2434" t="str">
            <v>KKM/JKN/HSA/10-05-01/H/23/38</v>
          </cell>
          <cell r="E2434" t="str">
            <v>INFANT INCUBATOR</v>
          </cell>
        </row>
        <row r="2435">
          <cell r="D2435" t="str">
            <v>KKM/JKN/HSA/10-05-01/H/23/42</v>
          </cell>
          <cell r="E2435" t="str">
            <v>X-RAY CARM</v>
          </cell>
        </row>
        <row r="2436">
          <cell r="D2436" t="str">
            <v>KKM/JKN/HSA/10-05-01/H/23/43</v>
          </cell>
          <cell r="E2436" t="str">
            <v>VIDEO HEAD IMPULSE TEST</v>
          </cell>
        </row>
        <row r="2437">
          <cell r="D2437" t="str">
            <v>KKM/JKN/HSA/10-05-01/H/23/44</v>
          </cell>
          <cell r="E2437" t="str">
            <v>VIDEO NYSTAGMOGRAPHY</v>
          </cell>
        </row>
        <row r="2438">
          <cell r="D2438" t="str">
            <v>KKM/JKN/HSA/10-05-01/H/23/9</v>
          </cell>
          <cell r="E2438" t="str">
            <v>CARDIOTOCOGRAPH MACHINE</v>
          </cell>
        </row>
        <row r="2439">
          <cell r="D2439" t="str">
            <v>KKM/JKN/HSA/10-05-01/H/23/10</v>
          </cell>
          <cell r="E2439" t="str">
            <v>CARDIOTOCOGRAPH MACHINE</v>
          </cell>
        </row>
        <row r="2440">
          <cell r="D2440" t="str">
            <v>KKM/JKN/HSA/10-05-01/H/23/11</v>
          </cell>
          <cell r="E2440" t="str">
            <v>CARDIOTOCOGRAPH MACHINE</v>
          </cell>
        </row>
        <row r="2441">
          <cell r="D2441" t="str">
            <v>KKM/JKN/HSA/10-05-01/H/23/12</v>
          </cell>
          <cell r="E2441" t="str">
            <v>CARDIOTOCOGRAPH MACHINE</v>
          </cell>
        </row>
        <row r="2442">
          <cell r="D2442" t="str">
            <v>KKM/JKN/HSA/10-05-01/H/23/13</v>
          </cell>
          <cell r="E2442" t="str">
            <v>CARDIOTOCOGRAPH MACHINE</v>
          </cell>
        </row>
        <row r="2443">
          <cell r="D2443" t="str">
            <v>KKM/JKN/HSA/10-05-01/H/23/14</v>
          </cell>
          <cell r="E2443" t="str">
            <v>CARDIOTOCOGRAPH MACHINE</v>
          </cell>
        </row>
        <row r="2444">
          <cell r="D2444" t="str">
            <v>KKM/JKN/HSA/10-05-01/H/23/15</v>
          </cell>
          <cell r="E2444" t="str">
            <v>CARDIOTOCOGRAPH MACHINE</v>
          </cell>
        </row>
        <row r="2445">
          <cell r="D2445" t="str">
            <v>KKM/JKN/HSA/10-05-01/H/23/16</v>
          </cell>
          <cell r="E2445" t="str">
            <v>CARDIOTOCOGRAPH MACHINE</v>
          </cell>
        </row>
        <row r="2446">
          <cell r="D2446" t="str">
            <v>KKM/JKN/HSA/10-05-01/H/23/17</v>
          </cell>
          <cell r="E2446" t="str">
            <v>CARDIOTOCOGRAPH MACHINE</v>
          </cell>
        </row>
        <row r="2447">
          <cell r="D2447" t="str">
            <v>KKM/JKN/HSA/10-05-01/H/23/18</v>
          </cell>
          <cell r="E2447" t="str">
            <v>CARDIOTOCOGRAPH MACHINE</v>
          </cell>
        </row>
        <row r="2448">
          <cell r="D2448" t="str">
            <v>KKM/JKN/HSA/10-05-01/H/23/19</v>
          </cell>
          <cell r="E2448" t="str">
            <v>CARDIOTOCOGRAPH MACHINE</v>
          </cell>
        </row>
        <row r="2449">
          <cell r="D2449" t="str">
            <v>KKM/JKN/HSA/10-05-01/H/23/20</v>
          </cell>
          <cell r="E2449" t="str">
            <v>CARDIOTOCOGRAPH MACHINE</v>
          </cell>
        </row>
        <row r="2450">
          <cell r="D2450" t="str">
            <v>KKM/JKNS/HSA/10-05-01/R/15/11804</v>
          </cell>
          <cell r="E2450" t="str">
            <v>DIGITAL BABY WEIGHING SCALE</v>
          </cell>
        </row>
        <row r="2451">
          <cell r="D2451" t="str">
            <v>KKM/JKNS/HSA/10-05-01/R/15/11805</v>
          </cell>
          <cell r="E2451" t="str">
            <v>DIGITAL BABY WEIGHING SCALE</v>
          </cell>
        </row>
        <row r="2452">
          <cell r="D2452" t="str">
            <v>KKM/JKNS/HAS/10-05-01/R/15/11806</v>
          </cell>
          <cell r="E2452" t="str">
            <v>DIGITAL BABY WEIGHING SCALE</v>
          </cell>
        </row>
        <row r="2453">
          <cell r="D2453" t="str">
            <v>KKM/JKNS/HSA/10-05-01/R/15/11807</v>
          </cell>
          <cell r="E2453" t="str">
            <v>DIGITAL BABY WEIGHING SCALE</v>
          </cell>
        </row>
        <row r="2454">
          <cell r="D2454" t="str">
            <v>KKM/JKNS/HSA/10-05-01/R/15/11808</v>
          </cell>
          <cell r="E2454" t="str">
            <v>DIGITAL BABY WEIGHING SCALE</v>
          </cell>
        </row>
        <row r="2455">
          <cell r="D2455" t="str">
            <v>KKM/JKNS/HSA/10-05-01/R/15/11809</v>
          </cell>
          <cell r="E2455" t="str">
            <v>DIGITAL BABY WEIGHING SCALE</v>
          </cell>
        </row>
        <row r="2456">
          <cell r="D2456" t="str">
            <v>KKM/JKNS/HSA/10-05-01/R/15/11810</v>
          </cell>
          <cell r="E2456" t="str">
            <v>DIGITAL BABY WEIGHING SCALE</v>
          </cell>
        </row>
        <row r="2457">
          <cell r="D2457" t="str">
            <v>KKM/JKNS/HSA/10-05-01/R/15/11811</v>
          </cell>
          <cell r="E2457" t="str">
            <v>DIGITAL BABY WEIGHING SCALE</v>
          </cell>
        </row>
        <row r="2458">
          <cell r="D2458" t="str">
            <v>KKM/JKNS/HSA/10-05-01/R/15/11812</v>
          </cell>
          <cell r="E2458" t="str">
            <v>DIGITAL BABY WEIGHING SCALE</v>
          </cell>
        </row>
        <row r="2459">
          <cell r="D2459" t="str">
            <v>KKM/JKN/HSA/10-05-01/H/20/174</v>
          </cell>
          <cell r="E2459" t="str">
            <v>ECG MACHINE</v>
          </cell>
        </row>
        <row r="2460">
          <cell r="D2460" t="str">
            <v>KKM/JKN/HSA/10-05-01/H/21/191</v>
          </cell>
          <cell r="E2460" t="str">
            <v>POWERED AIR PURIFYING RESPIRATOR (PAPR)</v>
          </cell>
        </row>
        <row r="2461">
          <cell r="D2461" t="str">
            <v>KKM/JKN/HSA/10-05-01/H/21/192</v>
          </cell>
          <cell r="E2461" t="str">
            <v>POWERED AIR PURIFYING RESPIRATOR (PAPR)</v>
          </cell>
        </row>
        <row r="2462">
          <cell r="D2462" t="str">
            <v>KKM/JKN/HSA/10-05-01/H/21/190</v>
          </cell>
          <cell r="E2462" t="str">
            <v>POWERED AIR PURIFYING RESPIRATOR (PAPR)</v>
          </cell>
        </row>
        <row r="2463">
          <cell r="D2463" t="str">
            <v>KKM/JKN/HSA/10-05-01/H/21/347</v>
          </cell>
          <cell r="E2463" t="str">
            <v>OXYGEN CONCENTRATOR</v>
          </cell>
        </row>
        <row r="2464">
          <cell r="D2464" t="str">
            <v>KKM/JKN/HSA/10-05-01/H/21/346</v>
          </cell>
          <cell r="E2464" t="str">
            <v>OXYGEN CONCENTRATOR</v>
          </cell>
        </row>
        <row r="2465">
          <cell r="D2465" t="str">
            <v>KKM/JKN/HSA/10-05-01/H/21/345</v>
          </cell>
          <cell r="E2465" t="str">
            <v>OXYGEN CONCENTRATOR</v>
          </cell>
        </row>
        <row r="2466">
          <cell r="D2466" t="str">
            <v>KKM/JKN/HSA/10-05-01/H/21/344</v>
          </cell>
          <cell r="E2466" t="str">
            <v>OXYGEN CONCENTRATOR</v>
          </cell>
        </row>
        <row r="2467">
          <cell r="D2467" t="str">
            <v>KKM/JKN/HSA/10-05-01/H/21/343</v>
          </cell>
          <cell r="E2467" t="str">
            <v>OXYGEN CONCENTRATOR</v>
          </cell>
        </row>
        <row r="2468">
          <cell r="D2468" t="str">
            <v>KKM/JKN/HSA/10-05-01/H/23/45</v>
          </cell>
          <cell r="E2468" t="str">
            <v>PATIENT MONITORING EQUIPMENT</v>
          </cell>
        </row>
        <row r="2469">
          <cell r="D2469" t="str">
            <v>KKM/JKN/HSA/10-05-01/H/23/46</v>
          </cell>
          <cell r="E2469" t="str">
            <v>PATIENT MONITORING EQUIPMENT</v>
          </cell>
        </row>
        <row r="2470">
          <cell r="D2470" t="str">
            <v>KKM/JKN/HSA/10-05-01/H/23/62</v>
          </cell>
          <cell r="E2470" t="str">
            <v xml:space="preserve">GASTROINTESTINAL VIDEO SCOPE </v>
          </cell>
        </row>
        <row r="2471">
          <cell r="D2471" t="str">
            <v>KKM/JKN/HSA/10-05-01/H/23/67</v>
          </cell>
          <cell r="E2471" t="str">
            <v>DENTAL ELECTROSURGERY SET</v>
          </cell>
        </row>
        <row r="2472">
          <cell r="D2472" t="str">
            <v>KKM/JKN/HSA/10-05-01/H/15/5059</v>
          </cell>
          <cell r="E2472" t="str">
            <v>ECG (EKG) MACHINE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publicholidays.com.my/chinese-new-year/" TargetMode="External"/><Relationship Id="rId13" Type="http://schemas.openxmlformats.org/officeDocument/2006/relationships/hyperlink" Target="https://publicholidays.com.my/hari-raya-aidilfitri/" TargetMode="External"/><Relationship Id="rId18" Type="http://schemas.openxmlformats.org/officeDocument/2006/relationships/hyperlink" Target="https://publicholidays.com.my/awal-muharram/" TargetMode="External"/><Relationship Id="rId26" Type="http://schemas.openxmlformats.org/officeDocument/2006/relationships/printerSettings" Target="../printerSettings/printerSettings3.bin"/><Relationship Id="rId3" Type="http://schemas.openxmlformats.org/officeDocument/2006/relationships/hyperlink" Target="https://publicholidays.com.my/deepavali/" TargetMode="External"/><Relationship Id="rId21" Type="http://schemas.openxmlformats.org/officeDocument/2006/relationships/hyperlink" Target="https://publicholidays.com.my/prophet-muhammads-birthday/" TargetMode="External"/><Relationship Id="rId7" Type="http://schemas.openxmlformats.org/officeDocument/2006/relationships/hyperlink" Target="https://publicholidays.com.my/thaipusam/" TargetMode="External"/><Relationship Id="rId12" Type="http://schemas.openxmlformats.org/officeDocument/2006/relationships/hyperlink" Target="https://publicholidays.com.my/hari-raya-aidilfitri/" TargetMode="External"/><Relationship Id="rId17" Type="http://schemas.openxmlformats.org/officeDocument/2006/relationships/hyperlink" Target="https://publicholidays.com.my/hari-raya-haji/" TargetMode="External"/><Relationship Id="rId25" Type="http://schemas.openxmlformats.org/officeDocument/2006/relationships/hyperlink" Target="https://publicholidays.com.my/christmas/" TargetMode="External"/><Relationship Id="rId2" Type="http://schemas.openxmlformats.org/officeDocument/2006/relationships/hyperlink" Target="https://publicholidays.com.my/deepavali/" TargetMode="External"/><Relationship Id="rId16" Type="http://schemas.openxmlformats.org/officeDocument/2006/relationships/hyperlink" Target="https://publicholidays.com.my/agongs-birthday/" TargetMode="External"/><Relationship Id="rId20" Type="http://schemas.openxmlformats.org/officeDocument/2006/relationships/hyperlink" Target="https://publicholidays.com.my/national-day/" TargetMode="External"/><Relationship Id="rId1" Type="http://schemas.openxmlformats.org/officeDocument/2006/relationships/hyperlink" Target="https://publicholidays.com.my/prophet-muhammads-birthday/" TargetMode="External"/><Relationship Id="rId6" Type="http://schemas.openxmlformats.org/officeDocument/2006/relationships/hyperlink" Target="https://publicholidays.com.my/new-years-day/" TargetMode="External"/><Relationship Id="rId11" Type="http://schemas.openxmlformats.org/officeDocument/2006/relationships/hyperlink" Target="https://publicholidays.com.my/nuzul-al-quran/" TargetMode="External"/><Relationship Id="rId24" Type="http://schemas.openxmlformats.org/officeDocument/2006/relationships/hyperlink" Target="https://publicholidays.com.my/sultan-of-selangors-birthday/" TargetMode="External"/><Relationship Id="rId5" Type="http://schemas.openxmlformats.org/officeDocument/2006/relationships/hyperlink" Target="https://publicholidays.com.my/christmas/" TargetMode="External"/><Relationship Id="rId15" Type="http://schemas.openxmlformats.org/officeDocument/2006/relationships/hyperlink" Target="https://publicholidays.com.my/wesak-day/" TargetMode="External"/><Relationship Id="rId23" Type="http://schemas.openxmlformats.org/officeDocument/2006/relationships/hyperlink" Target="https://publicholidays.com.my/deepavali/" TargetMode="External"/><Relationship Id="rId10" Type="http://schemas.openxmlformats.org/officeDocument/2006/relationships/hyperlink" Target="https://publicholidays.com.my/chinese-new-year/" TargetMode="External"/><Relationship Id="rId19" Type="http://schemas.openxmlformats.org/officeDocument/2006/relationships/hyperlink" Target="https://publicholidays.com.my/awal-muharram/" TargetMode="External"/><Relationship Id="rId4" Type="http://schemas.openxmlformats.org/officeDocument/2006/relationships/hyperlink" Target="https://publicholidays.com.my/sultan-of-selangors-birthday/" TargetMode="External"/><Relationship Id="rId9" Type="http://schemas.openxmlformats.org/officeDocument/2006/relationships/hyperlink" Target="https://publicholidays.com.my/chinese-new-year/" TargetMode="External"/><Relationship Id="rId14" Type="http://schemas.openxmlformats.org/officeDocument/2006/relationships/hyperlink" Target="https://publicholidays.com.my/labour-day/" TargetMode="External"/><Relationship Id="rId22" Type="http://schemas.openxmlformats.org/officeDocument/2006/relationships/hyperlink" Target="https://publicholidays.com.my/malaysia-day/"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420"/>
  <sheetViews>
    <sheetView topLeftCell="F1105" zoomScale="85" zoomScaleNormal="85" workbookViewId="0">
      <selection activeCell="N1116" sqref="N1116"/>
    </sheetView>
  </sheetViews>
  <sheetFormatPr defaultColWidth="14.42578125" defaultRowHeight="15" customHeight="1" x14ac:dyDescent="0.25"/>
  <cols>
    <col min="1" max="1" width="5.7109375" customWidth="1"/>
    <col min="2" max="2" width="8.85546875" customWidth="1"/>
    <col min="3" max="3" width="7.5703125" customWidth="1"/>
    <col min="4" max="4" width="10" customWidth="1"/>
    <col min="5" max="7" width="16.7109375" customWidth="1"/>
    <col min="8" max="8" width="18" customWidth="1"/>
    <col min="9" max="10" width="18.140625" customWidth="1"/>
    <col min="11" max="11" width="17" customWidth="1"/>
    <col min="12" max="12" width="5.85546875" customWidth="1"/>
    <col min="13" max="13" width="34.7109375" customWidth="1"/>
    <col min="14" max="14" width="20.28515625" customWidth="1"/>
    <col min="15" max="15" width="25.7109375" customWidth="1"/>
    <col min="16" max="16" width="8.140625" customWidth="1"/>
    <col min="17" max="17" width="18.28515625" customWidth="1"/>
    <col min="18" max="18" width="21.5703125" customWidth="1"/>
    <col min="19" max="19" width="18" customWidth="1"/>
  </cols>
  <sheetData>
    <row r="1" spans="1:19" x14ac:dyDescent="0.25">
      <c r="A1" s="1" t="s">
        <v>0</v>
      </c>
    </row>
    <row r="3" spans="1:19" ht="31.5" x14ac:dyDescent="0.25">
      <c r="A3" s="466" t="s">
        <v>1</v>
      </c>
      <c r="B3" s="466" t="s">
        <v>2</v>
      </c>
      <c r="C3" s="466" t="s">
        <v>3</v>
      </c>
      <c r="D3" s="466" t="s">
        <v>4</v>
      </c>
      <c r="E3" s="466" t="s">
        <v>5</v>
      </c>
      <c r="F3" s="466" t="s">
        <v>4079</v>
      </c>
      <c r="G3" s="466" t="s">
        <v>4078</v>
      </c>
      <c r="H3" s="466" t="s">
        <v>6</v>
      </c>
      <c r="I3" s="466" t="s">
        <v>7</v>
      </c>
      <c r="J3" s="466" t="s">
        <v>7</v>
      </c>
      <c r="K3" s="467" t="s">
        <v>8</v>
      </c>
      <c r="L3" s="467" t="s">
        <v>9</v>
      </c>
      <c r="M3" s="466" t="s">
        <v>10</v>
      </c>
      <c r="N3" s="466" t="s">
        <v>11</v>
      </c>
      <c r="O3" s="468" t="s">
        <v>12</v>
      </c>
      <c r="P3" s="469" t="s">
        <v>13</v>
      </c>
      <c r="Q3" s="469" t="s">
        <v>14</v>
      </c>
      <c r="R3" s="469" t="s">
        <v>15</v>
      </c>
      <c r="S3" s="469" t="s">
        <v>16</v>
      </c>
    </row>
    <row r="4" spans="1:19" ht="60" x14ac:dyDescent="0.25">
      <c r="A4" s="438">
        <v>1</v>
      </c>
      <c r="B4" s="470" t="s">
        <v>17</v>
      </c>
      <c r="C4" s="471" t="s">
        <v>18</v>
      </c>
      <c r="D4" s="472" t="s">
        <v>19</v>
      </c>
      <c r="E4" s="448" t="s">
        <v>4080</v>
      </c>
      <c r="F4" s="448" t="s">
        <v>4080</v>
      </c>
      <c r="G4" s="473" t="s">
        <v>3889</v>
      </c>
      <c r="H4" s="439" t="s">
        <v>20</v>
      </c>
      <c r="I4" s="474" t="s">
        <v>3457</v>
      </c>
      <c r="J4" s="474" t="s">
        <v>3463</v>
      </c>
      <c r="K4" s="443" t="s">
        <v>21</v>
      </c>
      <c r="L4" s="471">
        <v>1</v>
      </c>
      <c r="M4" s="447" t="s">
        <v>22</v>
      </c>
      <c r="N4" s="453">
        <v>13000</v>
      </c>
      <c r="O4" s="475">
        <f t="shared" ref="O4:O258" si="0">N4*L4</f>
        <v>13000</v>
      </c>
      <c r="P4" s="476"/>
      <c r="Q4" s="477">
        <v>46023</v>
      </c>
      <c r="R4" s="476"/>
      <c r="S4" s="476"/>
    </row>
    <row r="5" spans="1:19" ht="60" x14ac:dyDescent="0.25">
      <c r="A5" s="438">
        <v>2</v>
      </c>
      <c r="B5" s="470" t="s">
        <v>17</v>
      </c>
      <c r="C5" s="471" t="s">
        <v>18</v>
      </c>
      <c r="D5" s="472" t="s">
        <v>19</v>
      </c>
      <c r="E5" s="448" t="s">
        <v>4080</v>
      </c>
      <c r="F5" s="448" t="s">
        <v>4080</v>
      </c>
      <c r="G5" s="473" t="s">
        <v>3889</v>
      </c>
      <c r="H5" s="439" t="s">
        <v>23</v>
      </c>
      <c r="I5" s="474" t="s">
        <v>3457</v>
      </c>
      <c r="J5" s="474" t="s">
        <v>3463</v>
      </c>
      <c r="K5" s="443" t="s">
        <v>21</v>
      </c>
      <c r="L5" s="471">
        <v>1</v>
      </c>
      <c r="M5" s="447" t="s">
        <v>24</v>
      </c>
      <c r="N5" s="453">
        <v>14000</v>
      </c>
      <c r="O5" s="475">
        <f t="shared" si="0"/>
        <v>14000</v>
      </c>
      <c r="P5" s="476"/>
      <c r="Q5" s="477">
        <v>46023</v>
      </c>
      <c r="R5" s="476"/>
      <c r="S5" s="476"/>
    </row>
    <row r="6" spans="1:19" ht="60" x14ac:dyDescent="0.25">
      <c r="A6" s="438">
        <v>3</v>
      </c>
      <c r="B6" s="470" t="s">
        <v>17</v>
      </c>
      <c r="C6" s="471" t="s">
        <v>18</v>
      </c>
      <c r="D6" s="472" t="s">
        <v>19</v>
      </c>
      <c r="E6" s="448" t="s">
        <v>4081</v>
      </c>
      <c r="F6" s="448" t="s">
        <v>2989</v>
      </c>
      <c r="G6" s="473" t="s">
        <v>3889</v>
      </c>
      <c r="H6" s="439" t="s">
        <v>25</v>
      </c>
      <c r="I6" s="474" t="s">
        <v>3457</v>
      </c>
      <c r="J6" s="474" t="s">
        <v>3463</v>
      </c>
      <c r="K6" s="443" t="s">
        <v>21</v>
      </c>
      <c r="L6" s="471">
        <v>1</v>
      </c>
      <c r="M6" s="447" t="s">
        <v>26</v>
      </c>
      <c r="N6" s="453">
        <v>78000</v>
      </c>
      <c r="O6" s="475">
        <f t="shared" si="0"/>
        <v>78000</v>
      </c>
      <c r="P6" s="476"/>
      <c r="Q6" s="477">
        <v>46023</v>
      </c>
      <c r="R6" s="476"/>
      <c r="S6" s="476"/>
    </row>
    <row r="7" spans="1:19" ht="60" x14ac:dyDescent="0.25">
      <c r="A7" s="438">
        <v>4</v>
      </c>
      <c r="B7" s="470" t="s">
        <v>17</v>
      </c>
      <c r="C7" s="471" t="s">
        <v>18</v>
      </c>
      <c r="D7" s="472" t="s">
        <v>19</v>
      </c>
      <c r="E7" s="448" t="s">
        <v>4081</v>
      </c>
      <c r="F7" s="448" t="s">
        <v>2989</v>
      </c>
      <c r="G7" s="473" t="s">
        <v>3889</v>
      </c>
      <c r="H7" s="439" t="s">
        <v>27</v>
      </c>
      <c r="I7" s="474" t="s">
        <v>3457</v>
      </c>
      <c r="J7" s="474" t="s">
        <v>3463</v>
      </c>
      <c r="K7" s="443" t="s">
        <v>21</v>
      </c>
      <c r="L7" s="471">
        <v>1</v>
      </c>
      <c r="M7" s="447" t="s">
        <v>28</v>
      </c>
      <c r="N7" s="453">
        <v>65000</v>
      </c>
      <c r="O7" s="475">
        <f t="shared" si="0"/>
        <v>65000</v>
      </c>
      <c r="P7" s="476"/>
      <c r="Q7" s="477">
        <v>46023</v>
      </c>
      <c r="R7" s="476"/>
      <c r="S7" s="476"/>
    </row>
    <row r="8" spans="1:19" ht="60" x14ac:dyDescent="0.25">
      <c r="A8" s="438">
        <v>5</v>
      </c>
      <c r="B8" s="470" t="s">
        <v>17</v>
      </c>
      <c r="C8" s="471" t="s">
        <v>18</v>
      </c>
      <c r="D8" s="472" t="s">
        <v>19</v>
      </c>
      <c r="E8" s="448" t="s">
        <v>4080</v>
      </c>
      <c r="F8" s="448" t="s">
        <v>4080</v>
      </c>
      <c r="G8" s="473" t="s">
        <v>3890</v>
      </c>
      <c r="H8" s="439" t="s">
        <v>29</v>
      </c>
      <c r="I8" s="474" t="s">
        <v>3457</v>
      </c>
      <c r="J8" s="474" t="s">
        <v>3464</v>
      </c>
      <c r="K8" s="443" t="s">
        <v>30</v>
      </c>
      <c r="L8" s="471">
        <v>1</v>
      </c>
      <c r="M8" s="447" t="s">
        <v>31</v>
      </c>
      <c r="N8" s="454">
        <v>89700</v>
      </c>
      <c r="O8" s="475">
        <f t="shared" si="0"/>
        <v>89700</v>
      </c>
      <c r="P8" s="476"/>
      <c r="Q8" s="477">
        <v>46023</v>
      </c>
      <c r="R8" s="476"/>
      <c r="S8" s="476"/>
    </row>
    <row r="9" spans="1:19" ht="60" x14ac:dyDescent="0.25">
      <c r="A9" s="438">
        <v>6</v>
      </c>
      <c r="B9" s="470" t="s">
        <v>17</v>
      </c>
      <c r="C9" s="471" t="s">
        <v>18</v>
      </c>
      <c r="D9" s="472" t="s">
        <v>19</v>
      </c>
      <c r="E9" s="448" t="s">
        <v>4081</v>
      </c>
      <c r="F9" s="448" t="s">
        <v>2989</v>
      </c>
      <c r="G9" s="473" t="s">
        <v>3890</v>
      </c>
      <c r="H9" s="439" t="s">
        <v>29</v>
      </c>
      <c r="I9" s="474" t="s">
        <v>3457</v>
      </c>
      <c r="J9" s="474" t="s">
        <v>3464</v>
      </c>
      <c r="K9" s="443" t="s">
        <v>30</v>
      </c>
      <c r="L9" s="471">
        <v>1</v>
      </c>
      <c r="M9" s="447" t="s">
        <v>32</v>
      </c>
      <c r="N9" s="454">
        <v>69000</v>
      </c>
      <c r="O9" s="475">
        <f t="shared" si="0"/>
        <v>69000</v>
      </c>
      <c r="P9" s="476"/>
      <c r="Q9" s="477">
        <v>46023</v>
      </c>
      <c r="R9" s="476"/>
      <c r="S9" s="476"/>
    </row>
    <row r="10" spans="1:19" ht="60" x14ac:dyDescent="0.25">
      <c r="A10" s="438">
        <v>7</v>
      </c>
      <c r="B10" s="470" t="s">
        <v>17</v>
      </c>
      <c r="C10" s="471" t="s">
        <v>18</v>
      </c>
      <c r="D10" s="472" t="s">
        <v>19</v>
      </c>
      <c r="E10" s="448" t="s">
        <v>4081</v>
      </c>
      <c r="F10" s="448" t="s">
        <v>2989</v>
      </c>
      <c r="G10" s="473" t="s">
        <v>3890</v>
      </c>
      <c r="H10" s="439" t="s">
        <v>29</v>
      </c>
      <c r="I10" s="474" t="s">
        <v>3457</v>
      </c>
      <c r="J10" s="474" t="s">
        <v>3464</v>
      </c>
      <c r="K10" s="443" t="s">
        <v>30</v>
      </c>
      <c r="L10" s="471">
        <v>1</v>
      </c>
      <c r="M10" s="447" t="s">
        <v>33</v>
      </c>
      <c r="N10" s="454">
        <v>69000</v>
      </c>
      <c r="O10" s="475">
        <f t="shared" si="0"/>
        <v>69000</v>
      </c>
      <c r="P10" s="476"/>
      <c r="Q10" s="477">
        <v>46023</v>
      </c>
      <c r="R10" s="476"/>
      <c r="S10" s="476"/>
    </row>
    <row r="11" spans="1:19" ht="60" x14ac:dyDescent="0.25">
      <c r="A11" s="438">
        <v>8</v>
      </c>
      <c r="B11" s="470" t="s">
        <v>17</v>
      </c>
      <c r="C11" s="471" t="s">
        <v>18</v>
      </c>
      <c r="D11" s="472" t="s">
        <v>19</v>
      </c>
      <c r="E11" s="448" t="s">
        <v>4081</v>
      </c>
      <c r="F11" s="448" t="s">
        <v>2989</v>
      </c>
      <c r="G11" s="473" t="s">
        <v>3890</v>
      </c>
      <c r="H11" s="439" t="s">
        <v>29</v>
      </c>
      <c r="I11" s="474" t="s">
        <v>3457</v>
      </c>
      <c r="J11" s="474" t="s">
        <v>3464</v>
      </c>
      <c r="K11" s="443" t="s">
        <v>30</v>
      </c>
      <c r="L11" s="471">
        <v>1</v>
      </c>
      <c r="M11" s="447" t="s">
        <v>34</v>
      </c>
      <c r="N11" s="454">
        <v>69000</v>
      </c>
      <c r="O11" s="475">
        <f t="shared" si="0"/>
        <v>69000</v>
      </c>
      <c r="P11" s="476"/>
      <c r="Q11" s="477">
        <v>46023</v>
      </c>
      <c r="R11" s="476"/>
      <c r="S11" s="476"/>
    </row>
    <row r="12" spans="1:19" ht="60" x14ac:dyDescent="0.25">
      <c r="A12" s="438">
        <v>9</v>
      </c>
      <c r="B12" s="470" t="s">
        <v>17</v>
      </c>
      <c r="C12" s="471" t="s">
        <v>18</v>
      </c>
      <c r="D12" s="472" t="s">
        <v>19</v>
      </c>
      <c r="E12" s="448" t="s">
        <v>4081</v>
      </c>
      <c r="F12" s="448" t="s">
        <v>2989</v>
      </c>
      <c r="G12" s="473" t="s">
        <v>3890</v>
      </c>
      <c r="H12" s="439" t="s">
        <v>29</v>
      </c>
      <c r="I12" s="474" t="s">
        <v>3457</v>
      </c>
      <c r="J12" s="474" t="s">
        <v>3464</v>
      </c>
      <c r="K12" s="443" t="s">
        <v>30</v>
      </c>
      <c r="L12" s="471">
        <v>1</v>
      </c>
      <c r="M12" s="447" t="s">
        <v>35</v>
      </c>
      <c r="N12" s="454">
        <v>69000</v>
      </c>
      <c r="O12" s="475">
        <f t="shared" si="0"/>
        <v>69000</v>
      </c>
      <c r="P12" s="476"/>
      <c r="Q12" s="477">
        <v>46023</v>
      </c>
      <c r="R12" s="476"/>
      <c r="S12" s="476"/>
    </row>
    <row r="13" spans="1:19" ht="60" x14ac:dyDescent="0.25">
      <c r="A13" s="438">
        <v>10</v>
      </c>
      <c r="B13" s="470" t="s">
        <v>17</v>
      </c>
      <c r="C13" s="471" t="s">
        <v>18</v>
      </c>
      <c r="D13" s="472" t="s">
        <v>19</v>
      </c>
      <c r="E13" s="448" t="s">
        <v>4081</v>
      </c>
      <c r="F13" s="448" t="s">
        <v>2989</v>
      </c>
      <c r="G13" s="473" t="s">
        <v>3890</v>
      </c>
      <c r="H13" s="439" t="s">
        <v>29</v>
      </c>
      <c r="I13" s="474" t="s">
        <v>3457</v>
      </c>
      <c r="J13" s="474" t="s">
        <v>3464</v>
      </c>
      <c r="K13" s="443" t="s">
        <v>30</v>
      </c>
      <c r="L13" s="471">
        <v>1</v>
      </c>
      <c r="M13" s="447" t="s">
        <v>36</v>
      </c>
      <c r="N13" s="454">
        <v>69000</v>
      </c>
      <c r="O13" s="475">
        <f t="shared" si="0"/>
        <v>69000</v>
      </c>
      <c r="P13" s="476"/>
      <c r="Q13" s="477">
        <v>46023</v>
      </c>
      <c r="R13" s="476"/>
      <c r="S13" s="476"/>
    </row>
    <row r="14" spans="1:19" ht="60" x14ac:dyDescent="0.25">
      <c r="A14" s="438">
        <v>11</v>
      </c>
      <c r="B14" s="470" t="s">
        <v>17</v>
      </c>
      <c r="C14" s="471" t="s">
        <v>18</v>
      </c>
      <c r="D14" s="472" t="s">
        <v>19</v>
      </c>
      <c r="E14" s="448" t="s">
        <v>4081</v>
      </c>
      <c r="F14" s="448" t="s">
        <v>2989</v>
      </c>
      <c r="G14" s="473" t="s">
        <v>3890</v>
      </c>
      <c r="H14" s="439" t="s">
        <v>29</v>
      </c>
      <c r="I14" s="474" t="s">
        <v>3457</v>
      </c>
      <c r="J14" s="474" t="s">
        <v>3464</v>
      </c>
      <c r="K14" s="443" t="s">
        <v>30</v>
      </c>
      <c r="L14" s="471">
        <v>1</v>
      </c>
      <c r="M14" s="447" t="s">
        <v>37</v>
      </c>
      <c r="N14" s="454">
        <v>69000</v>
      </c>
      <c r="O14" s="475">
        <f t="shared" si="0"/>
        <v>69000</v>
      </c>
      <c r="P14" s="476"/>
      <c r="Q14" s="477">
        <v>46023</v>
      </c>
      <c r="R14" s="476"/>
      <c r="S14" s="476"/>
    </row>
    <row r="15" spans="1:19" ht="60" x14ac:dyDescent="0.25">
      <c r="A15" s="438">
        <v>12</v>
      </c>
      <c r="B15" s="470" t="s">
        <v>17</v>
      </c>
      <c r="C15" s="471" t="s">
        <v>18</v>
      </c>
      <c r="D15" s="472" t="s">
        <v>19</v>
      </c>
      <c r="E15" s="448" t="s">
        <v>4081</v>
      </c>
      <c r="F15" s="448" t="s">
        <v>2989</v>
      </c>
      <c r="G15" s="473" t="s">
        <v>3890</v>
      </c>
      <c r="H15" s="439" t="s">
        <v>29</v>
      </c>
      <c r="I15" s="474" t="s">
        <v>3457</v>
      </c>
      <c r="J15" s="474" t="s">
        <v>3464</v>
      </c>
      <c r="K15" s="443" t="s">
        <v>30</v>
      </c>
      <c r="L15" s="471">
        <v>1</v>
      </c>
      <c r="M15" s="447" t="s">
        <v>38</v>
      </c>
      <c r="N15" s="454">
        <v>69000</v>
      </c>
      <c r="O15" s="475">
        <f t="shared" si="0"/>
        <v>69000</v>
      </c>
      <c r="P15" s="476"/>
      <c r="Q15" s="477">
        <v>46023</v>
      </c>
      <c r="R15" s="476"/>
      <c r="S15" s="476"/>
    </row>
    <row r="16" spans="1:19" ht="60" x14ac:dyDescent="0.25">
      <c r="A16" s="438">
        <v>13</v>
      </c>
      <c r="B16" s="470" t="s">
        <v>17</v>
      </c>
      <c r="C16" s="471" t="s">
        <v>18</v>
      </c>
      <c r="D16" s="472" t="s">
        <v>19</v>
      </c>
      <c r="E16" s="448" t="s">
        <v>4081</v>
      </c>
      <c r="F16" s="448" t="s">
        <v>2989</v>
      </c>
      <c r="G16" s="473" t="s">
        <v>3890</v>
      </c>
      <c r="H16" s="439" t="s">
        <v>39</v>
      </c>
      <c r="I16" s="474" t="s">
        <v>3457</v>
      </c>
      <c r="J16" s="474" t="s">
        <v>3464</v>
      </c>
      <c r="K16" s="443" t="s">
        <v>30</v>
      </c>
      <c r="L16" s="471">
        <v>1</v>
      </c>
      <c r="M16" s="447" t="s">
        <v>40</v>
      </c>
      <c r="N16" s="454">
        <v>89000</v>
      </c>
      <c r="O16" s="475">
        <f t="shared" si="0"/>
        <v>89000</v>
      </c>
      <c r="P16" s="476"/>
      <c r="Q16" s="477">
        <v>46023</v>
      </c>
      <c r="R16" s="476"/>
      <c r="S16" s="476"/>
    </row>
    <row r="17" spans="1:19" ht="60" x14ac:dyDescent="0.25">
      <c r="A17" s="438">
        <v>14</v>
      </c>
      <c r="B17" s="470" t="s">
        <v>17</v>
      </c>
      <c r="C17" s="471" t="s">
        <v>18</v>
      </c>
      <c r="D17" s="472" t="s">
        <v>19</v>
      </c>
      <c r="E17" s="448" t="s">
        <v>4081</v>
      </c>
      <c r="F17" s="448" t="s">
        <v>2989</v>
      </c>
      <c r="G17" s="473" t="s">
        <v>3890</v>
      </c>
      <c r="H17" s="439" t="s">
        <v>39</v>
      </c>
      <c r="I17" s="474" t="s">
        <v>3457</v>
      </c>
      <c r="J17" s="474" t="s">
        <v>3464</v>
      </c>
      <c r="K17" s="443" t="s">
        <v>30</v>
      </c>
      <c r="L17" s="471">
        <v>1</v>
      </c>
      <c r="M17" s="447" t="s">
        <v>41</v>
      </c>
      <c r="N17" s="454">
        <v>89000</v>
      </c>
      <c r="O17" s="475">
        <f t="shared" si="0"/>
        <v>89000</v>
      </c>
      <c r="P17" s="476"/>
      <c r="Q17" s="477">
        <v>46023</v>
      </c>
      <c r="R17" s="476"/>
      <c r="S17" s="476"/>
    </row>
    <row r="18" spans="1:19" ht="60" x14ac:dyDescent="0.25">
      <c r="A18" s="438">
        <v>15</v>
      </c>
      <c r="B18" s="470" t="s">
        <v>17</v>
      </c>
      <c r="C18" s="471" t="s">
        <v>18</v>
      </c>
      <c r="D18" s="472" t="s">
        <v>19</v>
      </c>
      <c r="E18" s="448" t="s">
        <v>4081</v>
      </c>
      <c r="F18" s="448" t="s">
        <v>2989</v>
      </c>
      <c r="G18" s="473" t="s">
        <v>3890</v>
      </c>
      <c r="H18" s="439" t="s">
        <v>39</v>
      </c>
      <c r="I18" s="474" t="s">
        <v>3457</v>
      </c>
      <c r="J18" s="474" t="s">
        <v>3464</v>
      </c>
      <c r="K18" s="443" t="s">
        <v>30</v>
      </c>
      <c r="L18" s="471">
        <v>1</v>
      </c>
      <c r="M18" s="447" t="s">
        <v>42</v>
      </c>
      <c r="N18" s="454">
        <v>89000</v>
      </c>
      <c r="O18" s="475">
        <f t="shared" si="0"/>
        <v>89000</v>
      </c>
      <c r="P18" s="476"/>
      <c r="Q18" s="477">
        <v>46023</v>
      </c>
      <c r="R18" s="476"/>
      <c r="S18" s="476"/>
    </row>
    <row r="19" spans="1:19" ht="60" x14ac:dyDescent="0.25">
      <c r="A19" s="438">
        <v>16</v>
      </c>
      <c r="B19" s="470" t="s">
        <v>17</v>
      </c>
      <c r="C19" s="471" t="s">
        <v>18</v>
      </c>
      <c r="D19" s="472" t="s">
        <v>19</v>
      </c>
      <c r="E19" s="448" t="s">
        <v>4081</v>
      </c>
      <c r="F19" s="448" t="s">
        <v>2989</v>
      </c>
      <c r="G19" s="473" t="s">
        <v>3891</v>
      </c>
      <c r="H19" s="439" t="s">
        <v>43</v>
      </c>
      <c r="I19" s="438" t="s">
        <v>3457</v>
      </c>
      <c r="J19" s="438" t="s">
        <v>3463</v>
      </c>
      <c r="K19" s="439" t="s">
        <v>44</v>
      </c>
      <c r="L19" s="471">
        <v>1</v>
      </c>
      <c r="M19" s="447" t="s">
        <v>45</v>
      </c>
      <c r="N19" s="455">
        <v>7000</v>
      </c>
      <c r="O19" s="475">
        <f t="shared" si="0"/>
        <v>7000</v>
      </c>
      <c r="P19" s="476"/>
      <c r="Q19" s="477">
        <v>46023</v>
      </c>
      <c r="R19" s="476"/>
      <c r="S19" s="476"/>
    </row>
    <row r="20" spans="1:19" ht="75" x14ac:dyDescent="0.25">
      <c r="A20" s="438">
        <v>17</v>
      </c>
      <c r="B20" s="470" t="s">
        <v>17</v>
      </c>
      <c r="C20" s="471" t="s">
        <v>18</v>
      </c>
      <c r="D20" s="472" t="s">
        <v>19</v>
      </c>
      <c r="E20" s="448" t="s">
        <v>4082</v>
      </c>
      <c r="F20" s="448" t="s">
        <v>4082</v>
      </c>
      <c r="G20" s="473" t="s">
        <v>3892</v>
      </c>
      <c r="H20" s="439" t="s">
        <v>47</v>
      </c>
      <c r="I20" s="474" t="s">
        <v>3458</v>
      </c>
      <c r="J20" s="474" t="s">
        <v>3464</v>
      </c>
      <c r="K20" s="443" t="s">
        <v>48</v>
      </c>
      <c r="L20" s="471">
        <v>1</v>
      </c>
      <c r="M20" s="447" t="s">
        <v>49</v>
      </c>
      <c r="N20" s="455">
        <v>67000</v>
      </c>
      <c r="O20" s="475">
        <f t="shared" si="0"/>
        <v>67000</v>
      </c>
      <c r="P20" s="476"/>
      <c r="Q20" s="477">
        <v>46023</v>
      </c>
      <c r="R20" s="476"/>
      <c r="S20" s="476"/>
    </row>
    <row r="21" spans="1:19" ht="15.75" customHeight="1" x14ac:dyDescent="0.25">
      <c r="A21" s="438">
        <v>18</v>
      </c>
      <c r="B21" s="470" t="s">
        <v>17</v>
      </c>
      <c r="C21" s="471" t="s">
        <v>18</v>
      </c>
      <c r="D21" s="472" t="s">
        <v>19</v>
      </c>
      <c r="E21" s="448" t="s">
        <v>4082</v>
      </c>
      <c r="F21" s="448" t="s">
        <v>4082</v>
      </c>
      <c r="G21" s="473" t="s">
        <v>3893</v>
      </c>
      <c r="H21" s="439" t="s">
        <v>50</v>
      </c>
      <c r="I21" s="474" t="s">
        <v>3458</v>
      </c>
      <c r="J21" s="474" t="s">
        <v>3464</v>
      </c>
      <c r="K21" s="443" t="s">
        <v>51</v>
      </c>
      <c r="L21" s="471">
        <v>1</v>
      </c>
      <c r="M21" s="447" t="s">
        <v>52</v>
      </c>
      <c r="N21" s="455">
        <v>64000</v>
      </c>
      <c r="O21" s="475">
        <f t="shared" si="0"/>
        <v>64000</v>
      </c>
      <c r="P21" s="476"/>
      <c r="Q21" s="477">
        <v>46023</v>
      </c>
      <c r="R21" s="476"/>
      <c r="S21" s="476"/>
    </row>
    <row r="22" spans="1:19" ht="15.75" customHeight="1" x14ac:dyDescent="0.25">
      <c r="A22" s="438">
        <v>19</v>
      </c>
      <c r="B22" s="470" t="s">
        <v>17</v>
      </c>
      <c r="C22" s="471" t="s">
        <v>18</v>
      </c>
      <c r="D22" s="472" t="s">
        <v>19</v>
      </c>
      <c r="E22" s="448" t="s">
        <v>4082</v>
      </c>
      <c r="F22" s="448" t="s">
        <v>4082</v>
      </c>
      <c r="G22" s="473" t="s">
        <v>3893</v>
      </c>
      <c r="H22" s="439" t="s">
        <v>50</v>
      </c>
      <c r="I22" s="474" t="s">
        <v>3458</v>
      </c>
      <c r="J22" s="474" t="s">
        <v>3464</v>
      </c>
      <c r="K22" s="439" t="s">
        <v>51</v>
      </c>
      <c r="L22" s="471">
        <v>1</v>
      </c>
      <c r="M22" s="447" t="s">
        <v>53</v>
      </c>
      <c r="N22" s="455">
        <v>64000</v>
      </c>
      <c r="O22" s="475">
        <f t="shared" si="0"/>
        <v>64000</v>
      </c>
      <c r="P22" s="476"/>
      <c r="Q22" s="477">
        <v>46023</v>
      </c>
      <c r="R22" s="476"/>
      <c r="S22" s="476"/>
    </row>
    <row r="23" spans="1:19" ht="15.75" customHeight="1" x14ac:dyDescent="0.25">
      <c r="A23" s="438">
        <v>20</v>
      </c>
      <c r="B23" s="470" t="s">
        <v>17</v>
      </c>
      <c r="C23" s="471" t="s">
        <v>18</v>
      </c>
      <c r="D23" s="472" t="s">
        <v>19</v>
      </c>
      <c r="E23" s="465" t="s">
        <v>4080</v>
      </c>
      <c r="F23" s="448" t="s">
        <v>4080</v>
      </c>
      <c r="G23" s="473" t="s">
        <v>2276</v>
      </c>
      <c r="H23" s="439" t="s">
        <v>54</v>
      </c>
      <c r="I23" s="474" t="s">
        <v>3458</v>
      </c>
      <c r="J23" s="474" t="s">
        <v>3464</v>
      </c>
      <c r="K23" s="439" t="s">
        <v>55</v>
      </c>
      <c r="L23" s="471">
        <v>1</v>
      </c>
      <c r="M23" s="447" t="s">
        <v>56</v>
      </c>
      <c r="N23" s="455">
        <v>25000</v>
      </c>
      <c r="O23" s="475">
        <f t="shared" si="0"/>
        <v>25000</v>
      </c>
      <c r="P23" s="476"/>
      <c r="Q23" s="477">
        <v>46023</v>
      </c>
      <c r="R23" s="476"/>
      <c r="S23" s="476"/>
    </row>
    <row r="24" spans="1:19" ht="15.75" customHeight="1" x14ac:dyDescent="0.25">
      <c r="A24" s="438">
        <v>21</v>
      </c>
      <c r="B24" s="470" t="s">
        <v>17</v>
      </c>
      <c r="C24" s="471" t="s">
        <v>18</v>
      </c>
      <c r="D24" s="472" t="s">
        <v>19</v>
      </c>
      <c r="E24" s="465" t="s">
        <v>4083</v>
      </c>
      <c r="F24" s="448" t="s">
        <v>2988</v>
      </c>
      <c r="G24" s="473" t="s">
        <v>3894</v>
      </c>
      <c r="H24" s="439" t="s">
        <v>57</v>
      </c>
      <c r="I24" s="474" t="s">
        <v>3457</v>
      </c>
      <c r="J24" s="474" t="s">
        <v>3463</v>
      </c>
      <c r="K24" s="439" t="s">
        <v>58</v>
      </c>
      <c r="L24" s="471">
        <v>1</v>
      </c>
      <c r="M24" s="447" t="s">
        <v>59</v>
      </c>
      <c r="N24" s="455">
        <v>179000</v>
      </c>
      <c r="O24" s="475">
        <f t="shared" si="0"/>
        <v>179000</v>
      </c>
      <c r="P24" s="476"/>
      <c r="Q24" s="477">
        <v>46023</v>
      </c>
      <c r="R24" s="476"/>
      <c r="S24" s="476"/>
    </row>
    <row r="25" spans="1:19" ht="15.75" customHeight="1" x14ac:dyDescent="0.25">
      <c r="A25" s="438">
        <v>22</v>
      </c>
      <c r="B25" s="470" t="s">
        <v>17</v>
      </c>
      <c r="C25" s="471" t="s">
        <v>18</v>
      </c>
      <c r="D25" s="472" t="s">
        <v>19</v>
      </c>
      <c r="E25" s="465" t="s">
        <v>4084</v>
      </c>
      <c r="F25" s="448" t="s">
        <v>2985</v>
      </c>
      <c r="G25" s="473" t="s">
        <v>3895</v>
      </c>
      <c r="H25" s="439" t="s">
        <v>60</v>
      </c>
      <c r="I25" s="474" t="s">
        <v>3459</v>
      </c>
      <c r="J25" s="474" t="s">
        <v>3463</v>
      </c>
      <c r="K25" s="439" t="s">
        <v>61</v>
      </c>
      <c r="L25" s="471">
        <v>1</v>
      </c>
      <c r="M25" s="447" t="s">
        <v>62</v>
      </c>
      <c r="N25" s="455">
        <v>6500</v>
      </c>
      <c r="O25" s="475">
        <f t="shared" si="0"/>
        <v>6500</v>
      </c>
      <c r="P25" s="476"/>
      <c r="Q25" s="477">
        <v>46023</v>
      </c>
      <c r="R25" s="476"/>
      <c r="S25" s="476"/>
    </row>
    <row r="26" spans="1:19" ht="15.75" customHeight="1" x14ac:dyDescent="0.25">
      <c r="A26" s="438">
        <v>23</v>
      </c>
      <c r="B26" s="470" t="s">
        <v>17</v>
      </c>
      <c r="C26" s="471" t="s">
        <v>18</v>
      </c>
      <c r="D26" s="472" t="s">
        <v>19</v>
      </c>
      <c r="E26" s="448" t="s">
        <v>4084</v>
      </c>
      <c r="F26" s="448" t="s">
        <v>4096</v>
      </c>
      <c r="G26" s="473" t="s">
        <v>3895</v>
      </c>
      <c r="H26" s="439" t="s">
        <v>60</v>
      </c>
      <c r="I26" s="474" t="s">
        <v>3459</v>
      </c>
      <c r="J26" s="474" t="s">
        <v>3463</v>
      </c>
      <c r="K26" s="439" t="s">
        <v>61</v>
      </c>
      <c r="L26" s="471">
        <v>1</v>
      </c>
      <c r="M26" s="447" t="s">
        <v>63</v>
      </c>
      <c r="N26" s="455">
        <v>6500</v>
      </c>
      <c r="O26" s="475">
        <f t="shared" si="0"/>
        <v>6500</v>
      </c>
      <c r="P26" s="476"/>
      <c r="Q26" s="477">
        <v>46023</v>
      </c>
      <c r="R26" s="476"/>
      <c r="S26" s="476"/>
    </row>
    <row r="27" spans="1:19" ht="15.75" customHeight="1" x14ac:dyDescent="0.25">
      <c r="A27" s="438">
        <v>24</v>
      </c>
      <c r="B27" s="470" t="s">
        <v>17</v>
      </c>
      <c r="C27" s="471" t="s">
        <v>18</v>
      </c>
      <c r="D27" s="472" t="s">
        <v>19</v>
      </c>
      <c r="E27" s="448" t="s">
        <v>4084</v>
      </c>
      <c r="F27" s="448" t="s">
        <v>4096</v>
      </c>
      <c r="G27" s="473" t="s">
        <v>3895</v>
      </c>
      <c r="H27" s="439" t="s">
        <v>60</v>
      </c>
      <c r="I27" s="474" t="s">
        <v>3459</v>
      </c>
      <c r="J27" s="474" t="s">
        <v>3463</v>
      </c>
      <c r="K27" s="439" t="s">
        <v>61</v>
      </c>
      <c r="L27" s="471">
        <v>1</v>
      </c>
      <c r="M27" s="447" t="s">
        <v>64</v>
      </c>
      <c r="N27" s="455">
        <v>6500</v>
      </c>
      <c r="O27" s="475">
        <f t="shared" si="0"/>
        <v>6500</v>
      </c>
      <c r="P27" s="476"/>
      <c r="Q27" s="477">
        <v>46023</v>
      </c>
      <c r="R27" s="476"/>
      <c r="S27" s="476"/>
    </row>
    <row r="28" spans="1:19" ht="15.75" customHeight="1" x14ac:dyDescent="0.25">
      <c r="A28" s="438">
        <v>25</v>
      </c>
      <c r="B28" s="470" t="s">
        <v>17</v>
      </c>
      <c r="C28" s="471" t="s">
        <v>18</v>
      </c>
      <c r="D28" s="472" t="s">
        <v>19</v>
      </c>
      <c r="E28" s="448" t="s">
        <v>4084</v>
      </c>
      <c r="F28" s="448" t="s">
        <v>4096</v>
      </c>
      <c r="G28" s="473" t="s">
        <v>3895</v>
      </c>
      <c r="H28" s="439" t="s">
        <v>60</v>
      </c>
      <c r="I28" s="474" t="s">
        <v>3459</v>
      </c>
      <c r="J28" s="474" t="s">
        <v>3463</v>
      </c>
      <c r="K28" s="443" t="s">
        <v>61</v>
      </c>
      <c r="L28" s="471">
        <v>1</v>
      </c>
      <c r="M28" s="447" t="s">
        <v>65</v>
      </c>
      <c r="N28" s="455">
        <v>6500</v>
      </c>
      <c r="O28" s="475">
        <f t="shared" si="0"/>
        <v>6500</v>
      </c>
      <c r="P28" s="476"/>
      <c r="Q28" s="477">
        <v>46023</v>
      </c>
      <c r="R28" s="476"/>
      <c r="S28" s="476"/>
    </row>
    <row r="29" spans="1:19" ht="15.75" customHeight="1" x14ac:dyDescent="0.25">
      <c r="A29" s="438">
        <v>26</v>
      </c>
      <c r="B29" s="470" t="s">
        <v>17</v>
      </c>
      <c r="C29" s="471" t="s">
        <v>18</v>
      </c>
      <c r="D29" s="472" t="s">
        <v>19</v>
      </c>
      <c r="E29" s="448" t="s">
        <v>4084</v>
      </c>
      <c r="F29" s="448" t="s">
        <v>4096</v>
      </c>
      <c r="G29" s="473" t="s">
        <v>3895</v>
      </c>
      <c r="H29" s="439" t="s">
        <v>66</v>
      </c>
      <c r="I29" s="474" t="s">
        <v>3459</v>
      </c>
      <c r="J29" s="474" t="s">
        <v>3463</v>
      </c>
      <c r="K29" s="443" t="s">
        <v>61</v>
      </c>
      <c r="L29" s="471">
        <v>1</v>
      </c>
      <c r="M29" s="447" t="s">
        <v>67</v>
      </c>
      <c r="N29" s="455">
        <v>14000</v>
      </c>
      <c r="O29" s="475">
        <f t="shared" si="0"/>
        <v>14000</v>
      </c>
      <c r="P29" s="476"/>
      <c r="Q29" s="477">
        <v>46023</v>
      </c>
      <c r="R29" s="476"/>
      <c r="S29" s="476"/>
    </row>
    <row r="30" spans="1:19" ht="15.75" customHeight="1" x14ac:dyDescent="0.25">
      <c r="A30" s="438">
        <v>27</v>
      </c>
      <c r="B30" s="470" t="s">
        <v>17</v>
      </c>
      <c r="C30" s="471" t="s">
        <v>18</v>
      </c>
      <c r="D30" s="472" t="s">
        <v>19</v>
      </c>
      <c r="E30" s="448" t="s">
        <v>4084</v>
      </c>
      <c r="F30" s="448" t="s">
        <v>4096</v>
      </c>
      <c r="G30" s="473" t="s">
        <v>3895</v>
      </c>
      <c r="H30" s="439" t="s">
        <v>66</v>
      </c>
      <c r="I30" s="474" t="s">
        <v>3459</v>
      </c>
      <c r="J30" s="474" t="s">
        <v>3463</v>
      </c>
      <c r="K30" s="443" t="s">
        <v>61</v>
      </c>
      <c r="L30" s="471">
        <v>1</v>
      </c>
      <c r="M30" s="447" t="s">
        <v>68</v>
      </c>
      <c r="N30" s="455">
        <v>14000</v>
      </c>
      <c r="O30" s="475">
        <f t="shared" si="0"/>
        <v>14000</v>
      </c>
      <c r="P30" s="476"/>
      <c r="Q30" s="477">
        <v>46023</v>
      </c>
      <c r="R30" s="476"/>
      <c r="S30" s="476"/>
    </row>
    <row r="31" spans="1:19" ht="15.75" customHeight="1" x14ac:dyDescent="0.25">
      <c r="A31" s="438">
        <v>28</v>
      </c>
      <c r="B31" s="470" t="s">
        <v>17</v>
      </c>
      <c r="C31" s="471" t="s">
        <v>18</v>
      </c>
      <c r="D31" s="472" t="s">
        <v>19</v>
      </c>
      <c r="E31" s="448" t="s">
        <v>4084</v>
      </c>
      <c r="F31" s="448" t="s">
        <v>4096</v>
      </c>
      <c r="G31" s="473" t="s">
        <v>3895</v>
      </c>
      <c r="H31" s="439" t="s">
        <v>66</v>
      </c>
      <c r="I31" s="474" t="s">
        <v>3459</v>
      </c>
      <c r="J31" s="474" t="s">
        <v>3463</v>
      </c>
      <c r="K31" s="443" t="s">
        <v>61</v>
      </c>
      <c r="L31" s="471">
        <v>1</v>
      </c>
      <c r="M31" s="447" t="s">
        <v>69</v>
      </c>
      <c r="N31" s="455">
        <v>14000</v>
      </c>
      <c r="O31" s="475">
        <f t="shared" si="0"/>
        <v>14000</v>
      </c>
      <c r="P31" s="476"/>
      <c r="Q31" s="477">
        <v>46023</v>
      </c>
      <c r="R31" s="476"/>
      <c r="S31" s="476"/>
    </row>
    <row r="32" spans="1:19" ht="15.75" customHeight="1" x14ac:dyDescent="0.25">
      <c r="A32" s="438">
        <v>29</v>
      </c>
      <c r="B32" s="470" t="s">
        <v>17</v>
      </c>
      <c r="C32" s="471" t="s">
        <v>18</v>
      </c>
      <c r="D32" s="472" t="s">
        <v>19</v>
      </c>
      <c r="E32" s="448" t="s">
        <v>4084</v>
      </c>
      <c r="F32" s="448" t="s">
        <v>4096</v>
      </c>
      <c r="G32" s="473" t="s">
        <v>3895</v>
      </c>
      <c r="H32" s="439" t="s">
        <v>66</v>
      </c>
      <c r="I32" s="474" t="s">
        <v>3459</v>
      </c>
      <c r="J32" s="474" t="s">
        <v>3463</v>
      </c>
      <c r="K32" s="443" t="s">
        <v>61</v>
      </c>
      <c r="L32" s="471">
        <v>1</v>
      </c>
      <c r="M32" s="447" t="s">
        <v>70</v>
      </c>
      <c r="N32" s="456">
        <v>14000</v>
      </c>
      <c r="O32" s="475">
        <f t="shared" si="0"/>
        <v>14000</v>
      </c>
      <c r="P32" s="476"/>
      <c r="Q32" s="477">
        <v>46023</v>
      </c>
      <c r="R32" s="476"/>
      <c r="S32" s="476"/>
    </row>
    <row r="33" spans="1:19" ht="15.75" customHeight="1" x14ac:dyDescent="0.25">
      <c r="A33" s="438">
        <v>30</v>
      </c>
      <c r="B33" s="470" t="s">
        <v>17</v>
      </c>
      <c r="C33" s="471" t="s">
        <v>18</v>
      </c>
      <c r="D33" s="472" t="s">
        <v>19</v>
      </c>
      <c r="E33" s="448" t="s">
        <v>4081</v>
      </c>
      <c r="F33" s="448" t="s">
        <v>2989</v>
      </c>
      <c r="G33" s="473" t="s">
        <v>3896</v>
      </c>
      <c r="H33" s="439" t="s">
        <v>71</v>
      </c>
      <c r="I33" s="474" t="s">
        <v>3457</v>
      </c>
      <c r="J33" s="474" t="s">
        <v>3463</v>
      </c>
      <c r="K33" s="443" t="s">
        <v>72</v>
      </c>
      <c r="L33" s="471">
        <v>1</v>
      </c>
      <c r="M33" s="447" t="s">
        <v>73</v>
      </c>
      <c r="N33" s="456">
        <v>2000</v>
      </c>
      <c r="O33" s="475">
        <f t="shared" si="0"/>
        <v>2000</v>
      </c>
      <c r="P33" s="476"/>
      <c r="Q33" s="477">
        <v>46023</v>
      </c>
      <c r="R33" s="476"/>
      <c r="S33" s="476"/>
    </row>
    <row r="34" spans="1:19" ht="15.75" customHeight="1" x14ac:dyDescent="0.25">
      <c r="A34" s="438">
        <v>31</v>
      </c>
      <c r="B34" s="470" t="s">
        <v>17</v>
      </c>
      <c r="C34" s="471" t="s">
        <v>18</v>
      </c>
      <c r="D34" s="472" t="s">
        <v>19</v>
      </c>
      <c r="E34" s="448" t="s">
        <v>4085</v>
      </c>
      <c r="F34" s="448" t="s">
        <v>2985</v>
      </c>
      <c r="G34" s="473" t="s">
        <v>3897</v>
      </c>
      <c r="H34" s="439" t="s">
        <v>74</v>
      </c>
      <c r="I34" s="474" t="s">
        <v>3459</v>
      </c>
      <c r="J34" s="474" t="s">
        <v>3463</v>
      </c>
      <c r="K34" s="443" t="s">
        <v>75</v>
      </c>
      <c r="L34" s="471">
        <v>1</v>
      </c>
      <c r="M34" s="447" t="s">
        <v>76</v>
      </c>
      <c r="N34" s="456">
        <v>2000</v>
      </c>
      <c r="O34" s="475">
        <f t="shared" si="0"/>
        <v>2000</v>
      </c>
      <c r="P34" s="476"/>
      <c r="Q34" s="477">
        <v>46023</v>
      </c>
      <c r="R34" s="476"/>
      <c r="S34" s="476"/>
    </row>
    <row r="35" spans="1:19" ht="15.75" customHeight="1" x14ac:dyDescent="0.25">
      <c r="A35" s="438">
        <v>32</v>
      </c>
      <c r="B35" s="470" t="s">
        <v>17</v>
      </c>
      <c r="C35" s="471" t="s">
        <v>18</v>
      </c>
      <c r="D35" s="472" t="s">
        <v>19</v>
      </c>
      <c r="E35" s="448" t="s">
        <v>4081</v>
      </c>
      <c r="F35" s="448" t="s">
        <v>2989</v>
      </c>
      <c r="G35" s="473" t="s">
        <v>3897</v>
      </c>
      <c r="H35" s="439" t="s">
        <v>74</v>
      </c>
      <c r="I35" s="474" t="s">
        <v>3459</v>
      </c>
      <c r="J35" s="474" t="s">
        <v>3463</v>
      </c>
      <c r="K35" s="443" t="s">
        <v>75</v>
      </c>
      <c r="L35" s="471">
        <v>1</v>
      </c>
      <c r="M35" s="447" t="s">
        <v>77</v>
      </c>
      <c r="N35" s="456">
        <v>2000</v>
      </c>
      <c r="O35" s="475">
        <f t="shared" si="0"/>
        <v>2000</v>
      </c>
      <c r="P35" s="476"/>
      <c r="Q35" s="477">
        <v>46023</v>
      </c>
      <c r="R35" s="476"/>
      <c r="S35" s="476"/>
    </row>
    <row r="36" spans="1:19" ht="15.75" customHeight="1" x14ac:dyDescent="0.25">
      <c r="A36" s="438">
        <v>33</v>
      </c>
      <c r="B36" s="470" t="s">
        <v>17</v>
      </c>
      <c r="C36" s="471" t="s">
        <v>18</v>
      </c>
      <c r="D36" s="472" t="s">
        <v>19</v>
      </c>
      <c r="E36" s="448" t="s">
        <v>4081</v>
      </c>
      <c r="F36" s="448" t="s">
        <v>2989</v>
      </c>
      <c r="G36" s="473" t="s">
        <v>3897</v>
      </c>
      <c r="H36" s="439" t="s">
        <v>74</v>
      </c>
      <c r="I36" s="474" t="s">
        <v>3459</v>
      </c>
      <c r="J36" s="474" t="s">
        <v>3463</v>
      </c>
      <c r="K36" s="443" t="s">
        <v>75</v>
      </c>
      <c r="L36" s="471">
        <v>1</v>
      </c>
      <c r="M36" s="447" t="s">
        <v>78</v>
      </c>
      <c r="N36" s="456">
        <v>2000</v>
      </c>
      <c r="O36" s="475">
        <f t="shared" si="0"/>
        <v>2000</v>
      </c>
      <c r="P36" s="476"/>
      <c r="Q36" s="477">
        <v>46023</v>
      </c>
      <c r="R36" s="476"/>
      <c r="S36" s="476"/>
    </row>
    <row r="37" spans="1:19" ht="15.75" customHeight="1" x14ac:dyDescent="0.25">
      <c r="A37" s="438">
        <v>34</v>
      </c>
      <c r="B37" s="470" t="s">
        <v>17</v>
      </c>
      <c r="C37" s="471" t="s">
        <v>18</v>
      </c>
      <c r="D37" s="472" t="s">
        <v>19</v>
      </c>
      <c r="E37" s="448" t="s">
        <v>4081</v>
      </c>
      <c r="F37" s="448" t="s">
        <v>2989</v>
      </c>
      <c r="G37" s="473" t="s">
        <v>3897</v>
      </c>
      <c r="H37" s="439" t="s">
        <v>74</v>
      </c>
      <c r="I37" s="474" t="s">
        <v>3459</v>
      </c>
      <c r="J37" s="474" t="s">
        <v>3463</v>
      </c>
      <c r="K37" s="443" t="s">
        <v>75</v>
      </c>
      <c r="L37" s="471">
        <v>1</v>
      </c>
      <c r="M37" s="447" t="s">
        <v>79</v>
      </c>
      <c r="N37" s="456">
        <v>2000</v>
      </c>
      <c r="O37" s="475">
        <f t="shared" si="0"/>
        <v>2000</v>
      </c>
      <c r="P37" s="476"/>
      <c r="Q37" s="477">
        <v>46023</v>
      </c>
      <c r="R37" s="476"/>
      <c r="S37" s="476"/>
    </row>
    <row r="38" spans="1:19" ht="15.75" customHeight="1" x14ac:dyDescent="0.25">
      <c r="A38" s="438">
        <v>35</v>
      </c>
      <c r="B38" s="470" t="s">
        <v>17</v>
      </c>
      <c r="C38" s="471" t="s">
        <v>18</v>
      </c>
      <c r="D38" s="472" t="s">
        <v>19</v>
      </c>
      <c r="E38" s="448" t="s">
        <v>4081</v>
      </c>
      <c r="F38" s="448" t="s">
        <v>2989</v>
      </c>
      <c r="G38" s="473" t="s">
        <v>3897</v>
      </c>
      <c r="H38" s="439" t="s">
        <v>74</v>
      </c>
      <c r="I38" s="474" t="s">
        <v>3459</v>
      </c>
      <c r="J38" s="474" t="s">
        <v>3463</v>
      </c>
      <c r="K38" s="443" t="s">
        <v>75</v>
      </c>
      <c r="L38" s="471">
        <v>1</v>
      </c>
      <c r="M38" s="447" t="s">
        <v>80</v>
      </c>
      <c r="N38" s="456">
        <v>2000</v>
      </c>
      <c r="O38" s="475">
        <f t="shared" si="0"/>
        <v>2000</v>
      </c>
      <c r="P38" s="476"/>
      <c r="Q38" s="477">
        <v>46023</v>
      </c>
      <c r="R38" s="476"/>
      <c r="S38" s="476"/>
    </row>
    <row r="39" spans="1:19" ht="15.75" customHeight="1" x14ac:dyDescent="0.25">
      <c r="A39" s="438">
        <v>36</v>
      </c>
      <c r="B39" s="470" t="s">
        <v>17</v>
      </c>
      <c r="C39" s="471" t="s">
        <v>18</v>
      </c>
      <c r="D39" s="472" t="s">
        <v>19</v>
      </c>
      <c r="E39" s="448" t="s">
        <v>4081</v>
      </c>
      <c r="F39" s="448" t="s">
        <v>2989</v>
      </c>
      <c r="G39" s="473" t="s">
        <v>3897</v>
      </c>
      <c r="H39" s="439" t="s">
        <v>74</v>
      </c>
      <c r="I39" s="474" t="s">
        <v>3459</v>
      </c>
      <c r="J39" s="474" t="s">
        <v>3463</v>
      </c>
      <c r="K39" s="443" t="s">
        <v>75</v>
      </c>
      <c r="L39" s="471">
        <v>1</v>
      </c>
      <c r="M39" s="447" t="s">
        <v>81</v>
      </c>
      <c r="N39" s="456">
        <v>2000</v>
      </c>
      <c r="O39" s="475">
        <f t="shared" si="0"/>
        <v>2000</v>
      </c>
      <c r="P39" s="476"/>
      <c r="Q39" s="477">
        <v>46023</v>
      </c>
      <c r="R39" s="476"/>
      <c r="S39" s="476"/>
    </row>
    <row r="40" spans="1:19" ht="15.75" customHeight="1" x14ac:dyDescent="0.25">
      <c r="A40" s="438">
        <v>37</v>
      </c>
      <c r="B40" s="470" t="s">
        <v>17</v>
      </c>
      <c r="C40" s="471" t="s">
        <v>18</v>
      </c>
      <c r="D40" s="472" t="s">
        <v>19</v>
      </c>
      <c r="E40" s="448" t="s">
        <v>4081</v>
      </c>
      <c r="F40" s="448" t="s">
        <v>2989</v>
      </c>
      <c r="G40" s="473" t="s">
        <v>3897</v>
      </c>
      <c r="H40" s="439" t="s">
        <v>74</v>
      </c>
      <c r="I40" s="474" t="s">
        <v>3459</v>
      </c>
      <c r="J40" s="474" t="s">
        <v>3463</v>
      </c>
      <c r="K40" s="443" t="s">
        <v>75</v>
      </c>
      <c r="L40" s="471">
        <v>1</v>
      </c>
      <c r="M40" s="447" t="s">
        <v>82</v>
      </c>
      <c r="N40" s="456">
        <v>2000</v>
      </c>
      <c r="O40" s="475">
        <f t="shared" si="0"/>
        <v>2000</v>
      </c>
      <c r="P40" s="476"/>
      <c r="Q40" s="477">
        <v>46023</v>
      </c>
      <c r="R40" s="476"/>
      <c r="S40" s="476"/>
    </row>
    <row r="41" spans="1:19" ht="15.75" customHeight="1" x14ac:dyDescent="0.25">
      <c r="A41" s="438">
        <v>38</v>
      </c>
      <c r="B41" s="470" t="s">
        <v>17</v>
      </c>
      <c r="C41" s="471" t="s">
        <v>18</v>
      </c>
      <c r="D41" s="472" t="s">
        <v>19</v>
      </c>
      <c r="E41" s="448" t="s">
        <v>4081</v>
      </c>
      <c r="F41" s="448" t="s">
        <v>2989</v>
      </c>
      <c r="G41" s="473" t="s">
        <v>3897</v>
      </c>
      <c r="H41" s="439" t="s">
        <v>74</v>
      </c>
      <c r="I41" s="474" t="s">
        <v>3459</v>
      </c>
      <c r="J41" s="474" t="s">
        <v>3463</v>
      </c>
      <c r="K41" s="443" t="s">
        <v>75</v>
      </c>
      <c r="L41" s="471">
        <v>1</v>
      </c>
      <c r="M41" s="447" t="s">
        <v>83</v>
      </c>
      <c r="N41" s="456">
        <v>2000</v>
      </c>
      <c r="O41" s="475">
        <f t="shared" si="0"/>
        <v>2000</v>
      </c>
      <c r="P41" s="476"/>
      <c r="Q41" s="477">
        <v>46023</v>
      </c>
      <c r="R41" s="476"/>
      <c r="S41" s="476"/>
    </row>
    <row r="42" spans="1:19" ht="15.75" customHeight="1" x14ac:dyDescent="0.25">
      <c r="A42" s="438">
        <v>39</v>
      </c>
      <c r="B42" s="470" t="s">
        <v>17</v>
      </c>
      <c r="C42" s="471" t="s">
        <v>18</v>
      </c>
      <c r="D42" s="472" t="s">
        <v>19</v>
      </c>
      <c r="E42" s="448" t="s">
        <v>4081</v>
      </c>
      <c r="F42" s="448" t="s">
        <v>2989</v>
      </c>
      <c r="G42" s="473" t="s">
        <v>3897</v>
      </c>
      <c r="H42" s="439" t="s">
        <v>74</v>
      </c>
      <c r="I42" s="474" t="s">
        <v>3459</v>
      </c>
      <c r="J42" s="474" t="s">
        <v>3463</v>
      </c>
      <c r="K42" s="443" t="s">
        <v>75</v>
      </c>
      <c r="L42" s="471">
        <v>1</v>
      </c>
      <c r="M42" s="447" t="s">
        <v>84</v>
      </c>
      <c r="N42" s="456">
        <v>2000</v>
      </c>
      <c r="O42" s="475">
        <f t="shared" si="0"/>
        <v>2000</v>
      </c>
      <c r="P42" s="476"/>
      <c r="Q42" s="477">
        <v>46023</v>
      </c>
      <c r="R42" s="476"/>
      <c r="S42" s="476"/>
    </row>
    <row r="43" spans="1:19" ht="15.75" customHeight="1" x14ac:dyDescent="0.25">
      <c r="A43" s="438">
        <v>40</v>
      </c>
      <c r="B43" s="470" t="s">
        <v>17</v>
      </c>
      <c r="C43" s="471" t="s">
        <v>18</v>
      </c>
      <c r="D43" s="472" t="s">
        <v>19</v>
      </c>
      <c r="E43" s="465" t="s">
        <v>4081</v>
      </c>
      <c r="F43" s="448" t="s">
        <v>2989</v>
      </c>
      <c r="G43" s="473" t="s">
        <v>3897</v>
      </c>
      <c r="H43" s="439" t="s">
        <v>74</v>
      </c>
      <c r="I43" s="474" t="s">
        <v>3459</v>
      </c>
      <c r="J43" s="474" t="s">
        <v>3463</v>
      </c>
      <c r="K43" s="443" t="s">
        <v>75</v>
      </c>
      <c r="L43" s="471">
        <v>1</v>
      </c>
      <c r="M43" s="447" t="s">
        <v>85</v>
      </c>
      <c r="N43" s="456">
        <v>2000</v>
      </c>
      <c r="O43" s="475">
        <f t="shared" si="0"/>
        <v>2000</v>
      </c>
      <c r="P43" s="476"/>
      <c r="Q43" s="477">
        <v>46023</v>
      </c>
      <c r="R43" s="476"/>
      <c r="S43" s="476"/>
    </row>
    <row r="44" spans="1:19" ht="15.75" customHeight="1" x14ac:dyDescent="0.25">
      <c r="A44" s="438">
        <v>41</v>
      </c>
      <c r="B44" s="470" t="s">
        <v>17</v>
      </c>
      <c r="C44" s="471" t="s">
        <v>18</v>
      </c>
      <c r="D44" s="472" t="s">
        <v>19</v>
      </c>
      <c r="E44" s="448" t="s">
        <v>4081</v>
      </c>
      <c r="F44" s="448" t="s">
        <v>2989</v>
      </c>
      <c r="G44" s="473" t="s">
        <v>3897</v>
      </c>
      <c r="H44" s="439" t="s">
        <v>74</v>
      </c>
      <c r="I44" s="474" t="s">
        <v>3459</v>
      </c>
      <c r="J44" s="474" t="s">
        <v>3463</v>
      </c>
      <c r="K44" s="443" t="s">
        <v>75</v>
      </c>
      <c r="L44" s="471">
        <v>1</v>
      </c>
      <c r="M44" s="447" t="s">
        <v>86</v>
      </c>
      <c r="N44" s="456">
        <v>2000</v>
      </c>
      <c r="O44" s="475">
        <f t="shared" si="0"/>
        <v>2000</v>
      </c>
      <c r="P44" s="476"/>
      <c r="Q44" s="477">
        <v>46023</v>
      </c>
      <c r="R44" s="476"/>
      <c r="S44" s="476"/>
    </row>
    <row r="45" spans="1:19" ht="15.75" customHeight="1" x14ac:dyDescent="0.25">
      <c r="A45" s="438">
        <v>42</v>
      </c>
      <c r="B45" s="470" t="s">
        <v>17</v>
      </c>
      <c r="C45" s="471" t="s">
        <v>18</v>
      </c>
      <c r="D45" s="472" t="s">
        <v>19</v>
      </c>
      <c r="E45" s="448" t="s">
        <v>4081</v>
      </c>
      <c r="F45" s="448" t="s">
        <v>2989</v>
      </c>
      <c r="G45" s="473" t="s">
        <v>3898</v>
      </c>
      <c r="H45" s="439" t="s">
        <v>87</v>
      </c>
      <c r="I45" s="474" t="s">
        <v>3457</v>
      </c>
      <c r="J45" s="474" t="s">
        <v>3463</v>
      </c>
      <c r="K45" s="443" t="s">
        <v>88</v>
      </c>
      <c r="L45" s="471">
        <v>1</v>
      </c>
      <c r="M45" s="447" t="s">
        <v>89</v>
      </c>
      <c r="N45" s="456">
        <v>2550</v>
      </c>
      <c r="O45" s="475">
        <f t="shared" si="0"/>
        <v>2550</v>
      </c>
      <c r="P45" s="476"/>
      <c r="Q45" s="477">
        <v>46023</v>
      </c>
      <c r="R45" s="476"/>
      <c r="S45" s="476"/>
    </row>
    <row r="46" spans="1:19" ht="15.75" customHeight="1" x14ac:dyDescent="0.25">
      <c r="A46" s="438">
        <v>43</v>
      </c>
      <c r="B46" s="470" t="s">
        <v>17</v>
      </c>
      <c r="C46" s="471" t="s">
        <v>18</v>
      </c>
      <c r="D46" s="472" t="s">
        <v>19</v>
      </c>
      <c r="E46" s="448" t="s">
        <v>4081</v>
      </c>
      <c r="F46" s="448" t="s">
        <v>2989</v>
      </c>
      <c r="G46" s="473" t="s">
        <v>3898</v>
      </c>
      <c r="H46" s="439" t="s">
        <v>87</v>
      </c>
      <c r="I46" s="474" t="s">
        <v>3457</v>
      </c>
      <c r="J46" s="474" t="s">
        <v>3463</v>
      </c>
      <c r="K46" s="443" t="s">
        <v>88</v>
      </c>
      <c r="L46" s="471">
        <v>1</v>
      </c>
      <c r="M46" s="447" t="s">
        <v>90</v>
      </c>
      <c r="N46" s="456">
        <v>2550</v>
      </c>
      <c r="O46" s="475">
        <f t="shared" si="0"/>
        <v>2550</v>
      </c>
      <c r="P46" s="476"/>
      <c r="Q46" s="477">
        <v>46023</v>
      </c>
      <c r="R46" s="476"/>
      <c r="S46" s="476"/>
    </row>
    <row r="47" spans="1:19" ht="15.75" customHeight="1" x14ac:dyDescent="0.25">
      <c r="A47" s="438">
        <v>44</v>
      </c>
      <c r="B47" s="470" t="s">
        <v>17</v>
      </c>
      <c r="C47" s="471" t="s">
        <v>18</v>
      </c>
      <c r="D47" s="472" t="s">
        <v>19</v>
      </c>
      <c r="E47" s="448" t="s">
        <v>4081</v>
      </c>
      <c r="F47" s="448" t="s">
        <v>2989</v>
      </c>
      <c r="G47" s="473" t="s">
        <v>3898</v>
      </c>
      <c r="H47" s="439" t="s">
        <v>87</v>
      </c>
      <c r="I47" s="474" t="s">
        <v>3457</v>
      </c>
      <c r="J47" s="474" t="s">
        <v>3463</v>
      </c>
      <c r="K47" s="443" t="s">
        <v>88</v>
      </c>
      <c r="L47" s="471">
        <v>1</v>
      </c>
      <c r="M47" s="447" t="s">
        <v>91</v>
      </c>
      <c r="N47" s="456">
        <v>2550</v>
      </c>
      <c r="O47" s="475">
        <f t="shared" si="0"/>
        <v>2550</v>
      </c>
      <c r="P47" s="476"/>
      <c r="Q47" s="477">
        <v>46023</v>
      </c>
      <c r="R47" s="476"/>
      <c r="S47" s="476"/>
    </row>
    <row r="48" spans="1:19" ht="15.75" customHeight="1" x14ac:dyDescent="0.25">
      <c r="A48" s="438">
        <v>45</v>
      </c>
      <c r="B48" s="470" t="s">
        <v>17</v>
      </c>
      <c r="C48" s="471" t="s">
        <v>18</v>
      </c>
      <c r="D48" s="472" t="s">
        <v>19</v>
      </c>
      <c r="E48" s="448" t="s">
        <v>4081</v>
      </c>
      <c r="F48" s="448" t="s">
        <v>2989</v>
      </c>
      <c r="G48" s="473" t="s">
        <v>3898</v>
      </c>
      <c r="H48" s="439" t="s">
        <v>87</v>
      </c>
      <c r="I48" s="474" t="s">
        <v>3457</v>
      </c>
      <c r="J48" s="474" t="s">
        <v>3463</v>
      </c>
      <c r="K48" s="443" t="s">
        <v>88</v>
      </c>
      <c r="L48" s="471">
        <v>1</v>
      </c>
      <c r="M48" s="447" t="s">
        <v>92</v>
      </c>
      <c r="N48" s="456">
        <v>2550</v>
      </c>
      <c r="O48" s="475">
        <f t="shared" si="0"/>
        <v>2550</v>
      </c>
      <c r="P48" s="476"/>
      <c r="Q48" s="477">
        <v>46023</v>
      </c>
      <c r="R48" s="476"/>
      <c r="S48" s="476"/>
    </row>
    <row r="49" spans="1:19" ht="15.75" customHeight="1" x14ac:dyDescent="0.25">
      <c r="A49" s="438">
        <v>46</v>
      </c>
      <c r="B49" s="470" t="s">
        <v>17</v>
      </c>
      <c r="C49" s="471" t="s">
        <v>18</v>
      </c>
      <c r="D49" s="472" t="s">
        <v>19</v>
      </c>
      <c r="E49" s="448" t="s">
        <v>4081</v>
      </c>
      <c r="F49" s="448" t="s">
        <v>2989</v>
      </c>
      <c r="G49" s="473" t="s">
        <v>3898</v>
      </c>
      <c r="H49" s="439" t="s">
        <v>87</v>
      </c>
      <c r="I49" s="474" t="s">
        <v>3457</v>
      </c>
      <c r="J49" s="474" t="s">
        <v>3463</v>
      </c>
      <c r="K49" s="443" t="s">
        <v>88</v>
      </c>
      <c r="L49" s="471">
        <v>1</v>
      </c>
      <c r="M49" s="447" t="s">
        <v>93</v>
      </c>
      <c r="N49" s="456">
        <v>2550</v>
      </c>
      <c r="O49" s="475">
        <f t="shared" si="0"/>
        <v>2550</v>
      </c>
      <c r="P49" s="476"/>
      <c r="Q49" s="477">
        <v>46023</v>
      </c>
      <c r="R49" s="476"/>
      <c r="S49" s="476"/>
    </row>
    <row r="50" spans="1:19" ht="15.75" customHeight="1" x14ac:dyDescent="0.25">
      <c r="A50" s="438">
        <v>47</v>
      </c>
      <c r="B50" s="470" t="s">
        <v>17</v>
      </c>
      <c r="C50" s="471" t="s">
        <v>18</v>
      </c>
      <c r="D50" s="472" t="s">
        <v>19</v>
      </c>
      <c r="E50" s="448" t="s">
        <v>4081</v>
      </c>
      <c r="F50" s="448" t="s">
        <v>2989</v>
      </c>
      <c r="G50" s="473" t="s">
        <v>3898</v>
      </c>
      <c r="H50" s="439" t="s">
        <v>87</v>
      </c>
      <c r="I50" s="474" t="s">
        <v>3457</v>
      </c>
      <c r="J50" s="474" t="s">
        <v>3463</v>
      </c>
      <c r="K50" s="443" t="s">
        <v>88</v>
      </c>
      <c r="L50" s="471">
        <v>1</v>
      </c>
      <c r="M50" s="447" t="s">
        <v>94</v>
      </c>
      <c r="N50" s="456">
        <v>2550</v>
      </c>
      <c r="O50" s="475">
        <f t="shared" si="0"/>
        <v>2550</v>
      </c>
      <c r="P50" s="476"/>
      <c r="Q50" s="477">
        <v>46023</v>
      </c>
      <c r="R50" s="476"/>
      <c r="S50" s="476"/>
    </row>
    <row r="51" spans="1:19" ht="15.75" customHeight="1" x14ac:dyDescent="0.25">
      <c r="A51" s="438">
        <v>48</v>
      </c>
      <c r="B51" s="470" t="s">
        <v>17</v>
      </c>
      <c r="C51" s="471" t="s">
        <v>18</v>
      </c>
      <c r="D51" s="472" t="s">
        <v>19</v>
      </c>
      <c r="E51" s="448" t="s">
        <v>4081</v>
      </c>
      <c r="F51" s="448" t="s">
        <v>2989</v>
      </c>
      <c r="G51" s="473" t="s">
        <v>3898</v>
      </c>
      <c r="H51" s="439" t="s">
        <v>87</v>
      </c>
      <c r="I51" s="474" t="s">
        <v>3457</v>
      </c>
      <c r="J51" s="474" t="s">
        <v>3463</v>
      </c>
      <c r="K51" s="443" t="s">
        <v>88</v>
      </c>
      <c r="L51" s="471">
        <v>1</v>
      </c>
      <c r="M51" s="447" t="s">
        <v>95</v>
      </c>
      <c r="N51" s="456">
        <v>2550</v>
      </c>
      <c r="O51" s="475">
        <f t="shared" si="0"/>
        <v>2550</v>
      </c>
      <c r="P51" s="476"/>
      <c r="Q51" s="477">
        <v>46023</v>
      </c>
      <c r="R51" s="476"/>
      <c r="S51" s="476"/>
    </row>
    <row r="52" spans="1:19" ht="15.75" customHeight="1" x14ac:dyDescent="0.25">
      <c r="A52" s="438">
        <v>49</v>
      </c>
      <c r="B52" s="470" t="s">
        <v>17</v>
      </c>
      <c r="C52" s="471" t="s">
        <v>18</v>
      </c>
      <c r="D52" s="472" t="s">
        <v>19</v>
      </c>
      <c r="E52" s="448" t="s">
        <v>4081</v>
      </c>
      <c r="F52" s="448" t="s">
        <v>2989</v>
      </c>
      <c r="G52" s="473" t="s">
        <v>3898</v>
      </c>
      <c r="H52" s="439" t="s">
        <v>87</v>
      </c>
      <c r="I52" s="474" t="s">
        <v>3457</v>
      </c>
      <c r="J52" s="474" t="s">
        <v>3463</v>
      </c>
      <c r="K52" s="443" t="s">
        <v>88</v>
      </c>
      <c r="L52" s="471">
        <v>1</v>
      </c>
      <c r="M52" s="447" t="s">
        <v>96</v>
      </c>
      <c r="N52" s="456">
        <v>2550</v>
      </c>
      <c r="O52" s="475">
        <f t="shared" si="0"/>
        <v>2550</v>
      </c>
      <c r="P52" s="476"/>
      <c r="Q52" s="477">
        <v>46023</v>
      </c>
      <c r="R52" s="476"/>
      <c r="S52" s="476"/>
    </row>
    <row r="53" spans="1:19" ht="15.75" customHeight="1" x14ac:dyDescent="0.25">
      <c r="A53" s="438">
        <v>50</v>
      </c>
      <c r="B53" s="470" t="s">
        <v>17</v>
      </c>
      <c r="C53" s="471" t="s">
        <v>18</v>
      </c>
      <c r="D53" s="472" t="s">
        <v>19</v>
      </c>
      <c r="E53" s="448" t="s">
        <v>4081</v>
      </c>
      <c r="F53" s="448" t="s">
        <v>2989</v>
      </c>
      <c r="G53" s="473" t="s">
        <v>3898</v>
      </c>
      <c r="H53" s="439" t="s">
        <v>87</v>
      </c>
      <c r="I53" s="474" t="s">
        <v>3457</v>
      </c>
      <c r="J53" s="474" t="s">
        <v>3463</v>
      </c>
      <c r="K53" s="443" t="s">
        <v>88</v>
      </c>
      <c r="L53" s="471">
        <v>1</v>
      </c>
      <c r="M53" s="447" t="s">
        <v>97</v>
      </c>
      <c r="N53" s="456">
        <v>2550</v>
      </c>
      <c r="O53" s="475">
        <f t="shared" si="0"/>
        <v>2550</v>
      </c>
      <c r="P53" s="476"/>
      <c r="Q53" s="477">
        <v>46023</v>
      </c>
      <c r="R53" s="476"/>
      <c r="S53" s="476"/>
    </row>
    <row r="54" spans="1:19" ht="15.75" customHeight="1" x14ac:dyDescent="0.25">
      <c r="A54" s="438">
        <v>51</v>
      </c>
      <c r="B54" s="470" t="s">
        <v>17</v>
      </c>
      <c r="C54" s="471" t="s">
        <v>18</v>
      </c>
      <c r="D54" s="472" t="s">
        <v>19</v>
      </c>
      <c r="E54" s="448" t="s">
        <v>4081</v>
      </c>
      <c r="F54" s="448" t="s">
        <v>2989</v>
      </c>
      <c r="G54" s="473" t="s">
        <v>3898</v>
      </c>
      <c r="H54" s="439" t="s">
        <v>87</v>
      </c>
      <c r="I54" s="474" t="s">
        <v>3457</v>
      </c>
      <c r="J54" s="474" t="s">
        <v>3463</v>
      </c>
      <c r="K54" s="443" t="s">
        <v>88</v>
      </c>
      <c r="L54" s="471">
        <v>1</v>
      </c>
      <c r="M54" s="447" t="s">
        <v>98</v>
      </c>
      <c r="N54" s="456">
        <v>2550</v>
      </c>
      <c r="O54" s="475">
        <f t="shared" si="0"/>
        <v>2550</v>
      </c>
      <c r="P54" s="476"/>
      <c r="Q54" s="477">
        <v>46023</v>
      </c>
      <c r="R54" s="476"/>
      <c r="S54" s="476"/>
    </row>
    <row r="55" spans="1:19" ht="15.75" customHeight="1" x14ac:dyDescent="0.25">
      <c r="A55" s="438">
        <v>52</v>
      </c>
      <c r="B55" s="470" t="s">
        <v>17</v>
      </c>
      <c r="C55" s="471" t="s">
        <v>18</v>
      </c>
      <c r="D55" s="472" t="s">
        <v>19</v>
      </c>
      <c r="E55" s="448" t="s">
        <v>4081</v>
      </c>
      <c r="F55" s="448" t="s">
        <v>2989</v>
      </c>
      <c r="G55" s="473" t="s">
        <v>3899</v>
      </c>
      <c r="H55" s="439" t="s">
        <v>99</v>
      </c>
      <c r="I55" s="474" t="s">
        <v>3457</v>
      </c>
      <c r="J55" s="474" t="s">
        <v>3464</v>
      </c>
      <c r="K55" s="443" t="s">
        <v>100</v>
      </c>
      <c r="L55" s="471">
        <v>1</v>
      </c>
      <c r="M55" s="447" t="s">
        <v>101</v>
      </c>
      <c r="N55" s="456">
        <v>9250</v>
      </c>
      <c r="O55" s="475">
        <f t="shared" si="0"/>
        <v>9250</v>
      </c>
      <c r="P55" s="476"/>
      <c r="Q55" s="477">
        <v>46023</v>
      </c>
      <c r="R55" s="476"/>
      <c r="S55" s="476"/>
    </row>
    <row r="56" spans="1:19" ht="15.75" customHeight="1" x14ac:dyDescent="0.25">
      <c r="A56" s="438">
        <v>53</v>
      </c>
      <c r="B56" s="470" t="s">
        <v>17</v>
      </c>
      <c r="C56" s="471" t="s">
        <v>18</v>
      </c>
      <c r="D56" s="472" t="s">
        <v>19</v>
      </c>
      <c r="E56" s="448" t="s">
        <v>4081</v>
      </c>
      <c r="F56" s="448" t="s">
        <v>2989</v>
      </c>
      <c r="G56" s="473" t="s">
        <v>3899</v>
      </c>
      <c r="H56" s="439" t="s">
        <v>99</v>
      </c>
      <c r="I56" s="474" t="s">
        <v>3457</v>
      </c>
      <c r="J56" s="474" t="s">
        <v>3464</v>
      </c>
      <c r="K56" s="443" t="s">
        <v>100</v>
      </c>
      <c r="L56" s="471">
        <v>1</v>
      </c>
      <c r="M56" s="447" t="s">
        <v>102</v>
      </c>
      <c r="N56" s="456">
        <v>9250</v>
      </c>
      <c r="O56" s="475">
        <f t="shared" si="0"/>
        <v>9250</v>
      </c>
      <c r="P56" s="476"/>
      <c r="Q56" s="477">
        <v>46023</v>
      </c>
      <c r="R56" s="476"/>
      <c r="S56" s="476"/>
    </row>
    <row r="57" spans="1:19" ht="15.75" customHeight="1" x14ac:dyDescent="0.25">
      <c r="A57" s="438">
        <v>54</v>
      </c>
      <c r="B57" s="470" t="s">
        <v>17</v>
      </c>
      <c r="C57" s="471" t="s">
        <v>18</v>
      </c>
      <c r="D57" s="472" t="s">
        <v>19</v>
      </c>
      <c r="E57" s="448" t="s">
        <v>4081</v>
      </c>
      <c r="F57" s="448" t="s">
        <v>2989</v>
      </c>
      <c r="G57" s="473" t="s">
        <v>3899</v>
      </c>
      <c r="H57" s="439" t="s">
        <v>99</v>
      </c>
      <c r="I57" s="474" t="s">
        <v>3457</v>
      </c>
      <c r="J57" s="474" t="s">
        <v>3464</v>
      </c>
      <c r="K57" s="443" t="s">
        <v>100</v>
      </c>
      <c r="L57" s="471">
        <v>1</v>
      </c>
      <c r="M57" s="447" t="s">
        <v>103</v>
      </c>
      <c r="N57" s="456">
        <v>9250</v>
      </c>
      <c r="O57" s="475">
        <f t="shared" si="0"/>
        <v>9250</v>
      </c>
      <c r="P57" s="476"/>
      <c r="Q57" s="477">
        <v>46023</v>
      </c>
      <c r="R57" s="476"/>
      <c r="S57" s="476"/>
    </row>
    <row r="58" spans="1:19" ht="15.75" customHeight="1" x14ac:dyDescent="0.25">
      <c r="A58" s="438">
        <v>55</v>
      </c>
      <c r="B58" s="470" t="s">
        <v>17</v>
      </c>
      <c r="C58" s="471" t="s">
        <v>18</v>
      </c>
      <c r="D58" s="472" t="s">
        <v>19</v>
      </c>
      <c r="E58" s="448" t="s">
        <v>4081</v>
      </c>
      <c r="F58" s="448" t="s">
        <v>2989</v>
      </c>
      <c r="G58" s="473" t="s">
        <v>3900</v>
      </c>
      <c r="H58" s="439" t="s">
        <v>104</v>
      </c>
      <c r="I58" s="474" t="s">
        <v>3457</v>
      </c>
      <c r="J58" s="474" t="s">
        <v>3463</v>
      </c>
      <c r="K58" s="443" t="s">
        <v>105</v>
      </c>
      <c r="L58" s="471">
        <v>1</v>
      </c>
      <c r="M58" s="447" t="s">
        <v>106</v>
      </c>
      <c r="N58" s="456">
        <v>10000</v>
      </c>
      <c r="O58" s="475">
        <f t="shared" si="0"/>
        <v>10000</v>
      </c>
      <c r="P58" s="476"/>
      <c r="Q58" s="477">
        <v>46023</v>
      </c>
      <c r="R58" s="476"/>
      <c r="S58" s="476"/>
    </row>
    <row r="59" spans="1:19" ht="15.75" customHeight="1" x14ac:dyDescent="0.25">
      <c r="A59" s="438">
        <v>56</v>
      </c>
      <c r="B59" s="470" t="s">
        <v>17</v>
      </c>
      <c r="C59" s="471" t="s">
        <v>18</v>
      </c>
      <c r="D59" s="472" t="s">
        <v>19</v>
      </c>
      <c r="E59" s="448" t="s">
        <v>4081</v>
      </c>
      <c r="F59" s="448" t="s">
        <v>2989</v>
      </c>
      <c r="G59" s="473" t="s">
        <v>3900</v>
      </c>
      <c r="H59" s="439" t="s">
        <v>104</v>
      </c>
      <c r="I59" s="474" t="s">
        <v>3457</v>
      </c>
      <c r="J59" s="474" t="s">
        <v>3463</v>
      </c>
      <c r="K59" s="443" t="s">
        <v>105</v>
      </c>
      <c r="L59" s="471">
        <v>1</v>
      </c>
      <c r="M59" s="447" t="s">
        <v>107</v>
      </c>
      <c r="N59" s="456">
        <v>10000</v>
      </c>
      <c r="O59" s="475">
        <f t="shared" si="0"/>
        <v>10000</v>
      </c>
      <c r="P59" s="476"/>
      <c r="Q59" s="477">
        <v>46023</v>
      </c>
      <c r="R59" s="476"/>
      <c r="S59" s="476"/>
    </row>
    <row r="60" spans="1:19" ht="15.75" customHeight="1" x14ac:dyDescent="0.25">
      <c r="A60" s="438">
        <v>57</v>
      </c>
      <c r="B60" s="470" t="s">
        <v>17</v>
      </c>
      <c r="C60" s="471" t="s">
        <v>18</v>
      </c>
      <c r="D60" s="472" t="s">
        <v>19</v>
      </c>
      <c r="E60" s="448" t="s">
        <v>4081</v>
      </c>
      <c r="F60" s="448" t="s">
        <v>2989</v>
      </c>
      <c r="G60" s="473" t="s">
        <v>3901</v>
      </c>
      <c r="H60" s="439" t="s">
        <v>108</v>
      </c>
      <c r="I60" s="474" t="s">
        <v>3457</v>
      </c>
      <c r="J60" s="474" t="s">
        <v>3464</v>
      </c>
      <c r="K60" s="443" t="s">
        <v>109</v>
      </c>
      <c r="L60" s="471">
        <v>1</v>
      </c>
      <c r="M60" s="447" t="s">
        <v>110</v>
      </c>
      <c r="N60" s="456">
        <v>5860</v>
      </c>
      <c r="O60" s="475">
        <f t="shared" si="0"/>
        <v>5860</v>
      </c>
      <c r="P60" s="476"/>
      <c r="Q60" s="477">
        <v>46023</v>
      </c>
      <c r="R60" s="476"/>
      <c r="S60" s="476"/>
    </row>
    <row r="61" spans="1:19" ht="15.75" customHeight="1" x14ac:dyDescent="0.25">
      <c r="A61" s="438">
        <v>58</v>
      </c>
      <c r="B61" s="470" t="s">
        <v>17</v>
      </c>
      <c r="C61" s="471" t="s">
        <v>18</v>
      </c>
      <c r="D61" s="472" t="s">
        <v>19</v>
      </c>
      <c r="E61" s="448" t="s">
        <v>4081</v>
      </c>
      <c r="F61" s="448" t="s">
        <v>2989</v>
      </c>
      <c r="G61" s="473" t="s">
        <v>3901</v>
      </c>
      <c r="H61" s="439" t="s">
        <v>108</v>
      </c>
      <c r="I61" s="474" t="s">
        <v>3457</v>
      </c>
      <c r="J61" s="474" t="s">
        <v>3464</v>
      </c>
      <c r="K61" s="443" t="s">
        <v>109</v>
      </c>
      <c r="L61" s="471">
        <v>1</v>
      </c>
      <c r="M61" s="447" t="s">
        <v>111</v>
      </c>
      <c r="N61" s="456">
        <v>5860</v>
      </c>
      <c r="O61" s="475">
        <f t="shared" si="0"/>
        <v>5860</v>
      </c>
      <c r="P61" s="476"/>
      <c r="Q61" s="477">
        <v>46023</v>
      </c>
      <c r="R61" s="476"/>
      <c r="S61" s="476"/>
    </row>
    <row r="62" spans="1:19" ht="15.75" customHeight="1" x14ac:dyDescent="0.25">
      <c r="A62" s="438">
        <v>59</v>
      </c>
      <c r="B62" s="470" t="s">
        <v>17</v>
      </c>
      <c r="C62" s="471" t="s">
        <v>18</v>
      </c>
      <c r="D62" s="472" t="s">
        <v>19</v>
      </c>
      <c r="E62" s="448" t="s">
        <v>4081</v>
      </c>
      <c r="F62" s="448" t="s">
        <v>2989</v>
      </c>
      <c r="G62" s="473" t="s">
        <v>3901</v>
      </c>
      <c r="H62" s="439" t="s">
        <v>108</v>
      </c>
      <c r="I62" s="474" t="s">
        <v>3457</v>
      </c>
      <c r="J62" s="474" t="s">
        <v>3464</v>
      </c>
      <c r="K62" s="443" t="s">
        <v>109</v>
      </c>
      <c r="L62" s="471">
        <v>1</v>
      </c>
      <c r="M62" s="447" t="s">
        <v>112</v>
      </c>
      <c r="N62" s="456">
        <v>2052</v>
      </c>
      <c r="O62" s="475">
        <f t="shared" si="0"/>
        <v>2052</v>
      </c>
      <c r="P62" s="476"/>
      <c r="Q62" s="477">
        <v>46023</v>
      </c>
      <c r="R62" s="476"/>
      <c r="S62" s="476"/>
    </row>
    <row r="63" spans="1:19" ht="15.75" customHeight="1" x14ac:dyDescent="0.25">
      <c r="A63" s="438">
        <v>60</v>
      </c>
      <c r="B63" s="470" t="s">
        <v>17</v>
      </c>
      <c r="C63" s="471" t="s">
        <v>18</v>
      </c>
      <c r="D63" s="472" t="s">
        <v>19</v>
      </c>
      <c r="E63" s="448" t="s">
        <v>4081</v>
      </c>
      <c r="F63" s="448" t="s">
        <v>2989</v>
      </c>
      <c r="G63" s="473" t="s">
        <v>3901</v>
      </c>
      <c r="H63" s="439" t="s">
        <v>108</v>
      </c>
      <c r="I63" s="474" t="s">
        <v>3457</v>
      </c>
      <c r="J63" s="474" t="s">
        <v>3464</v>
      </c>
      <c r="K63" s="443" t="s">
        <v>109</v>
      </c>
      <c r="L63" s="471">
        <v>1</v>
      </c>
      <c r="M63" s="447" t="s">
        <v>113</v>
      </c>
      <c r="N63" s="456">
        <v>2826</v>
      </c>
      <c r="O63" s="475">
        <f t="shared" si="0"/>
        <v>2826</v>
      </c>
      <c r="P63" s="476"/>
      <c r="Q63" s="477">
        <v>46023</v>
      </c>
      <c r="R63" s="476"/>
      <c r="S63" s="476"/>
    </row>
    <row r="64" spans="1:19" ht="15.75" customHeight="1" x14ac:dyDescent="0.25">
      <c r="A64" s="438">
        <v>61</v>
      </c>
      <c r="B64" s="470" t="s">
        <v>17</v>
      </c>
      <c r="C64" s="471" t="s">
        <v>18</v>
      </c>
      <c r="D64" s="472" t="s">
        <v>19</v>
      </c>
      <c r="E64" s="448" t="s">
        <v>4081</v>
      </c>
      <c r="F64" s="448" t="s">
        <v>2989</v>
      </c>
      <c r="G64" s="473" t="s">
        <v>3901</v>
      </c>
      <c r="H64" s="439" t="s">
        <v>108</v>
      </c>
      <c r="I64" s="474" t="s">
        <v>3457</v>
      </c>
      <c r="J64" s="474" t="s">
        <v>3464</v>
      </c>
      <c r="K64" s="443" t="s">
        <v>109</v>
      </c>
      <c r="L64" s="471">
        <v>1</v>
      </c>
      <c r="M64" s="447" t="s">
        <v>114</v>
      </c>
      <c r="N64" s="456">
        <v>2826</v>
      </c>
      <c r="O64" s="475">
        <f t="shared" si="0"/>
        <v>2826</v>
      </c>
      <c r="P64" s="476"/>
      <c r="Q64" s="477">
        <v>46023</v>
      </c>
      <c r="R64" s="476"/>
      <c r="S64" s="476"/>
    </row>
    <row r="65" spans="1:19" ht="15.75" customHeight="1" x14ac:dyDescent="0.25">
      <c r="A65" s="438">
        <v>62</v>
      </c>
      <c r="B65" s="470" t="s">
        <v>17</v>
      </c>
      <c r="C65" s="471" t="s">
        <v>18</v>
      </c>
      <c r="D65" s="472" t="s">
        <v>19</v>
      </c>
      <c r="E65" s="448" t="s">
        <v>4081</v>
      </c>
      <c r="F65" s="448" t="s">
        <v>2989</v>
      </c>
      <c r="G65" s="473" t="s">
        <v>3901</v>
      </c>
      <c r="H65" s="439" t="s">
        <v>108</v>
      </c>
      <c r="I65" s="474" t="s">
        <v>3457</v>
      </c>
      <c r="J65" s="474" t="s">
        <v>3464</v>
      </c>
      <c r="K65" s="443" t="s">
        <v>109</v>
      </c>
      <c r="L65" s="471">
        <v>1</v>
      </c>
      <c r="M65" s="447" t="s">
        <v>115</v>
      </c>
      <c r="N65" s="456">
        <v>2690</v>
      </c>
      <c r="O65" s="475">
        <f t="shared" si="0"/>
        <v>2690</v>
      </c>
      <c r="P65" s="476"/>
      <c r="Q65" s="477">
        <v>46023</v>
      </c>
      <c r="R65" s="476"/>
      <c r="S65" s="476"/>
    </row>
    <row r="66" spans="1:19" ht="15.75" customHeight="1" x14ac:dyDescent="0.25">
      <c r="A66" s="438">
        <v>63</v>
      </c>
      <c r="B66" s="470" t="s">
        <v>17</v>
      </c>
      <c r="C66" s="471" t="s">
        <v>18</v>
      </c>
      <c r="D66" s="472" t="s">
        <v>19</v>
      </c>
      <c r="E66" s="448" t="s">
        <v>4081</v>
      </c>
      <c r="F66" s="448" t="s">
        <v>2989</v>
      </c>
      <c r="G66" s="473" t="s">
        <v>3901</v>
      </c>
      <c r="H66" s="439" t="s">
        <v>108</v>
      </c>
      <c r="I66" s="474" t="s">
        <v>3457</v>
      </c>
      <c r="J66" s="474" t="s">
        <v>3464</v>
      </c>
      <c r="K66" s="443" t="s">
        <v>109</v>
      </c>
      <c r="L66" s="471">
        <v>1</v>
      </c>
      <c r="M66" s="447" t="s">
        <v>116</v>
      </c>
      <c r="N66" s="456">
        <v>2690</v>
      </c>
      <c r="O66" s="475">
        <f t="shared" si="0"/>
        <v>2690</v>
      </c>
      <c r="P66" s="476"/>
      <c r="Q66" s="477">
        <v>46023</v>
      </c>
      <c r="R66" s="476"/>
      <c r="S66" s="476"/>
    </row>
    <row r="67" spans="1:19" ht="15.75" customHeight="1" x14ac:dyDescent="0.25">
      <c r="A67" s="438">
        <v>64</v>
      </c>
      <c r="B67" s="470" t="s">
        <v>17</v>
      </c>
      <c r="C67" s="471" t="s">
        <v>18</v>
      </c>
      <c r="D67" s="472" t="s">
        <v>19</v>
      </c>
      <c r="E67" s="448" t="s">
        <v>4081</v>
      </c>
      <c r="F67" s="448" t="s">
        <v>2989</v>
      </c>
      <c r="G67" s="473" t="s">
        <v>3901</v>
      </c>
      <c r="H67" s="439" t="s">
        <v>108</v>
      </c>
      <c r="I67" s="474" t="s">
        <v>3457</v>
      </c>
      <c r="J67" s="474" t="s">
        <v>3464</v>
      </c>
      <c r="K67" s="443" t="s">
        <v>109</v>
      </c>
      <c r="L67" s="471">
        <v>1</v>
      </c>
      <c r="M67" s="447" t="s">
        <v>117</v>
      </c>
      <c r="N67" s="456">
        <v>10000</v>
      </c>
      <c r="O67" s="475">
        <f t="shared" si="0"/>
        <v>10000</v>
      </c>
      <c r="P67" s="476"/>
      <c r="Q67" s="477">
        <v>46023</v>
      </c>
      <c r="R67" s="476"/>
      <c r="S67" s="476"/>
    </row>
    <row r="68" spans="1:19" ht="15.75" customHeight="1" x14ac:dyDescent="0.25">
      <c r="A68" s="438">
        <v>65</v>
      </c>
      <c r="B68" s="470" t="s">
        <v>17</v>
      </c>
      <c r="C68" s="471" t="s">
        <v>18</v>
      </c>
      <c r="D68" s="472" t="s">
        <v>19</v>
      </c>
      <c r="E68" s="448" t="s">
        <v>4084</v>
      </c>
      <c r="F68" s="448"/>
      <c r="G68" s="473" t="s">
        <v>3902</v>
      </c>
      <c r="H68" s="439" t="s">
        <v>118</v>
      </c>
      <c r="I68" s="474" t="s">
        <v>3459</v>
      </c>
      <c r="J68" s="474" t="s">
        <v>3463</v>
      </c>
      <c r="K68" s="443" t="s">
        <v>119</v>
      </c>
      <c r="L68" s="471">
        <v>1</v>
      </c>
      <c r="M68" s="447" t="s">
        <v>120</v>
      </c>
      <c r="N68" s="456">
        <v>1320</v>
      </c>
      <c r="O68" s="475">
        <f t="shared" si="0"/>
        <v>1320</v>
      </c>
      <c r="P68" s="476"/>
      <c r="Q68" s="477">
        <v>46023</v>
      </c>
      <c r="R68" s="476"/>
      <c r="S68" s="476"/>
    </row>
    <row r="69" spans="1:19" ht="15.75" customHeight="1" x14ac:dyDescent="0.25">
      <c r="A69" s="438">
        <v>66</v>
      </c>
      <c r="B69" s="470" t="s">
        <v>17</v>
      </c>
      <c r="C69" s="471" t="s">
        <v>18</v>
      </c>
      <c r="D69" s="472" t="s">
        <v>19</v>
      </c>
      <c r="E69" s="448" t="s">
        <v>4086</v>
      </c>
      <c r="F69" s="448" t="s">
        <v>4097</v>
      </c>
      <c r="G69" s="473" t="s">
        <v>3902</v>
      </c>
      <c r="H69" s="439" t="s">
        <v>121</v>
      </c>
      <c r="I69" s="474" t="s">
        <v>3459</v>
      </c>
      <c r="J69" s="474" t="s">
        <v>3463</v>
      </c>
      <c r="K69" s="443" t="s">
        <v>119</v>
      </c>
      <c r="L69" s="471">
        <v>1</v>
      </c>
      <c r="M69" s="447" t="s">
        <v>122</v>
      </c>
      <c r="N69" s="456">
        <v>24700</v>
      </c>
      <c r="O69" s="475">
        <f t="shared" si="0"/>
        <v>24700</v>
      </c>
      <c r="P69" s="476"/>
      <c r="Q69" s="477">
        <v>46023</v>
      </c>
      <c r="R69" s="476"/>
      <c r="S69" s="476"/>
    </row>
    <row r="70" spans="1:19" ht="15.75" customHeight="1" x14ac:dyDescent="0.25">
      <c r="A70" s="438">
        <v>67</v>
      </c>
      <c r="B70" s="470" t="s">
        <v>17</v>
      </c>
      <c r="C70" s="471" t="s">
        <v>18</v>
      </c>
      <c r="D70" s="472" t="s">
        <v>19</v>
      </c>
      <c r="E70" s="448" t="s">
        <v>4086</v>
      </c>
      <c r="F70" s="448" t="s">
        <v>4097</v>
      </c>
      <c r="G70" s="473" t="s">
        <v>3902</v>
      </c>
      <c r="H70" s="439" t="s">
        <v>121</v>
      </c>
      <c r="I70" s="474" t="s">
        <v>3459</v>
      </c>
      <c r="J70" s="474" t="s">
        <v>3463</v>
      </c>
      <c r="K70" s="443" t="s">
        <v>119</v>
      </c>
      <c r="L70" s="471">
        <v>1</v>
      </c>
      <c r="M70" s="447" t="s">
        <v>123</v>
      </c>
      <c r="N70" s="456">
        <v>24700</v>
      </c>
      <c r="O70" s="475">
        <f t="shared" si="0"/>
        <v>24700</v>
      </c>
      <c r="P70" s="476"/>
      <c r="Q70" s="477">
        <v>46023</v>
      </c>
      <c r="R70" s="476"/>
      <c r="S70" s="476"/>
    </row>
    <row r="71" spans="1:19" ht="15.75" customHeight="1" x14ac:dyDescent="0.25">
      <c r="A71" s="438">
        <v>68</v>
      </c>
      <c r="B71" s="470" t="s">
        <v>17</v>
      </c>
      <c r="C71" s="471" t="s">
        <v>18</v>
      </c>
      <c r="D71" s="472" t="s">
        <v>19</v>
      </c>
      <c r="E71" s="448" t="s">
        <v>4086</v>
      </c>
      <c r="F71" s="448" t="s">
        <v>4097</v>
      </c>
      <c r="G71" s="473" t="s">
        <v>3902</v>
      </c>
      <c r="H71" s="439" t="s">
        <v>121</v>
      </c>
      <c r="I71" s="474" t="s">
        <v>3459</v>
      </c>
      <c r="J71" s="474" t="s">
        <v>3463</v>
      </c>
      <c r="K71" s="443" t="s">
        <v>119</v>
      </c>
      <c r="L71" s="471">
        <v>1</v>
      </c>
      <c r="M71" s="447" t="s">
        <v>124</v>
      </c>
      <c r="N71" s="456">
        <v>24700</v>
      </c>
      <c r="O71" s="475">
        <f t="shared" si="0"/>
        <v>24700</v>
      </c>
      <c r="P71" s="476"/>
      <c r="Q71" s="477">
        <v>46023</v>
      </c>
      <c r="R71" s="476"/>
      <c r="S71" s="476"/>
    </row>
    <row r="72" spans="1:19" ht="15.75" customHeight="1" x14ac:dyDescent="0.25">
      <c r="A72" s="438">
        <v>69</v>
      </c>
      <c r="B72" s="470" t="s">
        <v>17</v>
      </c>
      <c r="C72" s="471" t="s">
        <v>18</v>
      </c>
      <c r="D72" s="472" t="s">
        <v>19</v>
      </c>
      <c r="E72" s="448" t="s">
        <v>4086</v>
      </c>
      <c r="F72" s="448" t="s">
        <v>4097</v>
      </c>
      <c r="G72" s="473" t="s">
        <v>3903</v>
      </c>
      <c r="H72" s="439" t="s">
        <v>3407</v>
      </c>
      <c r="I72" s="474" t="s">
        <v>3457</v>
      </c>
      <c r="J72" s="474" t="s">
        <v>3464</v>
      </c>
      <c r="K72" s="443" t="s">
        <v>3467</v>
      </c>
      <c r="L72" s="471">
        <v>1</v>
      </c>
      <c r="M72" s="447" t="s">
        <v>3483</v>
      </c>
      <c r="N72" s="456">
        <v>2430</v>
      </c>
      <c r="O72" s="475">
        <f t="shared" si="0"/>
        <v>2430</v>
      </c>
      <c r="P72" s="476"/>
      <c r="Q72" s="477">
        <v>46023</v>
      </c>
      <c r="R72" s="476"/>
      <c r="S72" s="476"/>
    </row>
    <row r="73" spans="1:19" ht="15.75" customHeight="1" x14ac:dyDescent="0.25">
      <c r="A73" s="438">
        <v>70</v>
      </c>
      <c r="B73" s="470" t="s">
        <v>17</v>
      </c>
      <c r="C73" s="471" t="s">
        <v>18</v>
      </c>
      <c r="D73" s="472" t="s">
        <v>19</v>
      </c>
      <c r="E73" s="448" t="s">
        <v>4086</v>
      </c>
      <c r="F73" s="448" t="s">
        <v>4097</v>
      </c>
      <c r="G73" s="473" t="s">
        <v>3903</v>
      </c>
      <c r="H73" s="439" t="s">
        <v>3407</v>
      </c>
      <c r="I73" s="474" t="s">
        <v>3457</v>
      </c>
      <c r="J73" s="474" t="s">
        <v>3464</v>
      </c>
      <c r="K73" s="443">
        <v>12.305999999999999</v>
      </c>
      <c r="L73" s="471">
        <v>1</v>
      </c>
      <c r="M73" s="447" t="s">
        <v>3484</v>
      </c>
      <c r="N73" s="456">
        <v>2430</v>
      </c>
      <c r="O73" s="475">
        <f t="shared" si="0"/>
        <v>2430</v>
      </c>
      <c r="P73" s="476"/>
      <c r="Q73" s="477">
        <v>46023</v>
      </c>
      <c r="R73" s="476"/>
      <c r="S73" s="476"/>
    </row>
    <row r="74" spans="1:19" ht="15.75" customHeight="1" x14ac:dyDescent="0.25">
      <c r="A74" s="438">
        <v>71</v>
      </c>
      <c r="B74" s="470" t="s">
        <v>17</v>
      </c>
      <c r="C74" s="471" t="s">
        <v>18</v>
      </c>
      <c r="D74" s="472" t="s">
        <v>19</v>
      </c>
      <c r="E74" s="448" t="s">
        <v>4086</v>
      </c>
      <c r="F74" s="448" t="s">
        <v>4097</v>
      </c>
      <c r="G74" s="473" t="s">
        <v>3903</v>
      </c>
      <c r="H74" s="439" t="s">
        <v>3407</v>
      </c>
      <c r="I74" s="474" t="s">
        <v>3457</v>
      </c>
      <c r="J74" s="474" t="s">
        <v>3464</v>
      </c>
      <c r="K74" s="443" t="s">
        <v>3467</v>
      </c>
      <c r="L74" s="471">
        <v>1</v>
      </c>
      <c r="M74" s="447" t="s">
        <v>3485</v>
      </c>
      <c r="N74" s="456">
        <v>2430</v>
      </c>
      <c r="O74" s="475">
        <f t="shared" si="0"/>
        <v>2430</v>
      </c>
      <c r="P74" s="476"/>
      <c r="Q74" s="477">
        <v>46023</v>
      </c>
      <c r="R74" s="476"/>
      <c r="S74" s="476"/>
    </row>
    <row r="75" spans="1:19" ht="15.75" customHeight="1" x14ac:dyDescent="0.25">
      <c r="A75" s="438">
        <v>72</v>
      </c>
      <c r="B75" s="470" t="s">
        <v>17</v>
      </c>
      <c r="C75" s="471" t="s">
        <v>18</v>
      </c>
      <c r="D75" s="472" t="s">
        <v>19</v>
      </c>
      <c r="E75" s="448" t="s">
        <v>4085</v>
      </c>
      <c r="F75" s="448" t="s">
        <v>2985</v>
      </c>
      <c r="G75" s="473" t="s">
        <v>3902</v>
      </c>
      <c r="H75" s="439" t="s">
        <v>121</v>
      </c>
      <c r="I75" s="474" t="s">
        <v>3459</v>
      </c>
      <c r="J75" s="474" t="s">
        <v>3463</v>
      </c>
      <c r="K75" s="443" t="s">
        <v>119</v>
      </c>
      <c r="L75" s="471">
        <v>1</v>
      </c>
      <c r="M75" s="447" t="s">
        <v>125</v>
      </c>
      <c r="N75" s="456">
        <v>24700</v>
      </c>
      <c r="O75" s="475">
        <f t="shared" si="0"/>
        <v>24700</v>
      </c>
      <c r="P75" s="476"/>
      <c r="Q75" s="477">
        <v>46023</v>
      </c>
      <c r="R75" s="476"/>
      <c r="S75" s="476"/>
    </row>
    <row r="76" spans="1:19" ht="15.75" customHeight="1" x14ac:dyDescent="0.25">
      <c r="A76" s="438">
        <v>73</v>
      </c>
      <c r="B76" s="470" t="s">
        <v>17</v>
      </c>
      <c r="C76" s="471" t="s">
        <v>18</v>
      </c>
      <c r="D76" s="472" t="s">
        <v>19</v>
      </c>
      <c r="E76" s="448" t="s">
        <v>4085</v>
      </c>
      <c r="F76" s="448" t="s">
        <v>2985</v>
      </c>
      <c r="G76" s="473" t="s">
        <v>3902</v>
      </c>
      <c r="H76" s="439" t="s">
        <v>121</v>
      </c>
      <c r="I76" s="474" t="s">
        <v>3459</v>
      </c>
      <c r="J76" s="474" t="s">
        <v>3463</v>
      </c>
      <c r="K76" s="443" t="s">
        <v>119</v>
      </c>
      <c r="L76" s="471">
        <v>1</v>
      </c>
      <c r="M76" s="447" t="s">
        <v>126</v>
      </c>
      <c r="N76" s="456">
        <v>24700</v>
      </c>
      <c r="O76" s="475">
        <f t="shared" si="0"/>
        <v>24700</v>
      </c>
      <c r="P76" s="476"/>
      <c r="Q76" s="477">
        <v>46023</v>
      </c>
      <c r="R76" s="476"/>
      <c r="S76" s="476"/>
    </row>
    <row r="77" spans="1:19" ht="15.75" customHeight="1" x14ac:dyDescent="0.25">
      <c r="A77" s="438">
        <v>74</v>
      </c>
      <c r="B77" s="470" t="s">
        <v>17</v>
      </c>
      <c r="C77" s="471" t="s">
        <v>18</v>
      </c>
      <c r="D77" s="472" t="s">
        <v>19</v>
      </c>
      <c r="E77" s="448" t="s">
        <v>4085</v>
      </c>
      <c r="F77" s="448" t="s">
        <v>2985</v>
      </c>
      <c r="G77" s="473" t="s">
        <v>3902</v>
      </c>
      <c r="H77" s="439" t="s">
        <v>121</v>
      </c>
      <c r="I77" s="474" t="s">
        <v>3459</v>
      </c>
      <c r="J77" s="474" t="s">
        <v>3463</v>
      </c>
      <c r="K77" s="443" t="s">
        <v>119</v>
      </c>
      <c r="L77" s="471">
        <v>1</v>
      </c>
      <c r="M77" s="447" t="s">
        <v>127</v>
      </c>
      <c r="N77" s="456">
        <v>24700</v>
      </c>
      <c r="O77" s="475">
        <f t="shared" si="0"/>
        <v>24700</v>
      </c>
      <c r="P77" s="476"/>
      <c r="Q77" s="477">
        <v>46023</v>
      </c>
      <c r="R77" s="476"/>
      <c r="S77" s="476"/>
    </row>
    <row r="78" spans="1:19" ht="15.75" customHeight="1" x14ac:dyDescent="0.25">
      <c r="A78" s="438">
        <v>75</v>
      </c>
      <c r="B78" s="470" t="s">
        <v>17</v>
      </c>
      <c r="C78" s="471" t="s">
        <v>18</v>
      </c>
      <c r="D78" s="472" t="s">
        <v>19</v>
      </c>
      <c r="E78" s="448" t="s">
        <v>4085</v>
      </c>
      <c r="F78" s="448" t="s">
        <v>2985</v>
      </c>
      <c r="G78" s="473" t="s">
        <v>3895</v>
      </c>
      <c r="H78" s="439" t="s">
        <v>128</v>
      </c>
      <c r="I78" s="474" t="s">
        <v>3459</v>
      </c>
      <c r="J78" s="474" t="s">
        <v>3463</v>
      </c>
      <c r="K78" s="443" t="s">
        <v>61</v>
      </c>
      <c r="L78" s="471">
        <v>1</v>
      </c>
      <c r="M78" s="447" t="s">
        <v>129</v>
      </c>
      <c r="N78" s="456">
        <v>1930</v>
      </c>
      <c r="O78" s="475">
        <f t="shared" si="0"/>
        <v>1930</v>
      </c>
      <c r="P78" s="476"/>
      <c r="Q78" s="477">
        <v>46023</v>
      </c>
      <c r="R78" s="476"/>
      <c r="S78" s="476"/>
    </row>
    <row r="79" spans="1:19" ht="15.75" customHeight="1" x14ac:dyDescent="0.25">
      <c r="A79" s="438">
        <v>76</v>
      </c>
      <c r="B79" s="470" t="s">
        <v>17</v>
      </c>
      <c r="C79" s="471" t="s">
        <v>18</v>
      </c>
      <c r="D79" s="472" t="s">
        <v>19</v>
      </c>
      <c r="E79" s="448" t="s">
        <v>4085</v>
      </c>
      <c r="F79" s="448" t="s">
        <v>2985</v>
      </c>
      <c r="G79" s="473" t="s">
        <v>3895</v>
      </c>
      <c r="H79" s="439" t="s">
        <v>128</v>
      </c>
      <c r="I79" s="474" t="s">
        <v>3459</v>
      </c>
      <c r="J79" s="474" t="s">
        <v>3463</v>
      </c>
      <c r="K79" s="443" t="s">
        <v>61</v>
      </c>
      <c r="L79" s="471">
        <v>1</v>
      </c>
      <c r="M79" s="447" t="s">
        <v>130</v>
      </c>
      <c r="N79" s="456">
        <v>1930</v>
      </c>
      <c r="O79" s="475">
        <f t="shared" si="0"/>
        <v>1930</v>
      </c>
      <c r="P79" s="476"/>
      <c r="Q79" s="477">
        <v>46023</v>
      </c>
      <c r="R79" s="476"/>
      <c r="S79" s="476"/>
    </row>
    <row r="80" spans="1:19" ht="15.75" customHeight="1" x14ac:dyDescent="0.25">
      <c r="A80" s="438">
        <v>77</v>
      </c>
      <c r="B80" s="470" t="s">
        <v>17</v>
      </c>
      <c r="C80" s="471" t="s">
        <v>18</v>
      </c>
      <c r="D80" s="472" t="s">
        <v>19</v>
      </c>
      <c r="E80" s="448" t="s">
        <v>4085</v>
      </c>
      <c r="F80" s="448" t="s">
        <v>2985</v>
      </c>
      <c r="G80" s="473" t="s">
        <v>3895</v>
      </c>
      <c r="H80" s="439" t="s">
        <v>128</v>
      </c>
      <c r="I80" s="474" t="s">
        <v>3459</v>
      </c>
      <c r="J80" s="474" t="s">
        <v>3463</v>
      </c>
      <c r="K80" s="443" t="s">
        <v>61</v>
      </c>
      <c r="L80" s="471">
        <v>1</v>
      </c>
      <c r="M80" s="447" t="s">
        <v>131</v>
      </c>
      <c r="N80" s="456">
        <v>1930</v>
      </c>
      <c r="O80" s="475">
        <f t="shared" si="0"/>
        <v>1930</v>
      </c>
      <c r="P80" s="476"/>
      <c r="Q80" s="477">
        <v>46023</v>
      </c>
      <c r="R80" s="476"/>
      <c r="S80" s="476"/>
    </row>
    <row r="81" spans="1:19" ht="15.75" customHeight="1" x14ac:dyDescent="0.25">
      <c r="A81" s="438">
        <v>78</v>
      </c>
      <c r="B81" s="470" t="s">
        <v>17</v>
      </c>
      <c r="C81" s="471" t="s">
        <v>18</v>
      </c>
      <c r="D81" s="472" t="s">
        <v>19</v>
      </c>
      <c r="E81" s="465" t="s">
        <v>4086</v>
      </c>
      <c r="F81" s="448" t="s">
        <v>4097</v>
      </c>
      <c r="G81" s="473" t="s">
        <v>3904</v>
      </c>
      <c r="H81" s="439" t="s">
        <v>132</v>
      </c>
      <c r="I81" s="474" t="s">
        <v>3459</v>
      </c>
      <c r="J81" s="474" t="s">
        <v>3463</v>
      </c>
      <c r="K81" s="443" t="s">
        <v>133</v>
      </c>
      <c r="L81" s="471">
        <v>1</v>
      </c>
      <c r="M81" s="447" t="s">
        <v>134</v>
      </c>
      <c r="N81" s="456">
        <v>4870</v>
      </c>
      <c r="O81" s="475">
        <f t="shared" si="0"/>
        <v>4870</v>
      </c>
      <c r="P81" s="476"/>
      <c r="Q81" s="477">
        <v>46023</v>
      </c>
      <c r="R81" s="476"/>
      <c r="S81" s="476"/>
    </row>
    <row r="82" spans="1:19" ht="15.75" customHeight="1" x14ac:dyDescent="0.25">
      <c r="A82" s="438">
        <v>79</v>
      </c>
      <c r="B82" s="470" t="s">
        <v>17</v>
      </c>
      <c r="C82" s="471" t="s">
        <v>18</v>
      </c>
      <c r="D82" s="472" t="s">
        <v>19</v>
      </c>
      <c r="E82" s="465" t="s">
        <v>4086</v>
      </c>
      <c r="F82" s="448" t="s">
        <v>4097</v>
      </c>
      <c r="G82" s="473" t="s">
        <v>3904</v>
      </c>
      <c r="H82" s="439" t="s">
        <v>132</v>
      </c>
      <c r="I82" s="474" t="s">
        <v>3459</v>
      </c>
      <c r="J82" s="474" t="s">
        <v>3463</v>
      </c>
      <c r="K82" s="443" t="s">
        <v>133</v>
      </c>
      <c r="L82" s="471">
        <v>1</v>
      </c>
      <c r="M82" s="447" t="s">
        <v>135</v>
      </c>
      <c r="N82" s="456">
        <v>4870</v>
      </c>
      <c r="O82" s="475">
        <f t="shared" si="0"/>
        <v>4870</v>
      </c>
      <c r="P82" s="476"/>
      <c r="Q82" s="477">
        <v>46023</v>
      </c>
      <c r="R82" s="476"/>
      <c r="S82" s="476"/>
    </row>
    <row r="83" spans="1:19" ht="15.75" customHeight="1" x14ac:dyDescent="0.25">
      <c r="A83" s="438">
        <v>80</v>
      </c>
      <c r="B83" s="470" t="s">
        <v>17</v>
      </c>
      <c r="C83" s="471" t="s">
        <v>18</v>
      </c>
      <c r="D83" s="472" t="s">
        <v>19</v>
      </c>
      <c r="E83" s="465" t="s">
        <v>4086</v>
      </c>
      <c r="F83" s="448" t="s">
        <v>4097</v>
      </c>
      <c r="G83" s="473" t="s">
        <v>3904</v>
      </c>
      <c r="H83" s="439" t="s">
        <v>132</v>
      </c>
      <c r="I83" s="474" t="s">
        <v>3459</v>
      </c>
      <c r="J83" s="474" t="s">
        <v>3463</v>
      </c>
      <c r="K83" s="443" t="s">
        <v>133</v>
      </c>
      <c r="L83" s="471">
        <v>1</v>
      </c>
      <c r="M83" s="447" t="s">
        <v>136</v>
      </c>
      <c r="N83" s="456">
        <v>4870</v>
      </c>
      <c r="O83" s="475">
        <f t="shared" si="0"/>
        <v>4870</v>
      </c>
      <c r="P83" s="476"/>
      <c r="Q83" s="477">
        <v>46023</v>
      </c>
      <c r="R83" s="476"/>
      <c r="S83" s="476"/>
    </row>
    <row r="84" spans="1:19" ht="15.75" customHeight="1" x14ac:dyDescent="0.25">
      <c r="A84" s="438">
        <v>81</v>
      </c>
      <c r="B84" s="470" t="s">
        <v>17</v>
      </c>
      <c r="C84" s="471" t="s">
        <v>18</v>
      </c>
      <c r="D84" s="472" t="s">
        <v>19</v>
      </c>
      <c r="E84" s="465" t="s">
        <v>4080</v>
      </c>
      <c r="F84" s="448" t="s">
        <v>4080</v>
      </c>
      <c r="G84" s="473" t="s">
        <v>3905</v>
      </c>
      <c r="H84" s="439" t="s">
        <v>137</v>
      </c>
      <c r="I84" s="474" t="s">
        <v>3457</v>
      </c>
      <c r="J84" s="474" t="s">
        <v>3463</v>
      </c>
      <c r="K84" s="443" t="s">
        <v>138</v>
      </c>
      <c r="L84" s="471">
        <v>1</v>
      </c>
      <c r="M84" s="447" t="s">
        <v>139</v>
      </c>
      <c r="N84" s="456">
        <v>8500</v>
      </c>
      <c r="O84" s="475">
        <f t="shared" si="0"/>
        <v>8500</v>
      </c>
      <c r="P84" s="476"/>
      <c r="Q84" s="477">
        <v>46023</v>
      </c>
      <c r="R84" s="476"/>
      <c r="S84" s="476"/>
    </row>
    <row r="85" spans="1:19" ht="15.75" customHeight="1" x14ac:dyDescent="0.25">
      <c r="A85" s="438">
        <v>82</v>
      </c>
      <c r="B85" s="470" t="s">
        <v>17</v>
      </c>
      <c r="C85" s="471" t="s">
        <v>18</v>
      </c>
      <c r="D85" s="472" t="s">
        <v>19</v>
      </c>
      <c r="E85" s="465" t="s">
        <v>4087</v>
      </c>
      <c r="F85" s="448" t="s">
        <v>4098</v>
      </c>
      <c r="G85" s="473" t="s">
        <v>3905</v>
      </c>
      <c r="H85" s="439" t="s">
        <v>137</v>
      </c>
      <c r="I85" s="474" t="s">
        <v>3457</v>
      </c>
      <c r="J85" s="474" t="s">
        <v>3463</v>
      </c>
      <c r="K85" s="443" t="s">
        <v>138</v>
      </c>
      <c r="L85" s="471">
        <v>1</v>
      </c>
      <c r="M85" s="447" t="s">
        <v>140</v>
      </c>
      <c r="N85" s="456">
        <v>11050</v>
      </c>
      <c r="O85" s="475">
        <f t="shared" si="0"/>
        <v>11050</v>
      </c>
      <c r="P85" s="476"/>
      <c r="Q85" s="477">
        <v>46023</v>
      </c>
      <c r="R85" s="476"/>
      <c r="S85" s="476"/>
    </row>
    <row r="86" spans="1:19" ht="15.75" customHeight="1" x14ac:dyDescent="0.25">
      <c r="A86" s="438">
        <v>83</v>
      </c>
      <c r="B86" s="470" t="s">
        <v>17</v>
      </c>
      <c r="C86" s="471" t="s">
        <v>18</v>
      </c>
      <c r="D86" s="472" t="s">
        <v>19</v>
      </c>
      <c r="E86" s="465" t="s">
        <v>4087</v>
      </c>
      <c r="F86" s="448" t="s">
        <v>4099</v>
      </c>
      <c r="G86" s="473" t="s">
        <v>3905</v>
      </c>
      <c r="H86" s="439" t="s">
        <v>137</v>
      </c>
      <c r="I86" s="474" t="s">
        <v>3457</v>
      </c>
      <c r="J86" s="474" t="s">
        <v>3463</v>
      </c>
      <c r="K86" s="443" t="s">
        <v>138</v>
      </c>
      <c r="L86" s="471">
        <v>1</v>
      </c>
      <c r="M86" s="447" t="s">
        <v>141</v>
      </c>
      <c r="N86" s="456">
        <v>11050</v>
      </c>
      <c r="O86" s="475">
        <f t="shared" si="0"/>
        <v>11050</v>
      </c>
      <c r="P86" s="476"/>
      <c r="Q86" s="477">
        <v>46023</v>
      </c>
      <c r="R86" s="476"/>
      <c r="S86" s="476"/>
    </row>
    <row r="87" spans="1:19" ht="15.75" customHeight="1" x14ac:dyDescent="0.25">
      <c r="A87" s="438">
        <v>84</v>
      </c>
      <c r="B87" s="470" t="s">
        <v>17</v>
      </c>
      <c r="C87" s="471" t="s">
        <v>18</v>
      </c>
      <c r="D87" s="472" t="s">
        <v>19</v>
      </c>
      <c r="E87" s="448" t="s">
        <v>4087</v>
      </c>
      <c r="F87" s="448" t="s">
        <v>4099</v>
      </c>
      <c r="G87" s="473" t="s">
        <v>3905</v>
      </c>
      <c r="H87" s="439" t="s">
        <v>137</v>
      </c>
      <c r="I87" s="474" t="s">
        <v>3457</v>
      </c>
      <c r="J87" s="474" t="s">
        <v>3463</v>
      </c>
      <c r="K87" s="443" t="s">
        <v>138</v>
      </c>
      <c r="L87" s="471">
        <v>1</v>
      </c>
      <c r="M87" s="447" t="s">
        <v>142</v>
      </c>
      <c r="N87" s="456">
        <v>11050</v>
      </c>
      <c r="O87" s="475">
        <f t="shared" si="0"/>
        <v>11050</v>
      </c>
      <c r="P87" s="476"/>
      <c r="Q87" s="477">
        <v>46023</v>
      </c>
      <c r="R87" s="476"/>
      <c r="S87" s="476"/>
    </row>
    <row r="88" spans="1:19" ht="15.75" customHeight="1" x14ac:dyDescent="0.25">
      <c r="A88" s="438">
        <v>85</v>
      </c>
      <c r="B88" s="470" t="s">
        <v>17</v>
      </c>
      <c r="C88" s="471" t="s">
        <v>18</v>
      </c>
      <c r="D88" s="472" t="s">
        <v>19</v>
      </c>
      <c r="E88" s="448" t="s">
        <v>4087</v>
      </c>
      <c r="F88" s="448" t="s">
        <v>4099</v>
      </c>
      <c r="G88" s="473" t="s">
        <v>3905</v>
      </c>
      <c r="H88" s="439" t="s">
        <v>137</v>
      </c>
      <c r="I88" s="474" t="s">
        <v>3457</v>
      </c>
      <c r="J88" s="474" t="s">
        <v>3463</v>
      </c>
      <c r="K88" s="443" t="s">
        <v>138</v>
      </c>
      <c r="L88" s="471">
        <v>1</v>
      </c>
      <c r="M88" s="447" t="s">
        <v>143</v>
      </c>
      <c r="N88" s="456">
        <v>11050</v>
      </c>
      <c r="O88" s="475">
        <f t="shared" si="0"/>
        <v>11050</v>
      </c>
      <c r="P88" s="476"/>
      <c r="Q88" s="477">
        <v>46023</v>
      </c>
      <c r="R88" s="476"/>
      <c r="S88" s="476"/>
    </row>
    <row r="89" spans="1:19" ht="15.75" customHeight="1" x14ac:dyDescent="0.25">
      <c r="A89" s="438">
        <v>86</v>
      </c>
      <c r="B89" s="470" t="s">
        <v>17</v>
      </c>
      <c r="C89" s="471" t="s">
        <v>18</v>
      </c>
      <c r="D89" s="472" t="s">
        <v>19</v>
      </c>
      <c r="E89" s="448" t="s">
        <v>4083</v>
      </c>
      <c r="F89" s="448" t="s">
        <v>4100</v>
      </c>
      <c r="G89" s="473" t="s">
        <v>3906</v>
      </c>
      <c r="H89" s="439" t="s">
        <v>144</v>
      </c>
      <c r="I89" s="474" t="s">
        <v>3457</v>
      </c>
      <c r="J89" s="474" t="s">
        <v>3463</v>
      </c>
      <c r="K89" s="443" t="s">
        <v>145</v>
      </c>
      <c r="L89" s="471">
        <v>1</v>
      </c>
      <c r="M89" s="447" t="s">
        <v>146</v>
      </c>
      <c r="N89" s="456">
        <v>21488.7</v>
      </c>
      <c r="O89" s="475">
        <f t="shared" si="0"/>
        <v>21488.7</v>
      </c>
      <c r="P89" s="476"/>
      <c r="Q89" s="477">
        <v>46023</v>
      </c>
      <c r="R89" s="476"/>
      <c r="S89" s="476"/>
    </row>
    <row r="90" spans="1:19" ht="15.75" customHeight="1" x14ac:dyDescent="0.25">
      <c r="A90" s="438">
        <v>87</v>
      </c>
      <c r="B90" s="470" t="s">
        <v>17</v>
      </c>
      <c r="C90" s="471" t="s">
        <v>18</v>
      </c>
      <c r="D90" s="472" t="s">
        <v>19</v>
      </c>
      <c r="E90" s="448" t="s">
        <v>4083</v>
      </c>
      <c r="F90" s="448" t="s">
        <v>4100</v>
      </c>
      <c r="G90" s="473" t="s">
        <v>3906</v>
      </c>
      <c r="H90" s="439" t="s">
        <v>144</v>
      </c>
      <c r="I90" s="474" t="s">
        <v>3457</v>
      </c>
      <c r="J90" s="474" t="s">
        <v>3463</v>
      </c>
      <c r="K90" s="443" t="s">
        <v>145</v>
      </c>
      <c r="L90" s="471">
        <v>1</v>
      </c>
      <c r="M90" s="447" t="s">
        <v>147</v>
      </c>
      <c r="N90" s="456">
        <v>3339.65</v>
      </c>
      <c r="O90" s="475">
        <f t="shared" si="0"/>
        <v>3339.65</v>
      </c>
      <c r="P90" s="476"/>
      <c r="Q90" s="477">
        <v>46023</v>
      </c>
      <c r="R90" s="476"/>
      <c r="S90" s="476"/>
    </row>
    <row r="91" spans="1:19" ht="15.75" customHeight="1" x14ac:dyDescent="0.25">
      <c r="A91" s="438">
        <v>88</v>
      </c>
      <c r="B91" s="470" t="s">
        <v>17</v>
      </c>
      <c r="C91" s="471" t="s">
        <v>18</v>
      </c>
      <c r="D91" s="472" t="s">
        <v>19</v>
      </c>
      <c r="E91" s="448" t="s">
        <v>4083</v>
      </c>
      <c r="F91" s="448" t="s">
        <v>4100</v>
      </c>
      <c r="G91" s="473" t="s">
        <v>3906</v>
      </c>
      <c r="H91" s="439" t="s">
        <v>144</v>
      </c>
      <c r="I91" s="474" t="s">
        <v>3457</v>
      </c>
      <c r="J91" s="474" t="s">
        <v>3463</v>
      </c>
      <c r="K91" s="443" t="s">
        <v>145</v>
      </c>
      <c r="L91" s="471">
        <v>1</v>
      </c>
      <c r="M91" s="447" t="s">
        <v>148</v>
      </c>
      <c r="N91" s="456">
        <v>8562.0499999999993</v>
      </c>
      <c r="O91" s="475">
        <f t="shared" si="0"/>
        <v>8562.0499999999993</v>
      </c>
      <c r="P91" s="476"/>
      <c r="Q91" s="477">
        <v>46023</v>
      </c>
      <c r="R91" s="476"/>
      <c r="S91" s="476"/>
    </row>
    <row r="92" spans="1:19" ht="15.75" customHeight="1" x14ac:dyDescent="0.25">
      <c r="A92" s="438">
        <v>89</v>
      </c>
      <c r="B92" s="470" t="s">
        <v>17</v>
      </c>
      <c r="C92" s="471" t="s">
        <v>18</v>
      </c>
      <c r="D92" s="472" t="s">
        <v>19</v>
      </c>
      <c r="E92" s="448" t="s">
        <v>4083</v>
      </c>
      <c r="F92" s="448" t="s">
        <v>4100</v>
      </c>
      <c r="G92" s="473" t="s">
        <v>3906</v>
      </c>
      <c r="H92" s="439" t="s">
        <v>149</v>
      </c>
      <c r="I92" s="474" t="s">
        <v>3457</v>
      </c>
      <c r="J92" s="474" t="s">
        <v>3463</v>
      </c>
      <c r="K92" s="443" t="s">
        <v>145</v>
      </c>
      <c r="L92" s="471">
        <v>1</v>
      </c>
      <c r="M92" s="447" t="s">
        <v>150</v>
      </c>
      <c r="N92" s="456">
        <v>6337.5</v>
      </c>
      <c r="O92" s="475">
        <f t="shared" si="0"/>
        <v>6337.5</v>
      </c>
      <c r="P92" s="476"/>
      <c r="Q92" s="477">
        <v>46023</v>
      </c>
      <c r="R92" s="476"/>
      <c r="S92" s="476"/>
    </row>
    <row r="93" spans="1:19" ht="15.75" customHeight="1" x14ac:dyDescent="0.25">
      <c r="A93" s="438">
        <v>90</v>
      </c>
      <c r="B93" s="470" t="s">
        <v>17</v>
      </c>
      <c r="C93" s="471" t="s">
        <v>18</v>
      </c>
      <c r="D93" s="472" t="s">
        <v>19</v>
      </c>
      <c r="E93" s="448" t="s">
        <v>3249</v>
      </c>
      <c r="F93" s="448" t="s">
        <v>3249</v>
      </c>
      <c r="G93" s="473" t="s">
        <v>3907</v>
      </c>
      <c r="H93" s="439" t="s">
        <v>151</v>
      </c>
      <c r="I93" s="474" t="s">
        <v>3457</v>
      </c>
      <c r="J93" s="474" t="s">
        <v>3464</v>
      </c>
      <c r="K93" s="443" t="s">
        <v>152</v>
      </c>
      <c r="L93" s="471">
        <v>1</v>
      </c>
      <c r="M93" s="447" t="s">
        <v>153</v>
      </c>
      <c r="N93" s="456">
        <v>7063</v>
      </c>
      <c r="O93" s="475">
        <f t="shared" si="0"/>
        <v>7063</v>
      </c>
      <c r="P93" s="476"/>
      <c r="Q93" s="477">
        <v>46023</v>
      </c>
      <c r="R93" s="476"/>
      <c r="S93" s="476"/>
    </row>
    <row r="94" spans="1:19" ht="15.75" customHeight="1" x14ac:dyDescent="0.25">
      <c r="A94" s="438">
        <v>91</v>
      </c>
      <c r="B94" s="470" t="s">
        <v>17</v>
      </c>
      <c r="C94" s="471" t="s">
        <v>18</v>
      </c>
      <c r="D94" s="472" t="s">
        <v>19</v>
      </c>
      <c r="E94" s="448" t="s">
        <v>3249</v>
      </c>
      <c r="F94" s="448" t="s">
        <v>3249</v>
      </c>
      <c r="G94" s="473" t="s">
        <v>3907</v>
      </c>
      <c r="H94" s="439" t="s">
        <v>151</v>
      </c>
      <c r="I94" s="474" t="s">
        <v>3457</v>
      </c>
      <c r="J94" s="474" t="s">
        <v>3464</v>
      </c>
      <c r="K94" s="443" t="s">
        <v>152</v>
      </c>
      <c r="L94" s="471">
        <v>1</v>
      </c>
      <c r="M94" s="447" t="s">
        <v>154</v>
      </c>
      <c r="N94" s="456">
        <v>7063</v>
      </c>
      <c r="O94" s="475">
        <f t="shared" si="0"/>
        <v>7063</v>
      </c>
      <c r="P94" s="476"/>
      <c r="Q94" s="477">
        <v>46023</v>
      </c>
      <c r="R94" s="476"/>
      <c r="S94" s="476"/>
    </row>
    <row r="95" spans="1:19" ht="15.75" customHeight="1" x14ac:dyDescent="0.25">
      <c r="A95" s="438">
        <v>92</v>
      </c>
      <c r="B95" s="470" t="s">
        <v>17</v>
      </c>
      <c r="C95" s="471" t="s">
        <v>18</v>
      </c>
      <c r="D95" s="472" t="s">
        <v>19</v>
      </c>
      <c r="E95" s="448" t="s">
        <v>3249</v>
      </c>
      <c r="F95" s="448" t="s">
        <v>3249</v>
      </c>
      <c r="G95" s="473" t="s">
        <v>3907</v>
      </c>
      <c r="H95" s="439" t="s">
        <v>155</v>
      </c>
      <c r="I95" s="474" t="s">
        <v>3457</v>
      </c>
      <c r="J95" s="474" t="s">
        <v>3464</v>
      </c>
      <c r="K95" s="443" t="s">
        <v>152</v>
      </c>
      <c r="L95" s="471">
        <v>1</v>
      </c>
      <c r="M95" s="447" t="s">
        <v>156</v>
      </c>
      <c r="N95" s="456">
        <v>17549</v>
      </c>
      <c r="O95" s="475">
        <f t="shared" si="0"/>
        <v>17549</v>
      </c>
      <c r="P95" s="476"/>
      <c r="Q95" s="477">
        <v>46023</v>
      </c>
      <c r="R95" s="476"/>
      <c r="S95" s="476"/>
    </row>
    <row r="96" spans="1:19" ht="15.75" customHeight="1" x14ac:dyDescent="0.25">
      <c r="A96" s="438">
        <v>93</v>
      </c>
      <c r="B96" s="470" t="s">
        <v>17</v>
      </c>
      <c r="C96" s="471" t="s">
        <v>18</v>
      </c>
      <c r="D96" s="472" t="s">
        <v>19</v>
      </c>
      <c r="E96" s="448" t="s">
        <v>4081</v>
      </c>
      <c r="F96" s="448" t="s">
        <v>2989</v>
      </c>
      <c r="G96" s="473" t="s">
        <v>3908</v>
      </c>
      <c r="H96" s="439" t="s">
        <v>157</v>
      </c>
      <c r="I96" s="474" t="s">
        <v>3457</v>
      </c>
      <c r="J96" s="474" t="s">
        <v>3464</v>
      </c>
      <c r="K96" s="443" t="s">
        <v>158</v>
      </c>
      <c r="L96" s="471">
        <v>1</v>
      </c>
      <c r="M96" s="447" t="s">
        <v>159</v>
      </c>
      <c r="N96" s="456">
        <v>2400</v>
      </c>
      <c r="O96" s="475">
        <f t="shared" si="0"/>
        <v>2400</v>
      </c>
      <c r="P96" s="476"/>
      <c r="Q96" s="477">
        <v>46023</v>
      </c>
      <c r="R96" s="476"/>
      <c r="S96" s="476"/>
    </row>
    <row r="97" spans="1:19" ht="15.75" customHeight="1" x14ac:dyDescent="0.25">
      <c r="A97" s="438">
        <v>94</v>
      </c>
      <c r="B97" s="470" t="s">
        <v>17</v>
      </c>
      <c r="C97" s="471" t="s">
        <v>18</v>
      </c>
      <c r="D97" s="472" t="s">
        <v>19</v>
      </c>
      <c r="E97" s="448" t="s">
        <v>4081</v>
      </c>
      <c r="F97" s="448" t="s">
        <v>2989</v>
      </c>
      <c r="G97" s="473" t="s">
        <v>3908</v>
      </c>
      <c r="H97" s="439" t="s">
        <v>157</v>
      </c>
      <c r="I97" s="474" t="s">
        <v>3457</v>
      </c>
      <c r="J97" s="474" t="s">
        <v>3464</v>
      </c>
      <c r="K97" s="443" t="s">
        <v>158</v>
      </c>
      <c r="L97" s="471">
        <v>1</v>
      </c>
      <c r="M97" s="447" t="s">
        <v>160</v>
      </c>
      <c r="N97" s="456">
        <v>2400</v>
      </c>
      <c r="O97" s="475">
        <f t="shared" si="0"/>
        <v>2400</v>
      </c>
      <c r="P97" s="476"/>
      <c r="Q97" s="477">
        <v>46023</v>
      </c>
      <c r="R97" s="476"/>
      <c r="S97" s="476"/>
    </row>
    <row r="98" spans="1:19" ht="15.75" customHeight="1" x14ac:dyDescent="0.25">
      <c r="A98" s="438">
        <v>95</v>
      </c>
      <c r="B98" s="470" t="s">
        <v>17</v>
      </c>
      <c r="C98" s="471" t="s">
        <v>18</v>
      </c>
      <c r="D98" s="472" t="s">
        <v>19</v>
      </c>
      <c r="E98" s="448" t="s">
        <v>4081</v>
      </c>
      <c r="F98" s="448" t="s">
        <v>2989</v>
      </c>
      <c r="G98" s="473" t="s">
        <v>3909</v>
      </c>
      <c r="H98" s="439" t="s">
        <v>161</v>
      </c>
      <c r="I98" s="474" t="s">
        <v>3457</v>
      </c>
      <c r="J98" s="474" t="s">
        <v>3464</v>
      </c>
      <c r="K98" s="443" t="s">
        <v>162</v>
      </c>
      <c r="L98" s="471">
        <v>1</v>
      </c>
      <c r="M98" s="447" t="s">
        <v>163</v>
      </c>
      <c r="N98" s="456">
        <v>36915</v>
      </c>
      <c r="O98" s="475">
        <f t="shared" si="0"/>
        <v>36915</v>
      </c>
      <c r="P98" s="476"/>
      <c r="Q98" s="477">
        <v>46023</v>
      </c>
      <c r="R98" s="476"/>
      <c r="S98" s="476"/>
    </row>
    <row r="99" spans="1:19" ht="15.75" customHeight="1" x14ac:dyDescent="0.25">
      <c r="A99" s="438">
        <v>96</v>
      </c>
      <c r="B99" s="470" t="s">
        <v>17</v>
      </c>
      <c r="C99" s="471" t="s">
        <v>18</v>
      </c>
      <c r="D99" s="472" t="s">
        <v>19</v>
      </c>
      <c r="E99" s="448" t="s">
        <v>2990</v>
      </c>
      <c r="F99" s="448" t="s">
        <v>2990</v>
      </c>
      <c r="G99" s="473" t="s">
        <v>3910</v>
      </c>
      <c r="H99" s="439" t="s">
        <v>164</v>
      </c>
      <c r="I99" s="474" t="s">
        <v>3459</v>
      </c>
      <c r="J99" s="474" t="s">
        <v>3463</v>
      </c>
      <c r="K99" s="443" t="s">
        <v>165</v>
      </c>
      <c r="L99" s="471">
        <v>1</v>
      </c>
      <c r="M99" s="447" t="s">
        <v>166</v>
      </c>
      <c r="N99" s="456">
        <v>3800</v>
      </c>
      <c r="O99" s="475">
        <f t="shared" si="0"/>
        <v>3800</v>
      </c>
      <c r="P99" s="476"/>
      <c r="Q99" s="477">
        <v>46023</v>
      </c>
      <c r="R99" s="476"/>
      <c r="S99" s="476"/>
    </row>
    <row r="100" spans="1:19" ht="15.75" customHeight="1" x14ac:dyDescent="0.25">
      <c r="A100" s="438">
        <v>97</v>
      </c>
      <c r="B100" s="470" t="s">
        <v>17</v>
      </c>
      <c r="C100" s="471" t="s">
        <v>18</v>
      </c>
      <c r="D100" s="472" t="s">
        <v>19</v>
      </c>
      <c r="E100" s="448" t="s">
        <v>2990</v>
      </c>
      <c r="F100" s="448" t="s">
        <v>2990</v>
      </c>
      <c r="G100" s="473" t="s">
        <v>3910</v>
      </c>
      <c r="H100" s="439" t="s">
        <v>164</v>
      </c>
      <c r="I100" s="474" t="s">
        <v>3459</v>
      </c>
      <c r="J100" s="474" t="s">
        <v>3463</v>
      </c>
      <c r="K100" s="443" t="s">
        <v>165</v>
      </c>
      <c r="L100" s="471">
        <v>1</v>
      </c>
      <c r="M100" s="447" t="s">
        <v>167</v>
      </c>
      <c r="N100" s="456">
        <v>3150</v>
      </c>
      <c r="O100" s="475">
        <f t="shared" si="0"/>
        <v>3150</v>
      </c>
      <c r="P100" s="476"/>
      <c r="Q100" s="477">
        <v>46023</v>
      </c>
      <c r="R100" s="476"/>
      <c r="S100" s="476"/>
    </row>
    <row r="101" spans="1:19" ht="15.75" customHeight="1" x14ac:dyDescent="0.25">
      <c r="A101" s="438">
        <v>98</v>
      </c>
      <c r="B101" s="470" t="s">
        <v>17</v>
      </c>
      <c r="C101" s="471" t="s">
        <v>18</v>
      </c>
      <c r="D101" s="472" t="s">
        <v>19</v>
      </c>
      <c r="E101" s="448" t="s">
        <v>4080</v>
      </c>
      <c r="F101" s="448" t="s">
        <v>4080</v>
      </c>
      <c r="G101" s="473" t="s">
        <v>3906</v>
      </c>
      <c r="H101" s="439" t="s">
        <v>168</v>
      </c>
      <c r="I101" s="474" t="s">
        <v>3457</v>
      </c>
      <c r="J101" s="474" t="s">
        <v>3463</v>
      </c>
      <c r="K101" s="443" t="s">
        <v>145</v>
      </c>
      <c r="L101" s="471">
        <v>1</v>
      </c>
      <c r="M101" s="447" t="s">
        <v>169</v>
      </c>
      <c r="N101" s="456">
        <v>28532.400000000001</v>
      </c>
      <c r="O101" s="475">
        <f t="shared" si="0"/>
        <v>28532.400000000001</v>
      </c>
      <c r="P101" s="476"/>
      <c r="Q101" s="477">
        <v>46023</v>
      </c>
      <c r="R101" s="476"/>
      <c r="S101" s="476"/>
    </row>
    <row r="102" spans="1:19" ht="15.75" customHeight="1" x14ac:dyDescent="0.25">
      <c r="A102" s="438">
        <v>99</v>
      </c>
      <c r="B102" s="470" t="s">
        <v>17</v>
      </c>
      <c r="C102" s="471" t="s">
        <v>18</v>
      </c>
      <c r="D102" s="472" t="s">
        <v>19</v>
      </c>
      <c r="E102" s="448" t="s">
        <v>4080</v>
      </c>
      <c r="F102" s="448" t="s">
        <v>4080</v>
      </c>
      <c r="G102" s="473" t="s">
        <v>3906</v>
      </c>
      <c r="H102" s="439" t="s">
        <v>170</v>
      </c>
      <c r="I102" s="474" t="s">
        <v>3457</v>
      </c>
      <c r="J102" s="474" t="s">
        <v>3463</v>
      </c>
      <c r="K102" s="443" t="s">
        <v>145</v>
      </c>
      <c r="L102" s="471">
        <v>1</v>
      </c>
      <c r="M102" s="447" t="s">
        <v>171</v>
      </c>
      <c r="N102" s="456">
        <v>2850</v>
      </c>
      <c r="O102" s="475">
        <f t="shared" si="0"/>
        <v>2850</v>
      </c>
      <c r="P102" s="476"/>
      <c r="Q102" s="477">
        <v>46023</v>
      </c>
      <c r="R102" s="476"/>
      <c r="S102" s="476"/>
    </row>
    <row r="103" spans="1:19" ht="15.75" customHeight="1" x14ac:dyDescent="0.25">
      <c r="A103" s="438">
        <v>100</v>
      </c>
      <c r="B103" s="470" t="s">
        <v>17</v>
      </c>
      <c r="C103" s="471" t="s">
        <v>18</v>
      </c>
      <c r="D103" s="472" t="s">
        <v>19</v>
      </c>
      <c r="E103" s="448" t="s">
        <v>4080</v>
      </c>
      <c r="F103" s="448" t="s">
        <v>4080</v>
      </c>
      <c r="G103" s="473" t="s">
        <v>3906</v>
      </c>
      <c r="H103" s="439" t="s">
        <v>170</v>
      </c>
      <c r="I103" s="474" t="s">
        <v>3457</v>
      </c>
      <c r="J103" s="474" t="s">
        <v>3463</v>
      </c>
      <c r="K103" s="443" t="s">
        <v>145</v>
      </c>
      <c r="L103" s="471">
        <v>1</v>
      </c>
      <c r="M103" s="447" t="s">
        <v>172</v>
      </c>
      <c r="N103" s="456">
        <v>11000</v>
      </c>
      <c r="O103" s="475">
        <f t="shared" si="0"/>
        <v>11000</v>
      </c>
      <c r="P103" s="476"/>
      <c r="Q103" s="477">
        <v>46023</v>
      </c>
      <c r="R103" s="476"/>
      <c r="S103" s="476"/>
    </row>
    <row r="104" spans="1:19" ht="15.75" customHeight="1" x14ac:dyDescent="0.25">
      <c r="A104" s="438">
        <v>101</v>
      </c>
      <c r="B104" s="470" t="s">
        <v>17</v>
      </c>
      <c r="C104" s="471" t="s">
        <v>18</v>
      </c>
      <c r="D104" s="472" t="s">
        <v>19</v>
      </c>
      <c r="E104" s="448" t="s">
        <v>4081</v>
      </c>
      <c r="F104" s="448" t="s">
        <v>2989</v>
      </c>
      <c r="G104" s="473" t="s">
        <v>3896</v>
      </c>
      <c r="H104" s="439" t="s">
        <v>173</v>
      </c>
      <c r="I104" s="474" t="s">
        <v>3457</v>
      </c>
      <c r="J104" s="474" t="s">
        <v>3463</v>
      </c>
      <c r="K104" s="443" t="s">
        <v>72</v>
      </c>
      <c r="L104" s="471">
        <v>1</v>
      </c>
      <c r="M104" s="447" t="s">
        <v>174</v>
      </c>
      <c r="N104" s="456">
        <v>4500</v>
      </c>
      <c r="O104" s="475">
        <f t="shared" si="0"/>
        <v>4500</v>
      </c>
      <c r="P104" s="476"/>
      <c r="Q104" s="477">
        <v>46023</v>
      </c>
      <c r="R104" s="476"/>
      <c r="S104" s="476"/>
    </row>
    <row r="105" spans="1:19" ht="15.75" customHeight="1" x14ac:dyDescent="0.25">
      <c r="A105" s="438">
        <v>102</v>
      </c>
      <c r="B105" s="470" t="s">
        <v>17</v>
      </c>
      <c r="C105" s="471" t="s">
        <v>18</v>
      </c>
      <c r="D105" s="472" t="s">
        <v>19</v>
      </c>
      <c r="E105" s="448" t="s">
        <v>4085</v>
      </c>
      <c r="F105" s="448" t="s">
        <v>2985</v>
      </c>
      <c r="G105" s="473" t="s">
        <v>3406</v>
      </c>
      <c r="H105" s="439" t="s">
        <v>175</v>
      </c>
      <c r="I105" s="474" t="s">
        <v>3457</v>
      </c>
      <c r="J105" s="474" t="s">
        <v>3463</v>
      </c>
      <c r="K105" s="443" t="s">
        <v>176</v>
      </c>
      <c r="L105" s="471">
        <v>1</v>
      </c>
      <c r="M105" s="447" t="s">
        <v>177</v>
      </c>
      <c r="N105" s="456">
        <v>82550</v>
      </c>
      <c r="O105" s="475">
        <f t="shared" si="0"/>
        <v>82550</v>
      </c>
      <c r="P105" s="476"/>
      <c r="Q105" s="477">
        <v>46023</v>
      </c>
      <c r="R105" s="476"/>
      <c r="S105" s="476"/>
    </row>
    <row r="106" spans="1:19" ht="15.75" customHeight="1" x14ac:dyDescent="0.25">
      <c r="A106" s="438">
        <v>103</v>
      </c>
      <c r="B106" s="470" t="s">
        <v>17</v>
      </c>
      <c r="C106" s="471" t="s">
        <v>18</v>
      </c>
      <c r="D106" s="472" t="s">
        <v>19</v>
      </c>
      <c r="E106" s="448" t="s">
        <v>4085</v>
      </c>
      <c r="F106" s="448" t="s">
        <v>2985</v>
      </c>
      <c r="G106" s="473" t="s">
        <v>3406</v>
      </c>
      <c r="H106" s="439" t="s">
        <v>175</v>
      </c>
      <c r="I106" s="474" t="s">
        <v>3457</v>
      </c>
      <c r="J106" s="474" t="s">
        <v>3463</v>
      </c>
      <c r="K106" s="443" t="s">
        <v>176</v>
      </c>
      <c r="L106" s="471">
        <v>1</v>
      </c>
      <c r="M106" s="447" t="s">
        <v>178</v>
      </c>
      <c r="N106" s="457">
        <v>82550</v>
      </c>
      <c r="O106" s="475">
        <f t="shared" si="0"/>
        <v>82550</v>
      </c>
      <c r="P106" s="476"/>
      <c r="Q106" s="477">
        <v>46023</v>
      </c>
      <c r="R106" s="476"/>
      <c r="S106" s="476"/>
    </row>
    <row r="107" spans="1:19" ht="15.75" customHeight="1" x14ac:dyDescent="0.25">
      <c r="A107" s="438">
        <v>104</v>
      </c>
      <c r="B107" s="470" t="s">
        <v>17</v>
      </c>
      <c r="C107" s="471" t="s">
        <v>18</v>
      </c>
      <c r="D107" s="472" t="s">
        <v>19</v>
      </c>
      <c r="E107" s="448" t="s">
        <v>4085</v>
      </c>
      <c r="F107" s="448" t="s">
        <v>2985</v>
      </c>
      <c r="G107" s="473" t="s">
        <v>3406</v>
      </c>
      <c r="H107" s="439" t="s">
        <v>175</v>
      </c>
      <c r="I107" s="474" t="s">
        <v>3457</v>
      </c>
      <c r="J107" s="474" t="s">
        <v>3463</v>
      </c>
      <c r="K107" s="443" t="s">
        <v>176</v>
      </c>
      <c r="L107" s="471">
        <v>1</v>
      </c>
      <c r="M107" s="447" t="s">
        <v>179</v>
      </c>
      <c r="N107" s="457">
        <v>82550</v>
      </c>
      <c r="O107" s="475">
        <f t="shared" si="0"/>
        <v>82550</v>
      </c>
      <c r="P107" s="476"/>
      <c r="Q107" s="477">
        <v>46023</v>
      </c>
      <c r="R107" s="476"/>
      <c r="S107" s="476"/>
    </row>
    <row r="108" spans="1:19" ht="15.75" customHeight="1" x14ac:dyDescent="0.25">
      <c r="A108" s="438">
        <v>105</v>
      </c>
      <c r="B108" s="470" t="s">
        <v>17</v>
      </c>
      <c r="C108" s="471" t="s">
        <v>18</v>
      </c>
      <c r="D108" s="472" t="s">
        <v>19</v>
      </c>
      <c r="E108" s="448" t="s">
        <v>4085</v>
      </c>
      <c r="F108" s="448" t="s">
        <v>2985</v>
      </c>
      <c r="G108" s="473" t="s">
        <v>3406</v>
      </c>
      <c r="H108" s="440" t="s">
        <v>175</v>
      </c>
      <c r="I108" s="474" t="s">
        <v>3457</v>
      </c>
      <c r="J108" s="474" t="s">
        <v>3463</v>
      </c>
      <c r="K108" s="440" t="s">
        <v>176</v>
      </c>
      <c r="L108" s="471">
        <v>1</v>
      </c>
      <c r="M108" s="447" t="s">
        <v>180</v>
      </c>
      <c r="N108" s="458">
        <v>82550</v>
      </c>
      <c r="O108" s="475">
        <f t="shared" si="0"/>
        <v>82550</v>
      </c>
      <c r="P108" s="476"/>
      <c r="Q108" s="477">
        <v>46023</v>
      </c>
      <c r="R108" s="476"/>
      <c r="S108" s="476"/>
    </row>
    <row r="109" spans="1:19" ht="15.75" customHeight="1" x14ac:dyDescent="0.25">
      <c r="A109" s="438">
        <v>106</v>
      </c>
      <c r="B109" s="470" t="s">
        <v>17</v>
      </c>
      <c r="C109" s="471" t="s">
        <v>18</v>
      </c>
      <c r="D109" s="472" t="s">
        <v>19</v>
      </c>
      <c r="E109" s="448" t="s">
        <v>4085</v>
      </c>
      <c r="F109" s="448" t="s">
        <v>2985</v>
      </c>
      <c r="G109" s="473" t="s">
        <v>3406</v>
      </c>
      <c r="H109" s="440" t="s">
        <v>175</v>
      </c>
      <c r="I109" s="474" t="s">
        <v>3457</v>
      </c>
      <c r="J109" s="474" t="s">
        <v>3463</v>
      </c>
      <c r="K109" s="440" t="s">
        <v>176</v>
      </c>
      <c r="L109" s="471">
        <v>1</v>
      </c>
      <c r="M109" s="447" t="s">
        <v>181</v>
      </c>
      <c r="N109" s="458">
        <v>82550</v>
      </c>
      <c r="O109" s="475">
        <f t="shared" si="0"/>
        <v>82550</v>
      </c>
      <c r="P109" s="476"/>
      <c r="Q109" s="477">
        <v>46023</v>
      </c>
      <c r="R109" s="476"/>
      <c r="S109" s="476"/>
    </row>
    <row r="110" spans="1:19" ht="15.75" customHeight="1" x14ac:dyDescent="0.25">
      <c r="A110" s="438">
        <v>107</v>
      </c>
      <c r="B110" s="470" t="s">
        <v>17</v>
      </c>
      <c r="C110" s="471" t="s">
        <v>18</v>
      </c>
      <c r="D110" s="472" t="s">
        <v>19</v>
      </c>
      <c r="E110" s="448" t="s">
        <v>4085</v>
      </c>
      <c r="F110" s="448" t="s">
        <v>2985</v>
      </c>
      <c r="G110" s="473" t="s">
        <v>3406</v>
      </c>
      <c r="H110" s="440" t="s">
        <v>175</v>
      </c>
      <c r="I110" s="474" t="s">
        <v>3457</v>
      </c>
      <c r="J110" s="474" t="s">
        <v>3463</v>
      </c>
      <c r="K110" s="440" t="s">
        <v>176</v>
      </c>
      <c r="L110" s="471">
        <v>1</v>
      </c>
      <c r="M110" s="447" t="s">
        <v>182</v>
      </c>
      <c r="N110" s="458">
        <v>82550</v>
      </c>
      <c r="O110" s="475">
        <f t="shared" si="0"/>
        <v>82550</v>
      </c>
      <c r="P110" s="476"/>
      <c r="Q110" s="477">
        <v>46023</v>
      </c>
      <c r="R110" s="476"/>
      <c r="S110" s="476"/>
    </row>
    <row r="111" spans="1:19" ht="15.75" customHeight="1" x14ac:dyDescent="0.25">
      <c r="A111" s="438">
        <v>108</v>
      </c>
      <c r="B111" s="470" t="s">
        <v>17</v>
      </c>
      <c r="C111" s="471" t="s">
        <v>18</v>
      </c>
      <c r="D111" s="472" t="s">
        <v>19</v>
      </c>
      <c r="E111" s="448" t="s">
        <v>4085</v>
      </c>
      <c r="F111" s="448" t="s">
        <v>2985</v>
      </c>
      <c r="G111" s="473" t="s">
        <v>3406</v>
      </c>
      <c r="H111" s="440" t="s">
        <v>175</v>
      </c>
      <c r="I111" s="474" t="s">
        <v>3457</v>
      </c>
      <c r="J111" s="474" t="s">
        <v>3463</v>
      </c>
      <c r="K111" s="440" t="s">
        <v>176</v>
      </c>
      <c r="L111" s="471">
        <v>1</v>
      </c>
      <c r="M111" s="447" t="s">
        <v>183</v>
      </c>
      <c r="N111" s="458">
        <v>82550</v>
      </c>
      <c r="O111" s="475">
        <f t="shared" si="0"/>
        <v>82550</v>
      </c>
      <c r="P111" s="476"/>
      <c r="Q111" s="477">
        <v>46023</v>
      </c>
      <c r="R111" s="476"/>
      <c r="S111" s="476"/>
    </row>
    <row r="112" spans="1:19" ht="15.75" customHeight="1" x14ac:dyDescent="0.25">
      <c r="A112" s="438">
        <v>109</v>
      </c>
      <c r="B112" s="470" t="s">
        <v>17</v>
      </c>
      <c r="C112" s="471" t="s">
        <v>18</v>
      </c>
      <c r="D112" s="472" t="s">
        <v>19</v>
      </c>
      <c r="E112" s="465" t="s">
        <v>4085</v>
      </c>
      <c r="F112" s="448" t="s">
        <v>2985</v>
      </c>
      <c r="G112" s="473" t="s">
        <v>3406</v>
      </c>
      <c r="H112" s="440" t="s">
        <v>175</v>
      </c>
      <c r="I112" s="474" t="s">
        <v>3457</v>
      </c>
      <c r="J112" s="474" t="s">
        <v>3463</v>
      </c>
      <c r="K112" s="444" t="s">
        <v>176</v>
      </c>
      <c r="L112" s="471">
        <v>1</v>
      </c>
      <c r="M112" s="447" t="s">
        <v>184</v>
      </c>
      <c r="N112" s="459">
        <v>82550</v>
      </c>
      <c r="O112" s="475">
        <f t="shared" si="0"/>
        <v>82550</v>
      </c>
      <c r="P112" s="476"/>
      <c r="Q112" s="477">
        <v>46023</v>
      </c>
      <c r="R112" s="476"/>
      <c r="S112" s="476"/>
    </row>
    <row r="113" spans="1:19" ht="15.75" customHeight="1" x14ac:dyDescent="0.25">
      <c r="A113" s="438">
        <v>110</v>
      </c>
      <c r="B113" s="470" t="s">
        <v>17</v>
      </c>
      <c r="C113" s="471" t="s">
        <v>18</v>
      </c>
      <c r="D113" s="472" t="s">
        <v>19</v>
      </c>
      <c r="E113" s="465" t="s">
        <v>4088</v>
      </c>
      <c r="F113" s="448" t="s">
        <v>4101</v>
      </c>
      <c r="G113" s="473" t="s">
        <v>3406</v>
      </c>
      <c r="H113" s="440" t="s">
        <v>175</v>
      </c>
      <c r="I113" s="474" t="s">
        <v>3457</v>
      </c>
      <c r="J113" s="474" t="s">
        <v>3463</v>
      </c>
      <c r="K113" s="444" t="s">
        <v>176</v>
      </c>
      <c r="L113" s="471">
        <v>1</v>
      </c>
      <c r="M113" s="447" t="s">
        <v>185</v>
      </c>
      <c r="N113" s="459">
        <v>82550</v>
      </c>
      <c r="O113" s="475">
        <f t="shared" si="0"/>
        <v>82550</v>
      </c>
      <c r="P113" s="476"/>
      <c r="Q113" s="477">
        <v>46023</v>
      </c>
      <c r="R113" s="476"/>
      <c r="S113" s="476"/>
    </row>
    <row r="114" spans="1:19" ht="15.75" customHeight="1" x14ac:dyDescent="0.25">
      <c r="A114" s="438">
        <v>111</v>
      </c>
      <c r="B114" s="470" t="s">
        <v>17</v>
      </c>
      <c r="C114" s="471" t="s">
        <v>18</v>
      </c>
      <c r="D114" s="472" t="s">
        <v>19</v>
      </c>
      <c r="E114" s="465" t="s">
        <v>4088</v>
      </c>
      <c r="F114" s="448" t="s">
        <v>4101</v>
      </c>
      <c r="G114" s="473" t="s">
        <v>3406</v>
      </c>
      <c r="H114" s="440" t="s">
        <v>175</v>
      </c>
      <c r="I114" s="474" t="s">
        <v>3457</v>
      </c>
      <c r="J114" s="474" t="s">
        <v>3463</v>
      </c>
      <c r="K114" s="444" t="s">
        <v>176</v>
      </c>
      <c r="L114" s="471">
        <v>1</v>
      </c>
      <c r="M114" s="447" t="s">
        <v>186</v>
      </c>
      <c r="N114" s="459">
        <v>82550</v>
      </c>
      <c r="O114" s="475">
        <f t="shared" si="0"/>
        <v>82550</v>
      </c>
      <c r="P114" s="476"/>
      <c r="Q114" s="477">
        <v>46023</v>
      </c>
      <c r="R114" s="476"/>
      <c r="S114" s="476"/>
    </row>
    <row r="115" spans="1:19" ht="15.75" customHeight="1" x14ac:dyDescent="0.25">
      <c r="A115" s="438">
        <v>112</v>
      </c>
      <c r="B115" s="470" t="s">
        <v>17</v>
      </c>
      <c r="C115" s="471" t="s">
        <v>18</v>
      </c>
      <c r="D115" s="472" t="s">
        <v>19</v>
      </c>
      <c r="E115" s="465" t="s">
        <v>3047</v>
      </c>
      <c r="F115" s="448" t="s">
        <v>3047</v>
      </c>
      <c r="G115" s="473" t="s">
        <v>3406</v>
      </c>
      <c r="H115" s="440" t="s">
        <v>187</v>
      </c>
      <c r="I115" s="474" t="s">
        <v>3457</v>
      </c>
      <c r="J115" s="474" t="s">
        <v>3463</v>
      </c>
      <c r="K115" s="444" t="s">
        <v>176</v>
      </c>
      <c r="L115" s="471">
        <v>1</v>
      </c>
      <c r="M115" s="447" t="s">
        <v>188</v>
      </c>
      <c r="N115" s="459">
        <v>30000</v>
      </c>
      <c r="O115" s="475">
        <f t="shared" si="0"/>
        <v>30000</v>
      </c>
      <c r="P115" s="476"/>
      <c r="Q115" s="477">
        <v>46023</v>
      </c>
      <c r="R115" s="476"/>
      <c r="S115" s="476"/>
    </row>
    <row r="116" spans="1:19" ht="15.75" customHeight="1" x14ac:dyDescent="0.25">
      <c r="A116" s="438">
        <v>113</v>
      </c>
      <c r="B116" s="470" t="s">
        <v>17</v>
      </c>
      <c r="C116" s="471" t="s">
        <v>18</v>
      </c>
      <c r="D116" s="472" t="s">
        <v>19</v>
      </c>
      <c r="E116" s="465" t="s">
        <v>4086</v>
      </c>
      <c r="F116" s="448" t="s">
        <v>4102</v>
      </c>
      <c r="G116" s="473" t="s">
        <v>3406</v>
      </c>
      <c r="H116" s="440" t="s">
        <v>187</v>
      </c>
      <c r="I116" s="474" t="s">
        <v>3457</v>
      </c>
      <c r="J116" s="474" t="s">
        <v>3463</v>
      </c>
      <c r="K116" s="444" t="s">
        <v>176</v>
      </c>
      <c r="L116" s="471">
        <v>1</v>
      </c>
      <c r="M116" s="447" t="s">
        <v>189</v>
      </c>
      <c r="N116" s="459">
        <v>30000</v>
      </c>
      <c r="O116" s="475">
        <f t="shared" si="0"/>
        <v>30000</v>
      </c>
      <c r="P116" s="476"/>
      <c r="Q116" s="477">
        <v>46023</v>
      </c>
      <c r="R116" s="476"/>
      <c r="S116" s="476"/>
    </row>
    <row r="117" spans="1:19" ht="15.75" customHeight="1" x14ac:dyDescent="0.25">
      <c r="A117" s="438">
        <v>114</v>
      </c>
      <c r="B117" s="470" t="s">
        <v>17</v>
      </c>
      <c r="C117" s="471" t="s">
        <v>18</v>
      </c>
      <c r="D117" s="472" t="s">
        <v>19</v>
      </c>
      <c r="E117" s="465" t="s">
        <v>4087</v>
      </c>
      <c r="F117" s="448" t="s">
        <v>4099</v>
      </c>
      <c r="G117" s="473" t="s">
        <v>3911</v>
      </c>
      <c r="H117" s="440" t="s">
        <v>190</v>
      </c>
      <c r="I117" s="474" t="s">
        <v>3457</v>
      </c>
      <c r="J117" s="474" t="s">
        <v>3463</v>
      </c>
      <c r="K117" s="444" t="s">
        <v>191</v>
      </c>
      <c r="L117" s="471">
        <v>1</v>
      </c>
      <c r="M117" s="447" t="s">
        <v>192</v>
      </c>
      <c r="N117" s="459">
        <v>61557</v>
      </c>
      <c r="O117" s="475">
        <f t="shared" si="0"/>
        <v>61557</v>
      </c>
      <c r="P117" s="476"/>
      <c r="Q117" s="477">
        <v>46023</v>
      </c>
      <c r="R117" s="476"/>
      <c r="S117" s="476"/>
    </row>
    <row r="118" spans="1:19" ht="15.75" customHeight="1" x14ac:dyDescent="0.25">
      <c r="A118" s="438">
        <v>115</v>
      </c>
      <c r="B118" s="470" t="s">
        <v>17</v>
      </c>
      <c r="C118" s="471" t="s">
        <v>18</v>
      </c>
      <c r="D118" s="472" t="s">
        <v>19</v>
      </c>
      <c r="E118" s="465" t="s">
        <v>4087</v>
      </c>
      <c r="F118" s="448" t="s">
        <v>4099</v>
      </c>
      <c r="G118" s="473" t="s">
        <v>3911</v>
      </c>
      <c r="H118" s="440" t="s">
        <v>190</v>
      </c>
      <c r="I118" s="474" t="s">
        <v>3457</v>
      </c>
      <c r="J118" s="474" t="s">
        <v>3463</v>
      </c>
      <c r="K118" s="444" t="s">
        <v>191</v>
      </c>
      <c r="L118" s="471">
        <v>1</v>
      </c>
      <c r="M118" s="447" t="s">
        <v>193</v>
      </c>
      <c r="N118" s="459">
        <v>61557</v>
      </c>
      <c r="O118" s="475">
        <f t="shared" si="0"/>
        <v>61557</v>
      </c>
      <c r="P118" s="476"/>
      <c r="Q118" s="477">
        <v>46023</v>
      </c>
      <c r="R118" s="476"/>
      <c r="S118" s="476"/>
    </row>
    <row r="119" spans="1:19" ht="15.75" customHeight="1" x14ac:dyDescent="0.25">
      <c r="A119" s="438">
        <v>116</v>
      </c>
      <c r="B119" s="470" t="s">
        <v>17</v>
      </c>
      <c r="C119" s="471" t="s">
        <v>18</v>
      </c>
      <c r="D119" s="472" t="s">
        <v>19</v>
      </c>
      <c r="E119" s="465" t="s">
        <v>4087</v>
      </c>
      <c r="F119" s="448" t="s">
        <v>4099</v>
      </c>
      <c r="G119" s="473" t="s">
        <v>3911</v>
      </c>
      <c r="H119" s="440" t="s">
        <v>190</v>
      </c>
      <c r="I119" s="474" t="s">
        <v>3457</v>
      </c>
      <c r="J119" s="474" t="s">
        <v>3463</v>
      </c>
      <c r="K119" s="444" t="s">
        <v>191</v>
      </c>
      <c r="L119" s="471">
        <v>1</v>
      </c>
      <c r="M119" s="447" t="s">
        <v>194</v>
      </c>
      <c r="N119" s="459">
        <v>61557</v>
      </c>
      <c r="O119" s="475">
        <f t="shared" si="0"/>
        <v>61557</v>
      </c>
      <c r="P119" s="476"/>
      <c r="Q119" s="477">
        <v>46023</v>
      </c>
      <c r="R119" s="476"/>
      <c r="S119" s="476"/>
    </row>
    <row r="120" spans="1:19" ht="15.75" customHeight="1" x14ac:dyDescent="0.25">
      <c r="A120" s="438">
        <v>117</v>
      </c>
      <c r="B120" s="470" t="s">
        <v>17</v>
      </c>
      <c r="C120" s="471" t="s">
        <v>18</v>
      </c>
      <c r="D120" s="472" t="s">
        <v>19</v>
      </c>
      <c r="E120" s="465" t="s">
        <v>4086</v>
      </c>
      <c r="F120" s="448" t="s">
        <v>4103</v>
      </c>
      <c r="G120" s="473" t="s">
        <v>3911</v>
      </c>
      <c r="H120" s="440" t="s">
        <v>195</v>
      </c>
      <c r="I120" s="474" t="s">
        <v>3457</v>
      </c>
      <c r="J120" s="474" t="s">
        <v>3463</v>
      </c>
      <c r="K120" s="444" t="s">
        <v>191</v>
      </c>
      <c r="L120" s="471">
        <v>1</v>
      </c>
      <c r="M120" s="447" t="s">
        <v>196</v>
      </c>
      <c r="N120" s="459">
        <v>33294</v>
      </c>
      <c r="O120" s="475">
        <f t="shared" si="0"/>
        <v>33294</v>
      </c>
      <c r="P120" s="476"/>
      <c r="Q120" s="477">
        <v>46023</v>
      </c>
      <c r="R120" s="476"/>
      <c r="S120" s="476"/>
    </row>
    <row r="121" spans="1:19" ht="15.75" customHeight="1" x14ac:dyDescent="0.25">
      <c r="A121" s="438">
        <v>118</v>
      </c>
      <c r="B121" s="470" t="s">
        <v>17</v>
      </c>
      <c r="C121" s="471" t="s">
        <v>18</v>
      </c>
      <c r="D121" s="472" t="s">
        <v>19</v>
      </c>
      <c r="E121" s="465" t="s">
        <v>4085</v>
      </c>
      <c r="F121" s="448" t="s">
        <v>2985</v>
      </c>
      <c r="G121" s="473" t="s">
        <v>3911</v>
      </c>
      <c r="H121" s="440" t="s">
        <v>197</v>
      </c>
      <c r="I121" s="474" t="s">
        <v>3457</v>
      </c>
      <c r="J121" s="474" t="s">
        <v>3463</v>
      </c>
      <c r="K121" s="444" t="s">
        <v>191</v>
      </c>
      <c r="L121" s="471">
        <v>1</v>
      </c>
      <c r="M121" s="447" t="s">
        <v>198</v>
      </c>
      <c r="N121" s="459">
        <v>141381</v>
      </c>
      <c r="O121" s="475">
        <f t="shared" si="0"/>
        <v>141381</v>
      </c>
      <c r="P121" s="476"/>
      <c r="Q121" s="477">
        <v>46023</v>
      </c>
      <c r="R121" s="476"/>
      <c r="S121" s="476"/>
    </row>
    <row r="122" spans="1:19" ht="15.75" customHeight="1" x14ac:dyDescent="0.25">
      <c r="A122" s="438">
        <v>119</v>
      </c>
      <c r="B122" s="470" t="s">
        <v>17</v>
      </c>
      <c r="C122" s="471" t="s">
        <v>18</v>
      </c>
      <c r="D122" s="472" t="s">
        <v>19</v>
      </c>
      <c r="E122" s="448" t="s">
        <v>4085</v>
      </c>
      <c r="F122" s="448" t="s">
        <v>2985</v>
      </c>
      <c r="G122" s="473" t="s">
        <v>3911</v>
      </c>
      <c r="H122" s="440" t="s">
        <v>197</v>
      </c>
      <c r="I122" s="474" t="s">
        <v>3457</v>
      </c>
      <c r="J122" s="474" t="s">
        <v>3463</v>
      </c>
      <c r="K122" s="444" t="s">
        <v>191</v>
      </c>
      <c r="L122" s="471">
        <v>1</v>
      </c>
      <c r="M122" s="447" t="s">
        <v>199</v>
      </c>
      <c r="N122" s="459">
        <v>141381</v>
      </c>
      <c r="O122" s="475">
        <f t="shared" si="0"/>
        <v>141381</v>
      </c>
      <c r="P122" s="476"/>
      <c r="Q122" s="477">
        <v>46023</v>
      </c>
      <c r="R122" s="476"/>
      <c r="S122" s="476"/>
    </row>
    <row r="123" spans="1:19" ht="15.75" customHeight="1" x14ac:dyDescent="0.25">
      <c r="A123" s="438">
        <v>120</v>
      </c>
      <c r="B123" s="470" t="s">
        <v>17</v>
      </c>
      <c r="C123" s="471" t="s">
        <v>18</v>
      </c>
      <c r="D123" s="472" t="s">
        <v>19</v>
      </c>
      <c r="E123" s="448" t="s">
        <v>4085</v>
      </c>
      <c r="F123" s="448" t="s">
        <v>2985</v>
      </c>
      <c r="G123" s="473" t="s">
        <v>3911</v>
      </c>
      <c r="H123" s="440" t="s">
        <v>200</v>
      </c>
      <c r="I123" s="474" t="s">
        <v>3457</v>
      </c>
      <c r="J123" s="474" t="s">
        <v>3463</v>
      </c>
      <c r="K123" s="444" t="s">
        <v>191</v>
      </c>
      <c r="L123" s="471">
        <v>1</v>
      </c>
      <c r="M123" s="447" t="s">
        <v>201</v>
      </c>
      <c r="N123" s="459">
        <v>124595</v>
      </c>
      <c r="O123" s="475">
        <f t="shared" si="0"/>
        <v>124595</v>
      </c>
      <c r="P123" s="476"/>
      <c r="Q123" s="477">
        <v>46023</v>
      </c>
      <c r="R123" s="476"/>
      <c r="S123" s="476"/>
    </row>
    <row r="124" spans="1:19" ht="15.75" customHeight="1" x14ac:dyDescent="0.25">
      <c r="A124" s="438">
        <v>121</v>
      </c>
      <c r="B124" s="470" t="s">
        <v>17</v>
      </c>
      <c r="C124" s="471" t="s">
        <v>18</v>
      </c>
      <c r="D124" s="472" t="s">
        <v>19</v>
      </c>
      <c r="E124" s="448" t="s">
        <v>4085</v>
      </c>
      <c r="F124" s="448" t="s">
        <v>2985</v>
      </c>
      <c r="G124" s="473" t="s">
        <v>3911</v>
      </c>
      <c r="H124" s="440" t="s">
        <v>200</v>
      </c>
      <c r="I124" s="474" t="s">
        <v>3457</v>
      </c>
      <c r="J124" s="474" t="s">
        <v>3463</v>
      </c>
      <c r="K124" s="444" t="s">
        <v>191</v>
      </c>
      <c r="L124" s="471">
        <v>1</v>
      </c>
      <c r="M124" s="447" t="s">
        <v>202</v>
      </c>
      <c r="N124" s="460">
        <v>124595</v>
      </c>
      <c r="O124" s="475">
        <f t="shared" si="0"/>
        <v>124595</v>
      </c>
      <c r="P124" s="476"/>
      <c r="Q124" s="477">
        <v>46023</v>
      </c>
      <c r="R124" s="476"/>
      <c r="S124" s="476"/>
    </row>
    <row r="125" spans="1:19" ht="15.75" customHeight="1" x14ac:dyDescent="0.25">
      <c r="A125" s="438">
        <v>122</v>
      </c>
      <c r="B125" s="470" t="s">
        <v>17</v>
      </c>
      <c r="C125" s="471" t="s">
        <v>18</v>
      </c>
      <c r="D125" s="472" t="s">
        <v>19</v>
      </c>
      <c r="E125" s="448" t="s">
        <v>4085</v>
      </c>
      <c r="F125" s="448" t="s">
        <v>2985</v>
      </c>
      <c r="G125" s="473" t="s">
        <v>3911</v>
      </c>
      <c r="H125" s="440" t="s">
        <v>200</v>
      </c>
      <c r="I125" s="474" t="s">
        <v>3457</v>
      </c>
      <c r="J125" s="474" t="s">
        <v>3463</v>
      </c>
      <c r="K125" s="444" t="s">
        <v>191</v>
      </c>
      <c r="L125" s="471">
        <v>1</v>
      </c>
      <c r="M125" s="447" t="s">
        <v>203</v>
      </c>
      <c r="N125" s="460">
        <v>124595</v>
      </c>
      <c r="O125" s="475">
        <f t="shared" si="0"/>
        <v>124595</v>
      </c>
      <c r="P125" s="476"/>
      <c r="Q125" s="477">
        <v>46023</v>
      </c>
      <c r="R125" s="476"/>
      <c r="S125" s="476"/>
    </row>
    <row r="126" spans="1:19" ht="15.75" customHeight="1" x14ac:dyDescent="0.25">
      <c r="A126" s="438">
        <v>123</v>
      </c>
      <c r="B126" s="470" t="s">
        <v>17</v>
      </c>
      <c r="C126" s="471" t="s">
        <v>18</v>
      </c>
      <c r="D126" s="472" t="s">
        <v>19</v>
      </c>
      <c r="E126" s="448" t="s">
        <v>4085</v>
      </c>
      <c r="F126" s="448" t="s">
        <v>2985</v>
      </c>
      <c r="G126" s="473" t="s">
        <v>3911</v>
      </c>
      <c r="H126" s="440" t="s">
        <v>200</v>
      </c>
      <c r="I126" s="474" t="s">
        <v>3457</v>
      </c>
      <c r="J126" s="474" t="s">
        <v>3463</v>
      </c>
      <c r="K126" s="444" t="s">
        <v>191</v>
      </c>
      <c r="L126" s="471">
        <v>1</v>
      </c>
      <c r="M126" s="447" t="s">
        <v>204</v>
      </c>
      <c r="N126" s="460">
        <v>124595</v>
      </c>
      <c r="O126" s="475">
        <f t="shared" si="0"/>
        <v>124595</v>
      </c>
      <c r="P126" s="476"/>
      <c r="Q126" s="477">
        <v>46023</v>
      </c>
      <c r="R126" s="476"/>
      <c r="S126" s="476"/>
    </row>
    <row r="127" spans="1:19" ht="15.75" customHeight="1" x14ac:dyDescent="0.25">
      <c r="A127" s="438">
        <v>124</v>
      </c>
      <c r="B127" s="470" t="s">
        <v>17</v>
      </c>
      <c r="C127" s="471" t="s">
        <v>18</v>
      </c>
      <c r="D127" s="472" t="s">
        <v>19</v>
      </c>
      <c r="E127" s="448" t="s">
        <v>4085</v>
      </c>
      <c r="F127" s="448" t="s">
        <v>2985</v>
      </c>
      <c r="G127" s="473" t="s">
        <v>3911</v>
      </c>
      <c r="H127" s="440" t="s">
        <v>205</v>
      </c>
      <c r="I127" s="474" t="s">
        <v>3457</v>
      </c>
      <c r="J127" s="474" t="s">
        <v>3463</v>
      </c>
      <c r="K127" s="444" t="s">
        <v>191</v>
      </c>
      <c r="L127" s="471">
        <v>1</v>
      </c>
      <c r="M127" s="447" t="s">
        <v>206</v>
      </c>
      <c r="N127" s="460">
        <v>106531</v>
      </c>
      <c r="O127" s="475">
        <f t="shared" si="0"/>
        <v>106531</v>
      </c>
      <c r="P127" s="476"/>
      <c r="Q127" s="477">
        <v>46023</v>
      </c>
      <c r="R127" s="476"/>
      <c r="S127" s="476"/>
    </row>
    <row r="128" spans="1:19" ht="15.75" customHeight="1" x14ac:dyDescent="0.25">
      <c r="A128" s="438">
        <v>125</v>
      </c>
      <c r="B128" s="470" t="s">
        <v>17</v>
      </c>
      <c r="C128" s="471" t="s">
        <v>18</v>
      </c>
      <c r="D128" s="472" t="s">
        <v>19</v>
      </c>
      <c r="E128" s="448" t="s">
        <v>4085</v>
      </c>
      <c r="F128" s="448" t="s">
        <v>2985</v>
      </c>
      <c r="G128" s="473" t="s">
        <v>3911</v>
      </c>
      <c r="H128" s="440" t="s">
        <v>207</v>
      </c>
      <c r="I128" s="474" t="s">
        <v>3457</v>
      </c>
      <c r="J128" s="474" t="s">
        <v>3463</v>
      </c>
      <c r="K128" s="444" t="s">
        <v>191</v>
      </c>
      <c r="L128" s="471">
        <v>1</v>
      </c>
      <c r="M128" s="447" t="s">
        <v>208</v>
      </c>
      <c r="N128" s="460">
        <v>110545</v>
      </c>
      <c r="O128" s="475">
        <f t="shared" si="0"/>
        <v>110545</v>
      </c>
      <c r="P128" s="476"/>
      <c r="Q128" s="477">
        <v>46023</v>
      </c>
      <c r="R128" s="476"/>
      <c r="S128" s="476"/>
    </row>
    <row r="129" spans="1:19" ht="15.75" customHeight="1" x14ac:dyDescent="0.25">
      <c r="A129" s="438">
        <v>126</v>
      </c>
      <c r="B129" s="470" t="s">
        <v>17</v>
      </c>
      <c r="C129" s="471" t="s">
        <v>18</v>
      </c>
      <c r="D129" s="472" t="s">
        <v>19</v>
      </c>
      <c r="E129" s="448" t="s">
        <v>4088</v>
      </c>
      <c r="F129" s="448" t="s">
        <v>4101</v>
      </c>
      <c r="G129" s="473" t="s">
        <v>3911</v>
      </c>
      <c r="H129" s="440" t="s">
        <v>209</v>
      </c>
      <c r="I129" s="474" t="s">
        <v>3457</v>
      </c>
      <c r="J129" s="474" t="s">
        <v>3463</v>
      </c>
      <c r="K129" s="444" t="s">
        <v>191</v>
      </c>
      <c r="L129" s="471">
        <v>1</v>
      </c>
      <c r="M129" s="447" t="s">
        <v>210</v>
      </c>
      <c r="N129" s="460">
        <v>100664</v>
      </c>
      <c r="O129" s="475">
        <f t="shared" si="0"/>
        <v>100664</v>
      </c>
      <c r="P129" s="476"/>
      <c r="Q129" s="477">
        <v>46023</v>
      </c>
      <c r="R129" s="476"/>
      <c r="S129" s="476"/>
    </row>
    <row r="130" spans="1:19" ht="15.75" customHeight="1" x14ac:dyDescent="0.25">
      <c r="A130" s="438">
        <v>127</v>
      </c>
      <c r="B130" s="470" t="s">
        <v>17</v>
      </c>
      <c r="C130" s="471" t="s">
        <v>18</v>
      </c>
      <c r="D130" s="472" t="s">
        <v>19</v>
      </c>
      <c r="E130" s="465" t="s">
        <v>4088</v>
      </c>
      <c r="F130" s="448" t="s">
        <v>4101</v>
      </c>
      <c r="G130" s="473" t="s">
        <v>3911</v>
      </c>
      <c r="H130" s="440" t="s">
        <v>209</v>
      </c>
      <c r="I130" s="474" t="s">
        <v>3457</v>
      </c>
      <c r="J130" s="474" t="s">
        <v>3463</v>
      </c>
      <c r="K130" s="444" t="s">
        <v>191</v>
      </c>
      <c r="L130" s="471">
        <v>1</v>
      </c>
      <c r="M130" s="447" t="s">
        <v>211</v>
      </c>
      <c r="N130" s="460">
        <v>100664</v>
      </c>
      <c r="O130" s="475">
        <f t="shared" si="0"/>
        <v>100664</v>
      </c>
      <c r="P130" s="476"/>
      <c r="Q130" s="477">
        <v>46023</v>
      </c>
      <c r="R130" s="476"/>
      <c r="S130" s="476"/>
    </row>
    <row r="131" spans="1:19" ht="15.75" customHeight="1" x14ac:dyDescent="0.25">
      <c r="A131" s="438">
        <v>128</v>
      </c>
      <c r="B131" s="470" t="s">
        <v>17</v>
      </c>
      <c r="C131" s="471" t="s">
        <v>18</v>
      </c>
      <c r="D131" s="472" t="s">
        <v>19</v>
      </c>
      <c r="E131" s="465" t="s">
        <v>4088</v>
      </c>
      <c r="F131" s="448" t="s">
        <v>4101</v>
      </c>
      <c r="G131" s="473" t="s">
        <v>3912</v>
      </c>
      <c r="H131" s="440" t="s">
        <v>212</v>
      </c>
      <c r="I131" s="474" t="s">
        <v>3457</v>
      </c>
      <c r="J131" s="474" t="s">
        <v>3464</v>
      </c>
      <c r="K131" s="444" t="s">
        <v>213</v>
      </c>
      <c r="L131" s="471">
        <v>1</v>
      </c>
      <c r="M131" s="447" t="s">
        <v>214</v>
      </c>
      <c r="N131" s="460">
        <v>90000</v>
      </c>
      <c r="O131" s="475">
        <f t="shared" si="0"/>
        <v>90000</v>
      </c>
      <c r="P131" s="476"/>
      <c r="Q131" s="477">
        <v>46023</v>
      </c>
      <c r="R131" s="476"/>
      <c r="S131" s="476"/>
    </row>
    <row r="132" spans="1:19" ht="15.75" customHeight="1" x14ac:dyDescent="0.25">
      <c r="A132" s="438">
        <v>129</v>
      </c>
      <c r="B132" s="470" t="s">
        <v>17</v>
      </c>
      <c r="C132" s="471" t="s">
        <v>18</v>
      </c>
      <c r="D132" s="472" t="s">
        <v>19</v>
      </c>
      <c r="E132" s="465" t="s">
        <v>4088</v>
      </c>
      <c r="F132" s="448" t="s">
        <v>4101</v>
      </c>
      <c r="G132" s="473" t="s">
        <v>3912</v>
      </c>
      <c r="H132" s="440" t="s">
        <v>212</v>
      </c>
      <c r="I132" s="474" t="s">
        <v>3457</v>
      </c>
      <c r="J132" s="474" t="s">
        <v>3464</v>
      </c>
      <c r="K132" s="444" t="s">
        <v>213</v>
      </c>
      <c r="L132" s="471">
        <v>1</v>
      </c>
      <c r="M132" s="447" t="s">
        <v>215</v>
      </c>
      <c r="N132" s="460">
        <v>90000</v>
      </c>
      <c r="O132" s="475">
        <f t="shared" si="0"/>
        <v>90000</v>
      </c>
      <c r="P132" s="476"/>
      <c r="Q132" s="477">
        <v>46023</v>
      </c>
      <c r="R132" s="476"/>
      <c r="S132" s="476"/>
    </row>
    <row r="133" spans="1:19" ht="15.75" customHeight="1" x14ac:dyDescent="0.25">
      <c r="A133" s="438">
        <v>130</v>
      </c>
      <c r="B133" s="470" t="s">
        <v>17</v>
      </c>
      <c r="C133" s="471" t="s">
        <v>18</v>
      </c>
      <c r="D133" s="472" t="s">
        <v>19</v>
      </c>
      <c r="E133" s="465" t="s">
        <v>4085</v>
      </c>
      <c r="F133" s="448" t="s">
        <v>2985</v>
      </c>
      <c r="G133" s="473" t="s">
        <v>3912</v>
      </c>
      <c r="H133" s="440" t="s">
        <v>212</v>
      </c>
      <c r="I133" s="474" t="s">
        <v>3457</v>
      </c>
      <c r="J133" s="474" t="s">
        <v>3464</v>
      </c>
      <c r="K133" s="444" t="s">
        <v>213</v>
      </c>
      <c r="L133" s="471">
        <v>1</v>
      </c>
      <c r="M133" s="447" t="s">
        <v>216</v>
      </c>
      <c r="N133" s="460">
        <v>90000</v>
      </c>
      <c r="O133" s="475">
        <f t="shared" si="0"/>
        <v>90000</v>
      </c>
      <c r="P133" s="476"/>
      <c r="Q133" s="477">
        <v>46023</v>
      </c>
      <c r="R133" s="476"/>
      <c r="S133" s="476"/>
    </row>
    <row r="134" spans="1:19" ht="15.75" customHeight="1" x14ac:dyDescent="0.25">
      <c r="A134" s="438">
        <v>131</v>
      </c>
      <c r="B134" s="470" t="s">
        <v>17</v>
      </c>
      <c r="C134" s="471" t="s">
        <v>18</v>
      </c>
      <c r="D134" s="472" t="s">
        <v>19</v>
      </c>
      <c r="E134" s="465" t="s">
        <v>4085</v>
      </c>
      <c r="F134" s="448" t="s">
        <v>2985</v>
      </c>
      <c r="G134" s="473" t="s">
        <v>3912</v>
      </c>
      <c r="H134" s="440" t="s">
        <v>212</v>
      </c>
      <c r="I134" s="474" t="s">
        <v>3457</v>
      </c>
      <c r="J134" s="474" t="s">
        <v>3464</v>
      </c>
      <c r="K134" s="444" t="s">
        <v>213</v>
      </c>
      <c r="L134" s="471">
        <v>1</v>
      </c>
      <c r="M134" s="447" t="s">
        <v>217</v>
      </c>
      <c r="N134" s="460">
        <v>90000</v>
      </c>
      <c r="O134" s="475">
        <f t="shared" si="0"/>
        <v>90000</v>
      </c>
      <c r="P134" s="476"/>
      <c r="Q134" s="477">
        <v>46023</v>
      </c>
      <c r="R134" s="476"/>
      <c r="S134" s="476"/>
    </row>
    <row r="135" spans="1:19" ht="15.75" customHeight="1" x14ac:dyDescent="0.25">
      <c r="A135" s="438">
        <v>132</v>
      </c>
      <c r="B135" s="470" t="s">
        <v>17</v>
      </c>
      <c r="C135" s="471" t="s">
        <v>18</v>
      </c>
      <c r="D135" s="472" t="s">
        <v>19</v>
      </c>
      <c r="E135" s="465" t="s">
        <v>4085</v>
      </c>
      <c r="F135" s="448" t="s">
        <v>2985</v>
      </c>
      <c r="G135" s="473" t="s">
        <v>3912</v>
      </c>
      <c r="H135" s="440" t="s">
        <v>212</v>
      </c>
      <c r="I135" s="474" t="s">
        <v>3457</v>
      </c>
      <c r="J135" s="474" t="s">
        <v>3464</v>
      </c>
      <c r="K135" s="444" t="s">
        <v>213</v>
      </c>
      <c r="L135" s="471">
        <v>1</v>
      </c>
      <c r="M135" s="447" t="s">
        <v>218</v>
      </c>
      <c r="N135" s="460">
        <v>90000</v>
      </c>
      <c r="O135" s="475">
        <f t="shared" si="0"/>
        <v>90000</v>
      </c>
      <c r="P135" s="476"/>
      <c r="Q135" s="477">
        <v>46023</v>
      </c>
      <c r="R135" s="476"/>
      <c r="S135" s="476"/>
    </row>
    <row r="136" spans="1:19" ht="15.75" customHeight="1" x14ac:dyDescent="0.25">
      <c r="A136" s="438">
        <v>133</v>
      </c>
      <c r="B136" s="470" t="s">
        <v>17</v>
      </c>
      <c r="C136" s="471" t="s">
        <v>18</v>
      </c>
      <c r="D136" s="472" t="s">
        <v>19</v>
      </c>
      <c r="E136" s="465" t="s">
        <v>4085</v>
      </c>
      <c r="F136" s="448" t="s">
        <v>2985</v>
      </c>
      <c r="G136" s="473" t="s">
        <v>3912</v>
      </c>
      <c r="H136" s="440" t="s">
        <v>212</v>
      </c>
      <c r="I136" s="474" t="s">
        <v>3457</v>
      </c>
      <c r="J136" s="474" t="s">
        <v>3464</v>
      </c>
      <c r="K136" s="444" t="s">
        <v>213</v>
      </c>
      <c r="L136" s="471">
        <v>1</v>
      </c>
      <c r="M136" s="447" t="s">
        <v>219</v>
      </c>
      <c r="N136" s="460">
        <v>90000</v>
      </c>
      <c r="O136" s="475">
        <f t="shared" si="0"/>
        <v>90000</v>
      </c>
      <c r="P136" s="476"/>
      <c r="Q136" s="477">
        <v>46023</v>
      </c>
      <c r="R136" s="476"/>
      <c r="S136" s="476"/>
    </row>
    <row r="137" spans="1:19" ht="15.75" customHeight="1" x14ac:dyDescent="0.25">
      <c r="A137" s="438">
        <v>134</v>
      </c>
      <c r="B137" s="470" t="s">
        <v>17</v>
      </c>
      <c r="C137" s="471" t="s">
        <v>18</v>
      </c>
      <c r="D137" s="472" t="s">
        <v>19</v>
      </c>
      <c r="E137" s="465" t="s">
        <v>4085</v>
      </c>
      <c r="F137" s="448" t="s">
        <v>2985</v>
      </c>
      <c r="G137" s="473" t="s">
        <v>3912</v>
      </c>
      <c r="H137" s="440" t="s">
        <v>212</v>
      </c>
      <c r="I137" s="474" t="s">
        <v>3457</v>
      </c>
      <c r="J137" s="474" t="s">
        <v>3464</v>
      </c>
      <c r="K137" s="444" t="s">
        <v>213</v>
      </c>
      <c r="L137" s="471">
        <v>1</v>
      </c>
      <c r="M137" s="447" t="s">
        <v>220</v>
      </c>
      <c r="N137" s="460">
        <v>90000</v>
      </c>
      <c r="O137" s="475">
        <f t="shared" si="0"/>
        <v>90000</v>
      </c>
      <c r="P137" s="476"/>
      <c r="Q137" s="477">
        <v>46023</v>
      </c>
      <c r="R137" s="476"/>
      <c r="S137" s="476"/>
    </row>
    <row r="138" spans="1:19" ht="15.75" customHeight="1" x14ac:dyDescent="0.25">
      <c r="A138" s="438">
        <v>135</v>
      </c>
      <c r="B138" s="470" t="s">
        <v>17</v>
      </c>
      <c r="C138" s="471" t="s">
        <v>18</v>
      </c>
      <c r="D138" s="472" t="s">
        <v>19</v>
      </c>
      <c r="E138" s="465" t="s">
        <v>4085</v>
      </c>
      <c r="F138" s="448" t="s">
        <v>2985</v>
      </c>
      <c r="G138" s="473" t="s">
        <v>3912</v>
      </c>
      <c r="H138" s="440" t="s">
        <v>212</v>
      </c>
      <c r="I138" s="474" t="s">
        <v>3457</v>
      </c>
      <c r="J138" s="474" t="s">
        <v>3464</v>
      </c>
      <c r="K138" s="444" t="s">
        <v>213</v>
      </c>
      <c r="L138" s="471">
        <v>1</v>
      </c>
      <c r="M138" s="447" t="s">
        <v>221</v>
      </c>
      <c r="N138" s="460">
        <v>90000</v>
      </c>
      <c r="O138" s="475">
        <f t="shared" si="0"/>
        <v>90000</v>
      </c>
      <c r="P138" s="476"/>
      <c r="Q138" s="477">
        <v>46023</v>
      </c>
      <c r="R138" s="476"/>
      <c r="S138" s="476"/>
    </row>
    <row r="139" spans="1:19" ht="15.75" customHeight="1" x14ac:dyDescent="0.25">
      <c r="A139" s="438">
        <v>136</v>
      </c>
      <c r="B139" s="470" t="s">
        <v>17</v>
      </c>
      <c r="C139" s="471" t="s">
        <v>18</v>
      </c>
      <c r="D139" s="472" t="s">
        <v>19</v>
      </c>
      <c r="E139" s="465" t="s">
        <v>4085</v>
      </c>
      <c r="F139" s="448" t="s">
        <v>2985</v>
      </c>
      <c r="G139" s="473" t="s">
        <v>3912</v>
      </c>
      <c r="H139" s="440" t="s">
        <v>212</v>
      </c>
      <c r="I139" s="474" t="s">
        <v>3457</v>
      </c>
      <c r="J139" s="474" t="s">
        <v>3464</v>
      </c>
      <c r="K139" s="444" t="s">
        <v>213</v>
      </c>
      <c r="L139" s="471">
        <v>1</v>
      </c>
      <c r="M139" s="447" t="s">
        <v>222</v>
      </c>
      <c r="N139" s="460">
        <v>90000</v>
      </c>
      <c r="O139" s="475">
        <f t="shared" si="0"/>
        <v>90000</v>
      </c>
      <c r="P139" s="476"/>
      <c r="Q139" s="477">
        <v>46023</v>
      </c>
      <c r="R139" s="476"/>
      <c r="S139" s="476"/>
    </row>
    <row r="140" spans="1:19" ht="15.75" customHeight="1" x14ac:dyDescent="0.25">
      <c r="A140" s="438">
        <v>137</v>
      </c>
      <c r="B140" s="470" t="s">
        <v>17</v>
      </c>
      <c r="C140" s="471" t="s">
        <v>18</v>
      </c>
      <c r="D140" s="472" t="s">
        <v>19</v>
      </c>
      <c r="E140" s="465" t="s">
        <v>4085</v>
      </c>
      <c r="F140" s="448" t="s">
        <v>2985</v>
      </c>
      <c r="G140" s="473" t="s">
        <v>3912</v>
      </c>
      <c r="H140" s="439" t="s">
        <v>212</v>
      </c>
      <c r="I140" s="474" t="s">
        <v>3457</v>
      </c>
      <c r="J140" s="474" t="s">
        <v>3464</v>
      </c>
      <c r="K140" s="443" t="s">
        <v>213</v>
      </c>
      <c r="L140" s="471">
        <v>1</v>
      </c>
      <c r="M140" s="447" t="s">
        <v>223</v>
      </c>
      <c r="N140" s="455">
        <v>90000</v>
      </c>
      <c r="O140" s="475">
        <f t="shared" si="0"/>
        <v>90000</v>
      </c>
      <c r="P140" s="476"/>
      <c r="Q140" s="477">
        <v>46023</v>
      </c>
      <c r="R140" s="476"/>
      <c r="S140" s="476"/>
    </row>
    <row r="141" spans="1:19" ht="15.75" customHeight="1" x14ac:dyDescent="0.25">
      <c r="A141" s="438">
        <v>138</v>
      </c>
      <c r="B141" s="470" t="s">
        <v>17</v>
      </c>
      <c r="C141" s="471" t="s">
        <v>18</v>
      </c>
      <c r="D141" s="472" t="s">
        <v>19</v>
      </c>
      <c r="E141" s="465" t="s">
        <v>4088</v>
      </c>
      <c r="F141" s="448" t="s">
        <v>3025</v>
      </c>
      <c r="G141" s="473" t="s">
        <v>3404</v>
      </c>
      <c r="H141" s="439" t="s">
        <v>224</v>
      </c>
      <c r="I141" s="474" t="s">
        <v>3459</v>
      </c>
      <c r="J141" s="474" t="s">
        <v>3464</v>
      </c>
      <c r="K141" s="443" t="s">
        <v>225</v>
      </c>
      <c r="L141" s="471">
        <v>1</v>
      </c>
      <c r="M141" s="447" t="s">
        <v>226</v>
      </c>
      <c r="N141" s="455">
        <v>11565</v>
      </c>
      <c r="O141" s="475">
        <f t="shared" si="0"/>
        <v>11565</v>
      </c>
      <c r="P141" s="476"/>
      <c r="Q141" s="477">
        <v>46023</v>
      </c>
      <c r="R141" s="476"/>
      <c r="S141" s="476"/>
    </row>
    <row r="142" spans="1:19" ht="15.75" customHeight="1" x14ac:dyDescent="0.25">
      <c r="A142" s="438">
        <v>139</v>
      </c>
      <c r="B142" s="470" t="s">
        <v>17</v>
      </c>
      <c r="C142" s="471" t="s">
        <v>18</v>
      </c>
      <c r="D142" s="472" t="s">
        <v>19</v>
      </c>
      <c r="E142" s="465" t="s">
        <v>4088</v>
      </c>
      <c r="F142" s="448" t="s">
        <v>3025</v>
      </c>
      <c r="G142" s="473" t="s">
        <v>3404</v>
      </c>
      <c r="H142" s="439" t="s">
        <v>224</v>
      </c>
      <c r="I142" s="474" t="s">
        <v>3459</v>
      </c>
      <c r="J142" s="474" t="s">
        <v>3464</v>
      </c>
      <c r="K142" s="443" t="s">
        <v>225</v>
      </c>
      <c r="L142" s="471">
        <v>1</v>
      </c>
      <c r="M142" s="447" t="s">
        <v>228</v>
      </c>
      <c r="N142" s="455">
        <v>11565</v>
      </c>
      <c r="O142" s="475">
        <f t="shared" si="0"/>
        <v>11565</v>
      </c>
      <c r="P142" s="476"/>
      <c r="Q142" s="477">
        <v>46023</v>
      </c>
      <c r="R142" s="476"/>
      <c r="S142" s="476"/>
    </row>
    <row r="143" spans="1:19" ht="15.75" customHeight="1" x14ac:dyDescent="0.25">
      <c r="A143" s="438">
        <v>140</v>
      </c>
      <c r="B143" s="470" t="s">
        <v>17</v>
      </c>
      <c r="C143" s="471" t="s">
        <v>18</v>
      </c>
      <c r="D143" s="472" t="s">
        <v>19</v>
      </c>
      <c r="E143" s="465" t="s">
        <v>4088</v>
      </c>
      <c r="F143" s="448" t="s">
        <v>3025</v>
      </c>
      <c r="G143" s="473" t="s">
        <v>3404</v>
      </c>
      <c r="H143" s="439" t="s">
        <v>224</v>
      </c>
      <c r="I143" s="474" t="s">
        <v>3459</v>
      </c>
      <c r="J143" s="474" t="s">
        <v>3464</v>
      </c>
      <c r="K143" s="443" t="s">
        <v>225</v>
      </c>
      <c r="L143" s="471">
        <v>1</v>
      </c>
      <c r="M143" s="447" t="s">
        <v>229</v>
      </c>
      <c r="N143" s="455">
        <v>11565</v>
      </c>
      <c r="O143" s="475">
        <f t="shared" si="0"/>
        <v>11565</v>
      </c>
      <c r="P143" s="476"/>
      <c r="Q143" s="477">
        <v>46023</v>
      </c>
      <c r="R143" s="476"/>
      <c r="S143" s="476"/>
    </row>
    <row r="144" spans="1:19" ht="15.75" customHeight="1" x14ac:dyDescent="0.25">
      <c r="A144" s="438">
        <v>141</v>
      </c>
      <c r="B144" s="470" t="s">
        <v>17</v>
      </c>
      <c r="C144" s="471" t="s">
        <v>18</v>
      </c>
      <c r="D144" s="472" t="s">
        <v>19</v>
      </c>
      <c r="E144" s="465" t="s">
        <v>4088</v>
      </c>
      <c r="F144" s="448" t="s">
        <v>3025</v>
      </c>
      <c r="G144" s="473" t="s">
        <v>3404</v>
      </c>
      <c r="H144" s="439" t="s">
        <v>224</v>
      </c>
      <c r="I144" s="474" t="s">
        <v>3459</v>
      </c>
      <c r="J144" s="474" t="s">
        <v>3464</v>
      </c>
      <c r="K144" s="443" t="s">
        <v>225</v>
      </c>
      <c r="L144" s="471">
        <v>1</v>
      </c>
      <c r="M144" s="447" t="s">
        <v>230</v>
      </c>
      <c r="N144" s="455">
        <v>11565</v>
      </c>
      <c r="O144" s="475">
        <f t="shared" si="0"/>
        <v>11565</v>
      </c>
      <c r="P144" s="476"/>
      <c r="Q144" s="477">
        <v>46023</v>
      </c>
      <c r="R144" s="476"/>
      <c r="S144" s="476"/>
    </row>
    <row r="145" spans="1:19" ht="15.75" customHeight="1" x14ac:dyDescent="0.25">
      <c r="A145" s="438">
        <v>142</v>
      </c>
      <c r="B145" s="470" t="s">
        <v>17</v>
      </c>
      <c r="C145" s="471" t="s">
        <v>18</v>
      </c>
      <c r="D145" s="472" t="s">
        <v>19</v>
      </c>
      <c r="E145" s="465" t="s">
        <v>4088</v>
      </c>
      <c r="F145" s="448" t="s">
        <v>3025</v>
      </c>
      <c r="G145" s="473" t="s">
        <v>3404</v>
      </c>
      <c r="H145" s="439" t="s">
        <v>231</v>
      </c>
      <c r="I145" s="474" t="s">
        <v>3459</v>
      </c>
      <c r="J145" s="474" t="s">
        <v>3464</v>
      </c>
      <c r="K145" s="443" t="s">
        <v>225</v>
      </c>
      <c r="L145" s="471">
        <v>1</v>
      </c>
      <c r="M145" s="447" t="s">
        <v>232</v>
      </c>
      <c r="N145" s="455">
        <v>10200</v>
      </c>
      <c r="O145" s="475">
        <f t="shared" si="0"/>
        <v>10200</v>
      </c>
      <c r="P145" s="476"/>
      <c r="Q145" s="477">
        <v>46023</v>
      </c>
      <c r="R145" s="476"/>
      <c r="S145" s="476"/>
    </row>
    <row r="146" spans="1:19" ht="15.75" customHeight="1" x14ac:dyDescent="0.25">
      <c r="A146" s="438">
        <v>143</v>
      </c>
      <c r="B146" s="470" t="s">
        <v>17</v>
      </c>
      <c r="C146" s="471" t="s">
        <v>18</v>
      </c>
      <c r="D146" s="472" t="s">
        <v>19</v>
      </c>
      <c r="E146" s="465" t="s">
        <v>4088</v>
      </c>
      <c r="F146" s="448" t="s">
        <v>3025</v>
      </c>
      <c r="G146" s="473" t="s">
        <v>3404</v>
      </c>
      <c r="H146" s="439" t="s">
        <v>231</v>
      </c>
      <c r="I146" s="474" t="s">
        <v>3459</v>
      </c>
      <c r="J146" s="474" t="s">
        <v>3464</v>
      </c>
      <c r="K146" s="443" t="s">
        <v>225</v>
      </c>
      <c r="L146" s="471">
        <v>1</v>
      </c>
      <c r="M146" s="447" t="s">
        <v>233</v>
      </c>
      <c r="N146" s="455">
        <v>10200</v>
      </c>
      <c r="O146" s="475">
        <f t="shared" si="0"/>
        <v>10200</v>
      </c>
      <c r="P146" s="476"/>
      <c r="Q146" s="477">
        <v>46023</v>
      </c>
      <c r="R146" s="476"/>
      <c r="S146" s="476"/>
    </row>
    <row r="147" spans="1:19" ht="15.75" customHeight="1" x14ac:dyDescent="0.25">
      <c r="A147" s="438">
        <v>144</v>
      </c>
      <c r="B147" s="470" t="s">
        <v>17</v>
      </c>
      <c r="C147" s="471" t="s">
        <v>18</v>
      </c>
      <c r="D147" s="472" t="s">
        <v>19</v>
      </c>
      <c r="E147" s="465" t="s">
        <v>4088</v>
      </c>
      <c r="F147" s="448" t="s">
        <v>4104</v>
      </c>
      <c r="G147" s="473" t="s">
        <v>3404</v>
      </c>
      <c r="H147" s="439" t="s">
        <v>231</v>
      </c>
      <c r="I147" s="474" t="s">
        <v>3459</v>
      </c>
      <c r="J147" s="474" t="s">
        <v>3464</v>
      </c>
      <c r="K147" s="443" t="s">
        <v>225</v>
      </c>
      <c r="L147" s="471">
        <v>1</v>
      </c>
      <c r="M147" s="447" t="s">
        <v>234</v>
      </c>
      <c r="N147" s="455">
        <v>10200</v>
      </c>
      <c r="O147" s="475">
        <f t="shared" si="0"/>
        <v>10200</v>
      </c>
      <c r="P147" s="476"/>
      <c r="Q147" s="477">
        <v>46023</v>
      </c>
      <c r="R147" s="476"/>
      <c r="S147" s="476"/>
    </row>
    <row r="148" spans="1:19" ht="15.75" customHeight="1" x14ac:dyDescent="0.25">
      <c r="A148" s="438">
        <v>145</v>
      </c>
      <c r="B148" s="470" t="s">
        <v>17</v>
      </c>
      <c r="C148" s="471" t="s">
        <v>18</v>
      </c>
      <c r="D148" s="472" t="s">
        <v>19</v>
      </c>
      <c r="E148" s="465" t="s">
        <v>4088</v>
      </c>
      <c r="F148" s="448" t="s">
        <v>4105</v>
      </c>
      <c r="G148" s="473" t="s">
        <v>3404</v>
      </c>
      <c r="H148" s="439" t="s">
        <v>231</v>
      </c>
      <c r="I148" s="474" t="s">
        <v>3459</v>
      </c>
      <c r="J148" s="474" t="s">
        <v>3464</v>
      </c>
      <c r="K148" s="443" t="s">
        <v>225</v>
      </c>
      <c r="L148" s="471">
        <v>1</v>
      </c>
      <c r="M148" s="447" t="s">
        <v>235</v>
      </c>
      <c r="N148" s="455">
        <v>10200</v>
      </c>
      <c r="O148" s="475">
        <f t="shared" si="0"/>
        <v>10200</v>
      </c>
      <c r="P148" s="476"/>
      <c r="Q148" s="477">
        <v>46023</v>
      </c>
      <c r="R148" s="476"/>
      <c r="S148" s="476"/>
    </row>
    <row r="149" spans="1:19" ht="15.75" customHeight="1" x14ac:dyDescent="0.25">
      <c r="A149" s="438">
        <v>146</v>
      </c>
      <c r="B149" s="470" t="s">
        <v>17</v>
      </c>
      <c r="C149" s="471" t="s">
        <v>18</v>
      </c>
      <c r="D149" s="472" t="s">
        <v>19</v>
      </c>
      <c r="E149" s="465" t="s">
        <v>4088</v>
      </c>
      <c r="F149" s="448" t="s">
        <v>4105</v>
      </c>
      <c r="G149" s="473" t="s">
        <v>3404</v>
      </c>
      <c r="H149" s="439" t="s">
        <v>231</v>
      </c>
      <c r="I149" s="474" t="s">
        <v>3459</v>
      </c>
      <c r="J149" s="474" t="s">
        <v>3464</v>
      </c>
      <c r="K149" s="443" t="s">
        <v>225</v>
      </c>
      <c r="L149" s="471">
        <v>1</v>
      </c>
      <c r="M149" s="447" t="s">
        <v>236</v>
      </c>
      <c r="N149" s="455">
        <v>10200</v>
      </c>
      <c r="O149" s="475">
        <f t="shared" si="0"/>
        <v>10200</v>
      </c>
      <c r="P149" s="476"/>
      <c r="Q149" s="477">
        <v>46023</v>
      </c>
      <c r="R149" s="476"/>
      <c r="S149" s="476"/>
    </row>
    <row r="150" spans="1:19" ht="15.75" customHeight="1" x14ac:dyDescent="0.25">
      <c r="A150" s="438">
        <v>147</v>
      </c>
      <c r="B150" s="470" t="s">
        <v>17</v>
      </c>
      <c r="C150" s="471" t="s">
        <v>18</v>
      </c>
      <c r="D150" s="472" t="s">
        <v>19</v>
      </c>
      <c r="E150" s="465" t="s">
        <v>4088</v>
      </c>
      <c r="F150" s="448" t="s">
        <v>4106</v>
      </c>
      <c r="G150" s="473" t="s">
        <v>3404</v>
      </c>
      <c r="H150" s="439" t="s">
        <v>231</v>
      </c>
      <c r="I150" s="474" t="s">
        <v>3459</v>
      </c>
      <c r="J150" s="474" t="s">
        <v>3464</v>
      </c>
      <c r="K150" s="443" t="s">
        <v>225</v>
      </c>
      <c r="L150" s="471">
        <v>1</v>
      </c>
      <c r="M150" s="447" t="s">
        <v>238</v>
      </c>
      <c r="N150" s="455">
        <v>10200</v>
      </c>
      <c r="O150" s="475">
        <f t="shared" si="0"/>
        <v>10200</v>
      </c>
      <c r="P150" s="476"/>
      <c r="Q150" s="477">
        <v>46023</v>
      </c>
      <c r="R150" s="476"/>
      <c r="S150" s="476"/>
    </row>
    <row r="151" spans="1:19" ht="15.75" customHeight="1" x14ac:dyDescent="0.25">
      <c r="A151" s="438">
        <v>148</v>
      </c>
      <c r="B151" s="470" t="s">
        <v>17</v>
      </c>
      <c r="C151" s="471" t="s">
        <v>18</v>
      </c>
      <c r="D151" s="472" t="s">
        <v>19</v>
      </c>
      <c r="E151" s="465" t="s">
        <v>4088</v>
      </c>
      <c r="F151" s="448" t="s">
        <v>3025</v>
      </c>
      <c r="G151" s="473" t="s">
        <v>3404</v>
      </c>
      <c r="H151" s="439" t="s">
        <v>239</v>
      </c>
      <c r="I151" s="474" t="s">
        <v>3459</v>
      </c>
      <c r="J151" s="474" t="s">
        <v>3464</v>
      </c>
      <c r="K151" s="443" t="s">
        <v>225</v>
      </c>
      <c r="L151" s="471">
        <v>1</v>
      </c>
      <c r="M151" s="447" t="s">
        <v>240</v>
      </c>
      <c r="N151" s="455">
        <v>10200</v>
      </c>
      <c r="O151" s="475">
        <f t="shared" si="0"/>
        <v>10200</v>
      </c>
      <c r="P151" s="476"/>
      <c r="Q151" s="477">
        <v>46023</v>
      </c>
      <c r="R151" s="476"/>
      <c r="S151" s="476"/>
    </row>
    <row r="152" spans="1:19" ht="15.75" customHeight="1" x14ac:dyDescent="0.25">
      <c r="A152" s="438">
        <v>149</v>
      </c>
      <c r="B152" s="470" t="s">
        <v>17</v>
      </c>
      <c r="C152" s="471" t="s">
        <v>18</v>
      </c>
      <c r="D152" s="472" t="s">
        <v>19</v>
      </c>
      <c r="E152" s="465" t="s">
        <v>4081</v>
      </c>
      <c r="F152" s="448" t="s">
        <v>2989</v>
      </c>
      <c r="G152" s="473" t="s">
        <v>3913</v>
      </c>
      <c r="H152" s="439" t="s">
        <v>241</v>
      </c>
      <c r="I152" s="474" t="s">
        <v>3457</v>
      </c>
      <c r="J152" s="474" t="s">
        <v>3464</v>
      </c>
      <c r="K152" s="443" t="s">
        <v>242</v>
      </c>
      <c r="L152" s="471">
        <v>1</v>
      </c>
      <c r="M152" s="447" t="s">
        <v>243</v>
      </c>
      <c r="N152" s="455">
        <v>5875</v>
      </c>
      <c r="O152" s="475">
        <f t="shared" si="0"/>
        <v>5875</v>
      </c>
      <c r="P152" s="476"/>
      <c r="Q152" s="477">
        <v>46023</v>
      </c>
      <c r="R152" s="476"/>
      <c r="S152" s="476"/>
    </row>
    <row r="153" spans="1:19" ht="15.75" customHeight="1" x14ac:dyDescent="0.25">
      <c r="A153" s="438">
        <v>150</v>
      </c>
      <c r="B153" s="470" t="s">
        <v>17</v>
      </c>
      <c r="C153" s="471" t="s">
        <v>18</v>
      </c>
      <c r="D153" s="472" t="s">
        <v>19</v>
      </c>
      <c r="E153" s="465" t="s">
        <v>4081</v>
      </c>
      <c r="F153" s="448" t="s">
        <v>2989</v>
      </c>
      <c r="G153" s="473" t="s">
        <v>3913</v>
      </c>
      <c r="H153" s="439" t="s">
        <v>244</v>
      </c>
      <c r="I153" s="474" t="s">
        <v>3457</v>
      </c>
      <c r="J153" s="474" t="s">
        <v>3464</v>
      </c>
      <c r="K153" s="443" t="s">
        <v>242</v>
      </c>
      <c r="L153" s="471">
        <v>1</v>
      </c>
      <c r="M153" s="447" t="s">
        <v>245</v>
      </c>
      <c r="N153" s="455">
        <v>45800</v>
      </c>
      <c r="O153" s="475">
        <f t="shared" si="0"/>
        <v>45800</v>
      </c>
      <c r="P153" s="476"/>
      <c r="Q153" s="477">
        <v>46023</v>
      </c>
      <c r="R153" s="476"/>
      <c r="S153" s="476"/>
    </row>
    <row r="154" spans="1:19" ht="15.75" customHeight="1" x14ac:dyDescent="0.25">
      <c r="A154" s="438">
        <v>151</v>
      </c>
      <c r="B154" s="470" t="s">
        <v>17</v>
      </c>
      <c r="C154" s="471" t="s">
        <v>18</v>
      </c>
      <c r="D154" s="472" t="s">
        <v>19</v>
      </c>
      <c r="E154" s="465" t="s">
        <v>4086</v>
      </c>
      <c r="F154" s="448" t="s">
        <v>4097</v>
      </c>
      <c r="G154" s="473" t="s">
        <v>3913</v>
      </c>
      <c r="H154" s="439" t="s">
        <v>246</v>
      </c>
      <c r="I154" s="474" t="s">
        <v>3457</v>
      </c>
      <c r="J154" s="474" t="s">
        <v>3464</v>
      </c>
      <c r="K154" s="443" t="s">
        <v>242</v>
      </c>
      <c r="L154" s="471">
        <v>1</v>
      </c>
      <c r="M154" s="447" t="s">
        <v>247</v>
      </c>
      <c r="N154" s="455">
        <v>11160</v>
      </c>
      <c r="O154" s="475">
        <f t="shared" si="0"/>
        <v>11160</v>
      </c>
      <c r="P154" s="476"/>
      <c r="Q154" s="477">
        <v>46023</v>
      </c>
      <c r="R154" s="476"/>
      <c r="S154" s="476"/>
    </row>
    <row r="155" spans="1:19" ht="15.75" customHeight="1" x14ac:dyDescent="0.25">
      <c r="A155" s="438">
        <v>152</v>
      </c>
      <c r="B155" s="470" t="s">
        <v>17</v>
      </c>
      <c r="C155" s="471" t="s">
        <v>18</v>
      </c>
      <c r="D155" s="472" t="s">
        <v>19</v>
      </c>
      <c r="E155" s="465" t="s">
        <v>4084</v>
      </c>
      <c r="F155" s="448" t="s">
        <v>4096</v>
      </c>
      <c r="G155" s="473" t="s">
        <v>3913</v>
      </c>
      <c r="H155" s="439" t="s">
        <v>246</v>
      </c>
      <c r="I155" s="474" t="s">
        <v>3457</v>
      </c>
      <c r="J155" s="474" t="s">
        <v>3464</v>
      </c>
      <c r="K155" s="443" t="s">
        <v>242</v>
      </c>
      <c r="L155" s="471">
        <v>1</v>
      </c>
      <c r="M155" s="447" t="s">
        <v>248</v>
      </c>
      <c r="N155" s="455">
        <v>11160</v>
      </c>
      <c r="O155" s="475">
        <f t="shared" si="0"/>
        <v>11160</v>
      </c>
      <c r="P155" s="476"/>
      <c r="Q155" s="477">
        <v>46023</v>
      </c>
      <c r="R155" s="476"/>
      <c r="S155" s="476"/>
    </row>
    <row r="156" spans="1:19" ht="15.75" customHeight="1" x14ac:dyDescent="0.25">
      <c r="A156" s="438">
        <v>153</v>
      </c>
      <c r="B156" s="470" t="s">
        <v>17</v>
      </c>
      <c r="C156" s="471" t="s">
        <v>18</v>
      </c>
      <c r="D156" s="472" t="s">
        <v>19</v>
      </c>
      <c r="E156" s="465" t="s">
        <v>4086</v>
      </c>
      <c r="F156" s="448" t="s">
        <v>4097</v>
      </c>
      <c r="G156" s="473" t="s">
        <v>3914</v>
      </c>
      <c r="H156" s="439" t="s">
        <v>246</v>
      </c>
      <c r="I156" s="474" t="s">
        <v>3457</v>
      </c>
      <c r="J156" s="474" t="s">
        <v>3464</v>
      </c>
      <c r="K156" s="443" t="s">
        <v>249</v>
      </c>
      <c r="L156" s="471">
        <v>1</v>
      </c>
      <c r="M156" s="447" t="s">
        <v>250</v>
      </c>
      <c r="N156" s="455">
        <v>11160</v>
      </c>
      <c r="O156" s="475">
        <f t="shared" si="0"/>
        <v>11160</v>
      </c>
      <c r="P156" s="476"/>
      <c r="Q156" s="477">
        <v>46023</v>
      </c>
      <c r="R156" s="476"/>
      <c r="S156" s="476"/>
    </row>
    <row r="157" spans="1:19" ht="15.75" customHeight="1" x14ac:dyDescent="0.25">
      <c r="A157" s="438">
        <v>154</v>
      </c>
      <c r="B157" s="470" t="s">
        <v>17</v>
      </c>
      <c r="C157" s="471" t="s">
        <v>18</v>
      </c>
      <c r="D157" s="472" t="s">
        <v>19</v>
      </c>
      <c r="E157" s="465" t="s">
        <v>4086</v>
      </c>
      <c r="F157" s="448" t="s">
        <v>4097</v>
      </c>
      <c r="G157" s="473" t="s">
        <v>3914</v>
      </c>
      <c r="H157" s="439" t="s">
        <v>251</v>
      </c>
      <c r="I157" s="474" t="s">
        <v>3457</v>
      </c>
      <c r="J157" s="474" t="s">
        <v>3464</v>
      </c>
      <c r="K157" s="443" t="s">
        <v>249</v>
      </c>
      <c r="L157" s="471">
        <v>1</v>
      </c>
      <c r="M157" s="447" t="s">
        <v>252</v>
      </c>
      <c r="N157" s="455">
        <v>1110</v>
      </c>
      <c r="O157" s="475">
        <f t="shared" si="0"/>
        <v>1110</v>
      </c>
      <c r="P157" s="476"/>
      <c r="Q157" s="477">
        <v>46023</v>
      </c>
      <c r="R157" s="476"/>
      <c r="S157" s="476"/>
    </row>
    <row r="158" spans="1:19" ht="15.75" customHeight="1" x14ac:dyDescent="0.25">
      <c r="A158" s="438">
        <v>155</v>
      </c>
      <c r="B158" s="470" t="s">
        <v>17</v>
      </c>
      <c r="C158" s="471" t="s">
        <v>18</v>
      </c>
      <c r="D158" s="472" t="s">
        <v>19</v>
      </c>
      <c r="E158" s="465" t="s">
        <v>4089</v>
      </c>
      <c r="F158" s="448" t="s">
        <v>2985</v>
      </c>
      <c r="G158" s="473" t="s">
        <v>3913</v>
      </c>
      <c r="H158" s="439" t="s">
        <v>253</v>
      </c>
      <c r="I158" s="474" t="s">
        <v>3457</v>
      </c>
      <c r="J158" s="474" t="s">
        <v>3464</v>
      </c>
      <c r="K158" s="443" t="s">
        <v>242</v>
      </c>
      <c r="L158" s="471">
        <v>1</v>
      </c>
      <c r="M158" s="447" t="s">
        <v>254</v>
      </c>
      <c r="N158" s="455">
        <v>31700</v>
      </c>
      <c r="O158" s="475">
        <f t="shared" si="0"/>
        <v>31700</v>
      </c>
      <c r="P158" s="476"/>
      <c r="Q158" s="477">
        <v>46023</v>
      </c>
      <c r="R158" s="476"/>
      <c r="S158" s="476"/>
    </row>
    <row r="159" spans="1:19" ht="15.75" customHeight="1" x14ac:dyDescent="0.25">
      <c r="A159" s="438">
        <v>156</v>
      </c>
      <c r="B159" s="470" t="s">
        <v>17</v>
      </c>
      <c r="C159" s="471" t="s">
        <v>18</v>
      </c>
      <c r="D159" s="472" t="s">
        <v>19</v>
      </c>
      <c r="E159" s="465" t="s">
        <v>4085</v>
      </c>
      <c r="F159" s="448" t="s">
        <v>2985</v>
      </c>
      <c r="G159" s="473" t="s">
        <v>3914</v>
      </c>
      <c r="H159" s="439" t="s">
        <v>255</v>
      </c>
      <c r="I159" s="474" t="s">
        <v>3457</v>
      </c>
      <c r="J159" s="474" t="s">
        <v>3464</v>
      </c>
      <c r="K159" s="443" t="s">
        <v>249</v>
      </c>
      <c r="L159" s="471">
        <v>1</v>
      </c>
      <c r="M159" s="447" t="s">
        <v>256</v>
      </c>
      <c r="N159" s="455">
        <v>33286.5</v>
      </c>
      <c r="O159" s="475">
        <f t="shared" si="0"/>
        <v>33286.5</v>
      </c>
      <c r="P159" s="476"/>
      <c r="Q159" s="477">
        <v>46023</v>
      </c>
      <c r="R159" s="476"/>
      <c r="S159" s="476"/>
    </row>
    <row r="160" spans="1:19" ht="15.75" customHeight="1" x14ac:dyDescent="0.25">
      <c r="A160" s="438">
        <v>157</v>
      </c>
      <c r="B160" s="470" t="s">
        <v>17</v>
      </c>
      <c r="C160" s="471" t="s">
        <v>18</v>
      </c>
      <c r="D160" s="472" t="s">
        <v>19</v>
      </c>
      <c r="E160" s="465" t="s">
        <v>4085</v>
      </c>
      <c r="F160" s="448" t="s">
        <v>2985</v>
      </c>
      <c r="G160" s="473" t="s">
        <v>3914</v>
      </c>
      <c r="H160" s="439" t="s">
        <v>255</v>
      </c>
      <c r="I160" s="474" t="s">
        <v>3457</v>
      </c>
      <c r="J160" s="474" t="s">
        <v>3464</v>
      </c>
      <c r="K160" s="443" t="s">
        <v>249</v>
      </c>
      <c r="L160" s="471">
        <v>1</v>
      </c>
      <c r="M160" s="447" t="s">
        <v>257</v>
      </c>
      <c r="N160" s="455">
        <v>33286.5</v>
      </c>
      <c r="O160" s="475">
        <f t="shared" si="0"/>
        <v>33286.5</v>
      </c>
      <c r="P160" s="476"/>
      <c r="Q160" s="477">
        <v>46023</v>
      </c>
      <c r="R160" s="476"/>
      <c r="S160" s="476"/>
    </row>
    <row r="161" spans="1:19" ht="15.75" customHeight="1" x14ac:dyDescent="0.25">
      <c r="A161" s="438">
        <v>158</v>
      </c>
      <c r="B161" s="470" t="s">
        <v>17</v>
      </c>
      <c r="C161" s="471" t="s">
        <v>18</v>
      </c>
      <c r="D161" s="472" t="s">
        <v>19</v>
      </c>
      <c r="E161" s="465" t="s">
        <v>4085</v>
      </c>
      <c r="F161" s="448" t="s">
        <v>2985</v>
      </c>
      <c r="G161" s="473" t="s">
        <v>3914</v>
      </c>
      <c r="H161" s="439" t="s">
        <v>255</v>
      </c>
      <c r="I161" s="474" t="s">
        <v>3457</v>
      </c>
      <c r="J161" s="474" t="s">
        <v>3464</v>
      </c>
      <c r="K161" s="443" t="s">
        <v>249</v>
      </c>
      <c r="L161" s="471">
        <v>1</v>
      </c>
      <c r="M161" s="447" t="s">
        <v>258</v>
      </c>
      <c r="N161" s="455">
        <v>33286.5</v>
      </c>
      <c r="O161" s="475">
        <f t="shared" si="0"/>
        <v>33286.5</v>
      </c>
      <c r="P161" s="476"/>
      <c r="Q161" s="477">
        <v>46023</v>
      </c>
      <c r="R161" s="476"/>
      <c r="S161" s="476"/>
    </row>
    <row r="162" spans="1:19" ht="15.75" customHeight="1" x14ac:dyDescent="0.25">
      <c r="A162" s="438">
        <v>159</v>
      </c>
      <c r="B162" s="470" t="s">
        <v>17</v>
      </c>
      <c r="C162" s="471" t="s">
        <v>18</v>
      </c>
      <c r="D162" s="472" t="s">
        <v>19</v>
      </c>
      <c r="E162" s="465" t="s">
        <v>4085</v>
      </c>
      <c r="F162" s="448" t="s">
        <v>2985</v>
      </c>
      <c r="G162" s="473" t="s">
        <v>3914</v>
      </c>
      <c r="H162" s="439" t="s">
        <v>255</v>
      </c>
      <c r="I162" s="474" t="s">
        <v>3457</v>
      </c>
      <c r="J162" s="474" t="s">
        <v>3464</v>
      </c>
      <c r="K162" s="443" t="s">
        <v>249</v>
      </c>
      <c r="L162" s="471">
        <v>1</v>
      </c>
      <c r="M162" s="447" t="s">
        <v>259</v>
      </c>
      <c r="N162" s="455">
        <v>33286.5</v>
      </c>
      <c r="O162" s="475">
        <f t="shared" si="0"/>
        <v>33286.5</v>
      </c>
      <c r="P162" s="476"/>
      <c r="Q162" s="477">
        <v>46023</v>
      </c>
      <c r="R162" s="476"/>
      <c r="S162" s="476"/>
    </row>
    <row r="163" spans="1:19" ht="15.75" customHeight="1" x14ac:dyDescent="0.25">
      <c r="A163" s="438">
        <v>160</v>
      </c>
      <c r="B163" s="470" t="s">
        <v>17</v>
      </c>
      <c r="C163" s="471" t="s">
        <v>18</v>
      </c>
      <c r="D163" s="472" t="s">
        <v>19</v>
      </c>
      <c r="E163" s="465" t="s">
        <v>4085</v>
      </c>
      <c r="F163" s="448" t="s">
        <v>2985</v>
      </c>
      <c r="G163" s="473" t="s">
        <v>3914</v>
      </c>
      <c r="H163" s="439" t="s">
        <v>255</v>
      </c>
      <c r="I163" s="474" t="s">
        <v>3457</v>
      </c>
      <c r="J163" s="474" t="s">
        <v>3464</v>
      </c>
      <c r="K163" s="443" t="s">
        <v>249</v>
      </c>
      <c r="L163" s="471">
        <v>1</v>
      </c>
      <c r="M163" s="447" t="s">
        <v>260</v>
      </c>
      <c r="N163" s="455">
        <v>33286.5</v>
      </c>
      <c r="O163" s="475">
        <f t="shared" si="0"/>
        <v>33286.5</v>
      </c>
      <c r="P163" s="476"/>
      <c r="Q163" s="477">
        <v>46023</v>
      </c>
      <c r="R163" s="476"/>
      <c r="S163" s="476"/>
    </row>
    <row r="164" spans="1:19" ht="15.75" customHeight="1" x14ac:dyDescent="0.25">
      <c r="A164" s="438">
        <v>161</v>
      </c>
      <c r="B164" s="470" t="s">
        <v>17</v>
      </c>
      <c r="C164" s="471" t="s">
        <v>18</v>
      </c>
      <c r="D164" s="472" t="s">
        <v>19</v>
      </c>
      <c r="E164" s="465" t="s">
        <v>4085</v>
      </c>
      <c r="F164" s="448" t="s">
        <v>2985</v>
      </c>
      <c r="G164" s="473" t="s">
        <v>3914</v>
      </c>
      <c r="H164" s="439" t="s">
        <v>255</v>
      </c>
      <c r="I164" s="474" t="s">
        <v>3457</v>
      </c>
      <c r="J164" s="474" t="s">
        <v>3464</v>
      </c>
      <c r="K164" s="443" t="s">
        <v>249</v>
      </c>
      <c r="L164" s="471">
        <v>1</v>
      </c>
      <c r="M164" s="447" t="s">
        <v>261</v>
      </c>
      <c r="N164" s="455">
        <v>33286.5</v>
      </c>
      <c r="O164" s="475">
        <f t="shared" si="0"/>
        <v>33286.5</v>
      </c>
      <c r="P164" s="476"/>
      <c r="Q164" s="477">
        <v>46023</v>
      </c>
      <c r="R164" s="476"/>
      <c r="S164" s="476"/>
    </row>
    <row r="165" spans="1:19" ht="15.75" customHeight="1" x14ac:dyDescent="0.25">
      <c r="A165" s="438">
        <v>162</v>
      </c>
      <c r="B165" s="470" t="s">
        <v>17</v>
      </c>
      <c r="C165" s="471" t="s">
        <v>18</v>
      </c>
      <c r="D165" s="472" t="s">
        <v>19</v>
      </c>
      <c r="E165" s="465" t="s">
        <v>4085</v>
      </c>
      <c r="F165" s="448" t="s">
        <v>2985</v>
      </c>
      <c r="G165" s="473" t="s">
        <v>3914</v>
      </c>
      <c r="H165" s="439" t="s">
        <v>255</v>
      </c>
      <c r="I165" s="474" t="s">
        <v>3457</v>
      </c>
      <c r="J165" s="474" t="s">
        <v>3464</v>
      </c>
      <c r="K165" s="443" t="s">
        <v>249</v>
      </c>
      <c r="L165" s="471">
        <v>1</v>
      </c>
      <c r="M165" s="447" t="s">
        <v>262</v>
      </c>
      <c r="N165" s="455">
        <v>33286.5</v>
      </c>
      <c r="O165" s="475">
        <f t="shared" si="0"/>
        <v>33286.5</v>
      </c>
      <c r="P165" s="476"/>
      <c r="Q165" s="477">
        <v>46023</v>
      </c>
      <c r="R165" s="476"/>
      <c r="S165" s="476"/>
    </row>
    <row r="166" spans="1:19" ht="15.75" customHeight="1" x14ac:dyDescent="0.25">
      <c r="A166" s="438">
        <v>163</v>
      </c>
      <c r="B166" s="470" t="s">
        <v>17</v>
      </c>
      <c r="C166" s="471" t="s">
        <v>18</v>
      </c>
      <c r="D166" s="472" t="s">
        <v>19</v>
      </c>
      <c r="E166" s="465" t="s">
        <v>4085</v>
      </c>
      <c r="F166" s="448" t="s">
        <v>2985</v>
      </c>
      <c r="G166" s="473" t="s">
        <v>3914</v>
      </c>
      <c r="H166" s="439" t="s">
        <v>255</v>
      </c>
      <c r="I166" s="474" t="s">
        <v>3457</v>
      </c>
      <c r="J166" s="474" t="s">
        <v>3464</v>
      </c>
      <c r="K166" s="443" t="s">
        <v>249</v>
      </c>
      <c r="L166" s="471">
        <v>1</v>
      </c>
      <c r="M166" s="447" t="s">
        <v>263</v>
      </c>
      <c r="N166" s="455">
        <v>33286.5</v>
      </c>
      <c r="O166" s="475">
        <f t="shared" si="0"/>
        <v>33286.5</v>
      </c>
      <c r="P166" s="476"/>
      <c r="Q166" s="477">
        <v>46023</v>
      </c>
      <c r="R166" s="476"/>
      <c r="S166" s="476"/>
    </row>
    <row r="167" spans="1:19" ht="15.75" customHeight="1" x14ac:dyDescent="0.25">
      <c r="A167" s="438">
        <v>164</v>
      </c>
      <c r="B167" s="470" t="s">
        <v>17</v>
      </c>
      <c r="C167" s="471" t="s">
        <v>18</v>
      </c>
      <c r="D167" s="472" t="s">
        <v>19</v>
      </c>
      <c r="E167" s="465" t="s">
        <v>4088</v>
      </c>
      <c r="F167" s="448" t="s">
        <v>4101</v>
      </c>
      <c r="G167" s="473" t="s">
        <v>3914</v>
      </c>
      <c r="H167" s="439" t="s">
        <v>255</v>
      </c>
      <c r="I167" s="474" t="s">
        <v>3457</v>
      </c>
      <c r="J167" s="474" t="s">
        <v>3464</v>
      </c>
      <c r="K167" s="443" t="s">
        <v>249</v>
      </c>
      <c r="L167" s="471">
        <v>1</v>
      </c>
      <c r="M167" s="447" t="s">
        <v>264</v>
      </c>
      <c r="N167" s="455">
        <v>33286.5</v>
      </c>
      <c r="O167" s="475">
        <f t="shared" si="0"/>
        <v>33286.5</v>
      </c>
      <c r="P167" s="476"/>
      <c r="Q167" s="477">
        <v>46023</v>
      </c>
      <c r="R167" s="476"/>
      <c r="S167" s="476"/>
    </row>
    <row r="168" spans="1:19" ht="15.75" customHeight="1" x14ac:dyDescent="0.25">
      <c r="A168" s="438">
        <v>165</v>
      </c>
      <c r="B168" s="470" t="s">
        <v>17</v>
      </c>
      <c r="C168" s="471" t="s">
        <v>18</v>
      </c>
      <c r="D168" s="472" t="s">
        <v>19</v>
      </c>
      <c r="E168" s="448" t="s">
        <v>4088</v>
      </c>
      <c r="F168" s="448" t="s">
        <v>4101</v>
      </c>
      <c r="G168" s="473" t="s">
        <v>3914</v>
      </c>
      <c r="H168" s="439" t="s">
        <v>255</v>
      </c>
      <c r="I168" s="474" t="s">
        <v>3457</v>
      </c>
      <c r="J168" s="474" t="s">
        <v>3464</v>
      </c>
      <c r="K168" s="443" t="s">
        <v>249</v>
      </c>
      <c r="L168" s="471">
        <v>1</v>
      </c>
      <c r="M168" s="447" t="s">
        <v>265</v>
      </c>
      <c r="N168" s="456">
        <v>33286.5</v>
      </c>
      <c r="O168" s="475">
        <f t="shared" si="0"/>
        <v>33286.5</v>
      </c>
      <c r="P168" s="476"/>
      <c r="Q168" s="477">
        <v>46023</v>
      </c>
      <c r="R168" s="476"/>
      <c r="S168" s="476"/>
    </row>
    <row r="169" spans="1:19" ht="15.75" customHeight="1" x14ac:dyDescent="0.25">
      <c r="A169" s="438">
        <v>166</v>
      </c>
      <c r="B169" s="470" t="s">
        <v>17</v>
      </c>
      <c r="C169" s="471" t="s">
        <v>18</v>
      </c>
      <c r="D169" s="472" t="s">
        <v>19</v>
      </c>
      <c r="E169" s="448" t="s">
        <v>4086</v>
      </c>
      <c r="F169" s="448" t="s">
        <v>4097</v>
      </c>
      <c r="G169" s="473" t="s">
        <v>3915</v>
      </c>
      <c r="H169" s="439" t="s">
        <v>266</v>
      </c>
      <c r="I169" s="474" t="s">
        <v>3457</v>
      </c>
      <c r="J169" s="474" t="s">
        <v>3464</v>
      </c>
      <c r="K169" s="443" t="s">
        <v>267</v>
      </c>
      <c r="L169" s="471">
        <v>1</v>
      </c>
      <c r="M169" s="447" t="s">
        <v>3486</v>
      </c>
      <c r="N169" s="456">
        <v>92000</v>
      </c>
      <c r="O169" s="475">
        <f t="shared" si="0"/>
        <v>92000</v>
      </c>
      <c r="P169" s="476"/>
      <c r="Q169" s="477">
        <v>46023</v>
      </c>
      <c r="R169" s="476"/>
      <c r="S169" s="476"/>
    </row>
    <row r="170" spans="1:19" ht="15.75" customHeight="1" x14ac:dyDescent="0.25">
      <c r="A170" s="438">
        <v>167</v>
      </c>
      <c r="B170" s="470" t="s">
        <v>17</v>
      </c>
      <c r="C170" s="471" t="s">
        <v>18</v>
      </c>
      <c r="D170" s="472" t="s">
        <v>19</v>
      </c>
      <c r="E170" s="448" t="s">
        <v>4081</v>
      </c>
      <c r="F170" s="448" t="s">
        <v>2989</v>
      </c>
      <c r="G170" s="473" t="s">
        <v>2272</v>
      </c>
      <c r="H170" s="439" t="s">
        <v>268</v>
      </c>
      <c r="I170" s="474" t="s">
        <v>3460</v>
      </c>
      <c r="J170" s="474" t="s">
        <v>3463</v>
      </c>
      <c r="K170" s="443" t="s">
        <v>269</v>
      </c>
      <c r="L170" s="471">
        <v>1</v>
      </c>
      <c r="M170" s="447" t="s">
        <v>270</v>
      </c>
      <c r="N170" s="456">
        <v>48300</v>
      </c>
      <c r="O170" s="475">
        <f t="shared" si="0"/>
        <v>48300</v>
      </c>
      <c r="P170" s="476"/>
      <c r="Q170" s="477">
        <v>46023</v>
      </c>
      <c r="R170" s="476"/>
      <c r="S170" s="476"/>
    </row>
    <row r="171" spans="1:19" ht="15.75" customHeight="1" x14ac:dyDescent="0.25">
      <c r="A171" s="438">
        <v>168</v>
      </c>
      <c r="B171" s="470" t="s">
        <v>17</v>
      </c>
      <c r="C171" s="471" t="s">
        <v>18</v>
      </c>
      <c r="D171" s="472" t="s">
        <v>19</v>
      </c>
      <c r="E171" s="448" t="s">
        <v>4090</v>
      </c>
      <c r="F171" s="448" t="s">
        <v>4090</v>
      </c>
      <c r="G171" s="473" t="s">
        <v>3916</v>
      </c>
      <c r="H171" s="439" t="s">
        <v>271</v>
      </c>
      <c r="I171" s="474" t="s">
        <v>3460</v>
      </c>
      <c r="J171" s="474" t="s">
        <v>3464</v>
      </c>
      <c r="K171" s="443" t="s">
        <v>272</v>
      </c>
      <c r="L171" s="471">
        <v>1</v>
      </c>
      <c r="M171" s="447" t="s">
        <v>273</v>
      </c>
      <c r="N171" s="456">
        <v>125000</v>
      </c>
      <c r="O171" s="475">
        <f t="shared" si="0"/>
        <v>125000</v>
      </c>
      <c r="P171" s="476"/>
      <c r="Q171" s="477">
        <v>46023</v>
      </c>
      <c r="R171" s="476"/>
      <c r="S171" s="476"/>
    </row>
    <row r="172" spans="1:19" ht="15.75" customHeight="1" x14ac:dyDescent="0.25">
      <c r="A172" s="438">
        <v>169</v>
      </c>
      <c r="B172" s="470" t="s">
        <v>17</v>
      </c>
      <c r="C172" s="471" t="s">
        <v>18</v>
      </c>
      <c r="D172" s="472" t="s">
        <v>19</v>
      </c>
      <c r="E172" s="448" t="s">
        <v>4090</v>
      </c>
      <c r="F172" s="448" t="s">
        <v>4090</v>
      </c>
      <c r="G172" s="473" t="s">
        <v>3916</v>
      </c>
      <c r="H172" s="439" t="s">
        <v>271</v>
      </c>
      <c r="I172" s="474" t="s">
        <v>3460</v>
      </c>
      <c r="J172" s="474" t="s">
        <v>3464</v>
      </c>
      <c r="K172" s="443" t="s">
        <v>272</v>
      </c>
      <c r="L172" s="471">
        <v>1</v>
      </c>
      <c r="M172" s="447" t="s">
        <v>274</v>
      </c>
      <c r="N172" s="456">
        <v>125000</v>
      </c>
      <c r="O172" s="475">
        <f t="shared" si="0"/>
        <v>125000</v>
      </c>
      <c r="P172" s="476"/>
      <c r="Q172" s="477">
        <v>46023</v>
      </c>
      <c r="R172" s="476"/>
      <c r="S172" s="476"/>
    </row>
    <row r="173" spans="1:19" ht="15.75" customHeight="1" x14ac:dyDescent="0.25">
      <c r="A173" s="438">
        <v>170</v>
      </c>
      <c r="B173" s="470" t="s">
        <v>17</v>
      </c>
      <c r="C173" s="471" t="s">
        <v>18</v>
      </c>
      <c r="D173" s="472" t="s">
        <v>19</v>
      </c>
      <c r="E173" s="448" t="s">
        <v>4080</v>
      </c>
      <c r="F173" s="448" t="s">
        <v>4080</v>
      </c>
      <c r="G173" s="473" t="s">
        <v>3917</v>
      </c>
      <c r="H173" s="439" t="s">
        <v>275</v>
      </c>
      <c r="I173" s="474" t="s">
        <v>3460</v>
      </c>
      <c r="J173" s="474" t="s">
        <v>3464</v>
      </c>
      <c r="K173" s="443" t="s">
        <v>276</v>
      </c>
      <c r="L173" s="471">
        <v>1</v>
      </c>
      <c r="M173" s="447" t="s">
        <v>277</v>
      </c>
      <c r="N173" s="456">
        <v>76500</v>
      </c>
      <c r="O173" s="475">
        <f t="shared" si="0"/>
        <v>76500</v>
      </c>
      <c r="P173" s="476"/>
      <c r="Q173" s="477">
        <v>46023</v>
      </c>
      <c r="R173" s="476"/>
      <c r="S173" s="476"/>
    </row>
    <row r="174" spans="1:19" ht="15.75" customHeight="1" x14ac:dyDescent="0.25">
      <c r="A174" s="438">
        <v>171</v>
      </c>
      <c r="B174" s="470" t="s">
        <v>17</v>
      </c>
      <c r="C174" s="471" t="s">
        <v>18</v>
      </c>
      <c r="D174" s="472" t="s">
        <v>19</v>
      </c>
      <c r="E174" s="448" t="s">
        <v>4090</v>
      </c>
      <c r="F174" s="448" t="s">
        <v>4090</v>
      </c>
      <c r="G174" s="473" t="s">
        <v>2803</v>
      </c>
      <c r="H174" s="439" t="s">
        <v>278</v>
      </c>
      <c r="I174" s="474" t="s">
        <v>3460</v>
      </c>
      <c r="J174" s="474" t="s">
        <v>3464</v>
      </c>
      <c r="K174" s="443" t="s">
        <v>279</v>
      </c>
      <c r="L174" s="471">
        <v>1</v>
      </c>
      <c r="M174" s="447" t="s">
        <v>280</v>
      </c>
      <c r="N174" s="456">
        <v>48300</v>
      </c>
      <c r="O174" s="475">
        <f t="shared" si="0"/>
        <v>48300</v>
      </c>
      <c r="P174" s="476"/>
      <c r="Q174" s="477">
        <v>46023</v>
      </c>
      <c r="R174" s="476"/>
      <c r="S174" s="476"/>
    </row>
    <row r="175" spans="1:19" ht="15.75" customHeight="1" x14ac:dyDescent="0.25">
      <c r="A175" s="438">
        <v>172</v>
      </c>
      <c r="B175" s="470" t="s">
        <v>17</v>
      </c>
      <c r="C175" s="471" t="s">
        <v>18</v>
      </c>
      <c r="D175" s="472" t="s">
        <v>19</v>
      </c>
      <c r="E175" s="448" t="s">
        <v>4091</v>
      </c>
      <c r="F175" s="448" t="s">
        <v>4107</v>
      </c>
      <c r="G175" s="473" t="s">
        <v>3917</v>
      </c>
      <c r="H175" s="439" t="s">
        <v>281</v>
      </c>
      <c r="I175" s="474" t="s">
        <v>3460</v>
      </c>
      <c r="J175" s="474" t="s">
        <v>3464</v>
      </c>
      <c r="K175" s="443" t="s">
        <v>276</v>
      </c>
      <c r="L175" s="471">
        <v>1</v>
      </c>
      <c r="M175" s="447" t="s">
        <v>282</v>
      </c>
      <c r="N175" s="456">
        <v>182500</v>
      </c>
      <c r="O175" s="475">
        <f t="shared" si="0"/>
        <v>182500</v>
      </c>
      <c r="P175" s="476"/>
      <c r="Q175" s="477">
        <v>46023</v>
      </c>
      <c r="R175" s="476"/>
      <c r="S175" s="476"/>
    </row>
    <row r="176" spans="1:19" ht="15.75" customHeight="1" x14ac:dyDescent="0.25">
      <c r="A176" s="438">
        <v>173</v>
      </c>
      <c r="B176" s="470" t="s">
        <v>17</v>
      </c>
      <c r="C176" s="471" t="s">
        <v>18</v>
      </c>
      <c r="D176" s="472" t="s">
        <v>19</v>
      </c>
      <c r="E176" s="465" t="s">
        <v>4083</v>
      </c>
      <c r="F176" s="448" t="s">
        <v>2988</v>
      </c>
      <c r="G176" s="473" t="s">
        <v>3917</v>
      </c>
      <c r="H176" s="439" t="s">
        <v>283</v>
      </c>
      <c r="I176" s="474" t="s">
        <v>3460</v>
      </c>
      <c r="J176" s="474" t="s">
        <v>3464</v>
      </c>
      <c r="K176" s="443" t="s">
        <v>276</v>
      </c>
      <c r="L176" s="471">
        <v>1</v>
      </c>
      <c r="M176" s="447" t="s">
        <v>284</v>
      </c>
      <c r="N176" s="456">
        <v>92700</v>
      </c>
      <c r="O176" s="475">
        <f t="shared" si="0"/>
        <v>92700</v>
      </c>
      <c r="P176" s="476"/>
      <c r="Q176" s="477">
        <v>46023</v>
      </c>
      <c r="R176" s="476"/>
      <c r="S176" s="476"/>
    </row>
    <row r="177" spans="1:19" ht="15.75" customHeight="1" x14ac:dyDescent="0.25">
      <c r="A177" s="438">
        <v>174</v>
      </c>
      <c r="B177" s="470" t="s">
        <v>17</v>
      </c>
      <c r="C177" s="471" t="s">
        <v>18</v>
      </c>
      <c r="D177" s="472" t="s">
        <v>19</v>
      </c>
      <c r="E177" s="465" t="s">
        <v>4088</v>
      </c>
      <c r="F177" s="448" t="s">
        <v>4105</v>
      </c>
      <c r="G177" s="473" t="s">
        <v>3917</v>
      </c>
      <c r="H177" s="439" t="s">
        <v>285</v>
      </c>
      <c r="I177" s="474" t="s">
        <v>3460</v>
      </c>
      <c r="J177" s="474" t="s">
        <v>3464</v>
      </c>
      <c r="K177" s="443" t="s">
        <v>276</v>
      </c>
      <c r="L177" s="471">
        <v>1</v>
      </c>
      <c r="M177" s="447" t="s">
        <v>286</v>
      </c>
      <c r="N177" s="456">
        <v>42000</v>
      </c>
      <c r="O177" s="475">
        <f t="shared" si="0"/>
        <v>42000</v>
      </c>
      <c r="P177" s="476"/>
      <c r="Q177" s="477">
        <v>46023</v>
      </c>
      <c r="R177" s="476"/>
      <c r="S177" s="476"/>
    </row>
    <row r="178" spans="1:19" ht="15.75" customHeight="1" x14ac:dyDescent="0.25">
      <c r="A178" s="438">
        <v>175</v>
      </c>
      <c r="B178" s="470" t="s">
        <v>17</v>
      </c>
      <c r="C178" s="471" t="s">
        <v>18</v>
      </c>
      <c r="D178" s="472" t="s">
        <v>19</v>
      </c>
      <c r="E178" s="465" t="s">
        <v>4088</v>
      </c>
      <c r="F178" s="448" t="s">
        <v>4105</v>
      </c>
      <c r="G178" s="473" t="s">
        <v>3917</v>
      </c>
      <c r="H178" s="439" t="s">
        <v>285</v>
      </c>
      <c r="I178" s="474" t="s">
        <v>3460</v>
      </c>
      <c r="J178" s="474" t="s">
        <v>3464</v>
      </c>
      <c r="K178" s="443" t="s">
        <v>276</v>
      </c>
      <c r="L178" s="471">
        <v>1</v>
      </c>
      <c r="M178" s="447" t="s">
        <v>287</v>
      </c>
      <c r="N178" s="456">
        <v>42000</v>
      </c>
      <c r="O178" s="475">
        <f t="shared" si="0"/>
        <v>42000</v>
      </c>
      <c r="P178" s="476"/>
      <c r="Q178" s="477">
        <v>46023</v>
      </c>
      <c r="R178" s="476"/>
      <c r="S178" s="476"/>
    </row>
    <row r="179" spans="1:19" ht="15.75" customHeight="1" x14ac:dyDescent="0.25">
      <c r="A179" s="438">
        <v>176</v>
      </c>
      <c r="B179" s="470" t="s">
        <v>17</v>
      </c>
      <c r="C179" s="471" t="s">
        <v>18</v>
      </c>
      <c r="D179" s="472" t="s">
        <v>19</v>
      </c>
      <c r="E179" s="465" t="s">
        <v>4088</v>
      </c>
      <c r="F179" s="448" t="s">
        <v>4104</v>
      </c>
      <c r="G179" s="473" t="s">
        <v>3917</v>
      </c>
      <c r="H179" s="439" t="s">
        <v>285</v>
      </c>
      <c r="I179" s="474" t="s">
        <v>3460</v>
      </c>
      <c r="J179" s="474" t="s">
        <v>3464</v>
      </c>
      <c r="K179" s="443" t="s">
        <v>276</v>
      </c>
      <c r="L179" s="471">
        <v>1</v>
      </c>
      <c r="M179" s="447" t="s">
        <v>288</v>
      </c>
      <c r="N179" s="456">
        <v>42000</v>
      </c>
      <c r="O179" s="475">
        <f t="shared" si="0"/>
        <v>42000</v>
      </c>
      <c r="P179" s="476"/>
      <c r="Q179" s="477">
        <v>46023</v>
      </c>
      <c r="R179" s="476"/>
      <c r="S179" s="476"/>
    </row>
    <row r="180" spans="1:19" ht="15.75" customHeight="1" x14ac:dyDescent="0.25">
      <c r="A180" s="438">
        <v>177</v>
      </c>
      <c r="B180" s="470" t="s">
        <v>17</v>
      </c>
      <c r="C180" s="471" t="s">
        <v>18</v>
      </c>
      <c r="D180" s="472" t="s">
        <v>19</v>
      </c>
      <c r="E180" s="465" t="s">
        <v>4088</v>
      </c>
      <c r="F180" s="448" t="s">
        <v>3049</v>
      </c>
      <c r="G180" s="473" t="s">
        <v>3917</v>
      </c>
      <c r="H180" s="439" t="s">
        <v>285</v>
      </c>
      <c r="I180" s="474" t="s">
        <v>3460</v>
      </c>
      <c r="J180" s="474" t="s">
        <v>3464</v>
      </c>
      <c r="K180" s="443" t="s">
        <v>276</v>
      </c>
      <c r="L180" s="471">
        <v>1</v>
      </c>
      <c r="M180" s="447" t="s">
        <v>289</v>
      </c>
      <c r="N180" s="456">
        <v>42000</v>
      </c>
      <c r="O180" s="475">
        <f t="shared" si="0"/>
        <v>42000</v>
      </c>
      <c r="P180" s="476"/>
      <c r="Q180" s="477">
        <v>46023</v>
      </c>
      <c r="R180" s="476"/>
      <c r="S180" s="476"/>
    </row>
    <row r="181" spans="1:19" ht="15.75" customHeight="1" x14ac:dyDescent="0.25">
      <c r="A181" s="438">
        <v>178</v>
      </c>
      <c r="B181" s="470" t="s">
        <v>17</v>
      </c>
      <c r="C181" s="471" t="s">
        <v>18</v>
      </c>
      <c r="D181" s="472" t="s">
        <v>19</v>
      </c>
      <c r="E181" s="465" t="s">
        <v>4090</v>
      </c>
      <c r="F181" s="448" t="s">
        <v>4090</v>
      </c>
      <c r="G181" s="473" t="s">
        <v>2803</v>
      </c>
      <c r="H181" s="439" t="s">
        <v>290</v>
      </c>
      <c r="I181" s="474" t="s">
        <v>3460</v>
      </c>
      <c r="J181" s="474" t="s">
        <v>3464</v>
      </c>
      <c r="K181" s="443" t="s">
        <v>279</v>
      </c>
      <c r="L181" s="471">
        <v>1</v>
      </c>
      <c r="M181" s="447" t="s">
        <v>291</v>
      </c>
      <c r="N181" s="456">
        <v>150000</v>
      </c>
      <c r="O181" s="475">
        <f t="shared" si="0"/>
        <v>150000</v>
      </c>
      <c r="P181" s="476"/>
      <c r="Q181" s="477">
        <v>46023</v>
      </c>
      <c r="R181" s="476"/>
      <c r="S181" s="476"/>
    </row>
    <row r="182" spans="1:19" ht="15.75" customHeight="1" x14ac:dyDescent="0.25">
      <c r="A182" s="438">
        <v>179</v>
      </c>
      <c r="B182" s="470" t="s">
        <v>17</v>
      </c>
      <c r="C182" s="471" t="s">
        <v>18</v>
      </c>
      <c r="D182" s="472" t="s">
        <v>19</v>
      </c>
      <c r="E182" s="465" t="s">
        <v>4090</v>
      </c>
      <c r="F182" s="448" t="s">
        <v>4090</v>
      </c>
      <c r="G182" s="473" t="s">
        <v>2803</v>
      </c>
      <c r="H182" s="439" t="s">
        <v>290</v>
      </c>
      <c r="I182" s="474" t="s">
        <v>3460</v>
      </c>
      <c r="J182" s="474" t="s">
        <v>3464</v>
      </c>
      <c r="K182" s="443" t="s">
        <v>279</v>
      </c>
      <c r="L182" s="471">
        <v>1</v>
      </c>
      <c r="M182" s="447" t="s">
        <v>292</v>
      </c>
      <c r="N182" s="456">
        <v>150000</v>
      </c>
      <c r="O182" s="475">
        <f t="shared" si="0"/>
        <v>150000</v>
      </c>
      <c r="P182" s="476"/>
      <c r="Q182" s="477">
        <v>46023</v>
      </c>
      <c r="R182" s="476"/>
      <c r="S182" s="476"/>
    </row>
    <row r="183" spans="1:19" ht="15.75" customHeight="1" x14ac:dyDescent="0.25">
      <c r="A183" s="438">
        <v>180</v>
      </c>
      <c r="B183" s="470" t="s">
        <v>17</v>
      </c>
      <c r="C183" s="471" t="s">
        <v>18</v>
      </c>
      <c r="D183" s="472" t="s">
        <v>19</v>
      </c>
      <c r="E183" s="465" t="s">
        <v>4090</v>
      </c>
      <c r="F183" s="448" t="s">
        <v>4090</v>
      </c>
      <c r="G183" s="473" t="s">
        <v>3917</v>
      </c>
      <c r="H183" s="439" t="s">
        <v>293</v>
      </c>
      <c r="I183" s="474" t="s">
        <v>3460</v>
      </c>
      <c r="J183" s="474" t="s">
        <v>3464</v>
      </c>
      <c r="K183" s="443" t="s">
        <v>276</v>
      </c>
      <c r="L183" s="471">
        <v>1</v>
      </c>
      <c r="M183" s="447" t="s">
        <v>294</v>
      </c>
      <c r="N183" s="456">
        <v>122500</v>
      </c>
      <c r="O183" s="475">
        <f t="shared" si="0"/>
        <v>122500</v>
      </c>
      <c r="P183" s="476"/>
      <c r="Q183" s="477">
        <v>46023</v>
      </c>
      <c r="R183" s="476"/>
      <c r="S183" s="476"/>
    </row>
    <row r="184" spans="1:19" ht="15.75" customHeight="1" x14ac:dyDescent="0.25">
      <c r="A184" s="438">
        <v>181</v>
      </c>
      <c r="B184" s="470" t="s">
        <v>17</v>
      </c>
      <c r="C184" s="471" t="s">
        <v>18</v>
      </c>
      <c r="D184" s="472" t="s">
        <v>19</v>
      </c>
      <c r="E184" s="465" t="s">
        <v>4090</v>
      </c>
      <c r="F184" s="448" t="s">
        <v>4090</v>
      </c>
      <c r="G184" s="473" t="s">
        <v>3916</v>
      </c>
      <c r="H184" s="439" t="s">
        <v>295</v>
      </c>
      <c r="I184" s="474" t="s">
        <v>3460</v>
      </c>
      <c r="J184" s="474" t="s">
        <v>3464</v>
      </c>
      <c r="K184" s="443" t="s">
        <v>272</v>
      </c>
      <c r="L184" s="471">
        <v>1</v>
      </c>
      <c r="M184" s="447" t="s">
        <v>296</v>
      </c>
      <c r="N184" s="456">
        <v>35000</v>
      </c>
      <c r="O184" s="475">
        <f t="shared" si="0"/>
        <v>35000</v>
      </c>
      <c r="P184" s="476"/>
      <c r="Q184" s="477">
        <v>46023</v>
      </c>
      <c r="R184" s="476"/>
      <c r="S184" s="476"/>
    </row>
    <row r="185" spans="1:19" ht="15.75" customHeight="1" x14ac:dyDescent="0.25">
      <c r="A185" s="438">
        <v>182</v>
      </c>
      <c r="B185" s="470" t="s">
        <v>17</v>
      </c>
      <c r="C185" s="471" t="s">
        <v>18</v>
      </c>
      <c r="D185" s="472" t="s">
        <v>19</v>
      </c>
      <c r="E185" s="465" t="s">
        <v>4090</v>
      </c>
      <c r="F185" s="448" t="s">
        <v>4090</v>
      </c>
      <c r="G185" s="473" t="s">
        <v>3916</v>
      </c>
      <c r="H185" s="439" t="s">
        <v>295</v>
      </c>
      <c r="I185" s="474" t="s">
        <v>3460</v>
      </c>
      <c r="J185" s="474" t="s">
        <v>3464</v>
      </c>
      <c r="K185" s="443" t="s">
        <v>272</v>
      </c>
      <c r="L185" s="471">
        <v>1</v>
      </c>
      <c r="M185" s="447" t="s">
        <v>297</v>
      </c>
      <c r="N185" s="456">
        <v>35000</v>
      </c>
      <c r="O185" s="475">
        <f t="shared" si="0"/>
        <v>35000</v>
      </c>
      <c r="P185" s="476"/>
      <c r="Q185" s="477">
        <v>46023</v>
      </c>
      <c r="R185" s="476"/>
      <c r="S185" s="476"/>
    </row>
    <row r="186" spans="1:19" ht="15.75" customHeight="1" x14ac:dyDescent="0.25">
      <c r="A186" s="438">
        <v>183</v>
      </c>
      <c r="B186" s="470" t="s">
        <v>17</v>
      </c>
      <c r="C186" s="471" t="s">
        <v>18</v>
      </c>
      <c r="D186" s="472" t="s">
        <v>19</v>
      </c>
      <c r="E186" s="448" t="s">
        <v>4085</v>
      </c>
      <c r="F186" s="448" t="s">
        <v>2982</v>
      </c>
      <c r="G186" s="473" t="s">
        <v>2803</v>
      </c>
      <c r="H186" s="440" t="s">
        <v>298</v>
      </c>
      <c r="I186" s="474" t="s">
        <v>3460</v>
      </c>
      <c r="J186" s="474" t="s">
        <v>3464</v>
      </c>
      <c r="K186" s="440" t="s">
        <v>279</v>
      </c>
      <c r="L186" s="471">
        <v>1</v>
      </c>
      <c r="M186" s="447" t="s">
        <v>299</v>
      </c>
      <c r="N186" s="458">
        <v>40000</v>
      </c>
      <c r="O186" s="475">
        <f t="shared" si="0"/>
        <v>40000</v>
      </c>
      <c r="P186" s="476"/>
      <c r="Q186" s="477">
        <v>46023</v>
      </c>
      <c r="R186" s="476"/>
      <c r="S186" s="476"/>
    </row>
    <row r="187" spans="1:19" ht="15.75" customHeight="1" x14ac:dyDescent="0.25">
      <c r="A187" s="438">
        <v>184</v>
      </c>
      <c r="B187" s="470" t="s">
        <v>17</v>
      </c>
      <c r="C187" s="471" t="s">
        <v>18</v>
      </c>
      <c r="D187" s="472" t="s">
        <v>19</v>
      </c>
      <c r="E187" s="448" t="s">
        <v>4085</v>
      </c>
      <c r="F187" s="448" t="s">
        <v>2982</v>
      </c>
      <c r="G187" s="473" t="s">
        <v>2803</v>
      </c>
      <c r="H187" s="440" t="s">
        <v>300</v>
      </c>
      <c r="I187" s="474" t="s">
        <v>3460</v>
      </c>
      <c r="J187" s="474" t="s">
        <v>3464</v>
      </c>
      <c r="K187" s="440" t="s">
        <v>279</v>
      </c>
      <c r="L187" s="471">
        <v>1</v>
      </c>
      <c r="M187" s="447" t="s">
        <v>301</v>
      </c>
      <c r="N187" s="455">
        <v>160000</v>
      </c>
      <c r="O187" s="475">
        <f t="shared" si="0"/>
        <v>160000</v>
      </c>
      <c r="P187" s="476"/>
      <c r="Q187" s="477">
        <v>46023</v>
      </c>
      <c r="R187" s="476"/>
      <c r="S187" s="476"/>
    </row>
    <row r="188" spans="1:19" ht="15.75" customHeight="1" x14ac:dyDescent="0.25">
      <c r="A188" s="438">
        <v>185</v>
      </c>
      <c r="B188" s="470" t="s">
        <v>17</v>
      </c>
      <c r="C188" s="471" t="s">
        <v>18</v>
      </c>
      <c r="D188" s="472" t="s">
        <v>19</v>
      </c>
      <c r="E188" s="448" t="s">
        <v>4091</v>
      </c>
      <c r="F188" s="448" t="s">
        <v>4107</v>
      </c>
      <c r="G188" s="473" t="s">
        <v>2803</v>
      </c>
      <c r="H188" s="440" t="s">
        <v>302</v>
      </c>
      <c r="I188" s="474" t="s">
        <v>3460</v>
      </c>
      <c r="J188" s="474" t="s">
        <v>3464</v>
      </c>
      <c r="K188" s="440" t="s">
        <v>279</v>
      </c>
      <c r="L188" s="471">
        <v>1</v>
      </c>
      <c r="M188" s="447" t="s">
        <v>303</v>
      </c>
      <c r="N188" s="455">
        <v>289990</v>
      </c>
      <c r="O188" s="475">
        <f t="shared" si="0"/>
        <v>289990</v>
      </c>
      <c r="P188" s="476"/>
      <c r="Q188" s="477">
        <v>46023</v>
      </c>
      <c r="R188" s="476"/>
      <c r="S188" s="476"/>
    </row>
    <row r="189" spans="1:19" ht="15.75" customHeight="1" x14ac:dyDescent="0.25">
      <c r="A189" s="438">
        <v>186</v>
      </c>
      <c r="B189" s="470" t="s">
        <v>17</v>
      </c>
      <c r="C189" s="471" t="s">
        <v>18</v>
      </c>
      <c r="D189" s="472" t="s">
        <v>19</v>
      </c>
      <c r="E189" s="448" t="s">
        <v>4085</v>
      </c>
      <c r="F189" s="448" t="s">
        <v>2982</v>
      </c>
      <c r="G189" s="473" t="s">
        <v>2803</v>
      </c>
      <c r="H189" s="440" t="s">
        <v>302</v>
      </c>
      <c r="I189" s="474" t="s">
        <v>3460</v>
      </c>
      <c r="J189" s="474" t="s">
        <v>3464</v>
      </c>
      <c r="K189" s="440" t="s">
        <v>279</v>
      </c>
      <c r="L189" s="471">
        <v>1</v>
      </c>
      <c r="M189" s="447" t="s">
        <v>304</v>
      </c>
      <c r="N189" s="455">
        <v>200000</v>
      </c>
      <c r="O189" s="475">
        <f t="shared" si="0"/>
        <v>200000</v>
      </c>
      <c r="P189" s="476"/>
      <c r="Q189" s="477">
        <v>46023</v>
      </c>
      <c r="R189" s="476"/>
      <c r="S189" s="476"/>
    </row>
    <row r="190" spans="1:19" ht="15.75" customHeight="1" x14ac:dyDescent="0.25">
      <c r="A190" s="438">
        <v>187</v>
      </c>
      <c r="B190" s="470" t="s">
        <v>17</v>
      </c>
      <c r="C190" s="471" t="s">
        <v>18</v>
      </c>
      <c r="D190" s="472" t="s">
        <v>19</v>
      </c>
      <c r="E190" s="448" t="s">
        <v>4080</v>
      </c>
      <c r="F190" s="448" t="s">
        <v>4080</v>
      </c>
      <c r="G190" s="473" t="s">
        <v>2803</v>
      </c>
      <c r="H190" s="440" t="s">
        <v>305</v>
      </c>
      <c r="I190" s="474" t="s">
        <v>3460</v>
      </c>
      <c r="J190" s="474" t="s">
        <v>3464</v>
      </c>
      <c r="K190" s="440" t="s">
        <v>279</v>
      </c>
      <c r="L190" s="471">
        <v>1</v>
      </c>
      <c r="M190" s="447" t="s">
        <v>306</v>
      </c>
      <c r="N190" s="455">
        <v>198800</v>
      </c>
      <c r="O190" s="475">
        <f t="shared" si="0"/>
        <v>198800</v>
      </c>
      <c r="P190" s="476"/>
      <c r="Q190" s="477">
        <v>46023</v>
      </c>
      <c r="R190" s="476"/>
      <c r="S190" s="476"/>
    </row>
    <row r="191" spans="1:19" ht="15.75" customHeight="1" x14ac:dyDescent="0.25">
      <c r="A191" s="438">
        <v>188</v>
      </c>
      <c r="B191" s="470" t="s">
        <v>17</v>
      </c>
      <c r="C191" s="471" t="s">
        <v>18</v>
      </c>
      <c r="D191" s="472" t="s">
        <v>19</v>
      </c>
      <c r="E191" s="448" t="s">
        <v>4090</v>
      </c>
      <c r="F191" s="448" t="s">
        <v>4090</v>
      </c>
      <c r="G191" s="473" t="s">
        <v>3916</v>
      </c>
      <c r="H191" s="440" t="s">
        <v>307</v>
      </c>
      <c r="I191" s="474" t="s">
        <v>3460</v>
      </c>
      <c r="J191" s="474" t="s">
        <v>3464</v>
      </c>
      <c r="K191" s="440" t="s">
        <v>272</v>
      </c>
      <c r="L191" s="471">
        <v>1</v>
      </c>
      <c r="M191" s="447" t="s">
        <v>308</v>
      </c>
      <c r="N191" s="455">
        <v>49000</v>
      </c>
      <c r="O191" s="475">
        <f t="shared" si="0"/>
        <v>49000</v>
      </c>
      <c r="P191" s="476"/>
      <c r="Q191" s="477">
        <v>46023</v>
      </c>
      <c r="R191" s="476"/>
      <c r="S191" s="476"/>
    </row>
    <row r="192" spans="1:19" ht="15.75" customHeight="1" x14ac:dyDescent="0.25">
      <c r="A192" s="438">
        <v>189</v>
      </c>
      <c r="B192" s="470" t="s">
        <v>17</v>
      </c>
      <c r="C192" s="471" t="s">
        <v>18</v>
      </c>
      <c r="D192" s="472" t="s">
        <v>19</v>
      </c>
      <c r="E192" s="448" t="s">
        <v>4091</v>
      </c>
      <c r="F192" s="448" t="s">
        <v>4107</v>
      </c>
      <c r="G192" s="473" t="s">
        <v>3918</v>
      </c>
      <c r="H192" s="440" t="s">
        <v>309</v>
      </c>
      <c r="I192" s="474" t="s">
        <v>3459</v>
      </c>
      <c r="J192" s="474" t="s">
        <v>3463</v>
      </c>
      <c r="K192" s="440" t="s">
        <v>310</v>
      </c>
      <c r="L192" s="471">
        <v>1</v>
      </c>
      <c r="M192" s="447" t="s">
        <v>311</v>
      </c>
      <c r="N192" s="455">
        <v>6000</v>
      </c>
      <c r="O192" s="475">
        <f t="shared" si="0"/>
        <v>6000</v>
      </c>
      <c r="P192" s="476"/>
      <c r="Q192" s="477">
        <v>46023</v>
      </c>
      <c r="R192" s="476"/>
      <c r="S192" s="476"/>
    </row>
    <row r="193" spans="1:19" ht="15.75" customHeight="1" x14ac:dyDescent="0.25">
      <c r="A193" s="438">
        <v>190</v>
      </c>
      <c r="B193" s="470" t="s">
        <v>17</v>
      </c>
      <c r="C193" s="471" t="s">
        <v>18</v>
      </c>
      <c r="D193" s="472" t="s">
        <v>19</v>
      </c>
      <c r="E193" s="448" t="s">
        <v>4091</v>
      </c>
      <c r="F193" s="448" t="s">
        <v>4107</v>
      </c>
      <c r="G193" s="473" t="s">
        <v>3918</v>
      </c>
      <c r="H193" s="440" t="s">
        <v>309</v>
      </c>
      <c r="I193" s="474" t="s">
        <v>3459</v>
      </c>
      <c r="J193" s="474" t="s">
        <v>3463</v>
      </c>
      <c r="K193" s="440" t="s">
        <v>310</v>
      </c>
      <c r="L193" s="471">
        <v>1</v>
      </c>
      <c r="M193" s="447" t="s">
        <v>312</v>
      </c>
      <c r="N193" s="455">
        <v>6000</v>
      </c>
      <c r="O193" s="475">
        <f t="shared" si="0"/>
        <v>6000</v>
      </c>
      <c r="P193" s="476"/>
      <c r="Q193" s="477">
        <v>46023</v>
      </c>
      <c r="R193" s="476"/>
      <c r="S193" s="476"/>
    </row>
    <row r="194" spans="1:19" ht="15.75" customHeight="1" x14ac:dyDescent="0.25">
      <c r="A194" s="438">
        <v>191</v>
      </c>
      <c r="B194" s="470" t="s">
        <v>17</v>
      </c>
      <c r="C194" s="471" t="s">
        <v>18</v>
      </c>
      <c r="D194" s="472" t="s">
        <v>19</v>
      </c>
      <c r="E194" s="465" t="s">
        <v>4091</v>
      </c>
      <c r="F194" s="448" t="s">
        <v>4107</v>
      </c>
      <c r="G194" s="473" t="s">
        <v>3918</v>
      </c>
      <c r="H194" s="440" t="s">
        <v>309</v>
      </c>
      <c r="I194" s="474" t="s">
        <v>3459</v>
      </c>
      <c r="J194" s="474" t="s">
        <v>3463</v>
      </c>
      <c r="K194" s="440" t="s">
        <v>310</v>
      </c>
      <c r="L194" s="471">
        <v>1</v>
      </c>
      <c r="M194" s="447" t="s">
        <v>313</v>
      </c>
      <c r="N194" s="455">
        <v>6000</v>
      </c>
      <c r="O194" s="475">
        <f t="shared" si="0"/>
        <v>6000</v>
      </c>
      <c r="P194" s="476"/>
      <c r="Q194" s="477">
        <v>46023</v>
      </c>
      <c r="R194" s="476"/>
      <c r="S194" s="476"/>
    </row>
    <row r="195" spans="1:19" ht="15.75" customHeight="1" x14ac:dyDescent="0.25">
      <c r="A195" s="438">
        <v>192</v>
      </c>
      <c r="B195" s="470" t="s">
        <v>17</v>
      </c>
      <c r="C195" s="471" t="s">
        <v>18</v>
      </c>
      <c r="D195" s="472" t="s">
        <v>19</v>
      </c>
      <c r="E195" s="465" t="s">
        <v>4091</v>
      </c>
      <c r="F195" s="448" t="s">
        <v>4107</v>
      </c>
      <c r="G195" s="473" t="s">
        <v>3918</v>
      </c>
      <c r="H195" s="440" t="s">
        <v>309</v>
      </c>
      <c r="I195" s="474" t="s">
        <v>3459</v>
      </c>
      <c r="J195" s="474" t="s">
        <v>3463</v>
      </c>
      <c r="K195" s="440" t="s">
        <v>310</v>
      </c>
      <c r="L195" s="471">
        <v>1</v>
      </c>
      <c r="M195" s="447" t="s">
        <v>314</v>
      </c>
      <c r="N195" s="455">
        <v>6000</v>
      </c>
      <c r="O195" s="475">
        <f t="shared" si="0"/>
        <v>6000</v>
      </c>
      <c r="P195" s="476"/>
      <c r="Q195" s="477">
        <v>46023</v>
      </c>
      <c r="R195" s="476"/>
      <c r="S195" s="476"/>
    </row>
    <row r="196" spans="1:19" ht="15.75" customHeight="1" x14ac:dyDescent="0.25">
      <c r="A196" s="438">
        <v>193</v>
      </c>
      <c r="B196" s="470" t="s">
        <v>17</v>
      </c>
      <c r="C196" s="471" t="s">
        <v>18</v>
      </c>
      <c r="D196" s="472" t="s">
        <v>19</v>
      </c>
      <c r="E196" s="465" t="s">
        <v>4091</v>
      </c>
      <c r="F196" s="448" t="s">
        <v>4107</v>
      </c>
      <c r="G196" s="473" t="s">
        <v>3918</v>
      </c>
      <c r="H196" s="440" t="s">
        <v>309</v>
      </c>
      <c r="I196" s="474" t="s">
        <v>3459</v>
      </c>
      <c r="J196" s="474" t="s">
        <v>3463</v>
      </c>
      <c r="K196" s="440" t="s">
        <v>310</v>
      </c>
      <c r="L196" s="471">
        <v>1</v>
      </c>
      <c r="M196" s="447" t="s">
        <v>315</v>
      </c>
      <c r="N196" s="455">
        <v>6000</v>
      </c>
      <c r="O196" s="475">
        <f t="shared" si="0"/>
        <v>6000</v>
      </c>
      <c r="P196" s="476"/>
      <c r="Q196" s="477">
        <v>46023</v>
      </c>
      <c r="R196" s="476"/>
      <c r="S196" s="476"/>
    </row>
    <row r="197" spans="1:19" ht="15.75" customHeight="1" x14ac:dyDescent="0.25">
      <c r="A197" s="438">
        <v>194</v>
      </c>
      <c r="B197" s="470" t="s">
        <v>17</v>
      </c>
      <c r="C197" s="471" t="s">
        <v>18</v>
      </c>
      <c r="D197" s="472" t="s">
        <v>19</v>
      </c>
      <c r="E197" s="465" t="s">
        <v>4091</v>
      </c>
      <c r="F197" s="448" t="s">
        <v>4107</v>
      </c>
      <c r="G197" s="473" t="s">
        <v>3918</v>
      </c>
      <c r="H197" s="440" t="s">
        <v>309</v>
      </c>
      <c r="I197" s="474" t="s">
        <v>3459</v>
      </c>
      <c r="J197" s="474" t="s">
        <v>3463</v>
      </c>
      <c r="K197" s="440" t="s">
        <v>310</v>
      </c>
      <c r="L197" s="471">
        <v>1</v>
      </c>
      <c r="M197" s="447" t="s">
        <v>316</v>
      </c>
      <c r="N197" s="455">
        <v>6000</v>
      </c>
      <c r="O197" s="475">
        <f t="shared" si="0"/>
        <v>6000</v>
      </c>
      <c r="P197" s="476"/>
      <c r="Q197" s="477">
        <v>46023</v>
      </c>
      <c r="R197" s="476"/>
      <c r="S197" s="476"/>
    </row>
    <row r="198" spans="1:19" ht="15.75" customHeight="1" x14ac:dyDescent="0.25">
      <c r="A198" s="438">
        <v>195</v>
      </c>
      <c r="B198" s="470" t="s">
        <v>17</v>
      </c>
      <c r="C198" s="471" t="s">
        <v>18</v>
      </c>
      <c r="D198" s="472" t="s">
        <v>19</v>
      </c>
      <c r="E198" s="448" t="s">
        <v>4091</v>
      </c>
      <c r="F198" s="448" t="s">
        <v>4107</v>
      </c>
      <c r="G198" s="473" t="s">
        <v>3918</v>
      </c>
      <c r="H198" s="440" t="s">
        <v>309</v>
      </c>
      <c r="I198" s="474" t="s">
        <v>3459</v>
      </c>
      <c r="J198" s="474" t="s">
        <v>3463</v>
      </c>
      <c r="K198" s="440" t="s">
        <v>310</v>
      </c>
      <c r="L198" s="471">
        <v>1</v>
      </c>
      <c r="M198" s="447" t="s">
        <v>317</v>
      </c>
      <c r="N198" s="455">
        <v>6000</v>
      </c>
      <c r="O198" s="475">
        <f t="shared" si="0"/>
        <v>6000</v>
      </c>
      <c r="P198" s="476"/>
      <c r="Q198" s="477">
        <v>46023</v>
      </c>
      <c r="R198" s="476"/>
      <c r="S198" s="476"/>
    </row>
    <row r="199" spans="1:19" ht="15.75" customHeight="1" x14ac:dyDescent="0.25">
      <c r="A199" s="438">
        <v>196</v>
      </c>
      <c r="B199" s="470" t="s">
        <v>17</v>
      </c>
      <c r="C199" s="471" t="s">
        <v>18</v>
      </c>
      <c r="D199" s="472" t="s">
        <v>19</v>
      </c>
      <c r="E199" s="448" t="s">
        <v>4091</v>
      </c>
      <c r="F199" s="448" t="s">
        <v>4107</v>
      </c>
      <c r="G199" s="473" t="s">
        <v>3918</v>
      </c>
      <c r="H199" s="440" t="s">
        <v>309</v>
      </c>
      <c r="I199" s="474" t="s">
        <v>3459</v>
      </c>
      <c r="J199" s="474" t="s">
        <v>3463</v>
      </c>
      <c r="K199" s="440" t="s">
        <v>310</v>
      </c>
      <c r="L199" s="471">
        <v>1</v>
      </c>
      <c r="M199" s="447" t="s">
        <v>318</v>
      </c>
      <c r="N199" s="455">
        <v>6000</v>
      </c>
      <c r="O199" s="475">
        <f t="shared" si="0"/>
        <v>6000</v>
      </c>
      <c r="P199" s="476"/>
      <c r="Q199" s="477">
        <v>46023</v>
      </c>
      <c r="R199" s="476"/>
      <c r="S199" s="476"/>
    </row>
    <row r="200" spans="1:19" ht="15.75" customHeight="1" x14ac:dyDescent="0.25">
      <c r="A200" s="438">
        <v>197</v>
      </c>
      <c r="B200" s="470" t="s">
        <v>17</v>
      </c>
      <c r="C200" s="471" t="s">
        <v>18</v>
      </c>
      <c r="D200" s="472" t="s">
        <v>19</v>
      </c>
      <c r="E200" s="465" t="s">
        <v>4083</v>
      </c>
      <c r="F200" s="448" t="s">
        <v>2988</v>
      </c>
      <c r="G200" s="473" t="s">
        <v>3919</v>
      </c>
      <c r="H200" s="440" t="s">
        <v>319</v>
      </c>
      <c r="I200" s="474" t="s">
        <v>3459</v>
      </c>
      <c r="J200" s="474" t="s">
        <v>3464</v>
      </c>
      <c r="K200" s="440" t="s">
        <v>320</v>
      </c>
      <c r="L200" s="471">
        <v>1</v>
      </c>
      <c r="M200" s="447" t="s">
        <v>321</v>
      </c>
      <c r="N200" s="455">
        <v>115000</v>
      </c>
      <c r="O200" s="475">
        <f t="shared" si="0"/>
        <v>115000</v>
      </c>
      <c r="P200" s="476"/>
      <c r="Q200" s="477">
        <v>46023</v>
      </c>
      <c r="R200" s="476"/>
      <c r="S200" s="476"/>
    </row>
    <row r="201" spans="1:19" ht="15.75" customHeight="1" x14ac:dyDescent="0.25">
      <c r="A201" s="438">
        <v>198</v>
      </c>
      <c r="B201" s="470" t="s">
        <v>17</v>
      </c>
      <c r="C201" s="471" t="s">
        <v>18</v>
      </c>
      <c r="D201" s="472" t="s">
        <v>19</v>
      </c>
      <c r="E201" s="448" t="s">
        <v>4081</v>
      </c>
      <c r="F201" s="448" t="s">
        <v>2989</v>
      </c>
      <c r="G201" s="473" t="s">
        <v>2278</v>
      </c>
      <c r="H201" s="440" t="s">
        <v>322</v>
      </c>
      <c r="I201" s="474" t="s">
        <v>3460</v>
      </c>
      <c r="J201" s="474" t="s">
        <v>3464</v>
      </c>
      <c r="K201" s="440" t="s">
        <v>323</v>
      </c>
      <c r="L201" s="471">
        <v>1</v>
      </c>
      <c r="M201" s="447" t="s">
        <v>324</v>
      </c>
      <c r="N201" s="455">
        <v>9000</v>
      </c>
      <c r="O201" s="475">
        <f t="shared" si="0"/>
        <v>9000</v>
      </c>
      <c r="P201" s="476"/>
      <c r="Q201" s="477">
        <v>46023</v>
      </c>
      <c r="R201" s="476"/>
      <c r="S201" s="476"/>
    </row>
    <row r="202" spans="1:19" ht="15.75" customHeight="1" x14ac:dyDescent="0.25">
      <c r="A202" s="438">
        <v>199</v>
      </c>
      <c r="B202" s="470" t="s">
        <v>17</v>
      </c>
      <c r="C202" s="471" t="s">
        <v>18</v>
      </c>
      <c r="D202" s="472" t="s">
        <v>19</v>
      </c>
      <c r="E202" s="448" t="s">
        <v>4086</v>
      </c>
      <c r="F202" s="448" t="s">
        <v>4097</v>
      </c>
      <c r="G202" s="473" t="s">
        <v>3920</v>
      </c>
      <c r="H202" s="440" t="s">
        <v>327</v>
      </c>
      <c r="I202" s="474" t="s">
        <v>3459</v>
      </c>
      <c r="J202" s="474" t="s">
        <v>3464</v>
      </c>
      <c r="K202" s="440" t="s">
        <v>328</v>
      </c>
      <c r="L202" s="471">
        <v>1</v>
      </c>
      <c r="M202" s="447" t="s">
        <v>329</v>
      </c>
      <c r="N202" s="455">
        <v>37130</v>
      </c>
      <c r="O202" s="475">
        <f t="shared" si="0"/>
        <v>37130</v>
      </c>
      <c r="P202" s="476"/>
      <c r="Q202" s="477">
        <v>46023</v>
      </c>
      <c r="R202" s="476"/>
      <c r="S202" s="476"/>
    </row>
    <row r="203" spans="1:19" ht="15.75" customHeight="1" x14ac:dyDescent="0.25">
      <c r="A203" s="438">
        <v>200</v>
      </c>
      <c r="B203" s="470" t="s">
        <v>17</v>
      </c>
      <c r="C203" s="471" t="s">
        <v>18</v>
      </c>
      <c r="D203" s="472" t="s">
        <v>19</v>
      </c>
      <c r="E203" s="465" t="s">
        <v>4086</v>
      </c>
      <c r="F203" s="448" t="s">
        <v>4097</v>
      </c>
      <c r="G203" s="473" t="s">
        <v>3921</v>
      </c>
      <c r="H203" s="440" t="s">
        <v>330</v>
      </c>
      <c r="I203" s="474" t="s">
        <v>3459</v>
      </c>
      <c r="J203" s="474" t="s">
        <v>3463</v>
      </c>
      <c r="K203" s="440" t="s">
        <v>331</v>
      </c>
      <c r="L203" s="471">
        <v>1</v>
      </c>
      <c r="M203" s="447" t="s">
        <v>332</v>
      </c>
      <c r="N203" s="457">
        <v>1380</v>
      </c>
      <c r="O203" s="475">
        <f t="shared" si="0"/>
        <v>1380</v>
      </c>
      <c r="P203" s="476"/>
      <c r="Q203" s="477">
        <v>46023</v>
      </c>
      <c r="R203" s="476"/>
      <c r="S203" s="476"/>
    </row>
    <row r="204" spans="1:19" ht="15.75" customHeight="1" x14ac:dyDescent="0.25">
      <c r="A204" s="438">
        <v>201</v>
      </c>
      <c r="B204" s="470" t="s">
        <v>17</v>
      </c>
      <c r="C204" s="471" t="s">
        <v>18</v>
      </c>
      <c r="D204" s="472" t="s">
        <v>19</v>
      </c>
      <c r="E204" s="465" t="s">
        <v>4086</v>
      </c>
      <c r="F204" s="448" t="s">
        <v>4097</v>
      </c>
      <c r="G204" s="473" t="s">
        <v>3921</v>
      </c>
      <c r="H204" s="440" t="s">
        <v>330</v>
      </c>
      <c r="I204" s="474" t="s">
        <v>3459</v>
      </c>
      <c r="J204" s="474" t="s">
        <v>3463</v>
      </c>
      <c r="K204" s="440" t="s">
        <v>331</v>
      </c>
      <c r="L204" s="471">
        <v>1</v>
      </c>
      <c r="M204" s="447" t="s">
        <v>333</v>
      </c>
      <c r="N204" s="457">
        <v>1380</v>
      </c>
      <c r="O204" s="475">
        <f t="shared" si="0"/>
        <v>1380</v>
      </c>
      <c r="P204" s="476"/>
      <c r="Q204" s="477">
        <v>46023</v>
      </c>
      <c r="R204" s="476"/>
      <c r="S204" s="476"/>
    </row>
    <row r="205" spans="1:19" ht="15.75" customHeight="1" x14ac:dyDescent="0.25">
      <c r="A205" s="438">
        <v>202</v>
      </c>
      <c r="B205" s="470" t="s">
        <v>17</v>
      </c>
      <c r="C205" s="471" t="s">
        <v>18</v>
      </c>
      <c r="D205" s="472" t="s">
        <v>19</v>
      </c>
      <c r="E205" s="448" t="s">
        <v>4086</v>
      </c>
      <c r="F205" s="448" t="s">
        <v>4097</v>
      </c>
      <c r="G205" s="473" t="s">
        <v>3921</v>
      </c>
      <c r="H205" s="440" t="s">
        <v>330</v>
      </c>
      <c r="I205" s="474" t="s">
        <v>3459</v>
      </c>
      <c r="J205" s="474" t="s">
        <v>3463</v>
      </c>
      <c r="K205" s="440" t="s">
        <v>331</v>
      </c>
      <c r="L205" s="471">
        <v>1</v>
      </c>
      <c r="M205" s="447" t="s">
        <v>334</v>
      </c>
      <c r="N205" s="457">
        <v>1380</v>
      </c>
      <c r="O205" s="475">
        <f t="shared" si="0"/>
        <v>1380</v>
      </c>
      <c r="P205" s="476"/>
      <c r="Q205" s="477">
        <v>46023</v>
      </c>
      <c r="R205" s="476"/>
      <c r="S205" s="476"/>
    </row>
    <row r="206" spans="1:19" ht="15.75" customHeight="1" x14ac:dyDescent="0.25">
      <c r="A206" s="438">
        <v>203</v>
      </c>
      <c r="B206" s="470" t="s">
        <v>17</v>
      </c>
      <c r="C206" s="471" t="s">
        <v>18</v>
      </c>
      <c r="D206" s="472" t="s">
        <v>19</v>
      </c>
      <c r="E206" s="465" t="s">
        <v>4084</v>
      </c>
      <c r="F206" s="448" t="s">
        <v>4096</v>
      </c>
      <c r="G206" s="473" t="s">
        <v>3921</v>
      </c>
      <c r="H206" s="440" t="s">
        <v>330</v>
      </c>
      <c r="I206" s="474" t="s">
        <v>3459</v>
      </c>
      <c r="J206" s="474" t="s">
        <v>3463</v>
      </c>
      <c r="K206" s="440" t="s">
        <v>331</v>
      </c>
      <c r="L206" s="471">
        <v>1</v>
      </c>
      <c r="M206" s="447" t="s">
        <v>3487</v>
      </c>
      <c r="N206" s="457">
        <v>1380</v>
      </c>
      <c r="O206" s="475">
        <f t="shared" si="0"/>
        <v>1380</v>
      </c>
      <c r="P206" s="476"/>
      <c r="Q206" s="477">
        <v>46023</v>
      </c>
      <c r="R206" s="476"/>
      <c r="S206" s="476"/>
    </row>
    <row r="207" spans="1:19" ht="15.75" customHeight="1" x14ac:dyDescent="0.25">
      <c r="A207" s="438">
        <v>204</v>
      </c>
      <c r="B207" s="470" t="s">
        <v>17</v>
      </c>
      <c r="C207" s="471" t="s">
        <v>18</v>
      </c>
      <c r="D207" s="472" t="s">
        <v>19</v>
      </c>
      <c r="E207" s="448" t="s">
        <v>4086</v>
      </c>
      <c r="F207" s="448" t="s">
        <v>4097</v>
      </c>
      <c r="G207" s="473" t="s">
        <v>3922</v>
      </c>
      <c r="H207" s="440" t="s">
        <v>335</v>
      </c>
      <c r="I207" s="474" t="s">
        <v>3459</v>
      </c>
      <c r="J207" s="474" t="s">
        <v>3464</v>
      </c>
      <c r="K207" s="440" t="s">
        <v>3468</v>
      </c>
      <c r="L207" s="471">
        <v>1</v>
      </c>
      <c r="M207" s="447" t="s">
        <v>336</v>
      </c>
      <c r="N207" s="457">
        <v>51470</v>
      </c>
      <c r="O207" s="475">
        <f t="shared" si="0"/>
        <v>51470</v>
      </c>
      <c r="P207" s="476"/>
      <c r="Q207" s="477">
        <v>46023</v>
      </c>
      <c r="R207" s="476"/>
      <c r="S207" s="476"/>
    </row>
    <row r="208" spans="1:19" ht="15.75" customHeight="1" x14ac:dyDescent="0.25">
      <c r="A208" s="438">
        <v>205</v>
      </c>
      <c r="B208" s="470" t="s">
        <v>17</v>
      </c>
      <c r="C208" s="471" t="s">
        <v>18</v>
      </c>
      <c r="D208" s="472" t="s">
        <v>19</v>
      </c>
      <c r="E208" s="448" t="s">
        <v>4086</v>
      </c>
      <c r="F208" s="448" t="s">
        <v>4097</v>
      </c>
      <c r="G208" s="473" t="s">
        <v>3922</v>
      </c>
      <c r="H208" s="440" t="s">
        <v>335</v>
      </c>
      <c r="I208" s="474" t="s">
        <v>3459</v>
      </c>
      <c r="J208" s="474" t="s">
        <v>3464</v>
      </c>
      <c r="K208" s="440" t="s">
        <v>3468</v>
      </c>
      <c r="L208" s="471">
        <v>1</v>
      </c>
      <c r="M208" s="447" t="s">
        <v>337</v>
      </c>
      <c r="N208" s="457">
        <v>51470</v>
      </c>
      <c r="O208" s="475">
        <f t="shared" si="0"/>
        <v>51470</v>
      </c>
      <c r="P208" s="476"/>
      <c r="Q208" s="477">
        <v>46023</v>
      </c>
      <c r="R208" s="476"/>
      <c r="S208" s="476"/>
    </row>
    <row r="209" spans="1:19" ht="15.75" customHeight="1" x14ac:dyDescent="0.25">
      <c r="A209" s="438">
        <v>206</v>
      </c>
      <c r="B209" s="470" t="s">
        <v>17</v>
      </c>
      <c r="C209" s="471" t="s">
        <v>18</v>
      </c>
      <c r="D209" s="472" t="s">
        <v>19</v>
      </c>
      <c r="E209" s="448" t="s">
        <v>4086</v>
      </c>
      <c r="F209" s="448" t="s">
        <v>4097</v>
      </c>
      <c r="G209" s="473" t="s">
        <v>3922</v>
      </c>
      <c r="H209" s="439" t="s">
        <v>335</v>
      </c>
      <c r="I209" s="474" t="s">
        <v>3459</v>
      </c>
      <c r="J209" s="474" t="s">
        <v>3464</v>
      </c>
      <c r="K209" s="443" t="s">
        <v>3468</v>
      </c>
      <c r="L209" s="471">
        <v>1</v>
      </c>
      <c r="M209" s="447" t="s">
        <v>338</v>
      </c>
      <c r="N209" s="456">
        <v>51470</v>
      </c>
      <c r="O209" s="475">
        <f t="shared" si="0"/>
        <v>51470</v>
      </c>
      <c r="P209" s="476"/>
      <c r="Q209" s="477">
        <v>46023</v>
      </c>
      <c r="R209" s="476"/>
      <c r="S209" s="476"/>
    </row>
    <row r="210" spans="1:19" ht="15.75" customHeight="1" x14ac:dyDescent="0.25">
      <c r="A210" s="438">
        <v>207</v>
      </c>
      <c r="B210" s="470" t="s">
        <v>17</v>
      </c>
      <c r="C210" s="471" t="s">
        <v>18</v>
      </c>
      <c r="D210" s="472" t="s">
        <v>19</v>
      </c>
      <c r="E210" s="448" t="s">
        <v>4084</v>
      </c>
      <c r="F210" s="448" t="s">
        <v>4096</v>
      </c>
      <c r="G210" s="473" t="s">
        <v>3923</v>
      </c>
      <c r="H210" s="439" t="s">
        <v>339</v>
      </c>
      <c r="I210" s="474" t="s">
        <v>3461</v>
      </c>
      <c r="J210" s="474" t="s">
        <v>3464</v>
      </c>
      <c r="K210" s="443" t="s">
        <v>340</v>
      </c>
      <c r="L210" s="471">
        <v>1</v>
      </c>
      <c r="M210" s="447" t="s">
        <v>341</v>
      </c>
      <c r="N210" s="456">
        <v>43690</v>
      </c>
      <c r="O210" s="475">
        <f t="shared" si="0"/>
        <v>43690</v>
      </c>
      <c r="P210" s="476"/>
      <c r="Q210" s="477">
        <v>46023</v>
      </c>
      <c r="R210" s="476"/>
      <c r="S210" s="476"/>
    </row>
    <row r="211" spans="1:19" ht="15.75" customHeight="1" x14ac:dyDescent="0.25">
      <c r="A211" s="438">
        <v>208</v>
      </c>
      <c r="B211" s="470" t="s">
        <v>17</v>
      </c>
      <c r="C211" s="471" t="s">
        <v>18</v>
      </c>
      <c r="D211" s="472" t="s">
        <v>19</v>
      </c>
      <c r="E211" s="448" t="s">
        <v>4084</v>
      </c>
      <c r="F211" s="448" t="s">
        <v>4096</v>
      </c>
      <c r="G211" s="473" t="s">
        <v>3923</v>
      </c>
      <c r="H211" s="439" t="s">
        <v>339</v>
      </c>
      <c r="I211" s="474" t="s">
        <v>3461</v>
      </c>
      <c r="J211" s="474" t="s">
        <v>3464</v>
      </c>
      <c r="K211" s="443" t="s">
        <v>340</v>
      </c>
      <c r="L211" s="471">
        <v>1</v>
      </c>
      <c r="M211" s="447" t="s">
        <v>342</v>
      </c>
      <c r="N211" s="456">
        <v>43690</v>
      </c>
      <c r="O211" s="475">
        <f t="shared" si="0"/>
        <v>43690</v>
      </c>
      <c r="P211" s="476"/>
      <c r="Q211" s="477">
        <v>46023</v>
      </c>
      <c r="R211" s="476"/>
      <c r="S211" s="476"/>
    </row>
    <row r="212" spans="1:19" ht="15.75" customHeight="1" x14ac:dyDescent="0.25">
      <c r="A212" s="438">
        <v>209</v>
      </c>
      <c r="B212" s="470" t="s">
        <v>17</v>
      </c>
      <c r="C212" s="471" t="s">
        <v>18</v>
      </c>
      <c r="D212" s="472" t="s">
        <v>19</v>
      </c>
      <c r="E212" s="448" t="s">
        <v>4084</v>
      </c>
      <c r="F212" s="448" t="s">
        <v>4096</v>
      </c>
      <c r="G212" s="473" t="s">
        <v>3924</v>
      </c>
      <c r="H212" s="439" t="s">
        <v>343</v>
      </c>
      <c r="I212" s="474" t="s">
        <v>3461</v>
      </c>
      <c r="J212" s="474" t="s">
        <v>3463</v>
      </c>
      <c r="K212" s="443" t="s">
        <v>3469</v>
      </c>
      <c r="L212" s="471">
        <v>1</v>
      </c>
      <c r="M212" s="447" t="s">
        <v>344</v>
      </c>
      <c r="N212" s="456">
        <v>50830</v>
      </c>
      <c r="O212" s="475">
        <f t="shared" si="0"/>
        <v>50830</v>
      </c>
      <c r="P212" s="476"/>
      <c r="Q212" s="477">
        <v>46023</v>
      </c>
      <c r="R212" s="476"/>
      <c r="S212" s="476"/>
    </row>
    <row r="213" spans="1:19" ht="15.75" customHeight="1" x14ac:dyDescent="0.25">
      <c r="A213" s="438">
        <v>210</v>
      </c>
      <c r="B213" s="470" t="s">
        <v>17</v>
      </c>
      <c r="C213" s="471" t="s">
        <v>18</v>
      </c>
      <c r="D213" s="472" t="s">
        <v>19</v>
      </c>
      <c r="E213" s="448" t="s">
        <v>4084</v>
      </c>
      <c r="F213" s="448" t="s">
        <v>4096</v>
      </c>
      <c r="G213" s="473" t="s">
        <v>3925</v>
      </c>
      <c r="H213" s="439" t="s">
        <v>345</v>
      </c>
      <c r="I213" s="474" t="s">
        <v>3459</v>
      </c>
      <c r="J213" s="474" t="s">
        <v>3464</v>
      </c>
      <c r="K213" s="443" t="s">
        <v>346</v>
      </c>
      <c r="L213" s="471">
        <v>1</v>
      </c>
      <c r="M213" s="447" t="s">
        <v>347</v>
      </c>
      <c r="N213" s="456">
        <v>45000</v>
      </c>
      <c r="O213" s="475">
        <f t="shared" si="0"/>
        <v>45000</v>
      </c>
      <c r="P213" s="476"/>
      <c r="Q213" s="477">
        <v>46023</v>
      </c>
      <c r="R213" s="476"/>
      <c r="S213" s="476"/>
    </row>
    <row r="214" spans="1:19" ht="15.75" customHeight="1" x14ac:dyDescent="0.25">
      <c r="A214" s="438">
        <v>211</v>
      </c>
      <c r="B214" s="470" t="s">
        <v>17</v>
      </c>
      <c r="C214" s="471" t="s">
        <v>18</v>
      </c>
      <c r="D214" s="472" t="s">
        <v>19</v>
      </c>
      <c r="E214" s="448" t="s">
        <v>4086</v>
      </c>
      <c r="F214" s="448" t="s">
        <v>4103</v>
      </c>
      <c r="G214" s="473" t="s">
        <v>3065</v>
      </c>
      <c r="H214" s="439" t="s">
        <v>348</v>
      </c>
      <c r="I214" s="474" t="s">
        <v>3459</v>
      </c>
      <c r="J214" s="474" t="s">
        <v>3464</v>
      </c>
      <c r="K214" s="443" t="s">
        <v>349</v>
      </c>
      <c r="L214" s="471">
        <v>1</v>
      </c>
      <c r="M214" s="447" t="s">
        <v>350</v>
      </c>
      <c r="N214" s="456">
        <v>1855</v>
      </c>
      <c r="O214" s="475">
        <f t="shared" si="0"/>
        <v>1855</v>
      </c>
      <c r="P214" s="476"/>
      <c r="Q214" s="477">
        <v>46023</v>
      </c>
      <c r="R214" s="476"/>
      <c r="S214" s="476"/>
    </row>
    <row r="215" spans="1:19" ht="15.75" customHeight="1" x14ac:dyDescent="0.25">
      <c r="A215" s="438">
        <v>212</v>
      </c>
      <c r="B215" s="470" t="s">
        <v>17</v>
      </c>
      <c r="C215" s="471" t="s">
        <v>18</v>
      </c>
      <c r="D215" s="472" t="s">
        <v>19</v>
      </c>
      <c r="E215" s="448" t="s">
        <v>3047</v>
      </c>
      <c r="F215" s="448" t="s">
        <v>3047</v>
      </c>
      <c r="G215" s="473" t="s">
        <v>3065</v>
      </c>
      <c r="H215" s="439" t="s">
        <v>348</v>
      </c>
      <c r="I215" s="474" t="s">
        <v>3459</v>
      </c>
      <c r="J215" s="474" t="s">
        <v>3464</v>
      </c>
      <c r="K215" s="443" t="s">
        <v>349</v>
      </c>
      <c r="L215" s="471">
        <v>1</v>
      </c>
      <c r="M215" s="447" t="s">
        <v>351</v>
      </c>
      <c r="N215" s="456">
        <v>1855</v>
      </c>
      <c r="O215" s="475">
        <f t="shared" si="0"/>
        <v>1855</v>
      </c>
      <c r="P215" s="476"/>
      <c r="Q215" s="477">
        <v>46023</v>
      </c>
      <c r="R215" s="476"/>
      <c r="S215" s="476"/>
    </row>
    <row r="216" spans="1:19" ht="15.75" customHeight="1" x14ac:dyDescent="0.25">
      <c r="A216" s="438">
        <v>213</v>
      </c>
      <c r="B216" s="470" t="s">
        <v>17</v>
      </c>
      <c r="C216" s="471" t="s">
        <v>18</v>
      </c>
      <c r="D216" s="472" t="s">
        <v>19</v>
      </c>
      <c r="E216" s="448" t="s">
        <v>3047</v>
      </c>
      <c r="F216" s="448" t="s">
        <v>3047</v>
      </c>
      <c r="G216" s="473" t="s">
        <v>3065</v>
      </c>
      <c r="H216" s="439" t="s">
        <v>348</v>
      </c>
      <c r="I216" s="474" t="s">
        <v>3459</v>
      </c>
      <c r="J216" s="474" t="s">
        <v>3464</v>
      </c>
      <c r="K216" s="443" t="s">
        <v>349</v>
      </c>
      <c r="L216" s="471">
        <v>1</v>
      </c>
      <c r="M216" s="447" t="s">
        <v>352</v>
      </c>
      <c r="N216" s="456">
        <v>1855</v>
      </c>
      <c r="O216" s="475">
        <f t="shared" si="0"/>
        <v>1855</v>
      </c>
      <c r="P216" s="476"/>
      <c r="Q216" s="477">
        <v>46023</v>
      </c>
      <c r="R216" s="476"/>
      <c r="S216" s="476"/>
    </row>
    <row r="217" spans="1:19" ht="15.75" customHeight="1" x14ac:dyDescent="0.25">
      <c r="A217" s="438">
        <v>214</v>
      </c>
      <c r="B217" s="470" t="s">
        <v>17</v>
      </c>
      <c r="C217" s="471" t="s">
        <v>18</v>
      </c>
      <c r="D217" s="472" t="s">
        <v>19</v>
      </c>
      <c r="E217" s="448" t="s">
        <v>3047</v>
      </c>
      <c r="F217" s="448" t="s">
        <v>3047</v>
      </c>
      <c r="G217" s="473" t="s">
        <v>3065</v>
      </c>
      <c r="H217" s="439" t="s">
        <v>348</v>
      </c>
      <c r="I217" s="474" t="s">
        <v>3459</v>
      </c>
      <c r="J217" s="474" t="s">
        <v>3464</v>
      </c>
      <c r="K217" s="443" t="s">
        <v>349</v>
      </c>
      <c r="L217" s="471">
        <v>1</v>
      </c>
      <c r="M217" s="447" t="s">
        <v>353</v>
      </c>
      <c r="N217" s="456">
        <v>1855</v>
      </c>
      <c r="O217" s="475">
        <f t="shared" si="0"/>
        <v>1855</v>
      </c>
      <c r="P217" s="476"/>
      <c r="Q217" s="477">
        <v>46023</v>
      </c>
      <c r="R217" s="476"/>
      <c r="S217" s="476"/>
    </row>
    <row r="218" spans="1:19" ht="15.75" customHeight="1" x14ac:dyDescent="0.25">
      <c r="A218" s="438">
        <v>215</v>
      </c>
      <c r="B218" s="470" t="s">
        <v>17</v>
      </c>
      <c r="C218" s="471" t="s">
        <v>18</v>
      </c>
      <c r="D218" s="472" t="s">
        <v>19</v>
      </c>
      <c r="E218" s="448" t="s">
        <v>3047</v>
      </c>
      <c r="F218" s="448" t="s">
        <v>3047</v>
      </c>
      <c r="G218" s="473" t="s">
        <v>3065</v>
      </c>
      <c r="H218" s="439" t="s">
        <v>348</v>
      </c>
      <c r="I218" s="474" t="s">
        <v>3459</v>
      </c>
      <c r="J218" s="474" t="s">
        <v>3464</v>
      </c>
      <c r="K218" s="443" t="s">
        <v>349</v>
      </c>
      <c r="L218" s="471">
        <v>1</v>
      </c>
      <c r="M218" s="447" t="s">
        <v>354</v>
      </c>
      <c r="N218" s="456">
        <v>1855</v>
      </c>
      <c r="O218" s="475">
        <f t="shared" si="0"/>
        <v>1855</v>
      </c>
      <c r="P218" s="476"/>
      <c r="Q218" s="477">
        <v>46023</v>
      </c>
      <c r="R218" s="476"/>
      <c r="S218" s="476"/>
    </row>
    <row r="219" spans="1:19" ht="15.75" customHeight="1" x14ac:dyDescent="0.25">
      <c r="A219" s="438">
        <v>216</v>
      </c>
      <c r="B219" s="470" t="s">
        <v>17</v>
      </c>
      <c r="C219" s="471" t="s">
        <v>18</v>
      </c>
      <c r="D219" s="472" t="s">
        <v>19</v>
      </c>
      <c r="E219" s="448" t="s">
        <v>3047</v>
      </c>
      <c r="F219" s="448" t="s">
        <v>3047</v>
      </c>
      <c r="G219" s="473" t="s">
        <v>3065</v>
      </c>
      <c r="H219" s="439" t="s">
        <v>348</v>
      </c>
      <c r="I219" s="474" t="s">
        <v>3459</v>
      </c>
      <c r="J219" s="474" t="s">
        <v>3464</v>
      </c>
      <c r="K219" s="443" t="s">
        <v>349</v>
      </c>
      <c r="L219" s="471">
        <v>1</v>
      </c>
      <c r="M219" s="447" t="s">
        <v>355</v>
      </c>
      <c r="N219" s="456">
        <v>1855</v>
      </c>
      <c r="O219" s="475">
        <f t="shared" si="0"/>
        <v>1855</v>
      </c>
      <c r="P219" s="476"/>
      <c r="Q219" s="477">
        <v>46023</v>
      </c>
      <c r="R219" s="476"/>
      <c r="S219" s="476"/>
    </row>
    <row r="220" spans="1:19" ht="15.75" customHeight="1" x14ac:dyDescent="0.25">
      <c r="A220" s="438">
        <v>217</v>
      </c>
      <c r="B220" s="470" t="s">
        <v>17</v>
      </c>
      <c r="C220" s="471" t="s">
        <v>18</v>
      </c>
      <c r="D220" s="472" t="s">
        <v>19</v>
      </c>
      <c r="E220" s="448" t="s">
        <v>3047</v>
      </c>
      <c r="F220" s="448" t="s">
        <v>3047</v>
      </c>
      <c r="G220" s="473" t="s">
        <v>3065</v>
      </c>
      <c r="H220" s="439" t="s">
        <v>348</v>
      </c>
      <c r="I220" s="474" t="s">
        <v>3459</v>
      </c>
      <c r="J220" s="474" t="s">
        <v>3464</v>
      </c>
      <c r="K220" s="443" t="s">
        <v>349</v>
      </c>
      <c r="L220" s="471">
        <v>1</v>
      </c>
      <c r="M220" s="447" t="s">
        <v>356</v>
      </c>
      <c r="N220" s="456">
        <v>1855</v>
      </c>
      <c r="O220" s="475">
        <f t="shared" si="0"/>
        <v>1855</v>
      </c>
      <c r="P220" s="476"/>
      <c r="Q220" s="477">
        <v>46023</v>
      </c>
      <c r="R220" s="476"/>
      <c r="S220" s="476"/>
    </row>
    <row r="221" spans="1:19" ht="15.75" customHeight="1" x14ac:dyDescent="0.25">
      <c r="A221" s="438">
        <v>218</v>
      </c>
      <c r="B221" s="470" t="s">
        <v>17</v>
      </c>
      <c r="C221" s="471" t="s">
        <v>18</v>
      </c>
      <c r="D221" s="472" t="s">
        <v>19</v>
      </c>
      <c r="E221" s="448" t="s">
        <v>4084</v>
      </c>
      <c r="F221" s="448" t="s">
        <v>4096</v>
      </c>
      <c r="G221" s="473" t="s">
        <v>3065</v>
      </c>
      <c r="H221" s="439" t="s">
        <v>348</v>
      </c>
      <c r="I221" s="474" t="s">
        <v>3459</v>
      </c>
      <c r="J221" s="474" t="s">
        <v>3464</v>
      </c>
      <c r="K221" s="443" t="s">
        <v>349</v>
      </c>
      <c r="L221" s="471">
        <v>1</v>
      </c>
      <c r="M221" s="447" t="s">
        <v>3488</v>
      </c>
      <c r="N221" s="456">
        <v>1855</v>
      </c>
      <c r="O221" s="475">
        <f t="shared" si="0"/>
        <v>1855</v>
      </c>
      <c r="P221" s="476"/>
      <c r="Q221" s="477">
        <v>46023</v>
      </c>
      <c r="R221" s="476"/>
      <c r="S221" s="476"/>
    </row>
    <row r="222" spans="1:19" ht="15.75" customHeight="1" x14ac:dyDescent="0.25">
      <c r="A222" s="438">
        <v>219</v>
      </c>
      <c r="B222" s="470" t="s">
        <v>17</v>
      </c>
      <c r="C222" s="471" t="s">
        <v>18</v>
      </c>
      <c r="D222" s="472" t="s">
        <v>19</v>
      </c>
      <c r="E222" s="448" t="s">
        <v>4088</v>
      </c>
      <c r="F222" s="448" t="s">
        <v>4105</v>
      </c>
      <c r="G222" s="473" t="s">
        <v>3065</v>
      </c>
      <c r="H222" s="439" t="s">
        <v>348</v>
      </c>
      <c r="I222" s="474" t="s">
        <v>3459</v>
      </c>
      <c r="J222" s="474" t="s">
        <v>3464</v>
      </c>
      <c r="K222" s="443" t="s">
        <v>349</v>
      </c>
      <c r="L222" s="471">
        <v>1</v>
      </c>
      <c r="M222" s="447" t="s">
        <v>357</v>
      </c>
      <c r="N222" s="456">
        <v>1855</v>
      </c>
      <c r="O222" s="475">
        <f t="shared" si="0"/>
        <v>1855</v>
      </c>
      <c r="P222" s="476"/>
      <c r="Q222" s="477">
        <v>46023</v>
      </c>
      <c r="R222" s="476"/>
      <c r="S222" s="476"/>
    </row>
    <row r="223" spans="1:19" ht="15.75" customHeight="1" x14ac:dyDescent="0.25">
      <c r="A223" s="438">
        <v>220</v>
      </c>
      <c r="B223" s="470" t="s">
        <v>17</v>
      </c>
      <c r="C223" s="471" t="s">
        <v>18</v>
      </c>
      <c r="D223" s="472" t="s">
        <v>19</v>
      </c>
      <c r="E223" s="448" t="s">
        <v>4089</v>
      </c>
      <c r="F223" s="448" t="s">
        <v>4108</v>
      </c>
      <c r="G223" s="473" t="s">
        <v>3065</v>
      </c>
      <c r="H223" s="439" t="s">
        <v>348</v>
      </c>
      <c r="I223" s="474" t="s">
        <v>3459</v>
      </c>
      <c r="J223" s="474" t="s">
        <v>3464</v>
      </c>
      <c r="K223" s="443" t="s">
        <v>349</v>
      </c>
      <c r="L223" s="471">
        <v>1</v>
      </c>
      <c r="M223" s="447" t="s">
        <v>358</v>
      </c>
      <c r="N223" s="456">
        <v>1855</v>
      </c>
      <c r="O223" s="475">
        <f t="shared" si="0"/>
        <v>1855</v>
      </c>
      <c r="P223" s="476"/>
      <c r="Q223" s="477">
        <v>46023</v>
      </c>
      <c r="R223" s="476"/>
      <c r="S223" s="476"/>
    </row>
    <row r="224" spans="1:19" ht="15.75" customHeight="1" x14ac:dyDescent="0.25">
      <c r="A224" s="438">
        <v>221</v>
      </c>
      <c r="B224" s="470" t="s">
        <v>17</v>
      </c>
      <c r="C224" s="471" t="s">
        <v>18</v>
      </c>
      <c r="D224" s="472" t="s">
        <v>19</v>
      </c>
      <c r="E224" s="448" t="s">
        <v>4083</v>
      </c>
      <c r="F224" s="448" t="s">
        <v>4109</v>
      </c>
      <c r="G224" s="473" t="s">
        <v>3065</v>
      </c>
      <c r="H224" s="439" t="s">
        <v>348</v>
      </c>
      <c r="I224" s="474" t="s">
        <v>3459</v>
      </c>
      <c r="J224" s="474" t="s">
        <v>3464</v>
      </c>
      <c r="K224" s="443" t="s">
        <v>349</v>
      </c>
      <c r="L224" s="471">
        <v>1</v>
      </c>
      <c r="M224" s="447" t="s">
        <v>359</v>
      </c>
      <c r="N224" s="456">
        <v>1855</v>
      </c>
      <c r="O224" s="475">
        <f t="shared" si="0"/>
        <v>1855</v>
      </c>
      <c r="P224" s="476"/>
      <c r="Q224" s="477">
        <v>46023</v>
      </c>
      <c r="R224" s="476"/>
      <c r="S224" s="476"/>
    </row>
    <row r="225" spans="1:19" ht="15.75" customHeight="1" x14ac:dyDescent="0.25">
      <c r="A225" s="438">
        <v>222</v>
      </c>
      <c r="B225" s="470" t="s">
        <v>17</v>
      </c>
      <c r="C225" s="471" t="s">
        <v>18</v>
      </c>
      <c r="D225" s="472" t="s">
        <v>19</v>
      </c>
      <c r="E225" s="448" t="s">
        <v>4091</v>
      </c>
      <c r="F225" s="448" t="s">
        <v>4110</v>
      </c>
      <c r="G225" s="473" t="s">
        <v>3065</v>
      </c>
      <c r="H225" s="439" t="s">
        <v>348</v>
      </c>
      <c r="I225" s="474" t="s">
        <v>3459</v>
      </c>
      <c r="J225" s="474" t="s">
        <v>3464</v>
      </c>
      <c r="K225" s="443" t="s">
        <v>349</v>
      </c>
      <c r="L225" s="471">
        <v>1</v>
      </c>
      <c r="M225" s="447" t="s">
        <v>360</v>
      </c>
      <c r="N225" s="456">
        <v>1855</v>
      </c>
      <c r="O225" s="475">
        <f t="shared" si="0"/>
        <v>1855</v>
      </c>
      <c r="P225" s="476"/>
      <c r="Q225" s="477">
        <v>46023</v>
      </c>
      <c r="R225" s="476"/>
      <c r="S225" s="476"/>
    </row>
    <row r="226" spans="1:19" ht="15.75" customHeight="1" x14ac:dyDescent="0.25">
      <c r="A226" s="438">
        <v>223</v>
      </c>
      <c r="B226" s="470" t="s">
        <v>17</v>
      </c>
      <c r="C226" s="471" t="s">
        <v>18</v>
      </c>
      <c r="D226" s="472" t="s">
        <v>19</v>
      </c>
      <c r="E226" s="448" t="s">
        <v>4087</v>
      </c>
      <c r="F226" s="448" t="s">
        <v>4098</v>
      </c>
      <c r="G226" s="473" t="s">
        <v>3065</v>
      </c>
      <c r="H226" s="439" t="s">
        <v>348</v>
      </c>
      <c r="I226" s="474" t="s">
        <v>3459</v>
      </c>
      <c r="J226" s="474" t="s">
        <v>3464</v>
      </c>
      <c r="K226" s="443" t="s">
        <v>349</v>
      </c>
      <c r="L226" s="471">
        <v>1</v>
      </c>
      <c r="M226" s="447" t="s">
        <v>361</v>
      </c>
      <c r="N226" s="456">
        <v>1855</v>
      </c>
      <c r="O226" s="475">
        <f t="shared" si="0"/>
        <v>1855</v>
      </c>
      <c r="P226" s="476"/>
      <c r="Q226" s="477">
        <v>46023</v>
      </c>
      <c r="R226" s="476"/>
      <c r="S226" s="476"/>
    </row>
    <row r="227" spans="1:19" ht="15.75" customHeight="1" x14ac:dyDescent="0.25">
      <c r="A227" s="438">
        <v>224</v>
      </c>
      <c r="B227" s="470" t="s">
        <v>17</v>
      </c>
      <c r="C227" s="471" t="s">
        <v>18</v>
      </c>
      <c r="D227" s="472" t="s">
        <v>19</v>
      </c>
      <c r="E227" s="448" t="s">
        <v>4083</v>
      </c>
      <c r="F227" s="448" t="s">
        <v>4100</v>
      </c>
      <c r="G227" s="452" t="s">
        <v>3065</v>
      </c>
      <c r="H227" s="439" t="s">
        <v>348</v>
      </c>
      <c r="I227" s="438" t="s">
        <v>3459</v>
      </c>
      <c r="J227" s="438" t="s">
        <v>3464</v>
      </c>
      <c r="K227" s="443" t="s">
        <v>349</v>
      </c>
      <c r="L227" s="471">
        <v>1</v>
      </c>
      <c r="M227" s="447" t="s">
        <v>362</v>
      </c>
      <c r="N227" s="456">
        <v>1855</v>
      </c>
      <c r="O227" s="475">
        <f t="shared" si="0"/>
        <v>1855</v>
      </c>
      <c r="P227" s="476"/>
      <c r="Q227" s="477">
        <v>46023</v>
      </c>
      <c r="R227" s="476"/>
      <c r="S227" s="476"/>
    </row>
    <row r="228" spans="1:19" ht="15.75" customHeight="1" x14ac:dyDescent="0.25">
      <c r="A228" s="438">
        <v>225</v>
      </c>
      <c r="B228" s="470" t="s">
        <v>17</v>
      </c>
      <c r="C228" s="471" t="s">
        <v>18</v>
      </c>
      <c r="D228" s="472" t="s">
        <v>19</v>
      </c>
      <c r="E228" s="448" t="s">
        <v>4086</v>
      </c>
      <c r="F228" s="448" t="s">
        <v>4111</v>
      </c>
      <c r="G228" s="452" t="s">
        <v>3065</v>
      </c>
      <c r="H228" s="439" t="s">
        <v>348</v>
      </c>
      <c r="I228" s="438" t="s">
        <v>3459</v>
      </c>
      <c r="J228" s="438" t="s">
        <v>3464</v>
      </c>
      <c r="K228" s="443" t="s">
        <v>349</v>
      </c>
      <c r="L228" s="471">
        <v>1</v>
      </c>
      <c r="M228" s="447" t="s">
        <v>363</v>
      </c>
      <c r="N228" s="456">
        <v>1855</v>
      </c>
      <c r="O228" s="475">
        <f t="shared" si="0"/>
        <v>1855</v>
      </c>
      <c r="P228" s="476"/>
      <c r="Q228" s="477">
        <v>46023</v>
      </c>
      <c r="R228" s="476"/>
      <c r="S228" s="476"/>
    </row>
    <row r="229" spans="1:19" ht="15.75" customHeight="1" x14ac:dyDescent="0.25">
      <c r="A229" s="438">
        <v>226</v>
      </c>
      <c r="B229" s="470" t="s">
        <v>17</v>
      </c>
      <c r="C229" s="471" t="s">
        <v>18</v>
      </c>
      <c r="D229" s="472" t="s">
        <v>19</v>
      </c>
      <c r="E229" s="448" t="s">
        <v>4086</v>
      </c>
      <c r="F229" s="448" t="s">
        <v>4112</v>
      </c>
      <c r="G229" s="452" t="s">
        <v>3065</v>
      </c>
      <c r="H229" s="439" t="s">
        <v>348</v>
      </c>
      <c r="I229" s="438" t="s">
        <v>3459</v>
      </c>
      <c r="J229" s="438" t="s">
        <v>3464</v>
      </c>
      <c r="K229" s="439" t="s">
        <v>349</v>
      </c>
      <c r="L229" s="471">
        <v>1</v>
      </c>
      <c r="M229" s="447" t="s">
        <v>364</v>
      </c>
      <c r="N229" s="456">
        <v>1855</v>
      </c>
      <c r="O229" s="475">
        <f t="shared" si="0"/>
        <v>1855</v>
      </c>
      <c r="P229" s="476"/>
      <c r="Q229" s="477">
        <v>46023</v>
      </c>
      <c r="R229" s="476"/>
      <c r="S229" s="476"/>
    </row>
    <row r="230" spans="1:19" ht="15.75" customHeight="1" x14ac:dyDescent="0.25">
      <c r="A230" s="438">
        <v>227</v>
      </c>
      <c r="B230" s="470" t="s">
        <v>17</v>
      </c>
      <c r="C230" s="471" t="s">
        <v>18</v>
      </c>
      <c r="D230" s="472" t="s">
        <v>19</v>
      </c>
      <c r="E230" s="448" t="s">
        <v>4091</v>
      </c>
      <c r="F230" s="448"/>
      <c r="G230" s="473" t="s">
        <v>3065</v>
      </c>
      <c r="H230" s="439" t="s">
        <v>348</v>
      </c>
      <c r="I230" s="474" t="s">
        <v>3459</v>
      </c>
      <c r="J230" s="474" t="s">
        <v>3464</v>
      </c>
      <c r="K230" s="443" t="s">
        <v>349</v>
      </c>
      <c r="L230" s="471">
        <v>1</v>
      </c>
      <c r="M230" s="447" t="s">
        <v>365</v>
      </c>
      <c r="N230" s="456">
        <v>1855</v>
      </c>
      <c r="O230" s="475">
        <f t="shared" si="0"/>
        <v>1855</v>
      </c>
      <c r="P230" s="476"/>
      <c r="Q230" s="477">
        <v>46023</v>
      </c>
      <c r="R230" s="476"/>
      <c r="S230" s="476"/>
    </row>
    <row r="231" spans="1:19" ht="15.75" customHeight="1" x14ac:dyDescent="0.25">
      <c r="A231" s="438">
        <v>228</v>
      </c>
      <c r="B231" s="470" t="s">
        <v>17</v>
      </c>
      <c r="C231" s="471" t="s">
        <v>18</v>
      </c>
      <c r="D231" s="472" t="s">
        <v>19</v>
      </c>
      <c r="E231" s="448" t="s">
        <v>4084</v>
      </c>
      <c r="F231" s="448" t="s">
        <v>4096</v>
      </c>
      <c r="G231" s="473" t="s">
        <v>3065</v>
      </c>
      <c r="H231" s="439" t="s">
        <v>366</v>
      </c>
      <c r="I231" s="474" t="s">
        <v>3459</v>
      </c>
      <c r="J231" s="474" t="s">
        <v>3464</v>
      </c>
      <c r="K231" s="443" t="s">
        <v>349</v>
      </c>
      <c r="L231" s="471">
        <v>1</v>
      </c>
      <c r="M231" s="447" t="s">
        <v>367</v>
      </c>
      <c r="N231" s="456">
        <v>1855</v>
      </c>
      <c r="O231" s="475">
        <f t="shared" si="0"/>
        <v>1855</v>
      </c>
      <c r="P231" s="476"/>
      <c r="Q231" s="477">
        <v>46023</v>
      </c>
      <c r="R231" s="476"/>
      <c r="S231" s="476"/>
    </row>
    <row r="232" spans="1:19" ht="15.75" customHeight="1" x14ac:dyDescent="0.25">
      <c r="A232" s="438">
        <v>229</v>
      </c>
      <c r="B232" s="470" t="s">
        <v>17</v>
      </c>
      <c r="C232" s="471" t="s">
        <v>18</v>
      </c>
      <c r="D232" s="472" t="s">
        <v>19</v>
      </c>
      <c r="E232" s="448" t="s">
        <v>4083</v>
      </c>
      <c r="F232" s="448" t="s">
        <v>4113</v>
      </c>
      <c r="G232" s="473" t="s">
        <v>3065</v>
      </c>
      <c r="H232" s="439" t="s">
        <v>366</v>
      </c>
      <c r="I232" s="474" t="s">
        <v>3459</v>
      </c>
      <c r="J232" s="474" t="s">
        <v>3464</v>
      </c>
      <c r="K232" s="443" t="s">
        <v>349</v>
      </c>
      <c r="L232" s="471">
        <v>1</v>
      </c>
      <c r="M232" s="447" t="s">
        <v>368</v>
      </c>
      <c r="N232" s="456">
        <v>1855</v>
      </c>
      <c r="O232" s="475">
        <f t="shared" si="0"/>
        <v>1855</v>
      </c>
      <c r="P232" s="476"/>
      <c r="Q232" s="477">
        <v>46023</v>
      </c>
      <c r="R232" s="476"/>
      <c r="S232" s="476"/>
    </row>
    <row r="233" spans="1:19" ht="15.75" customHeight="1" x14ac:dyDescent="0.25">
      <c r="A233" s="438">
        <v>230</v>
      </c>
      <c r="B233" s="470" t="s">
        <v>17</v>
      </c>
      <c r="C233" s="471" t="s">
        <v>18</v>
      </c>
      <c r="D233" s="472" t="s">
        <v>19</v>
      </c>
      <c r="E233" s="448" t="s">
        <v>4089</v>
      </c>
      <c r="F233" s="448" t="s">
        <v>4108</v>
      </c>
      <c r="G233" s="473" t="s">
        <v>3065</v>
      </c>
      <c r="H233" s="439" t="s">
        <v>366</v>
      </c>
      <c r="I233" s="474" t="s">
        <v>3459</v>
      </c>
      <c r="J233" s="474" t="s">
        <v>3464</v>
      </c>
      <c r="K233" s="443" t="s">
        <v>349</v>
      </c>
      <c r="L233" s="471">
        <v>1</v>
      </c>
      <c r="M233" s="447" t="s">
        <v>369</v>
      </c>
      <c r="N233" s="456">
        <v>1855</v>
      </c>
      <c r="O233" s="475">
        <f t="shared" si="0"/>
        <v>1855</v>
      </c>
      <c r="P233" s="476"/>
      <c r="Q233" s="477">
        <v>46023</v>
      </c>
      <c r="R233" s="476"/>
      <c r="S233" s="476"/>
    </row>
    <row r="234" spans="1:19" ht="15.75" customHeight="1" x14ac:dyDescent="0.25">
      <c r="A234" s="438">
        <v>231</v>
      </c>
      <c r="B234" s="470" t="s">
        <v>17</v>
      </c>
      <c r="C234" s="471" t="s">
        <v>18</v>
      </c>
      <c r="D234" s="472" t="s">
        <v>19</v>
      </c>
      <c r="E234" s="448" t="s">
        <v>4089</v>
      </c>
      <c r="F234" s="448" t="s">
        <v>4108</v>
      </c>
      <c r="G234" s="473" t="s">
        <v>3065</v>
      </c>
      <c r="H234" s="439" t="s">
        <v>366</v>
      </c>
      <c r="I234" s="474" t="s">
        <v>3459</v>
      </c>
      <c r="J234" s="474" t="s">
        <v>3464</v>
      </c>
      <c r="K234" s="443" t="s">
        <v>349</v>
      </c>
      <c r="L234" s="471">
        <v>1</v>
      </c>
      <c r="M234" s="447" t="s">
        <v>3489</v>
      </c>
      <c r="N234" s="456">
        <v>1855</v>
      </c>
      <c r="O234" s="475">
        <f t="shared" si="0"/>
        <v>1855</v>
      </c>
      <c r="P234" s="476"/>
      <c r="Q234" s="477">
        <v>46023</v>
      </c>
      <c r="R234" s="476"/>
      <c r="S234" s="476"/>
    </row>
    <row r="235" spans="1:19" ht="15.75" customHeight="1" x14ac:dyDescent="0.25">
      <c r="A235" s="438">
        <v>232</v>
      </c>
      <c r="B235" s="470" t="s">
        <v>17</v>
      </c>
      <c r="C235" s="471" t="s">
        <v>18</v>
      </c>
      <c r="D235" s="472" t="s">
        <v>19</v>
      </c>
      <c r="E235" s="448" t="s">
        <v>4088</v>
      </c>
      <c r="F235" s="448" t="s">
        <v>4105</v>
      </c>
      <c r="G235" s="473" t="s">
        <v>3065</v>
      </c>
      <c r="H235" s="439" t="s">
        <v>366</v>
      </c>
      <c r="I235" s="474" t="s">
        <v>3459</v>
      </c>
      <c r="J235" s="474" t="s">
        <v>3464</v>
      </c>
      <c r="K235" s="443" t="s">
        <v>349</v>
      </c>
      <c r="L235" s="471">
        <v>1</v>
      </c>
      <c r="M235" s="447" t="s">
        <v>370</v>
      </c>
      <c r="N235" s="456">
        <v>1855</v>
      </c>
      <c r="O235" s="475">
        <f t="shared" si="0"/>
        <v>1855</v>
      </c>
      <c r="P235" s="476"/>
      <c r="Q235" s="477">
        <v>46023</v>
      </c>
      <c r="R235" s="476"/>
      <c r="S235" s="476"/>
    </row>
    <row r="236" spans="1:19" ht="15.75" customHeight="1" x14ac:dyDescent="0.25">
      <c r="A236" s="438">
        <v>233</v>
      </c>
      <c r="B236" s="470" t="s">
        <v>17</v>
      </c>
      <c r="C236" s="471" t="s">
        <v>18</v>
      </c>
      <c r="D236" s="472" t="s">
        <v>19</v>
      </c>
      <c r="E236" s="448" t="s">
        <v>4088</v>
      </c>
      <c r="F236" s="448" t="s">
        <v>4105</v>
      </c>
      <c r="G236" s="473" t="s">
        <v>3065</v>
      </c>
      <c r="H236" s="439" t="s">
        <v>366</v>
      </c>
      <c r="I236" s="474" t="s">
        <v>3459</v>
      </c>
      <c r="J236" s="474" t="s">
        <v>3464</v>
      </c>
      <c r="K236" s="443" t="s">
        <v>349</v>
      </c>
      <c r="L236" s="471">
        <v>1</v>
      </c>
      <c r="M236" s="447" t="s">
        <v>371</v>
      </c>
      <c r="N236" s="456">
        <v>1855</v>
      </c>
      <c r="O236" s="475">
        <f t="shared" si="0"/>
        <v>1855</v>
      </c>
      <c r="P236" s="476"/>
      <c r="Q236" s="477">
        <v>46023</v>
      </c>
      <c r="R236" s="476"/>
      <c r="S236" s="476"/>
    </row>
    <row r="237" spans="1:19" ht="15.75" customHeight="1" x14ac:dyDescent="0.25">
      <c r="A237" s="438">
        <v>234</v>
      </c>
      <c r="B237" s="470" t="s">
        <v>17</v>
      </c>
      <c r="C237" s="471" t="s">
        <v>18</v>
      </c>
      <c r="D237" s="472" t="s">
        <v>19</v>
      </c>
      <c r="E237" s="448" t="s">
        <v>4084</v>
      </c>
      <c r="F237" s="448" t="s">
        <v>4096</v>
      </c>
      <c r="G237" s="473" t="s">
        <v>3065</v>
      </c>
      <c r="H237" s="439" t="s">
        <v>366</v>
      </c>
      <c r="I237" s="474" t="s">
        <v>3459</v>
      </c>
      <c r="J237" s="474" t="s">
        <v>3464</v>
      </c>
      <c r="K237" s="443" t="s">
        <v>349</v>
      </c>
      <c r="L237" s="471">
        <v>1</v>
      </c>
      <c r="M237" s="447" t="s">
        <v>372</v>
      </c>
      <c r="N237" s="456">
        <v>1855</v>
      </c>
      <c r="O237" s="475">
        <f t="shared" si="0"/>
        <v>1855</v>
      </c>
      <c r="P237" s="476"/>
      <c r="Q237" s="477">
        <v>46023</v>
      </c>
      <c r="R237" s="476"/>
      <c r="S237" s="476"/>
    </row>
    <row r="238" spans="1:19" ht="15.75" customHeight="1" x14ac:dyDescent="0.25">
      <c r="A238" s="438">
        <v>235</v>
      </c>
      <c r="B238" s="470" t="s">
        <v>17</v>
      </c>
      <c r="C238" s="471" t="s">
        <v>18</v>
      </c>
      <c r="D238" s="472" t="s">
        <v>19</v>
      </c>
      <c r="E238" s="448" t="s">
        <v>4091</v>
      </c>
      <c r="F238" s="448" t="s">
        <v>4107</v>
      </c>
      <c r="G238" s="473" t="s">
        <v>3065</v>
      </c>
      <c r="H238" s="439" t="s">
        <v>366</v>
      </c>
      <c r="I238" s="474" t="s">
        <v>3459</v>
      </c>
      <c r="J238" s="474" t="s">
        <v>3464</v>
      </c>
      <c r="K238" s="443" t="s">
        <v>349</v>
      </c>
      <c r="L238" s="471">
        <v>1</v>
      </c>
      <c r="M238" s="447" t="s">
        <v>373</v>
      </c>
      <c r="N238" s="456">
        <v>1855</v>
      </c>
      <c r="O238" s="475">
        <f t="shared" si="0"/>
        <v>1855</v>
      </c>
      <c r="P238" s="476"/>
      <c r="Q238" s="477">
        <v>46023</v>
      </c>
      <c r="R238" s="476"/>
      <c r="S238" s="476"/>
    </row>
    <row r="239" spans="1:19" ht="15.75" customHeight="1" x14ac:dyDescent="0.25">
      <c r="A239" s="438">
        <v>236</v>
      </c>
      <c r="B239" s="470" t="s">
        <v>17</v>
      </c>
      <c r="C239" s="471" t="s">
        <v>18</v>
      </c>
      <c r="D239" s="472" t="s">
        <v>19</v>
      </c>
      <c r="E239" s="465" t="s">
        <v>4091</v>
      </c>
      <c r="F239" s="448" t="s">
        <v>4107</v>
      </c>
      <c r="G239" s="473" t="s">
        <v>3065</v>
      </c>
      <c r="H239" s="439" t="s">
        <v>366</v>
      </c>
      <c r="I239" s="474" t="s">
        <v>3459</v>
      </c>
      <c r="J239" s="474" t="s">
        <v>3464</v>
      </c>
      <c r="K239" s="443" t="s">
        <v>349</v>
      </c>
      <c r="L239" s="471">
        <v>1</v>
      </c>
      <c r="M239" s="447" t="s">
        <v>374</v>
      </c>
      <c r="N239" s="456">
        <v>1855</v>
      </c>
      <c r="O239" s="475">
        <f t="shared" si="0"/>
        <v>1855</v>
      </c>
      <c r="P239" s="476"/>
      <c r="Q239" s="477">
        <v>46023</v>
      </c>
      <c r="R239" s="476"/>
      <c r="S239" s="476"/>
    </row>
    <row r="240" spans="1:19" ht="15.75" customHeight="1" x14ac:dyDescent="0.25">
      <c r="A240" s="438">
        <v>237</v>
      </c>
      <c r="B240" s="470" t="s">
        <v>17</v>
      </c>
      <c r="C240" s="471" t="s">
        <v>18</v>
      </c>
      <c r="D240" s="472" t="s">
        <v>19</v>
      </c>
      <c r="E240" s="448" t="s">
        <v>4083</v>
      </c>
      <c r="F240" s="448" t="s">
        <v>4109</v>
      </c>
      <c r="G240" s="473" t="s">
        <v>3065</v>
      </c>
      <c r="H240" s="439" t="s">
        <v>366</v>
      </c>
      <c r="I240" s="474" t="s">
        <v>3459</v>
      </c>
      <c r="J240" s="474" t="s">
        <v>3464</v>
      </c>
      <c r="K240" s="443" t="s">
        <v>349</v>
      </c>
      <c r="L240" s="471">
        <v>1</v>
      </c>
      <c r="M240" s="447" t="s">
        <v>375</v>
      </c>
      <c r="N240" s="456">
        <v>1855</v>
      </c>
      <c r="O240" s="475">
        <f t="shared" si="0"/>
        <v>1855</v>
      </c>
      <c r="P240" s="476"/>
      <c r="Q240" s="477">
        <v>46023</v>
      </c>
      <c r="R240" s="476"/>
      <c r="S240" s="476"/>
    </row>
    <row r="241" spans="1:19" ht="15.75" customHeight="1" x14ac:dyDescent="0.25">
      <c r="A241" s="438">
        <v>238</v>
      </c>
      <c r="B241" s="470" t="s">
        <v>17</v>
      </c>
      <c r="C241" s="471" t="s">
        <v>18</v>
      </c>
      <c r="D241" s="472" t="s">
        <v>19</v>
      </c>
      <c r="E241" s="448" t="s">
        <v>4087</v>
      </c>
      <c r="F241" s="448" t="s">
        <v>4099</v>
      </c>
      <c r="G241" s="473" t="s">
        <v>3065</v>
      </c>
      <c r="H241" s="439" t="s">
        <v>366</v>
      </c>
      <c r="I241" s="474" t="s">
        <v>3459</v>
      </c>
      <c r="J241" s="474" t="s">
        <v>3464</v>
      </c>
      <c r="K241" s="443" t="s">
        <v>349</v>
      </c>
      <c r="L241" s="471">
        <v>1</v>
      </c>
      <c r="M241" s="447" t="s">
        <v>376</v>
      </c>
      <c r="N241" s="456">
        <v>1855</v>
      </c>
      <c r="O241" s="475">
        <f t="shared" si="0"/>
        <v>1855</v>
      </c>
      <c r="P241" s="476"/>
      <c r="Q241" s="477">
        <v>46023</v>
      </c>
      <c r="R241" s="476"/>
      <c r="S241" s="476"/>
    </row>
    <row r="242" spans="1:19" ht="15.75" customHeight="1" x14ac:dyDescent="0.25">
      <c r="A242" s="438">
        <v>239</v>
      </c>
      <c r="B242" s="470" t="s">
        <v>17</v>
      </c>
      <c r="C242" s="471" t="s">
        <v>18</v>
      </c>
      <c r="D242" s="472" t="s">
        <v>19</v>
      </c>
      <c r="E242" s="448" t="s">
        <v>4087</v>
      </c>
      <c r="F242" s="448" t="s">
        <v>4099</v>
      </c>
      <c r="G242" s="473" t="s">
        <v>3065</v>
      </c>
      <c r="H242" s="439" t="s">
        <v>366</v>
      </c>
      <c r="I242" s="474" t="s">
        <v>3459</v>
      </c>
      <c r="J242" s="474" t="s">
        <v>3464</v>
      </c>
      <c r="K242" s="443" t="s">
        <v>349</v>
      </c>
      <c r="L242" s="471">
        <v>1</v>
      </c>
      <c r="M242" s="447" t="s">
        <v>377</v>
      </c>
      <c r="N242" s="456">
        <v>1855</v>
      </c>
      <c r="O242" s="475">
        <f t="shared" si="0"/>
        <v>1855</v>
      </c>
      <c r="P242" s="476"/>
      <c r="Q242" s="477">
        <v>46023</v>
      </c>
      <c r="R242" s="476"/>
      <c r="S242" s="476"/>
    </row>
    <row r="243" spans="1:19" ht="15.75" customHeight="1" x14ac:dyDescent="0.25">
      <c r="A243" s="438">
        <v>240</v>
      </c>
      <c r="B243" s="470" t="s">
        <v>17</v>
      </c>
      <c r="C243" s="471" t="s">
        <v>18</v>
      </c>
      <c r="D243" s="472" t="s">
        <v>19</v>
      </c>
      <c r="E243" s="448" t="s">
        <v>4086</v>
      </c>
      <c r="F243" s="448" t="s">
        <v>4097</v>
      </c>
      <c r="G243" s="473" t="s">
        <v>3065</v>
      </c>
      <c r="H243" s="439" t="s">
        <v>378</v>
      </c>
      <c r="I243" s="474" t="s">
        <v>3459</v>
      </c>
      <c r="J243" s="474" t="s">
        <v>3464</v>
      </c>
      <c r="K243" s="443" t="s">
        <v>349</v>
      </c>
      <c r="L243" s="471">
        <v>1</v>
      </c>
      <c r="M243" s="447" t="s">
        <v>379</v>
      </c>
      <c r="N243" s="456">
        <v>4355</v>
      </c>
      <c r="O243" s="475">
        <f t="shared" si="0"/>
        <v>4355</v>
      </c>
      <c r="P243" s="476"/>
      <c r="Q243" s="477">
        <v>46023</v>
      </c>
      <c r="R243" s="476"/>
      <c r="S243" s="476"/>
    </row>
    <row r="244" spans="1:19" ht="15.75" customHeight="1" x14ac:dyDescent="0.25">
      <c r="A244" s="438">
        <v>241</v>
      </c>
      <c r="B244" s="470" t="s">
        <v>17</v>
      </c>
      <c r="C244" s="471" t="s">
        <v>18</v>
      </c>
      <c r="D244" s="472" t="s">
        <v>19</v>
      </c>
      <c r="E244" s="448" t="s">
        <v>4088</v>
      </c>
      <c r="F244" s="448" t="s">
        <v>4101</v>
      </c>
      <c r="G244" s="473" t="s">
        <v>3065</v>
      </c>
      <c r="H244" s="439" t="s">
        <v>378</v>
      </c>
      <c r="I244" s="474" t="s">
        <v>3459</v>
      </c>
      <c r="J244" s="474" t="s">
        <v>3464</v>
      </c>
      <c r="K244" s="443" t="s">
        <v>349</v>
      </c>
      <c r="L244" s="471">
        <v>1</v>
      </c>
      <c r="M244" s="447" t="s">
        <v>380</v>
      </c>
      <c r="N244" s="456">
        <v>4355</v>
      </c>
      <c r="O244" s="475">
        <f t="shared" si="0"/>
        <v>4355</v>
      </c>
      <c r="P244" s="476"/>
      <c r="Q244" s="477">
        <v>46023</v>
      </c>
      <c r="R244" s="476"/>
      <c r="S244" s="476"/>
    </row>
    <row r="245" spans="1:19" ht="15.75" customHeight="1" x14ac:dyDescent="0.25">
      <c r="A245" s="438">
        <v>242</v>
      </c>
      <c r="B245" s="470" t="s">
        <v>17</v>
      </c>
      <c r="C245" s="471" t="s">
        <v>18</v>
      </c>
      <c r="D245" s="472" t="s">
        <v>19</v>
      </c>
      <c r="E245" s="448" t="s">
        <v>4088</v>
      </c>
      <c r="F245" s="448" t="s">
        <v>3025</v>
      </c>
      <c r="G245" s="473" t="s">
        <v>3065</v>
      </c>
      <c r="H245" s="439" t="s">
        <v>378</v>
      </c>
      <c r="I245" s="474" t="s">
        <v>3459</v>
      </c>
      <c r="J245" s="474" t="s">
        <v>3464</v>
      </c>
      <c r="K245" s="443" t="s">
        <v>349</v>
      </c>
      <c r="L245" s="471">
        <v>1</v>
      </c>
      <c r="M245" s="447" t="s">
        <v>381</v>
      </c>
      <c r="N245" s="456">
        <v>4355</v>
      </c>
      <c r="O245" s="475">
        <f t="shared" si="0"/>
        <v>4355</v>
      </c>
      <c r="P245" s="476"/>
      <c r="Q245" s="477">
        <v>46023</v>
      </c>
      <c r="R245" s="476"/>
      <c r="S245" s="476"/>
    </row>
    <row r="246" spans="1:19" ht="15.75" customHeight="1" x14ac:dyDescent="0.25">
      <c r="A246" s="438">
        <v>243</v>
      </c>
      <c r="B246" s="470" t="s">
        <v>17</v>
      </c>
      <c r="C246" s="471" t="s">
        <v>18</v>
      </c>
      <c r="D246" s="472" t="s">
        <v>19</v>
      </c>
      <c r="E246" s="448" t="s">
        <v>4088</v>
      </c>
      <c r="F246" s="448" t="s">
        <v>3025</v>
      </c>
      <c r="G246" s="473" t="s">
        <v>3065</v>
      </c>
      <c r="H246" s="439" t="s">
        <v>378</v>
      </c>
      <c r="I246" s="474" t="s">
        <v>3459</v>
      </c>
      <c r="J246" s="474" t="s">
        <v>3464</v>
      </c>
      <c r="K246" s="443" t="s">
        <v>349</v>
      </c>
      <c r="L246" s="471">
        <v>1</v>
      </c>
      <c r="M246" s="447" t="s">
        <v>382</v>
      </c>
      <c r="N246" s="456">
        <v>4355</v>
      </c>
      <c r="O246" s="475">
        <f t="shared" si="0"/>
        <v>4355</v>
      </c>
      <c r="P246" s="476"/>
      <c r="Q246" s="477">
        <v>46023</v>
      </c>
      <c r="R246" s="476"/>
      <c r="S246" s="476"/>
    </row>
    <row r="247" spans="1:19" ht="15.75" customHeight="1" x14ac:dyDescent="0.25">
      <c r="A247" s="438">
        <v>244</v>
      </c>
      <c r="B247" s="470" t="s">
        <v>17</v>
      </c>
      <c r="C247" s="471" t="s">
        <v>18</v>
      </c>
      <c r="D247" s="472" t="s">
        <v>19</v>
      </c>
      <c r="E247" s="448" t="s">
        <v>4088</v>
      </c>
      <c r="F247" s="448" t="s">
        <v>3025</v>
      </c>
      <c r="G247" s="473" t="s">
        <v>3065</v>
      </c>
      <c r="H247" s="439" t="s">
        <v>378</v>
      </c>
      <c r="I247" s="474" t="s">
        <v>3459</v>
      </c>
      <c r="J247" s="474" t="s">
        <v>3464</v>
      </c>
      <c r="K247" s="443" t="s">
        <v>349</v>
      </c>
      <c r="L247" s="471">
        <v>1</v>
      </c>
      <c r="M247" s="447" t="s">
        <v>383</v>
      </c>
      <c r="N247" s="456">
        <v>4355</v>
      </c>
      <c r="O247" s="475">
        <f t="shared" si="0"/>
        <v>4355</v>
      </c>
      <c r="P247" s="476"/>
      <c r="Q247" s="477">
        <v>46023</v>
      </c>
      <c r="R247" s="476"/>
      <c r="S247" s="476"/>
    </row>
    <row r="248" spans="1:19" ht="15.75" customHeight="1" x14ac:dyDescent="0.25">
      <c r="A248" s="438">
        <v>245</v>
      </c>
      <c r="B248" s="470" t="s">
        <v>17</v>
      </c>
      <c r="C248" s="471" t="s">
        <v>18</v>
      </c>
      <c r="D248" s="472" t="s">
        <v>19</v>
      </c>
      <c r="E248" s="448" t="s">
        <v>4088</v>
      </c>
      <c r="F248" s="448" t="s">
        <v>3025</v>
      </c>
      <c r="G248" s="473" t="s">
        <v>3065</v>
      </c>
      <c r="H248" s="439" t="s">
        <v>378</v>
      </c>
      <c r="I248" s="474" t="s">
        <v>3459</v>
      </c>
      <c r="J248" s="474" t="s">
        <v>3464</v>
      </c>
      <c r="K248" s="443" t="s">
        <v>349</v>
      </c>
      <c r="L248" s="471">
        <v>1</v>
      </c>
      <c r="M248" s="447" t="s">
        <v>384</v>
      </c>
      <c r="N248" s="456">
        <v>4355</v>
      </c>
      <c r="O248" s="475">
        <f t="shared" si="0"/>
        <v>4355</v>
      </c>
      <c r="P248" s="476"/>
      <c r="Q248" s="477">
        <v>46023</v>
      </c>
      <c r="R248" s="476"/>
      <c r="S248" s="476"/>
    </row>
    <row r="249" spans="1:19" ht="15.75" customHeight="1" x14ac:dyDescent="0.25">
      <c r="A249" s="438">
        <v>246</v>
      </c>
      <c r="B249" s="470" t="s">
        <v>17</v>
      </c>
      <c r="C249" s="471" t="s">
        <v>18</v>
      </c>
      <c r="D249" s="472" t="s">
        <v>19</v>
      </c>
      <c r="E249" s="448" t="s">
        <v>4088</v>
      </c>
      <c r="F249" s="448" t="s">
        <v>3025</v>
      </c>
      <c r="G249" s="473" t="s">
        <v>3065</v>
      </c>
      <c r="H249" s="439" t="s">
        <v>378</v>
      </c>
      <c r="I249" s="474" t="s">
        <v>3459</v>
      </c>
      <c r="J249" s="474" t="s">
        <v>3464</v>
      </c>
      <c r="K249" s="443" t="s">
        <v>349</v>
      </c>
      <c r="L249" s="471">
        <v>1</v>
      </c>
      <c r="M249" s="447" t="s">
        <v>385</v>
      </c>
      <c r="N249" s="456">
        <v>4355</v>
      </c>
      <c r="O249" s="475">
        <f t="shared" si="0"/>
        <v>4355</v>
      </c>
      <c r="P249" s="476"/>
      <c r="Q249" s="477">
        <v>46023</v>
      </c>
      <c r="R249" s="476"/>
      <c r="S249" s="476"/>
    </row>
    <row r="250" spans="1:19" ht="15.75" customHeight="1" x14ac:dyDescent="0.25">
      <c r="A250" s="438">
        <v>247</v>
      </c>
      <c r="B250" s="470" t="s">
        <v>17</v>
      </c>
      <c r="C250" s="471" t="s">
        <v>18</v>
      </c>
      <c r="D250" s="472" t="s">
        <v>19</v>
      </c>
      <c r="E250" s="448" t="s">
        <v>4088</v>
      </c>
      <c r="F250" s="448" t="s">
        <v>3025</v>
      </c>
      <c r="G250" s="473" t="s">
        <v>3065</v>
      </c>
      <c r="H250" s="439" t="s">
        <v>378</v>
      </c>
      <c r="I250" s="474" t="s">
        <v>3459</v>
      </c>
      <c r="J250" s="474" t="s">
        <v>3464</v>
      </c>
      <c r="K250" s="443" t="s">
        <v>349</v>
      </c>
      <c r="L250" s="471">
        <v>1</v>
      </c>
      <c r="M250" s="447" t="s">
        <v>386</v>
      </c>
      <c r="N250" s="456">
        <v>4355</v>
      </c>
      <c r="O250" s="475">
        <f t="shared" si="0"/>
        <v>4355</v>
      </c>
      <c r="P250" s="476"/>
      <c r="Q250" s="477">
        <v>46023</v>
      </c>
      <c r="R250" s="476"/>
      <c r="S250" s="476"/>
    </row>
    <row r="251" spans="1:19" ht="15.75" customHeight="1" x14ac:dyDescent="0.25">
      <c r="A251" s="438">
        <v>248</v>
      </c>
      <c r="B251" s="470" t="s">
        <v>17</v>
      </c>
      <c r="C251" s="471" t="s">
        <v>18</v>
      </c>
      <c r="D251" s="472" t="s">
        <v>19</v>
      </c>
      <c r="E251" s="448" t="s">
        <v>4088</v>
      </c>
      <c r="F251" s="448" t="s">
        <v>3025</v>
      </c>
      <c r="G251" s="473" t="s">
        <v>3065</v>
      </c>
      <c r="H251" s="439" t="s">
        <v>378</v>
      </c>
      <c r="I251" s="474" t="s">
        <v>3459</v>
      </c>
      <c r="J251" s="474" t="s">
        <v>3464</v>
      </c>
      <c r="K251" s="443" t="s">
        <v>349</v>
      </c>
      <c r="L251" s="471">
        <v>1</v>
      </c>
      <c r="M251" s="447" t="s">
        <v>387</v>
      </c>
      <c r="N251" s="456">
        <v>4355</v>
      </c>
      <c r="O251" s="475">
        <f t="shared" si="0"/>
        <v>4355</v>
      </c>
      <c r="P251" s="476"/>
      <c r="Q251" s="477">
        <v>46023</v>
      </c>
      <c r="R251" s="476"/>
      <c r="S251" s="476"/>
    </row>
    <row r="252" spans="1:19" ht="15.75" customHeight="1" x14ac:dyDescent="0.25">
      <c r="A252" s="438">
        <v>249</v>
      </c>
      <c r="B252" s="470" t="s">
        <v>17</v>
      </c>
      <c r="C252" s="471" t="s">
        <v>18</v>
      </c>
      <c r="D252" s="472" t="s">
        <v>19</v>
      </c>
      <c r="E252" s="448" t="s">
        <v>4088</v>
      </c>
      <c r="F252" s="448" t="s">
        <v>3025</v>
      </c>
      <c r="G252" s="473" t="s">
        <v>3065</v>
      </c>
      <c r="H252" s="439" t="s">
        <v>378</v>
      </c>
      <c r="I252" s="474" t="s">
        <v>3459</v>
      </c>
      <c r="J252" s="474" t="s">
        <v>3464</v>
      </c>
      <c r="K252" s="443" t="s">
        <v>349</v>
      </c>
      <c r="L252" s="471">
        <v>1</v>
      </c>
      <c r="M252" s="447" t="s">
        <v>388</v>
      </c>
      <c r="N252" s="456">
        <v>4355</v>
      </c>
      <c r="O252" s="475">
        <f t="shared" si="0"/>
        <v>4355</v>
      </c>
      <c r="P252" s="476"/>
      <c r="Q252" s="477">
        <v>46023</v>
      </c>
      <c r="R252" s="476"/>
      <c r="S252" s="476"/>
    </row>
    <row r="253" spans="1:19" ht="15.75" customHeight="1" x14ac:dyDescent="0.25">
      <c r="A253" s="438">
        <v>250</v>
      </c>
      <c r="B253" s="470" t="s">
        <v>17</v>
      </c>
      <c r="C253" s="471" t="s">
        <v>18</v>
      </c>
      <c r="D253" s="472" t="s">
        <v>19</v>
      </c>
      <c r="E253" s="448" t="s">
        <v>4088</v>
      </c>
      <c r="F253" s="448" t="s">
        <v>3025</v>
      </c>
      <c r="G253" s="473" t="s">
        <v>3065</v>
      </c>
      <c r="H253" s="439" t="s">
        <v>378</v>
      </c>
      <c r="I253" s="474" t="s">
        <v>3459</v>
      </c>
      <c r="J253" s="474" t="s">
        <v>3464</v>
      </c>
      <c r="K253" s="443" t="s">
        <v>349</v>
      </c>
      <c r="L253" s="471">
        <v>1</v>
      </c>
      <c r="M253" s="447" t="s">
        <v>389</v>
      </c>
      <c r="N253" s="456">
        <v>4355</v>
      </c>
      <c r="O253" s="475">
        <f t="shared" si="0"/>
        <v>4355</v>
      </c>
      <c r="P253" s="476"/>
      <c r="Q253" s="477">
        <v>46023</v>
      </c>
      <c r="R253" s="476"/>
      <c r="S253" s="476"/>
    </row>
    <row r="254" spans="1:19" ht="15.75" customHeight="1" x14ac:dyDescent="0.25">
      <c r="A254" s="438">
        <v>251</v>
      </c>
      <c r="B254" s="470" t="s">
        <v>17</v>
      </c>
      <c r="C254" s="471" t="s">
        <v>18</v>
      </c>
      <c r="D254" s="472" t="s">
        <v>19</v>
      </c>
      <c r="E254" s="465" t="s">
        <v>4088</v>
      </c>
      <c r="F254" s="448" t="s">
        <v>4104</v>
      </c>
      <c r="G254" s="473" t="s">
        <v>3065</v>
      </c>
      <c r="H254" s="439" t="s">
        <v>378</v>
      </c>
      <c r="I254" s="474" t="s">
        <v>3459</v>
      </c>
      <c r="J254" s="474" t="s">
        <v>3464</v>
      </c>
      <c r="K254" s="443" t="s">
        <v>349</v>
      </c>
      <c r="L254" s="471">
        <v>1</v>
      </c>
      <c r="M254" s="447" t="s">
        <v>390</v>
      </c>
      <c r="N254" s="456">
        <v>4355</v>
      </c>
      <c r="O254" s="475">
        <f t="shared" si="0"/>
        <v>4355</v>
      </c>
      <c r="P254" s="476"/>
      <c r="Q254" s="477">
        <v>46023</v>
      </c>
      <c r="R254" s="476"/>
      <c r="S254" s="476"/>
    </row>
    <row r="255" spans="1:19" ht="15.75" customHeight="1" x14ac:dyDescent="0.25">
      <c r="A255" s="438">
        <v>252</v>
      </c>
      <c r="B255" s="470" t="s">
        <v>17</v>
      </c>
      <c r="C255" s="471" t="s">
        <v>18</v>
      </c>
      <c r="D255" s="472" t="s">
        <v>19</v>
      </c>
      <c r="E255" s="465" t="s">
        <v>4088</v>
      </c>
      <c r="F255" s="448" t="s">
        <v>4104</v>
      </c>
      <c r="G255" s="473" t="s">
        <v>3065</v>
      </c>
      <c r="H255" s="439" t="s">
        <v>378</v>
      </c>
      <c r="I255" s="474" t="s">
        <v>3459</v>
      </c>
      <c r="J255" s="474" t="s">
        <v>3464</v>
      </c>
      <c r="K255" s="443" t="s">
        <v>349</v>
      </c>
      <c r="L255" s="471">
        <v>1</v>
      </c>
      <c r="M255" s="447" t="s">
        <v>391</v>
      </c>
      <c r="N255" s="456">
        <v>4355</v>
      </c>
      <c r="O255" s="475">
        <f t="shared" si="0"/>
        <v>4355</v>
      </c>
      <c r="P255" s="476"/>
      <c r="Q255" s="477">
        <v>46023</v>
      </c>
      <c r="R255" s="476"/>
      <c r="S255" s="476"/>
    </row>
    <row r="256" spans="1:19" ht="15.75" customHeight="1" x14ac:dyDescent="0.25">
      <c r="A256" s="438">
        <v>253</v>
      </c>
      <c r="B256" s="470" t="s">
        <v>17</v>
      </c>
      <c r="C256" s="471" t="s">
        <v>18</v>
      </c>
      <c r="D256" s="472" t="s">
        <v>19</v>
      </c>
      <c r="E256" s="448" t="s">
        <v>4085</v>
      </c>
      <c r="F256" s="448" t="s">
        <v>2985</v>
      </c>
      <c r="G256" s="473" t="s">
        <v>3065</v>
      </c>
      <c r="H256" s="439" t="s">
        <v>378</v>
      </c>
      <c r="I256" s="474" t="s">
        <v>3459</v>
      </c>
      <c r="J256" s="474" t="s">
        <v>3464</v>
      </c>
      <c r="K256" s="443" t="s">
        <v>349</v>
      </c>
      <c r="L256" s="471">
        <v>1</v>
      </c>
      <c r="M256" s="447" t="s">
        <v>392</v>
      </c>
      <c r="N256" s="456">
        <v>4355</v>
      </c>
      <c r="O256" s="475">
        <f t="shared" si="0"/>
        <v>4355</v>
      </c>
      <c r="P256" s="476"/>
      <c r="Q256" s="477">
        <v>46023</v>
      </c>
      <c r="R256" s="476"/>
      <c r="S256" s="476"/>
    </row>
    <row r="257" spans="1:19" ht="15.75" customHeight="1" x14ac:dyDescent="0.25">
      <c r="A257" s="438">
        <v>254</v>
      </c>
      <c r="B257" s="470" t="s">
        <v>17</v>
      </c>
      <c r="C257" s="471" t="s">
        <v>18</v>
      </c>
      <c r="D257" s="472" t="s">
        <v>19</v>
      </c>
      <c r="E257" s="448" t="s">
        <v>4091</v>
      </c>
      <c r="F257" s="448" t="s">
        <v>4107</v>
      </c>
      <c r="G257" s="473" t="s">
        <v>3065</v>
      </c>
      <c r="H257" s="439" t="s">
        <v>378</v>
      </c>
      <c r="I257" s="474" t="s">
        <v>3459</v>
      </c>
      <c r="J257" s="474" t="s">
        <v>3464</v>
      </c>
      <c r="K257" s="443" t="s">
        <v>349</v>
      </c>
      <c r="L257" s="471">
        <v>1</v>
      </c>
      <c r="M257" s="447" t="s">
        <v>393</v>
      </c>
      <c r="N257" s="456">
        <v>4355</v>
      </c>
      <c r="O257" s="475">
        <f t="shared" si="0"/>
        <v>4355</v>
      </c>
      <c r="P257" s="476"/>
      <c r="Q257" s="477">
        <v>46023</v>
      </c>
      <c r="R257" s="476"/>
      <c r="S257" s="476"/>
    </row>
    <row r="258" spans="1:19" ht="15.75" customHeight="1" x14ac:dyDescent="0.25">
      <c r="A258" s="438">
        <v>255</v>
      </c>
      <c r="B258" s="470" t="s">
        <v>17</v>
      </c>
      <c r="C258" s="471" t="s">
        <v>18</v>
      </c>
      <c r="D258" s="472" t="s">
        <v>19</v>
      </c>
      <c r="E258" s="448" t="s">
        <v>4088</v>
      </c>
      <c r="F258" s="448" t="s">
        <v>4105</v>
      </c>
      <c r="G258" s="473" t="s">
        <v>3065</v>
      </c>
      <c r="H258" s="439" t="s">
        <v>378</v>
      </c>
      <c r="I258" s="474" t="s">
        <v>3459</v>
      </c>
      <c r="J258" s="474" t="s">
        <v>3464</v>
      </c>
      <c r="K258" s="443" t="s">
        <v>349</v>
      </c>
      <c r="L258" s="471">
        <v>1</v>
      </c>
      <c r="M258" s="447" t="s">
        <v>394</v>
      </c>
      <c r="N258" s="456">
        <v>4355</v>
      </c>
      <c r="O258" s="475">
        <f t="shared" si="0"/>
        <v>4355</v>
      </c>
      <c r="P258" s="476"/>
      <c r="Q258" s="477">
        <v>46023</v>
      </c>
      <c r="R258" s="476"/>
      <c r="S258" s="476"/>
    </row>
    <row r="259" spans="1:19" ht="15.75" customHeight="1" x14ac:dyDescent="0.25">
      <c r="A259" s="438">
        <v>256</v>
      </c>
      <c r="B259" s="470" t="s">
        <v>17</v>
      </c>
      <c r="C259" s="471" t="s">
        <v>18</v>
      </c>
      <c r="D259" s="472" t="s">
        <v>19</v>
      </c>
      <c r="E259" s="448" t="s">
        <v>4089</v>
      </c>
      <c r="F259" s="448" t="s">
        <v>4108</v>
      </c>
      <c r="G259" s="473" t="s">
        <v>3065</v>
      </c>
      <c r="H259" s="439" t="s">
        <v>378</v>
      </c>
      <c r="I259" s="474" t="s">
        <v>3459</v>
      </c>
      <c r="J259" s="474" t="s">
        <v>3464</v>
      </c>
      <c r="K259" s="443" t="s">
        <v>349</v>
      </c>
      <c r="L259" s="471">
        <v>1</v>
      </c>
      <c r="M259" s="447" t="s">
        <v>395</v>
      </c>
      <c r="N259" s="456">
        <v>4355</v>
      </c>
      <c r="O259" s="475">
        <f t="shared" ref="O259:O513" si="1">N259*L259</f>
        <v>4355</v>
      </c>
      <c r="P259" s="476"/>
      <c r="Q259" s="477">
        <v>46023</v>
      </c>
      <c r="R259" s="476"/>
      <c r="S259" s="476"/>
    </row>
    <row r="260" spans="1:19" ht="15.75" customHeight="1" x14ac:dyDescent="0.25">
      <c r="A260" s="438">
        <v>257</v>
      </c>
      <c r="B260" s="470" t="s">
        <v>17</v>
      </c>
      <c r="C260" s="471" t="s">
        <v>18</v>
      </c>
      <c r="D260" s="472" t="s">
        <v>19</v>
      </c>
      <c r="E260" s="448" t="s">
        <v>4087</v>
      </c>
      <c r="F260" s="448" t="s">
        <v>4099</v>
      </c>
      <c r="G260" s="473" t="s">
        <v>3065</v>
      </c>
      <c r="H260" s="439" t="s">
        <v>378</v>
      </c>
      <c r="I260" s="474" t="s">
        <v>3459</v>
      </c>
      <c r="J260" s="474" t="s">
        <v>3464</v>
      </c>
      <c r="K260" s="443" t="s">
        <v>349</v>
      </c>
      <c r="L260" s="471">
        <v>1</v>
      </c>
      <c r="M260" s="447" t="s">
        <v>396</v>
      </c>
      <c r="N260" s="456">
        <v>4355</v>
      </c>
      <c r="O260" s="475">
        <f t="shared" si="1"/>
        <v>4355</v>
      </c>
      <c r="P260" s="476"/>
      <c r="Q260" s="477">
        <v>46023</v>
      </c>
      <c r="R260" s="476"/>
      <c r="S260" s="476"/>
    </row>
    <row r="261" spans="1:19" ht="15.75" customHeight="1" x14ac:dyDescent="0.25">
      <c r="A261" s="438">
        <v>258</v>
      </c>
      <c r="B261" s="470" t="s">
        <v>17</v>
      </c>
      <c r="C261" s="471" t="s">
        <v>18</v>
      </c>
      <c r="D261" s="472" t="s">
        <v>19</v>
      </c>
      <c r="E261" s="448" t="s">
        <v>4091</v>
      </c>
      <c r="F261" s="448" t="s">
        <v>4110</v>
      </c>
      <c r="G261" s="473" t="s">
        <v>3065</v>
      </c>
      <c r="H261" s="439" t="s">
        <v>378</v>
      </c>
      <c r="I261" s="474" t="s">
        <v>3459</v>
      </c>
      <c r="J261" s="474" t="s">
        <v>3464</v>
      </c>
      <c r="K261" s="443" t="s">
        <v>349</v>
      </c>
      <c r="L261" s="471">
        <v>1</v>
      </c>
      <c r="M261" s="447" t="s">
        <v>397</v>
      </c>
      <c r="N261" s="456">
        <v>4355</v>
      </c>
      <c r="O261" s="475">
        <f t="shared" si="1"/>
        <v>4355</v>
      </c>
      <c r="P261" s="476"/>
      <c r="Q261" s="477">
        <v>46023</v>
      </c>
      <c r="R261" s="476"/>
      <c r="S261" s="476"/>
    </row>
    <row r="262" spans="1:19" ht="15.75" customHeight="1" x14ac:dyDescent="0.25">
      <c r="A262" s="438">
        <v>259</v>
      </c>
      <c r="B262" s="470" t="s">
        <v>17</v>
      </c>
      <c r="C262" s="471" t="s">
        <v>18</v>
      </c>
      <c r="D262" s="472" t="s">
        <v>19</v>
      </c>
      <c r="E262" s="448" t="s">
        <v>4088</v>
      </c>
      <c r="F262" s="448" t="s">
        <v>3049</v>
      </c>
      <c r="G262" s="473" t="s">
        <v>3065</v>
      </c>
      <c r="H262" s="439" t="s">
        <v>378</v>
      </c>
      <c r="I262" s="474" t="s">
        <v>3459</v>
      </c>
      <c r="J262" s="474" t="s">
        <v>3464</v>
      </c>
      <c r="K262" s="443" t="s">
        <v>349</v>
      </c>
      <c r="L262" s="471">
        <v>1</v>
      </c>
      <c r="M262" s="447" t="s">
        <v>398</v>
      </c>
      <c r="N262" s="456">
        <v>4355</v>
      </c>
      <c r="O262" s="475">
        <f t="shared" si="1"/>
        <v>4355</v>
      </c>
      <c r="P262" s="476"/>
      <c r="Q262" s="477">
        <v>46023</v>
      </c>
      <c r="R262" s="476"/>
      <c r="S262" s="476"/>
    </row>
    <row r="263" spans="1:19" ht="15.75" customHeight="1" x14ac:dyDescent="0.25">
      <c r="A263" s="438">
        <v>260</v>
      </c>
      <c r="B263" s="470" t="s">
        <v>17</v>
      </c>
      <c r="C263" s="471" t="s">
        <v>18</v>
      </c>
      <c r="D263" s="472" t="s">
        <v>19</v>
      </c>
      <c r="E263" s="465" t="s">
        <v>4088</v>
      </c>
      <c r="F263" s="448" t="s">
        <v>3049</v>
      </c>
      <c r="G263" s="473" t="s">
        <v>3065</v>
      </c>
      <c r="H263" s="439" t="s">
        <v>378</v>
      </c>
      <c r="I263" s="474" t="s">
        <v>3459</v>
      </c>
      <c r="J263" s="474" t="s">
        <v>3464</v>
      </c>
      <c r="K263" s="443" t="s">
        <v>349</v>
      </c>
      <c r="L263" s="471">
        <v>1</v>
      </c>
      <c r="M263" s="447" t="s">
        <v>399</v>
      </c>
      <c r="N263" s="456">
        <v>4355</v>
      </c>
      <c r="O263" s="475">
        <f t="shared" si="1"/>
        <v>4355</v>
      </c>
      <c r="P263" s="476"/>
      <c r="Q263" s="477">
        <v>46023</v>
      </c>
      <c r="R263" s="476"/>
      <c r="S263" s="476"/>
    </row>
    <row r="264" spans="1:19" ht="15.75" customHeight="1" x14ac:dyDescent="0.25">
      <c r="A264" s="438">
        <v>261</v>
      </c>
      <c r="B264" s="470" t="s">
        <v>17</v>
      </c>
      <c r="C264" s="471" t="s">
        <v>18</v>
      </c>
      <c r="D264" s="472" t="s">
        <v>19</v>
      </c>
      <c r="E264" s="465" t="s">
        <v>4088</v>
      </c>
      <c r="F264" s="448" t="s">
        <v>4106</v>
      </c>
      <c r="G264" s="473" t="s">
        <v>3065</v>
      </c>
      <c r="H264" s="439" t="s">
        <v>378</v>
      </c>
      <c r="I264" s="474" t="s">
        <v>3459</v>
      </c>
      <c r="J264" s="474" t="s">
        <v>3464</v>
      </c>
      <c r="K264" s="443" t="s">
        <v>349</v>
      </c>
      <c r="L264" s="471">
        <v>1</v>
      </c>
      <c r="M264" s="447" t="s">
        <v>400</v>
      </c>
      <c r="N264" s="456">
        <v>4355</v>
      </c>
      <c r="O264" s="475">
        <f t="shared" si="1"/>
        <v>4355</v>
      </c>
      <c r="P264" s="476"/>
      <c r="Q264" s="477">
        <v>46023</v>
      </c>
      <c r="R264" s="476"/>
      <c r="S264" s="476"/>
    </row>
    <row r="265" spans="1:19" ht="15.75" customHeight="1" x14ac:dyDescent="0.25">
      <c r="A265" s="438">
        <v>262</v>
      </c>
      <c r="B265" s="470" t="s">
        <v>17</v>
      </c>
      <c r="C265" s="471" t="s">
        <v>18</v>
      </c>
      <c r="D265" s="472" t="s">
        <v>19</v>
      </c>
      <c r="E265" s="465" t="s">
        <v>4088</v>
      </c>
      <c r="F265" s="448" t="s">
        <v>4106</v>
      </c>
      <c r="G265" s="473" t="s">
        <v>3065</v>
      </c>
      <c r="H265" s="439" t="s">
        <v>378</v>
      </c>
      <c r="I265" s="474" t="s">
        <v>3459</v>
      </c>
      <c r="J265" s="474" t="s">
        <v>3464</v>
      </c>
      <c r="K265" s="443" t="s">
        <v>349</v>
      </c>
      <c r="L265" s="471">
        <v>1</v>
      </c>
      <c r="M265" s="447" t="s">
        <v>401</v>
      </c>
      <c r="N265" s="456">
        <v>4355</v>
      </c>
      <c r="O265" s="475">
        <f t="shared" si="1"/>
        <v>4355</v>
      </c>
      <c r="P265" s="476"/>
      <c r="Q265" s="477">
        <v>46023</v>
      </c>
      <c r="R265" s="476"/>
      <c r="S265" s="476"/>
    </row>
    <row r="266" spans="1:19" ht="15.75" customHeight="1" x14ac:dyDescent="0.25">
      <c r="A266" s="438">
        <v>263</v>
      </c>
      <c r="B266" s="470" t="s">
        <v>17</v>
      </c>
      <c r="C266" s="471" t="s">
        <v>18</v>
      </c>
      <c r="D266" s="472" t="s">
        <v>19</v>
      </c>
      <c r="E266" s="465" t="s">
        <v>4088</v>
      </c>
      <c r="F266" s="448" t="s">
        <v>4106</v>
      </c>
      <c r="G266" s="473" t="s">
        <v>3065</v>
      </c>
      <c r="H266" s="439" t="s">
        <v>378</v>
      </c>
      <c r="I266" s="474" t="s">
        <v>3459</v>
      </c>
      <c r="J266" s="474" t="s">
        <v>3464</v>
      </c>
      <c r="K266" s="443" t="s">
        <v>349</v>
      </c>
      <c r="L266" s="471">
        <v>1</v>
      </c>
      <c r="M266" s="447" t="s">
        <v>402</v>
      </c>
      <c r="N266" s="456">
        <v>4355</v>
      </c>
      <c r="O266" s="475">
        <f t="shared" si="1"/>
        <v>4355</v>
      </c>
      <c r="P266" s="476"/>
      <c r="Q266" s="477">
        <v>46023</v>
      </c>
      <c r="R266" s="476"/>
      <c r="S266" s="476"/>
    </row>
    <row r="267" spans="1:19" ht="15.75" customHeight="1" x14ac:dyDescent="0.25">
      <c r="A267" s="438">
        <v>264</v>
      </c>
      <c r="B267" s="470" t="s">
        <v>17</v>
      </c>
      <c r="C267" s="471" t="s">
        <v>18</v>
      </c>
      <c r="D267" s="472" t="s">
        <v>19</v>
      </c>
      <c r="E267" s="465" t="s">
        <v>4080</v>
      </c>
      <c r="F267" s="448" t="s">
        <v>4080</v>
      </c>
      <c r="G267" s="473" t="s">
        <v>3223</v>
      </c>
      <c r="H267" s="439" t="s">
        <v>403</v>
      </c>
      <c r="I267" s="474" t="s">
        <v>3459</v>
      </c>
      <c r="J267" s="474" t="s">
        <v>3464</v>
      </c>
      <c r="K267" s="443" t="s">
        <v>404</v>
      </c>
      <c r="L267" s="471">
        <v>1</v>
      </c>
      <c r="M267" s="447" t="s">
        <v>405</v>
      </c>
      <c r="N267" s="456">
        <v>2750</v>
      </c>
      <c r="O267" s="475">
        <f t="shared" si="1"/>
        <v>2750</v>
      </c>
      <c r="P267" s="476"/>
      <c r="Q267" s="477">
        <v>46023</v>
      </c>
      <c r="R267" s="476"/>
      <c r="S267" s="476"/>
    </row>
    <row r="268" spans="1:19" ht="15.75" customHeight="1" x14ac:dyDescent="0.25">
      <c r="A268" s="438">
        <v>265</v>
      </c>
      <c r="B268" s="470" t="s">
        <v>17</v>
      </c>
      <c r="C268" s="471" t="s">
        <v>18</v>
      </c>
      <c r="D268" s="472" t="s">
        <v>19</v>
      </c>
      <c r="E268" s="465" t="s">
        <v>2990</v>
      </c>
      <c r="F268" s="448" t="s">
        <v>2990</v>
      </c>
      <c r="G268" s="473" t="s">
        <v>3223</v>
      </c>
      <c r="H268" s="439" t="s">
        <v>403</v>
      </c>
      <c r="I268" s="474" t="s">
        <v>3459</v>
      </c>
      <c r="J268" s="474" t="s">
        <v>3464</v>
      </c>
      <c r="K268" s="443" t="s">
        <v>404</v>
      </c>
      <c r="L268" s="471">
        <v>1</v>
      </c>
      <c r="M268" s="447" t="s">
        <v>406</v>
      </c>
      <c r="N268" s="456">
        <v>2750</v>
      </c>
      <c r="O268" s="475">
        <f t="shared" si="1"/>
        <v>2750</v>
      </c>
      <c r="P268" s="476"/>
      <c r="Q268" s="477">
        <v>46023</v>
      </c>
      <c r="R268" s="476"/>
      <c r="S268" s="476"/>
    </row>
    <row r="269" spans="1:19" ht="15.75" customHeight="1" x14ac:dyDescent="0.25">
      <c r="A269" s="438">
        <v>266</v>
      </c>
      <c r="B269" s="470" t="s">
        <v>17</v>
      </c>
      <c r="C269" s="471" t="s">
        <v>18</v>
      </c>
      <c r="D269" s="472" t="s">
        <v>19</v>
      </c>
      <c r="E269" s="465" t="s">
        <v>3047</v>
      </c>
      <c r="F269" s="448" t="s">
        <v>3047</v>
      </c>
      <c r="G269" s="473" t="s">
        <v>3223</v>
      </c>
      <c r="H269" s="439" t="s">
        <v>403</v>
      </c>
      <c r="I269" s="474" t="s">
        <v>3459</v>
      </c>
      <c r="J269" s="474" t="s">
        <v>3464</v>
      </c>
      <c r="K269" s="443" t="s">
        <v>404</v>
      </c>
      <c r="L269" s="471">
        <v>1</v>
      </c>
      <c r="M269" s="447" t="s">
        <v>407</v>
      </c>
      <c r="N269" s="456">
        <v>2750</v>
      </c>
      <c r="O269" s="475">
        <f t="shared" si="1"/>
        <v>2750</v>
      </c>
      <c r="P269" s="476"/>
      <c r="Q269" s="477">
        <v>46023</v>
      </c>
      <c r="R269" s="476"/>
      <c r="S269" s="476"/>
    </row>
    <row r="270" spans="1:19" ht="15.75" customHeight="1" x14ac:dyDescent="0.25">
      <c r="A270" s="438">
        <v>267</v>
      </c>
      <c r="B270" s="470" t="s">
        <v>17</v>
      </c>
      <c r="C270" s="471" t="s">
        <v>18</v>
      </c>
      <c r="D270" s="472" t="s">
        <v>19</v>
      </c>
      <c r="E270" s="465" t="s">
        <v>4086</v>
      </c>
      <c r="F270" s="448" t="s">
        <v>4097</v>
      </c>
      <c r="G270" s="473" t="s">
        <v>3223</v>
      </c>
      <c r="H270" s="439" t="s">
        <v>403</v>
      </c>
      <c r="I270" s="474" t="s">
        <v>3459</v>
      </c>
      <c r="J270" s="474" t="s">
        <v>3464</v>
      </c>
      <c r="K270" s="443" t="s">
        <v>404</v>
      </c>
      <c r="L270" s="471">
        <v>1</v>
      </c>
      <c r="M270" s="447" t="s">
        <v>408</v>
      </c>
      <c r="N270" s="456">
        <v>2750</v>
      </c>
      <c r="O270" s="475">
        <f t="shared" si="1"/>
        <v>2750</v>
      </c>
      <c r="P270" s="476"/>
      <c r="Q270" s="477">
        <v>46023</v>
      </c>
      <c r="R270" s="476"/>
      <c r="S270" s="476"/>
    </row>
    <row r="271" spans="1:19" ht="15.75" customHeight="1" x14ac:dyDescent="0.25">
      <c r="A271" s="438">
        <v>268</v>
      </c>
      <c r="B271" s="470" t="s">
        <v>17</v>
      </c>
      <c r="C271" s="471" t="s">
        <v>18</v>
      </c>
      <c r="D271" s="472" t="s">
        <v>19</v>
      </c>
      <c r="E271" s="465" t="s">
        <v>4091</v>
      </c>
      <c r="F271" s="448" t="s">
        <v>4107</v>
      </c>
      <c r="G271" s="473" t="s">
        <v>3223</v>
      </c>
      <c r="H271" s="439" t="s">
        <v>403</v>
      </c>
      <c r="I271" s="474" t="s">
        <v>3459</v>
      </c>
      <c r="J271" s="474" t="s">
        <v>3464</v>
      </c>
      <c r="K271" s="443" t="s">
        <v>404</v>
      </c>
      <c r="L271" s="471">
        <v>1</v>
      </c>
      <c r="M271" s="447" t="s">
        <v>409</v>
      </c>
      <c r="N271" s="456">
        <v>2750</v>
      </c>
      <c r="O271" s="475">
        <f t="shared" si="1"/>
        <v>2750</v>
      </c>
      <c r="P271" s="476"/>
      <c r="Q271" s="477">
        <v>46023</v>
      </c>
      <c r="R271" s="476"/>
      <c r="S271" s="476"/>
    </row>
    <row r="272" spans="1:19" ht="15.75" customHeight="1" x14ac:dyDescent="0.25">
      <c r="A272" s="438">
        <v>269</v>
      </c>
      <c r="B272" s="470" t="s">
        <v>17</v>
      </c>
      <c r="C272" s="471" t="s">
        <v>18</v>
      </c>
      <c r="D272" s="472" t="s">
        <v>19</v>
      </c>
      <c r="E272" s="465" t="s">
        <v>4087</v>
      </c>
      <c r="F272" s="448" t="s">
        <v>4098</v>
      </c>
      <c r="G272" s="473" t="s">
        <v>3223</v>
      </c>
      <c r="H272" s="439" t="s">
        <v>403</v>
      </c>
      <c r="I272" s="474" t="s">
        <v>3459</v>
      </c>
      <c r="J272" s="474" t="s">
        <v>3464</v>
      </c>
      <c r="K272" s="443" t="s">
        <v>404</v>
      </c>
      <c r="L272" s="471">
        <v>1</v>
      </c>
      <c r="M272" s="447" t="s">
        <v>410</v>
      </c>
      <c r="N272" s="456">
        <v>2750</v>
      </c>
      <c r="O272" s="475">
        <f t="shared" si="1"/>
        <v>2750</v>
      </c>
      <c r="P272" s="476"/>
      <c r="Q272" s="477">
        <v>46023</v>
      </c>
      <c r="R272" s="476"/>
      <c r="S272" s="476"/>
    </row>
    <row r="273" spans="1:19" ht="15.75" customHeight="1" x14ac:dyDescent="0.25">
      <c r="A273" s="438">
        <v>270</v>
      </c>
      <c r="B273" s="470" t="s">
        <v>17</v>
      </c>
      <c r="C273" s="471" t="s">
        <v>18</v>
      </c>
      <c r="D273" s="472" t="s">
        <v>19</v>
      </c>
      <c r="E273" s="465" t="s">
        <v>4086</v>
      </c>
      <c r="F273" s="448" t="s">
        <v>4102</v>
      </c>
      <c r="G273" s="473" t="s">
        <v>3223</v>
      </c>
      <c r="H273" s="439" t="s">
        <v>403</v>
      </c>
      <c r="I273" s="474" t="s">
        <v>3459</v>
      </c>
      <c r="J273" s="474" t="s">
        <v>3464</v>
      </c>
      <c r="K273" s="443" t="s">
        <v>404</v>
      </c>
      <c r="L273" s="471">
        <v>1</v>
      </c>
      <c r="M273" s="447" t="s">
        <v>411</v>
      </c>
      <c r="N273" s="456">
        <v>2750</v>
      </c>
      <c r="O273" s="475">
        <f t="shared" si="1"/>
        <v>2750</v>
      </c>
      <c r="P273" s="476"/>
      <c r="Q273" s="477">
        <v>46023</v>
      </c>
      <c r="R273" s="476"/>
      <c r="S273" s="476"/>
    </row>
    <row r="274" spans="1:19" ht="15.75" customHeight="1" x14ac:dyDescent="0.25">
      <c r="A274" s="438">
        <v>271</v>
      </c>
      <c r="B274" s="470" t="s">
        <v>17</v>
      </c>
      <c r="C274" s="471" t="s">
        <v>18</v>
      </c>
      <c r="D274" s="472" t="s">
        <v>19</v>
      </c>
      <c r="E274" s="465" t="s">
        <v>4088</v>
      </c>
      <c r="F274" s="448" t="s">
        <v>3049</v>
      </c>
      <c r="G274" s="473" t="s">
        <v>3223</v>
      </c>
      <c r="H274" s="439" t="s">
        <v>403</v>
      </c>
      <c r="I274" s="474" t="s">
        <v>3459</v>
      </c>
      <c r="J274" s="474" t="s">
        <v>3464</v>
      </c>
      <c r="K274" s="443" t="s">
        <v>404</v>
      </c>
      <c r="L274" s="471">
        <v>1</v>
      </c>
      <c r="M274" s="447" t="s">
        <v>412</v>
      </c>
      <c r="N274" s="456">
        <v>2750</v>
      </c>
      <c r="O274" s="475">
        <f t="shared" si="1"/>
        <v>2750</v>
      </c>
      <c r="P274" s="476"/>
      <c r="Q274" s="477">
        <v>46023</v>
      </c>
      <c r="R274" s="476"/>
      <c r="S274" s="476"/>
    </row>
    <row r="275" spans="1:19" ht="15.75" customHeight="1" x14ac:dyDescent="0.25">
      <c r="A275" s="438">
        <v>272</v>
      </c>
      <c r="B275" s="470" t="s">
        <v>17</v>
      </c>
      <c r="C275" s="471" t="s">
        <v>18</v>
      </c>
      <c r="D275" s="472" t="s">
        <v>19</v>
      </c>
      <c r="E275" s="465" t="s">
        <v>4088</v>
      </c>
      <c r="F275" s="448" t="s">
        <v>3025</v>
      </c>
      <c r="G275" s="473" t="s">
        <v>3223</v>
      </c>
      <c r="H275" s="439" t="s">
        <v>403</v>
      </c>
      <c r="I275" s="474" t="s">
        <v>3459</v>
      </c>
      <c r="J275" s="474" t="s">
        <v>3464</v>
      </c>
      <c r="K275" s="443" t="s">
        <v>404</v>
      </c>
      <c r="L275" s="471">
        <v>1</v>
      </c>
      <c r="M275" s="447" t="s">
        <v>3490</v>
      </c>
      <c r="N275" s="456">
        <v>2750</v>
      </c>
      <c r="O275" s="475">
        <f t="shared" si="1"/>
        <v>2750</v>
      </c>
      <c r="P275" s="476"/>
      <c r="Q275" s="477">
        <v>46023</v>
      </c>
      <c r="R275" s="476"/>
      <c r="S275" s="476"/>
    </row>
    <row r="276" spans="1:19" ht="15.75" customHeight="1" x14ac:dyDescent="0.25">
      <c r="A276" s="438">
        <v>273</v>
      </c>
      <c r="B276" s="470" t="s">
        <v>17</v>
      </c>
      <c r="C276" s="471" t="s">
        <v>18</v>
      </c>
      <c r="D276" s="472" t="s">
        <v>19</v>
      </c>
      <c r="E276" s="448" t="s">
        <v>4087</v>
      </c>
      <c r="F276" s="448" t="s">
        <v>4099</v>
      </c>
      <c r="G276" s="473" t="s">
        <v>3223</v>
      </c>
      <c r="H276" s="439" t="s">
        <v>403</v>
      </c>
      <c r="I276" s="474" t="s">
        <v>3459</v>
      </c>
      <c r="J276" s="474" t="s">
        <v>3464</v>
      </c>
      <c r="K276" s="443" t="s">
        <v>404</v>
      </c>
      <c r="L276" s="471">
        <v>1</v>
      </c>
      <c r="M276" s="447" t="s">
        <v>413</v>
      </c>
      <c r="N276" s="456">
        <v>2750</v>
      </c>
      <c r="O276" s="475">
        <f t="shared" si="1"/>
        <v>2750</v>
      </c>
      <c r="P276" s="476"/>
      <c r="Q276" s="477">
        <v>46023</v>
      </c>
      <c r="R276" s="476"/>
      <c r="S276" s="476"/>
    </row>
    <row r="277" spans="1:19" ht="15.75" customHeight="1" x14ac:dyDescent="0.25">
      <c r="A277" s="438">
        <v>274</v>
      </c>
      <c r="B277" s="470" t="s">
        <v>17</v>
      </c>
      <c r="C277" s="471" t="s">
        <v>18</v>
      </c>
      <c r="D277" s="472" t="s">
        <v>19</v>
      </c>
      <c r="E277" s="465" t="s">
        <v>4091</v>
      </c>
      <c r="F277" s="448" t="s">
        <v>4112</v>
      </c>
      <c r="G277" s="473" t="s">
        <v>3223</v>
      </c>
      <c r="H277" s="439" t="s">
        <v>403</v>
      </c>
      <c r="I277" s="474" t="s">
        <v>3459</v>
      </c>
      <c r="J277" s="474" t="s">
        <v>3464</v>
      </c>
      <c r="K277" s="443" t="s">
        <v>404</v>
      </c>
      <c r="L277" s="471">
        <v>1</v>
      </c>
      <c r="M277" s="447" t="s">
        <v>414</v>
      </c>
      <c r="N277" s="456">
        <v>2750</v>
      </c>
      <c r="O277" s="475">
        <f t="shared" si="1"/>
        <v>2750</v>
      </c>
      <c r="P277" s="476"/>
      <c r="Q277" s="477">
        <v>46023</v>
      </c>
      <c r="R277" s="476"/>
      <c r="S277" s="476"/>
    </row>
    <row r="278" spans="1:19" ht="15.75" customHeight="1" x14ac:dyDescent="0.25">
      <c r="A278" s="438">
        <v>275</v>
      </c>
      <c r="B278" s="470" t="s">
        <v>17</v>
      </c>
      <c r="C278" s="471" t="s">
        <v>18</v>
      </c>
      <c r="D278" s="472" t="s">
        <v>19</v>
      </c>
      <c r="E278" s="448" t="s">
        <v>4086</v>
      </c>
      <c r="F278" s="448" t="s">
        <v>4112</v>
      </c>
      <c r="G278" s="473" t="s">
        <v>3223</v>
      </c>
      <c r="H278" s="439" t="s">
        <v>403</v>
      </c>
      <c r="I278" s="474" t="s">
        <v>3459</v>
      </c>
      <c r="J278" s="474" t="s">
        <v>3464</v>
      </c>
      <c r="K278" s="443" t="s">
        <v>404</v>
      </c>
      <c r="L278" s="471">
        <v>1</v>
      </c>
      <c r="M278" s="447" t="s">
        <v>415</v>
      </c>
      <c r="N278" s="456">
        <v>2750</v>
      </c>
      <c r="O278" s="475">
        <f t="shared" si="1"/>
        <v>2750</v>
      </c>
      <c r="P278" s="476"/>
      <c r="Q278" s="477">
        <v>46023</v>
      </c>
      <c r="R278" s="476"/>
      <c r="S278" s="476"/>
    </row>
    <row r="279" spans="1:19" ht="15.75" customHeight="1" x14ac:dyDescent="0.25">
      <c r="A279" s="438">
        <v>276</v>
      </c>
      <c r="B279" s="470" t="s">
        <v>17</v>
      </c>
      <c r="C279" s="471" t="s">
        <v>18</v>
      </c>
      <c r="D279" s="472" t="s">
        <v>19</v>
      </c>
      <c r="E279" s="448" t="s">
        <v>4086</v>
      </c>
      <c r="F279" s="448" t="s">
        <v>4114</v>
      </c>
      <c r="G279" s="473" t="s">
        <v>3223</v>
      </c>
      <c r="H279" s="439" t="s">
        <v>403</v>
      </c>
      <c r="I279" s="474" t="s">
        <v>3459</v>
      </c>
      <c r="J279" s="474" t="s">
        <v>3464</v>
      </c>
      <c r="K279" s="443" t="s">
        <v>404</v>
      </c>
      <c r="L279" s="471">
        <v>1</v>
      </c>
      <c r="M279" s="447" t="s">
        <v>416</v>
      </c>
      <c r="N279" s="456">
        <v>2750</v>
      </c>
      <c r="O279" s="475">
        <f t="shared" si="1"/>
        <v>2750</v>
      </c>
      <c r="P279" s="476"/>
      <c r="Q279" s="477">
        <v>46023</v>
      </c>
      <c r="R279" s="476"/>
      <c r="S279" s="476"/>
    </row>
    <row r="280" spans="1:19" ht="15.75" customHeight="1" x14ac:dyDescent="0.25">
      <c r="A280" s="438">
        <v>277</v>
      </c>
      <c r="B280" s="470" t="s">
        <v>17</v>
      </c>
      <c r="C280" s="471" t="s">
        <v>18</v>
      </c>
      <c r="D280" s="472" t="s">
        <v>19</v>
      </c>
      <c r="E280" s="448" t="s">
        <v>4086</v>
      </c>
      <c r="F280" s="448" t="s">
        <v>4103</v>
      </c>
      <c r="G280" s="473" t="s">
        <v>3223</v>
      </c>
      <c r="H280" s="439" t="s">
        <v>403</v>
      </c>
      <c r="I280" s="474" t="s">
        <v>3459</v>
      </c>
      <c r="J280" s="474" t="s">
        <v>3464</v>
      </c>
      <c r="K280" s="443" t="s">
        <v>404</v>
      </c>
      <c r="L280" s="471">
        <v>1</v>
      </c>
      <c r="M280" s="447" t="s">
        <v>417</v>
      </c>
      <c r="N280" s="456">
        <v>2750</v>
      </c>
      <c r="O280" s="475">
        <f t="shared" si="1"/>
        <v>2750</v>
      </c>
      <c r="P280" s="476"/>
      <c r="Q280" s="477">
        <v>46023</v>
      </c>
      <c r="R280" s="476"/>
      <c r="S280" s="476"/>
    </row>
    <row r="281" spans="1:19" ht="15.75" customHeight="1" x14ac:dyDescent="0.25">
      <c r="A281" s="438">
        <v>278</v>
      </c>
      <c r="B281" s="470" t="s">
        <v>17</v>
      </c>
      <c r="C281" s="471" t="s">
        <v>18</v>
      </c>
      <c r="D281" s="472" t="s">
        <v>19</v>
      </c>
      <c r="E281" s="448" t="s">
        <v>4091</v>
      </c>
      <c r="F281" s="448" t="s">
        <v>3024</v>
      </c>
      <c r="G281" s="473" t="s">
        <v>3223</v>
      </c>
      <c r="H281" s="439" t="s">
        <v>418</v>
      </c>
      <c r="I281" s="474" t="s">
        <v>3459</v>
      </c>
      <c r="J281" s="474" t="s">
        <v>3464</v>
      </c>
      <c r="K281" s="443" t="s">
        <v>404</v>
      </c>
      <c r="L281" s="471">
        <v>1</v>
      </c>
      <c r="M281" s="447" t="s">
        <v>419</v>
      </c>
      <c r="N281" s="456">
        <v>10000</v>
      </c>
      <c r="O281" s="475">
        <f t="shared" si="1"/>
        <v>10000</v>
      </c>
      <c r="P281" s="476"/>
      <c r="Q281" s="477">
        <v>46023</v>
      </c>
      <c r="R281" s="476"/>
      <c r="S281" s="476"/>
    </row>
    <row r="282" spans="1:19" ht="15.75" customHeight="1" x14ac:dyDescent="0.25">
      <c r="A282" s="438">
        <v>279</v>
      </c>
      <c r="B282" s="470" t="s">
        <v>17</v>
      </c>
      <c r="C282" s="471" t="s">
        <v>18</v>
      </c>
      <c r="D282" s="472" t="s">
        <v>19</v>
      </c>
      <c r="E282" s="465" t="s">
        <v>4085</v>
      </c>
      <c r="F282" s="448" t="s">
        <v>3026</v>
      </c>
      <c r="G282" s="473" t="s">
        <v>3223</v>
      </c>
      <c r="H282" s="439" t="s">
        <v>418</v>
      </c>
      <c r="I282" s="474" t="s">
        <v>3459</v>
      </c>
      <c r="J282" s="474" t="s">
        <v>3464</v>
      </c>
      <c r="K282" s="443" t="s">
        <v>404</v>
      </c>
      <c r="L282" s="471">
        <v>1</v>
      </c>
      <c r="M282" s="447" t="s">
        <v>420</v>
      </c>
      <c r="N282" s="456">
        <v>10000</v>
      </c>
      <c r="O282" s="475">
        <f t="shared" si="1"/>
        <v>10000</v>
      </c>
      <c r="P282" s="476"/>
      <c r="Q282" s="477">
        <v>46023</v>
      </c>
      <c r="R282" s="476"/>
      <c r="S282" s="476"/>
    </row>
    <row r="283" spans="1:19" ht="15.75" customHeight="1" x14ac:dyDescent="0.25">
      <c r="A283" s="438">
        <v>280</v>
      </c>
      <c r="B283" s="470" t="s">
        <v>17</v>
      </c>
      <c r="C283" s="471" t="s">
        <v>18</v>
      </c>
      <c r="D283" s="472" t="s">
        <v>19</v>
      </c>
      <c r="E283" s="465" t="s">
        <v>4085</v>
      </c>
      <c r="F283" s="448" t="s">
        <v>2982</v>
      </c>
      <c r="G283" s="473" t="s">
        <v>3223</v>
      </c>
      <c r="H283" s="439" t="s">
        <v>418</v>
      </c>
      <c r="I283" s="474" t="s">
        <v>3459</v>
      </c>
      <c r="J283" s="474" t="s">
        <v>3464</v>
      </c>
      <c r="K283" s="443" t="s">
        <v>404</v>
      </c>
      <c r="L283" s="471">
        <v>1</v>
      </c>
      <c r="M283" s="447" t="s">
        <v>421</v>
      </c>
      <c r="N283" s="456">
        <v>10000</v>
      </c>
      <c r="O283" s="475">
        <f t="shared" si="1"/>
        <v>10000</v>
      </c>
      <c r="P283" s="476"/>
      <c r="Q283" s="477">
        <v>46023</v>
      </c>
      <c r="R283" s="476"/>
      <c r="S283" s="476"/>
    </row>
    <row r="284" spans="1:19" ht="15.75" customHeight="1" x14ac:dyDescent="0.25">
      <c r="A284" s="438">
        <v>281</v>
      </c>
      <c r="B284" s="470" t="s">
        <v>17</v>
      </c>
      <c r="C284" s="471" t="s">
        <v>18</v>
      </c>
      <c r="D284" s="472" t="s">
        <v>19</v>
      </c>
      <c r="E284" s="465" t="s">
        <v>4085</v>
      </c>
      <c r="F284" s="448" t="s">
        <v>2985</v>
      </c>
      <c r="G284" s="473" t="s">
        <v>3223</v>
      </c>
      <c r="H284" s="439" t="s">
        <v>418</v>
      </c>
      <c r="I284" s="474" t="s">
        <v>3459</v>
      </c>
      <c r="J284" s="474" t="s">
        <v>3464</v>
      </c>
      <c r="K284" s="443" t="s">
        <v>404</v>
      </c>
      <c r="L284" s="471">
        <v>1</v>
      </c>
      <c r="M284" s="447" t="s">
        <v>422</v>
      </c>
      <c r="N284" s="456">
        <v>10000</v>
      </c>
      <c r="O284" s="475">
        <f t="shared" si="1"/>
        <v>10000</v>
      </c>
      <c r="P284" s="476"/>
      <c r="Q284" s="477">
        <v>46023</v>
      </c>
      <c r="R284" s="476"/>
      <c r="S284" s="476"/>
    </row>
    <row r="285" spans="1:19" ht="15.75" customHeight="1" x14ac:dyDescent="0.25">
      <c r="A285" s="438">
        <v>282</v>
      </c>
      <c r="B285" s="470" t="s">
        <v>17</v>
      </c>
      <c r="C285" s="471" t="s">
        <v>18</v>
      </c>
      <c r="D285" s="472" t="s">
        <v>19</v>
      </c>
      <c r="E285" s="465" t="s">
        <v>4091</v>
      </c>
      <c r="F285" s="448" t="s">
        <v>4107</v>
      </c>
      <c r="G285" s="473" t="s">
        <v>3223</v>
      </c>
      <c r="H285" s="439" t="s">
        <v>418</v>
      </c>
      <c r="I285" s="474" t="s">
        <v>3459</v>
      </c>
      <c r="J285" s="474" t="s">
        <v>3464</v>
      </c>
      <c r="K285" s="443" t="s">
        <v>404</v>
      </c>
      <c r="L285" s="471">
        <v>1</v>
      </c>
      <c r="M285" s="447" t="s">
        <v>423</v>
      </c>
      <c r="N285" s="456">
        <v>10000</v>
      </c>
      <c r="O285" s="475">
        <f t="shared" si="1"/>
        <v>10000</v>
      </c>
      <c r="P285" s="476"/>
      <c r="Q285" s="477">
        <v>46023</v>
      </c>
      <c r="R285" s="476"/>
      <c r="S285" s="476"/>
    </row>
    <row r="286" spans="1:19" ht="15.75" customHeight="1" x14ac:dyDescent="0.25">
      <c r="A286" s="438">
        <v>283</v>
      </c>
      <c r="B286" s="470" t="s">
        <v>17</v>
      </c>
      <c r="C286" s="471" t="s">
        <v>18</v>
      </c>
      <c r="D286" s="472" t="s">
        <v>19</v>
      </c>
      <c r="E286" s="465" t="s">
        <v>4091</v>
      </c>
      <c r="F286" s="448" t="s">
        <v>4115</v>
      </c>
      <c r="G286" s="473" t="s">
        <v>3223</v>
      </c>
      <c r="H286" s="439" t="s">
        <v>418</v>
      </c>
      <c r="I286" s="474" t="s">
        <v>3459</v>
      </c>
      <c r="J286" s="474" t="s">
        <v>3464</v>
      </c>
      <c r="K286" s="443" t="s">
        <v>404</v>
      </c>
      <c r="L286" s="471">
        <v>1</v>
      </c>
      <c r="M286" s="447" t="s">
        <v>424</v>
      </c>
      <c r="N286" s="456">
        <v>10000</v>
      </c>
      <c r="O286" s="475">
        <f t="shared" si="1"/>
        <v>10000</v>
      </c>
      <c r="P286" s="476"/>
      <c r="Q286" s="477">
        <v>46023</v>
      </c>
      <c r="R286" s="476"/>
      <c r="S286" s="476"/>
    </row>
    <row r="287" spans="1:19" ht="15.75" customHeight="1" x14ac:dyDescent="0.25">
      <c r="A287" s="438">
        <v>284</v>
      </c>
      <c r="B287" s="470" t="s">
        <v>17</v>
      </c>
      <c r="C287" s="471" t="s">
        <v>18</v>
      </c>
      <c r="D287" s="472" t="s">
        <v>19</v>
      </c>
      <c r="E287" s="465" t="s">
        <v>4091</v>
      </c>
      <c r="F287" s="448" t="s">
        <v>4110</v>
      </c>
      <c r="G287" s="473" t="s">
        <v>3223</v>
      </c>
      <c r="H287" s="439" t="s">
        <v>418</v>
      </c>
      <c r="I287" s="474" t="s">
        <v>3459</v>
      </c>
      <c r="J287" s="474" t="s">
        <v>3464</v>
      </c>
      <c r="K287" s="443" t="s">
        <v>404</v>
      </c>
      <c r="L287" s="471">
        <v>1</v>
      </c>
      <c r="M287" s="447" t="s">
        <v>425</v>
      </c>
      <c r="N287" s="456">
        <v>10000</v>
      </c>
      <c r="O287" s="475">
        <f t="shared" si="1"/>
        <v>10000</v>
      </c>
      <c r="P287" s="476"/>
      <c r="Q287" s="477">
        <v>46023</v>
      </c>
      <c r="R287" s="476"/>
      <c r="S287" s="476"/>
    </row>
    <row r="288" spans="1:19" ht="15.75" customHeight="1" x14ac:dyDescent="0.25">
      <c r="A288" s="438">
        <v>285</v>
      </c>
      <c r="B288" s="470" t="s">
        <v>17</v>
      </c>
      <c r="C288" s="471" t="s">
        <v>18</v>
      </c>
      <c r="D288" s="472" t="s">
        <v>19</v>
      </c>
      <c r="E288" s="448" t="s">
        <v>4083</v>
      </c>
      <c r="F288" s="448" t="s">
        <v>4100</v>
      </c>
      <c r="G288" s="473" t="s">
        <v>3223</v>
      </c>
      <c r="H288" s="439" t="s">
        <v>418</v>
      </c>
      <c r="I288" s="474" t="s">
        <v>3459</v>
      </c>
      <c r="J288" s="474" t="s">
        <v>3464</v>
      </c>
      <c r="K288" s="443" t="s">
        <v>404</v>
      </c>
      <c r="L288" s="471">
        <v>1</v>
      </c>
      <c r="M288" s="447" t="s">
        <v>426</v>
      </c>
      <c r="N288" s="456">
        <v>10000</v>
      </c>
      <c r="O288" s="475">
        <f t="shared" si="1"/>
        <v>10000</v>
      </c>
      <c r="P288" s="476"/>
      <c r="Q288" s="477">
        <v>46023</v>
      </c>
      <c r="R288" s="476"/>
      <c r="S288" s="476"/>
    </row>
    <row r="289" spans="1:19" ht="15.75" customHeight="1" x14ac:dyDescent="0.25">
      <c r="A289" s="438">
        <v>286</v>
      </c>
      <c r="B289" s="470" t="s">
        <v>17</v>
      </c>
      <c r="C289" s="471" t="s">
        <v>18</v>
      </c>
      <c r="D289" s="472" t="s">
        <v>19</v>
      </c>
      <c r="E289" s="448" t="s">
        <v>4091</v>
      </c>
      <c r="F289" s="448" t="s">
        <v>4114</v>
      </c>
      <c r="G289" s="473" t="s">
        <v>3223</v>
      </c>
      <c r="H289" s="439" t="s">
        <v>418</v>
      </c>
      <c r="I289" s="474" t="s">
        <v>3459</v>
      </c>
      <c r="J289" s="474" t="s">
        <v>3464</v>
      </c>
      <c r="K289" s="443" t="s">
        <v>404</v>
      </c>
      <c r="L289" s="471">
        <v>1</v>
      </c>
      <c r="M289" s="447" t="s">
        <v>427</v>
      </c>
      <c r="N289" s="456">
        <v>10000</v>
      </c>
      <c r="O289" s="475">
        <f t="shared" si="1"/>
        <v>10000</v>
      </c>
      <c r="P289" s="476"/>
      <c r="Q289" s="477">
        <v>46023</v>
      </c>
      <c r="R289" s="476"/>
      <c r="S289" s="476"/>
    </row>
    <row r="290" spans="1:19" ht="15.75" customHeight="1" x14ac:dyDescent="0.25">
      <c r="A290" s="438">
        <v>287</v>
      </c>
      <c r="B290" s="470" t="s">
        <v>17</v>
      </c>
      <c r="C290" s="471" t="s">
        <v>18</v>
      </c>
      <c r="D290" s="472" t="s">
        <v>19</v>
      </c>
      <c r="E290" s="448" t="s">
        <v>2990</v>
      </c>
      <c r="F290" s="448" t="s">
        <v>2990</v>
      </c>
      <c r="G290" s="473" t="s">
        <v>3065</v>
      </c>
      <c r="H290" s="439" t="s">
        <v>428</v>
      </c>
      <c r="I290" s="474" t="s">
        <v>3459</v>
      </c>
      <c r="J290" s="474" t="s">
        <v>3464</v>
      </c>
      <c r="K290" s="443" t="s">
        <v>349</v>
      </c>
      <c r="L290" s="471">
        <v>1</v>
      </c>
      <c r="M290" s="447" t="s">
        <v>429</v>
      </c>
      <c r="N290" s="456">
        <v>5185</v>
      </c>
      <c r="O290" s="475">
        <f t="shared" si="1"/>
        <v>5185</v>
      </c>
      <c r="P290" s="476"/>
      <c r="Q290" s="477">
        <v>46023</v>
      </c>
      <c r="R290" s="476"/>
      <c r="S290" s="476"/>
    </row>
    <row r="291" spans="1:19" ht="15.75" customHeight="1" x14ac:dyDescent="0.25">
      <c r="A291" s="438">
        <v>288</v>
      </c>
      <c r="B291" s="470" t="s">
        <v>17</v>
      </c>
      <c r="C291" s="471" t="s">
        <v>18</v>
      </c>
      <c r="D291" s="472" t="s">
        <v>19</v>
      </c>
      <c r="E291" s="448" t="s">
        <v>4091</v>
      </c>
      <c r="F291" s="448" t="s">
        <v>3024</v>
      </c>
      <c r="G291" s="473" t="s">
        <v>3065</v>
      </c>
      <c r="H291" s="439" t="s">
        <v>428</v>
      </c>
      <c r="I291" s="474" t="s">
        <v>3459</v>
      </c>
      <c r="J291" s="474" t="s">
        <v>3464</v>
      </c>
      <c r="K291" s="443" t="s">
        <v>349</v>
      </c>
      <c r="L291" s="471">
        <v>1</v>
      </c>
      <c r="M291" s="447" t="s">
        <v>430</v>
      </c>
      <c r="N291" s="456">
        <v>5185</v>
      </c>
      <c r="O291" s="475">
        <f t="shared" si="1"/>
        <v>5185</v>
      </c>
      <c r="P291" s="476"/>
      <c r="Q291" s="477">
        <v>46023</v>
      </c>
      <c r="R291" s="476"/>
      <c r="S291" s="476"/>
    </row>
    <row r="292" spans="1:19" ht="15.75" customHeight="1" x14ac:dyDescent="0.25">
      <c r="A292" s="438">
        <v>289</v>
      </c>
      <c r="B292" s="470" t="s">
        <v>17</v>
      </c>
      <c r="C292" s="471" t="s">
        <v>18</v>
      </c>
      <c r="D292" s="472" t="s">
        <v>19</v>
      </c>
      <c r="E292" s="448" t="s">
        <v>4086</v>
      </c>
      <c r="F292" s="448" t="s">
        <v>4097</v>
      </c>
      <c r="G292" s="473" t="s">
        <v>3065</v>
      </c>
      <c r="H292" s="439" t="s">
        <v>428</v>
      </c>
      <c r="I292" s="474" t="s">
        <v>3459</v>
      </c>
      <c r="J292" s="474" t="s">
        <v>3464</v>
      </c>
      <c r="K292" s="443" t="s">
        <v>349</v>
      </c>
      <c r="L292" s="471">
        <v>1</v>
      </c>
      <c r="M292" s="447" t="s">
        <v>431</v>
      </c>
      <c r="N292" s="456">
        <v>5185</v>
      </c>
      <c r="O292" s="475">
        <f t="shared" si="1"/>
        <v>5185</v>
      </c>
      <c r="P292" s="476"/>
      <c r="Q292" s="477">
        <v>46023</v>
      </c>
      <c r="R292" s="476"/>
      <c r="S292" s="476"/>
    </row>
    <row r="293" spans="1:19" ht="15.75" customHeight="1" x14ac:dyDescent="0.25">
      <c r="A293" s="438">
        <v>290</v>
      </c>
      <c r="B293" s="470" t="s">
        <v>17</v>
      </c>
      <c r="C293" s="471" t="s">
        <v>18</v>
      </c>
      <c r="D293" s="472" t="s">
        <v>19</v>
      </c>
      <c r="E293" s="448" t="s">
        <v>4086</v>
      </c>
      <c r="F293" s="448" t="s">
        <v>4097</v>
      </c>
      <c r="G293" s="473" t="s">
        <v>3065</v>
      </c>
      <c r="H293" s="439" t="s">
        <v>428</v>
      </c>
      <c r="I293" s="474" t="s">
        <v>3459</v>
      </c>
      <c r="J293" s="474" t="s">
        <v>3464</v>
      </c>
      <c r="K293" s="443" t="s">
        <v>349</v>
      </c>
      <c r="L293" s="471">
        <v>1</v>
      </c>
      <c r="M293" s="447" t="s">
        <v>432</v>
      </c>
      <c r="N293" s="456">
        <v>5185</v>
      </c>
      <c r="O293" s="475">
        <f t="shared" si="1"/>
        <v>5185</v>
      </c>
      <c r="P293" s="476"/>
      <c r="Q293" s="477">
        <v>46023</v>
      </c>
      <c r="R293" s="476"/>
      <c r="S293" s="476"/>
    </row>
    <row r="294" spans="1:19" ht="15.75" customHeight="1" x14ac:dyDescent="0.25">
      <c r="A294" s="438">
        <v>291</v>
      </c>
      <c r="B294" s="470" t="s">
        <v>17</v>
      </c>
      <c r="C294" s="471" t="s">
        <v>18</v>
      </c>
      <c r="D294" s="472" t="s">
        <v>19</v>
      </c>
      <c r="E294" s="448" t="s">
        <v>4090</v>
      </c>
      <c r="F294" s="448" t="s">
        <v>4090</v>
      </c>
      <c r="G294" s="473" t="s">
        <v>3065</v>
      </c>
      <c r="H294" s="439" t="s">
        <v>428</v>
      </c>
      <c r="I294" s="474" t="s">
        <v>3459</v>
      </c>
      <c r="J294" s="474" t="s">
        <v>3464</v>
      </c>
      <c r="K294" s="443" t="s">
        <v>349</v>
      </c>
      <c r="L294" s="471">
        <v>1</v>
      </c>
      <c r="M294" s="447" t="s">
        <v>433</v>
      </c>
      <c r="N294" s="456">
        <v>5185</v>
      </c>
      <c r="O294" s="475">
        <f t="shared" si="1"/>
        <v>5185</v>
      </c>
      <c r="P294" s="476"/>
      <c r="Q294" s="477">
        <v>46023</v>
      </c>
      <c r="R294" s="476"/>
      <c r="S294" s="476"/>
    </row>
    <row r="295" spans="1:19" ht="15.75" customHeight="1" x14ac:dyDescent="0.25">
      <c r="A295" s="438">
        <v>292</v>
      </c>
      <c r="B295" s="470" t="s">
        <v>17</v>
      </c>
      <c r="C295" s="471" t="s">
        <v>18</v>
      </c>
      <c r="D295" s="472" t="s">
        <v>19</v>
      </c>
      <c r="E295" s="448" t="s">
        <v>4083</v>
      </c>
      <c r="F295" s="448" t="s">
        <v>2988</v>
      </c>
      <c r="G295" s="473" t="s">
        <v>3065</v>
      </c>
      <c r="H295" s="439" t="s">
        <v>428</v>
      </c>
      <c r="I295" s="474" t="s">
        <v>3459</v>
      </c>
      <c r="J295" s="474" t="s">
        <v>3464</v>
      </c>
      <c r="K295" s="443" t="s">
        <v>349</v>
      </c>
      <c r="L295" s="471">
        <v>1</v>
      </c>
      <c r="M295" s="447" t="s">
        <v>434</v>
      </c>
      <c r="N295" s="456">
        <v>5185</v>
      </c>
      <c r="O295" s="475">
        <f t="shared" si="1"/>
        <v>5185</v>
      </c>
      <c r="P295" s="476"/>
      <c r="Q295" s="477">
        <v>46023</v>
      </c>
      <c r="R295" s="476"/>
      <c r="S295" s="476"/>
    </row>
    <row r="296" spans="1:19" ht="15.75" customHeight="1" x14ac:dyDescent="0.25">
      <c r="A296" s="438">
        <v>293</v>
      </c>
      <c r="B296" s="470" t="s">
        <v>17</v>
      </c>
      <c r="C296" s="471" t="s">
        <v>18</v>
      </c>
      <c r="D296" s="472" t="s">
        <v>19</v>
      </c>
      <c r="E296" s="465" t="s">
        <v>4083</v>
      </c>
      <c r="F296" s="448" t="s">
        <v>2988</v>
      </c>
      <c r="G296" s="473" t="s">
        <v>3065</v>
      </c>
      <c r="H296" s="439" t="s">
        <v>428</v>
      </c>
      <c r="I296" s="474" t="s">
        <v>3459</v>
      </c>
      <c r="J296" s="474" t="s">
        <v>3464</v>
      </c>
      <c r="K296" s="443" t="s">
        <v>349</v>
      </c>
      <c r="L296" s="471">
        <v>1</v>
      </c>
      <c r="M296" s="447" t="s">
        <v>435</v>
      </c>
      <c r="N296" s="456">
        <v>5185</v>
      </c>
      <c r="O296" s="475">
        <f t="shared" si="1"/>
        <v>5185</v>
      </c>
      <c r="P296" s="476"/>
      <c r="Q296" s="477">
        <v>46023</v>
      </c>
      <c r="R296" s="476"/>
      <c r="S296" s="476"/>
    </row>
    <row r="297" spans="1:19" ht="15.75" customHeight="1" x14ac:dyDescent="0.25">
      <c r="A297" s="438">
        <v>294</v>
      </c>
      <c r="B297" s="470" t="s">
        <v>17</v>
      </c>
      <c r="C297" s="471" t="s">
        <v>18</v>
      </c>
      <c r="D297" s="472" t="s">
        <v>19</v>
      </c>
      <c r="E297" s="448" t="s">
        <v>4083</v>
      </c>
      <c r="F297" s="448" t="s">
        <v>4109</v>
      </c>
      <c r="G297" s="473" t="s">
        <v>3065</v>
      </c>
      <c r="H297" s="439" t="s">
        <v>428</v>
      </c>
      <c r="I297" s="474" t="s">
        <v>3459</v>
      </c>
      <c r="J297" s="474" t="s">
        <v>3464</v>
      </c>
      <c r="K297" s="443" t="s">
        <v>349</v>
      </c>
      <c r="L297" s="471">
        <v>1</v>
      </c>
      <c r="M297" s="447" t="s">
        <v>436</v>
      </c>
      <c r="N297" s="456">
        <v>5185</v>
      </c>
      <c r="O297" s="475">
        <f t="shared" si="1"/>
        <v>5185</v>
      </c>
      <c r="P297" s="476"/>
      <c r="Q297" s="477">
        <v>46023</v>
      </c>
      <c r="R297" s="476"/>
      <c r="S297" s="476"/>
    </row>
    <row r="298" spans="1:19" ht="15.75" customHeight="1" x14ac:dyDescent="0.25">
      <c r="A298" s="438">
        <v>295</v>
      </c>
      <c r="B298" s="470" t="s">
        <v>17</v>
      </c>
      <c r="C298" s="471" t="s">
        <v>18</v>
      </c>
      <c r="D298" s="472" t="s">
        <v>19</v>
      </c>
      <c r="E298" s="448" t="s">
        <v>4085</v>
      </c>
      <c r="F298" s="448" t="s">
        <v>2985</v>
      </c>
      <c r="G298" s="473" t="s">
        <v>3065</v>
      </c>
      <c r="H298" s="439" t="s">
        <v>428</v>
      </c>
      <c r="I298" s="474" t="s">
        <v>3459</v>
      </c>
      <c r="J298" s="474" t="s">
        <v>3464</v>
      </c>
      <c r="K298" s="443" t="s">
        <v>349</v>
      </c>
      <c r="L298" s="471">
        <v>1</v>
      </c>
      <c r="M298" s="447" t="s">
        <v>437</v>
      </c>
      <c r="N298" s="456">
        <v>5185</v>
      </c>
      <c r="O298" s="475">
        <f t="shared" si="1"/>
        <v>5185</v>
      </c>
      <c r="P298" s="476"/>
      <c r="Q298" s="477">
        <v>46023</v>
      </c>
      <c r="R298" s="476"/>
      <c r="S298" s="476"/>
    </row>
    <row r="299" spans="1:19" ht="15.75" customHeight="1" x14ac:dyDescent="0.25">
      <c r="A299" s="438">
        <v>296</v>
      </c>
      <c r="B299" s="470" t="s">
        <v>17</v>
      </c>
      <c r="C299" s="471" t="s">
        <v>18</v>
      </c>
      <c r="D299" s="472" t="s">
        <v>19</v>
      </c>
      <c r="E299" s="448" t="s">
        <v>4091</v>
      </c>
      <c r="F299" s="448" t="s">
        <v>4107</v>
      </c>
      <c r="G299" s="473" t="s">
        <v>3065</v>
      </c>
      <c r="H299" s="439" t="s">
        <v>428</v>
      </c>
      <c r="I299" s="474" t="s">
        <v>3459</v>
      </c>
      <c r="J299" s="474" t="s">
        <v>3464</v>
      </c>
      <c r="K299" s="443" t="s">
        <v>349</v>
      </c>
      <c r="L299" s="471">
        <v>1</v>
      </c>
      <c r="M299" s="447" t="s">
        <v>438</v>
      </c>
      <c r="N299" s="456">
        <v>5185</v>
      </c>
      <c r="O299" s="475">
        <f t="shared" si="1"/>
        <v>5185</v>
      </c>
      <c r="P299" s="476"/>
      <c r="Q299" s="477">
        <v>46023</v>
      </c>
      <c r="R299" s="476"/>
      <c r="S299" s="476"/>
    </row>
    <row r="300" spans="1:19" ht="15.75" customHeight="1" x14ac:dyDescent="0.25">
      <c r="A300" s="438">
        <v>297</v>
      </c>
      <c r="B300" s="470" t="s">
        <v>17</v>
      </c>
      <c r="C300" s="471" t="s">
        <v>18</v>
      </c>
      <c r="D300" s="472" t="s">
        <v>19</v>
      </c>
      <c r="E300" s="448" t="s">
        <v>4091</v>
      </c>
      <c r="F300" s="448" t="s">
        <v>4107</v>
      </c>
      <c r="G300" s="473" t="s">
        <v>3065</v>
      </c>
      <c r="H300" s="439" t="s">
        <v>428</v>
      </c>
      <c r="I300" s="474" t="s">
        <v>3459</v>
      </c>
      <c r="J300" s="474" t="s">
        <v>3464</v>
      </c>
      <c r="K300" s="443" t="s">
        <v>349</v>
      </c>
      <c r="L300" s="471">
        <v>1</v>
      </c>
      <c r="M300" s="447" t="s">
        <v>439</v>
      </c>
      <c r="N300" s="456">
        <v>5185</v>
      </c>
      <c r="O300" s="475">
        <f t="shared" si="1"/>
        <v>5185</v>
      </c>
      <c r="P300" s="476"/>
      <c r="Q300" s="477">
        <v>46023</v>
      </c>
      <c r="R300" s="476"/>
      <c r="S300" s="476"/>
    </row>
    <row r="301" spans="1:19" ht="15.75" customHeight="1" x14ac:dyDescent="0.25">
      <c r="A301" s="438">
        <v>298</v>
      </c>
      <c r="B301" s="470" t="s">
        <v>17</v>
      </c>
      <c r="C301" s="471" t="s">
        <v>18</v>
      </c>
      <c r="D301" s="472" t="s">
        <v>19</v>
      </c>
      <c r="E301" s="448" t="s">
        <v>4081</v>
      </c>
      <c r="F301" s="448" t="s">
        <v>2989</v>
      </c>
      <c r="G301" s="473" t="s">
        <v>3065</v>
      </c>
      <c r="H301" s="439" t="s">
        <v>428</v>
      </c>
      <c r="I301" s="474" t="s">
        <v>3459</v>
      </c>
      <c r="J301" s="474" t="s">
        <v>3464</v>
      </c>
      <c r="K301" s="443" t="s">
        <v>349</v>
      </c>
      <c r="L301" s="471">
        <v>1</v>
      </c>
      <c r="M301" s="447" t="s">
        <v>440</v>
      </c>
      <c r="N301" s="456">
        <v>5185</v>
      </c>
      <c r="O301" s="475">
        <f t="shared" si="1"/>
        <v>5185</v>
      </c>
      <c r="P301" s="476"/>
      <c r="Q301" s="477">
        <v>46023</v>
      </c>
      <c r="R301" s="476"/>
      <c r="S301" s="476"/>
    </row>
    <row r="302" spans="1:19" ht="15.75" customHeight="1" x14ac:dyDescent="0.25">
      <c r="A302" s="438">
        <v>299</v>
      </c>
      <c r="B302" s="470" t="s">
        <v>17</v>
      </c>
      <c r="C302" s="471" t="s">
        <v>18</v>
      </c>
      <c r="D302" s="472" t="s">
        <v>19</v>
      </c>
      <c r="E302" s="448" t="s">
        <v>4091</v>
      </c>
      <c r="F302" s="448" t="s">
        <v>4115</v>
      </c>
      <c r="G302" s="473" t="s">
        <v>3065</v>
      </c>
      <c r="H302" s="439" t="s">
        <v>428</v>
      </c>
      <c r="I302" s="474" t="s">
        <v>3459</v>
      </c>
      <c r="J302" s="474" t="s">
        <v>3464</v>
      </c>
      <c r="K302" s="443" t="s">
        <v>349</v>
      </c>
      <c r="L302" s="471">
        <v>1</v>
      </c>
      <c r="M302" s="447" t="s">
        <v>441</v>
      </c>
      <c r="N302" s="456">
        <v>5185</v>
      </c>
      <c r="O302" s="475">
        <f t="shared" si="1"/>
        <v>5185</v>
      </c>
      <c r="P302" s="476"/>
      <c r="Q302" s="477">
        <v>46023</v>
      </c>
      <c r="R302" s="476"/>
      <c r="S302" s="476"/>
    </row>
    <row r="303" spans="1:19" ht="15.75" customHeight="1" x14ac:dyDescent="0.25">
      <c r="A303" s="438">
        <v>300</v>
      </c>
      <c r="B303" s="470" t="s">
        <v>17</v>
      </c>
      <c r="C303" s="471" t="s">
        <v>18</v>
      </c>
      <c r="D303" s="472" t="s">
        <v>19</v>
      </c>
      <c r="E303" s="448" t="s">
        <v>4091</v>
      </c>
      <c r="F303" s="448" t="s">
        <v>4110</v>
      </c>
      <c r="G303" s="473" t="s">
        <v>3065</v>
      </c>
      <c r="H303" s="439" t="s">
        <v>428</v>
      </c>
      <c r="I303" s="474" t="s">
        <v>3459</v>
      </c>
      <c r="J303" s="474" t="s">
        <v>3464</v>
      </c>
      <c r="K303" s="443" t="s">
        <v>349</v>
      </c>
      <c r="L303" s="471">
        <v>1</v>
      </c>
      <c r="M303" s="447" t="s">
        <v>442</v>
      </c>
      <c r="N303" s="456">
        <v>5185</v>
      </c>
      <c r="O303" s="475">
        <f t="shared" si="1"/>
        <v>5185</v>
      </c>
      <c r="P303" s="476"/>
      <c r="Q303" s="477">
        <v>46023</v>
      </c>
      <c r="R303" s="476"/>
      <c r="S303" s="476"/>
    </row>
    <row r="304" spans="1:19" ht="15.75" customHeight="1" x14ac:dyDescent="0.25">
      <c r="A304" s="438">
        <v>301</v>
      </c>
      <c r="B304" s="470" t="s">
        <v>17</v>
      </c>
      <c r="C304" s="471" t="s">
        <v>18</v>
      </c>
      <c r="D304" s="472" t="s">
        <v>19</v>
      </c>
      <c r="E304" s="448" t="s">
        <v>4087</v>
      </c>
      <c r="F304" s="448" t="s">
        <v>4098</v>
      </c>
      <c r="G304" s="473" t="s">
        <v>3065</v>
      </c>
      <c r="H304" s="439" t="s">
        <v>428</v>
      </c>
      <c r="I304" s="474" t="s">
        <v>3459</v>
      </c>
      <c r="J304" s="474" t="s">
        <v>3464</v>
      </c>
      <c r="K304" s="443" t="s">
        <v>349</v>
      </c>
      <c r="L304" s="471">
        <v>1</v>
      </c>
      <c r="M304" s="447" t="s">
        <v>443</v>
      </c>
      <c r="N304" s="456">
        <v>5185</v>
      </c>
      <c r="O304" s="475">
        <f t="shared" si="1"/>
        <v>5185</v>
      </c>
      <c r="P304" s="476"/>
      <c r="Q304" s="477">
        <v>46023</v>
      </c>
      <c r="R304" s="476"/>
      <c r="S304" s="476"/>
    </row>
    <row r="305" spans="1:19" ht="15.75" customHeight="1" x14ac:dyDescent="0.25">
      <c r="A305" s="438">
        <v>302</v>
      </c>
      <c r="B305" s="470" t="s">
        <v>17</v>
      </c>
      <c r="C305" s="471" t="s">
        <v>18</v>
      </c>
      <c r="D305" s="472" t="s">
        <v>19</v>
      </c>
      <c r="E305" s="448" t="s">
        <v>4086</v>
      </c>
      <c r="F305" s="448" t="s">
        <v>4111</v>
      </c>
      <c r="G305" s="473" t="s">
        <v>3065</v>
      </c>
      <c r="H305" s="439" t="s">
        <v>428</v>
      </c>
      <c r="I305" s="474" t="s">
        <v>3459</v>
      </c>
      <c r="J305" s="474" t="s">
        <v>3464</v>
      </c>
      <c r="K305" s="443" t="s">
        <v>349</v>
      </c>
      <c r="L305" s="471">
        <v>1</v>
      </c>
      <c r="M305" s="447" t="s">
        <v>444</v>
      </c>
      <c r="N305" s="456">
        <v>5185</v>
      </c>
      <c r="O305" s="475">
        <f t="shared" si="1"/>
        <v>5185</v>
      </c>
      <c r="P305" s="476"/>
      <c r="Q305" s="477">
        <v>46023</v>
      </c>
      <c r="R305" s="476"/>
      <c r="S305" s="476"/>
    </row>
    <row r="306" spans="1:19" ht="15.75" customHeight="1" x14ac:dyDescent="0.25">
      <c r="A306" s="438">
        <v>303</v>
      </c>
      <c r="B306" s="470" t="s">
        <v>17</v>
      </c>
      <c r="C306" s="471" t="s">
        <v>18</v>
      </c>
      <c r="D306" s="472" t="s">
        <v>19</v>
      </c>
      <c r="E306" s="465" t="s">
        <v>4091</v>
      </c>
      <c r="F306" s="448" t="s">
        <v>4114</v>
      </c>
      <c r="G306" s="473" t="s">
        <v>3065</v>
      </c>
      <c r="H306" s="439" t="s">
        <v>428</v>
      </c>
      <c r="I306" s="474" t="s">
        <v>3459</v>
      </c>
      <c r="J306" s="474" t="s">
        <v>3464</v>
      </c>
      <c r="K306" s="443" t="s">
        <v>349</v>
      </c>
      <c r="L306" s="471">
        <v>1</v>
      </c>
      <c r="M306" s="447" t="s">
        <v>445</v>
      </c>
      <c r="N306" s="456">
        <v>5185</v>
      </c>
      <c r="O306" s="475">
        <f t="shared" si="1"/>
        <v>5185</v>
      </c>
      <c r="P306" s="476"/>
      <c r="Q306" s="477">
        <v>46023</v>
      </c>
      <c r="R306" s="476"/>
      <c r="S306" s="476"/>
    </row>
    <row r="307" spans="1:19" ht="15.75" customHeight="1" x14ac:dyDescent="0.25">
      <c r="A307" s="438">
        <v>304</v>
      </c>
      <c r="B307" s="470" t="s">
        <v>17</v>
      </c>
      <c r="C307" s="471" t="s">
        <v>18</v>
      </c>
      <c r="D307" s="472" t="s">
        <v>19</v>
      </c>
      <c r="E307" s="448" t="s">
        <v>4087</v>
      </c>
      <c r="F307" s="448" t="s">
        <v>4098</v>
      </c>
      <c r="G307" s="473" t="s">
        <v>3065</v>
      </c>
      <c r="H307" s="439" t="s">
        <v>428</v>
      </c>
      <c r="I307" s="474" t="s">
        <v>3459</v>
      </c>
      <c r="J307" s="474" t="s">
        <v>3464</v>
      </c>
      <c r="K307" s="443" t="s">
        <v>349</v>
      </c>
      <c r="L307" s="471">
        <v>1</v>
      </c>
      <c r="M307" s="447" t="s">
        <v>446</v>
      </c>
      <c r="N307" s="456">
        <v>5185</v>
      </c>
      <c r="O307" s="475">
        <f t="shared" si="1"/>
        <v>5185</v>
      </c>
      <c r="P307" s="476"/>
      <c r="Q307" s="477">
        <v>46023</v>
      </c>
      <c r="R307" s="476"/>
      <c r="S307" s="476"/>
    </row>
    <row r="308" spans="1:19" ht="15.75" customHeight="1" x14ac:dyDescent="0.25">
      <c r="A308" s="438">
        <v>305</v>
      </c>
      <c r="B308" s="470" t="s">
        <v>17</v>
      </c>
      <c r="C308" s="471" t="s">
        <v>18</v>
      </c>
      <c r="D308" s="472" t="s">
        <v>19</v>
      </c>
      <c r="E308" s="465" t="s">
        <v>4086</v>
      </c>
      <c r="F308" s="448" t="s">
        <v>4102</v>
      </c>
      <c r="G308" s="473" t="s">
        <v>3926</v>
      </c>
      <c r="H308" s="439" t="s">
        <v>447</v>
      </c>
      <c r="I308" s="474" t="s">
        <v>3457</v>
      </c>
      <c r="J308" s="474" t="s">
        <v>3464</v>
      </c>
      <c r="K308" s="443" t="s">
        <v>448</v>
      </c>
      <c r="L308" s="471">
        <v>1</v>
      </c>
      <c r="M308" s="447" t="s">
        <v>449</v>
      </c>
      <c r="N308" s="456">
        <v>10595</v>
      </c>
      <c r="O308" s="475">
        <f t="shared" si="1"/>
        <v>10595</v>
      </c>
      <c r="P308" s="476"/>
      <c r="Q308" s="477">
        <v>46023</v>
      </c>
      <c r="R308" s="476"/>
      <c r="S308" s="476"/>
    </row>
    <row r="309" spans="1:19" ht="15.75" customHeight="1" x14ac:dyDescent="0.25">
      <c r="A309" s="438">
        <v>306</v>
      </c>
      <c r="B309" s="470" t="s">
        <v>17</v>
      </c>
      <c r="C309" s="471" t="s">
        <v>18</v>
      </c>
      <c r="D309" s="472" t="s">
        <v>19</v>
      </c>
      <c r="E309" s="448" t="s">
        <v>4087</v>
      </c>
      <c r="F309" s="448" t="s">
        <v>4099</v>
      </c>
      <c r="G309" s="473" t="s">
        <v>3926</v>
      </c>
      <c r="H309" s="439" t="s">
        <v>447</v>
      </c>
      <c r="I309" s="474" t="s">
        <v>3457</v>
      </c>
      <c r="J309" s="474" t="s">
        <v>3464</v>
      </c>
      <c r="K309" s="443" t="s">
        <v>448</v>
      </c>
      <c r="L309" s="471">
        <v>1</v>
      </c>
      <c r="M309" s="447" t="s">
        <v>450</v>
      </c>
      <c r="N309" s="456">
        <v>10595</v>
      </c>
      <c r="O309" s="475">
        <f t="shared" si="1"/>
        <v>10595</v>
      </c>
      <c r="P309" s="476"/>
      <c r="Q309" s="477">
        <v>46023</v>
      </c>
      <c r="R309" s="476"/>
      <c r="S309" s="476"/>
    </row>
    <row r="310" spans="1:19" ht="15.75" customHeight="1" x14ac:dyDescent="0.25">
      <c r="A310" s="438">
        <v>307</v>
      </c>
      <c r="B310" s="470" t="s">
        <v>17</v>
      </c>
      <c r="C310" s="471" t="s">
        <v>18</v>
      </c>
      <c r="D310" s="472" t="s">
        <v>19</v>
      </c>
      <c r="E310" s="448" t="s">
        <v>4087</v>
      </c>
      <c r="F310" s="448" t="s">
        <v>4099</v>
      </c>
      <c r="G310" s="473" t="s">
        <v>3926</v>
      </c>
      <c r="H310" s="439" t="s">
        <v>447</v>
      </c>
      <c r="I310" s="474" t="s">
        <v>3457</v>
      </c>
      <c r="J310" s="474" t="s">
        <v>3464</v>
      </c>
      <c r="K310" s="443" t="s">
        <v>448</v>
      </c>
      <c r="L310" s="471">
        <v>1</v>
      </c>
      <c r="M310" s="447" t="s">
        <v>451</v>
      </c>
      <c r="N310" s="456">
        <v>10595</v>
      </c>
      <c r="O310" s="475">
        <f t="shared" si="1"/>
        <v>10595</v>
      </c>
      <c r="P310" s="476"/>
      <c r="Q310" s="477">
        <v>46023</v>
      </c>
      <c r="R310" s="476"/>
      <c r="S310" s="476"/>
    </row>
    <row r="311" spans="1:19" ht="15.75" customHeight="1" x14ac:dyDescent="0.25">
      <c r="A311" s="438">
        <v>308</v>
      </c>
      <c r="B311" s="470" t="s">
        <v>17</v>
      </c>
      <c r="C311" s="471" t="s">
        <v>18</v>
      </c>
      <c r="D311" s="472" t="s">
        <v>19</v>
      </c>
      <c r="E311" s="448" t="s">
        <v>4087</v>
      </c>
      <c r="F311" s="448" t="s">
        <v>4099</v>
      </c>
      <c r="G311" s="473" t="s">
        <v>3926</v>
      </c>
      <c r="H311" s="439" t="s">
        <v>447</v>
      </c>
      <c r="I311" s="474" t="s">
        <v>3457</v>
      </c>
      <c r="J311" s="474" t="s">
        <v>3464</v>
      </c>
      <c r="K311" s="443" t="s">
        <v>448</v>
      </c>
      <c r="L311" s="471">
        <v>1</v>
      </c>
      <c r="M311" s="447" t="s">
        <v>452</v>
      </c>
      <c r="N311" s="456">
        <v>10595</v>
      </c>
      <c r="O311" s="475">
        <f t="shared" si="1"/>
        <v>10595</v>
      </c>
      <c r="P311" s="476"/>
      <c r="Q311" s="477">
        <v>46023</v>
      </c>
      <c r="R311" s="476"/>
      <c r="S311" s="476"/>
    </row>
    <row r="312" spans="1:19" ht="15.75" customHeight="1" x14ac:dyDescent="0.25">
      <c r="A312" s="438">
        <v>309</v>
      </c>
      <c r="B312" s="470" t="s">
        <v>17</v>
      </c>
      <c r="C312" s="471" t="s">
        <v>18</v>
      </c>
      <c r="D312" s="472" t="s">
        <v>19</v>
      </c>
      <c r="E312" s="448" t="s">
        <v>4087</v>
      </c>
      <c r="F312" s="448" t="s">
        <v>4099</v>
      </c>
      <c r="G312" s="473" t="s">
        <v>3926</v>
      </c>
      <c r="H312" s="439" t="s">
        <v>447</v>
      </c>
      <c r="I312" s="474" t="s">
        <v>3457</v>
      </c>
      <c r="J312" s="474" t="s">
        <v>3464</v>
      </c>
      <c r="K312" s="443" t="s">
        <v>448</v>
      </c>
      <c r="L312" s="471">
        <v>1</v>
      </c>
      <c r="M312" s="447" t="s">
        <v>453</v>
      </c>
      <c r="N312" s="456">
        <v>10595</v>
      </c>
      <c r="O312" s="475">
        <f t="shared" si="1"/>
        <v>10595</v>
      </c>
      <c r="P312" s="476"/>
      <c r="Q312" s="477">
        <v>46023</v>
      </c>
      <c r="R312" s="476"/>
      <c r="S312" s="476"/>
    </row>
    <row r="313" spans="1:19" ht="15.75" customHeight="1" x14ac:dyDescent="0.25">
      <c r="A313" s="438">
        <v>310</v>
      </c>
      <c r="B313" s="470" t="s">
        <v>17</v>
      </c>
      <c r="C313" s="471" t="s">
        <v>18</v>
      </c>
      <c r="D313" s="472" t="s">
        <v>19</v>
      </c>
      <c r="E313" s="448" t="s">
        <v>4087</v>
      </c>
      <c r="F313" s="448" t="s">
        <v>4099</v>
      </c>
      <c r="G313" s="473" t="s">
        <v>3926</v>
      </c>
      <c r="H313" s="439" t="s">
        <v>447</v>
      </c>
      <c r="I313" s="474" t="s">
        <v>3457</v>
      </c>
      <c r="J313" s="474" t="s">
        <v>3464</v>
      </c>
      <c r="K313" s="443" t="s">
        <v>448</v>
      </c>
      <c r="L313" s="471">
        <v>1</v>
      </c>
      <c r="M313" s="447" t="s">
        <v>454</v>
      </c>
      <c r="N313" s="456">
        <v>10595</v>
      </c>
      <c r="O313" s="475">
        <f t="shared" si="1"/>
        <v>10595</v>
      </c>
      <c r="P313" s="476"/>
      <c r="Q313" s="477">
        <v>46023</v>
      </c>
      <c r="R313" s="476"/>
      <c r="S313" s="476"/>
    </row>
    <row r="314" spans="1:19" ht="15.75" customHeight="1" x14ac:dyDescent="0.25">
      <c r="A314" s="438">
        <v>311</v>
      </c>
      <c r="B314" s="470" t="s">
        <v>17</v>
      </c>
      <c r="C314" s="471" t="s">
        <v>18</v>
      </c>
      <c r="D314" s="472" t="s">
        <v>19</v>
      </c>
      <c r="E314" s="448" t="s">
        <v>4085</v>
      </c>
      <c r="F314" s="448" t="s">
        <v>2982</v>
      </c>
      <c r="G314" s="473" t="s">
        <v>3926</v>
      </c>
      <c r="H314" s="439" t="s">
        <v>447</v>
      </c>
      <c r="I314" s="474" t="s">
        <v>3457</v>
      </c>
      <c r="J314" s="474" t="s">
        <v>3464</v>
      </c>
      <c r="K314" s="443" t="s">
        <v>448</v>
      </c>
      <c r="L314" s="471">
        <v>1</v>
      </c>
      <c r="M314" s="447" t="s">
        <v>455</v>
      </c>
      <c r="N314" s="456">
        <v>10595</v>
      </c>
      <c r="O314" s="475">
        <f t="shared" si="1"/>
        <v>10595</v>
      </c>
      <c r="P314" s="476"/>
      <c r="Q314" s="477">
        <v>46023</v>
      </c>
      <c r="R314" s="476"/>
      <c r="S314" s="476"/>
    </row>
    <row r="315" spans="1:19" ht="15.75" customHeight="1" x14ac:dyDescent="0.25">
      <c r="A315" s="438">
        <v>312</v>
      </c>
      <c r="B315" s="470" t="s">
        <v>17</v>
      </c>
      <c r="C315" s="471" t="s">
        <v>18</v>
      </c>
      <c r="D315" s="472" t="s">
        <v>19</v>
      </c>
      <c r="E315" s="448" t="s">
        <v>4087</v>
      </c>
      <c r="F315" s="448" t="s">
        <v>4098</v>
      </c>
      <c r="G315" s="473" t="s">
        <v>3926</v>
      </c>
      <c r="H315" s="439" t="s">
        <v>447</v>
      </c>
      <c r="I315" s="474" t="s">
        <v>3457</v>
      </c>
      <c r="J315" s="474" t="s">
        <v>3464</v>
      </c>
      <c r="K315" s="443" t="s">
        <v>448</v>
      </c>
      <c r="L315" s="471">
        <v>1</v>
      </c>
      <c r="M315" s="447" t="s">
        <v>456</v>
      </c>
      <c r="N315" s="456">
        <v>10595</v>
      </c>
      <c r="O315" s="475">
        <f t="shared" si="1"/>
        <v>10595</v>
      </c>
      <c r="P315" s="476"/>
      <c r="Q315" s="477">
        <v>46023</v>
      </c>
      <c r="R315" s="476"/>
      <c r="S315" s="476"/>
    </row>
    <row r="316" spans="1:19" ht="15.75" customHeight="1" x14ac:dyDescent="0.25">
      <c r="A316" s="438">
        <v>313</v>
      </c>
      <c r="B316" s="470" t="s">
        <v>17</v>
      </c>
      <c r="C316" s="471" t="s">
        <v>18</v>
      </c>
      <c r="D316" s="472" t="s">
        <v>19</v>
      </c>
      <c r="E316" s="448" t="s">
        <v>4091</v>
      </c>
      <c r="F316" s="448" t="s">
        <v>3024</v>
      </c>
      <c r="G316" s="473" t="s">
        <v>3926</v>
      </c>
      <c r="H316" s="439" t="s">
        <v>447</v>
      </c>
      <c r="I316" s="474" t="s">
        <v>3457</v>
      </c>
      <c r="J316" s="474" t="s">
        <v>3464</v>
      </c>
      <c r="K316" s="443" t="s">
        <v>448</v>
      </c>
      <c r="L316" s="471">
        <v>1</v>
      </c>
      <c r="M316" s="447" t="s">
        <v>457</v>
      </c>
      <c r="N316" s="456">
        <v>10595</v>
      </c>
      <c r="O316" s="475">
        <f t="shared" si="1"/>
        <v>10595</v>
      </c>
      <c r="P316" s="476"/>
      <c r="Q316" s="477">
        <v>46023</v>
      </c>
      <c r="R316" s="476"/>
      <c r="S316" s="476"/>
    </row>
    <row r="317" spans="1:19" ht="15.75" customHeight="1" x14ac:dyDescent="0.25">
      <c r="A317" s="438">
        <v>314</v>
      </c>
      <c r="B317" s="470" t="s">
        <v>17</v>
      </c>
      <c r="C317" s="471" t="s">
        <v>18</v>
      </c>
      <c r="D317" s="472" t="s">
        <v>19</v>
      </c>
      <c r="E317" s="448" t="s">
        <v>4091</v>
      </c>
      <c r="F317" s="448" t="s">
        <v>4107</v>
      </c>
      <c r="G317" s="473" t="s">
        <v>3927</v>
      </c>
      <c r="H317" s="439" t="s">
        <v>458</v>
      </c>
      <c r="I317" s="474" t="s">
        <v>3459</v>
      </c>
      <c r="J317" s="474" t="s">
        <v>3464</v>
      </c>
      <c r="K317" s="443" t="s">
        <v>459</v>
      </c>
      <c r="L317" s="471">
        <v>1</v>
      </c>
      <c r="M317" s="447" t="s">
        <v>460</v>
      </c>
      <c r="N317" s="456">
        <v>28000</v>
      </c>
      <c r="O317" s="475">
        <f t="shared" si="1"/>
        <v>28000</v>
      </c>
      <c r="P317" s="476"/>
      <c r="Q317" s="477">
        <v>46023</v>
      </c>
      <c r="R317" s="476"/>
      <c r="S317" s="476"/>
    </row>
    <row r="318" spans="1:19" ht="15.75" customHeight="1" x14ac:dyDescent="0.25">
      <c r="A318" s="438">
        <v>315</v>
      </c>
      <c r="B318" s="470" t="s">
        <v>17</v>
      </c>
      <c r="C318" s="471" t="s">
        <v>18</v>
      </c>
      <c r="D318" s="472" t="s">
        <v>19</v>
      </c>
      <c r="E318" s="448" t="s">
        <v>4092</v>
      </c>
      <c r="F318" s="448" t="s">
        <v>4116</v>
      </c>
      <c r="G318" s="473" t="s">
        <v>3928</v>
      </c>
      <c r="H318" s="439" t="s">
        <v>461</v>
      </c>
      <c r="I318" s="474" t="s">
        <v>3459</v>
      </c>
      <c r="J318" s="474" t="s">
        <v>3464</v>
      </c>
      <c r="K318" s="443" t="s">
        <v>462</v>
      </c>
      <c r="L318" s="471">
        <v>1</v>
      </c>
      <c r="M318" s="447" t="s">
        <v>463</v>
      </c>
      <c r="N318" s="456">
        <v>16000</v>
      </c>
      <c r="O318" s="475">
        <f t="shared" si="1"/>
        <v>16000</v>
      </c>
      <c r="P318" s="476"/>
      <c r="Q318" s="477">
        <v>46023</v>
      </c>
      <c r="R318" s="476"/>
      <c r="S318" s="476"/>
    </row>
    <row r="319" spans="1:19" ht="15.75" customHeight="1" x14ac:dyDescent="0.25">
      <c r="A319" s="438">
        <v>316</v>
      </c>
      <c r="B319" s="470" t="s">
        <v>17</v>
      </c>
      <c r="C319" s="471" t="s">
        <v>18</v>
      </c>
      <c r="D319" s="472" t="s">
        <v>19</v>
      </c>
      <c r="E319" s="448" t="s">
        <v>4080</v>
      </c>
      <c r="F319" s="448" t="s">
        <v>4080</v>
      </c>
      <c r="G319" s="473" t="s">
        <v>3223</v>
      </c>
      <c r="H319" s="439" t="s">
        <v>464</v>
      </c>
      <c r="I319" s="474" t="s">
        <v>3459</v>
      </c>
      <c r="J319" s="474" t="s">
        <v>3464</v>
      </c>
      <c r="K319" s="443" t="s">
        <v>404</v>
      </c>
      <c r="L319" s="471">
        <v>1</v>
      </c>
      <c r="M319" s="447" t="s">
        <v>465</v>
      </c>
      <c r="N319" s="456">
        <v>9500</v>
      </c>
      <c r="O319" s="475">
        <f t="shared" si="1"/>
        <v>9500</v>
      </c>
      <c r="P319" s="476"/>
      <c r="Q319" s="477">
        <v>46023</v>
      </c>
      <c r="R319" s="476"/>
      <c r="S319" s="476"/>
    </row>
    <row r="320" spans="1:19" ht="15.75" customHeight="1" x14ac:dyDescent="0.25">
      <c r="A320" s="438">
        <v>317</v>
      </c>
      <c r="B320" s="470" t="s">
        <v>17</v>
      </c>
      <c r="C320" s="471" t="s">
        <v>18</v>
      </c>
      <c r="D320" s="472" t="s">
        <v>19</v>
      </c>
      <c r="E320" s="448" t="s">
        <v>4080</v>
      </c>
      <c r="F320" s="448" t="s">
        <v>4080</v>
      </c>
      <c r="G320" s="473" t="s">
        <v>3223</v>
      </c>
      <c r="H320" s="439" t="s">
        <v>466</v>
      </c>
      <c r="I320" s="474" t="s">
        <v>3459</v>
      </c>
      <c r="J320" s="474" t="s">
        <v>3464</v>
      </c>
      <c r="K320" s="443" t="s">
        <v>404</v>
      </c>
      <c r="L320" s="471">
        <v>1</v>
      </c>
      <c r="M320" s="447" t="s">
        <v>467</v>
      </c>
      <c r="N320" s="456">
        <v>12000</v>
      </c>
      <c r="O320" s="475">
        <f t="shared" si="1"/>
        <v>12000</v>
      </c>
      <c r="P320" s="476"/>
      <c r="Q320" s="477">
        <v>46023</v>
      </c>
      <c r="R320" s="476"/>
      <c r="S320" s="476"/>
    </row>
    <row r="321" spans="1:19" ht="15.75" customHeight="1" x14ac:dyDescent="0.25">
      <c r="A321" s="438">
        <v>318</v>
      </c>
      <c r="B321" s="470" t="s">
        <v>17</v>
      </c>
      <c r="C321" s="471" t="s">
        <v>18</v>
      </c>
      <c r="D321" s="472" t="s">
        <v>19</v>
      </c>
      <c r="E321" s="448" t="s">
        <v>4080</v>
      </c>
      <c r="F321" s="448" t="s">
        <v>4080</v>
      </c>
      <c r="G321" s="473" t="s">
        <v>3223</v>
      </c>
      <c r="H321" s="439" t="s">
        <v>466</v>
      </c>
      <c r="I321" s="474" t="s">
        <v>3459</v>
      </c>
      <c r="J321" s="474" t="s">
        <v>3464</v>
      </c>
      <c r="K321" s="443" t="s">
        <v>404</v>
      </c>
      <c r="L321" s="471">
        <v>1</v>
      </c>
      <c r="M321" s="447" t="s">
        <v>468</v>
      </c>
      <c r="N321" s="456">
        <v>12000</v>
      </c>
      <c r="O321" s="475">
        <f t="shared" si="1"/>
        <v>12000</v>
      </c>
      <c r="P321" s="476"/>
      <c r="Q321" s="477">
        <v>46023</v>
      </c>
      <c r="R321" s="476"/>
      <c r="S321" s="476"/>
    </row>
    <row r="322" spans="1:19" ht="15.75" customHeight="1" x14ac:dyDescent="0.25">
      <c r="A322" s="438">
        <v>319</v>
      </c>
      <c r="B322" s="470" t="s">
        <v>17</v>
      </c>
      <c r="C322" s="471" t="s">
        <v>18</v>
      </c>
      <c r="D322" s="472" t="s">
        <v>19</v>
      </c>
      <c r="E322" s="448" t="s">
        <v>4089</v>
      </c>
      <c r="F322" s="448" t="s">
        <v>4108</v>
      </c>
      <c r="G322" s="473" t="s">
        <v>3223</v>
      </c>
      <c r="H322" s="439" t="s">
        <v>466</v>
      </c>
      <c r="I322" s="474" t="s">
        <v>3459</v>
      </c>
      <c r="J322" s="474" t="s">
        <v>3464</v>
      </c>
      <c r="K322" s="443" t="s">
        <v>404</v>
      </c>
      <c r="L322" s="471">
        <v>1</v>
      </c>
      <c r="M322" s="447" t="s">
        <v>469</v>
      </c>
      <c r="N322" s="456">
        <v>22000</v>
      </c>
      <c r="O322" s="475">
        <f t="shared" si="1"/>
        <v>22000</v>
      </c>
      <c r="P322" s="476"/>
      <c r="Q322" s="477">
        <v>46023</v>
      </c>
      <c r="R322" s="476"/>
      <c r="S322" s="476"/>
    </row>
    <row r="323" spans="1:19" ht="15.75" customHeight="1" x14ac:dyDescent="0.25">
      <c r="A323" s="438">
        <v>320</v>
      </c>
      <c r="B323" s="470" t="s">
        <v>17</v>
      </c>
      <c r="C323" s="471" t="s">
        <v>18</v>
      </c>
      <c r="D323" s="472" t="s">
        <v>19</v>
      </c>
      <c r="E323" s="448" t="s">
        <v>4082</v>
      </c>
      <c r="F323" s="448" t="s">
        <v>4082</v>
      </c>
      <c r="G323" s="473" t="s">
        <v>3929</v>
      </c>
      <c r="H323" s="439" t="s">
        <v>470</v>
      </c>
      <c r="I323" s="474" t="s">
        <v>3459</v>
      </c>
      <c r="J323" s="474" t="s">
        <v>3464</v>
      </c>
      <c r="K323" s="443" t="s">
        <v>471</v>
      </c>
      <c r="L323" s="471">
        <v>1</v>
      </c>
      <c r="M323" s="447" t="s">
        <v>472</v>
      </c>
      <c r="N323" s="456">
        <v>30000</v>
      </c>
      <c r="O323" s="475">
        <f t="shared" si="1"/>
        <v>30000</v>
      </c>
      <c r="P323" s="476"/>
      <c r="Q323" s="477">
        <v>46023</v>
      </c>
      <c r="R323" s="476"/>
      <c r="S323" s="476"/>
    </row>
    <row r="324" spans="1:19" ht="15.75" customHeight="1" x14ac:dyDescent="0.25">
      <c r="A324" s="438">
        <v>321</v>
      </c>
      <c r="B324" s="470" t="s">
        <v>17</v>
      </c>
      <c r="C324" s="471" t="s">
        <v>18</v>
      </c>
      <c r="D324" s="472" t="s">
        <v>19</v>
      </c>
      <c r="E324" s="465" t="s">
        <v>4082</v>
      </c>
      <c r="F324" s="448" t="s">
        <v>4082</v>
      </c>
      <c r="G324" s="473" t="s">
        <v>3929</v>
      </c>
      <c r="H324" s="439" t="s">
        <v>470</v>
      </c>
      <c r="I324" s="474" t="s">
        <v>3459</v>
      </c>
      <c r="J324" s="474" t="s">
        <v>3464</v>
      </c>
      <c r="K324" s="443" t="s">
        <v>471</v>
      </c>
      <c r="L324" s="471">
        <v>1</v>
      </c>
      <c r="M324" s="447" t="s">
        <v>473</v>
      </c>
      <c r="N324" s="456">
        <v>30000</v>
      </c>
      <c r="O324" s="475">
        <f t="shared" si="1"/>
        <v>30000</v>
      </c>
      <c r="P324" s="476"/>
      <c r="Q324" s="477">
        <v>46023</v>
      </c>
      <c r="R324" s="476"/>
      <c r="S324" s="476"/>
    </row>
    <row r="325" spans="1:19" ht="15.75" customHeight="1" x14ac:dyDescent="0.25">
      <c r="A325" s="438">
        <v>322</v>
      </c>
      <c r="B325" s="470" t="s">
        <v>17</v>
      </c>
      <c r="C325" s="471" t="s">
        <v>18</v>
      </c>
      <c r="D325" s="472" t="s">
        <v>19</v>
      </c>
      <c r="E325" s="448" t="s">
        <v>4082</v>
      </c>
      <c r="F325" s="448" t="s">
        <v>4082</v>
      </c>
      <c r="G325" s="473" t="s">
        <v>3930</v>
      </c>
      <c r="H325" s="439" t="s">
        <v>474</v>
      </c>
      <c r="I325" s="474" t="s">
        <v>3458</v>
      </c>
      <c r="J325" s="474" t="s">
        <v>3464</v>
      </c>
      <c r="K325" s="443" t="s">
        <v>475</v>
      </c>
      <c r="L325" s="471">
        <v>1</v>
      </c>
      <c r="M325" s="447" t="s">
        <v>476</v>
      </c>
      <c r="N325" s="456">
        <v>5600</v>
      </c>
      <c r="O325" s="475">
        <f t="shared" si="1"/>
        <v>5600</v>
      </c>
      <c r="P325" s="476"/>
      <c r="Q325" s="477">
        <v>46023</v>
      </c>
      <c r="R325" s="476"/>
      <c r="S325" s="476"/>
    </row>
    <row r="326" spans="1:19" ht="15.75" customHeight="1" x14ac:dyDescent="0.25">
      <c r="A326" s="438">
        <v>323</v>
      </c>
      <c r="B326" s="470" t="s">
        <v>17</v>
      </c>
      <c r="C326" s="471" t="s">
        <v>18</v>
      </c>
      <c r="D326" s="472" t="s">
        <v>19</v>
      </c>
      <c r="E326" s="448" t="s">
        <v>4082</v>
      </c>
      <c r="F326" s="448" t="s">
        <v>4082</v>
      </c>
      <c r="G326" s="473" t="s">
        <v>3930</v>
      </c>
      <c r="H326" s="439" t="s">
        <v>474</v>
      </c>
      <c r="I326" s="474" t="s">
        <v>3458</v>
      </c>
      <c r="J326" s="474" t="s">
        <v>3464</v>
      </c>
      <c r="K326" s="443" t="s">
        <v>475</v>
      </c>
      <c r="L326" s="471">
        <v>1</v>
      </c>
      <c r="M326" s="447" t="s">
        <v>477</v>
      </c>
      <c r="N326" s="456">
        <v>5600</v>
      </c>
      <c r="O326" s="475">
        <f t="shared" si="1"/>
        <v>5600</v>
      </c>
      <c r="P326" s="476"/>
      <c r="Q326" s="477">
        <v>46023</v>
      </c>
      <c r="R326" s="476"/>
      <c r="S326" s="476"/>
    </row>
    <row r="327" spans="1:19" ht="15.75" customHeight="1" x14ac:dyDescent="0.25">
      <c r="A327" s="438">
        <v>324</v>
      </c>
      <c r="B327" s="470" t="s">
        <v>17</v>
      </c>
      <c r="C327" s="471" t="s">
        <v>18</v>
      </c>
      <c r="D327" s="472" t="s">
        <v>19</v>
      </c>
      <c r="E327" s="448" t="s">
        <v>4082</v>
      </c>
      <c r="F327" s="448" t="s">
        <v>4082</v>
      </c>
      <c r="G327" s="473" t="s">
        <v>3930</v>
      </c>
      <c r="H327" s="439" t="s">
        <v>474</v>
      </c>
      <c r="I327" s="474" t="s">
        <v>3458</v>
      </c>
      <c r="J327" s="474" t="s">
        <v>3464</v>
      </c>
      <c r="K327" s="443" t="s">
        <v>475</v>
      </c>
      <c r="L327" s="471">
        <v>1</v>
      </c>
      <c r="M327" s="447" t="s">
        <v>478</v>
      </c>
      <c r="N327" s="456">
        <v>5600</v>
      </c>
      <c r="O327" s="475">
        <f t="shared" si="1"/>
        <v>5600</v>
      </c>
      <c r="P327" s="476"/>
      <c r="Q327" s="477">
        <v>46023</v>
      </c>
      <c r="R327" s="476"/>
      <c r="S327" s="476"/>
    </row>
    <row r="328" spans="1:19" ht="15.75" customHeight="1" x14ac:dyDescent="0.25">
      <c r="A328" s="438">
        <v>325</v>
      </c>
      <c r="B328" s="470" t="s">
        <v>17</v>
      </c>
      <c r="C328" s="471" t="s">
        <v>18</v>
      </c>
      <c r="D328" s="472" t="s">
        <v>19</v>
      </c>
      <c r="E328" s="448" t="s">
        <v>4082</v>
      </c>
      <c r="F328" s="448" t="s">
        <v>4082</v>
      </c>
      <c r="G328" s="473" t="s">
        <v>3930</v>
      </c>
      <c r="H328" s="439" t="s">
        <v>474</v>
      </c>
      <c r="I328" s="474" t="s">
        <v>3458</v>
      </c>
      <c r="J328" s="474" t="s">
        <v>3464</v>
      </c>
      <c r="K328" s="443" t="s">
        <v>475</v>
      </c>
      <c r="L328" s="471">
        <v>1</v>
      </c>
      <c r="M328" s="447" t="s">
        <v>479</v>
      </c>
      <c r="N328" s="456">
        <v>5600</v>
      </c>
      <c r="O328" s="475">
        <f t="shared" si="1"/>
        <v>5600</v>
      </c>
      <c r="P328" s="476"/>
      <c r="Q328" s="477">
        <v>46023</v>
      </c>
      <c r="R328" s="476"/>
      <c r="S328" s="476"/>
    </row>
    <row r="329" spans="1:19" ht="15.75" customHeight="1" x14ac:dyDescent="0.25">
      <c r="A329" s="438">
        <v>326</v>
      </c>
      <c r="B329" s="470" t="s">
        <v>17</v>
      </c>
      <c r="C329" s="471" t="s">
        <v>18</v>
      </c>
      <c r="D329" s="472" t="s">
        <v>19</v>
      </c>
      <c r="E329" s="448" t="s">
        <v>4082</v>
      </c>
      <c r="F329" s="448" t="s">
        <v>4082</v>
      </c>
      <c r="G329" s="473" t="s">
        <v>3930</v>
      </c>
      <c r="H329" s="439" t="s">
        <v>474</v>
      </c>
      <c r="I329" s="474" t="s">
        <v>3458</v>
      </c>
      <c r="J329" s="474" t="s">
        <v>3464</v>
      </c>
      <c r="K329" s="443" t="s">
        <v>475</v>
      </c>
      <c r="L329" s="471">
        <v>1</v>
      </c>
      <c r="M329" s="447" t="s">
        <v>480</v>
      </c>
      <c r="N329" s="456">
        <v>5600</v>
      </c>
      <c r="O329" s="475">
        <f t="shared" si="1"/>
        <v>5600</v>
      </c>
      <c r="P329" s="476"/>
      <c r="Q329" s="477">
        <v>46023</v>
      </c>
      <c r="R329" s="476"/>
      <c r="S329" s="476"/>
    </row>
    <row r="330" spans="1:19" ht="15.75" customHeight="1" x14ac:dyDescent="0.25">
      <c r="A330" s="438">
        <v>327</v>
      </c>
      <c r="B330" s="470" t="s">
        <v>17</v>
      </c>
      <c r="C330" s="471" t="s">
        <v>18</v>
      </c>
      <c r="D330" s="472" t="s">
        <v>19</v>
      </c>
      <c r="E330" s="448" t="s">
        <v>4082</v>
      </c>
      <c r="F330" s="448" t="s">
        <v>4082</v>
      </c>
      <c r="G330" s="473" t="s">
        <v>3930</v>
      </c>
      <c r="H330" s="439" t="s">
        <v>474</v>
      </c>
      <c r="I330" s="474" t="s">
        <v>3458</v>
      </c>
      <c r="J330" s="474" t="s">
        <v>3464</v>
      </c>
      <c r="K330" s="443" t="s">
        <v>475</v>
      </c>
      <c r="L330" s="471">
        <v>1</v>
      </c>
      <c r="M330" s="447" t="s">
        <v>481</v>
      </c>
      <c r="N330" s="456">
        <v>5600</v>
      </c>
      <c r="O330" s="475">
        <f t="shared" si="1"/>
        <v>5600</v>
      </c>
      <c r="P330" s="476"/>
      <c r="Q330" s="477">
        <v>46023</v>
      </c>
      <c r="R330" s="476"/>
      <c r="S330" s="476"/>
    </row>
    <row r="331" spans="1:19" ht="15.75" customHeight="1" x14ac:dyDescent="0.25">
      <c r="A331" s="438">
        <v>328</v>
      </c>
      <c r="B331" s="470" t="s">
        <v>17</v>
      </c>
      <c r="C331" s="471" t="s">
        <v>18</v>
      </c>
      <c r="D331" s="472" t="s">
        <v>19</v>
      </c>
      <c r="E331" s="448" t="s">
        <v>4082</v>
      </c>
      <c r="F331" s="448" t="s">
        <v>4082</v>
      </c>
      <c r="G331" s="473" t="s">
        <v>3930</v>
      </c>
      <c r="H331" s="439" t="s">
        <v>474</v>
      </c>
      <c r="I331" s="474" t="s">
        <v>3458</v>
      </c>
      <c r="J331" s="474" t="s">
        <v>3464</v>
      </c>
      <c r="K331" s="443" t="s">
        <v>475</v>
      </c>
      <c r="L331" s="471">
        <v>1</v>
      </c>
      <c r="M331" s="447" t="s">
        <v>482</v>
      </c>
      <c r="N331" s="456">
        <v>5600</v>
      </c>
      <c r="O331" s="475">
        <f t="shared" si="1"/>
        <v>5600</v>
      </c>
      <c r="P331" s="476"/>
      <c r="Q331" s="477">
        <v>46023</v>
      </c>
      <c r="R331" s="476"/>
      <c r="S331" s="476"/>
    </row>
    <row r="332" spans="1:19" ht="15.75" customHeight="1" x14ac:dyDescent="0.25">
      <c r="A332" s="438">
        <v>329</v>
      </c>
      <c r="B332" s="470" t="s">
        <v>17</v>
      </c>
      <c r="C332" s="471" t="s">
        <v>18</v>
      </c>
      <c r="D332" s="472" t="s">
        <v>19</v>
      </c>
      <c r="E332" s="448" t="s">
        <v>4082</v>
      </c>
      <c r="F332" s="448" t="s">
        <v>4082</v>
      </c>
      <c r="G332" s="473" t="s">
        <v>3930</v>
      </c>
      <c r="H332" s="439" t="s">
        <v>474</v>
      </c>
      <c r="I332" s="474" t="s">
        <v>3458</v>
      </c>
      <c r="J332" s="474" t="s">
        <v>3464</v>
      </c>
      <c r="K332" s="443" t="s">
        <v>475</v>
      </c>
      <c r="L332" s="471">
        <v>1</v>
      </c>
      <c r="M332" s="447" t="s">
        <v>483</v>
      </c>
      <c r="N332" s="456">
        <v>5600</v>
      </c>
      <c r="O332" s="475">
        <f t="shared" si="1"/>
        <v>5600</v>
      </c>
      <c r="P332" s="476"/>
      <c r="Q332" s="477">
        <v>46023</v>
      </c>
      <c r="R332" s="476"/>
      <c r="S332" s="476"/>
    </row>
    <row r="333" spans="1:19" ht="15.75" customHeight="1" x14ac:dyDescent="0.25">
      <c r="A333" s="438">
        <v>330</v>
      </c>
      <c r="B333" s="470" t="s">
        <v>17</v>
      </c>
      <c r="C333" s="471" t="s">
        <v>18</v>
      </c>
      <c r="D333" s="472" t="s">
        <v>19</v>
      </c>
      <c r="E333" s="448" t="s">
        <v>4082</v>
      </c>
      <c r="F333" s="448" t="s">
        <v>4082</v>
      </c>
      <c r="G333" s="473" t="s">
        <v>3930</v>
      </c>
      <c r="H333" s="439" t="s">
        <v>474</v>
      </c>
      <c r="I333" s="474" t="s">
        <v>3458</v>
      </c>
      <c r="J333" s="474" t="s">
        <v>3464</v>
      </c>
      <c r="K333" s="443" t="s">
        <v>475</v>
      </c>
      <c r="L333" s="471">
        <v>1</v>
      </c>
      <c r="M333" s="447" t="s">
        <v>484</v>
      </c>
      <c r="N333" s="456">
        <v>5600</v>
      </c>
      <c r="O333" s="475">
        <f t="shared" si="1"/>
        <v>5600</v>
      </c>
      <c r="P333" s="476"/>
      <c r="Q333" s="477">
        <v>46023</v>
      </c>
      <c r="R333" s="476"/>
      <c r="S333" s="476"/>
    </row>
    <row r="334" spans="1:19" ht="15.75" customHeight="1" x14ac:dyDescent="0.25">
      <c r="A334" s="438">
        <v>331</v>
      </c>
      <c r="B334" s="470" t="s">
        <v>17</v>
      </c>
      <c r="C334" s="471" t="s">
        <v>18</v>
      </c>
      <c r="D334" s="472" t="s">
        <v>19</v>
      </c>
      <c r="E334" s="448" t="s">
        <v>4082</v>
      </c>
      <c r="F334" s="448" t="s">
        <v>4082</v>
      </c>
      <c r="G334" s="473" t="s">
        <v>3930</v>
      </c>
      <c r="H334" s="439" t="s">
        <v>474</v>
      </c>
      <c r="I334" s="474" t="s">
        <v>3458</v>
      </c>
      <c r="J334" s="474" t="s">
        <v>3464</v>
      </c>
      <c r="K334" s="443" t="s">
        <v>475</v>
      </c>
      <c r="L334" s="471">
        <v>1</v>
      </c>
      <c r="M334" s="447" t="s">
        <v>485</v>
      </c>
      <c r="N334" s="456">
        <v>5600</v>
      </c>
      <c r="O334" s="475">
        <f t="shared" si="1"/>
        <v>5600</v>
      </c>
      <c r="P334" s="476"/>
      <c r="Q334" s="477">
        <v>46023</v>
      </c>
      <c r="R334" s="476"/>
      <c r="S334" s="476"/>
    </row>
    <row r="335" spans="1:19" ht="15.75" customHeight="1" x14ac:dyDescent="0.25">
      <c r="A335" s="438">
        <v>332</v>
      </c>
      <c r="B335" s="470" t="s">
        <v>17</v>
      </c>
      <c r="C335" s="471" t="s">
        <v>18</v>
      </c>
      <c r="D335" s="472" t="s">
        <v>19</v>
      </c>
      <c r="E335" s="448" t="s">
        <v>4082</v>
      </c>
      <c r="F335" s="448" t="s">
        <v>4082</v>
      </c>
      <c r="G335" s="473" t="s">
        <v>3930</v>
      </c>
      <c r="H335" s="439" t="s">
        <v>474</v>
      </c>
      <c r="I335" s="474" t="s">
        <v>3458</v>
      </c>
      <c r="J335" s="474" t="s">
        <v>3464</v>
      </c>
      <c r="K335" s="443" t="s">
        <v>475</v>
      </c>
      <c r="L335" s="471">
        <v>1</v>
      </c>
      <c r="M335" s="447" t="s">
        <v>486</v>
      </c>
      <c r="N335" s="456">
        <v>5600</v>
      </c>
      <c r="O335" s="475">
        <f t="shared" si="1"/>
        <v>5600</v>
      </c>
      <c r="P335" s="476"/>
      <c r="Q335" s="477">
        <v>46023</v>
      </c>
      <c r="R335" s="476"/>
      <c r="S335" s="476"/>
    </row>
    <row r="336" spans="1:19" ht="15.75" customHeight="1" x14ac:dyDescent="0.25">
      <c r="A336" s="438">
        <v>333</v>
      </c>
      <c r="B336" s="470" t="s">
        <v>17</v>
      </c>
      <c r="C336" s="471" t="s">
        <v>18</v>
      </c>
      <c r="D336" s="472" t="s">
        <v>19</v>
      </c>
      <c r="E336" s="448" t="s">
        <v>4082</v>
      </c>
      <c r="F336" s="448" t="s">
        <v>4082</v>
      </c>
      <c r="G336" s="473" t="s">
        <v>3930</v>
      </c>
      <c r="H336" s="439" t="s">
        <v>474</v>
      </c>
      <c r="I336" s="474" t="s">
        <v>3458</v>
      </c>
      <c r="J336" s="474" t="s">
        <v>3464</v>
      </c>
      <c r="K336" s="443" t="s">
        <v>475</v>
      </c>
      <c r="L336" s="471">
        <v>1</v>
      </c>
      <c r="M336" s="447" t="s">
        <v>487</v>
      </c>
      <c r="N336" s="456">
        <v>5400</v>
      </c>
      <c r="O336" s="475">
        <f t="shared" si="1"/>
        <v>5400</v>
      </c>
      <c r="P336" s="476"/>
      <c r="Q336" s="477">
        <v>46023</v>
      </c>
      <c r="R336" s="476"/>
      <c r="S336" s="476"/>
    </row>
    <row r="337" spans="1:19" ht="15.75" customHeight="1" x14ac:dyDescent="0.25">
      <c r="A337" s="438">
        <v>334</v>
      </c>
      <c r="B337" s="470" t="s">
        <v>17</v>
      </c>
      <c r="C337" s="471" t="s">
        <v>18</v>
      </c>
      <c r="D337" s="472" t="s">
        <v>19</v>
      </c>
      <c r="E337" s="448" t="s">
        <v>4093</v>
      </c>
      <c r="F337" s="448" t="s">
        <v>4093</v>
      </c>
      <c r="G337" s="473" t="s">
        <v>3930</v>
      </c>
      <c r="H337" s="439" t="s">
        <v>488</v>
      </c>
      <c r="I337" s="474" t="s">
        <v>3458</v>
      </c>
      <c r="J337" s="474" t="s">
        <v>3464</v>
      </c>
      <c r="K337" s="443" t="s">
        <v>475</v>
      </c>
      <c r="L337" s="471">
        <v>1</v>
      </c>
      <c r="M337" s="447" t="s">
        <v>489</v>
      </c>
      <c r="N337" s="456">
        <v>12500</v>
      </c>
      <c r="O337" s="475">
        <f t="shared" si="1"/>
        <v>12500</v>
      </c>
      <c r="P337" s="476"/>
      <c r="Q337" s="477">
        <v>46023</v>
      </c>
      <c r="R337" s="476"/>
      <c r="S337" s="476"/>
    </row>
    <row r="338" spans="1:19" ht="15.75" customHeight="1" x14ac:dyDescent="0.25">
      <c r="A338" s="438">
        <v>335</v>
      </c>
      <c r="B338" s="470" t="s">
        <v>17</v>
      </c>
      <c r="C338" s="471" t="s">
        <v>18</v>
      </c>
      <c r="D338" s="472" t="s">
        <v>19</v>
      </c>
      <c r="E338" s="448" t="s">
        <v>4093</v>
      </c>
      <c r="F338" s="448" t="s">
        <v>4093</v>
      </c>
      <c r="G338" s="473" t="s">
        <v>3930</v>
      </c>
      <c r="H338" s="439" t="s">
        <v>490</v>
      </c>
      <c r="I338" s="474" t="s">
        <v>3458</v>
      </c>
      <c r="J338" s="474" t="s">
        <v>3464</v>
      </c>
      <c r="K338" s="443" t="s">
        <v>475</v>
      </c>
      <c r="L338" s="471">
        <v>1</v>
      </c>
      <c r="M338" s="447" t="s">
        <v>491</v>
      </c>
      <c r="N338" s="456">
        <v>5400</v>
      </c>
      <c r="O338" s="475">
        <f t="shared" si="1"/>
        <v>5400</v>
      </c>
      <c r="P338" s="476"/>
      <c r="Q338" s="477">
        <v>46023</v>
      </c>
      <c r="R338" s="476"/>
      <c r="S338" s="476"/>
    </row>
    <row r="339" spans="1:19" ht="15.75" customHeight="1" x14ac:dyDescent="0.25">
      <c r="A339" s="438">
        <v>336</v>
      </c>
      <c r="B339" s="470" t="s">
        <v>17</v>
      </c>
      <c r="C339" s="471" t="s">
        <v>18</v>
      </c>
      <c r="D339" s="472" t="s">
        <v>19</v>
      </c>
      <c r="E339" s="448" t="s">
        <v>4082</v>
      </c>
      <c r="F339" s="448" t="s">
        <v>4082</v>
      </c>
      <c r="G339" s="473" t="s">
        <v>3930</v>
      </c>
      <c r="H339" s="439" t="s">
        <v>492</v>
      </c>
      <c r="I339" s="474" t="s">
        <v>3458</v>
      </c>
      <c r="J339" s="474" t="s">
        <v>3464</v>
      </c>
      <c r="K339" s="443" t="s">
        <v>475</v>
      </c>
      <c r="L339" s="471">
        <v>1</v>
      </c>
      <c r="M339" s="447" t="s">
        <v>493</v>
      </c>
      <c r="N339" s="456">
        <v>35400</v>
      </c>
      <c r="O339" s="475">
        <f t="shared" si="1"/>
        <v>35400</v>
      </c>
      <c r="P339" s="476"/>
      <c r="Q339" s="477">
        <v>46023</v>
      </c>
      <c r="R339" s="476"/>
      <c r="S339" s="476"/>
    </row>
    <row r="340" spans="1:19" ht="15.75" customHeight="1" x14ac:dyDescent="0.25">
      <c r="A340" s="438">
        <v>337</v>
      </c>
      <c r="B340" s="470" t="s">
        <v>17</v>
      </c>
      <c r="C340" s="471" t="s">
        <v>18</v>
      </c>
      <c r="D340" s="472" t="s">
        <v>19</v>
      </c>
      <c r="E340" s="448" t="s">
        <v>4082</v>
      </c>
      <c r="F340" s="448" t="s">
        <v>4082</v>
      </c>
      <c r="G340" s="473" t="s">
        <v>3930</v>
      </c>
      <c r="H340" s="439" t="s">
        <v>492</v>
      </c>
      <c r="I340" s="474" t="s">
        <v>3458</v>
      </c>
      <c r="J340" s="474" t="s">
        <v>3464</v>
      </c>
      <c r="K340" s="443" t="s">
        <v>475</v>
      </c>
      <c r="L340" s="471">
        <v>1</v>
      </c>
      <c r="M340" s="447" t="s">
        <v>494</v>
      </c>
      <c r="N340" s="456">
        <v>35400</v>
      </c>
      <c r="O340" s="475">
        <f t="shared" si="1"/>
        <v>35400</v>
      </c>
      <c r="P340" s="476"/>
      <c r="Q340" s="477">
        <v>46023</v>
      </c>
      <c r="R340" s="476"/>
      <c r="S340" s="476"/>
    </row>
    <row r="341" spans="1:19" ht="15.75" customHeight="1" x14ac:dyDescent="0.25">
      <c r="A341" s="438">
        <v>338</v>
      </c>
      <c r="B341" s="470" t="s">
        <v>17</v>
      </c>
      <c r="C341" s="471" t="s">
        <v>18</v>
      </c>
      <c r="D341" s="472" t="s">
        <v>19</v>
      </c>
      <c r="E341" s="465" t="s">
        <v>4082</v>
      </c>
      <c r="F341" s="448" t="s">
        <v>4082</v>
      </c>
      <c r="G341" s="473" t="s">
        <v>3930</v>
      </c>
      <c r="H341" s="439" t="s">
        <v>495</v>
      </c>
      <c r="I341" s="474" t="s">
        <v>3458</v>
      </c>
      <c r="J341" s="474" t="s">
        <v>3464</v>
      </c>
      <c r="K341" s="443" t="s">
        <v>475</v>
      </c>
      <c r="L341" s="471">
        <v>1</v>
      </c>
      <c r="M341" s="447" t="s">
        <v>496</v>
      </c>
      <c r="N341" s="456">
        <v>30700</v>
      </c>
      <c r="O341" s="475">
        <f t="shared" si="1"/>
        <v>30700</v>
      </c>
      <c r="P341" s="476"/>
      <c r="Q341" s="477">
        <v>46023</v>
      </c>
      <c r="R341" s="476"/>
      <c r="S341" s="476"/>
    </row>
    <row r="342" spans="1:19" ht="15.75" customHeight="1" x14ac:dyDescent="0.25">
      <c r="A342" s="438">
        <v>339</v>
      </c>
      <c r="B342" s="470" t="s">
        <v>17</v>
      </c>
      <c r="C342" s="471" t="s">
        <v>18</v>
      </c>
      <c r="D342" s="472" t="s">
        <v>19</v>
      </c>
      <c r="E342" s="448" t="s">
        <v>4082</v>
      </c>
      <c r="F342" s="448" t="s">
        <v>4082</v>
      </c>
      <c r="G342" s="473" t="s">
        <v>3930</v>
      </c>
      <c r="H342" s="439" t="s">
        <v>497</v>
      </c>
      <c r="I342" s="474" t="s">
        <v>3458</v>
      </c>
      <c r="J342" s="474" t="s">
        <v>3464</v>
      </c>
      <c r="K342" s="443" t="s">
        <v>475</v>
      </c>
      <c r="L342" s="471">
        <v>1</v>
      </c>
      <c r="M342" s="447" t="s">
        <v>498</v>
      </c>
      <c r="N342" s="456">
        <v>11100</v>
      </c>
      <c r="O342" s="475">
        <f t="shared" si="1"/>
        <v>11100</v>
      </c>
      <c r="P342" s="476"/>
      <c r="Q342" s="477">
        <v>46023</v>
      </c>
      <c r="R342" s="476"/>
      <c r="S342" s="476"/>
    </row>
    <row r="343" spans="1:19" ht="15.75" customHeight="1" x14ac:dyDescent="0.25">
      <c r="A343" s="438">
        <v>340</v>
      </c>
      <c r="B343" s="470" t="s">
        <v>17</v>
      </c>
      <c r="C343" s="471" t="s">
        <v>18</v>
      </c>
      <c r="D343" s="472" t="s">
        <v>19</v>
      </c>
      <c r="E343" s="448" t="s">
        <v>4089</v>
      </c>
      <c r="F343" s="448" t="s">
        <v>4108</v>
      </c>
      <c r="G343" s="473" t="s">
        <v>2286</v>
      </c>
      <c r="H343" s="439" t="s">
        <v>499</v>
      </c>
      <c r="I343" s="474" t="s">
        <v>3459</v>
      </c>
      <c r="J343" s="474" t="s">
        <v>3464</v>
      </c>
      <c r="K343" s="443" t="s">
        <v>500</v>
      </c>
      <c r="L343" s="471">
        <v>1</v>
      </c>
      <c r="M343" s="447" t="s">
        <v>501</v>
      </c>
      <c r="N343" s="456">
        <v>26000</v>
      </c>
      <c r="O343" s="475">
        <f t="shared" si="1"/>
        <v>26000</v>
      </c>
      <c r="P343" s="476"/>
      <c r="Q343" s="477">
        <v>46023</v>
      </c>
      <c r="R343" s="476"/>
      <c r="S343" s="476"/>
    </row>
    <row r="344" spans="1:19" ht="15.75" customHeight="1" x14ac:dyDescent="0.25">
      <c r="A344" s="438">
        <v>341</v>
      </c>
      <c r="B344" s="470" t="s">
        <v>17</v>
      </c>
      <c r="C344" s="471" t="s">
        <v>18</v>
      </c>
      <c r="D344" s="472" t="s">
        <v>19</v>
      </c>
      <c r="E344" s="448" t="s">
        <v>4089</v>
      </c>
      <c r="F344" s="448" t="s">
        <v>4080</v>
      </c>
      <c r="G344" s="473" t="s">
        <v>2286</v>
      </c>
      <c r="H344" s="439" t="s">
        <v>499</v>
      </c>
      <c r="I344" s="474" t="s">
        <v>3459</v>
      </c>
      <c r="J344" s="474" t="s">
        <v>3464</v>
      </c>
      <c r="K344" s="443" t="s">
        <v>500</v>
      </c>
      <c r="L344" s="471">
        <v>1</v>
      </c>
      <c r="M344" s="447" t="s">
        <v>502</v>
      </c>
      <c r="N344" s="456">
        <v>26000</v>
      </c>
      <c r="O344" s="475">
        <f t="shared" si="1"/>
        <v>26000</v>
      </c>
      <c r="P344" s="476"/>
      <c r="Q344" s="477">
        <v>46023</v>
      </c>
      <c r="R344" s="476"/>
      <c r="S344" s="476"/>
    </row>
    <row r="345" spans="1:19" ht="15.75" customHeight="1" x14ac:dyDescent="0.25">
      <c r="A345" s="438">
        <v>342</v>
      </c>
      <c r="B345" s="470" t="s">
        <v>17</v>
      </c>
      <c r="C345" s="471" t="s">
        <v>18</v>
      </c>
      <c r="D345" s="472" t="s">
        <v>19</v>
      </c>
      <c r="E345" s="448" t="s">
        <v>4089</v>
      </c>
      <c r="F345" s="448" t="s">
        <v>4108</v>
      </c>
      <c r="G345" s="473" t="s">
        <v>2286</v>
      </c>
      <c r="H345" s="439" t="s">
        <v>499</v>
      </c>
      <c r="I345" s="474" t="s">
        <v>3459</v>
      </c>
      <c r="J345" s="474" t="s">
        <v>3464</v>
      </c>
      <c r="K345" s="443" t="s">
        <v>500</v>
      </c>
      <c r="L345" s="471">
        <v>1</v>
      </c>
      <c r="M345" s="447" t="s">
        <v>503</v>
      </c>
      <c r="N345" s="456">
        <v>26000</v>
      </c>
      <c r="O345" s="475">
        <f t="shared" si="1"/>
        <v>26000</v>
      </c>
      <c r="P345" s="476"/>
      <c r="Q345" s="477">
        <v>46023</v>
      </c>
      <c r="R345" s="476"/>
      <c r="S345" s="476"/>
    </row>
    <row r="346" spans="1:19" ht="15.75" customHeight="1" x14ac:dyDescent="0.25">
      <c r="A346" s="438">
        <v>343</v>
      </c>
      <c r="B346" s="470" t="s">
        <v>17</v>
      </c>
      <c r="C346" s="471" t="s">
        <v>18</v>
      </c>
      <c r="D346" s="472" t="s">
        <v>19</v>
      </c>
      <c r="E346" s="448" t="s">
        <v>4089</v>
      </c>
      <c r="F346" s="448" t="s">
        <v>4108</v>
      </c>
      <c r="G346" s="473" t="s">
        <v>2286</v>
      </c>
      <c r="H346" s="439" t="s">
        <v>499</v>
      </c>
      <c r="I346" s="474" t="s">
        <v>3459</v>
      </c>
      <c r="J346" s="474" t="s">
        <v>3464</v>
      </c>
      <c r="K346" s="443" t="s">
        <v>500</v>
      </c>
      <c r="L346" s="471">
        <v>1</v>
      </c>
      <c r="M346" s="447" t="s">
        <v>504</v>
      </c>
      <c r="N346" s="456">
        <v>26000</v>
      </c>
      <c r="O346" s="475">
        <f t="shared" si="1"/>
        <v>26000</v>
      </c>
      <c r="P346" s="476"/>
      <c r="Q346" s="477">
        <v>46023</v>
      </c>
      <c r="R346" s="476"/>
      <c r="S346" s="476"/>
    </row>
    <row r="347" spans="1:19" ht="15.75" customHeight="1" x14ac:dyDescent="0.25">
      <c r="A347" s="438">
        <v>344</v>
      </c>
      <c r="B347" s="470" t="s">
        <v>17</v>
      </c>
      <c r="C347" s="471" t="s">
        <v>18</v>
      </c>
      <c r="D347" s="472" t="s">
        <v>19</v>
      </c>
      <c r="E347" s="448" t="s">
        <v>4089</v>
      </c>
      <c r="F347" s="448" t="s">
        <v>4108</v>
      </c>
      <c r="G347" s="473" t="s">
        <v>2286</v>
      </c>
      <c r="H347" s="439" t="s">
        <v>499</v>
      </c>
      <c r="I347" s="474" t="s">
        <v>3459</v>
      </c>
      <c r="J347" s="474" t="s">
        <v>3464</v>
      </c>
      <c r="K347" s="443" t="s">
        <v>500</v>
      </c>
      <c r="L347" s="471">
        <v>1</v>
      </c>
      <c r="M347" s="447" t="s">
        <v>505</v>
      </c>
      <c r="N347" s="456">
        <v>26000</v>
      </c>
      <c r="O347" s="475">
        <f t="shared" si="1"/>
        <v>26000</v>
      </c>
      <c r="P347" s="476"/>
      <c r="Q347" s="477">
        <v>46023</v>
      </c>
      <c r="R347" s="476"/>
      <c r="S347" s="476"/>
    </row>
    <row r="348" spans="1:19" ht="15.75" customHeight="1" x14ac:dyDescent="0.25">
      <c r="A348" s="438">
        <v>345</v>
      </c>
      <c r="B348" s="470" t="s">
        <v>17</v>
      </c>
      <c r="C348" s="471" t="s">
        <v>18</v>
      </c>
      <c r="D348" s="472" t="s">
        <v>19</v>
      </c>
      <c r="E348" s="448" t="s">
        <v>4089</v>
      </c>
      <c r="F348" s="448" t="s">
        <v>4108</v>
      </c>
      <c r="G348" s="473" t="s">
        <v>2286</v>
      </c>
      <c r="H348" s="439" t="s">
        <v>499</v>
      </c>
      <c r="I348" s="474" t="s">
        <v>3459</v>
      </c>
      <c r="J348" s="474" t="s">
        <v>3464</v>
      </c>
      <c r="K348" s="443" t="s">
        <v>500</v>
      </c>
      <c r="L348" s="471">
        <v>1</v>
      </c>
      <c r="M348" s="447" t="s">
        <v>506</v>
      </c>
      <c r="N348" s="456">
        <v>26000</v>
      </c>
      <c r="O348" s="475">
        <f t="shared" si="1"/>
        <v>26000</v>
      </c>
      <c r="P348" s="476"/>
      <c r="Q348" s="477">
        <v>46023</v>
      </c>
      <c r="R348" s="476"/>
      <c r="S348" s="476"/>
    </row>
    <row r="349" spans="1:19" ht="15.75" customHeight="1" x14ac:dyDescent="0.25">
      <c r="A349" s="438">
        <v>346</v>
      </c>
      <c r="B349" s="470" t="s">
        <v>17</v>
      </c>
      <c r="C349" s="471" t="s">
        <v>18</v>
      </c>
      <c r="D349" s="472" t="s">
        <v>19</v>
      </c>
      <c r="E349" s="448" t="s">
        <v>4089</v>
      </c>
      <c r="F349" s="448" t="s">
        <v>4108</v>
      </c>
      <c r="G349" s="473" t="s">
        <v>3931</v>
      </c>
      <c r="H349" s="439" t="s">
        <v>507</v>
      </c>
      <c r="I349" s="474" t="s">
        <v>3459</v>
      </c>
      <c r="J349" s="474" t="s">
        <v>3463</v>
      </c>
      <c r="K349" s="443" t="s">
        <v>508</v>
      </c>
      <c r="L349" s="471">
        <v>1</v>
      </c>
      <c r="M349" s="447" t="s">
        <v>509</v>
      </c>
      <c r="N349" s="456">
        <v>4875</v>
      </c>
      <c r="O349" s="475">
        <f t="shared" si="1"/>
        <v>4875</v>
      </c>
      <c r="P349" s="476"/>
      <c r="Q349" s="477">
        <v>46023</v>
      </c>
      <c r="R349" s="476"/>
      <c r="S349" s="476"/>
    </row>
    <row r="350" spans="1:19" ht="15.75" customHeight="1" x14ac:dyDescent="0.25">
      <c r="A350" s="438">
        <v>347</v>
      </c>
      <c r="B350" s="470" t="s">
        <v>17</v>
      </c>
      <c r="C350" s="471" t="s">
        <v>18</v>
      </c>
      <c r="D350" s="472" t="s">
        <v>19</v>
      </c>
      <c r="E350" s="448" t="s">
        <v>4089</v>
      </c>
      <c r="F350" s="448" t="s">
        <v>4108</v>
      </c>
      <c r="G350" s="473" t="s">
        <v>3931</v>
      </c>
      <c r="H350" s="439" t="s">
        <v>507</v>
      </c>
      <c r="I350" s="474" t="s">
        <v>3459</v>
      </c>
      <c r="J350" s="474" t="s">
        <v>3463</v>
      </c>
      <c r="K350" s="443" t="s">
        <v>508</v>
      </c>
      <c r="L350" s="471">
        <v>1</v>
      </c>
      <c r="M350" s="447" t="s">
        <v>510</v>
      </c>
      <c r="N350" s="456">
        <v>4875</v>
      </c>
      <c r="O350" s="475">
        <f t="shared" si="1"/>
        <v>4875</v>
      </c>
      <c r="P350" s="476"/>
      <c r="Q350" s="477">
        <v>46023</v>
      </c>
      <c r="R350" s="476"/>
      <c r="S350" s="476"/>
    </row>
    <row r="351" spans="1:19" ht="15.75" customHeight="1" x14ac:dyDescent="0.25">
      <c r="A351" s="438">
        <v>348</v>
      </c>
      <c r="B351" s="470" t="s">
        <v>17</v>
      </c>
      <c r="C351" s="471" t="s">
        <v>18</v>
      </c>
      <c r="D351" s="472" t="s">
        <v>19</v>
      </c>
      <c r="E351" s="448" t="s">
        <v>4089</v>
      </c>
      <c r="F351" s="448" t="s">
        <v>4108</v>
      </c>
      <c r="G351" s="473" t="s">
        <v>3931</v>
      </c>
      <c r="H351" s="439" t="s">
        <v>507</v>
      </c>
      <c r="I351" s="474" t="s">
        <v>3459</v>
      </c>
      <c r="J351" s="474" t="s">
        <v>3463</v>
      </c>
      <c r="K351" s="443" t="s">
        <v>508</v>
      </c>
      <c r="L351" s="471">
        <v>1</v>
      </c>
      <c r="M351" s="447" t="s">
        <v>511</v>
      </c>
      <c r="N351" s="456">
        <v>4875</v>
      </c>
      <c r="O351" s="475">
        <f t="shared" si="1"/>
        <v>4875</v>
      </c>
      <c r="P351" s="476"/>
      <c r="Q351" s="477">
        <v>46023</v>
      </c>
      <c r="R351" s="476"/>
      <c r="S351" s="476"/>
    </row>
    <row r="352" spans="1:19" ht="15.75" customHeight="1" x14ac:dyDescent="0.25">
      <c r="A352" s="438">
        <v>349</v>
      </c>
      <c r="B352" s="470" t="s">
        <v>17</v>
      </c>
      <c r="C352" s="471" t="s">
        <v>18</v>
      </c>
      <c r="D352" s="472" t="s">
        <v>19</v>
      </c>
      <c r="E352" s="448" t="s">
        <v>4089</v>
      </c>
      <c r="F352" s="448" t="s">
        <v>4108</v>
      </c>
      <c r="G352" s="473" t="s">
        <v>3931</v>
      </c>
      <c r="H352" s="439" t="s">
        <v>507</v>
      </c>
      <c r="I352" s="474" t="s">
        <v>3459</v>
      </c>
      <c r="J352" s="474" t="s">
        <v>3463</v>
      </c>
      <c r="K352" s="443" t="s">
        <v>508</v>
      </c>
      <c r="L352" s="471">
        <v>1</v>
      </c>
      <c r="M352" s="447" t="s">
        <v>512</v>
      </c>
      <c r="N352" s="456">
        <v>4875</v>
      </c>
      <c r="O352" s="475">
        <f t="shared" si="1"/>
        <v>4875</v>
      </c>
      <c r="P352" s="476"/>
      <c r="Q352" s="477">
        <v>46023</v>
      </c>
      <c r="R352" s="476"/>
      <c r="S352" s="476"/>
    </row>
    <row r="353" spans="1:19" ht="15.75" customHeight="1" x14ac:dyDescent="0.25">
      <c r="A353" s="438">
        <v>350</v>
      </c>
      <c r="B353" s="470" t="s">
        <v>17</v>
      </c>
      <c r="C353" s="471" t="s">
        <v>18</v>
      </c>
      <c r="D353" s="472" t="s">
        <v>19</v>
      </c>
      <c r="E353" s="448" t="s">
        <v>4089</v>
      </c>
      <c r="F353" s="448" t="s">
        <v>4108</v>
      </c>
      <c r="G353" s="473" t="s">
        <v>3931</v>
      </c>
      <c r="H353" s="439" t="s">
        <v>507</v>
      </c>
      <c r="I353" s="474" t="s">
        <v>3459</v>
      </c>
      <c r="J353" s="474" t="s">
        <v>3463</v>
      </c>
      <c r="K353" s="443" t="s">
        <v>508</v>
      </c>
      <c r="L353" s="471">
        <v>1</v>
      </c>
      <c r="M353" s="447" t="s">
        <v>513</v>
      </c>
      <c r="N353" s="456">
        <v>4875</v>
      </c>
      <c r="O353" s="475">
        <f t="shared" si="1"/>
        <v>4875</v>
      </c>
      <c r="P353" s="476"/>
      <c r="Q353" s="477">
        <v>46023</v>
      </c>
      <c r="R353" s="476"/>
      <c r="S353" s="476"/>
    </row>
    <row r="354" spans="1:19" ht="15.75" customHeight="1" x14ac:dyDescent="0.25">
      <c r="A354" s="438">
        <v>351</v>
      </c>
      <c r="B354" s="470" t="s">
        <v>17</v>
      </c>
      <c r="C354" s="471" t="s">
        <v>18</v>
      </c>
      <c r="D354" s="472" t="s">
        <v>19</v>
      </c>
      <c r="E354" s="448" t="s">
        <v>4089</v>
      </c>
      <c r="F354" s="448" t="s">
        <v>4108</v>
      </c>
      <c r="G354" s="473" t="s">
        <v>3931</v>
      </c>
      <c r="H354" s="439" t="s">
        <v>507</v>
      </c>
      <c r="I354" s="474" t="s">
        <v>3459</v>
      </c>
      <c r="J354" s="474" t="s">
        <v>3463</v>
      </c>
      <c r="K354" s="443" t="s">
        <v>508</v>
      </c>
      <c r="L354" s="471">
        <v>1</v>
      </c>
      <c r="M354" s="447" t="s">
        <v>514</v>
      </c>
      <c r="N354" s="456">
        <v>4875</v>
      </c>
      <c r="O354" s="475">
        <f t="shared" si="1"/>
        <v>4875</v>
      </c>
      <c r="P354" s="476"/>
      <c r="Q354" s="477">
        <v>46023</v>
      </c>
      <c r="R354" s="476"/>
      <c r="S354" s="476"/>
    </row>
    <row r="355" spans="1:19" ht="15.75" customHeight="1" x14ac:dyDescent="0.25">
      <c r="A355" s="438">
        <v>352</v>
      </c>
      <c r="B355" s="470" t="s">
        <v>17</v>
      </c>
      <c r="C355" s="471" t="s">
        <v>18</v>
      </c>
      <c r="D355" s="472" t="s">
        <v>19</v>
      </c>
      <c r="E355" s="448" t="s">
        <v>4089</v>
      </c>
      <c r="F355" s="448" t="s">
        <v>4108</v>
      </c>
      <c r="G355" s="473" t="s">
        <v>2286</v>
      </c>
      <c r="H355" s="439" t="s">
        <v>515</v>
      </c>
      <c r="I355" s="474" t="s">
        <v>3459</v>
      </c>
      <c r="J355" s="474" t="s">
        <v>3464</v>
      </c>
      <c r="K355" s="443" t="s">
        <v>500</v>
      </c>
      <c r="L355" s="471">
        <v>1</v>
      </c>
      <c r="M355" s="447" t="s">
        <v>516</v>
      </c>
      <c r="N355" s="456">
        <v>38675</v>
      </c>
      <c r="O355" s="475">
        <f t="shared" si="1"/>
        <v>38675</v>
      </c>
      <c r="P355" s="476"/>
      <c r="Q355" s="477">
        <v>46023</v>
      </c>
      <c r="R355" s="476"/>
      <c r="S355" s="476"/>
    </row>
    <row r="356" spans="1:19" ht="15.75" customHeight="1" x14ac:dyDescent="0.25">
      <c r="A356" s="438">
        <v>353</v>
      </c>
      <c r="B356" s="470" t="s">
        <v>17</v>
      </c>
      <c r="C356" s="471" t="s">
        <v>18</v>
      </c>
      <c r="D356" s="472" t="s">
        <v>19</v>
      </c>
      <c r="E356" s="448" t="s">
        <v>4089</v>
      </c>
      <c r="F356" s="448" t="s">
        <v>4108</v>
      </c>
      <c r="G356" s="473" t="s">
        <v>3932</v>
      </c>
      <c r="H356" s="439" t="s">
        <v>517</v>
      </c>
      <c r="I356" s="474" t="s">
        <v>3459</v>
      </c>
      <c r="J356" s="474" t="s">
        <v>3464</v>
      </c>
      <c r="K356" s="443" t="s">
        <v>518</v>
      </c>
      <c r="L356" s="471">
        <v>1</v>
      </c>
      <c r="M356" s="447" t="s">
        <v>519</v>
      </c>
      <c r="N356" s="456">
        <v>76700</v>
      </c>
      <c r="O356" s="475">
        <f t="shared" si="1"/>
        <v>76700</v>
      </c>
      <c r="P356" s="476"/>
      <c r="Q356" s="477">
        <v>46023</v>
      </c>
      <c r="R356" s="476"/>
      <c r="S356" s="476"/>
    </row>
    <row r="357" spans="1:19" ht="15.75" customHeight="1" x14ac:dyDescent="0.25">
      <c r="A357" s="438">
        <v>354</v>
      </c>
      <c r="B357" s="470" t="s">
        <v>17</v>
      </c>
      <c r="C357" s="471" t="s">
        <v>18</v>
      </c>
      <c r="D357" s="472" t="s">
        <v>19</v>
      </c>
      <c r="E357" s="448" t="s">
        <v>4089</v>
      </c>
      <c r="F357" s="448" t="s">
        <v>4108</v>
      </c>
      <c r="G357" s="473" t="s">
        <v>3933</v>
      </c>
      <c r="H357" s="439" t="s">
        <v>520</v>
      </c>
      <c r="I357" s="474" t="s">
        <v>3459</v>
      </c>
      <c r="J357" s="474" t="s">
        <v>3464</v>
      </c>
      <c r="K357" s="443" t="s">
        <v>521</v>
      </c>
      <c r="L357" s="471">
        <v>1</v>
      </c>
      <c r="M357" s="447" t="s">
        <v>522</v>
      </c>
      <c r="N357" s="456">
        <v>4782</v>
      </c>
      <c r="O357" s="475">
        <f t="shared" si="1"/>
        <v>4782</v>
      </c>
      <c r="P357" s="476"/>
      <c r="Q357" s="477">
        <v>46023</v>
      </c>
      <c r="R357" s="476"/>
      <c r="S357" s="476"/>
    </row>
    <row r="358" spans="1:19" ht="15.75" customHeight="1" x14ac:dyDescent="0.25">
      <c r="A358" s="438">
        <v>355</v>
      </c>
      <c r="B358" s="470" t="s">
        <v>17</v>
      </c>
      <c r="C358" s="471" t="s">
        <v>18</v>
      </c>
      <c r="D358" s="472" t="s">
        <v>19</v>
      </c>
      <c r="E358" s="448" t="s">
        <v>4089</v>
      </c>
      <c r="F358" s="448" t="s">
        <v>4108</v>
      </c>
      <c r="G358" s="473" t="s">
        <v>2286</v>
      </c>
      <c r="H358" s="439" t="s">
        <v>523</v>
      </c>
      <c r="I358" s="474" t="s">
        <v>3459</v>
      </c>
      <c r="J358" s="474" t="s">
        <v>3464</v>
      </c>
      <c r="K358" s="443" t="s">
        <v>500</v>
      </c>
      <c r="L358" s="471">
        <v>1</v>
      </c>
      <c r="M358" s="447" t="s">
        <v>524</v>
      </c>
      <c r="N358" s="456">
        <v>28900</v>
      </c>
      <c r="O358" s="475">
        <f t="shared" si="1"/>
        <v>28900</v>
      </c>
      <c r="P358" s="476"/>
      <c r="Q358" s="477">
        <v>46023</v>
      </c>
      <c r="R358" s="476"/>
      <c r="S358" s="476"/>
    </row>
    <row r="359" spans="1:19" ht="15.75" customHeight="1" x14ac:dyDescent="0.25">
      <c r="A359" s="438">
        <v>356</v>
      </c>
      <c r="B359" s="470" t="s">
        <v>17</v>
      </c>
      <c r="C359" s="471" t="s">
        <v>18</v>
      </c>
      <c r="D359" s="472" t="s">
        <v>19</v>
      </c>
      <c r="E359" s="448" t="s">
        <v>3249</v>
      </c>
      <c r="F359" s="448" t="s">
        <v>3249</v>
      </c>
      <c r="G359" s="473" t="s">
        <v>3934</v>
      </c>
      <c r="H359" s="439" t="s">
        <v>526</v>
      </c>
      <c r="I359" s="474" t="s">
        <v>3459</v>
      </c>
      <c r="J359" s="474" t="s">
        <v>3464</v>
      </c>
      <c r="K359" s="443" t="s">
        <v>527</v>
      </c>
      <c r="L359" s="471">
        <v>1</v>
      </c>
      <c r="M359" s="447" t="s">
        <v>528</v>
      </c>
      <c r="N359" s="456">
        <v>18204</v>
      </c>
      <c r="O359" s="475">
        <f t="shared" si="1"/>
        <v>18204</v>
      </c>
      <c r="P359" s="476"/>
      <c r="Q359" s="477">
        <v>46023</v>
      </c>
      <c r="R359" s="476"/>
      <c r="S359" s="476"/>
    </row>
    <row r="360" spans="1:19" ht="15.75" customHeight="1" x14ac:dyDescent="0.25">
      <c r="A360" s="438">
        <v>357</v>
      </c>
      <c r="B360" s="470" t="s">
        <v>17</v>
      </c>
      <c r="C360" s="471" t="s">
        <v>18</v>
      </c>
      <c r="D360" s="472" t="s">
        <v>19</v>
      </c>
      <c r="E360" s="448" t="s">
        <v>3249</v>
      </c>
      <c r="F360" s="448" t="s">
        <v>3249</v>
      </c>
      <c r="G360" s="473" t="s">
        <v>3934</v>
      </c>
      <c r="H360" s="439" t="s">
        <v>526</v>
      </c>
      <c r="I360" s="474" t="s">
        <v>3459</v>
      </c>
      <c r="J360" s="474" t="s">
        <v>3464</v>
      </c>
      <c r="K360" s="443" t="s">
        <v>527</v>
      </c>
      <c r="L360" s="471">
        <v>1</v>
      </c>
      <c r="M360" s="447" t="s">
        <v>529</v>
      </c>
      <c r="N360" s="456">
        <v>23665.200000000001</v>
      </c>
      <c r="O360" s="475">
        <f t="shared" si="1"/>
        <v>23665.200000000001</v>
      </c>
      <c r="P360" s="476"/>
      <c r="Q360" s="477">
        <v>46023</v>
      </c>
      <c r="R360" s="476"/>
      <c r="S360" s="476"/>
    </row>
    <row r="361" spans="1:19" ht="15.75" customHeight="1" x14ac:dyDescent="0.25">
      <c r="A361" s="438">
        <v>358</v>
      </c>
      <c r="B361" s="470" t="s">
        <v>17</v>
      </c>
      <c r="C361" s="471" t="s">
        <v>18</v>
      </c>
      <c r="D361" s="472" t="s">
        <v>19</v>
      </c>
      <c r="E361" s="448" t="s">
        <v>4084</v>
      </c>
      <c r="F361" s="448" t="s">
        <v>4096</v>
      </c>
      <c r="G361" s="473" t="s">
        <v>2505</v>
      </c>
      <c r="H361" s="439" t="s">
        <v>530</v>
      </c>
      <c r="I361" s="474" t="s">
        <v>3461</v>
      </c>
      <c r="J361" s="474" t="s">
        <v>3463</v>
      </c>
      <c r="K361" s="443" t="s">
        <v>3470</v>
      </c>
      <c r="L361" s="471">
        <v>1</v>
      </c>
      <c r="M361" s="447" t="s">
        <v>531</v>
      </c>
      <c r="N361" s="456">
        <v>18204</v>
      </c>
      <c r="O361" s="475">
        <f t="shared" si="1"/>
        <v>18204</v>
      </c>
      <c r="P361" s="476"/>
      <c r="Q361" s="477">
        <v>46023</v>
      </c>
      <c r="R361" s="476"/>
      <c r="S361" s="476"/>
    </row>
    <row r="362" spans="1:19" ht="15.75" customHeight="1" x14ac:dyDescent="0.25">
      <c r="A362" s="438">
        <v>359</v>
      </c>
      <c r="B362" s="470" t="s">
        <v>17</v>
      </c>
      <c r="C362" s="471" t="s">
        <v>18</v>
      </c>
      <c r="D362" s="472" t="s">
        <v>19</v>
      </c>
      <c r="E362" s="448" t="s">
        <v>4084</v>
      </c>
      <c r="F362" s="448" t="s">
        <v>4096</v>
      </c>
      <c r="G362" s="473" t="s">
        <v>3931</v>
      </c>
      <c r="H362" s="439" t="s">
        <v>533</v>
      </c>
      <c r="I362" s="474" t="s">
        <v>3459</v>
      </c>
      <c r="J362" s="474" t="s">
        <v>3463</v>
      </c>
      <c r="K362" s="443" t="s">
        <v>508</v>
      </c>
      <c r="L362" s="471">
        <v>1</v>
      </c>
      <c r="M362" s="447" t="s">
        <v>534</v>
      </c>
      <c r="N362" s="456">
        <v>913.26</v>
      </c>
      <c r="O362" s="475">
        <f t="shared" si="1"/>
        <v>913.26</v>
      </c>
      <c r="P362" s="476"/>
      <c r="Q362" s="477">
        <v>46023</v>
      </c>
      <c r="R362" s="476"/>
      <c r="S362" s="476"/>
    </row>
    <row r="363" spans="1:19" ht="15.75" customHeight="1" x14ac:dyDescent="0.25">
      <c r="A363" s="438">
        <v>360</v>
      </c>
      <c r="B363" s="470" t="s">
        <v>17</v>
      </c>
      <c r="C363" s="471" t="s">
        <v>18</v>
      </c>
      <c r="D363" s="472" t="s">
        <v>19</v>
      </c>
      <c r="E363" s="448" t="s">
        <v>4084</v>
      </c>
      <c r="F363" s="448" t="s">
        <v>4096</v>
      </c>
      <c r="G363" s="473" t="s">
        <v>3931</v>
      </c>
      <c r="H363" s="439" t="s">
        <v>533</v>
      </c>
      <c r="I363" s="474" t="s">
        <v>3459</v>
      </c>
      <c r="J363" s="474" t="s">
        <v>3463</v>
      </c>
      <c r="K363" s="443" t="s">
        <v>508</v>
      </c>
      <c r="L363" s="471">
        <v>1</v>
      </c>
      <c r="M363" s="447" t="s">
        <v>535</v>
      </c>
      <c r="N363" s="456">
        <v>913.26</v>
      </c>
      <c r="O363" s="475">
        <f t="shared" si="1"/>
        <v>913.26</v>
      </c>
      <c r="P363" s="476"/>
      <c r="Q363" s="477">
        <v>46023</v>
      </c>
      <c r="R363" s="476"/>
      <c r="S363" s="476"/>
    </row>
    <row r="364" spans="1:19" ht="15.75" customHeight="1" x14ac:dyDescent="0.25">
      <c r="A364" s="438">
        <v>361</v>
      </c>
      <c r="B364" s="470" t="s">
        <v>17</v>
      </c>
      <c r="C364" s="471" t="s">
        <v>18</v>
      </c>
      <c r="D364" s="472" t="s">
        <v>19</v>
      </c>
      <c r="E364" s="448" t="s">
        <v>4084</v>
      </c>
      <c r="F364" s="448" t="s">
        <v>4096</v>
      </c>
      <c r="G364" s="473" t="s">
        <v>3931</v>
      </c>
      <c r="H364" s="439" t="s">
        <v>536</v>
      </c>
      <c r="I364" s="474" t="s">
        <v>3459</v>
      </c>
      <c r="J364" s="474" t="s">
        <v>3463</v>
      </c>
      <c r="K364" s="443" t="s">
        <v>508</v>
      </c>
      <c r="L364" s="471">
        <v>1</v>
      </c>
      <c r="M364" s="447" t="s">
        <v>537</v>
      </c>
      <c r="N364" s="456">
        <v>1835.93</v>
      </c>
      <c r="O364" s="475">
        <f t="shared" si="1"/>
        <v>1835.93</v>
      </c>
      <c r="P364" s="476"/>
      <c r="Q364" s="477">
        <v>46023</v>
      </c>
      <c r="R364" s="476"/>
      <c r="S364" s="476"/>
    </row>
    <row r="365" spans="1:19" ht="15.75" customHeight="1" x14ac:dyDescent="0.25">
      <c r="A365" s="438">
        <v>362</v>
      </c>
      <c r="B365" s="470" t="s">
        <v>17</v>
      </c>
      <c r="C365" s="471" t="s">
        <v>18</v>
      </c>
      <c r="D365" s="472" t="s">
        <v>19</v>
      </c>
      <c r="E365" s="448" t="s">
        <v>4084</v>
      </c>
      <c r="F365" s="448" t="s">
        <v>4096</v>
      </c>
      <c r="G365" s="473" t="s">
        <v>3931</v>
      </c>
      <c r="H365" s="439" t="s">
        <v>536</v>
      </c>
      <c r="I365" s="474" t="s">
        <v>3459</v>
      </c>
      <c r="J365" s="474" t="s">
        <v>3463</v>
      </c>
      <c r="K365" s="443" t="s">
        <v>508</v>
      </c>
      <c r="L365" s="471">
        <v>1</v>
      </c>
      <c r="M365" s="447" t="s">
        <v>538</v>
      </c>
      <c r="N365" s="456">
        <v>1835.93</v>
      </c>
      <c r="O365" s="475">
        <f t="shared" si="1"/>
        <v>1835.93</v>
      </c>
      <c r="P365" s="476"/>
      <c r="Q365" s="477">
        <v>46023</v>
      </c>
      <c r="R365" s="476"/>
      <c r="S365" s="476"/>
    </row>
    <row r="366" spans="1:19" ht="15.75" customHeight="1" x14ac:dyDescent="0.25">
      <c r="A366" s="438">
        <v>363</v>
      </c>
      <c r="B366" s="470" t="s">
        <v>17</v>
      </c>
      <c r="C366" s="471" t="s">
        <v>18</v>
      </c>
      <c r="D366" s="472" t="s">
        <v>19</v>
      </c>
      <c r="E366" s="448" t="s">
        <v>4084</v>
      </c>
      <c r="F366" s="448" t="s">
        <v>4096</v>
      </c>
      <c r="G366" s="473" t="s">
        <v>3931</v>
      </c>
      <c r="H366" s="439" t="s">
        <v>536</v>
      </c>
      <c r="I366" s="474" t="s">
        <v>3459</v>
      </c>
      <c r="J366" s="474" t="s">
        <v>3463</v>
      </c>
      <c r="K366" s="443" t="s">
        <v>508</v>
      </c>
      <c r="L366" s="471">
        <v>1</v>
      </c>
      <c r="M366" s="447" t="s">
        <v>539</v>
      </c>
      <c r="N366" s="456">
        <v>1835.93</v>
      </c>
      <c r="O366" s="475">
        <f t="shared" si="1"/>
        <v>1835.93</v>
      </c>
      <c r="P366" s="476"/>
      <c r="Q366" s="477">
        <v>46023</v>
      </c>
      <c r="R366" s="476"/>
      <c r="S366" s="476"/>
    </row>
    <row r="367" spans="1:19" ht="15.75" customHeight="1" x14ac:dyDescent="0.25">
      <c r="A367" s="438">
        <v>364</v>
      </c>
      <c r="B367" s="470" t="s">
        <v>17</v>
      </c>
      <c r="C367" s="471" t="s">
        <v>18</v>
      </c>
      <c r="D367" s="472" t="s">
        <v>19</v>
      </c>
      <c r="E367" s="448" t="s">
        <v>4084</v>
      </c>
      <c r="F367" s="448" t="s">
        <v>4096</v>
      </c>
      <c r="G367" s="473" t="s">
        <v>3931</v>
      </c>
      <c r="H367" s="439" t="s">
        <v>536</v>
      </c>
      <c r="I367" s="474" t="s">
        <v>3459</v>
      </c>
      <c r="J367" s="474" t="s">
        <v>3463</v>
      </c>
      <c r="K367" s="443" t="s">
        <v>508</v>
      </c>
      <c r="L367" s="471">
        <v>1</v>
      </c>
      <c r="M367" s="447" t="s">
        <v>540</v>
      </c>
      <c r="N367" s="456">
        <v>1835.93</v>
      </c>
      <c r="O367" s="475">
        <f t="shared" si="1"/>
        <v>1835.93</v>
      </c>
      <c r="P367" s="476"/>
      <c r="Q367" s="477">
        <v>46023</v>
      </c>
      <c r="R367" s="476"/>
      <c r="S367" s="476"/>
    </row>
    <row r="368" spans="1:19" ht="15.75" customHeight="1" x14ac:dyDescent="0.25">
      <c r="A368" s="438">
        <v>365</v>
      </c>
      <c r="B368" s="470" t="s">
        <v>17</v>
      </c>
      <c r="C368" s="471" t="s">
        <v>18</v>
      </c>
      <c r="D368" s="472" t="s">
        <v>19</v>
      </c>
      <c r="E368" s="448" t="s">
        <v>4084</v>
      </c>
      <c r="F368" s="448" t="s">
        <v>4096</v>
      </c>
      <c r="G368" s="473" t="s">
        <v>3931</v>
      </c>
      <c r="H368" s="439" t="s">
        <v>536</v>
      </c>
      <c r="I368" s="474" t="s">
        <v>3459</v>
      </c>
      <c r="J368" s="474" t="s">
        <v>3463</v>
      </c>
      <c r="K368" s="443" t="s">
        <v>508</v>
      </c>
      <c r="L368" s="471">
        <v>1</v>
      </c>
      <c r="M368" s="447" t="s">
        <v>541</v>
      </c>
      <c r="N368" s="456">
        <v>1835.93</v>
      </c>
      <c r="O368" s="475">
        <f t="shared" si="1"/>
        <v>1835.93</v>
      </c>
      <c r="P368" s="476"/>
      <c r="Q368" s="477">
        <v>46023</v>
      </c>
      <c r="R368" s="476"/>
      <c r="S368" s="476"/>
    </row>
    <row r="369" spans="1:19" ht="15.75" customHeight="1" x14ac:dyDescent="0.25">
      <c r="A369" s="438">
        <v>366</v>
      </c>
      <c r="B369" s="470" t="s">
        <v>17</v>
      </c>
      <c r="C369" s="471" t="s">
        <v>18</v>
      </c>
      <c r="D369" s="472" t="s">
        <v>19</v>
      </c>
      <c r="E369" s="448" t="s">
        <v>4080</v>
      </c>
      <c r="F369" s="448" t="s">
        <v>4080</v>
      </c>
      <c r="G369" s="473" t="s">
        <v>3931</v>
      </c>
      <c r="H369" s="439" t="s">
        <v>542</v>
      </c>
      <c r="I369" s="474" t="s">
        <v>3459</v>
      </c>
      <c r="J369" s="474" t="s">
        <v>3463</v>
      </c>
      <c r="K369" s="443" t="s">
        <v>508</v>
      </c>
      <c r="L369" s="471">
        <v>1</v>
      </c>
      <c r="M369" s="447" t="s">
        <v>543</v>
      </c>
      <c r="N369" s="456">
        <v>1035.6500000000001</v>
      </c>
      <c r="O369" s="475">
        <f t="shared" si="1"/>
        <v>1035.6500000000001</v>
      </c>
      <c r="P369" s="476"/>
      <c r="Q369" s="477">
        <v>46023</v>
      </c>
      <c r="R369" s="476"/>
      <c r="S369" s="476"/>
    </row>
    <row r="370" spans="1:19" ht="15.75" customHeight="1" x14ac:dyDescent="0.25">
      <c r="A370" s="438">
        <v>367</v>
      </c>
      <c r="B370" s="470" t="s">
        <v>17</v>
      </c>
      <c r="C370" s="471" t="s">
        <v>18</v>
      </c>
      <c r="D370" s="472" t="s">
        <v>19</v>
      </c>
      <c r="E370" s="448" t="s">
        <v>4083</v>
      </c>
      <c r="F370" s="448" t="s">
        <v>4109</v>
      </c>
      <c r="G370" s="473" t="s">
        <v>3931</v>
      </c>
      <c r="H370" s="439" t="s">
        <v>542</v>
      </c>
      <c r="I370" s="474" t="s">
        <v>3459</v>
      </c>
      <c r="J370" s="474" t="s">
        <v>3463</v>
      </c>
      <c r="K370" s="443" t="s">
        <v>508</v>
      </c>
      <c r="L370" s="471">
        <v>1</v>
      </c>
      <c r="M370" s="447" t="s">
        <v>544</v>
      </c>
      <c r="N370" s="456">
        <v>1035.6500000000001</v>
      </c>
      <c r="O370" s="475">
        <f t="shared" si="1"/>
        <v>1035.6500000000001</v>
      </c>
      <c r="P370" s="476"/>
      <c r="Q370" s="477">
        <v>46023</v>
      </c>
      <c r="R370" s="476"/>
      <c r="S370" s="476"/>
    </row>
    <row r="371" spans="1:19" ht="15.75" customHeight="1" x14ac:dyDescent="0.25">
      <c r="A371" s="438">
        <v>368</v>
      </c>
      <c r="B371" s="470" t="s">
        <v>17</v>
      </c>
      <c r="C371" s="471" t="s">
        <v>18</v>
      </c>
      <c r="D371" s="472" t="s">
        <v>19</v>
      </c>
      <c r="E371" s="448" t="s">
        <v>4083</v>
      </c>
      <c r="F371" s="448" t="s">
        <v>4109</v>
      </c>
      <c r="G371" s="473" t="s">
        <v>3931</v>
      </c>
      <c r="H371" s="439" t="s">
        <v>542</v>
      </c>
      <c r="I371" s="474" t="s">
        <v>3459</v>
      </c>
      <c r="J371" s="474" t="s">
        <v>3463</v>
      </c>
      <c r="K371" s="443" t="s">
        <v>508</v>
      </c>
      <c r="L371" s="471">
        <v>1</v>
      </c>
      <c r="M371" s="447" t="s">
        <v>545</v>
      </c>
      <c r="N371" s="456">
        <v>1035.6500000000001</v>
      </c>
      <c r="O371" s="475">
        <f t="shared" si="1"/>
        <v>1035.6500000000001</v>
      </c>
      <c r="P371" s="476"/>
      <c r="Q371" s="477">
        <v>46023</v>
      </c>
      <c r="R371" s="476"/>
      <c r="S371" s="476"/>
    </row>
    <row r="372" spans="1:19" ht="15.75" customHeight="1" x14ac:dyDescent="0.25">
      <c r="A372" s="438">
        <v>369</v>
      </c>
      <c r="B372" s="470" t="s">
        <v>17</v>
      </c>
      <c r="C372" s="471" t="s">
        <v>18</v>
      </c>
      <c r="D372" s="472" t="s">
        <v>19</v>
      </c>
      <c r="E372" s="448" t="s">
        <v>4083</v>
      </c>
      <c r="F372" s="448" t="s">
        <v>4109</v>
      </c>
      <c r="G372" s="473" t="s">
        <v>3931</v>
      </c>
      <c r="H372" s="439" t="s">
        <v>542</v>
      </c>
      <c r="I372" s="474" t="s">
        <v>3459</v>
      </c>
      <c r="J372" s="474" t="s">
        <v>3463</v>
      </c>
      <c r="K372" s="443" t="s">
        <v>508</v>
      </c>
      <c r="L372" s="471">
        <v>1</v>
      </c>
      <c r="M372" s="447" t="s">
        <v>546</v>
      </c>
      <c r="N372" s="456">
        <v>1035.6500000000001</v>
      </c>
      <c r="O372" s="475">
        <f t="shared" si="1"/>
        <v>1035.6500000000001</v>
      </c>
      <c r="P372" s="476"/>
      <c r="Q372" s="477">
        <v>46023</v>
      </c>
      <c r="R372" s="476"/>
      <c r="S372" s="476"/>
    </row>
    <row r="373" spans="1:19" ht="15.75" customHeight="1" x14ac:dyDescent="0.25">
      <c r="A373" s="438">
        <v>370</v>
      </c>
      <c r="B373" s="470" t="s">
        <v>17</v>
      </c>
      <c r="C373" s="471" t="s">
        <v>18</v>
      </c>
      <c r="D373" s="472" t="s">
        <v>19</v>
      </c>
      <c r="E373" s="448" t="s">
        <v>4083</v>
      </c>
      <c r="F373" s="448" t="s">
        <v>4109</v>
      </c>
      <c r="G373" s="473" t="s">
        <v>3931</v>
      </c>
      <c r="H373" s="439" t="s">
        <v>542</v>
      </c>
      <c r="I373" s="474" t="s">
        <v>3459</v>
      </c>
      <c r="J373" s="474" t="s">
        <v>3463</v>
      </c>
      <c r="K373" s="443" t="s">
        <v>508</v>
      </c>
      <c r="L373" s="471">
        <v>1</v>
      </c>
      <c r="M373" s="447" t="s">
        <v>547</v>
      </c>
      <c r="N373" s="456">
        <v>1035.6500000000001</v>
      </c>
      <c r="O373" s="475">
        <f t="shared" si="1"/>
        <v>1035.6500000000001</v>
      </c>
      <c r="P373" s="476"/>
      <c r="Q373" s="477">
        <v>46023</v>
      </c>
      <c r="R373" s="476"/>
      <c r="S373" s="476"/>
    </row>
    <row r="374" spans="1:19" ht="15.75" customHeight="1" x14ac:dyDescent="0.25">
      <c r="A374" s="438">
        <v>371</v>
      </c>
      <c r="B374" s="470" t="s">
        <v>17</v>
      </c>
      <c r="C374" s="471" t="s">
        <v>18</v>
      </c>
      <c r="D374" s="472" t="s">
        <v>19</v>
      </c>
      <c r="E374" s="448" t="s">
        <v>4083</v>
      </c>
      <c r="F374" s="448" t="s">
        <v>4109</v>
      </c>
      <c r="G374" s="473" t="s">
        <v>3931</v>
      </c>
      <c r="H374" s="439" t="s">
        <v>542</v>
      </c>
      <c r="I374" s="474" t="s">
        <v>3459</v>
      </c>
      <c r="J374" s="474" t="s">
        <v>3463</v>
      </c>
      <c r="K374" s="443" t="s">
        <v>508</v>
      </c>
      <c r="L374" s="471">
        <v>1</v>
      </c>
      <c r="M374" s="447" t="s">
        <v>548</v>
      </c>
      <c r="N374" s="456">
        <v>1035.6500000000001</v>
      </c>
      <c r="O374" s="475">
        <f t="shared" si="1"/>
        <v>1035.6500000000001</v>
      </c>
      <c r="P374" s="476"/>
      <c r="Q374" s="477">
        <v>46023</v>
      </c>
      <c r="R374" s="476"/>
      <c r="S374" s="476"/>
    </row>
    <row r="375" spans="1:19" ht="15.75" customHeight="1" x14ac:dyDescent="0.25">
      <c r="A375" s="438">
        <v>372</v>
      </c>
      <c r="B375" s="470" t="s">
        <v>17</v>
      </c>
      <c r="C375" s="471" t="s">
        <v>18</v>
      </c>
      <c r="D375" s="472" t="s">
        <v>19</v>
      </c>
      <c r="E375" s="448" t="s">
        <v>4083</v>
      </c>
      <c r="F375" s="448" t="s">
        <v>4109</v>
      </c>
      <c r="G375" s="473" t="s">
        <v>3931</v>
      </c>
      <c r="H375" s="439" t="s">
        <v>542</v>
      </c>
      <c r="I375" s="474" t="s">
        <v>3459</v>
      </c>
      <c r="J375" s="474" t="s">
        <v>3463</v>
      </c>
      <c r="K375" s="443" t="s">
        <v>508</v>
      </c>
      <c r="L375" s="471">
        <v>1</v>
      </c>
      <c r="M375" s="447" t="s">
        <v>549</v>
      </c>
      <c r="N375" s="456">
        <v>1035.6500000000001</v>
      </c>
      <c r="O375" s="475">
        <f t="shared" si="1"/>
        <v>1035.6500000000001</v>
      </c>
      <c r="P375" s="476"/>
      <c r="Q375" s="477">
        <v>46023</v>
      </c>
      <c r="R375" s="476"/>
      <c r="S375" s="476"/>
    </row>
    <row r="376" spans="1:19" ht="15.75" customHeight="1" x14ac:dyDescent="0.25">
      <c r="A376" s="438">
        <v>373</v>
      </c>
      <c r="B376" s="470" t="s">
        <v>17</v>
      </c>
      <c r="C376" s="471" t="s">
        <v>18</v>
      </c>
      <c r="D376" s="472" t="s">
        <v>19</v>
      </c>
      <c r="E376" s="448" t="s">
        <v>4083</v>
      </c>
      <c r="F376" s="448" t="s">
        <v>4109</v>
      </c>
      <c r="G376" s="473" t="s">
        <v>3931</v>
      </c>
      <c r="H376" s="439" t="s">
        <v>542</v>
      </c>
      <c r="I376" s="474" t="s">
        <v>3459</v>
      </c>
      <c r="J376" s="474" t="s">
        <v>3463</v>
      </c>
      <c r="K376" s="443" t="s">
        <v>508</v>
      </c>
      <c r="L376" s="471">
        <v>1</v>
      </c>
      <c r="M376" s="447" t="s">
        <v>550</v>
      </c>
      <c r="N376" s="456">
        <v>1035.6500000000001</v>
      </c>
      <c r="O376" s="475">
        <f t="shared" si="1"/>
        <v>1035.6500000000001</v>
      </c>
      <c r="P376" s="476"/>
      <c r="Q376" s="477">
        <v>46023</v>
      </c>
      <c r="R376" s="476"/>
      <c r="S376" s="476"/>
    </row>
    <row r="377" spans="1:19" ht="15.75" customHeight="1" x14ac:dyDescent="0.25">
      <c r="A377" s="438">
        <v>374</v>
      </c>
      <c r="B377" s="470" t="s">
        <v>17</v>
      </c>
      <c r="C377" s="471" t="s">
        <v>18</v>
      </c>
      <c r="D377" s="472" t="s">
        <v>19</v>
      </c>
      <c r="E377" s="448" t="s">
        <v>4083</v>
      </c>
      <c r="F377" s="448" t="s">
        <v>4109</v>
      </c>
      <c r="G377" s="473" t="s">
        <v>3931</v>
      </c>
      <c r="H377" s="439" t="s">
        <v>542</v>
      </c>
      <c r="I377" s="474" t="s">
        <v>3459</v>
      </c>
      <c r="J377" s="474" t="s">
        <v>3463</v>
      </c>
      <c r="K377" s="443" t="s">
        <v>508</v>
      </c>
      <c r="L377" s="471">
        <v>1</v>
      </c>
      <c r="M377" s="447" t="s">
        <v>551</v>
      </c>
      <c r="N377" s="456">
        <v>1035.6500000000001</v>
      </c>
      <c r="O377" s="475">
        <f t="shared" si="1"/>
        <v>1035.6500000000001</v>
      </c>
      <c r="P377" s="476"/>
      <c r="Q377" s="477">
        <v>46023</v>
      </c>
      <c r="R377" s="476"/>
      <c r="S377" s="476"/>
    </row>
    <row r="378" spans="1:19" ht="15.75" customHeight="1" x14ac:dyDescent="0.25">
      <c r="A378" s="438">
        <v>375</v>
      </c>
      <c r="B378" s="470" t="s">
        <v>17</v>
      </c>
      <c r="C378" s="471" t="s">
        <v>18</v>
      </c>
      <c r="D378" s="472" t="s">
        <v>19</v>
      </c>
      <c r="E378" s="448" t="s">
        <v>4083</v>
      </c>
      <c r="F378" s="448" t="s">
        <v>4109</v>
      </c>
      <c r="G378" s="473" t="s">
        <v>3931</v>
      </c>
      <c r="H378" s="439" t="s">
        <v>542</v>
      </c>
      <c r="I378" s="474" t="s">
        <v>3459</v>
      </c>
      <c r="J378" s="474" t="s">
        <v>3463</v>
      </c>
      <c r="K378" s="443" t="s">
        <v>508</v>
      </c>
      <c r="L378" s="471">
        <v>1</v>
      </c>
      <c r="M378" s="447" t="s">
        <v>552</v>
      </c>
      <c r="N378" s="456">
        <v>1035.6500000000001</v>
      </c>
      <c r="O378" s="475">
        <f t="shared" si="1"/>
        <v>1035.6500000000001</v>
      </c>
      <c r="P378" s="476"/>
      <c r="Q378" s="477">
        <v>46023</v>
      </c>
      <c r="R378" s="476"/>
      <c r="S378" s="476"/>
    </row>
    <row r="379" spans="1:19" ht="15.75" customHeight="1" x14ac:dyDescent="0.25">
      <c r="A379" s="438">
        <v>376</v>
      </c>
      <c r="B379" s="470" t="s">
        <v>17</v>
      </c>
      <c r="C379" s="471" t="s">
        <v>18</v>
      </c>
      <c r="D379" s="472" t="s">
        <v>19</v>
      </c>
      <c r="E379" s="448" t="s">
        <v>4083</v>
      </c>
      <c r="F379" s="448" t="s">
        <v>4109</v>
      </c>
      <c r="G379" s="473" t="s">
        <v>3931</v>
      </c>
      <c r="H379" s="439" t="s">
        <v>542</v>
      </c>
      <c r="I379" s="474" t="s">
        <v>3459</v>
      </c>
      <c r="J379" s="474" t="s">
        <v>3463</v>
      </c>
      <c r="K379" s="443" t="s">
        <v>508</v>
      </c>
      <c r="L379" s="471">
        <v>1</v>
      </c>
      <c r="M379" s="447" t="s">
        <v>553</v>
      </c>
      <c r="N379" s="456">
        <v>1035.6500000000001</v>
      </c>
      <c r="O379" s="475">
        <f t="shared" si="1"/>
        <v>1035.6500000000001</v>
      </c>
      <c r="P379" s="476"/>
      <c r="Q379" s="477">
        <v>46023</v>
      </c>
      <c r="R379" s="476"/>
      <c r="S379" s="476"/>
    </row>
    <row r="380" spans="1:19" ht="15.75" customHeight="1" x14ac:dyDescent="0.25">
      <c r="A380" s="438">
        <v>377</v>
      </c>
      <c r="B380" s="470" t="s">
        <v>17</v>
      </c>
      <c r="C380" s="471" t="s">
        <v>18</v>
      </c>
      <c r="D380" s="472" t="s">
        <v>19</v>
      </c>
      <c r="E380" s="448" t="s">
        <v>4083</v>
      </c>
      <c r="F380" s="448" t="s">
        <v>4100</v>
      </c>
      <c r="G380" s="473" t="s">
        <v>3931</v>
      </c>
      <c r="H380" s="439" t="s">
        <v>542</v>
      </c>
      <c r="I380" s="474" t="s">
        <v>3459</v>
      </c>
      <c r="J380" s="474" t="s">
        <v>3463</v>
      </c>
      <c r="K380" s="443" t="s">
        <v>508</v>
      </c>
      <c r="L380" s="471">
        <v>1</v>
      </c>
      <c r="M380" s="447" t="s">
        <v>554</v>
      </c>
      <c r="N380" s="456">
        <v>1035.6500000000001</v>
      </c>
      <c r="O380" s="475">
        <f t="shared" si="1"/>
        <v>1035.6500000000001</v>
      </c>
      <c r="P380" s="476"/>
      <c r="Q380" s="477">
        <v>46023</v>
      </c>
      <c r="R380" s="476"/>
      <c r="S380" s="476"/>
    </row>
    <row r="381" spans="1:19" ht="15.75" customHeight="1" x14ac:dyDescent="0.25">
      <c r="A381" s="438">
        <v>378</v>
      </c>
      <c r="B381" s="470" t="s">
        <v>17</v>
      </c>
      <c r="C381" s="471" t="s">
        <v>18</v>
      </c>
      <c r="D381" s="472" t="s">
        <v>19</v>
      </c>
      <c r="E381" s="448" t="s">
        <v>4083</v>
      </c>
      <c r="F381" s="448" t="s">
        <v>4100</v>
      </c>
      <c r="G381" s="473" t="s">
        <v>3931</v>
      </c>
      <c r="H381" s="439" t="s">
        <v>542</v>
      </c>
      <c r="I381" s="474" t="s">
        <v>3459</v>
      </c>
      <c r="J381" s="474" t="s">
        <v>3463</v>
      </c>
      <c r="K381" s="443" t="s">
        <v>508</v>
      </c>
      <c r="L381" s="471">
        <v>1</v>
      </c>
      <c r="M381" s="447" t="s">
        <v>555</v>
      </c>
      <c r="N381" s="456">
        <v>1035.6500000000001</v>
      </c>
      <c r="O381" s="475">
        <f t="shared" si="1"/>
        <v>1035.6500000000001</v>
      </c>
      <c r="P381" s="476"/>
      <c r="Q381" s="477">
        <v>46023</v>
      </c>
      <c r="R381" s="476"/>
      <c r="S381" s="476"/>
    </row>
    <row r="382" spans="1:19" ht="15.75" customHeight="1" x14ac:dyDescent="0.25">
      <c r="A382" s="438">
        <v>379</v>
      </c>
      <c r="B382" s="470" t="s">
        <v>17</v>
      </c>
      <c r="C382" s="471" t="s">
        <v>18</v>
      </c>
      <c r="D382" s="472" t="s">
        <v>19</v>
      </c>
      <c r="E382" s="448" t="s">
        <v>4083</v>
      </c>
      <c r="F382" s="448" t="s">
        <v>4100</v>
      </c>
      <c r="G382" s="473" t="s">
        <v>3931</v>
      </c>
      <c r="H382" s="439" t="s">
        <v>542</v>
      </c>
      <c r="I382" s="474" t="s">
        <v>3459</v>
      </c>
      <c r="J382" s="474" t="s">
        <v>3463</v>
      </c>
      <c r="K382" s="443" t="s">
        <v>508</v>
      </c>
      <c r="L382" s="471">
        <v>1</v>
      </c>
      <c r="M382" s="447" t="s">
        <v>556</v>
      </c>
      <c r="N382" s="456">
        <v>1035.6500000000001</v>
      </c>
      <c r="O382" s="475">
        <f t="shared" si="1"/>
        <v>1035.6500000000001</v>
      </c>
      <c r="P382" s="476"/>
      <c r="Q382" s="477">
        <v>46023</v>
      </c>
      <c r="R382" s="476"/>
      <c r="S382" s="476"/>
    </row>
    <row r="383" spans="1:19" ht="15.75" customHeight="1" x14ac:dyDescent="0.25">
      <c r="A383" s="438">
        <v>380</v>
      </c>
      <c r="B383" s="470" t="s">
        <v>17</v>
      </c>
      <c r="C383" s="471" t="s">
        <v>18</v>
      </c>
      <c r="D383" s="472" t="s">
        <v>19</v>
      </c>
      <c r="E383" s="448" t="s">
        <v>4080</v>
      </c>
      <c r="F383" s="448" t="s">
        <v>4080</v>
      </c>
      <c r="G383" s="473" t="s">
        <v>3931</v>
      </c>
      <c r="H383" s="439" t="s">
        <v>542</v>
      </c>
      <c r="I383" s="474" t="s">
        <v>3459</v>
      </c>
      <c r="J383" s="474" t="s">
        <v>3463</v>
      </c>
      <c r="K383" s="443" t="s">
        <v>508</v>
      </c>
      <c r="L383" s="471">
        <v>1</v>
      </c>
      <c r="M383" s="447" t="s">
        <v>557</v>
      </c>
      <c r="N383" s="456">
        <v>1035.6500000000001</v>
      </c>
      <c r="O383" s="475">
        <f t="shared" si="1"/>
        <v>1035.6500000000001</v>
      </c>
      <c r="P383" s="476"/>
      <c r="Q383" s="477">
        <v>46023</v>
      </c>
      <c r="R383" s="476"/>
      <c r="S383" s="476"/>
    </row>
    <row r="384" spans="1:19" ht="15.75" customHeight="1" x14ac:dyDescent="0.25">
      <c r="A384" s="438">
        <v>381</v>
      </c>
      <c r="B384" s="470" t="s">
        <v>17</v>
      </c>
      <c r="C384" s="471" t="s">
        <v>18</v>
      </c>
      <c r="D384" s="472" t="s">
        <v>19</v>
      </c>
      <c r="E384" s="448" t="s">
        <v>4080</v>
      </c>
      <c r="F384" s="448" t="s">
        <v>4080</v>
      </c>
      <c r="G384" s="473" t="s">
        <v>3931</v>
      </c>
      <c r="H384" s="439" t="s">
        <v>558</v>
      </c>
      <c r="I384" s="474" t="s">
        <v>3459</v>
      </c>
      <c r="J384" s="474" t="s">
        <v>3463</v>
      </c>
      <c r="K384" s="443" t="s">
        <v>508</v>
      </c>
      <c r="L384" s="471">
        <v>1</v>
      </c>
      <c r="M384" s="447" t="s">
        <v>559</v>
      </c>
      <c r="N384" s="456">
        <v>2024.23</v>
      </c>
      <c r="O384" s="475">
        <f t="shared" si="1"/>
        <v>2024.23</v>
      </c>
      <c r="P384" s="476"/>
      <c r="Q384" s="477">
        <v>46023</v>
      </c>
      <c r="R384" s="476"/>
      <c r="S384" s="476"/>
    </row>
    <row r="385" spans="1:19" ht="15.75" customHeight="1" x14ac:dyDescent="0.25">
      <c r="A385" s="438">
        <v>382</v>
      </c>
      <c r="B385" s="470" t="s">
        <v>17</v>
      </c>
      <c r="C385" s="471" t="s">
        <v>18</v>
      </c>
      <c r="D385" s="472" t="s">
        <v>19</v>
      </c>
      <c r="E385" s="448" t="s">
        <v>4083</v>
      </c>
      <c r="F385" s="448" t="s">
        <v>2988</v>
      </c>
      <c r="G385" s="473" t="s">
        <v>3931</v>
      </c>
      <c r="H385" s="439" t="s">
        <v>558</v>
      </c>
      <c r="I385" s="474" t="s">
        <v>3459</v>
      </c>
      <c r="J385" s="474" t="s">
        <v>3463</v>
      </c>
      <c r="K385" s="443" t="s">
        <v>508</v>
      </c>
      <c r="L385" s="471">
        <v>1</v>
      </c>
      <c r="M385" s="447" t="s">
        <v>560</v>
      </c>
      <c r="N385" s="456">
        <v>2024.23</v>
      </c>
      <c r="O385" s="475">
        <f t="shared" si="1"/>
        <v>2024.23</v>
      </c>
      <c r="P385" s="476"/>
      <c r="Q385" s="477">
        <v>46023</v>
      </c>
      <c r="R385" s="476"/>
      <c r="S385" s="476"/>
    </row>
    <row r="386" spans="1:19" ht="15.75" customHeight="1" x14ac:dyDescent="0.25">
      <c r="A386" s="438">
        <v>383</v>
      </c>
      <c r="B386" s="470" t="s">
        <v>17</v>
      </c>
      <c r="C386" s="471" t="s">
        <v>18</v>
      </c>
      <c r="D386" s="472" t="s">
        <v>19</v>
      </c>
      <c r="E386" s="448" t="s">
        <v>4083</v>
      </c>
      <c r="F386" s="448" t="s">
        <v>2988</v>
      </c>
      <c r="G386" s="473" t="s">
        <v>3931</v>
      </c>
      <c r="H386" s="439" t="s">
        <v>558</v>
      </c>
      <c r="I386" s="474" t="s">
        <v>3459</v>
      </c>
      <c r="J386" s="474" t="s">
        <v>3463</v>
      </c>
      <c r="K386" s="443" t="s">
        <v>508</v>
      </c>
      <c r="L386" s="471">
        <v>1</v>
      </c>
      <c r="M386" s="447" t="s">
        <v>561</v>
      </c>
      <c r="N386" s="456">
        <v>2024.23</v>
      </c>
      <c r="O386" s="475">
        <f t="shared" si="1"/>
        <v>2024.23</v>
      </c>
      <c r="P386" s="476"/>
      <c r="Q386" s="477">
        <v>46023</v>
      </c>
      <c r="R386" s="476"/>
      <c r="S386" s="476"/>
    </row>
    <row r="387" spans="1:19" ht="15.75" customHeight="1" x14ac:dyDescent="0.25">
      <c r="A387" s="438">
        <v>384</v>
      </c>
      <c r="B387" s="470" t="s">
        <v>17</v>
      </c>
      <c r="C387" s="471" t="s">
        <v>18</v>
      </c>
      <c r="D387" s="472" t="s">
        <v>19</v>
      </c>
      <c r="E387" s="448" t="s">
        <v>4083</v>
      </c>
      <c r="F387" s="448" t="s">
        <v>2988</v>
      </c>
      <c r="G387" s="473" t="s">
        <v>3931</v>
      </c>
      <c r="H387" s="439" t="s">
        <v>558</v>
      </c>
      <c r="I387" s="474" t="s">
        <v>3459</v>
      </c>
      <c r="J387" s="474" t="s">
        <v>3463</v>
      </c>
      <c r="K387" s="443" t="s">
        <v>508</v>
      </c>
      <c r="L387" s="471">
        <v>1</v>
      </c>
      <c r="M387" s="447" t="s">
        <v>562</v>
      </c>
      <c r="N387" s="456">
        <v>2024.23</v>
      </c>
      <c r="O387" s="475">
        <f t="shared" si="1"/>
        <v>2024.23</v>
      </c>
      <c r="P387" s="476"/>
      <c r="Q387" s="477">
        <v>46023</v>
      </c>
      <c r="R387" s="476"/>
      <c r="S387" s="476"/>
    </row>
    <row r="388" spans="1:19" ht="15.75" customHeight="1" x14ac:dyDescent="0.25">
      <c r="A388" s="438">
        <v>385</v>
      </c>
      <c r="B388" s="470" t="s">
        <v>17</v>
      </c>
      <c r="C388" s="471" t="s">
        <v>18</v>
      </c>
      <c r="D388" s="472" t="s">
        <v>19</v>
      </c>
      <c r="E388" s="448" t="s">
        <v>4083</v>
      </c>
      <c r="F388" s="448" t="s">
        <v>2988</v>
      </c>
      <c r="G388" s="473" t="s">
        <v>3931</v>
      </c>
      <c r="H388" s="439" t="s">
        <v>558</v>
      </c>
      <c r="I388" s="474" t="s">
        <v>3459</v>
      </c>
      <c r="J388" s="474" t="s">
        <v>3463</v>
      </c>
      <c r="K388" s="443" t="s">
        <v>508</v>
      </c>
      <c r="L388" s="471">
        <v>1</v>
      </c>
      <c r="M388" s="447" t="s">
        <v>563</v>
      </c>
      <c r="N388" s="456">
        <v>2024.23</v>
      </c>
      <c r="O388" s="475">
        <f t="shared" si="1"/>
        <v>2024.23</v>
      </c>
      <c r="P388" s="476"/>
      <c r="Q388" s="477">
        <v>46023</v>
      </c>
      <c r="R388" s="476"/>
      <c r="S388" s="476"/>
    </row>
    <row r="389" spans="1:19" ht="15.75" customHeight="1" x14ac:dyDescent="0.25">
      <c r="A389" s="438">
        <v>386</v>
      </c>
      <c r="B389" s="470" t="s">
        <v>17</v>
      </c>
      <c r="C389" s="471" t="s">
        <v>18</v>
      </c>
      <c r="D389" s="472" t="s">
        <v>19</v>
      </c>
      <c r="E389" s="448" t="s">
        <v>4086</v>
      </c>
      <c r="F389" s="448" t="s">
        <v>4097</v>
      </c>
      <c r="G389" s="473" t="s">
        <v>3931</v>
      </c>
      <c r="H389" s="439" t="s">
        <v>564</v>
      </c>
      <c r="I389" s="474" t="s">
        <v>3459</v>
      </c>
      <c r="J389" s="474" t="s">
        <v>3463</v>
      </c>
      <c r="K389" s="443" t="s">
        <v>508</v>
      </c>
      <c r="L389" s="471">
        <v>1</v>
      </c>
      <c r="M389" s="447" t="s">
        <v>565</v>
      </c>
      <c r="N389" s="456">
        <v>1459.33</v>
      </c>
      <c r="O389" s="475">
        <f t="shared" si="1"/>
        <v>1459.33</v>
      </c>
      <c r="P389" s="476"/>
      <c r="Q389" s="477">
        <v>46023</v>
      </c>
      <c r="R389" s="476"/>
      <c r="S389" s="476"/>
    </row>
    <row r="390" spans="1:19" ht="15.75" customHeight="1" x14ac:dyDescent="0.25">
      <c r="A390" s="438">
        <v>387</v>
      </c>
      <c r="B390" s="470" t="s">
        <v>17</v>
      </c>
      <c r="C390" s="471" t="s">
        <v>18</v>
      </c>
      <c r="D390" s="472" t="s">
        <v>19</v>
      </c>
      <c r="E390" s="448" t="s">
        <v>4086</v>
      </c>
      <c r="F390" s="448" t="s">
        <v>4097</v>
      </c>
      <c r="G390" s="473" t="s">
        <v>3931</v>
      </c>
      <c r="H390" s="439" t="s">
        <v>564</v>
      </c>
      <c r="I390" s="474" t="s">
        <v>3459</v>
      </c>
      <c r="J390" s="474" t="s">
        <v>3463</v>
      </c>
      <c r="K390" s="443" t="s">
        <v>508</v>
      </c>
      <c r="L390" s="471">
        <v>1</v>
      </c>
      <c r="M390" s="447" t="s">
        <v>566</v>
      </c>
      <c r="N390" s="456">
        <v>1459.33</v>
      </c>
      <c r="O390" s="475">
        <f t="shared" si="1"/>
        <v>1459.33</v>
      </c>
      <c r="P390" s="476"/>
      <c r="Q390" s="477">
        <v>46023</v>
      </c>
      <c r="R390" s="476"/>
      <c r="S390" s="476"/>
    </row>
    <row r="391" spans="1:19" ht="15.75" customHeight="1" x14ac:dyDescent="0.25">
      <c r="A391" s="438">
        <v>388</v>
      </c>
      <c r="B391" s="470" t="s">
        <v>17</v>
      </c>
      <c r="C391" s="471" t="s">
        <v>18</v>
      </c>
      <c r="D391" s="472" t="s">
        <v>19</v>
      </c>
      <c r="E391" s="448" t="s">
        <v>4086</v>
      </c>
      <c r="F391" s="448" t="s">
        <v>4103</v>
      </c>
      <c r="G391" s="473" t="s">
        <v>3931</v>
      </c>
      <c r="H391" s="439" t="s">
        <v>564</v>
      </c>
      <c r="I391" s="474" t="s">
        <v>3459</v>
      </c>
      <c r="J391" s="474" t="s">
        <v>3463</v>
      </c>
      <c r="K391" s="443" t="s">
        <v>508</v>
      </c>
      <c r="L391" s="471">
        <v>1</v>
      </c>
      <c r="M391" s="447" t="s">
        <v>567</v>
      </c>
      <c r="N391" s="456">
        <v>1459.33</v>
      </c>
      <c r="O391" s="475">
        <f t="shared" si="1"/>
        <v>1459.33</v>
      </c>
      <c r="P391" s="476"/>
      <c r="Q391" s="477">
        <v>46023</v>
      </c>
      <c r="R391" s="476"/>
      <c r="S391" s="476"/>
    </row>
    <row r="392" spans="1:19" ht="15.75" customHeight="1" x14ac:dyDescent="0.25">
      <c r="A392" s="438">
        <v>389</v>
      </c>
      <c r="B392" s="470" t="s">
        <v>17</v>
      </c>
      <c r="C392" s="471" t="s">
        <v>18</v>
      </c>
      <c r="D392" s="472" t="s">
        <v>19</v>
      </c>
      <c r="E392" s="448" t="s">
        <v>3047</v>
      </c>
      <c r="F392" s="448" t="s">
        <v>3047</v>
      </c>
      <c r="G392" s="452" t="s">
        <v>3931</v>
      </c>
      <c r="H392" s="439" t="s">
        <v>564</v>
      </c>
      <c r="I392" s="438" t="s">
        <v>3459</v>
      </c>
      <c r="J392" s="438" t="s">
        <v>3463</v>
      </c>
      <c r="K392" s="439" t="s">
        <v>508</v>
      </c>
      <c r="L392" s="471">
        <v>1</v>
      </c>
      <c r="M392" s="447" t="s">
        <v>568</v>
      </c>
      <c r="N392" s="456">
        <v>1459.33</v>
      </c>
      <c r="O392" s="475">
        <f t="shared" si="1"/>
        <v>1459.33</v>
      </c>
      <c r="P392" s="476"/>
      <c r="Q392" s="477">
        <v>46023</v>
      </c>
      <c r="R392" s="476"/>
      <c r="S392" s="476"/>
    </row>
    <row r="393" spans="1:19" ht="15.75" customHeight="1" x14ac:dyDescent="0.25">
      <c r="A393" s="438">
        <v>390</v>
      </c>
      <c r="B393" s="470" t="s">
        <v>17</v>
      </c>
      <c r="C393" s="471" t="s">
        <v>18</v>
      </c>
      <c r="D393" s="472" t="s">
        <v>19</v>
      </c>
      <c r="E393" s="448" t="s">
        <v>3047</v>
      </c>
      <c r="F393" s="448" t="s">
        <v>3047</v>
      </c>
      <c r="G393" s="473" t="s">
        <v>3931</v>
      </c>
      <c r="H393" s="439" t="s">
        <v>564</v>
      </c>
      <c r="I393" s="474" t="s">
        <v>3459</v>
      </c>
      <c r="J393" s="474" t="s">
        <v>3463</v>
      </c>
      <c r="K393" s="443" t="s">
        <v>508</v>
      </c>
      <c r="L393" s="471">
        <v>1</v>
      </c>
      <c r="M393" s="447" t="s">
        <v>569</v>
      </c>
      <c r="N393" s="456">
        <v>1459.33</v>
      </c>
      <c r="O393" s="475">
        <f t="shared" si="1"/>
        <v>1459.33</v>
      </c>
      <c r="P393" s="476"/>
      <c r="Q393" s="477">
        <v>46023</v>
      </c>
      <c r="R393" s="476"/>
      <c r="S393" s="476"/>
    </row>
    <row r="394" spans="1:19" ht="15.75" customHeight="1" x14ac:dyDescent="0.25">
      <c r="A394" s="438">
        <v>391</v>
      </c>
      <c r="B394" s="470" t="s">
        <v>17</v>
      </c>
      <c r="C394" s="471" t="s">
        <v>18</v>
      </c>
      <c r="D394" s="472" t="s">
        <v>19</v>
      </c>
      <c r="E394" s="448" t="s">
        <v>4085</v>
      </c>
      <c r="F394" s="448" t="s">
        <v>3026</v>
      </c>
      <c r="G394" s="473" t="s">
        <v>3931</v>
      </c>
      <c r="H394" s="439" t="s">
        <v>564</v>
      </c>
      <c r="I394" s="474" t="s">
        <v>3459</v>
      </c>
      <c r="J394" s="474" t="s">
        <v>3463</v>
      </c>
      <c r="K394" s="443" t="s">
        <v>508</v>
      </c>
      <c r="L394" s="471">
        <v>1</v>
      </c>
      <c r="M394" s="447" t="s">
        <v>570</v>
      </c>
      <c r="N394" s="456">
        <v>1459.33</v>
      </c>
      <c r="O394" s="475">
        <f t="shared" si="1"/>
        <v>1459.33</v>
      </c>
      <c r="P394" s="476"/>
      <c r="Q394" s="477">
        <v>46023</v>
      </c>
      <c r="R394" s="476"/>
      <c r="S394" s="476"/>
    </row>
    <row r="395" spans="1:19" ht="15.75" customHeight="1" x14ac:dyDescent="0.25">
      <c r="A395" s="438">
        <v>392</v>
      </c>
      <c r="B395" s="470" t="s">
        <v>17</v>
      </c>
      <c r="C395" s="471" t="s">
        <v>18</v>
      </c>
      <c r="D395" s="472" t="s">
        <v>19</v>
      </c>
      <c r="E395" s="448" t="s">
        <v>4085</v>
      </c>
      <c r="F395" s="448" t="s">
        <v>2982</v>
      </c>
      <c r="G395" s="473" t="s">
        <v>3931</v>
      </c>
      <c r="H395" s="439" t="s">
        <v>564</v>
      </c>
      <c r="I395" s="474" t="s">
        <v>3459</v>
      </c>
      <c r="J395" s="474" t="s">
        <v>3463</v>
      </c>
      <c r="K395" s="443" t="s">
        <v>508</v>
      </c>
      <c r="L395" s="471">
        <v>1</v>
      </c>
      <c r="M395" s="447" t="s">
        <v>571</v>
      </c>
      <c r="N395" s="456">
        <v>1459.33</v>
      </c>
      <c r="O395" s="475">
        <f t="shared" si="1"/>
        <v>1459.33</v>
      </c>
      <c r="P395" s="476"/>
      <c r="Q395" s="477">
        <v>46023</v>
      </c>
      <c r="R395" s="476"/>
      <c r="S395" s="476"/>
    </row>
    <row r="396" spans="1:19" ht="15.75" customHeight="1" x14ac:dyDescent="0.25">
      <c r="A396" s="438">
        <v>393</v>
      </c>
      <c r="B396" s="470" t="s">
        <v>17</v>
      </c>
      <c r="C396" s="471" t="s">
        <v>18</v>
      </c>
      <c r="D396" s="472" t="s">
        <v>19</v>
      </c>
      <c r="E396" s="448" t="s">
        <v>4088</v>
      </c>
      <c r="F396" s="448"/>
      <c r="G396" s="473" t="s">
        <v>3931</v>
      </c>
      <c r="H396" s="439" t="s">
        <v>564</v>
      </c>
      <c r="I396" s="474" t="s">
        <v>3459</v>
      </c>
      <c r="J396" s="474" t="s">
        <v>3463</v>
      </c>
      <c r="K396" s="443" t="s">
        <v>508</v>
      </c>
      <c r="L396" s="471">
        <v>1</v>
      </c>
      <c r="M396" s="447" t="s">
        <v>572</v>
      </c>
      <c r="N396" s="456">
        <v>1459.33</v>
      </c>
      <c r="O396" s="475">
        <f t="shared" si="1"/>
        <v>1459.33</v>
      </c>
      <c r="P396" s="476"/>
      <c r="Q396" s="477">
        <v>46023</v>
      </c>
      <c r="R396" s="476"/>
      <c r="S396" s="476"/>
    </row>
    <row r="397" spans="1:19" ht="15.75" customHeight="1" x14ac:dyDescent="0.25">
      <c r="A397" s="438">
        <v>394</v>
      </c>
      <c r="B397" s="470" t="s">
        <v>17</v>
      </c>
      <c r="C397" s="471" t="s">
        <v>18</v>
      </c>
      <c r="D397" s="472" t="s">
        <v>19</v>
      </c>
      <c r="E397" s="448" t="s">
        <v>4091</v>
      </c>
      <c r="F397" s="448" t="s">
        <v>4107</v>
      </c>
      <c r="G397" s="473" t="s">
        <v>3931</v>
      </c>
      <c r="H397" s="439" t="s">
        <v>564</v>
      </c>
      <c r="I397" s="474" t="s">
        <v>3459</v>
      </c>
      <c r="J397" s="474" t="s">
        <v>3463</v>
      </c>
      <c r="K397" s="443" t="s">
        <v>508</v>
      </c>
      <c r="L397" s="471">
        <v>1</v>
      </c>
      <c r="M397" s="447" t="s">
        <v>573</v>
      </c>
      <c r="N397" s="456">
        <v>1459.33</v>
      </c>
      <c r="O397" s="475">
        <f t="shared" si="1"/>
        <v>1459.33</v>
      </c>
      <c r="P397" s="476"/>
      <c r="Q397" s="477">
        <v>46023</v>
      </c>
      <c r="R397" s="476"/>
      <c r="S397" s="476"/>
    </row>
    <row r="398" spans="1:19" ht="15.75" customHeight="1" x14ac:dyDescent="0.25">
      <c r="A398" s="438">
        <v>395</v>
      </c>
      <c r="B398" s="470" t="s">
        <v>17</v>
      </c>
      <c r="C398" s="471" t="s">
        <v>18</v>
      </c>
      <c r="D398" s="472" t="s">
        <v>19</v>
      </c>
      <c r="E398" s="448" t="s">
        <v>4091</v>
      </c>
      <c r="F398" s="448" t="s">
        <v>4107</v>
      </c>
      <c r="G398" s="473" t="s">
        <v>3931</v>
      </c>
      <c r="H398" s="439" t="s">
        <v>564</v>
      </c>
      <c r="I398" s="474" t="s">
        <v>3459</v>
      </c>
      <c r="J398" s="474" t="s">
        <v>3463</v>
      </c>
      <c r="K398" s="443" t="s">
        <v>508</v>
      </c>
      <c r="L398" s="471">
        <v>1</v>
      </c>
      <c r="M398" s="447" t="s">
        <v>574</v>
      </c>
      <c r="N398" s="456">
        <v>1459.33</v>
      </c>
      <c r="O398" s="475">
        <f t="shared" si="1"/>
        <v>1459.33</v>
      </c>
      <c r="P398" s="476"/>
      <c r="Q398" s="477">
        <v>46023</v>
      </c>
      <c r="R398" s="476"/>
      <c r="S398" s="476"/>
    </row>
    <row r="399" spans="1:19" ht="15.75" customHeight="1" x14ac:dyDescent="0.25">
      <c r="A399" s="438">
        <v>396</v>
      </c>
      <c r="B399" s="470" t="s">
        <v>17</v>
      </c>
      <c r="C399" s="471" t="s">
        <v>18</v>
      </c>
      <c r="D399" s="472" t="s">
        <v>19</v>
      </c>
      <c r="E399" s="448" t="s">
        <v>4091</v>
      </c>
      <c r="F399" s="448" t="s">
        <v>4107</v>
      </c>
      <c r="G399" s="473" t="s">
        <v>3931</v>
      </c>
      <c r="H399" s="439" t="s">
        <v>564</v>
      </c>
      <c r="I399" s="474" t="s">
        <v>3459</v>
      </c>
      <c r="J399" s="474" t="s">
        <v>3463</v>
      </c>
      <c r="K399" s="443" t="s">
        <v>508</v>
      </c>
      <c r="L399" s="471">
        <v>1</v>
      </c>
      <c r="M399" s="447" t="s">
        <v>575</v>
      </c>
      <c r="N399" s="456">
        <v>1459.33</v>
      </c>
      <c r="O399" s="475">
        <f t="shared" si="1"/>
        <v>1459.33</v>
      </c>
      <c r="P399" s="476"/>
      <c r="Q399" s="477">
        <v>46023</v>
      </c>
      <c r="R399" s="476"/>
      <c r="S399" s="476"/>
    </row>
    <row r="400" spans="1:19" ht="15.75" customHeight="1" x14ac:dyDescent="0.25">
      <c r="A400" s="438">
        <v>397</v>
      </c>
      <c r="B400" s="470" t="s">
        <v>17</v>
      </c>
      <c r="C400" s="471" t="s">
        <v>18</v>
      </c>
      <c r="D400" s="472" t="s">
        <v>19</v>
      </c>
      <c r="E400" s="448" t="s">
        <v>4091</v>
      </c>
      <c r="F400" s="448" t="s">
        <v>4107</v>
      </c>
      <c r="G400" s="473" t="s">
        <v>3931</v>
      </c>
      <c r="H400" s="439" t="s">
        <v>564</v>
      </c>
      <c r="I400" s="474" t="s">
        <v>3459</v>
      </c>
      <c r="J400" s="474" t="s">
        <v>3463</v>
      </c>
      <c r="K400" s="443" t="s">
        <v>508</v>
      </c>
      <c r="L400" s="471">
        <v>1</v>
      </c>
      <c r="M400" s="447" t="s">
        <v>576</v>
      </c>
      <c r="N400" s="456">
        <v>1459.33</v>
      </c>
      <c r="O400" s="475">
        <f t="shared" si="1"/>
        <v>1459.33</v>
      </c>
      <c r="P400" s="476"/>
      <c r="Q400" s="477">
        <v>46023</v>
      </c>
      <c r="R400" s="476"/>
      <c r="S400" s="476"/>
    </row>
    <row r="401" spans="1:19" ht="15.75" customHeight="1" x14ac:dyDescent="0.25">
      <c r="A401" s="438">
        <v>398</v>
      </c>
      <c r="B401" s="470" t="s">
        <v>17</v>
      </c>
      <c r="C401" s="471" t="s">
        <v>18</v>
      </c>
      <c r="D401" s="472" t="s">
        <v>19</v>
      </c>
      <c r="E401" s="448" t="s">
        <v>4091</v>
      </c>
      <c r="F401" s="448" t="s">
        <v>4107</v>
      </c>
      <c r="G401" s="473" t="s">
        <v>3931</v>
      </c>
      <c r="H401" s="439" t="s">
        <v>564</v>
      </c>
      <c r="I401" s="474" t="s">
        <v>3459</v>
      </c>
      <c r="J401" s="474" t="s">
        <v>3463</v>
      </c>
      <c r="K401" s="443" t="s">
        <v>508</v>
      </c>
      <c r="L401" s="471">
        <v>1</v>
      </c>
      <c r="M401" s="447" t="s">
        <v>577</v>
      </c>
      <c r="N401" s="456">
        <v>1459.33</v>
      </c>
      <c r="O401" s="475">
        <f t="shared" si="1"/>
        <v>1459.33</v>
      </c>
      <c r="P401" s="476"/>
      <c r="Q401" s="477">
        <v>46023</v>
      </c>
      <c r="R401" s="476"/>
      <c r="S401" s="476"/>
    </row>
    <row r="402" spans="1:19" ht="15.75" customHeight="1" x14ac:dyDescent="0.25">
      <c r="A402" s="438">
        <v>399</v>
      </c>
      <c r="B402" s="470" t="s">
        <v>17</v>
      </c>
      <c r="C402" s="471" t="s">
        <v>18</v>
      </c>
      <c r="D402" s="472" t="s">
        <v>19</v>
      </c>
      <c r="E402" s="448" t="s">
        <v>4091</v>
      </c>
      <c r="F402" s="448" t="s">
        <v>4107</v>
      </c>
      <c r="G402" s="473" t="s">
        <v>3931</v>
      </c>
      <c r="H402" s="439" t="s">
        <v>564</v>
      </c>
      <c r="I402" s="474" t="s">
        <v>3459</v>
      </c>
      <c r="J402" s="474" t="s">
        <v>3463</v>
      </c>
      <c r="K402" s="443" t="s">
        <v>508</v>
      </c>
      <c r="L402" s="471">
        <v>1</v>
      </c>
      <c r="M402" s="447" t="s">
        <v>578</v>
      </c>
      <c r="N402" s="457">
        <v>1459.33</v>
      </c>
      <c r="O402" s="475">
        <f t="shared" si="1"/>
        <v>1459.33</v>
      </c>
      <c r="P402" s="476"/>
      <c r="Q402" s="477">
        <v>46023</v>
      </c>
      <c r="R402" s="476"/>
      <c r="S402" s="476"/>
    </row>
    <row r="403" spans="1:19" ht="15.75" customHeight="1" x14ac:dyDescent="0.25">
      <c r="A403" s="438">
        <v>400</v>
      </c>
      <c r="B403" s="470" t="s">
        <v>17</v>
      </c>
      <c r="C403" s="471" t="s">
        <v>18</v>
      </c>
      <c r="D403" s="472" t="s">
        <v>19</v>
      </c>
      <c r="E403" s="448" t="s">
        <v>4091</v>
      </c>
      <c r="F403" s="448" t="s">
        <v>4107</v>
      </c>
      <c r="G403" s="473" t="s">
        <v>3931</v>
      </c>
      <c r="H403" s="439" t="s">
        <v>564</v>
      </c>
      <c r="I403" s="474" t="s">
        <v>3459</v>
      </c>
      <c r="J403" s="474" t="s">
        <v>3463</v>
      </c>
      <c r="K403" s="443" t="s">
        <v>508</v>
      </c>
      <c r="L403" s="471">
        <v>1</v>
      </c>
      <c r="M403" s="447" t="s">
        <v>579</v>
      </c>
      <c r="N403" s="457">
        <v>1459.33</v>
      </c>
      <c r="O403" s="475">
        <f t="shared" si="1"/>
        <v>1459.33</v>
      </c>
      <c r="P403" s="476"/>
      <c r="Q403" s="477">
        <v>46023</v>
      </c>
      <c r="R403" s="476"/>
      <c r="S403" s="476"/>
    </row>
    <row r="404" spans="1:19" ht="15.75" customHeight="1" x14ac:dyDescent="0.25">
      <c r="A404" s="438">
        <v>401</v>
      </c>
      <c r="B404" s="470" t="s">
        <v>17</v>
      </c>
      <c r="C404" s="471" t="s">
        <v>18</v>
      </c>
      <c r="D404" s="472" t="s">
        <v>19</v>
      </c>
      <c r="E404" s="448" t="s">
        <v>4091</v>
      </c>
      <c r="F404" s="448" t="s">
        <v>4107</v>
      </c>
      <c r="G404" s="473" t="s">
        <v>3931</v>
      </c>
      <c r="H404" s="439" t="s">
        <v>564</v>
      </c>
      <c r="I404" s="474" t="s">
        <v>3459</v>
      </c>
      <c r="J404" s="474" t="s">
        <v>3463</v>
      </c>
      <c r="K404" s="443" t="s">
        <v>508</v>
      </c>
      <c r="L404" s="471">
        <v>1</v>
      </c>
      <c r="M404" s="447" t="s">
        <v>580</v>
      </c>
      <c r="N404" s="457">
        <v>1459.33</v>
      </c>
      <c r="O404" s="475">
        <f t="shared" si="1"/>
        <v>1459.33</v>
      </c>
      <c r="P404" s="476"/>
      <c r="Q404" s="477">
        <v>46023</v>
      </c>
      <c r="R404" s="476"/>
      <c r="S404" s="476"/>
    </row>
    <row r="405" spans="1:19" ht="15.75" customHeight="1" x14ac:dyDescent="0.25">
      <c r="A405" s="438">
        <v>402</v>
      </c>
      <c r="B405" s="470" t="s">
        <v>17</v>
      </c>
      <c r="C405" s="471" t="s">
        <v>18</v>
      </c>
      <c r="D405" s="472" t="s">
        <v>19</v>
      </c>
      <c r="E405" s="448" t="s">
        <v>4091</v>
      </c>
      <c r="F405" s="448" t="s">
        <v>4107</v>
      </c>
      <c r="G405" s="473" t="s">
        <v>3931</v>
      </c>
      <c r="H405" s="439" t="s">
        <v>564</v>
      </c>
      <c r="I405" s="474" t="s">
        <v>3459</v>
      </c>
      <c r="J405" s="474" t="s">
        <v>3463</v>
      </c>
      <c r="K405" s="443" t="s">
        <v>508</v>
      </c>
      <c r="L405" s="471">
        <v>1</v>
      </c>
      <c r="M405" s="447" t="s">
        <v>581</v>
      </c>
      <c r="N405" s="457">
        <v>1459.33</v>
      </c>
      <c r="O405" s="475">
        <f t="shared" si="1"/>
        <v>1459.33</v>
      </c>
      <c r="P405" s="476"/>
      <c r="Q405" s="477">
        <v>46023</v>
      </c>
      <c r="R405" s="476"/>
      <c r="S405" s="476"/>
    </row>
    <row r="406" spans="1:19" ht="15.75" customHeight="1" x14ac:dyDescent="0.25">
      <c r="A406" s="438">
        <v>403</v>
      </c>
      <c r="B406" s="470" t="s">
        <v>17</v>
      </c>
      <c r="C406" s="471" t="s">
        <v>18</v>
      </c>
      <c r="D406" s="472" t="s">
        <v>19</v>
      </c>
      <c r="E406" s="448" t="s">
        <v>4091</v>
      </c>
      <c r="F406" s="448" t="s">
        <v>4107</v>
      </c>
      <c r="G406" s="473" t="s">
        <v>3931</v>
      </c>
      <c r="H406" s="439" t="s">
        <v>564</v>
      </c>
      <c r="I406" s="474" t="s">
        <v>3459</v>
      </c>
      <c r="J406" s="474" t="s">
        <v>3463</v>
      </c>
      <c r="K406" s="443" t="s">
        <v>508</v>
      </c>
      <c r="L406" s="471">
        <v>1</v>
      </c>
      <c r="M406" s="447" t="s">
        <v>582</v>
      </c>
      <c r="N406" s="457">
        <v>1459.33</v>
      </c>
      <c r="O406" s="475">
        <f t="shared" si="1"/>
        <v>1459.33</v>
      </c>
      <c r="P406" s="476"/>
      <c r="Q406" s="477">
        <v>46023</v>
      </c>
      <c r="R406" s="476"/>
      <c r="S406" s="476"/>
    </row>
    <row r="407" spans="1:19" ht="15.75" customHeight="1" x14ac:dyDescent="0.25">
      <c r="A407" s="438">
        <v>404</v>
      </c>
      <c r="B407" s="470" t="s">
        <v>17</v>
      </c>
      <c r="C407" s="471" t="s">
        <v>18</v>
      </c>
      <c r="D407" s="472" t="s">
        <v>19</v>
      </c>
      <c r="E407" s="448" t="s">
        <v>4087</v>
      </c>
      <c r="F407" s="448" t="s">
        <v>4099</v>
      </c>
      <c r="G407" s="473" t="s">
        <v>3931</v>
      </c>
      <c r="H407" s="439" t="s">
        <v>564</v>
      </c>
      <c r="I407" s="474" t="s">
        <v>3459</v>
      </c>
      <c r="J407" s="474" t="s">
        <v>3463</v>
      </c>
      <c r="K407" s="443" t="s">
        <v>508</v>
      </c>
      <c r="L407" s="471">
        <v>1</v>
      </c>
      <c r="M407" s="447" t="s">
        <v>583</v>
      </c>
      <c r="N407" s="457">
        <v>1459.33</v>
      </c>
      <c r="O407" s="475">
        <f t="shared" si="1"/>
        <v>1459.33</v>
      </c>
      <c r="P407" s="476"/>
      <c r="Q407" s="477">
        <v>46023</v>
      </c>
      <c r="R407" s="476"/>
      <c r="S407" s="476"/>
    </row>
    <row r="408" spans="1:19" ht="15.75" customHeight="1" x14ac:dyDescent="0.25">
      <c r="A408" s="438">
        <v>405</v>
      </c>
      <c r="B408" s="470" t="s">
        <v>17</v>
      </c>
      <c r="C408" s="471" t="s">
        <v>18</v>
      </c>
      <c r="D408" s="472" t="s">
        <v>19</v>
      </c>
      <c r="E408" s="448" t="s">
        <v>4087</v>
      </c>
      <c r="F408" s="448" t="s">
        <v>4099</v>
      </c>
      <c r="G408" s="473" t="s">
        <v>3931</v>
      </c>
      <c r="H408" s="439" t="s">
        <v>564</v>
      </c>
      <c r="I408" s="474" t="s">
        <v>3459</v>
      </c>
      <c r="J408" s="474" t="s">
        <v>3463</v>
      </c>
      <c r="K408" s="443" t="s">
        <v>508</v>
      </c>
      <c r="L408" s="471">
        <v>1</v>
      </c>
      <c r="M408" s="447" t="s">
        <v>584</v>
      </c>
      <c r="N408" s="457">
        <v>1459.33</v>
      </c>
      <c r="O408" s="475">
        <f t="shared" si="1"/>
        <v>1459.33</v>
      </c>
      <c r="P408" s="476"/>
      <c r="Q408" s="477">
        <v>46023</v>
      </c>
      <c r="R408" s="476"/>
      <c r="S408" s="476"/>
    </row>
    <row r="409" spans="1:19" ht="15.75" customHeight="1" x14ac:dyDescent="0.25">
      <c r="A409" s="438">
        <v>406</v>
      </c>
      <c r="B409" s="470" t="s">
        <v>17</v>
      </c>
      <c r="C409" s="471" t="s">
        <v>18</v>
      </c>
      <c r="D409" s="472" t="s">
        <v>19</v>
      </c>
      <c r="E409" s="448" t="s">
        <v>4087</v>
      </c>
      <c r="F409" s="448" t="s">
        <v>4099</v>
      </c>
      <c r="G409" s="473" t="s">
        <v>3931</v>
      </c>
      <c r="H409" s="439" t="s">
        <v>564</v>
      </c>
      <c r="I409" s="474" t="s">
        <v>3459</v>
      </c>
      <c r="J409" s="474" t="s">
        <v>3463</v>
      </c>
      <c r="K409" s="443" t="s">
        <v>508</v>
      </c>
      <c r="L409" s="471">
        <v>1</v>
      </c>
      <c r="M409" s="447" t="s">
        <v>585</v>
      </c>
      <c r="N409" s="457">
        <v>1459.33</v>
      </c>
      <c r="O409" s="475">
        <f t="shared" si="1"/>
        <v>1459.33</v>
      </c>
      <c r="P409" s="476"/>
      <c r="Q409" s="477">
        <v>46023</v>
      </c>
      <c r="R409" s="476"/>
      <c r="S409" s="476"/>
    </row>
    <row r="410" spans="1:19" ht="15.75" customHeight="1" x14ac:dyDescent="0.25">
      <c r="A410" s="438">
        <v>407</v>
      </c>
      <c r="B410" s="470" t="s">
        <v>17</v>
      </c>
      <c r="C410" s="471" t="s">
        <v>18</v>
      </c>
      <c r="D410" s="472" t="s">
        <v>19</v>
      </c>
      <c r="E410" s="448" t="s">
        <v>4087</v>
      </c>
      <c r="F410" s="448" t="s">
        <v>4099</v>
      </c>
      <c r="G410" s="473" t="s">
        <v>3931</v>
      </c>
      <c r="H410" s="439" t="s">
        <v>564</v>
      </c>
      <c r="I410" s="474" t="s">
        <v>3459</v>
      </c>
      <c r="J410" s="474" t="s">
        <v>3463</v>
      </c>
      <c r="K410" s="443" t="s">
        <v>508</v>
      </c>
      <c r="L410" s="471">
        <v>1</v>
      </c>
      <c r="M410" s="447" t="s">
        <v>586</v>
      </c>
      <c r="N410" s="457">
        <v>1459.33</v>
      </c>
      <c r="O410" s="475">
        <f t="shared" si="1"/>
        <v>1459.33</v>
      </c>
      <c r="P410" s="476"/>
      <c r="Q410" s="477">
        <v>46023</v>
      </c>
      <c r="R410" s="476"/>
      <c r="S410" s="476"/>
    </row>
    <row r="411" spans="1:19" ht="15.75" customHeight="1" x14ac:dyDescent="0.25">
      <c r="A411" s="438">
        <v>408</v>
      </c>
      <c r="B411" s="470" t="s">
        <v>17</v>
      </c>
      <c r="C411" s="471" t="s">
        <v>18</v>
      </c>
      <c r="D411" s="472" t="s">
        <v>19</v>
      </c>
      <c r="E411" s="448" t="s">
        <v>4087</v>
      </c>
      <c r="F411" s="448" t="s">
        <v>4099</v>
      </c>
      <c r="G411" s="473" t="s">
        <v>3931</v>
      </c>
      <c r="H411" s="439" t="s">
        <v>564</v>
      </c>
      <c r="I411" s="474" t="s">
        <v>3459</v>
      </c>
      <c r="J411" s="474" t="s">
        <v>3463</v>
      </c>
      <c r="K411" s="443" t="s">
        <v>508</v>
      </c>
      <c r="L411" s="471">
        <v>1</v>
      </c>
      <c r="M411" s="447" t="s">
        <v>587</v>
      </c>
      <c r="N411" s="457">
        <v>1459.33</v>
      </c>
      <c r="O411" s="475">
        <f t="shared" si="1"/>
        <v>1459.33</v>
      </c>
      <c r="P411" s="476"/>
      <c r="Q411" s="477">
        <v>46023</v>
      </c>
      <c r="R411" s="476"/>
      <c r="S411" s="476"/>
    </row>
    <row r="412" spans="1:19" ht="15.75" customHeight="1" x14ac:dyDescent="0.25">
      <c r="A412" s="438">
        <v>409</v>
      </c>
      <c r="B412" s="470" t="s">
        <v>17</v>
      </c>
      <c r="C412" s="471" t="s">
        <v>18</v>
      </c>
      <c r="D412" s="472" t="s">
        <v>19</v>
      </c>
      <c r="E412" s="448" t="s">
        <v>4087</v>
      </c>
      <c r="F412" s="448" t="s">
        <v>4099</v>
      </c>
      <c r="G412" s="473" t="s">
        <v>3931</v>
      </c>
      <c r="H412" s="439" t="s">
        <v>564</v>
      </c>
      <c r="I412" s="474" t="s">
        <v>3459</v>
      </c>
      <c r="J412" s="474" t="s">
        <v>3463</v>
      </c>
      <c r="K412" s="443" t="s">
        <v>508</v>
      </c>
      <c r="L412" s="471">
        <v>1</v>
      </c>
      <c r="M412" s="448" t="s">
        <v>588</v>
      </c>
      <c r="N412" s="457">
        <v>1459.33</v>
      </c>
      <c r="O412" s="475">
        <f t="shared" si="1"/>
        <v>1459.33</v>
      </c>
      <c r="P412" s="476"/>
      <c r="Q412" s="477">
        <v>46023</v>
      </c>
      <c r="R412" s="476"/>
      <c r="S412" s="476"/>
    </row>
    <row r="413" spans="1:19" ht="15.75" customHeight="1" x14ac:dyDescent="0.25">
      <c r="A413" s="438">
        <v>410</v>
      </c>
      <c r="B413" s="470" t="s">
        <v>17</v>
      </c>
      <c r="C413" s="471" t="s">
        <v>18</v>
      </c>
      <c r="D413" s="472" t="s">
        <v>19</v>
      </c>
      <c r="E413" s="448" t="s">
        <v>4087</v>
      </c>
      <c r="F413" s="448" t="s">
        <v>4099</v>
      </c>
      <c r="G413" s="473" t="s">
        <v>3931</v>
      </c>
      <c r="H413" s="439" t="s">
        <v>564</v>
      </c>
      <c r="I413" s="474" t="s">
        <v>3459</v>
      </c>
      <c r="J413" s="474" t="s">
        <v>3463</v>
      </c>
      <c r="K413" s="443" t="s">
        <v>508</v>
      </c>
      <c r="L413" s="471">
        <v>1</v>
      </c>
      <c r="M413" s="448" t="s">
        <v>589</v>
      </c>
      <c r="N413" s="457">
        <v>1459.33</v>
      </c>
      <c r="O413" s="475">
        <f t="shared" si="1"/>
        <v>1459.33</v>
      </c>
      <c r="P413" s="476"/>
      <c r="Q413" s="477">
        <v>46023</v>
      </c>
      <c r="R413" s="476"/>
      <c r="S413" s="476"/>
    </row>
    <row r="414" spans="1:19" ht="15.75" customHeight="1" x14ac:dyDescent="0.25">
      <c r="A414" s="438">
        <v>411</v>
      </c>
      <c r="B414" s="470" t="s">
        <v>17</v>
      </c>
      <c r="C414" s="471" t="s">
        <v>18</v>
      </c>
      <c r="D414" s="472" t="s">
        <v>19</v>
      </c>
      <c r="E414" s="448" t="s">
        <v>4087</v>
      </c>
      <c r="F414" s="448" t="s">
        <v>4099</v>
      </c>
      <c r="G414" s="473" t="s">
        <v>3931</v>
      </c>
      <c r="H414" s="439" t="s">
        <v>564</v>
      </c>
      <c r="I414" s="474" t="s">
        <v>3459</v>
      </c>
      <c r="J414" s="474" t="s">
        <v>3463</v>
      </c>
      <c r="K414" s="443" t="s">
        <v>508</v>
      </c>
      <c r="L414" s="471">
        <v>1</v>
      </c>
      <c r="M414" s="448" t="s">
        <v>590</v>
      </c>
      <c r="N414" s="457">
        <v>1459.33</v>
      </c>
      <c r="O414" s="475">
        <f t="shared" si="1"/>
        <v>1459.33</v>
      </c>
      <c r="P414" s="476"/>
      <c r="Q414" s="477">
        <v>46023</v>
      </c>
      <c r="R414" s="476"/>
      <c r="S414" s="476"/>
    </row>
    <row r="415" spans="1:19" ht="15.75" customHeight="1" x14ac:dyDescent="0.25">
      <c r="A415" s="438">
        <v>412</v>
      </c>
      <c r="B415" s="470" t="s">
        <v>17</v>
      </c>
      <c r="C415" s="471" t="s">
        <v>18</v>
      </c>
      <c r="D415" s="472" t="s">
        <v>19</v>
      </c>
      <c r="E415" s="448" t="s">
        <v>4081</v>
      </c>
      <c r="F415" s="448" t="s">
        <v>2989</v>
      </c>
      <c r="G415" s="473" t="s">
        <v>3931</v>
      </c>
      <c r="H415" s="439" t="s">
        <v>564</v>
      </c>
      <c r="I415" s="474" t="s">
        <v>3459</v>
      </c>
      <c r="J415" s="474" t="s">
        <v>3463</v>
      </c>
      <c r="K415" s="443" t="s">
        <v>508</v>
      </c>
      <c r="L415" s="471">
        <v>1</v>
      </c>
      <c r="M415" s="448" t="s">
        <v>591</v>
      </c>
      <c r="N415" s="457">
        <v>1459.33</v>
      </c>
      <c r="O415" s="475">
        <f t="shared" si="1"/>
        <v>1459.33</v>
      </c>
      <c r="P415" s="476"/>
      <c r="Q415" s="477">
        <v>46023</v>
      </c>
      <c r="R415" s="476"/>
      <c r="S415" s="476"/>
    </row>
    <row r="416" spans="1:19" ht="15.75" customHeight="1" x14ac:dyDescent="0.25">
      <c r="A416" s="438">
        <v>413</v>
      </c>
      <c r="B416" s="470" t="s">
        <v>17</v>
      </c>
      <c r="C416" s="471" t="s">
        <v>18</v>
      </c>
      <c r="D416" s="472" t="s">
        <v>19</v>
      </c>
      <c r="E416" s="448" t="s">
        <v>4081</v>
      </c>
      <c r="F416" s="448" t="s">
        <v>2989</v>
      </c>
      <c r="G416" s="473" t="s">
        <v>3931</v>
      </c>
      <c r="H416" s="439" t="s">
        <v>564</v>
      </c>
      <c r="I416" s="474" t="s">
        <v>3459</v>
      </c>
      <c r="J416" s="474" t="s">
        <v>3463</v>
      </c>
      <c r="K416" s="443" t="s">
        <v>508</v>
      </c>
      <c r="L416" s="471">
        <v>1</v>
      </c>
      <c r="M416" s="448" t="s">
        <v>592</v>
      </c>
      <c r="N416" s="457">
        <v>1459.33</v>
      </c>
      <c r="O416" s="475">
        <f t="shared" si="1"/>
        <v>1459.33</v>
      </c>
      <c r="P416" s="476"/>
      <c r="Q416" s="477">
        <v>46023</v>
      </c>
      <c r="R416" s="476"/>
      <c r="S416" s="476"/>
    </row>
    <row r="417" spans="1:19" ht="15.75" customHeight="1" x14ac:dyDescent="0.25">
      <c r="A417" s="438">
        <v>414</v>
      </c>
      <c r="B417" s="470" t="s">
        <v>17</v>
      </c>
      <c r="C417" s="471" t="s">
        <v>18</v>
      </c>
      <c r="D417" s="472" t="s">
        <v>19</v>
      </c>
      <c r="E417" s="448" t="s">
        <v>4081</v>
      </c>
      <c r="F417" s="448" t="s">
        <v>2989</v>
      </c>
      <c r="G417" s="473" t="s">
        <v>3931</v>
      </c>
      <c r="H417" s="439" t="s">
        <v>564</v>
      </c>
      <c r="I417" s="474" t="s">
        <v>3459</v>
      </c>
      <c r="J417" s="474" t="s">
        <v>3463</v>
      </c>
      <c r="K417" s="443" t="s">
        <v>508</v>
      </c>
      <c r="L417" s="471">
        <v>1</v>
      </c>
      <c r="M417" s="447" t="s">
        <v>593</v>
      </c>
      <c r="N417" s="457">
        <v>1459.33</v>
      </c>
      <c r="O417" s="475">
        <f t="shared" si="1"/>
        <v>1459.33</v>
      </c>
      <c r="P417" s="476"/>
      <c r="Q417" s="477">
        <v>46023</v>
      </c>
      <c r="R417" s="476"/>
      <c r="S417" s="476"/>
    </row>
    <row r="418" spans="1:19" ht="15.75" customHeight="1" x14ac:dyDescent="0.25">
      <c r="A418" s="438">
        <v>415</v>
      </c>
      <c r="B418" s="470" t="s">
        <v>17</v>
      </c>
      <c r="C418" s="471" t="s">
        <v>18</v>
      </c>
      <c r="D418" s="472" t="s">
        <v>19</v>
      </c>
      <c r="E418" s="448" t="s">
        <v>4091</v>
      </c>
      <c r="F418" s="448" t="s">
        <v>4110</v>
      </c>
      <c r="G418" s="473" t="s">
        <v>3931</v>
      </c>
      <c r="H418" s="439" t="s">
        <v>564</v>
      </c>
      <c r="I418" s="474" t="s">
        <v>3459</v>
      </c>
      <c r="J418" s="474" t="s">
        <v>3463</v>
      </c>
      <c r="K418" s="443" t="s">
        <v>508</v>
      </c>
      <c r="L418" s="471">
        <v>1</v>
      </c>
      <c r="M418" s="447" t="s">
        <v>594</v>
      </c>
      <c r="N418" s="457">
        <v>1459.33</v>
      </c>
      <c r="O418" s="475">
        <f t="shared" si="1"/>
        <v>1459.33</v>
      </c>
      <c r="P418" s="476"/>
      <c r="Q418" s="477">
        <v>46023</v>
      </c>
      <c r="R418" s="476"/>
      <c r="S418" s="476"/>
    </row>
    <row r="419" spans="1:19" ht="15.75" customHeight="1" x14ac:dyDescent="0.25">
      <c r="A419" s="438">
        <v>416</v>
      </c>
      <c r="B419" s="470" t="s">
        <v>17</v>
      </c>
      <c r="C419" s="471" t="s">
        <v>18</v>
      </c>
      <c r="D419" s="472" t="s">
        <v>19</v>
      </c>
      <c r="E419" s="448" t="s">
        <v>4091</v>
      </c>
      <c r="F419" s="448" t="s">
        <v>4110</v>
      </c>
      <c r="G419" s="473" t="s">
        <v>3931</v>
      </c>
      <c r="H419" s="439" t="s">
        <v>564</v>
      </c>
      <c r="I419" s="474" t="s">
        <v>3459</v>
      </c>
      <c r="J419" s="474" t="s">
        <v>3463</v>
      </c>
      <c r="K419" s="443" t="s">
        <v>508</v>
      </c>
      <c r="L419" s="471">
        <v>1</v>
      </c>
      <c r="M419" s="447" t="s">
        <v>595</v>
      </c>
      <c r="N419" s="457">
        <v>1459.33</v>
      </c>
      <c r="O419" s="475">
        <f t="shared" si="1"/>
        <v>1459.33</v>
      </c>
      <c r="P419" s="476"/>
      <c r="Q419" s="477">
        <v>46023</v>
      </c>
      <c r="R419" s="476"/>
      <c r="S419" s="476"/>
    </row>
    <row r="420" spans="1:19" ht="15.75" customHeight="1" x14ac:dyDescent="0.25">
      <c r="A420" s="438">
        <v>417</v>
      </c>
      <c r="B420" s="470" t="s">
        <v>17</v>
      </c>
      <c r="C420" s="471" t="s">
        <v>18</v>
      </c>
      <c r="D420" s="472" t="s">
        <v>19</v>
      </c>
      <c r="E420" s="448" t="s">
        <v>4091</v>
      </c>
      <c r="F420" s="448" t="s">
        <v>4110</v>
      </c>
      <c r="G420" s="473" t="s">
        <v>3931</v>
      </c>
      <c r="H420" s="439" t="s">
        <v>564</v>
      </c>
      <c r="I420" s="474" t="s">
        <v>3459</v>
      </c>
      <c r="J420" s="474" t="s">
        <v>3463</v>
      </c>
      <c r="K420" s="443" t="s">
        <v>508</v>
      </c>
      <c r="L420" s="471">
        <v>1</v>
      </c>
      <c r="M420" s="447" t="s">
        <v>596</v>
      </c>
      <c r="N420" s="457">
        <v>1459.33</v>
      </c>
      <c r="O420" s="475">
        <f t="shared" si="1"/>
        <v>1459.33</v>
      </c>
      <c r="P420" s="476"/>
      <c r="Q420" s="477">
        <v>46023</v>
      </c>
      <c r="R420" s="476"/>
      <c r="S420" s="476"/>
    </row>
    <row r="421" spans="1:19" ht="15.75" customHeight="1" x14ac:dyDescent="0.25">
      <c r="A421" s="438">
        <v>418</v>
      </c>
      <c r="B421" s="470" t="s">
        <v>17</v>
      </c>
      <c r="C421" s="471" t="s">
        <v>18</v>
      </c>
      <c r="D421" s="472" t="s">
        <v>19</v>
      </c>
      <c r="E421" s="448" t="s">
        <v>4087</v>
      </c>
      <c r="F421" s="448" t="s">
        <v>4098</v>
      </c>
      <c r="G421" s="473" t="s">
        <v>3931</v>
      </c>
      <c r="H421" s="439" t="s">
        <v>564</v>
      </c>
      <c r="I421" s="474" t="s">
        <v>3459</v>
      </c>
      <c r="J421" s="474" t="s">
        <v>3463</v>
      </c>
      <c r="K421" s="443" t="s">
        <v>508</v>
      </c>
      <c r="L421" s="471">
        <v>1</v>
      </c>
      <c r="M421" s="447" t="s">
        <v>597</v>
      </c>
      <c r="N421" s="457">
        <v>1459.33</v>
      </c>
      <c r="O421" s="475">
        <f t="shared" si="1"/>
        <v>1459.33</v>
      </c>
      <c r="P421" s="476"/>
      <c r="Q421" s="477">
        <v>46023</v>
      </c>
      <c r="R421" s="476"/>
      <c r="S421" s="476"/>
    </row>
    <row r="422" spans="1:19" ht="15.75" customHeight="1" x14ac:dyDescent="0.25">
      <c r="A422" s="438">
        <v>419</v>
      </c>
      <c r="B422" s="470" t="s">
        <v>17</v>
      </c>
      <c r="C422" s="471" t="s">
        <v>18</v>
      </c>
      <c r="D422" s="472" t="s">
        <v>19</v>
      </c>
      <c r="E422" s="448" t="s">
        <v>4087</v>
      </c>
      <c r="F422" s="448" t="s">
        <v>4098</v>
      </c>
      <c r="G422" s="473" t="s">
        <v>3931</v>
      </c>
      <c r="H422" s="439" t="s">
        <v>564</v>
      </c>
      <c r="I422" s="474" t="s">
        <v>3459</v>
      </c>
      <c r="J422" s="474" t="s">
        <v>3463</v>
      </c>
      <c r="K422" s="443" t="s">
        <v>508</v>
      </c>
      <c r="L422" s="471">
        <v>1</v>
      </c>
      <c r="M422" s="447" t="s">
        <v>598</v>
      </c>
      <c r="N422" s="457">
        <v>1459.33</v>
      </c>
      <c r="O422" s="475">
        <f t="shared" si="1"/>
        <v>1459.33</v>
      </c>
      <c r="P422" s="476"/>
      <c r="Q422" s="477">
        <v>46023</v>
      </c>
      <c r="R422" s="476"/>
      <c r="S422" s="476"/>
    </row>
    <row r="423" spans="1:19" ht="15.75" customHeight="1" x14ac:dyDescent="0.25">
      <c r="A423" s="438">
        <v>420</v>
      </c>
      <c r="B423" s="470" t="s">
        <v>17</v>
      </c>
      <c r="C423" s="471" t="s">
        <v>18</v>
      </c>
      <c r="D423" s="472" t="s">
        <v>19</v>
      </c>
      <c r="E423" s="448" t="s">
        <v>4086</v>
      </c>
      <c r="F423" s="448" t="s">
        <v>4111</v>
      </c>
      <c r="G423" s="473" t="s">
        <v>3931</v>
      </c>
      <c r="H423" s="439" t="s">
        <v>564</v>
      </c>
      <c r="I423" s="474" t="s">
        <v>3459</v>
      </c>
      <c r="J423" s="474" t="s">
        <v>3463</v>
      </c>
      <c r="K423" s="443" t="s">
        <v>508</v>
      </c>
      <c r="L423" s="471">
        <v>1</v>
      </c>
      <c r="M423" s="447" t="s">
        <v>599</v>
      </c>
      <c r="N423" s="457">
        <v>1459.33</v>
      </c>
      <c r="O423" s="475">
        <f t="shared" si="1"/>
        <v>1459.33</v>
      </c>
      <c r="P423" s="476"/>
      <c r="Q423" s="477">
        <v>46023</v>
      </c>
      <c r="R423" s="476"/>
      <c r="S423" s="476"/>
    </row>
    <row r="424" spans="1:19" ht="15.75" customHeight="1" x14ac:dyDescent="0.25">
      <c r="A424" s="438">
        <v>421</v>
      </c>
      <c r="B424" s="470" t="s">
        <v>17</v>
      </c>
      <c r="C424" s="471" t="s">
        <v>18</v>
      </c>
      <c r="D424" s="472" t="s">
        <v>19</v>
      </c>
      <c r="E424" s="448" t="s">
        <v>4086</v>
      </c>
      <c r="F424" s="448" t="s">
        <v>4111</v>
      </c>
      <c r="G424" s="473" t="s">
        <v>3931</v>
      </c>
      <c r="H424" s="439" t="s">
        <v>564</v>
      </c>
      <c r="I424" s="474" t="s">
        <v>3459</v>
      </c>
      <c r="J424" s="474" t="s">
        <v>3463</v>
      </c>
      <c r="K424" s="443" t="s">
        <v>508</v>
      </c>
      <c r="L424" s="471">
        <v>1</v>
      </c>
      <c r="M424" s="447" t="s">
        <v>600</v>
      </c>
      <c r="N424" s="457">
        <v>1459.33</v>
      </c>
      <c r="O424" s="475">
        <f t="shared" si="1"/>
        <v>1459.33</v>
      </c>
      <c r="P424" s="476"/>
      <c r="Q424" s="477">
        <v>46023</v>
      </c>
      <c r="R424" s="476"/>
      <c r="S424" s="476"/>
    </row>
    <row r="425" spans="1:19" ht="15.75" customHeight="1" x14ac:dyDescent="0.25">
      <c r="A425" s="438">
        <v>422</v>
      </c>
      <c r="B425" s="470" t="s">
        <v>17</v>
      </c>
      <c r="C425" s="471" t="s">
        <v>18</v>
      </c>
      <c r="D425" s="472" t="s">
        <v>19</v>
      </c>
      <c r="E425" s="448" t="s">
        <v>4086</v>
      </c>
      <c r="F425" s="448" t="s">
        <v>4112</v>
      </c>
      <c r="G425" s="473" t="s">
        <v>3931</v>
      </c>
      <c r="H425" s="439" t="s">
        <v>564</v>
      </c>
      <c r="I425" s="474" t="s">
        <v>3459</v>
      </c>
      <c r="J425" s="474" t="s">
        <v>3463</v>
      </c>
      <c r="K425" s="443" t="s">
        <v>508</v>
      </c>
      <c r="L425" s="471">
        <v>1</v>
      </c>
      <c r="M425" s="447" t="s">
        <v>601</v>
      </c>
      <c r="N425" s="457">
        <v>1459.33</v>
      </c>
      <c r="O425" s="475">
        <f t="shared" si="1"/>
        <v>1459.33</v>
      </c>
      <c r="P425" s="476"/>
      <c r="Q425" s="477">
        <v>46023</v>
      </c>
      <c r="R425" s="476"/>
      <c r="S425" s="476"/>
    </row>
    <row r="426" spans="1:19" ht="15.75" customHeight="1" x14ac:dyDescent="0.25">
      <c r="A426" s="438">
        <v>423</v>
      </c>
      <c r="B426" s="470" t="s">
        <v>17</v>
      </c>
      <c r="C426" s="471" t="s">
        <v>18</v>
      </c>
      <c r="D426" s="472" t="s">
        <v>19</v>
      </c>
      <c r="E426" s="448" t="s">
        <v>4086</v>
      </c>
      <c r="F426" s="448" t="s">
        <v>4112</v>
      </c>
      <c r="G426" s="473" t="s">
        <v>3931</v>
      </c>
      <c r="H426" s="439" t="s">
        <v>564</v>
      </c>
      <c r="I426" s="474" t="s">
        <v>3459</v>
      </c>
      <c r="J426" s="474" t="s">
        <v>3463</v>
      </c>
      <c r="K426" s="443" t="s">
        <v>508</v>
      </c>
      <c r="L426" s="471">
        <v>1</v>
      </c>
      <c r="M426" s="447" t="s">
        <v>602</v>
      </c>
      <c r="N426" s="457">
        <v>1459.33</v>
      </c>
      <c r="O426" s="475">
        <f t="shared" si="1"/>
        <v>1459.33</v>
      </c>
      <c r="P426" s="476"/>
      <c r="Q426" s="477">
        <v>46023</v>
      </c>
      <c r="R426" s="476"/>
      <c r="S426" s="476"/>
    </row>
    <row r="427" spans="1:19" ht="15.75" customHeight="1" x14ac:dyDescent="0.25">
      <c r="A427" s="438">
        <v>424</v>
      </c>
      <c r="B427" s="470" t="s">
        <v>17</v>
      </c>
      <c r="C427" s="471" t="s">
        <v>18</v>
      </c>
      <c r="D427" s="472" t="s">
        <v>19</v>
      </c>
      <c r="E427" s="448" t="s">
        <v>4091</v>
      </c>
      <c r="F427" s="448" t="s">
        <v>4114</v>
      </c>
      <c r="G427" s="473" t="s">
        <v>3931</v>
      </c>
      <c r="H427" s="439" t="s">
        <v>564</v>
      </c>
      <c r="I427" s="474" t="s">
        <v>3459</v>
      </c>
      <c r="J427" s="474" t="s">
        <v>3463</v>
      </c>
      <c r="K427" s="443" t="s">
        <v>508</v>
      </c>
      <c r="L427" s="471">
        <v>1</v>
      </c>
      <c r="M427" s="447" t="s">
        <v>603</v>
      </c>
      <c r="N427" s="457">
        <v>1459.33</v>
      </c>
      <c r="O427" s="475">
        <f t="shared" si="1"/>
        <v>1459.33</v>
      </c>
      <c r="P427" s="476"/>
      <c r="Q427" s="477">
        <v>46023</v>
      </c>
      <c r="R427" s="476"/>
      <c r="S427" s="476"/>
    </row>
    <row r="428" spans="1:19" ht="15.75" customHeight="1" x14ac:dyDescent="0.25">
      <c r="A428" s="438">
        <v>425</v>
      </c>
      <c r="B428" s="470" t="s">
        <v>17</v>
      </c>
      <c r="C428" s="471" t="s">
        <v>18</v>
      </c>
      <c r="D428" s="472" t="s">
        <v>19</v>
      </c>
      <c r="E428" s="465" t="s">
        <v>4091</v>
      </c>
      <c r="F428" s="448" t="s">
        <v>4114</v>
      </c>
      <c r="G428" s="473" t="s">
        <v>3931</v>
      </c>
      <c r="H428" s="439" t="s">
        <v>564</v>
      </c>
      <c r="I428" s="474" t="s">
        <v>3459</v>
      </c>
      <c r="J428" s="474" t="s">
        <v>3463</v>
      </c>
      <c r="K428" s="443" t="s">
        <v>508</v>
      </c>
      <c r="L428" s="471">
        <v>1</v>
      </c>
      <c r="M428" s="447" t="s">
        <v>604</v>
      </c>
      <c r="N428" s="457">
        <v>1459.33</v>
      </c>
      <c r="O428" s="475">
        <f t="shared" si="1"/>
        <v>1459.33</v>
      </c>
      <c r="P428" s="476"/>
      <c r="Q428" s="477">
        <v>46023</v>
      </c>
      <c r="R428" s="476"/>
      <c r="S428" s="476"/>
    </row>
    <row r="429" spans="1:19" ht="15.75" customHeight="1" x14ac:dyDescent="0.25">
      <c r="A429" s="438">
        <v>426</v>
      </c>
      <c r="B429" s="470" t="s">
        <v>17</v>
      </c>
      <c r="C429" s="471" t="s">
        <v>18</v>
      </c>
      <c r="D429" s="472" t="s">
        <v>19</v>
      </c>
      <c r="E429" s="465" t="s">
        <v>4091</v>
      </c>
      <c r="F429" s="448" t="s">
        <v>4114</v>
      </c>
      <c r="G429" s="473" t="s">
        <v>3931</v>
      </c>
      <c r="H429" s="439" t="s">
        <v>564</v>
      </c>
      <c r="I429" s="474" t="s">
        <v>3459</v>
      </c>
      <c r="J429" s="474" t="s">
        <v>3463</v>
      </c>
      <c r="K429" s="443" t="s">
        <v>508</v>
      </c>
      <c r="L429" s="471">
        <v>1</v>
      </c>
      <c r="M429" s="447" t="s">
        <v>605</v>
      </c>
      <c r="N429" s="457">
        <v>1459.33</v>
      </c>
      <c r="O429" s="475">
        <f t="shared" si="1"/>
        <v>1459.33</v>
      </c>
      <c r="P429" s="476"/>
      <c r="Q429" s="477">
        <v>46023</v>
      </c>
      <c r="R429" s="476"/>
      <c r="S429" s="476"/>
    </row>
    <row r="430" spans="1:19" ht="15.75" customHeight="1" x14ac:dyDescent="0.25">
      <c r="A430" s="438">
        <v>427</v>
      </c>
      <c r="B430" s="470" t="s">
        <v>17</v>
      </c>
      <c r="C430" s="471" t="s">
        <v>18</v>
      </c>
      <c r="D430" s="472" t="s">
        <v>19</v>
      </c>
      <c r="E430" s="448" t="s">
        <v>4080</v>
      </c>
      <c r="F430" s="448" t="s">
        <v>4080</v>
      </c>
      <c r="G430" s="473" t="s">
        <v>3931</v>
      </c>
      <c r="H430" s="439" t="s">
        <v>564</v>
      </c>
      <c r="I430" s="474" t="s">
        <v>3459</v>
      </c>
      <c r="J430" s="474" t="s">
        <v>3463</v>
      </c>
      <c r="K430" s="443" t="s">
        <v>508</v>
      </c>
      <c r="L430" s="471">
        <v>1</v>
      </c>
      <c r="M430" s="447" t="s">
        <v>606</v>
      </c>
      <c r="N430" s="457">
        <v>1820</v>
      </c>
      <c r="O430" s="475">
        <f t="shared" si="1"/>
        <v>1820</v>
      </c>
      <c r="P430" s="476"/>
      <c r="Q430" s="477">
        <v>46023</v>
      </c>
      <c r="R430" s="476"/>
      <c r="S430" s="476"/>
    </row>
    <row r="431" spans="1:19" ht="15.75" customHeight="1" x14ac:dyDescent="0.25">
      <c r="A431" s="438">
        <v>428</v>
      </c>
      <c r="B431" s="470" t="s">
        <v>17</v>
      </c>
      <c r="C431" s="471" t="s">
        <v>18</v>
      </c>
      <c r="D431" s="472" t="s">
        <v>19</v>
      </c>
      <c r="E431" s="448" t="s">
        <v>4080</v>
      </c>
      <c r="F431" s="448" t="s">
        <v>4080</v>
      </c>
      <c r="G431" s="473" t="s">
        <v>3931</v>
      </c>
      <c r="H431" s="439" t="s">
        <v>564</v>
      </c>
      <c r="I431" s="474" t="s">
        <v>3459</v>
      </c>
      <c r="J431" s="474" t="s">
        <v>3463</v>
      </c>
      <c r="K431" s="443" t="s">
        <v>508</v>
      </c>
      <c r="L431" s="471">
        <v>1</v>
      </c>
      <c r="M431" s="447" t="s">
        <v>607</v>
      </c>
      <c r="N431" s="457">
        <v>1820</v>
      </c>
      <c r="O431" s="475">
        <f t="shared" si="1"/>
        <v>1820</v>
      </c>
      <c r="P431" s="476"/>
      <c r="Q431" s="477">
        <v>46023</v>
      </c>
      <c r="R431" s="476"/>
      <c r="S431" s="476"/>
    </row>
    <row r="432" spans="1:19" ht="15.75" customHeight="1" x14ac:dyDescent="0.25">
      <c r="A432" s="438">
        <v>429</v>
      </c>
      <c r="B432" s="470" t="s">
        <v>17</v>
      </c>
      <c r="C432" s="471" t="s">
        <v>18</v>
      </c>
      <c r="D432" s="472" t="s">
        <v>19</v>
      </c>
      <c r="E432" s="448" t="s">
        <v>2990</v>
      </c>
      <c r="F432" s="448" t="s">
        <v>2990</v>
      </c>
      <c r="G432" s="473" t="s">
        <v>3931</v>
      </c>
      <c r="H432" s="439" t="s">
        <v>564</v>
      </c>
      <c r="I432" s="474" t="s">
        <v>3459</v>
      </c>
      <c r="J432" s="474" t="s">
        <v>3463</v>
      </c>
      <c r="K432" s="443" t="s">
        <v>508</v>
      </c>
      <c r="L432" s="471">
        <v>1</v>
      </c>
      <c r="M432" s="447" t="s">
        <v>608</v>
      </c>
      <c r="N432" s="457">
        <v>1820</v>
      </c>
      <c r="O432" s="475">
        <f t="shared" si="1"/>
        <v>1820</v>
      </c>
      <c r="P432" s="476"/>
      <c r="Q432" s="477">
        <v>46023</v>
      </c>
      <c r="R432" s="476"/>
      <c r="S432" s="476"/>
    </row>
    <row r="433" spans="1:19" ht="15.75" customHeight="1" x14ac:dyDescent="0.25">
      <c r="A433" s="438">
        <v>430</v>
      </c>
      <c r="B433" s="470" t="s">
        <v>17</v>
      </c>
      <c r="C433" s="471" t="s">
        <v>18</v>
      </c>
      <c r="D433" s="472" t="s">
        <v>19</v>
      </c>
      <c r="E433" s="448" t="s">
        <v>4080</v>
      </c>
      <c r="F433" s="448" t="s">
        <v>4080</v>
      </c>
      <c r="G433" s="473" t="s">
        <v>3931</v>
      </c>
      <c r="H433" s="439" t="s">
        <v>564</v>
      </c>
      <c r="I433" s="474" t="s">
        <v>3459</v>
      </c>
      <c r="J433" s="474" t="s">
        <v>3463</v>
      </c>
      <c r="K433" s="443" t="s">
        <v>508</v>
      </c>
      <c r="L433" s="471">
        <v>1</v>
      </c>
      <c r="M433" s="447" t="s">
        <v>609</v>
      </c>
      <c r="N433" s="457">
        <v>1820</v>
      </c>
      <c r="O433" s="475">
        <f t="shared" si="1"/>
        <v>1820</v>
      </c>
      <c r="P433" s="476"/>
      <c r="Q433" s="477">
        <v>46023</v>
      </c>
      <c r="R433" s="476"/>
      <c r="S433" s="476"/>
    </row>
    <row r="434" spans="1:19" ht="15.75" customHeight="1" x14ac:dyDescent="0.25">
      <c r="A434" s="438">
        <v>431</v>
      </c>
      <c r="B434" s="470" t="s">
        <v>17</v>
      </c>
      <c r="C434" s="471" t="s">
        <v>18</v>
      </c>
      <c r="D434" s="472" t="s">
        <v>19</v>
      </c>
      <c r="E434" s="448" t="s">
        <v>4080</v>
      </c>
      <c r="F434" s="448" t="s">
        <v>4080</v>
      </c>
      <c r="G434" s="473" t="s">
        <v>3931</v>
      </c>
      <c r="H434" s="439" t="s">
        <v>564</v>
      </c>
      <c r="I434" s="474" t="s">
        <v>3459</v>
      </c>
      <c r="J434" s="474" t="s">
        <v>3463</v>
      </c>
      <c r="K434" s="443" t="s">
        <v>508</v>
      </c>
      <c r="L434" s="471">
        <v>1</v>
      </c>
      <c r="M434" s="447" t="s">
        <v>610</v>
      </c>
      <c r="N434" s="457">
        <v>1820</v>
      </c>
      <c r="O434" s="475">
        <f t="shared" si="1"/>
        <v>1820</v>
      </c>
      <c r="P434" s="476"/>
      <c r="Q434" s="477">
        <v>46023</v>
      </c>
      <c r="R434" s="476"/>
      <c r="S434" s="476"/>
    </row>
    <row r="435" spans="1:19" ht="15.75" customHeight="1" x14ac:dyDescent="0.25">
      <c r="A435" s="438">
        <v>432</v>
      </c>
      <c r="B435" s="470" t="s">
        <v>17</v>
      </c>
      <c r="C435" s="471" t="s">
        <v>18</v>
      </c>
      <c r="D435" s="472" t="s">
        <v>19</v>
      </c>
      <c r="E435" s="448" t="s">
        <v>4091</v>
      </c>
      <c r="F435" s="448" t="s">
        <v>4115</v>
      </c>
      <c r="G435" s="473" t="s">
        <v>3931</v>
      </c>
      <c r="H435" s="439" t="s">
        <v>564</v>
      </c>
      <c r="I435" s="474" t="s">
        <v>3459</v>
      </c>
      <c r="J435" s="474" t="s">
        <v>3463</v>
      </c>
      <c r="K435" s="443" t="s">
        <v>508</v>
      </c>
      <c r="L435" s="471">
        <v>1</v>
      </c>
      <c r="M435" s="447" t="s">
        <v>611</v>
      </c>
      <c r="N435" s="457">
        <v>1820</v>
      </c>
      <c r="O435" s="475">
        <f t="shared" si="1"/>
        <v>1820</v>
      </c>
      <c r="P435" s="476"/>
      <c r="Q435" s="477">
        <v>46023</v>
      </c>
      <c r="R435" s="476"/>
      <c r="S435" s="476"/>
    </row>
    <row r="436" spans="1:19" ht="15.75" customHeight="1" x14ac:dyDescent="0.25">
      <c r="A436" s="438">
        <v>433</v>
      </c>
      <c r="B436" s="470" t="s">
        <v>17</v>
      </c>
      <c r="C436" s="471" t="s">
        <v>18</v>
      </c>
      <c r="D436" s="472" t="s">
        <v>19</v>
      </c>
      <c r="E436" s="448" t="s">
        <v>4091</v>
      </c>
      <c r="F436" s="448" t="s">
        <v>4115</v>
      </c>
      <c r="G436" s="473" t="s">
        <v>3931</v>
      </c>
      <c r="H436" s="439" t="s">
        <v>564</v>
      </c>
      <c r="I436" s="474" t="s">
        <v>3459</v>
      </c>
      <c r="J436" s="474" t="s">
        <v>3463</v>
      </c>
      <c r="K436" s="443" t="s">
        <v>508</v>
      </c>
      <c r="L436" s="471">
        <v>1</v>
      </c>
      <c r="M436" s="447" t="s">
        <v>612</v>
      </c>
      <c r="N436" s="457">
        <v>1820</v>
      </c>
      <c r="O436" s="475">
        <f t="shared" si="1"/>
        <v>1820</v>
      </c>
      <c r="P436" s="476"/>
      <c r="Q436" s="477">
        <v>46023</v>
      </c>
      <c r="R436" s="476"/>
      <c r="S436" s="476"/>
    </row>
    <row r="437" spans="1:19" ht="15.75" customHeight="1" x14ac:dyDescent="0.25">
      <c r="A437" s="438">
        <v>434</v>
      </c>
      <c r="B437" s="470" t="s">
        <v>17</v>
      </c>
      <c r="C437" s="471" t="s">
        <v>18</v>
      </c>
      <c r="D437" s="472" t="s">
        <v>19</v>
      </c>
      <c r="E437" s="448" t="s">
        <v>4091</v>
      </c>
      <c r="F437" s="448" t="s">
        <v>4115</v>
      </c>
      <c r="G437" s="473" t="s">
        <v>3931</v>
      </c>
      <c r="H437" s="439" t="s">
        <v>564</v>
      </c>
      <c r="I437" s="474" t="s">
        <v>3459</v>
      </c>
      <c r="J437" s="474" t="s">
        <v>3463</v>
      </c>
      <c r="K437" s="443" t="s">
        <v>508</v>
      </c>
      <c r="L437" s="471">
        <v>1</v>
      </c>
      <c r="M437" s="447" t="s">
        <v>613</v>
      </c>
      <c r="N437" s="457">
        <v>1820</v>
      </c>
      <c r="O437" s="475">
        <f t="shared" si="1"/>
        <v>1820</v>
      </c>
      <c r="P437" s="476"/>
      <c r="Q437" s="477">
        <v>46023</v>
      </c>
      <c r="R437" s="476"/>
      <c r="S437" s="476"/>
    </row>
    <row r="438" spans="1:19" ht="15.75" customHeight="1" x14ac:dyDescent="0.25">
      <c r="A438" s="438">
        <v>435</v>
      </c>
      <c r="B438" s="470" t="s">
        <v>17</v>
      </c>
      <c r="C438" s="471" t="s">
        <v>18</v>
      </c>
      <c r="D438" s="472" t="s">
        <v>19</v>
      </c>
      <c r="E438" s="448" t="s">
        <v>4086</v>
      </c>
      <c r="F438" s="448" t="s">
        <v>4097</v>
      </c>
      <c r="G438" s="473" t="s">
        <v>3931</v>
      </c>
      <c r="H438" s="439" t="s">
        <v>564</v>
      </c>
      <c r="I438" s="474" t="s">
        <v>3459</v>
      </c>
      <c r="J438" s="474" t="s">
        <v>3463</v>
      </c>
      <c r="K438" s="443" t="s">
        <v>508</v>
      </c>
      <c r="L438" s="471">
        <v>1</v>
      </c>
      <c r="M438" s="447" t="s">
        <v>614</v>
      </c>
      <c r="N438" s="457">
        <v>1820</v>
      </c>
      <c r="O438" s="475">
        <f t="shared" si="1"/>
        <v>1820</v>
      </c>
      <c r="P438" s="476"/>
      <c r="Q438" s="477">
        <v>46023</v>
      </c>
      <c r="R438" s="476"/>
      <c r="S438" s="476"/>
    </row>
    <row r="439" spans="1:19" ht="15.75" customHeight="1" x14ac:dyDescent="0.25">
      <c r="A439" s="438">
        <v>436</v>
      </c>
      <c r="B439" s="470" t="s">
        <v>17</v>
      </c>
      <c r="C439" s="471" t="s">
        <v>18</v>
      </c>
      <c r="D439" s="472" t="s">
        <v>19</v>
      </c>
      <c r="E439" s="448" t="s">
        <v>4086</v>
      </c>
      <c r="F439" s="448" t="s">
        <v>4097</v>
      </c>
      <c r="G439" s="473" t="s">
        <v>3931</v>
      </c>
      <c r="H439" s="439" t="s">
        <v>564</v>
      </c>
      <c r="I439" s="474" t="s">
        <v>3459</v>
      </c>
      <c r="J439" s="474" t="s">
        <v>3463</v>
      </c>
      <c r="K439" s="443" t="s">
        <v>508</v>
      </c>
      <c r="L439" s="471">
        <v>1</v>
      </c>
      <c r="M439" s="447" t="s">
        <v>615</v>
      </c>
      <c r="N439" s="457">
        <v>1820</v>
      </c>
      <c r="O439" s="475">
        <f t="shared" si="1"/>
        <v>1820</v>
      </c>
      <c r="P439" s="476"/>
      <c r="Q439" s="477">
        <v>46023</v>
      </c>
      <c r="R439" s="476"/>
      <c r="S439" s="476"/>
    </row>
    <row r="440" spans="1:19" ht="15.75" customHeight="1" x14ac:dyDescent="0.25">
      <c r="A440" s="438">
        <v>437</v>
      </c>
      <c r="B440" s="470" t="s">
        <v>17</v>
      </c>
      <c r="C440" s="471" t="s">
        <v>18</v>
      </c>
      <c r="D440" s="472" t="s">
        <v>19</v>
      </c>
      <c r="E440" s="448" t="s">
        <v>4088</v>
      </c>
      <c r="F440" s="448" t="s">
        <v>3025</v>
      </c>
      <c r="G440" s="473" t="s">
        <v>3931</v>
      </c>
      <c r="H440" s="439" t="s">
        <v>564</v>
      </c>
      <c r="I440" s="474" t="s">
        <v>3459</v>
      </c>
      <c r="J440" s="474" t="s">
        <v>3463</v>
      </c>
      <c r="K440" s="443" t="s">
        <v>508</v>
      </c>
      <c r="L440" s="471">
        <v>1</v>
      </c>
      <c r="M440" s="447" t="s">
        <v>616</v>
      </c>
      <c r="N440" s="457">
        <v>1820</v>
      </c>
      <c r="O440" s="475">
        <f t="shared" si="1"/>
        <v>1820</v>
      </c>
      <c r="P440" s="476"/>
      <c r="Q440" s="477">
        <v>46023</v>
      </c>
      <c r="R440" s="476"/>
      <c r="S440" s="476"/>
    </row>
    <row r="441" spans="1:19" ht="15.75" customHeight="1" x14ac:dyDescent="0.25">
      <c r="A441" s="438">
        <v>438</v>
      </c>
      <c r="B441" s="470" t="s">
        <v>17</v>
      </c>
      <c r="C441" s="471" t="s">
        <v>18</v>
      </c>
      <c r="D441" s="472" t="s">
        <v>19</v>
      </c>
      <c r="E441" s="448" t="s">
        <v>4091</v>
      </c>
      <c r="F441" s="448" t="s">
        <v>4114</v>
      </c>
      <c r="G441" s="473" t="s">
        <v>3931</v>
      </c>
      <c r="H441" s="439" t="s">
        <v>564</v>
      </c>
      <c r="I441" s="474" t="s">
        <v>3459</v>
      </c>
      <c r="J441" s="474" t="s">
        <v>3463</v>
      </c>
      <c r="K441" s="443" t="s">
        <v>508</v>
      </c>
      <c r="L441" s="471">
        <v>1</v>
      </c>
      <c r="M441" s="447" t="s">
        <v>617</v>
      </c>
      <c r="N441" s="457">
        <v>1820</v>
      </c>
      <c r="O441" s="475">
        <f t="shared" si="1"/>
        <v>1820</v>
      </c>
      <c r="P441" s="476"/>
      <c r="Q441" s="477">
        <v>46023</v>
      </c>
      <c r="R441" s="476"/>
      <c r="S441" s="476"/>
    </row>
    <row r="442" spans="1:19" ht="15.75" customHeight="1" x14ac:dyDescent="0.25">
      <c r="A442" s="438">
        <v>439</v>
      </c>
      <c r="B442" s="470" t="s">
        <v>17</v>
      </c>
      <c r="C442" s="471" t="s">
        <v>18</v>
      </c>
      <c r="D442" s="472" t="s">
        <v>19</v>
      </c>
      <c r="E442" s="448" t="s">
        <v>4086</v>
      </c>
      <c r="F442" s="448" t="s">
        <v>4103</v>
      </c>
      <c r="G442" s="473" t="s">
        <v>3931</v>
      </c>
      <c r="H442" s="439" t="s">
        <v>564</v>
      </c>
      <c r="I442" s="474" t="s">
        <v>3459</v>
      </c>
      <c r="J442" s="474" t="s">
        <v>3463</v>
      </c>
      <c r="K442" s="443" t="s">
        <v>508</v>
      </c>
      <c r="L442" s="471">
        <v>1</v>
      </c>
      <c r="M442" s="447" t="s">
        <v>618</v>
      </c>
      <c r="N442" s="457">
        <v>1820</v>
      </c>
      <c r="O442" s="475">
        <f t="shared" si="1"/>
        <v>1820</v>
      </c>
      <c r="P442" s="476"/>
      <c r="Q442" s="477">
        <v>46023</v>
      </c>
      <c r="R442" s="476"/>
      <c r="S442" s="476"/>
    </row>
    <row r="443" spans="1:19" ht="15.75" customHeight="1" x14ac:dyDescent="0.25">
      <c r="A443" s="438">
        <v>440</v>
      </c>
      <c r="B443" s="470" t="s">
        <v>17</v>
      </c>
      <c r="C443" s="471" t="s">
        <v>18</v>
      </c>
      <c r="D443" s="472" t="s">
        <v>19</v>
      </c>
      <c r="E443" s="448" t="s">
        <v>4086</v>
      </c>
      <c r="F443" s="448" t="s">
        <v>4103</v>
      </c>
      <c r="G443" s="473" t="s">
        <v>3931</v>
      </c>
      <c r="H443" s="439" t="s">
        <v>564</v>
      </c>
      <c r="I443" s="474" t="s">
        <v>3459</v>
      </c>
      <c r="J443" s="474" t="s">
        <v>3463</v>
      </c>
      <c r="K443" s="443" t="s">
        <v>508</v>
      </c>
      <c r="L443" s="471">
        <v>1</v>
      </c>
      <c r="M443" s="447" t="s">
        <v>619</v>
      </c>
      <c r="N443" s="457">
        <v>1820</v>
      </c>
      <c r="O443" s="475">
        <f t="shared" si="1"/>
        <v>1820</v>
      </c>
      <c r="P443" s="476"/>
      <c r="Q443" s="477">
        <v>46023</v>
      </c>
      <c r="R443" s="476"/>
      <c r="S443" s="476"/>
    </row>
    <row r="444" spans="1:19" ht="15.75" customHeight="1" x14ac:dyDescent="0.25">
      <c r="A444" s="438">
        <v>441</v>
      </c>
      <c r="B444" s="470" t="s">
        <v>17</v>
      </c>
      <c r="C444" s="471" t="s">
        <v>18</v>
      </c>
      <c r="D444" s="472" t="s">
        <v>19</v>
      </c>
      <c r="E444" s="448" t="s">
        <v>4086</v>
      </c>
      <c r="F444" s="448" t="s">
        <v>4103</v>
      </c>
      <c r="G444" s="473" t="s">
        <v>3931</v>
      </c>
      <c r="H444" s="439" t="s">
        <v>564</v>
      </c>
      <c r="I444" s="474" t="s">
        <v>3459</v>
      </c>
      <c r="J444" s="474" t="s">
        <v>3463</v>
      </c>
      <c r="K444" s="443" t="s">
        <v>508</v>
      </c>
      <c r="L444" s="471">
        <v>1</v>
      </c>
      <c r="M444" s="447" t="s">
        <v>620</v>
      </c>
      <c r="N444" s="457">
        <v>1820</v>
      </c>
      <c r="O444" s="475">
        <f t="shared" si="1"/>
        <v>1820</v>
      </c>
      <c r="P444" s="476"/>
      <c r="Q444" s="477">
        <v>46023</v>
      </c>
      <c r="R444" s="476"/>
      <c r="S444" s="476"/>
    </row>
    <row r="445" spans="1:19" ht="15.75" customHeight="1" x14ac:dyDescent="0.25">
      <c r="A445" s="438">
        <v>442</v>
      </c>
      <c r="B445" s="470" t="s">
        <v>17</v>
      </c>
      <c r="C445" s="471" t="s">
        <v>18</v>
      </c>
      <c r="D445" s="472" t="s">
        <v>19</v>
      </c>
      <c r="E445" s="448" t="s">
        <v>4086</v>
      </c>
      <c r="F445" s="448" t="s">
        <v>4103</v>
      </c>
      <c r="G445" s="473" t="s">
        <v>3931</v>
      </c>
      <c r="H445" s="439" t="s">
        <v>564</v>
      </c>
      <c r="I445" s="474" t="s">
        <v>3459</v>
      </c>
      <c r="J445" s="474" t="s">
        <v>3463</v>
      </c>
      <c r="K445" s="443" t="s">
        <v>508</v>
      </c>
      <c r="L445" s="471">
        <v>1</v>
      </c>
      <c r="M445" s="447" t="s">
        <v>621</v>
      </c>
      <c r="N445" s="457">
        <v>1820</v>
      </c>
      <c r="O445" s="475">
        <f t="shared" si="1"/>
        <v>1820</v>
      </c>
      <c r="P445" s="476"/>
      <c r="Q445" s="477">
        <v>46023</v>
      </c>
      <c r="R445" s="476"/>
      <c r="S445" s="476"/>
    </row>
    <row r="446" spans="1:19" ht="15.75" customHeight="1" x14ac:dyDescent="0.25">
      <c r="A446" s="438">
        <v>443</v>
      </c>
      <c r="B446" s="470" t="s">
        <v>17</v>
      </c>
      <c r="C446" s="471" t="s">
        <v>18</v>
      </c>
      <c r="D446" s="472" t="s">
        <v>19</v>
      </c>
      <c r="E446" s="448" t="s">
        <v>4086</v>
      </c>
      <c r="F446" s="448" t="s">
        <v>4103</v>
      </c>
      <c r="G446" s="473" t="s">
        <v>3931</v>
      </c>
      <c r="H446" s="439" t="s">
        <v>564</v>
      </c>
      <c r="I446" s="474" t="s">
        <v>3459</v>
      </c>
      <c r="J446" s="474" t="s">
        <v>3463</v>
      </c>
      <c r="K446" s="443" t="s">
        <v>508</v>
      </c>
      <c r="L446" s="471">
        <v>1</v>
      </c>
      <c r="M446" s="447" t="s">
        <v>622</v>
      </c>
      <c r="N446" s="457">
        <v>1820</v>
      </c>
      <c r="O446" s="475">
        <f t="shared" si="1"/>
        <v>1820</v>
      </c>
      <c r="P446" s="476"/>
      <c r="Q446" s="477">
        <v>46023</v>
      </c>
      <c r="R446" s="476"/>
      <c r="S446" s="476"/>
    </row>
    <row r="447" spans="1:19" ht="15.75" customHeight="1" x14ac:dyDescent="0.25">
      <c r="A447" s="438">
        <v>444</v>
      </c>
      <c r="B447" s="470" t="s">
        <v>17</v>
      </c>
      <c r="C447" s="471" t="s">
        <v>18</v>
      </c>
      <c r="D447" s="472" t="s">
        <v>19</v>
      </c>
      <c r="E447" s="448" t="s">
        <v>4086</v>
      </c>
      <c r="F447" s="448" t="s">
        <v>4103</v>
      </c>
      <c r="G447" s="473" t="s">
        <v>3931</v>
      </c>
      <c r="H447" s="439" t="s">
        <v>564</v>
      </c>
      <c r="I447" s="474" t="s">
        <v>3459</v>
      </c>
      <c r="J447" s="474" t="s">
        <v>3463</v>
      </c>
      <c r="K447" s="443" t="s">
        <v>508</v>
      </c>
      <c r="L447" s="471">
        <v>1</v>
      </c>
      <c r="M447" s="447" t="s">
        <v>623</v>
      </c>
      <c r="N447" s="457">
        <v>1820</v>
      </c>
      <c r="O447" s="475">
        <f t="shared" si="1"/>
        <v>1820</v>
      </c>
      <c r="P447" s="476"/>
      <c r="Q447" s="477">
        <v>46023</v>
      </c>
      <c r="R447" s="476"/>
      <c r="S447" s="476"/>
    </row>
    <row r="448" spans="1:19" ht="15.75" customHeight="1" x14ac:dyDescent="0.25">
      <c r="A448" s="438">
        <v>445</v>
      </c>
      <c r="B448" s="470" t="s">
        <v>17</v>
      </c>
      <c r="C448" s="471" t="s">
        <v>18</v>
      </c>
      <c r="D448" s="472" t="s">
        <v>19</v>
      </c>
      <c r="E448" s="448" t="s">
        <v>4086</v>
      </c>
      <c r="F448" s="448" t="s">
        <v>4103</v>
      </c>
      <c r="G448" s="473" t="s">
        <v>3931</v>
      </c>
      <c r="H448" s="439" t="s">
        <v>564</v>
      </c>
      <c r="I448" s="474" t="s">
        <v>3459</v>
      </c>
      <c r="J448" s="474" t="s">
        <v>3463</v>
      </c>
      <c r="K448" s="443" t="s">
        <v>508</v>
      </c>
      <c r="L448" s="471">
        <v>1</v>
      </c>
      <c r="M448" s="447" t="s">
        <v>624</v>
      </c>
      <c r="N448" s="457">
        <v>1820</v>
      </c>
      <c r="O448" s="475">
        <f t="shared" si="1"/>
        <v>1820</v>
      </c>
      <c r="P448" s="476"/>
      <c r="Q448" s="477">
        <v>46023</v>
      </c>
      <c r="R448" s="476"/>
      <c r="S448" s="476"/>
    </row>
    <row r="449" spans="1:19" ht="15.75" customHeight="1" x14ac:dyDescent="0.25">
      <c r="A449" s="438">
        <v>446</v>
      </c>
      <c r="B449" s="470" t="s">
        <v>17</v>
      </c>
      <c r="C449" s="471" t="s">
        <v>18</v>
      </c>
      <c r="D449" s="472" t="s">
        <v>19</v>
      </c>
      <c r="E449" s="448" t="s">
        <v>4086</v>
      </c>
      <c r="F449" s="448" t="s">
        <v>4102</v>
      </c>
      <c r="G449" s="473" t="s">
        <v>3931</v>
      </c>
      <c r="H449" s="439" t="s">
        <v>564</v>
      </c>
      <c r="I449" s="474" t="s">
        <v>3459</v>
      </c>
      <c r="J449" s="474" t="s">
        <v>3463</v>
      </c>
      <c r="K449" s="443" t="s">
        <v>508</v>
      </c>
      <c r="L449" s="471">
        <v>1</v>
      </c>
      <c r="M449" s="447" t="s">
        <v>625</v>
      </c>
      <c r="N449" s="457">
        <v>1820</v>
      </c>
      <c r="O449" s="475">
        <f t="shared" si="1"/>
        <v>1820</v>
      </c>
      <c r="P449" s="476"/>
      <c r="Q449" s="477">
        <v>46023</v>
      </c>
      <c r="R449" s="476"/>
      <c r="S449" s="476"/>
    </row>
    <row r="450" spans="1:19" ht="15.75" customHeight="1" x14ac:dyDescent="0.25">
      <c r="A450" s="438">
        <v>447</v>
      </c>
      <c r="B450" s="470" t="s">
        <v>17</v>
      </c>
      <c r="C450" s="471" t="s">
        <v>18</v>
      </c>
      <c r="D450" s="472" t="s">
        <v>19</v>
      </c>
      <c r="E450" s="448" t="s">
        <v>4085</v>
      </c>
      <c r="F450" s="448" t="s">
        <v>3026</v>
      </c>
      <c r="G450" s="473" t="s">
        <v>3931</v>
      </c>
      <c r="H450" s="439" t="s">
        <v>564</v>
      </c>
      <c r="I450" s="474" t="s">
        <v>3459</v>
      </c>
      <c r="J450" s="474" t="s">
        <v>3463</v>
      </c>
      <c r="K450" s="443" t="s">
        <v>508</v>
      </c>
      <c r="L450" s="471">
        <v>1</v>
      </c>
      <c r="M450" s="447" t="s">
        <v>626</v>
      </c>
      <c r="N450" s="457">
        <v>1820</v>
      </c>
      <c r="O450" s="475">
        <f t="shared" si="1"/>
        <v>1820</v>
      </c>
      <c r="P450" s="476"/>
      <c r="Q450" s="477">
        <v>46023</v>
      </c>
      <c r="R450" s="476"/>
      <c r="S450" s="476"/>
    </row>
    <row r="451" spans="1:19" ht="15.75" customHeight="1" x14ac:dyDescent="0.25">
      <c r="A451" s="438">
        <v>448</v>
      </c>
      <c r="B451" s="470" t="s">
        <v>17</v>
      </c>
      <c r="C451" s="471" t="s">
        <v>18</v>
      </c>
      <c r="D451" s="472" t="s">
        <v>19</v>
      </c>
      <c r="E451" s="448" t="s">
        <v>4085</v>
      </c>
      <c r="F451" s="448" t="s">
        <v>2982</v>
      </c>
      <c r="G451" s="473" t="s">
        <v>3931</v>
      </c>
      <c r="H451" s="439" t="s">
        <v>564</v>
      </c>
      <c r="I451" s="474" t="s">
        <v>3459</v>
      </c>
      <c r="J451" s="474" t="s">
        <v>3463</v>
      </c>
      <c r="K451" s="443" t="s">
        <v>508</v>
      </c>
      <c r="L451" s="471">
        <v>1</v>
      </c>
      <c r="M451" s="447" t="s">
        <v>627</v>
      </c>
      <c r="N451" s="457">
        <v>1820</v>
      </c>
      <c r="O451" s="475">
        <f t="shared" si="1"/>
        <v>1820</v>
      </c>
      <c r="P451" s="476"/>
      <c r="Q451" s="477">
        <v>46023</v>
      </c>
      <c r="R451" s="476"/>
      <c r="S451" s="476"/>
    </row>
    <row r="452" spans="1:19" ht="15.75" customHeight="1" x14ac:dyDescent="0.25">
      <c r="A452" s="438">
        <v>449</v>
      </c>
      <c r="B452" s="470" t="s">
        <v>17</v>
      </c>
      <c r="C452" s="471" t="s">
        <v>18</v>
      </c>
      <c r="D452" s="472" t="s">
        <v>19</v>
      </c>
      <c r="E452" s="448" t="s">
        <v>4087</v>
      </c>
      <c r="F452" s="448" t="s">
        <v>4098</v>
      </c>
      <c r="G452" s="473" t="s">
        <v>3931</v>
      </c>
      <c r="H452" s="439" t="s">
        <v>564</v>
      </c>
      <c r="I452" s="474" t="s">
        <v>3459</v>
      </c>
      <c r="J452" s="474" t="s">
        <v>3463</v>
      </c>
      <c r="K452" s="443" t="s">
        <v>508</v>
      </c>
      <c r="L452" s="471">
        <v>1</v>
      </c>
      <c r="M452" s="447" t="s">
        <v>628</v>
      </c>
      <c r="N452" s="457">
        <v>1820</v>
      </c>
      <c r="O452" s="475">
        <f t="shared" si="1"/>
        <v>1820</v>
      </c>
      <c r="P452" s="476"/>
      <c r="Q452" s="477">
        <v>46023</v>
      </c>
      <c r="R452" s="476"/>
      <c r="S452" s="476"/>
    </row>
    <row r="453" spans="1:19" ht="15.75" customHeight="1" x14ac:dyDescent="0.25">
      <c r="A453" s="438">
        <v>450</v>
      </c>
      <c r="B453" s="470" t="s">
        <v>17</v>
      </c>
      <c r="C453" s="471" t="s">
        <v>18</v>
      </c>
      <c r="D453" s="472" t="s">
        <v>19</v>
      </c>
      <c r="E453" s="448" t="s">
        <v>4087</v>
      </c>
      <c r="F453" s="448" t="s">
        <v>4098</v>
      </c>
      <c r="G453" s="473" t="s">
        <v>3931</v>
      </c>
      <c r="H453" s="439" t="s">
        <v>564</v>
      </c>
      <c r="I453" s="474" t="s">
        <v>3459</v>
      </c>
      <c r="J453" s="474" t="s">
        <v>3463</v>
      </c>
      <c r="K453" s="443" t="s">
        <v>508</v>
      </c>
      <c r="L453" s="471">
        <v>1</v>
      </c>
      <c r="M453" s="447" t="s">
        <v>629</v>
      </c>
      <c r="N453" s="457">
        <v>1820</v>
      </c>
      <c r="O453" s="475">
        <f t="shared" si="1"/>
        <v>1820</v>
      </c>
      <c r="P453" s="476"/>
      <c r="Q453" s="477">
        <v>46023</v>
      </c>
      <c r="R453" s="476"/>
      <c r="S453" s="476"/>
    </row>
    <row r="454" spans="1:19" ht="15.75" customHeight="1" x14ac:dyDescent="0.25">
      <c r="A454" s="438">
        <v>451</v>
      </c>
      <c r="B454" s="470" t="s">
        <v>17</v>
      </c>
      <c r="C454" s="471" t="s">
        <v>18</v>
      </c>
      <c r="D454" s="472" t="s">
        <v>19</v>
      </c>
      <c r="E454" s="448" t="s">
        <v>4086</v>
      </c>
      <c r="F454" s="448" t="s">
        <v>4102</v>
      </c>
      <c r="G454" s="473" t="s">
        <v>3931</v>
      </c>
      <c r="H454" s="439" t="s">
        <v>564</v>
      </c>
      <c r="I454" s="474" t="s">
        <v>3459</v>
      </c>
      <c r="J454" s="474" t="s">
        <v>3463</v>
      </c>
      <c r="K454" s="443" t="s">
        <v>508</v>
      </c>
      <c r="L454" s="471">
        <v>1</v>
      </c>
      <c r="M454" s="447" t="s">
        <v>630</v>
      </c>
      <c r="N454" s="457">
        <v>1820</v>
      </c>
      <c r="O454" s="475">
        <f t="shared" si="1"/>
        <v>1820</v>
      </c>
      <c r="P454" s="476"/>
      <c r="Q454" s="477">
        <v>46023</v>
      </c>
      <c r="R454" s="476"/>
      <c r="S454" s="476"/>
    </row>
    <row r="455" spans="1:19" ht="15.75" customHeight="1" x14ac:dyDescent="0.25">
      <c r="A455" s="438">
        <v>452</v>
      </c>
      <c r="B455" s="470" t="s">
        <v>17</v>
      </c>
      <c r="C455" s="471" t="s">
        <v>18</v>
      </c>
      <c r="D455" s="472" t="s">
        <v>19</v>
      </c>
      <c r="E455" s="448" t="s">
        <v>4086</v>
      </c>
      <c r="F455" s="448" t="s">
        <v>4102</v>
      </c>
      <c r="G455" s="473" t="s">
        <v>3931</v>
      </c>
      <c r="H455" s="439" t="s">
        <v>564</v>
      </c>
      <c r="I455" s="474" t="s">
        <v>3459</v>
      </c>
      <c r="J455" s="474" t="s">
        <v>3463</v>
      </c>
      <c r="K455" s="443" t="s">
        <v>508</v>
      </c>
      <c r="L455" s="471">
        <v>1</v>
      </c>
      <c r="M455" s="447" t="s">
        <v>631</v>
      </c>
      <c r="N455" s="457">
        <v>1820</v>
      </c>
      <c r="O455" s="475">
        <f t="shared" si="1"/>
        <v>1820</v>
      </c>
      <c r="P455" s="476"/>
      <c r="Q455" s="477">
        <v>46023</v>
      </c>
      <c r="R455" s="476"/>
      <c r="S455" s="476"/>
    </row>
    <row r="456" spans="1:19" ht="15.75" customHeight="1" x14ac:dyDescent="0.25">
      <c r="A456" s="438">
        <v>453</v>
      </c>
      <c r="B456" s="470" t="s">
        <v>17</v>
      </c>
      <c r="C456" s="471" t="s">
        <v>18</v>
      </c>
      <c r="D456" s="472" t="s">
        <v>19</v>
      </c>
      <c r="E456" s="448" t="s">
        <v>4086</v>
      </c>
      <c r="F456" s="448" t="s">
        <v>4102</v>
      </c>
      <c r="G456" s="473" t="s">
        <v>3931</v>
      </c>
      <c r="H456" s="439" t="s">
        <v>564</v>
      </c>
      <c r="I456" s="474" t="s">
        <v>3459</v>
      </c>
      <c r="J456" s="474" t="s">
        <v>3463</v>
      </c>
      <c r="K456" s="443" t="s">
        <v>508</v>
      </c>
      <c r="L456" s="471">
        <v>1</v>
      </c>
      <c r="M456" s="447" t="s">
        <v>632</v>
      </c>
      <c r="N456" s="457">
        <v>1820</v>
      </c>
      <c r="O456" s="475">
        <f t="shared" si="1"/>
        <v>1820</v>
      </c>
      <c r="P456" s="476"/>
      <c r="Q456" s="477">
        <v>46023</v>
      </c>
      <c r="R456" s="476"/>
      <c r="S456" s="476"/>
    </row>
    <row r="457" spans="1:19" ht="15.75" customHeight="1" x14ac:dyDescent="0.25">
      <c r="A457" s="438">
        <v>454</v>
      </c>
      <c r="B457" s="470" t="s">
        <v>17</v>
      </c>
      <c r="C457" s="471" t="s">
        <v>18</v>
      </c>
      <c r="D457" s="472" t="s">
        <v>19</v>
      </c>
      <c r="E457" s="448" t="s">
        <v>4080</v>
      </c>
      <c r="F457" s="448" t="s">
        <v>4080</v>
      </c>
      <c r="G457" s="473" t="s">
        <v>3931</v>
      </c>
      <c r="H457" s="439" t="s">
        <v>633</v>
      </c>
      <c r="I457" s="474" t="s">
        <v>3459</v>
      </c>
      <c r="J457" s="474" t="s">
        <v>3463</v>
      </c>
      <c r="K457" s="443" t="s">
        <v>508</v>
      </c>
      <c r="L457" s="471">
        <v>1</v>
      </c>
      <c r="M457" s="447" t="s">
        <v>634</v>
      </c>
      <c r="N457" s="457">
        <v>5220.1499999999996</v>
      </c>
      <c r="O457" s="475">
        <f t="shared" si="1"/>
        <v>5220.1499999999996</v>
      </c>
      <c r="P457" s="476"/>
      <c r="Q457" s="477">
        <v>46023</v>
      </c>
      <c r="R457" s="476"/>
      <c r="S457" s="476"/>
    </row>
    <row r="458" spans="1:19" ht="15.75" customHeight="1" x14ac:dyDescent="0.25">
      <c r="A458" s="438">
        <v>455</v>
      </c>
      <c r="B458" s="470" t="s">
        <v>17</v>
      </c>
      <c r="C458" s="471" t="s">
        <v>18</v>
      </c>
      <c r="D458" s="472" t="s">
        <v>19</v>
      </c>
      <c r="E458" s="448" t="s">
        <v>4080</v>
      </c>
      <c r="F458" s="448" t="s">
        <v>4080</v>
      </c>
      <c r="G458" s="473" t="s">
        <v>3931</v>
      </c>
      <c r="H458" s="439" t="s">
        <v>633</v>
      </c>
      <c r="I458" s="474" t="s">
        <v>3459</v>
      </c>
      <c r="J458" s="474" t="s">
        <v>3463</v>
      </c>
      <c r="K458" s="443" t="s">
        <v>508</v>
      </c>
      <c r="L458" s="471">
        <v>1</v>
      </c>
      <c r="M458" s="447" t="s">
        <v>635</v>
      </c>
      <c r="N458" s="457">
        <v>5220.1499999999996</v>
      </c>
      <c r="O458" s="475">
        <f t="shared" si="1"/>
        <v>5220.1499999999996</v>
      </c>
      <c r="P458" s="476"/>
      <c r="Q458" s="477">
        <v>46023</v>
      </c>
      <c r="R458" s="476"/>
      <c r="S458" s="476"/>
    </row>
    <row r="459" spans="1:19" ht="15.75" customHeight="1" x14ac:dyDescent="0.25">
      <c r="A459" s="438">
        <v>456</v>
      </c>
      <c r="B459" s="470" t="s">
        <v>17</v>
      </c>
      <c r="C459" s="471" t="s">
        <v>18</v>
      </c>
      <c r="D459" s="472" t="s">
        <v>19</v>
      </c>
      <c r="E459" s="448" t="s">
        <v>4080</v>
      </c>
      <c r="F459" s="448" t="s">
        <v>4080</v>
      </c>
      <c r="G459" s="473" t="s">
        <v>3931</v>
      </c>
      <c r="H459" s="439" t="s">
        <v>633</v>
      </c>
      <c r="I459" s="474" t="s">
        <v>3459</v>
      </c>
      <c r="J459" s="474" t="s">
        <v>3463</v>
      </c>
      <c r="K459" s="443" t="s">
        <v>508</v>
      </c>
      <c r="L459" s="471">
        <v>1</v>
      </c>
      <c r="M459" s="447" t="s">
        <v>636</v>
      </c>
      <c r="N459" s="457">
        <v>5220.1499999999996</v>
      </c>
      <c r="O459" s="475">
        <f t="shared" si="1"/>
        <v>5220.1499999999996</v>
      </c>
      <c r="P459" s="476"/>
      <c r="Q459" s="477">
        <v>46023</v>
      </c>
      <c r="R459" s="476"/>
      <c r="S459" s="476"/>
    </row>
    <row r="460" spans="1:19" ht="15.75" customHeight="1" x14ac:dyDescent="0.25">
      <c r="A460" s="438">
        <v>457</v>
      </c>
      <c r="B460" s="470" t="s">
        <v>17</v>
      </c>
      <c r="C460" s="471" t="s">
        <v>18</v>
      </c>
      <c r="D460" s="472" t="s">
        <v>19</v>
      </c>
      <c r="E460" s="448" t="s">
        <v>4080</v>
      </c>
      <c r="F460" s="448" t="s">
        <v>4080</v>
      </c>
      <c r="G460" s="473" t="s">
        <v>3931</v>
      </c>
      <c r="H460" s="439" t="s">
        <v>633</v>
      </c>
      <c r="I460" s="474" t="s">
        <v>3459</v>
      </c>
      <c r="J460" s="474" t="s">
        <v>3463</v>
      </c>
      <c r="K460" s="443" t="s">
        <v>508</v>
      </c>
      <c r="L460" s="471">
        <v>1</v>
      </c>
      <c r="M460" s="447" t="s">
        <v>637</v>
      </c>
      <c r="N460" s="457">
        <v>5220.1499999999996</v>
      </c>
      <c r="O460" s="475">
        <f t="shared" si="1"/>
        <v>5220.1499999999996</v>
      </c>
      <c r="P460" s="476"/>
      <c r="Q460" s="477">
        <v>46023</v>
      </c>
      <c r="R460" s="476"/>
      <c r="S460" s="476"/>
    </row>
    <row r="461" spans="1:19" ht="15.75" customHeight="1" x14ac:dyDescent="0.25">
      <c r="A461" s="438">
        <v>458</v>
      </c>
      <c r="B461" s="470" t="s">
        <v>17</v>
      </c>
      <c r="C461" s="471" t="s">
        <v>18</v>
      </c>
      <c r="D461" s="472" t="s">
        <v>19</v>
      </c>
      <c r="E461" s="448" t="s">
        <v>4080</v>
      </c>
      <c r="F461" s="448" t="s">
        <v>4080</v>
      </c>
      <c r="G461" s="473" t="s">
        <v>3931</v>
      </c>
      <c r="H461" s="439" t="s">
        <v>633</v>
      </c>
      <c r="I461" s="474" t="s">
        <v>3459</v>
      </c>
      <c r="J461" s="474" t="s">
        <v>3463</v>
      </c>
      <c r="K461" s="443" t="s">
        <v>508</v>
      </c>
      <c r="L461" s="471">
        <v>1</v>
      </c>
      <c r="M461" s="447" t="s">
        <v>638</v>
      </c>
      <c r="N461" s="457">
        <v>5220.1499999999996</v>
      </c>
      <c r="O461" s="475">
        <f t="shared" si="1"/>
        <v>5220.1499999999996</v>
      </c>
      <c r="P461" s="476"/>
      <c r="Q461" s="477">
        <v>46023</v>
      </c>
      <c r="R461" s="476"/>
      <c r="S461" s="476"/>
    </row>
    <row r="462" spans="1:19" ht="15.75" customHeight="1" x14ac:dyDescent="0.25">
      <c r="A462" s="438">
        <v>459</v>
      </c>
      <c r="B462" s="470" t="s">
        <v>17</v>
      </c>
      <c r="C462" s="471" t="s">
        <v>18</v>
      </c>
      <c r="D462" s="472" t="s">
        <v>19</v>
      </c>
      <c r="E462" s="448" t="s">
        <v>4080</v>
      </c>
      <c r="F462" s="448" t="s">
        <v>4080</v>
      </c>
      <c r="G462" s="473" t="s">
        <v>3931</v>
      </c>
      <c r="H462" s="439" t="s">
        <v>633</v>
      </c>
      <c r="I462" s="474" t="s">
        <v>3459</v>
      </c>
      <c r="J462" s="474" t="s">
        <v>3463</v>
      </c>
      <c r="K462" s="443" t="s">
        <v>508</v>
      </c>
      <c r="L462" s="471">
        <v>1</v>
      </c>
      <c r="M462" s="447" t="s">
        <v>639</v>
      </c>
      <c r="N462" s="457">
        <v>5220.1499999999996</v>
      </c>
      <c r="O462" s="475">
        <f t="shared" si="1"/>
        <v>5220.1499999999996</v>
      </c>
      <c r="P462" s="476"/>
      <c r="Q462" s="477">
        <v>46023</v>
      </c>
      <c r="R462" s="476"/>
      <c r="S462" s="476"/>
    </row>
    <row r="463" spans="1:19" ht="15.75" customHeight="1" x14ac:dyDescent="0.25">
      <c r="A463" s="438">
        <v>460</v>
      </c>
      <c r="B463" s="470" t="s">
        <v>17</v>
      </c>
      <c r="C463" s="471" t="s">
        <v>18</v>
      </c>
      <c r="D463" s="472" t="s">
        <v>19</v>
      </c>
      <c r="E463" s="448" t="s">
        <v>4080</v>
      </c>
      <c r="F463" s="448" t="s">
        <v>4080</v>
      </c>
      <c r="G463" s="473" t="s">
        <v>3931</v>
      </c>
      <c r="H463" s="439" t="s">
        <v>633</v>
      </c>
      <c r="I463" s="474" t="s">
        <v>3459</v>
      </c>
      <c r="J463" s="474" t="s">
        <v>3463</v>
      </c>
      <c r="K463" s="443" t="s">
        <v>508</v>
      </c>
      <c r="L463" s="471">
        <v>1</v>
      </c>
      <c r="M463" s="447" t="s">
        <v>640</v>
      </c>
      <c r="N463" s="457">
        <v>5220.1499999999996</v>
      </c>
      <c r="O463" s="475">
        <f t="shared" si="1"/>
        <v>5220.1499999999996</v>
      </c>
      <c r="P463" s="476"/>
      <c r="Q463" s="477">
        <v>46023</v>
      </c>
      <c r="R463" s="476"/>
      <c r="S463" s="476"/>
    </row>
    <row r="464" spans="1:19" ht="15.75" customHeight="1" x14ac:dyDescent="0.25">
      <c r="A464" s="438">
        <v>461</v>
      </c>
      <c r="B464" s="470" t="s">
        <v>17</v>
      </c>
      <c r="C464" s="471" t="s">
        <v>18</v>
      </c>
      <c r="D464" s="472" t="s">
        <v>19</v>
      </c>
      <c r="E464" s="448" t="s">
        <v>4089</v>
      </c>
      <c r="F464" s="448" t="s">
        <v>4108</v>
      </c>
      <c r="G464" s="473" t="s">
        <v>3935</v>
      </c>
      <c r="H464" s="439" t="s">
        <v>641</v>
      </c>
      <c r="I464" s="474" t="s">
        <v>3459</v>
      </c>
      <c r="J464" s="474" t="s">
        <v>3464</v>
      </c>
      <c r="K464" s="443" t="s">
        <v>642</v>
      </c>
      <c r="L464" s="471">
        <v>1</v>
      </c>
      <c r="M464" s="447" t="s">
        <v>643</v>
      </c>
      <c r="N464" s="457">
        <v>5500</v>
      </c>
      <c r="O464" s="475">
        <f t="shared" si="1"/>
        <v>5500</v>
      </c>
      <c r="P464" s="476"/>
      <c r="Q464" s="477">
        <v>46023</v>
      </c>
      <c r="R464" s="476"/>
      <c r="S464" s="476"/>
    </row>
    <row r="465" spans="1:19" ht="15.75" customHeight="1" x14ac:dyDescent="0.25">
      <c r="A465" s="438">
        <v>462</v>
      </c>
      <c r="B465" s="470" t="s">
        <v>17</v>
      </c>
      <c r="C465" s="471" t="s">
        <v>18</v>
      </c>
      <c r="D465" s="472" t="s">
        <v>19</v>
      </c>
      <c r="E465" s="448" t="s">
        <v>4089</v>
      </c>
      <c r="F465" s="448" t="s">
        <v>4108</v>
      </c>
      <c r="G465" s="473" t="s">
        <v>3935</v>
      </c>
      <c r="H465" s="439" t="s">
        <v>641</v>
      </c>
      <c r="I465" s="474" t="s">
        <v>3459</v>
      </c>
      <c r="J465" s="474" t="s">
        <v>3464</v>
      </c>
      <c r="K465" s="443" t="s">
        <v>642</v>
      </c>
      <c r="L465" s="471">
        <v>1</v>
      </c>
      <c r="M465" s="447" t="s">
        <v>644</v>
      </c>
      <c r="N465" s="457">
        <v>5500</v>
      </c>
      <c r="O465" s="475">
        <f t="shared" si="1"/>
        <v>5500</v>
      </c>
      <c r="P465" s="476"/>
      <c r="Q465" s="477">
        <v>46023</v>
      </c>
      <c r="R465" s="476"/>
      <c r="S465" s="476"/>
    </row>
    <row r="466" spans="1:19" ht="15.75" customHeight="1" x14ac:dyDescent="0.25">
      <c r="A466" s="438">
        <v>463</v>
      </c>
      <c r="B466" s="470" t="s">
        <v>17</v>
      </c>
      <c r="C466" s="471" t="s">
        <v>18</v>
      </c>
      <c r="D466" s="472" t="s">
        <v>19</v>
      </c>
      <c r="E466" s="448" t="s">
        <v>4089</v>
      </c>
      <c r="F466" s="448" t="s">
        <v>4108</v>
      </c>
      <c r="G466" s="473" t="s">
        <v>3936</v>
      </c>
      <c r="H466" s="439" t="s">
        <v>645</v>
      </c>
      <c r="I466" s="474" t="s">
        <v>3459</v>
      </c>
      <c r="J466" s="474" t="s">
        <v>3464</v>
      </c>
      <c r="K466" s="443" t="s">
        <v>525</v>
      </c>
      <c r="L466" s="471">
        <v>1</v>
      </c>
      <c r="M466" s="447" t="s">
        <v>646</v>
      </c>
      <c r="N466" s="457">
        <v>39000</v>
      </c>
      <c r="O466" s="475">
        <f t="shared" si="1"/>
        <v>39000</v>
      </c>
      <c r="P466" s="476"/>
      <c r="Q466" s="477">
        <v>46023</v>
      </c>
      <c r="R466" s="476"/>
      <c r="S466" s="476"/>
    </row>
    <row r="467" spans="1:19" ht="15.75" customHeight="1" x14ac:dyDescent="0.25">
      <c r="A467" s="438">
        <v>464</v>
      </c>
      <c r="B467" s="470" t="s">
        <v>17</v>
      </c>
      <c r="C467" s="471" t="s">
        <v>18</v>
      </c>
      <c r="D467" s="472" t="s">
        <v>19</v>
      </c>
      <c r="E467" s="448" t="s">
        <v>4089</v>
      </c>
      <c r="F467" s="448" t="s">
        <v>4108</v>
      </c>
      <c r="G467" s="473" t="s">
        <v>3937</v>
      </c>
      <c r="H467" s="439" t="s">
        <v>647</v>
      </c>
      <c r="I467" s="474" t="s">
        <v>3459</v>
      </c>
      <c r="J467" s="474" t="s">
        <v>3464</v>
      </c>
      <c r="K467" s="443" t="s">
        <v>648</v>
      </c>
      <c r="L467" s="471">
        <v>1</v>
      </c>
      <c r="M467" s="447" t="s">
        <v>649</v>
      </c>
      <c r="N467" s="457">
        <v>10400</v>
      </c>
      <c r="O467" s="475">
        <f t="shared" si="1"/>
        <v>10400</v>
      </c>
      <c r="P467" s="476"/>
      <c r="Q467" s="477">
        <v>46023</v>
      </c>
      <c r="R467" s="476"/>
      <c r="S467" s="476"/>
    </row>
    <row r="468" spans="1:19" ht="15.75" customHeight="1" x14ac:dyDescent="0.25">
      <c r="A468" s="438">
        <v>465</v>
      </c>
      <c r="B468" s="470" t="s">
        <v>17</v>
      </c>
      <c r="C468" s="471" t="s">
        <v>18</v>
      </c>
      <c r="D468" s="472" t="s">
        <v>19</v>
      </c>
      <c r="E468" s="448" t="s">
        <v>4089</v>
      </c>
      <c r="F468" s="448" t="s">
        <v>4108</v>
      </c>
      <c r="G468" s="473" t="s">
        <v>3937</v>
      </c>
      <c r="H468" s="439" t="s">
        <v>647</v>
      </c>
      <c r="I468" s="474" t="s">
        <v>3459</v>
      </c>
      <c r="J468" s="474" t="s">
        <v>3464</v>
      </c>
      <c r="K468" s="443" t="s">
        <v>648</v>
      </c>
      <c r="L468" s="471">
        <v>1</v>
      </c>
      <c r="M468" s="447" t="s">
        <v>650</v>
      </c>
      <c r="N468" s="457">
        <v>10400</v>
      </c>
      <c r="O468" s="475">
        <f t="shared" si="1"/>
        <v>10400</v>
      </c>
      <c r="P468" s="476"/>
      <c r="Q468" s="477">
        <v>46023</v>
      </c>
      <c r="R468" s="476"/>
      <c r="S468" s="476"/>
    </row>
    <row r="469" spans="1:19" ht="15.75" customHeight="1" x14ac:dyDescent="0.25">
      <c r="A469" s="438">
        <v>466</v>
      </c>
      <c r="B469" s="470" t="s">
        <v>17</v>
      </c>
      <c r="C469" s="471" t="s">
        <v>18</v>
      </c>
      <c r="D469" s="472" t="s">
        <v>19</v>
      </c>
      <c r="E469" s="448" t="s">
        <v>4089</v>
      </c>
      <c r="F469" s="448" t="s">
        <v>4108</v>
      </c>
      <c r="G469" s="473" t="s">
        <v>3938</v>
      </c>
      <c r="H469" s="439" t="s">
        <v>651</v>
      </c>
      <c r="I469" s="474" t="s">
        <v>3459</v>
      </c>
      <c r="J469" s="474" t="s">
        <v>3463</v>
      </c>
      <c r="K469" s="443" t="s">
        <v>652</v>
      </c>
      <c r="L469" s="471">
        <v>1</v>
      </c>
      <c r="M469" s="447" t="s">
        <v>653</v>
      </c>
      <c r="N469" s="457">
        <v>10000</v>
      </c>
      <c r="O469" s="475">
        <f t="shared" si="1"/>
        <v>10000</v>
      </c>
      <c r="P469" s="476"/>
      <c r="Q469" s="477">
        <v>46023</v>
      </c>
      <c r="R469" s="476"/>
      <c r="S469" s="476"/>
    </row>
    <row r="470" spans="1:19" ht="15.75" customHeight="1" x14ac:dyDescent="0.25">
      <c r="A470" s="438">
        <v>467</v>
      </c>
      <c r="B470" s="470" t="s">
        <v>17</v>
      </c>
      <c r="C470" s="471" t="s">
        <v>18</v>
      </c>
      <c r="D470" s="472" t="s">
        <v>19</v>
      </c>
      <c r="E470" s="448" t="s">
        <v>4089</v>
      </c>
      <c r="F470" s="448" t="s">
        <v>4108</v>
      </c>
      <c r="G470" s="473" t="s">
        <v>3937</v>
      </c>
      <c r="H470" s="439" t="s">
        <v>654</v>
      </c>
      <c r="I470" s="474" t="s">
        <v>3459</v>
      </c>
      <c r="J470" s="474" t="s">
        <v>3464</v>
      </c>
      <c r="K470" s="443" t="s">
        <v>648</v>
      </c>
      <c r="L470" s="471">
        <v>1</v>
      </c>
      <c r="M470" s="447" t="s">
        <v>655</v>
      </c>
      <c r="N470" s="457">
        <v>38000</v>
      </c>
      <c r="O470" s="475">
        <f t="shared" si="1"/>
        <v>38000</v>
      </c>
      <c r="P470" s="476"/>
      <c r="Q470" s="477">
        <v>46023</v>
      </c>
      <c r="R470" s="476"/>
      <c r="S470" s="476"/>
    </row>
    <row r="471" spans="1:19" ht="15.75" customHeight="1" x14ac:dyDescent="0.25">
      <c r="A471" s="438">
        <v>468</v>
      </c>
      <c r="B471" s="470" t="s">
        <v>17</v>
      </c>
      <c r="C471" s="471" t="s">
        <v>18</v>
      </c>
      <c r="D471" s="472" t="s">
        <v>19</v>
      </c>
      <c r="E471" s="448" t="s">
        <v>4089</v>
      </c>
      <c r="F471" s="448" t="s">
        <v>4108</v>
      </c>
      <c r="G471" s="473" t="s">
        <v>3937</v>
      </c>
      <c r="H471" s="439" t="s">
        <v>654</v>
      </c>
      <c r="I471" s="474" t="s">
        <v>3459</v>
      </c>
      <c r="J471" s="474" t="s">
        <v>3464</v>
      </c>
      <c r="K471" s="443" t="s">
        <v>648</v>
      </c>
      <c r="L471" s="471">
        <v>1</v>
      </c>
      <c r="M471" s="447" t="s">
        <v>656</v>
      </c>
      <c r="N471" s="457">
        <v>38000</v>
      </c>
      <c r="O471" s="475">
        <f t="shared" si="1"/>
        <v>38000</v>
      </c>
      <c r="P471" s="476"/>
      <c r="Q471" s="477">
        <v>46023</v>
      </c>
      <c r="R471" s="476"/>
      <c r="S471" s="476"/>
    </row>
    <row r="472" spans="1:19" ht="15.75" customHeight="1" x14ac:dyDescent="0.25">
      <c r="A472" s="438">
        <v>469</v>
      </c>
      <c r="B472" s="470" t="s">
        <v>17</v>
      </c>
      <c r="C472" s="471" t="s">
        <v>18</v>
      </c>
      <c r="D472" s="472" t="s">
        <v>19</v>
      </c>
      <c r="E472" s="448" t="s">
        <v>4089</v>
      </c>
      <c r="F472" s="448" t="s">
        <v>4108</v>
      </c>
      <c r="G472" s="473" t="s">
        <v>3939</v>
      </c>
      <c r="H472" s="439" t="s">
        <v>657</v>
      </c>
      <c r="I472" s="474" t="s">
        <v>3459</v>
      </c>
      <c r="J472" s="474" t="s">
        <v>3463</v>
      </c>
      <c r="K472" s="443" t="s">
        <v>658</v>
      </c>
      <c r="L472" s="471">
        <v>1</v>
      </c>
      <c r="M472" s="447" t="s">
        <v>659</v>
      </c>
      <c r="N472" s="457">
        <v>5000</v>
      </c>
      <c r="O472" s="475">
        <f t="shared" si="1"/>
        <v>5000</v>
      </c>
      <c r="P472" s="476"/>
      <c r="Q472" s="477">
        <v>46023</v>
      </c>
      <c r="R472" s="476"/>
      <c r="S472" s="476"/>
    </row>
    <row r="473" spans="1:19" ht="15.75" customHeight="1" x14ac:dyDescent="0.25">
      <c r="A473" s="438">
        <v>470</v>
      </c>
      <c r="B473" s="470" t="s">
        <v>17</v>
      </c>
      <c r="C473" s="471" t="s">
        <v>18</v>
      </c>
      <c r="D473" s="472" t="s">
        <v>19</v>
      </c>
      <c r="E473" s="465" t="s">
        <v>4089</v>
      </c>
      <c r="F473" s="448" t="s">
        <v>4108</v>
      </c>
      <c r="G473" s="473" t="s">
        <v>3939</v>
      </c>
      <c r="H473" s="439" t="s">
        <v>657</v>
      </c>
      <c r="I473" s="474" t="s">
        <v>3459</v>
      </c>
      <c r="J473" s="474" t="s">
        <v>3463</v>
      </c>
      <c r="K473" s="443" t="s">
        <v>658</v>
      </c>
      <c r="L473" s="471">
        <v>1</v>
      </c>
      <c r="M473" s="447" t="s">
        <v>660</v>
      </c>
      <c r="N473" s="457">
        <v>5000</v>
      </c>
      <c r="O473" s="475">
        <f t="shared" si="1"/>
        <v>5000</v>
      </c>
      <c r="P473" s="476"/>
      <c r="Q473" s="477">
        <v>46023</v>
      </c>
      <c r="R473" s="476"/>
      <c r="S473" s="476"/>
    </row>
    <row r="474" spans="1:19" ht="15.75" customHeight="1" x14ac:dyDescent="0.25">
      <c r="A474" s="438">
        <v>471</v>
      </c>
      <c r="B474" s="470" t="s">
        <v>17</v>
      </c>
      <c r="C474" s="471" t="s">
        <v>18</v>
      </c>
      <c r="D474" s="472" t="s">
        <v>19</v>
      </c>
      <c r="E474" s="448" t="s">
        <v>4089</v>
      </c>
      <c r="F474" s="448" t="s">
        <v>4108</v>
      </c>
      <c r="G474" s="473" t="s">
        <v>3939</v>
      </c>
      <c r="H474" s="439" t="s">
        <v>657</v>
      </c>
      <c r="I474" s="474" t="s">
        <v>3459</v>
      </c>
      <c r="J474" s="474" t="s">
        <v>3463</v>
      </c>
      <c r="K474" s="443" t="s">
        <v>658</v>
      </c>
      <c r="L474" s="471">
        <v>1</v>
      </c>
      <c r="M474" s="447" t="s">
        <v>661</v>
      </c>
      <c r="N474" s="457">
        <v>5000</v>
      </c>
      <c r="O474" s="475">
        <f t="shared" si="1"/>
        <v>5000</v>
      </c>
      <c r="P474" s="476"/>
      <c r="Q474" s="477">
        <v>46023</v>
      </c>
      <c r="R474" s="476"/>
      <c r="S474" s="476"/>
    </row>
    <row r="475" spans="1:19" ht="15.75" customHeight="1" x14ac:dyDescent="0.25">
      <c r="A475" s="438">
        <v>472</v>
      </c>
      <c r="B475" s="470" t="s">
        <v>17</v>
      </c>
      <c r="C475" s="471" t="s">
        <v>18</v>
      </c>
      <c r="D475" s="472" t="s">
        <v>19</v>
      </c>
      <c r="E475" s="448" t="s">
        <v>4089</v>
      </c>
      <c r="F475" s="448" t="s">
        <v>4108</v>
      </c>
      <c r="G475" s="473" t="s">
        <v>3939</v>
      </c>
      <c r="H475" s="439" t="s">
        <v>657</v>
      </c>
      <c r="I475" s="474" t="s">
        <v>3459</v>
      </c>
      <c r="J475" s="474" t="s">
        <v>3463</v>
      </c>
      <c r="K475" s="443" t="s">
        <v>658</v>
      </c>
      <c r="L475" s="471">
        <v>1</v>
      </c>
      <c r="M475" s="447" t="s">
        <v>662</v>
      </c>
      <c r="N475" s="457">
        <v>5000</v>
      </c>
      <c r="O475" s="475">
        <f t="shared" si="1"/>
        <v>5000</v>
      </c>
      <c r="P475" s="476"/>
      <c r="Q475" s="477">
        <v>46023</v>
      </c>
      <c r="R475" s="476"/>
      <c r="S475" s="476"/>
    </row>
    <row r="476" spans="1:19" ht="15.75" customHeight="1" x14ac:dyDescent="0.25">
      <c r="A476" s="438">
        <v>473</v>
      </c>
      <c r="B476" s="470" t="s">
        <v>17</v>
      </c>
      <c r="C476" s="471" t="s">
        <v>18</v>
      </c>
      <c r="D476" s="472" t="s">
        <v>19</v>
      </c>
      <c r="E476" s="448" t="s">
        <v>4089</v>
      </c>
      <c r="F476" s="448" t="s">
        <v>4108</v>
      </c>
      <c r="G476" s="473" t="s">
        <v>3939</v>
      </c>
      <c r="H476" s="439" t="s">
        <v>657</v>
      </c>
      <c r="I476" s="474" t="s">
        <v>3459</v>
      </c>
      <c r="J476" s="474" t="s">
        <v>3463</v>
      </c>
      <c r="K476" s="443" t="s">
        <v>658</v>
      </c>
      <c r="L476" s="471">
        <v>1</v>
      </c>
      <c r="M476" s="447" t="s">
        <v>663</v>
      </c>
      <c r="N476" s="457">
        <v>5000</v>
      </c>
      <c r="O476" s="475">
        <f t="shared" si="1"/>
        <v>5000</v>
      </c>
      <c r="P476" s="476"/>
      <c r="Q476" s="477">
        <v>46023</v>
      </c>
      <c r="R476" s="476"/>
      <c r="S476" s="476"/>
    </row>
    <row r="477" spans="1:19" ht="15.75" customHeight="1" x14ac:dyDescent="0.25">
      <c r="A477" s="438">
        <v>474</v>
      </c>
      <c r="B477" s="470" t="s">
        <v>17</v>
      </c>
      <c r="C477" s="471" t="s">
        <v>18</v>
      </c>
      <c r="D477" s="472" t="s">
        <v>19</v>
      </c>
      <c r="E477" s="448" t="s">
        <v>4089</v>
      </c>
      <c r="F477" s="448" t="s">
        <v>4108</v>
      </c>
      <c r="G477" s="473" t="s">
        <v>3939</v>
      </c>
      <c r="H477" s="439" t="s">
        <v>657</v>
      </c>
      <c r="I477" s="474" t="s">
        <v>3459</v>
      </c>
      <c r="J477" s="474" t="s">
        <v>3463</v>
      </c>
      <c r="K477" s="443" t="s">
        <v>658</v>
      </c>
      <c r="L477" s="471">
        <v>1</v>
      </c>
      <c r="M477" s="447" t="s">
        <v>664</v>
      </c>
      <c r="N477" s="457">
        <v>5000</v>
      </c>
      <c r="O477" s="475">
        <f t="shared" si="1"/>
        <v>5000</v>
      </c>
      <c r="P477" s="476"/>
      <c r="Q477" s="477">
        <v>46023</v>
      </c>
      <c r="R477" s="476"/>
      <c r="S477" s="476"/>
    </row>
    <row r="478" spans="1:19" ht="15.75" customHeight="1" x14ac:dyDescent="0.25">
      <c r="A478" s="438">
        <v>475</v>
      </c>
      <c r="B478" s="470" t="s">
        <v>17</v>
      </c>
      <c r="C478" s="471" t="s">
        <v>18</v>
      </c>
      <c r="D478" s="472" t="s">
        <v>19</v>
      </c>
      <c r="E478" s="448" t="s">
        <v>4089</v>
      </c>
      <c r="F478" s="448" t="s">
        <v>4108</v>
      </c>
      <c r="G478" s="473" t="s">
        <v>3939</v>
      </c>
      <c r="H478" s="439" t="s">
        <v>657</v>
      </c>
      <c r="I478" s="474" t="s">
        <v>3459</v>
      </c>
      <c r="J478" s="474" t="s">
        <v>3463</v>
      </c>
      <c r="K478" s="443" t="s">
        <v>658</v>
      </c>
      <c r="L478" s="471">
        <v>1</v>
      </c>
      <c r="M478" s="447" t="s">
        <v>665</v>
      </c>
      <c r="N478" s="457">
        <v>5000</v>
      </c>
      <c r="O478" s="475">
        <f t="shared" si="1"/>
        <v>5000</v>
      </c>
      <c r="P478" s="476"/>
      <c r="Q478" s="477">
        <v>46023</v>
      </c>
      <c r="R478" s="476"/>
      <c r="S478" s="476"/>
    </row>
    <row r="479" spans="1:19" ht="15.75" customHeight="1" x14ac:dyDescent="0.25">
      <c r="A479" s="438">
        <v>476</v>
      </c>
      <c r="B479" s="470" t="s">
        <v>17</v>
      </c>
      <c r="C479" s="471" t="s">
        <v>18</v>
      </c>
      <c r="D479" s="472" t="s">
        <v>19</v>
      </c>
      <c r="E479" s="448" t="s">
        <v>4089</v>
      </c>
      <c r="F479" s="448" t="s">
        <v>4108</v>
      </c>
      <c r="G479" s="473" t="s">
        <v>3939</v>
      </c>
      <c r="H479" s="439" t="s">
        <v>657</v>
      </c>
      <c r="I479" s="474" t="s">
        <v>3459</v>
      </c>
      <c r="J479" s="474" t="s">
        <v>3463</v>
      </c>
      <c r="K479" s="443" t="s">
        <v>658</v>
      </c>
      <c r="L479" s="471">
        <v>1</v>
      </c>
      <c r="M479" s="447" t="s">
        <v>666</v>
      </c>
      <c r="N479" s="457">
        <v>5000</v>
      </c>
      <c r="O479" s="475">
        <f t="shared" si="1"/>
        <v>5000</v>
      </c>
      <c r="P479" s="476"/>
      <c r="Q479" s="477">
        <v>46023</v>
      </c>
      <c r="R479" s="476"/>
      <c r="S479" s="476"/>
    </row>
    <row r="480" spans="1:19" ht="15.75" customHeight="1" x14ac:dyDescent="0.25">
      <c r="A480" s="438">
        <v>477</v>
      </c>
      <c r="B480" s="470" t="s">
        <v>17</v>
      </c>
      <c r="C480" s="471" t="s">
        <v>18</v>
      </c>
      <c r="D480" s="472" t="s">
        <v>19</v>
      </c>
      <c r="E480" s="448" t="s">
        <v>4080</v>
      </c>
      <c r="F480" s="448" t="s">
        <v>4080</v>
      </c>
      <c r="G480" s="473" t="s">
        <v>3940</v>
      </c>
      <c r="H480" s="439" t="s">
        <v>667</v>
      </c>
      <c r="I480" s="474" t="s">
        <v>3457</v>
      </c>
      <c r="J480" s="474" t="s">
        <v>3463</v>
      </c>
      <c r="K480" s="443" t="s">
        <v>668</v>
      </c>
      <c r="L480" s="471">
        <v>1</v>
      </c>
      <c r="M480" s="447" t="s">
        <v>669</v>
      </c>
      <c r="N480" s="457">
        <v>1000</v>
      </c>
      <c r="O480" s="475">
        <f t="shared" si="1"/>
        <v>1000</v>
      </c>
      <c r="P480" s="476"/>
      <c r="Q480" s="477">
        <v>46023</v>
      </c>
      <c r="R480" s="476"/>
      <c r="S480" s="476"/>
    </row>
    <row r="481" spans="1:19" ht="15.75" customHeight="1" x14ac:dyDescent="0.25">
      <c r="A481" s="438">
        <v>478</v>
      </c>
      <c r="B481" s="470" t="s">
        <v>17</v>
      </c>
      <c r="C481" s="471" t="s">
        <v>18</v>
      </c>
      <c r="D481" s="472" t="s">
        <v>19</v>
      </c>
      <c r="E481" s="448" t="s">
        <v>4081</v>
      </c>
      <c r="F481" s="448" t="s">
        <v>2989</v>
      </c>
      <c r="G481" s="473" t="s">
        <v>3940</v>
      </c>
      <c r="H481" s="439" t="s">
        <v>667</v>
      </c>
      <c r="I481" s="474" t="s">
        <v>3457</v>
      </c>
      <c r="J481" s="474" t="s">
        <v>3463</v>
      </c>
      <c r="K481" s="443" t="s">
        <v>668</v>
      </c>
      <c r="L481" s="471">
        <v>1</v>
      </c>
      <c r="M481" s="447" t="s">
        <v>670</v>
      </c>
      <c r="N481" s="457">
        <v>1000</v>
      </c>
      <c r="O481" s="475">
        <f t="shared" si="1"/>
        <v>1000</v>
      </c>
      <c r="P481" s="476"/>
      <c r="Q481" s="477">
        <v>46023</v>
      </c>
      <c r="R481" s="476"/>
      <c r="S481" s="476"/>
    </row>
    <row r="482" spans="1:19" ht="15.75" customHeight="1" x14ac:dyDescent="0.25">
      <c r="A482" s="438">
        <v>479</v>
      </c>
      <c r="B482" s="470" t="s">
        <v>17</v>
      </c>
      <c r="C482" s="471" t="s">
        <v>18</v>
      </c>
      <c r="D482" s="472" t="s">
        <v>19</v>
      </c>
      <c r="E482" s="448" t="s">
        <v>4081</v>
      </c>
      <c r="F482" s="448" t="s">
        <v>2989</v>
      </c>
      <c r="G482" s="473" t="s">
        <v>3940</v>
      </c>
      <c r="H482" s="439" t="s">
        <v>667</v>
      </c>
      <c r="I482" s="474" t="s">
        <v>3457</v>
      </c>
      <c r="J482" s="474" t="s">
        <v>3463</v>
      </c>
      <c r="K482" s="443" t="s">
        <v>668</v>
      </c>
      <c r="L482" s="471">
        <v>1</v>
      </c>
      <c r="M482" s="447" t="s">
        <v>671</v>
      </c>
      <c r="N482" s="457">
        <v>1000</v>
      </c>
      <c r="O482" s="475">
        <f t="shared" si="1"/>
        <v>1000</v>
      </c>
      <c r="P482" s="476"/>
      <c r="Q482" s="477">
        <v>46023</v>
      </c>
      <c r="R482" s="476"/>
      <c r="S482" s="476"/>
    </row>
    <row r="483" spans="1:19" ht="15.75" customHeight="1" x14ac:dyDescent="0.25">
      <c r="A483" s="438">
        <v>480</v>
      </c>
      <c r="B483" s="470" t="s">
        <v>17</v>
      </c>
      <c r="C483" s="471" t="s">
        <v>18</v>
      </c>
      <c r="D483" s="472" t="s">
        <v>19</v>
      </c>
      <c r="E483" s="448" t="s">
        <v>4081</v>
      </c>
      <c r="F483" s="448" t="s">
        <v>2989</v>
      </c>
      <c r="G483" s="473" t="s">
        <v>3940</v>
      </c>
      <c r="H483" s="439" t="s">
        <v>667</v>
      </c>
      <c r="I483" s="474" t="s">
        <v>3457</v>
      </c>
      <c r="J483" s="474" t="s">
        <v>3463</v>
      </c>
      <c r="K483" s="443" t="s">
        <v>668</v>
      </c>
      <c r="L483" s="471">
        <v>1</v>
      </c>
      <c r="M483" s="447" t="s">
        <v>672</v>
      </c>
      <c r="N483" s="457">
        <v>1000</v>
      </c>
      <c r="O483" s="475">
        <f t="shared" si="1"/>
        <v>1000</v>
      </c>
      <c r="P483" s="476"/>
      <c r="Q483" s="477">
        <v>46023</v>
      </c>
      <c r="R483" s="476"/>
      <c r="S483" s="476"/>
    </row>
    <row r="484" spans="1:19" ht="15.75" customHeight="1" x14ac:dyDescent="0.25">
      <c r="A484" s="438">
        <v>481</v>
      </c>
      <c r="B484" s="470" t="s">
        <v>17</v>
      </c>
      <c r="C484" s="471" t="s">
        <v>18</v>
      </c>
      <c r="D484" s="472" t="s">
        <v>19</v>
      </c>
      <c r="E484" s="465" t="s">
        <v>4081</v>
      </c>
      <c r="F484" s="448" t="s">
        <v>2989</v>
      </c>
      <c r="G484" s="473" t="s">
        <v>3940</v>
      </c>
      <c r="H484" s="439" t="s">
        <v>667</v>
      </c>
      <c r="I484" s="474" t="s">
        <v>3457</v>
      </c>
      <c r="J484" s="474" t="s">
        <v>3463</v>
      </c>
      <c r="K484" s="443" t="s">
        <v>668</v>
      </c>
      <c r="L484" s="471">
        <v>1</v>
      </c>
      <c r="M484" s="447" t="s">
        <v>673</v>
      </c>
      <c r="N484" s="457">
        <v>1000</v>
      </c>
      <c r="O484" s="475">
        <f t="shared" si="1"/>
        <v>1000</v>
      </c>
      <c r="P484" s="476"/>
      <c r="Q484" s="477">
        <v>46023</v>
      </c>
      <c r="R484" s="476"/>
      <c r="S484" s="476"/>
    </row>
    <row r="485" spans="1:19" ht="15.75" customHeight="1" x14ac:dyDescent="0.25">
      <c r="A485" s="438">
        <v>482</v>
      </c>
      <c r="B485" s="470" t="s">
        <v>17</v>
      </c>
      <c r="C485" s="471" t="s">
        <v>18</v>
      </c>
      <c r="D485" s="472" t="s">
        <v>19</v>
      </c>
      <c r="E485" s="448" t="s">
        <v>4081</v>
      </c>
      <c r="F485" s="448" t="s">
        <v>2989</v>
      </c>
      <c r="G485" s="473" t="s">
        <v>3940</v>
      </c>
      <c r="H485" s="439" t="s">
        <v>667</v>
      </c>
      <c r="I485" s="474" t="s">
        <v>3457</v>
      </c>
      <c r="J485" s="474" t="s">
        <v>3463</v>
      </c>
      <c r="K485" s="443" t="s">
        <v>668</v>
      </c>
      <c r="L485" s="471">
        <v>1</v>
      </c>
      <c r="M485" s="447" t="s">
        <v>674</v>
      </c>
      <c r="N485" s="457">
        <v>1000</v>
      </c>
      <c r="O485" s="475">
        <f t="shared" si="1"/>
        <v>1000</v>
      </c>
      <c r="P485" s="476"/>
      <c r="Q485" s="477">
        <v>46023</v>
      </c>
      <c r="R485" s="476"/>
      <c r="S485" s="476"/>
    </row>
    <row r="486" spans="1:19" ht="15.75" customHeight="1" x14ac:dyDescent="0.25">
      <c r="A486" s="438">
        <v>483</v>
      </c>
      <c r="B486" s="470" t="s">
        <v>17</v>
      </c>
      <c r="C486" s="471" t="s">
        <v>18</v>
      </c>
      <c r="D486" s="472" t="s">
        <v>19</v>
      </c>
      <c r="E486" s="448" t="s">
        <v>4081</v>
      </c>
      <c r="F486" s="448" t="s">
        <v>2989</v>
      </c>
      <c r="G486" s="473" t="s">
        <v>3940</v>
      </c>
      <c r="H486" s="439" t="s">
        <v>667</v>
      </c>
      <c r="I486" s="474" t="s">
        <v>3457</v>
      </c>
      <c r="J486" s="474" t="s">
        <v>3463</v>
      </c>
      <c r="K486" s="443" t="s">
        <v>668</v>
      </c>
      <c r="L486" s="471">
        <v>1</v>
      </c>
      <c r="M486" s="447" t="s">
        <v>675</v>
      </c>
      <c r="N486" s="457">
        <v>1000</v>
      </c>
      <c r="O486" s="475">
        <f t="shared" si="1"/>
        <v>1000</v>
      </c>
      <c r="P486" s="476"/>
      <c r="Q486" s="477">
        <v>46023</v>
      </c>
      <c r="R486" s="476"/>
      <c r="S486" s="476"/>
    </row>
    <row r="487" spans="1:19" ht="15.75" customHeight="1" x14ac:dyDescent="0.25">
      <c r="A487" s="438">
        <v>484</v>
      </c>
      <c r="B487" s="470" t="s">
        <v>17</v>
      </c>
      <c r="C487" s="471" t="s">
        <v>18</v>
      </c>
      <c r="D487" s="472" t="s">
        <v>19</v>
      </c>
      <c r="E487" s="448" t="s">
        <v>4081</v>
      </c>
      <c r="F487" s="448" t="s">
        <v>2989</v>
      </c>
      <c r="G487" s="473" t="s">
        <v>3940</v>
      </c>
      <c r="H487" s="439" t="s">
        <v>667</v>
      </c>
      <c r="I487" s="474" t="s">
        <v>3457</v>
      </c>
      <c r="J487" s="474" t="s">
        <v>3463</v>
      </c>
      <c r="K487" s="443" t="s">
        <v>668</v>
      </c>
      <c r="L487" s="471">
        <v>1</v>
      </c>
      <c r="M487" s="447" t="s">
        <v>676</v>
      </c>
      <c r="N487" s="457">
        <v>1000</v>
      </c>
      <c r="O487" s="475">
        <f t="shared" si="1"/>
        <v>1000</v>
      </c>
      <c r="P487" s="476"/>
      <c r="Q487" s="477">
        <v>46023</v>
      </c>
      <c r="R487" s="476"/>
      <c r="S487" s="476"/>
    </row>
    <row r="488" spans="1:19" ht="15.75" customHeight="1" x14ac:dyDescent="0.25">
      <c r="A488" s="438">
        <v>485</v>
      </c>
      <c r="B488" s="470" t="s">
        <v>17</v>
      </c>
      <c r="C488" s="471" t="s">
        <v>18</v>
      </c>
      <c r="D488" s="472" t="s">
        <v>19</v>
      </c>
      <c r="E488" s="448" t="s">
        <v>4081</v>
      </c>
      <c r="F488" s="448" t="s">
        <v>2989</v>
      </c>
      <c r="G488" s="473" t="s">
        <v>3940</v>
      </c>
      <c r="H488" s="439" t="s">
        <v>667</v>
      </c>
      <c r="I488" s="474" t="s">
        <v>3457</v>
      </c>
      <c r="J488" s="474" t="s">
        <v>3463</v>
      </c>
      <c r="K488" s="443" t="s">
        <v>668</v>
      </c>
      <c r="L488" s="471">
        <v>1</v>
      </c>
      <c r="M488" s="447" t="s">
        <v>677</v>
      </c>
      <c r="N488" s="457">
        <v>1000</v>
      </c>
      <c r="O488" s="475">
        <f t="shared" si="1"/>
        <v>1000</v>
      </c>
      <c r="P488" s="476"/>
      <c r="Q488" s="477">
        <v>46023</v>
      </c>
      <c r="R488" s="476"/>
      <c r="S488" s="476"/>
    </row>
    <row r="489" spans="1:19" ht="15.75" customHeight="1" x14ac:dyDescent="0.25">
      <c r="A489" s="438">
        <v>486</v>
      </c>
      <c r="B489" s="470" t="s">
        <v>17</v>
      </c>
      <c r="C489" s="471" t="s">
        <v>18</v>
      </c>
      <c r="D489" s="472" t="s">
        <v>19</v>
      </c>
      <c r="E489" s="448" t="s">
        <v>4081</v>
      </c>
      <c r="F489" s="448" t="s">
        <v>2989</v>
      </c>
      <c r="G489" s="473" t="s">
        <v>3940</v>
      </c>
      <c r="H489" s="439" t="s">
        <v>667</v>
      </c>
      <c r="I489" s="474" t="s">
        <v>3457</v>
      </c>
      <c r="J489" s="474" t="s">
        <v>3463</v>
      </c>
      <c r="K489" s="443" t="s">
        <v>668</v>
      </c>
      <c r="L489" s="471">
        <v>1</v>
      </c>
      <c r="M489" s="447" t="s">
        <v>678</v>
      </c>
      <c r="N489" s="457">
        <v>1000</v>
      </c>
      <c r="O489" s="475">
        <f t="shared" si="1"/>
        <v>1000</v>
      </c>
      <c r="P489" s="476"/>
      <c r="Q489" s="477">
        <v>46023</v>
      </c>
      <c r="R489" s="476"/>
      <c r="S489" s="476"/>
    </row>
    <row r="490" spans="1:19" ht="15.75" customHeight="1" x14ac:dyDescent="0.25">
      <c r="A490" s="438">
        <v>487</v>
      </c>
      <c r="B490" s="470" t="s">
        <v>17</v>
      </c>
      <c r="C490" s="471" t="s">
        <v>18</v>
      </c>
      <c r="D490" s="472" t="s">
        <v>19</v>
      </c>
      <c r="E490" s="448" t="s">
        <v>4081</v>
      </c>
      <c r="F490" s="448" t="s">
        <v>2989</v>
      </c>
      <c r="G490" s="473" t="s">
        <v>3940</v>
      </c>
      <c r="H490" s="439" t="s">
        <v>667</v>
      </c>
      <c r="I490" s="474" t="s">
        <v>3457</v>
      </c>
      <c r="J490" s="474" t="s">
        <v>3463</v>
      </c>
      <c r="K490" s="443" t="s">
        <v>668</v>
      </c>
      <c r="L490" s="471">
        <v>1</v>
      </c>
      <c r="M490" s="447" t="s">
        <v>679</v>
      </c>
      <c r="N490" s="457">
        <v>1000</v>
      </c>
      <c r="O490" s="475">
        <f t="shared" si="1"/>
        <v>1000</v>
      </c>
      <c r="P490" s="476"/>
      <c r="Q490" s="477">
        <v>46023</v>
      </c>
      <c r="R490" s="476"/>
      <c r="S490" s="476"/>
    </row>
    <row r="491" spans="1:19" ht="15.75" customHeight="1" x14ac:dyDescent="0.25">
      <c r="A491" s="438">
        <v>488</v>
      </c>
      <c r="B491" s="470" t="s">
        <v>17</v>
      </c>
      <c r="C491" s="471" t="s">
        <v>18</v>
      </c>
      <c r="D491" s="472" t="s">
        <v>19</v>
      </c>
      <c r="E491" s="448" t="s">
        <v>4086</v>
      </c>
      <c r="F491" s="448" t="s">
        <v>4097</v>
      </c>
      <c r="G491" s="473" t="s">
        <v>3915</v>
      </c>
      <c r="H491" s="439" t="s">
        <v>680</v>
      </c>
      <c r="I491" s="474" t="s">
        <v>3457</v>
      </c>
      <c r="J491" s="474" t="s">
        <v>3464</v>
      </c>
      <c r="K491" s="443" t="s">
        <v>267</v>
      </c>
      <c r="L491" s="471">
        <v>1</v>
      </c>
      <c r="M491" s="447" t="s">
        <v>681</v>
      </c>
      <c r="N491" s="457">
        <v>6620</v>
      </c>
      <c r="O491" s="475">
        <f t="shared" si="1"/>
        <v>6620</v>
      </c>
      <c r="P491" s="476"/>
      <c r="Q491" s="477">
        <v>46023</v>
      </c>
      <c r="R491" s="476"/>
      <c r="S491" s="476"/>
    </row>
    <row r="492" spans="1:19" ht="15.75" customHeight="1" x14ac:dyDescent="0.25">
      <c r="A492" s="438">
        <v>489</v>
      </c>
      <c r="B492" s="470" t="s">
        <v>17</v>
      </c>
      <c r="C492" s="471" t="s">
        <v>18</v>
      </c>
      <c r="D492" s="472" t="s">
        <v>19</v>
      </c>
      <c r="E492" s="448" t="s">
        <v>4086</v>
      </c>
      <c r="F492" s="448" t="s">
        <v>4097</v>
      </c>
      <c r="G492" s="473" t="s">
        <v>3915</v>
      </c>
      <c r="H492" s="439" t="s">
        <v>680</v>
      </c>
      <c r="I492" s="474" t="s">
        <v>3457</v>
      </c>
      <c r="J492" s="474" t="s">
        <v>3464</v>
      </c>
      <c r="K492" s="443" t="s">
        <v>267</v>
      </c>
      <c r="L492" s="471">
        <v>1</v>
      </c>
      <c r="M492" s="447" t="s">
        <v>682</v>
      </c>
      <c r="N492" s="457">
        <v>6620</v>
      </c>
      <c r="O492" s="475">
        <f t="shared" si="1"/>
        <v>6620</v>
      </c>
      <c r="P492" s="476"/>
      <c r="Q492" s="477">
        <v>46023</v>
      </c>
      <c r="R492" s="476"/>
      <c r="S492" s="476"/>
    </row>
    <row r="493" spans="1:19" ht="15.75" customHeight="1" x14ac:dyDescent="0.25">
      <c r="A493" s="438">
        <v>490</v>
      </c>
      <c r="B493" s="470" t="s">
        <v>17</v>
      </c>
      <c r="C493" s="471" t="s">
        <v>18</v>
      </c>
      <c r="D493" s="472" t="s">
        <v>19</v>
      </c>
      <c r="E493" s="448" t="s">
        <v>4082</v>
      </c>
      <c r="F493" s="448" t="s">
        <v>4082</v>
      </c>
      <c r="G493" s="473" t="s">
        <v>3941</v>
      </c>
      <c r="H493" s="439" t="s">
        <v>683</v>
      </c>
      <c r="I493" s="474" t="s">
        <v>3458</v>
      </c>
      <c r="J493" s="474" t="s">
        <v>3463</v>
      </c>
      <c r="K493" s="443" t="s">
        <v>684</v>
      </c>
      <c r="L493" s="471">
        <v>1</v>
      </c>
      <c r="M493" s="447" t="s">
        <v>685</v>
      </c>
      <c r="N493" s="457">
        <v>1940</v>
      </c>
      <c r="O493" s="475">
        <f t="shared" si="1"/>
        <v>1940</v>
      </c>
      <c r="P493" s="476"/>
      <c r="Q493" s="477">
        <v>46023</v>
      </c>
      <c r="R493" s="476"/>
      <c r="S493" s="476"/>
    </row>
    <row r="494" spans="1:19" ht="15.75" customHeight="1" x14ac:dyDescent="0.25">
      <c r="A494" s="438">
        <v>491</v>
      </c>
      <c r="B494" s="470" t="s">
        <v>17</v>
      </c>
      <c r="C494" s="471" t="s">
        <v>18</v>
      </c>
      <c r="D494" s="472" t="s">
        <v>19</v>
      </c>
      <c r="E494" s="448" t="s">
        <v>4088</v>
      </c>
      <c r="F494" s="448" t="s">
        <v>3025</v>
      </c>
      <c r="G494" s="473" t="s">
        <v>3942</v>
      </c>
      <c r="H494" s="439" t="s">
        <v>686</v>
      </c>
      <c r="I494" s="474" t="s">
        <v>3457</v>
      </c>
      <c r="J494" s="474" t="s">
        <v>3463</v>
      </c>
      <c r="K494" s="443" t="s">
        <v>687</v>
      </c>
      <c r="L494" s="471">
        <v>1</v>
      </c>
      <c r="M494" s="447" t="s">
        <v>688</v>
      </c>
      <c r="N494" s="457">
        <v>10000</v>
      </c>
      <c r="O494" s="475">
        <f t="shared" si="1"/>
        <v>10000</v>
      </c>
      <c r="P494" s="476"/>
      <c r="Q494" s="477">
        <v>46023</v>
      </c>
      <c r="R494" s="476"/>
      <c r="S494" s="476"/>
    </row>
    <row r="495" spans="1:19" ht="15.75" customHeight="1" x14ac:dyDescent="0.25">
      <c r="A495" s="438">
        <v>492</v>
      </c>
      <c r="B495" s="470" t="s">
        <v>17</v>
      </c>
      <c r="C495" s="471" t="s">
        <v>18</v>
      </c>
      <c r="D495" s="472" t="s">
        <v>19</v>
      </c>
      <c r="E495" s="448" t="s">
        <v>4088</v>
      </c>
      <c r="F495" s="448" t="s">
        <v>3025</v>
      </c>
      <c r="G495" s="473" t="s">
        <v>3942</v>
      </c>
      <c r="H495" s="439" t="s">
        <v>686</v>
      </c>
      <c r="I495" s="474" t="s">
        <v>3457</v>
      </c>
      <c r="J495" s="474" t="s">
        <v>3463</v>
      </c>
      <c r="K495" s="443" t="s">
        <v>687</v>
      </c>
      <c r="L495" s="471">
        <v>1</v>
      </c>
      <c r="M495" s="447" t="s">
        <v>689</v>
      </c>
      <c r="N495" s="457">
        <v>10000</v>
      </c>
      <c r="O495" s="475">
        <f t="shared" si="1"/>
        <v>10000</v>
      </c>
      <c r="P495" s="476"/>
      <c r="Q495" s="477">
        <v>46023</v>
      </c>
      <c r="R495" s="476"/>
      <c r="S495" s="476"/>
    </row>
    <row r="496" spans="1:19" ht="15.75" customHeight="1" x14ac:dyDescent="0.25">
      <c r="A496" s="438">
        <v>493</v>
      </c>
      <c r="B496" s="470" t="s">
        <v>17</v>
      </c>
      <c r="C496" s="471" t="s">
        <v>18</v>
      </c>
      <c r="D496" s="472" t="s">
        <v>19</v>
      </c>
      <c r="E496" s="448" t="s">
        <v>4088</v>
      </c>
      <c r="F496" s="448" t="s">
        <v>3025</v>
      </c>
      <c r="G496" s="473" t="s">
        <v>3942</v>
      </c>
      <c r="H496" s="439" t="s">
        <v>686</v>
      </c>
      <c r="I496" s="474" t="s">
        <v>3457</v>
      </c>
      <c r="J496" s="474" t="s">
        <v>3463</v>
      </c>
      <c r="K496" s="443" t="s">
        <v>687</v>
      </c>
      <c r="L496" s="471">
        <v>1</v>
      </c>
      <c r="M496" s="447" t="s">
        <v>690</v>
      </c>
      <c r="N496" s="457">
        <v>10000</v>
      </c>
      <c r="O496" s="475">
        <f t="shared" si="1"/>
        <v>10000</v>
      </c>
      <c r="P496" s="476"/>
      <c r="Q496" s="477">
        <v>46023</v>
      </c>
      <c r="R496" s="476"/>
      <c r="S496" s="476"/>
    </row>
    <row r="497" spans="1:19" ht="15.75" customHeight="1" x14ac:dyDescent="0.25">
      <c r="A497" s="438">
        <v>494</v>
      </c>
      <c r="B497" s="470" t="s">
        <v>17</v>
      </c>
      <c r="C497" s="471" t="s">
        <v>18</v>
      </c>
      <c r="D497" s="472" t="s">
        <v>19</v>
      </c>
      <c r="E497" s="448" t="s">
        <v>4088</v>
      </c>
      <c r="F497" s="448" t="s">
        <v>3025</v>
      </c>
      <c r="G497" s="473" t="s">
        <v>3942</v>
      </c>
      <c r="H497" s="439" t="s">
        <v>686</v>
      </c>
      <c r="I497" s="474" t="s">
        <v>3457</v>
      </c>
      <c r="J497" s="474" t="s">
        <v>3463</v>
      </c>
      <c r="K497" s="443" t="s">
        <v>687</v>
      </c>
      <c r="L497" s="471">
        <v>1</v>
      </c>
      <c r="M497" s="447" t="s">
        <v>691</v>
      </c>
      <c r="N497" s="456">
        <v>10000</v>
      </c>
      <c r="O497" s="475">
        <f t="shared" si="1"/>
        <v>10000</v>
      </c>
      <c r="P497" s="476"/>
      <c r="Q497" s="477">
        <v>46023</v>
      </c>
      <c r="R497" s="476"/>
      <c r="S497" s="476"/>
    </row>
    <row r="498" spans="1:19" ht="15.75" customHeight="1" x14ac:dyDescent="0.25">
      <c r="A498" s="438">
        <v>495</v>
      </c>
      <c r="B498" s="470" t="s">
        <v>17</v>
      </c>
      <c r="C498" s="471" t="s">
        <v>18</v>
      </c>
      <c r="D498" s="472" t="s">
        <v>19</v>
      </c>
      <c r="E498" s="448" t="s">
        <v>4088</v>
      </c>
      <c r="F498" s="448" t="s">
        <v>3025</v>
      </c>
      <c r="G498" s="473" t="s">
        <v>3942</v>
      </c>
      <c r="H498" s="439" t="s">
        <v>686</v>
      </c>
      <c r="I498" s="474" t="s">
        <v>3457</v>
      </c>
      <c r="J498" s="474" t="s">
        <v>3463</v>
      </c>
      <c r="K498" s="443" t="s">
        <v>687</v>
      </c>
      <c r="L498" s="471">
        <v>1</v>
      </c>
      <c r="M498" s="447" t="s">
        <v>692</v>
      </c>
      <c r="N498" s="456">
        <v>10000</v>
      </c>
      <c r="O498" s="475">
        <f t="shared" si="1"/>
        <v>10000</v>
      </c>
      <c r="P498" s="476"/>
      <c r="Q498" s="477">
        <v>46023</v>
      </c>
      <c r="R498" s="476"/>
      <c r="S498" s="476"/>
    </row>
    <row r="499" spans="1:19" ht="15.75" customHeight="1" x14ac:dyDescent="0.25">
      <c r="A499" s="438">
        <v>496</v>
      </c>
      <c r="B499" s="470" t="s">
        <v>17</v>
      </c>
      <c r="C499" s="471" t="s">
        <v>18</v>
      </c>
      <c r="D499" s="472" t="s">
        <v>19</v>
      </c>
      <c r="E499" s="448" t="s">
        <v>4088</v>
      </c>
      <c r="F499" s="448" t="s">
        <v>3025</v>
      </c>
      <c r="G499" s="473" t="s">
        <v>3942</v>
      </c>
      <c r="H499" s="439" t="s">
        <v>686</v>
      </c>
      <c r="I499" s="474" t="s">
        <v>3457</v>
      </c>
      <c r="J499" s="474" t="s">
        <v>3463</v>
      </c>
      <c r="K499" s="443" t="s">
        <v>687</v>
      </c>
      <c r="L499" s="471">
        <v>1</v>
      </c>
      <c r="M499" s="447" t="s">
        <v>693</v>
      </c>
      <c r="N499" s="456">
        <v>10000</v>
      </c>
      <c r="O499" s="475">
        <f t="shared" si="1"/>
        <v>10000</v>
      </c>
      <c r="P499" s="476"/>
      <c r="Q499" s="477">
        <v>46023</v>
      </c>
      <c r="R499" s="476"/>
      <c r="S499" s="476"/>
    </row>
    <row r="500" spans="1:19" ht="15.75" customHeight="1" x14ac:dyDescent="0.25">
      <c r="A500" s="438">
        <v>497</v>
      </c>
      <c r="B500" s="470" t="s">
        <v>17</v>
      </c>
      <c r="C500" s="471" t="s">
        <v>18</v>
      </c>
      <c r="D500" s="472" t="s">
        <v>19</v>
      </c>
      <c r="E500" s="448" t="s">
        <v>4088</v>
      </c>
      <c r="F500" s="448" t="s">
        <v>3025</v>
      </c>
      <c r="G500" s="473" t="s">
        <v>3942</v>
      </c>
      <c r="H500" s="439" t="s">
        <v>686</v>
      </c>
      <c r="I500" s="478" t="s">
        <v>3457</v>
      </c>
      <c r="J500" s="478" t="s">
        <v>3463</v>
      </c>
      <c r="K500" s="443" t="s">
        <v>687</v>
      </c>
      <c r="L500" s="471">
        <v>1</v>
      </c>
      <c r="M500" s="447" t="s">
        <v>694</v>
      </c>
      <c r="N500" s="456">
        <v>10000</v>
      </c>
      <c r="O500" s="475">
        <f t="shared" si="1"/>
        <v>10000</v>
      </c>
      <c r="P500" s="476"/>
      <c r="Q500" s="477">
        <v>46023</v>
      </c>
      <c r="R500" s="476"/>
      <c r="S500" s="476"/>
    </row>
    <row r="501" spans="1:19" ht="15.75" customHeight="1" x14ac:dyDescent="0.25">
      <c r="A501" s="438">
        <v>498</v>
      </c>
      <c r="B501" s="470" t="s">
        <v>17</v>
      </c>
      <c r="C501" s="471" t="s">
        <v>18</v>
      </c>
      <c r="D501" s="472" t="s">
        <v>19</v>
      </c>
      <c r="E501" s="448" t="s">
        <v>4088</v>
      </c>
      <c r="F501" s="448" t="s">
        <v>3025</v>
      </c>
      <c r="G501" s="473" t="s">
        <v>3942</v>
      </c>
      <c r="H501" s="439" t="s">
        <v>686</v>
      </c>
      <c r="I501" s="478" t="s">
        <v>3457</v>
      </c>
      <c r="J501" s="478" t="s">
        <v>3463</v>
      </c>
      <c r="K501" s="443" t="s">
        <v>687</v>
      </c>
      <c r="L501" s="471">
        <v>1</v>
      </c>
      <c r="M501" s="447" t="s">
        <v>695</v>
      </c>
      <c r="N501" s="456">
        <v>10000</v>
      </c>
      <c r="O501" s="475">
        <f t="shared" si="1"/>
        <v>10000</v>
      </c>
      <c r="P501" s="476"/>
      <c r="Q501" s="477">
        <v>46023</v>
      </c>
      <c r="R501" s="476"/>
      <c r="S501" s="476"/>
    </row>
    <row r="502" spans="1:19" ht="15.75" customHeight="1" x14ac:dyDescent="0.25">
      <c r="A502" s="438">
        <v>499</v>
      </c>
      <c r="B502" s="470" t="s">
        <v>17</v>
      </c>
      <c r="C502" s="471" t="s">
        <v>18</v>
      </c>
      <c r="D502" s="472" t="s">
        <v>19</v>
      </c>
      <c r="E502" s="448" t="s">
        <v>4088</v>
      </c>
      <c r="F502" s="448" t="s">
        <v>3025</v>
      </c>
      <c r="G502" s="473" t="s">
        <v>3942</v>
      </c>
      <c r="H502" s="439" t="s">
        <v>686</v>
      </c>
      <c r="I502" s="474" t="s">
        <v>3457</v>
      </c>
      <c r="J502" s="474" t="s">
        <v>3463</v>
      </c>
      <c r="K502" s="443" t="s">
        <v>687</v>
      </c>
      <c r="L502" s="471">
        <v>1</v>
      </c>
      <c r="M502" s="447" t="s">
        <v>696</v>
      </c>
      <c r="N502" s="457">
        <v>10000</v>
      </c>
      <c r="O502" s="475">
        <f t="shared" si="1"/>
        <v>10000</v>
      </c>
      <c r="P502" s="476"/>
      <c r="Q502" s="477">
        <v>46023</v>
      </c>
      <c r="R502" s="476"/>
      <c r="S502" s="476"/>
    </row>
    <row r="503" spans="1:19" ht="15.75" customHeight="1" x14ac:dyDescent="0.25">
      <c r="A503" s="438">
        <v>500</v>
      </c>
      <c r="B503" s="470" t="s">
        <v>17</v>
      </c>
      <c r="C503" s="471" t="s">
        <v>18</v>
      </c>
      <c r="D503" s="472" t="s">
        <v>19</v>
      </c>
      <c r="E503" s="448" t="s">
        <v>4088</v>
      </c>
      <c r="F503" s="448" t="s">
        <v>3025</v>
      </c>
      <c r="G503" s="473" t="s">
        <v>3942</v>
      </c>
      <c r="H503" s="439" t="s">
        <v>686</v>
      </c>
      <c r="I503" s="474" t="s">
        <v>3457</v>
      </c>
      <c r="J503" s="474" t="s">
        <v>3463</v>
      </c>
      <c r="K503" s="443" t="s">
        <v>687</v>
      </c>
      <c r="L503" s="471">
        <v>1</v>
      </c>
      <c r="M503" s="447" t="s">
        <v>697</v>
      </c>
      <c r="N503" s="457">
        <v>10000</v>
      </c>
      <c r="O503" s="475">
        <f t="shared" si="1"/>
        <v>10000</v>
      </c>
      <c r="P503" s="476"/>
      <c r="Q503" s="477">
        <v>46023</v>
      </c>
      <c r="R503" s="476"/>
      <c r="S503" s="476"/>
    </row>
    <row r="504" spans="1:19" ht="15.75" customHeight="1" x14ac:dyDescent="0.25">
      <c r="A504" s="438">
        <v>501</v>
      </c>
      <c r="B504" s="470" t="s">
        <v>17</v>
      </c>
      <c r="C504" s="471" t="s">
        <v>18</v>
      </c>
      <c r="D504" s="472" t="s">
        <v>19</v>
      </c>
      <c r="E504" s="448" t="s">
        <v>4088</v>
      </c>
      <c r="F504" s="448" t="s">
        <v>3025</v>
      </c>
      <c r="G504" s="473" t="s">
        <v>3942</v>
      </c>
      <c r="H504" s="439" t="s">
        <v>686</v>
      </c>
      <c r="I504" s="474" t="s">
        <v>3457</v>
      </c>
      <c r="J504" s="474" t="s">
        <v>3463</v>
      </c>
      <c r="K504" s="443" t="s">
        <v>687</v>
      </c>
      <c r="L504" s="471">
        <v>1</v>
      </c>
      <c r="M504" s="447" t="s">
        <v>698</v>
      </c>
      <c r="N504" s="457">
        <v>10000</v>
      </c>
      <c r="O504" s="475">
        <f t="shared" si="1"/>
        <v>10000</v>
      </c>
      <c r="P504" s="476"/>
      <c r="Q504" s="477">
        <v>46023</v>
      </c>
      <c r="R504" s="476"/>
      <c r="S504" s="476"/>
    </row>
    <row r="505" spans="1:19" ht="15.75" customHeight="1" x14ac:dyDescent="0.25">
      <c r="A505" s="438">
        <v>502</v>
      </c>
      <c r="B505" s="470" t="s">
        <v>17</v>
      </c>
      <c r="C505" s="471" t="s">
        <v>18</v>
      </c>
      <c r="D505" s="472" t="s">
        <v>19</v>
      </c>
      <c r="E505" s="448" t="s">
        <v>4088</v>
      </c>
      <c r="F505" s="448" t="s">
        <v>3025</v>
      </c>
      <c r="G505" s="473" t="s">
        <v>3942</v>
      </c>
      <c r="H505" s="439" t="s">
        <v>686</v>
      </c>
      <c r="I505" s="478" t="s">
        <v>3457</v>
      </c>
      <c r="J505" s="478" t="s">
        <v>3463</v>
      </c>
      <c r="K505" s="443" t="s">
        <v>687</v>
      </c>
      <c r="L505" s="471">
        <v>1</v>
      </c>
      <c r="M505" s="447" t="s">
        <v>699</v>
      </c>
      <c r="N505" s="457">
        <v>10000</v>
      </c>
      <c r="O505" s="475">
        <f t="shared" si="1"/>
        <v>10000</v>
      </c>
      <c r="P505" s="476"/>
      <c r="Q505" s="477">
        <v>46023</v>
      </c>
      <c r="R505" s="476"/>
      <c r="S505" s="476"/>
    </row>
    <row r="506" spans="1:19" ht="15.75" customHeight="1" x14ac:dyDescent="0.25">
      <c r="A506" s="438">
        <v>503</v>
      </c>
      <c r="B506" s="470" t="s">
        <v>17</v>
      </c>
      <c r="C506" s="471" t="s">
        <v>18</v>
      </c>
      <c r="D506" s="472" t="s">
        <v>19</v>
      </c>
      <c r="E506" s="448" t="s">
        <v>4088</v>
      </c>
      <c r="F506" s="448" t="s">
        <v>3025</v>
      </c>
      <c r="G506" s="473" t="s">
        <v>3942</v>
      </c>
      <c r="H506" s="439" t="s">
        <v>686</v>
      </c>
      <c r="I506" s="478" t="s">
        <v>3457</v>
      </c>
      <c r="J506" s="478" t="s">
        <v>3463</v>
      </c>
      <c r="K506" s="443" t="s">
        <v>687</v>
      </c>
      <c r="L506" s="471">
        <v>1</v>
      </c>
      <c r="M506" s="447" t="s">
        <v>700</v>
      </c>
      <c r="N506" s="457">
        <v>10000</v>
      </c>
      <c r="O506" s="475">
        <f t="shared" si="1"/>
        <v>10000</v>
      </c>
      <c r="P506" s="476"/>
      <c r="Q506" s="477">
        <v>46023</v>
      </c>
      <c r="R506" s="476"/>
      <c r="S506" s="476"/>
    </row>
    <row r="507" spans="1:19" ht="15.75" customHeight="1" x14ac:dyDescent="0.25">
      <c r="A507" s="438">
        <v>504</v>
      </c>
      <c r="B507" s="470" t="s">
        <v>17</v>
      </c>
      <c r="C507" s="471" t="s">
        <v>18</v>
      </c>
      <c r="D507" s="472" t="s">
        <v>19</v>
      </c>
      <c r="E507" s="448" t="s">
        <v>4088</v>
      </c>
      <c r="F507" s="448" t="s">
        <v>3025</v>
      </c>
      <c r="G507" s="473" t="s">
        <v>3942</v>
      </c>
      <c r="H507" s="439" t="s">
        <v>686</v>
      </c>
      <c r="I507" s="474" t="s">
        <v>3457</v>
      </c>
      <c r="J507" s="474" t="s">
        <v>3463</v>
      </c>
      <c r="K507" s="443" t="s">
        <v>687</v>
      </c>
      <c r="L507" s="471">
        <v>1</v>
      </c>
      <c r="M507" s="447" t="s">
        <v>701</v>
      </c>
      <c r="N507" s="456">
        <v>10000</v>
      </c>
      <c r="O507" s="475">
        <f t="shared" si="1"/>
        <v>10000</v>
      </c>
      <c r="P507" s="476"/>
      <c r="Q507" s="477">
        <v>46023</v>
      </c>
      <c r="R507" s="476"/>
      <c r="S507" s="476"/>
    </row>
    <row r="508" spans="1:19" ht="15.75" customHeight="1" x14ac:dyDescent="0.25">
      <c r="A508" s="438">
        <v>505</v>
      </c>
      <c r="B508" s="470" t="s">
        <v>17</v>
      </c>
      <c r="C508" s="471" t="s">
        <v>18</v>
      </c>
      <c r="D508" s="472" t="s">
        <v>19</v>
      </c>
      <c r="E508" s="448" t="s">
        <v>4088</v>
      </c>
      <c r="F508" s="448" t="s">
        <v>3025</v>
      </c>
      <c r="G508" s="473" t="s">
        <v>3942</v>
      </c>
      <c r="H508" s="439" t="s">
        <v>686</v>
      </c>
      <c r="I508" s="474" t="s">
        <v>3457</v>
      </c>
      <c r="J508" s="474" t="s">
        <v>3463</v>
      </c>
      <c r="K508" s="443" t="s">
        <v>687</v>
      </c>
      <c r="L508" s="471">
        <v>1</v>
      </c>
      <c r="M508" s="447" t="s">
        <v>702</v>
      </c>
      <c r="N508" s="456">
        <v>10000</v>
      </c>
      <c r="O508" s="475">
        <f t="shared" si="1"/>
        <v>10000</v>
      </c>
      <c r="P508" s="476"/>
      <c r="Q508" s="477">
        <v>46023</v>
      </c>
      <c r="R508" s="476"/>
      <c r="S508" s="476"/>
    </row>
    <row r="509" spans="1:19" ht="15.75" customHeight="1" x14ac:dyDescent="0.25">
      <c r="A509" s="438">
        <v>506</v>
      </c>
      <c r="B509" s="470" t="s">
        <v>17</v>
      </c>
      <c r="C509" s="471" t="s">
        <v>18</v>
      </c>
      <c r="D509" s="472" t="s">
        <v>19</v>
      </c>
      <c r="E509" s="448" t="s">
        <v>4088</v>
      </c>
      <c r="F509" s="448" t="s">
        <v>3025</v>
      </c>
      <c r="G509" s="473" t="s">
        <v>3942</v>
      </c>
      <c r="H509" s="439" t="s">
        <v>686</v>
      </c>
      <c r="I509" s="474" t="s">
        <v>3457</v>
      </c>
      <c r="J509" s="474" t="s">
        <v>3463</v>
      </c>
      <c r="K509" s="443" t="s">
        <v>687</v>
      </c>
      <c r="L509" s="471">
        <v>1</v>
      </c>
      <c r="M509" s="447" t="s">
        <v>703</v>
      </c>
      <c r="N509" s="456">
        <v>10000</v>
      </c>
      <c r="O509" s="475">
        <f t="shared" si="1"/>
        <v>10000</v>
      </c>
      <c r="P509" s="476"/>
      <c r="Q509" s="477">
        <v>46023</v>
      </c>
      <c r="R509" s="476"/>
      <c r="S509" s="476"/>
    </row>
    <row r="510" spans="1:19" ht="15.75" customHeight="1" x14ac:dyDescent="0.25">
      <c r="A510" s="438">
        <v>507</v>
      </c>
      <c r="B510" s="470" t="s">
        <v>17</v>
      </c>
      <c r="C510" s="471" t="s">
        <v>18</v>
      </c>
      <c r="D510" s="472" t="s">
        <v>19</v>
      </c>
      <c r="E510" s="448" t="s">
        <v>4088</v>
      </c>
      <c r="F510" s="448" t="s">
        <v>3025</v>
      </c>
      <c r="G510" s="473" t="s">
        <v>3942</v>
      </c>
      <c r="H510" s="439" t="s">
        <v>686</v>
      </c>
      <c r="I510" s="474" t="s">
        <v>3457</v>
      </c>
      <c r="J510" s="474" t="s">
        <v>3463</v>
      </c>
      <c r="K510" s="443" t="s">
        <v>687</v>
      </c>
      <c r="L510" s="471">
        <v>1</v>
      </c>
      <c r="M510" s="447" t="s">
        <v>704</v>
      </c>
      <c r="N510" s="456">
        <v>10000</v>
      </c>
      <c r="O510" s="475">
        <f t="shared" si="1"/>
        <v>10000</v>
      </c>
      <c r="P510" s="476"/>
      <c r="Q510" s="477">
        <v>46023</v>
      </c>
      <c r="R510" s="476"/>
      <c r="S510" s="476"/>
    </row>
    <row r="511" spans="1:19" ht="15.75" customHeight="1" x14ac:dyDescent="0.25">
      <c r="A511" s="438">
        <v>508</v>
      </c>
      <c r="B511" s="470" t="s">
        <v>17</v>
      </c>
      <c r="C511" s="471" t="s">
        <v>18</v>
      </c>
      <c r="D511" s="472" t="s">
        <v>19</v>
      </c>
      <c r="E511" s="448" t="s">
        <v>4088</v>
      </c>
      <c r="F511" s="448" t="s">
        <v>3025</v>
      </c>
      <c r="G511" s="473" t="s">
        <v>3942</v>
      </c>
      <c r="H511" s="439" t="s">
        <v>686</v>
      </c>
      <c r="I511" s="474" t="s">
        <v>3457</v>
      </c>
      <c r="J511" s="474" t="s">
        <v>3463</v>
      </c>
      <c r="K511" s="443" t="s">
        <v>687</v>
      </c>
      <c r="L511" s="471">
        <v>1</v>
      </c>
      <c r="M511" s="447" t="s">
        <v>705</v>
      </c>
      <c r="N511" s="456">
        <v>10000</v>
      </c>
      <c r="O511" s="475">
        <f t="shared" si="1"/>
        <v>10000</v>
      </c>
      <c r="P511" s="476"/>
      <c r="Q511" s="477">
        <v>46023</v>
      </c>
      <c r="R511" s="476"/>
      <c r="S511" s="476"/>
    </row>
    <row r="512" spans="1:19" ht="15.75" customHeight="1" x14ac:dyDescent="0.25">
      <c r="A512" s="438">
        <v>509</v>
      </c>
      <c r="B512" s="470" t="s">
        <v>17</v>
      </c>
      <c r="C512" s="471" t="s">
        <v>18</v>
      </c>
      <c r="D512" s="472" t="s">
        <v>19</v>
      </c>
      <c r="E512" s="448" t="s">
        <v>4088</v>
      </c>
      <c r="F512" s="448" t="s">
        <v>3025</v>
      </c>
      <c r="G512" s="473" t="s">
        <v>3942</v>
      </c>
      <c r="H512" s="439" t="s">
        <v>686</v>
      </c>
      <c r="I512" s="474" t="s">
        <v>3457</v>
      </c>
      <c r="J512" s="474" t="s">
        <v>3463</v>
      </c>
      <c r="K512" s="443" t="s">
        <v>687</v>
      </c>
      <c r="L512" s="471">
        <v>1</v>
      </c>
      <c r="M512" s="447" t="s">
        <v>706</v>
      </c>
      <c r="N512" s="456">
        <v>10000</v>
      </c>
      <c r="O512" s="475">
        <f t="shared" si="1"/>
        <v>10000</v>
      </c>
      <c r="P512" s="476"/>
      <c r="Q512" s="477">
        <v>46023</v>
      </c>
      <c r="R512" s="476"/>
      <c r="S512" s="476"/>
    </row>
    <row r="513" spans="1:19" ht="15.75" customHeight="1" x14ac:dyDescent="0.25">
      <c r="A513" s="438">
        <v>510</v>
      </c>
      <c r="B513" s="470" t="s">
        <v>17</v>
      </c>
      <c r="C513" s="471" t="s">
        <v>18</v>
      </c>
      <c r="D513" s="472" t="s">
        <v>19</v>
      </c>
      <c r="E513" s="448" t="s">
        <v>4088</v>
      </c>
      <c r="F513" s="448" t="s">
        <v>3025</v>
      </c>
      <c r="G513" s="473" t="s">
        <v>3942</v>
      </c>
      <c r="H513" s="439" t="s">
        <v>686</v>
      </c>
      <c r="I513" s="474" t="s">
        <v>3457</v>
      </c>
      <c r="J513" s="474" t="s">
        <v>3463</v>
      </c>
      <c r="K513" s="443" t="s">
        <v>687</v>
      </c>
      <c r="L513" s="471">
        <v>1</v>
      </c>
      <c r="M513" s="447" t="s">
        <v>707</v>
      </c>
      <c r="N513" s="456">
        <v>10000</v>
      </c>
      <c r="O513" s="475">
        <f t="shared" si="1"/>
        <v>10000</v>
      </c>
      <c r="P513" s="476"/>
      <c r="Q513" s="477">
        <v>46023</v>
      </c>
      <c r="R513" s="476"/>
      <c r="S513" s="476"/>
    </row>
    <row r="514" spans="1:19" ht="15.75" customHeight="1" x14ac:dyDescent="0.25">
      <c r="A514" s="438">
        <v>511</v>
      </c>
      <c r="B514" s="470" t="s">
        <v>17</v>
      </c>
      <c r="C514" s="471" t="s">
        <v>18</v>
      </c>
      <c r="D514" s="472" t="s">
        <v>19</v>
      </c>
      <c r="E514" s="448" t="s">
        <v>4083</v>
      </c>
      <c r="F514" s="448" t="s">
        <v>2988</v>
      </c>
      <c r="G514" s="473" t="s">
        <v>3942</v>
      </c>
      <c r="H514" s="439" t="s">
        <v>686</v>
      </c>
      <c r="I514" s="474" t="s">
        <v>3457</v>
      </c>
      <c r="J514" s="474" t="s">
        <v>3463</v>
      </c>
      <c r="K514" s="443" t="s">
        <v>687</v>
      </c>
      <c r="L514" s="471">
        <v>1</v>
      </c>
      <c r="M514" s="447" t="s">
        <v>708</v>
      </c>
      <c r="N514" s="456">
        <v>10000</v>
      </c>
      <c r="O514" s="475">
        <f t="shared" ref="O514:O768" si="2">N514*L514</f>
        <v>10000</v>
      </c>
      <c r="P514" s="476"/>
      <c r="Q514" s="477">
        <v>46023</v>
      </c>
      <c r="R514" s="476"/>
      <c r="S514" s="476"/>
    </row>
    <row r="515" spans="1:19" ht="15.75" customHeight="1" x14ac:dyDescent="0.25">
      <c r="A515" s="438">
        <v>512</v>
      </c>
      <c r="B515" s="470" t="s">
        <v>17</v>
      </c>
      <c r="C515" s="471" t="s">
        <v>18</v>
      </c>
      <c r="D515" s="472" t="s">
        <v>19</v>
      </c>
      <c r="E515" s="448" t="s">
        <v>4083</v>
      </c>
      <c r="F515" s="448" t="s">
        <v>2988</v>
      </c>
      <c r="G515" s="473" t="s">
        <v>3942</v>
      </c>
      <c r="H515" s="439" t="s">
        <v>686</v>
      </c>
      <c r="I515" s="474" t="s">
        <v>3457</v>
      </c>
      <c r="J515" s="474" t="s">
        <v>3463</v>
      </c>
      <c r="K515" s="443" t="s">
        <v>687</v>
      </c>
      <c r="L515" s="471">
        <v>1</v>
      </c>
      <c r="M515" s="447" t="s">
        <v>709</v>
      </c>
      <c r="N515" s="456">
        <v>10000</v>
      </c>
      <c r="O515" s="475">
        <f t="shared" si="2"/>
        <v>10000</v>
      </c>
      <c r="P515" s="476"/>
      <c r="Q515" s="477">
        <v>46023</v>
      </c>
      <c r="R515" s="476"/>
      <c r="S515" s="476"/>
    </row>
    <row r="516" spans="1:19" ht="15.75" customHeight="1" x14ac:dyDescent="0.25">
      <c r="A516" s="438">
        <v>513</v>
      </c>
      <c r="B516" s="470" t="s">
        <v>17</v>
      </c>
      <c r="C516" s="471" t="s">
        <v>18</v>
      </c>
      <c r="D516" s="472" t="s">
        <v>19</v>
      </c>
      <c r="E516" s="448" t="s">
        <v>4083</v>
      </c>
      <c r="F516" s="448" t="s">
        <v>2988</v>
      </c>
      <c r="G516" s="473" t="s">
        <v>3942</v>
      </c>
      <c r="H516" s="439" t="s">
        <v>686</v>
      </c>
      <c r="I516" s="474" t="s">
        <v>3457</v>
      </c>
      <c r="J516" s="474" t="s">
        <v>3463</v>
      </c>
      <c r="K516" s="443" t="s">
        <v>687</v>
      </c>
      <c r="L516" s="471">
        <v>1</v>
      </c>
      <c r="M516" s="447" t="s">
        <v>710</v>
      </c>
      <c r="N516" s="456">
        <v>10000</v>
      </c>
      <c r="O516" s="475">
        <f t="shared" si="2"/>
        <v>10000</v>
      </c>
      <c r="P516" s="476"/>
      <c r="Q516" s="477">
        <v>46023</v>
      </c>
      <c r="R516" s="476"/>
      <c r="S516" s="476"/>
    </row>
    <row r="517" spans="1:19" ht="15.75" customHeight="1" x14ac:dyDescent="0.25">
      <c r="A517" s="438">
        <v>514</v>
      </c>
      <c r="B517" s="470" t="s">
        <v>17</v>
      </c>
      <c r="C517" s="471" t="s">
        <v>18</v>
      </c>
      <c r="D517" s="472" t="s">
        <v>19</v>
      </c>
      <c r="E517" s="448" t="s">
        <v>4083</v>
      </c>
      <c r="F517" s="448" t="s">
        <v>2988</v>
      </c>
      <c r="G517" s="473" t="s">
        <v>3942</v>
      </c>
      <c r="H517" s="439" t="s">
        <v>686</v>
      </c>
      <c r="I517" s="474" t="s">
        <v>3457</v>
      </c>
      <c r="J517" s="474" t="s">
        <v>3463</v>
      </c>
      <c r="K517" s="443" t="s">
        <v>687</v>
      </c>
      <c r="L517" s="471">
        <v>1</v>
      </c>
      <c r="M517" s="447" t="s">
        <v>711</v>
      </c>
      <c r="N517" s="456">
        <v>10000</v>
      </c>
      <c r="O517" s="475">
        <f t="shared" si="2"/>
        <v>10000</v>
      </c>
      <c r="P517" s="476"/>
      <c r="Q517" s="477">
        <v>46023</v>
      </c>
      <c r="R517" s="476"/>
      <c r="S517" s="476"/>
    </row>
    <row r="518" spans="1:19" ht="15.75" customHeight="1" x14ac:dyDescent="0.25">
      <c r="A518" s="438">
        <v>515</v>
      </c>
      <c r="B518" s="470" t="s">
        <v>17</v>
      </c>
      <c r="C518" s="471" t="s">
        <v>18</v>
      </c>
      <c r="D518" s="472" t="s">
        <v>19</v>
      </c>
      <c r="E518" s="448" t="s">
        <v>4083</v>
      </c>
      <c r="F518" s="448" t="s">
        <v>2988</v>
      </c>
      <c r="G518" s="473" t="s">
        <v>3942</v>
      </c>
      <c r="H518" s="439" t="s">
        <v>686</v>
      </c>
      <c r="I518" s="474" t="s">
        <v>3457</v>
      </c>
      <c r="J518" s="474" t="s">
        <v>3463</v>
      </c>
      <c r="K518" s="443" t="s">
        <v>687</v>
      </c>
      <c r="L518" s="471">
        <v>1</v>
      </c>
      <c r="M518" s="447" t="s">
        <v>712</v>
      </c>
      <c r="N518" s="456">
        <v>10000</v>
      </c>
      <c r="O518" s="475">
        <f t="shared" si="2"/>
        <v>10000</v>
      </c>
      <c r="P518" s="476"/>
      <c r="Q518" s="477">
        <v>46023</v>
      </c>
      <c r="R518" s="476"/>
      <c r="S518" s="476"/>
    </row>
    <row r="519" spans="1:19" ht="15.75" customHeight="1" x14ac:dyDescent="0.25">
      <c r="A519" s="438">
        <v>516</v>
      </c>
      <c r="B519" s="470" t="s">
        <v>17</v>
      </c>
      <c r="C519" s="471" t="s">
        <v>18</v>
      </c>
      <c r="D519" s="472" t="s">
        <v>19</v>
      </c>
      <c r="E519" s="448" t="s">
        <v>4083</v>
      </c>
      <c r="F519" s="448" t="s">
        <v>2988</v>
      </c>
      <c r="G519" s="473" t="s">
        <v>3942</v>
      </c>
      <c r="H519" s="439" t="s">
        <v>686</v>
      </c>
      <c r="I519" s="474" t="s">
        <v>3457</v>
      </c>
      <c r="J519" s="474" t="s">
        <v>3463</v>
      </c>
      <c r="K519" s="443" t="s">
        <v>687</v>
      </c>
      <c r="L519" s="471">
        <v>1</v>
      </c>
      <c r="M519" s="447" t="s">
        <v>713</v>
      </c>
      <c r="N519" s="456">
        <v>10000</v>
      </c>
      <c r="O519" s="475">
        <f t="shared" si="2"/>
        <v>10000</v>
      </c>
      <c r="P519" s="476"/>
      <c r="Q519" s="477">
        <v>46023</v>
      </c>
      <c r="R519" s="476"/>
      <c r="S519" s="476"/>
    </row>
    <row r="520" spans="1:19" ht="15.75" customHeight="1" x14ac:dyDescent="0.25">
      <c r="A520" s="438">
        <v>517</v>
      </c>
      <c r="B520" s="470" t="s">
        <v>17</v>
      </c>
      <c r="C520" s="471" t="s">
        <v>18</v>
      </c>
      <c r="D520" s="472" t="s">
        <v>19</v>
      </c>
      <c r="E520" s="448" t="s">
        <v>4083</v>
      </c>
      <c r="F520" s="448" t="s">
        <v>2988</v>
      </c>
      <c r="G520" s="473" t="s">
        <v>3942</v>
      </c>
      <c r="H520" s="439" t="s">
        <v>686</v>
      </c>
      <c r="I520" s="474" t="s">
        <v>3457</v>
      </c>
      <c r="J520" s="474" t="s">
        <v>3463</v>
      </c>
      <c r="K520" s="443" t="s">
        <v>687</v>
      </c>
      <c r="L520" s="471">
        <v>1</v>
      </c>
      <c r="M520" s="447" t="s">
        <v>714</v>
      </c>
      <c r="N520" s="456">
        <v>10000</v>
      </c>
      <c r="O520" s="475">
        <f t="shared" si="2"/>
        <v>10000</v>
      </c>
      <c r="P520" s="476"/>
      <c r="Q520" s="477">
        <v>46023</v>
      </c>
      <c r="R520" s="476"/>
      <c r="S520" s="476"/>
    </row>
    <row r="521" spans="1:19" ht="15.75" customHeight="1" x14ac:dyDescent="0.25">
      <c r="A521" s="438">
        <v>518</v>
      </c>
      <c r="B521" s="470" t="s">
        <v>17</v>
      </c>
      <c r="C521" s="471" t="s">
        <v>18</v>
      </c>
      <c r="D521" s="472" t="s">
        <v>19</v>
      </c>
      <c r="E521" s="448" t="s">
        <v>4088</v>
      </c>
      <c r="F521" s="448" t="s">
        <v>4106</v>
      </c>
      <c r="G521" s="473" t="s">
        <v>3942</v>
      </c>
      <c r="H521" s="439" t="s">
        <v>686</v>
      </c>
      <c r="I521" s="474" t="s">
        <v>3457</v>
      </c>
      <c r="J521" s="474" t="s">
        <v>3463</v>
      </c>
      <c r="K521" s="443" t="s">
        <v>687</v>
      </c>
      <c r="L521" s="471">
        <v>1</v>
      </c>
      <c r="M521" s="447" t="s">
        <v>715</v>
      </c>
      <c r="N521" s="456">
        <v>10000</v>
      </c>
      <c r="O521" s="475">
        <f t="shared" si="2"/>
        <v>10000</v>
      </c>
      <c r="P521" s="476"/>
      <c r="Q521" s="477">
        <v>46023</v>
      </c>
      <c r="R521" s="476"/>
      <c r="S521" s="476"/>
    </row>
    <row r="522" spans="1:19" ht="15.75" customHeight="1" x14ac:dyDescent="0.25">
      <c r="A522" s="438">
        <v>519</v>
      </c>
      <c r="B522" s="470" t="s">
        <v>17</v>
      </c>
      <c r="C522" s="471" t="s">
        <v>18</v>
      </c>
      <c r="D522" s="472" t="s">
        <v>19</v>
      </c>
      <c r="E522" s="448" t="s">
        <v>4088</v>
      </c>
      <c r="F522" s="448" t="s">
        <v>4106</v>
      </c>
      <c r="G522" s="473" t="s">
        <v>3942</v>
      </c>
      <c r="H522" s="439" t="s">
        <v>686</v>
      </c>
      <c r="I522" s="474" t="s">
        <v>3457</v>
      </c>
      <c r="J522" s="474" t="s">
        <v>3463</v>
      </c>
      <c r="K522" s="443" t="s">
        <v>687</v>
      </c>
      <c r="L522" s="471">
        <v>1</v>
      </c>
      <c r="M522" s="447" t="s">
        <v>716</v>
      </c>
      <c r="N522" s="456">
        <v>10000</v>
      </c>
      <c r="O522" s="475">
        <f t="shared" si="2"/>
        <v>10000</v>
      </c>
      <c r="P522" s="476"/>
      <c r="Q522" s="477">
        <v>46023</v>
      </c>
      <c r="R522" s="476"/>
      <c r="S522" s="476"/>
    </row>
    <row r="523" spans="1:19" ht="15.75" customHeight="1" x14ac:dyDescent="0.25">
      <c r="A523" s="438">
        <v>520</v>
      </c>
      <c r="B523" s="470" t="s">
        <v>17</v>
      </c>
      <c r="C523" s="471" t="s">
        <v>18</v>
      </c>
      <c r="D523" s="472" t="s">
        <v>19</v>
      </c>
      <c r="E523" s="448" t="s">
        <v>4088</v>
      </c>
      <c r="F523" s="448" t="s">
        <v>3049</v>
      </c>
      <c r="G523" s="473" t="s">
        <v>3942</v>
      </c>
      <c r="H523" s="439" t="s">
        <v>686</v>
      </c>
      <c r="I523" s="474" t="s">
        <v>3457</v>
      </c>
      <c r="J523" s="474" t="s">
        <v>3463</v>
      </c>
      <c r="K523" s="443" t="s">
        <v>687</v>
      </c>
      <c r="L523" s="471">
        <v>1</v>
      </c>
      <c r="M523" s="447" t="s">
        <v>717</v>
      </c>
      <c r="N523" s="456">
        <v>10000</v>
      </c>
      <c r="O523" s="475">
        <f t="shared" si="2"/>
        <v>10000</v>
      </c>
      <c r="P523" s="476"/>
      <c r="Q523" s="477">
        <v>46023</v>
      </c>
      <c r="R523" s="476"/>
      <c r="S523" s="476"/>
    </row>
    <row r="524" spans="1:19" ht="15.75" customHeight="1" x14ac:dyDescent="0.25">
      <c r="A524" s="438">
        <v>521</v>
      </c>
      <c r="B524" s="470" t="s">
        <v>17</v>
      </c>
      <c r="C524" s="471" t="s">
        <v>18</v>
      </c>
      <c r="D524" s="472" t="s">
        <v>19</v>
      </c>
      <c r="E524" s="448" t="s">
        <v>4088</v>
      </c>
      <c r="F524" s="448" t="s">
        <v>3049</v>
      </c>
      <c r="G524" s="473" t="s">
        <v>3942</v>
      </c>
      <c r="H524" s="439" t="s">
        <v>686</v>
      </c>
      <c r="I524" s="474" t="s">
        <v>3457</v>
      </c>
      <c r="J524" s="474" t="s">
        <v>3463</v>
      </c>
      <c r="K524" s="443" t="s">
        <v>687</v>
      </c>
      <c r="L524" s="471">
        <v>1</v>
      </c>
      <c r="M524" s="447" t="s">
        <v>718</v>
      </c>
      <c r="N524" s="456">
        <v>10000</v>
      </c>
      <c r="O524" s="475">
        <f t="shared" si="2"/>
        <v>10000</v>
      </c>
      <c r="P524" s="476"/>
      <c r="Q524" s="477">
        <v>46023</v>
      </c>
      <c r="R524" s="476"/>
      <c r="S524" s="476"/>
    </row>
    <row r="525" spans="1:19" ht="15.75" customHeight="1" x14ac:dyDescent="0.25">
      <c r="A525" s="438">
        <v>522</v>
      </c>
      <c r="B525" s="470" t="s">
        <v>17</v>
      </c>
      <c r="C525" s="471" t="s">
        <v>18</v>
      </c>
      <c r="D525" s="472" t="s">
        <v>19</v>
      </c>
      <c r="E525" s="448" t="s">
        <v>4084</v>
      </c>
      <c r="F525" s="448" t="s">
        <v>4096</v>
      </c>
      <c r="G525" s="473" t="s">
        <v>3943</v>
      </c>
      <c r="H525" s="439" t="s">
        <v>719</v>
      </c>
      <c r="I525" s="474" t="s">
        <v>3459</v>
      </c>
      <c r="J525" s="474" t="s">
        <v>3464</v>
      </c>
      <c r="K525" s="443" t="s">
        <v>720</v>
      </c>
      <c r="L525" s="471">
        <v>1</v>
      </c>
      <c r="M525" s="447" t="s">
        <v>721</v>
      </c>
      <c r="N525" s="456">
        <v>65000</v>
      </c>
      <c r="O525" s="475">
        <f t="shared" si="2"/>
        <v>65000</v>
      </c>
      <c r="P525" s="476"/>
      <c r="Q525" s="477">
        <v>46023</v>
      </c>
      <c r="R525" s="476"/>
      <c r="S525" s="476"/>
    </row>
    <row r="526" spans="1:19" ht="15.75" customHeight="1" x14ac:dyDescent="0.25">
      <c r="A526" s="438">
        <v>523</v>
      </c>
      <c r="B526" s="470" t="s">
        <v>17</v>
      </c>
      <c r="C526" s="471" t="s">
        <v>18</v>
      </c>
      <c r="D526" s="472" t="s">
        <v>19</v>
      </c>
      <c r="E526" s="448" t="s">
        <v>4084</v>
      </c>
      <c r="F526" s="448" t="s">
        <v>4096</v>
      </c>
      <c r="G526" s="473" t="s">
        <v>3943</v>
      </c>
      <c r="H526" s="440" t="s">
        <v>719</v>
      </c>
      <c r="I526" s="474" t="s">
        <v>3459</v>
      </c>
      <c r="J526" s="474" t="s">
        <v>3464</v>
      </c>
      <c r="K526" s="440" t="s">
        <v>720</v>
      </c>
      <c r="L526" s="471">
        <v>1</v>
      </c>
      <c r="M526" s="447" t="s">
        <v>722</v>
      </c>
      <c r="N526" s="458">
        <v>65000</v>
      </c>
      <c r="O526" s="475">
        <f t="shared" si="2"/>
        <v>65000</v>
      </c>
      <c r="P526" s="476"/>
      <c r="Q526" s="477">
        <v>46023</v>
      </c>
      <c r="R526" s="476"/>
      <c r="S526" s="476"/>
    </row>
    <row r="527" spans="1:19" ht="15.75" customHeight="1" x14ac:dyDescent="0.25">
      <c r="A527" s="438">
        <v>524</v>
      </c>
      <c r="B527" s="470" t="s">
        <v>17</v>
      </c>
      <c r="C527" s="471" t="s">
        <v>18</v>
      </c>
      <c r="D527" s="472" t="s">
        <v>19</v>
      </c>
      <c r="E527" s="448" t="s">
        <v>4084</v>
      </c>
      <c r="F527" s="448" t="s">
        <v>4096</v>
      </c>
      <c r="G527" s="473" t="s">
        <v>3943</v>
      </c>
      <c r="H527" s="440" t="s">
        <v>719</v>
      </c>
      <c r="I527" s="474" t="s">
        <v>3459</v>
      </c>
      <c r="J527" s="474" t="s">
        <v>3464</v>
      </c>
      <c r="K527" s="440" t="s">
        <v>720</v>
      </c>
      <c r="L527" s="471">
        <v>1</v>
      </c>
      <c r="M527" s="447" t="s">
        <v>723</v>
      </c>
      <c r="N527" s="458">
        <v>65000</v>
      </c>
      <c r="O527" s="475">
        <f t="shared" si="2"/>
        <v>65000</v>
      </c>
      <c r="P527" s="476"/>
      <c r="Q527" s="477">
        <v>46023</v>
      </c>
      <c r="R527" s="476"/>
      <c r="S527" s="476"/>
    </row>
    <row r="528" spans="1:19" ht="15.75" customHeight="1" x14ac:dyDescent="0.25">
      <c r="A528" s="438">
        <v>525</v>
      </c>
      <c r="B528" s="470" t="s">
        <v>17</v>
      </c>
      <c r="C528" s="471" t="s">
        <v>18</v>
      </c>
      <c r="D528" s="472" t="s">
        <v>19</v>
      </c>
      <c r="E528" s="448" t="s">
        <v>4084</v>
      </c>
      <c r="F528" s="448" t="s">
        <v>2985</v>
      </c>
      <c r="G528" s="473" t="s">
        <v>3943</v>
      </c>
      <c r="H528" s="440" t="s">
        <v>726</v>
      </c>
      <c r="I528" s="474" t="s">
        <v>3459</v>
      </c>
      <c r="J528" s="474" t="s">
        <v>3464</v>
      </c>
      <c r="K528" s="440" t="s">
        <v>720</v>
      </c>
      <c r="L528" s="471">
        <v>1</v>
      </c>
      <c r="M528" s="447" t="s">
        <v>727</v>
      </c>
      <c r="N528" s="458">
        <v>265900</v>
      </c>
      <c r="O528" s="475">
        <f t="shared" si="2"/>
        <v>265900</v>
      </c>
      <c r="P528" s="476"/>
      <c r="Q528" s="477">
        <v>46023</v>
      </c>
      <c r="R528" s="476"/>
      <c r="S528" s="476"/>
    </row>
    <row r="529" spans="1:19" ht="15.75" customHeight="1" x14ac:dyDescent="0.25">
      <c r="A529" s="438">
        <v>526</v>
      </c>
      <c r="B529" s="470" t="s">
        <v>17</v>
      </c>
      <c r="C529" s="471" t="s">
        <v>18</v>
      </c>
      <c r="D529" s="472" t="s">
        <v>19</v>
      </c>
      <c r="E529" s="465" t="s">
        <v>4089</v>
      </c>
      <c r="F529" s="448" t="s">
        <v>4108</v>
      </c>
      <c r="G529" s="473" t="s">
        <v>3944</v>
      </c>
      <c r="H529" s="439" t="s">
        <v>724</v>
      </c>
      <c r="I529" s="474" t="s">
        <v>3459</v>
      </c>
      <c r="J529" s="474" t="s">
        <v>3464</v>
      </c>
      <c r="K529" s="443" t="s">
        <v>3471</v>
      </c>
      <c r="L529" s="471">
        <v>1</v>
      </c>
      <c r="M529" s="447" t="s">
        <v>725</v>
      </c>
      <c r="N529" s="456">
        <v>55000</v>
      </c>
      <c r="O529" s="475">
        <f t="shared" si="2"/>
        <v>55000</v>
      </c>
      <c r="P529" s="476"/>
      <c r="Q529" s="477">
        <v>46023</v>
      </c>
      <c r="R529" s="476"/>
      <c r="S529" s="476"/>
    </row>
    <row r="530" spans="1:19" ht="15.75" customHeight="1" x14ac:dyDescent="0.25">
      <c r="A530" s="438">
        <v>527</v>
      </c>
      <c r="B530" s="470" t="s">
        <v>17</v>
      </c>
      <c r="C530" s="471" t="s">
        <v>18</v>
      </c>
      <c r="D530" s="472" t="s">
        <v>19</v>
      </c>
      <c r="E530" s="465" t="s">
        <v>4080</v>
      </c>
      <c r="F530" s="448" t="s">
        <v>4080</v>
      </c>
      <c r="G530" s="473" t="s">
        <v>3058</v>
      </c>
      <c r="H530" s="439" t="s">
        <v>728</v>
      </c>
      <c r="I530" s="474" t="s">
        <v>3459</v>
      </c>
      <c r="J530" s="474" t="s">
        <v>3464</v>
      </c>
      <c r="K530" s="443" t="s">
        <v>729</v>
      </c>
      <c r="L530" s="471">
        <v>1</v>
      </c>
      <c r="M530" s="447" t="s">
        <v>730</v>
      </c>
      <c r="N530" s="456">
        <v>9000</v>
      </c>
      <c r="O530" s="475">
        <f t="shared" si="2"/>
        <v>9000</v>
      </c>
      <c r="P530" s="476"/>
      <c r="Q530" s="477">
        <v>46023</v>
      </c>
      <c r="R530" s="476"/>
      <c r="S530" s="476"/>
    </row>
    <row r="531" spans="1:19" ht="15.75" customHeight="1" x14ac:dyDescent="0.25">
      <c r="A531" s="438">
        <v>528</v>
      </c>
      <c r="B531" s="470" t="s">
        <v>17</v>
      </c>
      <c r="C531" s="471" t="s">
        <v>18</v>
      </c>
      <c r="D531" s="472" t="s">
        <v>19</v>
      </c>
      <c r="E531" s="465" t="s">
        <v>4080</v>
      </c>
      <c r="F531" s="448" t="s">
        <v>4080</v>
      </c>
      <c r="G531" s="473" t="s">
        <v>3058</v>
      </c>
      <c r="H531" s="439" t="s">
        <v>728</v>
      </c>
      <c r="I531" s="474" t="s">
        <v>3459</v>
      </c>
      <c r="J531" s="474" t="s">
        <v>3464</v>
      </c>
      <c r="K531" s="443" t="s">
        <v>729</v>
      </c>
      <c r="L531" s="471">
        <v>1</v>
      </c>
      <c r="M531" s="447" t="s">
        <v>731</v>
      </c>
      <c r="N531" s="456">
        <v>9000</v>
      </c>
      <c r="O531" s="475">
        <f t="shared" si="2"/>
        <v>9000</v>
      </c>
      <c r="P531" s="476"/>
      <c r="Q531" s="477">
        <v>46023</v>
      </c>
      <c r="R531" s="476"/>
      <c r="S531" s="476"/>
    </row>
    <row r="532" spans="1:19" ht="15.75" customHeight="1" x14ac:dyDescent="0.25">
      <c r="A532" s="438">
        <v>529</v>
      </c>
      <c r="B532" s="470" t="s">
        <v>17</v>
      </c>
      <c r="C532" s="471" t="s">
        <v>18</v>
      </c>
      <c r="D532" s="472" t="s">
        <v>19</v>
      </c>
      <c r="E532" s="465" t="s">
        <v>4080</v>
      </c>
      <c r="F532" s="448" t="s">
        <v>4080</v>
      </c>
      <c r="G532" s="473" t="s">
        <v>3058</v>
      </c>
      <c r="H532" s="439" t="s">
        <v>728</v>
      </c>
      <c r="I532" s="474" t="s">
        <v>3459</v>
      </c>
      <c r="J532" s="474" t="s">
        <v>3464</v>
      </c>
      <c r="K532" s="443" t="s">
        <v>729</v>
      </c>
      <c r="L532" s="471">
        <v>1</v>
      </c>
      <c r="M532" s="447" t="s">
        <v>732</v>
      </c>
      <c r="N532" s="456">
        <v>9000</v>
      </c>
      <c r="O532" s="475">
        <f t="shared" si="2"/>
        <v>9000</v>
      </c>
      <c r="P532" s="476"/>
      <c r="Q532" s="477">
        <v>46023</v>
      </c>
      <c r="R532" s="476"/>
      <c r="S532" s="476"/>
    </row>
    <row r="533" spans="1:19" ht="15.75" customHeight="1" x14ac:dyDescent="0.25">
      <c r="A533" s="438">
        <v>530</v>
      </c>
      <c r="B533" s="470" t="s">
        <v>17</v>
      </c>
      <c r="C533" s="471" t="s">
        <v>18</v>
      </c>
      <c r="D533" s="472" t="s">
        <v>19</v>
      </c>
      <c r="E533" s="465" t="s">
        <v>4080</v>
      </c>
      <c r="F533" s="448" t="s">
        <v>4080</v>
      </c>
      <c r="G533" s="473" t="s">
        <v>3058</v>
      </c>
      <c r="H533" s="439" t="s">
        <v>728</v>
      </c>
      <c r="I533" s="474" t="s">
        <v>3459</v>
      </c>
      <c r="J533" s="474" t="s">
        <v>3464</v>
      </c>
      <c r="K533" s="443" t="s">
        <v>729</v>
      </c>
      <c r="L533" s="471">
        <v>1</v>
      </c>
      <c r="M533" s="447" t="s">
        <v>733</v>
      </c>
      <c r="N533" s="456">
        <v>9000</v>
      </c>
      <c r="O533" s="475">
        <f t="shared" si="2"/>
        <v>9000</v>
      </c>
      <c r="P533" s="476"/>
      <c r="Q533" s="477">
        <v>46023</v>
      </c>
      <c r="R533" s="476"/>
      <c r="S533" s="476"/>
    </row>
    <row r="534" spans="1:19" ht="15.75" customHeight="1" x14ac:dyDescent="0.25">
      <c r="A534" s="438">
        <v>531</v>
      </c>
      <c r="B534" s="470" t="s">
        <v>17</v>
      </c>
      <c r="C534" s="471" t="s">
        <v>18</v>
      </c>
      <c r="D534" s="472" t="s">
        <v>19</v>
      </c>
      <c r="E534" s="465" t="s">
        <v>4080</v>
      </c>
      <c r="F534" s="448" t="s">
        <v>4080</v>
      </c>
      <c r="G534" s="473" t="s">
        <v>3058</v>
      </c>
      <c r="H534" s="439" t="s">
        <v>728</v>
      </c>
      <c r="I534" s="474" t="s">
        <v>3459</v>
      </c>
      <c r="J534" s="474" t="s">
        <v>3464</v>
      </c>
      <c r="K534" s="443" t="s">
        <v>729</v>
      </c>
      <c r="L534" s="471">
        <v>1</v>
      </c>
      <c r="M534" s="447" t="s">
        <v>734</v>
      </c>
      <c r="N534" s="456">
        <v>9000</v>
      </c>
      <c r="O534" s="475">
        <f t="shared" si="2"/>
        <v>9000</v>
      </c>
      <c r="P534" s="476"/>
      <c r="Q534" s="477">
        <v>46023</v>
      </c>
      <c r="R534" s="476"/>
      <c r="S534" s="476"/>
    </row>
    <row r="535" spans="1:19" ht="15.75" customHeight="1" x14ac:dyDescent="0.25">
      <c r="A535" s="438">
        <v>532</v>
      </c>
      <c r="B535" s="470" t="s">
        <v>17</v>
      </c>
      <c r="C535" s="471" t="s">
        <v>18</v>
      </c>
      <c r="D535" s="472" t="s">
        <v>19</v>
      </c>
      <c r="E535" s="465" t="s">
        <v>4080</v>
      </c>
      <c r="F535" s="448" t="s">
        <v>4080</v>
      </c>
      <c r="G535" s="473" t="s">
        <v>3058</v>
      </c>
      <c r="H535" s="439" t="s">
        <v>728</v>
      </c>
      <c r="I535" s="474" t="s">
        <v>3459</v>
      </c>
      <c r="J535" s="474" t="s">
        <v>3464</v>
      </c>
      <c r="K535" s="443" t="s">
        <v>729</v>
      </c>
      <c r="L535" s="471">
        <v>1</v>
      </c>
      <c r="M535" s="447" t="s">
        <v>735</v>
      </c>
      <c r="N535" s="456">
        <v>9000</v>
      </c>
      <c r="O535" s="475">
        <f t="shared" si="2"/>
        <v>9000</v>
      </c>
      <c r="P535" s="476"/>
      <c r="Q535" s="477">
        <v>46023</v>
      </c>
      <c r="R535" s="476"/>
      <c r="S535" s="476"/>
    </row>
    <row r="536" spans="1:19" ht="15.75" customHeight="1" x14ac:dyDescent="0.25">
      <c r="A536" s="438">
        <v>533</v>
      </c>
      <c r="B536" s="470" t="s">
        <v>17</v>
      </c>
      <c r="C536" s="471" t="s">
        <v>18</v>
      </c>
      <c r="D536" s="472" t="s">
        <v>19</v>
      </c>
      <c r="E536" s="465" t="s">
        <v>4080</v>
      </c>
      <c r="F536" s="448" t="s">
        <v>4080</v>
      </c>
      <c r="G536" s="473" t="s">
        <v>3058</v>
      </c>
      <c r="H536" s="439" t="s">
        <v>728</v>
      </c>
      <c r="I536" s="474" t="s">
        <v>3459</v>
      </c>
      <c r="J536" s="474" t="s">
        <v>3464</v>
      </c>
      <c r="K536" s="443" t="s">
        <v>729</v>
      </c>
      <c r="L536" s="471">
        <v>1</v>
      </c>
      <c r="M536" s="447" t="s">
        <v>736</v>
      </c>
      <c r="N536" s="456">
        <v>9000</v>
      </c>
      <c r="O536" s="475">
        <f t="shared" si="2"/>
        <v>9000</v>
      </c>
      <c r="P536" s="476"/>
      <c r="Q536" s="477">
        <v>46023</v>
      </c>
      <c r="R536" s="476"/>
      <c r="S536" s="476"/>
    </row>
    <row r="537" spans="1:19" ht="15.75" customHeight="1" x14ac:dyDescent="0.25">
      <c r="A537" s="438">
        <v>534</v>
      </c>
      <c r="B537" s="470" t="s">
        <v>17</v>
      </c>
      <c r="C537" s="471" t="s">
        <v>18</v>
      </c>
      <c r="D537" s="472" t="s">
        <v>19</v>
      </c>
      <c r="E537" s="465" t="s">
        <v>4080</v>
      </c>
      <c r="F537" s="448" t="s">
        <v>4080</v>
      </c>
      <c r="G537" s="473" t="s">
        <v>3058</v>
      </c>
      <c r="H537" s="439" t="s">
        <v>728</v>
      </c>
      <c r="I537" s="474" t="s">
        <v>3459</v>
      </c>
      <c r="J537" s="474" t="s">
        <v>3464</v>
      </c>
      <c r="K537" s="443" t="s">
        <v>729</v>
      </c>
      <c r="L537" s="471">
        <v>1</v>
      </c>
      <c r="M537" s="447" t="s">
        <v>737</v>
      </c>
      <c r="N537" s="456">
        <v>9000</v>
      </c>
      <c r="O537" s="475">
        <f t="shared" si="2"/>
        <v>9000</v>
      </c>
      <c r="P537" s="476"/>
      <c r="Q537" s="477">
        <v>46023</v>
      </c>
      <c r="R537" s="476"/>
      <c r="S537" s="476"/>
    </row>
    <row r="538" spans="1:19" ht="15.75" customHeight="1" x14ac:dyDescent="0.25">
      <c r="A538" s="438">
        <v>535</v>
      </c>
      <c r="B538" s="470" t="s">
        <v>17</v>
      </c>
      <c r="C538" s="471" t="s">
        <v>18</v>
      </c>
      <c r="D538" s="472" t="s">
        <v>19</v>
      </c>
      <c r="E538" s="465" t="s">
        <v>4080</v>
      </c>
      <c r="F538" s="448" t="s">
        <v>4080</v>
      </c>
      <c r="G538" s="473" t="s">
        <v>3058</v>
      </c>
      <c r="H538" s="439" t="s">
        <v>728</v>
      </c>
      <c r="I538" s="474" t="s">
        <v>3459</v>
      </c>
      <c r="J538" s="474" t="s">
        <v>3464</v>
      </c>
      <c r="K538" s="443" t="s">
        <v>729</v>
      </c>
      <c r="L538" s="471">
        <v>1</v>
      </c>
      <c r="M538" s="447" t="s">
        <v>738</v>
      </c>
      <c r="N538" s="456">
        <v>9000</v>
      </c>
      <c r="O538" s="475">
        <f t="shared" si="2"/>
        <v>9000</v>
      </c>
      <c r="P538" s="476"/>
      <c r="Q538" s="477">
        <v>46023</v>
      </c>
      <c r="R538" s="476"/>
      <c r="S538" s="476"/>
    </row>
    <row r="539" spans="1:19" ht="15.75" customHeight="1" x14ac:dyDescent="0.25">
      <c r="A539" s="438">
        <v>536</v>
      </c>
      <c r="B539" s="470" t="s">
        <v>17</v>
      </c>
      <c r="C539" s="471" t="s">
        <v>18</v>
      </c>
      <c r="D539" s="472" t="s">
        <v>19</v>
      </c>
      <c r="E539" s="465" t="s">
        <v>4080</v>
      </c>
      <c r="F539" s="448" t="s">
        <v>4080</v>
      </c>
      <c r="G539" s="473" t="s">
        <v>3058</v>
      </c>
      <c r="H539" s="439" t="s">
        <v>728</v>
      </c>
      <c r="I539" s="474" t="s">
        <v>3459</v>
      </c>
      <c r="J539" s="474" t="s">
        <v>3464</v>
      </c>
      <c r="K539" s="443" t="s">
        <v>729</v>
      </c>
      <c r="L539" s="471">
        <v>1</v>
      </c>
      <c r="M539" s="447" t="s">
        <v>739</v>
      </c>
      <c r="N539" s="456">
        <v>9000</v>
      </c>
      <c r="O539" s="475">
        <f t="shared" si="2"/>
        <v>9000</v>
      </c>
      <c r="P539" s="476"/>
      <c r="Q539" s="477">
        <v>46023</v>
      </c>
      <c r="R539" s="476"/>
      <c r="S539" s="476"/>
    </row>
    <row r="540" spans="1:19" ht="15.75" customHeight="1" x14ac:dyDescent="0.25">
      <c r="A540" s="438">
        <v>537</v>
      </c>
      <c r="B540" s="470" t="s">
        <v>17</v>
      </c>
      <c r="C540" s="471" t="s">
        <v>18</v>
      </c>
      <c r="D540" s="472" t="s">
        <v>19</v>
      </c>
      <c r="E540" s="465" t="s">
        <v>4080</v>
      </c>
      <c r="F540" s="448" t="s">
        <v>4080</v>
      </c>
      <c r="G540" s="473" t="s">
        <v>3058</v>
      </c>
      <c r="H540" s="439" t="s">
        <v>728</v>
      </c>
      <c r="I540" s="474" t="s">
        <v>3459</v>
      </c>
      <c r="J540" s="474" t="s">
        <v>3464</v>
      </c>
      <c r="K540" s="443" t="s">
        <v>729</v>
      </c>
      <c r="L540" s="471">
        <v>1</v>
      </c>
      <c r="M540" s="447" t="s">
        <v>740</v>
      </c>
      <c r="N540" s="456">
        <v>9000</v>
      </c>
      <c r="O540" s="475">
        <f t="shared" si="2"/>
        <v>9000</v>
      </c>
      <c r="P540" s="476"/>
      <c r="Q540" s="477">
        <v>46023</v>
      </c>
      <c r="R540" s="476"/>
      <c r="S540" s="476"/>
    </row>
    <row r="541" spans="1:19" ht="15.75" customHeight="1" x14ac:dyDescent="0.25">
      <c r="A541" s="438">
        <v>538</v>
      </c>
      <c r="B541" s="470" t="s">
        <v>17</v>
      </c>
      <c r="C541" s="471" t="s">
        <v>18</v>
      </c>
      <c r="D541" s="472" t="s">
        <v>19</v>
      </c>
      <c r="E541" s="465" t="s">
        <v>4080</v>
      </c>
      <c r="F541" s="448" t="s">
        <v>4080</v>
      </c>
      <c r="G541" s="473" t="s">
        <v>3058</v>
      </c>
      <c r="H541" s="439" t="s">
        <v>728</v>
      </c>
      <c r="I541" s="474" t="s">
        <v>3459</v>
      </c>
      <c r="J541" s="474" t="s">
        <v>3464</v>
      </c>
      <c r="K541" s="443" t="s">
        <v>729</v>
      </c>
      <c r="L541" s="471">
        <v>1</v>
      </c>
      <c r="M541" s="447" t="s">
        <v>741</v>
      </c>
      <c r="N541" s="456">
        <v>9000</v>
      </c>
      <c r="O541" s="475">
        <f t="shared" si="2"/>
        <v>9000</v>
      </c>
      <c r="P541" s="476"/>
      <c r="Q541" s="477">
        <v>46023</v>
      </c>
      <c r="R541" s="476"/>
      <c r="S541" s="476"/>
    </row>
    <row r="542" spans="1:19" ht="15.75" customHeight="1" x14ac:dyDescent="0.25">
      <c r="A542" s="438">
        <v>539</v>
      </c>
      <c r="B542" s="470" t="s">
        <v>17</v>
      </c>
      <c r="C542" s="471" t="s">
        <v>18</v>
      </c>
      <c r="D542" s="472" t="s">
        <v>19</v>
      </c>
      <c r="E542" s="465" t="s">
        <v>4080</v>
      </c>
      <c r="F542" s="448" t="s">
        <v>4080</v>
      </c>
      <c r="G542" s="473" t="s">
        <v>3058</v>
      </c>
      <c r="H542" s="439" t="s">
        <v>728</v>
      </c>
      <c r="I542" s="474" t="s">
        <v>3459</v>
      </c>
      <c r="J542" s="474" t="s">
        <v>3464</v>
      </c>
      <c r="K542" s="443" t="s">
        <v>729</v>
      </c>
      <c r="L542" s="471">
        <v>1</v>
      </c>
      <c r="M542" s="447" t="s">
        <v>742</v>
      </c>
      <c r="N542" s="456">
        <v>9000</v>
      </c>
      <c r="O542" s="475">
        <f t="shared" si="2"/>
        <v>9000</v>
      </c>
      <c r="P542" s="476"/>
      <c r="Q542" s="477">
        <v>46023</v>
      </c>
      <c r="R542" s="476"/>
      <c r="S542" s="476"/>
    </row>
    <row r="543" spans="1:19" ht="15.75" customHeight="1" x14ac:dyDescent="0.25">
      <c r="A543" s="438">
        <v>540</v>
      </c>
      <c r="B543" s="470" t="s">
        <v>17</v>
      </c>
      <c r="C543" s="471" t="s">
        <v>18</v>
      </c>
      <c r="D543" s="472" t="s">
        <v>19</v>
      </c>
      <c r="E543" s="465" t="s">
        <v>4080</v>
      </c>
      <c r="F543" s="448" t="s">
        <v>4080</v>
      </c>
      <c r="G543" s="473" t="s">
        <v>3058</v>
      </c>
      <c r="H543" s="439" t="s">
        <v>728</v>
      </c>
      <c r="I543" s="474" t="s">
        <v>3459</v>
      </c>
      <c r="J543" s="474" t="s">
        <v>3464</v>
      </c>
      <c r="K543" s="443" t="s">
        <v>729</v>
      </c>
      <c r="L543" s="471">
        <v>1</v>
      </c>
      <c r="M543" s="447" t="s">
        <v>743</v>
      </c>
      <c r="N543" s="456">
        <v>9000</v>
      </c>
      <c r="O543" s="475">
        <f t="shared" si="2"/>
        <v>9000</v>
      </c>
      <c r="P543" s="476"/>
      <c r="Q543" s="477">
        <v>46023</v>
      </c>
      <c r="R543" s="476"/>
      <c r="S543" s="476"/>
    </row>
    <row r="544" spans="1:19" ht="15.75" customHeight="1" x14ac:dyDescent="0.25">
      <c r="A544" s="438">
        <v>541</v>
      </c>
      <c r="B544" s="470" t="s">
        <v>17</v>
      </c>
      <c r="C544" s="471" t="s">
        <v>18</v>
      </c>
      <c r="D544" s="472" t="s">
        <v>19</v>
      </c>
      <c r="E544" s="465" t="s">
        <v>4080</v>
      </c>
      <c r="F544" s="448" t="s">
        <v>4080</v>
      </c>
      <c r="G544" s="473" t="s">
        <v>3058</v>
      </c>
      <c r="H544" s="439" t="s">
        <v>728</v>
      </c>
      <c r="I544" s="474" t="s">
        <v>3459</v>
      </c>
      <c r="J544" s="474" t="s">
        <v>3464</v>
      </c>
      <c r="K544" s="443" t="s">
        <v>729</v>
      </c>
      <c r="L544" s="471">
        <v>1</v>
      </c>
      <c r="M544" s="447" t="s">
        <v>744</v>
      </c>
      <c r="N544" s="456">
        <v>9000</v>
      </c>
      <c r="O544" s="475">
        <f t="shared" si="2"/>
        <v>9000</v>
      </c>
      <c r="P544" s="476"/>
      <c r="Q544" s="477">
        <v>46023</v>
      </c>
      <c r="R544" s="476"/>
      <c r="S544" s="476"/>
    </row>
    <row r="545" spans="1:19" ht="15.75" customHeight="1" x14ac:dyDescent="0.25">
      <c r="A545" s="438">
        <v>542</v>
      </c>
      <c r="B545" s="470" t="s">
        <v>17</v>
      </c>
      <c r="C545" s="471" t="s">
        <v>18</v>
      </c>
      <c r="D545" s="472" t="s">
        <v>19</v>
      </c>
      <c r="E545" s="465" t="s">
        <v>4080</v>
      </c>
      <c r="F545" s="448" t="s">
        <v>4080</v>
      </c>
      <c r="G545" s="473" t="s">
        <v>3058</v>
      </c>
      <c r="H545" s="439" t="s">
        <v>728</v>
      </c>
      <c r="I545" s="474" t="s">
        <v>3459</v>
      </c>
      <c r="J545" s="474" t="s">
        <v>3464</v>
      </c>
      <c r="K545" s="443" t="s">
        <v>729</v>
      </c>
      <c r="L545" s="471">
        <v>1</v>
      </c>
      <c r="M545" s="447" t="s">
        <v>745</v>
      </c>
      <c r="N545" s="456">
        <v>9000</v>
      </c>
      <c r="O545" s="475">
        <f t="shared" si="2"/>
        <v>9000</v>
      </c>
      <c r="P545" s="476"/>
      <c r="Q545" s="477">
        <v>46023</v>
      </c>
      <c r="R545" s="476"/>
      <c r="S545" s="476"/>
    </row>
    <row r="546" spans="1:19" ht="15.75" customHeight="1" x14ac:dyDescent="0.25">
      <c r="A546" s="438">
        <v>543</v>
      </c>
      <c r="B546" s="470" t="s">
        <v>17</v>
      </c>
      <c r="C546" s="471" t="s">
        <v>18</v>
      </c>
      <c r="D546" s="472" t="s">
        <v>19</v>
      </c>
      <c r="E546" s="465" t="s">
        <v>4086</v>
      </c>
      <c r="F546" s="448" t="s">
        <v>4097</v>
      </c>
      <c r="G546" s="473" t="s">
        <v>3058</v>
      </c>
      <c r="H546" s="439" t="s">
        <v>728</v>
      </c>
      <c r="I546" s="474" t="s">
        <v>3459</v>
      </c>
      <c r="J546" s="474" t="s">
        <v>3464</v>
      </c>
      <c r="K546" s="443" t="s">
        <v>729</v>
      </c>
      <c r="L546" s="471">
        <v>1</v>
      </c>
      <c r="M546" s="447" t="s">
        <v>746</v>
      </c>
      <c r="N546" s="456">
        <v>9000</v>
      </c>
      <c r="O546" s="475">
        <f t="shared" si="2"/>
        <v>9000</v>
      </c>
      <c r="P546" s="476"/>
      <c r="Q546" s="477">
        <v>46023</v>
      </c>
      <c r="R546" s="476"/>
      <c r="S546" s="476"/>
    </row>
    <row r="547" spans="1:19" ht="15.75" customHeight="1" x14ac:dyDescent="0.25">
      <c r="A547" s="438">
        <v>544</v>
      </c>
      <c r="B547" s="470" t="s">
        <v>17</v>
      </c>
      <c r="C547" s="471" t="s">
        <v>18</v>
      </c>
      <c r="D547" s="472" t="s">
        <v>19</v>
      </c>
      <c r="E547" s="465" t="s">
        <v>4086</v>
      </c>
      <c r="F547" s="448" t="s">
        <v>4097</v>
      </c>
      <c r="G547" s="473" t="s">
        <v>3058</v>
      </c>
      <c r="H547" s="439" t="s">
        <v>728</v>
      </c>
      <c r="I547" s="474" t="s">
        <v>3459</v>
      </c>
      <c r="J547" s="474" t="s">
        <v>3464</v>
      </c>
      <c r="K547" s="443" t="s">
        <v>729</v>
      </c>
      <c r="L547" s="471">
        <v>1</v>
      </c>
      <c r="M547" s="447" t="s">
        <v>747</v>
      </c>
      <c r="N547" s="456">
        <v>9000</v>
      </c>
      <c r="O547" s="475">
        <f t="shared" si="2"/>
        <v>9000</v>
      </c>
      <c r="P547" s="476"/>
      <c r="Q547" s="477">
        <v>46023</v>
      </c>
      <c r="R547" s="476"/>
      <c r="S547" s="476"/>
    </row>
    <row r="548" spans="1:19" ht="15.75" customHeight="1" x14ac:dyDescent="0.25">
      <c r="A548" s="438">
        <v>545</v>
      </c>
      <c r="B548" s="470" t="s">
        <v>17</v>
      </c>
      <c r="C548" s="471" t="s">
        <v>18</v>
      </c>
      <c r="D548" s="472" t="s">
        <v>19</v>
      </c>
      <c r="E548" s="465" t="s">
        <v>4086</v>
      </c>
      <c r="F548" s="448" t="s">
        <v>4097</v>
      </c>
      <c r="G548" s="473" t="s">
        <v>3058</v>
      </c>
      <c r="H548" s="439" t="s">
        <v>728</v>
      </c>
      <c r="I548" s="474" t="s">
        <v>3459</v>
      </c>
      <c r="J548" s="474" t="s">
        <v>3464</v>
      </c>
      <c r="K548" s="443" t="s">
        <v>729</v>
      </c>
      <c r="L548" s="471">
        <v>1</v>
      </c>
      <c r="M548" s="447" t="s">
        <v>748</v>
      </c>
      <c r="N548" s="456">
        <v>9000</v>
      </c>
      <c r="O548" s="475">
        <f t="shared" si="2"/>
        <v>9000</v>
      </c>
      <c r="P548" s="476"/>
      <c r="Q548" s="477">
        <v>46023</v>
      </c>
      <c r="R548" s="476"/>
      <c r="S548" s="476"/>
    </row>
    <row r="549" spans="1:19" ht="15.75" customHeight="1" x14ac:dyDescent="0.25">
      <c r="A549" s="438">
        <v>546</v>
      </c>
      <c r="B549" s="470" t="s">
        <v>17</v>
      </c>
      <c r="C549" s="471" t="s">
        <v>18</v>
      </c>
      <c r="D549" s="472" t="s">
        <v>19</v>
      </c>
      <c r="E549" s="448" t="s">
        <v>4086</v>
      </c>
      <c r="F549" s="448" t="s">
        <v>4097</v>
      </c>
      <c r="G549" s="473" t="s">
        <v>3058</v>
      </c>
      <c r="H549" s="439" t="s">
        <v>728</v>
      </c>
      <c r="I549" s="474" t="s">
        <v>3459</v>
      </c>
      <c r="J549" s="474" t="s">
        <v>3464</v>
      </c>
      <c r="K549" s="443" t="s">
        <v>729</v>
      </c>
      <c r="L549" s="471">
        <v>1</v>
      </c>
      <c r="M549" s="447" t="s">
        <v>749</v>
      </c>
      <c r="N549" s="456">
        <v>9000</v>
      </c>
      <c r="O549" s="475">
        <f t="shared" si="2"/>
        <v>9000</v>
      </c>
      <c r="P549" s="476"/>
      <c r="Q549" s="477">
        <v>46023</v>
      </c>
      <c r="R549" s="476"/>
      <c r="S549" s="476"/>
    </row>
    <row r="550" spans="1:19" ht="15.75" customHeight="1" x14ac:dyDescent="0.25">
      <c r="A550" s="438">
        <v>547</v>
      </c>
      <c r="B550" s="470" t="s">
        <v>17</v>
      </c>
      <c r="C550" s="471" t="s">
        <v>18</v>
      </c>
      <c r="D550" s="472" t="s">
        <v>19</v>
      </c>
      <c r="E550" s="448" t="s">
        <v>4086</v>
      </c>
      <c r="F550" s="448" t="s">
        <v>4097</v>
      </c>
      <c r="G550" s="473" t="s">
        <v>3058</v>
      </c>
      <c r="H550" s="439" t="s">
        <v>728</v>
      </c>
      <c r="I550" s="474" t="s">
        <v>3459</v>
      </c>
      <c r="J550" s="474" t="s">
        <v>3464</v>
      </c>
      <c r="K550" s="443" t="s">
        <v>729</v>
      </c>
      <c r="L550" s="471">
        <v>1</v>
      </c>
      <c r="M550" s="447" t="s">
        <v>750</v>
      </c>
      <c r="N550" s="456">
        <v>9000</v>
      </c>
      <c r="O550" s="475">
        <f t="shared" si="2"/>
        <v>9000</v>
      </c>
      <c r="P550" s="476"/>
      <c r="Q550" s="477">
        <v>46023</v>
      </c>
      <c r="R550" s="476"/>
      <c r="S550" s="476"/>
    </row>
    <row r="551" spans="1:19" ht="15.75" customHeight="1" x14ac:dyDescent="0.25">
      <c r="A551" s="438">
        <v>548</v>
      </c>
      <c r="B551" s="470" t="s">
        <v>17</v>
      </c>
      <c r="C551" s="471" t="s">
        <v>18</v>
      </c>
      <c r="D551" s="472" t="s">
        <v>19</v>
      </c>
      <c r="E551" s="448" t="s">
        <v>4086</v>
      </c>
      <c r="F551" s="448" t="s">
        <v>4097</v>
      </c>
      <c r="G551" s="473" t="s">
        <v>3058</v>
      </c>
      <c r="H551" s="439" t="s">
        <v>728</v>
      </c>
      <c r="I551" s="474" t="s">
        <v>3459</v>
      </c>
      <c r="J551" s="474" t="s">
        <v>3464</v>
      </c>
      <c r="K551" s="443" t="s">
        <v>729</v>
      </c>
      <c r="L551" s="471">
        <v>1</v>
      </c>
      <c r="M551" s="447" t="s">
        <v>751</v>
      </c>
      <c r="N551" s="456">
        <v>9000</v>
      </c>
      <c r="O551" s="475">
        <f t="shared" si="2"/>
        <v>9000</v>
      </c>
      <c r="P551" s="476"/>
      <c r="Q551" s="477">
        <v>46023</v>
      </c>
      <c r="R551" s="476"/>
      <c r="S551" s="476"/>
    </row>
    <row r="552" spans="1:19" ht="15.75" customHeight="1" x14ac:dyDescent="0.25">
      <c r="A552" s="438">
        <v>549</v>
      </c>
      <c r="B552" s="470" t="s">
        <v>17</v>
      </c>
      <c r="C552" s="471" t="s">
        <v>18</v>
      </c>
      <c r="D552" s="472" t="s">
        <v>19</v>
      </c>
      <c r="E552" s="448" t="s">
        <v>4086</v>
      </c>
      <c r="F552" s="448" t="s">
        <v>4097</v>
      </c>
      <c r="G552" s="473" t="s">
        <v>3058</v>
      </c>
      <c r="H552" s="439" t="s">
        <v>728</v>
      </c>
      <c r="I552" s="474" t="s">
        <v>3459</v>
      </c>
      <c r="J552" s="474" t="s">
        <v>3464</v>
      </c>
      <c r="K552" s="443" t="s">
        <v>729</v>
      </c>
      <c r="L552" s="471">
        <v>1</v>
      </c>
      <c r="M552" s="447" t="s">
        <v>752</v>
      </c>
      <c r="N552" s="456">
        <v>9000</v>
      </c>
      <c r="O552" s="475">
        <f t="shared" si="2"/>
        <v>9000</v>
      </c>
      <c r="P552" s="476"/>
      <c r="Q552" s="477">
        <v>46023</v>
      </c>
      <c r="R552" s="476"/>
      <c r="S552" s="476"/>
    </row>
    <row r="553" spans="1:19" ht="15.75" customHeight="1" x14ac:dyDescent="0.25">
      <c r="A553" s="438">
        <v>550</v>
      </c>
      <c r="B553" s="470" t="s">
        <v>17</v>
      </c>
      <c r="C553" s="471" t="s">
        <v>18</v>
      </c>
      <c r="D553" s="472" t="s">
        <v>19</v>
      </c>
      <c r="E553" s="448" t="s">
        <v>4086</v>
      </c>
      <c r="F553" s="448" t="s">
        <v>4103</v>
      </c>
      <c r="G553" s="473" t="s">
        <v>3058</v>
      </c>
      <c r="H553" s="439" t="s">
        <v>728</v>
      </c>
      <c r="I553" s="474" t="s">
        <v>3459</v>
      </c>
      <c r="J553" s="474" t="s">
        <v>3464</v>
      </c>
      <c r="K553" s="443" t="s">
        <v>729</v>
      </c>
      <c r="L553" s="471">
        <v>1</v>
      </c>
      <c r="M553" s="447" t="s">
        <v>753</v>
      </c>
      <c r="N553" s="456">
        <v>9000</v>
      </c>
      <c r="O553" s="475">
        <f t="shared" si="2"/>
        <v>9000</v>
      </c>
      <c r="P553" s="476"/>
      <c r="Q553" s="477">
        <v>46023</v>
      </c>
      <c r="R553" s="476"/>
      <c r="S553" s="476"/>
    </row>
    <row r="554" spans="1:19" ht="15.75" customHeight="1" x14ac:dyDescent="0.25">
      <c r="A554" s="438">
        <v>551</v>
      </c>
      <c r="B554" s="470" t="s">
        <v>17</v>
      </c>
      <c r="C554" s="471" t="s">
        <v>18</v>
      </c>
      <c r="D554" s="472" t="s">
        <v>19</v>
      </c>
      <c r="E554" s="448" t="s">
        <v>4086</v>
      </c>
      <c r="F554" s="448" t="s">
        <v>4103</v>
      </c>
      <c r="G554" s="473" t="s">
        <v>3058</v>
      </c>
      <c r="H554" s="439" t="s">
        <v>728</v>
      </c>
      <c r="I554" s="474" t="s">
        <v>3459</v>
      </c>
      <c r="J554" s="474" t="s">
        <v>3464</v>
      </c>
      <c r="K554" s="443" t="s">
        <v>729</v>
      </c>
      <c r="L554" s="471">
        <v>1</v>
      </c>
      <c r="M554" s="447" t="s">
        <v>754</v>
      </c>
      <c r="N554" s="456">
        <v>9000</v>
      </c>
      <c r="O554" s="475">
        <f t="shared" si="2"/>
        <v>9000</v>
      </c>
      <c r="P554" s="476"/>
      <c r="Q554" s="477">
        <v>46023</v>
      </c>
      <c r="R554" s="476"/>
      <c r="S554" s="476"/>
    </row>
    <row r="555" spans="1:19" ht="15.75" customHeight="1" x14ac:dyDescent="0.25">
      <c r="A555" s="438">
        <v>552</v>
      </c>
      <c r="B555" s="470" t="s">
        <v>17</v>
      </c>
      <c r="C555" s="471" t="s">
        <v>18</v>
      </c>
      <c r="D555" s="472" t="s">
        <v>19</v>
      </c>
      <c r="E555" s="448" t="s">
        <v>3047</v>
      </c>
      <c r="F555" s="448" t="s">
        <v>3047</v>
      </c>
      <c r="G555" s="473" t="s">
        <v>3058</v>
      </c>
      <c r="H555" s="439" t="s">
        <v>728</v>
      </c>
      <c r="I555" s="474" t="s">
        <v>3459</v>
      </c>
      <c r="J555" s="474" t="s">
        <v>3464</v>
      </c>
      <c r="K555" s="443" t="s">
        <v>729</v>
      </c>
      <c r="L555" s="471">
        <v>1</v>
      </c>
      <c r="M555" s="447" t="s">
        <v>755</v>
      </c>
      <c r="N555" s="456">
        <v>9000</v>
      </c>
      <c r="O555" s="475">
        <f t="shared" si="2"/>
        <v>9000</v>
      </c>
      <c r="P555" s="476"/>
      <c r="Q555" s="477">
        <v>46023</v>
      </c>
      <c r="R555" s="476"/>
      <c r="S555" s="476"/>
    </row>
    <row r="556" spans="1:19" ht="15.75" customHeight="1" x14ac:dyDescent="0.25">
      <c r="A556" s="438">
        <v>553</v>
      </c>
      <c r="B556" s="470" t="s">
        <v>17</v>
      </c>
      <c r="C556" s="471" t="s">
        <v>18</v>
      </c>
      <c r="D556" s="472" t="s">
        <v>19</v>
      </c>
      <c r="E556" s="465" t="s">
        <v>4088</v>
      </c>
      <c r="F556" s="448" t="s">
        <v>4101</v>
      </c>
      <c r="G556" s="473" t="s">
        <v>3058</v>
      </c>
      <c r="H556" s="439" t="s">
        <v>728</v>
      </c>
      <c r="I556" s="474" t="s">
        <v>3459</v>
      </c>
      <c r="J556" s="474" t="s">
        <v>3464</v>
      </c>
      <c r="K556" s="443" t="s">
        <v>729</v>
      </c>
      <c r="L556" s="471">
        <v>1</v>
      </c>
      <c r="M556" s="447" t="s">
        <v>756</v>
      </c>
      <c r="N556" s="456">
        <v>9000</v>
      </c>
      <c r="O556" s="475">
        <f t="shared" si="2"/>
        <v>9000</v>
      </c>
      <c r="P556" s="476"/>
      <c r="Q556" s="477">
        <v>46023</v>
      </c>
      <c r="R556" s="476"/>
      <c r="S556" s="476"/>
    </row>
    <row r="557" spans="1:19" ht="15.75" customHeight="1" x14ac:dyDescent="0.25">
      <c r="A557" s="438">
        <v>554</v>
      </c>
      <c r="B557" s="470" t="s">
        <v>17</v>
      </c>
      <c r="C557" s="471" t="s">
        <v>18</v>
      </c>
      <c r="D557" s="472" t="s">
        <v>19</v>
      </c>
      <c r="E557" s="465" t="s">
        <v>4088</v>
      </c>
      <c r="F557" s="448" t="s">
        <v>3025</v>
      </c>
      <c r="G557" s="473" t="s">
        <v>3058</v>
      </c>
      <c r="H557" s="439" t="s">
        <v>728</v>
      </c>
      <c r="I557" s="474" t="s">
        <v>3459</v>
      </c>
      <c r="J557" s="474" t="s">
        <v>3464</v>
      </c>
      <c r="K557" s="443" t="s">
        <v>729</v>
      </c>
      <c r="L557" s="471">
        <v>1</v>
      </c>
      <c r="M557" s="447" t="s">
        <v>757</v>
      </c>
      <c r="N557" s="456">
        <v>9000</v>
      </c>
      <c r="O557" s="475">
        <f t="shared" si="2"/>
        <v>9000</v>
      </c>
      <c r="P557" s="476"/>
      <c r="Q557" s="477">
        <v>46023</v>
      </c>
      <c r="R557" s="476"/>
      <c r="S557" s="476"/>
    </row>
    <row r="558" spans="1:19" ht="15.75" customHeight="1" x14ac:dyDescent="0.25">
      <c r="A558" s="438">
        <v>555</v>
      </c>
      <c r="B558" s="470" t="s">
        <v>17</v>
      </c>
      <c r="C558" s="471" t="s">
        <v>18</v>
      </c>
      <c r="D558" s="472" t="s">
        <v>19</v>
      </c>
      <c r="E558" s="465" t="s">
        <v>4088</v>
      </c>
      <c r="F558" s="448" t="s">
        <v>3025</v>
      </c>
      <c r="G558" s="473" t="s">
        <v>3058</v>
      </c>
      <c r="H558" s="439" t="s">
        <v>728</v>
      </c>
      <c r="I558" s="474" t="s">
        <v>3459</v>
      </c>
      <c r="J558" s="474" t="s">
        <v>3464</v>
      </c>
      <c r="K558" s="443" t="s">
        <v>729</v>
      </c>
      <c r="L558" s="471">
        <v>1</v>
      </c>
      <c r="M558" s="447" t="s">
        <v>758</v>
      </c>
      <c r="N558" s="456">
        <v>9000</v>
      </c>
      <c r="O558" s="475">
        <f t="shared" si="2"/>
        <v>9000</v>
      </c>
      <c r="P558" s="476"/>
      <c r="Q558" s="477">
        <v>46023</v>
      </c>
      <c r="R558" s="476"/>
      <c r="S558" s="476"/>
    </row>
    <row r="559" spans="1:19" ht="15.75" customHeight="1" x14ac:dyDescent="0.25">
      <c r="A559" s="438">
        <v>556</v>
      </c>
      <c r="B559" s="470" t="s">
        <v>17</v>
      </c>
      <c r="C559" s="471" t="s">
        <v>18</v>
      </c>
      <c r="D559" s="472" t="s">
        <v>19</v>
      </c>
      <c r="E559" s="465" t="s">
        <v>4088</v>
      </c>
      <c r="F559" s="448" t="s">
        <v>3025</v>
      </c>
      <c r="G559" s="473" t="s">
        <v>3058</v>
      </c>
      <c r="H559" s="439" t="s">
        <v>728</v>
      </c>
      <c r="I559" s="474" t="s">
        <v>3459</v>
      </c>
      <c r="J559" s="474" t="s">
        <v>3464</v>
      </c>
      <c r="K559" s="443" t="s">
        <v>729</v>
      </c>
      <c r="L559" s="471">
        <v>1</v>
      </c>
      <c r="M559" s="447" t="s">
        <v>759</v>
      </c>
      <c r="N559" s="456">
        <v>9000</v>
      </c>
      <c r="O559" s="475">
        <f t="shared" si="2"/>
        <v>9000</v>
      </c>
      <c r="P559" s="476"/>
      <c r="Q559" s="477">
        <v>46023</v>
      </c>
      <c r="R559" s="476"/>
      <c r="S559" s="476"/>
    </row>
    <row r="560" spans="1:19" ht="15.75" customHeight="1" x14ac:dyDescent="0.25">
      <c r="A560" s="438">
        <v>557</v>
      </c>
      <c r="B560" s="470" t="s">
        <v>17</v>
      </c>
      <c r="C560" s="471" t="s">
        <v>18</v>
      </c>
      <c r="D560" s="472" t="s">
        <v>19</v>
      </c>
      <c r="E560" s="448" t="s">
        <v>4088</v>
      </c>
      <c r="F560" s="448" t="s">
        <v>3025</v>
      </c>
      <c r="G560" s="473" t="s">
        <v>3058</v>
      </c>
      <c r="H560" s="439" t="s">
        <v>728</v>
      </c>
      <c r="I560" s="474" t="s">
        <v>3459</v>
      </c>
      <c r="J560" s="474" t="s">
        <v>3464</v>
      </c>
      <c r="K560" s="443" t="s">
        <v>729</v>
      </c>
      <c r="L560" s="471">
        <v>1</v>
      </c>
      <c r="M560" s="447" t="s">
        <v>760</v>
      </c>
      <c r="N560" s="456">
        <v>9000</v>
      </c>
      <c r="O560" s="475">
        <f t="shared" si="2"/>
        <v>9000</v>
      </c>
      <c r="P560" s="476"/>
      <c r="Q560" s="477">
        <v>46023</v>
      </c>
      <c r="R560" s="476"/>
      <c r="S560" s="476"/>
    </row>
    <row r="561" spans="1:19" ht="15.75" customHeight="1" x14ac:dyDescent="0.25">
      <c r="A561" s="438">
        <v>558</v>
      </c>
      <c r="B561" s="470" t="s">
        <v>17</v>
      </c>
      <c r="C561" s="471" t="s">
        <v>18</v>
      </c>
      <c r="D561" s="472" t="s">
        <v>19</v>
      </c>
      <c r="E561" s="448" t="s">
        <v>4085</v>
      </c>
      <c r="F561" s="448" t="s">
        <v>2985</v>
      </c>
      <c r="G561" s="473" t="s">
        <v>3058</v>
      </c>
      <c r="H561" s="439" t="s">
        <v>728</v>
      </c>
      <c r="I561" s="474" t="s">
        <v>3459</v>
      </c>
      <c r="J561" s="474" t="s">
        <v>3464</v>
      </c>
      <c r="K561" s="443" t="s">
        <v>729</v>
      </c>
      <c r="L561" s="471">
        <v>1</v>
      </c>
      <c r="M561" s="447" t="s">
        <v>761</v>
      </c>
      <c r="N561" s="456">
        <v>9000</v>
      </c>
      <c r="O561" s="475">
        <f t="shared" si="2"/>
        <v>9000</v>
      </c>
      <c r="P561" s="476"/>
      <c r="Q561" s="477">
        <v>46023</v>
      </c>
      <c r="R561" s="476"/>
      <c r="S561" s="476"/>
    </row>
    <row r="562" spans="1:19" ht="15.75" customHeight="1" x14ac:dyDescent="0.25">
      <c r="A562" s="438">
        <v>559</v>
      </c>
      <c r="B562" s="470" t="s">
        <v>17</v>
      </c>
      <c r="C562" s="471" t="s">
        <v>18</v>
      </c>
      <c r="D562" s="472" t="s">
        <v>19</v>
      </c>
      <c r="E562" s="448" t="s">
        <v>4085</v>
      </c>
      <c r="F562" s="448" t="s">
        <v>2985</v>
      </c>
      <c r="G562" s="473" t="s">
        <v>3058</v>
      </c>
      <c r="H562" s="439" t="s">
        <v>728</v>
      </c>
      <c r="I562" s="474" t="s">
        <v>3459</v>
      </c>
      <c r="J562" s="474" t="s">
        <v>3464</v>
      </c>
      <c r="K562" s="443" t="s">
        <v>729</v>
      </c>
      <c r="L562" s="471">
        <v>1</v>
      </c>
      <c r="M562" s="447" t="s">
        <v>762</v>
      </c>
      <c r="N562" s="456">
        <v>9000</v>
      </c>
      <c r="O562" s="475">
        <f t="shared" si="2"/>
        <v>9000</v>
      </c>
      <c r="P562" s="476"/>
      <c r="Q562" s="477">
        <v>46023</v>
      </c>
      <c r="R562" s="476"/>
      <c r="S562" s="476"/>
    </row>
    <row r="563" spans="1:19" ht="15.75" customHeight="1" x14ac:dyDescent="0.25">
      <c r="A563" s="438">
        <v>560</v>
      </c>
      <c r="B563" s="470" t="s">
        <v>17</v>
      </c>
      <c r="C563" s="471" t="s">
        <v>18</v>
      </c>
      <c r="D563" s="472" t="s">
        <v>19</v>
      </c>
      <c r="E563" s="448" t="s">
        <v>4091</v>
      </c>
      <c r="F563" s="448" t="s">
        <v>4115</v>
      </c>
      <c r="G563" s="473" t="s">
        <v>3058</v>
      </c>
      <c r="H563" s="439" t="s">
        <v>728</v>
      </c>
      <c r="I563" s="474" t="s">
        <v>3459</v>
      </c>
      <c r="J563" s="474" t="s">
        <v>3464</v>
      </c>
      <c r="K563" s="439" t="s">
        <v>729</v>
      </c>
      <c r="L563" s="471">
        <v>1</v>
      </c>
      <c r="M563" s="447" t="s">
        <v>763</v>
      </c>
      <c r="N563" s="456">
        <v>9000</v>
      </c>
      <c r="O563" s="475">
        <f t="shared" si="2"/>
        <v>9000</v>
      </c>
      <c r="P563" s="476"/>
      <c r="Q563" s="477">
        <v>46023</v>
      </c>
      <c r="R563" s="476"/>
      <c r="S563" s="476"/>
    </row>
    <row r="564" spans="1:19" ht="15.75" customHeight="1" x14ac:dyDescent="0.25">
      <c r="A564" s="438">
        <v>561</v>
      </c>
      <c r="B564" s="470" t="s">
        <v>17</v>
      </c>
      <c r="C564" s="471" t="s">
        <v>18</v>
      </c>
      <c r="D564" s="472" t="s">
        <v>19</v>
      </c>
      <c r="E564" s="448" t="s">
        <v>4091</v>
      </c>
      <c r="F564" s="448" t="s">
        <v>4115</v>
      </c>
      <c r="G564" s="473" t="s">
        <v>3058</v>
      </c>
      <c r="H564" s="439" t="s">
        <v>728</v>
      </c>
      <c r="I564" s="474" t="s">
        <v>3459</v>
      </c>
      <c r="J564" s="474" t="s">
        <v>3464</v>
      </c>
      <c r="K564" s="443" t="s">
        <v>729</v>
      </c>
      <c r="L564" s="471">
        <v>1</v>
      </c>
      <c r="M564" s="447" t="s">
        <v>764</v>
      </c>
      <c r="N564" s="456">
        <v>9000</v>
      </c>
      <c r="O564" s="475">
        <f t="shared" si="2"/>
        <v>9000</v>
      </c>
      <c r="P564" s="476"/>
      <c r="Q564" s="477">
        <v>46023</v>
      </c>
      <c r="R564" s="476"/>
      <c r="S564" s="476"/>
    </row>
    <row r="565" spans="1:19" ht="15.75" customHeight="1" x14ac:dyDescent="0.25">
      <c r="A565" s="438">
        <v>562</v>
      </c>
      <c r="B565" s="470" t="s">
        <v>17</v>
      </c>
      <c r="C565" s="471" t="s">
        <v>18</v>
      </c>
      <c r="D565" s="472" t="s">
        <v>19</v>
      </c>
      <c r="E565" s="448" t="s">
        <v>4091</v>
      </c>
      <c r="F565" s="448" t="s">
        <v>4110</v>
      </c>
      <c r="G565" s="473" t="s">
        <v>3058</v>
      </c>
      <c r="H565" s="439" t="s">
        <v>728</v>
      </c>
      <c r="I565" s="474" t="s">
        <v>3459</v>
      </c>
      <c r="J565" s="474" t="s">
        <v>3464</v>
      </c>
      <c r="K565" s="443" t="s">
        <v>729</v>
      </c>
      <c r="L565" s="471">
        <v>1</v>
      </c>
      <c r="M565" s="447" t="s">
        <v>765</v>
      </c>
      <c r="N565" s="456">
        <v>9000</v>
      </c>
      <c r="O565" s="475">
        <f t="shared" si="2"/>
        <v>9000</v>
      </c>
      <c r="P565" s="476"/>
      <c r="Q565" s="477">
        <v>46023</v>
      </c>
      <c r="R565" s="476"/>
      <c r="S565" s="476"/>
    </row>
    <row r="566" spans="1:19" ht="15.75" customHeight="1" x14ac:dyDescent="0.25">
      <c r="A566" s="438">
        <v>563</v>
      </c>
      <c r="B566" s="470" t="s">
        <v>17</v>
      </c>
      <c r="C566" s="471" t="s">
        <v>18</v>
      </c>
      <c r="D566" s="472" t="s">
        <v>19</v>
      </c>
      <c r="E566" s="448" t="s">
        <v>4091</v>
      </c>
      <c r="F566" s="448" t="s">
        <v>4110</v>
      </c>
      <c r="G566" s="473" t="s">
        <v>3058</v>
      </c>
      <c r="H566" s="439" t="s">
        <v>728</v>
      </c>
      <c r="I566" s="474" t="s">
        <v>3459</v>
      </c>
      <c r="J566" s="474" t="s">
        <v>3464</v>
      </c>
      <c r="K566" s="443" t="s">
        <v>729</v>
      </c>
      <c r="L566" s="471">
        <v>1</v>
      </c>
      <c r="M566" s="447" t="s">
        <v>766</v>
      </c>
      <c r="N566" s="456">
        <v>9000</v>
      </c>
      <c r="O566" s="475">
        <f t="shared" si="2"/>
        <v>9000</v>
      </c>
      <c r="P566" s="476"/>
      <c r="Q566" s="477">
        <v>46023</v>
      </c>
      <c r="R566" s="476"/>
      <c r="S566" s="476"/>
    </row>
    <row r="567" spans="1:19" ht="15.75" customHeight="1" x14ac:dyDescent="0.25">
      <c r="A567" s="438">
        <v>564</v>
      </c>
      <c r="B567" s="470" t="s">
        <v>17</v>
      </c>
      <c r="C567" s="471" t="s">
        <v>18</v>
      </c>
      <c r="D567" s="472" t="s">
        <v>19</v>
      </c>
      <c r="E567" s="448" t="s">
        <v>4088</v>
      </c>
      <c r="F567" s="448" t="s">
        <v>3049</v>
      </c>
      <c r="G567" s="473" t="s">
        <v>3058</v>
      </c>
      <c r="H567" s="439" t="s">
        <v>728</v>
      </c>
      <c r="I567" s="474" t="s">
        <v>3459</v>
      </c>
      <c r="J567" s="474" t="s">
        <v>3464</v>
      </c>
      <c r="K567" s="443" t="s">
        <v>729</v>
      </c>
      <c r="L567" s="471">
        <v>1</v>
      </c>
      <c r="M567" s="447" t="s">
        <v>767</v>
      </c>
      <c r="N567" s="456">
        <v>9000</v>
      </c>
      <c r="O567" s="475">
        <f t="shared" si="2"/>
        <v>9000</v>
      </c>
      <c r="P567" s="476"/>
      <c r="Q567" s="477">
        <v>46023</v>
      </c>
      <c r="R567" s="476"/>
      <c r="S567" s="476"/>
    </row>
    <row r="568" spans="1:19" ht="15.75" customHeight="1" x14ac:dyDescent="0.25">
      <c r="A568" s="438">
        <v>565</v>
      </c>
      <c r="B568" s="470" t="s">
        <v>17</v>
      </c>
      <c r="C568" s="471" t="s">
        <v>18</v>
      </c>
      <c r="D568" s="472" t="s">
        <v>19</v>
      </c>
      <c r="E568" s="448" t="s">
        <v>4088</v>
      </c>
      <c r="F568" s="448" t="s">
        <v>3049</v>
      </c>
      <c r="G568" s="473" t="s">
        <v>3058</v>
      </c>
      <c r="H568" s="439" t="s">
        <v>728</v>
      </c>
      <c r="I568" s="474" t="s">
        <v>3459</v>
      </c>
      <c r="J568" s="474" t="s">
        <v>3464</v>
      </c>
      <c r="K568" s="443" t="s">
        <v>729</v>
      </c>
      <c r="L568" s="471">
        <v>1</v>
      </c>
      <c r="M568" s="447" t="s">
        <v>768</v>
      </c>
      <c r="N568" s="456">
        <v>9000</v>
      </c>
      <c r="O568" s="475">
        <f t="shared" si="2"/>
        <v>9000</v>
      </c>
      <c r="P568" s="476"/>
      <c r="Q568" s="477">
        <v>46023</v>
      </c>
      <c r="R568" s="476"/>
      <c r="S568" s="476"/>
    </row>
    <row r="569" spans="1:19" ht="15.75" customHeight="1" x14ac:dyDescent="0.25">
      <c r="A569" s="438">
        <v>566</v>
      </c>
      <c r="B569" s="470" t="s">
        <v>17</v>
      </c>
      <c r="C569" s="471" t="s">
        <v>18</v>
      </c>
      <c r="D569" s="472" t="s">
        <v>19</v>
      </c>
      <c r="E569" s="448" t="s">
        <v>4088</v>
      </c>
      <c r="F569" s="448" t="s">
        <v>4106</v>
      </c>
      <c r="G569" s="473" t="s">
        <v>3058</v>
      </c>
      <c r="H569" s="439" t="s">
        <v>728</v>
      </c>
      <c r="I569" s="474" t="s">
        <v>3459</v>
      </c>
      <c r="J569" s="474" t="s">
        <v>3464</v>
      </c>
      <c r="K569" s="443" t="s">
        <v>729</v>
      </c>
      <c r="L569" s="471">
        <v>1</v>
      </c>
      <c r="M569" s="447" t="s">
        <v>769</v>
      </c>
      <c r="N569" s="456">
        <v>9000</v>
      </c>
      <c r="O569" s="475">
        <f t="shared" si="2"/>
        <v>9000</v>
      </c>
      <c r="P569" s="476"/>
      <c r="Q569" s="477">
        <v>46023</v>
      </c>
      <c r="R569" s="476"/>
      <c r="S569" s="476"/>
    </row>
    <row r="570" spans="1:19" ht="15.75" customHeight="1" x14ac:dyDescent="0.25">
      <c r="A570" s="438">
        <v>567</v>
      </c>
      <c r="B570" s="470" t="s">
        <v>17</v>
      </c>
      <c r="C570" s="471" t="s">
        <v>18</v>
      </c>
      <c r="D570" s="472" t="s">
        <v>19</v>
      </c>
      <c r="E570" s="448" t="s">
        <v>4088</v>
      </c>
      <c r="F570" s="448" t="s">
        <v>4106</v>
      </c>
      <c r="G570" s="473" t="s">
        <v>3058</v>
      </c>
      <c r="H570" s="439" t="s">
        <v>728</v>
      </c>
      <c r="I570" s="474" t="s">
        <v>3459</v>
      </c>
      <c r="J570" s="474" t="s">
        <v>3464</v>
      </c>
      <c r="K570" s="443" t="s">
        <v>729</v>
      </c>
      <c r="L570" s="471">
        <v>1</v>
      </c>
      <c r="M570" s="447" t="s">
        <v>770</v>
      </c>
      <c r="N570" s="456">
        <v>9000</v>
      </c>
      <c r="O570" s="475">
        <f t="shared" si="2"/>
        <v>9000</v>
      </c>
      <c r="P570" s="476"/>
      <c r="Q570" s="477">
        <v>46023</v>
      </c>
      <c r="R570" s="476"/>
      <c r="S570" s="476"/>
    </row>
    <row r="571" spans="1:19" ht="15.75" customHeight="1" x14ac:dyDescent="0.25">
      <c r="A571" s="438">
        <v>568</v>
      </c>
      <c r="B571" s="470" t="s">
        <v>17</v>
      </c>
      <c r="C571" s="471" t="s">
        <v>18</v>
      </c>
      <c r="D571" s="472" t="s">
        <v>19</v>
      </c>
      <c r="E571" s="448" t="s">
        <v>4087</v>
      </c>
      <c r="F571" s="448" t="s">
        <v>4098</v>
      </c>
      <c r="G571" s="473" t="s">
        <v>3058</v>
      </c>
      <c r="H571" s="439" t="s">
        <v>728</v>
      </c>
      <c r="I571" s="474" t="s">
        <v>3459</v>
      </c>
      <c r="J571" s="474" t="s">
        <v>3464</v>
      </c>
      <c r="K571" s="443" t="s">
        <v>729</v>
      </c>
      <c r="L571" s="471">
        <v>1</v>
      </c>
      <c r="M571" s="447" t="s">
        <v>771</v>
      </c>
      <c r="N571" s="456">
        <v>9000</v>
      </c>
      <c r="O571" s="475">
        <f t="shared" si="2"/>
        <v>9000</v>
      </c>
      <c r="P571" s="476"/>
      <c r="Q571" s="477">
        <v>46023</v>
      </c>
      <c r="R571" s="476"/>
      <c r="S571" s="476"/>
    </row>
    <row r="572" spans="1:19" ht="15.75" customHeight="1" x14ac:dyDescent="0.25">
      <c r="A572" s="438">
        <v>569</v>
      </c>
      <c r="B572" s="470" t="s">
        <v>17</v>
      </c>
      <c r="C572" s="471" t="s">
        <v>18</v>
      </c>
      <c r="D572" s="472" t="s">
        <v>19</v>
      </c>
      <c r="E572" s="448" t="s">
        <v>4083</v>
      </c>
      <c r="F572" s="448" t="s">
        <v>4100</v>
      </c>
      <c r="G572" s="473" t="s">
        <v>3058</v>
      </c>
      <c r="H572" s="439" t="s">
        <v>728</v>
      </c>
      <c r="I572" s="474" t="s">
        <v>3459</v>
      </c>
      <c r="J572" s="474" t="s">
        <v>3464</v>
      </c>
      <c r="K572" s="443" t="s">
        <v>729</v>
      </c>
      <c r="L572" s="471">
        <v>1</v>
      </c>
      <c r="M572" s="447" t="s">
        <v>772</v>
      </c>
      <c r="N572" s="456">
        <v>9000</v>
      </c>
      <c r="O572" s="475">
        <f t="shared" si="2"/>
        <v>9000</v>
      </c>
      <c r="P572" s="476"/>
      <c r="Q572" s="477">
        <v>46023</v>
      </c>
      <c r="R572" s="476"/>
      <c r="S572" s="476"/>
    </row>
    <row r="573" spans="1:19" ht="15.75" customHeight="1" x14ac:dyDescent="0.25">
      <c r="A573" s="438">
        <v>570</v>
      </c>
      <c r="B573" s="470" t="s">
        <v>17</v>
      </c>
      <c r="C573" s="471" t="s">
        <v>18</v>
      </c>
      <c r="D573" s="472" t="s">
        <v>19</v>
      </c>
      <c r="E573" s="448" t="s">
        <v>4083</v>
      </c>
      <c r="F573" s="448" t="s">
        <v>4100</v>
      </c>
      <c r="G573" s="473" t="s">
        <v>3058</v>
      </c>
      <c r="H573" s="439" t="s">
        <v>728</v>
      </c>
      <c r="I573" s="474" t="s">
        <v>3459</v>
      </c>
      <c r="J573" s="474" t="s">
        <v>3464</v>
      </c>
      <c r="K573" s="443" t="s">
        <v>729</v>
      </c>
      <c r="L573" s="471">
        <v>1</v>
      </c>
      <c r="M573" s="447" t="s">
        <v>773</v>
      </c>
      <c r="N573" s="456">
        <v>9000</v>
      </c>
      <c r="O573" s="475">
        <f t="shared" si="2"/>
        <v>9000</v>
      </c>
      <c r="P573" s="476"/>
      <c r="Q573" s="477">
        <v>46023</v>
      </c>
      <c r="R573" s="476"/>
      <c r="S573" s="476"/>
    </row>
    <row r="574" spans="1:19" ht="15.75" customHeight="1" x14ac:dyDescent="0.25">
      <c r="A574" s="438">
        <v>571</v>
      </c>
      <c r="B574" s="470" t="s">
        <v>17</v>
      </c>
      <c r="C574" s="471" t="s">
        <v>18</v>
      </c>
      <c r="D574" s="472" t="s">
        <v>19</v>
      </c>
      <c r="E574" s="448" t="s">
        <v>4083</v>
      </c>
      <c r="F574" s="448" t="s">
        <v>4100</v>
      </c>
      <c r="G574" s="473" t="s">
        <v>3058</v>
      </c>
      <c r="H574" s="439" t="s">
        <v>728</v>
      </c>
      <c r="I574" s="474" t="s">
        <v>3459</v>
      </c>
      <c r="J574" s="474" t="s">
        <v>3464</v>
      </c>
      <c r="K574" s="443" t="s">
        <v>729</v>
      </c>
      <c r="L574" s="471">
        <v>1</v>
      </c>
      <c r="M574" s="447" t="s">
        <v>774</v>
      </c>
      <c r="N574" s="456">
        <v>9000</v>
      </c>
      <c r="O574" s="475">
        <f t="shared" si="2"/>
        <v>9000</v>
      </c>
      <c r="P574" s="476"/>
      <c r="Q574" s="477">
        <v>46023</v>
      </c>
      <c r="R574" s="476"/>
      <c r="S574" s="476"/>
    </row>
    <row r="575" spans="1:19" ht="15.75" customHeight="1" x14ac:dyDescent="0.25">
      <c r="A575" s="438">
        <v>572</v>
      </c>
      <c r="B575" s="470" t="s">
        <v>17</v>
      </c>
      <c r="C575" s="471" t="s">
        <v>18</v>
      </c>
      <c r="D575" s="472" t="s">
        <v>19</v>
      </c>
      <c r="E575" s="448" t="s">
        <v>4086</v>
      </c>
      <c r="F575" s="448" t="s">
        <v>4111</v>
      </c>
      <c r="G575" s="473" t="s">
        <v>3058</v>
      </c>
      <c r="H575" s="439" t="s">
        <v>728</v>
      </c>
      <c r="I575" s="474" t="s">
        <v>3459</v>
      </c>
      <c r="J575" s="474" t="s">
        <v>3464</v>
      </c>
      <c r="K575" s="443" t="s">
        <v>729</v>
      </c>
      <c r="L575" s="471">
        <v>1</v>
      </c>
      <c r="M575" s="447" t="s">
        <v>775</v>
      </c>
      <c r="N575" s="456">
        <v>9000</v>
      </c>
      <c r="O575" s="475">
        <f t="shared" si="2"/>
        <v>9000</v>
      </c>
      <c r="P575" s="476"/>
      <c r="Q575" s="477">
        <v>46023</v>
      </c>
      <c r="R575" s="476"/>
      <c r="S575" s="476"/>
    </row>
    <row r="576" spans="1:19" ht="15.75" customHeight="1" x14ac:dyDescent="0.25">
      <c r="A576" s="438">
        <v>573</v>
      </c>
      <c r="B576" s="470" t="s">
        <v>17</v>
      </c>
      <c r="C576" s="471" t="s">
        <v>18</v>
      </c>
      <c r="D576" s="472" t="s">
        <v>19</v>
      </c>
      <c r="E576" s="448" t="s">
        <v>4086</v>
      </c>
      <c r="F576" s="448" t="s">
        <v>4112</v>
      </c>
      <c r="G576" s="473" t="s">
        <v>3058</v>
      </c>
      <c r="H576" s="439" t="s">
        <v>728</v>
      </c>
      <c r="I576" s="474" t="s">
        <v>3459</v>
      </c>
      <c r="J576" s="474" t="s">
        <v>3464</v>
      </c>
      <c r="K576" s="443" t="s">
        <v>729</v>
      </c>
      <c r="L576" s="471">
        <v>1</v>
      </c>
      <c r="M576" s="447" t="s">
        <v>776</v>
      </c>
      <c r="N576" s="456">
        <v>9000</v>
      </c>
      <c r="O576" s="475">
        <f t="shared" si="2"/>
        <v>9000</v>
      </c>
      <c r="P576" s="476"/>
      <c r="Q576" s="477">
        <v>46023</v>
      </c>
      <c r="R576" s="476"/>
      <c r="S576" s="476"/>
    </row>
    <row r="577" spans="1:19" ht="15.75" customHeight="1" x14ac:dyDescent="0.25">
      <c r="A577" s="438">
        <v>574</v>
      </c>
      <c r="B577" s="470" t="s">
        <v>17</v>
      </c>
      <c r="C577" s="471" t="s">
        <v>18</v>
      </c>
      <c r="D577" s="472" t="s">
        <v>19</v>
      </c>
      <c r="E577" s="448" t="s">
        <v>4083</v>
      </c>
      <c r="F577" s="448" t="s">
        <v>2988</v>
      </c>
      <c r="G577" s="473" t="s">
        <v>3058</v>
      </c>
      <c r="H577" s="439" t="s">
        <v>777</v>
      </c>
      <c r="I577" s="474" t="s">
        <v>3459</v>
      </c>
      <c r="J577" s="474" t="s">
        <v>3464</v>
      </c>
      <c r="K577" s="443" t="s">
        <v>729</v>
      </c>
      <c r="L577" s="471">
        <v>1</v>
      </c>
      <c r="M577" s="447" t="s">
        <v>778</v>
      </c>
      <c r="N577" s="456">
        <v>40560</v>
      </c>
      <c r="O577" s="475">
        <f t="shared" si="2"/>
        <v>40560</v>
      </c>
      <c r="P577" s="476"/>
      <c r="Q577" s="477">
        <v>46023</v>
      </c>
      <c r="R577" s="476"/>
      <c r="S577" s="476"/>
    </row>
    <row r="578" spans="1:19" ht="15.75" customHeight="1" x14ac:dyDescent="0.25">
      <c r="A578" s="438">
        <v>575</v>
      </c>
      <c r="B578" s="470" t="s">
        <v>17</v>
      </c>
      <c r="C578" s="471" t="s">
        <v>18</v>
      </c>
      <c r="D578" s="472" t="s">
        <v>19</v>
      </c>
      <c r="E578" s="448" t="s">
        <v>4083</v>
      </c>
      <c r="F578" s="448" t="s">
        <v>2988</v>
      </c>
      <c r="G578" s="473" t="s">
        <v>3058</v>
      </c>
      <c r="H578" s="439" t="s">
        <v>777</v>
      </c>
      <c r="I578" s="474" t="s">
        <v>3459</v>
      </c>
      <c r="J578" s="474" t="s">
        <v>3464</v>
      </c>
      <c r="K578" s="443" t="s">
        <v>729</v>
      </c>
      <c r="L578" s="471">
        <v>1</v>
      </c>
      <c r="M578" s="447" t="s">
        <v>779</v>
      </c>
      <c r="N578" s="456">
        <v>40560</v>
      </c>
      <c r="O578" s="475">
        <f t="shared" si="2"/>
        <v>40560</v>
      </c>
      <c r="P578" s="476"/>
      <c r="Q578" s="477">
        <v>46023</v>
      </c>
      <c r="R578" s="476"/>
      <c r="S578" s="476"/>
    </row>
    <row r="579" spans="1:19" ht="15.75" customHeight="1" x14ac:dyDescent="0.25">
      <c r="A579" s="438">
        <v>576</v>
      </c>
      <c r="B579" s="470" t="s">
        <v>17</v>
      </c>
      <c r="C579" s="471" t="s">
        <v>18</v>
      </c>
      <c r="D579" s="472" t="s">
        <v>19</v>
      </c>
      <c r="E579" s="448" t="s">
        <v>4083</v>
      </c>
      <c r="F579" s="448" t="s">
        <v>2988</v>
      </c>
      <c r="G579" s="473" t="s">
        <v>3058</v>
      </c>
      <c r="H579" s="439" t="s">
        <v>777</v>
      </c>
      <c r="I579" s="474" t="s">
        <v>3459</v>
      </c>
      <c r="J579" s="474" t="s">
        <v>3464</v>
      </c>
      <c r="K579" s="443" t="s">
        <v>729</v>
      </c>
      <c r="L579" s="471">
        <v>1</v>
      </c>
      <c r="M579" s="447" t="s">
        <v>780</v>
      </c>
      <c r="N579" s="456">
        <v>40560</v>
      </c>
      <c r="O579" s="475">
        <f t="shared" si="2"/>
        <v>40560</v>
      </c>
      <c r="P579" s="476"/>
      <c r="Q579" s="477">
        <v>46023</v>
      </c>
      <c r="R579" s="476"/>
      <c r="S579" s="476"/>
    </row>
    <row r="580" spans="1:19" ht="15.75" customHeight="1" x14ac:dyDescent="0.25">
      <c r="A580" s="438">
        <v>577</v>
      </c>
      <c r="B580" s="470" t="s">
        <v>17</v>
      </c>
      <c r="C580" s="471" t="s">
        <v>18</v>
      </c>
      <c r="D580" s="472" t="s">
        <v>19</v>
      </c>
      <c r="E580" s="448" t="s">
        <v>4083</v>
      </c>
      <c r="F580" s="448" t="s">
        <v>2988</v>
      </c>
      <c r="G580" s="473" t="s">
        <v>3058</v>
      </c>
      <c r="H580" s="439" t="s">
        <v>777</v>
      </c>
      <c r="I580" s="474" t="s">
        <v>3459</v>
      </c>
      <c r="J580" s="474" t="s">
        <v>3464</v>
      </c>
      <c r="K580" s="443" t="s">
        <v>729</v>
      </c>
      <c r="L580" s="471">
        <v>1</v>
      </c>
      <c r="M580" s="447" t="s">
        <v>781</v>
      </c>
      <c r="N580" s="456">
        <v>40560</v>
      </c>
      <c r="O580" s="475">
        <f t="shared" si="2"/>
        <v>40560</v>
      </c>
      <c r="P580" s="476"/>
      <c r="Q580" s="477">
        <v>46023</v>
      </c>
      <c r="R580" s="476"/>
      <c r="S580" s="476"/>
    </row>
    <row r="581" spans="1:19" ht="15.75" customHeight="1" x14ac:dyDescent="0.25">
      <c r="A581" s="438">
        <v>578</v>
      </c>
      <c r="B581" s="470" t="s">
        <v>17</v>
      </c>
      <c r="C581" s="471" t="s">
        <v>18</v>
      </c>
      <c r="D581" s="472" t="s">
        <v>19</v>
      </c>
      <c r="E581" s="448" t="s">
        <v>4083</v>
      </c>
      <c r="F581" s="448" t="s">
        <v>2988</v>
      </c>
      <c r="G581" s="473" t="s">
        <v>3058</v>
      </c>
      <c r="H581" s="439" t="s">
        <v>777</v>
      </c>
      <c r="I581" s="474" t="s">
        <v>3459</v>
      </c>
      <c r="J581" s="474" t="s">
        <v>3464</v>
      </c>
      <c r="K581" s="443" t="s">
        <v>729</v>
      </c>
      <c r="L581" s="471">
        <v>1</v>
      </c>
      <c r="M581" s="447" t="s">
        <v>782</v>
      </c>
      <c r="N581" s="456">
        <v>40560</v>
      </c>
      <c r="O581" s="475">
        <f t="shared" si="2"/>
        <v>40560</v>
      </c>
      <c r="P581" s="476"/>
      <c r="Q581" s="477">
        <v>46023</v>
      </c>
      <c r="R581" s="476"/>
      <c r="S581" s="476"/>
    </row>
    <row r="582" spans="1:19" ht="15.75" customHeight="1" x14ac:dyDescent="0.25">
      <c r="A582" s="438">
        <v>579</v>
      </c>
      <c r="B582" s="470" t="s">
        <v>17</v>
      </c>
      <c r="C582" s="471" t="s">
        <v>18</v>
      </c>
      <c r="D582" s="472" t="s">
        <v>19</v>
      </c>
      <c r="E582" s="448" t="s">
        <v>4083</v>
      </c>
      <c r="F582" s="448" t="s">
        <v>2988</v>
      </c>
      <c r="G582" s="473" t="s">
        <v>3058</v>
      </c>
      <c r="H582" s="439" t="s">
        <v>777</v>
      </c>
      <c r="I582" s="474" t="s">
        <v>3459</v>
      </c>
      <c r="J582" s="474" t="s">
        <v>3464</v>
      </c>
      <c r="K582" s="443" t="s">
        <v>729</v>
      </c>
      <c r="L582" s="471">
        <v>1</v>
      </c>
      <c r="M582" s="447" t="s">
        <v>783</v>
      </c>
      <c r="N582" s="456">
        <v>40560</v>
      </c>
      <c r="O582" s="475">
        <f t="shared" si="2"/>
        <v>40560</v>
      </c>
      <c r="P582" s="476"/>
      <c r="Q582" s="477">
        <v>46023</v>
      </c>
      <c r="R582" s="476"/>
      <c r="S582" s="476"/>
    </row>
    <row r="583" spans="1:19" ht="15.75" customHeight="1" x14ac:dyDescent="0.25">
      <c r="A583" s="438">
        <v>580</v>
      </c>
      <c r="B583" s="470" t="s">
        <v>17</v>
      </c>
      <c r="C583" s="471" t="s">
        <v>18</v>
      </c>
      <c r="D583" s="472" t="s">
        <v>19</v>
      </c>
      <c r="E583" s="448" t="s">
        <v>4083</v>
      </c>
      <c r="F583" s="448" t="s">
        <v>2988</v>
      </c>
      <c r="G583" s="473" t="s">
        <v>3058</v>
      </c>
      <c r="H583" s="439" t="s">
        <v>777</v>
      </c>
      <c r="I583" s="474" t="s">
        <v>3459</v>
      </c>
      <c r="J583" s="474" t="s">
        <v>3464</v>
      </c>
      <c r="K583" s="443" t="s">
        <v>729</v>
      </c>
      <c r="L583" s="471">
        <v>1</v>
      </c>
      <c r="M583" s="447" t="s">
        <v>784</v>
      </c>
      <c r="N583" s="456">
        <v>40560</v>
      </c>
      <c r="O583" s="475">
        <f t="shared" si="2"/>
        <v>40560</v>
      </c>
      <c r="P583" s="476"/>
      <c r="Q583" s="477">
        <v>46023</v>
      </c>
      <c r="R583" s="476"/>
      <c r="S583" s="476"/>
    </row>
    <row r="584" spans="1:19" ht="15.75" customHeight="1" x14ac:dyDescent="0.25">
      <c r="A584" s="438">
        <v>581</v>
      </c>
      <c r="B584" s="470" t="s">
        <v>17</v>
      </c>
      <c r="C584" s="471" t="s">
        <v>18</v>
      </c>
      <c r="D584" s="472" t="s">
        <v>19</v>
      </c>
      <c r="E584" s="448" t="s">
        <v>4083</v>
      </c>
      <c r="F584" s="448" t="s">
        <v>2988</v>
      </c>
      <c r="G584" s="473" t="s">
        <v>3058</v>
      </c>
      <c r="H584" s="439" t="s">
        <v>777</v>
      </c>
      <c r="I584" s="474" t="s">
        <v>3459</v>
      </c>
      <c r="J584" s="474" t="s">
        <v>3464</v>
      </c>
      <c r="K584" s="443" t="s">
        <v>729</v>
      </c>
      <c r="L584" s="471">
        <v>1</v>
      </c>
      <c r="M584" s="447" t="s">
        <v>785</v>
      </c>
      <c r="N584" s="456">
        <v>40560</v>
      </c>
      <c r="O584" s="475">
        <f t="shared" si="2"/>
        <v>40560</v>
      </c>
      <c r="P584" s="476"/>
      <c r="Q584" s="477">
        <v>46023</v>
      </c>
      <c r="R584" s="476"/>
      <c r="S584" s="476"/>
    </row>
    <row r="585" spans="1:19" ht="15.75" customHeight="1" x14ac:dyDescent="0.25">
      <c r="A585" s="438">
        <v>582</v>
      </c>
      <c r="B585" s="470" t="s">
        <v>17</v>
      </c>
      <c r="C585" s="471" t="s">
        <v>18</v>
      </c>
      <c r="D585" s="472" t="s">
        <v>19</v>
      </c>
      <c r="E585" s="448" t="s">
        <v>4083</v>
      </c>
      <c r="F585" s="448" t="s">
        <v>2988</v>
      </c>
      <c r="G585" s="473" t="s">
        <v>3058</v>
      </c>
      <c r="H585" s="439" t="s">
        <v>777</v>
      </c>
      <c r="I585" s="474" t="s">
        <v>3459</v>
      </c>
      <c r="J585" s="474" t="s">
        <v>3464</v>
      </c>
      <c r="K585" s="443" t="s">
        <v>729</v>
      </c>
      <c r="L585" s="471">
        <v>1</v>
      </c>
      <c r="M585" s="447" t="s">
        <v>786</v>
      </c>
      <c r="N585" s="456">
        <v>40560</v>
      </c>
      <c r="O585" s="475">
        <f t="shared" si="2"/>
        <v>40560</v>
      </c>
      <c r="P585" s="476"/>
      <c r="Q585" s="477">
        <v>46023</v>
      </c>
      <c r="R585" s="476"/>
      <c r="S585" s="476"/>
    </row>
    <row r="586" spans="1:19" ht="15.75" customHeight="1" x14ac:dyDescent="0.25">
      <c r="A586" s="438">
        <v>583</v>
      </c>
      <c r="B586" s="470" t="s">
        <v>17</v>
      </c>
      <c r="C586" s="471" t="s">
        <v>18</v>
      </c>
      <c r="D586" s="472" t="s">
        <v>19</v>
      </c>
      <c r="E586" s="448" t="s">
        <v>4083</v>
      </c>
      <c r="F586" s="448" t="s">
        <v>2988</v>
      </c>
      <c r="G586" s="473" t="s">
        <v>3058</v>
      </c>
      <c r="H586" s="439" t="s">
        <v>777</v>
      </c>
      <c r="I586" s="474" t="s">
        <v>3459</v>
      </c>
      <c r="J586" s="474" t="s">
        <v>3464</v>
      </c>
      <c r="K586" s="443" t="s">
        <v>729</v>
      </c>
      <c r="L586" s="471">
        <v>1</v>
      </c>
      <c r="M586" s="447" t="s">
        <v>787</v>
      </c>
      <c r="N586" s="456">
        <v>40560</v>
      </c>
      <c r="O586" s="475">
        <f t="shared" si="2"/>
        <v>40560</v>
      </c>
      <c r="P586" s="476"/>
      <c r="Q586" s="477">
        <v>46023</v>
      </c>
      <c r="R586" s="476"/>
      <c r="S586" s="476"/>
    </row>
    <row r="587" spans="1:19" ht="15.75" customHeight="1" x14ac:dyDescent="0.25">
      <c r="A587" s="438">
        <v>584</v>
      </c>
      <c r="B587" s="470" t="s">
        <v>17</v>
      </c>
      <c r="C587" s="471" t="s">
        <v>18</v>
      </c>
      <c r="D587" s="472" t="s">
        <v>19</v>
      </c>
      <c r="E587" s="448" t="s">
        <v>4083</v>
      </c>
      <c r="F587" s="448" t="s">
        <v>2988</v>
      </c>
      <c r="G587" s="473" t="s">
        <v>3058</v>
      </c>
      <c r="H587" s="439" t="s">
        <v>777</v>
      </c>
      <c r="I587" s="474" t="s">
        <v>3459</v>
      </c>
      <c r="J587" s="474" t="s">
        <v>3464</v>
      </c>
      <c r="K587" s="443" t="s">
        <v>729</v>
      </c>
      <c r="L587" s="471">
        <v>1</v>
      </c>
      <c r="M587" s="447" t="s">
        <v>788</v>
      </c>
      <c r="N587" s="456">
        <v>40560</v>
      </c>
      <c r="O587" s="475">
        <f t="shared" si="2"/>
        <v>40560</v>
      </c>
      <c r="P587" s="476"/>
      <c r="Q587" s="477">
        <v>46023</v>
      </c>
      <c r="R587" s="476"/>
      <c r="S587" s="476"/>
    </row>
    <row r="588" spans="1:19" ht="15.75" customHeight="1" x14ac:dyDescent="0.25">
      <c r="A588" s="438">
        <v>585</v>
      </c>
      <c r="B588" s="470" t="s">
        <v>17</v>
      </c>
      <c r="C588" s="471" t="s">
        <v>18</v>
      </c>
      <c r="D588" s="472" t="s">
        <v>19</v>
      </c>
      <c r="E588" s="448" t="s">
        <v>4083</v>
      </c>
      <c r="F588" s="448" t="s">
        <v>2988</v>
      </c>
      <c r="G588" s="473" t="s">
        <v>3058</v>
      </c>
      <c r="H588" s="439" t="s">
        <v>777</v>
      </c>
      <c r="I588" s="474" t="s">
        <v>3459</v>
      </c>
      <c r="J588" s="474" t="s">
        <v>3464</v>
      </c>
      <c r="K588" s="443" t="s">
        <v>729</v>
      </c>
      <c r="L588" s="471">
        <v>1</v>
      </c>
      <c r="M588" s="447" t="s">
        <v>789</v>
      </c>
      <c r="N588" s="456">
        <v>40560</v>
      </c>
      <c r="O588" s="475">
        <f t="shared" si="2"/>
        <v>40560</v>
      </c>
      <c r="P588" s="476"/>
      <c r="Q588" s="477">
        <v>46023</v>
      </c>
      <c r="R588" s="476"/>
      <c r="S588" s="476"/>
    </row>
    <row r="589" spans="1:19" ht="15.75" customHeight="1" x14ac:dyDescent="0.25">
      <c r="A589" s="438">
        <v>586</v>
      </c>
      <c r="B589" s="470" t="s">
        <v>17</v>
      </c>
      <c r="C589" s="471" t="s">
        <v>18</v>
      </c>
      <c r="D589" s="472" t="s">
        <v>19</v>
      </c>
      <c r="E589" s="448" t="s">
        <v>4083</v>
      </c>
      <c r="F589" s="448" t="s">
        <v>2988</v>
      </c>
      <c r="G589" s="473" t="s">
        <v>3058</v>
      </c>
      <c r="H589" s="439" t="s">
        <v>777</v>
      </c>
      <c r="I589" s="474" t="s">
        <v>3459</v>
      </c>
      <c r="J589" s="474" t="s">
        <v>3464</v>
      </c>
      <c r="K589" s="443" t="s">
        <v>729</v>
      </c>
      <c r="L589" s="471">
        <v>1</v>
      </c>
      <c r="M589" s="447" t="s">
        <v>790</v>
      </c>
      <c r="N589" s="456">
        <v>40560</v>
      </c>
      <c r="O589" s="475">
        <f t="shared" si="2"/>
        <v>40560</v>
      </c>
      <c r="P589" s="476"/>
      <c r="Q589" s="477">
        <v>46023</v>
      </c>
      <c r="R589" s="476"/>
      <c r="S589" s="476"/>
    </row>
    <row r="590" spans="1:19" ht="15.75" customHeight="1" x14ac:dyDescent="0.25">
      <c r="A590" s="438">
        <v>587</v>
      </c>
      <c r="B590" s="470" t="s">
        <v>17</v>
      </c>
      <c r="C590" s="471" t="s">
        <v>18</v>
      </c>
      <c r="D590" s="472" t="s">
        <v>19</v>
      </c>
      <c r="E590" s="448" t="s">
        <v>4083</v>
      </c>
      <c r="F590" s="448" t="s">
        <v>2988</v>
      </c>
      <c r="G590" s="473" t="s">
        <v>3058</v>
      </c>
      <c r="H590" s="439" t="s">
        <v>777</v>
      </c>
      <c r="I590" s="474" t="s">
        <v>3459</v>
      </c>
      <c r="J590" s="474" t="s">
        <v>3464</v>
      </c>
      <c r="K590" s="443" t="s">
        <v>729</v>
      </c>
      <c r="L590" s="471">
        <v>1</v>
      </c>
      <c r="M590" s="447" t="s">
        <v>791</v>
      </c>
      <c r="N590" s="456">
        <v>40560</v>
      </c>
      <c r="O590" s="475">
        <f t="shared" si="2"/>
        <v>40560</v>
      </c>
      <c r="P590" s="476"/>
      <c r="Q590" s="477">
        <v>46023</v>
      </c>
      <c r="R590" s="476"/>
      <c r="S590" s="476"/>
    </row>
    <row r="591" spans="1:19" ht="15.75" customHeight="1" x14ac:dyDescent="0.25">
      <c r="A591" s="438">
        <v>588</v>
      </c>
      <c r="B591" s="470" t="s">
        <v>17</v>
      </c>
      <c r="C591" s="471" t="s">
        <v>18</v>
      </c>
      <c r="D591" s="472" t="s">
        <v>19</v>
      </c>
      <c r="E591" s="465" t="s">
        <v>4083</v>
      </c>
      <c r="F591" s="448" t="s">
        <v>2988</v>
      </c>
      <c r="G591" s="473" t="s">
        <v>3058</v>
      </c>
      <c r="H591" s="439" t="s">
        <v>777</v>
      </c>
      <c r="I591" s="474" t="s">
        <v>3459</v>
      </c>
      <c r="J591" s="474" t="s">
        <v>3464</v>
      </c>
      <c r="K591" s="443" t="s">
        <v>729</v>
      </c>
      <c r="L591" s="471">
        <v>1</v>
      </c>
      <c r="M591" s="447" t="s">
        <v>792</v>
      </c>
      <c r="N591" s="456">
        <v>40560</v>
      </c>
      <c r="O591" s="475">
        <f t="shared" si="2"/>
        <v>40560</v>
      </c>
      <c r="P591" s="476"/>
      <c r="Q591" s="477">
        <v>46023</v>
      </c>
      <c r="R591" s="476"/>
      <c r="S591" s="476"/>
    </row>
    <row r="592" spans="1:19" ht="15.75" customHeight="1" x14ac:dyDescent="0.25">
      <c r="A592" s="438">
        <v>589</v>
      </c>
      <c r="B592" s="470" t="s">
        <v>17</v>
      </c>
      <c r="C592" s="471" t="s">
        <v>18</v>
      </c>
      <c r="D592" s="472" t="s">
        <v>19</v>
      </c>
      <c r="E592" s="465" t="s">
        <v>4083</v>
      </c>
      <c r="F592" s="448" t="s">
        <v>2988</v>
      </c>
      <c r="G592" s="473" t="s">
        <v>3058</v>
      </c>
      <c r="H592" s="439" t="s">
        <v>777</v>
      </c>
      <c r="I592" s="474" t="s">
        <v>3459</v>
      </c>
      <c r="J592" s="474" t="s">
        <v>3464</v>
      </c>
      <c r="K592" s="443" t="s">
        <v>729</v>
      </c>
      <c r="L592" s="471">
        <v>1</v>
      </c>
      <c r="M592" s="447" t="s">
        <v>793</v>
      </c>
      <c r="N592" s="456">
        <v>40560</v>
      </c>
      <c r="O592" s="475">
        <f t="shared" si="2"/>
        <v>40560</v>
      </c>
      <c r="P592" s="476"/>
      <c r="Q592" s="477">
        <v>46023</v>
      </c>
      <c r="R592" s="476"/>
      <c r="S592" s="476"/>
    </row>
    <row r="593" spans="1:19" ht="15.75" customHeight="1" x14ac:dyDescent="0.25">
      <c r="A593" s="438">
        <v>590</v>
      </c>
      <c r="B593" s="470" t="s">
        <v>17</v>
      </c>
      <c r="C593" s="471" t="s">
        <v>18</v>
      </c>
      <c r="D593" s="472" t="s">
        <v>19</v>
      </c>
      <c r="E593" s="465" t="s">
        <v>4083</v>
      </c>
      <c r="F593" s="448" t="s">
        <v>2988</v>
      </c>
      <c r="G593" s="473" t="s">
        <v>3058</v>
      </c>
      <c r="H593" s="439" t="s">
        <v>777</v>
      </c>
      <c r="I593" s="474" t="s">
        <v>3459</v>
      </c>
      <c r="J593" s="474" t="s">
        <v>3464</v>
      </c>
      <c r="K593" s="443" t="s">
        <v>729</v>
      </c>
      <c r="L593" s="471">
        <v>1</v>
      </c>
      <c r="M593" s="447" t="s">
        <v>794</v>
      </c>
      <c r="N593" s="456">
        <v>40560</v>
      </c>
      <c r="O593" s="475">
        <f t="shared" si="2"/>
        <v>40560</v>
      </c>
      <c r="P593" s="476"/>
      <c r="Q593" s="477">
        <v>46023</v>
      </c>
      <c r="R593" s="476"/>
      <c r="S593" s="476"/>
    </row>
    <row r="594" spans="1:19" ht="15.75" customHeight="1" x14ac:dyDescent="0.25">
      <c r="A594" s="438">
        <v>591</v>
      </c>
      <c r="B594" s="470" t="s">
        <v>17</v>
      </c>
      <c r="C594" s="471" t="s">
        <v>18</v>
      </c>
      <c r="D594" s="472" t="s">
        <v>19</v>
      </c>
      <c r="E594" s="465" t="s">
        <v>4083</v>
      </c>
      <c r="F594" s="448" t="s">
        <v>2988</v>
      </c>
      <c r="G594" s="473" t="s">
        <v>3058</v>
      </c>
      <c r="H594" s="439" t="s">
        <v>777</v>
      </c>
      <c r="I594" s="474" t="s">
        <v>3459</v>
      </c>
      <c r="J594" s="474" t="s">
        <v>3464</v>
      </c>
      <c r="K594" s="443" t="s">
        <v>729</v>
      </c>
      <c r="L594" s="471">
        <v>1</v>
      </c>
      <c r="M594" s="447" t="s">
        <v>795</v>
      </c>
      <c r="N594" s="456">
        <v>40560</v>
      </c>
      <c r="O594" s="475">
        <f t="shared" si="2"/>
        <v>40560</v>
      </c>
      <c r="P594" s="476"/>
      <c r="Q594" s="477">
        <v>46023</v>
      </c>
      <c r="R594" s="476"/>
      <c r="S594" s="476"/>
    </row>
    <row r="595" spans="1:19" ht="15.75" customHeight="1" x14ac:dyDescent="0.25">
      <c r="A595" s="438">
        <v>592</v>
      </c>
      <c r="B595" s="470" t="s">
        <v>17</v>
      </c>
      <c r="C595" s="471" t="s">
        <v>18</v>
      </c>
      <c r="D595" s="472" t="s">
        <v>19</v>
      </c>
      <c r="E595" s="465" t="s">
        <v>4083</v>
      </c>
      <c r="F595" s="448" t="s">
        <v>2988</v>
      </c>
      <c r="G595" s="473" t="s">
        <v>3058</v>
      </c>
      <c r="H595" s="439" t="s">
        <v>777</v>
      </c>
      <c r="I595" s="474" t="s">
        <v>3459</v>
      </c>
      <c r="J595" s="474" t="s">
        <v>3464</v>
      </c>
      <c r="K595" s="443" t="s">
        <v>729</v>
      </c>
      <c r="L595" s="471">
        <v>1</v>
      </c>
      <c r="M595" s="447" t="s">
        <v>796</v>
      </c>
      <c r="N595" s="456">
        <v>40560</v>
      </c>
      <c r="O595" s="475">
        <f t="shared" si="2"/>
        <v>40560</v>
      </c>
      <c r="P595" s="476"/>
      <c r="Q595" s="477">
        <v>46023</v>
      </c>
      <c r="R595" s="476"/>
      <c r="S595" s="476"/>
    </row>
    <row r="596" spans="1:19" ht="15.75" customHeight="1" x14ac:dyDescent="0.25">
      <c r="A596" s="438">
        <v>593</v>
      </c>
      <c r="B596" s="470" t="s">
        <v>17</v>
      </c>
      <c r="C596" s="471" t="s">
        <v>18</v>
      </c>
      <c r="D596" s="472" t="s">
        <v>19</v>
      </c>
      <c r="E596" s="465" t="s">
        <v>4083</v>
      </c>
      <c r="F596" s="448" t="s">
        <v>2988</v>
      </c>
      <c r="G596" s="473" t="s">
        <v>3058</v>
      </c>
      <c r="H596" s="439" t="s">
        <v>777</v>
      </c>
      <c r="I596" s="474" t="s">
        <v>3459</v>
      </c>
      <c r="J596" s="474" t="s">
        <v>3464</v>
      </c>
      <c r="K596" s="443" t="s">
        <v>729</v>
      </c>
      <c r="L596" s="471">
        <v>1</v>
      </c>
      <c r="M596" s="447" t="s">
        <v>797</v>
      </c>
      <c r="N596" s="456">
        <v>40560</v>
      </c>
      <c r="O596" s="475">
        <f t="shared" si="2"/>
        <v>40560</v>
      </c>
      <c r="P596" s="476"/>
      <c r="Q596" s="477">
        <v>46023</v>
      </c>
      <c r="R596" s="476"/>
      <c r="S596" s="476"/>
    </row>
    <row r="597" spans="1:19" ht="15.75" customHeight="1" x14ac:dyDescent="0.25">
      <c r="A597" s="438">
        <v>594</v>
      </c>
      <c r="B597" s="470" t="s">
        <v>17</v>
      </c>
      <c r="C597" s="471" t="s">
        <v>18</v>
      </c>
      <c r="D597" s="472" t="s">
        <v>19</v>
      </c>
      <c r="E597" s="465" t="s">
        <v>4083</v>
      </c>
      <c r="F597" s="448" t="s">
        <v>2988</v>
      </c>
      <c r="G597" s="473" t="s">
        <v>3058</v>
      </c>
      <c r="H597" s="439" t="s">
        <v>777</v>
      </c>
      <c r="I597" s="474" t="s">
        <v>3459</v>
      </c>
      <c r="J597" s="474" t="s">
        <v>3464</v>
      </c>
      <c r="K597" s="443" t="s">
        <v>729</v>
      </c>
      <c r="L597" s="471">
        <v>1</v>
      </c>
      <c r="M597" s="447" t="s">
        <v>798</v>
      </c>
      <c r="N597" s="456">
        <v>40560</v>
      </c>
      <c r="O597" s="475">
        <f t="shared" si="2"/>
        <v>40560</v>
      </c>
      <c r="P597" s="476"/>
      <c r="Q597" s="477">
        <v>46023</v>
      </c>
      <c r="R597" s="476"/>
      <c r="S597" s="476"/>
    </row>
    <row r="598" spans="1:19" ht="15.75" customHeight="1" x14ac:dyDescent="0.25">
      <c r="A598" s="438">
        <v>595</v>
      </c>
      <c r="B598" s="470" t="s">
        <v>17</v>
      </c>
      <c r="C598" s="471" t="s">
        <v>18</v>
      </c>
      <c r="D598" s="472" t="s">
        <v>19</v>
      </c>
      <c r="E598" s="448" t="s">
        <v>4083</v>
      </c>
      <c r="F598" s="448" t="s">
        <v>2988</v>
      </c>
      <c r="G598" s="473" t="s">
        <v>3058</v>
      </c>
      <c r="H598" s="439" t="s">
        <v>777</v>
      </c>
      <c r="I598" s="474" t="s">
        <v>3459</v>
      </c>
      <c r="J598" s="474" t="s">
        <v>3464</v>
      </c>
      <c r="K598" s="443" t="s">
        <v>729</v>
      </c>
      <c r="L598" s="471">
        <v>1</v>
      </c>
      <c r="M598" s="447" t="s">
        <v>799</v>
      </c>
      <c r="N598" s="456">
        <v>40560</v>
      </c>
      <c r="O598" s="475">
        <f t="shared" si="2"/>
        <v>40560</v>
      </c>
      <c r="P598" s="476"/>
      <c r="Q598" s="477">
        <v>46023</v>
      </c>
      <c r="R598" s="476"/>
      <c r="S598" s="476"/>
    </row>
    <row r="599" spans="1:19" ht="15.75" customHeight="1" x14ac:dyDescent="0.25">
      <c r="A599" s="438">
        <v>596</v>
      </c>
      <c r="B599" s="470" t="s">
        <v>17</v>
      </c>
      <c r="C599" s="471" t="s">
        <v>18</v>
      </c>
      <c r="D599" s="472" t="s">
        <v>19</v>
      </c>
      <c r="E599" s="448" t="s">
        <v>4083</v>
      </c>
      <c r="F599" s="448" t="s">
        <v>2988</v>
      </c>
      <c r="G599" s="473" t="s">
        <v>3058</v>
      </c>
      <c r="H599" s="439" t="s">
        <v>777</v>
      </c>
      <c r="I599" s="474" t="s">
        <v>3459</v>
      </c>
      <c r="J599" s="474" t="s">
        <v>3464</v>
      </c>
      <c r="K599" s="443" t="s">
        <v>729</v>
      </c>
      <c r="L599" s="471">
        <v>1</v>
      </c>
      <c r="M599" s="447" t="s">
        <v>800</v>
      </c>
      <c r="N599" s="456">
        <v>40560</v>
      </c>
      <c r="O599" s="475">
        <f t="shared" si="2"/>
        <v>40560</v>
      </c>
      <c r="P599" s="476"/>
      <c r="Q599" s="477">
        <v>46023</v>
      </c>
      <c r="R599" s="476"/>
      <c r="S599" s="476"/>
    </row>
    <row r="600" spans="1:19" ht="15.75" customHeight="1" x14ac:dyDescent="0.25">
      <c r="A600" s="438">
        <v>597</v>
      </c>
      <c r="B600" s="470" t="s">
        <v>17</v>
      </c>
      <c r="C600" s="471" t="s">
        <v>18</v>
      </c>
      <c r="D600" s="472" t="s">
        <v>19</v>
      </c>
      <c r="E600" s="448" t="s">
        <v>4083</v>
      </c>
      <c r="F600" s="448" t="s">
        <v>2988</v>
      </c>
      <c r="G600" s="473" t="s">
        <v>3058</v>
      </c>
      <c r="H600" s="439" t="s">
        <v>777</v>
      </c>
      <c r="I600" s="474" t="s">
        <v>3459</v>
      </c>
      <c r="J600" s="474" t="s">
        <v>3464</v>
      </c>
      <c r="K600" s="443" t="s">
        <v>729</v>
      </c>
      <c r="L600" s="471">
        <v>1</v>
      </c>
      <c r="M600" s="447" t="s">
        <v>801</v>
      </c>
      <c r="N600" s="456">
        <v>40560</v>
      </c>
      <c r="O600" s="475">
        <f t="shared" si="2"/>
        <v>40560</v>
      </c>
      <c r="P600" s="476"/>
      <c r="Q600" s="477">
        <v>46023</v>
      </c>
      <c r="R600" s="476"/>
      <c r="S600" s="476"/>
    </row>
    <row r="601" spans="1:19" ht="15.75" customHeight="1" x14ac:dyDescent="0.25">
      <c r="A601" s="438">
        <v>598</v>
      </c>
      <c r="B601" s="470" t="s">
        <v>17</v>
      </c>
      <c r="C601" s="471" t="s">
        <v>18</v>
      </c>
      <c r="D601" s="472" t="s">
        <v>19</v>
      </c>
      <c r="E601" s="448" t="s">
        <v>4091</v>
      </c>
      <c r="F601" s="448" t="s">
        <v>3024</v>
      </c>
      <c r="G601" s="473" t="s">
        <v>3058</v>
      </c>
      <c r="H601" s="439" t="s">
        <v>802</v>
      </c>
      <c r="I601" s="474" t="s">
        <v>3459</v>
      </c>
      <c r="J601" s="474" t="s">
        <v>3464</v>
      </c>
      <c r="K601" s="443" t="s">
        <v>729</v>
      </c>
      <c r="L601" s="471">
        <v>1</v>
      </c>
      <c r="M601" s="447" t="s">
        <v>3491</v>
      </c>
      <c r="N601" s="456">
        <v>6400</v>
      </c>
      <c r="O601" s="475">
        <f t="shared" si="2"/>
        <v>6400</v>
      </c>
      <c r="P601" s="476"/>
      <c r="Q601" s="477">
        <v>46023</v>
      </c>
      <c r="R601" s="476"/>
      <c r="S601" s="476"/>
    </row>
    <row r="602" spans="1:19" ht="15.75" customHeight="1" x14ac:dyDescent="0.25">
      <c r="A602" s="438">
        <v>599</v>
      </c>
      <c r="B602" s="470" t="s">
        <v>17</v>
      </c>
      <c r="C602" s="471" t="s">
        <v>18</v>
      </c>
      <c r="D602" s="472" t="s">
        <v>19</v>
      </c>
      <c r="E602" s="465" t="s">
        <v>4091</v>
      </c>
      <c r="F602" s="448" t="s">
        <v>3024</v>
      </c>
      <c r="G602" s="473" t="s">
        <v>3058</v>
      </c>
      <c r="H602" s="439" t="s">
        <v>802</v>
      </c>
      <c r="I602" s="474" t="s">
        <v>3459</v>
      </c>
      <c r="J602" s="474" t="s">
        <v>3464</v>
      </c>
      <c r="K602" s="443" t="s">
        <v>729</v>
      </c>
      <c r="L602" s="471">
        <v>1</v>
      </c>
      <c r="M602" s="447" t="s">
        <v>3492</v>
      </c>
      <c r="N602" s="456">
        <v>6400</v>
      </c>
      <c r="O602" s="475">
        <f t="shared" si="2"/>
        <v>6400</v>
      </c>
      <c r="P602" s="476"/>
      <c r="Q602" s="477">
        <v>46023</v>
      </c>
      <c r="R602" s="476"/>
      <c r="S602" s="476"/>
    </row>
    <row r="603" spans="1:19" ht="15.75" customHeight="1" x14ac:dyDescent="0.25">
      <c r="A603" s="438">
        <v>600</v>
      </c>
      <c r="B603" s="470" t="s">
        <v>17</v>
      </c>
      <c r="C603" s="471" t="s">
        <v>18</v>
      </c>
      <c r="D603" s="472" t="s">
        <v>19</v>
      </c>
      <c r="E603" s="465" t="s">
        <v>4091</v>
      </c>
      <c r="F603" s="448" t="s">
        <v>3024</v>
      </c>
      <c r="G603" s="473" t="s">
        <v>3058</v>
      </c>
      <c r="H603" s="439" t="s">
        <v>802</v>
      </c>
      <c r="I603" s="474" t="s">
        <v>3459</v>
      </c>
      <c r="J603" s="474" t="s">
        <v>3464</v>
      </c>
      <c r="K603" s="443" t="s">
        <v>729</v>
      </c>
      <c r="L603" s="471">
        <v>1</v>
      </c>
      <c r="M603" s="447" t="s">
        <v>3493</v>
      </c>
      <c r="N603" s="456">
        <v>6400</v>
      </c>
      <c r="O603" s="475">
        <f t="shared" si="2"/>
        <v>6400</v>
      </c>
      <c r="P603" s="476"/>
      <c r="Q603" s="477">
        <v>46023</v>
      </c>
      <c r="R603" s="476"/>
      <c r="S603" s="476"/>
    </row>
    <row r="604" spans="1:19" ht="15.75" customHeight="1" x14ac:dyDescent="0.25">
      <c r="A604" s="438">
        <v>601</v>
      </c>
      <c r="B604" s="470" t="s">
        <v>17</v>
      </c>
      <c r="C604" s="471" t="s">
        <v>18</v>
      </c>
      <c r="D604" s="472" t="s">
        <v>19</v>
      </c>
      <c r="E604" s="465" t="s">
        <v>4091</v>
      </c>
      <c r="F604" s="448" t="s">
        <v>3024</v>
      </c>
      <c r="G604" s="473" t="s">
        <v>3058</v>
      </c>
      <c r="H604" s="439" t="s">
        <v>802</v>
      </c>
      <c r="I604" s="474" t="s">
        <v>3459</v>
      </c>
      <c r="J604" s="474" t="s">
        <v>3464</v>
      </c>
      <c r="K604" s="443" t="s">
        <v>729</v>
      </c>
      <c r="L604" s="471">
        <v>1</v>
      </c>
      <c r="M604" s="447" t="s">
        <v>3494</v>
      </c>
      <c r="N604" s="456">
        <v>6400</v>
      </c>
      <c r="O604" s="475">
        <f t="shared" si="2"/>
        <v>6400</v>
      </c>
      <c r="P604" s="476"/>
      <c r="Q604" s="477">
        <v>46023</v>
      </c>
      <c r="R604" s="476"/>
      <c r="S604" s="476"/>
    </row>
    <row r="605" spans="1:19" ht="15.75" customHeight="1" x14ac:dyDescent="0.25">
      <c r="A605" s="438">
        <v>602</v>
      </c>
      <c r="B605" s="470" t="s">
        <v>17</v>
      </c>
      <c r="C605" s="471" t="s">
        <v>18</v>
      </c>
      <c r="D605" s="472" t="s">
        <v>19</v>
      </c>
      <c r="E605" s="465" t="s">
        <v>4091</v>
      </c>
      <c r="F605" s="448" t="s">
        <v>3024</v>
      </c>
      <c r="G605" s="473" t="s">
        <v>3058</v>
      </c>
      <c r="H605" s="439" t="s">
        <v>802</v>
      </c>
      <c r="I605" s="474" t="s">
        <v>3459</v>
      </c>
      <c r="J605" s="474" t="s">
        <v>3464</v>
      </c>
      <c r="K605" s="443" t="s">
        <v>729</v>
      </c>
      <c r="L605" s="471">
        <v>1</v>
      </c>
      <c r="M605" s="447" t="s">
        <v>3495</v>
      </c>
      <c r="N605" s="456">
        <v>6400</v>
      </c>
      <c r="O605" s="475">
        <f t="shared" si="2"/>
        <v>6400</v>
      </c>
      <c r="P605" s="476"/>
      <c r="Q605" s="477">
        <v>46023</v>
      </c>
      <c r="R605" s="476"/>
      <c r="S605" s="476"/>
    </row>
    <row r="606" spans="1:19" ht="15.75" customHeight="1" x14ac:dyDescent="0.25">
      <c r="A606" s="438">
        <v>603</v>
      </c>
      <c r="B606" s="470" t="s">
        <v>17</v>
      </c>
      <c r="C606" s="471" t="s">
        <v>18</v>
      </c>
      <c r="D606" s="472" t="s">
        <v>19</v>
      </c>
      <c r="E606" s="448" t="s">
        <v>4091</v>
      </c>
      <c r="F606" s="448" t="s">
        <v>3024</v>
      </c>
      <c r="G606" s="473" t="s">
        <v>3058</v>
      </c>
      <c r="H606" s="439" t="s">
        <v>802</v>
      </c>
      <c r="I606" s="474" t="s">
        <v>3459</v>
      </c>
      <c r="J606" s="474" t="s">
        <v>3464</v>
      </c>
      <c r="K606" s="443" t="s">
        <v>729</v>
      </c>
      <c r="L606" s="471">
        <v>1</v>
      </c>
      <c r="M606" s="447" t="s">
        <v>3496</v>
      </c>
      <c r="N606" s="456">
        <v>6400</v>
      </c>
      <c r="O606" s="475">
        <f t="shared" si="2"/>
        <v>6400</v>
      </c>
      <c r="P606" s="476"/>
      <c r="Q606" s="477">
        <v>46023</v>
      </c>
      <c r="R606" s="476"/>
      <c r="S606" s="476"/>
    </row>
    <row r="607" spans="1:19" ht="15.75" customHeight="1" x14ac:dyDescent="0.25">
      <c r="A607" s="438">
        <v>604</v>
      </c>
      <c r="B607" s="470" t="s">
        <v>17</v>
      </c>
      <c r="C607" s="471" t="s">
        <v>18</v>
      </c>
      <c r="D607" s="472" t="s">
        <v>19</v>
      </c>
      <c r="E607" s="448" t="s">
        <v>4091</v>
      </c>
      <c r="F607" s="448" t="s">
        <v>2982</v>
      </c>
      <c r="G607" s="473" t="s">
        <v>3058</v>
      </c>
      <c r="H607" s="439" t="s">
        <v>802</v>
      </c>
      <c r="I607" s="474" t="s">
        <v>3459</v>
      </c>
      <c r="J607" s="474" t="s">
        <v>3464</v>
      </c>
      <c r="K607" s="443" t="s">
        <v>729</v>
      </c>
      <c r="L607" s="471">
        <v>1</v>
      </c>
      <c r="M607" s="447" t="s">
        <v>3497</v>
      </c>
      <c r="N607" s="456">
        <v>6400</v>
      </c>
      <c r="O607" s="475">
        <f t="shared" si="2"/>
        <v>6400</v>
      </c>
      <c r="P607" s="476"/>
      <c r="Q607" s="477">
        <v>46023</v>
      </c>
      <c r="R607" s="476"/>
      <c r="S607" s="476"/>
    </row>
    <row r="608" spans="1:19" ht="15.75" customHeight="1" x14ac:dyDescent="0.25">
      <c r="A608" s="438">
        <v>605</v>
      </c>
      <c r="B608" s="470" t="s">
        <v>17</v>
      </c>
      <c r="C608" s="471" t="s">
        <v>18</v>
      </c>
      <c r="D608" s="472" t="s">
        <v>19</v>
      </c>
      <c r="E608" s="448" t="s">
        <v>4091</v>
      </c>
      <c r="F608" s="448" t="s">
        <v>2982</v>
      </c>
      <c r="G608" s="473" t="s">
        <v>3058</v>
      </c>
      <c r="H608" s="439" t="s">
        <v>802</v>
      </c>
      <c r="I608" s="474" t="s">
        <v>3459</v>
      </c>
      <c r="J608" s="474" t="s">
        <v>3464</v>
      </c>
      <c r="K608" s="443" t="s">
        <v>729</v>
      </c>
      <c r="L608" s="471">
        <v>1</v>
      </c>
      <c r="M608" s="447" t="s">
        <v>3498</v>
      </c>
      <c r="N608" s="456">
        <v>6400</v>
      </c>
      <c r="O608" s="475">
        <f t="shared" si="2"/>
        <v>6400</v>
      </c>
      <c r="P608" s="476"/>
      <c r="Q608" s="477">
        <v>46023</v>
      </c>
      <c r="R608" s="476"/>
      <c r="S608" s="476"/>
    </row>
    <row r="609" spans="1:19" ht="15.75" customHeight="1" x14ac:dyDescent="0.25">
      <c r="A609" s="438">
        <v>606</v>
      </c>
      <c r="B609" s="470" t="s">
        <v>17</v>
      </c>
      <c r="C609" s="471" t="s">
        <v>18</v>
      </c>
      <c r="D609" s="472" t="s">
        <v>19</v>
      </c>
      <c r="E609" s="448" t="s">
        <v>4091</v>
      </c>
      <c r="F609" s="448" t="s">
        <v>2982</v>
      </c>
      <c r="G609" s="473" t="s">
        <v>3058</v>
      </c>
      <c r="H609" s="439" t="s">
        <v>802</v>
      </c>
      <c r="I609" s="474" t="s">
        <v>3459</v>
      </c>
      <c r="J609" s="474" t="s">
        <v>3464</v>
      </c>
      <c r="K609" s="443" t="s">
        <v>729</v>
      </c>
      <c r="L609" s="471">
        <v>1</v>
      </c>
      <c r="M609" s="447" t="s">
        <v>3499</v>
      </c>
      <c r="N609" s="456">
        <v>6400</v>
      </c>
      <c r="O609" s="475">
        <f t="shared" si="2"/>
        <v>6400</v>
      </c>
      <c r="P609" s="476"/>
      <c r="Q609" s="477">
        <v>46023</v>
      </c>
      <c r="R609" s="476"/>
      <c r="S609" s="476"/>
    </row>
    <row r="610" spans="1:19" ht="15.75" customHeight="1" x14ac:dyDescent="0.25">
      <c r="A610" s="438">
        <v>607</v>
      </c>
      <c r="B610" s="470" t="s">
        <v>17</v>
      </c>
      <c r="C610" s="471" t="s">
        <v>18</v>
      </c>
      <c r="D610" s="472" t="s">
        <v>19</v>
      </c>
      <c r="E610" s="448" t="s">
        <v>4085</v>
      </c>
      <c r="F610" s="448" t="s">
        <v>2982</v>
      </c>
      <c r="G610" s="473" t="s">
        <v>3058</v>
      </c>
      <c r="H610" s="439" t="s">
        <v>802</v>
      </c>
      <c r="I610" s="474" t="s">
        <v>3459</v>
      </c>
      <c r="J610" s="474" t="s">
        <v>3464</v>
      </c>
      <c r="K610" s="443" t="s">
        <v>729</v>
      </c>
      <c r="L610" s="471">
        <v>1</v>
      </c>
      <c r="M610" s="447" t="s">
        <v>3500</v>
      </c>
      <c r="N610" s="456">
        <v>6400</v>
      </c>
      <c r="O610" s="475">
        <f t="shared" si="2"/>
        <v>6400</v>
      </c>
      <c r="P610" s="476"/>
      <c r="Q610" s="477">
        <v>46023</v>
      </c>
      <c r="R610" s="476"/>
      <c r="S610" s="476"/>
    </row>
    <row r="611" spans="1:19" ht="15.75" customHeight="1" x14ac:dyDescent="0.25">
      <c r="A611" s="438">
        <v>608</v>
      </c>
      <c r="B611" s="470" t="s">
        <v>17</v>
      </c>
      <c r="C611" s="471" t="s">
        <v>18</v>
      </c>
      <c r="D611" s="472" t="s">
        <v>19</v>
      </c>
      <c r="E611" s="448" t="s">
        <v>4085</v>
      </c>
      <c r="F611" s="448" t="s">
        <v>2982</v>
      </c>
      <c r="G611" s="473" t="s">
        <v>3058</v>
      </c>
      <c r="H611" s="439" t="s">
        <v>802</v>
      </c>
      <c r="I611" s="474" t="s">
        <v>3459</v>
      </c>
      <c r="J611" s="474" t="s">
        <v>3464</v>
      </c>
      <c r="K611" s="443" t="s">
        <v>729</v>
      </c>
      <c r="L611" s="471">
        <v>1</v>
      </c>
      <c r="M611" s="447" t="s">
        <v>2708</v>
      </c>
      <c r="N611" s="456">
        <v>6400</v>
      </c>
      <c r="O611" s="475">
        <f t="shared" si="2"/>
        <v>6400</v>
      </c>
      <c r="P611" s="476"/>
      <c r="Q611" s="477">
        <v>46023</v>
      </c>
      <c r="R611" s="476"/>
      <c r="S611" s="476"/>
    </row>
    <row r="612" spans="1:19" ht="15.75" customHeight="1" x14ac:dyDescent="0.25">
      <c r="A612" s="438">
        <v>609</v>
      </c>
      <c r="B612" s="470" t="s">
        <v>17</v>
      </c>
      <c r="C612" s="471" t="s">
        <v>18</v>
      </c>
      <c r="D612" s="472" t="s">
        <v>19</v>
      </c>
      <c r="E612" s="448" t="s">
        <v>4085</v>
      </c>
      <c r="F612" s="448" t="s">
        <v>2985</v>
      </c>
      <c r="G612" s="473" t="s">
        <v>3058</v>
      </c>
      <c r="H612" s="439" t="s">
        <v>803</v>
      </c>
      <c r="I612" s="474" t="s">
        <v>3459</v>
      </c>
      <c r="J612" s="474" t="s">
        <v>3464</v>
      </c>
      <c r="K612" s="443" t="s">
        <v>729</v>
      </c>
      <c r="L612" s="471">
        <v>1</v>
      </c>
      <c r="M612" s="447" t="s">
        <v>3501</v>
      </c>
      <c r="N612" s="456">
        <v>32900</v>
      </c>
      <c r="O612" s="475">
        <f t="shared" si="2"/>
        <v>32900</v>
      </c>
      <c r="P612" s="476"/>
      <c r="Q612" s="477">
        <v>46023</v>
      </c>
      <c r="R612" s="476"/>
      <c r="S612" s="476"/>
    </row>
    <row r="613" spans="1:19" ht="15.75" customHeight="1" x14ac:dyDescent="0.25">
      <c r="A613" s="438">
        <v>610</v>
      </c>
      <c r="B613" s="470" t="s">
        <v>17</v>
      </c>
      <c r="C613" s="471" t="s">
        <v>18</v>
      </c>
      <c r="D613" s="472" t="s">
        <v>19</v>
      </c>
      <c r="E613" s="448" t="s">
        <v>4080</v>
      </c>
      <c r="F613" s="448" t="s">
        <v>4080</v>
      </c>
      <c r="G613" s="473" t="s">
        <v>3058</v>
      </c>
      <c r="H613" s="439" t="s">
        <v>803</v>
      </c>
      <c r="I613" s="474" t="s">
        <v>3459</v>
      </c>
      <c r="J613" s="474" t="s">
        <v>3464</v>
      </c>
      <c r="K613" s="443" t="s">
        <v>729</v>
      </c>
      <c r="L613" s="471">
        <v>1</v>
      </c>
      <c r="M613" s="447" t="s">
        <v>804</v>
      </c>
      <c r="N613" s="456">
        <v>32900</v>
      </c>
      <c r="O613" s="475">
        <f t="shared" si="2"/>
        <v>32900</v>
      </c>
      <c r="P613" s="476"/>
      <c r="Q613" s="477">
        <v>46023</v>
      </c>
      <c r="R613" s="476"/>
      <c r="S613" s="476"/>
    </row>
    <row r="614" spans="1:19" ht="15.75" customHeight="1" x14ac:dyDescent="0.25">
      <c r="A614" s="438">
        <v>611</v>
      </c>
      <c r="B614" s="470" t="s">
        <v>17</v>
      </c>
      <c r="C614" s="471" t="s">
        <v>18</v>
      </c>
      <c r="D614" s="472" t="s">
        <v>19</v>
      </c>
      <c r="E614" s="448" t="s">
        <v>4080</v>
      </c>
      <c r="F614" s="448" t="s">
        <v>4080</v>
      </c>
      <c r="G614" s="473" t="s">
        <v>3058</v>
      </c>
      <c r="H614" s="439" t="s">
        <v>803</v>
      </c>
      <c r="I614" s="474" t="s">
        <v>3459</v>
      </c>
      <c r="J614" s="474" t="s">
        <v>3464</v>
      </c>
      <c r="K614" s="443" t="s">
        <v>729</v>
      </c>
      <c r="L614" s="471">
        <v>1</v>
      </c>
      <c r="M614" s="447" t="s">
        <v>805</v>
      </c>
      <c r="N614" s="456">
        <v>32900</v>
      </c>
      <c r="O614" s="475">
        <f t="shared" si="2"/>
        <v>32900</v>
      </c>
      <c r="P614" s="476"/>
      <c r="Q614" s="477">
        <v>46023</v>
      </c>
      <c r="R614" s="476"/>
      <c r="S614" s="476"/>
    </row>
    <row r="615" spans="1:19" ht="15.75" customHeight="1" x14ac:dyDescent="0.25">
      <c r="A615" s="438">
        <v>612</v>
      </c>
      <c r="B615" s="470" t="s">
        <v>17</v>
      </c>
      <c r="C615" s="471" t="s">
        <v>18</v>
      </c>
      <c r="D615" s="472" t="s">
        <v>19</v>
      </c>
      <c r="E615" s="448" t="s">
        <v>4080</v>
      </c>
      <c r="F615" s="448" t="s">
        <v>4080</v>
      </c>
      <c r="G615" s="473" t="s">
        <v>3058</v>
      </c>
      <c r="H615" s="439" t="s">
        <v>803</v>
      </c>
      <c r="I615" s="474" t="s">
        <v>3459</v>
      </c>
      <c r="J615" s="474" t="s">
        <v>3464</v>
      </c>
      <c r="K615" s="443" t="s">
        <v>729</v>
      </c>
      <c r="L615" s="471">
        <v>1</v>
      </c>
      <c r="M615" s="447" t="s">
        <v>806</v>
      </c>
      <c r="N615" s="456">
        <v>32900</v>
      </c>
      <c r="O615" s="475">
        <f t="shared" si="2"/>
        <v>32900</v>
      </c>
      <c r="P615" s="476"/>
      <c r="Q615" s="477">
        <v>46023</v>
      </c>
      <c r="R615" s="476"/>
      <c r="S615" s="476"/>
    </row>
    <row r="616" spans="1:19" ht="15.75" customHeight="1" x14ac:dyDescent="0.25">
      <c r="A616" s="438">
        <v>613</v>
      </c>
      <c r="B616" s="470" t="s">
        <v>17</v>
      </c>
      <c r="C616" s="471" t="s">
        <v>18</v>
      </c>
      <c r="D616" s="472" t="s">
        <v>19</v>
      </c>
      <c r="E616" s="448" t="s">
        <v>4080</v>
      </c>
      <c r="F616" s="448" t="s">
        <v>4080</v>
      </c>
      <c r="G616" s="473" t="s">
        <v>3058</v>
      </c>
      <c r="H616" s="439" t="s">
        <v>803</v>
      </c>
      <c r="I616" s="474" t="s">
        <v>3459</v>
      </c>
      <c r="J616" s="474" t="s">
        <v>3464</v>
      </c>
      <c r="K616" s="443" t="s">
        <v>729</v>
      </c>
      <c r="L616" s="471">
        <v>1</v>
      </c>
      <c r="M616" s="447" t="s">
        <v>807</v>
      </c>
      <c r="N616" s="456">
        <v>32900</v>
      </c>
      <c r="O616" s="475">
        <f t="shared" si="2"/>
        <v>32900</v>
      </c>
      <c r="P616" s="476"/>
      <c r="Q616" s="477">
        <v>46023</v>
      </c>
      <c r="R616" s="476"/>
      <c r="S616" s="476"/>
    </row>
    <row r="617" spans="1:19" ht="15.75" customHeight="1" x14ac:dyDescent="0.25">
      <c r="A617" s="438">
        <v>614</v>
      </c>
      <c r="B617" s="470" t="s">
        <v>17</v>
      </c>
      <c r="C617" s="471" t="s">
        <v>18</v>
      </c>
      <c r="D617" s="472" t="s">
        <v>19</v>
      </c>
      <c r="E617" s="448" t="s">
        <v>4080</v>
      </c>
      <c r="F617" s="448" t="s">
        <v>4080</v>
      </c>
      <c r="G617" s="473" t="s">
        <v>3058</v>
      </c>
      <c r="H617" s="439" t="s">
        <v>803</v>
      </c>
      <c r="I617" s="474" t="s">
        <v>3459</v>
      </c>
      <c r="J617" s="474" t="s">
        <v>3464</v>
      </c>
      <c r="K617" s="443" t="s">
        <v>729</v>
      </c>
      <c r="L617" s="471">
        <v>1</v>
      </c>
      <c r="M617" s="447" t="s">
        <v>808</v>
      </c>
      <c r="N617" s="456">
        <v>32900</v>
      </c>
      <c r="O617" s="475">
        <f t="shared" si="2"/>
        <v>32900</v>
      </c>
      <c r="P617" s="476"/>
      <c r="Q617" s="477">
        <v>46023</v>
      </c>
      <c r="R617" s="476"/>
      <c r="S617" s="476"/>
    </row>
    <row r="618" spans="1:19" ht="15.75" customHeight="1" x14ac:dyDescent="0.25">
      <c r="A618" s="438">
        <v>615</v>
      </c>
      <c r="B618" s="470" t="s">
        <v>17</v>
      </c>
      <c r="C618" s="471" t="s">
        <v>18</v>
      </c>
      <c r="D618" s="472" t="s">
        <v>19</v>
      </c>
      <c r="E618" s="448" t="s">
        <v>4083</v>
      </c>
      <c r="F618" s="448" t="s">
        <v>2988</v>
      </c>
      <c r="G618" s="473" t="s">
        <v>3058</v>
      </c>
      <c r="H618" s="439" t="s">
        <v>803</v>
      </c>
      <c r="I618" s="474" t="s">
        <v>3459</v>
      </c>
      <c r="J618" s="474" t="s">
        <v>3464</v>
      </c>
      <c r="K618" s="443" t="s">
        <v>729</v>
      </c>
      <c r="L618" s="471">
        <v>1</v>
      </c>
      <c r="M618" s="447" t="s">
        <v>3502</v>
      </c>
      <c r="N618" s="456">
        <v>32900</v>
      </c>
      <c r="O618" s="475">
        <f t="shared" si="2"/>
        <v>32900</v>
      </c>
      <c r="P618" s="476"/>
      <c r="Q618" s="477">
        <v>46023</v>
      </c>
      <c r="R618" s="476"/>
      <c r="S618" s="476"/>
    </row>
    <row r="619" spans="1:19" ht="15.75" customHeight="1" x14ac:dyDescent="0.25">
      <c r="A619" s="438">
        <v>616</v>
      </c>
      <c r="B619" s="470" t="s">
        <v>17</v>
      </c>
      <c r="C619" s="471" t="s">
        <v>18</v>
      </c>
      <c r="D619" s="472" t="s">
        <v>19</v>
      </c>
      <c r="E619" s="448" t="s">
        <v>4083</v>
      </c>
      <c r="F619" s="448" t="s">
        <v>2988</v>
      </c>
      <c r="G619" s="473" t="s">
        <v>3058</v>
      </c>
      <c r="H619" s="439" t="s">
        <v>803</v>
      </c>
      <c r="I619" s="474" t="s">
        <v>3459</v>
      </c>
      <c r="J619" s="474" t="s">
        <v>3464</v>
      </c>
      <c r="K619" s="443" t="s">
        <v>729</v>
      </c>
      <c r="L619" s="471">
        <v>1</v>
      </c>
      <c r="M619" s="447" t="s">
        <v>3503</v>
      </c>
      <c r="N619" s="456">
        <v>32900</v>
      </c>
      <c r="O619" s="475">
        <f t="shared" si="2"/>
        <v>32900</v>
      </c>
      <c r="P619" s="476"/>
      <c r="Q619" s="477">
        <v>46023</v>
      </c>
      <c r="R619" s="476"/>
      <c r="S619" s="476"/>
    </row>
    <row r="620" spans="1:19" ht="15.75" customHeight="1" x14ac:dyDescent="0.25">
      <c r="A620" s="438">
        <v>617</v>
      </c>
      <c r="B620" s="470" t="s">
        <v>17</v>
      </c>
      <c r="C620" s="471" t="s">
        <v>18</v>
      </c>
      <c r="D620" s="472" t="s">
        <v>19</v>
      </c>
      <c r="E620" s="448" t="s">
        <v>4085</v>
      </c>
      <c r="F620" s="448" t="s">
        <v>2982</v>
      </c>
      <c r="G620" s="473" t="s">
        <v>3058</v>
      </c>
      <c r="H620" s="439" t="s">
        <v>803</v>
      </c>
      <c r="I620" s="474" t="s">
        <v>3459</v>
      </c>
      <c r="J620" s="474" t="s">
        <v>3464</v>
      </c>
      <c r="K620" s="443" t="s">
        <v>729</v>
      </c>
      <c r="L620" s="471">
        <v>1</v>
      </c>
      <c r="M620" s="447" t="s">
        <v>3504</v>
      </c>
      <c r="N620" s="456">
        <v>32900</v>
      </c>
      <c r="O620" s="475">
        <f t="shared" si="2"/>
        <v>32900</v>
      </c>
      <c r="P620" s="476"/>
      <c r="Q620" s="477">
        <v>46023</v>
      </c>
      <c r="R620" s="476"/>
      <c r="S620" s="476"/>
    </row>
    <row r="621" spans="1:19" ht="15.75" customHeight="1" x14ac:dyDescent="0.25">
      <c r="A621" s="438">
        <v>618</v>
      </c>
      <c r="B621" s="470" t="s">
        <v>17</v>
      </c>
      <c r="C621" s="471" t="s">
        <v>18</v>
      </c>
      <c r="D621" s="472" t="s">
        <v>19</v>
      </c>
      <c r="E621" s="448" t="s">
        <v>4085</v>
      </c>
      <c r="F621" s="448" t="s">
        <v>2982</v>
      </c>
      <c r="G621" s="473" t="s">
        <v>3058</v>
      </c>
      <c r="H621" s="439" t="s">
        <v>803</v>
      </c>
      <c r="I621" s="474" t="s">
        <v>3459</v>
      </c>
      <c r="J621" s="474" t="s">
        <v>3464</v>
      </c>
      <c r="K621" s="443" t="s">
        <v>729</v>
      </c>
      <c r="L621" s="471">
        <v>1</v>
      </c>
      <c r="M621" s="447" t="s">
        <v>3123</v>
      </c>
      <c r="N621" s="456">
        <v>32900</v>
      </c>
      <c r="O621" s="475">
        <f t="shared" si="2"/>
        <v>32900</v>
      </c>
      <c r="P621" s="476"/>
      <c r="Q621" s="477">
        <v>46023</v>
      </c>
      <c r="R621" s="476"/>
      <c r="S621" s="476"/>
    </row>
    <row r="622" spans="1:19" ht="15.75" customHeight="1" x14ac:dyDescent="0.25">
      <c r="A622" s="438">
        <v>619</v>
      </c>
      <c r="B622" s="470" t="s">
        <v>17</v>
      </c>
      <c r="C622" s="471" t="s">
        <v>18</v>
      </c>
      <c r="D622" s="472" t="s">
        <v>19</v>
      </c>
      <c r="E622" s="448" t="s">
        <v>4085</v>
      </c>
      <c r="F622" s="448" t="s">
        <v>2982</v>
      </c>
      <c r="G622" s="473" t="s">
        <v>3058</v>
      </c>
      <c r="H622" s="439" t="s">
        <v>803</v>
      </c>
      <c r="I622" s="474" t="s">
        <v>3459</v>
      </c>
      <c r="J622" s="474" t="s">
        <v>3464</v>
      </c>
      <c r="K622" s="443" t="s">
        <v>729</v>
      </c>
      <c r="L622" s="471">
        <v>1</v>
      </c>
      <c r="M622" s="447" t="s">
        <v>809</v>
      </c>
      <c r="N622" s="456">
        <v>32900</v>
      </c>
      <c r="O622" s="475">
        <f t="shared" si="2"/>
        <v>32900</v>
      </c>
      <c r="P622" s="476"/>
      <c r="Q622" s="477">
        <v>46023</v>
      </c>
      <c r="R622" s="476"/>
      <c r="S622" s="476"/>
    </row>
    <row r="623" spans="1:19" ht="15.75" customHeight="1" x14ac:dyDescent="0.25">
      <c r="A623" s="438">
        <v>620</v>
      </c>
      <c r="B623" s="470" t="s">
        <v>17</v>
      </c>
      <c r="C623" s="471" t="s">
        <v>18</v>
      </c>
      <c r="D623" s="472" t="s">
        <v>19</v>
      </c>
      <c r="E623" s="448" t="s">
        <v>4085</v>
      </c>
      <c r="F623" s="448" t="s">
        <v>2982</v>
      </c>
      <c r="G623" s="473" t="s">
        <v>3058</v>
      </c>
      <c r="H623" s="439" t="s">
        <v>803</v>
      </c>
      <c r="I623" s="474" t="s">
        <v>3459</v>
      </c>
      <c r="J623" s="474" t="s">
        <v>3464</v>
      </c>
      <c r="K623" s="443" t="s">
        <v>729</v>
      </c>
      <c r="L623" s="471">
        <v>1</v>
      </c>
      <c r="M623" s="447" t="s">
        <v>810</v>
      </c>
      <c r="N623" s="456">
        <v>32900</v>
      </c>
      <c r="O623" s="475">
        <f t="shared" si="2"/>
        <v>32900</v>
      </c>
      <c r="P623" s="476"/>
      <c r="Q623" s="477">
        <v>46023</v>
      </c>
      <c r="R623" s="476"/>
      <c r="S623" s="476"/>
    </row>
    <row r="624" spans="1:19" ht="15.75" customHeight="1" x14ac:dyDescent="0.25">
      <c r="A624" s="438">
        <v>621</v>
      </c>
      <c r="B624" s="470" t="s">
        <v>17</v>
      </c>
      <c r="C624" s="471" t="s">
        <v>18</v>
      </c>
      <c r="D624" s="472" t="s">
        <v>19</v>
      </c>
      <c r="E624" s="448" t="s">
        <v>4085</v>
      </c>
      <c r="F624" s="448" t="s">
        <v>2982</v>
      </c>
      <c r="G624" s="473" t="s">
        <v>3058</v>
      </c>
      <c r="H624" s="439" t="s">
        <v>803</v>
      </c>
      <c r="I624" s="474" t="s">
        <v>3459</v>
      </c>
      <c r="J624" s="474" t="s">
        <v>3464</v>
      </c>
      <c r="K624" s="443" t="s">
        <v>729</v>
      </c>
      <c r="L624" s="471">
        <v>1</v>
      </c>
      <c r="M624" s="447" t="s">
        <v>811</v>
      </c>
      <c r="N624" s="456">
        <v>32900</v>
      </c>
      <c r="O624" s="475">
        <f t="shared" si="2"/>
        <v>32900</v>
      </c>
      <c r="P624" s="476"/>
      <c r="Q624" s="477">
        <v>46023</v>
      </c>
      <c r="R624" s="476"/>
      <c r="S624" s="476"/>
    </row>
    <row r="625" spans="1:19" ht="15.75" customHeight="1" x14ac:dyDescent="0.25">
      <c r="A625" s="438">
        <v>622</v>
      </c>
      <c r="B625" s="470" t="s">
        <v>17</v>
      </c>
      <c r="C625" s="471" t="s">
        <v>18</v>
      </c>
      <c r="D625" s="472" t="s">
        <v>19</v>
      </c>
      <c r="E625" s="448" t="s">
        <v>4085</v>
      </c>
      <c r="F625" s="448" t="s">
        <v>2982</v>
      </c>
      <c r="G625" s="473" t="s">
        <v>3058</v>
      </c>
      <c r="H625" s="439" t="s">
        <v>803</v>
      </c>
      <c r="I625" s="474" t="s">
        <v>3459</v>
      </c>
      <c r="J625" s="474" t="s">
        <v>3464</v>
      </c>
      <c r="K625" s="443" t="s">
        <v>729</v>
      </c>
      <c r="L625" s="471">
        <v>1</v>
      </c>
      <c r="M625" s="447" t="s">
        <v>812</v>
      </c>
      <c r="N625" s="456">
        <v>32900</v>
      </c>
      <c r="O625" s="475">
        <f t="shared" si="2"/>
        <v>32900</v>
      </c>
      <c r="P625" s="476"/>
      <c r="Q625" s="477">
        <v>46023</v>
      </c>
      <c r="R625" s="476"/>
      <c r="S625" s="476"/>
    </row>
    <row r="626" spans="1:19" ht="15.75" customHeight="1" x14ac:dyDescent="0.25">
      <c r="A626" s="438">
        <v>623</v>
      </c>
      <c r="B626" s="470" t="s">
        <v>17</v>
      </c>
      <c r="C626" s="471" t="s">
        <v>18</v>
      </c>
      <c r="D626" s="472" t="s">
        <v>19</v>
      </c>
      <c r="E626" s="448" t="s">
        <v>4085</v>
      </c>
      <c r="F626" s="448" t="s">
        <v>2982</v>
      </c>
      <c r="G626" s="473" t="s">
        <v>3058</v>
      </c>
      <c r="H626" s="439" t="s">
        <v>803</v>
      </c>
      <c r="I626" s="474" t="s">
        <v>3459</v>
      </c>
      <c r="J626" s="474" t="s">
        <v>3464</v>
      </c>
      <c r="K626" s="443" t="s">
        <v>729</v>
      </c>
      <c r="L626" s="471">
        <v>1</v>
      </c>
      <c r="M626" s="447" t="s">
        <v>813</v>
      </c>
      <c r="N626" s="456">
        <v>32900</v>
      </c>
      <c r="O626" s="475">
        <f t="shared" si="2"/>
        <v>32900</v>
      </c>
      <c r="P626" s="476"/>
      <c r="Q626" s="477">
        <v>46023</v>
      </c>
      <c r="R626" s="476"/>
      <c r="S626" s="476"/>
    </row>
    <row r="627" spans="1:19" ht="15.75" customHeight="1" x14ac:dyDescent="0.25">
      <c r="A627" s="438">
        <v>624</v>
      </c>
      <c r="B627" s="470" t="s">
        <v>17</v>
      </c>
      <c r="C627" s="471" t="s">
        <v>18</v>
      </c>
      <c r="D627" s="472" t="s">
        <v>19</v>
      </c>
      <c r="E627" s="448" t="s">
        <v>4083</v>
      </c>
      <c r="F627" s="448" t="s">
        <v>2988</v>
      </c>
      <c r="G627" s="473" t="s">
        <v>3058</v>
      </c>
      <c r="H627" s="439" t="s">
        <v>803</v>
      </c>
      <c r="I627" s="474" t="s">
        <v>3459</v>
      </c>
      <c r="J627" s="474" t="s">
        <v>3464</v>
      </c>
      <c r="K627" s="443" t="s">
        <v>729</v>
      </c>
      <c r="L627" s="471">
        <v>1</v>
      </c>
      <c r="M627" s="447" t="s">
        <v>814</v>
      </c>
      <c r="N627" s="456">
        <v>32900</v>
      </c>
      <c r="O627" s="475">
        <f t="shared" si="2"/>
        <v>32900</v>
      </c>
      <c r="P627" s="476"/>
      <c r="Q627" s="477">
        <v>46023</v>
      </c>
      <c r="R627" s="476"/>
      <c r="S627" s="476"/>
    </row>
    <row r="628" spans="1:19" ht="15.75" customHeight="1" x14ac:dyDescent="0.25">
      <c r="A628" s="438">
        <v>625</v>
      </c>
      <c r="B628" s="470" t="s">
        <v>17</v>
      </c>
      <c r="C628" s="471" t="s">
        <v>18</v>
      </c>
      <c r="D628" s="472" t="s">
        <v>19</v>
      </c>
      <c r="E628" s="448" t="s">
        <v>4088</v>
      </c>
      <c r="F628" s="448" t="s">
        <v>4101</v>
      </c>
      <c r="G628" s="473" t="s">
        <v>3058</v>
      </c>
      <c r="H628" s="439" t="s">
        <v>803</v>
      </c>
      <c r="I628" s="474" t="s">
        <v>3459</v>
      </c>
      <c r="J628" s="474" t="s">
        <v>3464</v>
      </c>
      <c r="K628" s="443" t="s">
        <v>729</v>
      </c>
      <c r="L628" s="471">
        <v>1</v>
      </c>
      <c r="M628" s="447" t="s">
        <v>815</v>
      </c>
      <c r="N628" s="456">
        <v>32900</v>
      </c>
      <c r="O628" s="475">
        <f t="shared" si="2"/>
        <v>32900</v>
      </c>
      <c r="P628" s="476"/>
      <c r="Q628" s="477">
        <v>46023</v>
      </c>
      <c r="R628" s="476"/>
      <c r="S628" s="476"/>
    </row>
    <row r="629" spans="1:19" ht="15.75" customHeight="1" x14ac:dyDescent="0.25">
      <c r="A629" s="438">
        <v>626</v>
      </c>
      <c r="B629" s="470" t="s">
        <v>17</v>
      </c>
      <c r="C629" s="471" t="s">
        <v>18</v>
      </c>
      <c r="D629" s="472" t="s">
        <v>19</v>
      </c>
      <c r="E629" s="448" t="s">
        <v>4088</v>
      </c>
      <c r="F629" s="448" t="s">
        <v>4101</v>
      </c>
      <c r="G629" s="473" t="s">
        <v>3058</v>
      </c>
      <c r="H629" s="439" t="s">
        <v>803</v>
      </c>
      <c r="I629" s="474" t="s">
        <v>3459</v>
      </c>
      <c r="J629" s="474" t="s">
        <v>3464</v>
      </c>
      <c r="K629" s="443" t="s">
        <v>729</v>
      </c>
      <c r="L629" s="471">
        <v>1</v>
      </c>
      <c r="M629" s="447" t="s">
        <v>816</v>
      </c>
      <c r="N629" s="456">
        <v>32900</v>
      </c>
      <c r="O629" s="475">
        <f t="shared" si="2"/>
        <v>32900</v>
      </c>
      <c r="P629" s="476"/>
      <c r="Q629" s="477">
        <v>46023</v>
      </c>
      <c r="R629" s="476"/>
      <c r="S629" s="476"/>
    </row>
    <row r="630" spans="1:19" ht="15.75" customHeight="1" x14ac:dyDescent="0.25">
      <c r="A630" s="438">
        <v>627</v>
      </c>
      <c r="B630" s="470" t="s">
        <v>17</v>
      </c>
      <c r="C630" s="471" t="s">
        <v>18</v>
      </c>
      <c r="D630" s="472" t="s">
        <v>19</v>
      </c>
      <c r="E630" s="448" t="s">
        <v>4088</v>
      </c>
      <c r="F630" s="448" t="s">
        <v>4101</v>
      </c>
      <c r="G630" s="473" t="s">
        <v>3058</v>
      </c>
      <c r="H630" s="439" t="s">
        <v>803</v>
      </c>
      <c r="I630" s="474" t="s">
        <v>3459</v>
      </c>
      <c r="J630" s="474" t="s">
        <v>3464</v>
      </c>
      <c r="K630" s="443" t="s">
        <v>729</v>
      </c>
      <c r="L630" s="471">
        <v>1</v>
      </c>
      <c r="M630" s="447" t="s">
        <v>817</v>
      </c>
      <c r="N630" s="456">
        <v>32900</v>
      </c>
      <c r="O630" s="475">
        <f t="shared" si="2"/>
        <v>32900</v>
      </c>
      <c r="P630" s="476"/>
      <c r="Q630" s="477">
        <v>46023</v>
      </c>
      <c r="R630" s="476"/>
      <c r="S630" s="476"/>
    </row>
    <row r="631" spans="1:19" ht="15.75" customHeight="1" x14ac:dyDescent="0.25">
      <c r="A631" s="438">
        <v>628</v>
      </c>
      <c r="B631" s="470" t="s">
        <v>17</v>
      </c>
      <c r="C631" s="471" t="s">
        <v>18</v>
      </c>
      <c r="D631" s="472" t="s">
        <v>19</v>
      </c>
      <c r="E631" s="448" t="s">
        <v>4088</v>
      </c>
      <c r="F631" s="448" t="s">
        <v>4101</v>
      </c>
      <c r="G631" s="473" t="s">
        <v>3058</v>
      </c>
      <c r="H631" s="439" t="s">
        <v>803</v>
      </c>
      <c r="I631" s="474" t="s">
        <v>3459</v>
      </c>
      <c r="J631" s="474" t="s">
        <v>3464</v>
      </c>
      <c r="K631" s="443" t="s">
        <v>729</v>
      </c>
      <c r="L631" s="471">
        <v>1</v>
      </c>
      <c r="M631" s="447" t="s">
        <v>818</v>
      </c>
      <c r="N631" s="456">
        <v>32900</v>
      </c>
      <c r="O631" s="475">
        <f t="shared" si="2"/>
        <v>32900</v>
      </c>
      <c r="P631" s="476"/>
      <c r="Q631" s="477">
        <v>46023</v>
      </c>
      <c r="R631" s="476"/>
      <c r="S631" s="476"/>
    </row>
    <row r="632" spans="1:19" ht="15.75" customHeight="1" x14ac:dyDescent="0.25">
      <c r="A632" s="438">
        <v>629</v>
      </c>
      <c r="B632" s="470" t="s">
        <v>17</v>
      </c>
      <c r="C632" s="471" t="s">
        <v>18</v>
      </c>
      <c r="D632" s="472" t="s">
        <v>19</v>
      </c>
      <c r="E632" s="448" t="s">
        <v>4080</v>
      </c>
      <c r="F632" s="448" t="s">
        <v>4080</v>
      </c>
      <c r="G632" s="473" t="s">
        <v>3058</v>
      </c>
      <c r="H632" s="439" t="s">
        <v>819</v>
      </c>
      <c r="I632" s="474" t="s">
        <v>3459</v>
      </c>
      <c r="J632" s="474" t="s">
        <v>3464</v>
      </c>
      <c r="K632" s="443" t="s">
        <v>729</v>
      </c>
      <c r="L632" s="471">
        <v>1</v>
      </c>
      <c r="M632" s="447" t="s">
        <v>820</v>
      </c>
      <c r="N632" s="456">
        <v>19200</v>
      </c>
      <c r="O632" s="475">
        <f t="shared" si="2"/>
        <v>19200</v>
      </c>
      <c r="P632" s="476"/>
      <c r="Q632" s="477">
        <v>46023</v>
      </c>
      <c r="R632" s="476"/>
      <c r="S632" s="476"/>
    </row>
    <row r="633" spans="1:19" ht="15.75" customHeight="1" x14ac:dyDescent="0.25">
      <c r="A633" s="438">
        <v>630</v>
      </c>
      <c r="B633" s="470" t="s">
        <v>17</v>
      </c>
      <c r="C633" s="471" t="s">
        <v>18</v>
      </c>
      <c r="D633" s="472" t="s">
        <v>19</v>
      </c>
      <c r="E633" s="448" t="s">
        <v>4085</v>
      </c>
      <c r="F633" s="448" t="s">
        <v>2985</v>
      </c>
      <c r="G633" s="473" t="s">
        <v>3058</v>
      </c>
      <c r="H633" s="439" t="s">
        <v>819</v>
      </c>
      <c r="I633" s="474" t="s">
        <v>3459</v>
      </c>
      <c r="J633" s="474" t="s">
        <v>3464</v>
      </c>
      <c r="K633" s="443" t="s">
        <v>729</v>
      </c>
      <c r="L633" s="471">
        <v>1</v>
      </c>
      <c r="M633" s="447" t="s">
        <v>821</v>
      </c>
      <c r="N633" s="456">
        <v>19200</v>
      </c>
      <c r="O633" s="475">
        <f t="shared" si="2"/>
        <v>19200</v>
      </c>
      <c r="P633" s="476"/>
      <c r="Q633" s="477">
        <v>46023</v>
      </c>
      <c r="R633" s="476"/>
      <c r="S633" s="476"/>
    </row>
    <row r="634" spans="1:19" ht="15.75" customHeight="1" x14ac:dyDescent="0.25">
      <c r="A634" s="438">
        <v>631</v>
      </c>
      <c r="B634" s="470" t="s">
        <v>17</v>
      </c>
      <c r="C634" s="471" t="s">
        <v>18</v>
      </c>
      <c r="D634" s="472" t="s">
        <v>19</v>
      </c>
      <c r="E634" s="448" t="s">
        <v>4085</v>
      </c>
      <c r="F634" s="448" t="s">
        <v>2985</v>
      </c>
      <c r="G634" s="473" t="s">
        <v>3058</v>
      </c>
      <c r="H634" s="439" t="s">
        <v>819</v>
      </c>
      <c r="I634" s="474" t="s">
        <v>3459</v>
      </c>
      <c r="J634" s="474" t="s">
        <v>3464</v>
      </c>
      <c r="K634" s="443" t="s">
        <v>729</v>
      </c>
      <c r="L634" s="471">
        <v>1</v>
      </c>
      <c r="M634" s="447" t="s">
        <v>822</v>
      </c>
      <c r="N634" s="456">
        <v>19200</v>
      </c>
      <c r="O634" s="475">
        <f t="shared" si="2"/>
        <v>19200</v>
      </c>
      <c r="P634" s="476"/>
      <c r="Q634" s="477">
        <v>46023</v>
      </c>
      <c r="R634" s="476"/>
      <c r="S634" s="476"/>
    </row>
    <row r="635" spans="1:19" ht="15.75" customHeight="1" x14ac:dyDescent="0.25">
      <c r="A635" s="438">
        <v>632</v>
      </c>
      <c r="B635" s="470" t="s">
        <v>17</v>
      </c>
      <c r="C635" s="471" t="s">
        <v>18</v>
      </c>
      <c r="D635" s="472" t="s">
        <v>19</v>
      </c>
      <c r="E635" s="448" t="s">
        <v>4085</v>
      </c>
      <c r="F635" s="448" t="s">
        <v>2985</v>
      </c>
      <c r="G635" s="473" t="s">
        <v>3058</v>
      </c>
      <c r="H635" s="439" t="s">
        <v>819</v>
      </c>
      <c r="I635" s="474" t="s">
        <v>3459</v>
      </c>
      <c r="J635" s="474" t="s">
        <v>3464</v>
      </c>
      <c r="K635" s="443" t="s">
        <v>729</v>
      </c>
      <c r="L635" s="471">
        <v>1</v>
      </c>
      <c r="M635" s="447" t="s">
        <v>823</v>
      </c>
      <c r="N635" s="456">
        <v>19200</v>
      </c>
      <c r="O635" s="475">
        <f t="shared" si="2"/>
        <v>19200</v>
      </c>
      <c r="P635" s="476"/>
      <c r="Q635" s="477">
        <v>46023</v>
      </c>
      <c r="R635" s="476"/>
      <c r="S635" s="476"/>
    </row>
    <row r="636" spans="1:19" ht="15.75" customHeight="1" x14ac:dyDescent="0.25">
      <c r="A636" s="438">
        <v>633</v>
      </c>
      <c r="B636" s="470" t="s">
        <v>17</v>
      </c>
      <c r="C636" s="471" t="s">
        <v>18</v>
      </c>
      <c r="D636" s="472" t="s">
        <v>19</v>
      </c>
      <c r="E636" s="448" t="s">
        <v>4085</v>
      </c>
      <c r="F636" s="448" t="s">
        <v>2985</v>
      </c>
      <c r="G636" s="473" t="s">
        <v>3058</v>
      </c>
      <c r="H636" s="439" t="s">
        <v>819</v>
      </c>
      <c r="I636" s="474" t="s">
        <v>3459</v>
      </c>
      <c r="J636" s="474" t="s">
        <v>3464</v>
      </c>
      <c r="K636" s="443" t="s">
        <v>729</v>
      </c>
      <c r="L636" s="471">
        <v>1</v>
      </c>
      <c r="M636" s="447" t="s">
        <v>824</v>
      </c>
      <c r="N636" s="456">
        <v>19200</v>
      </c>
      <c r="O636" s="475">
        <f t="shared" si="2"/>
        <v>19200</v>
      </c>
      <c r="P636" s="476"/>
      <c r="Q636" s="477">
        <v>46023</v>
      </c>
      <c r="R636" s="476"/>
      <c r="S636" s="476"/>
    </row>
    <row r="637" spans="1:19" ht="15.75" customHeight="1" x14ac:dyDescent="0.25">
      <c r="A637" s="438">
        <v>634</v>
      </c>
      <c r="B637" s="470" t="s">
        <v>17</v>
      </c>
      <c r="C637" s="471" t="s">
        <v>18</v>
      </c>
      <c r="D637" s="472" t="s">
        <v>19</v>
      </c>
      <c r="E637" s="448" t="s">
        <v>4085</v>
      </c>
      <c r="F637" s="448" t="s">
        <v>2985</v>
      </c>
      <c r="G637" s="473" t="s">
        <v>3058</v>
      </c>
      <c r="H637" s="439" t="s">
        <v>819</v>
      </c>
      <c r="I637" s="474" t="s">
        <v>3459</v>
      </c>
      <c r="J637" s="474" t="s">
        <v>3464</v>
      </c>
      <c r="K637" s="443" t="s">
        <v>729</v>
      </c>
      <c r="L637" s="471">
        <v>1</v>
      </c>
      <c r="M637" s="447" t="s">
        <v>825</v>
      </c>
      <c r="N637" s="456">
        <v>19200</v>
      </c>
      <c r="O637" s="475">
        <f t="shared" si="2"/>
        <v>19200</v>
      </c>
      <c r="P637" s="476"/>
      <c r="Q637" s="477">
        <v>46023</v>
      </c>
      <c r="R637" s="476"/>
      <c r="S637" s="476"/>
    </row>
    <row r="638" spans="1:19" ht="15.75" customHeight="1" x14ac:dyDescent="0.25">
      <c r="A638" s="438">
        <v>635</v>
      </c>
      <c r="B638" s="470" t="s">
        <v>17</v>
      </c>
      <c r="C638" s="471" t="s">
        <v>18</v>
      </c>
      <c r="D638" s="472" t="s">
        <v>19</v>
      </c>
      <c r="E638" s="448" t="s">
        <v>4085</v>
      </c>
      <c r="F638" s="448" t="s">
        <v>2985</v>
      </c>
      <c r="G638" s="473" t="s">
        <v>3058</v>
      </c>
      <c r="H638" s="439" t="s">
        <v>819</v>
      </c>
      <c r="I638" s="474" t="s">
        <v>3459</v>
      </c>
      <c r="J638" s="474" t="s">
        <v>3464</v>
      </c>
      <c r="K638" s="443" t="s">
        <v>729</v>
      </c>
      <c r="L638" s="471">
        <v>1</v>
      </c>
      <c r="M638" s="447" t="s">
        <v>826</v>
      </c>
      <c r="N638" s="456">
        <v>19200</v>
      </c>
      <c r="O638" s="475">
        <f t="shared" si="2"/>
        <v>19200</v>
      </c>
      <c r="P638" s="476"/>
      <c r="Q638" s="477">
        <v>46023</v>
      </c>
      <c r="R638" s="476"/>
      <c r="S638" s="476"/>
    </row>
    <row r="639" spans="1:19" ht="15.75" customHeight="1" x14ac:dyDescent="0.25">
      <c r="A639" s="438">
        <v>636</v>
      </c>
      <c r="B639" s="470" t="s">
        <v>17</v>
      </c>
      <c r="C639" s="471" t="s">
        <v>18</v>
      </c>
      <c r="D639" s="472" t="s">
        <v>19</v>
      </c>
      <c r="E639" s="448" t="s">
        <v>4085</v>
      </c>
      <c r="F639" s="448" t="s">
        <v>2985</v>
      </c>
      <c r="G639" s="473" t="s">
        <v>3058</v>
      </c>
      <c r="H639" s="439" t="s">
        <v>819</v>
      </c>
      <c r="I639" s="474" t="s">
        <v>3459</v>
      </c>
      <c r="J639" s="474" t="s">
        <v>3464</v>
      </c>
      <c r="K639" s="443" t="s">
        <v>729</v>
      </c>
      <c r="L639" s="471">
        <v>1</v>
      </c>
      <c r="M639" s="447" t="s">
        <v>827</v>
      </c>
      <c r="N639" s="456">
        <v>19200</v>
      </c>
      <c r="O639" s="475">
        <f t="shared" si="2"/>
        <v>19200</v>
      </c>
      <c r="P639" s="476"/>
      <c r="Q639" s="477">
        <v>46023</v>
      </c>
      <c r="R639" s="476"/>
      <c r="S639" s="476"/>
    </row>
    <row r="640" spans="1:19" ht="15.75" customHeight="1" x14ac:dyDescent="0.25">
      <c r="A640" s="438">
        <v>637</v>
      </c>
      <c r="B640" s="470" t="s">
        <v>17</v>
      </c>
      <c r="C640" s="471" t="s">
        <v>18</v>
      </c>
      <c r="D640" s="472" t="s">
        <v>19</v>
      </c>
      <c r="E640" s="448" t="s">
        <v>4085</v>
      </c>
      <c r="F640" s="448" t="s">
        <v>2985</v>
      </c>
      <c r="G640" s="473" t="s">
        <v>3058</v>
      </c>
      <c r="H640" s="439" t="s">
        <v>819</v>
      </c>
      <c r="I640" s="474" t="s">
        <v>3459</v>
      </c>
      <c r="J640" s="474" t="s">
        <v>3464</v>
      </c>
      <c r="K640" s="443" t="s">
        <v>729</v>
      </c>
      <c r="L640" s="471">
        <v>1</v>
      </c>
      <c r="M640" s="447" t="s">
        <v>828</v>
      </c>
      <c r="N640" s="456">
        <v>19200</v>
      </c>
      <c r="O640" s="475">
        <f t="shared" si="2"/>
        <v>19200</v>
      </c>
      <c r="P640" s="476"/>
      <c r="Q640" s="477">
        <v>46023</v>
      </c>
      <c r="R640" s="476"/>
      <c r="S640" s="476"/>
    </row>
    <row r="641" spans="1:19" ht="15.75" customHeight="1" x14ac:dyDescent="0.25">
      <c r="A641" s="438">
        <v>638</v>
      </c>
      <c r="B641" s="470" t="s">
        <v>17</v>
      </c>
      <c r="C641" s="471" t="s">
        <v>18</v>
      </c>
      <c r="D641" s="472" t="s">
        <v>19</v>
      </c>
      <c r="E641" s="448" t="s">
        <v>4085</v>
      </c>
      <c r="F641" s="448" t="s">
        <v>2985</v>
      </c>
      <c r="G641" s="473" t="s">
        <v>3058</v>
      </c>
      <c r="H641" s="439" t="s">
        <v>829</v>
      </c>
      <c r="I641" s="474" t="s">
        <v>3459</v>
      </c>
      <c r="J641" s="474" t="s">
        <v>3464</v>
      </c>
      <c r="K641" s="443" t="s">
        <v>729</v>
      </c>
      <c r="L641" s="471">
        <v>1</v>
      </c>
      <c r="M641" s="447" t="s">
        <v>830</v>
      </c>
      <c r="N641" s="456">
        <v>12400</v>
      </c>
      <c r="O641" s="475">
        <f t="shared" si="2"/>
        <v>12400</v>
      </c>
      <c r="P641" s="476"/>
      <c r="Q641" s="477">
        <v>46023</v>
      </c>
      <c r="R641" s="476"/>
      <c r="S641" s="476"/>
    </row>
    <row r="642" spans="1:19" ht="15.75" customHeight="1" x14ac:dyDescent="0.25">
      <c r="A642" s="438">
        <v>639</v>
      </c>
      <c r="B642" s="470" t="s">
        <v>17</v>
      </c>
      <c r="C642" s="471" t="s">
        <v>18</v>
      </c>
      <c r="D642" s="472" t="s">
        <v>19</v>
      </c>
      <c r="E642" s="448" t="s">
        <v>4085</v>
      </c>
      <c r="F642" s="448" t="s">
        <v>2985</v>
      </c>
      <c r="G642" s="473" t="s">
        <v>3058</v>
      </c>
      <c r="H642" s="439" t="s">
        <v>829</v>
      </c>
      <c r="I642" s="474" t="s">
        <v>3459</v>
      </c>
      <c r="J642" s="474" t="s">
        <v>3464</v>
      </c>
      <c r="K642" s="443" t="s">
        <v>729</v>
      </c>
      <c r="L642" s="471">
        <v>1</v>
      </c>
      <c r="M642" s="447" t="s">
        <v>831</v>
      </c>
      <c r="N642" s="456">
        <v>12400</v>
      </c>
      <c r="O642" s="475">
        <f t="shared" si="2"/>
        <v>12400</v>
      </c>
      <c r="P642" s="476"/>
      <c r="Q642" s="477">
        <v>46023</v>
      </c>
      <c r="R642" s="476"/>
      <c r="S642" s="476"/>
    </row>
    <row r="643" spans="1:19" ht="15.75" customHeight="1" x14ac:dyDescent="0.25">
      <c r="A643" s="438">
        <v>640</v>
      </c>
      <c r="B643" s="470" t="s">
        <v>17</v>
      </c>
      <c r="C643" s="471" t="s">
        <v>18</v>
      </c>
      <c r="D643" s="472" t="s">
        <v>19</v>
      </c>
      <c r="E643" s="448" t="s">
        <v>4091</v>
      </c>
      <c r="F643" s="448" t="s">
        <v>3024</v>
      </c>
      <c r="G643" s="473" t="s">
        <v>3058</v>
      </c>
      <c r="H643" s="439" t="s">
        <v>832</v>
      </c>
      <c r="I643" s="474" t="s">
        <v>3459</v>
      </c>
      <c r="J643" s="474" t="s">
        <v>3464</v>
      </c>
      <c r="K643" s="443" t="s">
        <v>729</v>
      </c>
      <c r="L643" s="471">
        <v>1</v>
      </c>
      <c r="M643" s="447" t="s">
        <v>833</v>
      </c>
      <c r="N643" s="456">
        <v>5900</v>
      </c>
      <c r="O643" s="475">
        <f t="shared" si="2"/>
        <v>5900</v>
      </c>
      <c r="P643" s="476"/>
      <c r="Q643" s="477">
        <v>46023</v>
      </c>
      <c r="R643" s="476"/>
      <c r="S643" s="476"/>
    </row>
    <row r="644" spans="1:19" ht="15.75" customHeight="1" x14ac:dyDescent="0.25">
      <c r="A644" s="438">
        <v>641</v>
      </c>
      <c r="B644" s="470" t="s">
        <v>17</v>
      </c>
      <c r="C644" s="471" t="s">
        <v>18</v>
      </c>
      <c r="D644" s="472" t="s">
        <v>19</v>
      </c>
      <c r="E644" s="448" t="s">
        <v>4091</v>
      </c>
      <c r="F644" s="448" t="s">
        <v>3024</v>
      </c>
      <c r="G644" s="473" t="s">
        <v>3058</v>
      </c>
      <c r="H644" s="439" t="s">
        <v>832</v>
      </c>
      <c r="I644" s="474" t="s">
        <v>3459</v>
      </c>
      <c r="J644" s="474" t="s">
        <v>3464</v>
      </c>
      <c r="K644" s="443" t="s">
        <v>729</v>
      </c>
      <c r="L644" s="471">
        <v>1</v>
      </c>
      <c r="M644" s="447" t="s">
        <v>834</v>
      </c>
      <c r="N644" s="456">
        <v>5900</v>
      </c>
      <c r="O644" s="475">
        <f t="shared" si="2"/>
        <v>5900</v>
      </c>
      <c r="P644" s="476"/>
      <c r="Q644" s="477">
        <v>46023</v>
      </c>
      <c r="R644" s="476"/>
      <c r="S644" s="476"/>
    </row>
    <row r="645" spans="1:19" ht="15.75" customHeight="1" x14ac:dyDescent="0.25">
      <c r="A645" s="438">
        <v>642</v>
      </c>
      <c r="B645" s="470" t="s">
        <v>17</v>
      </c>
      <c r="C645" s="471" t="s">
        <v>18</v>
      </c>
      <c r="D645" s="472" t="s">
        <v>19</v>
      </c>
      <c r="E645" s="465" t="s">
        <v>4091</v>
      </c>
      <c r="F645" s="448" t="s">
        <v>3024</v>
      </c>
      <c r="G645" s="473" t="s">
        <v>3058</v>
      </c>
      <c r="H645" s="439" t="s">
        <v>832</v>
      </c>
      <c r="I645" s="474" t="s">
        <v>3459</v>
      </c>
      <c r="J645" s="474" t="s">
        <v>3464</v>
      </c>
      <c r="K645" s="443" t="s">
        <v>729</v>
      </c>
      <c r="L645" s="471">
        <v>1</v>
      </c>
      <c r="M645" s="447" t="s">
        <v>835</v>
      </c>
      <c r="N645" s="456">
        <v>5900</v>
      </c>
      <c r="O645" s="475">
        <f t="shared" si="2"/>
        <v>5900</v>
      </c>
      <c r="P645" s="476"/>
      <c r="Q645" s="477">
        <v>46023</v>
      </c>
      <c r="R645" s="476"/>
      <c r="S645" s="476"/>
    </row>
    <row r="646" spans="1:19" ht="15.75" customHeight="1" x14ac:dyDescent="0.25">
      <c r="A646" s="438">
        <v>643</v>
      </c>
      <c r="B646" s="470" t="s">
        <v>17</v>
      </c>
      <c r="C646" s="471" t="s">
        <v>18</v>
      </c>
      <c r="D646" s="472" t="s">
        <v>19</v>
      </c>
      <c r="E646" s="465" t="s">
        <v>4091</v>
      </c>
      <c r="F646" s="448" t="s">
        <v>3024</v>
      </c>
      <c r="G646" s="473" t="s">
        <v>3058</v>
      </c>
      <c r="H646" s="439" t="s">
        <v>832</v>
      </c>
      <c r="I646" s="474" t="s">
        <v>3459</v>
      </c>
      <c r="J646" s="474" t="s">
        <v>3464</v>
      </c>
      <c r="K646" s="443" t="s">
        <v>729</v>
      </c>
      <c r="L646" s="471">
        <v>1</v>
      </c>
      <c r="M646" s="447" t="s">
        <v>836</v>
      </c>
      <c r="N646" s="456">
        <v>5900</v>
      </c>
      <c r="O646" s="475">
        <f t="shared" si="2"/>
        <v>5900</v>
      </c>
      <c r="P646" s="476"/>
      <c r="Q646" s="477">
        <v>46023</v>
      </c>
      <c r="R646" s="476"/>
      <c r="S646" s="476"/>
    </row>
    <row r="647" spans="1:19" ht="15.75" customHeight="1" x14ac:dyDescent="0.25">
      <c r="A647" s="438">
        <v>644</v>
      </c>
      <c r="B647" s="470" t="s">
        <v>17</v>
      </c>
      <c r="C647" s="471" t="s">
        <v>18</v>
      </c>
      <c r="D647" s="472" t="s">
        <v>19</v>
      </c>
      <c r="E647" s="465" t="s">
        <v>4091</v>
      </c>
      <c r="F647" s="448" t="s">
        <v>3024</v>
      </c>
      <c r="G647" s="473" t="s">
        <v>3058</v>
      </c>
      <c r="H647" s="439" t="s">
        <v>832</v>
      </c>
      <c r="I647" s="474" t="s">
        <v>3459</v>
      </c>
      <c r="J647" s="474" t="s">
        <v>3464</v>
      </c>
      <c r="K647" s="443" t="s">
        <v>729</v>
      </c>
      <c r="L647" s="471">
        <v>1</v>
      </c>
      <c r="M647" s="447" t="s">
        <v>837</v>
      </c>
      <c r="N647" s="456">
        <v>5900</v>
      </c>
      <c r="O647" s="475">
        <f t="shared" si="2"/>
        <v>5900</v>
      </c>
      <c r="P647" s="476"/>
      <c r="Q647" s="477">
        <v>46023</v>
      </c>
      <c r="R647" s="476"/>
      <c r="S647" s="476"/>
    </row>
    <row r="648" spans="1:19" ht="15.75" customHeight="1" x14ac:dyDescent="0.25">
      <c r="A648" s="438">
        <v>645</v>
      </c>
      <c r="B648" s="470" t="s">
        <v>17</v>
      </c>
      <c r="C648" s="471" t="s">
        <v>18</v>
      </c>
      <c r="D648" s="472" t="s">
        <v>19</v>
      </c>
      <c r="E648" s="448" t="s">
        <v>4091</v>
      </c>
      <c r="F648" s="448" t="s">
        <v>3024</v>
      </c>
      <c r="G648" s="473" t="s">
        <v>3058</v>
      </c>
      <c r="H648" s="439" t="s">
        <v>832</v>
      </c>
      <c r="I648" s="474" t="s">
        <v>3459</v>
      </c>
      <c r="J648" s="474" t="s">
        <v>3464</v>
      </c>
      <c r="K648" s="443" t="s">
        <v>729</v>
      </c>
      <c r="L648" s="471">
        <v>1</v>
      </c>
      <c r="M648" s="447" t="s">
        <v>838</v>
      </c>
      <c r="N648" s="456">
        <v>5900</v>
      </c>
      <c r="O648" s="475">
        <f t="shared" si="2"/>
        <v>5900</v>
      </c>
      <c r="P648" s="476"/>
      <c r="Q648" s="477">
        <v>46023</v>
      </c>
      <c r="R648" s="476"/>
      <c r="S648" s="476"/>
    </row>
    <row r="649" spans="1:19" ht="15.75" customHeight="1" x14ac:dyDescent="0.25">
      <c r="A649" s="438">
        <v>646</v>
      </c>
      <c r="B649" s="470" t="s">
        <v>17</v>
      </c>
      <c r="C649" s="471" t="s">
        <v>18</v>
      </c>
      <c r="D649" s="472" t="s">
        <v>19</v>
      </c>
      <c r="E649" s="448" t="s">
        <v>4091</v>
      </c>
      <c r="F649" s="448" t="s">
        <v>3024</v>
      </c>
      <c r="G649" s="473" t="s">
        <v>3058</v>
      </c>
      <c r="H649" s="439" t="s">
        <v>832</v>
      </c>
      <c r="I649" s="474" t="s">
        <v>3459</v>
      </c>
      <c r="J649" s="474" t="s">
        <v>3464</v>
      </c>
      <c r="K649" s="443" t="s">
        <v>729</v>
      </c>
      <c r="L649" s="471">
        <v>1</v>
      </c>
      <c r="M649" s="447" t="s">
        <v>839</v>
      </c>
      <c r="N649" s="456">
        <v>5900</v>
      </c>
      <c r="O649" s="475">
        <f t="shared" si="2"/>
        <v>5900</v>
      </c>
      <c r="P649" s="476"/>
      <c r="Q649" s="477">
        <v>46023</v>
      </c>
      <c r="R649" s="476"/>
      <c r="S649" s="476"/>
    </row>
    <row r="650" spans="1:19" ht="15.75" customHeight="1" x14ac:dyDescent="0.25">
      <c r="A650" s="438">
        <v>647</v>
      </c>
      <c r="B650" s="470" t="s">
        <v>17</v>
      </c>
      <c r="C650" s="471" t="s">
        <v>18</v>
      </c>
      <c r="D650" s="472" t="s">
        <v>19</v>
      </c>
      <c r="E650" s="448" t="s">
        <v>4085</v>
      </c>
      <c r="F650" s="448" t="s">
        <v>2982</v>
      </c>
      <c r="G650" s="473" t="s">
        <v>3058</v>
      </c>
      <c r="H650" s="439" t="s">
        <v>832</v>
      </c>
      <c r="I650" s="474" t="s">
        <v>3459</v>
      </c>
      <c r="J650" s="474" t="s">
        <v>3464</v>
      </c>
      <c r="K650" s="443" t="s">
        <v>729</v>
      </c>
      <c r="L650" s="471">
        <v>1</v>
      </c>
      <c r="M650" s="447" t="s">
        <v>840</v>
      </c>
      <c r="N650" s="456">
        <v>5900</v>
      </c>
      <c r="O650" s="475">
        <f t="shared" si="2"/>
        <v>5900</v>
      </c>
      <c r="P650" s="476"/>
      <c r="Q650" s="477">
        <v>46023</v>
      </c>
      <c r="R650" s="476"/>
      <c r="S650" s="476"/>
    </row>
    <row r="651" spans="1:19" ht="15.75" customHeight="1" x14ac:dyDescent="0.25">
      <c r="A651" s="438">
        <v>648</v>
      </c>
      <c r="B651" s="470" t="s">
        <v>17</v>
      </c>
      <c r="C651" s="471" t="s">
        <v>18</v>
      </c>
      <c r="D651" s="472" t="s">
        <v>19</v>
      </c>
      <c r="E651" s="448" t="s">
        <v>4085</v>
      </c>
      <c r="F651" s="448" t="s">
        <v>2982</v>
      </c>
      <c r="G651" s="473" t="s">
        <v>3058</v>
      </c>
      <c r="H651" s="439" t="s">
        <v>832</v>
      </c>
      <c r="I651" s="474" t="s">
        <v>3459</v>
      </c>
      <c r="J651" s="474" t="s">
        <v>3464</v>
      </c>
      <c r="K651" s="443" t="s">
        <v>729</v>
      </c>
      <c r="L651" s="471">
        <v>1</v>
      </c>
      <c r="M651" s="447" t="s">
        <v>841</v>
      </c>
      <c r="N651" s="456">
        <v>5900</v>
      </c>
      <c r="O651" s="475">
        <f t="shared" si="2"/>
        <v>5900</v>
      </c>
      <c r="P651" s="476"/>
      <c r="Q651" s="477">
        <v>46023</v>
      </c>
      <c r="R651" s="476"/>
      <c r="S651" s="476"/>
    </row>
    <row r="652" spans="1:19" ht="15.75" customHeight="1" x14ac:dyDescent="0.25">
      <c r="A652" s="438">
        <v>649</v>
      </c>
      <c r="B652" s="470" t="s">
        <v>17</v>
      </c>
      <c r="C652" s="471" t="s">
        <v>18</v>
      </c>
      <c r="D652" s="472" t="s">
        <v>19</v>
      </c>
      <c r="E652" s="448" t="s">
        <v>4085</v>
      </c>
      <c r="F652" s="448" t="s">
        <v>2982</v>
      </c>
      <c r="G652" s="473" t="s">
        <v>3058</v>
      </c>
      <c r="H652" s="439" t="s">
        <v>832</v>
      </c>
      <c r="I652" s="474" t="s">
        <v>3459</v>
      </c>
      <c r="J652" s="474" t="s">
        <v>3464</v>
      </c>
      <c r="K652" s="443" t="s">
        <v>729</v>
      </c>
      <c r="L652" s="471">
        <v>1</v>
      </c>
      <c r="M652" s="447" t="s">
        <v>842</v>
      </c>
      <c r="N652" s="456">
        <v>5900</v>
      </c>
      <c r="O652" s="475">
        <f t="shared" si="2"/>
        <v>5900</v>
      </c>
      <c r="P652" s="476"/>
      <c r="Q652" s="477">
        <v>46023</v>
      </c>
      <c r="R652" s="476"/>
      <c r="S652" s="476"/>
    </row>
    <row r="653" spans="1:19" ht="15.75" customHeight="1" x14ac:dyDescent="0.25">
      <c r="A653" s="438">
        <v>650</v>
      </c>
      <c r="B653" s="470" t="s">
        <v>17</v>
      </c>
      <c r="C653" s="471" t="s">
        <v>18</v>
      </c>
      <c r="D653" s="472" t="s">
        <v>19</v>
      </c>
      <c r="E653" s="448" t="s">
        <v>4085</v>
      </c>
      <c r="F653" s="448" t="s">
        <v>2982</v>
      </c>
      <c r="G653" s="473" t="s">
        <v>3058</v>
      </c>
      <c r="H653" s="439" t="s">
        <v>832</v>
      </c>
      <c r="I653" s="474" t="s">
        <v>3459</v>
      </c>
      <c r="J653" s="474" t="s">
        <v>3464</v>
      </c>
      <c r="K653" s="443" t="s">
        <v>729</v>
      </c>
      <c r="L653" s="471">
        <v>1</v>
      </c>
      <c r="M653" s="447" t="s">
        <v>843</v>
      </c>
      <c r="N653" s="456">
        <v>5900</v>
      </c>
      <c r="O653" s="475">
        <f t="shared" si="2"/>
        <v>5900</v>
      </c>
      <c r="P653" s="476"/>
      <c r="Q653" s="477">
        <v>46023</v>
      </c>
      <c r="R653" s="476"/>
      <c r="S653" s="476"/>
    </row>
    <row r="654" spans="1:19" ht="15.75" customHeight="1" x14ac:dyDescent="0.25">
      <c r="A654" s="438">
        <v>651</v>
      </c>
      <c r="B654" s="470" t="s">
        <v>17</v>
      </c>
      <c r="C654" s="471" t="s">
        <v>18</v>
      </c>
      <c r="D654" s="472" t="s">
        <v>19</v>
      </c>
      <c r="E654" s="448" t="s">
        <v>4085</v>
      </c>
      <c r="F654" s="448" t="s">
        <v>2982</v>
      </c>
      <c r="G654" s="473" t="s">
        <v>3058</v>
      </c>
      <c r="H654" s="439" t="s">
        <v>832</v>
      </c>
      <c r="I654" s="474" t="s">
        <v>3459</v>
      </c>
      <c r="J654" s="474" t="s">
        <v>3464</v>
      </c>
      <c r="K654" s="443" t="s">
        <v>729</v>
      </c>
      <c r="L654" s="471">
        <v>1</v>
      </c>
      <c r="M654" s="447" t="s">
        <v>844</v>
      </c>
      <c r="N654" s="456">
        <v>5900</v>
      </c>
      <c r="O654" s="475">
        <f t="shared" si="2"/>
        <v>5900</v>
      </c>
      <c r="P654" s="476"/>
      <c r="Q654" s="477">
        <v>46023</v>
      </c>
      <c r="R654" s="476"/>
      <c r="S654" s="476"/>
    </row>
    <row r="655" spans="1:19" ht="15.75" customHeight="1" x14ac:dyDescent="0.25">
      <c r="A655" s="438">
        <v>652</v>
      </c>
      <c r="B655" s="470" t="s">
        <v>17</v>
      </c>
      <c r="C655" s="471" t="s">
        <v>18</v>
      </c>
      <c r="D655" s="472" t="s">
        <v>19</v>
      </c>
      <c r="E655" s="465" t="s">
        <v>4085</v>
      </c>
      <c r="F655" s="448" t="s">
        <v>2982</v>
      </c>
      <c r="G655" s="473" t="s">
        <v>3058</v>
      </c>
      <c r="H655" s="439" t="s">
        <v>832</v>
      </c>
      <c r="I655" s="474" t="s">
        <v>3459</v>
      </c>
      <c r="J655" s="474" t="s">
        <v>3464</v>
      </c>
      <c r="K655" s="443" t="s">
        <v>729</v>
      </c>
      <c r="L655" s="471">
        <v>1</v>
      </c>
      <c r="M655" s="447" t="s">
        <v>845</v>
      </c>
      <c r="N655" s="456">
        <v>5900</v>
      </c>
      <c r="O655" s="475">
        <f t="shared" si="2"/>
        <v>5900</v>
      </c>
      <c r="P655" s="476"/>
      <c r="Q655" s="477">
        <v>46023</v>
      </c>
      <c r="R655" s="476"/>
      <c r="S655" s="476"/>
    </row>
    <row r="656" spans="1:19" ht="15.75" customHeight="1" x14ac:dyDescent="0.25">
      <c r="A656" s="438">
        <v>653</v>
      </c>
      <c r="B656" s="470" t="s">
        <v>17</v>
      </c>
      <c r="C656" s="471" t="s">
        <v>18</v>
      </c>
      <c r="D656" s="472" t="s">
        <v>19</v>
      </c>
      <c r="E656" s="465" t="s">
        <v>4085</v>
      </c>
      <c r="F656" s="448" t="s">
        <v>2985</v>
      </c>
      <c r="G656" s="473" t="s">
        <v>3058</v>
      </c>
      <c r="H656" s="439" t="s">
        <v>832</v>
      </c>
      <c r="I656" s="474" t="s">
        <v>3459</v>
      </c>
      <c r="J656" s="474" t="s">
        <v>3464</v>
      </c>
      <c r="K656" s="443" t="s">
        <v>729</v>
      </c>
      <c r="L656" s="471">
        <v>1</v>
      </c>
      <c r="M656" s="447" t="s">
        <v>846</v>
      </c>
      <c r="N656" s="456">
        <v>5900</v>
      </c>
      <c r="O656" s="475">
        <f t="shared" si="2"/>
        <v>5900</v>
      </c>
      <c r="P656" s="476"/>
      <c r="Q656" s="477">
        <v>46023</v>
      </c>
      <c r="R656" s="476"/>
      <c r="S656" s="476"/>
    </row>
    <row r="657" spans="1:19" ht="15.75" customHeight="1" x14ac:dyDescent="0.25">
      <c r="A657" s="438">
        <v>654</v>
      </c>
      <c r="B657" s="470" t="s">
        <v>17</v>
      </c>
      <c r="C657" s="471" t="s">
        <v>18</v>
      </c>
      <c r="D657" s="472" t="s">
        <v>19</v>
      </c>
      <c r="E657" s="465" t="s">
        <v>4085</v>
      </c>
      <c r="F657" s="448" t="s">
        <v>2985</v>
      </c>
      <c r="G657" s="473" t="s">
        <v>3058</v>
      </c>
      <c r="H657" s="439" t="s">
        <v>832</v>
      </c>
      <c r="I657" s="474" t="s">
        <v>3459</v>
      </c>
      <c r="J657" s="474" t="s">
        <v>3464</v>
      </c>
      <c r="K657" s="443" t="s">
        <v>729</v>
      </c>
      <c r="L657" s="471">
        <v>1</v>
      </c>
      <c r="M657" s="447" t="s">
        <v>847</v>
      </c>
      <c r="N657" s="456">
        <v>5900</v>
      </c>
      <c r="O657" s="475">
        <f t="shared" si="2"/>
        <v>5900</v>
      </c>
      <c r="P657" s="476"/>
      <c r="Q657" s="477">
        <v>46023</v>
      </c>
      <c r="R657" s="476"/>
      <c r="S657" s="476"/>
    </row>
    <row r="658" spans="1:19" ht="15.75" customHeight="1" x14ac:dyDescent="0.25">
      <c r="A658" s="438">
        <v>655</v>
      </c>
      <c r="B658" s="470" t="s">
        <v>17</v>
      </c>
      <c r="C658" s="471" t="s">
        <v>18</v>
      </c>
      <c r="D658" s="472" t="s">
        <v>19</v>
      </c>
      <c r="E658" s="465" t="s">
        <v>4085</v>
      </c>
      <c r="F658" s="448" t="s">
        <v>2985</v>
      </c>
      <c r="G658" s="473" t="s">
        <v>3058</v>
      </c>
      <c r="H658" s="439" t="s">
        <v>832</v>
      </c>
      <c r="I658" s="474" t="s">
        <v>3459</v>
      </c>
      <c r="J658" s="474" t="s">
        <v>3464</v>
      </c>
      <c r="K658" s="443" t="s">
        <v>729</v>
      </c>
      <c r="L658" s="471">
        <v>1</v>
      </c>
      <c r="M658" s="447" t="s">
        <v>848</v>
      </c>
      <c r="N658" s="456">
        <v>5900</v>
      </c>
      <c r="O658" s="475">
        <f t="shared" si="2"/>
        <v>5900</v>
      </c>
      <c r="P658" s="476"/>
      <c r="Q658" s="477">
        <v>46023</v>
      </c>
      <c r="R658" s="476"/>
      <c r="S658" s="476"/>
    </row>
    <row r="659" spans="1:19" ht="15.75" customHeight="1" x14ac:dyDescent="0.25">
      <c r="A659" s="438">
        <v>656</v>
      </c>
      <c r="B659" s="470" t="s">
        <v>17</v>
      </c>
      <c r="C659" s="471" t="s">
        <v>18</v>
      </c>
      <c r="D659" s="472" t="s">
        <v>19</v>
      </c>
      <c r="E659" s="465" t="s">
        <v>4085</v>
      </c>
      <c r="F659" s="448" t="s">
        <v>2985</v>
      </c>
      <c r="G659" s="473" t="s">
        <v>3058</v>
      </c>
      <c r="H659" s="439" t="s">
        <v>832</v>
      </c>
      <c r="I659" s="474" t="s">
        <v>3459</v>
      </c>
      <c r="J659" s="474" t="s">
        <v>3464</v>
      </c>
      <c r="K659" s="443" t="s">
        <v>729</v>
      </c>
      <c r="L659" s="471">
        <v>1</v>
      </c>
      <c r="M659" s="447" t="s">
        <v>849</v>
      </c>
      <c r="N659" s="456">
        <v>5900</v>
      </c>
      <c r="O659" s="475">
        <f t="shared" si="2"/>
        <v>5900</v>
      </c>
      <c r="P659" s="476"/>
      <c r="Q659" s="477">
        <v>46023</v>
      </c>
      <c r="R659" s="476"/>
      <c r="S659" s="476"/>
    </row>
    <row r="660" spans="1:19" ht="15.75" customHeight="1" x14ac:dyDescent="0.25">
      <c r="A660" s="438">
        <v>657</v>
      </c>
      <c r="B660" s="470" t="s">
        <v>17</v>
      </c>
      <c r="C660" s="471" t="s">
        <v>18</v>
      </c>
      <c r="D660" s="472" t="s">
        <v>19</v>
      </c>
      <c r="E660" s="465" t="s">
        <v>4085</v>
      </c>
      <c r="F660" s="448" t="s">
        <v>2985</v>
      </c>
      <c r="G660" s="473" t="s">
        <v>3058</v>
      </c>
      <c r="H660" s="439" t="s">
        <v>832</v>
      </c>
      <c r="I660" s="474" t="s">
        <v>3459</v>
      </c>
      <c r="J660" s="474" t="s">
        <v>3464</v>
      </c>
      <c r="K660" s="443" t="s">
        <v>729</v>
      </c>
      <c r="L660" s="471">
        <v>1</v>
      </c>
      <c r="M660" s="447" t="s">
        <v>850</v>
      </c>
      <c r="N660" s="456">
        <v>5900</v>
      </c>
      <c r="O660" s="475">
        <f t="shared" si="2"/>
        <v>5900</v>
      </c>
      <c r="P660" s="476"/>
      <c r="Q660" s="477">
        <v>46023</v>
      </c>
      <c r="R660" s="476"/>
      <c r="S660" s="476"/>
    </row>
    <row r="661" spans="1:19" ht="15.75" customHeight="1" x14ac:dyDescent="0.25">
      <c r="A661" s="438">
        <v>658</v>
      </c>
      <c r="B661" s="470" t="s">
        <v>17</v>
      </c>
      <c r="C661" s="471" t="s">
        <v>18</v>
      </c>
      <c r="D661" s="472" t="s">
        <v>19</v>
      </c>
      <c r="E661" s="465" t="s">
        <v>4085</v>
      </c>
      <c r="F661" s="448" t="s">
        <v>2985</v>
      </c>
      <c r="G661" s="473" t="s">
        <v>3058</v>
      </c>
      <c r="H661" s="439" t="s">
        <v>832</v>
      </c>
      <c r="I661" s="474" t="s">
        <v>3459</v>
      </c>
      <c r="J661" s="474" t="s">
        <v>3464</v>
      </c>
      <c r="K661" s="443" t="s">
        <v>729</v>
      </c>
      <c r="L661" s="471">
        <v>1</v>
      </c>
      <c r="M661" s="447" t="s">
        <v>851</v>
      </c>
      <c r="N661" s="456">
        <v>5900</v>
      </c>
      <c r="O661" s="475">
        <f t="shared" si="2"/>
        <v>5900</v>
      </c>
      <c r="P661" s="476"/>
      <c r="Q661" s="477">
        <v>46023</v>
      </c>
      <c r="R661" s="476"/>
      <c r="S661" s="476"/>
    </row>
    <row r="662" spans="1:19" ht="15.75" customHeight="1" x14ac:dyDescent="0.25">
      <c r="A662" s="438">
        <v>659</v>
      </c>
      <c r="B662" s="470" t="s">
        <v>17</v>
      </c>
      <c r="C662" s="471" t="s">
        <v>18</v>
      </c>
      <c r="D662" s="472" t="s">
        <v>19</v>
      </c>
      <c r="E662" s="448" t="s">
        <v>4085</v>
      </c>
      <c r="F662" s="448" t="s">
        <v>2985</v>
      </c>
      <c r="G662" s="473" t="s">
        <v>3058</v>
      </c>
      <c r="H662" s="439" t="s">
        <v>832</v>
      </c>
      <c r="I662" s="474" t="s">
        <v>3459</v>
      </c>
      <c r="J662" s="474" t="s">
        <v>3464</v>
      </c>
      <c r="K662" s="443" t="s">
        <v>729</v>
      </c>
      <c r="L662" s="471">
        <v>1</v>
      </c>
      <c r="M662" s="447" t="s">
        <v>852</v>
      </c>
      <c r="N662" s="456">
        <v>5900</v>
      </c>
      <c r="O662" s="475">
        <f t="shared" si="2"/>
        <v>5900</v>
      </c>
      <c r="P662" s="476"/>
      <c r="Q662" s="477">
        <v>46023</v>
      </c>
      <c r="R662" s="476"/>
      <c r="S662" s="476"/>
    </row>
    <row r="663" spans="1:19" ht="15.75" customHeight="1" x14ac:dyDescent="0.25">
      <c r="A663" s="438">
        <v>660</v>
      </c>
      <c r="B663" s="470" t="s">
        <v>17</v>
      </c>
      <c r="C663" s="471" t="s">
        <v>18</v>
      </c>
      <c r="D663" s="472" t="s">
        <v>19</v>
      </c>
      <c r="E663" s="465" t="s">
        <v>4091</v>
      </c>
      <c r="F663" s="448" t="s">
        <v>3024</v>
      </c>
      <c r="G663" s="473" t="s">
        <v>3058</v>
      </c>
      <c r="H663" s="439" t="s">
        <v>853</v>
      </c>
      <c r="I663" s="474" t="s">
        <v>3459</v>
      </c>
      <c r="J663" s="474" t="s">
        <v>3464</v>
      </c>
      <c r="K663" s="443" t="s">
        <v>729</v>
      </c>
      <c r="L663" s="471">
        <v>1</v>
      </c>
      <c r="M663" s="447" t="s">
        <v>854</v>
      </c>
      <c r="N663" s="456">
        <v>2700</v>
      </c>
      <c r="O663" s="475">
        <f t="shared" si="2"/>
        <v>2700</v>
      </c>
      <c r="P663" s="476"/>
      <c r="Q663" s="477">
        <v>46023</v>
      </c>
      <c r="R663" s="476"/>
      <c r="S663" s="476"/>
    </row>
    <row r="664" spans="1:19" ht="15.75" customHeight="1" x14ac:dyDescent="0.25">
      <c r="A664" s="438">
        <v>661</v>
      </c>
      <c r="B664" s="470" t="s">
        <v>17</v>
      </c>
      <c r="C664" s="471" t="s">
        <v>18</v>
      </c>
      <c r="D664" s="472" t="s">
        <v>19</v>
      </c>
      <c r="E664" s="465" t="s">
        <v>4091</v>
      </c>
      <c r="F664" s="448" t="s">
        <v>3024</v>
      </c>
      <c r="G664" s="473" t="s">
        <v>3058</v>
      </c>
      <c r="H664" s="439" t="s">
        <v>853</v>
      </c>
      <c r="I664" s="474" t="s">
        <v>3459</v>
      </c>
      <c r="J664" s="474" t="s">
        <v>3464</v>
      </c>
      <c r="K664" s="443" t="s">
        <v>729</v>
      </c>
      <c r="L664" s="471">
        <v>1</v>
      </c>
      <c r="M664" s="447" t="s">
        <v>855</v>
      </c>
      <c r="N664" s="456">
        <v>2700</v>
      </c>
      <c r="O664" s="475">
        <f t="shared" si="2"/>
        <v>2700</v>
      </c>
      <c r="P664" s="476"/>
      <c r="Q664" s="477">
        <v>46023</v>
      </c>
      <c r="R664" s="476"/>
      <c r="S664" s="476"/>
    </row>
    <row r="665" spans="1:19" ht="15.75" customHeight="1" x14ac:dyDescent="0.25">
      <c r="A665" s="438">
        <v>662</v>
      </c>
      <c r="B665" s="470" t="s">
        <v>17</v>
      </c>
      <c r="C665" s="471" t="s">
        <v>18</v>
      </c>
      <c r="D665" s="472" t="s">
        <v>19</v>
      </c>
      <c r="E665" s="465" t="s">
        <v>4091</v>
      </c>
      <c r="F665" s="448" t="s">
        <v>3024</v>
      </c>
      <c r="G665" s="473" t="s">
        <v>3058</v>
      </c>
      <c r="H665" s="439" t="s">
        <v>853</v>
      </c>
      <c r="I665" s="474" t="s">
        <v>3459</v>
      </c>
      <c r="J665" s="474" t="s">
        <v>3464</v>
      </c>
      <c r="K665" s="443" t="s">
        <v>729</v>
      </c>
      <c r="L665" s="471">
        <v>1</v>
      </c>
      <c r="M665" s="447" t="s">
        <v>856</v>
      </c>
      <c r="N665" s="456">
        <v>2700</v>
      </c>
      <c r="O665" s="475">
        <f t="shared" si="2"/>
        <v>2700</v>
      </c>
      <c r="P665" s="476"/>
      <c r="Q665" s="477">
        <v>46023</v>
      </c>
      <c r="R665" s="476"/>
      <c r="S665" s="476"/>
    </row>
    <row r="666" spans="1:19" ht="15.75" customHeight="1" x14ac:dyDescent="0.25">
      <c r="A666" s="438">
        <v>663</v>
      </c>
      <c r="B666" s="470" t="s">
        <v>17</v>
      </c>
      <c r="C666" s="471" t="s">
        <v>18</v>
      </c>
      <c r="D666" s="472" t="s">
        <v>19</v>
      </c>
      <c r="E666" s="465" t="s">
        <v>4091</v>
      </c>
      <c r="F666" s="448" t="s">
        <v>3024</v>
      </c>
      <c r="G666" s="473" t="s">
        <v>3058</v>
      </c>
      <c r="H666" s="439" t="s">
        <v>857</v>
      </c>
      <c r="I666" s="474" t="s">
        <v>3459</v>
      </c>
      <c r="J666" s="474" t="s">
        <v>3464</v>
      </c>
      <c r="K666" s="443" t="s">
        <v>729</v>
      </c>
      <c r="L666" s="471">
        <v>1</v>
      </c>
      <c r="M666" s="447" t="s">
        <v>858</v>
      </c>
      <c r="N666" s="456">
        <v>31000</v>
      </c>
      <c r="O666" s="475">
        <f t="shared" si="2"/>
        <v>31000</v>
      </c>
      <c r="P666" s="476"/>
      <c r="Q666" s="477">
        <v>46023</v>
      </c>
      <c r="R666" s="476"/>
      <c r="S666" s="476"/>
    </row>
    <row r="667" spans="1:19" ht="15.75" customHeight="1" x14ac:dyDescent="0.25">
      <c r="A667" s="438">
        <v>664</v>
      </c>
      <c r="B667" s="470" t="s">
        <v>17</v>
      </c>
      <c r="C667" s="471" t="s">
        <v>18</v>
      </c>
      <c r="D667" s="472" t="s">
        <v>19</v>
      </c>
      <c r="E667" s="448" t="s">
        <v>4091</v>
      </c>
      <c r="F667" s="448" t="s">
        <v>3024</v>
      </c>
      <c r="G667" s="473" t="s">
        <v>3058</v>
      </c>
      <c r="H667" s="439" t="s">
        <v>857</v>
      </c>
      <c r="I667" s="474" t="s">
        <v>3459</v>
      </c>
      <c r="J667" s="474" t="s">
        <v>3464</v>
      </c>
      <c r="K667" s="443" t="s">
        <v>729</v>
      </c>
      <c r="L667" s="471">
        <v>1</v>
      </c>
      <c r="M667" s="447" t="s">
        <v>859</v>
      </c>
      <c r="N667" s="456">
        <v>31000</v>
      </c>
      <c r="O667" s="475">
        <f t="shared" si="2"/>
        <v>31000</v>
      </c>
      <c r="P667" s="476"/>
      <c r="Q667" s="477">
        <v>46023</v>
      </c>
      <c r="R667" s="476"/>
      <c r="S667" s="476"/>
    </row>
    <row r="668" spans="1:19" ht="15.75" customHeight="1" x14ac:dyDescent="0.25">
      <c r="A668" s="438">
        <v>665</v>
      </c>
      <c r="B668" s="470" t="s">
        <v>17</v>
      </c>
      <c r="C668" s="471" t="s">
        <v>18</v>
      </c>
      <c r="D668" s="472" t="s">
        <v>19</v>
      </c>
      <c r="E668" s="448" t="s">
        <v>4091</v>
      </c>
      <c r="F668" s="448" t="s">
        <v>3024</v>
      </c>
      <c r="G668" s="473" t="s">
        <v>3058</v>
      </c>
      <c r="H668" s="439" t="s">
        <v>857</v>
      </c>
      <c r="I668" s="474" t="s">
        <v>3459</v>
      </c>
      <c r="J668" s="474" t="s">
        <v>3464</v>
      </c>
      <c r="K668" s="443" t="s">
        <v>729</v>
      </c>
      <c r="L668" s="471">
        <v>1</v>
      </c>
      <c r="M668" s="447" t="s">
        <v>860</v>
      </c>
      <c r="N668" s="456">
        <v>31000</v>
      </c>
      <c r="O668" s="475">
        <f t="shared" si="2"/>
        <v>31000</v>
      </c>
      <c r="P668" s="476"/>
      <c r="Q668" s="477">
        <v>46023</v>
      </c>
      <c r="R668" s="476"/>
      <c r="S668" s="476"/>
    </row>
    <row r="669" spans="1:19" ht="15.75" customHeight="1" x14ac:dyDescent="0.25">
      <c r="A669" s="438">
        <v>666</v>
      </c>
      <c r="B669" s="470" t="s">
        <v>17</v>
      </c>
      <c r="C669" s="471" t="s">
        <v>18</v>
      </c>
      <c r="D669" s="472" t="s">
        <v>19</v>
      </c>
      <c r="E669" s="448" t="s">
        <v>4080</v>
      </c>
      <c r="F669" s="448" t="s">
        <v>4080</v>
      </c>
      <c r="G669" s="473" t="s">
        <v>3058</v>
      </c>
      <c r="H669" s="439" t="s">
        <v>861</v>
      </c>
      <c r="I669" s="474" t="s">
        <v>3459</v>
      </c>
      <c r="J669" s="474" t="s">
        <v>3464</v>
      </c>
      <c r="K669" s="443" t="s">
        <v>729</v>
      </c>
      <c r="L669" s="471">
        <v>1</v>
      </c>
      <c r="M669" s="447" t="s">
        <v>862</v>
      </c>
      <c r="N669" s="456">
        <v>15500</v>
      </c>
      <c r="O669" s="475">
        <f t="shared" si="2"/>
        <v>15500</v>
      </c>
      <c r="P669" s="476"/>
      <c r="Q669" s="477">
        <v>46023</v>
      </c>
      <c r="R669" s="476"/>
      <c r="S669" s="476"/>
    </row>
    <row r="670" spans="1:19" ht="15.75" customHeight="1" x14ac:dyDescent="0.25">
      <c r="A670" s="438">
        <v>667</v>
      </c>
      <c r="B670" s="470" t="s">
        <v>17</v>
      </c>
      <c r="C670" s="471" t="s">
        <v>18</v>
      </c>
      <c r="D670" s="472" t="s">
        <v>19</v>
      </c>
      <c r="E670" s="448" t="s">
        <v>4080</v>
      </c>
      <c r="F670" s="448" t="s">
        <v>4080</v>
      </c>
      <c r="G670" s="473" t="s">
        <v>3058</v>
      </c>
      <c r="H670" s="439" t="s">
        <v>861</v>
      </c>
      <c r="I670" s="474" t="s">
        <v>3459</v>
      </c>
      <c r="J670" s="474" t="s">
        <v>3464</v>
      </c>
      <c r="K670" s="443" t="s">
        <v>729</v>
      </c>
      <c r="L670" s="471">
        <v>1</v>
      </c>
      <c r="M670" s="447" t="s">
        <v>863</v>
      </c>
      <c r="N670" s="456">
        <v>15500</v>
      </c>
      <c r="O670" s="475">
        <f t="shared" si="2"/>
        <v>15500</v>
      </c>
      <c r="P670" s="476"/>
      <c r="Q670" s="477">
        <v>46023</v>
      </c>
      <c r="R670" s="476"/>
      <c r="S670" s="476"/>
    </row>
    <row r="671" spans="1:19" ht="15.75" customHeight="1" x14ac:dyDescent="0.25">
      <c r="A671" s="438">
        <v>668</v>
      </c>
      <c r="B671" s="470" t="s">
        <v>17</v>
      </c>
      <c r="C671" s="471" t="s">
        <v>18</v>
      </c>
      <c r="D671" s="472" t="s">
        <v>19</v>
      </c>
      <c r="E671" s="448" t="s">
        <v>4080</v>
      </c>
      <c r="F671" s="448" t="s">
        <v>4080</v>
      </c>
      <c r="G671" s="473" t="s">
        <v>3058</v>
      </c>
      <c r="H671" s="439" t="s">
        <v>861</v>
      </c>
      <c r="I671" s="474" t="s">
        <v>3459</v>
      </c>
      <c r="J671" s="474" t="s">
        <v>3464</v>
      </c>
      <c r="K671" s="443" t="s">
        <v>729</v>
      </c>
      <c r="L671" s="471">
        <v>1</v>
      </c>
      <c r="M671" s="447" t="s">
        <v>864</v>
      </c>
      <c r="N671" s="456">
        <v>15500</v>
      </c>
      <c r="O671" s="475">
        <f t="shared" si="2"/>
        <v>15500</v>
      </c>
      <c r="P671" s="476"/>
      <c r="Q671" s="477">
        <v>46023</v>
      </c>
      <c r="R671" s="476"/>
      <c r="S671" s="476"/>
    </row>
    <row r="672" spans="1:19" ht="15.75" customHeight="1" x14ac:dyDescent="0.25">
      <c r="A672" s="438">
        <v>669</v>
      </c>
      <c r="B672" s="470" t="s">
        <v>17</v>
      </c>
      <c r="C672" s="471" t="s">
        <v>18</v>
      </c>
      <c r="D672" s="472" t="s">
        <v>19</v>
      </c>
      <c r="E672" s="448" t="s">
        <v>4091</v>
      </c>
      <c r="F672" s="448" t="s">
        <v>3024</v>
      </c>
      <c r="G672" s="473" t="s">
        <v>3058</v>
      </c>
      <c r="H672" s="439" t="s">
        <v>861</v>
      </c>
      <c r="I672" s="474" t="s">
        <v>3459</v>
      </c>
      <c r="J672" s="474" t="s">
        <v>3464</v>
      </c>
      <c r="K672" s="443" t="s">
        <v>729</v>
      </c>
      <c r="L672" s="471">
        <v>1</v>
      </c>
      <c r="M672" s="447" t="s">
        <v>865</v>
      </c>
      <c r="N672" s="456">
        <v>15500</v>
      </c>
      <c r="O672" s="475">
        <f t="shared" si="2"/>
        <v>15500</v>
      </c>
      <c r="P672" s="476"/>
      <c r="Q672" s="477">
        <v>46023</v>
      </c>
      <c r="R672" s="476"/>
      <c r="S672" s="476"/>
    </row>
    <row r="673" spans="1:19" ht="15.75" customHeight="1" x14ac:dyDescent="0.25">
      <c r="A673" s="438">
        <v>670</v>
      </c>
      <c r="B673" s="470" t="s">
        <v>17</v>
      </c>
      <c r="C673" s="471" t="s">
        <v>18</v>
      </c>
      <c r="D673" s="472" t="s">
        <v>19</v>
      </c>
      <c r="E673" s="448" t="s">
        <v>4085</v>
      </c>
      <c r="F673" s="448" t="s">
        <v>4117</v>
      </c>
      <c r="G673" s="473" t="s">
        <v>3058</v>
      </c>
      <c r="H673" s="439" t="s">
        <v>861</v>
      </c>
      <c r="I673" s="474" t="s">
        <v>3459</v>
      </c>
      <c r="J673" s="474" t="s">
        <v>3464</v>
      </c>
      <c r="K673" s="443" t="s">
        <v>729</v>
      </c>
      <c r="L673" s="471">
        <v>1</v>
      </c>
      <c r="M673" s="447" t="s">
        <v>866</v>
      </c>
      <c r="N673" s="456">
        <v>15500</v>
      </c>
      <c r="O673" s="475">
        <f t="shared" si="2"/>
        <v>15500</v>
      </c>
      <c r="P673" s="476"/>
      <c r="Q673" s="477">
        <v>46023</v>
      </c>
      <c r="R673" s="476"/>
      <c r="S673" s="476"/>
    </row>
    <row r="674" spans="1:19" ht="15.75" customHeight="1" x14ac:dyDescent="0.25">
      <c r="A674" s="438">
        <v>671</v>
      </c>
      <c r="B674" s="470" t="s">
        <v>17</v>
      </c>
      <c r="C674" s="471" t="s">
        <v>18</v>
      </c>
      <c r="D674" s="472" t="s">
        <v>19</v>
      </c>
      <c r="E674" s="448" t="s">
        <v>4085</v>
      </c>
      <c r="F674" s="448" t="s">
        <v>4117</v>
      </c>
      <c r="G674" s="473" t="s">
        <v>3058</v>
      </c>
      <c r="H674" s="439" t="s">
        <v>861</v>
      </c>
      <c r="I674" s="474" t="s">
        <v>3459</v>
      </c>
      <c r="J674" s="474" t="s">
        <v>3464</v>
      </c>
      <c r="K674" s="443" t="s">
        <v>729</v>
      </c>
      <c r="L674" s="471">
        <v>1</v>
      </c>
      <c r="M674" s="447" t="s">
        <v>867</v>
      </c>
      <c r="N674" s="456">
        <v>15500</v>
      </c>
      <c r="O674" s="475">
        <f t="shared" si="2"/>
        <v>15500</v>
      </c>
      <c r="P674" s="476"/>
      <c r="Q674" s="477">
        <v>46023</v>
      </c>
      <c r="R674" s="476"/>
      <c r="S674" s="476"/>
    </row>
    <row r="675" spans="1:19" ht="15.75" customHeight="1" x14ac:dyDescent="0.25">
      <c r="A675" s="438">
        <v>672</v>
      </c>
      <c r="B675" s="470" t="s">
        <v>17</v>
      </c>
      <c r="C675" s="471" t="s">
        <v>18</v>
      </c>
      <c r="D675" s="472" t="s">
        <v>19</v>
      </c>
      <c r="E675" s="448" t="s">
        <v>4085</v>
      </c>
      <c r="F675" s="448" t="s">
        <v>2985</v>
      </c>
      <c r="G675" s="473" t="s">
        <v>3058</v>
      </c>
      <c r="H675" s="439" t="s">
        <v>861</v>
      </c>
      <c r="I675" s="474" t="s">
        <v>3459</v>
      </c>
      <c r="J675" s="474" t="s">
        <v>3464</v>
      </c>
      <c r="K675" s="443" t="s">
        <v>729</v>
      </c>
      <c r="L675" s="471">
        <v>1</v>
      </c>
      <c r="M675" s="447" t="s">
        <v>868</v>
      </c>
      <c r="N675" s="456">
        <v>15500</v>
      </c>
      <c r="O675" s="475">
        <f t="shared" si="2"/>
        <v>15500</v>
      </c>
      <c r="P675" s="476"/>
      <c r="Q675" s="477">
        <v>46023</v>
      </c>
      <c r="R675" s="476"/>
      <c r="S675" s="476"/>
    </row>
    <row r="676" spans="1:19" ht="15.75" customHeight="1" x14ac:dyDescent="0.25">
      <c r="A676" s="438">
        <v>673</v>
      </c>
      <c r="B676" s="470" t="s">
        <v>17</v>
      </c>
      <c r="C676" s="471" t="s">
        <v>18</v>
      </c>
      <c r="D676" s="472" t="s">
        <v>19</v>
      </c>
      <c r="E676" s="465" t="s">
        <v>4083</v>
      </c>
      <c r="F676" s="448" t="s">
        <v>2988</v>
      </c>
      <c r="G676" s="473" t="s">
        <v>3058</v>
      </c>
      <c r="H676" s="439" t="s">
        <v>861</v>
      </c>
      <c r="I676" s="474" t="s">
        <v>3459</v>
      </c>
      <c r="J676" s="474" t="s">
        <v>3464</v>
      </c>
      <c r="K676" s="443" t="s">
        <v>729</v>
      </c>
      <c r="L676" s="471">
        <v>1</v>
      </c>
      <c r="M676" s="447" t="s">
        <v>869</v>
      </c>
      <c r="N676" s="456">
        <v>15500</v>
      </c>
      <c r="O676" s="475">
        <f t="shared" si="2"/>
        <v>15500</v>
      </c>
      <c r="P676" s="476"/>
      <c r="Q676" s="477">
        <v>46023</v>
      </c>
      <c r="R676" s="476"/>
      <c r="S676" s="476"/>
    </row>
    <row r="677" spans="1:19" ht="15.75" customHeight="1" x14ac:dyDescent="0.25">
      <c r="A677" s="438">
        <v>674</v>
      </c>
      <c r="B677" s="470" t="s">
        <v>17</v>
      </c>
      <c r="C677" s="471" t="s">
        <v>18</v>
      </c>
      <c r="D677" s="472" t="s">
        <v>19</v>
      </c>
      <c r="E677" s="465" t="s">
        <v>4085</v>
      </c>
      <c r="F677" s="448" t="s">
        <v>2985</v>
      </c>
      <c r="G677" s="473" t="s">
        <v>3058</v>
      </c>
      <c r="H677" s="439" t="s">
        <v>870</v>
      </c>
      <c r="I677" s="474" t="s">
        <v>3459</v>
      </c>
      <c r="J677" s="474" t="s">
        <v>3464</v>
      </c>
      <c r="K677" s="443" t="s">
        <v>729</v>
      </c>
      <c r="L677" s="471">
        <v>1</v>
      </c>
      <c r="M677" s="447" t="s">
        <v>871</v>
      </c>
      <c r="N677" s="456">
        <v>1367</v>
      </c>
      <c r="O677" s="475">
        <f t="shared" si="2"/>
        <v>1367</v>
      </c>
      <c r="P677" s="476"/>
      <c r="Q677" s="477">
        <v>46023</v>
      </c>
      <c r="R677" s="476"/>
      <c r="S677" s="476"/>
    </row>
    <row r="678" spans="1:19" ht="15.75" customHeight="1" x14ac:dyDescent="0.25">
      <c r="A678" s="438">
        <v>675</v>
      </c>
      <c r="B678" s="470" t="s">
        <v>17</v>
      </c>
      <c r="C678" s="471" t="s">
        <v>18</v>
      </c>
      <c r="D678" s="472" t="s">
        <v>19</v>
      </c>
      <c r="E678" s="448" t="s">
        <v>4080</v>
      </c>
      <c r="F678" s="448" t="s">
        <v>4080</v>
      </c>
      <c r="G678" s="473" t="s">
        <v>3058</v>
      </c>
      <c r="H678" s="439" t="s">
        <v>872</v>
      </c>
      <c r="I678" s="474" t="s">
        <v>3459</v>
      </c>
      <c r="J678" s="474" t="s">
        <v>3464</v>
      </c>
      <c r="K678" s="443" t="s">
        <v>729</v>
      </c>
      <c r="L678" s="471">
        <v>1</v>
      </c>
      <c r="M678" s="447" t="s">
        <v>873</v>
      </c>
      <c r="N678" s="456">
        <v>73700</v>
      </c>
      <c r="O678" s="475">
        <f t="shared" si="2"/>
        <v>73700</v>
      </c>
      <c r="P678" s="476"/>
      <c r="Q678" s="477">
        <v>46023</v>
      </c>
      <c r="R678" s="476"/>
      <c r="S678" s="476"/>
    </row>
    <row r="679" spans="1:19" ht="15.75" customHeight="1" x14ac:dyDescent="0.25">
      <c r="A679" s="438">
        <v>676</v>
      </c>
      <c r="B679" s="470" t="s">
        <v>17</v>
      </c>
      <c r="C679" s="471" t="s">
        <v>18</v>
      </c>
      <c r="D679" s="472" t="s">
        <v>19</v>
      </c>
      <c r="E679" s="448" t="s">
        <v>4083</v>
      </c>
      <c r="F679" s="448" t="s">
        <v>2988</v>
      </c>
      <c r="G679" s="473" t="s">
        <v>3058</v>
      </c>
      <c r="H679" s="439" t="s">
        <v>874</v>
      </c>
      <c r="I679" s="474" t="s">
        <v>3459</v>
      </c>
      <c r="J679" s="474" t="s">
        <v>3464</v>
      </c>
      <c r="K679" s="443" t="s">
        <v>729</v>
      </c>
      <c r="L679" s="471">
        <v>1</v>
      </c>
      <c r="M679" s="447" t="s">
        <v>875</v>
      </c>
      <c r="N679" s="456">
        <v>73700</v>
      </c>
      <c r="O679" s="475">
        <f t="shared" si="2"/>
        <v>73700</v>
      </c>
      <c r="P679" s="476"/>
      <c r="Q679" s="477">
        <v>46023</v>
      </c>
      <c r="R679" s="476"/>
      <c r="S679" s="476"/>
    </row>
    <row r="680" spans="1:19" ht="15.75" customHeight="1" x14ac:dyDescent="0.25">
      <c r="A680" s="438">
        <v>677</v>
      </c>
      <c r="B680" s="470" t="s">
        <v>17</v>
      </c>
      <c r="C680" s="471" t="s">
        <v>18</v>
      </c>
      <c r="D680" s="472" t="s">
        <v>19</v>
      </c>
      <c r="E680" s="448" t="s">
        <v>4083</v>
      </c>
      <c r="F680" s="448" t="s">
        <v>2988</v>
      </c>
      <c r="G680" s="473" t="s">
        <v>3058</v>
      </c>
      <c r="H680" s="439" t="s">
        <v>874</v>
      </c>
      <c r="I680" s="474" t="s">
        <v>3459</v>
      </c>
      <c r="J680" s="474" t="s">
        <v>3464</v>
      </c>
      <c r="K680" s="443" t="s">
        <v>729</v>
      </c>
      <c r="L680" s="471">
        <v>1</v>
      </c>
      <c r="M680" s="447" t="s">
        <v>876</v>
      </c>
      <c r="N680" s="456">
        <v>73700</v>
      </c>
      <c r="O680" s="475">
        <f t="shared" si="2"/>
        <v>73700</v>
      </c>
      <c r="P680" s="476"/>
      <c r="Q680" s="477">
        <v>46023</v>
      </c>
      <c r="R680" s="476"/>
      <c r="S680" s="476"/>
    </row>
    <row r="681" spans="1:19" ht="15.75" customHeight="1" x14ac:dyDescent="0.25">
      <c r="A681" s="438">
        <v>678</v>
      </c>
      <c r="B681" s="470" t="s">
        <v>17</v>
      </c>
      <c r="C681" s="471" t="s">
        <v>18</v>
      </c>
      <c r="D681" s="472" t="s">
        <v>19</v>
      </c>
      <c r="E681" s="448" t="s">
        <v>4091</v>
      </c>
      <c r="F681" s="448" t="s">
        <v>3024</v>
      </c>
      <c r="G681" s="473" t="s">
        <v>3058</v>
      </c>
      <c r="H681" s="439" t="s">
        <v>877</v>
      </c>
      <c r="I681" s="474" t="s">
        <v>3459</v>
      </c>
      <c r="J681" s="474" t="s">
        <v>3464</v>
      </c>
      <c r="K681" s="443" t="s">
        <v>729</v>
      </c>
      <c r="L681" s="471">
        <v>1</v>
      </c>
      <c r="M681" s="447" t="s">
        <v>878</v>
      </c>
      <c r="N681" s="456">
        <v>73700</v>
      </c>
      <c r="O681" s="475">
        <f t="shared" si="2"/>
        <v>73700</v>
      </c>
      <c r="P681" s="476"/>
      <c r="Q681" s="477">
        <v>46023</v>
      </c>
      <c r="R681" s="476"/>
      <c r="S681" s="476"/>
    </row>
    <row r="682" spans="1:19" ht="15.75" customHeight="1" x14ac:dyDescent="0.25">
      <c r="A682" s="438">
        <v>679</v>
      </c>
      <c r="B682" s="470" t="s">
        <v>17</v>
      </c>
      <c r="C682" s="471" t="s">
        <v>18</v>
      </c>
      <c r="D682" s="472" t="s">
        <v>19</v>
      </c>
      <c r="E682" s="448" t="s">
        <v>4085</v>
      </c>
      <c r="F682" s="448" t="s">
        <v>2982</v>
      </c>
      <c r="G682" s="473" t="s">
        <v>3058</v>
      </c>
      <c r="H682" s="439" t="s">
        <v>879</v>
      </c>
      <c r="I682" s="474" t="s">
        <v>3459</v>
      </c>
      <c r="J682" s="474" t="s">
        <v>3464</v>
      </c>
      <c r="K682" s="443" t="s">
        <v>729</v>
      </c>
      <c r="L682" s="471">
        <v>1</v>
      </c>
      <c r="M682" s="447" t="s">
        <v>880</v>
      </c>
      <c r="N682" s="456">
        <v>73700</v>
      </c>
      <c r="O682" s="475">
        <f t="shared" si="2"/>
        <v>73700</v>
      </c>
      <c r="P682" s="476"/>
      <c r="Q682" s="477">
        <v>46023</v>
      </c>
      <c r="R682" s="476"/>
      <c r="S682" s="476"/>
    </row>
    <row r="683" spans="1:19" ht="15.75" customHeight="1" x14ac:dyDescent="0.25">
      <c r="A683" s="438">
        <v>680</v>
      </c>
      <c r="B683" s="470" t="s">
        <v>17</v>
      </c>
      <c r="C683" s="471" t="s">
        <v>18</v>
      </c>
      <c r="D683" s="472" t="s">
        <v>19</v>
      </c>
      <c r="E683" s="448" t="s">
        <v>4085</v>
      </c>
      <c r="F683" s="448" t="s">
        <v>3026</v>
      </c>
      <c r="G683" s="473" t="s">
        <v>3058</v>
      </c>
      <c r="H683" s="439" t="s">
        <v>881</v>
      </c>
      <c r="I683" s="474" t="s">
        <v>3459</v>
      </c>
      <c r="J683" s="474" t="s">
        <v>3464</v>
      </c>
      <c r="K683" s="443" t="s">
        <v>729</v>
      </c>
      <c r="L683" s="471">
        <v>1</v>
      </c>
      <c r="M683" s="447" t="s">
        <v>882</v>
      </c>
      <c r="N683" s="456">
        <v>73700</v>
      </c>
      <c r="O683" s="475">
        <f t="shared" si="2"/>
        <v>73700</v>
      </c>
      <c r="P683" s="476"/>
      <c r="Q683" s="477">
        <v>46023</v>
      </c>
      <c r="R683" s="476"/>
      <c r="S683" s="476"/>
    </row>
    <row r="684" spans="1:19" ht="15.75" customHeight="1" x14ac:dyDescent="0.25">
      <c r="A684" s="438">
        <v>681</v>
      </c>
      <c r="B684" s="470" t="s">
        <v>17</v>
      </c>
      <c r="C684" s="471" t="s">
        <v>18</v>
      </c>
      <c r="D684" s="472" t="s">
        <v>19</v>
      </c>
      <c r="E684" s="448" t="s">
        <v>4080</v>
      </c>
      <c r="F684" s="448" t="s">
        <v>4080</v>
      </c>
      <c r="G684" s="473" t="s">
        <v>3058</v>
      </c>
      <c r="H684" s="439" t="s">
        <v>883</v>
      </c>
      <c r="I684" s="474" t="s">
        <v>3459</v>
      </c>
      <c r="J684" s="474" t="s">
        <v>3464</v>
      </c>
      <c r="K684" s="443" t="s">
        <v>729</v>
      </c>
      <c r="L684" s="471">
        <v>1</v>
      </c>
      <c r="M684" s="447" t="s">
        <v>884</v>
      </c>
      <c r="N684" s="456">
        <v>1650</v>
      </c>
      <c r="O684" s="475">
        <f t="shared" si="2"/>
        <v>1650</v>
      </c>
      <c r="P684" s="476"/>
      <c r="Q684" s="477">
        <v>46023</v>
      </c>
      <c r="R684" s="476"/>
      <c r="S684" s="476"/>
    </row>
    <row r="685" spans="1:19" ht="15.75" customHeight="1" x14ac:dyDescent="0.25">
      <c r="A685" s="438">
        <v>682</v>
      </c>
      <c r="B685" s="470" t="s">
        <v>17</v>
      </c>
      <c r="C685" s="471" t="s">
        <v>18</v>
      </c>
      <c r="D685" s="472" t="s">
        <v>19</v>
      </c>
      <c r="E685" s="465" t="s">
        <v>4091</v>
      </c>
      <c r="F685" s="448" t="s">
        <v>3024</v>
      </c>
      <c r="G685" s="473" t="s">
        <v>3058</v>
      </c>
      <c r="H685" s="439" t="s">
        <v>883</v>
      </c>
      <c r="I685" s="474" t="s">
        <v>3459</v>
      </c>
      <c r="J685" s="474" t="s">
        <v>3464</v>
      </c>
      <c r="K685" s="443" t="s">
        <v>729</v>
      </c>
      <c r="L685" s="471">
        <v>1</v>
      </c>
      <c r="M685" s="447" t="s">
        <v>885</v>
      </c>
      <c r="N685" s="456">
        <v>1650</v>
      </c>
      <c r="O685" s="475">
        <f t="shared" si="2"/>
        <v>1650</v>
      </c>
      <c r="P685" s="476"/>
      <c r="Q685" s="477">
        <v>46023</v>
      </c>
      <c r="R685" s="476"/>
      <c r="S685" s="476"/>
    </row>
    <row r="686" spans="1:19" ht="15.75" customHeight="1" x14ac:dyDescent="0.25">
      <c r="A686" s="438">
        <v>683</v>
      </c>
      <c r="B686" s="470" t="s">
        <v>17</v>
      </c>
      <c r="C686" s="471" t="s">
        <v>18</v>
      </c>
      <c r="D686" s="472" t="s">
        <v>19</v>
      </c>
      <c r="E686" s="465" t="s">
        <v>4085</v>
      </c>
      <c r="F686" s="448" t="s">
        <v>3026</v>
      </c>
      <c r="G686" s="473" t="s">
        <v>3058</v>
      </c>
      <c r="H686" s="439" t="s">
        <v>883</v>
      </c>
      <c r="I686" s="474" t="s">
        <v>3459</v>
      </c>
      <c r="J686" s="474" t="s">
        <v>3464</v>
      </c>
      <c r="K686" s="443" t="s">
        <v>729</v>
      </c>
      <c r="L686" s="471">
        <v>1</v>
      </c>
      <c r="M686" s="447" t="s">
        <v>886</v>
      </c>
      <c r="N686" s="456">
        <v>1650</v>
      </c>
      <c r="O686" s="475">
        <f t="shared" si="2"/>
        <v>1650</v>
      </c>
      <c r="P686" s="476"/>
      <c r="Q686" s="477">
        <v>46023</v>
      </c>
      <c r="R686" s="476"/>
      <c r="S686" s="476"/>
    </row>
    <row r="687" spans="1:19" ht="15.75" customHeight="1" x14ac:dyDescent="0.25">
      <c r="A687" s="438">
        <v>684</v>
      </c>
      <c r="B687" s="470" t="s">
        <v>17</v>
      </c>
      <c r="C687" s="471" t="s">
        <v>18</v>
      </c>
      <c r="D687" s="472" t="s">
        <v>19</v>
      </c>
      <c r="E687" s="465" t="s">
        <v>4085</v>
      </c>
      <c r="F687" s="448" t="s">
        <v>2982</v>
      </c>
      <c r="G687" s="473" t="s">
        <v>3058</v>
      </c>
      <c r="H687" s="439" t="s">
        <v>883</v>
      </c>
      <c r="I687" s="474" t="s">
        <v>3459</v>
      </c>
      <c r="J687" s="474" t="s">
        <v>3464</v>
      </c>
      <c r="K687" s="443" t="s">
        <v>729</v>
      </c>
      <c r="L687" s="471">
        <v>1</v>
      </c>
      <c r="M687" s="447" t="s">
        <v>887</v>
      </c>
      <c r="N687" s="456">
        <v>1650</v>
      </c>
      <c r="O687" s="475">
        <f t="shared" si="2"/>
        <v>1650</v>
      </c>
      <c r="P687" s="476"/>
      <c r="Q687" s="477">
        <v>46023</v>
      </c>
      <c r="R687" s="476"/>
      <c r="S687" s="476"/>
    </row>
    <row r="688" spans="1:19" ht="15.75" customHeight="1" x14ac:dyDescent="0.25">
      <c r="A688" s="438">
        <v>685</v>
      </c>
      <c r="B688" s="470" t="s">
        <v>17</v>
      </c>
      <c r="C688" s="471" t="s">
        <v>18</v>
      </c>
      <c r="D688" s="472" t="s">
        <v>19</v>
      </c>
      <c r="E688" s="465" t="s">
        <v>4080</v>
      </c>
      <c r="F688" s="448" t="s">
        <v>4080</v>
      </c>
      <c r="G688" s="473" t="s">
        <v>3058</v>
      </c>
      <c r="H688" s="439" t="s">
        <v>888</v>
      </c>
      <c r="I688" s="474" t="s">
        <v>3459</v>
      </c>
      <c r="J688" s="474" t="s">
        <v>3464</v>
      </c>
      <c r="K688" s="443" t="s">
        <v>729</v>
      </c>
      <c r="L688" s="471">
        <v>1</v>
      </c>
      <c r="M688" s="447" t="s">
        <v>889</v>
      </c>
      <c r="N688" s="456">
        <v>3499</v>
      </c>
      <c r="O688" s="475">
        <f t="shared" si="2"/>
        <v>3499</v>
      </c>
      <c r="P688" s="476"/>
      <c r="Q688" s="477">
        <v>46023</v>
      </c>
      <c r="R688" s="476"/>
      <c r="S688" s="476"/>
    </row>
    <row r="689" spans="1:19" ht="15.75" customHeight="1" x14ac:dyDescent="0.25">
      <c r="A689" s="438">
        <v>686</v>
      </c>
      <c r="B689" s="470" t="s">
        <v>17</v>
      </c>
      <c r="C689" s="471" t="s">
        <v>18</v>
      </c>
      <c r="D689" s="472" t="s">
        <v>19</v>
      </c>
      <c r="E689" s="465" t="s">
        <v>4091</v>
      </c>
      <c r="F689" s="448" t="s">
        <v>4107</v>
      </c>
      <c r="G689" s="473" t="s">
        <v>3945</v>
      </c>
      <c r="H689" s="439" t="s">
        <v>890</v>
      </c>
      <c r="I689" s="474" t="s">
        <v>3459</v>
      </c>
      <c r="J689" s="474" t="s">
        <v>3464</v>
      </c>
      <c r="K689" s="443" t="s">
        <v>891</v>
      </c>
      <c r="L689" s="471">
        <v>1</v>
      </c>
      <c r="M689" s="447" t="s">
        <v>892</v>
      </c>
      <c r="N689" s="456">
        <v>70000</v>
      </c>
      <c r="O689" s="475">
        <f t="shared" si="2"/>
        <v>70000</v>
      </c>
      <c r="P689" s="476"/>
      <c r="Q689" s="477">
        <v>46023</v>
      </c>
      <c r="R689" s="476"/>
      <c r="S689" s="476"/>
    </row>
    <row r="690" spans="1:19" ht="15.75" customHeight="1" x14ac:dyDescent="0.25">
      <c r="A690" s="438">
        <v>687</v>
      </c>
      <c r="B690" s="470" t="s">
        <v>17</v>
      </c>
      <c r="C690" s="471" t="s">
        <v>18</v>
      </c>
      <c r="D690" s="472" t="s">
        <v>19</v>
      </c>
      <c r="E690" s="465" t="s">
        <v>4083</v>
      </c>
      <c r="F690" s="448" t="s">
        <v>2988</v>
      </c>
      <c r="G690" s="473" t="s">
        <v>3058</v>
      </c>
      <c r="H690" s="439" t="s">
        <v>893</v>
      </c>
      <c r="I690" s="474" t="s">
        <v>3459</v>
      </c>
      <c r="J690" s="474" t="s">
        <v>3464</v>
      </c>
      <c r="K690" s="443" t="s">
        <v>729</v>
      </c>
      <c r="L690" s="471">
        <v>1</v>
      </c>
      <c r="M690" s="447" t="s">
        <v>894</v>
      </c>
      <c r="N690" s="456">
        <v>16000</v>
      </c>
      <c r="O690" s="475">
        <f t="shared" si="2"/>
        <v>16000</v>
      </c>
      <c r="P690" s="476"/>
      <c r="Q690" s="477">
        <v>46023</v>
      </c>
      <c r="R690" s="476"/>
      <c r="S690" s="476"/>
    </row>
    <row r="691" spans="1:19" ht="15.75" customHeight="1" x14ac:dyDescent="0.25">
      <c r="A691" s="438">
        <v>688</v>
      </c>
      <c r="B691" s="470" t="s">
        <v>17</v>
      </c>
      <c r="C691" s="471" t="s">
        <v>18</v>
      </c>
      <c r="D691" s="472" t="s">
        <v>19</v>
      </c>
      <c r="E691" s="465" t="s">
        <v>4083</v>
      </c>
      <c r="F691" s="448" t="s">
        <v>4109</v>
      </c>
      <c r="G691" s="473" t="s">
        <v>3058</v>
      </c>
      <c r="H691" s="439" t="s">
        <v>893</v>
      </c>
      <c r="I691" s="474" t="s">
        <v>3459</v>
      </c>
      <c r="J691" s="474" t="s">
        <v>3464</v>
      </c>
      <c r="K691" s="443" t="s">
        <v>729</v>
      </c>
      <c r="L691" s="471">
        <v>1</v>
      </c>
      <c r="M691" s="447" t="s">
        <v>895</v>
      </c>
      <c r="N691" s="456">
        <v>16000</v>
      </c>
      <c r="O691" s="475">
        <f t="shared" si="2"/>
        <v>16000</v>
      </c>
      <c r="P691" s="476"/>
      <c r="Q691" s="477">
        <v>46023</v>
      </c>
      <c r="R691" s="476"/>
      <c r="S691" s="476"/>
    </row>
    <row r="692" spans="1:19" ht="15.75" customHeight="1" x14ac:dyDescent="0.25">
      <c r="A692" s="438">
        <v>689</v>
      </c>
      <c r="B692" s="470" t="s">
        <v>17</v>
      </c>
      <c r="C692" s="471" t="s">
        <v>18</v>
      </c>
      <c r="D692" s="472" t="s">
        <v>19</v>
      </c>
      <c r="E692" s="465" t="s">
        <v>4080</v>
      </c>
      <c r="F692" s="448" t="s">
        <v>4080</v>
      </c>
      <c r="G692" s="473" t="s">
        <v>3058</v>
      </c>
      <c r="H692" s="439" t="s">
        <v>896</v>
      </c>
      <c r="I692" s="474" t="s">
        <v>3459</v>
      </c>
      <c r="J692" s="474" t="s">
        <v>3464</v>
      </c>
      <c r="K692" s="443" t="s">
        <v>729</v>
      </c>
      <c r="L692" s="471">
        <v>1</v>
      </c>
      <c r="M692" s="447" t="s">
        <v>897</v>
      </c>
      <c r="N692" s="456">
        <v>10000</v>
      </c>
      <c r="O692" s="475">
        <f t="shared" si="2"/>
        <v>10000</v>
      </c>
      <c r="P692" s="476"/>
      <c r="Q692" s="477">
        <v>46023</v>
      </c>
      <c r="R692" s="476"/>
      <c r="S692" s="476"/>
    </row>
    <row r="693" spans="1:19" ht="15.75" customHeight="1" x14ac:dyDescent="0.25">
      <c r="A693" s="438">
        <v>690</v>
      </c>
      <c r="B693" s="470" t="s">
        <v>17</v>
      </c>
      <c r="C693" s="471" t="s">
        <v>18</v>
      </c>
      <c r="D693" s="472" t="s">
        <v>19</v>
      </c>
      <c r="E693" s="465" t="s">
        <v>4080</v>
      </c>
      <c r="F693" s="448" t="s">
        <v>4080</v>
      </c>
      <c r="G693" s="473" t="s">
        <v>3058</v>
      </c>
      <c r="H693" s="439" t="s">
        <v>896</v>
      </c>
      <c r="I693" s="474" t="s">
        <v>3459</v>
      </c>
      <c r="J693" s="474" t="s">
        <v>3464</v>
      </c>
      <c r="K693" s="443" t="s">
        <v>729</v>
      </c>
      <c r="L693" s="471">
        <v>1</v>
      </c>
      <c r="M693" s="447" t="s">
        <v>898</v>
      </c>
      <c r="N693" s="456">
        <v>10000</v>
      </c>
      <c r="O693" s="475">
        <f t="shared" si="2"/>
        <v>10000</v>
      </c>
      <c r="P693" s="476"/>
      <c r="Q693" s="477">
        <v>46023</v>
      </c>
      <c r="R693" s="476"/>
      <c r="S693" s="476"/>
    </row>
    <row r="694" spans="1:19" ht="15.75" customHeight="1" x14ac:dyDescent="0.25">
      <c r="A694" s="438">
        <v>691</v>
      </c>
      <c r="B694" s="470" t="s">
        <v>17</v>
      </c>
      <c r="C694" s="471" t="s">
        <v>18</v>
      </c>
      <c r="D694" s="472" t="s">
        <v>19</v>
      </c>
      <c r="E694" s="465" t="s">
        <v>4080</v>
      </c>
      <c r="F694" s="448" t="s">
        <v>4080</v>
      </c>
      <c r="G694" s="473" t="s">
        <v>3058</v>
      </c>
      <c r="H694" s="439" t="s">
        <v>896</v>
      </c>
      <c r="I694" s="474" t="s">
        <v>3459</v>
      </c>
      <c r="J694" s="474" t="s">
        <v>3464</v>
      </c>
      <c r="K694" s="443" t="s">
        <v>729</v>
      </c>
      <c r="L694" s="471">
        <v>1</v>
      </c>
      <c r="M694" s="447" t="s">
        <v>899</v>
      </c>
      <c r="N694" s="456">
        <v>15000</v>
      </c>
      <c r="O694" s="475">
        <f t="shared" si="2"/>
        <v>15000</v>
      </c>
      <c r="P694" s="476"/>
      <c r="Q694" s="477">
        <v>46023</v>
      </c>
      <c r="R694" s="476"/>
      <c r="S694" s="476"/>
    </row>
    <row r="695" spans="1:19" ht="15.75" customHeight="1" x14ac:dyDescent="0.25">
      <c r="A695" s="438">
        <v>692</v>
      </c>
      <c r="B695" s="470" t="s">
        <v>17</v>
      </c>
      <c r="C695" s="471" t="s">
        <v>18</v>
      </c>
      <c r="D695" s="472" t="s">
        <v>19</v>
      </c>
      <c r="E695" s="465" t="s">
        <v>4080</v>
      </c>
      <c r="F695" s="448" t="s">
        <v>4080</v>
      </c>
      <c r="G695" s="473" t="s">
        <v>3058</v>
      </c>
      <c r="H695" s="439" t="s">
        <v>896</v>
      </c>
      <c r="I695" s="474" t="s">
        <v>3459</v>
      </c>
      <c r="J695" s="474" t="s">
        <v>3464</v>
      </c>
      <c r="K695" s="443" t="s">
        <v>729</v>
      </c>
      <c r="L695" s="471">
        <v>1</v>
      </c>
      <c r="M695" s="447" t="s">
        <v>900</v>
      </c>
      <c r="N695" s="456">
        <v>15000</v>
      </c>
      <c r="O695" s="475">
        <f t="shared" si="2"/>
        <v>15000</v>
      </c>
      <c r="P695" s="476"/>
      <c r="Q695" s="477">
        <v>46023</v>
      </c>
      <c r="R695" s="476"/>
      <c r="S695" s="476"/>
    </row>
    <row r="696" spans="1:19" ht="15.75" customHeight="1" x14ac:dyDescent="0.25">
      <c r="A696" s="438">
        <v>693</v>
      </c>
      <c r="B696" s="470" t="s">
        <v>17</v>
      </c>
      <c r="C696" s="471" t="s">
        <v>18</v>
      </c>
      <c r="D696" s="472" t="s">
        <v>19</v>
      </c>
      <c r="E696" s="465" t="s">
        <v>4080</v>
      </c>
      <c r="F696" s="448" t="s">
        <v>4080</v>
      </c>
      <c r="G696" s="473" t="s">
        <v>3946</v>
      </c>
      <c r="H696" s="439" t="s">
        <v>901</v>
      </c>
      <c r="I696" s="474" t="s">
        <v>3459</v>
      </c>
      <c r="J696" s="474" t="s">
        <v>3464</v>
      </c>
      <c r="K696" s="443" t="s">
        <v>902</v>
      </c>
      <c r="L696" s="471">
        <v>1</v>
      </c>
      <c r="M696" s="447" t="s">
        <v>903</v>
      </c>
      <c r="N696" s="456">
        <v>9000</v>
      </c>
      <c r="O696" s="475">
        <f t="shared" si="2"/>
        <v>9000</v>
      </c>
      <c r="P696" s="476"/>
      <c r="Q696" s="477">
        <v>46023</v>
      </c>
      <c r="R696" s="476"/>
      <c r="S696" s="476"/>
    </row>
    <row r="697" spans="1:19" ht="15.75" customHeight="1" x14ac:dyDescent="0.25">
      <c r="A697" s="438">
        <v>694</v>
      </c>
      <c r="B697" s="470" t="s">
        <v>17</v>
      </c>
      <c r="C697" s="471" t="s">
        <v>18</v>
      </c>
      <c r="D697" s="472" t="s">
        <v>19</v>
      </c>
      <c r="E697" s="465" t="s">
        <v>4086</v>
      </c>
      <c r="F697" s="448" t="s">
        <v>4097</v>
      </c>
      <c r="G697" s="473" t="s">
        <v>3947</v>
      </c>
      <c r="H697" s="439" t="s">
        <v>904</v>
      </c>
      <c r="I697" s="474" t="s">
        <v>3459</v>
      </c>
      <c r="J697" s="474" t="s">
        <v>3464</v>
      </c>
      <c r="K697" s="443" t="s">
        <v>905</v>
      </c>
      <c r="L697" s="471">
        <v>1</v>
      </c>
      <c r="M697" s="447" t="s">
        <v>906</v>
      </c>
      <c r="N697" s="456">
        <v>49620</v>
      </c>
      <c r="O697" s="475">
        <f t="shared" si="2"/>
        <v>49620</v>
      </c>
      <c r="P697" s="476"/>
      <c r="Q697" s="477">
        <v>46023</v>
      </c>
      <c r="R697" s="476"/>
      <c r="S697" s="476"/>
    </row>
    <row r="698" spans="1:19" ht="15.75" customHeight="1" x14ac:dyDescent="0.25">
      <c r="A698" s="438">
        <v>695</v>
      </c>
      <c r="B698" s="470" t="s">
        <v>17</v>
      </c>
      <c r="C698" s="471" t="s">
        <v>18</v>
      </c>
      <c r="D698" s="472" t="s">
        <v>19</v>
      </c>
      <c r="E698" s="465" t="s">
        <v>4086</v>
      </c>
      <c r="F698" s="448" t="s">
        <v>4097</v>
      </c>
      <c r="G698" s="473" t="s">
        <v>3947</v>
      </c>
      <c r="H698" s="439" t="s">
        <v>904</v>
      </c>
      <c r="I698" s="474" t="s">
        <v>3459</v>
      </c>
      <c r="J698" s="474" t="s">
        <v>3464</v>
      </c>
      <c r="K698" s="443" t="s">
        <v>905</v>
      </c>
      <c r="L698" s="471">
        <v>1</v>
      </c>
      <c r="M698" s="447" t="s">
        <v>907</v>
      </c>
      <c r="N698" s="456">
        <v>49620</v>
      </c>
      <c r="O698" s="475">
        <f t="shared" si="2"/>
        <v>49620</v>
      </c>
      <c r="P698" s="476"/>
      <c r="Q698" s="477">
        <v>46023</v>
      </c>
      <c r="R698" s="476"/>
      <c r="S698" s="476"/>
    </row>
    <row r="699" spans="1:19" ht="15.75" customHeight="1" x14ac:dyDescent="0.25">
      <c r="A699" s="438">
        <v>696</v>
      </c>
      <c r="B699" s="470" t="s">
        <v>17</v>
      </c>
      <c r="C699" s="471" t="s">
        <v>18</v>
      </c>
      <c r="D699" s="472" t="s">
        <v>19</v>
      </c>
      <c r="E699" s="448" t="s">
        <v>4088</v>
      </c>
      <c r="F699" s="448" t="s">
        <v>4105</v>
      </c>
      <c r="G699" s="473" t="s">
        <v>3948</v>
      </c>
      <c r="H699" s="439" t="s">
        <v>908</v>
      </c>
      <c r="I699" s="474" t="s">
        <v>3459</v>
      </c>
      <c r="J699" s="474" t="s">
        <v>3464</v>
      </c>
      <c r="K699" s="443" t="s">
        <v>909</v>
      </c>
      <c r="L699" s="471">
        <v>1</v>
      </c>
      <c r="M699" s="447" t="s">
        <v>910</v>
      </c>
      <c r="N699" s="456">
        <v>53210</v>
      </c>
      <c r="O699" s="475">
        <f t="shared" si="2"/>
        <v>53210</v>
      </c>
      <c r="P699" s="476"/>
      <c r="Q699" s="477">
        <v>46023</v>
      </c>
      <c r="R699" s="476"/>
      <c r="S699" s="476"/>
    </row>
    <row r="700" spans="1:19" ht="15.75" customHeight="1" x14ac:dyDescent="0.25">
      <c r="A700" s="438">
        <v>697</v>
      </c>
      <c r="B700" s="470" t="s">
        <v>17</v>
      </c>
      <c r="C700" s="471" t="s">
        <v>18</v>
      </c>
      <c r="D700" s="472" t="s">
        <v>19</v>
      </c>
      <c r="E700" s="448" t="s">
        <v>4084</v>
      </c>
      <c r="F700" s="448" t="s">
        <v>4096</v>
      </c>
      <c r="G700" s="473" t="s">
        <v>3949</v>
      </c>
      <c r="H700" s="439" t="s">
        <v>911</v>
      </c>
      <c r="I700" s="474" t="s">
        <v>3459</v>
      </c>
      <c r="J700" s="474" t="s">
        <v>3464</v>
      </c>
      <c r="K700" s="443" t="s">
        <v>912</v>
      </c>
      <c r="L700" s="471">
        <v>1</v>
      </c>
      <c r="M700" s="447" t="s">
        <v>913</v>
      </c>
      <c r="N700" s="456">
        <v>25000</v>
      </c>
      <c r="O700" s="475">
        <f t="shared" si="2"/>
        <v>25000</v>
      </c>
      <c r="P700" s="476"/>
      <c r="Q700" s="477">
        <v>46023</v>
      </c>
      <c r="R700" s="476"/>
      <c r="S700" s="476"/>
    </row>
    <row r="701" spans="1:19" ht="15.75" customHeight="1" x14ac:dyDescent="0.25">
      <c r="A701" s="438">
        <v>698</v>
      </c>
      <c r="B701" s="470" t="s">
        <v>17</v>
      </c>
      <c r="C701" s="471" t="s">
        <v>18</v>
      </c>
      <c r="D701" s="472" t="s">
        <v>19</v>
      </c>
      <c r="E701" s="448" t="s">
        <v>4085</v>
      </c>
      <c r="F701" s="448" t="s">
        <v>2982</v>
      </c>
      <c r="G701" s="473" t="s">
        <v>3949</v>
      </c>
      <c r="H701" s="439" t="s">
        <v>911</v>
      </c>
      <c r="I701" s="474" t="s">
        <v>3459</v>
      </c>
      <c r="J701" s="474" t="s">
        <v>3464</v>
      </c>
      <c r="K701" s="443" t="s">
        <v>912</v>
      </c>
      <c r="L701" s="471">
        <v>1</v>
      </c>
      <c r="M701" s="447" t="s">
        <v>914</v>
      </c>
      <c r="N701" s="456">
        <v>25000</v>
      </c>
      <c r="O701" s="475">
        <f t="shared" si="2"/>
        <v>25000</v>
      </c>
      <c r="P701" s="476"/>
      <c r="Q701" s="477">
        <v>46023</v>
      </c>
      <c r="R701" s="476"/>
      <c r="S701" s="476"/>
    </row>
    <row r="702" spans="1:19" ht="15.75" customHeight="1" x14ac:dyDescent="0.25">
      <c r="A702" s="438">
        <v>699</v>
      </c>
      <c r="B702" s="470" t="s">
        <v>17</v>
      </c>
      <c r="C702" s="471" t="s">
        <v>18</v>
      </c>
      <c r="D702" s="472" t="s">
        <v>19</v>
      </c>
      <c r="E702" s="448" t="s">
        <v>4086</v>
      </c>
      <c r="F702" s="448" t="s">
        <v>4097</v>
      </c>
      <c r="G702" s="473" t="s">
        <v>3949</v>
      </c>
      <c r="H702" s="439" t="s">
        <v>915</v>
      </c>
      <c r="I702" s="474" t="s">
        <v>3459</v>
      </c>
      <c r="J702" s="474" t="s">
        <v>3464</v>
      </c>
      <c r="K702" s="443" t="s">
        <v>912</v>
      </c>
      <c r="L702" s="471">
        <v>1</v>
      </c>
      <c r="M702" s="447" t="s">
        <v>916</v>
      </c>
      <c r="N702" s="456">
        <v>28460</v>
      </c>
      <c r="O702" s="475">
        <f t="shared" si="2"/>
        <v>28460</v>
      </c>
      <c r="P702" s="476"/>
      <c r="Q702" s="477">
        <v>46023</v>
      </c>
      <c r="R702" s="476"/>
      <c r="S702" s="476"/>
    </row>
    <row r="703" spans="1:19" ht="15.75" customHeight="1" x14ac:dyDescent="0.25">
      <c r="A703" s="438">
        <v>700</v>
      </c>
      <c r="B703" s="470" t="s">
        <v>17</v>
      </c>
      <c r="C703" s="471" t="s">
        <v>18</v>
      </c>
      <c r="D703" s="472" t="s">
        <v>19</v>
      </c>
      <c r="E703" s="448" t="s">
        <v>4086</v>
      </c>
      <c r="F703" s="448" t="s">
        <v>4097</v>
      </c>
      <c r="G703" s="473" t="s">
        <v>3950</v>
      </c>
      <c r="H703" s="439" t="s">
        <v>917</v>
      </c>
      <c r="I703" s="474" t="s">
        <v>3459</v>
      </c>
      <c r="J703" s="474" t="s">
        <v>3464</v>
      </c>
      <c r="K703" s="443" t="s">
        <v>3472</v>
      </c>
      <c r="L703" s="471">
        <v>1</v>
      </c>
      <c r="M703" s="447" t="s">
        <v>918</v>
      </c>
      <c r="N703" s="456">
        <v>60880</v>
      </c>
      <c r="O703" s="475">
        <f t="shared" si="2"/>
        <v>60880</v>
      </c>
      <c r="P703" s="476"/>
      <c r="Q703" s="477">
        <v>46023</v>
      </c>
      <c r="R703" s="476"/>
      <c r="S703" s="476"/>
    </row>
    <row r="704" spans="1:19" ht="15.75" customHeight="1" x14ac:dyDescent="0.25">
      <c r="A704" s="438">
        <v>701</v>
      </c>
      <c r="B704" s="470" t="s">
        <v>17</v>
      </c>
      <c r="C704" s="471" t="s">
        <v>18</v>
      </c>
      <c r="D704" s="472" t="s">
        <v>19</v>
      </c>
      <c r="E704" s="448" t="s">
        <v>4085</v>
      </c>
      <c r="F704" s="448" t="s">
        <v>2985</v>
      </c>
      <c r="G704" s="473" t="s">
        <v>3951</v>
      </c>
      <c r="H704" s="439" t="s">
        <v>919</v>
      </c>
      <c r="I704" s="474" t="s">
        <v>3459</v>
      </c>
      <c r="J704" s="474" t="s">
        <v>3464</v>
      </c>
      <c r="K704" s="443" t="s">
        <v>920</v>
      </c>
      <c r="L704" s="471">
        <v>1</v>
      </c>
      <c r="M704" s="447" t="s">
        <v>921</v>
      </c>
      <c r="N704" s="456">
        <v>2032</v>
      </c>
      <c r="O704" s="475">
        <f t="shared" si="2"/>
        <v>2032</v>
      </c>
      <c r="P704" s="476"/>
      <c r="Q704" s="477">
        <v>46023</v>
      </c>
      <c r="R704" s="476"/>
      <c r="S704" s="476"/>
    </row>
    <row r="705" spans="1:19" ht="15.75" customHeight="1" x14ac:dyDescent="0.25">
      <c r="A705" s="438">
        <v>702</v>
      </c>
      <c r="B705" s="470" t="s">
        <v>17</v>
      </c>
      <c r="C705" s="471" t="s">
        <v>18</v>
      </c>
      <c r="D705" s="472" t="s">
        <v>19</v>
      </c>
      <c r="E705" s="448" t="s">
        <v>4085</v>
      </c>
      <c r="F705" s="448" t="s">
        <v>2985</v>
      </c>
      <c r="G705" s="473" t="s">
        <v>3951</v>
      </c>
      <c r="H705" s="439" t="s">
        <v>919</v>
      </c>
      <c r="I705" s="474" t="s">
        <v>3459</v>
      </c>
      <c r="J705" s="474" t="s">
        <v>3464</v>
      </c>
      <c r="K705" s="443" t="s">
        <v>920</v>
      </c>
      <c r="L705" s="471">
        <v>1</v>
      </c>
      <c r="M705" s="447" t="s">
        <v>922</v>
      </c>
      <c r="N705" s="456">
        <v>2032</v>
      </c>
      <c r="O705" s="475">
        <f t="shared" si="2"/>
        <v>2032</v>
      </c>
      <c r="P705" s="476"/>
      <c r="Q705" s="477">
        <v>46023</v>
      </c>
      <c r="R705" s="476"/>
      <c r="S705" s="476"/>
    </row>
    <row r="706" spans="1:19" ht="15.75" customHeight="1" x14ac:dyDescent="0.25">
      <c r="A706" s="438">
        <v>703</v>
      </c>
      <c r="B706" s="470" t="s">
        <v>17</v>
      </c>
      <c r="C706" s="471" t="s">
        <v>18</v>
      </c>
      <c r="D706" s="472" t="s">
        <v>19</v>
      </c>
      <c r="E706" s="448" t="s">
        <v>4085</v>
      </c>
      <c r="F706" s="448" t="s">
        <v>2985</v>
      </c>
      <c r="G706" s="473" t="s">
        <v>3952</v>
      </c>
      <c r="H706" s="439" t="s">
        <v>923</v>
      </c>
      <c r="I706" s="474" t="s">
        <v>3459</v>
      </c>
      <c r="J706" s="474" t="s">
        <v>3464</v>
      </c>
      <c r="K706" s="443" t="s">
        <v>924</v>
      </c>
      <c r="L706" s="471">
        <v>1</v>
      </c>
      <c r="M706" s="447" t="s">
        <v>925</v>
      </c>
      <c r="N706" s="456">
        <v>77079</v>
      </c>
      <c r="O706" s="475">
        <f t="shared" si="2"/>
        <v>77079</v>
      </c>
      <c r="P706" s="476"/>
      <c r="Q706" s="477">
        <v>46023</v>
      </c>
      <c r="R706" s="476"/>
      <c r="S706" s="476"/>
    </row>
    <row r="707" spans="1:19" ht="15.75" customHeight="1" x14ac:dyDescent="0.25">
      <c r="A707" s="438">
        <v>704</v>
      </c>
      <c r="B707" s="470" t="s">
        <v>17</v>
      </c>
      <c r="C707" s="471" t="s">
        <v>18</v>
      </c>
      <c r="D707" s="472" t="s">
        <v>19</v>
      </c>
      <c r="E707" s="448" t="s">
        <v>4085</v>
      </c>
      <c r="F707" s="448" t="s">
        <v>2985</v>
      </c>
      <c r="G707" s="473" t="s">
        <v>3952</v>
      </c>
      <c r="H707" s="439" t="s">
        <v>923</v>
      </c>
      <c r="I707" s="474" t="s">
        <v>3459</v>
      </c>
      <c r="J707" s="474" t="s">
        <v>3464</v>
      </c>
      <c r="K707" s="443" t="s">
        <v>924</v>
      </c>
      <c r="L707" s="471">
        <v>1</v>
      </c>
      <c r="M707" s="447" t="s">
        <v>926</v>
      </c>
      <c r="N707" s="456">
        <v>76395</v>
      </c>
      <c r="O707" s="475">
        <f t="shared" si="2"/>
        <v>76395</v>
      </c>
      <c r="P707" s="476"/>
      <c r="Q707" s="477">
        <v>46023</v>
      </c>
      <c r="R707" s="476"/>
      <c r="S707" s="476"/>
    </row>
    <row r="708" spans="1:19" ht="15.75" customHeight="1" x14ac:dyDescent="0.25">
      <c r="A708" s="438">
        <v>705</v>
      </c>
      <c r="B708" s="470" t="s">
        <v>17</v>
      </c>
      <c r="C708" s="471" t="s">
        <v>18</v>
      </c>
      <c r="D708" s="472" t="s">
        <v>19</v>
      </c>
      <c r="E708" s="448" t="s">
        <v>4085</v>
      </c>
      <c r="F708" s="448" t="s">
        <v>2985</v>
      </c>
      <c r="G708" s="473" t="s">
        <v>3953</v>
      </c>
      <c r="H708" s="439" t="s">
        <v>927</v>
      </c>
      <c r="I708" s="474" t="s">
        <v>3459</v>
      </c>
      <c r="J708" s="474" t="s">
        <v>3464</v>
      </c>
      <c r="K708" s="443" t="s">
        <v>928</v>
      </c>
      <c r="L708" s="471">
        <v>1</v>
      </c>
      <c r="M708" s="447" t="s">
        <v>929</v>
      </c>
      <c r="N708" s="456">
        <v>58341</v>
      </c>
      <c r="O708" s="475">
        <f t="shared" si="2"/>
        <v>58341</v>
      </c>
      <c r="P708" s="476"/>
      <c r="Q708" s="477">
        <v>46023</v>
      </c>
      <c r="R708" s="476"/>
      <c r="S708" s="476"/>
    </row>
    <row r="709" spans="1:19" ht="15.75" customHeight="1" x14ac:dyDescent="0.25">
      <c r="A709" s="438">
        <v>706</v>
      </c>
      <c r="B709" s="470" t="s">
        <v>17</v>
      </c>
      <c r="C709" s="471" t="s">
        <v>18</v>
      </c>
      <c r="D709" s="472" t="s">
        <v>19</v>
      </c>
      <c r="E709" s="465" t="s">
        <v>4084</v>
      </c>
      <c r="F709" s="448" t="s">
        <v>2985</v>
      </c>
      <c r="G709" s="473" t="s">
        <v>3954</v>
      </c>
      <c r="H709" s="439" t="s">
        <v>930</v>
      </c>
      <c r="I709" s="474" t="s">
        <v>3459</v>
      </c>
      <c r="J709" s="474" t="s">
        <v>3464</v>
      </c>
      <c r="K709" s="443" t="s">
        <v>931</v>
      </c>
      <c r="L709" s="471">
        <v>1</v>
      </c>
      <c r="M709" s="447" t="s">
        <v>932</v>
      </c>
      <c r="N709" s="456">
        <v>14920</v>
      </c>
      <c r="O709" s="475">
        <f t="shared" si="2"/>
        <v>14920</v>
      </c>
      <c r="P709" s="476"/>
      <c r="Q709" s="477">
        <v>46023</v>
      </c>
      <c r="R709" s="476"/>
      <c r="S709" s="476"/>
    </row>
    <row r="710" spans="1:19" ht="15.75" customHeight="1" x14ac:dyDescent="0.25">
      <c r="A710" s="438">
        <v>707</v>
      </c>
      <c r="B710" s="470" t="s">
        <v>17</v>
      </c>
      <c r="C710" s="471" t="s">
        <v>18</v>
      </c>
      <c r="D710" s="472" t="s">
        <v>19</v>
      </c>
      <c r="E710" s="465" t="s">
        <v>4084</v>
      </c>
      <c r="F710" s="448" t="s">
        <v>2985</v>
      </c>
      <c r="G710" s="473" t="s">
        <v>3954</v>
      </c>
      <c r="H710" s="439" t="s">
        <v>930</v>
      </c>
      <c r="I710" s="474" t="s">
        <v>3459</v>
      </c>
      <c r="J710" s="474" t="s">
        <v>3464</v>
      </c>
      <c r="K710" s="443" t="s">
        <v>931</v>
      </c>
      <c r="L710" s="471">
        <v>1</v>
      </c>
      <c r="M710" s="447" t="s">
        <v>933</v>
      </c>
      <c r="N710" s="456">
        <v>14920</v>
      </c>
      <c r="O710" s="475">
        <f t="shared" si="2"/>
        <v>14920</v>
      </c>
      <c r="P710" s="476"/>
      <c r="Q710" s="477">
        <v>46023</v>
      </c>
      <c r="R710" s="476"/>
      <c r="S710" s="476"/>
    </row>
    <row r="711" spans="1:19" ht="15.75" customHeight="1" x14ac:dyDescent="0.25">
      <c r="A711" s="438">
        <v>708</v>
      </c>
      <c r="B711" s="470" t="s">
        <v>17</v>
      </c>
      <c r="C711" s="471" t="s">
        <v>18</v>
      </c>
      <c r="D711" s="472" t="s">
        <v>19</v>
      </c>
      <c r="E711" s="465" t="s">
        <v>4080</v>
      </c>
      <c r="F711" s="448" t="s">
        <v>4080</v>
      </c>
      <c r="G711" s="473" t="s">
        <v>3058</v>
      </c>
      <c r="H711" s="439" t="s">
        <v>934</v>
      </c>
      <c r="I711" s="474" t="s">
        <v>3459</v>
      </c>
      <c r="J711" s="474" t="s">
        <v>3464</v>
      </c>
      <c r="K711" s="443" t="s">
        <v>729</v>
      </c>
      <c r="L711" s="471">
        <v>1</v>
      </c>
      <c r="M711" s="447" t="s">
        <v>935</v>
      </c>
      <c r="N711" s="456">
        <v>9990</v>
      </c>
      <c r="O711" s="475">
        <f t="shared" si="2"/>
        <v>9990</v>
      </c>
      <c r="P711" s="476"/>
      <c r="Q711" s="477">
        <v>46023</v>
      </c>
      <c r="R711" s="476"/>
      <c r="S711" s="476"/>
    </row>
    <row r="712" spans="1:19" ht="15.75" customHeight="1" x14ac:dyDescent="0.25">
      <c r="A712" s="438">
        <v>709</v>
      </c>
      <c r="B712" s="470" t="s">
        <v>17</v>
      </c>
      <c r="C712" s="471" t="s">
        <v>18</v>
      </c>
      <c r="D712" s="472" t="s">
        <v>19</v>
      </c>
      <c r="E712" s="448" t="s">
        <v>4080</v>
      </c>
      <c r="F712" s="448" t="s">
        <v>4080</v>
      </c>
      <c r="G712" s="473" t="s">
        <v>2800</v>
      </c>
      <c r="H712" s="439" t="s">
        <v>936</v>
      </c>
      <c r="I712" s="474" t="s">
        <v>3459</v>
      </c>
      <c r="J712" s="474" t="s">
        <v>3463</v>
      </c>
      <c r="K712" s="443" t="s">
        <v>937</v>
      </c>
      <c r="L712" s="471">
        <v>1</v>
      </c>
      <c r="M712" s="447" t="s">
        <v>938</v>
      </c>
      <c r="N712" s="456">
        <v>5795</v>
      </c>
      <c r="O712" s="475">
        <f t="shared" si="2"/>
        <v>5795</v>
      </c>
      <c r="P712" s="476"/>
      <c r="Q712" s="477">
        <v>46023</v>
      </c>
      <c r="R712" s="476"/>
      <c r="S712" s="476"/>
    </row>
    <row r="713" spans="1:19" ht="15.75" customHeight="1" x14ac:dyDescent="0.25">
      <c r="A713" s="438">
        <v>710</v>
      </c>
      <c r="B713" s="470" t="s">
        <v>17</v>
      </c>
      <c r="C713" s="471" t="s">
        <v>18</v>
      </c>
      <c r="D713" s="472" t="s">
        <v>19</v>
      </c>
      <c r="E713" s="465" t="s">
        <v>4088</v>
      </c>
      <c r="F713" s="448" t="s">
        <v>3025</v>
      </c>
      <c r="G713" s="473" t="s">
        <v>3955</v>
      </c>
      <c r="H713" s="439" t="s">
        <v>939</v>
      </c>
      <c r="I713" s="474" t="s">
        <v>3459</v>
      </c>
      <c r="J713" s="474" t="s">
        <v>3463</v>
      </c>
      <c r="K713" s="443" t="s">
        <v>940</v>
      </c>
      <c r="L713" s="471">
        <v>1</v>
      </c>
      <c r="M713" s="447" t="s">
        <v>941</v>
      </c>
      <c r="N713" s="456">
        <v>580</v>
      </c>
      <c r="O713" s="475">
        <f t="shared" si="2"/>
        <v>580</v>
      </c>
      <c r="P713" s="476"/>
      <c r="Q713" s="477">
        <v>46023</v>
      </c>
      <c r="R713" s="476"/>
      <c r="S713" s="476"/>
    </row>
    <row r="714" spans="1:19" ht="15.75" customHeight="1" x14ac:dyDescent="0.25">
      <c r="A714" s="438">
        <v>711</v>
      </c>
      <c r="B714" s="470" t="s">
        <v>17</v>
      </c>
      <c r="C714" s="471" t="s">
        <v>18</v>
      </c>
      <c r="D714" s="472" t="s">
        <v>19</v>
      </c>
      <c r="E714" s="448" t="s">
        <v>4088</v>
      </c>
      <c r="F714" s="448" t="s">
        <v>3025</v>
      </c>
      <c r="G714" s="473" t="s">
        <v>3955</v>
      </c>
      <c r="H714" s="439" t="s">
        <v>939</v>
      </c>
      <c r="I714" s="474" t="s">
        <v>3459</v>
      </c>
      <c r="J714" s="474" t="s">
        <v>3463</v>
      </c>
      <c r="K714" s="443" t="s">
        <v>940</v>
      </c>
      <c r="L714" s="471">
        <v>1</v>
      </c>
      <c r="M714" s="447" t="s">
        <v>942</v>
      </c>
      <c r="N714" s="456">
        <v>580</v>
      </c>
      <c r="O714" s="475">
        <f t="shared" si="2"/>
        <v>580</v>
      </c>
      <c r="P714" s="476"/>
      <c r="Q714" s="477">
        <v>46023</v>
      </c>
      <c r="R714" s="476"/>
      <c r="S714" s="476"/>
    </row>
    <row r="715" spans="1:19" ht="15.75" customHeight="1" x14ac:dyDescent="0.25">
      <c r="A715" s="438">
        <v>712</v>
      </c>
      <c r="B715" s="470" t="s">
        <v>17</v>
      </c>
      <c r="C715" s="471" t="s">
        <v>18</v>
      </c>
      <c r="D715" s="472" t="s">
        <v>19</v>
      </c>
      <c r="E715" s="448" t="s">
        <v>4088</v>
      </c>
      <c r="F715" s="448" t="s">
        <v>4105</v>
      </c>
      <c r="G715" s="473" t="s">
        <v>3955</v>
      </c>
      <c r="H715" s="439" t="s">
        <v>939</v>
      </c>
      <c r="I715" s="474" t="s">
        <v>3459</v>
      </c>
      <c r="J715" s="474" t="s">
        <v>3463</v>
      </c>
      <c r="K715" s="443" t="s">
        <v>940</v>
      </c>
      <c r="L715" s="471">
        <v>1</v>
      </c>
      <c r="M715" s="447" t="s">
        <v>943</v>
      </c>
      <c r="N715" s="456">
        <v>580</v>
      </c>
      <c r="O715" s="475">
        <f t="shared" si="2"/>
        <v>580</v>
      </c>
      <c r="P715" s="476"/>
      <c r="Q715" s="477">
        <v>46023</v>
      </c>
      <c r="R715" s="476"/>
      <c r="S715" s="476"/>
    </row>
    <row r="716" spans="1:19" ht="15.75" customHeight="1" x14ac:dyDescent="0.25">
      <c r="A716" s="438">
        <v>713</v>
      </c>
      <c r="B716" s="470" t="s">
        <v>17</v>
      </c>
      <c r="C716" s="471" t="s">
        <v>18</v>
      </c>
      <c r="D716" s="472" t="s">
        <v>19</v>
      </c>
      <c r="E716" s="448" t="s">
        <v>4088</v>
      </c>
      <c r="F716" s="448" t="s">
        <v>4105</v>
      </c>
      <c r="G716" s="473" t="s">
        <v>3955</v>
      </c>
      <c r="H716" s="439" t="s">
        <v>939</v>
      </c>
      <c r="I716" s="474" t="s">
        <v>3459</v>
      </c>
      <c r="J716" s="474" t="s">
        <v>3463</v>
      </c>
      <c r="K716" s="443" t="s">
        <v>940</v>
      </c>
      <c r="L716" s="471">
        <v>1</v>
      </c>
      <c r="M716" s="447" t="s">
        <v>944</v>
      </c>
      <c r="N716" s="456">
        <v>580</v>
      </c>
      <c r="O716" s="475">
        <f t="shared" si="2"/>
        <v>580</v>
      </c>
      <c r="P716" s="476"/>
      <c r="Q716" s="477">
        <v>46023</v>
      </c>
      <c r="R716" s="476"/>
      <c r="S716" s="476"/>
    </row>
    <row r="717" spans="1:19" ht="15.75" customHeight="1" x14ac:dyDescent="0.25">
      <c r="A717" s="438">
        <v>714</v>
      </c>
      <c r="B717" s="470" t="s">
        <v>17</v>
      </c>
      <c r="C717" s="471" t="s">
        <v>18</v>
      </c>
      <c r="D717" s="472" t="s">
        <v>19</v>
      </c>
      <c r="E717" s="448" t="s">
        <v>4088</v>
      </c>
      <c r="F717" s="448" t="s">
        <v>4105</v>
      </c>
      <c r="G717" s="473" t="s">
        <v>3955</v>
      </c>
      <c r="H717" s="439" t="s">
        <v>939</v>
      </c>
      <c r="I717" s="474" t="s">
        <v>3459</v>
      </c>
      <c r="J717" s="474" t="s">
        <v>3463</v>
      </c>
      <c r="K717" s="443" t="s">
        <v>940</v>
      </c>
      <c r="L717" s="471">
        <v>1</v>
      </c>
      <c r="M717" s="447" t="s">
        <v>945</v>
      </c>
      <c r="N717" s="456">
        <v>580</v>
      </c>
      <c r="O717" s="475">
        <f t="shared" si="2"/>
        <v>580</v>
      </c>
      <c r="P717" s="476"/>
      <c r="Q717" s="477">
        <v>46023</v>
      </c>
      <c r="R717" s="476"/>
      <c r="S717" s="476"/>
    </row>
    <row r="718" spans="1:19" ht="15.75" customHeight="1" x14ac:dyDescent="0.25">
      <c r="A718" s="438">
        <v>715</v>
      </c>
      <c r="B718" s="470" t="s">
        <v>17</v>
      </c>
      <c r="C718" s="471" t="s">
        <v>18</v>
      </c>
      <c r="D718" s="472" t="s">
        <v>19</v>
      </c>
      <c r="E718" s="465" t="s">
        <v>4083</v>
      </c>
      <c r="F718" s="448" t="s">
        <v>2988</v>
      </c>
      <c r="G718" s="473" t="s">
        <v>3956</v>
      </c>
      <c r="H718" s="439" t="s">
        <v>947</v>
      </c>
      <c r="I718" s="474" t="s">
        <v>3459</v>
      </c>
      <c r="J718" s="474" t="s">
        <v>3464</v>
      </c>
      <c r="K718" s="443" t="s">
        <v>948</v>
      </c>
      <c r="L718" s="471">
        <v>1</v>
      </c>
      <c r="M718" s="447" t="s">
        <v>949</v>
      </c>
      <c r="N718" s="456">
        <v>3200</v>
      </c>
      <c r="O718" s="475">
        <f t="shared" si="2"/>
        <v>3200</v>
      </c>
      <c r="P718" s="476"/>
      <c r="Q718" s="477">
        <v>46023</v>
      </c>
      <c r="R718" s="476"/>
      <c r="S718" s="476"/>
    </row>
    <row r="719" spans="1:19" ht="15.75" customHeight="1" x14ac:dyDescent="0.25">
      <c r="A719" s="438">
        <v>716</v>
      </c>
      <c r="B719" s="470" t="s">
        <v>17</v>
      </c>
      <c r="C719" s="471" t="s">
        <v>18</v>
      </c>
      <c r="D719" s="472" t="s">
        <v>19</v>
      </c>
      <c r="E719" s="448" t="s">
        <v>4085</v>
      </c>
      <c r="F719" s="448" t="s">
        <v>2982</v>
      </c>
      <c r="G719" s="473" t="s">
        <v>3957</v>
      </c>
      <c r="H719" s="439" t="s">
        <v>950</v>
      </c>
      <c r="I719" s="474" t="s">
        <v>3459</v>
      </c>
      <c r="J719" s="474" t="s">
        <v>3463</v>
      </c>
      <c r="K719" s="443" t="s">
        <v>951</v>
      </c>
      <c r="L719" s="471">
        <v>1</v>
      </c>
      <c r="M719" s="447" t="s">
        <v>952</v>
      </c>
      <c r="N719" s="456">
        <v>2000</v>
      </c>
      <c r="O719" s="475">
        <f t="shared" si="2"/>
        <v>2000</v>
      </c>
      <c r="P719" s="476"/>
      <c r="Q719" s="477">
        <v>46023</v>
      </c>
      <c r="R719" s="476"/>
      <c r="S719" s="476"/>
    </row>
    <row r="720" spans="1:19" ht="15.75" customHeight="1" x14ac:dyDescent="0.25">
      <c r="A720" s="438">
        <v>717</v>
      </c>
      <c r="B720" s="470" t="s">
        <v>17</v>
      </c>
      <c r="C720" s="471" t="s">
        <v>18</v>
      </c>
      <c r="D720" s="472" t="s">
        <v>19</v>
      </c>
      <c r="E720" s="448" t="s">
        <v>4085</v>
      </c>
      <c r="F720" s="448" t="s">
        <v>2982</v>
      </c>
      <c r="G720" s="473" t="s">
        <v>3957</v>
      </c>
      <c r="H720" s="439" t="s">
        <v>950</v>
      </c>
      <c r="I720" s="474" t="s">
        <v>3459</v>
      </c>
      <c r="J720" s="474" t="s">
        <v>3463</v>
      </c>
      <c r="K720" s="443" t="s">
        <v>951</v>
      </c>
      <c r="L720" s="471">
        <v>1</v>
      </c>
      <c r="M720" s="447" t="s">
        <v>953</v>
      </c>
      <c r="N720" s="456">
        <v>2000</v>
      </c>
      <c r="O720" s="475">
        <f t="shared" si="2"/>
        <v>2000</v>
      </c>
      <c r="P720" s="476"/>
      <c r="Q720" s="477">
        <v>46023</v>
      </c>
      <c r="R720" s="476"/>
      <c r="S720" s="476"/>
    </row>
    <row r="721" spans="1:19" ht="15.75" customHeight="1" x14ac:dyDescent="0.25">
      <c r="A721" s="438">
        <v>718</v>
      </c>
      <c r="B721" s="470" t="s">
        <v>17</v>
      </c>
      <c r="C721" s="471" t="s">
        <v>18</v>
      </c>
      <c r="D721" s="472" t="s">
        <v>19</v>
      </c>
      <c r="E721" s="448" t="s">
        <v>4088</v>
      </c>
      <c r="F721" s="448" t="s">
        <v>3025</v>
      </c>
      <c r="G721" s="473" t="s">
        <v>3957</v>
      </c>
      <c r="H721" s="439" t="s">
        <v>950</v>
      </c>
      <c r="I721" s="474" t="s">
        <v>3459</v>
      </c>
      <c r="J721" s="474" t="s">
        <v>3463</v>
      </c>
      <c r="K721" s="443" t="s">
        <v>951</v>
      </c>
      <c r="L721" s="471">
        <v>1</v>
      </c>
      <c r="M721" s="447" t="s">
        <v>954</v>
      </c>
      <c r="N721" s="456">
        <v>2000</v>
      </c>
      <c r="O721" s="475">
        <f t="shared" si="2"/>
        <v>2000</v>
      </c>
      <c r="P721" s="476"/>
      <c r="Q721" s="477">
        <v>46023</v>
      </c>
      <c r="R721" s="476"/>
      <c r="S721" s="476"/>
    </row>
    <row r="722" spans="1:19" ht="15.75" customHeight="1" x14ac:dyDescent="0.25">
      <c r="A722" s="438">
        <v>719</v>
      </c>
      <c r="B722" s="470" t="s">
        <v>17</v>
      </c>
      <c r="C722" s="471" t="s">
        <v>18</v>
      </c>
      <c r="D722" s="472" t="s">
        <v>19</v>
      </c>
      <c r="E722" s="448" t="s">
        <v>4088</v>
      </c>
      <c r="F722" s="448" t="s">
        <v>3025</v>
      </c>
      <c r="G722" s="473" t="s">
        <v>3957</v>
      </c>
      <c r="H722" s="439" t="s">
        <v>950</v>
      </c>
      <c r="I722" s="474" t="s">
        <v>3459</v>
      </c>
      <c r="J722" s="474" t="s">
        <v>3463</v>
      </c>
      <c r="K722" s="443" t="s">
        <v>951</v>
      </c>
      <c r="L722" s="471">
        <v>1</v>
      </c>
      <c r="M722" s="447" t="s">
        <v>955</v>
      </c>
      <c r="N722" s="456">
        <v>2000</v>
      </c>
      <c r="O722" s="475">
        <f t="shared" si="2"/>
        <v>2000</v>
      </c>
      <c r="P722" s="476"/>
      <c r="Q722" s="477">
        <v>46023</v>
      </c>
      <c r="R722" s="476"/>
      <c r="S722" s="476"/>
    </row>
    <row r="723" spans="1:19" ht="15.75" customHeight="1" x14ac:dyDescent="0.25">
      <c r="A723" s="438">
        <v>720</v>
      </c>
      <c r="B723" s="470" t="s">
        <v>17</v>
      </c>
      <c r="C723" s="471" t="s">
        <v>18</v>
      </c>
      <c r="D723" s="472" t="s">
        <v>19</v>
      </c>
      <c r="E723" s="465" t="s">
        <v>4080</v>
      </c>
      <c r="F723" s="448" t="s">
        <v>4080</v>
      </c>
      <c r="G723" s="473" t="s">
        <v>3957</v>
      </c>
      <c r="H723" s="439" t="s">
        <v>956</v>
      </c>
      <c r="I723" s="474" t="s">
        <v>3459</v>
      </c>
      <c r="J723" s="474" t="s">
        <v>3463</v>
      </c>
      <c r="K723" s="443" t="s">
        <v>951</v>
      </c>
      <c r="L723" s="471">
        <v>1</v>
      </c>
      <c r="M723" s="447" t="s">
        <v>957</v>
      </c>
      <c r="N723" s="456">
        <v>2000</v>
      </c>
      <c r="O723" s="475">
        <f t="shared" si="2"/>
        <v>2000</v>
      </c>
      <c r="P723" s="476"/>
      <c r="Q723" s="477">
        <v>46023</v>
      </c>
      <c r="R723" s="476"/>
      <c r="S723" s="476"/>
    </row>
    <row r="724" spans="1:19" ht="15.75" customHeight="1" x14ac:dyDescent="0.25">
      <c r="A724" s="438">
        <v>721</v>
      </c>
      <c r="B724" s="470" t="s">
        <v>17</v>
      </c>
      <c r="C724" s="471" t="s">
        <v>18</v>
      </c>
      <c r="D724" s="472" t="s">
        <v>19</v>
      </c>
      <c r="E724" s="448" t="s">
        <v>4080</v>
      </c>
      <c r="F724" s="448" t="s">
        <v>4080</v>
      </c>
      <c r="G724" s="473" t="s">
        <v>3957</v>
      </c>
      <c r="H724" s="439" t="s">
        <v>956</v>
      </c>
      <c r="I724" s="474" t="s">
        <v>3459</v>
      </c>
      <c r="J724" s="474" t="s">
        <v>3463</v>
      </c>
      <c r="K724" s="443" t="s">
        <v>951</v>
      </c>
      <c r="L724" s="471">
        <v>1</v>
      </c>
      <c r="M724" s="447" t="s">
        <v>958</v>
      </c>
      <c r="N724" s="456">
        <v>2000</v>
      </c>
      <c r="O724" s="475">
        <f t="shared" si="2"/>
        <v>2000</v>
      </c>
      <c r="P724" s="476"/>
      <c r="Q724" s="477">
        <v>46023</v>
      </c>
      <c r="R724" s="476"/>
      <c r="S724" s="476"/>
    </row>
    <row r="725" spans="1:19" ht="15.75" customHeight="1" x14ac:dyDescent="0.25">
      <c r="A725" s="438">
        <v>722</v>
      </c>
      <c r="B725" s="470" t="s">
        <v>17</v>
      </c>
      <c r="C725" s="471" t="s">
        <v>18</v>
      </c>
      <c r="D725" s="472" t="s">
        <v>19</v>
      </c>
      <c r="E725" s="448" t="s">
        <v>4080</v>
      </c>
      <c r="F725" s="448" t="s">
        <v>4080</v>
      </c>
      <c r="G725" s="473" t="s">
        <v>3957</v>
      </c>
      <c r="H725" s="439" t="s">
        <v>956</v>
      </c>
      <c r="I725" s="474" t="s">
        <v>3459</v>
      </c>
      <c r="J725" s="474" t="s">
        <v>3463</v>
      </c>
      <c r="K725" s="443" t="s">
        <v>951</v>
      </c>
      <c r="L725" s="471">
        <v>1</v>
      </c>
      <c r="M725" s="447" t="s">
        <v>959</v>
      </c>
      <c r="N725" s="456">
        <v>2000</v>
      </c>
      <c r="O725" s="475">
        <f t="shared" si="2"/>
        <v>2000</v>
      </c>
      <c r="P725" s="476"/>
      <c r="Q725" s="477">
        <v>46023</v>
      </c>
      <c r="R725" s="476"/>
      <c r="S725" s="476"/>
    </row>
    <row r="726" spans="1:19" ht="15.75" customHeight="1" x14ac:dyDescent="0.25">
      <c r="A726" s="438">
        <v>723</v>
      </c>
      <c r="B726" s="470" t="s">
        <v>17</v>
      </c>
      <c r="C726" s="471" t="s">
        <v>18</v>
      </c>
      <c r="D726" s="472" t="s">
        <v>19</v>
      </c>
      <c r="E726" s="448" t="s">
        <v>4080</v>
      </c>
      <c r="F726" s="448" t="s">
        <v>4080</v>
      </c>
      <c r="G726" s="473" t="s">
        <v>3957</v>
      </c>
      <c r="H726" s="439" t="s">
        <v>956</v>
      </c>
      <c r="I726" s="474" t="s">
        <v>3459</v>
      </c>
      <c r="J726" s="474" t="s">
        <v>3463</v>
      </c>
      <c r="K726" s="443" t="s">
        <v>951</v>
      </c>
      <c r="L726" s="471">
        <v>1</v>
      </c>
      <c r="M726" s="447" t="s">
        <v>960</v>
      </c>
      <c r="N726" s="456">
        <v>2000</v>
      </c>
      <c r="O726" s="475">
        <f t="shared" si="2"/>
        <v>2000</v>
      </c>
      <c r="P726" s="476"/>
      <c r="Q726" s="477">
        <v>46023</v>
      </c>
      <c r="R726" s="476"/>
      <c r="S726" s="476"/>
    </row>
    <row r="727" spans="1:19" ht="15.75" customHeight="1" x14ac:dyDescent="0.25">
      <c r="A727" s="438">
        <v>724</v>
      </c>
      <c r="B727" s="470" t="s">
        <v>17</v>
      </c>
      <c r="C727" s="471" t="s">
        <v>18</v>
      </c>
      <c r="D727" s="472" t="s">
        <v>19</v>
      </c>
      <c r="E727" s="448" t="s">
        <v>4085</v>
      </c>
      <c r="F727" s="448" t="s">
        <v>2982</v>
      </c>
      <c r="G727" s="473" t="s">
        <v>3946</v>
      </c>
      <c r="H727" s="439" t="s">
        <v>961</v>
      </c>
      <c r="I727" s="474" t="s">
        <v>3459</v>
      </c>
      <c r="J727" s="474" t="s">
        <v>3464</v>
      </c>
      <c r="K727" s="443" t="s">
        <v>902</v>
      </c>
      <c r="L727" s="471">
        <v>1</v>
      </c>
      <c r="M727" s="447" t="s">
        <v>962</v>
      </c>
      <c r="N727" s="456">
        <v>49950</v>
      </c>
      <c r="O727" s="475">
        <f t="shared" si="2"/>
        <v>49950</v>
      </c>
      <c r="P727" s="476"/>
      <c r="Q727" s="477">
        <v>46023</v>
      </c>
      <c r="R727" s="476"/>
      <c r="S727" s="476"/>
    </row>
    <row r="728" spans="1:19" ht="15.75" customHeight="1" x14ac:dyDescent="0.25">
      <c r="A728" s="438">
        <v>725</v>
      </c>
      <c r="B728" s="470" t="s">
        <v>17</v>
      </c>
      <c r="C728" s="471" t="s">
        <v>18</v>
      </c>
      <c r="D728" s="472" t="s">
        <v>19</v>
      </c>
      <c r="E728" s="448" t="s">
        <v>4085</v>
      </c>
      <c r="F728" s="448" t="s">
        <v>2982</v>
      </c>
      <c r="G728" s="473" t="s">
        <v>3946</v>
      </c>
      <c r="H728" s="439" t="s">
        <v>963</v>
      </c>
      <c r="I728" s="474" t="s">
        <v>3459</v>
      </c>
      <c r="J728" s="474" t="s">
        <v>3464</v>
      </c>
      <c r="K728" s="443" t="s">
        <v>902</v>
      </c>
      <c r="L728" s="471">
        <v>1</v>
      </c>
      <c r="M728" s="447" t="s">
        <v>964</v>
      </c>
      <c r="N728" s="456">
        <v>150900</v>
      </c>
      <c r="O728" s="475">
        <f t="shared" si="2"/>
        <v>150900</v>
      </c>
      <c r="P728" s="476"/>
      <c r="Q728" s="477">
        <v>46023</v>
      </c>
      <c r="R728" s="476"/>
      <c r="S728" s="476"/>
    </row>
    <row r="729" spans="1:19" ht="15.75" customHeight="1" x14ac:dyDescent="0.25">
      <c r="A729" s="438">
        <v>726</v>
      </c>
      <c r="B729" s="470" t="s">
        <v>17</v>
      </c>
      <c r="C729" s="471" t="s">
        <v>18</v>
      </c>
      <c r="D729" s="472" t="s">
        <v>19</v>
      </c>
      <c r="E729" s="448" t="s">
        <v>4080</v>
      </c>
      <c r="F729" s="448" t="s">
        <v>4080</v>
      </c>
      <c r="G729" s="473" t="s">
        <v>3946</v>
      </c>
      <c r="H729" s="439" t="s">
        <v>965</v>
      </c>
      <c r="I729" s="474" t="s">
        <v>3459</v>
      </c>
      <c r="J729" s="474" t="s">
        <v>3464</v>
      </c>
      <c r="K729" s="443" t="s">
        <v>902</v>
      </c>
      <c r="L729" s="471">
        <v>1</v>
      </c>
      <c r="M729" s="447" t="s">
        <v>966</v>
      </c>
      <c r="N729" s="456">
        <v>45000</v>
      </c>
      <c r="O729" s="475">
        <f t="shared" si="2"/>
        <v>45000</v>
      </c>
      <c r="P729" s="476"/>
      <c r="Q729" s="477">
        <v>46023</v>
      </c>
      <c r="R729" s="476"/>
      <c r="S729" s="476"/>
    </row>
    <row r="730" spans="1:19" ht="15.75" customHeight="1" x14ac:dyDescent="0.25">
      <c r="A730" s="438">
        <v>727</v>
      </c>
      <c r="B730" s="470" t="s">
        <v>17</v>
      </c>
      <c r="C730" s="471" t="s">
        <v>18</v>
      </c>
      <c r="D730" s="472" t="s">
        <v>19</v>
      </c>
      <c r="E730" s="448" t="s">
        <v>4086</v>
      </c>
      <c r="F730" s="448" t="s">
        <v>4103</v>
      </c>
      <c r="G730" s="473" t="s">
        <v>3958</v>
      </c>
      <c r="H730" s="439" t="s">
        <v>967</v>
      </c>
      <c r="I730" s="474" t="s">
        <v>3459</v>
      </c>
      <c r="J730" s="474" t="s">
        <v>3463</v>
      </c>
      <c r="K730" s="443" t="s">
        <v>968</v>
      </c>
      <c r="L730" s="471">
        <v>1</v>
      </c>
      <c r="M730" s="447" t="s">
        <v>969</v>
      </c>
      <c r="N730" s="456">
        <v>452.81</v>
      </c>
      <c r="O730" s="475">
        <f t="shared" si="2"/>
        <v>452.81</v>
      </c>
      <c r="P730" s="476"/>
      <c r="Q730" s="477">
        <v>46023</v>
      </c>
      <c r="R730" s="476"/>
      <c r="S730" s="476"/>
    </row>
    <row r="731" spans="1:19" ht="15.75" customHeight="1" x14ac:dyDescent="0.25">
      <c r="A731" s="438">
        <v>728</v>
      </c>
      <c r="B731" s="470" t="s">
        <v>17</v>
      </c>
      <c r="C731" s="471" t="s">
        <v>18</v>
      </c>
      <c r="D731" s="472" t="s">
        <v>19</v>
      </c>
      <c r="E731" s="448" t="s">
        <v>4086</v>
      </c>
      <c r="F731" s="448" t="s">
        <v>4103</v>
      </c>
      <c r="G731" s="473" t="s">
        <v>3958</v>
      </c>
      <c r="H731" s="439" t="s">
        <v>967</v>
      </c>
      <c r="I731" s="474" t="s">
        <v>3459</v>
      </c>
      <c r="J731" s="474" t="s">
        <v>3463</v>
      </c>
      <c r="K731" s="443" t="s">
        <v>968</v>
      </c>
      <c r="L731" s="471">
        <v>1</v>
      </c>
      <c r="M731" s="447" t="s">
        <v>970</v>
      </c>
      <c r="N731" s="456">
        <v>452.81</v>
      </c>
      <c r="O731" s="475">
        <f t="shared" si="2"/>
        <v>452.81</v>
      </c>
      <c r="P731" s="476"/>
      <c r="Q731" s="477">
        <v>46023</v>
      </c>
      <c r="R731" s="476"/>
      <c r="S731" s="476"/>
    </row>
    <row r="732" spans="1:19" ht="15.75" customHeight="1" x14ac:dyDescent="0.25">
      <c r="A732" s="438">
        <v>729</v>
      </c>
      <c r="B732" s="470" t="s">
        <v>17</v>
      </c>
      <c r="C732" s="471" t="s">
        <v>18</v>
      </c>
      <c r="D732" s="472" t="s">
        <v>19</v>
      </c>
      <c r="E732" s="448" t="s">
        <v>4086</v>
      </c>
      <c r="F732" s="448" t="s">
        <v>4102</v>
      </c>
      <c r="G732" s="473" t="s">
        <v>3958</v>
      </c>
      <c r="H732" s="439" t="s">
        <v>967</v>
      </c>
      <c r="I732" s="474" t="s">
        <v>3459</v>
      </c>
      <c r="J732" s="474" t="s">
        <v>3463</v>
      </c>
      <c r="K732" s="443" t="s">
        <v>968</v>
      </c>
      <c r="L732" s="471">
        <v>1</v>
      </c>
      <c r="M732" s="447" t="s">
        <v>971</v>
      </c>
      <c r="N732" s="456">
        <v>452.81</v>
      </c>
      <c r="O732" s="475">
        <f t="shared" si="2"/>
        <v>452.81</v>
      </c>
      <c r="P732" s="476"/>
      <c r="Q732" s="477">
        <v>46023</v>
      </c>
      <c r="R732" s="476"/>
      <c r="S732" s="476"/>
    </row>
    <row r="733" spans="1:19" ht="15.75" customHeight="1" x14ac:dyDescent="0.25">
      <c r="A733" s="438">
        <v>730</v>
      </c>
      <c r="B733" s="470" t="s">
        <v>17</v>
      </c>
      <c r="C733" s="471" t="s">
        <v>18</v>
      </c>
      <c r="D733" s="472" t="s">
        <v>19</v>
      </c>
      <c r="E733" s="448" t="s">
        <v>4088</v>
      </c>
      <c r="F733" s="448" t="s">
        <v>3025</v>
      </c>
      <c r="G733" s="473" t="s">
        <v>3958</v>
      </c>
      <c r="H733" s="439" t="s">
        <v>967</v>
      </c>
      <c r="I733" s="474" t="s">
        <v>3459</v>
      </c>
      <c r="J733" s="474" t="s">
        <v>3463</v>
      </c>
      <c r="K733" s="443" t="s">
        <v>968</v>
      </c>
      <c r="L733" s="471">
        <v>1</v>
      </c>
      <c r="M733" s="447" t="s">
        <v>972</v>
      </c>
      <c r="N733" s="456">
        <v>452.81</v>
      </c>
      <c r="O733" s="475">
        <f t="shared" si="2"/>
        <v>452.81</v>
      </c>
      <c r="P733" s="476"/>
      <c r="Q733" s="477">
        <v>46023</v>
      </c>
      <c r="R733" s="476"/>
      <c r="S733" s="476"/>
    </row>
    <row r="734" spans="1:19" ht="15.75" customHeight="1" x14ac:dyDescent="0.25">
      <c r="A734" s="438">
        <v>731</v>
      </c>
      <c r="B734" s="470" t="s">
        <v>17</v>
      </c>
      <c r="C734" s="471" t="s">
        <v>18</v>
      </c>
      <c r="D734" s="472" t="s">
        <v>19</v>
      </c>
      <c r="E734" s="448" t="s">
        <v>4088</v>
      </c>
      <c r="F734" s="448" t="s">
        <v>3025</v>
      </c>
      <c r="G734" s="473" t="s">
        <v>3958</v>
      </c>
      <c r="H734" s="439" t="s">
        <v>967</v>
      </c>
      <c r="I734" s="474" t="s">
        <v>3459</v>
      </c>
      <c r="J734" s="474" t="s">
        <v>3463</v>
      </c>
      <c r="K734" s="443" t="s">
        <v>968</v>
      </c>
      <c r="L734" s="471">
        <v>1</v>
      </c>
      <c r="M734" s="447" t="s">
        <v>973</v>
      </c>
      <c r="N734" s="456">
        <v>452.81</v>
      </c>
      <c r="O734" s="475">
        <f t="shared" si="2"/>
        <v>452.81</v>
      </c>
      <c r="P734" s="476"/>
      <c r="Q734" s="477">
        <v>46023</v>
      </c>
      <c r="R734" s="476"/>
      <c r="S734" s="476"/>
    </row>
    <row r="735" spans="1:19" ht="15.75" customHeight="1" x14ac:dyDescent="0.25">
      <c r="A735" s="438">
        <v>732</v>
      </c>
      <c r="B735" s="470" t="s">
        <v>17</v>
      </c>
      <c r="C735" s="471" t="s">
        <v>18</v>
      </c>
      <c r="D735" s="472" t="s">
        <v>19</v>
      </c>
      <c r="E735" s="448" t="s">
        <v>4088</v>
      </c>
      <c r="F735" s="448" t="s">
        <v>3025</v>
      </c>
      <c r="G735" s="473" t="s">
        <v>3958</v>
      </c>
      <c r="H735" s="439" t="s">
        <v>967</v>
      </c>
      <c r="I735" s="474" t="s">
        <v>3459</v>
      </c>
      <c r="J735" s="474" t="s">
        <v>3463</v>
      </c>
      <c r="K735" s="439" t="s">
        <v>968</v>
      </c>
      <c r="L735" s="471">
        <v>1</v>
      </c>
      <c r="M735" s="447" t="s">
        <v>974</v>
      </c>
      <c r="N735" s="456">
        <v>452.81</v>
      </c>
      <c r="O735" s="475">
        <f t="shared" si="2"/>
        <v>452.81</v>
      </c>
      <c r="P735" s="476"/>
      <c r="Q735" s="477">
        <v>46023</v>
      </c>
      <c r="R735" s="476"/>
      <c r="S735" s="476"/>
    </row>
    <row r="736" spans="1:19" ht="15.75" customHeight="1" x14ac:dyDescent="0.25">
      <c r="A736" s="438">
        <v>733</v>
      </c>
      <c r="B736" s="470" t="s">
        <v>17</v>
      </c>
      <c r="C736" s="471" t="s">
        <v>18</v>
      </c>
      <c r="D736" s="472" t="s">
        <v>19</v>
      </c>
      <c r="E736" s="465" t="s">
        <v>4088</v>
      </c>
      <c r="F736" s="448" t="s">
        <v>3025</v>
      </c>
      <c r="G736" s="473" t="s">
        <v>3958</v>
      </c>
      <c r="H736" s="439" t="s">
        <v>967</v>
      </c>
      <c r="I736" s="474" t="s">
        <v>3459</v>
      </c>
      <c r="J736" s="474" t="s">
        <v>3463</v>
      </c>
      <c r="K736" s="443" t="s">
        <v>968</v>
      </c>
      <c r="L736" s="471">
        <v>1</v>
      </c>
      <c r="M736" s="447" t="s">
        <v>975</v>
      </c>
      <c r="N736" s="456">
        <v>452.81</v>
      </c>
      <c r="O736" s="475">
        <f t="shared" si="2"/>
        <v>452.81</v>
      </c>
      <c r="P736" s="476"/>
      <c r="Q736" s="477">
        <v>46023</v>
      </c>
      <c r="R736" s="476"/>
      <c r="S736" s="476"/>
    </row>
    <row r="737" spans="1:19" ht="15.75" customHeight="1" x14ac:dyDescent="0.25">
      <c r="A737" s="438">
        <v>734</v>
      </c>
      <c r="B737" s="470" t="s">
        <v>17</v>
      </c>
      <c r="C737" s="471" t="s">
        <v>18</v>
      </c>
      <c r="D737" s="472" t="s">
        <v>19</v>
      </c>
      <c r="E737" s="448" t="s">
        <v>4088</v>
      </c>
      <c r="F737" s="448" t="s">
        <v>4101</v>
      </c>
      <c r="G737" s="473" t="s">
        <v>3958</v>
      </c>
      <c r="H737" s="439" t="s">
        <v>967</v>
      </c>
      <c r="I737" s="474" t="s">
        <v>3459</v>
      </c>
      <c r="J737" s="474" t="s">
        <v>3463</v>
      </c>
      <c r="K737" s="443" t="s">
        <v>968</v>
      </c>
      <c r="L737" s="471">
        <v>1</v>
      </c>
      <c r="M737" s="447" t="s">
        <v>976</v>
      </c>
      <c r="N737" s="456">
        <v>452.81</v>
      </c>
      <c r="O737" s="475">
        <f t="shared" si="2"/>
        <v>452.81</v>
      </c>
      <c r="P737" s="476"/>
      <c r="Q737" s="477">
        <v>46023</v>
      </c>
      <c r="R737" s="476"/>
      <c r="S737" s="476"/>
    </row>
    <row r="738" spans="1:19" ht="15.75" customHeight="1" x14ac:dyDescent="0.25">
      <c r="A738" s="438">
        <v>735</v>
      </c>
      <c r="B738" s="470" t="s">
        <v>17</v>
      </c>
      <c r="C738" s="471" t="s">
        <v>18</v>
      </c>
      <c r="D738" s="472" t="s">
        <v>19</v>
      </c>
      <c r="E738" s="465" t="s">
        <v>4088</v>
      </c>
      <c r="F738" s="448" t="s">
        <v>4101</v>
      </c>
      <c r="G738" s="473" t="s">
        <v>3958</v>
      </c>
      <c r="H738" s="439" t="s">
        <v>967</v>
      </c>
      <c r="I738" s="474" t="s">
        <v>3459</v>
      </c>
      <c r="J738" s="474" t="s">
        <v>3463</v>
      </c>
      <c r="K738" s="443" t="s">
        <v>968</v>
      </c>
      <c r="L738" s="471">
        <v>1</v>
      </c>
      <c r="M738" s="447" t="s">
        <v>977</v>
      </c>
      <c r="N738" s="456">
        <v>452.81</v>
      </c>
      <c r="O738" s="475">
        <f t="shared" si="2"/>
        <v>452.81</v>
      </c>
      <c r="P738" s="476"/>
      <c r="Q738" s="477">
        <v>46023</v>
      </c>
      <c r="R738" s="476"/>
      <c r="S738" s="476"/>
    </row>
    <row r="739" spans="1:19" ht="15.75" customHeight="1" x14ac:dyDescent="0.25">
      <c r="A739" s="438">
        <v>736</v>
      </c>
      <c r="B739" s="470" t="s">
        <v>17</v>
      </c>
      <c r="C739" s="471" t="s">
        <v>18</v>
      </c>
      <c r="D739" s="472" t="s">
        <v>19</v>
      </c>
      <c r="E739" s="448" t="s">
        <v>4088</v>
      </c>
      <c r="F739" s="448" t="s">
        <v>3025</v>
      </c>
      <c r="G739" s="473" t="s">
        <v>3958</v>
      </c>
      <c r="H739" s="439" t="s">
        <v>967</v>
      </c>
      <c r="I739" s="474" t="s">
        <v>3459</v>
      </c>
      <c r="J739" s="474" t="s">
        <v>3463</v>
      </c>
      <c r="K739" s="443" t="s">
        <v>968</v>
      </c>
      <c r="L739" s="471">
        <v>1</v>
      </c>
      <c r="M739" s="447" t="s">
        <v>978</v>
      </c>
      <c r="N739" s="456">
        <v>452.81</v>
      </c>
      <c r="O739" s="475">
        <f t="shared" si="2"/>
        <v>452.81</v>
      </c>
      <c r="P739" s="476"/>
      <c r="Q739" s="477">
        <v>46023</v>
      </c>
      <c r="R739" s="476"/>
      <c r="S739" s="476"/>
    </row>
    <row r="740" spans="1:19" ht="15.75" customHeight="1" x14ac:dyDescent="0.25">
      <c r="A740" s="438">
        <v>737</v>
      </c>
      <c r="B740" s="470" t="s">
        <v>17</v>
      </c>
      <c r="C740" s="471" t="s">
        <v>18</v>
      </c>
      <c r="D740" s="472" t="s">
        <v>19</v>
      </c>
      <c r="E740" s="448" t="s">
        <v>4088</v>
      </c>
      <c r="F740" s="448" t="s">
        <v>3025</v>
      </c>
      <c r="G740" s="473" t="s">
        <v>3958</v>
      </c>
      <c r="H740" s="439" t="s">
        <v>967</v>
      </c>
      <c r="I740" s="474" t="s">
        <v>3459</v>
      </c>
      <c r="J740" s="474" t="s">
        <v>3463</v>
      </c>
      <c r="K740" s="439" t="s">
        <v>968</v>
      </c>
      <c r="L740" s="471">
        <v>1</v>
      </c>
      <c r="M740" s="447" t="s">
        <v>979</v>
      </c>
      <c r="N740" s="456">
        <v>452.81</v>
      </c>
      <c r="O740" s="475">
        <f t="shared" si="2"/>
        <v>452.81</v>
      </c>
      <c r="P740" s="476"/>
      <c r="Q740" s="477">
        <v>46023</v>
      </c>
      <c r="R740" s="476"/>
      <c r="S740" s="476"/>
    </row>
    <row r="741" spans="1:19" ht="15.75" customHeight="1" x14ac:dyDescent="0.25">
      <c r="A741" s="438">
        <v>738</v>
      </c>
      <c r="B741" s="470" t="s">
        <v>17</v>
      </c>
      <c r="C741" s="471" t="s">
        <v>18</v>
      </c>
      <c r="D741" s="472" t="s">
        <v>19</v>
      </c>
      <c r="E741" s="448" t="s">
        <v>4088</v>
      </c>
      <c r="F741" s="448" t="s">
        <v>3025</v>
      </c>
      <c r="G741" s="473" t="s">
        <v>3958</v>
      </c>
      <c r="H741" s="439" t="s">
        <v>967</v>
      </c>
      <c r="I741" s="474" t="s">
        <v>3459</v>
      </c>
      <c r="J741" s="474" t="s">
        <v>3463</v>
      </c>
      <c r="K741" s="439" t="s">
        <v>968</v>
      </c>
      <c r="L741" s="471">
        <v>1</v>
      </c>
      <c r="M741" s="447" t="s">
        <v>980</v>
      </c>
      <c r="N741" s="456">
        <v>452.81</v>
      </c>
      <c r="O741" s="475">
        <f t="shared" si="2"/>
        <v>452.81</v>
      </c>
      <c r="P741" s="476"/>
      <c r="Q741" s="477">
        <v>46023</v>
      </c>
      <c r="R741" s="476"/>
      <c r="S741" s="476"/>
    </row>
    <row r="742" spans="1:19" ht="15.75" customHeight="1" x14ac:dyDescent="0.25">
      <c r="A742" s="438">
        <v>739</v>
      </c>
      <c r="B742" s="470" t="s">
        <v>17</v>
      </c>
      <c r="C742" s="471" t="s">
        <v>18</v>
      </c>
      <c r="D742" s="472" t="s">
        <v>19</v>
      </c>
      <c r="E742" s="465" t="s">
        <v>4088</v>
      </c>
      <c r="F742" s="448" t="s">
        <v>4101</v>
      </c>
      <c r="G742" s="473" t="s">
        <v>3958</v>
      </c>
      <c r="H742" s="439" t="s">
        <v>967</v>
      </c>
      <c r="I742" s="474" t="s">
        <v>3459</v>
      </c>
      <c r="J742" s="474" t="s">
        <v>3463</v>
      </c>
      <c r="K742" s="443" t="s">
        <v>968</v>
      </c>
      <c r="L742" s="471">
        <v>1</v>
      </c>
      <c r="M742" s="447" t="s">
        <v>981</v>
      </c>
      <c r="N742" s="456">
        <v>452.81</v>
      </c>
      <c r="O742" s="475">
        <f t="shared" si="2"/>
        <v>452.81</v>
      </c>
      <c r="P742" s="476"/>
      <c r="Q742" s="477">
        <v>46023</v>
      </c>
      <c r="R742" s="476"/>
      <c r="S742" s="476"/>
    </row>
    <row r="743" spans="1:19" ht="15.75" customHeight="1" x14ac:dyDescent="0.25">
      <c r="A743" s="438">
        <v>740</v>
      </c>
      <c r="B743" s="470" t="s">
        <v>17</v>
      </c>
      <c r="C743" s="471" t="s">
        <v>18</v>
      </c>
      <c r="D743" s="472" t="s">
        <v>19</v>
      </c>
      <c r="E743" s="465" t="s">
        <v>4088</v>
      </c>
      <c r="F743" s="448" t="s">
        <v>4104</v>
      </c>
      <c r="G743" s="473" t="s">
        <v>3958</v>
      </c>
      <c r="H743" s="439" t="s">
        <v>967</v>
      </c>
      <c r="I743" s="474" t="s">
        <v>3459</v>
      </c>
      <c r="J743" s="474" t="s">
        <v>3463</v>
      </c>
      <c r="K743" s="443" t="s">
        <v>968</v>
      </c>
      <c r="L743" s="471">
        <v>1</v>
      </c>
      <c r="M743" s="447" t="s">
        <v>982</v>
      </c>
      <c r="N743" s="456">
        <v>452.81</v>
      </c>
      <c r="O743" s="475">
        <f t="shared" si="2"/>
        <v>452.81</v>
      </c>
      <c r="P743" s="476"/>
      <c r="Q743" s="477">
        <v>46023</v>
      </c>
      <c r="R743" s="476"/>
      <c r="S743" s="476"/>
    </row>
    <row r="744" spans="1:19" ht="15.75" customHeight="1" x14ac:dyDescent="0.25">
      <c r="A744" s="438">
        <v>741</v>
      </c>
      <c r="B744" s="470" t="s">
        <v>17</v>
      </c>
      <c r="C744" s="471" t="s">
        <v>18</v>
      </c>
      <c r="D744" s="472" t="s">
        <v>19</v>
      </c>
      <c r="E744" s="465" t="s">
        <v>4088</v>
      </c>
      <c r="F744" s="448" t="s">
        <v>4104</v>
      </c>
      <c r="G744" s="473" t="s">
        <v>3958</v>
      </c>
      <c r="H744" s="439" t="s">
        <v>967</v>
      </c>
      <c r="I744" s="474" t="s">
        <v>3459</v>
      </c>
      <c r="J744" s="474" t="s">
        <v>3463</v>
      </c>
      <c r="K744" s="443" t="s">
        <v>968</v>
      </c>
      <c r="L744" s="471">
        <v>1</v>
      </c>
      <c r="M744" s="447" t="s">
        <v>983</v>
      </c>
      <c r="N744" s="456">
        <v>452.81</v>
      </c>
      <c r="O744" s="475">
        <f t="shared" si="2"/>
        <v>452.81</v>
      </c>
      <c r="P744" s="476"/>
      <c r="Q744" s="477">
        <v>46023</v>
      </c>
      <c r="R744" s="476"/>
      <c r="S744" s="476"/>
    </row>
    <row r="745" spans="1:19" ht="15.75" customHeight="1" x14ac:dyDescent="0.25">
      <c r="A745" s="438">
        <v>742</v>
      </c>
      <c r="B745" s="470" t="s">
        <v>17</v>
      </c>
      <c r="C745" s="471" t="s">
        <v>18</v>
      </c>
      <c r="D745" s="472" t="s">
        <v>19</v>
      </c>
      <c r="E745" s="465" t="s">
        <v>4088</v>
      </c>
      <c r="F745" s="448" t="s">
        <v>4104</v>
      </c>
      <c r="G745" s="473" t="s">
        <v>3958</v>
      </c>
      <c r="H745" s="439" t="s">
        <v>967</v>
      </c>
      <c r="I745" s="474" t="s">
        <v>3459</v>
      </c>
      <c r="J745" s="474" t="s">
        <v>3463</v>
      </c>
      <c r="K745" s="443" t="s">
        <v>968</v>
      </c>
      <c r="L745" s="471">
        <v>1</v>
      </c>
      <c r="M745" s="447" t="s">
        <v>984</v>
      </c>
      <c r="N745" s="456">
        <v>452.81</v>
      </c>
      <c r="O745" s="475">
        <f t="shared" si="2"/>
        <v>452.81</v>
      </c>
      <c r="P745" s="476"/>
      <c r="Q745" s="477">
        <v>46023</v>
      </c>
      <c r="R745" s="476"/>
      <c r="S745" s="476"/>
    </row>
    <row r="746" spans="1:19" ht="15.75" customHeight="1" x14ac:dyDescent="0.25">
      <c r="A746" s="438">
        <v>743</v>
      </c>
      <c r="B746" s="470" t="s">
        <v>17</v>
      </c>
      <c r="C746" s="471" t="s">
        <v>18</v>
      </c>
      <c r="D746" s="472" t="s">
        <v>19</v>
      </c>
      <c r="E746" s="465" t="s">
        <v>4088</v>
      </c>
      <c r="F746" s="448" t="s">
        <v>4105</v>
      </c>
      <c r="G746" s="473" t="s">
        <v>3958</v>
      </c>
      <c r="H746" s="439" t="s">
        <v>967</v>
      </c>
      <c r="I746" s="474" t="s">
        <v>3459</v>
      </c>
      <c r="J746" s="474" t="s">
        <v>3463</v>
      </c>
      <c r="K746" s="443" t="s">
        <v>968</v>
      </c>
      <c r="L746" s="471">
        <v>1</v>
      </c>
      <c r="M746" s="447" t="s">
        <v>985</v>
      </c>
      <c r="N746" s="456">
        <v>452.81</v>
      </c>
      <c r="O746" s="475">
        <f t="shared" si="2"/>
        <v>452.81</v>
      </c>
      <c r="P746" s="476"/>
      <c r="Q746" s="477">
        <v>46023</v>
      </c>
      <c r="R746" s="476"/>
      <c r="S746" s="476"/>
    </row>
    <row r="747" spans="1:19" ht="15.75" customHeight="1" x14ac:dyDescent="0.25">
      <c r="A747" s="438">
        <v>744</v>
      </c>
      <c r="B747" s="470" t="s">
        <v>17</v>
      </c>
      <c r="C747" s="471" t="s">
        <v>18</v>
      </c>
      <c r="D747" s="472" t="s">
        <v>19</v>
      </c>
      <c r="E747" s="448" t="s">
        <v>4088</v>
      </c>
      <c r="F747" s="448" t="s">
        <v>4105</v>
      </c>
      <c r="G747" s="473" t="s">
        <v>3958</v>
      </c>
      <c r="H747" s="439" t="s">
        <v>967</v>
      </c>
      <c r="I747" s="474" t="s">
        <v>3459</v>
      </c>
      <c r="J747" s="474" t="s">
        <v>3463</v>
      </c>
      <c r="K747" s="443" t="s">
        <v>968</v>
      </c>
      <c r="L747" s="471">
        <v>1</v>
      </c>
      <c r="M747" s="447" t="s">
        <v>986</v>
      </c>
      <c r="N747" s="456">
        <v>452.81</v>
      </c>
      <c r="O747" s="475">
        <f t="shared" si="2"/>
        <v>452.81</v>
      </c>
      <c r="P747" s="476"/>
      <c r="Q747" s="477">
        <v>46023</v>
      </c>
      <c r="R747" s="476"/>
      <c r="S747" s="476"/>
    </row>
    <row r="748" spans="1:19" ht="15.75" customHeight="1" x14ac:dyDescent="0.25">
      <c r="A748" s="438">
        <v>745</v>
      </c>
      <c r="B748" s="470" t="s">
        <v>17</v>
      </c>
      <c r="C748" s="471" t="s">
        <v>18</v>
      </c>
      <c r="D748" s="472" t="s">
        <v>19</v>
      </c>
      <c r="E748" s="448" t="s">
        <v>4088</v>
      </c>
      <c r="F748" s="448" t="s">
        <v>4105</v>
      </c>
      <c r="G748" s="473" t="s">
        <v>3958</v>
      </c>
      <c r="H748" s="439" t="s">
        <v>967</v>
      </c>
      <c r="I748" s="474" t="s">
        <v>3459</v>
      </c>
      <c r="J748" s="474" t="s">
        <v>3463</v>
      </c>
      <c r="K748" s="443" t="s">
        <v>968</v>
      </c>
      <c r="L748" s="471">
        <v>1</v>
      </c>
      <c r="M748" s="447" t="s">
        <v>987</v>
      </c>
      <c r="N748" s="456">
        <v>452.81</v>
      </c>
      <c r="O748" s="475">
        <f t="shared" si="2"/>
        <v>452.81</v>
      </c>
      <c r="P748" s="476"/>
      <c r="Q748" s="477">
        <v>46023</v>
      </c>
      <c r="R748" s="476"/>
      <c r="S748" s="476"/>
    </row>
    <row r="749" spans="1:19" ht="15.75" customHeight="1" x14ac:dyDescent="0.25">
      <c r="A749" s="438">
        <v>746</v>
      </c>
      <c r="B749" s="470" t="s">
        <v>17</v>
      </c>
      <c r="C749" s="471" t="s">
        <v>18</v>
      </c>
      <c r="D749" s="472" t="s">
        <v>19</v>
      </c>
      <c r="E749" s="448" t="s">
        <v>4088</v>
      </c>
      <c r="F749" s="448" t="s">
        <v>4105</v>
      </c>
      <c r="G749" s="473" t="s">
        <v>3958</v>
      </c>
      <c r="H749" s="439" t="s">
        <v>967</v>
      </c>
      <c r="I749" s="474" t="s">
        <v>3459</v>
      </c>
      <c r="J749" s="474" t="s">
        <v>3463</v>
      </c>
      <c r="K749" s="443" t="s">
        <v>968</v>
      </c>
      <c r="L749" s="471">
        <v>1</v>
      </c>
      <c r="M749" s="447" t="s">
        <v>988</v>
      </c>
      <c r="N749" s="456">
        <v>452.81</v>
      </c>
      <c r="O749" s="475">
        <f t="shared" si="2"/>
        <v>452.81</v>
      </c>
      <c r="P749" s="476"/>
      <c r="Q749" s="477">
        <v>46023</v>
      </c>
      <c r="R749" s="476"/>
      <c r="S749" s="476"/>
    </row>
    <row r="750" spans="1:19" ht="15.75" customHeight="1" x14ac:dyDescent="0.25">
      <c r="A750" s="438">
        <v>747</v>
      </c>
      <c r="B750" s="470" t="s">
        <v>17</v>
      </c>
      <c r="C750" s="471" t="s">
        <v>18</v>
      </c>
      <c r="D750" s="472" t="s">
        <v>19</v>
      </c>
      <c r="E750" s="448" t="s">
        <v>4088</v>
      </c>
      <c r="F750" s="448" t="s">
        <v>4105</v>
      </c>
      <c r="G750" s="473" t="s">
        <v>3958</v>
      </c>
      <c r="H750" s="439" t="s">
        <v>967</v>
      </c>
      <c r="I750" s="474" t="s">
        <v>3459</v>
      </c>
      <c r="J750" s="474" t="s">
        <v>3463</v>
      </c>
      <c r="K750" s="443" t="s">
        <v>968</v>
      </c>
      <c r="L750" s="471">
        <v>1</v>
      </c>
      <c r="M750" s="447" t="s">
        <v>989</v>
      </c>
      <c r="N750" s="456">
        <v>452.81</v>
      </c>
      <c r="O750" s="475">
        <f t="shared" si="2"/>
        <v>452.81</v>
      </c>
      <c r="P750" s="476"/>
      <c r="Q750" s="477">
        <v>46023</v>
      </c>
      <c r="R750" s="476"/>
      <c r="S750" s="476"/>
    </row>
    <row r="751" spans="1:19" ht="15.75" customHeight="1" x14ac:dyDescent="0.25">
      <c r="A751" s="438">
        <v>748</v>
      </c>
      <c r="B751" s="470" t="s">
        <v>17</v>
      </c>
      <c r="C751" s="471" t="s">
        <v>18</v>
      </c>
      <c r="D751" s="472" t="s">
        <v>19</v>
      </c>
      <c r="E751" s="448" t="s">
        <v>4088</v>
      </c>
      <c r="F751" s="448" t="s">
        <v>4105</v>
      </c>
      <c r="G751" s="473" t="s">
        <v>3958</v>
      </c>
      <c r="H751" s="439" t="s">
        <v>967</v>
      </c>
      <c r="I751" s="474" t="s">
        <v>3459</v>
      </c>
      <c r="J751" s="474" t="s">
        <v>3463</v>
      </c>
      <c r="K751" s="443" t="s">
        <v>968</v>
      </c>
      <c r="L751" s="471">
        <v>1</v>
      </c>
      <c r="M751" s="447" t="s">
        <v>990</v>
      </c>
      <c r="N751" s="456">
        <v>452.81</v>
      </c>
      <c r="O751" s="475">
        <f t="shared" si="2"/>
        <v>452.81</v>
      </c>
      <c r="P751" s="476"/>
      <c r="Q751" s="477">
        <v>46023</v>
      </c>
      <c r="R751" s="476"/>
      <c r="S751" s="476"/>
    </row>
    <row r="752" spans="1:19" ht="15.75" customHeight="1" x14ac:dyDescent="0.25">
      <c r="A752" s="438">
        <v>749</v>
      </c>
      <c r="B752" s="470" t="s">
        <v>17</v>
      </c>
      <c r="C752" s="471" t="s">
        <v>18</v>
      </c>
      <c r="D752" s="472" t="s">
        <v>19</v>
      </c>
      <c r="E752" s="448" t="s">
        <v>4088</v>
      </c>
      <c r="F752" s="448" t="s">
        <v>4105</v>
      </c>
      <c r="G752" s="473" t="s">
        <v>3958</v>
      </c>
      <c r="H752" s="439" t="s">
        <v>967</v>
      </c>
      <c r="I752" s="474" t="s">
        <v>3459</v>
      </c>
      <c r="J752" s="474" t="s">
        <v>3463</v>
      </c>
      <c r="K752" s="443" t="s">
        <v>968</v>
      </c>
      <c r="L752" s="471">
        <v>1</v>
      </c>
      <c r="M752" s="447" t="s">
        <v>991</v>
      </c>
      <c r="N752" s="456">
        <v>452.81</v>
      </c>
      <c r="O752" s="475">
        <f t="shared" si="2"/>
        <v>452.81</v>
      </c>
      <c r="P752" s="476"/>
      <c r="Q752" s="477">
        <v>46023</v>
      </c>
      <c r="R752" s="476"/>
      <c r="S752" s="476"/>
    </row>
    <row r="753" spans="1:19" ht="15.75" customHeight="1" x14ac:dyDescent="0.25">
      <c r="A753" s="438">
        <v>750</v>
      </c>
      <c r="B753" s="470" t="s">
        <v>17</v>
      </c>
      <c r="C753" s="471" t="s">
        <v>18</v>
      </c>
      <c r="D753" s="472" t="s">
        <v>19</v>
      </c>
      <c r="E753" s="465" t="s">
        <v>4088</v>
      </c>
      <c r="F753" s="448" t="s">
        <v>4105</v>
      </c>
      <c r="G753" s="473" t="s">
        <v>3958</v>
      </c>
      <c r="H753" s="439" t="s">
        <v>967</v>
      </c>
      <c r="I753" s="474" t="s">
        <v>3459</v>
      </c>
      <c r="J753" s="474" t="s">
        <v>3463</v>
      </c>
      <c r="K753" s="443" t="s">
        <v>968</v>
      </c>
      <c r="L753" s="471">
        <v>1</v>
      </c>
      <c r="M753" s="447" t="s">
        <v>992</v>
      </c>
      <c r="N753" s="456">
        <v>452.81</v>
      </c>
      <c r="O753" s="475">
        <f t="shared" si="2"/>
        <v>452.81</v>
      </c>
      <c r="P753" s="476"/>
      <c r="Q753" s="477">
        <v>46023</v>
      </c>
      <c r="R753" s="476"/>
      <c r="S753" s="476"/>
    </row>
    <row r="754" spans="1:19" ht="15.75" customHeight="1" x14ac:dyDescent="0.25">
      <c r="A754" s="438">
        <v>751</v>
      </c>
      <c r="B754" s="470" t="s">
        <v>17</v>
      </c>
      <c r="C754" s="471" t="s">
        <v>18</v>
      </c>
      <c r="D754" s="472" t="s">
        <v>19</v>
      </c>
      <c r="E754" s="465" t="s">
        <v>4088</v>
      </c>
      <c r="F754" s="448" t="s">
        <v>4105</v>
      </c>
      <c r="G754" s="473" t="s">
        <v>3958</v>
      </c>
      <c r="H754" s="439" t="s">
        <v>967</v>
      </c>
      <c r="I754" s="474" t="s">
        <v>3459</v>
      </c>
      <c r="J754" s="474" t="s">
        <v>3463</v>
      </c>
      <c r="K754" s="443" t="s">
        <v>968</v>
      </c>
      <c r="L754" s="471">
        <v>1</v>
      </c>
      <c r="M754" s="447" t="s">
        <v>993</v>
      </c>
      <c r="N754" s="456">
        <v>452.81</v>
      </c>
      <c r="O754" s="475">
        <f t="shared" si="2"/>
        <v>452.81</v>
      </c>
      <c r="P754" s="476"/>
      <c r="Q754" s="477">
        <v>46023</v>
      </c>
      <c r="R754" s="476"/>
      <c r="S754" s="476"/>
    </row>
    <row r="755" spans="1:19" ht="15.75" customHeight="1" x14ac:dyDescent="0.25">
      <c r="A755" s="438">
        <v>752</v>
      </c>
      <c r="B755" s="470" t="s">
        <v>17</v>
      </c>
      <c r="C755" s="471" t="s">
        <v>18</v>
      </c>
      <c r="D755" s="472" t="s">
        <v>19</v>
      </c>
      <c r="E755" s="465" t="s">
        <v>4088</v>
      </c>
      <c r="F755" s="448" t="s">
        <v>4105</v>
      </c>
      <c r="G755" s="473" t="s">
        <v>3958</v>
      </c>
      <c r="H755" s="439" t="s">
        <v>967</v>
      </c>
      <c r="I755" s="474" t="s">
        <v>3459</v>
      </c>
      <c r="J755" s="474" t="s">
        <v>3463</v>
      </c>
      <c r="K755" s="443" t="s">
        <v>968</v>
      </c>
      <c r="L755" s="471">
        <v>1</v>
      </c>
      <c r="M755" s="447" t="s">
        <v>994</v>
      </c>
      <c r="N755" s="456">
        <v>452.81</v>
      </c>
      <c r="O755" s="475">
        <f t="shared" si="2"/>
        <v>452.81</v>
      </c>
      <c r="P755" s="476"/>
      <c r="Q755" s="477">
        <v>46023</v>
      </c>
      <c r="R755" s="476"/>
      <c r="S755" s="476"/>
    </row>
    <row r="756" spans="1:19" ht="15.75" customHeight="1" x14ac:dyDescent="0.25">
      <c r="A756" s="438">
        <v>753</v>
      </c>
      <c r="B756" s="470" t="s">
        <v>17</v>
      </c>
      <c r="C756" s="471" t="s">
        <v>18</v>
      </c>
      <c r="D756" s="472" t="s">
        <v>19</v>
      </c>
      <c r="E756" s="465" t="s">
        <v>4088</v>
      </c>
      <c r="F756" s="448" t="s">
        <v>4105</v>
      </c>
      <c r="G756" s="473" t="s">
        <v>3958</v>
      </c>
      <c r="H756" s="439" t="s">
        <v>967</v>
      </c>
      <c r="I756" s="474" t="s">
        <v>3459</v>
      </c>
      <c r="J756" s="474" t="s">
        <v>3463</v>
      </c>
      <c r="K756" s="443" t="s">
        <v>968</v>
      </c>
      <c r="L756" s="471">
        <v>1</v>
      </c>
      <c r="M756" s="447" t="s">
        <v>995</v>
      </c>
      <c r="N756" s="456">
        <v>452.81</v>
      </c>
      <c r="O756" s="475">
        <f t="shared" si="2"/>
        <v>452.81</v>
      </c>
      <c r="P756" s="476"/>
      <c r="Q756" s="477">
        <v>46023</v>
      </c>
      <c r="R756" s="476"/>
      <c r="S756" s="476"/>
    </row>
    <row r="757" spans="1:19" ht="15.75" customHeight="1" x14ac:dyDescent="0.25">
      <c r="A757" s="438">
        <v>754</v>
      </c>
      <c r="B757" s="470" t="s">
        <v>17</v>
      </c>
      <c r="C757" s="471" t="s">
        <v>18</v>
      </c>
      <c r="D757" s="472" t="s">
        <v>19</v>
      </c>
      <c r="E757" s="465" t="s">
        <v>4088</v>
      </c>
      <c r="F757" s="448" t="s">
        <v>4105</v>
      </c>
      <c r="G757" s="473" t="s">
        <v>3958</v>
      </c>
      <c r="H757" s="439" t="s">
        <v>967</v>
      </c>
      <c r="I757" s="474" t="s">
        <v>3459</v>
      </c>
      <c r="J757" s="474" t="s">
        <v>3463</v>
      </c>
      <c r="K757" s="443" t="s">
        <v>968</v>
      </c>
      <c r="L757" s="471">
        <v>1</v>
      </c>
      <c r="M757" s="447" t="s">
        <v>996</v>
      </c>
      <c r="N757" s="456">
        <v>452.81</v>
      </c>
      <c r="O757" s="475">
        <f t="shared" si="2"/>
        <v>452.81</v>
      </c>
      <c r="P757" s="476"/>
      <c r="Q757" s="477">
        <v>46023</v>
      </c>
      <c r="R757" s="476"/>
      <c r="S757" s="476"/>
    </row>
    <row r="758" spans="1:19" ht="15.75" customHeight="1" x14ac:dyDescent="0.25">
      <c r="A758" s="438">
        <v>755</v>
      </c>
      <c r="B758" s="470" t="s">
        <v>17</v>
      </c>
      <c r="C758" s="471" t="s">
        <v>18</v>
      </c>
      <c r="D758" s="472" t="s">
        <v>19</v>
      </c>
      <c r="E758" s="465" t="s">
        <v>4088</v>
      </c>
      <c r="F758" s="448" t="s">
        <v>4105</v>
      </c>
      <c r="G758" s="473" t="s">
        <v>3958</v>
      </c>
      <c r="H758" s="439" t="s">
        <v>967</v>
      </c>
      <c r="I758" s="474" t="s">
        <v>3459</v>
      </c>
      <c r="J758" s="474" t="s">
        <v>3463</v>
      </c>
      <c r="K758" s="443" t="s">
        <v>968</v>
      </c>
      <c r="L758" s="471">
        <v>1</v>
      </c>
      <c r="M758" s="447" t="s">
        <v>997</v>
      </c>
      <c r="N758" s="456">
        <v>452.81</v>
      </c>
      <c r="O758" s="475">
        <f t="shared" si="2"/>
        <v>452.81</v>
      </c>
      <c r="P758" s="476"/>
      <c r="Q758" s="477">
        <v>46023</v>
      </c>
      <c r="R758" s="476"/>
      <c r="S758" s="476"/>
    </row>
    <row r="759" spans="1:19" ht="15.75" customHeight="1" x14ac:dyDescent="0.25">
      <c r="A759" s="438">
        <v>756</v>
      </c>
      <c r="B759" s="470" t="s">
        <v>17</v>
      </c>
      <c r="C759" s="471" t="s">
        <v>18</v>
      </c>
      <c r="D759" s="472" t="s">
        <v>19</v>
      </c>
      <c r="E759" s="465" t="s">
        <v>4088</v>
      </c>
      <c r="F759" s="448" t="s">
        <v>4105</v>
      </c>
      <c r="G759" s="473" t="s">
        <v>3958</v>
      </c>
      <c r="H759" s="439" t="s">
        <v>967</v>
      </c>
      <c r="I759" s="474" t="s">
        <v>3459</v>
      </c>
      <c r="J759" s="474" t="s">
        <v>3463</v>
      </c>
      <c r="K759" s="443" t="s">
        <v>968</v>
      </c>
      <c r="L759" s="471">
        <v>1</v>
      </c>
      <c r="M759" s="447" t="s">
        <v>998</v>
      </c>
      <c r="N759" s="456">
        <v>452.81</v>
      </c>
      <c r="O759" s="475">
        <f t="shared" si="2"/>
        <v>452.81</v>
      </c>
      <c r="P759" s="476"/>
      <c r="Q759" s="477">
        <v>46023</v>
      </c>
      <c r="R759" s="476"/>
      <c r="S759" s="476"/>
    </row>
    <row r="760" spans="1:19" ht="15.75" customHeight="1" x14ac:dyDescent="0.25">
      <c r="A760" s="438">
        <v>757</v>
      </c>
      <c r="B760" s="470" t="s">
        <v>17</v>
      </c>
      <c r="C760" s="471" t="s">
        <v>18</v>
      </c>
      <c r="D760" s="472" t="s">
        <v>19</v>
      </c>
      <c r="E760" s="465" t="s">
        <v>4088</v>
      </c>
      <c r="F760" s="448" t="s">
        <v>4105</v>
      </c>
      <c r="G760" s="473" t="s">
        <v>3958</v>
      </c>
      <c r="H760" s="439" t="s">
        <v>967</v>
      </c>
      <c r="I760" s="474" t="s">
        <v>3459</v>
      </c>
      <c r="J760" s="474" t="s">
        <v>3463</v>
      </c>
      <c r="K760" s="443" t="s">
        <v>968</v>
      </c>
      <c r="L760" s="471">
        <v>1</v>
      </c>
      <c r="M760" s="447" t="s">
        <v>999</v>
      </c>
      <c r="N760" s="456">
        <v>452.81</v>
      </c>
      <c r="O760" s="475">
        <f t="shared" si="2"/>
        <v>452.81</v>
      </c>
      <c r="P760" s="476"/>
      <c r="Q760" s="477">
        <v>46023</v>
      </c>
      <c r="R760" s="476"/>
      <c r="S760" s="476"/>
    </row>
    <row r="761" spans="1:19" ht="15.75" customHeight="1" x14ac:dyDescent="0.25">
      <c r="A761" s="438">
        <v>758</v>
      </c>
      <c r="B761" s="470" t="s">
        <v>17</v>
      </c>
      <c r="C761" s="471" t="s">
        <v>18</v>
      </c>
      <c r="D761" s="472" t="s">
        <v>19</v>
      </c>
      <c r="E761" s="465" t="s">
        <v>4088</v>
      </c>
      <c r="F761" s="448" t="s">
        <v>4105</v>
      </c>
      <c r="G761" s="473" t="s">
        <v>3958</v>
      </c>
      <c r="H761" s="439" t="s">
        <v>967</v>
      </c>
      <c r="I761" s="474" t="s">
        <v>3459</v>
      </c>
      <c r="J761" s="474" t="s">
        <v>3463</v>
      </c>
      <c r="K761" s="443" t="s">
        <v>968</v>
      </c>
      <c r="L761" s="471">
        <v>1</v>
      </c>
      <c r="M761" s="447" t="s">
        <v>1000</v>
      </c>
      <c r="N761" s="456">
        <v>452.81</v>
      </c>
      <c r="O761" s="475">
        <f t="shared" si="2"/>
        <v>452.81</v>
      </c>
      <c r="P761" s="476"/>
      <c r="Q761" s="477">
        <v>46023</v>
      </c>
      <c r="R761" s="476"/>
      <c r="S761" s="476"/>
    </row>
    <row r="762" spans="1:19" ht="15.75" customHeight="1" x14ac:dyDescent="0.25">
      <c r="A762" s="438">
        <v>759</v>
      </c>
      <c r="B762" s="470" t="s">
        <v>17</v>
      </c>
      <c r="C762" s="471" t="s">
        <v>18</v>
      </c>
      <c r="D762" s="472" t="s">
        <v>19</v>
      </c>
      <c r="E762" s="465" t="s">
        <v>4088</v>
      </c>
      <c r="F762" s="448" t="s">
        <v>4105</v>
      </c>
      <c r="G762" s="473" t="s">
        <v>3958</v>
      </c>
      <c r="H762" s="439" t="s">
        <v>967</v>
      </c>
      <c r="I762" s="474" t="s">
        <v>3459</v>
      </c>
      <c r="J762" s="474" t="s">
        <v>3463</v>
      </c>
      <c r="K762" s="443" t="s">
        <v>968</v>
      </c>
      <c r="L762" s="471">
        <v>1</v>
      </c>
      <c r="M762" s="447" t="s">
        <v>1001</v>
      </c>
      <c r="N762" s="456">
        <v>452.81</v>
      </c>
      <c r="O762" s="475">
        <f t="shared" si="2"/>
        <v>452.81</v>
      </c>
      <c r="P762" s="476"/>
      <c r="Q762" s="477">
        <v>46023</v>
      </c>
      <c r="R762" s="476"/>
      <c r="S762" s="476"/>
    </row>
    <row r="763" spans="1:19" ht="15.75" customHeight="1" x14ac:dyDescent="0.25">
      <c r="A763" s="438">
        <v>760</v>
      </c>
      <c r="B763" s="470" t="s">
        <v>17</v>
      </c>
      <c r="C763" s="471" t="s">
        <v>18</v>
      </c>
      <c r="D763" s="472" t="s">
        <v>19</v>
      </c>
      <c r="E763" s="465" t="s">
        <v>4088</v>
      </c>
      <c r="F763" s="448" t="s">
        <v>4106</v>
      </c>
      <c r="G763" s="473" t="s">
        <v>3958</v>
      </c>
      <c r="H763" s="439" t="s">
        <v>967</v>
      </c>
      <c r="I763" s="474" t="s">
        <v>3459</v>
      </c>
      <c r="J763" s="474" t="s">
        <v>3463</v>
      </c>
      <c r="K763" s="443" t="s">
        <v>968</v>
      </c>
      <c r="L763" s="471">
        <v>1</v>
      </c>
      <c r="M763" s="447" t="s">
        <v>1003</v>
      </c>
      <c r="N763" s="456">
        <v>452.81</v>
      </c>
      <c r="O763" s="475">
        <f t="shared" si="2"/>
        <v>452.81</v>
      </c>
      <c r="P763" s="476"/>
      <c r="Q763" s="477">
        <v>46023</v>
      </c>
      <c r="R763" s="476"/>
      <c r="S763" s="476"/>
    </row>
    <row r="764" spans="1:19" ht="15.75" customHeight="1" x14ac:dyDescent="0.25">
      <c r="A764" s="438">
        <v>761</v>
      </c>
      <c r="B764" s="470" t="s">
        <v>17</v>
      </c>
      <c r="C764" s="471" t="s">
        <v>18</v>
      </c>
      <c r="D764" s="472" t="s">
        <v>19</v>
      </c>
      <c r="E764" s="465" t="s">
        <v>4088</v>
      </c>
      <c r="F764" s="448" t="s">
        <v>4106</v>
      </c>
      <c r="G764" s="473" t="s">
        <v>3958</v>
      </c>
      <c r="H764" s="439" t="s">
        <v>967</v>
      </c>
      <c r="I764" s="474" t="s">
        <v>3459</v>
      </c>
      <c r="J764" s="474" t="s">
        <v>3463</v>
      </c>
      <c r="K764" s="443" t="s">
        <v>968</v>
      </c>
      <c r="L764" s="471">
        <v>1</v>
      </c>
      <c r="M764" s="447" t="s">
        <v>1004</v>
      </c>
      <c r="N764" s="456">
        <v>452.81</v>
      </c>
      <c r="O764" s="475">
        <f t="shared" si="2"/>
        <v>452.81</v>
      </c>
      <c r="P764" s="476"/>
      <c r="Q764" s="477">
        <v>46023</v>
      </c>
      <c r="R764" s="476"/>
      <c r="S764" s="476"/>
    </row>
    <row r="765" spans="1:19" ht="15.75" customHeight="1" x14ac:dyDescent="0.25">
      <c r="A765" s="438">
        <v>762</v>
      </c>
      <c r="B765" s="470" t="s">
        <v>17</v>
      </c>
      <c r="C765" s="471" t="s">
        <v>18</v>
      </c>
      <c r="D765" s="472" t="s">
        <v>19</v>
      </c>
      <c r="E765" s="465" t="s">
        <v>4083</v>
      </c>
      <c r="F765" s="448" t="s">
        <v>4109</v>
      </c>
      <c r="G765" s="473" t="s">
        <v>3958</v>
      </c>
      <c r="H765" s="439" t="s">
        <v>967</v>
      </c>
      <c r="I765" s="474" t="s">
        <v>3459</v>
      </c>
      <c r="J765" s="474" t="s">
        <v>3463</v>
      </c>
      <c r="K765" s="443" t="s">
        <v>968</v>
      </c>
      <c r="L765" s="471">
        <v>1</v>
      </c>
      <c r="M765" s="447" t="s">
        <v>1005</v>
      </c>
      <c r="N765" s="456">
        <v>452.81</v>
      </c>
      <c r="O765" s="475">
        <f t="shared" si="2"/>
        <v>452.81</v>
      </c>
      <c r="P765" s="476"/>
      <c r="Q765" s="477">
        <v>46023</v>
      </c>
      <c r="R765" s="476"/>
      <c r="S765" s="476"/>
    </row>
    <row r="766" spans="1:19" ht="15.75" customHeight="1" x14ac:dyDescent="0.25">
      <c r="A766" s="438">
        <v>763</v>
      </c>
      <c r="B766" s="470" t="s">
        <v>17</v>
      </c>
      <c r="C766" s="471" t="s">
        <v>18</v>
      </c>
      <c r="D766" s="472" t="s">
        <v>19</v>
      </c>
      <c r="E766" s="465" t="s">
        <v>4083</v>
      </c>
      <c r="F766" s="448" t="s">
        <v>4109</v>
      </c>
      <c r="G766" s="473" t="s">
        <v>3958</v>
      </c>
      <c r="H766" s="439" t="s">
        <v>967</v>
      </c>
      <c r="I766" s="474" t="s">
        <v>3459</v>
      </c>
      <c r="J766" s="474" t="s">
        <v>3463</v>
      </c>
      <c r="K766" s="443" t="s">
        <v>968</v>
      </c>
      <c r="L766" s="471">
        <v>1</v>
      </c>
      <c r="M766" s="447" t="s">
        <v>1006</v>
      </c>
      <c r="N766" s="456">
        <v>452.81</v>
      </c>
      <c r="O766" s="475">
        <f t="shared" si="2"/>
        <v>452.81</v>
      </c>
      <c r="P766" s="476"/>
      <c r="Q766" s="477">
        <v>46023</v>
      </c>
      <c r="R766" s="476"/>
      <c r="S766" s="476"/>
    </row>
    <row r="767" spans="1:19" ht="15.75" customHeight="1" x14ac:dyDescent="0.25">
      <c r="A767" s="438">
        <v>764</v>
      </c>
      <c r="B767" s="470" t="s">
        <v>17</v>
      </c>
      <c r="C767" s="471" t="s">
        <v>18</v>
      </c>
      <c r="D767" s="472" t="s">
        <v>19</v>
      </c>
      <c r="E767" s="465" t="s">
        <v>4085</v>
      </c>
      <c r="F767" s="448" t="s">
        <v>2985</v>
      </c>
      <c r="G767" s="473" t="s">
        <v>3958</v>
      </c>
      <c r="H767" s="439" t="s">
        <v>967</v>
      </c>
      <c r="I767" s="474" t="s">
        <v>3459</v>
      </c>
      <c r="J767" s="474" t="s">
        <v>3463</v>
      </c>
      <c r="K767" s="443" t="s">
        <v>968</v>
      </c>
      <c r="L767" s="471">
        <v>1</v>
      </c>
      <c r="M767" s="447" t="s">
        <v>1007</v>
      </c>
      <c r="N767" s="456">
        <v>452.81</v>
      </c>
      <c r="O767" s="475">
        <f t="shared" si="2"/>
        <v>452.81</v>
      </c>
      <c r="P767" s="476"/>
      <c r="Q767" s="477">
        <v>46023</v>
      </c>
      <c r="R767" s="476"/>
      <c r="S767" s="476"/>
    </row>
    <row r="768" spans="1:19" ht="15.75" customHeight="1" x14ac:dyDescent="0.25">
      <c r="A768" s="438">
        <v>765</v>
      </c>
      <c r="B768" s="470" t="s">
        <v>17</v>
      </c>
      <c r="C768" s="471" t="s">
        <v>18</v>
      </c>
      <c r="D768" s="472" t="s">
        <v>19</v>
      </c>
      <c r="E768" s="465" t="s">
        <v>4091</v>
      </c>
      <c r="F768" s="448" t="s">
        <v>4107</v>
      </c>
      <c r="G768" s="473" t="s">
        <v>3958</v>
      </c>
      <c r="H768" s="439" t="s">
        <v>967</v>
      </c>
      <c r="I768" s="474" t="s">
        <v>3459</v>
      </c>
      <c r="J768" s="474" t="s">
        <v>3463</v>
      </c>
      <c r="K768" s="443" t="s">
        <v>968</v>
      </c>
      <c r="L768" s="471">
        <v>1</v>
      </c>
      <c r="M768" s="447" t="s">
        <v>1008</v>
      </c>
      <c r="N768" s="456">
        <v>452.81</v>
      </c>
      <c r="O768" s="475">
        <f t="shared" si="2"/>
        <v>452.81</v>
      </c>
      <c r="P768" s="476"/>
      <c r="Q768" s="477">
        <v>46023</v>
      </c>
      <c r="R768" s="476"/>
      <c r="S768" s="476"/>
    </row>
    <row r="769" spans="1:19" ht="15.75" customHeight="1" x14ac:dyDescent="0.25">
      <c r="A769" s="438">
        <v>766</v>
      </c>
      <c r="B769" s="470" t="s">
        <v>17</v>
      </c>
      <c r="C769" s="471" t="s">
        <v>18</v>
      </c>
      <c r="D769" s="472" t="s">
        <v>19</v>
      </c>
      <c r="E769" s="465" t="s">
        <v>3047</v>
      </c>
      <c r="F769" s="448" t="s">
        <v>3047</v>
      </c>
      <c r="G769" s="473" t="s">
        <v>3959</v>
      </c>
      <c r="H769" s="439" t="s">
        <v>1009</v>
      </c>
      <c r="I769" s="474" t="s">
        <v>3459</v>
      </c>
      <c r="J769" s="474" t="s">
        <v>3463</v>
      </c>
      <c r="K769" s="443" t="s">
        <v>1010</v>
      </c>
      <c r="L769" s="471">
        <v>1</v>
      </c>
      <c r="M769" s="447" t="s">
        <v>1011</v>
      </c>
      <c r="N769" s="456">
        <v>30000</v>
      </c>
      <c r="O769" s="475">
        <f t="shared" ref="O769:O1023" si="3">N769*L769</f>
        <v>30000</v>
      </c>
      <c r="P769" s="476"/>
      <c r="Q769" s="477">
        <v>46023</v>
      </c>
      <c r="R769" s="476"/>
      <c r="S769" s="476"/>
    </row>
    <row r="770" spans="1:19" ht="15.75" customHeight="1" x14ac:dyDescent="0.25">
      <c r="A770" s="438">
        <v>767</v>
      </c>
      <c r="B770" s="470" t="s">
        <v>17</v>
      </c>
      <c r="C770" s="471" t="s">
        <v>18</v>
      </c>
      <c r="D770" s="472" t="s">
        <v>19</v>
      </c>
      <c r="E770" s="465" t="s">
        <v>3047</v>
      </c>
      <c r="F770" s="448" t="s">
        <v>3026</v>
      </c>
      <c r="G770" s="473" t="s">
        <v>3960</v>
      </c>
      <c r="H770" s="439" t="s">
        <v>1012</v>
      </c>
      <c r="I770" s="474" t="s">
        <v>3457</v>
      </c>
      <c r="J770" s="474" t="s">
        <v>3464</v>
      </c>
      <c r="K770" s="443" t="s">
        <v>1013</v>
      </c>
      <c r="L770" s="471">
        <v>1</v>
      </c>
      <c r="M770" s="447" t="s">
        <v>1014</v>
      </c>
      <c r="N770" s="456">
        <v>44500</v>
      </c>
      <c r="O770" s="475">
        <f t="shared" si="3"/>
        <v>44500</v>
      </c>
      <c r="P770" s="476"/>
      <c r="Q770" s="477">
        <v>46023</v>
      </c>
      <c r="R770" s="476"/>
      <c r="S770" s="476"/>
    </row>
    <row r="771" spans="1:19" ht="15.75" customHeight="1" x14ac:dyDescent="0.25">
      <c r="A771" s="438">
        <v>768</v>
      </c>
      <c r="B771" s="470" t="s">
        <v>17</v>
      </c>
      <c r="C771" s="471" t="s">
        <v>18</v>
      </c>
      <c r="D771" s="472" t="s">
        <v>19</v>
      </c>
      <c r="E771" s="465" t="s">
        <v>3047</v>
      </c>
      <c r="F771" s="448" t="s">
        <v>3026</v>
      </c>
      <c r="G771" s="473" t="s">
        <v>3960</v>
      </c>
      <c r="H771" s="439" t="s">
        <v>1012</v>
      </c>
      <c r="I771" s="474" t="s">
        <v>3457</v>
      </c>
      <c r="J771" s="474" t="s">
        <v>3464</v>
      </c>
      <c r="K771" s="443" t="s">
        <v>1013</v>
      </c>
      <c r="L771" s="471">
        <v>1</v>
      </c>
      <c r="M771" s="447" t="s">
        <v>1015</v>
      </c>
      <c r="N771" s="456">
        <v>44500</v>
      </c>
      <c r="O771" s="475">
        <f t="shared" si="3"/>
        <v>44500</v>
      </c>
      <c r="P771" s="476"/>
      <c r="Q771" s="477">
        <v>46023</v>
      </c>
      <c r="R771" s="476"/>
      <c r="S771" s="476"/>
    </row>
    <row r="772" spans="1:19" ht="15.75" customHeight="1" x14ac:dyDescent="0.25">
      <c r="A772" s="438">
        <v>769</v>
      </c>
      <c r="B772" s="470" t="s">
        <v>17</v>
      </c>
      <c r="C772" s="471" t="s">
        <v>18</v>
      </c>
      <c r="D772" s="472" t="s">
        <v>19</v>
      </c>
      <c r="E772" s="465" t="s">
        <v>4082</v>
      </c>
      <c r="F772" s="448" t="s">
        <v>4082</v>
      </c>
      <c r="G772" s="473" t="s">
        <v>3961</v>
      </c>
      <c r="H772" s="439" t="s">
        <v>1016</v>
      </c>
      <c r="I772" s="474" t="s">
        <v>3458</v>
      </c>
      <c r="J772" s="474" t="s">
        <v>3463</v>
      </c>
      <c r="K772" s="443" t="s">
        <v>1017</v>
      </c>
      <c r="L772" s="471">
        <v>1</v>
      </c>
      <c r="M772" s="447" t="s">
        <v>1018</v>
      </c>
      <c r="N772" s="456">
        <v>83000</v>
      </c>
      <c r="O772" s="475">
        <f t="shared" si="3"/>
        <v>83000</v>
      </c>
      <c r="P772" s="476"/>
      <c r="Q772" s="477">
        <v>46023</v>
      </c>
      <c r="R772" s="476"/>
      <c r="S772" s="476"/>
    </row>
    <row r="773" spans="1:19" ht="15.75" customHeight="1" x14ac:dyDescent="0.25">
      <c r="A773" s="438">
        <v>770</v>
      </c>
      <c r="B773" s="470" t="s">
        <v>17</v>
      </c>
      <c r="C773" s="471" t="s">
        <v>18</v>
      </c>
      <c r="D773" s="472" t="s">
        <v>19</v>
      </c>
      <c r="E773" s="465" t="s">
        <v>4082</v>
      </c>
      <c r="F773" s="448" t="s">
        <v>4082</v>
      </c>
      <c r="G773" s="473" t="s">
        <v>3961</v>
      </c>
      <c r="H773" s="439" t="s">
        <v>1016</v>
      </c>
      <c r="I773" s="474" t="s">
        <v>3458</v>
      </c>
      <c r="J773" s="474" t="s">
        <v>3463</v>
      </c>
      <c r="K773" s="443" t="s">
        <v>1017</v>
      </c>
      <c r="L773" s="471">
        <v>1</v>
      </c>
      <c r="M773" s="447" t="s">
        <v>1019</v>
      </c>
      <c r="N773" s="456">
        <v>83000</v>
      </c>
      <c r="O773" s="475">
        <f t="shared" si="3"/>
        <v>83000</v>
      </c>
      <c r="P773" s="476"/>
      <c r="Q773" s="477">
        <v>46023</v>
      </c>
      <c r="R773" s="476"/>
      <c r="S773" s="476"/>
    </row>
    <row r="774" spans="1:19" ht="15.75" customHeight="1" x14ac:dyDescent="0.25">
      <c r="A774" s="438">
        <v>771</v>
      </c>
      <c r="B774" s="470" t="s">
        <v>17</v>
      </c>
      <c r="C774" s="471" t="s">
        <v>18</v>
      </c>
      <c r="D774" s="472" t="s">
        <v>19</v>
      </c>
      <c r="E774" s="465" t="s">
        <v>4082</v>
      </c>
      <c r="F774" s="448" t="s">
        <v>4082</v>
      </c>
      <c r="G774" s="473" t="s">
        <v>3962</v>
      </c>
      <c r="H774" s="439" t="s">
        <v>1020</v>
      </c>
      <c r="I774" s="474" t="s">
        <v>3458</v>
      </c>
      <c r="J774" s="474" t="s">
        <v>3464</v>
      </c>
      <c r="K774" s="443" t="s">
        <v>1021</v>
      </c>
      <c r="L774" s="471">
        <v>1</v>
      </c>
      <c r="M774" s="447" t="s">
        <v>1022</v>
      </c>
      <c r="N774" s="456">
        <v>159800</v>
      </c>
      <c r="O774" s="475">
        <f t="shared" si="3"/>
        <v>159800</v>
      </c>
      <c r="P774" s="476"/>
      <c r="Q774" s="477">
        <v>46023</v>
      </c>
      <c r="R774" s="476"/>
      <c r="S774" s="476"/>
    </row>
    <row r="775" spans="1:19" ht="15.75" customHeight="1" x14ac:dyDescent="0.25">
      <c r="A775" s="438">
        <v>772</v>
      </c>
      <c r="B775" s="470" t="s">
        <v>17</v>
      </c>
      <c r="C775" s="471" t="s">
        <v>18</v>
      </c>
      <c r="D775" s="472" t="s">
        <v>19</v>
      </c>
      <c r="E775" s="448" t="s">
        <v>4094</v>
      </c>
      <c r="F775" s="448" t="s">
        <v>4118</v>
      </c>
      <c r="G775" s="473" t="s">
        <v>3963</v>
      </c>
      <c r="H775" s="439" t="s">
        <v>1023</v>
      </c>
      <c r="I775" s="478" t="s">
        <v>3458</v>
      </c>
      <c r="J775" s="478" t="s">
        <v>3464</v>
      </c>
      <c r="K775" s="443" t="s">
        <v>1024</v>
      </c>
      <c r="L775" s="471">
        <v>1</v>
      </c>
      <c r="M775" s="447" t="s">
        <v>1025</v>
      </c>
      <c r="N775" s="456">
        <v>1600</v>
      </c>
      <c r="O775" s="475">
        <f t="shared" si="3"/>
        <v>1600</v>
      </c>
      <c r="P775" s="476"/>
      <c r="Q775" s="477">
        <v>46023</v>
      </c>
      <c r="R775" s="476"/>
      <c r="S775" s="476"/>
    </row>
    <row r="776" spans="1:19" ht="15.75" customHeight="1" x14ac:dyDescent="0.25">
      <c r="A776" s="438">
        <v>773</v>
      </c>
      <c r="B776" s="470" t="s">
        <v>17</v>
      </c>
      <c r="C776" s="471" t="s">
        <v>18</v>
      </c>
      <c r="D776" s="472" t="s">
        <v>19</v>
      </c>
      <c r="E776" s="465" t="s">
        <v>4082</v>
      </c>
      <c r="F776" s="448" t="s">
        <v>4082</v>
      </c>
      <c r="G776" s="473" t="s">
        <v>3964</v>
      </c>
      <c r="H776" s="439" t="s">
        <v>1026</v>
      </c>
      <c r="I776" s="474" t="s">
        <v>3458</v>
      </c>
      <c r="J776" s="474" t="s">
        <v>3463</v>
      </c>
      <c r="K776" s="443" t="s">
        <v>1027</v>
      </c>
      <c r="L776" s="471">
        <v>1</v>
      </c>
      <c r="M776" s="447" t="s">
        <v>1028</v>
      </c>
      <c r="N776" s="456">
        <v>5800</v>
      </c>
      <c r="O776" s="475">
        <f t="shared" si="3"/>
        <v>5800</v>
      </c>
      <c r="P776" s="476"/>
      <c r="Q776" s="477">
        <v>46023</v>
      </c>
      <c r="R776" s="476"/>
      <c r="S776" s="476"/>
    </row>
    <row r="777" spans="1:19" ht="15.75" customHeight="1" x14ac:dyDescent="0.25">
      <c r="A777" s="438">
        <v>774</v>
      </c>
      <c r="B777" s="470" t="s">
        <v>17</v>
      </c>
      <c r="C777" s="471" t="s">
        <v>18</v>
      </c>
      <c r="D777" s="472" t="s">
        <v>19</v>
      </c>
      <c r="E777" s="465" t="s">
        <v>4082</v>
      </c>
      <c r="F777" s="448" t="s">
        <v>4082</v>
      </c>
      <c r="G777" s="473" t="s">
        <v>3964</v>
      </c>
      <c r="H777" s="439" t="s">
        <v>1026</v>
      </c>
      <c r="I777" s="474" t="s">
        <v>3458</v>
      </c>
      <c r="J777" s="474" t="s">
        <v>3463</v>
      </c>
      <c r="K777" s="443" t="s">
        <v>1027</v>
      </c>
      <c r="L777" s="471">
        <v>1</v>
      </c>
      <c r="M777" s="447" t="s">
        <v>1029</v>
      </c>
      <c r="N777" s="456">
        <v>5800</v>
      </c>
      <c r="O777" s="475">
        <f t="shared" si="3"/>
        <v>5800</v>
      </c>
      <c r="P777" s="476"/>
      <c r="Q777" s="477">
        <v>46023</v>
      </c>
      <c r="R777" s="476"/>
      <c r="S777" s="476"/>
    </row>
    <row r="778" spans="1:19" ht="15.75" customHeight="1" x14ac:dyDescent="0.25">
      <c r="A778" s="438">
        <v>775</v>
      </c>
      <c r="B778" s="470" t="s">
        <v>17</v>
      </c>
      <c r="C778" s="471" t="s">
        <v>18</v>
      </c>
      <c r="D778" s="472" t="s">
        <v>19</v>
      </c>
      <c r="E778" s="465" t="s">
        <v>4082</v>
      </c>
      <c r="F778" s="448" t="s">
        <v>4082</v>
      </c>
      <c r="G778" s="473" t="s">
        <v>3964</v>
      </c>
      <c r="H778" s="439" t="s">
        <v>1026</v>
      </c>
      <c r="I778" s="474" t="s">
        <v>3458</v>
      </c>
      <c r="J778" s="474" t="s">
        <v>3463</v>
      </c>
      <c r="K778" s="443" t="s">
        <v>1027</v>
      </c>
      <c r="L778" s="471">
        <v>1</v>
      </c>
      <c r="M778" s="447" t="s">
        <v>1030</v>
      </c>
      <c r="N778" s="456">
        <v>5800</v>
      </c>
      <c r="O778" s="475">
        <f t="shared" si="3"/>
        <v>5800</v>
      </c>
      <c r="P778" s="476"/>
      <c r="Q778" s="477">
        <v>46023</v>
      </c>
      <c r="R778" s="476"/>
      <c r="S778" s="476"/>
    </row>
    <row r="779" spans="1:19" ht="15.75" customHeight="1" x14ac:dyDescent="0.25">
      <c r="A779" s="438">
        <v>776</v>
      </c>
      <c r="B779" s="470" t="s">
        <v>17</v>
      </c>
      <c r="C779" s="471" t="s">
        <v>18</v>
      </c>
      <c r="D779" s="472" t="s">
        <v>19</v>
      </c>
      <c r="E779" s="465" t="s">
        <v>4082</v>
      </c>
      <c r="F779" s="448" t="s">
        <v>4082</v>
      </c>
      <c r="G779" s="473" t="s">
        <v>3964</v>
      </c>
      <c r="H779" s="439" t="s">
        <v>1026</v>
      </c>
      <c r="I779" s="474" t="s">
        <v>3458</v>
      </c>
      <c r="J779" s="474" t="s">
        <v>3463</v>
      </c>
      <c r="K779" s="443" t="s">
        <v>1027</v>
      </c>
      <c r="L779" s="471">
        <v>1</v>
      </c>
      <c r="M779" s="447" t="s">
        <v>1031</v>
      </c>
      <c r="N779" s="456">
        <v>5800</v>
      </c>
      <c r="O779" s="475">
        <f t="shared" si="3"/>
        <v>5800</v>
      </c>
      <c r="P779" s="476"/>
      <c r="Q779" s="477">
        <v>46023</v>
      </c>
      <c r="R779" s="476"/>
      <c r="S779" s="476"/>
    </row>
    <row r="780" spans="1:19" ht="15.75" customHeight="1" x14ac:dyDescent="0.25">
      <c r="A780" s="438">
        <v>777</v>
      </c>
      <c r="B780" s="470" t="s">
        <v>17</v>
      </c>
      <c r="C780" s="471" t="s">
        <v>18</v>
      </c>
      <c r="D780" s="472" t="s">
        <v>19</v>
      </c>
      <c r="E780" s="448" t="s">
        <v>4082</v>
      </c>
      <c r="F780" s="448" t="s">
        <v>4082</v>
      </c>
      <c r="G780" s="473" t="s">
        <v>3964</v>
      </c>
      <c r="H780" s="439" t="s">
        <v>1026</v>
      </c>
      <c r="I780" s="474" t="s">
        <v>3458</v>
      </c>
      <c r="J780" s="474" t="s">
        <v>3463</v>
      </c>
      <c r="K780" s="443" t="s">
        <v>1027</v>
      </c>
      <c r="L780" s="471">
        <v>1</v>
      </c>
      <c r="M780" s="447" t="s">
        <v>1032</v>
      </c>
      <c r="N780" s="456">
        <v>5800</v>
      </c>
      <c r="O780" s="475">
        <f t="shared" si="3"/>
        <v>5800</v>
      </c>
      <c r="P780" s="476"/>
      <c r="Q780" s="477">
        <v>46023</v>
      </c>
      <c r="R780" s="476"/>
      <c r="S780" s="476"/>
    </row>
    <row r="781" spans="1:19" ht="15.75" customHeight="1" x14ac:dyDescent="0.25">
      <c r="A781" s="438">
        <v>778</v>
      </c>
      <c r="B781" s="470" t="s">
        <v>17</v>
      </c>
      <c r="C781" s="471" t="s">
        <v>18</v>
      </c>
      <c r="D781" s="472" t="s">
        <v>19</v>
      </c>
      <c r="E781" s="448" t="s">
        <v>4082</v>
      </c>
      <c r="F781" s="448" t="s">
        <v>4082</v>
      </c>
      <c r="G781" s="473" t="s">
        <v>3965</v>
      </c>
      <c r="H781" s="439" t="s">
        <v>1033</v>
      </c>
      <c r="I781" s="474" t="s">
        <v>3458</v>
      </c>
      <c r="J781" s="474" t="s">
        <v>3463</v>
      </c>
      <c r="K781" s="443" t="s">
        <v>1034</v>
      </c>
      <c r="L781" s="471">
        <v>1</v>
      </c>
      <c r="M781" s="447" t="s">
        <v>1035</v>
      </c>
      <c r="N781" s="456">
        <v>15300</v>
      </c>
      <c r="O781" s="475">
        <f t="shared" si="3"/>
        <v>15300</v>
      </c>
      <c r="P781" s="476"/>
      <c r="Q781" s="477">
        <v>46023</v>
      </c>
      <c r="R781" s="476"/>
      <c r="S781" s="476"/>
    </row>
    <row r="782" spans="1:19" ht="15.75" customHeight="1" x14ac:dyDescent="0.25">
      <c r="A782" s="438">
        <v>779</v>
      </c>
      <c r="B782" s="470" t="s">
        <v>17</v>
      </c>
      <c r="C782" s="471" t="s">
        <v>18</v>
      </c>
      <c r="D782" s="472" t="s">
        <v>19</v>
      </c>
      <c r="E782" s="448" t="s">
        <v>4082</v>
      </c>
      <c r="F782" s="448" t="s">
        <v>4082</v>
      </c>
      <c r="G782" s="473" t="s">
        <v>3965</v>
      </c>
      <c r="H782" s="439" t="s">
        <v>1033</v>
      </c>
      <c r="I782" s="474" t="s">
        <v>3458</v>
      </c>
      <c r="J782" s="474" t="s">
        <v>3463</v>
      </c>
      <c r="K782" s="443" t="s">
        <v>1034</v>
      </c>
      <c r="L782" s="471">
        <v>1</v>
      </c>
      <c r="M782" s="447" t="s">
        <v>1036</v>
      </c>
      <c r="N782" s="456">
        <v>15300</v>
      </c>
      <c r="O782" s="475">
        <f t="shared" si="3"/>
        <v>15300</v>
      </c>
      <c r="P782" s="476"/>
      <c r="Q782" s="477">
        <v>46023</v>
      </c>
      <c r="R782" s="476"/>
      <c r="S782" s="476"/>
    </row>
    <row r="783" spans="1:19" ht="15.75" customHeight="1" x14ac:dyDescent="0.25">
      <c r="A783" s="438">
        <v>780</v>
      </c>
      <c r="B783" s="470" t="s">
        <v>17</v>
      </c>
      <c r="C783" s="471" t="s">
        <v>18</v>
      </c>
      <c r="D783" s="472" t="s">
        <v>19</v>
      </c>
      <c r="E783" s="448" t="s">
        <v>4082</v>
      </c>
      <c r="F783" s="448" t="s">
        <v>4082</v>
      </c>
      <c r="G783" s="473" t="s">
        <v>3965</v>
      </c>
      <c r="H783" s="439" t="s">
        <v>1033</v>
      </c>
      <c r="I783" s="474" t="s">
        <v>3458</v>
      </c>
      <c r="J783" s="474" t="s">
        <v>3463</v>
      </c>
      <c r="K783" s="443" t="s">
        <v>1034</v>
      </c>
      <c r="L783" s="471">
        <v>1</v>
      </c>
      <c r="M783" s="447" t="s">
        <v>1037</v>
      </c>
      <c r="N783" s="456">
        <v>15300</v>
      </c>
      <c r="O783" s="475">
        <f t="shared" si="3"/>
        <v>15300</v>
      </c>
      <c r="P783" s="476"/>
      <c r="Q783" s="477">
        <v>46023</v>
      </c>
      <c r="R783" s="476"/>
      <c r="S783" s="476"/>
    </row>
    <row r="784" spans="1:19" ht="15.75" customHeight="1" x14ac:dyDescent="0.25">
      <c r="A784" s="438">
        <v>781</v>
      </c>
      <c r="B784" s="470" t="s">
        <v>17</v>
      </c>
      <c r="C784" s="471" t="s">
        <v>18</v>
      </c>
      <c r="D784" s="472" t="s">
        <v>19</v>
      </c>
      <c r="E784" s="465" t="s">
        <v>4082</v>
      </c>
      <c r="F784" s="448" t="s">
        <v>4082</v>
      </c>
      <c r="G784" s="473" t="s">
        <v>3965</v>
      </c>
      <c r="H784" s="439" t="s">
        <v>1033</v>
      </c>
      <c r="I784" s="474" t="s">
        <v>3458</v>
      </c>
      <c r="J784" s="474" t="s">
        <v>3463</v>
      </c>
      <c r="K784" s="443" t="s">
        <v>1034</v>
      </c>
      <c r="L784" s="471">
        <v>1</v>
      </c>
      <c r="M784" s="447" t="s">
        <v>1038</v>
      </c>
      <c r="N784" s="456">
        <v>15300</v>
      </c>
      <c r="O784" s="475">
        <f t="shared" si="3"/>
        <v>15300</v>
      </c>
      <c r="P784" s="476"/>
      <c r="Q784" s="477">
        <v>46023</v>
      </c>
      <c r="R784" s="476"/>
      <c r="S784" s="476"/>
    </row>
    <row r="785" spans="1:19" ht="15.75" customHeight="1" x14ac:dyDescent="0.25">
      <c r="A785" s="438">
        <v>782</v>
      </c>
      <c r="B785" s="470" t="s">
        <v>17</v>
      </c>
      <c r="C785" s="471" t="s">
        <v>18</v>
      </c>
      <c r="D785" s="472" t="s">
        <v>19</v>
      </c>
      <c r="E785" s="465" t="s">
        <v>4082</v>
      </c>
      <c r="F785" s="448" t="s">
        <v>4082</v>
      </c>
      <c r="G785" s="473" t="s">
        <v>3965</v>
      </c>
      <c r="H785" s="439" t="s">
        <v>1033</v>
      </c>
      <c r="I785" s="474" t="s">
        <v>3458</v>
      </c>
      <c r="J785" s="474" t="s">
        <v>3463</v>
      </c>
      <c r="K785" s="443" t="s">
        <v>1034</v>
      </c>
      <c r="L785" s="471">
        <v>1</v>
      </c>
      <c r="M785" s="447" t="s">
        <v>1039</v>
      </c>
      <c r="N785" s="461">
        <v>15300</v>
      </c>
      <c r="O785" s="475">
        <f t="shared" si="3"/>
        <v>15300</v>
      </c>
      <c r="P785" s="476"/>
      <c r="Q785" s="477">
        <v>46023</v>
      </c>
      <c r="R785" s="476"/>
      <c r="S785" s="476"/>
    </row>
    <row r="786" spans="1:19" ht="15.75" customHeight="1" x14ac:dyDescent="0.25">
      <c r="A786" s="438">
        <v>783</v>
      </c>
      <c r="B786" s="470" t="s">
        <v>17</v>
      </c>
      <c r="C786" s="471" t="s">
        <v>18</v>
      </c>
      <c r="D786" s="472" t="s">
        <v>19</v>
      </c>
      <c r="E786" s="448" t="s">
        <v>4082</v>
      </c>
      <c r="F786" s="448" t="s">
        <v>4082</v>
      </c>
      <c r="G786" s="473" t="s">
        <v>3965</v>
      </c>
      <c r="H786" s="439" t="s">
        <v>1033</v>
      </c>
      <c r="I786" s="474" t="s">
        <v>3458</v>
      </c>
      <c r="J786" s="474" t="s">
        <v>3463</v>
      </c>
      <c r="K786" s="443" t="s">
        <v>1034</v>
      </c>
      <c r="L786" s="471">
        <v>1</v>
      </c>
      <c r="M786" s="447" t="s">
        <v>1040</v>
      </c>
      <c r="N786" s="456">
        <v>15300</v>
      </c>
      <c r="O786" s="475">
        <f t="shared" si="3"/>
        <v>15300</v>
      </c>
      <c r="P786" s="476"/>
      <c r="Q786" s="477">
        <v>46023</v>
      </c>
      <c r="R786" s="476"/>
      <c r="S786" s="476"/>
    </row>
    <row r="787" spans="1:19" ht="15.75" customHeight="1" x14ac:dyDescent="0.25">
      <c r="A787" s="438">
        <v>784</v>
      </c>
      <c r="B787" s="470" t="s">
        <v>17</v>
      </c>
      <c r="C787" s="471" t="s">
        <v>18</v>
      </c>
      <c r="D787" s="472" t="s">
        <v>19</v>
      </c>
      <c r="E787" s="448" t="s">
        <v>4082</v>
      </c>
      <c r="F787" s="448" t="s">
        <v>4082</v>
      </c>
      <c r="G787" s="473" t="s">
        <v>3965</v>
      </c>
      <c r="H787" s="439" t="s">
        <v>1033</v>
      </c>
      <c r="I787" s="474" t="s">
        <v>3458</v>
      </c>
      <c r="J787" s="474" t="s">
        <v>3463</v>
      </c>
      <c r="K787" s="443" t="s">
        <v>1034</v>
      </c>
      <c r="L787" s="471">
        <v>1</v>
      </c>
      <c r="M787" s="447" t="s">
        <v>1041</v>
      </c>
      <c r="N787" s="456">
        <v>15300</v>
      </c>
      <c r="O787" s="475">
        <f t="shared" si="3"/>
        <v>15300</v>
      </c>
      <c r="P787" s="476"/>
      <c r="Q787" s="477">
        <v>46023</v>
      </c>
      <c r="R787" s="476"/>
      <c r="S787" s="476"/>
    </row>
    <row r="788" spans="1:19" ht="15.75" customHeight="1" x14ac:dyDescent="0.25">
      <c r="A788" s="438">
        <v>785</v>
      </c>
      <c r="B788" s="470" t="s">
        <v>17</v>
      </c>
      <c r="C788" s="471" t="s">
        <v>18</v>
      </c>
      <c r="D788" s="472" t="s">
        <v>19</v>
      </c>
      <c r="E788" s="448" t="s">
        <v>4082</v>
      </c>
      <c r="F788" s="448" t="s">
        <v>4082</v>
      </c>
      <c r="G788" s="473" t="s">
        <v>3965</v>
      </c>
      <c r="H788" s="439" t="s">
        <v>1033</v>
      </c>
      <c r="I788" s="474" t="s">
        <v>3458</v>
      </c>
      <c r="J788" s="474" t="s">
        <v>3463</v>
      </c>
      <c r="K788" s="443" t="s">
        <v>1034</v>
      </c>
      <c r="L788" s="471">
        <v>1</v>
      </c>
      <c r="M788" s="447" t="s">
        <v>1042</v>
      </c>
      <c r="N788" s="456">
        <v>15300</v>
      </c>
      <c r="O788" s="475">
        <f t="shared" si="3"/>
        <v>15300</v>
      </c>
      <c r="P788" s="476"/>
      <c r="Q788" s="477">
        <v>46023</v>
      </c>
      <c r="R788" s="476"/>
      <c r="S788" s="476"/>
    </row>
    <row r="789" spans="1:19" ht="15.75" customHeight="1" x14ac:dyDescent="0.25">
      <c r="A789" s="438">
        <v>786</v>
      </c>
      <c r="B789" s="470" t="s">
        <v>17</v>
      </c>
      <c r="C789" s="471" t="s">
        <v>18</v>
      </c>
      <c r="D789" s="472" t="s">
        <v>19</v>
      </c>
      <c r="E789" s="448" t="s">
        <v>4082</v>
      </c>
      <c r="F789" s="448" t="s">
        <v>4082</v>
      </c>
      <c r="G789" s="473" t="s">
        <v>3965</v>
      </c>
      <c r="H789" s="439" t="s">
        <v>1033</v>
      </c>
      <c r="I789" s="474" t="s">
        <v>3458</v>
      </c>
      <c r="J789" s="474" t="s">
        <v>3463</v>
      </c>
      <c r="K789" s="443" t="s">
        <v>1034</v>
      </c>
      <c r="L789" s="471">
        <v>1</v>
      </c>
      <c r="M789" s="447" t="s">
        <v>1043</v>
      </c>
      <c r="N789" s="456">
        <v>15300</v>
      </c>
      <c r="O789" s="475">
        <f t="shared" si="3"/>
        <v>15300</v>
      </c>
      <c r="P789" s="476"/>
      <c r="Q789" s="477">
        <v>46023</v>
      </c>
      <c r="R789" s="476"/>
      <c r="S789" s="476"/>
    </row>
    <row r="790" spans="1:19" ht="15.75" customHeight="1" x14ac:dyDescent="0.25">
      <c r="A790" s="438">
        <v>787</v>
      </c>
      <c r="B790" s="470" t="s">
        <v>17</v>
      </c>
      <c r="C790" s="471" t="s">
        <v>18</v>
      </c>
      <c r="D790" s="472" t="s">
        <v>19</v>
      </c>
      <c r="E790" s="465" t="s">
        <v>4082</v>
      </c>
      <c r="F790" s="448" t="s">
        <v>4082</v>
      </c>
      <c r="G790" s="473" t="s">
        <v>3965</v>
      </c>
      <c r="H790" s="439" t="s">
        <v>1033</v>
      </c>
      <c r="I790" s="474" t="s">
        <v>3458</v>
      </c>
      <c r="J790" s="474" t="s">
        <v>3463</v>
      </c>
      <c r="K790" s="443" t="s">
        <v>1034</v>
      </c>
      <c r="L790" s="471">
        <v>1</v>
      </c>
      <c r="M790" s="447" t="s">
        <v>1044</v>
      </c>
      <c r="N790" s="456">
        <v>15300</v>
      </c>
      <c r="O790" s="475">
        <f t="shared" si="3"/>
        <v>15300</v>
      </c>
      <c r="P790" s="476"/>
      <c r="Q790" s="477">
        <v>46023</v>
      </c>
      <c r="R790" s="476"/>
      <c r="S790" s="476"/>
    </row>
    <row r="791" spans="1:19" ht="15.75" customHeight="1" x14ac:dyDescent="0.25">
      <c r="A791" s="438">
        <v>788</v>
      </c>
      <c r="B791" s="470" t="s">
        <v>17</v>
      </c>
      <c r="C791" s="471" t="s">
        <v>18</v>
      </c>
      <c r="D791" s="472" t="s">
        <v>19</v>
      </c>
      <c r="E791" s="465" t="s">
        <v>4082</v>
      </c>
      <c r="F791" s="448" t="s">
        <v>4082</v>
      </c>
      <c r="G791" s="473" t="s">
        <v>3966</v>
      </c>
      <c r="H791" s="439" t="s">
        <v>1045</v>
      </c>
      <c r="I791" s="474" t="s">
        <v>3458</v>
      </c>
      <c r="J791" s="474" t="s">
        <v>3464</v>
      </c>
      <c r="K791" s="443" t="s">
        <v>3473</v>
      </c>
      <c r="L791" s="471">
        <v>1</v>
      </c>
      <c r="M791" s="447" t="s">
        <v>1046</v>
      </c>
      <c r="N791" s="456">
        <v>5500</v>
      </c>
      <c r="O791" s="475">
        <f t="shared" si="3"/>
        <v>5500</v>
      </c>
      <c r="P791" s="476"/>
      <c r="Q791" s="477">
        <v>46023</v>
      </c>
      <c r="R791" s="476"/>
      <c r="S791" s="476"/>
    </row>
    <row r="792" spans="1:19" ht="15.75" customHeight="1" x14ac:dyDescent="0.25">
      <c r="A792" s="438">
        <v>789</v>
      </c>
      <c r="B792" s="470" t="s">
        <v>17</v>
      </c>
      <c r="C792" s="471" t="s">
        <v>18</v>
      </c>
      <c r="D792" s="472" t="s">
        <v>19</v>
      </c>
      <c r="E792" s="465" t="s">
        <v>4082</v>
      </c>
      <c r="F792" s="448" t="s">
        <v>4082</v>
      </c>
      <c r="G792" s="473" t="s">
        <v>3967</v>
      </c>
      <c r="H792" s="439" t="s">
        <v>1047</v>
      </c>
      <c r="I792" s="474" t="s">
        <v>3458</v>
      </c>
      <c r="J792" s="474" t="s">
        <v>3464</v>
      </c>
      <c r="K792" s="443" t="s">
        <v>3474</v>
      </c>
      <c r="L792" s="471">
        <v>1</v>
      </c>
      <c r="M792" s="447" t="s">
        <v>46</v>
      </c>
      <c r="N792" s="456">
        <v>14900</v>
      </c>
      <c r="O792" s="475">
        <f t="shared" si="3"/>
        <v>14900</v>
      </c>
      <c r="P792" s="476"/>
      <c r="Q792" s="477">
        <v>46023</v>
      </c>
      <c r="R792" s="476"/>
      <c r="S792" s="476"/>
    </row>
    <row r="793" spans="1:19" ht="15.75" customHeight="1" x14ac:dyDescent="0.25">
      <c r="A793" s="438">
        <v>790</v>
      </c>
      <c r="B793" s="470" t="s">
        <v>17</v>
      </c>
      <c r="C793" s="471" t="s">
        <v>18</v>
      </c>
      <c r="D793" s="472" t="s">
        <v>19</v>
      </c>
      <c r="E793" s="465" t="s">
        <v>4082</v>
      </c>
      <c r="F793" s="448" t="s">
        <v>4082</v>
      </c>
      <c r="G793" s="473" t="s">
        <v>3968</v>
      </c>
      <c r="H793" s="439" t="s">
        <v>1048</v>
      </c>
      <c r="I793" s="474" t="s">
        <v>3458</v>
      </c>
      <c r="J793" s="474" t="s">
        <v>3463</v>
      </c>
      <c r="K793" s="443" t="s">
        <v>1049</v>
      </c>
      <c r="L793" s="471">
        <v>1</v>
      </c>
      <c r="M793" s="447" t="s">
        <v>1050</v>
      </c>
      <c r="N793" s="456">
        <v>25000</v>
      </c>
      <c r="O793" s="475">
        <f t="shared" si="3"/>
        <v>25000</v>
      </c>
      <c r="P793" s="476"/>
      <c r="Q793" s="477">
        <v>46023</v>
      </c>
      <c r="R793" s="476"/>
      <c r="S793" s="476"/>
    </row>
    <row r="794" spans="1:19" ht="15.75" customHeight="1" x14ac:dyDescent="0.25">
      <c r="A794" s="438">
        <v>791</v>
      </c>
      <c r="B794" s="470" t="s">
        <v>17</v>
      </c>
      <c r="C794" s="471" t="s">
        <v>18</v>
      </c>
      <c r="D794" s="472" t="s">
        <v>19</v>
      </c>
      <c r="E794" s="465" t="s">
        <v>4082</v>
      </c>
      <c r="F794" s="448" t="s">
        <v>4082</v>
      </c>
      <c r="G794" s="473" t="s">
        <v>3969</v>
      </c>
      <c r="H794" s="439" t="s">
        <v>1051</v>
      </c>
      <c r="I794" s="474" t="s">
        <v>3458</v>
      </c>
      <c r="J794" s="474" t="s">
        <v>3463</v>
      </c>
      <c r="K794" s="443" t="s">
        <v>1052</v>
      </c>
      <c r="L794" s="471">
        <v>1</v>
      </c>
      <c r="M794" s="447" t="s">
        <v>1053</v>
      </c>
      <c r="N794" s="456">
        <v>8528</v>
      </c>
      <c r="O794" s="475">
        <f t="shared" si="3"/>
        <v>8528</v>
      </c>
      <c r="P794" s="476"/>
      <c r="Q794" s="477">
        <v>46023</v>
      </c>
      <c r="R794" s="476"/>
      <c r="S794" s="476"/>
    </row>
    <row r="795" spans="1:19" ht="15.75" customHeight="1" x14ac:dyDescent="0.25">
      <c r="A795" s="438">
        <v>792</v>
      </c>
      <c r="B795" s="470" t="s">
        <v>17</v>
      </c>
      <c r="C795" s="471" t="s">
        <v>18</v>
      </c>
      <c r="D795" s="472" t="s">
        <v>19</v>
      </c>
      <c r="E795" s="465" t="s">
        <v>4082</v>
      </c>
      <c r="F795" s="448" t="s">
        <v>4082</v>
      </c>
      <c r="G795" s="473" t="s">
        <v>3970</v>
      </c>
      <c r="H795" s="439" t="s">
        <v>1054</v>
      </c>
      <c r="I795" s="474" t="s">
        <v>3458</v>
      </c>
      <c r="J795" s="474" t="s">
        <v>3464</v>
      </c>
      <c r="K795" s="443" t="s">
        <v>1055</v>
      </c>
      <c r="L795" s="471">
        <v>1</v>
      </c>
      <c r="M795" s="447" t="s">
        <v>1056</v>
      </c>
      <c r="N795" s="456">
        <v>68750</v>
      </c>
      <c r="O795" s="475">
        <f t="shared" si="3"/>
        <v>68750</v>
      </c>
      <c r="P795" s="476"/>
      <c r="Q795" s="477">
        <v>46023</v>
      </c>
      <c r="R795" s="476"/>
      <c r="S795" s="476"/>
    </row>
    <row r="796" spans="1:19" ht="15.75" customHeight="1" x14ac:dyDescent="0.25">
      <c r="A796" s="438">
        <v>793</v>
      </c>
      <c r="B796" s="470" t="s">
        <v>17</v>
      </c>
      <c r="C796" s="471" t="s">
        <v>18</v>
      </c>
      <c r="D796" s="472" t="s">
        <v>19</v>
      </c>
      <c r="E796" s="465" t="s">
        <v>4082</v>
      </c>
      <c r="F796" s="448" t="s">
        <v>4082</v>
      </c>
      <c r="G796" s="473" t="s">
        <v>3970</v>
      </c>
      <c r="H796" s="439" t="s">
        <v>1057</v>
      </c>
      <c r="I796" s="474" t="s">
        <v>3458</v>
      </c>
      <c r="J796" s="474" t="s">
        <v>3464</v>
      </c>
      <c r="K796" s="443" t="s">
        <v>1055</v>
      </c>
      <c r="L796" s="471">
        <v>1</v>
      </c>
      <c r="M796" s="447" t="s">
        <v>1058</v>
      </c>
      <c r="N796" s="456">
        <v>52700</v>
      </c>
      <c r="O796" s="475">
        <f t="shared" si="3"/>
        <v>52700</v>
      </c>
      <c r="P796" s="476"/>
      <c r="Q796" s="477">
        <v>46023</v>
      </c>
      <c r="R796" s="476"/>
      <c r="S796" s="476"/>
    </row>
    <row r="797" spans="1:19" ht="15.75" customHeight="1" x14ac:dyDescent="0.25">
      <c r="A797" s="438">
        <v>794</v>
      </c>
      <c r="B797" s="470" t="s">
        <v>17</v>
      </c>
      <c r="C797" s="471" t="s">
        <v>18</v>
      </c>
      <c r="D797" s="472" t="s">
        <v>19</v>
      </c>
      <c r="E797" s="465" t="s">
        <v>4082</v>
      </c>
      <c r="F797" s="448" t="s">
        <v>4082</v>
      </c>
      <c r="G797" s="473" t="s">
        <v>3971</v>
      </c>
      <c r="H797" s="439" t="s">
        <v>1059</v>
      </c>
      <c r="I797" s="474" t="s">
        <v>3458</v>
      </c>
      <c r="J797" s="474" t="s">
        <v>3464</v>
      </c>
      <c r="K797" s="443" t="s">
        <v>1060</v>
      </c>
      <c r="L797" s="471">
        <v>1</v>
      </c>
      <c r="M797" s="447" t="s">
        <v>1061</v>
      </c>
      <c r="N797" s="456">
        <v>6000</v>
      </c>
      <c r="O797" s="475">
        <f t="shared" si="3"/>
        <v>6000</v>
      </c>
      <c r="P797" s="476"/>
      <c r="Q797" s="477">
        <v>46023</v>
      </c>
      <c r="R797" s="476"/>
      <c r="S797" s="476"/>
    </row>
    <row r="798" spans="1:19" ht="15.75" customHeight="1" x14ac:dyDescent="0.25">
      <c r="A798" s="438">
        <v>795</v>
      </c>
      <c r="B798" s="470" t="s">
        <v>17</v>
      </c>
      <c r="C798" s="471" t="s">
        <v>18</v>
      </c>
      <c r="D798" s="472" t="s">
        <v>19</v>
      </c>
      <c r="E798" s="465" t="s">
        <v>4082</v>
      </c>
      <c r="F798" s="448" t="s">
        <v>4082</v>
      </c>
      <c r="G798" s="473" t="s">
        <v>3971</v>
      </c>
      <c r="H798" s="439" t="s">
        <v>1059</v>
      </c>
      <c r="I798" s="474" t="s">
        <v>3458</v>
      </c>
      <c r="J798" s="474" t="s">
        <v>3464</v>
      </c>
      <c r="K798" s="443" t="s">
        <v>1060</v>
      </c>
      <c r="L798" s="471">
        <v>1</v>
      </c>
      <c r="M798" s="447" t="s">
        <v>1062</v>
      </c>
      <c r="N798" s="456">
        <v>6000</v>
      </c>
      <c r="O798" s="475">
        <f t="shared" si="3"/>
        <v>6000</v>
      </c>
      <c r="P798" s="476"/>
      <c r="Q798" s="477">
        <v>46023</v>
      </c>
      <c r="R798" s="476"/>
      <c r="S798" s="476"/>
    </row>
    <row r="799" spans="1:19" ht="15.75" customHeight="1" x14ac:dyDescent="0.25">
      <c r="A799" s="438">
        <v>796</v>
      </c>
      <c r="B799" s="470" t="s">
        <v>17</v>
      </c>
      <c r="C799" s="471" t="s">
        <v>18</v>
      </c>
      <c r="D799" s="472" t="s">
        <v>19</v>
      </c>
      <c r="E799" s="465" t="s">
        <v>4082</v>
      </c>
      <c r="F799" s="448" t="s">
        <v>4082</v>
      </c>
      <c r="G799" s="473" t="s">
        <v>3971</v>
      </c>
      <c r="H799" s="439" t="s">
        <v>1059</v>
      </c>
      <c r="I799" s="474" t="s">
        <v>3458</v>
      </c>
      <c r="J799" s="474" t="s">
        <v>3464</v>
      </c>
      <c r="K799" s="443" t="s">
        <v>1060</v>
      </c>
      <c r="L799" s="471">
        <v>1</v>
      </c>
      <c r="M799" s="447" t="s">
        <v>1063</v>
      </c>
      <c r="N799" s="456">
        <v>6000</v>
      </c>
      <c r="O799" s="475">
        <f t="shared" si="3"/>
        <v>6000</v>
      </c>
      <c r="P799" s="476"/>
      <c r="Q799" s="477">
        <v>46023</v>
      </c>
      <c r="R799" s="476"/>
      <c r="S799" s="476"/>
    </row>
    <row r="800" spans="1:19" ht="15.75" customHeight="1" x14ac:dyDescent="0.25">
      <c r="A800" s="438">
        <v>797</v>
      </c>
      <c r="B800" s="470" t="s">
        <v>17</v>
      </c>
      <c r="C800" s="471" t="s">
        <v>18</v>
      </c>
      <c r="D800" s="472" t="s">
        <v>19</v>
      </c>
      <c r="E800" s="465" t="s">
        <v>4082</v>
      </c>
      <c r="F800" s="448" t="s">
        <v>4082</v>
      </c>
      <c r="G800" s="473" t="s">
        <v>3972</v>
      </c>
      <c r="H800" s="439" t="s">
        <v>1064</v>
      </c>
      <c r="I800" s="474" t="s">
        <v>3458</v>
      </c>
      <c r="J800" s="474" t="s">
        <v>3463</v>
      </c>
      <c r="K800" s="443" t="s">
        <v>1065</v>
      </c>
      <c r="L800" s="471">
        <v>1</v>
      </c>
      <c r="M800" s="447" t="s">
        <v>1066</v>
      </c>
      <c r="N800" s="456">
        <v>814</v>
      </c>
      <c r="O800" s="475">
        <f t="shared" si="3"/>
        <v>814</v>
      </c>
      <c r="P800" s="476"/>
      <c r="Q800" s="477">
        <v>46023</v>
      </c>
      <c r="R800" s="476"/>
      <c r="S800" s="476"/>
    </row>
    <row r="801" spans="1:19" ht="15.75" customHeight="1" x14ac:dyDescent="0.25">
      <c r="A801" s="438">
        <v>798</v>
      </c>
      <c r="B801" s="470" t="s">
        <v>17</v>
      </c>
      <c r="C801" s="471" t="s">
        <v>18</v>
      </c>
      <c r="D801" s="472" t="s">
        <v>19</v>
      </c>
      <c r="E801" s="465" t="s">
        <v>4082</v>
      </c>
      <c r="F801" s="448" t="s">
        <v>4082</v>
      </c>
      <c r="G801" s="473" t="s">
        <v>3972</v>
      </c>
      <c r="H801" s="439" t="s">
        <v>1064</v>
      </c>
      <c r="I801" s="474" t="s">
        <v>3458</v>
      </c>
      <c r="J801" s="474" t="s">
        <v>3463</v>
      </c>
      <c r="K801" s="443" t="s">
        <v>1065</v>
      </c>
      <c r="L801" s="471">
        <v>1</v>
      </c>
      <c r="M801" s="447" t="s">
        <v>1067</v>
      </c>
      <c r="N801" s="456">
        <v>814</v>
      </c>
      <c r="O801" s="475">
        <f t="shared" si="3"/>
        <v>814</v>
      </c>
      <c r="P801" s="476"/>
      <c r="Q801" s="477">
        <v>46023</v>
      </c>
      <c r="R801" s="476"/>
      <c r="S801" s="476"/>
    </row>
    <row r="802" spans="1:19" ht="15.75" customHeight="1" x14ac:dyDescent="0.25">
      <c r="A802" s="438">
        <v>799</v>
      </c>
      <c r="B802" s="470" t="s">
        <v>17</v>
      </c>
      <c r="C802" s="471" t="s">
        <v>18</v>
      </c>
      <c r="D802" s="472" t="s">
        <v>19</v>
      </c>
      <c r="E802" s="465" t="s">
        <v>4082</v>
      </c>
      <c r="F802" s="448" t="s">
        <v>4082</v>
      </c>
      <c r="G802" s="473" t="s">
        <v>3972</v>
      </c>
      <c r="H802" s="439" t="s">
        <v>1064</v>
      </c>
      <c r="I802" s="474" t="s">
        <v>3458</v>
      </c>
      <c r="J802" s="474" t="s">
        <v>3463</v>
      </c>
      <c r="K802" s="443" t="s">
        <v>1065</v>
      </c>
      <c r="L802" s="471">
        <v>1</v>
      </c>
      <c r="M802" s="447" t="s">
        <v>1068</v>
      </c>
      <c r="N802" s="456">
        <v>814</v>
      </c>
      <c r="O802" s="475">
        <f t="shared" si="3"/>
        <v>814</v>
      </c>
      <c r="P802" s="476"/>
      <c r="Q802" s="477">
        <v>46023</v>
      </c>
      <c r="R802" s="476"/>
      <c r="S802" s="476"/>
    </row>
    <row r="803" spans="1:19" ht="15.75" customHeight="1" x14ac:dyDescent="0.25">
      <c r="A803" s="438">
        <v>800</v>
      </c>
      <c r="B803" s="470" t="s">
        <v>17</v>
      </c>
      <c r="C803" s="471" t="s">
        <v>18</v>
      </c>
      <c r="D803" s="472" t="s">
        <v>19</v>
      </c>
      <c r="E803" s="465" t="s">
        <v>4093</v>
      </c>
      <c r="F803" s="448" t="s">
        <v>4093</v>
      </c>
      <c r="G803" s="473" t="s">
        <v>3963</v>
      </c>
      <c r="H803" s="439" t="s">
        <v>1069</v>
      </c>
      <c r="I803" s="474" t="s">
        <v>3458</v>
      </c>
      <c r="J803" s="474" t="s">
        <v>3464</v>
      </c>
      <c r="K803" s="443" t="s">
        <v>1024</v>
      </c>
      <c r="L803" s="471">
        <v>1</v>
      </c>
      <c r="M803" s="447" t="s">
        <v>1070</v>
      </c>
      <c r="N803" s="456">
        <v>2440</v>
      </c>
      <c r="O803" s="475">
        <f t="shared" si="3"/>
        <v>2440</v>
      </c>
      <c r="P803" s="476"/>
      <c r="Q803" s="477">
        <v>46023</v>
      </c>
      <c r="R803" s="476"/>
      <c r="S803" s="476"/>
    </row>
    <row r="804" spans="1:19" ht="15.75" customHeight="1" x14ac:dyDescent="0.25">
      <c r="A804" s="438">
        <v>801</v>
      </c>
      <c r="B804" s="470" t="s">
        <v>17</v>
      </c>
      <c r="C804" s="471" t="s">
        <v>18</v>
      </c>
      <c r="D804" s="472" t="s">
        <v>19</v>
      </c>
      <c r="E804" s="465" t="s">
        <v>4082</v>
      </c>
      <c r="F804" s="448" t="s">
        <v>4082</v>
      </c>
      <c r="G804" s="473" t="s">
        <v>3963</v>
      </c>
      <c r="H804" s="439" t="s">
        <v>1069</v>
      </c>
      <c r="I804" s="474" t="s">
        <v>3458</v>
      </c>
      <c r="J804" s="474" t="s">
        <v>3464</v>
      </c>
      <c r="K804" s="443" t="s">
        <v>1024</v>
      </c>
      <c r="L804" s="471">
        <v>1</v>
      </c>
      <c r="M804" s="447" t="s">
        <v>1071</v>
      </c>
      <c r="N804" s="456">
        <v>2440</v>
      </c>
      <c r="O804" s="475">
        <f t="shared" si="3"/>
        <v>2440</v>
      </c>
      <c r="P804" s="476"/>
      <c r="Q804" s="477">
        <v>46023</v>
      </c>
      <c r="R804" s="476"/>
      <c r="S804" s="476"/>
    </row>
    <row r="805" spans="1:19" ht="15.75" customHeight="1" x14ac:dyDescent="0.25">
      <c r="A805" s="438">
        <v>802</v>
      </c>
      <c r="B805" s="470" t="s">
        <v>17</v>
      </c>
      <c r="C805" s="471" t="s">
        <v>18</v>
      </c>
      <c r="D805" s="472" t="s">
        <v>19</v>
      </c>
      <c r="E805" s="465" t="s">
        <v>4082</v>
      </c>
      <c r="F805" s="448" t="s">
        <v>4082</v>
      </c>
      <c r="G805" s="473" t="s">
        <v>3963</v>
      </c>
      <c r="H805" s="439" t="s">
        <v>1072</v>
      </c>
      <c r="I805" s="474" t="s">
        <v>3458</v>
      </c>
      <c r="J805" s="474" t="s">
        <v>3464</v>
      </c>
      <c r="K805" s="443" t="s">
        <v>1024</v>
      </c>
      <c r="L805" s="471">
        <v>1</v>
      </c>
      <c r="M805" s="447" t="s">
        <v>1073</v>
      </c>
      <c r="N805" s="456">
        <v>1740</v>
      </c>
      <c r="O805" s="475">
        <f t="shared" si="3"/>
        <v>1740</v>
      </c>
      <c r="P805" s="476"/>
      <c r="Q805" s="477">
        <v>46023</v>
      </c>
      <c r="R805" s="476"/>
      <c r="S805" s="476"/>
    </row>
    <row r="806" spans="1:19" ht="15.75" customHeight="1" x14ac:dyDescent="0.25">
      <c r="A806" s="438">
        <v>803</v>
      </c>
      <c r="B806" s="470" t="s">
        <v>17</v>
      </c>
      <c r="C806" s="471" t="s">
        <v>18</v>
      </c>
      <c r="D806" s="472" t="s">
        <v>19</v>
      </c>
      <c r="E806" s="465" t="s">
        <v>4093</v>
      </c>
      <c r="F806" s="448" t="s">
        <v>4093</v>
      </c>
      <c r="G806" s="473" t="s">
        <v>3963</v>
      </c>
      <c r="H806" s="439" t="s">
        <v>1074</v>
      </c>
      <c r="I806" s="474" t="s">
        <v>3458</v>
      </c>
      <c r="J806" s="474" t="s">
        <v>3464</v>
      </c>
      <c r="K806" s="443" t="s">
        <v>1024</v>
      </c>
      <c r="L806" s="471">
        <v>1</v>
      </c>
      <c r="M806" s="447" t="s">
        <v>1075</v>
      </c>
      <c r="N806" s="456">
        <v>1240</v>
      </c>
      <c r="O806" s="475">
        <f t="shared" si="3"/>
        <v>1240</v>
      </c>
      <c r="P806" s="476"/>
      <c r="Q806" s="477">
        <v>46023</v>
      </c>
      <c r="R806" s="476"/>
      <c r="S806" s="476"/>
    </row>
    <row r="807" spans="1:19" ht="15.75" customHeight="1" x14ac:dyDescent="0.25">
      <c r="A807" s="438">
        <v>804</v>
      </c>
      <c r="B807" s="470" t="s">
        <v>17</v>
      </c>
      <c r="C807" s="471" t="s">
        <v>18</v>
      </c>
      <c r="D807" s="472" t="s">
        <v>19</v>
      </c>
      <c r="E807" s="465" t="s">
        <v>4082</v>
      </c>
      <c r="F807" s="448" t="s">
        <v>4082</v>
      </c>
      <c r="G807" s="473" t="s">
        <v>3963</v>
      </c>
      <c r="H807" s="439" t="s">
        <v>1074</v>
      </c>
      <c r="I807" s="474" t="s">
        <v>3458</v>
      </c>
      <c r="J807" s="474" t="s">
        <v>3464</v>
      </c>
      <c r="K807" s="443" t="s">
        <v>1024</v>
      </c>
      <c r="L807" s="471">
        <v>1</v>
      </c>
      <c r="M807" s="447" t="s">
        <v>1076</v>
      </c>
      <c r="N807" s="456">
        <v>1240</v>
      </c>
      <c r="O807" s="475">
        <f t="shared" si="3"/>
        <v>1240</v>
      </c>
      <c r="P807" s="476"/>
      <c r="Q807" s="477">
        <v>46023</v>
      </c>
      <c r="R807" s="476"/>
      <c r="S807" s="476"/>
    </row>
    <row r="808" spans="1:19" ht="15.75" customHeight="1" x14ac:dyDescent="0.25">
      <c r="A808" s="438">
        <v>805</v>
      </c>
      <c r="B808" s="470" t="s">
        <v>17</v>
      </c>
      <c r="C808" s="471" t="s">
        <v>18</v>
      </c>
      <c r="D808" s="472" t="s">
        <v>19</v>
      </c>
      <c r="E808" s="465" t="s">
        <v>4094</v>
      </c>
      <c r="F808" s="448" t="s">
        <v>4118</v>
      </c>
      <c r="G808" s="473" t="s">
        <v>3963</v>
      </c>
      <c r="H808" s="439" t="s">
        <v>1074</v>
      </c>
      <c r="I808" s="474" t="s">
        <v>3458</v>
      </c>
      <c r="J808" s="474" t="s">
        <v>3464</v>
      </c>
      <c r="K808" s="443" t="s">
        <v>1024</v>
      </c>
      <c r="L808" s="471">
        <v>1</v>
      </c>
      <c r="M808" s="447" t="s">
        <v>1077</v>
      </c>
      <c r="N808" s="456">
        <v>1240</v>
      </c>
      <c r="O808" s="475">
        <f t="shared" si="3"/>
        <v>1240</v>
      </c>
      <c r="P808" s="476"/>
      <c r="Q808" s="477">
        <v>46023</v>
      </c>
      <c r="R808" s="476"/>
      <c r="S808" s="476"/>
    </row>
    <row r="809" spans="1:19" ht="15.75" customHeight="1" x14ac:dyDescent="0.25">
      <c r="A809" s="438">
        <v>806</v>
      </c>
      <c r="B809" s="470" t="s">
        <v>17</v>
      </c>
      <c r="C809" s="471" t="s">
        <v>18</v>
      </c>
      <c r="D809" s="472" t="s">
        <v>19</v>
      </c>
      <c r="E809" s="465" t="s">
        <v>4093</v>
      </c>
      <c r="F809" s="448" t="s">
        <v>4093</v>
      </c>
      <c r="G809" s="473" t="s">
        <v>3973</v>
      </c>
      <c r="H809" s="439" t="s">
        <v>1078</v>
      </c>
      <c r="I809" s="474" t="s">
        <v>3458</v>
      </c>
      <c r="J809" s="474" t="s">
        <v>3464</v>
      </c>
      <c r="K809" s="443" t="s">
        <v>1079</v>
      </c>
      <c r="L809" s="471">
        <v>1</v>
      </c>
      <c r="M809" s="447" t="s">
        <v>1080</v>
      </c>
      <c r="N809" s="456">
        <v>2760</v>
      </c>
      <c r="O809" s="475">
        <f t="shared" si="3"/>
        <v>2760</v>
      </c>
      <c r="P809" s="476"/>
      <c r="Q809" s="477">
        <v>46023</v>
      </c>
      <c r="R809" s="476"/>
      <c r="S809" s="476"/>
    </row>
    <row r="810" spans="1:19" ht="15.75" customHeight="1" x14ac:dyDescent="0.25">
      <c r="A810" s="438">
        <v>807</v>
      </c>
      <c r="B810" s="470" t="s">
        <v>17</v>
      </c>
      <c r="C810" s="471" t="s">
        <v>18</v>
      </c>
      <c r="D810" s="472" t="s">
        <v>19</v>
      </c>
      <c r="E810" s="465" t="s">
        <v>4082</v>
      </c>
      <c r="F810" s="448" t="s">
        <v>4082</v>
      </c>
      <c r="G810" s="473" t="s">
        <v>3973</v>
      </c>
      <c r="H810" s="439" t="s">
        <v>1078</v>
      </c>
      <c r="I810" s="474" t="s">
        <v>3458</v>
      </c>
      <c r="J810" s="474" t="s">
        <v>3464</v>
      </c>
      <c r="K810" s="443" t="s">
        <v>1079</v>
      </c>
      <c r="L810" s="471">
        <v>1</v>
      </c>
      <c r="M810" s="447" t="s">
        <v>1081</v>
      </c>
      <c r="N810" s="456">
        <v>2760</v>
      </c>
      <c r="O810" s="475">
        <f t="shared" si="3"/>
        <v>2760</v>
      </c>
      <c r="P810" s="476"/>
      <c r="Q810" s="477">
        <v>46023</v>
      </c>
      <c r="R810" s="476"/>
      <c r="S810" s="476"/>
    </row>
    <row r="811" spans="1:19" ht="15.75" customHeight="1" x14ac:dyDescent="0.25">
      <c r="A811" s="438">
        <v>808</v>
      </c>
      <c r="B811" s="470" t="s">
        <v>17</v>
      </c>
      <c r="C811" s="471" t="s">
        <v>18</v>
      </c>
      <c r="D811" s="472" t="s">
        <v>19</v>
      </c>
      <c r="E811" s="465" t="s">
        <v>4083</v>
      </c>
      <c r="F811" s="448" t="s">
        <v>2988</v>
      </c>
      <c r="G811" s="473" t="s">
        <v>3973</v>
      </c>
      <c r="H811" s="439" t="s">
        <v>1082</v>
      </c>
      <c r="I811" s="474" t="s">
        <v>3458</v>
      </c>
      <c r="J811" s="474" t="s">
        <v>3464</v>
      </c>
      <c r="K811" s="443" t="s">
        <v>1079</v>
      </c>
      <c r="L811" s="471">
        <v>1</v>
      </c>
      <c r="M811" s="447" t="s">
        <v>1083</v>
      </c>
      <c r="N811" s="456">
        <v>540</v>
      </c>
      <c r="O811" s="475">
        <f t="shared" si="3"/>
        <v>540</v>
      </c>
      <c r="P811" s="476"/>
      <c r="Q811" s="477">
        <v>46023</v>
      </c>
      <c r="R811" s="476"/>
      <c r="S811" s="476"/>
    </row>
    <row r="812" spans="1:19" ht="15.75" customHeight="1" x14ac:dyDescent="0.25">
      <c r="A812" s="438">
        <v>809</v>
      </c>
      <c r="B812" s="470" t="s">
        <v>17</v>
      </c>
      <c r="C812" s="471" t="s">
        <v>18</v>
      </c>
      <c r="D812" s="472" t="s">
        <v>19</v>
      </c>
      <c r="E812" s="465" t="s">
        <v>4082</v>
      </c>
      <c r="F812" s="448" t="s">
        <v>4082</v>
      </c>
      <c r="G812" s="473" t="s">
        <v>3974</v>
      </c>
      <c r="H812" s="439" t="s">
        <v>1084</v>
      </c>
      <c r="I812" s="474" t="s">
        <v>3458</v>
      </c>
      <c r="J812" s="474" t="s">
        <v>3463</v>
      </c>
      <c r="K812" s="443" t="s">
        <v>1085</v>
      </c>
      <c r="L812" s="471">
        <v>1</v>
      </c>
      <c r="M812" s="447" t="s">
        <v>1086</v>
      </c>
      <c r="N812" s="456">
        <v>2236</v>
      </c>
      <c r="O812" s="475">
        <f t="shared" si="3"/>
        <v>2236</v>
      </c>
      <c r="P812" s="476"/>
      <c r="Q812" s="477">
        <v>46023</v>
      </c>
      <c r="R812" s="476"/>
      <c r="S812" s="476"/>
    </row>
    <row r="813" spans="1:19" ht="15.75" customHeight="1" x14ac:dyDescent="0.25">
      <c r="A813" s="438">
        <v>810</v>
      </c>
      <c r="B813" s="470" t="s">
        <v>17</v>
      </c>
      <c r="C813" s="471" t="s">
        <v>18</v>
      </c>
      <c r="D813" s="472" t="s">
        <v>19</v>
      </c>
      <c r="E813" s="465" t="s">
        <v>4082</v>
      </c>
      <c r="F813" s="448" t="s">
        <v>4082</v>
      </c>
      <c r="G813" s="473" t="s">
        <v>3974</v>
      </c>
      <c r="H813" s="439" t="s">
        <v>1084</v>
      </c>
      <c r="I813" s="474" t="s">
        <v>3458</v>
      </c>
      <c r="J813" s="474" t="s">
        <v>3463</v>
      </c>
      <c r="K813" s="443" t="s">
        <v>1085</v>
      </c>
      <c r="L813" s="471">
        <v>1</v>
      </c>
      <c r="M813" s="447" t="s">
        <v>1087</v>
      </c>
      <c r="N813" s="456">
        <v>2236</v>
      </c>
      <c r="O813" s="475">
        <f t="shared" si="3"/>
        <v>2236</v>
      </c>
      <c r="P813" s="476"/>
      <c r="Q813" s="477">
        <v>46023</v>
      </c>
      <c r="R813" s="476"/>
      <c r="S813" s="476"/>
    </row>
    <row r="814" spans="1:19" ht="15.75" customHeight="1" x14ac:dyDescent="0.25">
      <c r="A814" s="438">
        <v>811</v>
      </c>
      <c r="B814" s="470" t="s">
        <v>17</v>
      </c>
      <c r="C814" s="471" t="s">
        <v>18</v>
      </c>
      <c r="D814" s="472" t="s">
        <v>19</v>
      </c>
      <c r="E814" s="465" t="s">
        <v>4082</v>
      </c>
      <c r="F814" s="448" t="s">
        <v>4082</v>
      </c>
      <c r="G814" s="473" t="s">
        <v>3974</v>
      </c>
      <c r="H814" s="439" t="s">
        <v>1084</v>
      </c>
      <c r="I814" s="474" t="s">
        <v>3458</v>
      </c>
      <c r="J814" s="474" t="s">
        <v>3463</v>
      </c>
      <c r="K814" s="443" t="s">
        <v>1085</v>
      </c>
      <c r="L814" s="471">
        <v>1</v>
      </c>
      <c r="M814" s="447" t="s">
        <v>1088</v>
      </c>
      <c r="N814" s="456">
        <v>2236</v>
      </c>
      <c r="O814" s="475">
        <f t="shared" si="3"/>
        <v>2236</v>
      </c>
      <c r="P814" s="476"/>
      <c r="Q814" s="477">
        <v>46023</v>
      </c>
      <c r="R814" s="476"/>
      <c r="S814" s="476"/>
    </row>
    <row r="815" spans="1:19" ht="15.75" customHeight="1" x14ac:dyDescent="0.25">
      <c r="A815" s="438">
        <v>812</v>
      </c>
      <c r="B815" s="470" t="s">
        <v>17</v>
      </c>
      <c r="C815" s="471" t="s">
        <v>18</v>
      </c>
      <c r="D815" s="472" t="s">
        <v>19</v>
      </c>
      <c r="E815" s="465" t="s">
        <v>4082</v>
      </c>
      <c r="F815" s="448" t="s">
        <v>4082</v>
      </c>
      <c r="G815" s="473" t="s">
        <v>3965</v>
      </c>
      <c r="H815" s="439" t="s">
        <v>1089</v>
      </c>
      <c r="I815" s="474" t="s">
        <v>3458</v>
      </c>
      <c r="J815" s="474" t="s">
        <v>3463</v>
      </c>
      <c r="K815" s="443" t="s">
        <v>1034</v>
      </c>
      <c r="L815" s="471">
        <v>1</v>
      </c>
      <c r="M815" s="447" t="s">
        <v>1090</v>
      </c>
      <c r="N815" s="456">
        <v>10000</v>
      </c>
      <c r="O815" s="475">
        <f t="shared" si="3"/>
        <v>10000</v>
      </c>
      <c r="P815" s="476"/>
      <c r="Q815" s="477">
        <v>46023</v>
      </c>
      <c r="R815" s="476"/>
      <c r="S815" s="476"/>
    </row>
    <row r="816" spans="1:19" ht="15.75" customHeight="1" x14ac:dyDescent="0.25">
      <c r="A816" s="438">
        <v>813</v>
      </c>
      <c r="B816" s="470" t="s">
        <v>17</v>
      </c>
      <c r="C816" s="471" t="s">
        <v>18</v>
      </c>
      <c r="D816" s="472" t="s">
        <v>19</v>
      </c>
      <c r="E816" s="465" t="s">
        <v>4082</v>
      </c>
      <c r="F816" s="448" t="s">
        <v>4082</v>
      </c>
      <c r="G816" s="473" t="s">
        <v>3975</v>
      </c>
      <c r="H816" s="439" t="s">
        <v>1091</v>
      </c>
      <c r="I816" s="474" t="s">
        <v>3458</v>
      </c>
      <c r="J816" s="474" t="s">
        <v>3464</v>
      </c>
      <c r="K816" s="443" t="s">
        <v>1092</v>
      </c>
      <c r="L816" s="471">
        <v>1</v>
      </c>
      <c r="M816" s="447" t="s">
        <v>1093</v>
      </c>
      <c r="N816" s="456">
        <v>10000</v>
      </c>
      <c r="O816" s="475">
        <f t="shared" si="3"/>
        <v>10000</v>
      </c>
      <c r="P816" s="476"/>
      <c r="Q816" s="477">
        <v>46023</v>
      </c>
      <c r="R816" s="476"/>
      <c r="S816" s="476"/>
    </row>
    <row r="817" spans="1:19" ht="15.75" customHeight="1" x14ac:dyDescent="0.25">
      <c r="A817" s="438">
        <v>814</v>
      </c>
      <c r="B817" s="470" t="s">
        <v>17</v>
      </c>
      <c r="C817" s="471" t="s">
        <v>18</v>
      </c>
      <c r="D817" s="472" t="s">
        <v>19</v>
      </c>
      <c r="E817" s="465" t="s">
        <v>4081</v>
      </c>
      <c r="F817" s="448" t="s">
        <v>2989</v>
      </c>
      <c r="G817" s="473" t="s">
        <v>3965</v>
      </c>
      <c r="H817" s="439" t="s">
        <v>1089</v>
      </c>
      <c r="I817" s="474" t="s">
        <v>3458</v>
      </c>
      <c r="J817" s="474" t="s">
        <v>3463</v>
      </c>
      <c r="K817" s="443" t="s">
        <v>1034</v>
      </c>
      <c r="L817" s="471">
        <v>1</v>
      </c>
      <c r="M817" s="447" t="s">
        <v>1094</v>
      </c>
      <c r="N817" s="456">
        <v>12800</v>
      </c>
      <c r="O817" s="475">
        <f t="shared" si="3"/>
        <v>12800</v>
      </c>
      <c r="P817" s="476"/>
      <c r="Q817" s="477">
        <v>46023</v>
      </c>
      <c r="R817" s="476"/>
      <c r="S817" s="476"/>
    </row>
    <row r="818" spans="1:19" ht="15.75" customHeight="1" x14ac:dyDescent="0.25">
      <c r="A818" s="438">
        <v>815</v>
      </c>
      <c r="B818" s="470" t="s">
        <v>17</v>
      </c>
      <c r="C818" s="471" t="s">
        <v>18</v>
      </c>
      <c r="D818" s="472" t="s">
        <v>19</v>
      </c>
      <c r="E818" s="465" t="s">
        <v>4094</v>
      </c>
      <c r="F818" s="448" t="s">
        <v>4118</v>
      </c>
      <c r="G818" s="473" t="s">
        <v>3976</v>
      </c>
      <c r="H818" s="439" t="s">
        <v>1095</v>
      </c>
      <c r="I818" s="474" t="s">
        <v>3458</v>
      </c>
      <c r="J818" s="474" t="s">
        <v>3463</v>
      </c>
      <c r="K818" s="443" t="s">
        <v>1096</v>
      </c>
      <c r="L818" s="471">
        <v>1</v>
      </c>
      <c r="M818" s="447" t="s">
        <v>1097</v>
      </c>
      <c r="N818" s="456">
        <v>5400</v>
      </c>
      <c r="O818" s="475">
        <f t="shared" si="3"/>
        <v>5400</v>
      </c>
      <c r="P818" s="476"/>
      <c r="Q818" s="477">
        <v>46023</v>
      </c>
      <c r="R818" s="476"/>
      <c r="S818" s="476"/>
    </row>
    <row r="819" spans="1:19" ht="15.75" customHeight="1" x14ac:dyDescent="0.25">
      <c r="A819" s="438">
        <v>816</v>
      </c>
      <c r="B819" s="470" t="s">
        <v>17</v>
      </c>
      <c r="C819" s="471" t="s">
        <v>18</v>
      </c>
      <c r="D819" s="472" t="s">
        <v>19</v>
      </c>
      <c r="E819" s="465" t="s">
        <v>4094</v>
      </c>
      <c r="F819" s="448" t="s">
        <v>4118</v>
      </c>
      <c r="G819" s="473" t="s">
        <v>3972</v>
      </c>
      <c r="H819" s="439" t="s">
        <v>1098</v>
      </c>
      <c r="I819" s="474" t="s">
        <v>3458</v>
      </c>
      <c r="J819" s="474" t="s">
        <v>3463</v>
      </c>
      <c r="K819" s="443" t="s">
        <v>1065</v>
      </c>
      <c r="L819" s="471">
        <v>1</v>
      </c>
      <c r="M819" s="447" t="s">
        <v>1099</v>
      </c>
      <c r="N819" s="456">
        <v>33900</v>
      </c>
      <c r="O819" s="475">
        <f t="shared" si="3"/>
        <v>33900</v>
      </c>
      <c r="P819" s="476"/>
      <c r="Q819" s="477">
        <v>46023</v>
      </c>
      <c r="R819" s="476"/>
      <c r="S819" s="476"/>
    </row>
    <row r="820" spans="1:19" ht="15.75" customHeight="1" x14ac:dyDescent="0.25">
      <c r="A820" s="438">
        <v>817</v>
      </c>
      <c r="B820" s="470" t="s">
        <v>17</v>
      </c>
      <c r="C820" s="471" t="s">
        <v>18</v>
      </c>
      <c r="D820" s="472" t="s">
        <v>19</v>
      </c>
      <c r="E820" s="465" t="s">
        <v>4080</v>
      </c>
      <c r="F820" s="448" t="s">
        <v>4080</v>
      </c>
      <c r="G820" s="473" t="s">
        <v>3977</v>
      </c>
      <c r="H820" s="439" t="s">
        <v>1100</v>
      </c>
      <c r="I820" s="474" t="s">
        <v>3459</v>
      </c>
      <c r="J820" s="474" t="s">
        <v>3463</v>
      </c>
      <c r="K820" s="443" t="s">
        <v>1101</v>
      </c>
      <c r="L820" s="471">
        <v>1</v>
      </c>
      <c r="M820" s="447" t="s">
        <v>1102</v>
      </c>
      <c r="N820" s="456">
        <v>1500</v>
      </c>
      <c r="O820" s="475">
        <f t="shared" si="3"/>
        <v>1500</v>
      </c>
      <c r="P820" s="476"/>
      <c r="Q820" s="477">
        <v>46023</v>
      </c>
      <c r="R820" s="476"/>
      <c r="S820" s="476"/>
    </row>
    <row r="821" spans="1:19" ht="15.75" customHeight="1" x14ac:dyDescent="0.25">
      <c r="A821" s="438">
        <v>818</v>
      </c>
      <c r="B821" s="470" t="s">
        <v>17</v>
      </c>
      <c r="C821" s="471" t="s">
        <v>18</v>
      </c>
      <c r="D821" s="472" t="s">
        <v>19</v>
      </c>
      <c r="E821" s="465" t="s">
        <v>4088</v>
      </c>
      <c r="F821" s="448" t="s">
        <v>3025</v>
      </c>
      <c r="G821" s="473" t="s">
        <v>3977</v>
      </c>
      <c r="H821" s="439" t="s">
        <v>1100</v>
      </c>
      <c r="I821" s="474" t="s">
        <v>3459</v>
      </c>
      <c r="J821" s="474" t="s">
        <v>3463</v>
      </c>
      <c r="K821" s="443" t="s">
        <v>1101</v>
      </c>
      <c r="L821" s="471">
        <v>1</v>
      </c>
      <c r="M821" s="447" t="s">
        <v>1103</v>
      </c>
      <c r="N821" s="456">
        <v>1500</v>
      </c>
      <c r="O821" s="475">
        <f t="shared" si="3"/>
        <v>1500</v>
      </c>
      <c r="P821" s="476"/>
      <c r="Q821" s="477">
        <v>46023</v>
      </c>
      <c r="R821" s="476"/>
      <c r="S821" s="476"/>
    </row>
    <row r="822" spans="1:19" ht="15.75" customHeight="1" x14ac:dyDescent="0.25">
      <c r="A822" s="438">
        <v>819</v>
      </c>
      <c r="B822" s="470" t="s">
        <v>17</v>
      </c>
      <c r="C822" s="471" t="s">
        <v>18</v>
      </c>
      <c r="D822" s="472" t="s">
        <v>19</v>
      </c>
      <c r="E822" s="465" t="s">
        <v>4088</v>
      </c>
      <c r="F822" s="448" t="s">
        <v>3025</v>
      </c>
      <c r="G822" s="473" t="s">
        <v>3977</v>
      </c>
      <c r="H822" s="439" t="s">
        <v>1100</v>
      </c>
      <c r="I822" s="474" t="s">
        <v>3459</v>
      </c>
      <c r="J822" s="474" t="s">
        <v>3463</v>
      </c>
      <c r="K822" s="443" t="s">
        <v>1101</v>
      </c>
      <c r="L822" s="471">
        <v>1</v>
      </c>
      <c r="M822" s="447" t="s">
        <v>1104</v>
      </c>
      <c r="N822" s="456">
        <v>1500</v>
      </c>
      <c r="O822" s="475">
        <f t="shared" si="3"/>
        <v>1500</v>
      </c>
      <c r="P822" s="476"/>
      <c r="Q822" s="477">
        <v>46023</v>
      </c>
      <c r="R822" s="476"/>
      <c r="S822" s="476"/>
    </row>
    <row r="823" spans="1:19" ht="15.75" customHeight="1" x14ac:dyDescent="0.25">
      <c r="A823" s="438">
        <v>820</v>
      </c>
      <c r="B823" s="470" t="s">
        <v>17</v>
      </c>
      <c r="C823" s="471" t="s">
        <v>18</v>
      </c>
      <c r="D823" s="472" t="s">
        <v>19</v>
      </c>
      <c r="E823" s="465" t="s">
        <v>4088</v>
      </c>
      <c r="F823" s="448" t="s">
        <v>3025</v>
      </c>
      <c r="G823" s="473" t="s">
        <v>3977</v>
      </c>
      <c r="H823" s="439" t="s">
        <v>1100</v>
      </c>
      <c r="I823" s="474" t="s">
        <v>3459</v>
      </c>
      <c r="J823" s="474" t="s">
        <v>3463</v>
      </c>
      <c r="K823" s="443" t="s">
        <v>1101</v>
      </c>
      <c r="L823" s="471">
        <v>1</v>
      </c>
      <c r="M823" s="447" t="s">
        <v>1105</v>
      </c>
      <c r="N823" s="456">
        <v>1500</v>
      </c>
      <c r="O823" s="475">
        <f t="shared" si="3"/>
        <v>1500</v>
      </c>
      <c r="P823" s="476"/>
      <c r="Q823" s="477">
        <v>46023</v>
      </c>
      <c r="R823" s="476"/>
      <c r="S823" s="476"/>
    </row>
    <row r="824" spans="1:19" ht="15.75" customHeight="1" x14ac:dyDescent="0.25">
      <c r="A824" s="438">
        <v>821</v>
      </c>
      <c r="B824" s="470" t="s">
        <v>17</v>
      </c>
      <c r="C824" s="471" t="s">
        <v>18</v>
      </c>
      <c r="D824" s="472" t="s">
        <v>19</v>
      </c>
      <c r="E824" s="448" t="s">
        <v>4088</v>
      </c>
      <c r="F824" s="448" t="s">
        <v>3025</v>
      </c>
      <c r="G824" s="473" t="s">
        <v>3977</v>
      </c>
      <c r="H824" s="439" t="s">
        <v>1100</v>
      </c>
      <c r="I824" s="474" t="s">
        <v>3459</v>
      </c>
      <c r="J824" s="474" t="s">
        <v>3463</v>
      </c>
      <c r="K824" s="443" t="s">
        <v>1101</v>
      </c>
      <c r="L824" s="471">
        <v>1</v>
      </c>
      <c r="M824" s="447" t="s">
        <v>1106</v>
      </c>
      <c r="N824" s="456">
        <v>1500</v>
      </c>
      <c r="O824" s="475">
        <f t="shared" si="3"/>
        <v>1500</v>
      </c>
      <c r="P824" s="476"/>
      <c r="Q824" s="477">
        <v>46023</v>
      </c>
      <c r="R824" s="476"/>
      <c r="S824" s="476"/>
    </row>
    <row r="825" spans="1:19" ht="15.75" customHeight="1" x14ac:dyDescent="0.25">
      <c r="A825" s="438">
        <v>822</v>
      </c>
      <c r="B825" s="470" t="s">
        <v>17</v>
      </c>
      <c r="C825" s="471" t="s">
        <v>18</v>
      </c>
      <c r="D825" s="472" t="s">
        <v>19</v>
      </c>
      <c r="E825" s="448" t="s">
        <v>4088</v>
      </c>
      <c r="F825" s="448" t="s">
        <v>4104</v>
      </c>
      <c r="G825" s="473" t="s">
        <v>3977</v>
      </c>
      <c r="H825" s="439" t="s">
        <v>1100</v>
      </c>
      <c r="I825" s="474" t="s">
        <v>3459</v>
      </c>
      <c r="J825" s="474" t="s">
        <v>3463</v>
      </c>
      <c r="K825" s="443" t="s">
        <v>1101</v>
      </c>
      <c r="L825" s="471">
        <v>1</v>
      </c>
      <c r="M825" s="447" t="s">
        <v>1107</v>
      </c>
      <c r="N825" s="456">
        <v>1500</v>
      </c>
      <c r="O825" s="475">
        <f t="shared" si="3"/>
        <v>1500</v>
      </c>
      <c r="P825" s="476"/>
      <c r="Q825" s="477">
        <v>46023</v>
      </c>
      <c r="R825" s="476"/>
      <c r="S825" s="476"/>
    </row>
    <row r="826" spans="1:19" ht="15.75" customHeight="1" x14ac:dyDescent="0.25">
      <c r="A826" s="438">
        <v>823</v>
      </c>
      <c r="B826" s="470" t="s">
        <v>17</v>
      </c>
      <c r="C826" s="471" t="s">
        <v>18</v>
      </c>
      <c r="D826" s="472" t="s">
        <v>19</v>
      </c>
      <c r="E826" s="465" t="s">
        <v>4083</v>
      </c>
      <c r="F826" s="448" t="s">
        <v>2988</v>
      </c>
      <c r="G826" s="473" t="s">
        <v>3977</v>
      </c>
      <c r="H826" s="439" t="s">
        <v>1100</v>
      </c>
      <c r="I826" s="474" t="s">
        <v>3459</v>
      </c>
      <c r="J826" s="474" t="s">
        <v>3463</v>
      </c>
      <c r="K826" s="443" t="s">
        <v>1101</v>
      </c>
      <c r="L826" s="471">
        <v>1</v>
      </c>
      <c r="M826" s="447" t="s">
        <v>1108</v>
      </c>
      <c r="N826" s="456">
        <v>1500</v>
      </c>
      <c r="O826" s="475">
        <f t="shared" si="3"/>
        <v>1500</v>
      </c>
      <c r="P826" s="476"/>
      <c r="Q826" s="477">
        <v>46023</v>
      </c>
      <c r="R826" s="476"/>
      <c r="S826" s="476"/>
    </row>
    <row r="827" spans="1:19" ht="15.75" customHeight="1" x14ac:dyDescent="0.25">
      <c r="A827" s="438">
        <v>824</v>
      </c>
      <c r="B827" s="470" t="s">
        <v>17</v>
      </c>
      <c r="C827" s="471" t="s">
        <v>18</v>
      </c>
      <c r="D827" s="472" t="s">
        <v>19</v>
      </c>
      <c r="E827" s="448" t="s">
        <v>4083</v>
      </c>
      <c r="F827" s="448" t="s">
        <v>2988</v>
      </c>
      <c r="G827" s="473" t="s">
        <v>3977</v>
      </c>
      <c r="H827" s="439" t="s">
        <v>1100</v>
      </c>
      <c r="I827" s="474" t="s">
        <v>3459</v>
      </c>
      <c r="J827" s="474" t="s">
        <v>3463</v>
      </c>
      <c r="K827" s="443" t="s">
        <v>1101</v>
      </c>
      <c r="L827" s="471">
        <v>1</v>
      </c>
      <c r="M827" s="447" t="s">
        <v>1109</v>
      </c>
      <c r="N827" s="456">
        <v>1500</v>
      </c>
      <c r="O827" s="475">
        <f t="shared" si="3"/>
        <v>1500</v>
      </c>
      <c r="P827" s="476"/>
      <c r="Q827" s="477">
        <v>46023</v>
      </c>
      <c r="R827" s="476"/>
      <c r="S827" s="476"/>
    </row>
    <row r="828" spans="1:19" ht="15.75" customHeight="1" x14ac:dyDescent="0.25">
      <c r="A828" s="438">
        <v>825</v>
      </c>
      <c r="B828" s="470" t="s">
        <v>17</v>
      </c>
      <c r="C828" s="471" t="s">
        <v>18</v>
      </c>
      <c r="D828" s="472" t="s">
        <v>19</v>
      </c>
      <c r="E828" s="448" t="s">
        <v>4083</v>
      </c>
      <c r="F828" s="448" t="s">
        <v>2988</v>
      </c>
      <c r="G828" s="473" t="s">
        <v>3977</v>
      </c>
      <c r="H828" s="439" t="s">
        <v>1100</v>
      </c>
      <c r="I828" s="474" t="s">
        <v>3459</v>
      </c>
      <c r="J828" s="474" t="s">
        <v>3463</v>
      </c>
      <c r="K828" s="443" t="s">
        <v>1101</v>
      </c>
      <c r="L828" s="471">
        <v>1</v>
      </c>
      <c r="M828" s="447" t="s">
        <v>1110</v>
      </c>
      <c r="N828" s="455">
        <v>1500</v>
      </c>
      <c r="O828" s="475">
        <f t="shared" si="3"/>
        <v>1500</v>
      </c>
      <c r="P828" s="476"/>
      <c r="Q828" s="477">
        <v>46023</v>
      </c>
      <c r="R828" s="476"/>
      <c r="S828" s="476"/>
    </row>
    <row r="829" spans="1:19" ht="15.75" customHeight="1" x14ac:dyDescent="0.25">
      <c r="A829" s="438">
        <v>826</v>
      </c>
      <c r="B829" s="470" t="s">
        <v>17</v>
      </c>
      <c r="C829" s="471" t="s">
        <v>18</v>
      </c>
      <c r="D829" s="472" t="s">
        <v>19</v>
      </c>
      <c r="E829" s="448" t="s">
        <v>4083</v>
      </c>
      <c r="F829" s="448" t="s">
        <v>2988</v>
      </c>
      <c r="G829" s="473" t="s">
        <v>3977</v>
      </c>
      <c r="H829" s="439" t="s">
        <v>1100</v>
      </c>
      <c r="I829" s="474" t="s">
        <v>3459</v>
      </c>
      <c r="J829" s="474" t="s">
        <v>3463</v>
      </c>
      <c r="K829" s="443" t="s">
        <v>1101</v>
      </c>
      <c r="L829" s="471">
        <v>1</v>
      </c>
      <c r="M829" s="447" t="s">
        <v>1111</v>
      </c>
      <c r="N829" s="455">
        <v>1500</v>
      </c>
      <c r="O829" s="475">
        <f t="shared" si="3"/>
        <v>1500</v>
      </c>
      <c r="P829" s="476"/>
      <c r="Q829" s="477">
        <v>46023</v>
      </c>
      <c r="R829" s="476"/>
      <c r="S829" s="476"/>
    </row>
    <row r="830" spans="1:19" ht="15.75" customHeight="1" x14ac:dyDescent="0.25">
      <c r="A830" s="438">
        <v>827</v>
      </c>
      <c r="B830" s="470" t="s">
        <v>17</v>
      </c>
      <c r="C830" s="471" t="s">
        <v>18</v>
      </c>
      <c r="D830" s="472" t="s">
        <v>19</v>
      </c>
      <c r="E830" s="448" t="s">
        <v>4083</v>
      </c>
      <c r="F830" s="448" t="s">
        <v>2988</v>
      </c>
      <c r="G830" s="473" t="s">
        <v>3977</v>
      </c>
      <c r="H830" s="439" t="s">
        <v>1100</v>
      </c>
      <c r="I830" s="474" t="s">
        <v>3459</v>
      </c>
      <c r="J830" s="474" t="s">
        <v>3463</v>
      </c>
      <c r="K830" s="443" t="s">
        <v>1101</v>
      </c>
      <c r="L830" s="471">
        <v>1</v>
      </c>
      <c r="M830" s="447" t="s">
        <v>1112</v>
      </c>
      <c r="N830" s="455">
        <v>1500</v>
      </c>
      <c r="O830" s="475">
        <f t="shared" si="3"/>
        <v>1500</v>
      </c>
      <c r="P830" s="476"/>
      <c r="Q830" s="477">
        <v>46023</v>
      </c>
      <c r="R830" s="476"/>
      <c r="S830" s="476"/>
    </row>
    <row r="831" spans="1:19" ht="15.75" customHeight="1" x14ac:dyDescent="0.25">
      <c r="A831" s="438">
        <v>828</v>
      </c>
      <c r="B831" s="470" t="s">
        <v>17</v>
      </c>
      <c r="C831" s="471" t="s">
        <v>18</v>
      </c>
      <c r="D831" s="472" t="s">
        <v>19</v>
      </c>
      <c r="E831" s="448" t="s">
        <v>4083</v>
      </c>
      <c r="F831" s="448" t="s">
        <v>2988</v>
      </c>
      <c r="G831" s="473" t="s">
        <v>3977</v>
      </c>
      <c r="H831" s="439" t="s">
        <v>1100</v>
      </c>
      <c r="I831" s="474" t="s">
        <v>3459</v>
      </c>
      <c r="J831" s="474" t="s">
        <v>3463</v>
      </c>
      <c r="K831" s="443" t="s">
        <v>1101</v>
      </c>
      <c r="L831" s="471">
        <v>1</v>
      </c>
      <c r="M831" s="447" t="s">
        <v>1113</v>
      </c>
      <c r="N831" s="455">
        <v>1500</v>
      </c>
      <c r="O831" s="475">
        <f t="shared" si="3"/>
        <v>1500</v>
      </c>
      <c r="P831" s="476"/>
      <c r="Q831" s="477">
        <v>46023</v>
      </c>
      <c r="R831" s="476"/>
      <c r="S831" s="476"/>
    </row>
    <row r="832" spans="1:19" ht="15.75" customHeight="1" x14ac:dyDescent="0.25">
      <c r="A832" s="438">
        <v>829</v>
      </c>
      <c r="B832" s="470" t="s">
        <v>17</v>
      </c>
      <c r="C832" s="471" t="s">
        <v>18</v>
      </c>
      <c r="D832" s="472" t="s">
        <v>19</v>
      </c>
      <c r="E832" s="448" t="s">
        <v>4083</v>
      </c>
      <c r="F832" s="448" t="s">
        <v>4109</v>
      </c>
      <c r="G832" s="473" t="s">
        <v>3977</v>
      </c>
      <c r="H832" s="439" t="s">
        <v>1100</v>
      </c>
      <c r="I832" s="474" t="s">
        <v>3459</v>
      </c>
      <c r="J832" s="474" t="s">
        <v>3463</v>
      </c>
      <c r="K832" s="443" t="s">
        <v>1101</v>
      </c>
      <c r="L832" s="471">
        <v>1</v>
      </c>
      <c r="M832" s="447" t="s">
        <v>1114</v>
      </c>
      <c r="N832" s="455">
        <v>1500</v>
      </c>
      <c r="O832" s="475">
        <f t="shared" si="3"/>
        <v>1500</v>
      </c>
      <c r="P832" s="476"/>
      <c r="Q832" s="477">
        <v>46023</v>
      </c>
      <c r="R832" s="476"/>
      <c r="S832" s="476"/>
    </row>
    <row r="833" spans="1:19" ht="15.75" customHeight="1" x14ac:dyDescent="0.25">
      <c r="A833" s="438">
        <v>830</v>
      </c>
      <c r="B833" s="470" t="s">
        <v>17</v>
      </c>
      <c r="C833" s="471" t="s">
        <v>18</v>
      </c>
      <c r="D833" s="472" t="s">
        <v>19</v>
      </c>
      <c r="E833" s="448" t="s">
        <v>4088</v>
      </c>
      <c r="F833" s="448" t="s">
        <v>3049</v>
      </c>
      <c r="G833" s="473" t="s">
        <v>3977</v>
      </c>
      <c r="H833" s="439" t="s">
        <v>1100</v>
      </c>
      <c r="I833" s="474" t="s">
        <v>3459</v>
      </c>
      <c r="J833" s="474" t="s">
        <v>3463</v>
      </c>
      <c r="K833" s="443" t="s">
        <v>1101</v>
      </c>
      <c r="L833" s="471">
        <v>1</v>
      </c>
      <c r="M833" s="447" t="s">
        <v>1115</v>
      </c>
      <c r="N833" s="455">
        <v>1500</v>
      </c>
      <c r="O833" s="475">
        <f t="shared" si="3"/>
        <v>1500</v>
      </c>
      <c r="P833" s="476"/>
      <c r="Q833" s="477">
        <v>46023</v>
      </c>
      <c r="R833" s="476"/>
      <c r="S833" s="476"/>
    </row>
    <row r="834" spans="1:19" ht="15.75" customHeight="1" x14ac:dyDescent="0.25">
      <c r="A834" s="438">
        <v>831</v>
      </c>
      <c r="B834" s="470" t="s">
        <v>17</v>
      </c>
      <c r="C834" s="471" t="s">
        <v>18</v>
      </c>
      <c r="D834" s="472" t="s">
        <v>19</v>
      </c>
      <c r="E834" s="448" t="s">
        <v>4088</v>
      </c>
      <c r="F834" s="448" t="s">
        <v>4106</v>
      </c>
      <c r="G834" s="473" t="s">
        <v>3977</v>
      </c>
      <c r="H834" s="439" t="s">
        <v>1100</v>
      </c>
      <c r="I834" s="474" t="s">
        <v>3459</v>
      </c>
      <c r="J834" s="474" t="s">
        <v>3463</v>
      </c>
      <c r="K834" s="443" t="s">
        <v>1101</v>
      </c>
      <c r="L834" s="471">
        <v>1</v>
      </c>
      <c r="M834" s="447" t="s">
        <v>1116</v>
      </c>
      <c r="N834" s="455">
        <v>1500</v>
      </c>
      <c r="O834" s="475">
        <f t="shared" si="3"/>
        <v>1500</v>
      </c>
      <c r="P834" s="476"/>
      <c r="Q834" s="477">
        <v>46023</v>
      </c>
      <c r="R834" s="476"/>
      <c r="S834" s="476"/>
    </row>
    <row r="835" spans="1:19" ht="15.75" customHeight="1" x14ac:dyDescent="0.25">
      <c r="A835" s="438">
        <v>832</v>
      </c>
      <c r="B835" s="470" t="s">
        <v>17</v>
      </c>
      <c r="C835" s="471" t="s">
        <v>18</v>
      </c>
      <c r="D835" s="472" t="s">
        <v>19</v>
      </c>
      <c r="E835" s="448" t="s">
        <v>4082</v>
      </c>
      <c r="F835" s="448" t="s">
        <v>4082</v>
      </c>
      <c r="G835" s="473" t="s">
        <v>3978</v>
      </c>
      <c r="H835" s="439" t="s">
        <v>1117</v>
      </c>
      <c r="I835" s="474" t="s">
        <v>3458</v>
      </c>
      <c r="J835" s="474" t="s">
        <v>3463</v>
      </c>
      <c r="K835" s="443" t="s">
        <v>1118</v>
      </c>
      <c r="L835" s="471">
        <v>1</v>
      </c>
      <c r="M835" s="447" t="s">
        <v>1119</v>
      </c>
      <c r="N835" s="456">
        <v>7200</v>
      </c>
      <c r="O835" s="475">
        <f t="shared" si="3"/>
        <v>7200</v>
      </c>
      <c r="P835" s="476"/>
      <c r="Q835" s="477">
        <v>46023</v>
      </c>
      <c r="R835" s="476"/>
      <c r="S835" s="476"/>
    </row>
    <row r="836" spans="1:19" ht="15.75" customHeight="1" x14ac:dyDescent="0.25">
      <c r="A836" s="438">
        <v>833</v>
      </c>
      <c r="B836" s="470" t="s">
        <v>17</v>
      </c>
      <c r="C836" s="471" t="s">
        <v>18</v>
      </c>
      <c r="D836" s="472" t="s">
        <v>19</v>
      </c>
      <c r="E836" s="448" t="s">
        <v>4082</v>
      </c>
      <c r="F836" s="448" t="s">
        <v>4082</v>
      </c>
      <c r="G836" s="473" t="s">
        <v>3978</v>
      </c>
      <c r="H836" s="439" t="s">
        <v>1117</v>
      </c>
      <c r="I836" s="474" t="s">
        <v>3458</v>
      </c>
      <c r="J836" s="474" t="s">
        <v>3463</v>
      </c>
      <c r="K836" s="443" t="s">
        <v>1118</v>
      </c>
      <c r="L836" s="471">
        <v>1</v>
      </c>
      <c r="M836" s="447" t="s">
        <v>1120</v>
      </c>
      <c r="N836" s="456">
        <v>7200</v>
      </c>
      <c r="O836" s="475">
        <f t="shared" si="3"/>
        <v>7200</v>
      </c>
      <c r="P836" s="476"/>
      <c r="Q836" s="477">
        <v>46023</v>
      </c>
      <c r="R836" s="476"/>
      <c r="S836" s="476"/>
    </row>
    <row r="837" spans="1:19" ht="15.75" customHeight="1" x14ac:dyDescent="0.25">
      <c r="A837" s="438">
        <v>834</v>
      </c>
      <c r="B837" s="470" t="s">
        <v>17</v>
      </c>
      <c r="C837" s="471" t="s">
        <v>18</v>
      </c>
      <c r="D837" s="472" t="s">
        <v>19</v>
      </c>
      <c r="E837" s="448" t="s">
        <v>4082</v>
      </c>
      <c r="F837" s="448" t="s">
        <v>4082</v>
      </c>
      <c r="G837" s="473" t="s">
        <v>3978</v>
      </c>
      <c r="H837" s="439" t="s">
        <v>1117</v>
      </c>
      <c r="I837" s="474" t="s">
        <v>3458</v>
      </c>
      <c r="J837" s="474" t="s">
        <v>3463</v>
      </c>
      <c r="K837" s="443" t="s">
        <v>1118</v>
      </c>
      <c r="L837" s="471">
        <v>1</v>
      </c>
      <c r="M837" s="447" t="s">
        <v>1121</v>
      </c>
      <c r="N837" s="456">
        <v>7200</v>
      </c>
      <c r="O837" s="475">
        <f t="shared" si="3"/>
        <v>7200</v>
      </c>
      <c r="P837" s="476"/>
      <c r="Q837" s="477">
        <v>46023</v>
      </c>
      <c r="R837" s="476"/>
      <c r="S837" s="476"/>
    </row>
    <row r="838" spans="1:19" ht="15.75" customHeight="1" x14ac:dyDescent="0.25">
      <c r="A838" s="438">
        <v>835</v>
      </c>
      <c r="B838" s="470" t="s">
        <v>17</v>
      </c>
      <c r="C838" s="471" t="s">
        <v>18</v>
      </c>
      <c r="D838" s="472" t="s">
        <v>19</v>
      </c>
      <c r="E838" s="448" t="s">
        <v>4082</v>
      </c>
      <c r="F838" s="448" t="s">
        <v>4082</v>
      </c>
      <c r="G838" s="473" t="s">
        <v>3978</v>
      </c>
      <c r="H838" s="439" t="s">
        <v>1117</v>
      </c>
      <c r="I838" s="474" t="s">
        <v>3458</v>
      </c>
      <c r="J838" s="474" t="s">
        <v>3463</v>
      </c>
      <c r="K838" s="443" t="s">
        <v>1118</v>
      </c>
      <c r="L838" s="471">
        <v>1</v>
      </c>
      <c r="M838" s="447" t="s">
        <v>1122</v>
      </c>
      <c r="N838" s="456">
        <v>7200</v>
      </c>
      <c r="O838" s="475">
        <f t="shared" si="3"/>
        <v>7200</v>
      </c>
      <c r="P838" s="476"/>
      <c r="Q838" s="477">
        <v>46023</v>
      </c>
      <c r="R838" s="476"/>
      <c r="S838" s="476"/>
    </row>
    <row r="839" spans="1:19" ht="15.75" customHeight="1" x14ac:dyDescent="0.25">
      <c r="A839" s="438">
        <v>836</v>
      </c>
      <c r="B839" s="470" t="s">
        <v>17</v>
      </c>
      <c r="C839" s="471" t="s">
        <v>18</v>
      </c>
      <c r="D839" s="472" t="s">
        <v>19</v>
      </c>
      <c r="E839" s="448" t="s">
        <v>4082</v>
      </c>
      <c r="F839" s="448" t="s">
        <v>4082</v>
      </c>
      <c r="G839" s="473" t="s">
        <v>3978</v>
      </c>
      <c r="H839" s="439" t="s">
        <v>1117</v>
      </c>
      <c r="I839" s="474" t="s">
        <v>3458</v>
      </c>
      <c r="J839" s="474" t="s">
        <v>3463</v>
      </c>
      <c r="K839" s="443" t="s">
        <v>1118</v>
      </c>
      <c r="L839" s="471">
        <v>1</v>
      </c>
      <c r="M839" s="447" t="s">
        <v>1123</v>
      </c>
      <c r="N839" s="456">
        <v>7200</v>
      </c>
      <c r="O839" s="475">
        <f t="shared" si="3"/>
        <v>7200</v>
      </c>
      <c r="P839" s="476"/>
      <c r="Q839" s="477">
        <v>46023</v>
      </c>
      <c r="R839" s="476"/>
      <c r="S839" s="476"/>
    </row>
    <row r="840" spans="1:19" ht="15.75" customHeight="1" x14ac:dyDescent="0.25">
      <c r="A840" s="438">
        <v>837</v>
      </c>
      <c r="B840" s="470" t="s">
        <v>17</v>
      </c>
      <c r="C840" s="471" t="s">
        <v>18</v>
      </c>
      <c r="D840" s="472" t="s">
        <v>19</v>
      </c>
      <c r="E840" s="448" t="s">
        <v>4092</v>
      </c>
      <c r="F840" s="448" t="s">
        <v>4092</v>
      </c>
      <c r="G840" s="473" t="s">
        <v>3977</v>
      </c>
      <c r="H840" s="439" t="s">
        <v>1124</v>
      </c>
      <c r="I840" s="474" t="s">
        <v>3459</v>
      </c>
      <c r="J840" s="474" t="s">
        <v>3463</v>
      </c>
      <c r="K840" s="443" t="s">
        <v>1101</v>
      </c>
      <c r="L840" s="471">
        <v>1</v>
      </c>
      <c r="M840" s="447" t="s">
        <v>1125</v>
      </c>
      <c r="N840" s="456">
        <v>800</v>
      </c>
      <c r="O840" s="475">
        <f t="shared" si="3"/>
        <v>800</v>
      </c>
      <c r="P840" s="476"/>
      <c r="Q840" s="477">
        <v>46023</v>
      </c>
      <c r="R840" s="476"/>
      <c r="S840" s="476"/>
    </row>
    <row r="841" spans="1:19" ht="15.75" customHeight="1" x14ac:dyDescent="0.25">
      <c r="A841" s="438">
        <v>838</v>
      </c>
      <c r="B841" s="470" t="s">
        <v>17</v>
      </c>
      <c r="C841" s="471" t="s">
        <v>18</v>
      </c>
      <c r="D841" s="472" t="s">
        <v>19</v>
      </c>
      <c r="E841" s="448" t="s">
        <v>4082</v>
      </c>
      <c r="F841" s="448" t="s">
        <v>4082</v>
      </c>
      <c r="G841" s="473" t="s">
        <v>3971</v>
      </c>
      <c r="H841" s="439" t="s">
        <v>1126</v>
      </c>
      <c r="I841" s="474" t="s">
        <v>3458</v>
      </c>
      <c r="J841" s="474" t="s">
        <v>3464</v>
      </c>
      <c r="K841" s="443" t="s">
        <v>1060</v>
      </c>
      <c r="L841" s="471">
        <v>1</v>
      </c>
      <c r="M841" s="447" t="s">
        <v>3505</v>
      </c>
      <c r="N841" s="456">
        <v>4000</v>
      </c>
      <c r="O841" s="475">
        <f t="shared" si="3"/>
        <v>4000</v>
      </c>
      <c r="P841" s="476"/>
      <c r="Q841" s="477">
        <v>46023</v>
      </c>
      <c r="R841" s="476"/>
      <c r="S841" s="476"/>
    </row>
    <row r="842" spans="1:19" ht="15.75" customHeight="1" x14ac:dyDescent="0.25">
      <c r="A842" s="438">
        <v>839</v>
      </c>
      <c r="B842" s="470" t="s">
        <v>17</v>
      </c>
      <c r="C842" s="471" t="s">
        <v>18</v>
      </c>
      <c r="D842" s="472" t="s">
        <v>19</v>
      </c>
      <c r="E842" s="448" t="s">
        <v>4082</v>
      </c>
      <c r="F842" s="448" t="s">
        <v>4082</v>
      </c>
      <c r="G842" s="473" t="s">
        <v>3971</v>
      </c>
      <c r="H842" s="439" t="s">
        <v>1126</v>
      </c>
      <c r="I842" s="474" t="s">
        <v>3458</v>
      </c>
      <c r="J842" s="474" t="s">
        <v>3464</v>
      </c>
      <c r="K842" s="443" t="s">
        <v>1060</v>
      </c>
      <c r="L842" s="471">
        <v>1</v>
      </c>
      <c r="M842" s="447" t="s">
        <v>3506</v>
      </c>
      <c r="N842" s="456">
        <v>4000</v>
      </c>
      <c r="O842" s="475">
        <f t="shared" si="3"/>
        <v>4000</v>
      </c>
      <c r="P842" s="476"/>
      <c r="Q842" s="477">
        <v>46023</v>
      </c>
      <c r="R842" s="476"/>
      <c r="S842" s="476"/>
    </row>
    <row r="843" spans="1:19" ht="15.75" customHeight="1" x14ac:dyDescent="0.25">
      <c r="A843" s="438">
        <v>840</v>
      </c>
      <c r="B843" s="470" t="s">
        <v>17</v>
      </c>
      <c r="C843" s="471" t="s">
        <v>18</v>
      </c>
      <c r="D843" s="472" t="s">
        <v>19</v>
      </c>
      <c r="E843" s="448" t="s">
        <v>4082</v>
      </c>
      <c r="F843" s="448" t="s">
        <v>4082</v>
      </c>
      <c r="G843" s="473" t="s">
        <v>3971</v>
      </c>
      <c r="H843" s="439" t="s">
        <v>1127</v>
      </c>
      <c r="I843" s="474" t="s">
        <v>3458</v>
      </c>
      <c r="J843" s="474" t="s">
        <v>3464</v>
      </c>
      <c r="K843" s="443" t="s">
        <v>1060</v>
      </c>
      <c r="L843" s="471">
        <v>1</v>
      </c>
      <c r="M843" s="447" t="s">
        <v>1128</v>
      </c>
      <c r="N843" s="456">
        <v>3000</v>
      </c>
      <c r="O843" s="475">
        <f t="shared" si="3"/>
        <v>3000</v>
      </c>
      <c r="P843" s="476"/>
      <c r="Q843" s="477">
        <v>46023</v>
      </c>
      <c r="R843" s="476"/>
      <c r="S843" s="476"/>
    </row>
    <row r="844" spans="1:19" ht="15.75" customHeight="1" x14ac:dyDescent="0.25">
      <c r="A844" s="438">
        <v>841</v>
      </c>
      <c r="B844" s="470" t="s">
        <v>17</v>
      </c>
      <c r="C844" s="471" t="s">
        <v>18</v>
      </c>
      <c r="D844" s="472" t="s">
        <v>19</v>
      </c>
      <c r="E844" s="448" t="s">
        <v>4082</v>
      </c>
      <c r="F844" s="448" t="s">
        <v>4082</v>
      </c>
      <c r="G844" s="473" t="s">
        <v>3979</v>
      </c>
      <c r="H844" s="439" t="s">
        <v>1129</v>
      </c>
      <c r="I844" s="474" t="s">
        <v>3458</v>
      </c>
      <c r="J844" s="474" t="s">
        <v>3463</v>
      </c>
      <c r="K844" s="443" t="s">
        <v>1130</v>
      </c>
      <c r="L844" s="471">
        <v>1</v>
      </c>
      <c r="M844" s="447" t="s">
        <v>1131</v>
      </c>
      <c r="N844" s="456">
        <v>34000</v>
      </c>
      <c r="O844" s="475">
        <f t="shared" si="3"/>
        <v>34000</v>
      </c>
      <c r="P844" s="476"/>
      <c r="Q844" s="477">
        <v>46023</v>
      </c>
      <c r="R844" s="476"/>
      <c r="S844" s="476"/>
    </row>
    <row r="845" spans="1:19" ht="15.75" customHeight="1" x14ac:dyDescent="0.25">
      <c r="A845" s="438">
        <v>842</v>
      </c>
      <c r="B845" s="470" t="s">
        <v>17</v>
      </c>
      <c r="C845" s="471" t="s">
        <v>18</v>
      </c>
      <c r="D845" s="472" t="s">
        <v>19</v>
      </c>
      <c r="E845" s="448" t="s">
        <v>4082</v>
      </c>
      <c r="F845" s="448" t="s">
        <v>4082</v>
      </c>
      <c r="G845" s="473" t="s">
        <v>3979</v>
      </c>
      <c r="H845" s="439" t="s">
        <v>1132</v>
      </c>
      <c r="I845" s="474" t="s">
        <v>3458</v>
      </c>
      <c r="J845" s="474" t="s">
        <v>3463</v>
      </c>
      <c r="K845" s="443" t="s">
        <v>1130</v>
      </c>
      <c r="L845" s="471">
        <v>1</v>
      </c>
      <c r="M845" s="447" t="s">
        <v>1133</v>
      </c>
      <c r="N845" s="456">
        <v>9880</v>
      </c>
      <c r="O845" s="475">
        <f t="shared" si="3"/>
        <v>9880</v>
      </c>
      <c r="P845" s="476"/>
      <c r="Q845" s="477">
        <v>46023</v>
      </c>
      <c r="R845" s="476"/>
      <c r="S845" s="476"/>
    </row>
    <row r="846" spans="1:19" ht="15.75" customHeight="1" x14ac:dyDescent="0.25">
      <c r="A846" s="438">
        <v>843</v>
      </c>
      <c r="B846" s="470" t="s">
        <v>17</v>
      </c>
      <c r="C846" s="471" t="s">
        <v>18</v>
      </c>
      <c r="D846" s="472" t="s">
        <v>19</v>
      </c>
      <c r="E846" s="448" t="s">
        <v>4094</v>
      </c>
      <c r="F846" s="448" t="s">
        <v>4118</v>
      </c>
      <c r="G846" s="473" t="s">
        <v>3979</v>
      </c>
      <c r="H846" s="439" t="s">
        <v>1132</v>
      </c>
      <c r="I846" s="474" t="s">
        <v>3458</v>
      </c>
      <c r="J846" s="474" t="s">
        <v>3463</v>
      </c>
      <c r="K846" s="443" t="s">
        <v>1130</v>
      </c>
      <c r="L846" s="471">
        <v>1</v>
      </c>
      <c r="M846" s="447" t="s">
        <v>1133</v>
      </c>
      <c r="N846" s="456">
        <v>15200</v>
      </c>
      <c r="O846" s="475">
        <f t="shared" si="3"/>
        <v>15200</v>
      </c>
      <c r="P846" s="476"/>
      <c r="Q846" s="477">
        <v>46023</v>
      </c>
      <c r="R846" s="476"/>
      <c r="S846" s="476"/>
    </row>
    <row r="847" spans="1:19" ht="15.75" customHeight="1" x14ac:dyDescent="0.25">
      <c r="A847" s="438">
        <v>844</v>
      </c>
      <c r="B847" s="470" t="s">
        <v>17</v>
      </c>
      <c r="C847" s="471" t="s">
        <v>18</v>
      </c>
      <c r="D847" s="472" t="s">
        <v>19</v>
      </c>
      <c r="E847" s="448" t="s">
        <v>4082</v>
      </c>
      <c r="F847" s="448" t="s">
        <v>4082</v>
      </c>
      <c r="G847" s="473" t="s">
        <v>3979</v>
      </c>
      <c r="H847" s="439" t="s">
        <v>1129</v>
      </c>
      <c r="I847" s="474" t="s">
        <v>3458</v>
      </c>
      <c r="J847" s="474" t="s">
        <v>3463</v>
      </c>
      <c r="K847" s="443" t="s">
        <v>1130</v>
      </c>
      <c r="L847" s="471">
        <v>1</v>
      </c>
      <c r="M847" s="447" t="s">
        <v>1134</v>
      </c>
      <c r="N847" s="456">
        <v>24000</v>
      </c>
      <c r="O847" s="475">
        <f t="shared" si="3"/>
        <v>24000</v>
      </c>
      <c r="P847" s="476"/>
      <c r="Q847" s="477">
        <v>46023</v>
      </c>
      <c r="R847" s="476"/>
      <c r="S847" s="476"/>
    </row>
    <row r="848" spans="1:19" ht="15.75" customHeight="1" x14ac:dyDescent="0.25">
      <c r="A848" s="438">
        <v>845</v>
      </c>
      <c r="B848" s="470" t="s">
        <v>17</v>
      </c>
      <c r="C848" s="471" t="s">
        <v>18</v>
      </c>
      <c r="D848" s="472" t="s">
        <v>19</v>
      </c>
      <c r="E848" s="448" t="s">
        <v>4088</v>
      </c>
      <c r="F848" s="448" t="s">
        <v>3049</v>
      </c>
      <c r="G848" s="473" t="s">
        <v>3980</v>
      </c>
      <c r="H848" s="439" t="s">
        <v>1135</v>
      </c>
      <c r="I848" s="474" t="s">
        <v>3459</v>
      </c>
      <c r="J848" s="474" t="s">
        <v>3464</v>
      </c>
      <c r="K848" s="443" t="s">
        <v>1136</v>
      </c>
      <c r="L848" s="471">
        <v>1</v>
      </c>
      <c r="M848" s="447" t="s">
        <v>1137</v>
      </c>
      <c r="N848" s="456">
        <v>6957.6</v>
      </c>
      <c r="O848" s="475">
        <f t="shared" si="3"/>
        <v>6957.6</v>
      </c>
      <c r="P848" s="476"/>
      <c r="Q848" s="477">
        <v>46023</v>
      </c>
      <c r="R848" s="476"/>
      <c r="S848" s="476"/>
    </row>
    <row r="849" spans="1:19" ht="15.75" customHeight="1" x14ac:dyDescent="0.25">
      <c r="A849" s="438">
        <v>846</v>
      </c>
      <c r="B849" s="470" t="s">
        <v>17</v>
      </c>
      <c r="C849" s="471" t="s">
        <v>18</v>
      </c>
      <c r="D849" s="472" t="s">
        <v>19</v>
      </c>
      <c r="E849" s="448" t="s">
        <v>4088</v>
      </c>
      <c r="F849" s="448" t="s">
        <v>4106</v>
      </c>
      <c r="G849" s="473" t="s">
        <v>3980</v>
      </c>
      <c r="H849" s="439" t="s">
        <v>1135</v>
      </c>
      <c r="I849" s="474" t="s">
        <v>3459</v>
      </c>
      <c r="J849" s="474" t="s">
        <v>3464</v>
      </c>
      <c r="K849" s="443" t="s">
        <v>1136</v>
      </c>
      <c r="L849" s="471">
        <v>1</v>
      </c>
      <c r="M849" s="447" t="s">
        <v>1138</v>
      </c>
      <c r="N849" s="456">
        <v>6957.6</v>
      </c>
      <c r="O849" s="475">
        <f t="shared" si="3"/>
        <v>6957.6</v>
      </c>
      <c r="P849" s="476"/>
      <c r="Q849" s="477">
        <v>46023</v>
      </c>
      <c r="R849" s="476"/>
      <c r="S849" s="476"/>
    </row>
    <row r="850" spans="1:19" ht="15.75" customHeight="1" x14ac:dyDescent="0.25">
      <c r="A850" s="438">
        <v>847</v>
      </c>
      <c r="B850" s="470" t="s">
        <v>17</v>
      </c>
      <c r="C850" s="471" t="s">
        <v>18</v>
      </c>
      <c r="D850" s="472" t="s">
        <v>19</v>
      </c>
      <c r="E850" s="448" t="s">
        <v>4083</v>
      </c>
      <c r="F850" s="448" t="s">
        <v>2988</v>
      </c>
      <c r="G850" s="473" t="s">
        <v>3980</v>
      </c>
      <c r="H850" s="439" t="s">
        <v>1135</v>
      </c>
      <c r="I850" s="474" t="s">
        <v>3459</v>
      </c>
      <c r="J850" s="474" t="s">
        <v>3464</v>
      </c>
      <c r="K850" s="443" t="s">
        <v>1136</v>
      </c>
      <c r="L850" s="471">
        <v>1</v>
      </c>
      <c r="M850" s="447" t="s">
        <v>1139</v>
      </c>
      <c r="N850" s="456">
        <v>6957.6</v>
      </c>
      <c r="O850" s="475">
        <f t="shared" si="3"/>
        <v>6957.6</v>
      </c>
      <c r="P850" s="476"/>
      <c r="Q850" s="477">
        <v>46023</v>
      </c>
      <c r="R850" s="476"/>
      <c r="S850" s="476"/>
    </row>
    <row r="851" spans="1:19" ht="15.75" customHeight="1" x14ac:dyDescent="0.25">
      <c r="A851" s="438">
        <v>848</v>
      </c>
      <c r="B851" s="470" t="s">
        <v>17</v>
      </c>
      <c r="C851" s="471" t="s">
        <v>18</v>
      </c>
      <c r="D851" s="472" t="s">
        <v>19</v>
      </c>
      <c r="E851" s="448" t="s">
        <v>4083</v>
      </c>
      <c r="F851" s="448" t="s">
        <v>2988</v>
      </c>
      <c r="G851" s="473" t="s">
        <v>3980</v>
      </c>
      <c r="H851" s="439" t="s">
        <v>1135</v>
      </c>
      <c r="I851" s="474" t="s">
        <v>3459</v>
      </c>
      <c r="J851" s="474" t="s">
        <v>3464</v>
      </c>
      <c r="K851" s="443" t="s">
        <v>1136</v>
      </c>
      <c r="L851" s="471">
        <v>1</v>
      </c>
      <c r="M851" s="447" t="s">
        <v>1140</v>
      </c>
      <c r="N851" s="456">
        <v>6957.6</v>
      </c>
      <c r="O851" s="475">
        <f t="shared" si="3"/>
        <v>6957.6</v>
      </c>
      <c r="P851" s="476"/>
      <c r="Q851" s="477">
        <v>46023</v>
      </c>
      <c r="R851" s="476"/>
      <c r="S851" s="476"/>
    </row>
    <row r="852" spans="1:19" ht="15.75" customHeight="1" x14ac:dyDescent="0.25">
      <c r="A852" s="438">
        <v>849</v>
      </c>
      <c r="B852" s="470" t="s">
        <v>17</v>
      </c>
      <c r="C852" s="471" t="s">
        <v>18</v>
      </c>
      <c r="D852" s="472" t="s">
        <v>19</v>
      </c>
      <c r="E852" s="448" t="s">
        <v>4083</v>
      </c>
      <c r="F852" s="448" t="s">
        <v>2988</v>
      </c>
      <c r="G852" s="473" t="s">
        <v>3980</v>
      </c>
      <c r="H852" s="439" t="s">
        <v>1135</v>
      </c>
      <c r="I852" s="474" t="s">
        <v>3459</v>
      </c>
      <c r="J852" s="474" t="s">
        <v>3464</v>
      </c>
      <c r="K852" s="443" t="s">
        <v>1136</v>
      </c>
      <c r="L852" s="471">
        <v>1</v>
      </c>
      <c r="M852" s="447" t="s">
        <v>1141</v>
      </c>
      <c r="N852" s="456">
        <v>6957.6</v>
      </c>
      <c r="O852" s="475">
        <f t="shared" si="3"/>
        <v>6957.6</v>
      </c>
      <c r="P852" s="476"/>
      <c r="Q852" s="477">
        <v>46023</v>
      </c>
      <c r="R852" s="476"/>
      <c r="S852" s="476"/>
    </row>
    <row r="853" spans="1:19" ht="15.75" customHeight="1" x14ac:dyDescent="0.25">
      <c r="A853" s="438">
        <v>850</v>
      </c>
      <c r="B853" s="470" t="s">
        <v>17</v>
      </c>
      <c r="C853" s="471" t="s">
        <v>18</v>
      </c>
      <c r="D853" s="472" t="s">
        <v>19</v>
      </c>
      <c r="E853" s="448" t="s">
        <v>4083</v>
      </c>
      <c r="F853" s="448" t="s">
        <v>2988</v>
      </c>
      <c r="G853" s="473" t="s">
        <v>3980</v>
      </c>
      <c r="H853" s="439" t="s">
        <v>1135</v>
      </c>
      <c r="I853" s="474" t="s">
        <v>3459</v>
      </c>
      <c r="J853" s="474" t="s">
        <v>3464</v>
      </c>
      <c r="K853" s="443" t="s">
        <v>1136</v>
      </c>
      <c r="L853" s="471">
        <v>1</v>
      </c>
      <c r="M853" s="447" t="s">
        <v>1142</v>
      </c>
      <c r="N853" s="456">
        <v>8000</v>
      </c>
      <c r="O853" s="475">
        <f t="shared" si="3"/>
        <v>8000</v>
      </c>
      <c r="P853" s="476"/>
      <c r="Q853" s="477">
        <v>46023</v>
      </c>
      <c r="R853" s="476"/>
      <c r="S853" s="476"/>
    </row>
    <row r="854" spans="1:19" ht="15.75" customHeight="1" x14ac:dyDescent="0.25">
      <c r="A854" s="438">
        <v>851</v>
      </c>
      <c r="B854" s="470" t="s">
        <v>17</v>
      </c>
      <c r="C854" s="471" t="s">
        <v>18</v>
      </c>
      <c r="D854" s="472" t="s">
        <v>19</v>
      </c>
      <c r="E854" s="448" t="s">
        <v>4083</v>
      </c>
      <c r="F854" s="448" t="s">
        <v>2988</v>
      </c>
      <c r="G854" s="473" t="s">
        <v>3980</v>
      </c>
      <c r="H854" s="439" t="s">
        <v>1135</v>
      </c>
      <c r="I854" s="474" t="s">
        <v>3459</v>
      </c>
      <c r="J854" s="474" t="s">
        <v>3464</v>
      </c>
      <c r="K854" s="443" t="s">
        <v>1136</v>
      </c>
      <c r="L854" s="471">
        <v>1</v>
      </c>
      <c r="M854" s="447" t="s">
        <v>1143</v>
      </c>
      <c r="N854" s="456">
        <v>8000</v>
      </c>
      <c r="O854" s="475">
        <f t="shared" si="3"/>
        <v>8000</v>
      </c>
      <c r="P854" s="476"/>
      <c r="Q854" s="477">
        <v>46023</v>
      </c>
      <c r="R854" s="476"/>
      <c r="S854" s="476"/>
    </row>
    <row r="855" spans="1:19" ht="15.75" customHeight="1" x14ac:dyDescent="0.25">
      <c r="A855" s="438">
        <v>852</v>
      </c>
      <c r="B855" s="470" t="s">
        <v>17</v>
      </c>
      <c r="C855" s="471" t="s">
        <v>18</v>
      </c>
      <c r="D855" s="472" t="s">
        <v>19</v>
      </c>
      <c r="E855" s="448" t="s">
        <v>4083</v>
      </c>
      <c r="F855" s="448" t="s">
        <v>2988</v>
      </c>
      <c r="G855" s="473" t="s">
        <v>3980</v>
      </c>
      <c r="H855" s="439" t="s">
        <v>1135</v>
      </c>
      <c r="I855" s="474" t="s">
        <v>3459</v>
      </c>
      <c r="J855" s="474" t="s">
        <v>3464</v>
      </c>
      <c r="K855" s="443" t="s">
        <v>1136</v>
      </c>
      <c r="L855" s="471">
        <v>1</v>
      </c>
      <c r="M855" s="447" t="s">
        <v>1144</v>
      </c>
      <c r="N855" s="456">
        <v>8000</v>
      </c>
      <c r="O855" s="475">
        <f t="shared" si="3"/>
        <v>8000</v>
      </c>
      <c r="P855" s="476"/>
      <c r="Q855" s="477">
        <v>46023</v>
      </c>
      <c r="R855" s="476"/>
      <c r="S855" s="476"/>
    </row>
    <row r="856" spans="1:19" ht="15.75" customHeight="1" x14ac:dyDescent="0.25">
      <c r="A856" s="438">
        <v>853</v>
      </c>
      <c r="B856" s="470" t="s">
        <v>17</v>
      </c>
      <c r="C856" s="471" t="s">
        <v>18</v>
      </c>
      <c r="D856" s="472" t="s">
        <v>19</v>
      </c>
      <c r="E856" s="448" t="s">
        <v>4083</v>
      </c>
      <c r="F856" s="448" t="s">
        <v>2988</v>
      </c>
      <c r="G856" s="473" t="s">
        <v>3980</v>
      </c>
      <c r="H856" s="439" t="s">
        <v>1135</v>
      </c>
      <c r="I856" s="474" t="s">
        <v>3459</v>
      </c>
      <c r="J856" s="474" t="s">
        <v>3464</v>
      </c>
      <c r="K856" s="443" t="s">
        <v>1136</v>
      </c>
      <c r="L856" s="471">
        <v>1</v>
      </c>
      <c r="M856" s="447" t="s">
        <v>1145</v>
      </c>
      <c r="N856" s="456">
        <v>8000</v>
      </c>
      <c r="O856" s="475">
        <f t="shared" si="3"/>
        <v>8000</v>
      </c>
      <c r="P856" s="476"/>
      <c r="Q856" s="477">
        <v>46023</v>
      </c>
      <c r="R856" s="476"/>
      <c r="S856" s="476"/>
    </row>
    <row r="857" spans="1:19" ht="15.75" customHeight="1" x14ac:dyDescent="0.25">
      <c r="A857" s="438">
        <v>854</v>
      </c>
      <c r="B857" s="470" t="s">
        <v>17</v>
      </c>
      <c r="C857" s="471" t="s">
        <v>18</v>
      </c>
      <c r="D857" s="472" t="s">
        <v>19</v>
      </c>
      <c r="E857" s="448" t="s">
        <v>4080</v>
      </c>
      <c r="F857" s="448" t="s">
        <v>4080</v>
      </c>
      <c r="G857" s="473" t="s">
        <v>3980</v>
      </c>
      <c r="H857" s="439" t="s">
        <v>1146</v>
      </c>
      <c r="I857" s="474" t="s">
        <v>3459</v>
      </c>
      <c r="J857" s="474" t="s">
        <v>3464</v>
      </c>
      <c r="K857" s="439" t="s">
        <v>1136</v>
      </c>
      <c r="L857" s="471">
        <v>1</v>
      </c>
      <c r="M857" s="447" t="s">
        <v>1147</v>
      </c>
      <c r="N857" s="456">
        <v>4000</v>
      </c>
      <c r="O857" s="475">
        <f t="shared" si="3"/>
        <v>4000</v>
      </c>
      <c r="P857" s="476"/>
      <c r="Q857" s="477">
        <v>46023</v>
      </c>
      <c r="R857" s="476"/>
      <c r="S857" s="476"/>
    </row>
    <row r="858" spans="1:19" ht="15.75" customHeight="1" x14ac:dyDescent="0.25">
      <c r="A858" s="438">
        <v>855</v>
      </c>
      <c r="B858" s="470" t="s">
        <v>17</v>
      </c>
      <c r="C858" s="471" t="s">
        <v>18</v>
      </c>
      <c r="D858" s="472" t="s">
        <v>19</v>
      </c>
      <c r="E858" s="448" t="s">
        <v>4080</v>
      </c>
      <c r="F858" s="448" t="s">
        <v>4080</v>
      </c>
      <c r="G858" s="473" t="s">
        <v>3980</v>
      </c>
      <c r="H858" s="439" t="s">
        <v>1146</v>
      </c>
      <c r="I858" s="474" t="s">
        <v>3459</v>
      </c>
      <c r="J858" s="474" t="s">
        <v>3464</v>
      </c>
      <c r="K858" s="443" t="s">
        <v>1136</v>
      </c>
      <c r="L858" s="471">
        <v>1</v>
      </c>
      <c r="M858" s="447" t="s">
        <v>1148</v>
      </c>
      <c r="N858" s="456">
        <v>4000</v>
      </c>
      <c r="O858" s="475">
        <f t="shared" si="3"/>
        <v>4000</v>
      </c>
      <c r="P858" s="476"/>
      <c r="Q858" s="477">
        <v>46023</v>
      </c>
      <c r="R858" s="476"/>
      <c r="S858" s="476"/>
    </row>
    <row r="859" spans="1:19" ht="15.75" customHeight="1" x14ac:dyDescent="0.25">
      <c r="A859" s="438">
        <v>856</v>
      </c>
      <c r="B859" s="470" t="s">
        <v>17</v>
      </c>
      <c r="C859" s="471" t="s">
        <v>18</v>
      </c>
      <c r="D859" s="472" t="s">
        <v>19</v>
      </c>
      <c r="E859" s="448" t="s">
        <v>4091</v>
      </c>
      <c r="F859" s="448" t="s">
        <v>4115</v>
      </c>
      <c r="G859" s="473" t="s">
        <v>3980</v>
      </c>
      <c r="H859" s="439" t="s">
        <v>1146</v>
      </c>
      <c r="I859" s="474" t="s">
        <v>3459</v>
      </c>
      <c r="J859" s="474" t="s">
        <v>3464</v>
      </c>
      <c r="K859" s="443" t="s">
        <v>1136</v>
      </c>
      <c r="L859" s="471">
        <v>1</v>
      </c>
      <c r="M859" s="447" t="s">
        <v>1149</v>
      </c>
      <c r="N859" s="456">
        <v>4000</v>
      </c>
      <c r="O859" s="475">
        <f t="shared" si="3"/>
        <v>4000</v>
      </c>
      <c r="P859" s="476"/>
      <c r="Q859" s="477">
        <v>46023</v>
      </c>
      <c r="R859" s="476"/>
      <c r="S859" s="476"/>
    </row>
    <row r="860" spans="1:19" ht="15.75" customHeight="1" x14ac:dyDescent="0.25">
      <c r="A860" s="438">
        <v>857</v>
      </c>
      <c r="B860" s="470" t="s">
        <v>17</v>
      </c>
      <c r="C860" s="471" t="s">
        <v>18</v>
      </c>
      <c r="D860" s="472" t="s">
        <v>19</v>
      </c>
      <c r="E860" s="448" t="s">
        <v>4091</v>
      </c>
      <c r="F860" s="448" t="s">
        <v>4110</v>
      </c>
      <c r="G860" s="473" t="s">
        <v>3980</v>
      </c>
      <c r="H860" s="439" t="s">
        <v>1146</v>
      </c>
      <c r="I860" s="474" t="s">
        <v>3459</v>
      </c>
      <c r="J860" s="474" t="s">
        <v>3464</v>
      </c>
      <c r="K860" s="443" t="s">
        <v>1136</v>
      </c>
      <c r="L860" s="471">
        <v>1</v>
      </c>
      <c r="M860" s="447" t="s">
        <v>1150</v>
      </c>
      <c r="N860" s="456">
        <v>4000</v>
      </c>
      <c r="O860" s="475">
        <f t="shared" si="3"/>
        <v>4000</v>
      </c>
      <c r="P860" s="476"/>
      <c r="Q860" s="477">
        <v>46023</v>
      </c>
      <c r="R860" s="476"/>
      <c r="S860" s="476"/>
    </row>
    <row r="861" spans="1:19" ht="15.75" customHeight="1" x14ac:dyDescent="0.25">
      <c r="A861" s="438">
        <v>858</v>
      </c>
      <c r="B861" s="470" t="s">
        <v>17</v>
      </c>
      <c r="C861" s="471" t="s">
        <v>18</v>
      </c>
      <c r="D861" s="472" t="s">
        <v>19</v>
      </c>
      <c r="E861" s="448" t="s">
        <v>4083</v>
      </c>
      <c r="F861" s="448" t="s">
        <v>4100</v>
      </c>
      <c r="G861" s="473" t="s">
        <v>3980</v>
      </c>
      <c r="H861" s="439" t="s">
        <v>1146</v>
      </c>
      <c r="I861" s="474" t="s">
        <v>3459</v>
      </c>
      <c r="J861" s="474" t="s">
        <v>3464</v>
      </c>
      <c r="K861" s="443" t="s">
        <v>1136</v>
      </c>
      <c r="L861" s="471">
        <v>1</v>
      </c>
      <c r="M861" s="447" t="s">
        <v>1151</v>
      </c>
      <c r="N861" s="456">
        <v>4000</v>
      </c>
      <c r="O861" s="475">
        <f t="shared" si="3"/>
        <v>4000</v>
      </c>
      <c r="P861" s="476"/>
      <c r="Q861" s="477">
        <v>46023</v>
      </c>
      <c r="R861" s="476"/>
      <c r="S861" s="476"/>
    </row>
    <row r="862" spans="1:19" ht="15.75" customHeight="1" x14ac:dyDescent="0.25">
      <c r="A862" s="438">
        <v>859</v>
      </c>
      <c r="B862" s="470" t="s">
        <v>17</v>
      </c>
      <c r="C862" s="471" t="s">
        <v>18</v>
      </c>
      <c r="D862" s="472" t="s">
        <v>19</v>
      </c>
      <c r="E862" s="448" t="s">
        <v>4083</v>
      </c>
      <c r="F862" s="448" t="s">
        <v>2988</v>
      </c>
      <c r="G862" s="473" t="s">
        <v>3980</v>
      </c>
      <c r="H862" s="439" t="s">
        <v>1146</v>
      </c>
      <c r="I862" s="474" t="s">
        <v>3459</v>
      </c>
      <c r="J862" s="474" t="s">
        <v>3464</v>
      </c>
      <c r="K862" s="443" t="s">
        <v>1136</v>
      </c>
      <c r="L862" s="471">
        <v>1</v>
      </c>
      <c r="M862" s="447" t="s">
        <v>1152</v>
      </c>
      <c r="N862" s="456">
        <v>4000</v>
      </c>
      <c r="O862" s="475">
        <f t="shared" si="3"/>
        <v>4000</v>
      </c>
      <c r="P862" s="476"/>
      <c r="Q862" s="477">
        <v>46023</v>
      </c>
      <c r="R862" s="476"/>
      <c r="S862" s="476"/>
    </row>
    <row r="863" spans="1:19" ht="15.75" customHeight="1" x14ac:dyDescent="0.25">
      <c r="A863" s="438">
        <v>860</v>
      </c>
      <c r="B863" s="470" t="s">
        <v>17</v>
      </c>
      <c r="C863" s="471" t="s">
        <v>18</v>
      </c>
      <c r="D863" s="472" t="s">
        <v>19</v>
      </c>
      <c r="E863" s="448" t="s">
        <v>4088</v>
      </c>
      <c r="F863" s="448" t="s">
        <v>3025</v>
      </c>
      <c r="G863" s="473" t="s">
        <v>3980</v>
      </c>
      <c r="H863" s="439" t="s">
        <v>1153</v>
      </c>
      <c r="I863" s="474" t="s">
        <v>3459</v>
      </c>
      <c r="J863" s="474" t="s">
        <v>3464</v>
      </c>
      <c r="K863" s="443" t="s">
        <v>1136</v>
      </c>
      <c r="L863" s="471">
        <v>1</v>
      </c>
      <c r="M863" s="447" t="s">
        <v>1154</v>
      </c>
      <c r="N863" s="456">
        <v>7400</v>
      </c>
      <c r="O863" s="475">
        <f t="shared" si="3"/>
        <v>7400</v>
      </c>
      <c r="P863" s="476"/>
      <c r="Q863" s="477">
        <v>46023</v>
      </c>
      <c r="R863" s="476"/>
      <c r="S863" s="476"/>
    </row>
    <row r="864" spans="1:19" ht="15.75" customHeight="1" x14ac:dyDescent="0.25">
      <c r="A864" s="438">
        <v>861</v>
      </c>
      <c r="B864" s="470" t="s">
        <v>17</v>
      </c>
      <c r="C864" s="471" t="s">
        <v>18</v>
      </c>
      <c r="D864" s="472" t="s">
        <v>19</v>
      </c>
      <c r="E864" s="448" t="s">
        <v>4088</v>
      </c>
      <c r="F864" s="448" t="s">
        <v>3025</v>
      </c>
      <c r="G864" s="473" t="s">
        <v>3980</v>
      </c>
      <c r="H864" s="439" t="s">
        <v>1153</v>
      </c>
      <c r="I864" s="474" t="s">
        <v>3459</v>
      </c>
      <c r="J864" s="474" t="s">
        <v>3464</v>
      </c>
      <c r="K864" s="443" t="s">
        <v>1136</v>
      </c>
      <c r="L864" s="471">
        <v>1</v>
      </c>
      <c r="M864" s="447" t="s">
        <v>1155</v>
      </c>
      <c r="N864" s="456">
        <v>7400</v>
      </c>
      <c r="O864" s="475">
        <f t="shared" si="3"/>
        <v>7400</v>
      </c>
      <c r="P864" s="476"/>
      <c r="Q864" s="477">
        <v>46023</v>
      </c>
      <c r="R864" s="476"/>
      <c r="S864" s="476"/>
    </row>
    <row r="865" spans="1:19" ht="15.75" customHeight="1" x14ac:dyDescent="0.25">
      <c r="A865" s="438">
        <v>862</v>
      </c>
      <c r="B865" s="470" t="s">
        <v>17</v>
      </c>
      <c r="C865" s="471" t="s">
        <v>18</v>
      </c>
      <c r="D865" s="472" t="s">
        <v>19</v>
      </c>
      <c r="E865" s="448" t="s">
        <v>4088</v>
      </c>
      <c r="F865" s="448" t="s">
        <v>4104</v>
      </c>
      <c r="G865" s="473" t="s">
        <v>3980</v>
      </c>
      <c r="H865" s="439" t="s">
        <v>1153</v>
      </c>
      <c r="I865" s="474" t="s">
        <v>3459</v>
      </c>
      <c r="J865" s="474" t="s">
        <v>3464</v>
      </c>
      <c r="K865" s="443" t="s">
        <v>1136</v>
      </c>
      <c r="L865" s="471">
        <v>1</v>
      </c>
      <c r="M865" s="447" t="s">
        <v>1156</v>
      </c>
      <c r="N865" s="456">
        <v>7400</v>
      </c>
      <c r="O865" s="475">
        <f t="shared" si="3"/>
        <v>7400</v>
      </c>
      <c r="P865" s="476"/>
      <c r="Q865" s="477">
        <v>46023</v>
      </c>
      <c r="R865" s="476"/>
      <c r="S865" s="476"/>
    </row>
    <row r="866" spans="1:19" ht="15.75" customHeight="1" x14ac:dyDescent="0.25">
      <c r="A866" s="438">
        <v>863</v>
      </c>
      <c r="B866" s="470" t="s">
        <v>17</v>
      </c>
      <c r="C866" s="471" t="s">
        <v>18</v>
      </c>
      <c r="D866" s="472" t="s">
        <v>19</v>
      </c>
      <c r="E866" s="448" t="s">
        <v>4088</v>
      </c>
      <c r="F866" s="448" t="s">
        <v>3049</v>
      </c>
      <c r="G866" s="473" t="s">
        <v>3980</v>
      </c>
      <c r="H866" s="439" t="s">
        <v>1153</v>
      </c>
      <c r="I866" s="474" t="s">
        <v>3459</v>
      </c>
      <c r="J866" s="474" t="s">
        <v>3464</v>
      </c>
      <c r="K866" s="443" t="s">
        <v>1136</v>
      </c>
      <c r="L866" s="471">
        <v>1</v>
      </c>
      <c r="M866" s="447" t="s">
        <v>1157</v>
      </c>
      <c r="N866" s="456">
        <v>7400</v>
      </c>
      <c r="O866" s="475">
        <f t="shared" si="3"/>
        <v>7400</v>
      </c>
      <c r="P866" s="476"/>
      <c r="Q866" s="477">
        <v>46023</v>
      </c>
      <c r="R866" s="476"/>
      <c r="S866" s="476"/>
    </row>
    <row r="867" spans="1:19" ht="15.75" customHeight="1" x14ac:dyDescent="0.25">
      <c r="A867" s="438">
        <v>864</v>
      </c>
      <c r="B867" s="470" t="s">
        <v>17</v>
      </c>
      <c r="C867" s="471" t="s">
        <v>18</v>
      </c>
      <c r="D867" s="472" t="s">
        <v>19</v>
      </c>
      <c r="E867" s="448" t="s">
        <v>4081</v>
      </c>
      <c r="F867" s="448" t="s">
        <v>2989</v>
      </c>
      <c r="G867" s="473" t="s">
        <v>3981</v>
      </c>
      <c r="H867" s="439" t="s">
        <v>1158</v>
      </c>
      <c r="I867" s="474" t="s">
        <v>3460</v>
      </c>
      <c r="J867" s="474" t="s">
        <v>3464</v>
      </c>
      <c r="K867" s="443" t="s">
        <v>1159</v>
      </c>
      <c r="L867" s="471">
        <v>1</v>
      </c>
      <c r="M867" s="447" t="s">
        <v>1160</v>
      </c>
      <c r="N867" s="456">
        <v>13900</v>
      </c>
      <c r="O867" s="475">
        <f t="shared" si="3"/>
        <v>13900</v>
      </c>
      <c r="P867" s="476"/>
      <c r="Q867" s="477">
        <v>46023</v>
      </c>
      <c r="R867" s="476"/>
      <c r="S867" s="476"/>
    </row>
    <row r="868" spans="1:19" ht="15.75" customHeight="1" x14ac:dyDescent="0.25">
      <c r="A868" s="438">
        <v>865</v>
      </c>
      <c r="B868" s="470" t="s">
        <v>17</v>
      </c>
      <c r="C868" s="471" t="s">
        <v>18</v>
      </c>
      <c r="D868" s="472" t="s">
        <v>19</v>
      </c>
      <c r="E868" s="448" t="s">
        <v>4080</v>
      </c>
      <c r="F868" s="448" t="s">
        <v>4080</v>
      </c>
      <c r="G868" s="473" t="s">
        <v>3057</v>
      </c>
      <c r="H868" s="439" t="s">
        <v>1161</v>
      </c>
      <c r="I868" s="474" t="s">
        <v>3460</v>
      </c>
      <c r="J868" s="474" t="s">
        <v>3464</v>
      </c>
      <c r="K868" s="443" t="s">
        <v>1162</v>
      </c>
      <c r="L868" s="471">
        <v>1</v>
      </c>
      <c r="M868" s="447" t="s">
        <v>1163</v>
      </c>
      <c r="N868" s="456">
        <v>105500</v>
      </c>
      <c r="O868" s="475">
        <f t="shared" si="3"/>
        <v>105500</v>
      </c>
      <c r="P868" s="476"/>
      <c r="Q868" s="477">
        <v>46023</v>
      </c>
      <c r="R868" s="476"/>
      <c r="S868" s="476"/>
    </row>
    <row r="869" spans="1:19" ht="15.75" customHeight="1" x14ac:dyDescent="0.25">
      <c r="A869" s="438">
        <v>866</v>
      </c>
      <c r="B869" s="470" t="s">
        <v>17</v>
      </c>
      <c r="C869" s="471" t="s">
        <v>18</v>
      </c>
      <c r="D869" s="472" t="s">
        <v>19</v>
      </c>
      <c r="E869" s="448" t="s">
        <v>4090</v>
      </c>
      <c r="F869" s="448" t="s">
        <v>4090</v>
      </c>
      <c r="G869" s="473" t="s">
        <v>3057</v>
      </c>
      <c r="H869" s="439" t="s">
        <v>1161</v>
      </c>
      <c r="I869" s="474" t="s">
        <v>3460</v>
      </c>
      <c r="J869" s="474" t="s">
        <v>3464</v>
      </c>
      <c r="K869" s="443" t="s">
        <v>1162</v>
      </c>
      <c r="L869" s="471">
        <v>1</v>
      </c>
      <c r="M869" s="447" t="s">
        <v>1164</v>
      </c>
      <c r="N869" s="456">
        <v>105500</v>
      </c>
      <c r="O869" s="475">
        <f t="shared" si="3"/>
        <v>105500</v>
      </c>
      <c r="P869" s="476"/>
      <c r="Q869" s="477">
        <v>46023</v>
      </c>
      <c r="R869" s="476"/>
      <c r="S869" s="476"/>
    </row>
    <row r="870" spans="1:19" ht="15.75" customHeight="1" x14ac:dyDescent="0.25">
      <c r="A870" s="438">
        <v>867</v>
      </c>
      <c r="B870" s="470" t="s">
        <v>17</v>
      </c>
      <c r="C870" s="471" t="s">
        <v>18</v>
      </c>
      <c r="D870" s="472" t="s">
        <v>19</v>
      </c>
      <c r="E870" s="448" t="s">
        <v>4083</v>
      </c>
      <c r="F870" s="448" t="s">
        <v>2988</v>
      </c>
      <c r="G870" s="473" t="s">
        <v>3057</v>
      </c>
      <c r="H870" s="439" t="s">
        <v>1161</v>
      </c>
      <c r="I870" s="474" t="s">
        <v>3460</v>
      </c>
      <c r="J870" s="474" t="s">
        <v>3464</v>
      </c>
      <c r="K870" s="443" t="s">
        <v>1162</v>
      </c>
      <c r="L870" s="471">
        <v>1</v>
      </c>
      <c r="M870" s="447" t="s">
        <v>1165</v>
      </c>
      <c r="N870" s="456">
        <v>105500</v>
      </c>
      <c r="O870" s="475">
        <f t="shared" si="3"/>
        <v>105500</v>
      </c>
      <c r="P870" s="476"/>
      <c r="Q870" s="477">
        <v>46023</v>
      </c>
      <c r="R870" s="476"/>
      <c r="S870" s="476"/>
    </row>
    <row r="871" spans="1:19" ht="15.75" customHeight="1" x14ac:dyDescent="0.25">
      <c r="A871" s="438">
        <v>868</v>
      </c>
      <c r="B871" s="470" t="s">
        <v>17</v>
      </c>
      <c r="C871" s="471" t="s">
        <v>18</v>
      </c>
      <c r="D871" s="472" t="s">
        <v>19</v>
      </c>
      <c r="E871" s="448" t="s">
        <v>4090</v>
      </c>
      <c r="F871" s="448" t="s">
        <v>4090</v>
      </c>
      <c r="G871" s="473" t="s">
        <v>3057</v>
      </c>
      <c r="H871" s="439" t="s">
        <v>1161</v>
      </c>
      <c r="I871" s="474" t="s">
        <v>3460</v>
      </c>
      <c r="J871" s="474" t="s">
        <v>3464</v>
      </c>
      <c r="K871" s="443" t="s">
        <v>1162</v>
      </c>
      <c r="L871" s="471">
        <v>1</v>
      </c>
      <c r="M871" s="447" t="s">
        <v>1166</v>
      </c>
      <c r="N871" s="456">
        <v>105500</v>
      </c>
      <c r="O871" s="475">
        <f t="shared" si="3"/>
        <v>105500</v>
      </c>
      <c r="P871" s="476"/>
      <c r="Q871" s="477">
        <v>46023</v>
      </c>
      <c r="R871" s="476"/>
      <c r="S871" s="476"/>
    </row>
    <row r="872" spans="1:19" ht="15.75" customHeight="1" x14ac:dyDescent="0.25">
      <c r="A872" s="438">
        <v>869</v>
      </c>
      <c r="B872" s="470" t="s">
        <v>17</v>
      </c>
      <c r="C872" s="471" t="s">
        <v>18</v>
      </c>
      <c r="D872" s="472" t="s">
        <v>19</v>
      </c>
      <c r="E872" s="448" t="s">
        <v>4085</v>
      </c>
      <c r="F872" s="448" t="s">
        <v>2985</v>
      </c>
      <c r="G872" s="473" t="s">
        <v>3057</v>
      </c>
      <c r="H872" s="439" t="s">
        <v>1167</v>
      </c>
      <c r="I872" s="474" t="s">
        <v>3460</v>
      </c>
      <c r="J872" s="474" t="s">
        <v>3464</v>
      </c>
      <c r="K872" s="443" t="s">
        <v>1162</v>
      </c>
      <c r="L872" s="471">
        <v>1</v>
      </c>
      <c r="M872" s="447" t="s">
        <v>1168</v>
      </c>
      <c r="N872" s="456">
        <v>210000</v>
      </c>
      <c r="O872" s="475">
        <f t="shared" si="3"/>
        <v>210000</v>
      </c>
      <c r="P872" s="476"/>
      <c r="Q872" s="477">
        <v>46023</v>
      </c>
      <c r="R872" s="476"/>
      <c r="S872" s="476"/>
    </row>
    <row r="873" spans="1:19" ht="15.75" customHeight="1" x14ac:dyDescent="0.25">
      <c r="A873" s="438">
        <v>870</v>
      </c>
      <c r="B873" s="470" t="s">
        <v>17</v>
      </c>
      <c r="C873" s="471" t="s">
        <v>18</v>
      </c>
      <c r="D873" s="472" t="s">
        <v>19</v>
      </c>
      <c r="E873" s="448" t="s">
        <v>4090</v>
      </c>
      <c r="F873" s="448" t="s">
        <v>4090</v>
      </c>
      <c r="G873" s="473" t="s">
        <v>3403</v>
      </c>
      <c r="H873" s="439" t="s">
        <v>1169</v>
      </c>
      <c r="I873" s="474" t="s">
        <v>3460</v>
      </c>
      <c r="J873" s="474" t="s">
        <v>3464</v>
      </c>
      <c r="K873" s="443" t="s">
        <v>1170</v>
      </c>
      <c r="L873" s="471">
        <v>1</v>
      </c>
      <c r="M873" s="447" t="s">
        <v>1171</v>
      </c>
      <c r="N873" s="456">
        <v>416000</v>
      </c>
      <c r="O873" s="475">
        <f t="shared" si="3"/>
        <v>416000</v>
      </c>
      <c r="P873" s="476"/>
      <c r="Q873" s="477">
        <v>46023</v>
      </c>
      <c r="R873" s="476"/>
      <c r="S873" s="476"/>
    </row>
    <row r="874" spans="1:19" ht="15.75" customHeight="1" x14ac:dyDescent="0.25">
      <c r="A874" s="438">
        <v>871</v>
      </c>
      <c r="B874" s="470" t="s">
        <v>17</v>
      </c>
      <c r="C874" s="471" t="s">
        <v>18</v>
      </c>
      <c r="D874" s="472" t="s">
        <v>19</v>
      </c>
      <c r="E874" s="448" t="s">
        <v>4090</v>
      </c>
      <c r="F874" s="448" t="s">
        <v>4090</v>
      </c>
      <c r="G874" s="473" t="s">
        <v>3403</v>
      </c>
      <c r="H874" s="439" t="s">
        <v>1169</v>
      </c>
      <c r="I874" s="474" t="s">
        <v>3460</v>
      </c>
      <c r="J874" s="474" t="s">
        <v>3464</v>
      </c>
      <c r="K874" s="443" t="s">
        <v>1170</v>
      </c>
      <c r="L874" s="471">
        <v>1</v>
      </c>
      <c r="M874" s="447" t="s">
        <v>1172</v>
      </c>
      <c r="N874" s="456">
        <v>416000</v>
      </c>
      <c r="O874" s="475">
        <f t="shared" si="3"/>
        <v>416000</v>
      </c>
      <c r="P874" s="476"/>
      <c r="Q874" s="477">
        <v>46023</v>
      </c>
      <c r="R874" s="476"/>
      <c r="S874" s="476"/>
    </row>
    <row r="875" spans="1:19" ht="15.75" customHeight="1" x14ac:dyDescent="0.25">
      <c r="A875" s="438">
        <v>872</v>
      </c>
      <c r="B875" s="470" t="s">
        <v>17</v>
      </c>
      <c r="C875" s="471" t="s">
        <v>18</v>
      </c>
      <c r="D875" s="472" t="s">
        <v>19</v>
      </c>
      <c r="E875" s="448" t="s">
        <v>4090</v>
      </c>
      <c r="F875" s="448" t="s">
        <v>4090</v>
      </c>
      <c r="G875" s="473" t="s">
        <v>3403</v>
      </c>
      <c r="H875" s="439" t="s">
        <v>1173</v>
      </c>
      <c r="I875" s="474" t="s">
        <v>3460</v>
      </c>
      <c r="J875" s="474" t="s">
        <v>3464</v>
      </c>
      <c r="K875" s="443" t="s">
        <v>1170</v>
      </c>
      <c r="L875" s="471">
        <v>1</v>
      </c>
      <c r="M875" s="447" t="s">
        <v>1174</v>
      </c>
      <c r="N875" s="456">
        <v>554438.30000000005</v>
      </c>
      <c r="O875" s="475">
        <f t="shared" si="3"/>
        <v>554438.30000000005</v>
      </c>
      <c r="P875" s="476"/>
      <c r="Q875" s="477">
        <v>46023</v>
      </c>
      <c r="R875" s="476"/>
      <c r="S875" s="476"/>
    </row>
    <row r="876" spans="1:19" ht="15.75" customHeight="1" x14ac:dyDescent="0.25">
      <c r="A876" s="438">
        <v>873</v>
      </c>
      <c r="B876" s="470" t="s">
        <v>17</v>
      </c>
      <c r="C876" s="471" t="s">
        <v>18</v>
      </c>
      <c r="D876" s="472" t="s">
        <v>19</v>
      </c>
      <c r="E876" s="448" t="s">
        <v>4080</v>
      </c>
      <c r="F876" s="448" t="s">
        <v>4080</v>
      </c>
      <c r="G876" s="473" t="s">
        <v>3982</v>
      </c>
      <c r="H876" s="439" t="s">
        <v>1175</v>
      </c>
      <c r="I876" s="474" t="s">
        <v>3457</v>
      </c>
      <c r="J876" s="474" t="s">
        <v>3463</v>
      </c>
      <c r="K876" s="443" t="s">
        <v>1176</v>
      </c>
      <c r="L876" s="471">
        <v>1</v>
      </c>
      <c r="M876" s="447" t="s">
        <v>1177</v>
      </c>
      <c r="N876" s="456">
        <v>3500</v>
      </c>
      <c r="O876" s="475">
        <f t="shared" si="3"/>
        <v>3500</v>
      </c>
      <c r="P876" s="476"/>
      <c r="Q876" s="477">
        <v>46023</v>
      </c>
      <c r="R876" s="476"/>
      <c r="S876" s="476"/>
    </row>
    <row r="877" spans="1:19" ht="15.75" customHeight="1" x14ac:dyDescent="0.25">
      <c r="A877" s="438">
        <v>874</v>
      </c>
      <c r="B877" s="470" t="s">
        <v>17</v>
      </c>
      <c r="C877" s="471" t="s">
        <v>18</v>
      </c>
      <c r="D877" s="472" t="s">
        <v>19</v>
      </c>
      <c r="E877" s="448" t="s">
        <v>3047</v>
      </c>
      <c r="F877" s="448" t="s">
        <v>3026</v>
      </c>
      <c r="G877" s="473" t="s">
        <v>3983</v>
      </c>
      <c r="H877" s="439" t="s">
        <v>1178</v>
      </c>
      <c r="I877" s="474" t="s">
        <v>3457</v>
      </c>
      <c r="J877" s="474" t="s">
        <v>3464</v>
      </c>
      <c r="K877" s="443" t="s">
        <v>1179</v>
      </c>
      <c r="L877" s="471">
        <v>1</v>
      </c>
      <c r="M877" s="447" t="s">
        <v>1180</v>
      </c>
      <c r="N877" s="456">
        <v>50000</v>
      </c>
      <c r="O877" s="475">
        <f t="shared" si="3"/>
        <v>50000</v>
      </c>
      <c r="P877" s="476"/>
      <c r="Q877" s="477">
        <v>46023</v>
      </c>
      <c r="R877" s="476"/>
      <c r="S877" s="476"/>
    </row>
    <row r="878" spans="1:19" ht="15.75" customHeight="1" x14ac:dyDescent="0.25">
      <c r="A878" s="438">
        <v>875</v>
      </c>
      <c r="B878" s="470" t="s">
        <v>17</v>
      </c>
      <c r="C878" s="471" t="s">
        <v>18</v>
      </c>
      <c r="D878" s="472" t="s">
        <v>19</v>
      </c>
      <c r="E878" s="448" t="s">
        <v>3047</v>
      </c>
      <c r="F878" s="448" t="s">
        <v>3047</v>
      </c>
      <c r="G878" s="473" t="s">
        <v>3405</v>
      </c>
      <c r="H878" s="439" t="s">
        <v>1181</v>
      </c>
      <c r="I878" s="474" t="s">
        <v>3457</v>
      </c>
      <c r="J878" s="474" t="s">
        <v>3464</v>
      </c>
      <c r="K878" s="443" t="s">
        <v>1182</v>
      </c>
      <c r="L878" s="471">
        <v>1</v>
      </c>
      <c r="M878" s="447" t="s">
        <v>1183</v>
      </c>
      <c r="N878" s="456">
        <v>48000</v>
      </c>
      <c r="O878" s="475">
        <f t="shared" si="3"/>
        <v>48000</v>
      </c>
      <c r="P878" s="476"/>
      <c r="Q878" s="477">
        <v>46023</v>
      </c>
      <c r="R878" s="476"/>
      <c r="S878" s="476"/>
    </row>
    <row r="879" spans="1:19" ht="15.75" customHeight="1" x14ac:dyDescent="0.25">
      <c r="A879" s="438">
        <v>876</v>
      </c>
      <c r="B879" s="470" t="s">
        <v>17</v>
      </c>
      <c r="C879" s="471" t="s">
        <v>18</v>
      </c>
      <c r="D879" s="472" t="s">
        <v>19</v>
      </c>
      <c r="E879" s="448" t="s">
        <v>3047</v>
      </c>
      <c r="F879" s="448" t="s">
        <v>3047</v>
      </c>
      <c r="G879" s="473" t="s">
        <v>3405</v>
      </c>
      <c r="H879" s="439" t="s">
        <v>1181</v>
      </c>
      <c r="I879" s="474" t="s">
        <v>3457</v>
      </c>
      <c r="J879" s="474" t="s">
        <v>3464</v>
      </c>
      <c r="K879" s="443" t="s">
        <v>1182</v>
      </c>
      <c r="L879" s="471">
        <v>1</v>
      </c>
      <c r="M879" s="447" t="s">
        <v>1184</v>
      </c>
      <c r="N879" s="456">
        <v>48000</v>
      </c>
      <c r="O879" s="475">
        <f t="shared" si="3"/>
        <v>48000</v>
      </c>
      <c r="P879" s="476"/>
      <c r="Q879" s="477">
        <v>46023</v>
      </c>
      <c r="R879" s="476"/>
      <c r="S879" s="476"/>
    </row>
    <row r="880" spans="1:19" ht="15.75" customHeight="1" x14ac:dyDescent="0.25">
      <c r="A880" s="438">
        <v>877</v>
      </c>
      <c r="B880" s="470" t="s">
        <v>17</v>
      </c>
      <c r="C880" s="471" t="s">
        <v>18</v>
      </c>
      <c r="D880" s="472" t="s">
        <v>19</v>
      </c>
      <c r="E880" s="448" t="s">
        <v>3047</v>
      </c>
      <c r="F880" s="448" t="s">
        <v>3047</v>
      </c>
      <c r="G880" s="473" t="s">
        <v>3405</v>
      </c>
      <c r="H880" s="439" t="s">
        <v>1181</v>
      </c>
      <c r="I880" s="474" t="s">
        <v>3457</v>
      </c>
      <c r="J880" s="474" t="s">
        <v>3464</v>
      </c>
      <c r="K880" s="443" t="s">
        <v>1182</v>
      </c>
      <c r="L880" s="471">
        <v>1</v>
      </c>
      <c r="M880" s="447" t="s">
        <v>1185</v>
      </c>
      <c r="N880" s="456">
        <v>48000</v>
      </c>
      <c r="O880" s="475">
        <f t="shared" si="3"/>
        <v>48000</v>
      </c>
      <c r="P880" s="476"/>
      <c r="Q880" s="477">
        <v>46023</v>
      </c>
      <c r="R880" s="476"/>
      <c r="S880" s="476"/>
    </row>
    <row r="881" spans="1:19" ht="15.75" customHeight="1" x14ac:dyDescent="0.25">
      <c r="A881" s="438">
        <v>878</v>
      </c>
      <c r="B881" s="470" t="s">
        <v>17</v>
      </c>
      <c r="C881" s="471" t="s">
        <v>18</v>
      </c>
      <c r="D881" s="472" t="s">
        <v>19</v>
      </c>
      <c r="E881" s="448" t="s">
        <v>3047</v>
      </c>
      <c r="F881" s="448" t="s">
        <v>3047</v>
      </c>
      <c r="G881" s="473" t="s">
        <v>3405</v>
      </c>
      <c r="H881" s="439" t="s">
        <v>1181</v>
      </c>
      <c r="I881" s="474" t="s">
        <v>3457</v>
      </c>
      <c r="J881" s="474" t="s">
        <v>3464</v>
      </c>
      <c r="K881" s="443" t="s">
        <v>1182</v>
      </c>
      <c r="L881" s="471">
        <v>1</v>
      </c>
      <c r="M881" s="447" t="s">
        <v>1186</v>
      </c>
      <c r="N881" s="456">
        <v>48000</v>
      </c>
      <c r="O881" s="475">
        <f t="shared" si="3"/>
        <v>48000</v>
      </c>
      <c r="P881" s="476"/>
      <c r="Q881" s="477">
        <v>46023</v>
      </c>
      <c r="R881" s="476"/>
      <c r="S881" s="476"/>
    </row>
    <row r="882" spans="1:19" ht="15.75" customHeight="1" x14ac:dyDescent="0.25">
      <c r="A882" s="438">
        <v>879</v>
      </c>
      <c r="B882" s="470" t="s">
        <v>17</v>
      </c>
      <c r="C882" s="471" t="s">
        <v>18</v>
      </c>
      <c r="D882" s="472" t="s">
        <v>19</v>
      </c>
      <c r="E882" s="448" t="s">
        <v>3047</v>
      </c>
      <c r="F882" s="448" t="s">
        <v>3047</v>
      </c>
      <c r="G882" s="473" t="s">
        <v>3405</v>
      </c>
      <c r="H882" s="439" t="s">
        <v>1181</v>
      </c>
      <c r="I882" s="474" t="s">
        <v>3457</v>
      </c>
      <c r="J882" s="474" t="s">
        <v>3464</v>
      </c>
      <c r="K882" s="443" t="s">
        <v>1182</v>
      </c>
      <c r="L882" s="471">
        <v>1</v>
      </c>
      <c r="M882" s="447" t="s">
        <v>1187</v>
      </c>
      <c r="N882" s="456">
        <v>48000</v>
      </c>
      <c r="O882" s="475">
        <f t="shared" si="3"/>
        <v>48000</v>
      </c>
      <c r="P882" s="476"/>
      <c r="Q882" s="477">
        <v>46023</v>
      </c>
      <c r="R882" s="476"/>
      <c r="S882" s="476"/>
    </row>
    <row r="883" spans="1:19" ht="15.75" customHeight="1" x14ac:dyDescent="0.25">
      <c r="A883" s="438">
        <v>880</v>
      </c>
      <c r="B883" s="470" t="s">
        <v>17</v>
      </c>
      <c r="C883" s="471" t="s">
        <v>18</v>
      </c>
      <c r="D883" s="472" t="s">
        <v>19</v>
      </c>
      <c r="E883" s="448" t="s">
        <v>3047</v>
      </c>
      <c r="F883" s="448" t="s">
        <v>3047</v>
      </c>
      <c r="G883" s="473" t="s">
        <v>3405</v>
      </c>
      <c r="H883" s="439" t="s">
        <v>1181</v>
      </c>
      <c r="I883" s="474" t="s">
        <v>3457</v>
      </c>
      <c r="J883" s="474" t="s">
        <v>3464</v>
      </c>
      <c r="K883" s="443" t="s">
        <v>1182</v>
      </c>
      <c r="L883" s="471">
        <v>1</v>
      </c>
      <c r="M883" s="447" t="s">
        <v>1188</v>
      </c>
      <c r="N883" s="456">
        <v>48000</v>
      </c>
      <c r="O883" s="475">
        <f t="shared" si="3"/>
        <v>48000</v>
      </c>
      <c r="P883" s="476"/>
      <c r="Q883" s="477">
        <v>46023</v>
      </c>
      <c r="R883" s="476"/>
      <c r="S883" s="476"/>
    </row>
    <row r="884" spans="1:19" ht="15.75" customHeight="1" x14ac:dyDescent="0.25">
      <c r="A884" s="438">
        <v>881</v>
      </c>
      <c r="B884" s="470" t="s">
        <v>17</v>
      </c>
      <c r="C884" s="471" t="s">
        <v>18</v>
      </c>
      <c r="D884" s="472" t="s">
        <v>19</v>
      </c>
      <c r="E884" s="448" t="s">
        <v>4083</v>
      </c>
      <c r="F884" s="448" t="s">
        <v>2988</v>
      </c>
      <c r="G884" s="473" t="s">
        <v>3053</v>
      </c>
      <c r="H884" s="439" t="s">
        <v>1189</v>
      </c>
      <c r="I884" s="474" t="s">
        <v>3457</v>
      </c>
      <c r="J884" s="474" t="s">
        <v>3463</v>
      </c>
      <c r="K884" s="443" t="s">
        <v>1191</v>
      </c>
      <c r="L884" s="471">
        <v>1</v>
      </c>
      <c r="M884" s="447" t="s">
        <v>1190</v>
      </c>
      <c r="N884" s="456">
        <v>23400</v>
      </c>
      <c r="O884" s="475">
        <f t="shared" si="3"/>
        <v>23400</v>
      </c>
      <c r="P884" s="476"/>
      <c r="Q884" s="477">
        <v>46023</v>
      </c>
      <c r="R884" s="476"/>
      <c r="S884" s="476"/>
    </row>
    <row r="885" spans="1:19" ht="15.75" customHeight="1" x14ac:dyDescent="0.25">
      <c r="A885" s="438">
        <v>882</v>
      </c>
      <c r="B885" s="470" t="s">
        <v>17</v>
      </c>
      <c r="C885" s="471" t="s">
        <v>18</v>
      </c>
      <c r="D885" s="472" t="s">
        <v>19</v>
      </c>
      <c r="E885" s="448" t="s">
        <v>4080</v>
      </c>
      <c r="F885" s="448" t="s">
        <v>4080</v>
      </c>
      <c r="G885" s="473" t="s">
        <v>3053</v>
      </c>
      <c r="H885" s="439" t="s">
        <v>1189</v>
      </c>
      <c r="I885" s="474" t="s">
        <v>3457</v>
      </c>
      <c r="J885" s="474" t="s">
        <v>3463</v>
      </c>
      <c r="K885" s="443" t="s">
        <v>1191</v>
      </c>
      <c r="L885" s="471">
        <v>1</v>
      </c>
      <c r="M885" s="447" t="s">
        <v>1192</v>
      </c>
      <c r="N885" s="456">
        <v>24000</v>
      </c>
      <c r="O885" s="475">
        <f t="shared" si="3"/>
        <v>24000</v>
      </c>
      <c r="P885" s="476"/>
      <c r="Q885" s="477">
        <v>46023</v>
      </c>
      <c r="R885" s="476"/>
      <c r="S885" s="476"/>
    </row>
    <row r="886" spans="1:19" ht="15.75" customHeight="1" x14ac:dyDescent="0.25">
      <c r="A886" s="438">
        <v>883</v>
      </c>
      <c r="B886" s="470" t="s">
        <v>17</v>
      </c>
      <c r="C886" s="471" t="s">
        <v>18</v>
      </c>
      <c r="D886" s="472" t="s">
        <v>19</v>
      </c>
      <c r="E886" s="448" t="s">
        <v>4088</v>
      </c>
      <c r="F886" s="448" t="s">
        <v>3025</v>
      </c>
      <c r="G886" s="473" t="s">
        <v>3053</v>
      </c>
      <c r="H886" s="439" t="s">
        <v>1189</v>
      </c>
      <c r="I886" s="474" t="s">
        <v>3457</v>
      </c>
      <c r="J886" s="474" t="s">
        <v>3463</v>
      </c>
      <c r="K886" s="443" t="s">
        <v>1191</v>
      </c>
      <c r="L886" s="471">
        <v>1</v>
      </c>
      <c r="M886" s="447" t="s">
        <v>1193</v>
      </c>
      <c r="N886" s="456">
        <v>24000</v>
      </c>
      <c r="O886" s="475">
        <f t="shared" si="3"/>
        <v>24000</v>
      </c>
      <c r="P886" s="476"/>
      <c r="Q886" s="477">
        <v>46023</v>
      </c>
      <c r="R886" s="476"/>
      <c r="S886" s="476"/>
    </row>
    <row r="887" spans="1:19" ht="15.75" customHeight="1" x14ac:dyDescent="0.25">
      <c r="A887" s="438">
        <v>884</v>
      </c>
      <c r="B887" s="470" t="s">
        <v>17</v>
      </c>
      <c r="C887" s="471" t="s">
        <v>18</v>
      </c>
      <c r="D887" s="472" t="s">
        <v>19</v>
      </c>
      <c r="E887" s="465" t="s">
        <v>4088</v>
      </c>
      <c r="F887" s="448" t="s">
        <v>3025</v>
      </c>
      <c r="G887" s="473" t="s">
        <v>3053</v>
      </c>
      <c r="H887" s="439" t="s">
        <v>1189</v>
      </c>
      <c r="I887" s="474" t="s">
        <v>3457</v>
      </c>
      <c r="J887" s="474" t="s">
        <v>3463</v>
      </c>
      <c r="K887" s="443" t="s">
        <v>1191</v>
      </c>
      <c r="L887" s="471">
        <v>1</v>
      </c>
      <c r="M887" s="447" t="s">
        <v>1194</v>
      </c>
      <c r="N887" s="456">
        <v>24000</v>
      </c>
      <c r="O887" s="475">
        <f t="shared" si="3"/>
        <v>24000</v>
      </c>
      <c r="P887" s="476"/>
      <c r="Q887" s="477">
        <v>46023</v>
      </c>
      <c r="R887" s="476"/>
      <c r="S887" s="476"/>
    </row>
    <row r="888" spans="1:19" ht="15.75" customHeight="1" x14ac:dyDescent="0.25">
      <c r="A888" s="438">
        <v>885</v>
      </c>
      <c r="B888" s="470" t="s">
        <v>17</v>
      </c>
      <c r="C888" s="471" t="s">
        <v>18</v>
      </c>
      <c r="D888" s="472" t="s">
        <v>19</v>
      </c>
      <c r="E888" s="465" t="s">
        <v>4088</v>
      </c>
      <c r="F888" s="448" t="s">
        <v>3025</v>
      </c>
      <c r="G888" s="473" t="s">
        <v>3053</v>
      </c>
      <c r="H888" s="439" t="s">
        <v>1189</v>
      </c>
      <c r="I888" s="474" t="s">
        <v>3457</v>
      </c>
      <c r="J888" s="474" t="s">
        <v>3463</v>
      </c>
      <c r="K888" s="443" t="s">
        <v>1191</v>
      </c>
      <c r="L888" s="471">
        <v>1</v>
      </c>
      <c r="M888" s="447" t="s">
        <v>1195</v>
      </c>
      <c r="N888" s="456">
        <v>24000</v>
      </c>
      <c r="O888" s="475">
        <f t="shared" si="3"/>
        <v>24000</v>
      </c>
      <c r="P888" s="476"/>
      <c r="Q888" s="477">
        <v>46023</v>
      </c>
      <c r="R888" s="476"/>
      <c r="S888" s="476"/>
    </row>
    <row r="889" spans="1:19" ht="15.75" customHeight="1" x14ac:dyDescent="0.25">
      <c r="A889" s="438">
        <v>886</v>
      </c>
      <c r="B889" s="470" t="s">
        <v>17</v>
      </c>
      <c r="C889" s="471" t="s">
        <v>18</v>
      </c>
      <c r="D889" s="472" t="s">
        <v>19</v>
      </c>
      <c r="E889" s="465" t="s">
        <v>4088</v>
      </c>
      <c r="F889" s="448" t="s">
        <v>4101</v>
      </c>
      <c r="G889" s="473" t="s">
        <v>3053</v>
      </c>
      <c r="H889" s="439" t="s">
        <v>1189</v>
      </c>
      <c r="I889" s="474" t="s">
        <v>3457</v>
      </c>
      <c r="J889" s="474" t="s">
        <v>3463</v>
      </c>
      <c r="K889" s="443" t="s">
        <v>1191</v>
      </c>
      <c r="L889" s="471">
        <v>1</v>
      </c>
      <c r="M889" s="447" t="s">
        <v>1196</v>
      </c>
      <c r="N889" s="456">
        <v>24000</v>
      </c>
      <c r="O889" s="475">
        <f t="shared" si="3"/>
        <v>24000</v>
      </c>
      <c r="P889" s="476"/>
      <c r="Q889" s="477">
        <v>46023</v>
      </c>
      <c r="R889" s="476"/>
      <c r="S889" s="476"/>
    </row>
    <row r="890" spans="1:19" ht="15.75" customHeight="1" x14ac:dyDescent="0.25">
      <c r="A890" s="438">
        <v>887</v>
      </c>
      <c r="B890" s="470" t="s">
        <v>17</v>
      </c>
      <c r="C890" s="471" t="s">
        <v>18</v>
      </c>
      <c r="D890" s="472" t="s">
        <v>19</v>
      </c>
      <c r="E890" s="465" t="s">
        <v>4088</v>
      </c>
      <c r="F890" s="448" t="s">
        <v>4101</v>
      </c>
      <c r="G890" s="473" t="s">
        <v>3053</v>
      </c>
      <c r="H890" s="439" t="s">
        <v>1189</v>
      </c>
      <c r="I890" s="474" t="s">
        <v>3457</v>
      </c>
      <c r="J890" s="474" t="s">
        <v>3463</v>
      </c>
      <c r="K890" s="443" t="s">
        <v>1191</v>
      </c>
      <c r="L890" s="471">
        <v>1</v>
      </c>
      <c r="M890" s="447" t="s">
        <v>1197</v>
      </c>
      <c r="N890" s="456">
        <v>24000</v>
      </c>
      <c r="O890" s="475">
        <f t="shared" si="3"/>
        <v>24000</v>
      </c>
      <c r="P890" s="476"/>
      <c r="Q890" s="477">
        <v>46023</v>
      </c>
      <c r="R890" s="476"/>
      <c r="S890" s="476"/>
    </row>
    <row r="891" spans="1:19" ht="15.75" customHeight="1" x14ac:dyDescent="0.25">
      <c r="A891" s="438">
        <v>888</v>
      </c>
      <c r="B891" s="470" t="s">
        <v>17</v>
      </c>
      <c r="C891" s="471" t="s">
        <v>18</v>
      </c>
      <c r="D891" s="472" t="s">
        <v>19</v>
      </c>
      <c r="E891" s="465" t="s">
        <v>4088</v>
      </c>
      <c r="F891" s="448" t="s">
        <v>4101</v>
      </c>
      <c r="G891" s="473" t="s">
        <v>3053</v>
      </c>
      <c r="H891" s="439" t="s">
        <v>1189</v>
      </c>
      <c r="I891" s="474" t="s">
        <v>3457</v>
      </c>
      <c r="J891" s="474" t="s">
        <v>3463</v>
      </c>
      <c r="K891" s="443" t="s">
        <v>1191</v>
      </c>
      <c r="L891" s="471">
        <v>1</v>
      </c>
      <c r="M891" s="447" t="s">
        <v>1198</v>
      </c>
      <c r="N891" s="456">
        <v>24000</v>
      </c>
      <c r="O891" s="475">
        <f t="shared" si="3"/>
        <v>24000</v>
      </c>
      <c r="P891" s="476"/>
      <c r="Q891" s="477">
        <v>46023</v>
      </c>
      <c r="R891" s="476"/>
      <c r="S891" s="476"/>
    </row>
    <row r="892" spans="1:19" ht="15.75" customHeight="1" x14ac:dyDescent="0.25">
      <c r="A892" s="438">
        <v>889</v>
      </c>
      <c r="B892" s="470" t="s">
        <v>17</v>
      </c>
      <c r="C892" s="471" t="s">
        <v>18</v>
      </c>
      <c r="D892" s="472" t="s">
        <v>19</v>
      </c>
      <c r="E892" s="448" t="s">
        <v>4088</v>
      </c>
      <c r="F892" s="448" t="s">
        <v>4104</v>
      </c>
      <c r="G892" s="473" t="s">
        <v>3053</v>
      </c>
      <c r="H892" s="439" t="s">
        <v>1189</v>
      </c>
      <c r="I892" s="474" t="s">
        <v>3457</v>
      </c>
      <c r="J892" s="474" t="s">
        <v>3463</v>
      </c>
      <c r="K892" s="443" t="s">
        <v>1191</v>
      </c>
      <c r="L892" s="471">
        <v>1</v>
      </c>
      <c r="M892" s="447" t="s">
        <v>1199</v>
      </c>
      <c r="N892" s="456">
        <v>24000</v>
      </c>
      <c r="O892" s="475">
        <f t="shared" si="3"/>
        <v>24000</v>
      </c>
      <c r="P892" s="476"/>
      <c r="Q892" s="477">
        <v>46023</v>
      </c>
      <c r="R892" s="476"/>
      <c r="S892" s="476"/>
    </row>
    <row r="893" spans="1:19" ht="15.75" customHeight="1" x14ac:dyDescent="0.25">
      <c r="A893" s="438">
        <v>890</v>
      </c>
      <c r="B893" s="470" t="s">
        <v>17</v>
      </c>
      <c r="C893" s="471" t="s">
        <v>18</v>
      </c>
      <c r="D893" s="472" t="s">
        <v>19</v>
      </c>
      <c r="E893" s="448" t="s">
        <v>4083</v>
      </c>
      <c r="F893" s="448" t="s">
        <v>2988</v>
      </c>
      <c r="G893" s="473" t="s">
        <v>3053</v>
      </c>
      <c r="H893" s="439" t="s">
        <v>1189</v>
      </c>
      <c r="I893" s="474" t="s">
        <v>3457</v>
      </c>
      <c r="J893" s="474" t="s">
        <v>3463</v>
      </c>
      <c r="K893" s="443" t="s">
        <v>1191</v>
      </c>
      <c r="L893" s="471">
        <v>1</v>
      </c>
      <c r="M893" s="447" t="s">
        <v>1200</v>
      </c>
      <c r="N893" s="456">
        <v>24000</v>
      </c>
      <c r="O893" s="475">
        <f t="shared" si="3"/>
        <v>24000</v>
      </c>
      <c r="P893" s="476"/>
      <c r="Q893" s="477">
        <v>46023</v>
      </c>
      <c r="R893" s="476"/>
      <c r="S893" s="476"/>
    </row>
    <row r="894" spans="1:19" ht="15.75" customHeight="1" x14ac:dyDescent="0.25">
      <c r="A894" s="438">
        <v>891</v>
      </c>
      <c r="B894" s="470" t="s">
        <v>17</v>
      </c>
      <c r="C894" s="471" t="s">
        <v>18</v>
      </c>
      <c r="D894" s="472" t="s">
        <v>19</v>
      </c>
      <c r="E894" s="448" t="s">
        <v>4083</v>
      </c>
      <c r="F894" s="448" t="s">
        <v>2988</v>
      </c>
      <c r="G894" s="473" t="s">
        <v>3053</v>
      </c>
      <c r="H894" s="439" t="s">
        <v>1189</v>
      </c>
      <c r="I894" s="474" t="s">
        <v>3457</v>
      </c>
      <c r="J894" s="474" t="s">
        <v>3463</v>
      </c>
      <c r="K894" s="443" t="s">
        <v>1191</v>
      </c>
      <c r="L894" s="471">
        <v>1</v>
      </c>
      <c r="M894" s="447" t="s">
        <v>1201</v>
      </c>
      <c r="N894" s="456">
        <v>24000</v>
      </c>
      <c r="O894" s="475">
        <f t="shared" si="3"/>
        <v>24000</v>
      </c>
      <c r="P894" s="476"/>
      <c r="Q894" s="477">
        <v>46023</v>
      </c>
      <c r="R894" s="476"/>
      <c r="S894" s="476"/>
    </row>
    <row r="895" spans="1:19" ht="15.75" customHeight="1" x14ac:dyDescent="0.25">
      <c r="A895" s="438">
        <v>892</v>
      </c>
      <c r="B895" s="470" t="s">
        <v>17</v>
      </c>
      <c r="C895" s="471" t="s">
        <v>18</v>
      </c>
      <c r="D895" s="472" t="s">
        <v>19</v>
      </c>
      <c r="E895" s="448" t="s">
        <v>4083</v>
      </c>
      <c r="F895" s="448" t="s">
        <v>2988</v>
      </c>
      <c r="G895" s="473" t="s">
        <v>3053</v>
      </c>
      <c r="H895" s="439" t="s">
        <v>1189</v>
      </c>
      <c r="I895" s="474" t="s">
        <v>3457</v>
      </c>
      <c r="J895" s="474" t="s">
        <v>3463</v>
      </c>
      <c r="K895" s="443" t="s">
        <v>1191</v>
      </c>
      <c r="L895" s="471">
        <v>1</v>
      </c>
      <c r="M895" s="447" t="s">
        <v>1202</v>
      </c>
      <c r="N895" s="456">
        <v>24000</v>
      </c>
      <c r="O895" s="475">
        <f t="shared" si="3"/>
        <v>24000</v>
      </c>
      <c r="P895" s="476"/>
      <c r="Q895" s="477">
        <v>46023</v>
      </c>
      <c r="R895" s="476"/>
      <c r="S895" s="476"/>
    </row>
    <row r="896" spans="1:19" ht="15.75" customHeight="1" x14ac:dyDescent="0.25">
      <c r="A896" s="438">
        <v>893</v>
      </c>
      <c r="B896" s="470" t="s">
        <v>17</v>
      </c>
      <c r="C896" s="471" t="s">
        <v>18</v>
      </c>
      <c r="D896" s="472" t="s">
        <v>19</v>
      </c>
      <c r="E896" s="448" t="s">
        <v>4083</v>
      </c>
      <c r="F896" s="448" t="s">
        <v>2988</v>
      </c>
      <c r="G896" s="473" t="s">
        <v>3053</v>
      </c>
      <c r="H896" s="439" t="s">
        <v>1189</v>
      </c>
      <c r="I896" s="474" t="s">
        <v>3457</v>
      </c>
      <c r="J896" s="474" t="s">
        <v>3463</v>
      </c>
      <c r="K896" s="443" t="s">
        <v>1191</v>
      </c>
      <c r="L896" s="471">
        <v>1</v>
      </c>
      <c r="M896" s="447" t="s">
        <v>1203</v>
      </c>
      <c r="N896" s="456">
        <v>24000</v>
      </c>
      <c r="O896" s="475">
        <f t="shared" si="3"/>
        <v>24000</v>
      </c>
      <c r="P896" s="476"/>
      <c r="Q896" s="477">
        <v>46023</v>
      </c>
      <c r="R896" s="476"/>
      <c r="S896" s="476"/>
    </row>
    <row r="897" spans="1:19" ht="15.75" customHeight="1" x14ac:dyDescent="0.25">
      <c r="A897" s="438">
        <v>894</v>
      </c>
      <c r="B897" s="470" t="s">
        <v>17</v>
      </c>
      <c r="C897" s="471" t="s">
        <v>18</v>
      </c>
      <c r="D897" s="472" t="s">
        <v>19</v>
      </c>
      <c r="E897" s="448" t="s">
        <v>4083</v>
      </c>
      <c r="F897" s="448" t="s">
        <v>2988</v>
      </c>
      <c r="G897" s="473" t="s">
        <v>3053</v>
      </c>
      <c r="H897" s="439" t="s">
        <v>1189</v>
      </c>
      <c r="I897" s="474" t="s">
        <v>3457</v>
      </c>
      <c r="J897" s="474" t="s">
        <v>3463</v>
      </c>
      <c r="K897" s="443" t="s">
        <v>1191</v>
      </c>
      <c r="L897" s="471">
        <v>1</v>
      </c>
      <c r="M897" s="447" t="s">
        <v>1204</v>
      </c>
      <c r="N897" s="456">
        <v>24000</v>
      </c>
      <c r="O897" s="475">
        <f t="shared" si="3"/>
        <v>24000</v>
      </c>
      <c r="P897" s="476"/>
      <c r="Q897" s="477">
        <v>46023</v>
      </c>
      <c r="R897" s="476"/>
      <c r="S897" s="476"/>
    </row>
    <row r="898" spans="1:19" ht="15.75" customHeight="1" x14ac:dyDescent="0.25">
      <c r="A898" s="438">
        <v>895</v>
      </c>
      <c r="B898" s="470" t="s">
        <v>17</v>
      </c>
      <c r="C898" s="471" t="s">
        <v>18</v>
      </c>
      <c r="D898" s="472" t="s">
        <v>19</v>
      </c>
      <c r="E898" s="448" t="s">
        <v>4085</v>
      </c>
      <c r="F898" s="448" t="s">
        <v>2985</v>
      </c>
      <c r="G898" s="473" t="s">
        <v>3984</v>
      </c>
      <c r="H898" s="439" t="s">
        <v>1205</v>
      </c>
      <c r="I898" s="474" t="s">
        <v>3457</v>
      </c>
      <c r="J898" s="474" t="s">
        <v>3464</v>
      </c>
      <c r="K898" s="443" t="s">
        <v>1206</v>
      </c>
      <c r="L898" s="471">
        <v>1</v>
      </c>
      <c r="M898" s="447" t="s">
        <v>1207</v>
      </c>
      <c r="N898" s="456">
        <v>3290</v>
      </c>
      <c r="O898" s="475">
        <f t="shared" si="3"/>
        <v>3290</v>
      </c>
      <c r="P898" s="476"/>
      <c r="Q898" s="477">
        <v>46023</v>
      </c>
      <c r="R898" s="476"/>
      <c r="S898" s="476"/>
    </row>
    <row r="899" spans="1:19" ht="15.75" customHeight="1" x14ac:dyDescent="0.25">
      <c r="A899" s="438">
        <v>896</v>
      </c>
      <c r="B899" s="470" t="s">
        <v>17</v>
      </c>
      <c r="C899" s="471" t="s">
        <v>18</v>
      </c>
      <c r="D899" s="472" t="s">
        <v>19</v>
      </c>
      <c r="E899" s="465" t="s">
        <v>4085</v>
      </c>
      <c r="F899" s="448" t="s">
        <v>2985</v>
      </c>
      <c r="G899" s="473" t="s">
        <v>3984</v>
      </c>
      <c r="H899" s="439" t="s">
        <v>1205</v>
      </c>
      <c r="I899" s="474" t="s">
        <v>3457</v>
      </c>
      <c r="J899" s="474" t="s">
        <v>3464</v>
      </c>
      <c r="K899" s="443" t="s">
        <v>1206</v>
      </c>
      <c r="L899" s="471">
        <v>1</v>
      </c>
      <c r="M899" s="447" t="s">
        <v>1208</v>
      </c>
      <c r="N899" s="456">
        <v>3290</v>
      </c>
      <c r="O899" s="475">
        <f t="shared" si="3"/>
        <v>3290</v>
      </c>
      <c r="P899" s="476"/>
      <c r="Q899" s="477">
        <v>46023</v>
      </c>
      <c r="R899" s="476"/>
      <c r="S899" s="476"/>
    </row>
    <row r="900" spans="1:19" ht="15.75" customHeight="1" x14ac:dyDescent="0.25">
      <c r="A900" s="438">
        <v>897</v>
      </c>
      <c r="B900" s="470" t="s">
        <v>17</v>
      </c>
      <c r="C900" s="471" t="s">
        <v>18</v>
      </c>
      <c r="D900" s="472" t="s">
        <v>19</v>
      </c>
      <c r="E900" s="465" t="s">
        <v>4085</v>
      </c>
      <c r="F900" s="448" t="s">
        <v>2985</v>
      </c>
      <c r="G900" s="473" t="s">
        <v>3984</v>
      </c>
      <c r="H900" s="439" t="s">
        <v>1205</v>
      </c>
      <c r="I900" s="474" t="s">
        <v>3457</v>
      </c>
      <c r="J900" s="474" t="s">
        <v>3464</v>
      </c>
      <c r="K900" s="443" t="s">
        <v>1206</v>
      </c>
      <c r="L900" s="471">
        <v>1</v>
      </c>
      <c r="M900" s="447" t="s">
        <v>1209</v>
      </c>
      <c r="N900" s="456">
        <v>3290</v>
      </c>
      <c r="O900" s="475">
        <f t="shared" si="3"/>
        <v>3290</v>
      </c>
      <c r="P900" s="476"/>
      <c r="Q900" s="477">
        <v>46023</v>
      </c>
      <c r="R900" s="476"/>
      <c r="S900" s="476"/>
    </row>
    <row r="901" spans="1:19" ht="15.75" customHeight="1" x14ac:dyDescent="0.25">
      <c r="A901" s="438">
        <v>898</v>
      </c>
      <c r="B901" s="470" t="s">
        <v>17</v>
      </c>
      <c r="C901" s="471" t="s">
        <v>18</v>
      </c>
      <c r="D901" s="472" t="s">
        <v>19</v>
      </c>
      <c r="E901" s="448" t="s">
        <v>4085</v>
      </c>
      <c r="F901" s="448" t="s">
        <v>2985</v>
      </c>
      <c r="G901" s="473" t="s">
        <v>3984</v>
      </c>
      <c r="H901" s="439" t="s">
        <v>1205</v>
      </c>
      <c r="I901" s="474" t="s">
        <v>3457</v>
      </c>
      <c r="J901" s="474" t="s">
        <v>3464</v>
      </c>
      <c r="K901" s="443" t="s">
        <v>1206</v>
      </c>
      <c r="L901" s="471">
        <v>1</v>
      </c>
      <c r="M901" s="447" t="s">
        <v>1210</v>
      </c>
      <c r="N901" s="456">
        <v>3290</v>
      </c>
      <c r="O901" s="475">
        <f t="shared" si="3"/>
        <v>3290</v>
      </c>
      <c r="P901" s="476"/>
      <c r="Q901" s="477">
        <v>46023</v>
      </c>
      <c r="R901" s="476"/>
      <c r="S901" s="476"/>
    </row>
    <row r="902" spans="1:19" ht="15.75" customHeight="1" x14ac:dyDescent="0.25">
      <c r="A902" s="438">
        <v>899</v>
      </c>
      <c r="B902" s="470" t="s">
        <v>17</v>
      </c>
      <c r="C902" s="471" t="s">
        <v>18</v>
      </c>
      <c r="D902" s="472" t="s">
        <v>19</v>
      </c>
      <c r="E902" s="448" t="s">
        <v>4085</v>
      </c>
      <c r="F902" s="448" t="s">
        <v>2985</v>
      </c>
      <c r="G902" s="473" t="s">
        <v>3984</v>
      </c>
      <c r="H902" s="439" t="s">
        <v>1205</v>
      </c>
      <c r="I902" s="474" t="s">
        <v>3457</v>
      </c>
      <c r="J902" s="474" t="s">
        <v>3464</v>
      </c>
      <c r="K902" s="443" t="s">
        <v>1206</v>
      </c>
      <c r="L902" s="471">
        <v>1</v>
      </c>
      <c r="M902" s="447" t="s">
        <v>1211</v>
      </c>
      <c r="N902" s="456">
        <v>3290</v>
      </c>
      <c r="O902" s="475">
        <f t="shared" si="3"/>
        <v>3290</v>
      </c>
      <c r="P902" s="476"/>
      <c r="Q902" s="477">
        <v>46023</v>
      </c>
      <c r="R902" s="476"/>
      <c r="S902" s="476"/>
    </row>
    <row r="903" spans="1:19" ht="15.75" customHeight="1" x14ac:dyDescent="0.25">
      <c r="A903" s="438">
        <v>900</v>
      </c>
      <c r="B903" s="470" t="s">
        <v>17</v>
      </c>
      <c r="C903" s="471" t="s">
        <v>18</v>
      </c>
      <c r="D903" s="472" t="s">
        <v>19</v>
      </c>
      <c r="E903" s="448" t="s">
        <v>4085</v>
      </c>
      <c r="F903" s="448" t="s">
        <v>2985</v>
      </c>
      <c r="G903" s="473" t="s">
        <v>3985</v>
      </c>
      <c r="H903" s="439" t="s">
        <v>1212</v>
      </c>
      <c r="I903" s="474" t="s">
        <v>3457</v>
      </c>
      <c r="J903" s="474" t="s">
        <v>3464</v>
      </c>
      <c r="K903" s="443" t="s">
        <v>1213</v>
      </c>
      <c r="L903" s="471">
        <v>1</v>
      </c>
      <c r="M903" s="447" t="s">
        <v>1214</v>
      </c>
      <c r="N903" s="456">
        <v>16870</v>
      </c>
      <c r="O903" s="475">
        <f t="shared" si="3"/>
        <v>16870</v>
      </c>
      <c r="P903" s="476"/>
      <c r="Q903" s="477">
        <v>46023</v>
      </c>
      <c r="R903" s="476"/>
      <c r="S903" s="476"/>
    </row>
    <row r="904" spans="1:19" ht="15.75" customHeight="1" x14ac:dyDescent="0.25">
      <c r="A904" s="438">
        <v>901</v>
      </c>
      <c r="B904" s="470" t="s">
        <v>17</v>
      </c>
      <c r="C904" s="471" t="s">
        <v>18</v>
      </c>
      <c r="D904" s="472" t="s">
        <v>19</v>
      </c>
      <c r="E904" s="448" t="s">
        <v>4085</v>
      </c>
      <c r="F904" s="448" t="s">
        <v>2985</v>
      </c>
      <c r="G904" s="473" t="s">
        <v>3985</v>
      </c>
      <c r="H904" s="439" t="s">
        <v>3408</v>
      </c>
      <c r="I904" s="474" t="s">
        <v>3457</v>
      </c>
      <c r="J904" s="474" t="s">
        <v>3464</v>
      </c>
      <c r="K904" s="443" t="s">
        <v>1213</v>
      </c>
      <c r="L904" s="471">
        <v>1</v>
      </c>
      <c r="M904" s="447" t="s">
        <v>1215</v>
      </c>
      <c r="N904" s="456">
        <v>16870</v>
      </c>
      <c r="O904" s="475">
        <f t="shared" si="3"/>
        <v>16870</v>
      </c>
      <c r="P904" s="476"/>
      <c r="Q904" s="477">
        <v>46023</v>
      </c>
      <c r="R904" s="476"/>
      <c r="S904" s="476"/>
    </row>
    <row r="905" spans="1:19" ht="15.75" customHeight="1" x14ac:dyDescent="0.25">
      <c r="A905" s="438">
        <v>902</v>
      </c>
      <c r="B905" s="470" t="s">
        <v>17</v>
      </c>
      <c r="C905" s="471" t="s">
        <v>18</v>
      </c>
      <c r="D905" s="472" t="s">
        <v>19</v>
      </c>
      <c r="E905" s="448" t="s">
        <v>4084</v>
      </c>
      <c r="F905" s="448" t="s">
        <v>4096</v>
      </c>
      <c r="G905" s="473" t="s">
        <v>3986</v>
      </c>
      <c r="H905" s="439" t="s">
        <v>1216</v>
      </c>
      <c r="I905" s="474" t="s">
        <v>3457</v>
      </c>
      <c r="J905" s="474" t="s">
        <v>3464</v>
      </c>
      <c r="K905" s="443" t="s">
        <v>1217</v>
      </c>
      <c r="L905" s="471">
        <v>1</v>
      </c>
      <c r="M905" s="447" t="s">
        <v>1218</v>
      </c>
      <c r="N905" s="456">
        <v>125000</v>
      </c>
      <c r="O905" s="475">
        <f t="shared" si="3"/>
        <v>125000</v>
      </c>
      <c r="P905" s="476"/>
      <c r="Q905" s="477">
        <v>46023</v>
      </c>
      <c r="R905" s="476"/>
      <c r="S905" s="476"/>
    </row>
    <row r="906" spans="1:19" ht="15.75" customHeight="1" x14ac:dyDescent="0.25">
      <c r="A906" s="438">
        <v>903</v>
      </c>
      <c r="B906" s="470" t="s">
        <v>17</v>
      </c>
      <c r="C906" s="471" t="s">
        <v>18</v>
      </c>
      <c r="D906" s="472" t="s">
        <v>19</v>
      </c>
      <c r="E906" s="448" t="s">
        <v>4084</v>
      </c>
      <c r="F906" s="448" t="s">
        <v>4096</v>
      </c>
      <c r="G906" s="473" t="s">
        <v>3986</v>
      </c>
      <c r="H906" s="439" t="s">
        <v>1216</v>
      </c>
      <c r="I906" s="474" t="s">
        <v>3457</v>
      </c>
      <c r="J906" s="474" t="s">
        <v>3464</v>
      </c>
      <c r="K906" s="443" t="s">
        <v>1217</v>
      </c>
      <c r="L906" s="471">
        <v>1</v>
      </c>
      <c r="M906" s="447" t="s">
        <v>1219</v>
      </c>
      <c r="N906" s="456">
        <v>125000</v>
      </c>
      <c r="O906" s="475">
        <f t="shared" si="3"/>
        <v>125000</v>
      </c>
      <c r="P906" s="476"/>
      <c r="Q906" s="477">
        <v>46023</v>
      </c>
      <c r="R906" s="476"/>
      <c r="S906" s="476"/>
    </row>
    <row r="907" spans="1:19" ht="15.75" customHeight="1" x14ac:dyDescent="0.25">
      <c r="A907" s="438">
        <v>904</v>
      </c>
      <c r="B907" s="470" t="s">
        <v>17</v>
      </c>
      <c r="C907" s="471" t="s">
        <v>18</v>
      </c>
      <c r="D907" s="472" t="s">
        <v>19</v>
      </c>
      <c r="E907" s="448" t="s">
        <v>4084</v>
      </c>
      <c r="F907" s="448" t="s">
        <v>4096</v>
      </c>
      <c r="G907" s="473" t="s">
        <v>3986</v>
      </c>
      <c r="H907" s="439" t="s">
        <v>1216</v>
      </c>
      <c r="I907" s="474" t="s">
        <v>3457</v>
      </c>
      <c r="J907" s="474" t="s">
        <v>3464</v>
      </c>
      <c r="K907" s="443" t="s">
        <v>1217</v>
      </c>
      <c r="L907" s="471">
        <v>1</v>
      </c>
      <c r="M907" s="447" t="s">
        <v>1220</v>
      </c>
      <c r="N907" s="456">
        <v>125000</v>
      </c>
      <c r="O907" s="475">
        <f t="shared" si="3"/>
        <v>125000</v>
      </c>
      <c r="P907" s="476"/>
      <c r="Q907" s="477">
        <v>46023</v>
      </c>
      <c r="R907" s="476"/>
      <c r="S907" s="476"/>
    </row>
    <row r="908" spans="1:19" ht="15.75" customHeight="1" x14ac:dyDescent="0.25">
      <c r="A908" s="438">
        <v>905</v>
      </c>
      <c r="B908" s="470" t="s">
        <v>17</v>
      </c>
      <c r="C908" s="471" t="s">
        <v>18</v>
      </c>
      <c r="D908" s="472" t="s">
        <v>19</v>
      </c>
      <c r="E908" s="448" t="s">
        <v>4084</v>
      </c>
      <c r="F908" s="448" t="s">
        <v>4096</v>
      </c>
      <c r="G908" s="473" t="s">
        <v>3986</v>
      </c>
      <c r="H908" s="439" t="s">
        <v>1216</v>
      </c>
      <c r="I908" s="474" t="s">
        <v>3457</v>
      </c>
      <c r="J908" s="474" t="s">
        <v>3464</v>
      </c>
      <c r="K908" s="443" t="s">
        <v>1217</v>
      </c>
      <c r="L908" s="471">
        <v>1</v>
      </c>
      <c r="M908" s="447" t="s">
        <v>1221</v>
      </c>
      <c r="N908" s="456">
        <v>125000</v>
      </c>
      <c r="O908" s="475">
        <f t="shared" si="3"/>
        <v>125000</v>
      </c>
      <c r="P908" s="476"/>
      <c r="Q908" s="477">
        <v>46023</v>
      </c>
      <c r="R908" s="476"/>
      <c r="S908" s="476"/>
    </row>
    <row r="909" spans="1:19" ht="15.75" customHeight="1" x14ac:dyDescent="0.25">
      <c r="A909" s="438">
        <v>906</v>
      </c>
      <c r="B909" s="470" t="s">
        <v>17</v>
      </c>
      <c r="C909" s="471" t="s">
        <v>18</v>
      </c>
      <c r="D909" s="472" t="s">
        <v>19</v>
      </c>
      <c r="E909" s="448" t="s">
        <v>4084</v>
      </c>
      <c r="F909" s="448" t="s">
        <v>4096</v>
      </c>
      <c r="G909" s="473" t="s">
        <v>3986</v>
      </c>
      <c r="H909" s="439" t="s">
        <v>1216</v>
      </c>
      <c r="I909" s="474" t="s">
        <v>3457</v>
      </c>
      <c r="J909" s="474" t="s">
        <v>3464</v>
      </c>
      <c r="K909" s="443" t="s">
        <v>1217</v>
      </c>
      <c r="L909" s="471">
        <v>1</v>
      </c>
      <c r="M909" s="447" t="s">
        <v>1222</v>
      </c>
      <c r="N909" s="456">
        <v>125000</v>
      </c>
      <c r="O909" s="475">
        <f t="shared" si="3"/>
        <v>125000</v>
      </c>
      <c r="P909" s="476"/>
      <c r="Q909" s="477">
        <v>46023</v>
      </c>
      <c r="R909" s="476"/>
      <c r="S909" s="476"/>
    </row>
    <row r="910" spans="1:19" ht="15.75" customHeight="1" x14ac:dyDescent="0.25">
      <c r="A910" s="438">
        <v>907</v>
      </c>
      <c r="B910" s="470" t="s">
        <v>17</v>
      </c>
      <c r="C910" s="471" t="s">
        <v>18</v>
      </c>
      <c r="D910" s="472" t="s">
        <v>19</v>
      </c>
      <c r="E910" s="448" t="s">
        <v>3047</v>
      </c>
      <c r="F910" s="448" t="s">
        <v>3047</v>
      </c>
      <c r="G910" s="473" t="s">
        <v>3987</v>
      </c>
      <c r="H910" s="439" t="s">
        <v>1223</v>
      </c>
      <c r="I910" s="474" t="s">
        <v>3457</v>
      </c>
      <c r="J910" s="474" t="s">
        <v>3463</v>
      </c>
      <c r="K910" s="443" t="s">
        <v>1224</v>
      </c>
      <c r="L910" s="471">
        <v>1</v>
      </c>
      <c r="M910" s="447" t="s">
        <v>1225</v>
      </c>
      <c r="N910" s="456">
        <v>4224</v>
      </c>
      <c r="O910" s="475">
        <f t="shared" si="3"/>
        <v>4224</v>
      </c>
      <c r="P910" s="476"/>
      <c r="Q910" s="477">
        <v>46023</v>
      </c>
      <c r="R910" s="476"/>
      <c r="S910" s="476"/>
    </row>
    <row r="911" spans="1:19" ht="15.75" customHeight="1" x14ac:dyDescent="0.25">
      <c r="A911" s="438">
        <v>908</v>
      </c>
      <c r="B911" s="470" t="s">
        <v>17</v>
      </c>
      <c r="C911" s="471" t="s">
        <v>18</v>
      </c>
      <c r="D911" s="472" t="s">
        <v>19</v>
      </c>
      <c r="E911" s="448" t="s">
        <v>4085</v>
      </c>
      <c r="F911" s="448" t="s">
        <v>2985</v>
      </c>
      <c r="G911" s="473" t="s">
        <v>3987</v>
      </c>
      <c r="H911" s="439" t="s">
        <v>1223</v>
      </c>
      <c r="I911" s="474" t="s">
        <v>3457</v>
      </c>
      <c r="J911" s="474" t="s">
        <v>3463</v>
      </c>
      <c r="K911" s="443" t="s">
        <v>1224</v>
      </c>
      <c r="L911" s="471">
        <v>1</v>
      </c>
      <c r="M911" s="447" t="s">
        <v>1226</v>
      </c>
      <c r="N911" s="456">
        <v>4224</v>
      </c>
      <c r="O911" s="475">
        <f t="shared" si="3"/>
        <v>4224</v>
      </c>
      <c r="P911" s="476"/>
      <c r="Q911" s="477">
        <v>46023</v>
      </c>
      <c r="R911" s="476"/>
      <c r="S911" s="476"/>
    </row>
    <row r="912" spans="1:19" ht="15.75" customHeight="1" x14ac:dyDescent="0.25">
      <c r="A912" s="438">
        <v>909</v>
      </c>
      <c r="B912" s="470" t="s">
        <v>17</v>
      </c>
      <c r="C912" s="471" t="s">
        <v>18</v>
      </c>
      <c r="D912" s="472" t="s">
        <v>19</v>
      </c>
      <c r="E912" s="448" t="s">
        <v>4085</v>
      </c>
      <c r="F912" s="448" t="s">
        <v>2985</v>
      </c>
      <c r="G912" s="473" t="s">
        <v>3987</v>
      </c>
      <c r="H912" s="439" t="s">
        <v>1223</v>
      </c>
      <c r="I912" s="474" t="s">
        <v>3457</v>
      </c>
      <c r="J912" s="474" t="s">
        <v>3463</v>
      </c>
      <c r="K912" s="443" t="s">
        <v>1224</v>
      </c>
      <c r="L912" s="471">
        <v>1</v>
      </c>
      <c r="M912" s="447" t="s">
        <v>1227</v>
      </c>
      <c r="N912" s="456">
        <v>4224</v>
      </c>
      <c r="O912" s="475">
        <f t="shared" si="3"/>
        <v>4224</v>
      </c>
      <c r="P912" s="476"/>
      <c r="Q912" s="477">
        <v>46023</v>
      </c>
      <c r="R912" s="476"/>
      <c r="S912" s="476"/>
    </row>
    <row r="913" spans="1:19" ht="15.75" customHeight="1" x14ac:dyDescent="0.25">
      <c r="A913" s="438">
        <v>910</v>
      </c>
      <c r="B913" s="470" t="s">
        <v>17</v>
      </c>
      <c r="C913" s="471" t="s">
        <v>18</v>
      </c>
      <c r="D913" s="472" t="s">
        <v>19</v>
      </c>
      <c r="E913" s="448" t="s">
        <v>4085</v>
      </c>
      <c r="F913" s="448" t="s">
        <v>2985</v>
      </c>
      <c r="G913" s="473" t="s">
        <v>3987</v>
      </c>
      <c r="H913" s="439" t="s">
        <v>1223</v>
      </c>
      <c r="I913" s="474" t="s">
        <v>3457</v>
      </c>
      <c r="J913" s="474" t="s">
        <v>3463</v>
      </c>
      <c r="K913" s="443" t="s">
        <v>1224</v>
      </c>
      <c r="L913" s="471">
        <v>1</v>
      </c>
      <c r="M913" s="447" t="s">
        <v>1228</v>
      </c>
      <c r="N913" s="456">
        <v>4224</v>
      </c>
      <c r="O913" s="475">
        <f t="shared" si="3"/>
        <v>4224</v>
      </c>
      <c r="P913" s="476"/>
      <c r="Q913" s="477">
        <v>46023</v>
      </c>
      <c r="R913" s="476"/>
      <c r="S913" s="476"/>
    </row>
    <row r="914" spans="1:19" ht="15.75" customHeight="1" x14ac:dyDescent="0.25">
      <c r="A914" s="438">
        <v>911</v>
      </c>
      <c r="B914" s="470" t="s">
        <v>17</v>
      </c>
      <c r="C914" s="471" t="s">
        <v>18</v>
      </c>
      <c r="D914" s="472" t="s">
        <v>19</v>
      </c>
      <c r="E914" s="448" t="s">
        <v>4085</v>
      </c>
      <c r="F914" s="448" t="s">
        <v>2985</v>
      </c>
      <c r="G914" s="473" t="s">
        <v>3987</v>
      </c>
      <c r="H914" s="439" t="s">
        <v>1223</v>
      </c>
      <c r="I914" s="474" t="s">
        <v>3457</v>
      </c>
      <c r="J914" s="474" t="s">
        <v>3463</v>
      </c>
      <c r="K914" s="443" t="s">
        <v>1224</v>
      </c>
      <c r="L914" s="471">
        <v>1</v>
      </c>
      <c r="M914" s="447" t="s">
        <v>1229</v>
      </c>
      <c r="N914" s="456">
        <v>4224</v>
      </c>
      <c r="O914" s="475">
        <f t="shared" si="3"/>
        <v>4224</v>
      </c>
      <c r="P914" s="476"/>
      <c r="Q914" s="477">
        <v>46023</v>
      </c>
      <c r="R914" s="476"/>
      <c r="S914" s="476"/>
    </row>
    <row r="915" spans="1:19" ht="15.75" customHeight="1" x14ac:dyDescent="0.25">
      <c r="A915" s="438">
        <v>912</v>
      </c>
      <c r="B915" s="470" t="s">
        <v>17</v>
      </c>
      <c r="C915" s="471" t="s">
        <v>18</v>
      </c>
      <c r="D915" s="472" t="s">
        <v>19</v>
      </c>
      <c r="E915" s="448" t="s">
        <v>4085</v>
      </c>
      <c r="F915" s="448" t="s">
        <v>2985</v>
      </c>
      <c r="G915" s="473" t="s">
        <v>3987</v>
      </c>
      <c r="H915" s="439" t="s">
        <v>1223</v>
      </c>
      <c r="I915" s="474" t="s">
        <v>3457</v>
      </c>
      <c r="J915" s="474" t="s">
        <v>3463</v>
      </c>
      <c r="K915" s="443" t="s">
        <v>1224</v>
      </c>
      <c r="L915" s="471">
        <v>1</v>
      </c>
      <c r="M915" s="447" t="s">
        <v>1230</v>
      </c>
      <c r="N915" s="456">
        <v>4224</v>
      </c>
      <c r="O915" s="475">
        <f t="shared" si="3"/>
        <v>4224</v>
      </c>
      <c r="P915" s="476"/>
      <c r="Q915" s="477">
        <v>46023</v>
      </c>
      <c r="R915" s="476"/>
      <c r="S915" s="476"/>
    </row>
    <row r="916" spans="1:19" ht="15.75" customHeight="1" x14ac:dyDescent="0.25">
      <c r="A916" s="438">
        <v>913</v>
      </c>
      <c r="B916" s="470" t="s">
        <v>17</v>
      </c>
      <c r="C916" s="471" t="s">
        <v>18</v>
      </c>
      <c r="D916" s="472" t="s">
        <v>19</v>
      </c>
      <c r="E916" s="448" t="s">
        <v>4085</v>
      </c>
      <c r="F916" s="448" t="s">
        <v>2985</v>
      </c>
      <c r="G916" s="473" t="s">
        <v>3987</v>
      </c>
      <c r="H916" s="439" t="s">
        <v>1223</v>
      </c>
      <c r="I916" s="474" t="s">
        <v>3457</v>
      </c>
      <c r="J916" s="474" t="s">
        <v>3463</v>
      </c>
      <c r="K916" s="443" t="s">
        <v>1224</v>
      </c>
      <c r="L916" s="471">
        <v>1</v>
      </c>
      <c r="M916" s="447" t="s">
        <v>1231</v>
      </c>
      <c r="N916" s="456">
        <v>4224</v>
      </c>
      <c r="O916" s="475">
        <f t="shared" si="3"/>
        <v>4224</v>
      </c>
      <c r="P916" s="476"/>
      <c r="Q916" s="477">
        <v>46023</v>
      </c>
      <c r="R916" s="476"/>
      <c r="S916" s="476"/>
    </row>
    <row r="917" spans="1:19" ht="15.75" customHeight="1" x14ac:dyDescent="0.25">
      <c r="A917" s="438">
        <v>914</v>
      </c>
      <c r="B917" s="470" t="s">
        <v>17</v>
      </c>
      <c r="C917" s="471" t="s">
        <v>18</v>
      </c>
      <c r="D917" s="472" t="s">
        <v>19</v>
      </c>
      <c r="E917" s="465" t="s">
        <v>4088</v>
      </c>
      <c r="F917" s="448" t="s">
        <v>3025</v>
      </c>
      <c r="G917" s="473" t="s">
        <v>3987</v>
      </c>
      <c r="H917" s="439" t="s">
        <v>1223</v>
      </c>
      <c r="I917" s="474" t="s">
        <v>3457</v>
      </c>
      <c r="J917" s="474" t="s">
        <v>3463</v>
      </c>
      <c r="K917" s="443" t="s">
        <v>1224</v>
      </c>
      <c r="L917" s="471">
        <v>1</v>
      </c>
      <c r="M917" s="447" t="s">
        <v>1232</v>
      </c>
      <c r="N917" s="455">
        <v>4224</v>
      </c>
      <c r="O917" s="475">
        <f t="shared" si="3"/>
        <v>4224</v>
      </c>
      <c r="P917" s="476"/>
      <c r="Q917" s="477">
        <v>46023</v>
      </c>
      <c r="R917" s="476"/>
      <c r="S917" s="476"/>
    </row>
    <row r="918" spans="1:19" ht="15.75" customHeight="1" x14ac:dyDescent="0.25">
      <c r="A918" s="438">
        <v>915</v>
      </c>
      <c r="B918" s="470" t="s">
        <v>17</v>
      </c>
      <c r="C918" s="471" t="s">
        <v>18</v>
      </c>
      <c r="D918" s="472" t="s">
        <v>19</v>
      </c>
      <c r="E918" s="465" t="s">
        <v>4088</v>
      </c>
      <c r="F918" s="448" t="s">
        <v>4101</v>
      </c>
      <c r="G918" s="473" t="s">
        <v>3987</v>
      </c>
      <c r="H918" s="439" t="s">
        <v>1223</v>
      </c>
      <c r="I918" s="474" t="s">
        <v>3457</v>
      </c>
      <c r="J918" s="474" t="s">
        <v>3463</v>
      </c>
      <c r="K918" s="443" t="s">
        <v>1224</v>
      </c>
      <c r="L918" s="471">
        <v>1</v>
      </c>
      <c r="M918" s="447" t="s">
        <v>1233</v>
      </c>
      <c r="N918" s="455">
        <v>4224</v>
      </c>
      <c r="O918" s="475">
        <f t="shared" si="3"/>
        <v>4224</v>
      </c>
      <c r="P918" s="476"/>
      <c r="Q918" s="477">
        <v>46023</v>
      </c>
      <c r="R918" s="476"/>
      <c r="S918" s="476"/>
    </row>
    <row r="919" spans="1:19" ht="15.75" customHeight="1" x14ac:dyDescent="0.25">
      <c r="A919" s="438">
        <v>916</v>
      </c>
      <c r="B919" s="470" t="s">
        <v>17</v>
      </c>
      <c r="C919" s="471" t="s">
        <v>18</v>
      </c>
      <c r="D919" s="472" t="s">
        <v>19</v>
      </c>
      <c r="E919" s="448" t="s">
        <v>4088</v>
      </c>
      <c r="F919" s="448" t="s">
        <v>4101</v>
      </c>
      <c r="G919" s="473" t="s">
        <v>3987</v>
      </c>
      <c r="H919" s="439" t="s">
        <v>1223</v>
      </c>
      <c r="I919" s="474" t="s">
        <v>3457</v>
      </c>
      <c r="J919" s="474" t="s">
        <v>3463</v>
      </c>
      <c r="K919" s="443" t="s">
        <v>1224</v>
      </c>
      <c r="L919" s="471">
        <v>1</v>
      </c>
      <c r="M919" s="447" t="s">
        <v>1234</v>
      </c>
      <c r="N919" s="455">
        <v>4224</v>
      </c>
      <c r="O919" s="475">
        <f t="shared" si="3"/>
        <v>4224</v>
      </c>
      <c r="P919" s="476"/>
      <c r="Q919" s="477">
        <v>46023</v>
      </c>
      <c r="R919" s="476"/>
      <c r="S919" s="476"/>
    </row>
    <row r="920" spans="1:19" ht="15.75" customHeight="1" x14ac:dyDescent="0.25">
      <c r="A920" s="438">
        <v>917</v>
      </c>
      <c r="B920" s="470" t="s">
        <v>17</v>
      </c>
      <c r="C920" s="471" t="s">
        <v>18</v>
      </c>
      <c r="D920" s="472" t="s">
        <v>19</v>
      </c>
      <c r="E920" s="448" t="s">
        <v>4090</v>
      </c>
      <c r="F920" s="448" t="s">
        <v>4090</v>
      </c>
      <c r="G920" s="473" t="s">
        <v>3987</v>
      </c>
      <c r="H920" s="439" t="s">
        <v>1223</v>
      </c>
      <c r="I920" s="474" t="s">
        <v>3457</v>
      </c>
      <c r="J920" s="474" t="s">
        <v>3463</v>
      </c>
      <c r="K920" s="443" t="s">
        <v>1224</v>
      </c>
      <c r="L920" s="471">
        <v>1</v>
      </c>
      <c r="M920" s="447" t="s">
        <v>1235</v>
      </c>
      <c r="N920" s="455">
        <v>4224</v>
      </c>
      <c r="O920" s="475">
        <f t="shared" si="3"/>
        <v>4224</v>
      </c>
      <c r="P920" s="476"/>
      <c r="Q920" s="477">
        <v>46023</v>
      </c>
      <c r="R920" s="476"/>
      <c r="S920" s="476"/>
    </row>
    <row r="921" spans="1:19" ht="15.75" customHeight="1" x14ac:dyDescent="0.25">
      <c r="A921" s="438">
        <v>918</v>
      </c>
      <c r="B921" s="470" t="s">
        <v>17</v>
      </c>
      <c r="C921" s="471" t="s">
        <v>18</v>
      </c>
      <c r="D921" s="472" t="s">
        <v>19</v>
      </c>
      <c r="E921" s="448" t="s">
        <v>4080</v>
      </c>
      <c r="F921" s="448" t="s">
        <v>4080</v>
      </c>
      <c r="G921" s="473" t="s">
        <v>3987</v>
      </c>
      <c r="H921" s="439" t="s">
        <v>1223</v>
      </c>
      <c r="I921" s="474" t="s">
        <v>3457</v>
      </c>
      <c r="J921" s="474" t="s">
        <v>3463</v>
      </c>
      <c r="K921" s="443" t="s">
        <v>1224</v>
      </c>
      <c r="L921" s="471">
        <v>1</v>
      </c>
      <c r="M921" s="447" t="s">
        <v>1236</v>
      </c>
      <c r="N921" s="455">
        <v>4224</v>
      </c>
      <c r="O921" s="475">
        <f t="shared" si="3"/>
        <v>4224</v>
      </c>
      <c r="P921" s="476"/>
      <c r="Q921" s="477">
        <v>46023</v>
      </c>
      <c r="R921" s="476"/>
      <c r="S921" s="476"/>
    </row>
    <row r="922" spans="1:19" ht="15.75" customHeight="1" x14ac:dyDescent="0.25">
      <c r="A922" s="438">
        <v>919</v>
      </c>
      <c r="B922" s="470" t="s">
        <v>17</v>
      </c>
      <c r="C922" s="471" t="s">
        <v>18</v>
      </c>
      <c r="D922" s="472" t="s">
        <v>19</v>
      </c>
      <c r="E922" s="448" t="s">
        <v>4088</v>
      </c>
      <c r="F922" s="448" t="s">
        <v>3049</v>
      </c>
      <c r="G922" s="473" t="s">
        <v>3988</v>
      </c>
      <c r="H922" s="439" t="s">
        <v>1237</v>
      </c>
      <c r="I922" s="474" t="s">
        <v>3457</v>
      </c>
      <c r="J922" s="474" t="s">
        <v>3463</v>
      </c>
      <c r="K922" s="443" t="s">
        <v>1238</v>
      </c>
      <c r="L922" s="471">
        <v>1</v>
      </c>
      <c r="M922" s="447" t="s">
        <v>1239</v>
      </c>
      <c r="N922" s="455">
        <v>12740</v>
      </c>
      <c r="O922" s="475">
        <f t="shared" si="3"/>
        <v>12740</v>
      </c>
      <c r="P922" s="476"/>
      <c r="Q922" s="477">
        <v>46023</v>
      </c>
      <c r="R922" s="476"/>
      <c r="S922" s="476"/>
    </row>
    <row r="923" spans="1:19" ht="15.75" customHeight="1" x14ac:dyDescent="0.25">
      <c r="A923" s="438">
        <v>920</v>
      </c>
      <c r="B923" s="470" t="s">
        <v>17</v>
      </c>
      <c r="C923" s="471" t="s">
        <v>18</v>
      </c>
      <c r="D923" s="472" t="s">
        <v>19</v>
      </c>
      <c r="E923" s="448" t="s">
        <v>4083</v>
      </c>
      <c r="F923" s="448" t="s">
        <v>2988</v>
      </c>
      <c r="G923" s="473" t="s">
        <v>3988</v>
      </c>
      <c r="H923" s="439" t="s">
        <v>1237</v>
      </c>
      <c r="I923" s="474" t="s">
        <v>3457</v>
      </c>
      <c r="J923" s="474" t="s">
        <v>3463</v>
      </c>
      <c r="K923" s="443" t="s">
        <v>1238</v>
      </c>
      <c r="L923" s="471">
        <v>1</v>
      </c>
      <c r="M923" s="447" t="s">
        <v>1240</v>
      </c>
      <c r="N923" s="455">
        <v>12740</v>
      </c>
      <c r="O923" s="475">
        <f t="shared" si="3"/>
        <v>12740</v>
      </c>
      <c r="P923" s="476"/>
      <c r="Q923" s="477">
        <v>46023</v>
      </c>
      <c r="R923" s="476"/>
      <c r="S923" s="476"/>
    </row>
    <row r="924" spans="1:19" ht="15.75" customHeight="1" x14ac:dyDescent="0.25">
      <c r="A924" s="438">
        <v>921</v>
      </c>
      <c r="B924" s="470" t="s">
        <v>17</v>
      </c>
      <c r="C924" s="471" t="s">
        <v>18</v>
      </c>
      <c r="D924" s="472" t="s">
        <v>19</v>
      </c>
      <c r="E924" s="448" t="s">
        <v>4083</v>
      </c>
      <c r="F924" s="448" t="s">
        <v>2988</v>
      </c>
      <c r="G924" s="473" t="s">
        <v>3988</v>
      </c>
      <c r="H924" s="439" t="s">
        <v>1237</v>
      </c>
      <c r="I924" s="474" t="s">
        <v>3457</v>
      </c>
      <c r="J924" s="474" t="s">
        <v>3463</v>
      </c>
      <c r="K924" s="443" t="s">
        <v>1238</v>
      </c>
      <c r="L924" s="471">
        <v>1</v>
      </c>
      <c r="M924" s="447" t="s">
        <v>1241</v>
      </c>
      <c r="N924" s="455">
        <v>12740</v>
      </c>
      <c r="O924" s="475">
        <f t="shared" si="3"/>
        <v>12740</v>
      </c>
      <c r="P924" s="476"/>
      <c r="Q924" s="477">
        <v>46023</v>
      </c>
      <c r="R924" s="476"/>
      <c r="S924" s="476"/>
    </row>
    <row r="925" spans="1:19" ht="15.75" customHeight="1" x14ac:dyDescent="0.25">
      <c r="A925" s="438">
        <v>922</v>
      </c>
      <c r="B925" s="470" t="s">
        <v>17</v>
      </c>
      <c r="C925" s="471" t="s">
        <v>18</v>
      </c>
      <c r="D925" s="472" t="s">
        <v>19</v>
      </c>
      <c r="E925" s="448" t="s">
        <v>4091</v>
      </c>
      <c r="F925" s="448" t="s">
        <v>4114</v>
      </c>
      <c r="G925" s="473" t="s">
        <v>3988</v>
      </c>
      <c r="H925" s="439" t="s">
        <v>1237</v>
      </c>
      <c r="I925" s="474" t="s">
        <v>3457</v>
      </c>
      <c r="J925" s="474" t="s">
        <v>3463</v>
      </c>
      <c r="K925" s="443" t="s">
        <v>1238</v>
      </c>
      <c r="L925" s="471">
        <v>1</v>
      </c>
      <c r="M925" s="447" t="s">
        <v>1242</v>
      </c>
      <c r="N925" s="455">
        <v>12740</v>
      </c>
      <c r="O925" s="475">
        <f t="shared" si="3"/>
        <v>12740</v>
      </c>
      <c r="P925" s="476"/>
      <c r="Q925" s="477">
        <v>46023</v>
      </c>
      <c r="R925" s="476"/>
      <c r="S925" s="476"/>
    </row>
    <row r="926" spans="1:19" ht="15.75" customHeight="1" x14ac:dyDescent="0.25">
      <c r="A926" s="438">
        <v>923</v>
      </c>
      <c r="B926" s="470" t="s">
        <v>17</v>
      </c>
      <c r="C926" s="471" t="s">
        <v>18</v>
      </c>
      <c r="D926" s="472" t="s">
        <v>19</v>
      </c>
      <c r="E926" s="448" t="s">
        <v>4088</v>
      </c>
      <c r="F926" s="448" t="s">
        <v>4106</v>
      </c>
      <c r="G926" s="473" t="s">
        <v>3988</v>
      </c>
      <c r="H926" s="439" t="s">
        <v>1237</v>
      </c>
      <c r="I926" s="474" t="s">
        <v>3457</v>
      </c>
      <c r="J926" s="474" t="s">
        <v>3463</v>
      </c>
      <c r="K926" s="443" t="s">
        <v>1238</v>
      </c>
      <c r="L926" s="471">
        <v>1</v>
      </c>
      <c r="M926" s="447" t="s">
        <v>1243</v>
      </c>
      <c r="N926" s="455">
        <v>12740</v>
      </c>
      <c r="O926" s="475">
        <f t="shared" si="3"/>
        <v>12740</v>
      </c>
      <c r="P926" s="476"/>
      <c r="Q926" s="477">
        <v>46023</v>
      </c>
      <c r="R926" s="476"/>
      <c r="S926" s="476"/>
    </row>
    <row r="927" spans="1:19" ht="15.75" customHeight="1" x14ac:dyDescent="0.25">
      <c r="A927" s="438">
        <v>924</v>
      </c>
      <c r="B927" s="470" t="s">
        <v>17</v>
      </c>
      <c r="C927" s="471" t="s">
        <v>18</v>
      </c>
      <c r="D927" s="472" t="s">
        <v>19</v>
      </c>
      <c r="E927" s="448" t="s">
        <v>4091</v>
      </c>
      <c r="F927" s="448" t="s">
        <v>3024</v>
      </c>
      <c r="G927" s="473" t="s">
        <v>3989</v>
      </c>
      <c r="H927" s="439" t="s">
        <v>1244</v>
      </c>
      <c r="I927" s="474" t="s">
        <v>3457</v>
      </c>
      <c r="J927" s="474" t="s">
        <v>3463</v>
      </c>
      <c r="K927" s="443" t="s">
        <v>1245</v>
      </c>
      <c r="L927" s="471">
        <v>1</v>
      </c>
      <c r="M927" s="447" t="s">
        <v>1246</v>
      </c>
      <c r="N927" s="456">
        <v>2975</v>
      </c>
      <c r="O927" s="475">
        <f t="shared" si="3"/>
        <v>2975</v>
      </c>
      <c r="P927" s="476"/>
      <c r="Q927" s="477">
        <v>46023</v>
      </c>
      <c r="R927" s="476"/>
      <c r="S927" s="476"/>
    </row>
    <row r="928" spans="1:19" ht="15.75" customHeight="1" x14ac:dyDescent="0.25">
      <c r="A928" s="438">
        <v>925</v>
      </c>
      <c r="B928" s="470" t="s">
        <v>17</v>
      </c>
      <c r="C928" s="471" t="s">
        <v>18</v>
      </c>
      <c r="D928" s="472" t="s">
        <v>19</v>
      </c>
      <c r="E928" s="448" t="s">
        <v>4085</v>
      </c>
      <c r="F928" s="448" t="s">
        <v>3026</v>
      </c>
      <c r="G928" s="473" t="s">
        <v>3989</v>
      </c>
      <c r="H928" s="439" t="s">
        <v>1244</v>
      </c>
      <c r="I928" s="474" t="s">
        <v>3457</v>
      </c>
      <c r="J928" s="474" t="s">
        <v>3463</v>
      </c>
      <c r="K928" s="443" t="s">
        <v>1245</v>
      </c>
      <c r="L928" s="471">
        <v>1</v>
      </c>
      <c r="M928" s="447" t="s">
        <v>1247</v>
      </c>
      <c r="N928" s="456">
        <v>2975</v>
      </c>
      <c r="O928" s="475">
        <f t="shared" si="3"/>
        <v>2975</v>
      </c>
      <c r="P928" s="476"/>
      <c r="Q928" s="477">
        <v>46023</v>
      </c>
      <c r="R928" s="476"/>
      <c r="S928" s="476"/>
    </row>
    <row r="929" spans="1:19" ht="15.75" customHeight="1" x14ac:dyDescent="0.25">
      <c r="A929" s="438">
        <v>926</v>
      </c>
      <c r="B929" s="470" t="s">
        <v>17</v>
      </c>
      <c r="C929" s="471" t="s">
        <v>18</v>
      </c>
      <c r="D929" s="472" t="s">
        <v>19</v>
      </c>
      <c r="E929" s="448" t="s">
        <v>4085</v>
      </c>
      <c r="F929" s="448" t="s">
        <v>3026</v>
      </c>
      <c r="G929" s="473" t="s">
        <v>3989</v>
      </c>
      <c r="H929" s="439" t="s">
        <v>1244</v>
      </c>
      <c r="I929" s="474" t="s">
        <v>3457</v>
      </c>
      <c r="J929" s="474" t="s">
        <v>3463</v>
      </c>
      <c r="K929" s="443" t="s">
        <v>1245</v>
      </c>
      <c r="L929" s="471">
        <v>1</v>
      </c>
      <c r="M929" s="447" t="s">
        <v>1248</v>
      </c>
      <c r="N929" s="456">
        <v>2975</v>
      </c>
      <c r="O929" s="475">
        <f t="shared" si="3"/>
        <v>2975</v>
      </c>
      <c r="P929" s="476"/>
      <c r="Q929" s="477">
        <v>46023</v>
      </c>
      <c r="R929" s="476"/>
      <c r="S929" s="476"/>
    </row>
    <row r="930" spans="1:19" ht="15.75" customHeight="1" x14ac:dyDescent="0.25">
      <c r="A930" s="438">
        <v>927</v>
      </c>
      <c r="B930" s="470" t="s">
        <v>17</v>
      </c>
      <c r="C930" s="471" t="s">
        <v>18</v>
      </c>
      <c r="D930" s="472" t="s">
        <v>19</v>
      </c>
      <c r="E930" s="448" t="s">
        <v>4085</v>
      </c>
      <c r="F930" s="448" t="s">
        <v>3026</v>
      </c>
      <c r="G930" s="473" t="s">
        <v>3989</v>
      </c>
      <c r="H930" s="439" t="s">
        <v>1244</v>
      </c>
      <c r="I930" s="474" t="s">
        <v>3457</v>
      </c>
      <c r="J930" s="474" t="s">
        <v>3463</v>
      </c>
      <c r="K930" s="443" t="s">
        <v>1245</v>
      </c>
      <c r="L930" s="471">
        <v>1</v>
      </c>
      <c r="M930" s="447" t="s">
        <v>1249</v>
      </c>
      <c r="N930" s="456">
        <v>2975</v>
      </c>
      <c r="O930" s="475">
        <f t="shared" si="3"/>
        <v>2975</v>
      </c>
      <c r="P930" s="476"/>
      <c r="Q930" s="477">
        <v>46023</v>
      </c>
      <c r="R930" s="476"/>
      <c r="S930" s="476"/>
    </row>
    <row r="931" spans="1:19" ht="15.75" customHeight="1" x14ac:dyDescent="0.25">
      <c r="A931" s="438">
        <v>928</v>
      </c>
      <c r="B931" s="470" t="s">
        <v>17</v>
      </c>
      <c r="C931" s="471" t="s">
        <v>18</v>
      </c>
      <c r="D931" s="472" t="s">
        <v>19</v>
      </c>
      <c r="E931" s="448" t="s">
        <v>4085</v>
      </c>
      <c r="F931" s="448" t="s">
        <v>3026</v>
      </c>
      <c r="G931" s="473" t="s">
        <v>3989</v>
      </c>
      <c r="H931" s="439" t="s">
        <v>1244</v>
      </c>
      <c r="I931" s="474" t="s">
        <v>3457</v>
      </c>
      <c r="J931" s="474" t="s">
        <v>3463</v>
      </c>
      <c r="K931" s="443" t="s">
        <v>1245</v>
      </c>
      <c r="L931" s="471">
        <v>1</v>
      </c>
      <c r="M931" s="447" t="s">
        <v>1250</v>
      </c>
      <c r="N931" s="456">
        <v>2975</v>
      </c>
      <c r="O931" s="475">
        <f t="shared" si="3"/>
        <v>2975</v>
      </c>
      <c r="P931" s="476"/>
      <c r="Q931" s="477">
        <v>46023</v>
      </c>
      <c r="R931" s="476"/>
      <c r="S931" s="476"/>
    </row>
    <row r="932" spans="1:19" ht="15.75" customHeight="1" x14ac:dyDescent="0.25">
      <c r="A932" s="438">
        <v>929</v>
      </c>
      <c r="B932" s="470" t="s">
        <v>17</v>
      </c>
      <c r="C932" s="471" t="s">
        <v>18</v>
      </c>
      <c r="D932" s="472" t="s">
        <v>19</v>
      </c>
      <c r="E932" s="448" t="s">
        <v>4091</v>
      </c>
      <c r="F932" s="448" t="s">
        <v>4115</v>
      </c>
      <c r="G932" s="473" t="s">
        <v>3989</v>
      </c>
      <c r="H932" s="439" t="s">
        <v>1244</v>
      </c>
      <c r="I932" s="474" t="s">
        <v>3457</v>
      </c>
      <c r="J932" s="474" t="s">
        <v>3463</v>
      </c>
      <c r="K932" s="443" t="s">
        <v>1245</v>
      </c>
      <c r="L932" s="471">
        <v>1</v>
      </c>
      <c r="M932" s="447" t="s">
        <v>1251</v>
      </c>
      <c r="N932" s="456">
        <v>2975</v>
      </c>
      <c r="O932" s="475">
        <f t="shared" si="3"/>
        <v>2975</v>
      </c>
      <c r="P932" s="476"/>
      <c r="Q932" s="477">
        <v>46023</v>
      </c>
      <c r="R932" s="476"/>
      <c r="S932" s="476"/>
    </row>
    <row r="933" spans="1:19" ht="15.75" customHeight="1" x14ac:dyDescent="0.25">
      <c r="A933" s="438">
        <v>930</v>
      </c>
      <c r="B933" s="470" t="s">
        <v>17</v>
      </c>
      <c r="C933" s="471" t="s">
        <v>18</v>
      </c>
      <c r="D933" s="472" t="s">
        <v>19</v>
      </c>
      <c r="E933" s="465" t="s">
        <v>4083</v>
      </c>
      <c r="F933" s="448" t="s">
        <v>4100</v>
      </c>
      <c r="G933" s="473" t="s">
        <v>3989</v>
      </c>
      <c r="H933" s="439" t="s">
        <v>1244</v>
      </c>
      <c r="I933" s="474" t="s">
        <v>3457</v>
      </c>
      <c r="J933" s="474" t="s">
        <v>3463</v>
      </c>
      <c r="K933" s="443" t="s">
        <v>1245</v>
      </c>
      <c r="L933" s="471">
        <v>1</v>
      </c>
      <c r="M933" s="447" t="s">
        <v>1252</v>
      </c>
      <c r="N933" s="456">
        <v>2975</v>
      </c>
      <c r="O933" s="475">
        <f t="shared" si="3"/>
        <v>2975</v>
      </c>
      <c r="P933" s="476"/>
      <c r="Q933" s="477">
        <v>46023</v>
      </c>
      <c r="R933" s="476"/>
      <c r="S933" s="476"/>
    </row>
    <row r="934" spans="1:19" ht="15.75" customHeight="1" x14ac:dyDescent="0.25">
      <c r="A934" s="438">
        <v>931</v>
      </c>
      <c r="B934" s="470" t="s">
        <v>17</v>
      </c>
      <c r="C934" s="471" t="s">
        <v>18</v>
      </c>
      <c r="D934" s="472" t="s">
        <v>19</v>
      </c>
      <c r="E934" s="465" t="s">
        <v>4086</v>
      </c>
      <c r="F934" s="448" t="s">
        <v>4111</v>
      </c>
      <c r="G934" s="473" t="s">
        <v>3989</v>
      </c>
      <c r="H934" s="439" t="s">
        <v>1244</v>
      </c>
      <c r="I934" s="474" t="s">
        <v>3457</v>
      </c>
      <c r="J934" s="474" t="s">
        <v>3463</v>
      </c>
      <c r="K934" s="443" t="s">
        <v>1245</v>
      </c>
      <c r="L934" s="471">
        <v>1</v>
      </c>
      <c r="M934" s="447" t="s">
        <v>1253</v>
      </c>
      <c r="N934" s="456">
        <v>2975</v>
      </c>
      <c r="O934" s="475">
        <f t="shared" si="3"/>
        <v>2975</v>
      </c>
      <c r="P934" s="476"/>
      <c r="Q934" s="477">
        <v>46023</v>
      </c>
      <c r="R934" s="476"/>
      <c r="S934" s="476"/>
    </row>
    <row r="935" spans="1:19" ht="15.75" customHeight="1" x14ac:dyDescent="0.25">
      <c r="A935" s="438">
        <v>932</v>
      </c>
      <c r="B935" s="470" t="s">
        <v>17</v>
      </c>
      <c r="C935" s="471" t="s">
        <v>18</v>
      </c>
      <c r="D935" s="472" t="s">
        <v>19</v>
      </c>
      <c r="E935" s="465" t="s">
        <v>4085</v>
      </c>
      <c r="F935" s="448" t="s">
        <v>2982</v>
      </c>
      <c r="G935" s="473" t="s">
        <v>2790</v>
      </c>
      <c r="H935" s="439" t="s">
        <v>1254</v>
      </c>
      <c r="I935" s="474" t="s">
        <v>3457</v>
      </c>
      <c r="J935" s="474" t="s">
        <v>3463</v>
      </c>
      <c r="K935" s="443" t="s">
        <v>1255</v>
      </c>
      <c r="L935" s="471">
        <v>1</v>
      </c>
      <c r="M935" s="447" t="s">
        <v>1256</v>
      </c>
      <c r="N935" s="456">
        <v>2800</v>
      </c>
      <c r="O935" s="475">
        <f t="shared" si="3"/>
        <v>2800</v>
      </c>
      <c r="P935" s="476"/>
      <c r="Q935" s="477">
        <v>46023</v>
      </c>
      <c r="R935" s="476"/>
      <c r="S935" s="476"/>
    </row>
    <row r="936" spans="1:19" ht="15.75" customHeight="1" x14ac:dyDescent="0.25">
      <c r="A936" s="438">
        <v>933</v>
      </c>
      <c r="B936" s="470" t="s">
        <v>17</v>
      </c>
      <c r="C936" s="471" t="s">
        <v>18</v>
      </c>
      <c r="D936" s="472" t="s">
        <v>19</v>
      </c>
      <c r="E936" s="465" t="s">
        <v>4085</v>
      </c>
      <c r="F936" s="448" t="s">
        <v>2982</v>
      </c>
      <c r="G936" s="473" t="s">
        <v>2790</v>
      </c>
      <c r="H936" s="439" t="s">
        <v>1254</v>
      </c>
      <c r="I936" s="474" t="s">
        <v>3457</v>
      </c>
      <c r="J936" s="474" t="s">
        <v>3463</v>
      </c>
      <c r="K936" s="443" t="s">
        <v>1255</v>
      </c>
      <c r="L936" s="471">
        <v>1</v>
      </c>
      <c r="M936" s="447" t="s">
        <v>1257</v>
      </c>
      <c r="N936" s="456">
        <v>2800</v>
      </c>
      <c r="O936" s="475">
        <f t="shared" si="3"/>
        <v>2800</v>
      </c>
      <c r="P936" s="476"/>
      <c r="Q936" s="477">
        <v>46023</v>
      </c>
      <c r="R936" s="476"/>
      <c r="S936" s="476"/>
    </row>
    <row r="937" spans="1:19" ht="15.75" customHeight="1" x14ac:dyDescent="0.25">
      <c r="A937" s="438">
        <v>934</v>
      </c>
      <c r="B937" s="470" t="s">
        <v>17</v>
      </c>
      <c r="C937" s="471" t="s">
        <v>18</v>
      </c>
      <c r="D937" s="472" t="s">
        <v>19</v>
      </c>
      <c r="E937" s="465" t="s">
        <v>4085</v>
      </c>
      <c r="F937" s="448" t="s">
        <v>2982</v>
      </c>
      <c r="G937" s="473" t="s">
        <v>2790</v>
      </c>
      <c r="H937" s="439" t="s">
        <v>1254</v>
      </c>
      <c r="I937" s="474" t="s">
        <v>3457</v>
      </c>
      <c r="J937" s="474" t="s">
        <v>3463</v>
      </c>
      <c r="K937" s="443" t="s">
        <v>1255</v>
      </c>
      <c r="L937" s="471">
        <v>1</v>
      </c>
      <c r="M937" s="447" t="s">
        <v>1258</v>
      </c>
      <c r="N937" s="456">
        <v>2800</v>
      </c>
      <c r="O937" s="475">
        <f t="shared" si="3"/>
        <v>2800</v>
      </c>
      <c r="P937" s="476"/>
      <c r="Q937" s="477">
        <v>46023</v>
      </c>
      <c r="R937" s="476"/>
      <c r="S937" s="476"/>
    </row>
    <row r="938" spans="1:19" ht="15.75" customHeight="1" x14ac:dyDescent="0.25">
      <c r="A938" s="438">
        <v>935</v>
      </c>
      <c r="B938" s="470" t="s">
        <v>17</v>
      </c>
      <c r="C938" s="471" t="s">
        <v>18</v>
      </c>
      <c r="D938" s="472" t="s">
        <v>19</v>
      </c>
      <c r="E938" s="465" t="s">
        <v>4085</v>
      </c>
      <c r="F938" s="448" t="s">
        <v>2982</v>
      </c>
      <c r="G938" s="473" t="s">
        <v>2790</v>
      </c>
      <c r="H938" s="439" t="s">
        <v>1254</v>
      </c>
      <c r="I938" s="474" t="s">
        <v>3457</v>
      </c>
      <c r="J938" s="474" t="s">
        <v>3463</v>
      </c>
      <c r="K938" s="443" t="s">
        <v>1255</v>
      </c>
      <c r="L938" s="471">
        <v>1</v>
      </c>
      <c r="M938" s="447" t="s">
        <v>1259</v>
      </c>
      <c r="N938" s="456">
        <v>2800</v>
      </c>
      <c r="O938" s="475">
        <f t="shared" si="3"/>
        <v>2800</v>
      </c>
      <c r="P938" s="476"/>
      <c r="Q938" s="477">
        <v>46023</v>
      </c>
      <c r="R938" s="476"/>
      <c r="S938" s="476"/>
    </row>
    <row r="939" spans="1:19" ht="15.75" customHeight="1" x14ac:dyDescent="0.25">
      <c r="A939" s="438">
        <v>936</v>
      </c>
      <c r="B939" s="470" t="s">
        <v>17</v>
      </c>
      <c r="C939" s="471" t="s">
        <v>18</v>
      </c>
      <c r="D939" s="472" t="s">
        <v>19</v>
      </c>
      <c r="E939" s="448" t="s">
        <v>4085</v>
      </c>
      <c r="F939" s="448" t="s">
        <v>2982</v>
      </c>
      <c r="G939" s="473" t="s">
        <v>2790</v>
      </c>
      <c r="H939" s="439" t="s">
        <v>1254</v>
      </c>
      <c r="I939" s="474" t="s">
        <v>3457</v>
      </c>
      <c r="J939" s="474" t="s">
        <v>3463</v>
      </c>
      <c r="K939" s="439" t="s">
        <v>1255</v>
      </c>
      <c r="L939" s="471">
        <v>1</v>
      </c>
      <c r="M939" s="447" t="s">
        <v>1260</v>
      </c>
      <c r="N939" s="462">
        <v>2800</v>
      </c>
      <c r="O939" s="475">
        <f t="shared" si="3"/>
        <v>2800</v>
      </c>
      <c r="P939" s="476"/>
      <c r="Q939" s="477">
        <v>46023</v>
      </c>
      <c r="R939" s="476"/>
      <c r="S939" s="476"/>
    </row>
    <row r="940" spans="1:19" ht="15.75" customHeight="1" x14ac:dyDescent="0.25">
      <c r="A940" s="438">
        <v>937</v>
      </c>
      <c r="B940" s="470" t="s">
        <v>17</v>
      </c>
      <c r="C940" s="471" t="s">
        <v>18</v>
      </c>
      <c r="D940" s="472" t="s">
        <v>19</v>
      </c>
      <c r="E940" s="448" t="s">
        <v>4085</v>
      </c>
      <c r="F940" s="448" t="s">
        <v>2982</v>
      </c>
      <c r="G940" s="473" t="s">
        <v>2790</v>
      </c>
      <c r="H940" s="439" t="s">
        <v>1254</v>
      </c>
      <c r="I940" s="474" t="s">
        <v>3457</v>
      </c>
      <c r="J940" s="474" t="s">
        <v>3463</v>
      </c>
      <c r="K940" s="439" t="s">
        <v>1255</v>
      </c>
      <c r="L940" s="471">
        <v>1</v>
      </c>
      <c r="M940" s="447" t="s">
        <v>1261</v>
      </c>
      <c r="N940" s="462">
        <v>2800</v>
      </c>
      <c r="O940" s="475">
        <f t="shared" si="3"/>
        <v>2800</v>
      </c>
      <c r="P940" s="476"/>
      <c r="Q940" s="477">
        <v>46023</v>
      </c>
      <c r="R940" s="476"/>
      <c r="S940" s="476"/>
    </row>
    <row r="941" spans="1:19" ht="15.75" customHeight="1" x14ac:dyDescent="0.25">
      <c r="A941" s="438">
        <v>938</v>
      </c>
      <c r="B941" s="470" t="s">
        <v>17</v>
      </c>
      <c r="C941" s="471" t="s">
        <v>18</v>
      </c>
      <c r="D941" s="472" t="s">
        <v>19</v>
      </c>
      <c r="E941" s="448" t="s">
        <v>4085</v>
      </c>
      <c r="F941" s="448" t="s">
        <v>2982</v>
      </c>
      <c r="G941" s="473" t="s">
        <v>2790</v>
      </c>
      <c r="H941" s="439" t="s">
        <v>1254</v>
      </c>
      <c r="I941" s="474" t="s">
        <v>3457</v>
      </c>
      <c r="J941" s="474" t="s">
        <v>3463</v>
      </c>
      <c r="K941" s="439" t="s">
        <v>1255</v>
      </c>
      <c r="L941" s="471">
        <v>1</v>
      </c>
      <c r="M941" s="447" t="s">
        <v>1262</v>
      </c>
      <c r="N941" s="462">
        <v>2800</v>
      </c>
      <c r="O941" s="475">
        <f t="shared" si="3"/>
        <v>2800</v>
      </c>
      <c r="P941" s="476"/>
      <c r="Q941" s="477">
        <v>46023</v>
      </c>
      <c r="R941" s="476"/>
      <c r="S941" s="476"/>
    </row>
    <row r="942" spans="1:19" ht="15.75" customHeight="1" x14ac:dyDescent="0.25">
      <c r="A942" s="438">
        <v>939</v>
      </c>
      <c r="B942" s="470" t="s">
        <v>17</v>
      </c>
      <c r="C942" s="471" t="s">
        <v>18</v>
      </c>
      <c r="D942" s="472" t="s">
        <v>19</v>
      </c>
      <c r="E942" s="448" t="s">
        <v>4085</v>
      </c>
      <c r="F942" s="448" t="s">
        <v>2982</v>
      </c>
      <c r="G942" s="473" t="s">
        <v>2790</v>
      </c>
      <c r="H942" s="439" t="s">
        <v>1254</v>
      </c>
      <c r="I942" s="474" t="s">
        <v>3457</v>
      </c>
      <c r="J942" s="474" t="s">
        <v>3463</v>
      </c>
      <c r="K942" s="439" t="s">
        <v>1255</v>
      </c>
      <c r="L942" s="471">
        <v>1</v>
      </c>
      <c r="M942" s="447" t="s">
        <v>1263</v>
      </c>
      <c r="N942" s="462">
        <v>2800</v>
      </c>
      <c r="O942" s="475">
        <f t="shared" si="3"/>
        <v>2800</v>
      </c>
      <c r="P942" s="476"/>
      <c r="Q942" s="477">
        <v>46023</v>
      </c>
      <c r="R942" s="476"/>
      <c r="S942" s="476"/>
    </row>
    <row r="943" spans="1:19" ht="15.75" customHeight="1" x14ac:dyDescent="0.25">
      <c r="A943" s="438">
        <v>940</v>
      </c>
      <c r="B943" s="470" t="s">
        <v>17</v>
      </c>
      <c r="C943" s="471" t="s">
        <v>18</v>
      </c>
      <c r="D943" s="472" t="s">
        <v>19</v>
      </c>
      <c r="E943" s="448" t="s">
        <v>4085</v>
      </c>
      <c r="F943" s="448" t="s">
        <v>2982</v>
      </c>
      <c r="G943" s="473" t="s">
        <v>2790</v>
      </c>
      <c r="H943" s="439" t="s">
        <v>1254</v>
      </c>
      <c r="I943" s="474" t="s">
        <v>3457</v>
      </c>
      <c r="J943" s="474" t="s">
        <v>3463</v>
      </c>
      <c r="K943" s="439" t="s">
        <v>1255</v>
      </c>
      <c r="L943" s="471">
        <v>1</v>
      </c>
      <c r="M943" s="447" t="s">
        <v>1264</v>
      </c>
      <c r="N943" s="462">
        <v>2800</v>
      </c>
      <c r="O943" s="475">
        <f t="shared" si="3"/>
        <v>2800</v>
      </c>
      <c r="P943" s="476"/>
      <c r="Q943" s="477">
        <v>46023</v>
      </c>
      <c r="R943" s="476"/>
      <c r="S943" s="476"/>
    </row>
    <row r="944" spans="1:19" ht="15.75" customHeight="1" x14ac:dyDescent="0.25">
      <c r="A944" s="438">
        <v>941</v>
      </c>
      <c r="B944" s="470" t="s">
        <v>17</v>
      </c>
      <c r="C944" s="471" t="s">
        <v>18</v>
      </c>
      <c r="D944" s="472" t="s">
        <v>19</v>
      </c>
      <c r="E944" s="465" t="s">
        <v>4085</v>
      </c>
      <c r="F944" s="448" t="s">
        <v>4115</v>
      </c>
      <c r="G944" s="473" t="s">
        <v>2790</v>
      </c>
      <c r="H944" s="439" t="s">
        <v>1254</v>
      </c>
      <c r="I944" s="474" t="s">
        <v>3457</v>
      </c>
      <c r="J944" s="474" t="s">
        <v>3463</v>
      </c>
      <c r="K944" s="439" t="s">
        <v>1255</v>
      </c>
      <c r="L944" s="471">
        <v>1</v>
      </c>
      <c r="M944" s="447" t="s">
        <v>1265</v>
      </c>
      <c r="N944" s="462">
        <v>2800</v>
      </c>
      <c r="O944" s="475">
        <f t="shared" si="3"/>
        <v>2800</v>
      </c>
      <c r="P944" s="476"/>
      <c r="Q944" s="477">
        <v>46023</v>
      </c>
      <c r="R944" s="476"/>
      <c r="S944" s="476"/>
    </row>
    <row r="945" spans="1:19" ht="15.75" customHeight="1" x14ac:dyDescent="0.25">
      <c r="A945" s="438">
        <v>942</v>
      </c>
      <c r="B945" s="470" t="s">
        <v>17</v>
      </c>
      <c r="C945" s="471" t="s">
        <v>18</v>
      </c>
      <c r="D945" s="472" t="s">
        <v>19</v>
      </c>
      <c r="E945" s="448" t="s">
        <v>4091</v>
      </c>
      <c r="F945" s="448" t="s">
        <v>4115</v>
      </c>
      <c r="G945" s="473" t="s">
        <v>2790</v>
      </c>
      <c r="H945" s="439" t="s">
        <v>1254</v>
      </c>
      <c r="I945" s="474" t="s">
        <v>3457</v>
      </c>
      <c r="J945" s="474" t="s">
        <v>3463</v>
      </c>
      <c r="K945" s="439" t="s">
        <v>1255</v>
      </c>
      <c r="L945" s="471">
        <v>1</v>
      </c>
      <c r="M945" s="447" t="s">
        <v>1266</v>
      </c>
      <c r="N945" s="462">
        <v>2800</v>
      </c>
      <c r="O945" s="475">
        <f t="shared" si="3"/>
        <v>2800</v>
      </c>
      <c r="P945" s="476"/>
      <c r="Q945" s="477">
        <v>46023</v>
      </c>
      <c r="R945" s="476"/>
      <c r="S945" s="476"/>
    </row>
    <row r="946" spans="1:19" ht="15.75" customHeight="1" x14ac:dyDescent="0.25">
      <c r="A946" s="438">
        <v>943</v>
      </c>
      <c r="B946" s="470" t="s">
        <v>17</v>
      </c>
      <c r="C946" s="471" t="s">
        <v>18</v>
      </c>
      <c r="D946" s="472" t="s">
        <v>19</v>
      </c>
      <c r="E946" s="448" t="s">
        <v>4091</v>
      </c>
      <c r="F946" s="448" t="s">
        <v>4110</v>
      </c>
      <c r="G946" s="473" t="s">
        <v>2790</v>
      </c>
      <c r="H946" s="439" t="s">
        <v>1254</v>
      </c>
      <c r="I946" s="474" t="s">
        <v>3457</v>
      </c>
      <c r="J946" s="474" t="s">
        <v>3463</v>
      </c>
      <c r="K946" s="439" t="s">
        <v>1255</v>
      </c>
      <c r="L946" s="471">
        <v>1</v>
      </c>
      <c r="M946" s="447" t="s">
        <v>1267</v>
      </c>
      <c r="N946" s="462">
        <v>2800</v>
      </c>
      <c r="O946" s="475">
        <f t="shared" si="3"/>
        <v>2800</v>
      </c>
      <c r="P946" s="476"/>
      <c r="Q946" s="477">
        <v>46023</v>
      </c>
      <c r="R946" s="476"/>
      <c r="S946" s="476"/>
    </row>
    <row r="947" spans="1:19" ht="15.75" customHeight="1" x14ac:dyDescent="0.25">
      <c r="A947" s="438">
        <v>944</v>
      </c>
      <c r="B947" s="470" t="s">
        <v>17</v>
      </c>
      <c r="C947" s="471" t="s">
        <v>18</v>
      </c>
      <c r="D947" s="472" t="s">
        <v>19</v>
      </c>
      <c r="E947" s="448" t="s">
        <v>4091</v>
      </c>
      <c r="F947" s="448" t="s">
        <v>4110</v>
      </c>
      <c r="G947" s="473" t="s">
        <v>2790</v>
      </c>
      <c r="H947" s="439" t="s">
        <v>1254</v>
      </c>
      <c r="I947" s="474" t="s">
        <v>3457</v>
      </c>
      <c r="J947" s="474" t="s">
        <v>3463</v>
      </c>
      <c r="K947" s="439" t="s">
        <v>1255</v>
      </c>
      <c r="L947" s="471">
        <v>1</v>
      </c>
      <c r="M947" s="447" t="s">
        <v>1268</v>
      </c>
      <c r="N947" s="462">
        <v>2800</v>
      </c>
      <c r="O947" s="475">
        <f t="shared" si="3"/>
        <v>2800</v>
      </c>
      <c r="P947" s="476"/>
      <c r="Q947" s="477">
        <v>46023</v>
      </c>
      <c r="R947" s="476"/>
      <c r="S947" s="476"/>
    </row>
    <row r="948" spans="1:19" ht="15.75" customHeight="1" x14ac:dyDescent="0.25">
      <c r="A948" s="438">
        <v>945</v>
      </c>
      <c r="B948" s="470" t="s">
        <v>17</v>
      </c>
      <c r="C948" s="471" t="s">
        <v>18</v>
      </c>
      <c r="D948" s="472" t="s">
        <v>19</v>
      </c>
      <c r="E948" s="448" t="s">
        <v>4088</v>
      </c>
      <c r="F948" s="448" t="s">
        <v>3049</v>
      </c>
      <c r="G948" s="473" t="s">
        <v>2790</v>
      </c>
      <c r="H948" s="439" t="s">
        <v>1254</v>
      </c>
      <c r="I948" s="474" t="s">
        <v>3457</v>
      </c>
      <c r="J948" s="474" t="s">
        <v>3463</v>
      </c>
      <c r="K948" s="443" t="s">
        <v>1255</v>
      </c>
      <c r="L948" s="471">
        <v>1</v>
      </c>
      <c r="M948" s="447" t="s">
        <v>1269</v>
      </c>
      <c r="N948" s="455">
        <v>2800</v>
      </c>
      <c r="O948" s="475">
        <f t="shared" si="3"/>
        <v>2800</v>
      </c>
      <c r="P948" s="476"/>
      <c r="Q948" s="477">
        <v>46023</v>
      </c>
      <c r="R948" s="476"/>
      <c r="S948" s="476"/>
    </row>
    <row r="949" spans="1:19" ht="15.75" customHeight="1" x14ac:dyDescent="0.25">
      <c r="A949" s="438">
        <v>946</v>
      </c>
      <c r="B949" s="470" t="s">
        <v>17</v>
      </c>
      <c r="C949" s="471" t="s">
        <v>18</v>
      </c>
      <c r="D949" s="472" t="s">
        <v>19</v>
      </c>
      <c r="E949" s="448" t="s">
        <v>4088</v>
      </c>
      <c r="F949" s="448" t="s">
        <v>4106</v>
      </c>
      <c r="G949" s="473" t="s">
        <v>2790</v>
      </c>
      <c r="H949" s="439" t="s">
        <v>1254</v>
      </c>
      <c r="I949" s="474" t="s">
        <v>3457</v>
      </c>
      <c r="J949" s="474" t="s">
        <v>3463</v>
      </c>
      <c r="K949" s="443" t="s">
        <v>1255</v>
      </c>
      <c r="L949" s="471">
        <v>1</v>
      </c>
      <c r="M949" s="447" t="s">
        <v>1270</v>
      </c>
      <c r="N949" s="455">
        <v>2800</v>
      </c>
      <c r="O949" s="475">
        <f t="shared" si="3"/>
        <v>2800</v>
      </c>
      <c r="P949" s="476"/>
      <c r="Q949" s="477">
        <v>46023</v>
      </c>
      <c r="R949" s="476"/>
      <c r="S949" s="476"/>
    </row>
    <row r="950" spans="1:19" ht="15.75" customHeight="1" x14ac:dyDescent="0.25">
      <c r="A950" s="438">
        <v>947</v>
      </c>
      <c r="B950" s="470" t="s">
        <v>17</v>
      </c>
      <c r="C950" s="471" t="s">
        <v>18</v>
      </c>
      <c r="D950" s="472" t="s">
        <v>19</v>
      </c>
      <c r="E950" s="448" t="s">
        <v>4087</v>
      </c>
      <c r="F950" s="448" t="s">
        <v>4098</v>
      </c>
      <c r="G950" s="473" t="s">
        <v>2790</v>
      </c>
      <c r="H950" s="439" t="s">
        <v>1254</v>
      </c>
      <c r="I950" s="474" t="s">
        <v>3457</v>
      </c>
      <c r="J950" s="474" t="s">
        <v>3463</v>
      </c>
      <c r="K950" s="443" t="s">
        <v>1255</v>
      </c>
      <c r="L950" s="471">
        <v>1</v>
      </c>
      <c r="M950" s="447" t="s">
        <v>1271</v>
      </c>
      <c r="N950" s="455">
        <v>2800</v>
      </c>
      <c r="O950" s="475">
        <f t="shared" si="3"/>
        <v>2800</v>
      </c>
      <c r="P950" s="476"/>
      <c r="Q950" s="477">
        <v>46023</v>
      </c>
      <c r="R950" s="476"/>
      <c r="S950" s="476"/>
    </row>
    <row r="951" spans="1:19" ht="15.75" customHeight="1" x14ac:dyDescent="0.25">
      <c r="A951" s="438">
        <v>948</v>
      </c>
      <c r="B951" s="470" t="s">
        <v>17</v>
      </c>
      <c r="C951" s="471" t="s">
        <v>18</v>
      </c>
      <c r="D951" s="472" t="s">
        <v>19</v>
      </c>
      <c r="E951" s="448" t="s">
        <v>4086</v>
      </c>
      <c r="F951" s="448" t="s">
        <v>4111</v>
      </c>
      <c r="G951" s="473" t="s">
        <v>2790</v>
      </c>
      <c r="H951" s="439" t="s">
        <v>1254</v>
      </c>
      <c r="I951" s="474" t="s">
        <v>3457</v>
      </c>
      <c r="J951" s="474" t="s">
        <v>3463</v>
      </c>
      <c r="K951" s="443" t="s">
        <v>1255</v>
      </c>
      <c r="L951" s="471">
        <v>1</v>
      </c>
      <c r="M951" s="447" t="s">
        <v>1272</v>
      </c>
      <c r="N951" s="455">
        <v>2800</v>
      </c>
      <c r="O951" s="475">
        <f t="shared" si="3"/>
        <v>2800</v>
      </c>
      <c r="P951" s="476"/>
      <c r="Q951" s="477">
        <v>46023</v>
      </c>
      <c r="R951" s="476"/>
      <c r="S951" s="476"/>
    </row>
    <row r="952" spans="1:19" ht="15.75" customHeight="1" x14ac:dyDescent="0.25">
      <c r="A952" s="438">
        <v>949</v>
      </c>
      <c r="B952" s="470" t="s">
        <v>17</v>
      </c>
      <c r="C952" s="471" t="s">
        <v>18</v>
      </c>
      <c r="D952" s="472" t="s">
        <v>19</v>
      </c>
      <c r="E952" s="448" t="s">
        <v>4086</v>
      </c>
      <c r="F952" s="448" t="s">
        <v>4112</v>
      </c>
      <c r="G952" s="473" t="s">
        <v>2790</v>
      </c>
      <c r="H952" s="439" t="s">
        <v>1254</v>
      </c>
      <c r="I952" s="474" t="s">
        <v>3457</v>
      </c>
      <c r="J952" s="474" t="s">
        <v>3463</v>
      </c>
      <c r="K952" s="443" t="s">
        <v>1255</v>
      </c>
      <c r="L952" s="471">
        <v>1</v>
      </c>
      <c r="M952" s="447" t="s">
        <v>1273</v>
      </c>
      <c r="N952" s="455">
        <v>2800</v>
      </c>
      <c r="O952" s="475">
        <f t="shared" si="3"/>
        <v>2800</v>
      </c>
      <c r="P952" s="476"/>
      <c r="Q952" s="477">
        <v>46023</v>
      </c>
      <c r="R952" s="476"/>
      <c r="S952" s="476"/>
    </row>
    <row r="953" spans="1:19" ht="15.75" customHeight="1" x14ac:dyDescent="0.25">
      <c r="A953" s="438">
        <v>950</v>
      </c>
      <c r="B953" s="470" t="s">
        <v>17</v>
      </c>
      <c r="C953" s="471" t="s">
        <v>18</v>
      </c>
      <c r="D953" s="472" t="s">
        <v>19</v>
      </c>
      <c r="E953" s="448" t="s">
        <v>4091</v>
      </c>
      <c r="F953" s="448" t="s">
        <v>4114</v>
      </c>
      <c r="G953" s="473" t="s">
        <v>2790</v>
      </c>
      <c r="H953" s="439" t="s">
        <v>1254</v>
      </c>
      <c r="I953" s="474" t="s">
        <v>3457</v>
      </c>
      <c r="J953" s="474" t="s">
        <v>3463</v>
      </c>
      <c r="K953" s="443" t="s">
        <v>1255</v>
      </c>
      <c r="L953" s="471">
        <v>1</v>
      </c>
      <c r="M953" s="447" t="s">
        <v>1274</v>
      </c>
      <c r="N953" s="455">
        <v>2800</v>
      </c>
      <c r="O953" s="475">
        <f t="shared" si="3"/>
        <v>2800</v>
      </c>
      <c r="P953" s="476"/>
      <c r="Q953" s="477">
        <v>46023</v>
      </c>
      <c r="R953" s="476"/>
      <c r="S953" s="476"/>
    </row>
    <row r="954" spans="1:19" ht="15.75" customHeight="1" x14ac:dyDescent="0.25">
      <c r="A954" s="438">
        <v>951</v>
      </c>
      <c r="B954" s="470" t="s">
        <v>17</v>
      </c>
      <c r="C954" s="471" t="s">
        <v>18</v>
      </c>
      <c r="D954" s="472" t="s">
        <v>19</v>
      </c>
      <c r="E954" s="448" t="s">
        <v>4085</v>
      </c>
      <c r="F954" s="448" t="s">
        <v>2982</v>
      </c>
      <c r="G954" s="473" t="s">
        <v>2790</v>
      </c>
      <c r="H954" s="439" t="s">
        <v>1254</v>
      </c>
      <c r="I954" s="474" t="s">
        <v>3457</v>
      </c>
      <c r="J954" s="474" t="s">
        <v>3463</v>
      </c>
      <c r="K954" s="443" t="s">
        <v>1255</v>
      </c>
      <c r="L954" s="471">
        <v>1</v>
      </c>
      <c r="M954" s="447" t="s">
        <v>1275</v>
      </c>
      <c r="N954" s="455">
        <v>2800</v>
      </c>
      <c r="O954" s="475">
        <f t="shared" si="3"/>
        <v>2800</v>
      </c>
      <c r="P954" s="476"/>
      <c r="Q954" s="477">
        <v>46023</v>
      </c>
      <c r="R954" s="476"/>
      <c r="S954" s="476"/>
    </row>
    <row r="955" spans="1:19" ht="15.75" customHeight="1" x14ac:dyDescent="0.25">
      <c r="A955" s="438">
        <v>952</v>
      </c>
      <c r="B955" s="470" t="s">
        <v>17</v>
      </c>
      <c r="C955" s="471" t="s">
        <v>18</v>
      </c>
      <c r="D955" s="472" t="s">
        <v>19</v>
      </c>
      <c r="E955" s="448" t="s">
        <v>4091</v>
      </c>
      <c r="F955" s="448" t="s">
        <v>3024</v>
      </c>
      <c r="G955" s="473" t="s">
        <v>3990</v>
      </c>
      <c r="H955" s="439" t="s">
        <v>1276</v>
      </c>
      <c r="I955" s="474" t="s">
        <v>3459</v>
      </c>
      <c r="J955" s="474" t="s">
        <v>3464</v>
      </c>
      <c r="K955" s="443" t="s">
        <v>1277</v>
      </c>
      <c r="L955" s="471">
        <v>1</v>
      </c>
      <c r="M955" s="447" t="s">
        <v>1278</v>
      </c>
      <c r="N955" s="455">
        <v>8880</v>
      </c>
      <c r="O955" s="475">
        <f t="shared" si="3"/>
        <v>8880</v>
      </c>
      <c r="P955" s="476"/>
      <c r="Q955" s="477">
        <v>46023</v>
      </c>
      <c r="R955" s="476"/>
      <c r="S955" s="476"/>
    </row>
    <row r="956" spans="1:19" ht="15.75" customHeight="1" x14ac:dyDescent="0.25">
      <c r="A956" s="438">
        <v>953</v>
      </c>
      <c r="B956" s="470" t="s">
        <v>17</v>
      </c>
      <c r="C956" s="471" t="s">
        <v>18</v>
      </c>
      <c r="D956" s="472" t="s">
        <v>19</v>
      </c>
      <c r="E956" s="448" t="s">
        <v>3249</v>
      </c>
      <c r="F956" s="448" t="s">
        <v>4119</v>
      </c>
      <c r="G956" s="473" t="s">
        <v>3990</v>
      </c>
      <c r="H956" s="439" t="s">
        <v>1276</v>
      </c>
      <c r="I956" s="474" t="s">
        <v>3459</v>
      </c>
      <c r="J956" s="474" t="s">
        <v>3464</v>
      </c>
      <c r="K956" s="439" t="s">
        <v>1277</v>
      </c>
      <c r="L956" s="471">
        <v>1</v>
      </c>
      <c r="M956" s="447" t="s">
        <v>1279</v>
      </c>
      <c r="N956" s="455">
        <v>8880</v>
      </c>
      <c r="O956" s="475">
        <f t="shared" si="3"/>
        <v>8880</v>
      </c>
      <c r="P956" s="476"/>
      <c r="Q956" s="477">
        <v>46023</v>
      </c>
      <c r="R956" s="476"/>
      <c r="S956" s="476"/>
    </row>
    <row r="957" spans="1:19" ht="15.75" customHeight="1" x14ac:dyDescent="0.25">
      <c r="A957" s="438">
        <v>954</v>
      </c>
      <c r="B957" s="470" t="s">
        <v>17</v>
      </c>
      <c r="C957" s="471" t="s">
        <v>18</v>
      </c>
      <c r="D957" s="472" t="s">
        <v>19</v>
      </c>
      <c r="E957" s="448" t="s">
        <v>4091</v>
      </c>
      <c r="F957" s="448" t="s">
        <v>4107</v>
      </c>
      <c r="G957" s="473" t="s">
        <v>3990</v>
      </c>
      <c r="H957" s="439" t="s">
        <v>1276</v>
      </c>
      <c r="I957" s="474" t="s">
        <v>3459</v>
      </c>
      <c r="J957" s="474" t="s">
        <v>3464</v>
      </c>
      <c r="K957" s="443" t="s">
        <v>1277</v>
      </c>
      <c r="L957" s="471">
        <v>1</v>
      </c>
      <c r="M957" s="447" t="s">
        <v>1280</v>
      </c>
      <c r="N957" s="456">
        <v>8880</v>
      </c>
      <c r="O957" s="475">
        <f t="shared" si="3"/>
        <v>8880</v>
      </c>
      <c r="P957" s="476"/>
      <c r="Q957" s="477">
        <v>46023</v>
      </c>
      <c r="R957" s="476"/>
      <c r="S957" s="476"/>
    </row>
    <row r="958" spans="1:19" ht="15.75" customHeight="1" x14ac:dyDescent="0.25">
      <c r="A958" s="438">
        <v>955</v>
      </c>
      <c r="B958" s="470" t="s">
        <v>17</v>
      </c>
      <c r="C958" s="471" t="s">
        <v>18</v>
      </c>
      <c r="D958" s="472" t="s">
        <v>19</v>
      </c>
      <c r="E958" s="465" t="s">
        <v>3249</v>
      </c>
      <c r="F958" s="448" t="s">
        <v>4119</v>
      </c>
      <c r="G958" s="473" t="s">
        <v>3990</v>
      </c>
      <c r="H958" s="439" t="s">
        <v>1281</v>
      </c>
      <c r="I958" s="474" t="s">
        <v>3459</v>
      </c>
      <c r="J958" s="474" t="s">
        <v>3464</v>
      </c>
      <c r="K958" s="443" t="s">
        <v>1277</v>
      </c>
      <c r="L958" s="471">
        <v>1</v>
      </c>
      <c r="M958" s="447" t="s">
        <v>1282</v>
      </c>
      <c r="N958" s="456">
        <v>10290</v>
      </c>
      <c r="O958" s="475">
        <f t="shared" si="3"/>
        <v>10290</v>
      </c>
      <c r="P958" s="476"/>
      <c r="Q958" s="477">
        <v>46023</v>
      </c>
      <c r="R958" s="476"/>
      <c r="S958" s="476"/>
    </row>
    <row r="959" spans="1:19" ht="15.75" customHeight="1" x14ac:dyDescent="0.25">
      <c r="A959" s="438">
        <v>956</v>
      </c>
      <c r="B959" s="470" t="s">
        <v>17</v>
      </c>
      <c r="C959" s="471" t="s">
        <v>18</v>
      </c>
      <c r="D959" s="472" t="s">
        <v>19</v>
      </c>
      <c r="E959" s="465" t="s">
        <v>4091</v>
      </c>
      <c r="F959" s="448" t="s">
        <v>4107</v>
      </c>
      <c r="G959" s="473" t="s">
        <v>3990</v>
      </c>
      <c r="H959" s="439" t="s">
        <v>1281</v>
      </c>
      <c r="I959" s="474" t="s">
        <v>3459</v>
      </c>
      <c r="J959" s="474" t="s">
        <v>3464</v>
      </c>
      <c r="K959" s="443" t="s">
        <v>1277</v>
      </c>
      <c r="L959" s="471">
        <v>1</v>
      </c>
      <c r="M959" s="447" t="s">
        <v>1283</v>
      </c>
      <c r="N959" s="456">
        <v>10290</v>
      </c>
      <c r="O959" s="475">
        <f t="shared" si="3"/>
        <v>10290</v>
      </c>
      <c r="P959" s="476"/>
      <c r="Q959" s="477">
        <v>46023</v>
      </c>
      <c r="R959" s="476"/>
      <c r="S959" s="476"/>
    </row>
    <row r="960" spans="1:19" ht="15.75" customHeight="1" x14ac:dyDescent="0.25">
      <c r="A960" s="438">
        <v>957</v>
      </c>
      <c r="B960" s="470" t="s">
        <v>17</v>
      </c>
      <c r="C960" s="471" t="s">
        <v>18</v>
      </c>
      <c r="D960" s="472" t="s">
        <v>19</v>
      </c>
      <c r="E960" s="465" t="s">
        <v>4085</v>
      </c>
      <c r="F960" s="448" t="s">
        <v>2982</v>
      </c>
      <c r="G960" s="473" t="s">
        <v>3991</v>
      </c>
      <c r="H960" s="439" t="s">
        <v>1284</v>
      </c>
      <c r="I960" s="474" t="s">
        <v>3457</v>
      </c>
      <c r="J960" s="474" t="s">
        <v>3463</v>
      </c>
      <c r="K960" s="443" t="s">
        <v>1285</v>
      </c>
      <c r="L960" s="471">
        <v>1</v>
      </c>
      <c r="M960" s="447" t="s">
        <v>1286</v>
      </c>
      <c r="N960" s="456">
        <v>10000</v>
      </c>
      <c r="O960" s="475">
        <f t="shared" si="3"/>
        <v>10000</v>
      </c>
      <c r="P960" s="476"/>
      <c r="Q960" s="477">
        <v>46023</v>
      </c>
      <c r="R960" s="476"/>
      <c r="S960" s="476"/>
    </row>
    <row r="961" spans="1:19" ht="15.75" customHeight="1" x14ac:dyDescent="0.25">
      <c r="A961" s="438">
        <v>958</v>
      </c>
      <c r="B961" s="470" t="s">
        <v>17</v>
      </c>
      <c r="C961" s="471" t="s">
        <v>18</v>
      </c>
      <c r="D961" s="472" t="s">
        <v>19</v>
      </c>
      <c r="E961" s="465" t="s">
        <v>4085</v>
      </c>
      <c r="F961" s="448" t="s">
        <v>2982</v>
      </c>
      <c r="G961" s="473" t="s">
        <v>3991</v>
      </c>
      <c r="H961" s="439" t="s">
        <v>1284</v>
      </c>
      <c r="I961" s="474" t="s">
        <v>3457</v>
      </c>
      <c r="J961" s="474" t="s">
        <v>3463</v>
      </c>
      <c r="K961" s="443" t="s">
        <v>1285</v>
      </c>
      <c r="L961" s="471">
        <v>1</v>
      </c>
      <c r="M961" s="447" t="s">
        <v>1287</v>
      </c>
      <c r="N961" s="456">
        <v>10000</v>
      </c>
      <c r="O961" s="475">
        <f t="shared" si="3"/>
        <v>10000</v>
      </c>
      <c r="P961" s="476"/>
      <c r="Q961" s="477">
        <v>46023</v>
      </c>
      <c r="R961" s="476"/>
      <c r="S961" s="476"/>
    </row>
    <row r="962" spans="1:19" ht="15.75" customHeight="1" x14ac:dyDescent="0.25">
      <c r="A962" s="438">
        <v>959</v>
      </c>
      <c r="B962" s="470" t="s">
        <v>17</v>
      </c>
      <c r="C962" s="471" t="s">
        <v>18</v>
      </c>
      <c r="D962" s="472" t="s">
        <v>19</v>
      </c>
      <c r="E962" s="465" t="s">
        <v>4087</v>
      </c>
      <c r="F962" s="448" t="s">
        <v>4098</v>
      </c>
      <c r="G962" s="473" t="s">
        <v>3991</v>
      </c>
      <c r="H962" s="439" t="s">
        <v>1288</v>
      </c>
      <c r="I962" s="474" t="s">
        <v>3457</v>
      </c>
      <c r="J962" s="474" t="s">
        <v>3463</v>
      </c>
      <c r="K962" s="443" t="s">
        <v>1285</v>
      </c>
      <c r="L962" s="471">
        <v>1</v>
      </c>
      <c r="M962" s="447" t="s">
        <v>1289</v>
      </c>
      <c r="N962" s="456">
        <v>3800</v>
      </c>
      <c r="O962" s="475">
        <f t="shared" si="3"/>
        <v>3800</v>
      </c>
      <c r="P962" s="476"/>
      <c r="Q962" s="477">
        <v>46023</v>
      </c>
      <c r="R962" s="476"/>
      <c r="S962" s="476"/>
    </row>
    <row r="963" spans="1:19" ht="15.75" customHeight="1" x14ac:dyDescent="0.25">
      <c r="A963" s="438">
        <v>960</v>
      </c>
      <c r="B963" s="470" t="s">
        <v>17</v>
      </c>
      <c r="C963" s="471" t="s">
        <v>18</v>
      </c>
      <c r="D963" s="472" t="s">
        <v>19</v>
      </c>
      <c r="E963" s="465" t="s">
        <v>4087</v>
      </c>
      <c r="F963" s="448" t="s">
        <v>4098</v>
      </c>
      <c r="G963" s="473" t="s">
        <v>3991</v>
      </c>
      <c r="H963" s="439" t="s">
        <v>1288</v>
      </c>
      <c r="I963" s="474" t="s">
        <v>3457</v>
      </c>
      <c r="J963" s="474" t="s">
        <v>3463</v>
      </c>
      <c r="K963" s="443" t="s">
        <v>1285</v>
      </c>
      <c r="L963" s="471">
        <v>1</v>
      </c>
      <c r="M963" s="447" t="s">
        <v>1290</v>
      </c>
      <c r="N963" s="456">
        <v>3800</v>
      </c>
      <c r="O963" s="475">
        <f t="shared" si="3"/>
        <v>3800</v>
      </c>
      <c r="P963" s="476"/>
      <c r="Q963" s="477">
        <v>46023</v>
      </c>
      <c r="R963" s="476"/>
      <c r="S963" s="476"/>
    </row>
    <row r="964" spans="1:19" ht="15.75" customHeight="1" x14ac:dyDescent="0.25">
      <c r="A964" s="438">
        <v>961</v>
      </c>
      <c r="B964" s="470" t="s">
        <v>17</v>
      </c>
      <c r="C964" s="471" t="s">
        <v>18</v>
      </c>
      <c r="D964" s="472" t="s">
        <v>19</v>
      </c>
      <c r="E964" s="465" t="s">
        <v>4087</v>
      </c>
      <c r="F964" s="448" t="s">
        <v>4098</v>
      </c>
      <c r="G964" s="473" t="s">
        <v>2298</v>
      </c>
      <c r="H964" s="439" t="s">
        <v>1291</v>
      </c>
      <c r="I964" s="474" t="s">
        <v>3457</v>
      </c>
      <c r="J964" s="474" t="s">
        <v>3463</v>
      </c>
      <c r="K964" s="443" t="s">
        <v>1292</v>
      </c>
      <c r="L964" s="471">
        <v>1</v>
      </c>
      <c r="M964" s="447" t="s">
        <v>1293</v>
      </c>
      <c r="N964" s="456">
        <v>18620</v>
      </c>
      <c r="O964" s="475">
        <f t="shared" si="3"/>
        <v>18620</v>
      </c>
      <c r="P964" s="476"/>
      <c r="Q964" s="477">
        <v>46023</v>
      </c>
      <c r="R964" s="476"/>
      <c r="S964" s="476"/>
    </row>
    <row r="965" spans="1:19" ht="15.75" customHeight="1" x14ac:dyDescent="0.25">
      <c r="A965" s="438">
        <v>962</v>
      </c>
      <c r="B965" s="470" t="s">
        <v>17</v>
      </c>
      <c r="C965" s="471" t="s">
        <v>18</v>
      </c>
      <c r="D965" s="472" t="s">
        <v>19</v>
      </c>
      <c r="E965" s="448" t="s">
        <v>4085</v>
      </c>
      <c r="F965" s="448" t="s">
        <v>3026</v>
      </c>
      <c r="G965" s="473" t="s">
        <v>3991</v>
      </c>
      <c r="H965" s="439" t="s">
        <v>1294</v>
      </c>
      <c r="I965" s="474" t="s">
        <v>3457</v>
      </c>
      <c r="J965" s="474" t="s">
        <v>3463</v>
      </c>
      <c r="K965" s="443" t="s">
        <v>1285</v>
      </c>
      <c r="L965" s="471">
        <v>1</v>
      </c>
      <c r="M965" s="447" t="s">
        <v>1295</v>
      </c>
      <c r="N965" s="456">
        <v>8805</v>
      </c>
      <c r="O965" s="475">
        <f t="shared" si="3"/>
        <v>8805</v>
      </c>
      <c r="P965" s="476"/>
      <c r="Q965" s="477">
        <v>46023</v>
      </c>
      <c r="R965" s="476"/>
      <c r="S965" s="476"/>
    </row>
    <row r="966" spans="1:19" ht="15.75" customHeight="1" x14ac:dyDescent="0.25">
      <c r="A966" s="438">
        <v>963</v>
      </c>
      <c r="B966" s="470" t="s">
        <v>17</v>
      </c>
      <c r="C966" s="471" t="s">
        <v>18</v>
      </c>
      <c r="D966" s="472" t="s">
        <v>19</v>
      </c>
      <c r="E966" s="448" t="s">
        <v>4085</v>
      </c>
      <c r="F966" s="448" t="s">
        <v>3026</v>
      </c>
      <c r="G966" s="473" t="s">
        <v>3991</v>
      </c>
      <c r="H966" s="439" t="s">
        <v>1294</v>
      </c>
      <c r="I966" s="474" t="s">
        <v>3457</v>
      </c>
      <c r="J966" s="474" t="s">
        <v>3463</v>
      </c>
      <c r="K966" s="443" t="s">
        <v>1285</v>
      </c>
      <c r="L966" s="471">
        <v>1</v>
      </c>
      <c r="M966" s="447" t="s">
        <v>1296</v>
      </c>
      <c r="N966" s="456">
        <v>8805</v>
      </c>
      <c r="O966" s="475">
        <f t="shared" si="3"/>
        <v>8805</v>
      </c>
      <c r="P966" s="476"/>
      <c r="Q966" s="477">
        <v>46023</v>
      </c>
      <c r="R966" s="476"/>
      <c r="S966" s="476"/>
    </row>
    <row r="967" spans="1:19" ht="15.75" customHeight="1" x14ac:dyDescent="0.25">
      <c r="A967" s="438">
        <v>964</v>
      </c>
      <c r="B967" s="470" t="s">
        <v>17</v>
      </c>
      <c r="C967" s="471" t="s">
        <v>18</v>
      </c>
      <c r="D967" s="472" t="s">
        <v>19</v>
      </c>
      <c r="E967" s="448" t="s">
        <v>4085</v>
      </c>
      <c r="F967" s="448" t="s">
        <v>3026</v>
      </c>
      <c r="G967" s="473" t="s">
        <v>3991</v>
      </c>
      <c r="H967" s="439" t="s">
        <v>1294</v>
      </c>
      <c r="I967" s="474" t="s">
        <v>3457</v>
      </c>
      <c r="J967" s="474" t="s">
        <v>3463</v>
      </c>
      <c r="K967" s="443" t="s">
        <v>1285</v>
      </c>
      <c r="L967" s="471">
        <v>1</v>
      </c>
      <c r="M967" s="447" t="s">
        <v>1297</v>
      </c>
      <c r="N967" s="456">
        <v>8805</v>
      </c>
      <c r="O967" s="475">
        <f t="shared" si="3"/>
        <v>8805</v>
      </c>
      <c r="P967" s="476"/>
      <c r="Q967" s="477">
        <v>46023</v>
      </c>
      <c r="R967" s="476"/>
      <c r="S967" s="476"/>
    </row>
    <row r="968" spans="1:19" ht="15.75" customHeight="1" x14ac:dyDescent="0.25">
      <c r="A968" s="438">
        <v>965</v>
      </c>
      <c r="B968" s="470" t="s">
        <v>17</v>
      </c>
      <c r="C968" s="471" t="s">
        <v>18</v>
      </c>
      <c r="D968" s="472" t="s">
        <v>19</v>
      </c>
      <c r="E968" s="448" t="s">
        <v>4085</v>
      </c>
      <c r="F968" s="448" t="s">
        <v>3026</v>
      </c>
      <c r="G968" s="473" t="s">
        <v>3991</v>
      </c>
      <c r="H968" s="439" t="s">
        <v>1294</v>
      </c>
      <c r="I968" s="474" t="s">
        <v>3457</v>
      </c>
      <c r="J968" s="474" t="s">
        <v>3463</v>
      </c>
      <c r="K968" s="443" t="s">
        <v>1285</v>
      </c>
      <c r="L968" s="471">
        <v>1</v>
      </c>
      <c r="M968" s="447" t="s">
        <v>1298</v>
      </c>
      <c r="N968" s="456">
        <v>8805</v>
      </c>
      <c r="O968" s="475">
        <f t="shared" si="3"/>
        <v>8805</v>
      </c>
      <c r="P968" s="476"/>
      <c r="Q968" s="477">
        <v>46023</v>
      </c>
      <c r="R968" s="476"/>
      <c r="S968" s="476"/>
    </row>
    <row r="969" spans="1:19" ht="15.75" customHeight="1" x14ac:dyDescent="0.25">
      <c r="A969" s="438">
        <v>966</v>
      </c>
      <c r="B969" s="470" t="s">
        <v>17</v>
      </c>
      <c r="C969" s="471" t="s">
        <v>18</v>
      </c>
      <c r="D969" s="472" t="s">
        <v>19</v>
      </c>
      <c r="E969" s="448" t="s">
        <v>4085</v>
      </c>
      <c r="F969" s="448" t="s">
        <v>3026</v>
      </c>
      <c r="G969" s="473" t="s">
        <v>3991</v>
      </c>
      <c r="H969" s="439" t="s">
        <v>1294</v>
      </c>
      <c r="I969" s="474" t="s">
        <v>3457</v>
      </c>
      <c r="J969" s="474" t="s">
        <v>3463</v>
      </c>
      <c r="K969" s="443" t="s">
        <v>1285</v>
      </c>
      <c r="L969" s="471">
        <v>1</v>
      </c>
      <c r="M969" s="447" t="s">
        <v>1299</v>
      </c>
      <c r="N969" s="456">
        <v>8805</v>
      </c>
      <c r="O969" s="475">
        <f t="shared" si="3"/>
        <v>8805</v>
      </c>
      <c r="P969" s="476"/>
      <c r="Q969" s="477">
        <v>46023</v>
      </c>
      <c r="R969" s="476"/>
      <c r="S969" s="476"/>
    </row>
    <row r="970" spans="1:19" ht="15.75" customHeight="1" x14ac:dyDescent="0.25">
      <c r="A970" s="438">
        <v>967</v>
      </c>
      <c r="B970" s="470" t="s">
        <v>17</v>
      </c>
      <c r="C970" s="471" t="s">
        <v>18</v>
      </c>
      <c r="D970" s="472" t="s">
        <v>19</v>
      </c>
      <c r="E970" s="465" t="s">
        <v>4085</v>
      </c>
      <c r="F970" s="448" t="s">
        <v>3026</v>
      </c>
      <c r="G970" s="473" t="s">
        <v>3991</v>
      </c>
      <c r="H970" s="439" t="s">
        <v>1294</v>
      </c>
      <c r="I970" s="474" t="s">
        <v>3457</v>
      </c>
      <c r="J970" s="474" t="s">
        <v>3463</v>
      </c>
      <c r="K970" s="443" t="s">
        <v>1285</v>
      </c>
      <c r="L970" s="471">
        <v>1</v>
      </c>
      <c r="M970" s="447" t="s">
        <v>1300</v>
      </c>
      <c r="N970" s="456">
        <v>8805</v>
      </c>
      <c r="O970" s="475">
        <f t="shared" si="3"/>
        <v>8805</v>
      </c>
      <c r="P970" s="476"/>
      <c r="Q970" s="477">
        <v>46023</v>
      </c>
      <c r="R970" s="476"/>
      <c r="S970" s="476"/>
    </row>
    <row r="971" spans="1:19" ht="15.75" customHeight="1" x14ac:dyDescent="0.25">
      <c r="A971" s="438">
        <v>968</v>
      </c>
      <c r="B971" s="470" t="s">
        <v>17</v>
      </c>
      <c r="C971" s="471" t="s">
        <v>18</v>
      </c>
      <c r="D971" s="472" t="s">
        <v>19</v>
      </c>
      <c r="E971" s="465" t="s">
        <v>4085</v>
      </c>
      <c r="F971" s="448" t="s">
        <v>3026</v>
      </c>
      <c r="G971" s="473" t="s">
        <v>3991</v>
      </c>
      <c r="H971" s="439" t="s">
        <v>1294</v>
      </c>
      <c r="I971" s="474" t="s">
        <v>3457</v>
      </c>
      <c r="J971" s="474" t="s">
        <v>3463</v>
      </c>
      <c r="K971" s="443" t="s">
        <v>1285</v>
      </c>
      <c r="L971" s="471">
        <v>1</v>
      </c>
      <c r="M971" s="447" t="s">
        <v>1301</v>
      </c>
      <c r="N971" s="456">
        <v>8805</v>
      </c>
      <c r="O971" s="475">
        <f t="shared" si="3"/>
        <v>8805</v>
      </c>
      <c r="P971" s="476"/>
      <c r="Q971" s="477">
        <v>46023</v>
      </c>
      <c r="R971" s="476"/>
      <c r="S971" s="476"/>
    </row>
    <row r="972" spans="1:19" ht="15.75" customHeight="1" x14ac:dyDescent="0.25">
      <c r="A972" s="438">
        <v>969</v>
      </c>
      <c r="B972" s="470" t="s">
        <v>17</v>
      </c>
      <c r="C972" s="471" t="s">
        <v>18</v>
      </c>
      <c r="D972" s="472" t="s">
        <v>19</v>
      </c>
      <c r="E972" s="465" t="s">
        <v>4085</v>
      </c>
      <c r="F972" s="448" t="s">
        <v>3026</v>
      </c>
      <c r="G972" s="473" t="s">
        <v>3991</v>
      </c>
      <c r="H972" s="439" t="s">
        <v>1294</v>
      </c>
      <c r="I972" s="474" t="s">
        <v>3457</v>
      </c>
      <c r="J972" s="474" t="s">
        <v>3463</v>
      </c>
      <c r="K972" s="443" t="s">
        <v>1285</v>
      </c>
      <c r="L972" s="471">
        <v>1</v>
      </c>
      <c r="M972" s="447" t="s">
        <v>1302</v>
      </c>
      <c r="N972" s="456">
        <v>8805</v>
      </c>
      <c r="O972" s="475">
        <f t="shared" si="3"/>
        <v>8805</v>
      </c>
      <c r="P972" s="476"/>
      <c r="Q972" s="477">
        <v>46023</v>
      </c>
      <c r="R972" s="476"/>
      <c r="S972" s="476"/>
    </row>
    <row r="973" spans="1:19" ht="15.75" customHeight="1" x14ac:dyDescent="0.25">
      <c r="A973" s="438">
        <v>970</v>
      </c>
      <c r="B973" s="470" t="s">
        <v>17</v>
      </c>
      <c r="C973" s="471" t="s">
        <v>18</v>
      </c>
      <c r="D973" s="472" t="s">
        <v>19</v>
      </c>
      <c r="E973" s="465" t="s">
        <v>4085</v>
      </c>
      <c r="F973" s="448" t="s">
        <v>3026</v>
      </c>
      <c r="G973" s="473" t="s">
        <v>3991</v>
      </c>
      <c r="H973" s="439" t="s">
        <v>1294</v>
      </c>
      <c r="I973" s="474" t="s">
        <v>3457</v>
      </c>
      <c r="J973" s="474" t="s">
        <v>3463</v>
      </c>
      <c r="K973" s="443" t="s">
        <v>1285</v>
      </c>
      <c r="L973" s="471">
        <v>1</v>
      </c>
      <c r="M973" s="447" t="s">
        <v>1303</v>
      </c>
      <c r="N973" s="456">
        <v>8805</v>
      </c>
      <c r="O973" s="475">
        <f t="shared" si="3"/>
        <v>8805</v>
      </c>
      <c r="P973" s="476"/>
      <c r="Q973" s="477">
        <v>46023</v>
      </c>
      <c r="R973" s="476"/>
      <c r="S973" s="476"/>
    </row>
    <row r="974" spans="1:19" ht="15.75" customHeight="1" x14ac:dyDescent="0.25">
      <c r="A974" s="438">
        <v>971</v>
      </c>
      <c r="B974" s="470" t="s">
        <v>17</v>
      </c>
      <c r="C974" s="471" t="s">
        <v>18</v>
      </c>
      <c r="D974" s="472" t="s">
        <v>19</v>
      </c>
      <c r="E974" s="465" t="s">
        <v>4085</v>
      </c>
      <c r="F974" s="448" t="s">
        <v>3026</v>
      </c>
      <c r="G974" s="473" t="s">
        <v>3991</v>
      </c>
      <c r="H974" s="439" t="s">
        <v>1294</v>
      </c>
      <c r="I974" s="474" t="s">
        <v>3457</v>
      </c>
      <c r="J974" s="474" t="s">
        <v>3463</v>
      </c>
      <c r="K974" s="443" t="s">
        <v>1285</v>
      </c>
      <c r="L974" s="471">
        <v>1</v>
      </c>
      <c r="M974" s="447" t="s">
        <v>1304</v>
      </c>
      <c r="N974" s="456">
        <v>8805</v>
      </c>
      <c r="O974" s="475">
        <f t="shared" si="3"/>
        <v>8805</v>
      </c>
      <c r="P974" s="476"/>
      <c r="Q974" s="477">
        <v>46023</v>
      </c>
      <c r="R974" s="476"/>
      <c r="S974" s="476"/>
    </row>
    <row r="975" spans="1:19" ht="15.75" customHeight="1" x14ac:dyDescent="0.25">
      <c r="A975" s="438">
        <v>972</v>
      </c>
      <c r="B975" s="470" t="s">
        <v>17</v>
      </c>
      <c r="C975" s="471" t="s">
        <v>18</v>
      </c>
      <c r="D975" s="472" t="s">
        <v>19</v>
      </c>
      <c r="E975" s="465" t="s">
        <v>4082</v>
      </c>
      <c r="F975" s="448" t="s">
        <v>4082</v>
      </c>
      <c r="G975" s="473" t="s">
        <v>3992</v>
      </c>
      <c r="H975" s="439" t="s">
        <v>1305</v>
      </c>
      <c r="I975" s="474" t="s">
        <v>3457</v>
      </c>
      <c r="J975" s="474" t="s">
        <v>3463</v>
      </c>
      <c r="K975" s="443" t="s">
        <v>1306</v>
      </c>
      <c r="L975" s="471">
        <v>1</v>
      </c>
      <c r="M975" s="447" t="s">
        <v>1307</v>
      </c>
      <c r="N975" s="456">
        <v>4600</v>
      </c>
      <c r="O975" s="475">
        <f t="shared" si="3"/>
        <v>4600</v>
      </c>
      <c r="P975" s="476"/>
      <c r="Q975" s="477">
        <v>46023</v>
      </c>
      <c r="R975" s="476"/>
      <c r="S975" s="476"/>
    </row>
    <row r="976" spans="1:19" ht="15.75" customHeight="1" x14ac:dyDescent="0.25">
      <c r="A976" s="438">
        <v>973</v>
      </c>
      <c r="B976" s="470" t="s">
        <v>17</v>
      </c>
      <c r="C976" s="471" t="s">
        <v>18</v>
      </c>
      <c r="D976" s="472" t="s">
        <v>19</v>
      </c>
      <c r="E976" s="465" t="s">
        <v>4082</v>
      </c>
      <c r="F976" s="448" t="s">
        <v>4082</v>
      </c>
      <c r="G976" s="473" t="s">
        <v>3993</v>
      </c>
      <c r="H976" s="439" t="s">
        <v>1308</v>
      </c>
      <c r="I976" s="474" t="s">
        <v>3458</v>
      </c>
      <c r="J976" s="474" t="s">
        <v>3463</v>
      </c>
      <c r="K976" s="443" t="s">
        <v>1309</v>
      </c>
      <c r="L976" s="471">
        <v>1</v>
      </c>
      <c r="M976" s="447" t="s">
        <v>1310</v>
      </c>
      <c r="N976" s="456">
        <v>2900</v>
      </c>
      <c r="O976" s="475">
        <f t="shared" si="3"/>
        <v>2900</v>
      </c>
      <c r="P976" s="476"/>
      <c r="Q976" s="477">
        <v>46023</v>
      </c>
      <c r="R976" s="476"/>
      <c r="S976" s="476"/>
    </row>
    <row r="977" spans="1:19" ht="15.75" customHeight="1" x14ac:dyDescent="0.25">
      <c r="A977" s="438">
        <v>974</v>
      </c>
      <c r="B977" s="470" t="s">
        <v>17</v>
      </c>
      <c r="C977" s="471" t="s">
        <v>18</v>
      </c>
      <c r="D977" s="472" t="s">
        <v>19</v>
      </c>
      <c r="E977" s="448" t="s">
        <v>4082</v>
      </c>
      <c r="F977" s="448" t="s">
        <v>4082</v>
      </c>
      <c r="G977" s="473" t="s">
        <v>3993</v>
      </c>
      <c r="H977" s="439" t="s">
        <v>1311</v>
      </c>
      <c r="I977" s="474" t="s">
        <v>3458</v>
      </c>
      <c r="J977" s="474" t="s">
        <v>3463</v>
      </c>
      <c r="K977" s="443" t="s">
        <v>1309</v>
      </c>
      <c r="L977" s="471">
        <v>1</v>
      </c>
      <c r="M977" s="447" t="s">
        <v>1312</v>
      </c>
      <c r="N977" s="456">
        <v>2730</v>
      </c>
      <c r="O977" s="475">
        <f t="shared" si="3"/>
        <v>2730</v>
      </c>
      <c r="P977" s="476"/>
      <c r="Q977" s="477">
        <v>46023</v>
      </c>
      <c r="R977" s="476"/>
      <c r="S977" s="476"/>
    </row>
    <row r="978" spans="1:19" ht="15.75" customHeight="1" x14ac:dyDescent="0.25">
      <c r="A978" s="438">
        <v>975</v>
      </c>
      <c r="B978" s="470" t="s">
        <v>17</v>
      </c>
      <c r="C978" s="471" t="s">
        <v>18</v>
      </c>
      <c r="D978" s="472" t="s">
        <v>19</v>
      </c>
      <c r="E978" s="448" t="s">
        <v>4082</v>
      </c>
      <c r="F978" s="448" t="s">
        <v>4082</v>
      </c>
      <c r="G978" s="473" t="s">
        <v>3993</v>
      </c>
      <c r="H978" s="439" t="s">
        <v>1311</v>
      </c>
      <c r="I978" s="474" t="s">
        <v>3458</v>
      </c>
      <c r="J978" s="474" t="s">
        <v>3463</v>
      </c>
      <c r="K978" s="443" t="s">
        <v>1309</v>
      </c>
      <c r="L978" s="471">
        <v>1</v>
      </c>
      <c r="M978" s="447" t="s">
        <v>1313</v>
      </c>
      <c r="N978" s="456">
        <v>2730</v>
      </c>
      <c r="O978" s="475">
        <f t="shared" si="3"/>
        <v>2730</v>
      </c>
      <c r="P978" s="476"/>
      <c r="Q978" s="477">
        <v>46023</v>
      </c>
      <c r="R978" s="476"/>
      <c r="S978" s="476"/>
    </row>
    <row r="979" spans="1:19" ht="15.75" customHeight="1" x14ac:dyDescent="0.25">
      <c r="A979" s="438">
        <v>976</v>
      </c>
      <c r="B979" s="470" t="s">
        <v>17</v>
      </c>
      <c r="C979" s="471" t="s">
        <v>18</v>
      </c>
      <c r="D979" s="472" t="s">
        <v>19</v>
      </c>
      <c r="E979" s="448" t="s">
        <v>4082</v>
      </c>
      <c r="F979" s="448" t="s">
        <v>4082</v>
      </c>
      <c r="G979" s="473" t="s">
        <v>3994</v>
      </c>
      <c r="H979" s="439" t="s">
        <v>1314</v>
      </c>
      <c r="I979" s="474" t="s">
        <v>3457</v>
      </c>
      <c r="J979" s="474" t="s">
        <v>3463</v>
      </c>
      <c r="K979" s="443" t="s">
        <v>1315</v>
      </c>
      <c r="L979" s="471">
        <v>1</v>
      </c>
      <c r="M979" s="447" t="s">
        <v>1316</v>
      </c>
      <c r="N979" s="456">
        <v>14279</v>
      </c>
      <c r="O979" s="475">
        <f t="shared" si="3"/>
        <v>14279</v>
      </c>
      <c r="P979" s="476"/>
      <c r="Q979" s="477">
        <v>46023</v>
      </c>
      <c r="R979" s="476"/>
      <c r="S979" s="476"/>
    </row>
    <row r="980" spans="1:19" ht="15.75" customHeight="1" x14ac:dyDescent="0.25">
      <c r="A980" s="438">
        <v>977</v>
      </c>
      <c r="B980" s="470" t="s">
        <v>17</v>
      </c>
      <c r="C980" s="471" t="s">
        <v>18</v>
      </c>
      <c r="D980" s="472" t="s">
        <v>19</v>
      </c>
      <c r="E980" s="448" t="s">
        <v>4082</v>
      </c>
      <c r="F980" s="448" t="s">
        <v>4082</v>
      </c>
      <c r="G980" s="473" t="s">
        <v>3994</v>
      </c>
      <c r="H980" s="439" t="s">
        <v>3409</v>
      </c>
      <c r="I980" s="474" t="s">
        <v>3457</v>
      </c>
      <c r="J980" s="474" t="s">
        <v>3463</v>
      </c>
      <c r="K980" s="443" t="s">
        <v>1315</v>
      </c>
      <c r="L980" s="471">
        <v>1</v>
      </c>
      <c r="M980" s="447" t="s">
        <v>3507</v>
      </c>
      <c r="N980" s="456">
        <v>36279</v>
      </c>
      <c r="O980" s="475">
        <f t="shared" si="3"/>
        <v>36279</v>
      </c>
      <c r="P980" s="476"/>
      <c r="Q980" s="477">
        <v>46023</v>
      </c>
      <c r="R980" s="476"/>
      <c r="S980" s="476"/>
    </row>
    <row r="981" spans="1:19" ht="15.75" customHeight="1" x14ac:dyDescent="0.25">
      <c r="A981" s="438">
        <v>978</v>
      </c>
      <c r="B981" s="470" t="s">
        <v>17</v>
      </c>
      <c r="C981" s="471" t="s">
        <v>18</v>
      </c>
      <c r="D981" s="472" t="s">
        <v>19</v>
      </c>
      <c r="E981" s="448" t="s">
        <v>4082</v>
      </c>
      <c r="F981" s="448" t="s">
        <v>4082</v>
      </c>
      <c r="G981" s="473" t="s">
        <v>3993</v>
      </c>
      <c r="H981" s="439" t="s">
        <v>1317</v>
      </c>
      <c r="I981" s="474" t="s">
        <v>3458</v>
      </c>
      <c r="J981" s="474" t="s">
        <v>3463</v>
      </c>
      <c r="K981" s="443" t="s">
        <v>1309</v>
      </c>
      <c r="L981" s="471">
        <v>1</v>
      </c>
      <c r="M981" s="447" t="s">
        <v>1318</v>
      </c>
      <c r="N981" s="456">
        <v>2800</v>
      </c>
      <c r="O981" s="475">
        <f t="shared" si="3"/>
        <v>2800</v>
      </c>
      <c r="P981" s="476"/>
      <c r="Q981" s="477">
        <v>46023</v>
      </c>
      <c r="R981" s="476"/>
      <c r="S981" s="476"/>
    </row>
    <row r="982" spans="1:19" ht="15.75" customHeight="1" x14ac:dyDescent="0.25">
      <c r="A982" s="438">
        <v>979</v>
      </c>
      <c r="B982" s="470" t="s">
        <v>17</v>
      </c>
      <c r="C982" s="471" t="s">
        <v>18</v>
      </c>
      <c r="D982" s="472" t="s">
        <v>19</v>
      </c>
      <c r="E982" s="448" t="s">
        <v>4082</v>
      </c>
      <c r="F982" s="448" t="s">
        <v>4082</v>
      </c>
      <c r="G982" s="473" t="s">
        <v>3993</v>
      </c>
      <c r="H982" s="439" t="s">
        <v>1317</v>
      </c>
      <c r="I982" s="474" t="s">
        <v>3458</v>
      </c>
      <c r="J982" s="474" t="s">
        <v>3463</v>
      </c>
      <c r="K982" s="443" t="s">
        <v>1309</v>
      </c>
      <c r="L982" s="471">
        <v>1</v>
      </c>
      <c r="M982" s="447" t="s">
        <v>1319</v>
      </c>
      <c r="N982" s="456">
        <v>2800</v>
      </c>
      <c r="O982" s="475">
        <f t="shared" si="3"/>
        <v>2800</v>
      </c>
      <c r="P982" s="476"/>
      <c r="Q982" s="477">
        <v>46023</v>
      </c>
      <c r="R982" s="476"/>
      <c r="S982" s="476"/>
    </row>
    <row r="983" spans="1:19" ht="15.75" customHeight="1" x14ac:dyDescent="0.25">
      <c r="A983" s="438">
        <v>980</v>
      </c>
      <c r="B983" s="470" t="s">
        <v>17</v>
      </c>
      <c r="C983" s="471" t="s">
        <v>18</v>
      </c>
      <c r="D983" s="472" t="s">
        <v>19</v>
      </c>
      <c r="E983" s="465" t="s">
        <v>4082</v>
      </c>
      <c r="F983" s="448" t="s">
        <v>4082</v>
      </c>
      <c r="G983" s="473" t="s">
        <v>3993</v>
      </c>
      <c r="H983" s="439" t="s">
        <v>1317</v>
      </c>
      <c r="I983" s="474" t="s">
        <v>3458</v>
      </c>
      <c r="J983" s="474" t="s">
        <v>3463</v>
      </c>
      <c r="K983" s="443" t="s">
        <v>1309</v>
      </c>
      <c r="L983" s="471">
        <v>1</v>
      </c>
      <c r="M983" s="447" t="s">
        <v>1320</v>
      </c>
      <c r="N983" s="456">
        <v>2800</v>
      </c>
      <c r="O983" s="475">
        <f t="shared" si="3"/>
        <v>2800</v>
      </c>
      <c r="P983" s="476"/>
      <c r="Q983" s="477">
        <v>46023</v>
      </c>
      <c r="R983" s="476"/>
      <c r="S983" s="476"/>
    </row>
    <row r="984" spans="1:19" ht="15.75" customHeight="1" x14ac:dyDescent="0.25">
      <c r="A984" s="438">
        <v>981</v>
      </c>
      <c r="B984" s="470" t="s">
        <v>17</v>
      </c>
      <c r="C984" s="471" t="s">
        <v>18</v>
      </c>
      <c r="D984" s="472" t="s">
        <v>19</v>
      </c>
      <c r="E984" s="465" t="s">
        <v>4082</v>
      </c>
      <c r="F984" s="448" t="s">
        <v>4082</v>
      </c>
      <c r="G984" s="473" t="s">
        <v>3995</v>
      </c>
      <c r="H984" s="439" t="s">
        <v>1321</v>
      </c>
      <c r="I984" s="474" t="s">
        <v>3457</v>
      </c>
      <c r="J984" s="474" t="s">
        <v>3463</v>
      </c>
      <c r="K984" s="443" t="s">
        <v>1322</v>
      </c>
      <c r="L984" s="471">
        <v>1</v>
      </c>
      <c r="M984" s="447" t="s">
        <v>1323</v>
      </c>
      <c r="N984" s="456">
        <v>10000</v>
      </c>
      <c r="O984" s="475">
        <f t="shared" si="3"/>
        <v>10000</v>
      </c>
      <c r="P984" s="476"/>
      <c r="Q984" s="477">
        <v>46023</v>
      </c>
      <c r="R984" s="476"/>
      <c r="S984" s="476"/>
    </row>
    <row r="985" spans="1:19" ht="15.75" customHeight="1" x14ac:dyDescent="0.25">
      <c r="A985" s="438">
        <v>982</v>
      </c>
      <c r="B985" s="470" t="s">
        <v>17</v>
      </c>
      <c r="C985" s="471" t="s">
        <v>18</v>
      </c>
      <c r="D985" s="472" t="s">
        <v>19</v>
      </c>
      <c r="E985" s="465" t="s">
        <v>4082</v>
      </c>
      <c r="F985" s="448" t="s">
        <v>4082</v>
      </c>
      <c r="G985" s="473" t="s">
        <v>3996</v>
      </c>
      <c r="H985" s="439" t="s">
        <v>1324</v>
      </c>
      <c r="I985" s="474" t="s">
        <v>3458</v>
      </c>
      <c r="J985" s="474" t="s">
        <v>3464</v>
      </c>
      <c r="K985" s="443" t="s">
        <v>1325</v>
      </c>
      <c r="L985" s="471">
        <v>1</v>
      </c>
      <c r="M985" s="447" t="s">
        <v>1326</v>
      </c>
      <c r="N985" s="456">
        <v>2500</v>
      </c>
      <c r="O985" s="475">
        <f t="shared" si="3"/>
        <v>2500</v>
      </c>
      <c r="P985" s="476"/>
      <c r="Q985" s="477">
        <v>46023</v>
      </c>
      <c r="R985" s="476"/>
      <c r="S985" s="476"/>
    </row>
    <row r="986" spans="1:19" ht="15.75" customHeight="1" x14ac:dyDescent="0.25">
      <c r="A986" s="438">
        <v>983</v>
      </c>
      <c r="B986" s="470" t="s">
        <v>17</v>
      </c>
      <c r="C986" s="471" t="s">
        <v>18</v>
      </c>
      <c r="D986" s="472" t="s">
        <v>19</v>
      </c>
      <c r="E986" s="465" t="s">
        <v>4082</v>
      </c>
      <c r="F986" s="448" t="s">
        <v>4082</v>
      </c>
      <c r="G986" s="473" t="s">
        <v>3996</v>
      </c>
      <c r="H986" s="439" t="s">
        <v>1324</v>
      </c>
      <c r="I986" s="474" t="s">
        <v>3458</v>
      </c>
      <c r="J986" s="474" t="s">
        <v>3464</v>
      </c>
      <c r="K986" s="443" t="s">
        <v>1325</v>
      </c>
      <c r="L986" s="471">
        <v>1</v>
      </c>
      <c r="M986" s="447" t="s">
        <v>1327</v>
      </c>
      <c r="N986" s="456">
        <v>2500</v>
      </c>
      <c r="O986" s="475">
        <f t="shared" si="3"/>
        <v>2500</v>
      </c>
      <c r="P986" s="476"/>
      <c r="Q986" s="477">
        <v>46023</v>
      </c>
      <c r="R986" s="476"/>
      <c r="S986" s="476"/>
    </row>
    <row r="987" spans="1:19" ht="15.75" customHeight="1" x14ac:dyDescent="0.25">
      <c r="A987" s="438">
        <v>984</v>
      </c>
      <c r="B987" s="470" t="s">
        <v>17</v>
      </c>
      <c r="C987" s="471" t="s">
        <v>18</v>
      </c>
      <c r="D987" s="472" t="s">
        <v>19</v>
      </c>
      <c r="E987" s="465" t="s">
        <v>4094</v>
      </c>
      <c r="F987" s="448" t="s">
        <v>4118</v>
      </c>
      <c r="G987" s="473" t="s">
        <v>3997</v>
      </c>
      <c r="H987" s="439" t="s">
        <v>1328</v>
      </c>
      <c r="I987" s="474" t="s">
        <v>3458</v>
      </c>
      <c r="J987" s="474" t="s">
        <v>3463</v>
      </c>
      <c r="K987" s="443" t="s">
        <v>1329</v>
      </c>
      <c r="L987" s="471">
        <v>1</v>
      </c>
      <c r="M987" s="447" t="s">
        <v>1330</v>
      </c>
      <c r="N987" s="456">
        <v>3990</v>
      </c>
      <c r="O987" s="475">
        <f t="shared" si="3"/>
        <v>3990</v>
      </c>
      <c r="P987" s="476"/>
      <c r="Q987" s="477">
        <v>46023</v>
      </c>
      <c r="R987" s="476"/>
      <c r="S987" s="476"/>
    </row>
    <row r="988" spans="1:19" ht="15.75" customHeight="1" x14ac:dyDescent="0.25">
      <c r="A988" s="438">
        <v>985</v>
      </c>
      <c r="B988" s="470" t="s">
        <v>17</v>
      </c>
      <c r="C988" s="471" t="s">
        <v>18</v>
      </c>
      <c r="D988" s="472" t="s">
        <v>19</v>
      </c>
      <c r="E988" s="465" t="s">
        <v>4094</v>
      </c>
      <c r="F988" s="448" t="s">
        <v>4118</v>
      </c>
      <c r="G988" s="473" t="s">
        <v>3996</v>
      </c>
      <c r="H988" s="439" t="s">
        <v>1324</v>
      </c>
      <c r="I988" s="474" t="s">
        <v>3458</v>
      </c>
      <c r="J988" s="474" t="s">
        <v>3464</v>
      </c>
      <c r="K988" s="443" t="s">
        <v>1325</v>
      </c>
      <c r="L988" s="471">
        <v>1</v>
      </c>
      <c r="M988" s="447" t="s">
        <v>1331</v>
      </c>
      <c r="N988" s="456">
        <v>17200</v>
      </c>
      <c r="O988" s="475">
        <f t="shared" si="3"/>
        <v>17200</v>
      </c>
      <c r="P988" s="476"/>
      <c r="Q988" s="477">
        <v>46023</v>
      </c>
      <c r="R988" s="476"/>
      <c r="S988" s="476"/>
    </row>
    <row r="989" spans="1:19" ht="15.75" customHeight="1" x14ac:dyDescent="0.25">
      <c r="A989" s="438">
        <v>986</v>
      </c>
      <c r="B989" s="470" t="s">
        <v>17</v>
      </c>
      <c r="C989" s="471" t="s">
        <v>18</v>
      </c>
      <c r="D989" s="472" t="s">
        <v>19</v>
      </c>
      <c r="E989" s="465" t="s">
        <v>4094</v>
      </c>
      <c r="F989" s="448" t="s">
        <v>4118</v>
      </c>
      <c r="G989" s="473" t="s">
        <v>3996</v>
      </c>
      <c r="H989" s="439" t="s">
        <v>1324</v>
      </c>
      <c r="I989" s="474" t="s">
        <v>3458</v>
      </c>
      <c r="J989" s="474" t="s">
        <v>3464</v>
      </c>
      <c r="K989" s="443" t="s">
        <v>1325</v>
      </c>
      <c r="L989" s="471">
        <v>1</v>
      </c>
      <c r="M989" s="447" t="s">
        <v>1332</v>
      </c>
      <c r="N989" s="456">
        <v>17200</v>
      </c>
      <c r="O989" s="475">
        <f t="shared" si="3"/>
        <v>17200</v>
      </c>
      <c r="P989" s="476"/>
      <c r="Q989" s="477">
        <v>46023</v>
      </c>
      <c r="R989" s="476"/>
      <c r="S989" s="476"/>
    </row>
    <row r="990" spans="1:19" ht="15.75" customHeight="1" x14ac:dyDescent="0.25">
      <c r="A990" s="438">
        <v>987</v>
      </c>
      <c r="B990" s="470" t="s">
        <v>17</v>
      </c>
      <c r="C990" s="471" t="s">
        <v>18</v>
      </c>
      <c r="D990" s="472" t="s">
        <v>19</v>
      </c>
      <c r="E990" s="465" t="s">
        <v>4081</v>
      </c>
      <c r="F990" s="448" t="s">
        <v>2989</v>
      </c>
      <c r="G990" s="473" t="s">
        <v>3982</v>
      </c>
      <c r="H990" s="439" t="s">
        <v>1333</v>
      </c>
      <c r="I990" s="474" t="s">
        <v>3457</v>
      </c>
      <c r="J990" s="474" t="s">
        <v>3463</v>
      </c>
      <c r="K990" s="443" t="s">
        <v>1176</v>
      </c>
      <c r="L990" s="471">
        <v>1</v>
      </c>
      <c r="M990" s="447" t="s">
        <v>1334</v>
      </c>
      <c r="N990" s="456">
        <v>28000</v>
      </c>
      <c r="O990" s="475">
        <f t="shared" si="3"/>
        <v>28000</v>
      </c>
      <c r="P990" s="476"/>
      <c r="Q990" s="477">
        <v>46023</v>
      </c>
      <c r="R990" s="476"/>
      <c r="S990" s="476"/>
    </row>
    <row r="991" spans="1:19" ht="15.75" customHeight="1" x14ac:dyDescent="0.25">
      <c r="A991" s="438">
        <v>988</v>
      </c>
      <c r="B991" s="470" t="s">
        <v>17</v>
      </c>
      <c r="C991" s="471" t="s">
        <v>18</v>
      </c>
      <c r="D991" s="472" t="s">
        <v>19</v>
      </c>
      <c r="E991" s="465" t="s">
        <v>4080</v>
      </c>
      <c r="F991" s="448" t="s">
        <v>4080</v>
      </c>
      <c r="G991" s="473" t="s">
        <v>3987</v>
      </c>
      <c r="H991" s="439" t="s">
        <v>1335</v>
      </c>
      <c r="I991" s="474" t="s">
        <v>3457</v>
      </c>
      <c r="J991" s="474" t="s">
        <v>3463</v>
      </c>
      <c r="K991" s="443" t="s">
        <v>1224</v>
      </c>
      <c r="L991" s="471">
        <v>1</v>
      </c>
      <c r="M991" s="447" t="s">
        <v>1336</v>
      </c>
      <c r="N991" s="456">
        <v>18304</v>
      </c>
      <c r="O991" s="475">
        <f t="shared" si="3"/>
        <v>18304</v>
      </c>
      <c r="P991" s="476"/>
      <c r="Q991" s="477">
        <v>46023</v>
      </c>
      <c r="R991" s="476"/>
      <c r="S991" s="476"/>
    </row>
    <row r="992" spans="1:19" ht="15.75" customHeight="1" x14ac:dyDescent="0.25">
      <c r="A992" s="438">
        <v>989</v>
      </c>
      <c r="B992" s="470" t="s">
        <v>17</v>
      </c>
      <c r="C992" s="471" t="s">
        <v>18</v>
      </c>
      <c r="D992" s="472" t="s">
        <v>19</v>
      </c>
      <c r="E992" s="465" t="s">
        <v>4080</v>
      </c>
      <c r="F992" s="448" t="s">
        <v>4080</v>
      </c>
      <c r="G992" s="473" t="s">
        <v>3987</v>
      </c>
      <c r="H992" s="439" t="s">
        <v>1335</v>
      </c>
      <c r="I992" s="474" t="s">
        <v>3457</v>
      </c>
      <c r="J992" s="474" t="s">
        <v>3463</v>
      </c>
      <c r="K992" s="443" t="s">
        <v>1224</v>
      </c>
      <c r="L992" s="471">
        <v>1</v>
      </c>
      <c r="M992" s="447" t="s">
        <v>1337</v>
      </c>
      <c r="N992" s="456">
        <v>18304</v>
      </c>
      <c r="O992" s="475">
        <f t="shared" si="3"/>
        <v>18304</v>
      </c>
      <c r="P992" s="476"/>
      <c r="Q992" s="477">
        <v>46023</v>
      </c>
      <c r="R992" s="476"/>
      <c r="S992" s="476"/>
    </row>
    <row r="993" spans="1:19" ht="15.75" customHeight="1" x14ac:dyDescent="0.25">
      <c r="A993" s="438">
        <v>990</v>
      </c>
      <c r="B993" s="470" t="s">
        <v>17</v>
      </c>
      <c r="C993" s="471" t="s">
        <v>18</v>
      </c>
      <c r="D993" s="472" t="s">
        <v>19</v>
      </c>
      <c r="E993" s="465" t="s">
        <v>4080</v>
      </c>
      <c r="F993" s="448" t="s">
        <v>4080</v>
      </c>
      <c r="G993" s="473" t="s">
        <v>3987</v>
      </c>
      <c r="H993" s="439" t="s">
        <v>1335</v>
      </c>
      <c r="I993" s="474" t="s">
        <v>3457</v>
      </c>
      <c r="J993" s="474" t="s">
        <v>3463</v>
      </c>
      <c r="K993" s="443" t="s">
        <v>1224</v>
      </c>
      <c r="L993" s="471">
        <v>1</v>
      </c>
      <c r="M993" s="447" t="s">
        <v>1338</v>
      </c>
      <c r="N993" s="456">
        <v>18304</v>
      </c>
      <c r="O993" s="475">
        <f t="shared" si="3"/>
        <v>18304</v>
      </c>
      <c r="P993" s="476"/>
      <c r="Q993" s="477">
        <v>46023</v>
      </c>
      <c r="R993" s="476"/>
      <c r="S993" s="476"/>
    </row>
    <row r="994" spans="1:19" ht="15.75" customHeight="1" x14ac:dyDescent="0.25">
      <c r="A994" s="438">
        <v>991</v>
      </c>
      <c r="B994" s="470" t="s">
        <v>17</v>
      </c>
      <c r="C994" s="471" t="s">
        <v>18</v>
      </c>
      <c r="D994" s="472" t="s">
        <v>19</v>
      </c>
      <c r="E994" s="465" t="s">
        <v>4088</v>
      </c>
      <c r="F994" s="448" t="s">
        <v>4101</v>
      </c>
      <c r="G994" s="473" t="s">
        <v>3987</v>
      </c>
      <c r="H994" s="439" t="s">
        <v>1339</v>
      </c>
      <c r="I994" s="474" t="s">
        <v>3457</v>
      </c>
      <c r="J994" s="474" t="s">
        <v>3463</v>
      </c>
      <c r="K994" s="443" t="s">
        <v>1224</v>
      </c>
      <c r="L994" s="471">
        <v>1</v>
      </c>
      <c r="M994" s="447" t="s">
        <v>1340</v>
      </c>
      <c r="N994" s="456">
        <v>10639.2</v>
      </c>
      <c r="O994" s="475">
        <f t="shared" si="3"/>
        <v>10639.2</v>
      </c>
      <c r="P994" s="476"/>
      <c r="Q994" s="477">
        <v>46023</v>
      </c>
      <c r="R994" s="476"/>
      <c r="S994" s="476"/>
    </row>
    <row r="995" spans="1:19" ht="15.75" customHeight="1" x14ac:dyDescent="0.25">
      <c r="A995" s="438">
        <v>992</v>
      </c>
      <c r="B995" s="470" t="s">
        <v>17</v>
      </c>
      <c r="C995" s="471" t="s">
        <v>18</v>
      </c>
      <c r="D995" s="472" t="s">
        <v>19</v>
      </c>
      <c r="E995" s="465" t="s">
        <v>4088</v>
      </c>
      <c r="F995" s="448" t="s">
        <v>4101</v>
      </c>
      <c r="G995" s="473" t="s">
        <v>3987</v>
      </c>
      <c r="H995" s="439" t="s">
        <v>1339</v>
      </c>
      <c r="I995" s="474" t="s">
        <v>3457</v>
      </c>
      <c r="J995" s="474" t="s">
        <v>3463</v>
      </c>
      <c r="K995" s="443" t="s">
        <v>1224</v>
      </c>
      <c r="L995" s="471">
        <v>1</v>
      </c>
      <c r="M995" s="447" t="s">
        <v>1341</v>
      </c>
      <c r="N995" s="456">
        <v>10639.2</v>
      </c>
      <c r="O995" s="475">
        <f t="shared" si="3"/>
        <v>10639.2</v>
      </c>
      <c r="P995" s="476"/>
      <c r="Q995" s="477">
        <v>46023</v>
      </c>
      <c r="R995" s="476"/>
      <c r="S995" s="476"/>
    </row>
    <row r="996" spans="1:19" ht="15.75" customHeight="1" x14ac:dyDescent="0.25">
      <c r="A996" s="438">
        <v>993</v>
      </c>
      <c r="B996" s="470" t="s">
        <v>17</v>
      </c>
      <c r="C996" s="471" t="s">
        <v>18</v>
      </c>
      <c r="D996" s="472" t="s">
        <v>19</v>
      </c>
      <c r="E996" s="465" t="s">
        <v>4080</v>
      </c>
      <c r="F996" s="448" t="s">
        <v>4080</v>
      </c>
      <c r="G996" s="473" t="s">
        <v>3987</v>
      </c>
      <c r="H996" s="439" t="s">
        <v>1339</v>
      </c>
      <c r="I996" s="474" t="s">
        <v>3457</v>
      </c>
      <c r="J996" s="474" t="s">
        <v>3463</v>
      </c>
      <c r="K996" s="443" t="s">
        <v>1224</v>
      </c>
      <c r="L996" s="471">
        <v>1</v>
      </c>
      <c r="M996" s="447" t="s">
        <v>1342</v>
      </c>
      <c r="N996" s="456">
        <v>10639.2</v>
      </c>
      <c r="O996" s="475">
        <f t="shared" si="3"/>
        <v>10639.2</v>
      </c>
      <c r="P996" s="476"/>
      <c r="Q996" s="477">
        <v>46023</v>
      </c>
      <c r="R996" s="476"/>
      <c r="S996" s="476"/>
    </row>
    <row r="997" spans="1:19" ht="15.75" customHeight="1" x14ac:dyDescent="0.25">
      <c r="A997" s="438">
        <v>994</v>
      </c>
      <c r="B997" s="470" t="s">
        <v>17</v>
      </c>
      <c r="C997" s="471" t="s">
        <v>18</v>
      </c>
      <c r="D997" s="472" t="s">
        <v>19</v>
      </c>
      <c r="E997" s="465" t="s">
        <v>4080</v>
      </c>
      <c r="F997" s="448" t="s">
        <v>4080</v>
      </c>
      <c r="G997" s="473" t="s">
        <v>3987</v>
      </c>
      <c r="H997" s="439" t="s">
        <v>1339</v>
      </c>
      <c r="I997" s="474" t="s">
        <v>3457</v>
      </c>
      <c r="J997" s="474" t="s">
        <v>3463</v>
      </c>
      <c r="K997" s="443" t="s">
        <v>1224</v>
      </c>
      <c r="L997" s="471">
        <v>1</v>
      </c>
      <c r="M997" s="447" t="s">
        <v>1343</v>
      </c>
      <c r="N997" s="456">
        <v>10639.2</v>
      </c>
      <c r="O997" s="475">
        <f t="shared" si="3"/>
        <v>10639.2</v>
      </c>
      <c r="P997" s="476"/>
      <c r="Q997" s="477">
        <v>46023</v>
      </c>
      <c r="R997" s="476"/>
      <c r="S997" s="476"/>
    </row>
    <row r="998" spans="1:19" ht="15.75" customHeight="1" x14ac:dyDescent="0.25">
      <c r="A998" s="438">
        <v>995</v>
      </c>
      <c r="B998" s="470" t="s">
        <v>17</v>
      </c>
      <c r="C998" s="471" t="s">
        <v>18</v>
      </c>
      <c r="D998" s="472" t="s">
        <v>19</v>
      </c>
      <c r="E998" s="465" t="s">
        <v>4085</v>
      </c>
      <c r="F998" s="448" t="s">
        <v>2985</v>
      </c>
      <c r="G998" s="473" t="s">
        <v>3987</v>
      </c>
      <c r="H998" s="439" t="s">
        <v>1344</v>
      </c>
      <c r="I998" s="474" t="s">
        <v>3457</v>
      </c>
      <c r="J998" s="474" t="s">
        <v>3463</v>
      </c>
      <c r="K998" s="443" t="s">
        <v>1224</v>
      </c>
      <c r="L998" s="471">
        <v>1</v>
      </c>
      <c r="M998" s="447" t="s">
        <v>1345</v>
      </c>
      <c r="N998" s="456">
        <v>8800</v>
      </c>
      <c r="O998" s="475">
        <f t="shared" si="3"/>
        <v>8800</v>
      </c>
      <c r="P998" s="476"/>
      <c r="Q998" s="477">
        <v>46023</v>
      </c>
      <c r="R998" s="476"/>
      <c r="S998" s="476"/>
    </row>
    <row r="999" spans="1:19" ht="15.75" customHeight="1" x14ac:dyDescent="0.25">
      <c r="A999" s="438">
        <v>996</v>
      </c>
      <c r="B999" s="470" t="s">
        <v>17</v>
      </c>
      <c r="C999" s="471" t="s">
        <v>18</v>
      </c>
      <c r="D999" s="472" t="s">
        <v>19</v>
      </c>
      <c r="E999" s="448" t="s">
        <v>4089</v>
      </c>
      <c r="F999" s="448" t="s">
        <v>4108</v>
      </c>
      <c r="G999" s="473" t="s">
        <v>3998</v>
      </c>
      <c r="H999" s="439" t="s">
        <v>1346</v>
      </c>
      <c r="I999" s="474" t="s">
        <v>3457</v>
      </c>
      <c r="J999" s="474" t="s">
        <v>3464</v>
      </c>
      <c r="K999" s="443" t="s">
        <v>1347</v>
      </c>
      <c r="L999" s="471">
        <v>1</v>
      </c>
      <c r="M999" s="447" t="s">
        <v>1348</v>
      </c>
      <c r="N999" s="456">
        <v>58000</v>
      </c>
      <c r="O999" s="475">
        <f t="shared" si="3"/>
        <v>58000</v>
      </c>
      <c r="P999" s="476"/>
      <c r="Q999" s="477">
        <v>46023</v>
      </c>
      <c r="R999" s="476"/>
      <c r="S999" s="476"/>
    </row>
    <row r="1000" spans="1:19" ht="15.75" customHeight="1" x14ac:dyDescent="0.25">
      <c r="A1000" s="438">
        <v>997</v>
      </c>
      <c r="B1000" s="470" t="s">
        <v>17</v>
      </c>
      <c r="C1000" s="471" t="s">
        <v>18</v>
      </c>
      <c r="D1000" s="472" t="s">
        <v>19</v>
      </c>
      <c r="E1000" s="448" t="s">
        <v>4085</v>
      </c>
      <c r="F1000" s="448" t="s">
        <v>2985</v>
      </c>
      <c r="G1000" s="473" t="s">
        <v>3999</v>
      </c>
      <c r="H1000" s="439" t="s">
        <v>1349</v>
      </c>
      <c r="I1000" s="474" t="s">
        <v>3459</v>
      </c>
      <c r="J1000" s="474" t="s">
        <v>3464</v>
      </c>
      <c r="K1000" s="443" t="s">
        <v>1350</v>
      </c>
      <c r="L1000" s="471">
        <v>1</v>
      </c>
      <c r="M1000" s="447" t="s">
        <v>1351</v>
      </c>
      <c r="N1000" s="456">
        <v>21000</v>
      </c>
      <c r="O1000" s="475">
        <f t="shared" si="3"/>
        <v>21000</v>
      </c>
      <c r="P1000" s="476"/>
      <c r="Q1000" s="477">
        <v>46023</v>
      </c>
      <c r="R1000" s="476"/>
      <c r="S1000" s="476"/>
    </row>
    <row r="1001" spans="1:19" ht="15.75" customHeight="1" x14ac:dyDescent="0.25">
      <c r="A1001" s="438">
        <v>998</v>
      </c>
      <c r="B1001" s="470" t="s">
        <v>17</v>
      </c>
      <c r="C1001" s="471" t="s">
        <v>18</v>
      </c>
      <c r="D1001" s="472" t="s">
        <v>19</v>
      </c>
      <c r="E1001" s="465" t="s">
        <v>4089</v>
      </c>
      <c r="F1001" s="448" t="s">
        <v>2985</v>
      </c>
      <c r="G1001" s="473" t="s">
        <v>4000</v>
      </c>
      <c r="H1001" s="439" t="s">
        <v>1352</v>
      </c>
      <c r="I1001" s="474" t="s">
        <v>3457</v>
      </c>
      <c r="J1001" s="474" t="s">
        <v>3465</v>
      </c>
      <c r="K1001" s="443" t="s">
        <v>1353</v>
      </c>
      <c r="L1001" s="471">
        <v>1</v>
      </c>
      <c r="M1001" s="447" t="s">
        <v>1354</v>
      </c>
      <c r="N1001" s="456">
        <v>283400</v>
      </c>
      <c r="O1001" s="475">
        <f t="shared" si="3"/>
        <v>283400</v>
      </c>
      <c r="P1001" s="476"/>
      <c r="Q1001" s="477">
        <v>46023</v>
      </c>
      <c r="R1001" s="476"/>
      <c r="S1001" s="476"/>
    </row>
    <row r="1002" spans="1:19" ht="15.75" customHeight="1" x14ac:dyDescent="0.25">
      <c r="A1002" s="438">
        <v>999</v>
      </c>
      <c r="B1002" s="470" t="s">
        <v>17</v>
      </c>
      <c r="C1002" s="471" t="s">
        <v>18</v>
      </c>
      <c r="D1002" s="472" t="s">
        <v>19</v>
      </c>
      <c r="E1002" s="448" t="s">
        <v>4089</v>
      </c>
      <c r="F1002" s="448" t="s">
        <v>4108</v>
      </c>
      <c r="G1002" s="473" t="s">
        <v>2289</v>
      </c>
      <c r="H1002" s="439" t="s">
        <v>1355</v>
      </c>
      <c r="I1002" s="474" t="s">
        <v>3457</v>
      </c>
      <c r="J1002" s="474" t="s">
        <v>3463</v>
      </c>
      <c r="K1002" s="443" t="s">
        <v>1356</v>
      </c>
      <c r="L1002" s="471">
        <v>1</v>
      </c>
      <c r="M1002" s="447" t="s">
        <v>1357</v>
      </c>
      <c r="N1002" s="456">
        <v>36000</v>
      </c>
      <c r="O1002" s="475">
        <f t="shared" si="3"/>
        <v>36000</v>
      </c>
      <c r="P1002" s="476"/>
      <c r="Q1002" s="477">
        <v>46023</v>
      </c>
      <c r="R1002" s="476"/>
      <c r="S1002" s="476"/>
    </row>
    <row r="1003" spans="1:19" ht="15.75" customHeight="1" x14ac:dyDescent="0.25">
      <c r="A1003" s="438">
        <v>1000</v>
      </c>
      <c r="B1003" s="470" t="s">
        <v>17</v>
      </c>
      <c r="C1003" s="471" t="s">
        <v>18</v>
      </c>
      <c r="D1003" s="472" t="s">
        <v>19</v>
      </c>
      <c r="E1003" s="448" t="s">
        <v>3249</v>
      </c>
      <c r="F1003" s="448" t="s">
        <v>3249</v>
      </c>
      <c r="G1003" s="473" t="s">
        <v>2519</v>
      </c>
      <c r="H1003" s="439" t="s">
        <v>1358</v>
      </c>
      <c r="I1003" s="474" t="s">
        <v>3459</v>
      </c>
      <c r="J1003" s="474" t="s">
        <v>3463</v>
      </c>
      <c r="K1003" s="443" t="s">
        <v>1359</v>
      </c>
      <c r="L1003" s="471">
        <v>1</v>
      </c>
      <c r="M1003" s="447" t="s">
        <v>1360</v>
      </c>
      <c r="N1003" s="456">
        <v>7281</v>
      </c>
      <c r="O1003" s="475">
        <f t="shared" si="3"/>
        <v>7281</v>
      </c>
      <c r="P1003" s="476"/>
      <c r="Q1003" s="477">
        <v>46023</v>
      </c>
      <c r="R1003" s="476"/>
      <c r="S1003" s="476"/>
    </row>
    <row r="1004" spans="1:19" ht="15.75" customHeight="1" x14ac:dyDescent="0.25">
      <c r="A1004" s="438">
        <v>1001</v>
      </c>
      <c r="B1004" s="470" t="s">
        <v>17</v>
      </c>
      <c r="C1004" s="471" t="s">
        <v>18</v>
      </c>
      <c r="D1004" s="472" t="s">
        <v>19</v>
      </c>
      <c r="E1004" s="448" t="s">
        <v>3249</v>
      </c>
      <c r="F1004" s="448" t="s">
        <v>3249</v>
      </c>
      <c r="G1004" s="473" t="s">
        <v>4001</v>
      </c>
      <c r="H1004" s="439" t="s">
        <v>1361</v>
      </c>
      <c r="I1004" s="474" t="s">
        <v>3457</v>
      </c>
      <c r="J1004" s="474" t="s">
        <v>3464</v>
      </c>
      <c r="K1004" s="443" t="s">
        <v>1362</v>
      </c>
      <c r="L1004" s="471">
        <v>1</v>
      </c>
      <c r="M1004" s="447" t="s">
        <v>1363</v>
      </c>
      <c r="N1004" s="456">
        <v>9465</v>
      </c>
      <c r="O1004" s="475">
        <f t="shared" si="3"/>
        <v>9465</v>
      </c>
      <c r="P1004" s="476"/>
      <c r="Q1004" s="477">
        <v>46023</v>
      </c>
      <c r="R1004" s="476"/>
      <c r="S1004" s="476"/>
    </row>
    <row r="1005" spans="1:19" ht="15.75" customHeight="1" x14ac:dyDescent="0.25">
      <c r="A1005" s="438">
        <v>1002</v>
      </c>
      <c r="B1005" s="470" t="s">
        <v>17</v>
      </c>
      <c r="C1005" s="471" t="s">
        <v>18</v>
      </c>
      <c r="D1005" s="472" t="s">
        <v>19</v>
      </c>
      <c r="E1005" s="465" t="s">
        <v>3249</v>
      </c>
      <c r="F1005" s="448" t="s">
        <v>3249</v>
      </c>
      <c r="G1005" s="473" t="s">
        <v>3984</v>
      </c>
      <c r="H1005" s="439" t="s">
        <v>1364</v>
      </c>
      <c r="I1005" s="474" t="s">
        <v>3457</v>
      </c>
      <c r="J1005" s="474" t="s">
        <v>3464</v>
      </c>
      <c r="K1005" s="443" t="s">
        <v>1206</v>
      </c>
      <c r="L1005" s="471">
        <v>1</v>
      </c>
      <c r="M1005" s="447" t="s">
        <v>1365</v>
      </c>
      <c r="N1005" s="456">
        <v>14010</v>
      </c>
      <c r="O1005" s="475">
        <f t="shared" si="3"/>
        <v>14010</v>
      </c>
      <c r="P1005" s="476"/>
      <c r="Q1005" s="477">
        <v>46023</v>
      </c>
      <c r="R1005" s="476"/>
      <c r="S1005" s="476"/>
    </row>
    <row r="1006" spans="1:19" ht="15.75" customHeight="1" x14ac:dyDescent="0.25">
      <c r="A1006" s="438">
        <v>1003</v>
      </c>
      <c r="B1006" s="470" t="s">
        <v>17</v>
      </c>
      <c r="C1006" s="471" t="s">
        <v>18</v>
      </c>
      <c r="D1006" s="472" t="s">
        <v>19</v>
      </c>
      <c r="E1006" s="448" t="s">
        <v>3249</v>
      </c>
      <c r="F1006" s="448" t="s">
        <v>3249</v>
      </c>
      <c r="G1006" s="473" t="s">
        <v>4001</v>
      </c>
      <c r="H1006" s="439" t="s">
        <v>1366</v>
      </c>
      <c r="I1006" s="474" t="s">
        <v>3457</v>
      </c>
      <c r="J1006" s="474" t="s">
        <v>3464</v>
      </c>
      <c r="K1006" s="443" t="s">
        <v>1362</v>
      </c>
      <c r="L1006" s="471">
        <v>1</v>
      </c>
      <c r="M1006" s="447" t="s">
        <v>1367</v>
      </c>
      <c r="N1006" s="456">
        <v>949</v>
      </c>
      <c r="O1006" s="475">
        <f t="shared" si="3"/>
        <v>949</v>
      </c>
      <c r="P1006" s="476"/>
      <c r="Q1006" s="477">
        <v>46023</v>
      </c>
      <c r="R1006" s="476"/>
      <c r="S1006" s="476"/>
    </row>
    <row r="1007" spans="1:19" ht="15.75" customHeight="1" x14ac:dyDescent="0.25">
      <c r="A1007" s="438">
        <v>1004</v>
      </c>
      <c r="B1007" s="470" t="s">
        <v>17</v>
      </c>
      <c r="C1007" s="471" t="s">
        <v>18</v>
      </c>
      <c r="D1007" s="472" t="s">
        <v>19</v>
      </c>
      <c r="E1007" s="448" t="s">
        <v>4088</v>
      </c>
      <c r="F1007" s="448" t="s">
        <v>4101</v>
      </c>
      <c r="G1007" s="473" t="s">
        <v>4002</v>
      </c>
      <c r="H1007" s="439" t="s">
        <v>1368</v>
      </c>
      <c r="I1007" s="474" t="s">
        <v>3457</v>
      </c>
      <c r="J1007" s="474" t="s">
        <v>3463</v>
      </c>
      <c r="K1007" s="443" t="s">
        <v>1369</v>
      </c>
      <c r="L1007" s="471">
        <v>1</v>
      </c>
      <c r="M1007" s="447" t="s">
        <v>1370</v>
      </c>
      <c r="N1007" s="456">
        <v>611</v>
      </c>
      <c r="O1007" s="475">
        <f t="shared" si="3"/>
        <v>611</v>
      </c>
      <c r="P1007" s="476"/>
      <c r="Q1007" s="477">
        <v>46023</v>
      </c>
      <c r="R1007" s="476"/>
      <c r="S1007" s="476"/>
    </row>
    <row r="1008" spans="1:19" ht="15.75" customHeight="1" x14ac:dyDescent="0.25">
      <c r="A1008" s="438">
        <v>1005</v>
      </c>
      <c r="B1008" s="470" t="s">
        <v>17</v>
      </c>
      <c r="C1008" s="471" t="s">
        <v>18</v>
      </c>
      <c r="D1008" s="472" t="s">
        <v>19</v>
      </c>
      <c r="E1008" s="448" t="s">
        <v>4088</v>
      </c>
      <c r="F1008" s="448" t="s">
        <v>4101</v>
      </c>
      <c r="G1008" s="473" t="s">
        <v>4002</v>
      </c>
      <c r="H1008" s="439" t="s">
        <v>1368</v>
      </c>
      <c r="I1008" s="474" t="s">
        <v>3457</v>
      </c>
      <c r="J1008" s="474" t="s">
        <v>3463</v>
      </c>
      <c r="K1008" s="443" t="s">
        <v>1369</v>
      </c>
      <c r="L1008" s="471">
        <v>1</v>
      </c>
      <c r="M1008" s="447" t="s">
        <v>1371</v>
      </c>
      <c r="N1008" s="456">
        <v>611</v>
      </c>
      <c r="O1008" s="475">
        <f t="shared" si="3"/>
        <v>611</v>
      </c>
      <c r="P1008" s="476"/>
      <c r="Q1008" s="477">
        <v>46023</v>
      </c>
      <c r="R1008" s="476"/>
      <c r="S1008" s="476"/>
    </row>
    <row r="1009" spans="1:19" ht="15.75" customHeight="1" x14ac:dyDescent="0.25">
      <c r="A1009" s="438">
        <v>1006</v>
      </c>
      <c r="B1009" s="470" t="s">
        <v>17</v>
      </c>
      <c r="C1009" s="471" t="s">
        <v>18</v>
      </c>
      <c r="D1009" s="472" t="s">
        <v>19</v>
      </c>
      <c r="E1009" s="448" t="s">
        <v>4087</v>
      </c>
      <c r="F1009" s="448" t="s">
        <v>4098</v>
      </c>
      <c r="G1009" s="473" t="s">
        <v>4003</v>
      </c>
      <c r="H1009" s="439" t="s">
        <v>1372</v>
      </c>
      <c r="I1009" s="474" t="s">
        <v>3457</v>
      </c>
      <c r="J1009" s="474" t="s">
        <v>3463</v>
      </c>
      <c r="K1009" s="443" t="s">
        <v>1373</v>
      </c>
      <c r="L1009" s="471">
        <v>1</v>
      </c>
      <c r="M1009" s="447" t="s">
        <v>1374</v>
      </c>
      <c r="N1009" s="456">
        <v>1950</v>
      </c>
      <c r="O1009" s="475">
        <f t="shared" si="3"/>
        <v>1950</v>
      </c>
      <c r="P1009" s="476"/>
      <c r="Q1009" s="477">
        <v>46023</v>
      </c>
      <c r="R1009" s="476"/>
      <c r="S1009" s="476"/>
    </row>
    <row r="1010" spans="1:19" ht="15.75" customHeight="1" x14ac:dyDescent="0.25">
      <c r="A1010" s="438">
        <v>1007</v>
      </c>
      <c r="B1010" s="470" t="s">
        <v>17</v>
      </c>
      <c r="C1010" s="471" t="s">
        <v>18</v>
      </c>
      <c r="D1010" s="472" t="s">
        <v>19</v>
      </c>
      <c r="E1010" s="448" t="s">
        <v>4088</v>
      </c>
      <c r="F1010" s="448" t="s">
        <v>4105</v>
      </c>
      <c r="G1010" s="473" t="s">
        <v>4003</v>
      </c>
      <c r="H1010" s="439" t="s">
        <v>1372</v>
      </c>
      <c r="I1010" s="474" t="s">
        <v>3457</v>
      </c>
      <c r="J1010" s="474" t="s">
        <v>3463</v>
      </c>
      <c r="K1010" s="443" t="s">
        <v>1373</v>
      </c>
      <c r="L1010" s="471">
        <v>1</v>
      </c>
      <c r="M1010" s="447" t="s">
        <v>1375</v>
      </c>
      <c r="N1010" s="456">
        <v>1950</v>
      </c>
      <c r="O1010" s="475">
        <f t="shared" si="3"/>
        <v>1950</v>
      </c>
      <c r="P1010" s="476"/>
      <c r="Q1010" s="477">
        <v>46023</v>
      </c>
      <c r="R1010" s="476"/>
      <c r="S1010" s="476"/>
    </row>
    <row r="1011" spans="1:19" ht="15.75" customHeight="1" x14ac:dyDescent="0.25">
      <c r="A1011" s="438">
        <v>1008</v>
      </c>
      <c r="B1011" s="470" t="s">
        <v>17</v>
      </c>
      <c r="C1011" s="471" t="s">
        <v>18</v>
      </c>
      <c r="D1011" s="472" t="s">
        <v>19</v>
      </c>
      <c r="E1011" s="448" t="s">
        <v>4087</v>
      </c>
      <c r="F1011" s="448" t="s">
        <v>4099</v>
      </c>
      <c r="G1011" s="473" t="s">
        <v>4003</v>
      </c>
      <c r="H1011" s="439" t="s">
        <v>1372</v>
      </c>
      <c r="I1011" s="474" t="s">
        <v>3457</v>
      </c>
      <c r="J1011" s="474" t="s">
        <v>3463</v>
      </c>
      <c r="K1011" s="443" t="s">
        <v>1373</v>
      </c>
      <c r="L1011" s="471">
        <v>1</v>
      </c>
      <c r="M1011" s="447" t="s">
        <v>1376</v>
      </c>
      <c r="N1011" s="456">
        <v>1950</v>
      </c>
      <c r="O1011" s="475">
        <f t="shared" si="3"/>
        <v>1950</v>
      </c>
      <c r="P1011" s="476"/>
      <c r="Q1011" s="477">
        <v>46023</v>
      </c>
      <c r="R1011" s="476"/>
      <c r="S1011" s="476"/>
    </row>
    <row r="1012" spans="1:19" ht="15.75" customHeight="1" x14ac:dyDescent="0.25">
      <c r="A1012" s="438">
        <v>1009</v>
      </c>
      <c r="B1012" s="470" t="s">
        <v>17</v>
      </c>
      <c r="C1012" s="471" t="s">
        <v>18</v>
      </c>
      <c r="D1012" s="472" t="s">
        <v>19</v>
      </c>
      <c r="E1012" s="448" t="s">
        <v>4083</v>
      </c>
      <c r="F1012" s="448" t="s">
        <v>4109</v>
      </c>
      <c r="G1012" s="473" t="s">
        <v>4003</v>
      </c>
      <c r="H1012" s="439" t="s">
        <v>1372</v>
      </c>
      <c r="I1012" s="474" t="s">
        <v>3457</v>
      </c>
      <c r="J1012" s="474" t="s">
        <v>3463</v>
      </c>
      <c r="K1012" s="443" t="s">
        <v>1373</v>
      </c>
      <c r="L1012" s="471">
        <v>1</v>
      </c>
      <c r="M1012" s="447" t="s">
        <v>1377</v>
      </c>
      <c r="N1012" s="456">
        <v>1950</v>
      </c>
      <c r="O1012" s="475">
        <f t="shared" si="3"/>
        <v>1950</v>
      </c>
      <c r="P1012" s="476"/>
      <c r="Q1012" s="477">
        <v>46023</v>
      </c>
      <c r="R1012" s="476"/>
      <c r="S1012" s="476"/>
    </row>
    <row r="1013" spans="1:19" ht="15.75" customHeight="1" x14ac:dyDescent="0.25">
      <c r="A1013" s="438">
        <v>1010</v>
      </c>
      <c r="B1013" s="470" t="s">
        <v>17</v>
      </c>
      <c r="C1013" s="471" t="s">
        <v>18</v>
      </c>
      <c r="D1013" s="472" t="s">
        <v>19</v>
      </c>
      <c r="E1013" s="448" t="s">
        <v>4083</v>
      </c>
      <c r="F1013" s="448" t="s">
        <v>4109</v>
      </c>
      <c r="G1013" s="473" t="s">
        <v>4003</v>
      </c>
      <c r="H1013" s="439" t="s">
        <v>1372</v>
      </c>
      <c r="I1013" s="474" t="s">
        <v>3457</v>
      </c>
      <c r="J1013" s="474" t="s">
        <v>3463</v>
      </c>
      <c r="K1013" s="443" t="s">
        <v>1373</v>
      </c>
      <c r="L1013" s="471">
        <v>1</v>
      </c>
      <c r="M1013" s="447" t="s">
        <v>1378</v>
      </c>
      <c r="N1013" s="456">
        <v>1950</v>
      </c>
      <c r="O1013" s="475">
        <f t="shared" si="3"/>
        <v>1950</v>
      </c>
      <c r="P1013" s="476"/>
      <c r="Q1013" s="477">
        <v>46023</v>
      </c>
      <c r="R1013" s="476"/>
      <c r="S1013" s="476"/>
    </row>
    <row r="1014" spans="1:19" ht="15.75" customHeight="1" x14ac:dyDescent="0.25">
      <c r="A1014" s="438">
        <v>1011</v>
      </c>
      <c r="B1014" s="470" t="s">
        <v>17</v>
      </c>
      <c r="C1014" s="471" t="s">
        <v>18</v>
      </c>
      <c r="D1014" s="472" t="s">
        <v>19</v>
      </c>
      <c r="E1014" s="448" t="s">
        <v>4083</v>
      </c>
      <c r="F1014" s="448" t="s">
        <v>4109</v>
      </c>
      <c r="G1014" s="473" t="s">
        <v>4003</v>
      </c>
      <c r="H1014" s="439" t="s">
        <v>1372</v>
      </c>
      <c r="I1014" s="474" t="s">
        <v>3457</v>
      </c>
      <c r="J1014" s="474" t="s">
        <v>3463</v>
      </c>
      <c r="K1014" s="443" t="s">
        <v>1373</v>
      </c>
      <c r="L1014" s="471">
        <v>1</v>
      </c>
      <c r="M1014" s="447" t="s">
        <v>1379</v>
      </c>
      <c r="N1014" s="456">
        <v>1950</v>
      </c>
      <c r="O1014" s="475">
        <f t="shared" si="3"/>
        <v>1950</v>
      </c>
      <c r="P1014" s="476"/>
      <c r="Q1014" s="477">
        <v>46023</v>
      </c>
      <c r="R1014" s="476"/>
      <c r="S1014" s="476"/>
    </row>
    <row r="1015" spans="1:19" ht="15.75" customHeight="1" x14ac:dyDescent="0.25">
      <c r="A1015" s="438">
        <v>1012</v>
      </c>
      <c r="B1015" s="470" t="s">
        <v>17</v>
      </c>
      <c r="C1015" s="471" t="s">
        <v>18</v>
      </c>
      <c r="D1015" s="472" t="s">
        <v>19</v>
      </c>
      <c r="E1015" s="465" t="s">
        <v>4083</v>
      </c>
      <c r="F1015" s="448" t="s">
        <v>4109</v>
      </c>
      <c r="G1015" s="473" t="s">
        <v>4003</v>
      </c>
      <c r="H1015" s="439" t="s">
        <v>1372</v>
      </c>
      <c r="I1015" s="474" t="s">
        <v>3457</v>
      </c>
      <c r="J1015" s="474" t="s">
        <v>3463</v>
      </c>
      <c r="K1015" s="443" t="s">
        <v>1373</v>
      </c>
      <c r="L1015" s="471">
        <v>1</v>
      </c>
      <c r="M1015" s="447" t="s">
        <v>1380</v>
      </c>
      <c r="N1015" s="456">
        <v>1950</v>
      </c>
      <c r="O1015" s="475">
        <f t="shared" si="3"/>
        <v>1950</v>
      </c>
      <c r="P1015" s="476"/>
      <c r="Q1015" s="477">
        <v>46023</v>
      </c>
      <c r="R1015" s="476"/>
      <c r="S1015" s="476"/>
    </row>
    <row r="1016" spans="1:19" ht="15.75" customHeight="1" x14ac:dyDescent="0.25">
      <c r="A1016" s="438">
        <v>1013</v>
      </c>
      <c r="B1016" s="470" t="s">
        <v>17</v>
      </c>
      <c r="C1016" s="471" t="s">
        <v>18</v>
      </c>
      <c r="D1016" s="472" t="s">
        <v>19</v>
      </c>
      <c r="E1016" s="465" t="s">
        <v>4083</v>
      </c>
      <c r="F1016" s="448" t="s">
        <v>4100</v>
      </c>
      <c r="G1016" s="473" t="s">
        <v>4003</v>
      </c>
      <c r="H1016" s="439" t="s">
        <v>1372</v>
      </c>
      <c r="I1016" s="474" t="s">
        <v>3457</v>
      </c>
      <c r="J1016" s="474" t="s">
        <v>3463</v>
      </c>
      <c r="K1016" s="443" t="s">
        <v>1373</v>
      </c>
      <c r="L1016" s="471">
        <v>1</v>
      </c>
      <c r="M1016" s="447" t="s">
        <v>1381</v>
      </c>
      <c r="N1016" s="456">
        <v>1950</v>
      </c>
      <c r="O1016" s="475">
        <f t="shared" si="3"/>
        <v>1950</v>
      </c>
      <c r="P1016" s="476"/>
      <c r="Q1016" s="477">
        <v>46023</v>
      </c>
      <c r="R1016" s="476"/>
      <c r="S1016" s="476"/>
    </row>
    <row r="1017" spans="1:19" ht="15.75" customHeight="1" x14ac:dyDescent="0.25">
      <c r="A1017" s="438">
        <v>1014</v>
      </c>
      <c r="B1017" s="470" t="s">
        <v>17</v>
      </c>
      <c r="C1017" s="471" t="s">
        <v>18</v>
      </c>
      <c r="D1017" s="472" t="s">
        <v>19</v>
      </c>
      <c r="E1017" s="465" t="s">
        <v>4086</v>
      </c>
      <c r="F1017" s="448" t="s">
        <v>4111</v>
      </c>
      <c r="G1017" s="473" t="s">
        <v>4003</v>
      </c>
      <c r="H1017" s="439" t="s">
        <v>1372</v>
      </c>
      <c r="I1017" s="474" t="s">
        <v>3457</v>
      </c>
      <c r="J1017" s="474" t="s">
        <v>3463</v>
      </c>
      <c r="K1017" s="443" t="s">
        <v>1373</v>
      </c>
      <c r="L1017" s="471">
        <v>1</v>
      </c>
      <c r="M1017" s="447" t="s">
        <v>1382</v>
      </c>
      <c r="N1017" s="456">
        <v>1950</v>
      </c>
      <c r="O1017" s="475">
        <f t="shared" si="3"/>
        <v>1950</v>
      </c>
      <c r="P1017" s="476"/>
      <c r="Q1017" s="477">
        <v>46023</v>
      </c>
      <c r="R1017" s="476"/>
      <c r="S1017" s="476"/>
    </row>
    <row r="1018" spans="1:19" ht="15.75" customHeight="1" x14ac:dyDescent="0.25">
      <c r="A1018" s="438">
        <v>1015</v>
      </c>
      <c r="B1018" s="470" t="s">
        <v>17</v>
      </c>
      <c r="C1018" s="471" t="s">
        <v>18</v>
      </c>
      <c r="D1018" s="472" t="s">
        <v>19</v>
      </c>
      <c r="E1018" s="465" t="s">
        <v>4086</v>
      </c>
      <c r="F1018" s="448" t="s">
        <v>4111</v>
      </c>
      <c r="G1018" s="473" t="s">
        <v>4003</v>
      </c>
      <c r="H1018" s="439" t="s">
        <v>1372</v>
      </c>
      <c r="I1018" s="474" t="s">
        <v>3457</v>
      </c>
      <c r="J1018" s="474" t="s">
        <v>3463</v>
      </c>
      <c r="K1018" s="443" t="s">
        <v>1373</v>
      </c>
      <c r="L1018" s="471">
        <v>1</v>
      </c>
      <c r="M1018" s="447" t="s">
        <v>1383</v>
      </c>
      <c r="N1018" s="456">
        <v>1950</v>
      </c>
      <c r="O1018" s="475">
        <f t="shared" si="3"/>
        <v>1950</v>
      </c>
      <c r="P1018" s="476"/>
      <c r="Q1018" s="477">
        <v>46023</v>
      </c>
      <c r="R1018" s="476"/>
      <c r="S1018" s="476"/>
    </row>
    <row r="1019" spans="1:19" ht="15.75" customHeight="1" x14ac:dyDescent="0.25">
      <c r="A1019" s="438">
        <v>1016</v>
      </c>
      <c r="B1019" s="470" t="s">
        <v>17</v>
      </c>
      <c r="C1019" s="471" t="s">
        <v>18</v>
      </c>
      <c r="D1019" s="472" t="s">
        <v>19</v>
      </c>
      <c r="E1019" s="465" t="s">
        <v>4086</v>
      </c>
      <c r="F1019" s="448" t="s">
        <v>4111</v>
      </c>
      <c r="G1019" s="473" t="s">
        <v>4003</v>
      </c>
      <c r="H1019" s="439" t="s">
        <v>1372</v>
      </c>
      <c r="I1019" s="474" t="s">
        <v>3457</v>
      </c>
      <c r="J1019" s="474" t="s">
        <v>3463</v>
      </c>
      <c r="K1019" s="443" t="s">
        <v>1373</v>
      </c>
      <c r="L1019" s="471">
        <v>1</v>
      </c>
      <c r="M1019" s="447" t="s">
        <v>1384</v>
      </c>
      <c r="N1019" s="456">
        <v>1950</v>
      </c>
      <c r="O1019" s="475">
        <f t="shared" si="3"/>
        <v>1950</v>
      </c>
      <c r="P1019" s="476"/>
      <c r="Q1019" s="477">
        <v>46023</v>
      </c>
      <c r="R1019" s="476"/>
      <c r="S1019" s="476"/>
    </row>
    <row r="1020" spans="1:19" ht="15.75" customHeight="1" x14ac:dyDescent="0.25">
      <c r="A1020" s="438">
        <v>1017</v>
      </c>
      <c r="B1020" s="470" t="s">
        <v>17</v>
      </c>
      <c r="C1020" s="471" t="s">
        <v>18</v>
      </c>
      <c r="D1020" s="472" t="s">
        <v>19</v>
      </c>
      <c r="E1020" s="465" t="s">
        <v>4086</v>
      </c>
      <c r="F1020" s="448" t="s">
        <v>4112</v>
      </c>
      <c r="G1020" s="473" t="s">
        <v>4003</v>
      </c>
      <c r="H1020" s="439" t="s">
        <v>1372</v>
      </c>
      <c r="I1020" s="474" t="s">
        <v>3457</v>
      </c>
      <c r="J1020" s="474" t="s">
        <v>3463</v>
      </c>
      <c r="K1020" s="443" t="s">
        <v>1373</v>
      </c>
      <c r="L1020" s="471">
        <v>1</v>
      </c>
      <c r="M1020" s="447" t="s">
        <v>1385</v>
      </c>
      <c r="N1020" s="456">
        <v>1950</v>
      </c>
      <c r="O1020" s="475">
        <f t="shared" si="3"/>
        <v>1950</v>
      </c>
      <c r="P1020" s="476"/>
      <c r="Q1020" s="477">
        <v>46023</v>
      </c>
      <c r="R1020" s="476"/>
      <c r="S1020" s="476"/>
    </row>
    <row r="1021" spans="1:19" ht="15.75" customHeight="1" x14ac:dyDescent="0.25">
      <c r="A1021" s="438">
        <v>1018</v>
      </c>
      <c r="B1021" s="470" t="s">
        <v>17</v>
      </c>
      <c r="C1021" s="471" t="s">
        <v>18</v>
      </c>
      <c r="D1021" s="472" t="s">
        <v>19</v>
      </c>
      <c r="E1021" s="465" t="s">
        <v>4086</v>
      </c>
      <c r="F1021" s="448" t="s">
        <v>4111</v>
      </c>
      <c r="G1021" s="473" t="s">
        <v>4003</v>
      </c>
      <c r="H1021" s="439" t="s">
        <v>1372</v>
      </c>
      <c r="I1021" s="474" t="s">
        <v>3457</v>
      </c>
      <c r="J1021" s="474" t="s">
        <v>3463</v>
      </c>
      <c r="K1021" s="443" t="s">
        <v>1373</v>
      </c>
      <c r="L1021" s="471">
        <v>1</v>
      </c>
      <c r="M1021" s="447" t="s">
        <v>1386</v>
      </c>
      <c r="N1021" s="456">
        <v>1950</v>
      </c>
      <c r="O1021" s="475">
        <f t="shared" si="3"/>
        <v>1950</v>
      </c>
      <c r="P1021" s="476"/>
      <c r="Q1021" s="477">
        <v>46023</v>
      </c>
      <c r="R1021" s="476"/>
      <c r="S1021" s="476"/>
    </row>
    <row r="1022" spans="1:19" ht="15.75" customHeight="1" x14ac:dyDescent="0.25">
      <c r="A1022" s="438">
        <v>1019</v>
      </c>
      <c r="B1022" s="470" t="s">
        <v>17</v>
      </c>
      <c r="C1022" s="471" t="s">
        <v>18</v>
      </c>
      <c r="D1022" s="472" t="s">
        <v>19</v>
      </c>
      <c r="E1022" s="465" t="s">
        <v>4086</v>
      </c>
      <c r="F1022" s="448" t="s">
        <v>4111</v>
      </c>
      <c r="G1022" s="473" t="s">
        <v>4003</v>
      </c>
      <c r="H1022" s="439" t="s">
        <v>1372</v>
      </c>
      <c r="I1022" s="474" t="s">
        <v>3457</v>
      </c>
      <c r="J1022" s="474" t="s">
        <v>3463</v>
      </c>
      <c r="K1022" s="443" t="s">
        <v>1373</v>
      </c>
      <c r="L1022" s="471">
        <v>1</v>
      </c>
      <c r="M1022" s="447" t="s">
        <v>1387</v>
      </c>
      <c r="N1022" s="456">
        <v>1950</v>
      </c>
      <c r="O1022" s="475">
        <f t="shared" si="3"/>
        <v>1950</v>
      </c>
      <c r="P1022" s="476"/>
      <c r="Q1022" s="477">
        <v>46023</v>
      </c>
      <c r="R1022" s="476"/>
      <c r="S1022" s="476"/>
    </row>
    <row r="1023" spans="1:19" ht="15.75" customHeight="1" x14ac:dyDescent="0.25">
      <c r="A1023" s="438">
        <v>1020</v>
      </c>
      <c r="B1023" s="470" t="s">
        <v>17</v>
      </c>
      <c r="C1023" s="471" t="s">
        <v>18</v>
      </c>
      <c r="D1023" s="472" t="s">
        <v>19</v>
      </c>
      <c r="E1023" s="465" t="s">
        <v>4086</v>
      </c>
      <c r="F1023" s="448" t="s">
        <v>4111</v>
      </c>
      <c r="G1023" s="473" t="s">
        <v>4003</v>
      </c>
      <c r="H1023" s="439" t="s">
        <v>1372</v>
      </c>
      <c r="I1023" s="474" t="s">
        <v>3457</v>
      </c>
      <c r="J1023" s="474" t="s">
        <v>3463</v>
      </c>
      <c r="K1023" s="443" t="s">
        <v>1373</v>
      </c>
      <c r="L1023" s="471">
        <v>1</v>
      </c>
      <c r="M1023" s="447" t="s">
        <v>1388</v>
      </c>
      <c r="N1023" s="456">
        <v>1950</v>
      </c>
      <c r="O1023" s="475">
        <f t="shared" si="3"/>
        <v>1950</v>
      </c>
      <c r="P1023" s="476"/>
      <c r="Q1023" s="477">
        <v>46023</v>
      </c>
      <c r="R1023" s="476"/>
      <c r="S1023" s="476"/>
    </row>
    <row r="1024" spans="1:19" ht="15.75" customHeight="1" x14ac:dyDescent="0.25">
      <c r="A1024" s="438">
        <v>1021</v>
      </c>
      <c r="B1024" s="470" t="s">
        <v>17</v>
      </c>
      <c r="C1024" s="471" t="s">
        <v>18</v>
      </c>
      <c r="D1024" s="472" t="s">
        <v>19</v>
      </c>
      <c r="E1024" s="465" t="s">
        <v>4086</v>
      </c>
      <c r="F1024" s="448" t="s">
        <v>4111</v>
      </c>
      <c r="G1024" s="473" t="s">
        <v>4003</v>
      </c>
      <c r="H1024" s="439" t="s">
        <v>1372</v>
      </c>
      <c r="I1024" s="474" t="s">
        <v>3457</v>
      </c>
      <c r="J1024" s="474" t="s">
        <v>3463</v>
      </c>
      <c r="K1024" s="443" t="s">
        <v>1373</v>
      </c>
      <c r="L1024" s="471">
        <v>1</v>
      </c>
      <c r="M1024" s="447" t="s">
        <v>1389</v>
      </c>
      <c r="N1024" s="456">
        <v>1950</v>
      </c>
      <c r="O1024" s="475">
        <f t="shared" ref="O1024:O1278" si="4">N1024*L1024</f>
        <v>1950</v>
      </c>
      <c r="P1024" s="476"/>
      <c r="Q1024" s="477">
        <v>46023</v>
      </c>
      <c r="R1024" s="476"/>
      <c r="S1024" s="476"/>
    </row>
    <row r="1025" spans="1:19" ht="15.75" customHeight="1" x14ac:dyDescent="0.25">
      <c r="A1025" s="438">
        <v>1022</v>
      </c>
      <c r="B1025" s="470" t="s">
        <v>17</v>
      </c>
      <c r="C1025" s="471" t="s">
        <v>18</v>
      </c>
      <c r="D1025" s="472" t="s">
        <v>19</v>
      </c>
      <c r="E1025" s="448" t="s">
        <v>4086</v>
      </c>
      <c r="F1025" s="448" t="s">
        <v>4111</v>
      </c>
      <c r="G1025" s="473" t="s">
        <v>4003</v>
      </c>
      <c r="H1025" s="439" t="s">
        <v>1372</v>
      </c>
      <c r="I1025" s="474" t="s">
        <v>3457</v>
      </c>
      <c r="J1025" s="474" t="s">
        <v>3463</v>
      </c>
      <c r="K1025" s="443" t="s">
        <v>1373</v>
      </c>
      <c r="L1025" s="471">
        <v>1</v>
      </c>
      <c r="M1025" s="447" t="s">
        <v>1390</v>
      </c>
      <c r="N1025" s="456">
        <v>1950</v>
      </c>
      <c r="O1025" s="475">
        <f t="shared" si="4"/>
        <v>1950</v>
      </c>
      <c r="P1025" s="476"/>
      <c r="Q1025" s="477">
        <v>46023</v>
      </c>
      <c r="R1025" s="476"/>
      <c r="S1025" s="476"/>
    </row>
    <row r="1026" spans="1:19" ht="15.75" customHeight="1" x14ac:dyDescent="0.25">
      <c r="A1026" s="438">
        <v>1023</v>
      </c>
      <c r="B1026" s="470" t="s">
        <v>17</v>
      </c>
      <c r="C1026" s="471" t="s">
        <v>18</v>
      </c>
      <c r="D1026" s="472" t="s">
        <v>19</v>
      </c>
      <c r="E1026" s="448" t="s">
        <v>4086</v>
      </c>
      <c r="F1026" s="448" t="s">
        <v>4111</v>
      </c>
      <c r="G1026" s="473" t="s">
        <v>4003</v>
      </c>
      <c r="H1026" s="439" t="s">
        <v>1372</v>
      </c>
      <c r="I1026" s="474" t="s">
        <v>3457</v>
      </c>
      <c r="J1026" s="474" t="s">
        <v>3463</v>
      </c>
      <c r="K1026" s="443" t="s">
        <v>1373</v>
      </c>
      <c r="L1026" s="471">
        <v>1</v>
      </c>
      <c r="M1026" s="447" t="s">
        <v>1391</v>
      </c>
      <c r="N1026" s="456">
        <v>1950</v>
      </c>
      <c r="O1026" s="475">
        <f t="shared" si="4"/>
        <v>1950</v>
      </c>
      <c r="P1026" s="476"/>
      <c r="Q1026" s="477">
        <v>46023</v>
      </c>
      <c r="R1026" s="476"/>
      <c r="S1026" s="476"/>
    </row>
    <row r="1027" spans="1:19" ht="15.75" customHeight="1" x14ac:dyDescent="0.25">
      <c r="A1027" s="438">
        <v>1024</v>
      </c>
      <c r="B1027" s="470" t="s">
        <v>17</v>
      </c>
      <c r="C1027" s="471" t="s">
        <v>18</v>
      </c>
      <c r="D1027" s="472" t="s">
        <v>19</v>
      </c>
      <c r="E1027" s="448" t="s">
        <v>4086</v>
      </c>
      <c r="F1027" s="448" t="s">
        <v>4102</v>
      </c>
      <c r="G1027" s="473" t="s">
        <v>4003</v>
      </c>
      <c r="H1027" s="439" t="s">
        <v>1372</v>
      </c>
      <c r="I1027" s="474" t="s">
        <v>3457</v>
      </c>
      <c r="J1027" s="474" t="s">
        <v>3463</v>
      </c>
      <c r="K1027" s="443" t="s">
        <v>1373</v>
      </c>
      <c r="L1027" s="471">
        <v>1</v>
      </c>
      <c r="M1027" s="447" t="s">
        <v>1392</v>
      </c>
      <c r="N1027" s="456">
        <v>1950</v>
      </c>
      <c r="O1027" s="475">
        <f t="shared" si="4"/>
        <v>1950</v>
      </c>
      <c r="P1027" s="476"/>
      <c r="Q1027" s="477">
        <v>46023</v>
      </c>
      <c r="R1027" s="476"/>
      <c r="S1027" s="476"/>
    </row>
    <row r="1028" spans="1:19" ht="15.75" customHeight="1" x14ac:dyDescent="0.25">
      <c r="A1028" s="438">
        <v>1025</v>
      </c>
      <c r="B1028" s="470" t="s">
        <v>17</v>
      </c>
      <c r="C1028" s="471" t="s">
        <v>18</v>
      </c>
      <c r="D1028" s="472" t="s">
        <v>19</v>
      </c>
      <c r="E1028" s="465" t="s">
        <v>4085</v>
      </c>
      <c r="F1028" s="448" t="s">
        <v>2982</v>
      </c>
      <c r="G1028" s="473" t="s">
        <v>4003</v>
      </c>
      <c r="H1028" s="439" t="s">
        <v>1372</v>
      </c>
      <c r="I1028" s="474" t="s">
        <v>3457</v>
      </c>
      <c r="J1028" s="474" t="s">
        <v>3463</v>
      </c>
      <c r="K1028" s="443" t="s">
        <v>1373</v>
      </c>
      <c r="L1028" s="471">
        <v>1</v>
      </c>
      <c r="M1028" s="447" t="s">
        <v>1393</v>
      </c>
      <c r="N1028" s="456">
        <v>1950</v>
      </c>
      <c r="O1028" s="475">
        <f t="shared" si="4"/>
        <v>1950</v>
      </c>
      <c r="P1028" s="476"/>
      <c r="Q1028" s="477">
        <v>46023</v>
      </c>
      <c r="R1028" s="476"/>
      <c r="S1028" s="476"/>
    </row>
    <row r="1029" spans="1:19" ht="15.75" customHeight="1" x14ac:dyDescent="0.25">
      <c r="A1029" s="438">
        <v>1026</v>
      </c>
      <c r="B1029" s="470" t="s">
        <v>17</v>
      </c>
      <c r="C1029" s="471" t="s">
        <v>18</v>
      </c>
      <c r="D1029" s="472" t="s">
        <v>19</v>
      </c>
      <c r="E1029" s="465" t="s">
        <v>4085</v>
      </c>
      <c r="F1029" s="448" t="s">
        <v>2982</v>
      </c>
      <c r="G1029" s="473" t="s">
        <v>4003</v>
      </c>
      <c r="H1029" s="439" t="s">
        <v>1372</v>
      </c>
      <c r="I1029" s="474" t="s">
        <v>3457</v>
      </c>
      <c r="J1029" s="474" t="s">
        <v>3463</v>
      </c>
      <c r="K1029" s="443" t="s">
        <v>1373</v>
      </c>
      <c r="L1029" s="471">
        <v>1</v>
      </c>
      <c r="M1029" s="447" t="s">
        <v>1394</v>
      </c>
      <c r="N1029" s="456">
        <v>1950</v>
      </c>
      <c r="O1029" s="475">
        <f t="shared" si="4"/>
        <v>1950</v>
      </c>
      <c r="P1029" s="476"/>
      <c r="Q1029" s="477">
        <v>46023</v>
      </c>
      <c r="R1029" s="476"/>
      <c r="S1029" s="476"/>
    </row>
    <row r="1030" spans="1:19" ht="15.75" customHeight="1" x14ac:dyDescent="0.25">
      <c r="A1030" s="438">
        <v>1027</v>
      </c>
      <c r="B1030" s="470" t="s">
        <v>17</v>
      </c>
      <c r="C1030" s="471" t="s">
        <v>18</v>
      </c>
      <c r="D1030" s="472" t="s">
        <v>19</v>
      </c>
      <c r="E1030" s="448" t="s">
        <v>4091</v>
      </c>
      <c r="F1030" s="448" t="s">
        <v>3024</v>
      </c>
      <c r="G1030" s="473" t="s">
        <v>4003</v>
      </c>
      <c r="H1030" s="439" t="s">
        <v>1372</v>
      </c>
      <c r="I1030" s="474" t="s">
        <v>3457</v>
      </c>
      <c r="J1030" s="474" t="s">
        <v>3463</v>
      </c>
      <c r="K1030" s="443" t="s">
        <v>1373</v>
      </c>
      <c r="L1030" s="471">
        <v>1</v>
      </c>
      <c r="M1030" s="447" t="s">
        <v>1395</v>
      </c>
      <c r="N1030" s="456">
        <v>1950</v>
      </c>
      <c r="O1030" s="475">
        <f t="shared" si="4"/>
        <v>1950</v>
      </c>
      <c r="P1030" s="476"/>
      <c r="Q1030" s="477">
        <v>46023</v>
      </c>
      <c r="R1030" s="476"/>
      <c r="S1030" s="476"/>
    </row>
    <row r="1031" spans="1:19" ht="15.75" customHeight="1" x14ac:dyDescent="0.25">
      <c r="A1031" s="438">
        <v>1028</v>
      </c>
      <c r="B1031" s="470" t="s">
        <v>17</v>
      </c>
      <c r="C1031" s="471" t="s">
        <v>18</v>
      </c>
      <c r="D1031" s="472" t="s">
        <v>19</v>
      </c>
      <c r="E1031" s="448" t="s">
        <v>4091</v>
      </c>
      <c r="F1031" s="448" t="s">
        <v>3024</v>
      </c>
      <c r="G1031" s="473" t="s">
        <v>4003</v>
      </c>
      <c r="H1031" s="439" t="s">
        <v>1372</v>
      </c>
      <c r="I1031" s="474" t="s">
        <v>3457</v>
      </c>
      <c r="J1031" s="474" t="s">
        <v>3463</v>
      </c>
      <c r="K1031" s="443" t="s">
        <v>1373</v>
      </c>
      <c r="L1031" s="471">
        <v>1</v>
      </c>
      <c r="M1031" s="447" t="s">
        <v>1396</v>
      </c>
      <c r="N1031" s="456">
        <v>1950</v>
      </c>
      <c r="O1031" s="475">
        <f t="shared" si="4"/>
        <v>1950</v>
      </c>
      <c r="P1031" s="476"/>
      <c r="Q1031" s="477">
        <v>46023</v>
      </c>
      <c r="R1031" s="476"/>
      <c r="S1031" s="476"/>
    </row>
    <row r="1032" spans="1:19" ht="15.75" customHeight="1" x14ac:dyDescent="0.25">
      <c r="A1032" s="438">
        <v>1029</v>
      </c>
      <c r="B1032" s="470" t="s">
        <v>17</v>
      </c>
      <c r="C1032" s="471" t="s">
        <v>18</v>
      </c>
      <c r="D1032" s="472" t="s">
        <v>19</v>
      </c>
      <c r="E1032" s="448" t="s">
        <v>4091</v>
      </c>
      <c r="F1032" s="448" t="s">
        <v>3024</v>
      </c>
      <c r="G1032" s="473" t="s">
        <v>4003</v>
      </c>
      <c r="H1032" s="439" t="s">
        <v>1372</v>
      </c>
      <c r="I1032" s="474" t="s">
        <v>3457</v>
      </c>
      <c r="J1032" s="474" t="s">
        <v>3463</v>
      </c>
      <c r="K1032" s="443" t="s">
        <v>1373</v>
      </c>
      <c r="L1032" s="471">
        <v>1</v>
      </c>
      <c r="M1032" s="447" t="s">
        <v>1397</v>
      </c>
      <c r="N1032" s="456">
        <v>1950</v>
      </c>
      <c r="O1032" s="475">
        <f t="shared" si="4"/>
        <v>1950</v>
      </c>
      <c r="P1032" s="476"/>
      <c r="Q1032" s="477">
        <v>46023</v>
      </c>
      <c r="R1032" s="476"/>
      <c r="S1032" s="476"/>
    </row>
    <row r="1033" spans="1:19" ht="15.75" customHeight="1" x14ac:dyDescent="0.25">
      <c r="A1033" s="438">
        <v>1030</v>
      </c>
      <c r="B1033" s="470" t="s">
        <v>17</v>
      </c>
      <c r="C1033" s="471" t="s">
        <v>18</v>
      </c>
      <c r="D1033" s="472" t="s">
        <v>19</v>
      </c>
      <c r="E1033" s="448" t="s">
        <v>4086</v>
      </c>
      <c r="F1033" s="448" t="s">
        <v>4097</v>
      </c>
      <c r="G1033" s="473" t="s">
        <v>4003</v>
      </c>
      <c r="H1033" s="439" t="s">
        <v>1372</v>
      </c>
      <c r="I1033" s="474" t="s">
        <v>3457</v>
      </c>
      <c r="J1033" s="474" t="s">
        <v>3463</v>
      </c>
      <c r="K1033" s="443" t="s">
        <v>1373</v>
      </c>
      <c r="L1033" s="471">
        <v>1</v>
      </c>
      <c r="M1033" s="447" t="s">
        <v>1398</v>
      </c>
      <c r="N1033" s="456">
        <v>1950</v>
      </c>
      <c r="O1033" s="475">
        <f t="shared" si="4"/>
        <v>1950</v>
      </c>
      <c r="P1033" s="476"/>
      <c r="Q1033" s="477">
        <v>46023</v>
      </c>
      <c r="R1033" s="476"/>
      <c r="S1033" s="476"/>
    </row>
    <row r="1034" spans="1:19" ht="15.75" customHeight="1" x14ac:dyDescent="0.25">
      <c r="A1034" s="438">
        <v>1031</v>
      </c>
      <c r="B1034" s="470" t="s">
        <v>17</v>
      </c>
      <c r="C1034" s="471" t="s">
        <v>18</v>
      </c>
      <c r="D1034" s="472" t="s">
        <v>19</v>
      </c>
      <c r="E1034" s="465" t="s">
        <v>4091</v>
      </c>
      <c r="F1034" s="448" t="s">
        <v>4107</v>
      </c>
      <c r="G1034" s="473" t="s">
        <v>4003</v>
      </c>
      <c r="H1034" s="439" t="s">
        <v>1372</v>
      </c>
      <c r="I1034" s="474" t="s">
        <v>3457</v>
      </c>
      <c r="J1034" s="474" t="s">
        <v>3463</v>
      </c>
      <c r="K1034" s="443" t="s">
        <v>1373</v>
      </c>
      <c r="L1034" s="471">
        <v>1</v>
      </c>
      <c r="M1034" s="447" t="s">
        <v>1399</v>
      </c>
      <c r="N1034" s="456">
        <v>1950</v>
      </c>
      <c r="O1034" s="475">
        <f t="shared" si="4"/>
        <v>1950</v>
      </c>
      <c r="P1034" s="476"/>
      <c r="Q1034" s="477">
        <v>46023</v>
      </c>
      <c r="R1034" s="476"/>
      <c r="S1034" s="476"/>
    </row>
    <row r="1035" spans="1:19" ht="15.75" customHeight="1" x14ac:dyDescent="0.25">
      <c r="A1035" s="438">
        <v>1032</v>
      </c>
      <c r="B1035" s="470" t="s">
        <v>17</v>
      </c>
      <c r="C1035" s="471" t="s">
        <v>18</v>
      </c>
      <c r="D1035" s="472" t="s">
        <v>19</v>
      </c>
      <c r="E1035" s="448" t="s">
        <v>4091</v>
      </c>
      <c r="F1035" s="448" t="s">
        <v>4115</v>
      </c>
      <c r="G1035" s="473" t="s">
        <v>4003</v>
      </c>
      <c r="H1035" s="439" t="s">
        <v>1372</v>
      </c>
      <c r="I1035" s="474" t="s">
        <v>3457</v>
      </c>
      <c r="J1035" s="474" t="s">
        <v>3463</v>
      </c>
      <c r="K1035" s="443" t="s">
        <v>1373</v>
      </c>
      <c r="L1035" s="471">
        <v>1</v>
      </c>
      <c r="M1035" s="447" t="s">
        <v>1400</v>
      </c>
      <c r="N1035" s="456">
        <v>1950</v>
      </c>
      <c r="O1035" s="475">
        <f t="shared" si="4"/>
        <v>1950</v>
      </c>
      <c r="P1035" s="476"/>
      <c r="Q1035" s="477">
        <v>46023</v>
      </c>
      <c r="R1035" s="476"/>
      <c r="S1035" s="476"/>
    </row>
    <row r="1036" spans="1:19" ht="15.75" customHeight="1" x14ac:dyDescent="0.25">
      <c r="A1036" s="438">
        <v>1033</v>
      </c>
      <c r="B1036" s="470" t="s">
        <v>17</v>
      </c>
      <c r="C1036" s="471" t="s">
        <v>18</v>
      </c>
      <c r="D1036" s="472" t="s">
        <v>19</v>
      </c>
      <c r="E1036" s="448" t="s">
        <v>4091</v>
      </c>
      <c r="F1036" s="448" t="s">
        <v>4115</v>
      </c>
      <c r="G1036" s="473" t="s">
        <v>4003</v>
      </c>
      <c r="H1036" s="439" t="s">
        <v>1372</v>
      </c>
      <c r="I1036" s="474" t="s">
        <v>3457</v>
      </c>
      <c r="J1036" s="474" t="s">
        <v>3463</v>
      </c>
      <c r="K1036" s="443" t="s">
        <v>1373</v>
      </c>
      <c r="L1036" s="471">
        <v>1</v>
      </c>
      <c r="M1036" s="447" t="s">
        <v>1401</v>
      </c>
      <c r="N1036" s="456">
        <v>1950</v>
      </c>
      <c r="O1036" s="475">
        <f t="shared" si="4"/>
        <v>1950</v>
      </c>
      <c r="P1036" s="476"/>
      <c r="Q1036" s="477">
        <v>46023</v>
      </c>
      <c r="R1036" s="476"/>
      <c r="S1036" s="476"/>
    </row>
    <row r="1037" spans="1:19" ht="15.75" customHeight="1" x14ac:dyDescent="0.25">
      <c r="A1037" s="438">
        <v>1034</v>
      </c>
      <c r="B1037" s="470" t="s">
        <v>17</v>
      </c>
      <c r="C1037" s="471" t="s">
        <v>18</v>
      </c>
      <c r="D1037" s="472" t="s">
        <v>19</v>
      </c>
      <c r="E1037" s="448" t="s">
        <v>4091</v>
      </c>
      <c r="F1037" s="448" t="s">
        <v>4115</v>
      </c>
      <c r="G1037" s="473" t="s">
        <v>4003</v>
      </c>
      <c r="H1037" s="439" t="s">
        <v>1372</v>
      </c>
      <c r="I1037" s="474" t="s">
        <v>3457</v>
      </c>
      <c r="J1037" s="474" t="s">
        <v>3463</v>
      </c>
      <c r="K1037" s="443" t="s">
        <v>1373</v>
      </c>
      <c r="L1037" s="471">
        <v>1</v>
      </c>
      <c r="M1037" s="447" t="s">
        <v>1402</v>
      </c>
      <c r="N1037" s="456">
        <v>1950</v>
      </c>
      <c r="O1037" s="475">
        <f t="shared" si="4"/>
        <v>1950</v>
      </c>
      <c r="P1037" s="476"/>
      <c r="Q1037" s="477">
        <v>46023</v>
      </c>
      <c r="R1037" s="476"/>
      <c r="S1037" s="476"/>
    </row>
    <row r="1038" spans="1:19" ht="15.75" customHeight="1" x14ac:dyDescent="0.25">
      <c r="A1038" s="438">
        <v>1035</v>
      </c>
      <c r="B1038" s="470" t="s">
        <v>17</v>
      </c>
      <c r="C1038" s="471" t="s">
        <v>18</v>
      </c>
      <c r="D1038" s="472" t="s">
        <v>19</v>
      </c>
      <c r="E1038" s="448" t="s">
        <v>4091</v>
      </c>
      <c r="F1038" s="448" t="s">
        <v>4115</v>
      </c>
      <c r="G1038" s="473" t="s">
        <v>4003</v>
      </c>
      <c r="H1038" s="439" t="s">
        <v>1372</v>
      </c>
      <c r="I1038" s="474" t="s">
        <v>3457</v>
      </c>
      <c r="J1038" s="474" t="s">
        <v>3463</v>
      </c>
      <c r="K1038" s="443" t="s">
        <v>1373</v>
      </c>
      <c r="L1038" s="471">
        <v>1</v>
      </c>
      <c r="M1038" s="447" t="s">
        <v>1403</v>
      </c>
      <c r="N1038" s="456">
        <v>1950</v>
      </c>
      <c r="O1038" s="475">
        <f t="shared" si="4"/>
        <v>1950</v>
      </c>
      <c r="P1038" s="476"/>
      <c r="Q1038" s="477">
        <v>46023</v>
      </c>
      <c r="R1038" s="476"/>
      <c r="S1038" s="476"/>
    </row>
    <row r="1039" spans="1:19" ht="15.75" customHeight="1" x14ac:dyDescent="0.25">
      <c r="A1039" s="438">
        <v>1036</v>
      </c>
      <c r="B1039" s="470" t="s">
        <v>17</v>
      </c>
      <c r="C1039" s="471" t="s">
        <v>18</v>
      </c>
      <c r="D1039" s="472" t="s">
        <v>19</v>
      </c>
      <c r="E1039" s="448" t="s">
        <v>4091</v>
      </c>
      <c r="F1039" s="448" t="s">
        <v>4115</v>
      </c>
      <c r="G1039" s="473" t="s">
        <v>4003</v>
      </c>
      <c r="H1039" s="439" t="s">
        <v>1372</v>
      </c>
      <c r="I1039" s="474" t="s">
        <v>3457</v>
      </c>
      <c r="J1039" s="474" t="s">
        <v>3463</v>
      </c>
      <c r="K1039" s="443" t="s">
        <v>1373</v>
      </c>
      <c r="L1039" s="471">
        <v>1</v>
      </c>
      <c r="M1039" s="447" t="s">
        <v>1404</v>
      </c>
      <c r="N1039" s="456">
        <v>1950</v>
      </c>
      <c r="O1039" s="475">
        <f t="shared" si="4"/>
        <v>1950</v>
      </c>
      <c r="P1039" s="476"/>
      <c r="Q1039" s="477">
        <v>46023</v>
      </c>
      <c r="R1039" s="476"/>
      <c r="S1039" s="476"/>
    </row>
    <row r="1040" spans="1:19" ht="15.75" customHeight="1" x14ac:dyDescent="0.25">
      <c r="A1040" s="438">
        <v>1037</v>
      </c>
      <c r="B1040" s="470" t="s">
        <v>17</v>
      </c>
      <c r="C1040" s="471" t="s">
        <v>18</v>
      </c>
      <c r="D1040" s="472" t="s">
        <v>19</v>
      </c>
      <c r="E1040" s="465" t="s">
        <v>4091</v>
      </c>
      <c r="F1040" s="448" t="s">
        <v>4110</v>
      </c>
      <c r="G1040" s="473" t="s">
        <v>4003</v>
      </c>
      <c r="H1040" s="439" t="s">
        <v>1372</v>
      </c>
      <c r="I1040" s="474" t="s">
        <v>3457</v>
      </c>
      <c r="J1040" s="474" t="s">
        <v>3463</v>
      </c>
      <c r="K1040" s="443" t="s">
        <v>1373</v>
      </c>
      <c r="L1040" s="471">
        <v>1</v>
      </c>
      <c r="M1040" s="447" t="s">
        <v>1405</v>
      </c>
      <c r="N1040" s="456">
        <v>1950</v>
      </c>
      <c r="O1040" s="475">
        <f t="shared" si="4"/>
        <v>1950</v>
      </c>
      <c r="P1040" s="476"/>
      <c r="Q1040" s="477">
        <v>46023</v>
      </c>
      <c r="R1040" s="476"/>
      <c r="S1040" s="476"/>
    </row>
    <row r="1041" spans="1:19" ht="15.75" customHeight="1" x14ac:dyDescent="0.25">
      <c r="A1041" s="438">
        <v>1038</v>
      </c>
      <c r="B1041" s="470" t="s">
        <v>17</v>
      </c>
      <c r="C1041" s="471" t="s">
        <v>18</v>
      </c>
      <c r="D1041" s="472" t="s">
        <v>19</v>
      </c>
      <c r="E1041" s="465" t="s">
        <v>4091</v>
      </c>
      <c r="F1041" s="448" t="s">
        <v>4110</v>
      </c>
      <c r="G1041" s="473" t="s">
        <v>4003</v>
      </c>
      <c r="H1041" s="439" t="s">
        <v>1372</v>
      </c>
      <c r="I1041" s="474" t="s">
        <v>3457</v>
      </c>
      <c r="J1041" s="474" t="s">
        <v>3463</v>
      </c>
      <c r="K1041" s="443" t="s">
        <v>1373</v>
      </c>
      <c r="L1041" s="471">
        <v>1</v>
      </c>
      <c r="M1041" s="447" t="s">
        <v>1406</v>
      </c>
      <c r="N1041" s="456">
        <v>1950</v>
      </c>
      <c r="O1041" s="475">
        <f t="shared" si="4"/>
        <v>1950</v>
      </c>
      <c r="P1041" s="476"/>
      <c r="Q1041" s="477">
        <v>46023</v>
      </c>
      <c r="R1041" s="476"/>
      <c r="S1041" s="476"/>
    </row>
    <row r="1042" spans="1:19" ht="15.75" customHeight="1" x14ac:dyDescent="0.25">
      <c r="A1042" s="438">
        <v>1039</v>
      </c>
      <c r="B1042" s="470" t="s">
        <v>17</v>
      </c>
      <c r="C1042" s="471" t="s">
        <v>18</v>
      </c>
      <c r="D1042" s="472" t="s">
        <v>19</v>
      </c>
      <c r="E1042" s="448" t="s">
        <v>4091</v>
      </c>
      <c r="F1042" s="448" t="s">
        <v>4110</v>
      </c>
      <c r="G1042" s="473" t="s">
        <v>4003</v>
      </c>
      <c r="H1042" s="439" t="s">
        <v>1372</v>
      </c>
      <c r="I1042" s="474" t="s">
        <v>3457</v>
      </c>
      <c r="J1042" s="474" t="s">
        <v>3463</v>
      </c>
      <c r="K1042" s="439" t="s">
        <v>1373</v>
      </c>
      <c r="L1042" s="471">
        <v>1</v>
      </c>
      <c r="M1042" s="447" t="s">
        <v>1407</v>
      </c>
      <c r="N1042" s="456">
        <v>1950</v>
      </c>
      <c r="O1042" s="475">
        <f t="shared" si="4"/>
        <v>1950</v>
      </c>
      <c r="P1042" s="476"/>
      <c r="Q1042" s="477">
        <v>46023</v>
      </c>
      <c r="R1042" s="476"/>
      <c r="S1042" s="476"/>
    </row>
    <row r="1043" spans="1:19" ht="15.75" customHeight="1" x14ac:dyDescent="0.25">
      <c r="A1043" s="438">
        <v>1040</v>
      </c>
      <c r="B1043" s="470" t="s">
        <v>17</v>
      </c>
      <c r="C1043" s="471" t="s">
        <v>18</v>
      </c>
      <c r="D1043" s="472" t="s">
        <v>19</v>
      </c>
      <c r="E1043" s="448" t="s">
        <v>4091</v>
      </c>
      <c r="F1043" s="448" t="s">
        <v>4110</v>
      </c>
      <c r="G1043" s="473" t="s">
        <v>4003</v>
      </c>
      <c r="H1043" s="439" t="s">
        <v>1372</v>
      </c>
      <c r="I1043" s="474" t="s">
        <v>3457</v>
      </c>
      <c r="J1043" s="474" t="s">
        <v>3463</v>
      </c>
      <c r="K1043" s="439" t="s">
        <v>1373</v>
      </c>
      <c r="L1043" s="471">
        <v>1</v>
      </c>
      <c r="M1043" s="447" t="s">
        <v>1408</v>
      </c>
      <c r="N1043" s="456">
        <v>1950</v>
      </c>
      <c r="O1043" s="475">
        <f t="shared" si="4"/>
        <v>1950</v>
      </c>
      <c r="P1043" s="476"/>
      <c r="Q1043" s="477">
        <v>46023</v>
      </c>
      <c r="R1043" s="476"/>
      <c r="S1043" s="476"/>
    </row>
    <row r="1044" spans="1:19" ht="15.75" customHeight="1" x14ac:dyDescent="0.25">
      <c r="A1044" s="438">
        <v>1041</v>
      </c>
      <c r="B1044" s="470" t="s">
        <v>17</v>
      </c>
      <c r="C1044" s="471" t="s">
        <v>18</v>
      </c>
      <c r="D1044" s="472" t="s">
        <v>19</v>
      </c>
      <c r="E1044" s="448" t="s">
        <v>4091</v>
      </c>
      <c r="F1044" s="448" t="s">
        <v>4110</v>
      </c>
      <c r="G1044" s="473" t="s">
        <v>4003</v>
      </c>
      <c r="H1044" s="439" t="s">
        <v>1372</v>
      </c>
      <c r="I1044" s="474" t="s">
        <v>3457</v>
      </c>
      <c r="J1044" s="474" t="s">
        <v>3463</v>
      </c>
      <c r="K1044" s="443" t="s">
        <v>1373</v>
      </c>
      <c r="L1044" s="471">
        <v>1</v>
      </c>
      <c r="M1044" s="447" t="s">
        <v>1409</v>
      </c>
      <c r="N1044" s="456">
        <v>1950</v>
      </c>
      <c r="O1044" s="475">
        <f t="shared" si="4"/>
        <v>1950</v>
      </c>
      <c r="P1044" s="476"/>
      <c r="Q1044" s="477">
        <v>46023</v>
      </c>
      <c r="R1044" s="476"/>
      <c r="S1044" s="476"/>
    </row>
    <row r="1045" spans="1:19" ht="15.75" customHeight="1" x14ac:dyDescent="0.25">
      <c r="A1045" s="438">
        <v>1042</v>
      </c>
      <c r="B1045" s="470" t="s">
        <v>17</v>
      </c>
      <c r="C1045" s="471" t="s">
        <v>18</v>
      </c>
      <c r="D1045" s="472" t="s">
        <v>19</v>
      </c>
      <c r="E1045" s="448" t="s">
        <v>4091</v>
      </c>
      <c r="F1045" s="448" t="s">
        <v>4114</v>
      </c>
      <c r="G1045" s="473" t="s">
        <v>4003</v>
      </c>
      <c r="H1045" s="439" t="s">
        <v>1372</v>
      </c>
      <c r="I1045" s="474" t="s">
        <v>3457</v>
      </c>
      <c r="J1045" s="474" t="s">
        <v>3463</v>
      </c>
      <c r="K1045" s="439" t="s">
        <v>1373</v>
      </c>
      <c r="L1045" s="471">
        <v>1</v>
      </c>
      <c r="M1045" s="447" t="s">
        <v>1410</v>
      </c>
      <c r="N1045" s="456">
        <v>1950</v>
      </c>
      <c r="O1045" s="475">
        <f t="shared" si="4"/>
        <v>1950</v>
      </c>
      <c r="P1045" s="476"/>
      <c r="Q1045" s="477">
        <v>46023</v>
      </c>
      <c r="R1045" s="476"/>
      <c r="S1045" s="476"/>
    </row>
    <row r="1046" spans="1:19" ht="15.75" customHeight="1" x14ac:dyDescent="0.25">
      <c r="A1046" s="438">
        <v>1043</v>
      </c>
      <c r="B1046" s="470" t="s">
        <v>17</v>
      </c>
      <c r="C1046" s="471" t="s">
        <v>18</v>
      </c>
      <c r="D1046" s="472" t="s">
        <v>19</v>
      </c>
      <c r="E1046" s="448" t="s">
        <v>4080</v>
      </c>
      <c r="F1046" s="448" t="s">
        <v>4080</v>
      </c>
      <c r="G1046" s="473" t="s">
        <v>4003</v>
      </c>
      <c r="H1046" s="439" t="s">
        <v>1411</v>
      </c>
      <c r="I1046" s="474" t="s">
        <v>3457</v>
      </c>
      <c r="J1046" s="474" t="s">
        <v>3463</v>
      </c>
      <c r="K1046" s="439" t="s">
        <v>1373</v>
      </c>
      <c r="L1046" s="471">
        <v>1</v>
      </c>
      <c r="M1046" s="447" t="s">
        <v>1412</v>
      </c>
      <c r="N1046" s="456">
        <v>1950</v>
      </c>
      <c r="O1046" s="475">
        <f t="shared" si="4"/>
        <v>1950</v>
      </c>
      <c r="P1046" s="476"/>
      <c r="Q1046" s="477">
        <v>46023</v>
      </c>
      <c r="R1046" s="476"/>
      <c r="S1046" s="476"/>
    </row>
    <row r="1047" spans="1:19" ht="15.75" customHeight="1" x14ac:dyDescent="0.25">
      <c r="A1047" s="438">
        <v>1044</v>
      </c>
      <c r="B1047" s="470" t="s">
        <v>17</v>
      </c>
      <c r="C1047" s="471" t="s">
        <v>18</v>
      </c>
      <c r="D1047" s="472" t="s">
        <v>19</v>
      </c>
      <c r="E1047" s="448" t="s">
        <v>4080</v>
      </c>
      <c r="F1047" s="448" t="s">
        <v>4080</v>
      </c>
      <c r="G1047" s="473" t="s">
        <v>4003</v>
      </c>
      <c r="H1047" s="439" t="s">
        <v>1411</v>
      </c>
      <c r="I1047" s="474" t="s">
        <v>3457</v>
      </c>
      <c r="J1047" s="474" t="s">
        <v>3463</v>
      </c>
      <c r="K1047" s="439" t="s">
        <v>1373</v>
      </c>
      <c r="L1047" s="471">
        <v>1</v>
      </c>
      <c r="M1047" s="447" t="s">
        <v>1413</v>
      </c>
      <c r="N1047" s="456">
        <v>1950</v>
      </c>
      <c r="O1047" s="475">
        <f t="shared" si="4"/>
        <v>1950</v>
      </c>
      <c r="P1047" s="476"/>
      <c r="Q1047" s="477">
        <v>46023</v>
      </c>
      <c r="R1047" s="476"/>
      <c r="S1047" s="476"/>
    </row>
    <row r="1048" spans="1:19" ht="15.75" customHeight="1" x14ac:dyDescent="0.25">
      <c r="A1048" s="438">
        <v>1045</v>
      </c>
      <c r="B1048" s="470" t="s">
        <v>17</v>
      </c>
      <c r="C1048" s="471" t="s">
        <v>18</v>
      </c>
      <c r="D1048" s="472" t="s">
        <v>19</v>
      </c>
      <c r="E1048" s="448" t="s">
        <v>4080</v>
      </c>
      <c r="F1048" s="448" t="s">
        <v>4080</v>
      </c>
      <c r="G1048" s="473" t="s">
        <v>4003</v>
      </c>
      <c r="H1048" s="439" t="s">
        <v>1411</v>
      </c>
      <c r="I1048" s="474" t="s">
        <v>3457</v>
      </c>
      <c r="J1048" s="474" t="s">
        <v>3463</v>
      </c>
      <c r="K1048" s="439" t="s">
        <v>1373</v>
      </c>
      <c r="L1048" s="471">
        <v>1</v>
      </c>
      <c r="M1048" s="447" t="s">
        <v>1414</v>
      </c>
      <c r="N1048" s="456">
        <v>1950</v>
      </c>
      <c r="O1048" s="475">
        <f t="shared" si="4"/>
        <v>1950</v>
      </c>
      <c r="P1048" s="476"/>
      <c r="Q1048" s="477">
        <v>46023</v>
      </c>
      <c r="R1048" s="476"/>
      <c r="S1048" s="476"/>
    </row>
    <row r="1049" spans="1:19" ht="15.75" customHeight="1" x14ac:dyDescent="0.25">
      <c r="A1049" s="438">
        <v>1046</v>
      </c>
      <c r="B1049" s="470" t="s">
        <v>17</v>
      </c>
      <c r="C1049" s="471" t="s">
        <v>18</v>
      </c>
      <c r="D1049" s="472" t="s">
        <v>19</v>
      </c>
      <c r="E1049" s="448" t="s">
        <v>4080</v>
      </c>
      <c r="F1049" s="448" t="s">
        <v>4080</v>
      </c>
      <c r="G1049" s="473" t="s">
        <v>4003</v>
      </c>
      <c r="H1049" s="439" t="s">
        <v>1411</v>
      </c>
      <c r="I1049" s="474" t="s">
        <v>3457</v>
      </c>
      <c r="J1049" s="474" t="s">
        <v>3463</v>
      </c>
      <c r="K1049" s="439" t="s">
        <v>1373</v>
      </c>
      <c r="L1049" s="471">
        <v>1</v>
      </c>
      <c r="M1049" s="447" t="s">
        <v>1415</v>
      </c>
      <c r="N1049" s="456">
        <v>1950</v>
      </c>
      <c r="O1049" s="475">
        <f t="shared" si="4"/>
        <v>1950</v>
      </c>
      <c r="P1049" s="476"/>
      <c r="Q1049" s="477">
        <v>46023</v>
      </c>
      <c r="R1049" s="476"/>
      <c r="S1049" s="476"/>
    </row>
    <row r="1050" spans="1:19" ht="15.75" customHeight="1" x14ac:dyDescent="0.25">
      <c r="A1050" s="438">
        <v>1047</v>
      </c>
      <c r="B1050" s="470" t="s">
        <v>17</v>
      </c>
      <c r="C1050" s="471" t="s">
        <v>18</v>
      </c>
      <c r="D1050" s="472" t="s">
        <v>19</v>
      </c>
      <c r="E1050" s="448" t="s">
        <v>4090</v>
      </c>
      <c r="F1050" s="448" t="s">
        <v>4090</v>
      </c>
      <c r="G1050" s="473" t="s">
        <v>4004</v>
      </c>
      <c r="H1050" s="439" t="s">
        <v>1416</v>
      </c>
      <c r="I1050" s="474" t="s">
        <v>3457</v>
      </c>
      <c r="J1050" s="474" t="s">
        <v>3463</v>
      </c>
      <c r="K1050" s="439" t="s">
        <v>1417</v>
      </c>
      <c r="L1050" s="471">
        <v>1</v>
      </c>
      <c r="M1050" s="447" t="s">
        <v>1418</v>
      </c>
      <c r="N1050" s="456">
        <v>2500</v>
      </c>
      <c r="O1050" s="475">
        <f t="shared" si="4"/>
        <v>2500</v>
      </c>
      <c r="P1050" s="476"/>
      <c r="Q1050" s="477">
        <v>46023</v>
      </c>
      <c r="R1050" s="476"/>
      <c r="S1050" s="476"/>
    </row>
    <row r="1051" spans="1:19" ht="15.75" customHeight="1" x14ac:dyDescent="0.25">
      <c r="A1051" s="438">
        <v>1048</v>
      </c>
      <c r="B1051" s="470" t="s">
        <v>17</v>
      </c>
      <c r="C1051" s="471" t="s">
        <v>18</v>
      </c>
      <c r="D1051" s="472" t="s">
        <v>19</v>
      </c>
      <c r="E1051" s="448" t="s">
        <v>4090</v>
      </c>
      <c r="F1051" s="448" t="s">
        <v>4090</v>
      </c>
      <c r="G1051" s="473" t="s">
        <v>4004</v>
      </c>
      <c r="H1051" s="439" t="s">
        <v>1416</v>
      </c>
      <c r="I1051" s="474" t="s">
        <v>3457</v>
      </c>
      <c r="J1051" s="474" t="s">
        <v>3463</v>
      </c>
      <c r="K1051" s="439" t="s">
        <v>1417</v>
      </c>
      <c r="L1051" s="471">
        <v>1</v>
      </c>
      <c r="M1051" s="447" t="s">
        <v>1419</v>
      </c>
      <c r="N1051" s="456">
        <v>2500</v>
      </c>
      <c r="O1051" s="475">
        <f t="shared" si="4"/>
        <v>2500</v>
      </c>
      <c r="P1051" s="476"/>
      <c r="Q1051" s="477">
        <v>46023</v>
      </c>
      <c r="R1051" s="476"/>
      <c r="S1051" s="476"/>
    </row>
    <row r="1052" spans="1:19" ht="15.75" customHeight="1" x14ac:dyDescent="0.25">
      <c r="A1052" s="438">
        <v>1049</v>
      </c>
      <c r="B1052" s="470" t="s">
        <v>17</v>
      </c>
      <c r="C1052" s="471" t="s">
        <v>18</v>
      </c>
      <c r="D1052" s="472" t="s">
        <v>19</v>
      </c>
      <c r="E1052" s="448" t="s">
        <v>3249</v>
      </c>
      <c r="F1052" s="448" t="s">
        <v>4119</v>
      </c>
      <c r="G1052" s="473" t="s">
        <v>3990</v>
      </c>
      <c r="H1052" s="439" t="s">
        <v>1420</v>
      </c>
      <c r="I1052" s="474" t="s">
        <v>3459</v>
      </c>
      <c r="J1052" s="474" t="s">
        <v>3464</v>
      </c>
      <c r="K1052" s="439" t="s">
        <v>1277</v>
      </c>
      <c r="L1052" s="471">
        <v>1</v>
      </c>
      <c r="M1052" s="447" t="s">
        <v>1421</v>
      </c>
      <c r="N1052" s="456">
        <v>8900</v>
      </c>
      <c r="O1052" s="475">
        <f t="shared" si="4"/>
        <v>8900</v>
      </c>
      <c r="P1052" s="476"/>
      <c r="Q1052" s="477">
        <v>46023</v>
      </c>
      <c r="R1052" s="476"/>
      <c r="S1052" s="476"/>
    </row>
    <row r="1053" spans="1:19" ht="15.75" customHeight="1" x14ac:dyDescent="0.25">
      <c r="A1053" s="438">
        <v>1050</v>
      </c>
      <c r="B1053" s="470" t="s">
        <v>17</v>
      </c>
      <c r="C1053" s="471" t="s">
        <v>18</v>
      </c>
      <c r="D1053" s="472" t="s">
        <v>19</v>
      </c>
      <c r="E1053" s="448" t="s">
        <v>3047</v>
      </c>
      <c r="F1053" s="448" t="s">
        <v>3047</v>
      </c>
      <c r="G1053" s="473" t="s">
        <v>3983</v>
      </c>
      <c r="H1053" s="439" t="s">
        <v>1178</v>
      </c>
      <c r="I1053" s="474" t="s">
        <v>3457</v>
      </c>
      <c r="J1053" s="474" t="s">
        <v>3464</v>
      </c>
      <c r="K1053" s="439" t="s">
        <v>1179</v>
      </c>
      <c r="L1053" s="471">
        <v>1</v>
      </c>
      <c r="M1053" s="447" t="s">
        <v>1422</v>
      </c>
      <c r="N1053" s="456">
        <v>50000</v>
      </c>
      <c r="O1053" s="475">
        <f t="shared" si="4"/>
        <v>50000</v>
      </c>
      <c r="P1053" s="476"/>
      <c r="Q1053" s="477">
        <v>46023</v>
      </c>
      <c r="R1053" s="476"/>
      <c r="S1053" s="476"/>
    </row>
    <row r="1054" spans="1:19" ht="15.75" customHeight="1" x14ac:dyDescent="0.25">
      <c r="A1054" s="438">
        <v>1051</v>
      </c>
      <c r="B1054" s="470" t="s">
        <v>17</v>
      </c>
      <c r="C1054" s="471" t="s">
        <v>18</v>
      </c>
      <c r="D1054" s="472" t="s">
        <v>19</v>
      </c>
      <c r="E1054" s="448" t="s">
        <v>3047</v>
      </c>
      <c r="F1054" s="448" t="s">
        <v>3047</v>
      </c>
      <c r="G1054" s="473" t="s">
        <v>3983</v>
      </c>
      <c r="H1054" s="439" t="s">
        <v>1178</v>
      </c>
      <c r="I1054" s="474" t="s">
        <v>3457</v>
      </c>
      <c r="J1054" s="474" t="s">
        <v>3464</v>
      </c>
      <c r="K1054" s="439" t="s">
        <v>1179</v>
      </c>
      <c r="L1054" s="471">
        <v>1</v>
      </c>
      <c r="M1054" s="447" t="s">
        <v>1423</v>
      </c>
      <c r="N1054" s="456">
        <v>50000</v>
      </c>
      <c r="O1054" s="475">
        <f t="shared" si="4"/>
        <v>50000</v>
      </c>
      <c r="P1054" s="476"/>
      <c r="Q1054" s="477">
        <v>46023</v>
      </c>
      <c r="R1054" s="476"/>
      <c r="S1054" s="476"/>
    </row>
    <row r="1055" spans="1:19" ht="15.75" customHeight="1" x14ac:dyDescent="0.25">
      <c r="A1055" s="438">
        <v>1052</v>
      </c>
      <c r="B1055" s="470" t="s">
        <v>17</v>
      </c>
      <c r="C1055" s="471" t="s">
        <v>18</v>
      </c>
      <c r="D1055" s="472" t="s">
        <v>19</v>
      </c>
      <c r="E1055" s="448" t="s">
        <v>3047</v>
      </c>
      <c r="F1055" s="448" t="s">
        <v>3024</v>
      </c>
      <c r="G1055" s="473" t="s">
        <v>3983</v>
      </c>
      <c r="H1055" s="439" t="s">
        <v>1178</v>
      </c>
      <c r="I1055" s="474" t="s">
        <v>3457</v>
      </c>
      <c r="J1055" s="474" t="s">
        <v>3464</v>
      </c>
      <c r="K1055" s="443" t="s">
        <v>1179</v>
      </c>
      <c r="L1055" s="471">
        <v>1</v>
      </c>
      <c r="M1055" s="447" t="s">
        <v>1424</v>
      </c>
      <c r="N1055" s="456">
        <v>50000</v>
      </c>
      <c r="O1055" s="475">
        <f t="shared" si="4"/>
        <v>50000</v>
      </c>
      <c r="P1055" s="476"/>
      <c r="Q1055" s="477">
        <v>46023</v>
      </c>
      <c r="R1055" s="476"/>
      <c r="S1055" s="476"/>
    </row>
    <row r="1056" spans="1:19" ht="15.75" customHeight="1" x14ac:dyDescent="0.25">
      <c r="A1056" s="438">
        <v>1053</v>
      </c>
      <c r="B1056" s="470" t="s">
        <v>17</v>
      </c>
      <c r="C1056" s="471" t="s">
        <v>18</v>
      </c>
      <c r="D1056" s="472" t="s">
        <v>19</v>
      </c>
      <c r="E1056" s="448" t="s">
        <v>3249</v>
      </c>
      <c r="F1056" s="448" t="s">
        <v>4119</v>
      </c>
      <c r="G1056" s="473" t="s">
        <v>4001</v>
      </c>
      <c r="H1056" s="439" t="s">
        <v>1425</v>
      </c>
      <c r="I1056" s="474" t="s">
        <v>3457</v>
      </c>
      <c r="J1056" s="474" t="s">
        <v>3464</v>
      </c>
      <c r="K1056" s="443" t="s">
        <v>1362</v>
      </c>
      <c r="L1056" s="471">
        <v>1</v>
      </c>
      <c r="M1056" s="447" t="s">
        <v>1426</v>
      </c>
      <c r="N1056" s="456">
        <v>728</v>
      </c>
      <c r="O1056" s="475">
        <f t="shared" si="4"/>
        <v>728</v>
      </c>
      <c r="P1056" s="476"/>
      <c r="Q1056" s="477">
        <v>46023</v>
      </c>
      <c r="R1056" s="476"/>
      <c r="S1056" s="476"/>
    </row>
    <row r="1057" spans="1:19" ht="15.75" customHeight="1" x14ac:dyDescent="0.25">
      <c r="A1057" s="438">
        <v>1054</v>
      </c>
      <c r="B1057" s="470" t="s">
        <v>17</v>
      </c>
      <c r="C1057" s="471" t="s">
        <v>18</v>
      </c>
      <c r="D1057" s="472" t="s">
        <v>19</v>
      </c>
      <c r="E1057" s="448" t="s">
        <v>4081</v>
      </c>
      <c r="F1057" s="448" t="s">
        <v>2989</v>
      </c>
      <c r="G1057" s="473" t="s">
        <v>4005</v>
      </c>
      <c r="H1057" s="439" t="s">
        <v>1427</v>
      </c>
      <c r="I1057" s="474" t="s">
        <v>3457</v>
      </c>
      <c r="J1057" s="474" t="s">
        <v>3463</v>
      </c>
      <c r="K1057" s="443" t="s">
        <v>1428</v>
      </c>
      <c r="L1057" s="471">
        <v>1</v>
      </c>
      <c r="M1057" s="447" t="s">
        <v>1429</v>
      </c>
      <c r="N1057" s="456">
        <v>12000</v>
      </c>
      <c r="O1057" s="475">
        <f t="shared" si="4"/>
        <v>12000</v>
      </c>
      <c r="P1057" s="476"/>
      <c r="Q1057" s="477">
        <v>46023</v>
      </c>
      <c r="R1057" s="476"/>
      <c r="S1057" s="476"/>
    </row>
    <row r="1058" spans="1:19" ht="15.75" customHeight="1" x14ac:dyDescent="0.25">
      <c r="A1058" s="438">
        <v>1055</v>
      </c>
      <c r="B1058" s="470" t="s">
        <v>17</v>
      </c>
      <c r="C1058" s="471" t="s">
        <v>18</v>
      </c>
      <c r="D1058" s="472" t="s">
        <v>19</v>
      </c>
      <c r="E1058" s="448" t="s">
        <v>4085</v>
      </c>
      <c r="F1058" s="448" t="s">
        <v>2982</v>
      </c>
      <c r="G1058" s="473" t="s">
        <v>4006</v>
      </c>
      <c r="H1058" s="439" t="s">
        <v>1430</v>
      </c>
      <c r="I1058" s="474" t="s">
        <v>3457</v>
      </c>
      <c r="J1058" s="474" t="s">
        <v>3464</v>
      </c>
      <c r="K1058" s="443" t="s">
        <v>1431</v>
      </c>
      <c r="L1058" s="471">
        <v>1</v>
      </c>
      <c r="M1058" s="447" t="s">
        <v>1432</v>
      </c>
      <c r="N1058" s="456">
        <v>70000</v>
      </c>
      <c r="O1058" s="475">
        <f t="shared" si="4"/>
        <v>70000</v>
      </c>
      <c r="P1058" s="476"/>
      <c r="Q1058" s="477">
        <v>46023</v>
      </c>
      <c r="R1058" s="476"/>
      <c r="S1058" s="476"/>
    </row>
    <row r="1059" spans="1:19" ht="15.75" customHeight="1" x14ac:dyDescent="0.25">
      <c r="A1059" s="438">
        <v>1056</v>
      </c>
      <c r="B1059" s="470" t="s">
        <v>17</v>
      </c>
      <c r="C1059" s="471" t="s">
        <v>18</v>
      </c>
      <c r="D1059" s="472" t="s">
        <v>19</v>
      </c>
      <c r="E1059" s="448" t="s">
        <v>4085</v>
      </c>
      <c r="F1059" s="448" t="s">
        <v>2982</v>
      </c>
      <c r="G1059" s="473" t="s">
        <v>4006</v>
      </c>
      <c r="H1059" s="439" t="s">
        <v>1430</v>
      </c>
      <c r="I1059" s="474" t="s">
        <v>3457</v>
      </c>
      <c r="J1059" s="474" t="s">
        <v>3464</v>
      </c>
      <c r="K1059" s="443" t="s">
        <v>1431</v>
      </c>
      <c r="L1059" s="471">
        <v>1</v>
      </c>
      <c r="M1059" s="447" t="s">
        <v>1433</v>
      </c>
      <c r="N1059" s="456">
        <v>70000</v>
      </c>
      <c r="O1059" s="475">
        <f t="shared" si="4"/>
        <v>70000</v>
      </c>
      <c r="P1059" s="476"/>
      <c r="Q1059" s="477">
        <v>46023</v>
      </c>
      <c r="R1059" s="476"/>
      <c r="S1059" s="476"/>
    </row>
    <row r="1060" spans="1:19" ht="15.75" customHeight="1" x14ac:dyDescent="0.25">
      <c r="A1060" s="438">
        <v>1057</v>
      </c>
      <c r="B1060" s="470" t="s">
        <v>17</v>
      </c>
      <c r="C1060" s="471" t="s">
        <v>18</v>
      </c>
      <c r="D1060" s="472" t="s">
        <v>19</v>
      </c>
      <c r="E1060" s="448" t="s">
        <v>4085</v>
      </c>
      <c r="F1060" s="448" t="s">
        <v>2982</v>
      </c>
      <c r="G1060" s="473" t="s">
        <v>4006</v>
      </c>
      <c r="H1060" s="439" t="s">
        <v>1430</v>
      </c>
      <c r="I1060" s="474" t="s">
        <v>3457</v>
      </c>
      <c r="J1060" s="474" t="s">
        <v>3464</v>
      </c>
      <c r="K1060" s="443" t="s">
        <v>1431</v>
      </c>
      <c r="L1060" s="471">
        <v>1</v>
      </c>
      <c r="M1060" s="447" t="s">
        <v>1434</v>
      </c>
      <c r="N1060" s="456">
        <v>70000</v>
      </c>
      <c r="O1060" s="475">
        <f t="shared" si="4"/>
        <v>70000</v>
      </c>
      <c r="P1060" s="476"/>
      <c r="Q1060" s="477">
        <v>46023</v>
      </c>
      <c r="R1060" s="476"/>
      <c r="S1060" s="476"/>
    </row>
    <row r="1061" spans="1:19" ht="15.75" customHeight="1" x14ac:dyDescent="0.25">
      <c r="A1061" s="438">
        <v>1058</v>
      </c>
      <c r="B1061" s="470" t="s">
        <v>17</v>
      </c>
      <c r="C1061" s="471" t="s">
        <v>18</v>
      </c>
      <c r="D1061" s="472" t="s">
        <v>19</v>
      </c>
      <c r="E1061" s="448" t="s">
        <v>4085</v>
      </c>
      <c r="F1061" s="448" t="s">
        <v>2982</v>
      </c>
      <c r="G1061" s="473" t="s">
        <v>4006</v>
      </c>
      <c r="H1061" s="439" t="s">
        <v>1430</v>
      </c>
      <c r="I1061" s="474" t="s">
        <v>3457</v>
      </c>
      <c r="J1061" s="474" t="s">
        <v>3464</v>
      </c>
      <c r="K1061" s="443" t="s">
        <v>1431</v>
      </c>
      <c r="L1061" s="471">
        <v>1</v>
      </c>
      <c r="M1061" s="447" t="s">
        <v>1435</v>
      </c>
      <c r="N1061" s="456">
        <v>70000</v>
      </c>
      <c r="O1061" s="475">
        <f t="shared" si="4"/>
        <v>70000</v>
      </c>
      <c r="P1061" s="476"/>
      <c r="Q1061" s="477">
        <v>46023</v>
      </c>
      <c r="R1061" s="476"/>
      <c r="S1061" s="476"/>
    </row>
    <row r="1062" spans="1:19" ht="15.75" customHeight="1" x14ac:dyDescent="0.25">
      <c r="A1062" s="438">
        <v>1059</v>
      </c>
      <c r="B1062" s="470" t="s">
        <v>17</v>
      </c>
      <c r="C1062" s="471" t="s">
        <v>18</v>
      </c>
      <c r="D1062" s="472" t="s">
        <v>19</v>
      </c>
      <c r="E1062" s="448" t="s">
        <v>4085</v>
      </c>
      <c r="F1062" s="448" t="s">
        <v>2982</v>
      </c>
      <c r="G1062" s="473" t="s">
        <v>4006</v>
      </c>
      <c r="H1062" s="439" t="s">
        <v>1430</v>
      </c>
      <c r="I1062" s="474" t="s">
        <v>3457</v>
      </c>
      <c r="J1062" s="474" t="s">
        <v>3464</v>
      </c>
      <c r="K1062" s="443" t="s">
        <v>1431</v>
      </c>
      <c r="L1062" s="471">
        <v>1</v>
      </c>
      <c r="M1062" s="447" t="s">
        <v>1436</v>
      </c>
      <c r="N1062" s="456">
        <v>70000</v>
      </c>
      <c r="O1062" s="475">
        <f t="shared" si="4"/>
        <v>70000</v>
      </c>
      <c r="P1062" s="476"/>
      <c r="Q1062" s="477">
        <v>46023</v>
      </c>
      <c r="R1062" s="476"/>
      <c r="S1062" s="476"/>
    </row>
    <row r="1063" spans="1:19" ht="15.75" customHeight="1" x14ac:dyDescent="0.25">
      <c r="A1063" s="438">
        <v>1060</v>
      </c>
      <c r="B1063" s="470" t="s">
        <v>17</v>
      </c>
      <c r="C1063" s="471" t="s">
        <v>18</v>
      </c>
      <c r="D1063" s="472" t="s">
        <v>19</v>
      </c>
      <c r="E1063" s="448" t="s">
        <v>4085</v>
      </c>
      <c r="F1063" s="448" t="s">
        <v>2982</v>
      </c>
      <c r="G1063" s="473" t="s">
        <v>4006</v>
      </c>
      <c r="H1063" s="439" t="s">
        <v>1430</v>
      </c>
      <c r="I1063" s="474" t="s">
        <v>3457</v>
      </c>
      <c r="J1063" s="474" t="s">
        <v>3464</v>
      </c>
      <c r="K1063" s="443" t="s">
        <v>1431</v>
      </c>
      <c r="L1063" s="471">
        <v>1</v>
      </c>
      <c r="M1063" s="447" t="s">
        <v>1437</v>
      </c>
      <c r="N1063" s="456">
        <v>70000</v>
      </c>
      <c r="O1063" s="475">
        <f t="shared" si="4"/>
        <v>70000</v>
      </c>
      <c r="P1063" s="476"/>
      <c r="Q1063" s="477">
        <v>46023</v>
      </c>
      <c r="R1063" s="476"/>
      <c r="S1063" s="476"/>
    </row>
    <row r="1064" spans="1:19" ht="15.75" customHeight="1" x14ac:dyDescent="0.25">
      <c r="A1064" s="438">
        <v>1061</v>
      </c>
      <c r="B1064" s="470" t="s">
        <v>17</v>
      </c>
      <c r="C1064" s="471" t="s">
        <v>18</v>
      </c>
      <c r="D1064" s="472" t="s">
        <v>19</v>
      </c>
      <c r="E1064" s="448" t="s">
        <v>4085</v>
      </c>
      <c r="F1064" s="448" t="s">
        <v>2982</v>
      </c>
      <c r="G1064" s="473" t="s">
        <v>4006</v>
      </c>
      <c r="H1064" s="439" t="s">
        <v>1430</v>
      </c>
      <c r="I1064" s="474" t="s">
        <v>3457</v>
      </c>
      <c r="J1064" s="474" t="s">
        <v>3464</v>
      </c>
      <c r="K1064" s="443" t="s">
        <v>1431</v>
      </c>
      <c r="L1064" s="471">
        <v>1</v>
      </c>
      <c r="M1064" s="447" t="s">
        <v>1438</v>
      </c>
      <c r="N1064" s="456">
        <v>70000</v>
      </c>
      <c r="O1064" s="475">
        <f t="shared" si="4"/>
        <v>70000</v>
      </c>
      <c r="P1064" s="476"/>
      <c r="Q1064" s="477">
        <v>46023</v>
      </c>
      <c r="R1064" s="476"/>
      <c r="S1064" s="476"/>
    </row>
    <row r="1065" spans="1:19" ht="15.75" customHeight="1" x14ac:dyDescent="0.25">
      <c r="A1065" s="438">
        <v>1062</v>
      </c>
      <c r="B1065" s="470" t="s">
        <v>17</v>
      </c>
      <c r="C1065" s="471" t="s">
        <v>18</v>
      </c>
      <c r="D1065" s="472" t="s">
        <v>19</v>
      </c>
      <c r="E1065" s="448" t="s">
        <v>4091</v>
      </c>
      <c r="F1065" s="448" t="s">
        <v>3024</v>
      </c>
      <c r="G1065" s="473" t="s">
        <v>4007</v>
      </c>
      <c r="H1065" s="439" t="s">
        <v>1439</v>
      </c>
      <c r="I1065" s="474" t="s">
        <v>3457</v>
      </c>
      <c r="J1065" s="474" t="s">
        <v>3464</v>
      </c>
      <c r="K1065" s="443" t="s">
        <v>3475</v>
      </c>
      <c r="L1065" s="471">
        <v>1</v>
      </c>
      <c r="M1065" s="447" t="s">
        <v>1440</v>
      </c>
      <c r="N1065" s="456">
        <v>50000</v>
      </c>
      <c r="O1065" s="475">
        <f t="shared" si="4"/>
        <v>50000</v>
      </c>
      <c r="P1065" s="476"/>
      <c r="Q1065" s="477">
        <v>46023</v>
      </c>
      <c r="R1065" s="476"/>
      <c r="S1065" s="476"/>
    </row>
    <row r="1066" spans="1:19" ht="15.75" customHeight="1" x14ac:dyDescent="0.25">
      <c r="A1066" s="438">
        <v>1063</v>
      </c>
      <c r="B1066" s="470" t="s">
        <v>17</v>
      </c>
      <c r="C1066" s="471" t="s">
        <v>18</v>
      </c>
      <c r="D1066" s="472" t="s">
        <v>19</v>
      </c>
      <c r="E1066" s="448" t="s">
        <v>4091</v>
      </c>
      <c r="F1066" s="448" t="s">
        <v>3024</v>
      </c>
      <c r="G1066" s="473" t="s">
        <v>4007</v>
      </c>
      <c r="H1066" s="439" t="s">
        <v>1439</v>
      </c>
      <c r="I1066" s="474" t="s">
        <v>3457</v>
      </c>
      <c r="J1066" s="474" t="s">
        <v>3464</v>
      </c>
      <c r="K1066" s="443" t="s">
        <v>3475</v>
      </c>
      <c r="L1066" s="471">
        <v>1</v>
      </c>
      <c r="M1066" s="447" t="s">
        <v>1441</v>
      </c>
      <c r="N1066" s="456">
        <v>50000</v>
      </c>
      <c r="O1066" s="475">
        <f t="shared" si="4"/>
        <v>50000</v>
      </c>
      <c r="P1066" s="476"/>
      <c r="Q1066" s="477">
        <v>46023</v>
      </c>
      <c r="R1066" s="476"/>
      <c r="S1066" s="476"/>
    </row>
    <row r="1067" spans="1:19" ht="15.75" customHeight="1" x14ac:dyDescent="0.25">
      <c r="A1067" s="438">
        <v>1064</v>
      </c>
      <c r="B1067" s="470" t="s">
        <v>17</v>
      </c>
      <c r="C1067" s="471" t="s">
        <v>18</v>
      </c>
      <c r="D1067" s="472" t="s">
        <v>19</v>
      </c>
      <c r="E1067" s="448" t="s">
        <v>4091</v>
      </c>
      <c r="F1067" s="448" t="s">
        <v>3024</v>
      </c>
      <c r="G1067" s="473" t="s">
        <v>4007</v>
      </c>
      <c r="H1067" s="439" t="s">
        <v>1439</v>
      </c>
      <c r="I1067" s="474" t="s">
        <v>3457</v>
      </c>
      <c r="J1067" s="474" t="s">
        <v>3464</v>
      </c>
      <c r="K1067" s="443" t="s">
        <v>3475</v>
      </c>
      <c r="L1067" s="471">
        <v>1</v>
      </c>
      <c r="M1067" s="447" t="s">
        <v>1442</v>
      </c>
      <c r="N1067" s="456">
        <v>50000</v>
      </c>
      <c r="O1067" s="475">
        <f t="shared" si="4"/>
        <v>50000</v>
      </c>
      <c r="P1067" s="476"/>
      <c r="Q1067" s="477">
        <v>46023</v>
      </c>
      <c r="R1067" s="476"/>
      <c r="S1067" s="476"/>
    </row>
    <row r="1068" spans="1:19" ht="15.75" customHeight="1" x14ac:dyDescent="0.25">
      <c r="A1068" s="438">
        <v>1065</v>
      </c>
      <c r="B1068" s="470" t="s">
        <v>17</v>
      </c>
      <c r="C1068" s="471" t="s">
        <v>18</v>
      </c>
      <c r="D1068" s="472" t="s">
        <v>19</v>
      </c>
      <c r="E1068" s="448" t="s">
        <v>4085</v>
      </c>
      <c r="F1068" s="448" t="s">
        <v>3026</v>
      </c>
      <c r="G1068" s="473" t="s">
        <v>4007</v>
      </c>
      <c r="H1068" s="439" t="s">
        <v>1439</v>
      </c>
      <c r="I1068" s="474" t="s">
        <v>3457</v>
      </c>
      <c r="J1068" s="474" t="s">
        <v>3464</v>
      </c>
      <c r="K1068" s="443" t="s">
        <v>3475</v>
      </c>
      <c r="L1068" s="471">
        <v>1</v>
      </c>
      <c r="M1068" s="447" t="s">
        <v>1443</v>
      </c>
      <c r="N1068" s="456">
        <v>50000</v>
      </c>
      <c r="O1068" s="475">
        <f t="shared" si="4"/>
        <v>50000</v>
      </c>
      <c r="P1068" s="476"/>
      <c r="Q1068" s="477">
        <v>46023</v>
      </c>
      <c r="R1068" s="476"/>
      <c r="S1068" s="476"/>
    </row>
    <row r="1069" spans="1:19" ht="15.75" customHeight="1" x14ac:dyDescent="0.25">
      <c r="A1069" s="438">
        <v>1066</v>
      </c>
      <c r="B1069" s="470" t="s">
        <v>17</v>
      </c>
      <c r="C1069" s="471" t="s">
        <v>18</v>
      </c>
      <c r="D1069" s="472" t="s">
        <v>19</v>
      </c>
      <c r="E1069" s="448" t="s">
        <v>4085</v>
      </c>
      <c r="F1069" s="448" t="s">
        <v>3026</v>
      </c>
      <c r="G1069" s="473" t="s">
        <v>4007</v>
      </c>
      <c r="H1069" s="439" t="s">
        <v>1439</v>
      </c>
      <c r="I1069" s="474" t="s">
        <v>3457</v>
      </c>
      <c r="J1069" s="474" t="s">
        <v>3464</v>
      </c>
      <c r="K1069" s="443" t="s">
        <v>3475</v>
      </c>
      <c r="L1069" s="471">
        <v>1</v>
      </c>
      <c r="M1069" s="447" t="s">
        <v>1444</v>
      </c>
      <c r="N1069" s="456">
        <v>50000</v>
      </c>
      <c r="O1069" s="475">
        <f t="shared" si="4"/>
        <v>50000</v>
      </c>
      <c r="P1069" s="476"/>
      <c r="Q1069" s="477">
        <v>46023</v>
      </c>
      <c r="R1069" s="476"/>
      <c r="S1069" s="476"/>
    </row>
    <row r="1070" spans="1:19" ht="15.75" customHeight="1" x14ac:dyDescent="0.25">
      <c r="A1070" s="438">
        <v>1067</v>
      </c>
      <c r="B1070" s="470" t="s">
        <v>17</v>
      </c>
      <c r="C1070" s="471" t="s">
        <v>18</v>
      </c>
      <c r="D1070" s="472" t="s">
        <v>19</v>
      </c>
      <c r="E1070" s="448" t="s">
        <v>4085</v>
      </c>
      <c r="F1070" s="448" t="s">
        <v>3026</v>
      </c>
      <c r="G1070" s="473" t="s">
        <v>4007</v>
      </c>
      <c r="H1070" s="439" t="s">
        <v>1439</v>
      </c>
      <c r="I1070" s="474" t="s">
        <v>3457</v>
      </c>
      <c r="J1070" s="474" t="s">
        <v>3464</v>
      </c>
      <c r="K1070" s="443" t="s">
        <v>3475</v>
      </c>
      <c r="L1070" s="471">
        <v>1</v>
      </c>
      <c r="M1070" s="447" t="s">
        <v>1445</v>
      </c>
      <c r="N1070" s="456">
        <v>50000</v>
      </c>
      <c r="O1070" s="475">
        <f t="shared" si="4"/>
        <v>50000</v>
      </c>
      <c r="P1070" s="476"/>
      <c r="Q1070" s="477">
        <v>46023</v>
      </c>
      <c r="R1070" s="476"/>
      <c r="S1070" s="476"/>
    </row>
    <row r="1071" spans="1:19" ht="15.75" customHeight="1" x14ac:dyDescent="0.25">
      <c r="A1071" s="438">
        <v>1068</v>
      </c>
      <c r="B1071" s="470" t="s">
        <v>17</v>
      </c>
      <c r="C1071" s="471" t="s">
        <v>18</v>
      </c>
      <c r="D1071" s="472" t="s">
        <v>19</v>
      </c>
      <c r="E1071" s="448" t="s">
        <v>4085</v>
      </c>
      <c r="F1071" s="448" t="s">
        <v>3026</v>
      </c>
      <c r="G1071" s="473" t="s">
        <v>4007</v>
      </c>
      <c r="H1071" s="439" t="s">
        <v>1439</v>
      </c>
      <c r="I1071" s="474" t="s">
        <v>3457</v>
      </c>
      <c r="J1071" s="474" t="s">
        <v>3464</v>
      </c>
      <c r="K1071" s="443" t="s">
        <v>3475</v>
      </c>
      <c r="L1071" s="471">
        <v>1</v>
      </c>
      <c r="M1071" s="447" t="s">
        <v>1446</v>
      </c>
      <c r="N1071" s="456">
        <v>50000</v>
      </c>
      <c r="O1071" s="475">
        <f t="shared" si="4"/>
        <v>50000</v>
      </c>
      <c r="P1071" s="476"/>
      <c r="Q1071" s="477">
        <v>46023</v>
      </c>
      <c r="R1071" s="476"/>
      <c r="S1071" s="476"/>
    </row>
    <row r="1072" spans="1:19" ht="15.75" customHeight="1" x14ac:dyDescent="0.25">
      <c r="A1072" s="438">
        <v>1069</v>
      </c>
      <c r="B1072" s="470" t="s">
        <v>17</v>
      </c>
      <c r="C1072" s="471" t="s">
        <v>18</v>
      </c>
      <c r="D1072" s="472" t="s">
        <v>19</v>
      </c>
      <c r="E1072" s="448" t="s">
        <v>4085</v>
      </c>
      <c r="F1072" s="448" t="s">
        <v>3026</v>
      </c>
      <c r="G1072" s="473" t="s">
        <v>4007</v>
      </c>
      <c r="H1072" s="439" t="s">
        <v>1439</v>
      </c>
      <c r="I1072" s="474" t="s">
        <v>3457</v>
      </c>
      <c r="J1072" s="474" t="s">
        <v>3464</v>
      </c>
      <c r="K1072" s="443" t="s">
        <v>3475</v>
      </c>
      <c r="L1072" s="471">
        <v>1</v>
      </c>
      <c r="M1072" s="447" t="s">
        <v>1447</v>
      </c>
      <c r="N1072" s="456">
        <v>50000</v>
      </c>
      <c r="O1072" s="475">
        <f t="shared" si="4"/>
        <v>50000</v>
      </c>
      <c r="P1072" s="476"/>
      <c r="Q1072" s="477">
        <v>46023</v>
      </c>
      <c r="R1072" s="476"/>
      <c r="S1072" s="476"/>
    </row>
    <row r="1073" spans="1:19" ht="15.75" customHeight="1" x14ac:dyDescent="0.25">
      <c r="A1073" s="438">
        <v>1070</v>
      </c>
      <c r="B1073" s="470" t="s">
        <v>17</v>
      </c>
      <c r="C1073" s="471" t="s">
        <v>18</v>
      </c>
      <c r="D1073" s="472" t="s">
        <v>19</v>
      </c>
      <c r="E1073" s="465" t="s">
        <v>4080</v>
      </c>
      <c r="F1073" s="448" t="s">
        <v>4080</v>
      </c>
      <c r="G1073" s="473" t="s">
        <v>4008</v>
      </c>
      <c r="H1073" s="439" t="s">
        <v>1448</v>
      </c>
      <c r="I1073" s="474" t="s">
        <v>3457</v>
      </c>
      <c r="J1073" s="474" t="s">
        <v>3464</v>
      </c>
      <c r="K1073" s="443" t="s">
        <v>1449</v>
      </c>
      <c r="L1073" s="471">
        <v>1</v>
      </c>
      <c r="M1073" s="447" t="s">
        <v>1450</v>
      </c>
      <c r="N1073" s="456">
        <v>31000</v>
      </c>
      <c r="O1073" s="475">
        <f t="shared" si="4"/>
        <v>31000</v>
      </c>
      <c r="P1073" s="476"/>
      <c r="Q1073" s="477">
        <v>46023</v>
      </c>
      <c r="R1073" s="476"/>
      <c r="S1073" s="476"/>
    </row>
    <row r="1074" spans="1:19" ht="15.75" customHeight="1" x14ac:dyDescent="0.25">
      <c r="A1074" s="438">
        <v>1071</v>
      </c>
      <c r="B1074" s="470" t="s">
        <v>17</v>
      </c>
      <c r="C1074" s="471" t="s">
        <v>18</v>
      </c>
      <c r="D1074" s="472" t="s">
        <v>19</v>
      </c>
      <c r="E1074" s="465" t="s">
        <v>4080</v>
      </c>
      <c r="F1074" s="448" t="s">
        <v>4080</v>
      </c>
      <c r="G1074" s="473" t="s">
        <v>4008</v>
      </c>
      <c r="H1074" s="439" t="s">
        <v>1448</v>
      </c>
      <c r="I1074" s="474" t="s">
        <v>3457</v>
      </c>
      <c r="J1074" s="474" t="s">
        <v>3464</v>
      </c>
      <c r="K1074" s="443" t="s">
        <v>1449</v>
      </c>
      <c r="L1074" s="471">
        <v>1</v>
      </c>
      <c r="M1074" s="447" t="s">
        <v>1451</v>
      </c>
      <c r="N1074" s="456">
        <v>31000</v>
      </c>
      <c r="O1074" s="475">
        <f t="shared" si="4"/>
        <v>31000</v>
      </c>
      <c r="P1074" s="476"/>
      <c r="Q1074" s="477">
        <v>46023</v>
      </c>
      <c r="R1074" s="476"/>
      <c r="S1074" s="476"/>
    </row>
    <row r="1075" spans="1:19" ht="15.75" customHeight="1" x14ac:dyDescent="0.25">
      <c r="A1075" s="438">
        <v>1072</v>
      </c>
      <c r="B1075" s="470" t="s">
        <v>17</v>
      </c>
      <c r="C1075" s="471" t="s">
        <v>18</v>
      </c>
      <c r="D1075" s="472" t="s">
        <v>19</v>
      </c>
      <c r="E1075" s="448" t="s">
        <v>4080</v>
      </c>
      <c r="F1075" s="448" t="s">
        <v>4080</v>
      </c>
      <c r="G1075" s="473" t="s">
        <v>4008</v>
      </c>
      <c r="H1075" s="439" t="s">
        <v>1448</v>
      </c>
      <c r="I1075" s="474" t="s">
        <v>3457</v>
      </c>
      <c r="J1075" s="474" t="s">
        <v>3464</v>
      </c>
      <c r="K1075" s="443" t="s">
        <v>1449</v>
      </c>
      <c r="L1075" s="471">
        <v>1</v>
      </c>
      <c r="M1075" s="447" t="s">
        <v>1452</v>
      </c>
      <c r="N1075" s="456">
        <v>31000</v>
      </c>
      <c r="O1075" s="475">
        <f t="shared" si="4"/>
        <v>31000</v>
      </c>
      <c r="P1075" s="476"/>
      <c r="Q1075" s="477">
        <v>46023</v>
      </c>
      <c r="R1075" s="476"/>
      <c r="S1075" s="476"/>
    </row>
    <row r="1076" spans="1:19" ht="15.75" customHeight="1" x14ac:dyDescent="0.25">
      <c r="A1076" s="438">
        <v>1073</v>
      </c>
      <c r="B1076" s="470" t="s">
        <v>17</v>
      </c>
      <c r="C1076" s="471" t="s">
        <v>18</v>
      </c>
      <c r="D1076" s="472" t="s">
        <v>19</v>
      </c>
      <c r="E1076" s="448" t="s">
        <v>4080</v>
      </c>
      <c r="F1076" s="448" t="s">
        <v>4080</v>
      </c>
      <c r="G1076" s="473" t="s">
        <v>4008</v>
      </c>
      <c r="H1076" s="439" t="s">
        <v>1448</v>
      </c>
      <c r="I1076" s="474" t="s">
        <v>3457</v>
      </c>
      <c r="J1076" s="474" t="s">
        <v>3464</v>
      </c>
      <c r="K1076" s="443" t="s">
        <v>1449</v>
      </c>
      <c r="L1076" s="471">
        <v>1</v>
      </c>
      <c r="M1076" s="447" t="s">
        <v>1453</v>
      </c>
      <c r="N1076" s="456">
        <v>31000</v>
      </c>
      <c r="O1076" s="475">
        <f t="shared" si="4"/>
        <v>31000</v>
      </c>
      <c r="P1076" s="476"/>
      <c r="Q1076" s="477">
        <v>46023</v>
      </c>
      <c r="R1076" s="476"/>
      <c r="S1076" s="476"/>
    </row>
    <row r="1077" spans="1:19" ht="15.75" customHeight="1" x14ac:dyDescent="0.25">
      <c r="A1077" s="438">
        <v>1074</v>
      </c>
      <c r="B1077" s="470" t="s">
        <v>17</v>
      </c>
      <c r="C1077" s="471" t="s">
        <v>18</v>
      </c>
      <c r="D1077" s="472" t="s">
        <v>19</v>
      </c>
      <c r="E1077" s="465" t="s">
        <v>4080</v>
      </c>
      <c r="F1077" s="448" t="s">
        <v>4080</v>
      </c>
      <c r="G1077" s="473" t="s">
        <v>4008</v>
      </c>
      <c r="H1077" s="439" t="s">
        <v>1454</v>
      </c>
      <c r="I1077" s="474" t="s">
        <v>3457</v>
      </c>
      <c r="J1077" s="474" t="s">
        <v>3464</v>
      </c>
      <c r="K1077" s="443" t="s">
        <v>1449</v>
      </c>
      <c r="L1077" s="471">
        <v>1</v>
      </c>
      <c r="M1077" s="447" t="s">
        <v>1455</v>
      </c>
      <c r="N1077" s="456">
        <v>40000</v>
      </c>
      <c r="O1077" s="475">
        <f t="shared" si="4"/>
        <v>40000</v>
      </c>
      <c r="P1077" s="476"/>
      <c r="Q1077" s="477">
        <v>46023</v>
      </c>
      <c r="R1077" s="476"/>
      <c r="S1077" s="476"/>
    </row>
    <row r="1078" spans="1:19" ht="15.75" customHeight="1" x14ac:dyDescent="0.25">
      <c r="A1078" s="438">
        <v>1075</v>
      </c>
      <c r="B1078" s="470" t="s">
        <v>17</v>
      </c>
      <c r="C1078" s="471" t="s">
        <v>18</v>
      </c>
      <c r="D1078" s="472" t="s">
        <v>19</v>
      </c>
      <c r="E1078" s="448" t="s">
        <v>4085</v>
      </c>
      <c r="F1078" s="448" t="s">
        <v>3026</v>
      </c>
      <c r="G1078" s="473" t="s">
        <v>4008</v>
      </c>
      <c r="H1078" s="439" t="s">
        <v>1454</v>
      </c>
      <c r="I1078" s="474" t="s">
        <v>3457</v>
      </c>
      <c r="J1078" s="474" t="s">
        <v>3464</v>
      </c>
      <c r="K1078" s="443" t="s">
        <v>1449</v>
      </c>
      <c r="L1078" s="471">
        <v>1</v>
      </c>
      <c r="M1078" s="447" t="s">
        <v>1456</v>
      </c>
      <c r="N1078" s="456">
        <v>40000</v>
      </c>
      <c r="O1078" s="475">
        <f t="shared" si="4"/>
        <v>40000</v>
      </c>
      <c r="P1078" s="476"/>
      <c r="Q1078" s="477">
        <v>46023</v>
      </c>
      <c r="R1078" s="476"/>
      <c r="S1078" s="476"/>
    </row>
    <row r="1079" spans="1:19" ht="15.75" customHeight="1" x14ac:dyDescent="0.25">
      <c r="A1079" s="438">
        <v>1076</v>
      </c>
      <c r="B1079" s="470" t="s">
        <v>17</v>
      </c>
      <c r="C1079" s="471" t="s">
        <v>18</v>
      </c>
      <c r="D1079" s="472" t="s">
        <v>19</v>
      </c>
      <c r="E1079" s="448" t="s">
        <v>4085</v>
      </c>
      <c r="F1079" s="448" t="s">
        <v>3026</v>
      </c>
      <c r="G1079" s="473" t="s">
        <v>4008</v>
      </c>
      <c r="H1079" s="439" t="s">
        <v>1454</v>
      </c>
      <c r="I1079" s="474" t="s">
        <v>3457</v>
      </c>
      <c r="J1079" s="474" t="s">
        <v>3464</v>
      </c>
      <c r="K1079" s="439" t="s">
        <v>1449</v>
      </c>
      <c r="L1079" s="471">
        <v>1</v>
      </c>
      <c r="M1079" s="447" t="s">
        <v>1457</v>
      </c>
      <c r="N1079" s="456">
        <v>40000</v>
      </c>
      <c r="O1079" s="475">
        <f t="shared" si="4"/>
        <v>40000</v>
      </c>
      <c r="P1079" s="476"/>
      <c r="Q1079" s="477">
        <v>46023</v>
      </c>
      <c r="R1079" s="476"/>
      <c r="S1079" s="476"/>
    </row>
    <row r="1080" spans="1:19" ht="15.75" customHeight="1" x14ac:dyDescent="0.25">
      <c r="A1080" s="438">
        <v>1077</v>
      </c>
      <c r="B1080" s="470" t="s">
        <v>17</v>
      </c>
      <c r="C1080" s="471" t="s">
        <v>18</v>
      </c>
      <c r="D1080" s="472" t="s">
        <v>19</v>
      </c>
      <c r="E1080" s="465" t="s">
        <v>4085</v>
      </c>
      <c r="F1080" s="448" t="s">
        <v>4117</v>
      </c>
      <c r="G1080" s="473" t="s">
        <v>4008</v>
      </c>
      <c r="H1080" s="439" t="s">
        <v>1454</v>
      </c>
      <c r="I1080" s="474" t="s">
        <v>3457</v>
      </c>
      <c r="J1080" s="474" t="s">
        <v>3464</v>
      </c>
      <c r="K1080" s="443" t="s">
        <v>1449</v>
      </c>
      <c r="L1080" s="471">
        <v>1</v>
      </c>
      <c r="M1080" s="447" t="s">
        <v>1458</v>
      </c>
      <c r="N1080" s="456">
        <v>40000</v>
      </c>
      <c r="O1080" s="475">
        <f t="shared" si="4"/>
        <v>40000</v>
      </c>
      <c r="P1080" s="476"/>
      <c r="Q1080" s="477">
        <v>46023</v>
      </c>
      <c r="R1080" s="476"/>
      <c r="S1080" s="476"/>
    </row>
    <row r="1081" spans="1:19" ht="15.75" customHeight="1" x14ac:dyDescent="0.25">
      <c r="A1081" s="438">
        <v>1078</v>
      </c>
      <c r="B1081" s="470" t="s">
        <v>17</v>
      </c>
      <c r="C1081" s="471" t="s">
        <v>18</v>
      </c>
      <c r="D1081" s="472" t="s">
        <v>19</v>
      </c>
      <c r="E1081" s="448" t="s">
        <v>4085</v>
      </c>
      <c r="F1081" s="448" t="s">
        <v>2985</v>
      </c>
      <c r="G1081" s="473" t="s">
        <v>4008</v>
      </c>
      <c r="H1081" s="439" t="s">
        <v>1454</v>
      </c>
      <c r="I1081" s="474" t="s">
        <v>3457</v>
      </c>
      <c r="J1081" s="474" t="s">
        <v>3464</v>
      </c>
      <c r="K1081" s="443" t="s">
        <v>1449</v>
      </c>
      <c r="L1081" s="471">
        <v>1</v>
      </c>
      <c r="M1081" s="447" t="s">
        <v>1459</v>
      </c>
      <c r="N1081" s="456">
        <v>40000</v>
      </c>
      <c r="O1081" s="475">
        <f t="shared" si="4"/>
        <v>40000</v>
      </c>
      <c r="P1081" s="476"/>
      <c r="Q1081" s="477">
        <v>46023</v>
      </c>
      <c r="R1081" s="476"/>
      <c r="S1081" s="476"/>
    </row>
    <row r="1082" spans="1:19" ht="15.75" customHeight="1" x14ac:dyDescent="0.25">
      <c r="A1082" s="438">
        <v>1079</v>
      </c>
      <c r="B1082" s="470" t="s">
        <v>17</v>
      </c>
      <c r="C1082" s="471" t="s">
        <v>18</v>
      </c>
      <c r="D1082" s="472" t="s">
        <v>19</v>
      </c>
      <c r="E1082" s="448" t="s">
        <v>4091</v>
      </c>
      <c r="F1082" s="448" t="s">
        <v>3024</v>
      </c>
      <c r="G1082" s="473" t="s">
        <v>4008</v>
      </c>
      <c r="H1082" s="439" t="s">
        <v>1460</v>
      </c>
      <c r="I1082" s="474" t="s">
        <v>3457</v>
      </c>
      <c r="J1082" s="474" t="s">
        <v>3464</v>
      </c>
      <c r="K1082" s="443" t="s">
        <v>1431</v>
      </c>
      <c r="L1082" s="471">
        <v>1</v>
      </c>
      <c r="M1082" s="447" t="s">
        <v>3508</v>
      </c>
      <c r="N1082" s="456">
        <v>50000</v>
      </c>
      <c r="O1082" s="475">
        <f t="shared" si="4"/>
        <v>50000</v>
      </c>
      <c r="P1082" s="476"/>
      <c r="Q1082" s="477">
        <v>46023</v>
      </c>
      <c r="R1082" s="476"/>
      <c r="S1082" s="476"/>
    </row>
    <row r="1083" spans="1:19" ht="15.75" customHeight="1" x14ac:dyDescent="0.25">
      <c r="A1083" s="438">
        <v>1080</v>
      </c>
      <c r="B1083" s="470" t="s">
        <v>17</v>
      </c>
      <c r="C1083" s="471" t="s">
        <v>18</v>
      </c>
      <c r="D1083" s="472" t="s">
        <v>19</v>
      </c>
      <c r="E1083" s="448" t="s">
        <v>4085</v>
      </c>
      <c r="F1083" s="448" t="s">
        <v>3026</v>
      </c>
      <c r="G1083" s="473" t="s">
        <v>4006</v>
      </c>
      <c r="H1083" s="439" t="s">
        <v>1460</v>
      </c>
      <c r="I1083" s="474" t="s">
        <v>3457</v>
      </c>
      <c r="J1083" s="474" t="s">
        <v>3464</v>
      </c>
      <c r="K1083" s="443" t="s">
        <v>1431</v>
      </c>
      <c r="L1083" s="471">
        <v>1</v>
      </c>
      <c r="M1083" s="447" t="s">
        <v>1461</v>
      </c>
      <c r="N1083" s="456">
        <v>50000</v>
      </c>
      <c r="O1083" s="475">
        <f t="shared" si="4"/>
        <v>50000</v>
      </c>
      <c r="P1083" s="476"/>
      <c r="Q1083" s="477">
        <v>46023</v>
      </c>
      <c r="R1083" s="476"/>
      <c r="S1083" s="476"/>
    </row>
    <row r="1084" spans="1:19" ht="15.75" customHeight="1" x14ac:dyDescent="0.25">
      <c r="A1084" s="438">
        <v>1081</v>
      </c>
      <c r="B1084" s="470" t="s">
        <v>17</v>
      </c>
      <c r="C1084" s="471" t="s">
        <v>18</v>
      </c>
      <c r="D1084" s="472" t="s">
        <v>19</v>
      </c>
      <c r="E1084" s="448" t="s">
        <v>4085</v>
      </c>
      <c r="F1084" s="448" t="s">
        <v>3026</v>
      </c>
      <c r="G1084" s="473" t="s">
        <v>4006</v>
      </c>
      <c r="H1084" s="439" t="s">
        <v>1460</v>
      </c>
      <c r="I1084" s="474" t="s">
        <v>3457</v>
      </c>
      <c r="J1084" s="474" t="s">
        <v>3464</v>
      </c>
      <c r="K1084" s="443" t="s">
        <v>1431</v>
      </c>
      <c r="L1084" s="471">
        <v>1</v>
      </c>
      <c r="M1084" s="447" t="s">
        <v>1462</v>
      </c>
      <c r="N1084" s="456">
        <v>50000</v>
      </c>
      <c r="O1084" s="475">
        <f t="shared" si="4"/>
        <v>50000</v>
      </c>
      <c r="P1084" s="476"/>
      <c r="Q1084" s="477">
        <v>46023</v>
      </c>
      <c r="R1084" s="476"/>
      <c r="S1084" s="476"/>
    </row>
    <row r="1085" spans="1:19" ht="15.75" customHeight="1" x14ac:dyDescent="0.25">
      <c r="A1085" s="438">
        <v>1082</v>
      </c>
      <c r="B1085" s="470" t="s">
        <v>17</v>
      </c>
      <c r="C1085" s="471" t="s">
        <v>18</v>
      </c>
      <c r="D1085" s="472" t="s">
        <v>19</v>
      </c>
      <c r="E1085" s="448" t="s">
        <v>4085</v>
      </c>
      <c r="F1085" s="448" t="s">
        <v>3026</v>
      </c>
      <c r="G1085" s="473" t="s">
        <v>4006</v>
      </c>
      <c r="H1085" s="439" t="s">
        <v>1460</v>
      </c>
      <c r="I1085" s="474" t="s">
        <v>3457</v>
      </c>
      <c r="J1085" s="474" t="s">
        <v>3464</v>
      </c>
      <c r="K1085" s="443" t="s">
        <v>1431</v>
      </c>
      <c r="L1085" s="471">
        <v>1</v>
      </c>
      <c r="M1085" s="447" t="s">
        <v>1463</v>
      </c>
      <c r="N1085" s="456">
        <v>50000</v>
      </c>
      <c r="O1085" s="475">
        <f t="shared" si="4"/>
        <v>50000</v>
      </c>
      <c r="P1085" s="476"/>
      <c r="Q1085" s="477">
        <v>46023</v>
      </c>
      <c r="R1085" s="476"/>
      <c r="S1085" s="476"/>
    </row>
    <row r="1086" spans="1:19" ht="15.75" customHeight="1" x14ac:dyDescent="0.25">
      <c r="A1086" s="438">
        <v>1083</v>
      </c>
      <c r="B1086" s="470" t="s">
        <v>17</v>
      </c>
      <c r="C1086" s="471" t="s">
        <v>18</v>
      </c>
      <c r="D1086" s="472" t="s">
        <v>19</v>
      </c>
      <c r="E1086" s="448" t="s">
        <v>4085</v>
      </c>
      <c r="F1086" s="448" t="s">
        <v>3026</v>
      </c>
      <c r="G1086" s="473" t="s">
        <v>4006</v>
      </c>
      <c r="H1086" s="439" t="s">
        <v>1460</v>
      </c>
      <c r="I1086" s="474" t="s">
        <v>3457</v>
      </c>
      <c r="J1086" s="474" t="s">
        <v>3464</v>
      </c>
      <c r="K1086" s="443" t="s">
        <v>1431</v>
      </c>
      <c r="L1086" s="471">
        <v>1</v>
      </c>
      <c r="M1086" s="447" t="s">
        <v>1464</v>
      </c>
      <c r="N1086" s="456">
        <v>50000</v>
      </c>
      <c r="O1086" s="475">
        <f t="shared" si="4"/>
        <v>50000</v>
      </c>
      <c r="P1086" s="476"/>
      <c r="Q1086" s="477">
        <v>46023</v>
      </c>
      <c r="R1086" s="476"/>
      <c r="S1086" s="476"/>
    </row>
    <row r="1087" spans="1:19" ht="15.75" customHeight="1" x14ac:dyDescent="0.25">
      <c r="A1087" s="438">
        <v>1084</v>
      </c>
      <c r="B1087" s="470" t="s">
        <v>17</v>
      </c>
      <c r="C1087" s="471" t="s">
        <v>18</v>
      </c>
      <c r="D1087" s="472" t="s">
        <v>19</v>
      </c>
      <c r="E1087" s="448" t="s">
        <v>4085</v>
      </c>
      <c r="F1087" s="448" t="s">
        <v>3026</v>
      </c>
      <c r="G1087" s="473" t="s">
        <v>4006</v>
      </c>
      <c r="H1087" s="439" t="s">
        <v>1460</v>
      </c>
      <c r="I1087" s="474" t="s">
        <v>3457</v>
      </c>
      <c r="J1087" s="474" t="s">
        <v>3464</v>
      </c>
      <c r="K1087" s="443" t="s">
        <v>1431</v>
      </c>
      <c r="L1087" s="471">
        <v>1</v>
      </c>
      <c r="M1087" s="447" t="s">
        <v>1465</v>
      </c>
      <c r="N1087" s="456">
        <v>50000</v>
      </c>
      <c r="O1087" s="475">
        <f t="shared" si="4"/>
        <v>50000</v>
      </c>
      <c r="P1087" s="476"/>
      <c r="Q1087" s="477">
        <v>46023</v>
      </c>
      <c r="R1087" s="476"/>
      <c r="S1087" s="476"/>
    </row>
    <row r="1088" spans="1:19" ht="15.75" customHeight="1" x14ac:dyDescent="0.25">
      <c r="A1088" s="438">
        <v>1085</v>
      </c>
      <c r="B1088" s="470" t="s">
        <v>17</v>
      </c>
      <c r="C1088" s="471" t="s">
        <v>18</v>
      </c>
      <c r="D1088" s="472" t="s">
        <v>19</v>
      </c>
      <c r="E1088" s="448" t="s">
        <v>4085</v>
      </c>
      <c r="F1088" s="448" t="s">
        <v>3026</v>
      </c>
      <c r="G1088" s="473" t="s">
        <v>4006</v>
      </c>
      <c r="H1088" s="439" t="s">
        <v>1460</v>
      </c>
      <c r="I1088" s="474" t="s">
        <v>3457</v>
      </c>
      <c r="J1088" s="474" t="s">
        <v>3464</v>
      </c>
      <c r="K1088" s="443" t="s">
        <v>1431</v>
      </c>
      <c r="L1088" s="471">
        <v>1</v>
      </c>
      <c r="M1088" s="447" t="s">
        <v>1466</v>
      </c>
      <c r="N1088" s="456">
        <v>50000</v>
      </c>
      <c r="O1088" s="475">
        <f t="shared" si="4"/>
        <v>50000</v>
      </c>
      <c r="P1088" s="476"/>
      <c r="Q1088" s="477">
        <v>46023</v>
      </c>
      <c r="R1088" s="476"/>
      <c r="S1088" s="476"/>
    </row>
    <row r="1089" spans="1:19" ht="15.75" customHeight="1" x14ac:dyDescent="0.25">
      <c r="A1089" s="438">
        <v>1086</v>
      </c>
      <c r="B1089" s="470" t="s">
        <v>17</v>
      </c>
      <c r="C1089" s="471" t="s">
        <v>18</v>
      </c>
      <c r="D1089" s="472" t="s">
        <v>19</v>
      </c>
      <c r="E1089" s="448" t="s">
        <v>4080</v>
      </c>
      <c r="F1089" s="448" t="s">
        <v>4080</v>
      </c>
      <c r="G1089" s="473" t="s">
        <v>4006</v>
      </c>
      <c r="H1089" s="439" t="s">
        <v>1467</v>
      </c>
      <c r="I1089" s="474" t="s">
        <v>3457</v>
      </c>
      <c r="J1089" s="474" t="s">
        <v>3464</v>
      </c>
      <c r="K1089" s="443" t="s">
        <v>1431</v>
      </c>
      <c r="L1089" s="471">
        <v>1</v>
      </c>
      <c r="M1089" s="447" t="s">
        <v>1468</v>
      </c>
      <c r="N1089" s="456">
        <v>49500</v>
      </c>
      <c r="O1089" s="475">
        <f t="shared" si="4"/>
        <v>49500</v>
      </c>
      <c r="P1089" s="476"/>
      <c r="Q1089" s="477">
        <v>46023</v>
      </c>
      <c r="R1089" s="476"/>
      <c r="S1089" s="476"/>
    </row>
    <row r="1090" spans="1:19" ht="15.75" customHeight="1" x14ac:dyDescent="0.25">
      <c r="A1090" s="438">
        <v>1087</v>
      </c>
      <c r="B1090" s="470" t="s">
        <v>17</v>
      </c>
      <c r="C1090" s="471" t="s">
        <v>18</v>
      </c>
      <c r="D1090" s="472" t="s">
        <v>19</v>
      </c>
      <c r="E1090" s="465" t="s">
        <v>4080</v>
      </c>
      <c r="F1090" s="448" t="s">
        <v>4080</v>
      </c>
      <c r="G1090" s="473" t="s">
        <v>4008</v>
      </c>
      <c r="H1090" s="439" t="s">
        <v>1469</v>
      </c>
      <c r="I1090" s="474" t="s">
        <v>3457</v>
      </c>
      <c r="J1090" s="474" t="s">
        <v>3464</v>
      </c>
      <c r="K1090" s="443" t="s">
        <v>1449</v>
      </c>
      <c r="L1090" s="471">
        <v>1</v>
      </c>
      <c r="M1090" s="447" t="s">
        <v>1470</v>
      </c>
      <c r="N1090" s="457">
        <v>34500</v>
      </c>
      <c r="O1090" s="475">
        <f t="shared" si="4"/>
        <v>34500</v>
      </c>
      <c r="P1090" s="476"/>
      <c r="Q1090" s="477">
        <v>46023</v>
      </c>
      <c r="R1090" s="476"/>
      <c r="S1090" s="476"/>
    </row>
    <row r="1091" spans="1:19" ht="15.75" customHeight="1" x14ac:dyDescent="0.25">
      <c r="A1091" s="438">
        <v>1088</v>
      </c>
      <c r="B1091" s="470" t="s">
        <v>17</v>
      </c>
      <c r="C1091" s="471" t="s">
        <v>18</v>
      </c>
      <c r="D1091" s="472" t="s">
        <v>19</v>
      </c>
      <c r="E1091" s="465" t="s">
        <v>4080</v>
      </c>
      <c r="F1091" s="448" t="s">
        <v>4080</v>
      </c>
      <c r="G1091" s="473" t="s">
        <v>4008</v>
      </c>
      <c r="H1091" s="439" t="s">
        <v>1471</v>
      </c>
      <c r="I1091" s="474" t="s">
        <v>3457</v>
      </c>
      <c r="J1091" s="474" t="s">
        <v>3464</v>
      </c>
      <c r="K1091" s="443" t="s">
        <v>1449</v>
      </c>
      <c r="L1091" s="471">
        <v>1</v>
      </c>
      <c r="M1091" s="447" t="s">
        <v>1472</v>
      </c>
      <c r="N1091" s="457">
        <v>44999</v>
      </c>
      <c r="O1091" s="475">
        <f t="shared" si="4"/>
        <v>44999</v>
      </c>
      <c r="P1091" s="476"/>
      <c r="Q1091" s="477">
        <v>46023</v>
      </c>
      <c r="R1091" s="476"/>
      <c r="S1091" s="476"/>
    </row>
    <row r="1092" spans="1:19" ht="15.75" customHeight="1" x14ac:dyDescent="0.25">
      <c r="A1092" s="438">
        <v>1089</v>
      </c>
      <c r="B1092" s="470" t="s">
        <v>17</v>
      </c>
      <c r="C1092" s="471" t="s">
        <v>18</v>
      </c>
      <c r="D1092" s="472" t="s">
        <v>19</v>
      </c>
      <c r="E1092" s="448" t="s">
        <v>3047</v>
      </c>
      <c r="F1092" s="448" t="s">
        <v>3047</v>
      </c>
      <c r="G1092" s="473" t="s">
        <v>4009</v>
      </c>
      <c r="H1092" s="439" t="s">
        <v>1473</v>
      </c>
      <c r="I1092" s="474" t="s">
        <v>3457</v>
      </c>
      <c r="J1092" s="474" t="s">
        <v>3464</v>
      </c>
      <c r="K1092" s="443" t="s">
        <v>1474</v>
      </c>
      <c r="L1092" s="471">
        <v>1</v>
      </c>
      <c r="M1092" s="447" t="s">
        <v>1475</v>
      </c>
      <c r="N1092" s="456">
        <v>36300</v>
      </c>
      <c r="O1092" s="475">
        <f t="shared" si="4"/>
        <v>36300</v>
      </c>
      <c r="P1092" s="476"/>
      <c r="Q1092" s="477">
        <v>46023</v>
      </c>
      <c r="R1092" s="476"/>
      <c r="S1092" s="476"/>
    </row>
    <row r="1093" spans="1:19" ht="15.75" customHeight="1" x14ac:dyDescent="0.25">
      <c r="A1093" s="438">
        <v>1090</v>
      </c>
      <c r="B1093" s="470" t="s">
        <v>17</v>
      </c>
      <c r="C1093" s="471" t="s">
        <v>18</v>
      </c>
      <c r="D1093" s="472" t="s">
        <v>19</v>
      </c>
      <c r="E1093" s="465" t="s">
        <v>3047</v>
      </c>
      <c r="F1093" s="448" t="s">
        <v>3047</v>
      </c>
      <c r="G1093" s="473" t="s">
        <v>4009</v>
      </c>
      <c r="H1093" s="439" t="s">
        <v>1473</v>
      </c>
      <c r="I1093" s="474" t="s">
        <v>3457</v>
      </c>
      <c r="J1093" s="474" t="s">
        <v>3464</v>
      </c>
      <c r="K1093" s="443" t="s">
        <v>1474</v>
      </c>
      <c r="L1093" s="471">
        <v>1</v>
      </c>
      <c r="M1093" s="447" t="s">
        <v>1476</v>
      </c>
      <c r="N1093" s="456">
        <v>36300</v>
      </c>
      <c r="O1093" s="475">
        <f t="shared" si="4"/>
        <v>36300</v>
      </c>
      <c r="P1093" s="476"/>
      <c r="Q1093" s="477">
        <v>46023</v>
      </c>
      <c r="R1093" s="476"/>
      <c r="S1093" s="476"/>
    </row>
    <row r="1094" spans="1:19" ht="15.75" customHeight="1" x14ac:dyDescent="0.25">
      <c r="A1094" s="438">
        <v>1091</v>
      </c>
      <c r="B1094" s="470" t="s">
        <v>17</v>
      </c>
      <c r="C1094" s="471" t="s">
        <v>18</v>
      </c>
      <c r="D1094" s="472" t="s">
        <v>19</v>
      </c>
      <c r="E1094" s="448" t="s">
        <v>3047</v>
      </c>
      <c r="F1094" s="448" t="s">
        <v>3047</v>
      </c>
      <c r="G1094" s="473" t="s">
        <v>4009</v>
      </c>
      <c r="H1094" s="439" t="s">
        <v>1473</v>
      </c>
      <c r="I1094" s="474" t="s">
        <v>3457</v>
      </c>
      <c r="J1094" s="474" t="s">
        <v>3464</v>
      </c>
      <c r="K1094" s="443" t="s">
        <v>1474</v>
      </c>
      <c r="L1094" s="471">
        <v>1</v>
      </c>
      <c r="M1094" s="447" t="s">
        <v>1477</v>
      </c>
      <c r="N1094" s="456">
        <v>36300</v>
      </c>
      <c r="O1094" s="475">
        <f t="shared" si="4"/>
        <v>36300</v>
      </c>
      <c r="P1094" s="476"/>
      <c r="Q1094" s="477">
        <v>46023</v>
      </c>
      <c r="R1094" s="476"/>
      <c r="S1094" s="476"/>
    </row>
    <row r="1095" spans="1:19" ht="15.75" customHeight="1" x14ac:dyDescent="0.25">
      <c r="A1095" s="438">
        <v>1092</v>
      </c>
      <c r="B1095" s="470" t="s">
        <v>17</v>
      </c>
      <c r="C1095" s="471" t="s">
        <v>18</v>
      </c>
      <c r="D1095" s="472" t="s">
        <v>19</v>
      </c>
      <c r="E1095" s="448" t="s">
        <v>3047</v>
      </c>
      <c r="F1095" s="448" t="s">
        <v>3047</v>
      </c>
      <c r="G1095" s="473" t="s">
        <v>4009</v>
      </c>
      <c r="H1095" s="439" t="s">
        <v>1473</v>
      </c>
      <c r="I1095" s="474" t="s">
        <v>3457</v>
      </c>
      <c r="J1095" s="474" t="s">
        <v>3464</v>
      </c>
      <c r="K1095" s="443" t="s">
        <v>1474</v>
      </c>
      <c r="L1095" s="471">
        <v>1</v>
      </c>
      <c r="M1095" s="447" t="s">
        <v>1478</v>
      </c>
      <c r="N1095" s="456">
        <v>36300</v>
      </c>
      <c r="O1095" s="475">
        <f t="shared" si="4"/>
        <v>36300</v>
      </c>
      <c r="P1095" s="476"/>
      <c r="Q1095" s="477">
        <v>46023</v>
      </c>
      <c r="R1095" s="476"/>
      <c r="S1095" s="476"/>
    </row>
    <row r="1096" spans="1:19" ht="15.75" customHeight="1" x14ac:dyDescent="0.25">
      <c r="A1096" s="438">
        <v>1093</v>
      </c>
      <c r="B1096" s="470" t="s">
        <v>17</v>
      </c>
      <c r="C1096" s="471" t="s">
        <v>18</v>
      </c>
      <c r="D1096" s="472" t="s">
        <v>19</v>
      </c>
      <c r="E1096" s="448" t="s">
        <v>3047</v>
      </c>
      <c r="F1096" s="448" t="s">
        <v>3047</v>
      </c>
      <c r="G1096" s="473" t="s">
        <v>4009</v>
      </c>
      <c r="H1096" s="439" t="s">
        <v>1473</v>
      </c>
      <c r="I1096" s="474" t="s">
        <v>3457</v>
      </c>
      <c r="J1096" s="474" t="s">
        <v>3464</v>
      </c>
      <c r="K1096" s="443" t="s">
        <v>1474</v>
      </c>
      <c r="L1096" s="471">
        <v>1</v>
      </c>
      <c r="M1096" s="447" t="s">
        <v>1479</v>
      </c>
      <c r="N1096" s="456">
        <v>36300</v>
      </c>
      <c r="O1096" s="475">
        <f t="shared" si="4"/>
        <v>36300</v>
      </c>
      <c r="P1096" s="476"/>
      <c r="Q1096" s="477">
        <v>46023</v>
      </c>
      <c r="R1096" s="476"/>
      <c r="S1096" s="476"/>
    </row>
    <row r="1097" spans="1:19" ht="15.75" customHeight="1" x14ac:dyDescent="0.25">
      <c r="A1097" s="438">
        <v>1094</v>
      </c>
      <c r="B1097" s="470" t="s">
        <v>17</v>
      </c>
      <c r="C1097" s="471" t="s">
        <v>18</v>
      </c>
      <c r="D1097" s="472" t="s">
        <v>19</v>
      </c>
      <c r="E1097" s="448" t="s">
        <v>3047</v>
      </c>
      <c r="F1097" s="448" t="s">
        <v>3047</v>
      </c>
      <c r="G1097" s="473" t="s">
        <v>4009</v>
      </c>
      <c r="H1097" s="439" t="s">
        <v>1473</v>
      </c>
      <c r="I1097" s="474" t="s">
        <v>3457</v>
      </c>
      <c r="J1097" s="474" t="s">
        <v>3464</v>
      </c>
      <c r="K1097" s="443" t="s">
        <v>1474</v>
      </c>
      <c r="L1097" s="471">
        <v>1</v>
      </c>
      <c r="M1097" s="447" t="s">
        <v>1480</v>
      </c>
      <c r="N1097" s="456">
        <v>36300</v>
      </c>
      <c r="O1097" s="475">
        <f t="shared" si="4"/>
        <v>36300</v>
      </c>
      <c r="P1097" s="476"/>
      <c r="Q1097" s="477">
        <v>46023</v>
      </c>
      <c r="R1097" s="476"/>
      <c r="S1097" s="476"/>
    </row>
    <row r="1098" spans="1:19" ht="15.75" customHeight="1" x14ac:dyDescent="0.25">
      <c r="A1098" s="438">
        <v>1095</v>
      </c>
      <c r="B1098" s="470" t="s">
        <v>17</v>
      </c>
      <c r="C1098" s="471" t="s">
        <v>18</v>
      </c>
      <c r="D1098" s="472" t="s">
        <v>19</v>
      </c>
      <c r="E1098" s="448" t="s">
        <v>3047</v>
      </c>
      <c r="F1098" s="448" t="s">
        <v>3047</v>
      </c>
      <c r="G1098" s="473" t="s">
        <v>4009</v>
      </c>
      <c r="H1098" s="439" t="s">
        <v>1473</v>
      </c>
      <c r="I1098" s="474" t="s">
        <v>3457</v>
      </c>
      <c r="J1098" s="474" t="s">
        <v>3464</v>
      </c>
      <c r="K1098" s="443" t="s">
        <v>1474</v>
      </c>
      <c r="L1098" s="471">
        <v>1</v>
      </c>
      <c r="M1098" s="447" t="s">
        <v>1481</v>
      </c>
      <c r="N1098" s="456">
        <v>36300</v>
      </c>
      <c r="O1098" s="475">
        <f t="shared" si="4"/>
        <v>36300</v>
      </c>
      <c r="P1098" s="476"/>
      <c r="Q1098" s="477">
        <v>46023</v>
      </c>
      <c r="R1098" s="476"/>
      <c r="S1098" s="476"/>
    </row>
    <row r="1099" spans="1:19" ht="15.75" customHeight="1" x14ac:dyDescent="0.25">
      <c r="A1099" s="438">
        <v>1096</v>
      </c>
      <c r="B1099" s="470" t="s">
        <v>17</v>
      </c>
      <c r="C1099" s="471" t="s">
        <v>18</v>
      </c>
      <c r="D1099" s="472" t="s">
        <v>19</v>
      </c>
      <c r="E1099" s="448" t="s">
        <v>3047</v>
      </c>
      <c r="F1099" s="448" t="s">
        <v>3047</v>
      </c>
      <c r="G1099" s="473" t="s">
        <v>4009</v>
      </c>
      <c r="H1099" s="439" t="s">
        <v>1473</v>
      </c>
      <c r="I1099" s="474" t="s">
        <v>3457</v>
      </c>
      <c r="J1099" s="474" t="s">
        <v>3464</v>
      </c>
      <c r="K1099" s="443" t="s">
        <v>1474</v>
      </c>
      <c r="L1099" s="471">
        <v>1</v>
      </c>
      <c r="M1099" s="447" t="s">
        <v>1482</v>
      </c>
      <c r="N1099" s="456">
        <v>36300</v>
      </c>
      <c r="O1099" s="475">
        <f t="shared" si="4"/>
        <v>36300</v>
      </c>
      <c r="P1099" s="476"/>
      <c r="Q1099" s="477">
        <v>46023</v>
      </c>
      <c r="R1099" s="476"/>
      <c r="S1099" s="476"/>
    </row>
    <row r="1100" spans="1:19" ht="15.75" customHeight="1" x14ac:dyDescent="0.25">
      <c r="A1100" s="438">
        <v>1097</v>
      </c>
      <c r="B1100" s="470" t="s">
        <v>17</v>
      </c>
      <c r="C1100" s="471" t="s">
        <v>18</v>
      </c>
      <c r="D1100" s="472" t="s">
        <v>19</v>
      </c>
      <c r="E1100" s="448" t="s">
        <v>3047</v>
      </c>
      <c r="F1100" s="448" t="s">
        <v>3047</v>
      </c>
      <c r="G1100" s="473" t="s">
        <v>4009</v>
      </c>
      <c r="H1100" s="439" t="s">
        <v>1473</v>
      </c>
      <c r="I1100" s="474" t="s">
        <v>3457</v>
      </c>
      <c r="J1100" s="474" t="s">
        <v>3464</v>
      </c>
      <c r="K1100" s="443" t="s">
        <v>1474</v>
      </c>
      <c r="L1100" s="471">
        <v>1</v>
      </c>
      <c r="M1100" s="447" t="s">
        <v>1483</v>
      </c>
      <c r="N1100" s="456">
        <v>36300</v>
      </c>
      <c r="O1100" s="475">
        <f t="shared" si="4"/>
        <v>36300</v>
      </c>
      <c r="P1100" s="476"/>
      <c r="Q1100" s="477">
        <v>46023</v>
      </c>
      <c r="R1100" s="476"/>
      <c r="S1100" s="476"/>
    </row>
    <row r="1101" spans="1:19" ht="15.75" customHeight="1" x14ac:dyDescent="0.25">
      <c r="A1101" s="438">
        <v>1098</v>
      </c>
      <c r="B1101" s="470" t="s">
        <v>17</v>
      </c>
      <c r="C1101" s="471" t="s">
        <v>18</v>
      </c>
      <c r="D1101" s="472" t="s">
        <v>19</v>
      </c>
      <c r="E1101" s="448" t="s">
        <v>3047</v>
      </c>
      <c r="F1101" s="448" t="s">
        <v>3047</v>
      </c>
      <c r="G1101" s="473" t="s">
        <v>4009</v>
      </c>
      <c r="H1101" s="439" t="s">
        <v>1473</v>
      </c>
      <c r="I1101" s="474" t="s">
        <v>3457</v>
      </c>
      <c r="J1101" s="474" t="s">
        <v>3464</v>
      </c>
      <c r="K1101" s="443" t="s">
        <v>1474</v>
      </c>
      <c r="L1101" s="471">
        <v>1</v>
      </c>
      <c r="M1101" s="447" t="s">
        <v>1484</v>
      </c>
      <c r="N1101" s="456">
        <v>36300</v>
      </c>
      <c r="O1101" s="475">
        <f t="shared" si="4"/>
        <v>36300</v>
      </c>
      <c r="P1101" s="476"/>
      <c r="Q1101" s="477">
        <v>46023</v>
      </c>
      <c r="R1101" s="476"/>
      <c r="S1101" s="476"/>
    </row>
    <row r="1102" spans="1:19" ht="15.75" customHeight="1" x14ac:dyDescent="0.25">
      <c r="A1102" s="438">
        <v>1099</v>
      </c>
      <c r="B1102" s="470" t="s">
        <v>17</v>
      </c>
      <c r="C1102" s="471" t="s">
        <v>18</v>
      </c>
      <c r="D1102" s="472" t="s">
        <v>19</v>
      </c>
      <c r="E1102" s="448" t="s">
        <v>3047</v>
      </c>
      <c r="F1102" s="448" t="s">
        <v>3047</v>
      </c>
      <c r="G1102" s="473" t="s">
        <v>4009</v>
      </c>
      <c r="H1102" s="439" t="s">
        <v>1473</v>
      </c>
      <c r="I1102" s="474" t="s">
        <v>3457</v>
      </c>
      <c r="J1102" s="474" t="s">
        <v>3464</v>
      </c>
      <c r="K1102" s="443" t="s">
        <v>1474</v>
      </c>
      <c r="L1102" s="471">
        <v>1</v>
      </c>
      <c r="M1102" s="447" t="s">
        <v>1485</v>
      </c>
      <c r="N1102" s="456">
        <v>36300</v>
      </c>
      <c r="O1102" s="475">
        <f t="shared" si="4"/>
        <v>36300</v>
      </c>
      <c r="P1102" s="476"/>
      <c r="Q1102" s="477">
        <v>46023</v>
      </c>
      <c r="R1102" s="476"/>
      <c r="S1102" s="476"/>
    </row>
    <row r="1103" spans="1:19" ht="15.75" customHeight="1" x14ac:dyDescent="0.25">
      <c r="A1103" s="438">
        <v>1100</v>
      </c>
      <c r="B1103" s="470" t="s">
        <v>17</v>
      </c>
      <c r="C1103" s="471" t="s">
        <v>18</v>
      </c>
      <c r="D1103" s="472" t="s">
        <v>19</v>
      </c>
      <c r="E1103" s="448" t="s">
        <v>3047</v>
      </c>
      <c r="F1103" s="448" t="s">
        <v>3047</v>
      </c>
      <c r="G1103" s="473" t="s">
        <v>4009</v>
      </c>
      <c r="H1103" s="439" t="s">
        <v>1473</v>
      </c>
      <c r="I1103" s="474" t="s">
        <v>3457</v>
      </c>
      <c r="J1103" s="474" t="s">
        <v>3464</v>
      </c>
      <c r="K1103" s="443" t="s">
        <v>1474</v>
      </c>
      <c r="L1103" s="471">
        <v>1</v>
      </c>
      <c r="M1103" s="447" t="s">
        <v>1486</v>
      </c>
      <c r="N1103" s="456">
        <v>36300</v>
      </c>
      <c r="O1103" s="475">
        <f t="shared" si="4"/>
        <v>36300</v>
      </c>
      <c r="P1103" s="476"/>
      <c r="Q1103" s="477">
        <v>46023</v>
      </c>
      <c r="R1103" s="476"/>
      <c r="S1103" s="476"/>
    </row>
    <row r="1104" spans="1:19" ht="15.75" customHeight="1" x14ac:dyDescent="0.25">
      <c r="A1104" s="438">
        <v>1101</v>
      </c>
      <c r="B1104" s="470" t="s">
        <v>17</v>
      </c>
      <c r="C1104" s="471" t="s">
        <v>18</v>
      </c>
      <c r="D1104" s="472" t="s">
        <v>19</v>
      </c>
      <c r="E1104" s="448" t="s">
        <v>3047</v>
      </c>
      <c r="F1104" s="448" t="s">
        <v>3047</v>
      </c>
      <c r="G1104" s="473" t="s">
        <v>4009</v>
      </c>
      <c r="H1104" s="439" t="s">
        <v>1473</v>
      </c>
      <c r="I1104" s="474" t="s">
        <v>3457</v>
      </c>
      <c r="J1104" s="474" t="s">
        <v>3464</v>
      </c>
      <c r="K1104" s="443" t="s">
        <v>1474</v>
      </c>
      <c r="L1104" s="471">
        <v>1</v>
      </c>
      <c r="M1104" s="447" t="s">
        <v>1487</v>
      </c>
      <c r="N1104" s="456">
        <v>36300</v>
      </c>
      <c r="O1104" s="475">
        <f t="shared" si="4"/>
        <v>36300</v>
      </c>
      <c r="P1104" s="476"/>
      <c r="Q1104" s="477">
        <v>46023</v>
      </c>
      <c r="R1104" s="476"/>
      <c r="S1104" s="476"/>
    </row>
    <row r="1105" spans="1:19" ht="15.75" customHeight="1" x14ac:dyDescent="0.25">
      <c r="A1105" s="438">
        <v>1102</v>
      </c>
      <c r="B1105" s="470" t="s">
        <v>17</v>
      </c>
      <c r="C1105" s="471" t="s">
        <v>18</v>
      </c>
      <c r="D1105" s="472" t="s">
        <v>19</v>
      </c>
      <c r="E1105" s="448" t="s">
        <v>3047</v>
      </c>
      <c r="F1105" s="448" t="s">
        <v>3047</v>
      </c>
      <c r="G1105" s="473" t="s">
        <v>4009</v>
      </c>
      <c r="H1105" s="439" t="s">
        <v>1473</v>
      </c>
      <c r="I1105" s="474" t="s">
        <v>3457</v>
      </c>
      <c r="J1105" s="474" t="s">
        <v>3464</v>
      </c>
      <c r="K1105" s="443" t="s">
        <v>1474</v>
      </c>
      <c r="L1105" s="471">
        <v>1</v>
      </c>
      <c r="M1105" s="447" t="s">
        <v>1488</v>
      </c>
      <c r="N1105" s="456">
        <v>36300</v>
      </c>
      <c r="O1105" s="475">
        <f t="shared" si="4"/>
        <v>36300</v>
      </c>
      <c r="P1105" s="476"/>
      <c r="Q1105" s="477">
        <v>46023</v>
      </c>
      <c r="R1105" s="476"/>
      <c r="S1105" s="476"/>
    </row>
    <row r="1106" spans="1:19" ht="15.75" customHeight="1" x14ac:dyDescent="0.25">
      <c r="A1106" s="438">
        <v>1103</v>
      </c>
      <c r="B1106" s="470" t="s">
        <v>17</v>
      </c>
      <c r="C1106" s="471" t="s">
        <v>18</v>
      </c>
      <c r="D1106" s="472" t="s">
        <v>19</v>
      </c>
      <c r="E1106" s="448" t="s">
        <v>3047</v>
      </c>
      <c r="F1106" s="448" t="s">
        <v>3047</v>
      </c>
      <c r="G1106" s="473" t="s">
        <v>4009</v>
      </c>
      <c r="H1106" s="439" t="s">
        <v>1473</v>
      </c>
      <c r="I1106" s="474" t="s">
        <v>3457</v>
      </c>
      <c r="J1106" s="474" t="s">
        <v>3464</v>
      </c>
      <c r="K1106" s="443" t="s">
        <v>1474</v>
      </c>
      <c r="L1106" s="471">
        <v>1</v>
      </c>
      <c r="M1106" s="447" t="s">
        <v>1489</v>
      </c>
      <c r="N1106" s="456">
        <v>36300</v>
      </c>
      <c r="O1106" s="475">
        <f t="shared" si="4"/>
        <v>36300</v>
      </c>
      <c r="P1106" s="476"/>
      <c r="Q1106" s="477">
        <v>46023</v>
      </c>
      <c r="R1106" s="476"/>
      <c r="S1106" s="476"/>
    </row>
    <row r="1107" spans="1:19" ht="15.75" customHeight="1" x14ac:dyDescent="0.25">
      <c r="A1107" s="438">
        <v>1104</v>
      </c>
      <c r="B1107" s="470" t="s">
        <v>17</v>
      </c>
      <c r="C1107" s="471" t="s">
        <v>18</v>
      </c>
      <c r="D1107" s="472" t="s">
        <v>19</v>
      </c>
      <c r="E1107" s="448" t="s">
        <v>3047</v>
      </c>
      <c r="F1107" s="448" t="s">
        <v>3047</v>
      </c>
      <c r="G1107" s="473" t="s">
        <v>4009</v>
      </c>
      <c r="H1107" s="439" t="s">
        <v>1473</v>
      </c>
      <c r="I1107" s="474" t="s">
        <v>3457</v>
      </c>
      <c r="J1107" s="474" t="s">
        <v>3464</v>
      </c>
      <c r="K1107" s="443" t="s">
        <v>1474</v>
      </c>
      <c r="L1107" s="471">
        <v>1</v>
      </c>
      <c r="M1107" s="447" t="s">
        <v>1490</v>
      </c>
      <c r="N1107" s="456">
        <v>36300</v>
      </c>
      <c r="O1107" s="475">
        <f t="shared" si="4"/>
        <v>36300</v>
      </c>
      <c r="P1107" s="476"/>
      <c r="Q1107" s="477">
        <v>46023</v>
      </c>
      <c r="R1107" s="476"/>
      <c r="S1107" s="476"/>
    </row>
    <row r="1108" spans="1:19" ht="15.75" customHeight="1" x14ac:dyDescent="0.25">
      <c r="A1108" s="438">
        <v>1105</v>
      </c>
      <c r="B1108" s="470" t="s">
        <v>17</v>
      </c>
      <c r="C1108" s="471" t="s">
        <v>18</v>
      </c>
      <c r="D1108" s="472" t="s">
        <v>19</v>
      </c>
      <c r="E1108" s="448" t="s">
        <v>3047</v>
      </c>
      <c r="F1108" s="448" t="s">
        <v>3047</v>
      </c>
      <c r="G1108" s="473" t="s">
        <v>4009</v>
      </c>
      <c r="H1108" s="439" t="s">
        <v>1473</v>
      </c>
      <c r="I1108" s="474" t="s">
        <v>3457</v>
      </c>
      <c r="J1108" s="474" t="s">
        <v>3464</v>
      </c>
      <c r="K1108" s="443" t="s">
        <v>1474</v>
      </c>
      <c r="L1108" s="471">
        <v>1</v>
      </c>
      <c r="M1108" s="447" t="s">
        <v>1491</v>
      </c>
      <c r="N1108" s="456">
        <v>36300</v>
      </c>
      <c r="O1108" s="475">
        <f t="shared" si="4"/>
        <v>36300</v>
      </c>
      <c r="P1108" s="476"/>
      <c r="Q1108" s="477">
        <v>46023</v>
      </c>
      <c r="R1108" s="476"/>
      <c r="S1108" s="476"/>
    </row>
    <row r="1109" spans="1:19" ht="15.75" customHeight="1" x14ac:dyDescent="0.25">
      <c r="A1109" s="438">
        <v>1106</v>
      </c>
      <c r="B1109" s="470" t="s">
        <v>17</v>
      </c>
      <c r="C1109" s="471" t="s">
        <v>18</v>
      </c>
      <c r="D1109" s="472" t="s">
        <v>19</v>
      </c>
      <c r="E1109" s="448" t="s">
        <v>3047</v>
      </c>
      <c r="F1109" s="448" t="s">
        <v>3047</v>
      </c>
      <c r="G1109" s="473" t="s">
        <v>4009</v>
      </c>
      <c r="H1109" s="439" t="s">
        <v>1473</v>
      </c>
      <c r="I1109" s="474" t="s">
        <v>3457</v>
      </c>
      <c r="J1109" s="474" t="s">
        <v>3464</v>
      </c>
      <c r="K1109" s="443" t="s">
        <v>1474</v>
      </c>
      <c r="L1109" s="471">
        <v>1</v>
      </c>
      <c r="M1109" s="447" t="s">
        <v>1492</v>
      </c>
      <c r="N1109" s="456">
        <v>36300</v>
      </c>
      <c r="O1109" s="475">
        <f t="shared" si="4"/>
        <v>36300</v>
      </c>
      <c r="P1109" s="476"/>
      <c r="Q1109" s="477">
        <v>46023</v>
      </c>
      <c r="R1109" s="476"/>
      <c r="S1109" s="476"/>
    </row>
    <row r="1110" spans="1:19" ht="15.75" customHeight="1" x14ac:dyDescent="0.25">
      <c r="A1110" s="438">
        <v>1107</v>
      </c>
      <c r="B1110" s="470" t="s">
        <v>17</v>
      </c>
      <c r="C1110" s="471" t="s">
        <v>18</v>
      </c>
      <c r="D1110" s="472" t="s">
        <v>19</v>
      </c>
      <c r="E1110" s="448" t="s">
        <v>3047</v>
      </c>
      <c r="F1110" s="448" t="s">
        <v>3026</v>
      </c>
      <c r="G1110" s="473" t="s">
        <v>4009</v>
      </c>
      <c r="H1110" s="439" t="s">
        <v>1493</v>
      </c>
      <c r="I1110" s="474" t="s">
        <v>3457</v>
      </c>
      <c r="J1110" s="474" t="s">
        <v>3464</v>
      </c>
      <c r="K1110" s="443" t="s">
        <v>1474</v>
      </c>
      <c r="L1110" s="471">
        <v>1</v>
      </c>
      <c r="M1110" s="447" t="s">
        <v>1494</v>
      </c>
      <c r="N1110" s="456">
        <v>60000</v>
      </c>
      <c r="O1110" s="475">
        <f t="shared" si="4"/>
        <v>60000</v>
      </c>
      <c r="P1110" s="476"/>
      <c r="Q1110" s="477">
        <v>46023</v>
      </c>
      <c r="R1110" s="476"/>
      <c r="S1110" s="476"/>
    </row>
    <row r="1111" spans="1:19" ht="15.75" customHeight="1" x14ac:dyDescent="0.25">
      <c r="A1111" s="438">
        <v>1108</v>
      </c>
      <c r="B1111" s="470" t="s">
        <v>17</v>
      </c>
      <c r="C1111" s="471" t="s">
        <v>18</v>
      </c>
      <c r="D1111" s="472" t="s">
        <v>19</v>
      </c>
      <c r="E1111" s="465" t="s">
        <v>4080</v>
      </c>
      <c r="F1111" s="448" t="s">
        <v>4080</v>
      </c>
      <c r="G1111" s="473" t="s">
        <v>4010</v>
      </c>
      <c r="H1111" s="439" t="s">
        <v>1495</v>
      </c>
      <c r="I1111" s="474" t="s">
        <v>3457</v>
      </c>
      <c r="J1111" s="474" t="s">
        <v>3464</v>
      </c>
      <c r="K1111" s="443" t="s">
        <v>1496</v>
      </c>
      <c r="L1111" s="471">
        <v>1</v>
      </c>
      <c r="M1111" s="447" t="s">
        <v>1497</v>
      </c>
      <c r="N1111" s="456">
        <v>68000</v>
      </c>
      <c r="O1111" s="475">
        <f t="shared" si="4"/>
        <v>68000</v>
      </c>
      <c r="P1111" s="476"/>
      <c r="Q1111" s="477">
        <v>46023</v>
      </c>
      <c r="R1111" s="476"/>
      <c r="S1111" s="476"/>
    </row>
    <row r="1112" spans="1:19" ht="15.75" customHeight="1" x14ac:dyDescent="0.25">
      <c r="A1112" s="438">
        <v>1109</v>
      </c>
      <c r="B1112" s="470" t="s">
        <v>17</v>
      </c>
      <c r="C1112" s="471" t="s">
        <v>18</v>
      </c>
      <c r="D1112" s="472" t="s">
        <v>19</v>
      </c>
      <c r="E1112" s="465" t="s">
        <v>4088</v>
      </c>
      <c r="F1112" s="448" t="s">
        <v>3025</v>
      </c>
      <c r="G1112" s="473" t="s">
        <v>4010</v>
      </c>
      <c r="H1112" s="439" t="s">
        <v>1495</v>
      </c>
      <c r="I1112" s="474" t="s">
        <v>3457</v>
      </c>
      <c r="J1112" s="474" t="s">
        <v>3464</v>
      </c>
      <c r="K1112" s="443" t="s">
        <v>1496</v>
      </c>
      <c r="L1112" s="471">
        <v>1</v>
      </c>
      <c r="M1112" s="447" t="s">
        <v>1498</v>
      </c>
      <c r="N1112" s="456">
        <v>68000</v>
      </c>
      <c r="O1112" s="475">
        <f t="shared" si="4"/>
        <v>68000</v>
      </c>
      <c r="P1112" s="476"/>
      <c r="Q1112" s="477">
        <v>46023</v>
      </c>
      <c r="R1112" s="476"/>
      <c r="S1112" s="476"/>
    </row>
    <row r="1113" spans="1:19" ht="15.75" customHeight="1" x14ac:dyDescent="0.25">
      <c r="A1113" s="438">
        <v>1110</v>
      </c>
      <c r="B1113" s="470" t="s">
        <v>17</v>
      </c>
      <c r="C1113" s="471" t="s">
        <v>18</v>
      </c>
      <c r="D1113" s="472" t="s">
        <v>19</v>
      </c>
      <c r="E1113" s="448" t="s">
        <v>4088</v>
      </c>
      <c r="F1113" s="448" t="s">
        <v>3025</v>
      </c>
      <c r="G1113" s="473" t="s">
        <v>4010</v>
      </c>
      <c r="H1113" s="439" t="s">
        <v>1495</v>
      </c>
      <c r="I1113" s="474" t="s">
        <v>3457</v>
      </c>
      <c r="J1113" s="474" t="s">
        <v>3464</v>
      </c>
      <c r="K1113" s="443" t="s">
        <v>1496</v>
      </c>
      <c r="L1113" s="471">
        <v>1</v>
      </c>
      <c r="M1113" s="447" t="s">
        <v>1499</v>
      </c>
      <c r="N1113" s="456">
        <v>68000</v>
      </c>
      <c r="O1113" s="475">
        <f t="shared" si="4"/>
        <v>68000</v>
      </c>
      <c r="P1113" s="476"/>
      <c r="Q1113" s="477">
        <v>46023</v>
      </c>
      <c r="R1113" s="476"/>
      <c r="S1113" s="476"/>
    </row>
    <row r="1114" spans="1:19" ht="15.75" customHeight="1" x14ac:dyDescent="0.25">
      <c r="A1114" s="438">
        <v>1111</v>
      </c>
      <c r="B1114" s="470" t="s">
        <v>17</v>
      </c>
      <c r="C1114" s="471" t="s">
        <v>18</v>
      </c>
      <c r="D1114" s="472" t="s">
        <v>19</v>
      </c>
      <c r="E1114" s="448" t="s">
        <v>4083</v>
      </c>
      <c r="F1114" s="448" t="s">
        <v>2988</v>
      </c>
      <c r="G1114" s="473" t="s">
        <v>4010</v>
      </c>
      <c r="H1114" s="439" t="s">
        <v>1495</v>
      </c>
      <c r="I1114" s="474" t="s">
        <v>3457</v>
      </c>
      <c r="J1114" s="474" t="s">
        <v>3464</v>
      </c>
      <c r="K1114" s="443" t="s">
        <v>1496</v>
      </c>
      <c r="L1114" s="471">
        <v>1</v>
      </c>
      <c r="M1114" s="447" t="s">
        <v>1500</v>
      </c>
      <c r="N1114" s="456">
        <v>68000</v>
      </c>
      <c r="O1114" s="475">
        <f t="shared" si="4"/>
        <v>68000</v>
      </c>
      <c r="P1114" s="476"/>
      <c r="Q1114" s="477">
        <v>46023</v>
      </c>
      <c r="R1114" s="476"/>
      <c r="S1114" s="476"/>
    </row>
    <row r="1115" spans="1:19" ht="15.75" customHeight="1" x14ac:dyDescent="0.25">
      <c r="A1115" s="438">
        <v>1112</v>
      </c>
      <c r="B1115" s="470" t="s">
        <v>17</v>
      </c>
      <c r="C1115" s="471" t="s">
        <v>18</v>
      </c>
      <c r="D1115" s="472" t="s">
        <v>19</v>
      </c>
      <c r="E1115" s="448" t="s">
        <v>4083</v>
      </c>
      <c r="F1115" s="448" t="s">
        <v>2988</v>
      </c>
      <c r="G1115" s="473" t="s">
        <v>4010</v>
      </c>
      <c r="H1115" s="439" t="s">
        <v>1495</v>
      </c>
      <c r="I1115" s="474" t="s">
        <v>3457</v>
      </c>
      <c r="J1115" s="474" t="s">
        <v>3464</v>
      </c>
      <c r="K1115" s="443" t="s">
        <v>1496</v>
      </c>
      <c r="L1115" s="471">
        <v>1</v>
      </c>
      <c r="M1115" s="447" t="s">
        <v>1501</v>
      </c>
      <c r="N1115" s="456">
        <v>68000</v>
      </c>
      <c r="O1115" s="475">
        <f t="shared" si="4"/>
        <v>68000</v>
      </c>
      <c r="P1115" s="476"/>
      <c r="Q1115" s="477">
        <v>46023</v>
      </c>
      <c r="R1115" s="476"/>
      <c r="S1115" s="476"/>
    </row>
    <row r="1116" spans="1:19" ht="15.75" customHeight="1" x14ac:dyDescent="0.25">
      <c r="A1116" s="438">
        <v>1113</v>
      </c>
      <c r="B1116" s="470" t="s">
        <v>17</v>
      </c>
      <c r="C1116" s="471" t="s">
        <v>18</v>
      </c>
      <c r="D1116" s="472" t="s">
        <v>19</v>
      </c>
      <c r="E1116" s="448" t="s">
        <v>4083</v>
      </c>
      <c r="F1116" s="448" t="s">
        <v>3049</v>
      </c>
      <c r="G1116" s="473" t="s">
        <v>4010</v>
      </c>
      <c r="H1116" s="439" t="s">
        <v>1495</v>
      </c>
      <c r="I1116" s="474" t="s">
        <v>3457</v>
      </c>
      <c r="J1116" s="474" t="s">
        <v>3464</v>
      </c>
      <c r="K1116" s="443" t="s">
        <v>1496</v>
      </c>
      <c r="L1116" s="471">
        <v>1</v>
      </c>
      <c r="M1116" s="447" t="s">
        <v>1502</v>
      </c>
      <c r="N1116" s="456">
        <v>68000</v>
      </c>
      <c r="O1116" s="475">
        <f t="shared" si="4"/>
        <v>68000</v>
      </c>
      <c r="P1116" s="476"/>
      <c r="Q1116" s="477">
        <v>46023</v>
      </c>
      <c r="R1116" s="476"/>
      <c r="S1116" s="476"/>
    </row>
    <row r="1117" spans="1:19" ht="15.75" customHeight="1" x14ac:dyDescent="0.25">
      <c r="A1117" s="438">
        <v>1114</v>
      </c>
      <c r="B1117" s="470" t="s">
        <v>17</v>
      </c>
      <c r="C1117" s="471" t="s">
        <v>18</v>
      </c>
      <c r="D1117" s="472" t="s">
        <v>19</v>
      </c>
      <c r="E1117" s="448" t="s">
        <v>4083</v>
      </c>
      <c r="F1117" s="448" t="s">
        <v>2988</v>
      </c>
      <c r="G1117" s="473" t="s">
        <v>4011</v>
      </c>
      <c r="H1117" s="439" t="s">
        <v>1503</v>
      </c>
      <c r="I1117" s="474" t="s">
        <v>3457</v>
      </c>
      <c r="J1117" s="474" t="s">
        <v>3464</v>
      </c>
      <c r="K1117" s="443" t="s">
        <v>1504</v>
      </c>
      <c r="L1117" s="471">
        <v>1</v>
      </c>
      <c r="M1117" s="447" t="s">
        <v>1505</v>
      </c>
      <c r="N1117" s="456">
        <v>24000</v>
      </c>
      <c r="O1117" s="475">
        <f t="shared" si="4"/>
        <v>24000</v>
      </c>
      <c r="P1117" s="476"/>
      <c r="Q1117" s="477">
        <v>46023</v>
      </c>
      <c r="R1117" s="476"/>
      <c r="S1117" s="476"/>
    </row>
    <row r="1118" spans="1:19" ht="15.75" customHeight="1" x14ac:dyDescent="0.25">
      <c r="A1118" s="438">
        <v>1115</v>
      </c>
      <c r="B1118" s="470" t="s">
        <v>17</v>
      </c>
      <c r="C1118" s="471" t="s">
        <v>18</v>
      </c>
      <c r="D1118" s="472" t="s">
        <v>19</v>
      </c>
      <c r="E1118" s="448" t="s">
        <v>4083</v>
      </c>
      <c r="F1118" s="448" t="s">
        <v>2988</v>
      </c>
      <c r="G1118" s="473" t="s">
        <v>4011</v>
      </c>
      <c r="H1118" s="439" t="s">
        <v>1503</v>
      </c>
      <c r="I1118" s="474" t="s">
        <v>3457</v>
      </c>
      <c r="J1118" s="474" t="s">
        <v>3464</v>
      </c>
      <c r="K1118" s="443" t="s">
        <v>1504</v>
      </c>
      <c r="L1118" s="471">
        <v>1</v>
      </c>
      <c r="M1118" s="447" t="s">
        <v>1506</v>
      </c>
      <c r="N1118" s="456">
        <v>24000</v>
      </c>
      <c r="O1118" s="475">
        <f t="shared" si="4"/>
        <v>24000</v>
      </c>
      <c r="P1118" s="476"/>
      <c r="Q1118" s="477">
        <v>46023</v>
      </c>
      <c r="R1118" s="476"/>
      <c r="S1118" s="476"/>
    </row>
    <row r="1119" spans="1:19" ht="15.75" customHeight="1" x14ac:dyDescent="0.25">
      <c r="A1119" s="438">
        <v>1116</v>
      </c>
      <c r="B1119" s="470" t="s">
        <v>17</v>
      </c>
      <c r="C1119" s="471" t="s">
        <v>18</v>
      </c>
      <c r="D1119" s="472" t="s">
        <v>19</v>
      </c>
      <c r="E1119" s="448" t="s">
        <v>4083</v>
      </c>
      <c r="F1119" s="448" t="s">
        <v>2988</v>
      </c>
      <c r="G1119" s="473" t="s">
        <v>4011</v>
      </c>
      <c r="H1119" s="439" t="s">
        <v>1503</v>
      </c>
      <c r="I1119" s="474" t="s">
        <v>3457</v>
      </c>
      <c r="J1119" s="474" t="s">
        <v>3464</v>
      </c>
      <c r="K1119" s="443" t="s">
        <v>1504</v>
      </c>
      <c r="L1119" s="471">
        <v>1</v>
      </c>
      <c r="M1119" s="447" t="s">
        <v>1507</v>
      </c>
      <c r="N1119" s="456">
        <v>24000</v>
      </c>
      <c r="O1119" s="475">
        <f t="shared" si="4"/>
        <v>24000</v>
      </c>
      <c r="P1119" s="476"/>
      <c r="Q1119" s="477">
        <v>46023</v>
      </c>
      <c r="R1119" s="476"/>
      <c r="S1119" s="476"/>
    </row>
    <row r="1120" spans="1:19" ht="15.75" customHeight="1" x14ac:dyDescent="0.25">
      <c r="A1120" s="438">
        <v>1117</v>
      </c>
      <c r="B1120" s="470" t="s">
        <v>17</v>
      </c>
      <c r="C1120" s="471" t="s">
        <v>18</v>
      </c>
      <c r="D1120" s="472" t="s">
        <v>19</v>
      </c>
      <c r="E1120" s="448" t="s">
        <v>4083</v>
      </c>
      <c r="F1120" s="448" t="s">
        <v>2988</v>
      </c>
      <c r="G1120" s="473" t="s">
        <v>4011</v>
      </c>
      <c r="H1120" s="439" t="s">
        <v>1503</v>
      </c>
      <c r="I1120" s="474" t="s">
        <v>3457</v>
      </c>
      <c r="J1120" s="474" t="s">
        <v>3464</v>
      </c>
      <c r="K1120" s="443" t="s">
        <v>1504</v>
      </c>
      <c r="L1120" s="471">
        <v>1</v>
      </c>
      <c r="M1120" s="447" t="s">
        <v>1508</v>
      </c>
      <c r="N1120" s="456">
        <v>24000</v>
      </c>
      <c r="O1120" s="475">
        <f t="shared" si="4"/>
        <v>24000</v>
      </c>
      <c r="P1120" s="476"/>
      <c r="Q1120" s="477">
        <v>46023</v>
      </c>
      <c r="R1120" s="476"/>
      <c r="S1120" s="476"/>
    </row>
    <row r="1121" spans="1:19" ht="15.75" customHeight="1" x14ac:dyDescent="0.25">
      <c r="A1121" s="438">
        <v>1118</v>
      </c>
      <c r="B1121" s="470" t="s">
        <v>17</v>
      </c>
      <c r="C1121" s="471" t="s">
        <v>18</v>
      </c>
      <c r="D1121" s="472" t="s">
        <v>19</v>
      </c>
      <c r="E1121" s="448" t="s">
        <v>4083</v>
      </c>
      <c r="F1121" s="448" t="s">
        <v>2988</v>
      </c>
      <c r="G1121" s="473" t="s">
        <v>4011</v>
      </c>
      <c r="H1121" s="439" t="s">
        <v>1503</v>
      </c>
      <c r="I1121" s="474" t="s">
        <v>3457</v>
      </c>
      <c r="J1121" s="474" t="s">
        <v>3464</v>
      </c>
      <c r="K1121" s="443" t="s">
        <v>1504</v>
      </c>
      <c r="L1121" s="471">
        <v>1</v>
      </c>
      <c r="M1121" s="447" t="s">
        <v>1509</v>
      </c>
      <c r="N1121" s="456">
        <v>24000</v>
      </c>
      <c r="O1121" s="475">
        <f t="shared" si="4"/>
        <v>24000</v>
      </c>
      <c r="P1121" s="476"/>
      <c r="Q1121" s="477">
        <v>46023</v>
      </c>
      <c r="R1121" s="476"/>
      <c r="S1121" s="476"/>
    </row>
    <row r="1122" spans="1:19" ht="15.75" customHeight="1" x14ac:dyDescent="0.25">
      <c r="A1122" s="438">
        <v>1119</v>
      </c>
      <c r="B1122" s="470" t="s">
        <v>17</v>
      </c>
      <c r="C1122" s="471" t="s">
        <v>18</v>
      </c>
      <c r="D1122" s="472" t="s">
        <v>19</v>
      </c>
      <c r="E1122" s="448" t="s">
        <v>4083</v>
      </c>
      <c r="F1122" s="448" t="s">
        <v>2988</v>
      </c>
      <c r="G1122" s="473" t="s">
        <v>4011</v>
      </c>
      <c r="H1122" s="439" t="s">
        <v>1503</v>
      </c>
      <c r="I1122" s="474" t="s">
        <v>3457</v>
      </c>
      <c r="J1122" s="474" t="s">
        <v>3464</v>
      </c>
      <c r="K1122" s="443" t="s">
        <v>1504</v>
      </c>
      <c r="L1122" s="471">
        <v>1</v>
      </c>
      <c r="M1122" s="447" t="s">
        <v>1510</v>
      </c>
      <c r="N1122" s="456">
        <v>24000</v>
      </c>
      <c r="O1122" s="475">
        <f t="shared" si="4"/>
        <v>24000</v>
      </c>
      <c r="P1122" s="476"/>
      <c r="Q1122" s="477">
        <v>46023</v>
      </c>
      <c r="R1122" s="476"/>
      <c r="S1122" s="476"/>
    </row>
    <row r="1123" spans="1:19" ht="15.75" customHeight="1" x14ac:dyDescent="0.25">
      <c r="A1123" s="438">
        <v>1120</v>
      </c>
      <c r="B1123" s="470" t="s">
        <v>17</v>
      </c>
      <c r="C1123" s="471" t="s">
        <v>18</v>
      </c>
      <c r="D1123" s="472" t="s">
        <v>19</v>
      </c>
      <c r="E1123" s="448" t="s">
        <v>4083</v>
      </c>
      <c r="F1123" s="448" t="s">
        <v>2988</v>
      </c>
      <c r="G1123" s="473" t="s">
        <v>4011</v>
      </c>
      <c r="H1123" s="439" t="s">
        <v>1503</v>
      </c>
      <c r="I1123" s="474" t="s">
        <v>3457</v>
      </c>
      <c r="J1123" s="474" t="s">
        <v>3464</v>
      </c>
      <c r="K1123" s="443" t="s">
        <v>1504</v>
      </c>
      <c r="L1123" s="471">
        <v>1</v>
      </c>
      <c r="M1123" s="447" t="s">
        <v>1511</v>
      </c>
      <c r="N1123" s="456">
        <v>24000</v>
      </c>
      <c r="O1123" s="475">
        <f t="shared" si="4"/>
        <v>24000</v>
      </c>
      <c r="P1123" s="476"/>
      <c r="Q1123" s="477">
        <v>46023</v>
      </c>
      <c r="R1123" s="476"/>
      <c r="S1123" s="476"/>
    </row>
    <row r="1124" spans="1:19" ht="15.75" customHeight="1" x14ac:dyDescent="0.25">
      <c r="A1124" s="438">
        <v>1121</v>
      </c>
      <c r="B1124" s="470" t="s">
        <v>17</v>
      </c>
      <c r="C1124" s="471" t="s">
        <v>18</v>
      </c>
      <c r="D1124" s="472" t="s">
        <v>19</v>
      </c>
      <c r="E1124" s="448" t="s">
        <v>4083</v>
      </c>
      <c r="F1124" s="448" t="s">
        <v>2988</v>
      </c>
      <c r="G1124" s="473" t="s">
        <v>4011</v>
      </c>
      <c r="H1124" s="439" t="s">
        <v>1503</v>
      </c>
      <c r="I1124" s="474" t="s">
        <v>3457</v>
      </c>
      <c r="J1124" s="474" t="s">
        <v>3464</v>
      </c>
      <c r="K1124" s="443" t="s">
        <v>1504</v>
      </c>
      <c r="L1124" s="471">
        <v>1</v>
      </c>
      <c r="M1124" s="447" t="s">
        <v>1512</v>
      </c>
      <c r="N1124" s="456">
        <v>24000</v>
      </c>
      <c r="O1124" s="475">
        <f t="shared" si="4"/>
        <v>24000</v>
      </c>
      <c r="P1124" s="476"/>
      <c r="Q1124" s="477">
        <v>46023</v>
      </c>
      <c r="R1124" s="476"/>
      <c r="S1124" s="476"/>
    </row>
    <row r="1125" spans="1:19" ht="15.75" customHeight="1" x14ac:dyDescent="0.25">
      <c r="A1125" s="438">
        <v>1122</v>
      </c>
      <c r="B1125" s="470" t="s">
        <v>17</v>
      </c>
      <c r="C1125" s="471" t="s">
        <v>18</v>
      </c>
      <c r="D1125" s="472" t="s">
        <v>19</v>
      </c>
      <c r="E1125" s="448" t="s">
        <v>4083</v>
      </c>
      <c r="F1125" s="448" t="s">
        <v>2988</v>
      </c>
      <c r="G1125" s="473" t="s">
        <v>4011</v>
      </c>
      <c r="H1125" s="439" t="s">
        <v>1503</v>
      </c>
      <c r="I1125" s="474" t="s">
        <v>3457</v>
      </c>
      <c r="J1125" s="474" t="s">
        <v>3464</v>
      </c>
      <c r="K1125" s="443" t="s">
        <v>1504</v>
      </c>
      <c r="L1125" s="471">
        <v>1</v>
      </c>
      <c r="M1125" s="447" t="s">
        <v>1513</v>
      </c>
      <c r="N1125" s="456">
        <v>24000</v>
      </c>
      <c r="O1125" s="475">
        <f t="shared" si="4"/>
        <v>24000</v>
      </c>
      <c r="P1125" s="476"/>
      <c r="Q1125" s="477">
        <v>46023</v>
      </c>
      <c r="R1125" s="476"/>
      <c r="S1125" s="476"/>
    </row>
    <row r="1126" spans="1:19" ht="15.75" customHeight="1" x14ac:dyDescent="0.25">
      <c r="A1126" s="438">
        <v>1123</v>
      </c>
      <c r="B1126" s="470" t="s">
        <v>17</v>
      </c>
      <c r="C1126" s="471" t="s">
        <v>18</v>
      </c>
      <c r="D1126" s="472" t="s">
        <v>19</v>
      </c>
      <c r="E1126" s="448" t="s">
        <v>4083</v>
      </c>
      <c r="F1126" s="448" t="s">
        <v>2988</v>
      </c>
      <c r="G1126" s="473" t="s">
        <v>4011</v>
      </c>
      <c r="H1126" s="439" t="s">
        <v>1503</v>
      </c>
      <c r="I1126" s="474" t="s">
        <v>3457</v>
      </c>
      <c r="J1126" s="474" t="s">
        <v>3464</v>
      </c>
      <c r="K1126" s="443" t="s">
        <v>1504</v>
      </c>
      <c r="L1126" s="471">
        <v>1</v>
      </c>
      <c r="M1126" s="447" t="s">
        <v>1514</v>
      </c>
      <c r="N1126" s="456">
        <v>24000</v>
      </c>
      <c r="O1126" s="475">
        <f t="shared" si="4"/>
        <v>24000</v>
      </c>
      <c r="P1126" s="476"/>
      <c r="Q1126" s="477">
        <v>46023</v>
      </c>
      <c r="R1126" s="476"/>
      <c r="S1126" s="476"/>
    </row>
    <row r="1127" spans="1:19" ht="15.75" customHeight="1" x14ac:dyDescent="0.25">
      <c r="A1127" s="438">
        <v>1124</v>
      </c>
      <c r="B1127" s="470" t="s">
        <v>17</v>
      </c>
      <c r="C1127" s="471" t="s">
        <v>18</v>
      </c>
      <c r="D1127" s="472" t="s">
        <v>19</v>
      </c>
      <c r="E1127" s="448" t="s">
        <v>4083</v>
      </c>
      <c r="F1127" s="448" t="s">
        <v>2988</v>
      </c>
      <c r="G1127" s="473" t="s">
        <v>4011</v>
      </c>
      <c r="H1127" s="439" t="s">
        <v>1503</v>
      </c>
      <c r="I1127" s="474" t="s">
        <v>3457</v>
      </c>
      <c r="J1127" s="474" t="s">
        <v>3464</v>
      </c>
      <c r="K1127" s="443" t="s">
        <v>1504</v>
      </c>
      <c r="L1127" s="471">
        <v>1</v>
      </c>
      <c r="M1127" s="447" t="s">
        <v>1515</v>
      </c>
      <c r="N1127" s="456">
        <v>24000</v>
      </c>
      <c r="O1127" s="475">
        <f t="shared" si="4"/>
        <v>24000</v>
      </c>
      <c r="P1127" s="476"/>
      <c r="Q1127" s="477">
        <v>46023</v>
      </c>
      <c r="R1127" s="476"/>
      <c r="S1127" s="476"/>
    </row>
    <row r="1128" spans="1:19" ht="15.75" customHeight="1" x14ac:dyDescent="0.25">
      <c r="A1128" s="438">
        <v>1125</v>
      </c>
      <c r="B1128" s="470" t="s">
        <v>17</v>
      </c>
      <c r="C1128" s="471" t="s">
        <v>18</v>
      </c>
      <c r="D1128" s="472" t="s">
        <v>19</v>
      </c>
      <c r="E1128" s="448" t="s">
        <v>4083</v>
      </c>
      <c r="F1128" s="448" t="s">
        <v>2988</v>
      </c>
      <c r="G1128" s="473" t="s">
        <v>4011</v>
      </c>
      <c r="H1128" s="439" t="s">
        <v>1503</v>
      </c>
      <c r="I1128" s="474" t="s">
        <v>3457</v>
      </c>
      <c r="J1128" s="474" t="s">
        <v>3464</v>
      </c>
      <c r="K1128" s="443" t="s">
        <v>1504</v>
      </c>
      <c r="L1128" s="471">
        <v>1</v>
      </c>
      <c r="M1128" s="447" t="s">
        <v>1516</v>
      </c>
      <c r="N1128" s="456">
        <v>24000</v>
      </c>
      <c r="O1128" s="475">
        <f t="shared" si="4"/>
        <v>24000</v>
      </c>
      <c r="P1128" s="476"/>
      <c r="Q1128" s="477">
        <v>46023</v>
      </c>
      <c r="R1128" s="476"/>
      <c r="S1128" s="476"/>
    </row>
    <row r="1129" spans="1:19" ht="15.75" customHeight="1" x14ac:dyDescent="0.25">
      <c r="A1129" s="438">
        <v>1126</v>
      </c>
      <c r="B1129" s="470" t="s">
        <v>17</v>
      </c>
      <c r="C1129" s="471" t="s">
        <v>18</v>
      </c>
      <c r="D1129" s="472" t="s">
        <v>19</v>
      </c>
      <c r="E1129" s="448" t="s">
        <v>4083</v>
      </c>
      <c r="F1129" s="448" t="s">
        <v>2988</v>
      </c>
      <c r="G1129" s="473" t="s">
        <v>4011</v>
      </c>
      <c r="H1129" s="439" t="s">
        <v>1503</v>
      </c>
      <c r="I1129" s="474" t="s">
        <v>3457</v>
      </c>
      <c r="J1129" s="474" t="s">
        <v>3464</v>
      </c>
      <c r="K1129" s="443" t="s">
        <v>1504</v>
      </c>
      <c r="L1129" s="471">
        <v>1</v>
      </c>
      <c r="M1129" s="447" t="s">
        <v>1517</v>
      </c>
      <c r="N1129" s="456">
        <v>24000</v>
      </c>
      <c r="O1129" s="475">
        <f t="shared" si="4"/>
        <v>24000</v>
      </c>
      <c r="P1129" s="476"/>
      <c r="Q1129" s="477">
        <v>46023</v>
      </c>
      <c r="R1129" s="476"/>
      <c r="S1129" s="476"/>
    </row>
    <row r="1130" spans="1:19" ht="15.75" customHeight="1" x14ac:dyDescent="0.25">
      <c r="A1130" s="438">
        <v>1127</v>
      </c>
      <c r="B1130" s="470" t="s">
        <v>17</v>
      </c>
      <c r="C1130" s="471" t="s">
        <v>18</v>
      </c>
      <c r="D1130" s="472" t="s">
        <v>19</v>
      </c>
      <c r="E1130" s="448" t="s">
        <v>4083</v>
      </c>
      <c r="F1130" s="448" t="s">
        <v>2988</v>
      </c>
      <c r="G1130" s="473" t="s">
        <v>4011</v>
      </c>
      <c r="H1130" s="439" t="s">
        <v>1503</v>
      </c>
      <c r="I1130" s="474" t="s">
        <v>3457</v>
      </c>
      <c r="J1130" s="474" t="s">
        <v>3464</v>
      </c>
      <c r="K1130" s="443" t="s">
        <v>1504</v>
      </c>
      <c r="L1130" s="471">
        <v>1</v>
      </c>
      <c r="M1130" s="447" t="s">
        <v>1518</v>
      </c>
      <c r="N1130" s="456">
        <v>24000</v>
      </c>
      <c r="O1130" s="475">
        <f t="shared" si="4"/>
        <v>24000</v>
      </c>
      <c r="P1130" s="476"/>
      <c r="Q1130" s="477">
        <v>46023</v>
      </c>
      <c r="R1130" s="476"/>
      <c r="S1130" s="476"/>
    </row>
    <row r="1131" spans="1:19" ht="15.75" customHeight="1" x14ac:dyDescent="0.25">
      <c r="A1131" s="438">
        <v>1128</v>
      </c>
      <c r="B1131" s="470" t="s">
        <v>17</v>
      </c>
      <c r="C1131" s="471" t="s">
        <v>18</v>
      </c>
      <c r="D1131" s="472" t="s">
        <v>19</v>
      </c>
      <c r="E1131" s="448" t="s">
        <v>4083</v>
      </c>
      <c r="F1131" s="448" t="s">
        <v>2988</v>
      </c>
      <c r="G1131" s="473" t="s">
        <v>4011</v>
      </c>
      <c r="H1131" s="439" t="s">
        <v>1503</v>
      </c>
      <c r="I1131" s="474" t="s">
        <v>3457</v>
      </c>
      <c r="J1131" s="474" t="s">
        <v>3464</v>
      </c>
      <c r="K1131" s="443" t="s">
        <v>1504</v>
      </c>
      <c r="L1131" s="471">
        <v>1</v>
      </c>
      <c r="M1131" s="447" t="s">
        <v>1519</v>
      </c>
      <c r="N1131" s="456">
        <v>24000</v>
      </c>
      <c r="O1131" s="475">
        <f t="shared" si="4"/>
        <v>24000</v>
      </c>
      <c r="P1131" s="476"/>
      <c r="Q1131" s="477">
        <v>46023</v>
      </c>
      <c r="R1131" s="476"/>
      <c r="S1131" s="476"/>
    </row>
    <row r="1132" spans="1:19" ht="15.75" customHeight="1" x14ac:dyDescent="0.25">
      <c r="A1132" s="438">
        <v>1129</v>
      </c>
      <c r="B1132" s="470" t="s">
        <v>17</v>
      </c>
      <c r="C1132" s="471" t="s">
        <v>18</v>
      </c>
      <c r="D1132" s="472" t="s">
        <v>19</v>
      </c>
      <c r="E1132" s="448" t="s">
        <v>4083</v>
      </c>
      <c r="F1132" s="448" t="s">
        <v>2988</v>
      </c>
      <c r="G1132" s="473" t="s">
        <v>4011</v>
      </c>
      <c r="H1132" s="439" t="s">
        <v>1503</v>
      </c>
      <c r="I1132" s="474" t="s">
        <v>3457</v>
      </c>
      <c r="J1132" s="474" t="s">
        <v>3464</v>
      </c>
      <c r="K1132" s="443" t="s">
        <v>1504</v>
      </c>
      <c r="L1132" s="471">
        <v>1</v>
      </c>
      <c r="M1132" s="447" t="s">
        <v>1520</v>
      </c>
      <c r="N1132" s="456">
        <v>24000</v>
      </c>
      <c r="O1132" s="475">
        <f t="shared" si="4"/>
        <v>24000</v>
      </c>
      <c r="P1132" s="476"/>
      <c r="Q1132" s="477">
        <v>46023</v>
      </c>
      <c r="R1132" s="476"/>
      <c r="S1132" s="476"/>
    </row>
    <row r="1133" spans="1:19" ht="15.75" customHeight="1" x14ac:dyDescent="0.25">
      <c r="A1133" s="438">
        <v>1130</v>
      </c>
      <c r="B1133" s="470" t="s">
        <v>17</v>
      </c>
      <c r="C1133" s="471" t="s">
        <v>18</v>
      </c>
      <c r="D1133" s="472" t="s">
        <v>19</v>
      </c>
      <c r="E1133" s="448" t="s">
        <v>4083</v>
      </c>
      <c r="F1133" s="448" t="s">
        <v>2988</v>
      </c>
      <c r="G1133" s="473" t="s">
        <v>4011</v>
      </c>
      <c r="H1133" s="439" t="s">
        <v>1503</v>
      </c>
      <c r="I1133" s="474" t="s">
        <v>3457</v>
      </c>
      <c r="J1133" s="474" t="s">
        <v>3464</v>
      </c>
      <c r="K1133" s="443" t="s">
        <v>1504</v>
      </c>
      <c r="L1133" s="471">
        <v>1</v>
      </c>
      <c r="M1133" s="447" t="s">
        <v>1521</v>
      </c>
      <c r="N1133" s="457">
        <v>24000</v>
      </c>
      <c r="O1133" s="475">
        <f t="shared" si="4"/>
        <v>24000</v>
      </c>
      <c r="P1133" s="476"/>
      <c r="Q1133" s="477">
        <v>46023</v>
      </c>
      <c r="R1133" s="476"/>
      <c r="S1133" s="476"/>
    </row>
    <row r="1134" spans="1:19" ht="15.75" customHeight="1" x14ac:dyDescent="0.25">
      <c r="A1134" s="438">
        <v>1131</v>
      </c>
      <c r="B1134" s="470" t="s">
        <v>17</v>
      </c>
      <c r="C1134" s="471" t="s">
        <v>18</v>
      </c>
      <c r="D1134" s="472" t="s">
        <v>19</v>
      </c>
      <c r="E1134" s="448" t="s">
        <v>4083</v>
      </c>
      <c r="F1134" s="448" t="s">
        <v>2988</v>
      </c>
      <c r="G1134" s="473" t="s">
        <v>4011</v>
      </c>
      <c r="H1134" s="439" t="s">
        <v>1503</v>
      </c>
      <c r="I1134" s="474" t="s">
        <v>3457</v>
      </c>
      <c r="J1134" s="474" t="s">
        <v>3464</v>
      </c>
      <c r="K1134" s="443" t="s">
        <v>1504</v>
      </c>
      <c r="L1134" s="471">
        <v>1</v>
      </c>
      <c r="M1134" s="447" t="s">
        <v>1522</v>
      </c>
      <c r="N1134" s="457">
        <v>24000</v>
      </c>
      <c r="O1134" s="475">
        <f t="shared" si="4"/>
        <v>24000</v>
      </c>
      <c r="P1134" s="476"/>
      <c r="Q1134" s="477">
        <v>46023</v>
      </c>
      <c r="R1134" s="476"/>
      <c r="S1134" s="476"/>
    </row>
    <row r="1135" spans="1:19" ht="15.75" customHeight="1" x14ac:dyDescent="0.25">
      <c r="A1135" s="438">
        <v>1132</v>
      </c>
      <c r="B1135" s="470" t="s">
        <v>17</v>
      </c>
      <c r="C1135" s="471" t="s">
        <v>18</v>
      </c>
      <c r="D1135" s="472" t="s">
        <v>19</v>
      </c>
      <c r="E1135" s="448" t="s">
        <v>4083</v>
      </c>
      <c r="F1135" s="448" t="s">
        <v>2988</v>
      </c>
      <c r="G1135" s="473" t="s">
        <v>3066</v>
      </c>
      <c r="H1135" s="439" t="s">
        <v>1523</v>
      </c>
      <c r="I1135" s="474" t="s">
        <v>3457</v>
      </c>
      <c r="J1135" s="474" t="s">
        <v>3464</v>
      </c>
      <c r="K1135" s="443" t="s">
        <v>1524</v>
      </c>
      <c r="L1135" s="471">
        <v>1</v>
      </c>
      <c r="M1135" s="447" t="s">
        <v>1525</v>
      </c>
      <c r="N1135" s="456">
        <v>53000</v>
      </c>
      <c r="O1135" s="475">
        <f t="shared" si="4"/>
        <v>53000</v>
      </c>
      <c r="P1135" s="476"/>
      <c r="Q1135" s="477">
        <v>46023</v>
      </c>
      <c r="R1135" s="476"/>
      <c r="S1135" s="476"/>
    </row>
    <row r="1136" spans="1:19" ht="15.75" customHeight="1" x14ac:dyDescent="0.25">
      <c r="A1136" s="438">
        <v>1133</v>
      </c>
      <c r="B1136" s="470" t="s">
        <v>17</v>
      </c>
      <c r="C1136" s="471" t="s">
        <v>18</v>
      </c>
      <c r="D1136" s="472" t="s">
        <v>19</v>
      </c>
      <c r="E1136" s="448" t="s">
        <v>4083</v>
      </c>
      <c r="F1136" s="448" t="s">
        <v>2988</v>
      </c>
      <c r="G1136" s="473" t="s">
        <v>3066</v>
      </c>
      <c r="H1136" s="439" t="s">
        <v>1523</v>
      </c>
      <c r="I1136" s="474" t="s">
        <v>3457</v>
      </c>
      <c r="J1136" s="474" t="s">
        <v>3464</v>
      </c>
      <c r="K1136" s="443" t="s">
        <v>1524</v>
      </c>
      <c r="L1136" s="471">
        <v>1</v>
      </c>
      <c r="M1136" s="447" t="s">
        <v>1526</v>
      </c>
      <c r="N1136" s="455">
        <v>53000</v>
      </c>
      <c r="O1136" s="475">
        <f t="shared" si="4"/>
        <v>53000</v>
      </c>
      <c r="P1136" s="476"/>
      <c r="Q1136" s="477">
        <v>46023</v>
      </c>
      <c r="R1136" s="476"/>
      <c r="S1136" s="476"/>
    </row>
    <row r="1137" spans="1:19" ht="15.75" customHeight="1" x14ac:dyDescent="0.25">
      <c r="A1137" s="438">
        <v>1134</v>
      </c>
      <c r="B1137" s="470" t="s">
        <v>17</v>
      </c>
      <c r="C1137" s="471" t="s">
        <v>18</v>
      </c>
      <c r="D1137" s="472" t="s">
        <v>19</v>
      </c>
      <c r="E1137" s="448" t="s">
        <v>4083</v>
      </c>
      <c r="F1137" s="448" t="s">
        <v>2988</v>
      </c>
      <c r="G1137" s="473" t="s">
        <v>3066</v>
      </c>
      <c r="H1137" s="439" t="s">
        <v>1523</v>
      </c>
      <c r="I1137" s="474" t="s">
        <v>3457</v>
      </c>
      <c r="J1137" s="474" t="s">
        <v>3464</v>
      </c>
      <c r="K1137" s="443" t="s">
        <v>1524</v>
      </c>
      <c r="L1137" s="471">
        <v>1</v>
      </c>
      <c r="M1137" s="447" t="s">
        <v>1527</v>
      </c>
      <c r="N1137" s="455">
        <v>53000</v>
      </c>
      <c r="O1137" s="475">
        <f t="shared" si="4"/>
        <v>53000</v>
      </c>
      <c r="P1137" s="476"/>
      <c r="Q1137" s="477">
        <v>46023</v>
      </c>
      <c r="R1137" s="476"/>
      <c r="S1137" s="476"/>
    </row>
    <row r="1138" spans="1:19" ht="15.75" customHeight="1" x14ac:dyDescent="0.25">
      <c r="A1138" s="438">
        <v>1135</v>
      </c>
      <c r="B1138" s="470" t="s">
        <v>17</v>
      </c>
      <c r="C1138" s="471" t="s">
        <v>18</v>
      </c>
      <c r="D1138" s="472" t="s">
        <v>19</v>
      </c>
      <c r="E1138" s="448" t="s">
        <v>4083</v>
      </c>
      <c r="F1138" s="448" t="s">
        <v>2988</v>
      </c>
      <c r="G1138" s="473" t="s">
        <v>3066</v>
      </c>
      <c r="H1138" s="439" t="s">
        <v>1523</v>
      </c>
      <c r="I1138" s="474" t="s">
        <v>3457</v>
      </c>
      <c r="J1138" s="474" t="s">
        <v>3464</v>
      </c>
      <c r="K1138" s="443" t="s">
        <v>1524</v>
      </c>
      <c r="L1138" s="471">
        <v>1</v>
      </c>
      <c r="M1138" s="447" t="s">
        <v>1528</v>
      </c>
      <c r="N1138" s="455">
        <v>53000</v>
      </c>
      <c r="O1138" s="475">
        <f t="shared" si="4"/>
        <v>53000</v>
      </c>
      <c r="P1138" s="476"/>
      <c r="Q1138" s="477">
        <v>46023</v>
      </c>
      <c r="R1138" s="476"/>
      <c r="S1138" s="476"/>
    </row>
    <row r="1139" spans="1:19" ht="15.75" customHeight="1" x14ac:dyDescent="0.25">
      <c r="A1139" s="438">
        <v>1136</v>
      </c>
      <c r="B1139" s="470" t="s">
        <v>17</v>
      </c>
      <c r="C1139" s="471" t="s">
        <v>18</v>
      </c>
      <c r="D1139" s="472" t="s">
        <v>19</v>
      </c>
      <c r="E1139" s="448" t="s">
        <v>4083</v>
      </c>
      <c r="F1139" s="448" t="s">
        <v>2988</v>
      </c>
      <c r="G1139" s="473" t="s">
        <v>3066</v>
      </c>
      <c r="H1139" s="439" t="s">
        <v>1523</v>
      </c>
      <c r="I1139" s="474" t="s">
        <v>3457</v>
      </c>
      <c r="J1139" s="474" t="s">
        <v>3464</v>
      </c>
      <c r="K1139" s="443" t="s">
        <v>1524</v>
      </c>
      <c r="L1139" s="471">
        <v>1</v>
      </c>
      <c r="M1139" s="447" t="s">
        <v>1529</v>
      </c>
      <c r="N1139" s="457">
        <v>53000</v>
      </c>
      <c r="O1139" s="475">
        <f t="shared" si="4"/>
        <v>53000</v>
      </c>
      <c r="P1139" s="476"/>
      <c r="Q1139" s="477">
        <v>46023</v>
      </c>
      <c r="R1139" s="476"/>
      <c r="S1139" s="476"/>
    </row>
    <row r="1140" spans="1:19" ht="15.75" customHeight="1" x14ac:dyDescent="0.25">
      <c r="A1140" s="438">
        <v>1137</v>
      </c>
      <c r="B1140" s="470" t="s">
        <v>17</v>
      </c>
      <c r="C1140" s="471" t="s">
        <v>18</v>
      </c>
      <c r="D1140" s="472" t="s">
        <v>19</v>
      </c>
      <c r="E1140" s="448" t="s">
        <v>4083</v>
      </c>
      <c r="F1140" s="448" t="s">
        <v>2988</v>
      </c>
      <c r="G1140" s="473" t="s">
        <v>3066</v>
      </c>
      <c r="H1140" s="440" t="s">
        <v>1523</v>
      </c>
      <c r="I1140" s="474" t="s">
        <v>3457</v>
      </c>
      <c r="J1140" s="474" t="s">
        <v>3464</v>
      </c>
      <c r="K1140" s="440" t="s">
        <v>1524</v>
      </c>
      <c r="L1140" s="471">
        <v>1</v>
      </c>
      <c r="M1140" s="447" t="s">
        <v>1530</v>
      </c>
      <c r="N1140" s="458">
        <v>53000</v>
      </c>
      <c r="O1140" s="475">
        <f t="shared" si="4"/>
        <v>53000</v>
      </c>
      <c r="P1140" s="476"/>
      <c r="Q1140" s="477">
        <v>46023</v>
      </c>
      <c r="R1140" s="476"/>
      <c r="S1140" s="476"/>
    </row>
    <row r="1141" spans="1:19" ht="15.75" customHeight="1" x14ac:dyDescent="0.25">
      <c r="A1141" s="438">
        <v>1138</v>
      </c>
      <c r="B1141" s="470" t="s">
        <v>17</v>
      </c>
      <c r="C1141" s="471" t="s">
        <v>18</v>
      </c>
      <c r="D1141" s="472" t="s">
        <v>19</v>
      </c>
      <c r="E1141" s="465" t="s">
        <v>4083</v>
      </c>
      <c r="F1141" s="448" t="s">
        <v>2988</v>
      </c>
      <c r="G1141" s="473" t="s">
        <v>3066</v>
      </c>
      <c r="H1141" s="439" t="s">
        <v>1523</v>
      </c>
      <c r="I1141" s="474" t="s">
        <v>3457</v>
      </c>
      <c r="J1141" s="474" t="s">
        <v>3464</v>
      </c>
      <c r="K1141" s="443" t="s">
        <v>1524</v>
      </c>
      <c r="L1141" s="471">
        <v>1</v>
      </c>
      <c r="M1141" s="447" t="s">
        <v>1531</v>
      </c>
      <c r="N1141" s="455">
        <v>53000</v>
      </c>
      <c r="O1141" s="475">
        <f t="shared" si="4"/>
        <v>53000</v>
      </c>
      <c r="P1141" s="476"/>
      <c r="Q1141" s="477">
        <v>46023</v>
      </c>
      <c r="R1141" s="476"/>
      <c r="S1141" s="476"/>
    </row>
    <row r="1142" spans="1:19" ht="15.75" customHeight="1" x14ac:dyDescent="0.25">
      <c r="A1142" s="438">
        <v>1139</v>
      </c>
      <c r="B1142" s="470" t="s">
        <v>17</v>
      </c>
      <c r="C1142" s="471" t="s">
        <v>18</v>
      </c>
      <c r="D1142" s="472" t="s">
        <v>19</v>
      </c>
      <c r="E1142" s="465" t="s">
        <v>4083</v>
      </c>
      <c r="F1142" s="448" t="s">
        <v>2988</v>
      </c>
      <c r="G1142" s="473" t="s">
        <v>3066</v>
      </c>
      <c r="H1142" s="439" t="s">
        <v>1523</v>
      </c>
      <c r="I1142" s="474" t="s">
        <v>3457</v>
      </c>
      <c r="J1142" s="474" t="s">
        <v>3464</v>
      </c>
      <c r="K1142" s="443" t="s">
        <v>1524</v>
      </c>
      <c r="L1142" s="471">
        <v>1</v>
      </c>
      <c r="M1142" s="447" t="s">
        <v>1532</v>
      </c>
      <c r="N1142" s="455">
        <v>53000</v>
      </c>
      <c r="O1142" s="475">
        <f t="shared" si="4"/>
        <v>53000</v>
      </c>
      <c r="P1142" s="476"/>
      <c r="Q1142" s="477">
        <v>46023</v>
      </c>
      <c r="R1142" s="476"/>
      <c r="S1142" s="476"/>
    </row>
    <row r="1143" spans="1:19" ht="15.75" customHeight="1" x14ac:dyDescent="0.25">
      <c r="A1143" s="438">
        <v>1140</v>
      </c>
      <c r="B1143" s="470" t="s">
        <v>17</v>
      </c>
      <c r="C1143" s="471" t="s">
        <v>18</v>
      </c>
      <c r="D1143" s="472" t="s">
        <v>19</v>
      </c>
      <c r="E1143" s="465" t="s">
        <v>4083</v>
      </c>
      <c r="F1143" s="448" t="s">
        <v>2988</v>
      </c>
      <c r="G1143" s="473" t="s">
        <v>4008</v>
      </c>
      <c r="H1143" s="439" t="s">
        <v>1523</v>
      </c>
      <c r="I1143" s="474" t="s">
        <v>3457</v>
      </c>
      <c r="J1143" s="474" t="s">
        <v>3464</v>
      </c>
      <c r="K1143" s="443" t="s">
        <v>1449</v>
      </c>
      <c r="L1143" s="471">
        <v>1</v>
      </c>
      <c r="M1143" s="447" t="s">
        <v>1533</v>
      </c>
      <c r="N1143" s="455">
        <v>325000</v>
      </c>
      <c r="O1143" s="475">
        <f t="shared" si="4"/>
        <v>325000</v>
      </c>
      <c r="P1143" s="476"/>
      <c r="Q1143" s="477">
        <v>46023</v>
      </c>
      <c r="R1143" s="476"/>
      <c r="S1143" s="476"/>
    </row>
    <row r="1144" spans="1:19" ht="15.75" customHeight="1" x14ac:dyDescent="0.25">
      <c r="A1144" s="438">
        <v>1141</v>
      </c>
      <c r="B1144" s="470" t="s">
        <v>17</v>
      </c>
      <c r="C1144" s="471" t="s">
        <v>18</v>
      </c>
      <c r="D1144" s="472" t="s">
        <v>19</v>
      </c>
      <c r="E1144" s="465" t="s">
        <v>4083</v>
      </c>
      <c r="F1144" s="448" t="s">
        <v>2988</v>
      </c>
      <c r="G1144" s="473" t="s">
        <v>3066</v>
      </c>
      <c r="H1144" s="439" t="s">
        <v>1534</v>
      </c>
      <c r="I1144" s="474" t="s">
        <v>3457</v>
      </c>
      <c r="J1144" s="474" t="s">
        <v>3464</v>
      </c>
      <c r="K1144" s="443" t="s">
        <v>1524</v>
      </c>
      <c r="L1144" s="471">
        <v>1</v>
      </c>
      <c r="M1144" s="447" t="s">
        <v>1535</v>
      </c>
      <c r="N1144" s="455">
        <v>64000</v>
      </c>
      <c r="O1144" s="475">
        <f t="shared" si="4"/>
        <v>64000</v>
      </c>
      <c r="P1144" s="476"/>
      <c r="Q1144" s="477">
        <v>46023</v>
      </c>
      <c r="R1144" s="476"/>
      <c r="S1144" s="476"/>
    </row>
    <row r="1145" spans="1:19" ht="15.75" customHeight="1" x14ac:dyDescent="0.25">
      <c r="A1145" s="438">
        <v>1142</v>
      </c>
      <c r="B1145" s="470" t="s">
        <v>17</v>
      </c>
      <c r="C1145" s="471" t="s">
        <v>18</v>
      </c>
      <c r="D1145" s="472" t="s">
        <v>19</v>
      </c>
      <c r="E1145" s="465" t="s">
        <v>4083</v>
      </c>
      <c r="F1145" s="448" t="s">
        <v>2988</v>
      </c>
      <c r="G1145" s="473" t="s">
        <v>3066</v>
      </c>
      <c r="H1145" s="439" t="s">
        <v>1534</v>
      </c>
      <c r="I1145" s="474" t="s">
        <v>3457</v>
      </c>
      <c r="J1145" s="474" t="s">
        <v>3464</v>
      </c>
      <c r="K1145" s="443" t="s">
        <v>1524</v>
      </c>
      <c r="L1145" s="471">
        <v>1</v>
      </c>
      <c r="M1145" s="447" t="s">
        <v>1536</v>
      </c>
      <c r="N1145" s="455">
        <v>64000</v>
      </c>
      <c r="O1145" s="475">
        <f t="shared" si="4"/>
        <v>64000</v>
      </c>
      <c r="P1145" s="476"/>
      <c r="Q1145" s="477">
        <v>46023</v>
      </c>
      <c r="R1145" s="476"/>
      <c r="S1145" s="476"/>
    </row>
    <row r="1146" spans="1:19" ht="15.75" customHeight="1" x14ac:dyDescent="0.25">
      <c r="A1146" s="438">
        <v>1143</v>
      </c>
      <c r="B1146" s="470" t="s">
        <v>17</v>
      </c>
      <c r="C1146" s="471" t="s">
        <v>18</v>
      </c>
      <c r="D1146" s="472" t="s">
        <v>19</v>
      </c>
      <c r="E1146" s="465" t="s">
        <v>4083</v>
      </c>
      <c r="F1146" s="448" t="s">
        <v>2988</v>
      </c>
      <c r="G1146" s="473" t="s">
        <v>3066</v>
      </c>
      <c r="H1146" s="439" t="s">
        <v>1534</v>
      </c>
      <c r="I1146" s="474" t="s">
        <v>3457</v>
      </c>
      <c r="J1146" s="474" t="s">
        <v>3464</v>
      </c>
      <c r="K1146" s="443" t="s">
        <v>1524</v>
      </c>
      <c r="L1146" s="471">
        <v>1</v>
      </c>
      <c r="M1146" s="447" t="s">
        <v>1537</v>
      </c>
      <c r="N1146" s="455">
        <v>64000</v>
      </c>
      <c r="O1146" s="475">
        <f t="shared" si="4"/>
        <v>64000</v>
      </c>
      <c r="P1146" s="476"/>
      <c r="Q1146" s="477">
        <v>46023</v>
      </c>
      <c r="R1146" s="476"/>
      <c r="S1146" s="476"/>
    </row>
    <row r="1147" spans="1:19" ht="15.75" customHeight="1" x14ac:dyDescent="0.25">
      <c r="A1147" s="438">
        <v>1144</v>
      </c>
      <c r="B1147" s="470" t="s">
        <v>17</v>
      </c>
      <c r="C1147" s="471" t="s">
        <v>18</v>
      </c>
      <c r="D1147" s="472" t="s">
        <v>19</v>
      </c>
      <c r="E1147" s="465" t="s">
        <v>4083</v>
      </c>
      <c r="F1147" s="448" t="s">
        <v>2988</v>
      </c>
      <c r="G1147" s="473" t="s">
        <v>3060</v>
      </c>
      <c r="H1147" s="439" t="s">
        <v>1538</v>
      </c>
      <c r="I1147" s="474" t="s">
        <v>3457</v>
      </c>
      <c r="J1147" s="474" t="s">
        <v>3463</v>
      </c>
      <c r="K1147" s="443" t="s">
        <v>1539</v>
      </c>
      <c r="L1147" s="471">
        <v>1</v>
      </c>
      <c r="M1147" s="447" t="s">
        <v>1540</v>
      </c>
      <c r="N1147" s="455">
        <v>11500</v>
      </c>
      <c r="O1147" s="475">
        <f t="shared" si="4"/>
        <v>11500</v>
      </c>
      <c r="P1147" s="476"/>
      <c r="Q1147" s="477">
        <v>46023</v>
      </c>
      <c r="R1147" s="476"/>
      <c r="S1147" s="476"/>
    </row>
    <row r="1148" spans="1:19" ht="15.75" customHeight="1" x14ac:dyDescent="0.25">
      <c r="A1148" s="438">
        <v>1145</v>
      </c>
      <c r="B1148" s="470" t="s">
        <v>17</v>
      </c>
      <c r="C1148" s="471" t="s">
        <v>18</v>
      </c>
      <c r="D1148" s="472" t="s">
        <v>19</v>
      </c>
      <c r="E1148" s="448" t="s">
        <v>4080</v>
      </c>
      <c r="F1148" s="448" t="s">
        <v>4080</v>
      </c>
      <c r="G1148" s="473" t="s">
        <v>4012</v>
      </c>
      <c r="H1148" s="439" t="s">
        <v>1541</v>
      </c>
      <c r="I1148" s="474" t="s">
        <v>3457</v>
      </c>
      <c r="J1148" s="474" t="s">
        <v>3464</v>
      </c>
      <c r="K1148" s="439" t="s">
        <v>1542</v>
      </c>
      <c r="L1148" s="471">
        <v>1</v>
      </c>
      <c r="M1148" s="447" t="s">
        <v>1543</v>
      </c>
      <c r="N1148" s="455">
        <v>18250</v>
      </c>
      <c r="O1148" s="475">
        <f t="shared" si="4"/>
        <v>18250</v>
      </c>
      <c r="P1148" s="476"/>
      <c r="Q1148" s="477">
        <v>46023</v>
      </c>
      <c r="R1148" s="476"/>
      <c r="S1148" s="476"/>
    </row>
    <row r="1149" spans="1:19" ht="15.75" customHeight="1" x14ac:dyDescent="0.25">
      <c r="A1149" s="438">
        <v>1146</v>
      </c>
      <c r="B1149" s="470" t="s">
        <v>17</v>
      </c>
      <c r="C1149" s="471" t="s">
        <v>18</v>
      </c>
      <c r="D1149" s="472" t="s">
        <v>19</v>
      </c>
      <c r="E1149" s="448" t="s">
        <v>4080</v>
      </c>
      <c r="F1149" s="448" t="s">
        <v>4080</v>
      </c>
      <c r="G1149" s="473" t="s">
        <v>4012</v>
      </c>
      <c r="H1149" s="439" t="s">
        <v>1541</v>
      </c>
      <c r="I1149" s="474" t="s">
        <v>3457</v>
      </c>
      <c r="J1149" s="474" t="s">
        <v>3464</v>
      </c>
      <c r="K1149" s="439" t="s">
        <v>1542</v>
      </c>
      <c r="L1149" s="471">
        <v>1</v>
      </c>
      <c r="M1149" s="447" t="s">
        <v>1544</v>
      </c>
      <c r="N1149" s="455">
        <v>14250</v>
      </c>
      <c r="O1149" s="475">
        <f t="shared" si="4"/>
        <v>14250</v>
      </c>
      <c r="P1149" s="476"/>
      <c r="Q1149" s="477">
        <v>46023</v>
      </c>
      <c r="R1149" s="476"/>
      <c r="S1149" s="476"/>
    </row>
    <row r="1150" spans="1:19" ht="15.75" customHeight="1" x14ac:dyDescent="0.25">
      <c r="A1150" s="438">
        <v>1147</v>
      </c>
      <c r="B1150" s="470" t="s">
        <v>17</v>
      </c>
      <c r="C1150" s="471" t="s">
        <v>18</v>
      </c>
      <c r="D1150" s="472" t="s">
        <v>19</v>
      </c>
      <c r="E1150" s="448" t="s">
        <v>4080</v>
      </c>
      <c r="F1150" s="448" t="s">
        <v>4080</v>
      </c>
      <c r="G1150" s="473" t="s">
        <v>4012</v>
      </c>
      <c r="H1150" s="439" t="s">
        <v>1541</v>
      </c>
      <c r="I1150" s="474" t="s">
        <v>3457</v>
      </c>
      <c r="J1150" s="474" t="s">
        <v>3464</v>
      </c>
      <c r="K1150" s="439" t="s">
        <v>1542</v>
      </c>
      <c r="L1150" s="471">
        <v>1</v>
      </c>
      <c r="M1150" s="447" t="s">
        <v>1545</v>
      </c>
      <c r="N1150" s="455">
        <v>14250</v>
      </c>
      <c r="O1150" s="475">
        <f t="shared" si="4"/>
        <v>14250</v>
      </c>
      <c r="P1150" s="476"/>
      <c r="Q1150" s="477">
        <v>46023</v>
      </c>
      <c r="R1150" s="476"/>
      <c r="S1150" s="476"/>
    </row>
    <row r="1151" spans="1:19" ht="15.75" customHeight="1" x14ac:dyDescent="0.25">
      <c r="A1151" s="438">
        <v>1148</v>
      </c>
      <c r="B1151" s="470" t="s">
        <v>17</v>
      </c>
      <c r="C1151" s="471" t="s">
        <v>18</v>
      </c>
      <c r="D1151" s="472" t="s">
        <v>19</v>
      </c>
      <c r="E1151" s="448" t="s">
        <v>4080</v>
      </c>
      <c r="F1151" s="448" t="s">
        <v>4080</v>
      </c>
      <c r="G1151" s="473" t="s">
        <v>4012</v>
      </c>
      <c r="H1151" s="439" t="s">
        <v>1541</v>
      </c>
      <c r="I1151" s="474" t="s">
        <v>3457</v>
      </c>
      <c r="J1151" s="474" t="s">
        <v>3464</v>
      </c>
      <c r="K1151" s="439" t="s">
        <v>1542</v>
      </c>
      <c r="L1151" s="471">
        <v>1</v>
      </c>
      <c r="M1151" s="447" t="s">
        <v>1546</v>
      </c>
      <c r="N1151" s="455">
        <v>14250</v>
      </c>
      <c r="O1151" s="475">
        <f t="shared" si="4"/>
        <v>14250</v>
      </c>
      <c r="P1151" s="476"/>
      <c r="Q1151" s="477">
        <v>46023</v>
      </c>
      <c r="R1151" s="476"/>
      <c r="S1151" s="476"/>
    </row>
    <row r="1152" spans="1:19" ht="15.75" customHeight="1" x14ac:dyDescent="0.25">
      <c r="A1152" s="438">
        <v>1149</v>
      </c>
      <c r="B1152" s="470" t="s">
        <v>17</v>
      </c>
      <c r="C1152" s="471" t="s">
        <v>18</v>
      </c>
      <c r="D1152" s="472" t="s">
        <v>19</v>
      </c>
      <c r="E1152" s="448" t="s">
        <v>4080</v>
      </c>
      <c r="F1152" s="448" t="s">
        <v>4080</v>
      </c>
      <c r="G1152" s="473" t="s">
        <v>4012</v>
      </c>
      <c r="H1152" s="439" t="s">
        <v>1541</v>
      </c>
      <c r="I1152" s="474" t="s">
        <v>3457</v>
      </c>
      <c r="J1152" s="474" t="s">
        <v>3464</v>
      </c>
      <c r="K1152" s="439" t="s">
        <v>1542</v>
      </c>
      <c r="L1152" s="471">
        <v>1</v>
      </c>
      <c r="M1152" s="447" t="s">
        <v>1547</v>
      </c>
      <c r="N1152" s="455">
        <v>14250</v>
      </c>
      <c r="O1152" s="475">
        <f t="shared" si="4"/>
        <v>14250</v>
      </c>
      <c r="P1152" s="476"/>
      <c r="Q1152" s="477">
        <v>46023</v>
      </c>
      <c r="R1152" s="476"/>
      <c r="S1152" s="476"/>
    </row>
    <row r="1153" spans="1:19" ht="15.75" customHeight="1" x14ac:dyDescent="0.25">
      <c r="A1153" s="438">
        <v>1150</v>
      </c>
      <c r="B1153" s="470" t="s">
        <v>17</v>
      </c>
      <c r="C1153" s="471" t="s">
        <v>18</v>
      </c>
      <c r="D1153" s="472" t="s">
        <v>19</v>
      </c>
      <c r="E1153" s="448" t="s">
        <v>4091</v>
      </c>
      <c r="F1153" s="448" t="s">
        <v>3024</v>
      </c>
      <c r="G1153" s="473" t="s">
        <v>4012</v>
      </c>
      <c r="H1153" s="439" t="s">
        <v>1541</v>
      </c>
      <c r="I1153" s="474" t="s">
        <v>3457</v>
      </c>
      <c r="J1153" s="474" t="s">
        <v>3464</v>
      </c>
      <c r="K1153" s="439" t="s">
        <v>1542</v>
      </c>
      <c r="L1153" s="471">
        <v>1</v>
      </c>
      <c r="M1153" s="447" t="s">
        <v>1548</v>
      </c>
      <c r="N1153" s="455">
        <v>14250</v>
      </c>
      <c r="O1153" s="475">
        <f t="shared" si="4"/>
        <v>14250</v>
      </c>
      <c r="P1153" s="476"/>
      <c r="Q1153" s="477">
        <v>46023</v>
      </c>
      <c r="R1153" s="476"/>
      <c r="S1153" s="476"/>
    </row>
    <row r="1154" spans="1:19" ht="15.75" customHeight="1" x14ac:dyDescent="0.25">
      <c r="A1154" s="438">
        <v>1151</v>
      </c>
      <c r="B1154" s="470" t="s">
        <v>17</v>
      </c>
      <c r="C1154" s="471" t="s">
        <v>18</v>
      </c>
      <c r="D1154" s="472" t="s">
        <v>19</v>
      </c>
      <c r="E1154" s="448" t="s">
        <v>4091</v>
      </c>
      <c r="F1154" s="448" t="s">
        <v>3024</v>
      </c>
      <c r="G1154" s="473" t="s">
        <v>4012</v>
      </c>
      <c r="H1154" s="439" t="s">
        <v>1541</v>
      </c>
      <c r="I1154" s="474" t="s">
        <v>3457</v>
      </c>
      <c r="J1154" s="474" t="s">
        <v>3464</v>
      </c>
      <c r="K1154" s="439" t="s">
        <v>1542</v>
      </c>
      <c r="L1154" s="471">
        <v>1</v>
      </c>
      <c r="M1154" s="447" t="s">
        <v>1549</v>
      </c>
      <c r="N1154" s="455">
        <v>14250</v>
      </c>
      <c r="O1154" s="475">
        <f t="shared" si="4"/>
        <v>14250</v>
      </c>
      <c r="P1154" s="476"/>
      <c r="Q1154" s="477">
        <v>46023</v>
      </c>
      <c r="R1154" s="476"/>
      <c r="S1154" s="476"/>
    </row>
    <row r="1155" spans="1:19" ht="15.75" customHeight="1" x14ac:dyDescent="0.25">
      <c r="A1155" s="438">
        <v>1152</v>
      </c>
      <c r="B1155" s="470" t="s">
        <v>17</v>
      </c>
      <c r="C1155" s="471" t="s">
        <v>18</v>
      </c>
      <c r="D1155" s="472" t="s">
        <v>19</v>
      </c>
      <c r="E1155" s="448" t="s">
        <v>4091</v>
      </c>
      <c r="F1155" s="448" t="s">
        <v>4107</v>
      </c>
      <c r="G1155" s="473" t="s">
        <v>4012</v>
      </c>
      <c r="H1155" s="439" t="s">
        <v>1541</v>
      </c>
      <c r="I1155" s="474" t="s">
        <v>3457</v>
      </c>
      <c r="J1155" s="474" t="s">
        <v>3464</v>
      </c>
      <c r="K1155" s="439" t="s">
        <v>1542</v>
      </c>
      <c r="L1155" s="471">
        <v>1</v>
      </c>
      <c r="M1155" s="447" t="s">
        <v>1550</v>
      </c>
      <c r="N1155" s="455">
        <v>14250</v>
      </c>
      <c r="O1155" s="475">
        <f t="shared" si="4"/>
        <v>14250</v>
      </c>
      <c r="P1155" s="476"/>
      <c r="Q1155" s="477">
        <v>46023</v>
      </c>
      <c r="R1155" s="476"/>
      <c r="S1155" s="476"/>
    </row>
    <row r="1156" spans="1:19" ht="15.75" customHeight="1" x14ac:dyDescent="0.25">
      <c r="A1156" s="438">
        <v>1153</v>
      </c>
      <c r="B1156" s="470" t="s">
        <v>17</v>
      </c>
      <c r="C1156" s="471" t="s">
        <v>18</v>
      </c>
      <c r="D1156" s="472" t="s">
        <v>19</v>
      </c>
      <c r="E1156" s="448" t="s">
        <v>4091</v>
      </c>
      <c r="F1156" s="448" t="s">
        <v>4110</v>
      </c>
      <c r="G1156" s="473" t="s">
        <v>4012</v>
      </c>
      <c r="H1156" s="439" t="s">
        <v>1541</v>
      </c>
      <c r="I1156" s="474" t="s">
        <v>3457</v>
      </c>
      <c r="J1156" s="474" t="s">
        <v>3464</v>
      </c>
      <c r="K1156" s="443" t="s">
        <v>1542</v>
      </c>
      <c r="L1156" s="471">
        <v>1</v>
      </c>
      <c r="M1156" s="447" t="s">
        <v>1551</v>
      </c>
      <c r="N1156" s="455">
        <v>14250</v>
      </c>
      <c r="O1156" s="475">
        <f t="shared" si="4"/>
        <v>14250</v>
      </c>
      <c r="P1156" s="476"/>
      <c r="Q1156" s="477">
        <v>46023</v>
      </c>
      <c r="R1156" s="476"/>
      <c r="S1156" s="476"/>
    </row>
    <row r="1157" spans="1:19" ht="15.75" customHeight="1" x14ac:dyDescent="0.25">
      <c r="A1157" s="438">
        <v>1154</v>
      </c>
      <c r="B1157" s="470" t="s">
        <v>17</v>
      </c>
      <c r="C1157" s="471" t="s">
        <v>18</v>
      </c>
      <c r="D1157" s="472" t="s">
        <v>19</v>
      </c>
      <c r="E1157" s="448" t="s">
        <v>4091</v>
      </c>
      <c r="F1157" s="448" t="s">
        <v>4114</v>
      </c>
      <c r="G1157" s="473" t="s">
        <v>4012</v>
      </c>
      <c r="H1157" s="439" t="s">
        <v>1541</v>
      </c>
      <c r="I1157" s="474" t="s">
        <v>3457</v>
      </c>
      <c r="J1157" s="474" t="s">
        <v>3464</v>
      </c>
      <c r="K1157" s="443" t="s">
        <v>1542</v>
      </c>
      <c r="L1157" s="471">
        <v>1</v>
      </c>
      <c r="M1157" s="447" t="s">
        <v>1552</v>
      </c>
      <c r="N1157" s="455">
        <v>14250</v>
      </c>
      <c r="O1157" s="475">
        <f t="shared" si="4"/>
        <v>14250</v>
      </c>
      <c r="P1157" s="476"/>
      <c r="Q1157" s="477">
        <v>46023</v>
      </c>
      <c r="R1157" s="476"/>
      <c r="S1157" s="476"/>
    </row>
    <row r="1158" spans="1:19" ht="15.75" customHeight="1" x14ac:dyDescent="0.25">
      <c r="A1158" s="438">
        <v>1155</v>
      </c>
      <c r="B1158" s="470" t="s">
        <v>17</v>
      </c>
      <c r="C1158" s="471" t="s">
        <v>18</v>
      </c>
      <c r="D1158" s="472" t="s">
        <v>19</v>
      </c>
      <c r="E1158" s="448" t="s">
        <v>3047</v>
      </c>
      <c r="F1158" s="448" t="s">
        <v>3047</v>
      </c>
      <c r="G1158" s="473" t="s">
        <v>4012</v>
      </c>
      <c r="H1158" s="439" t="s">
        <v>1541</v>
      </c>
      <c r="I1158" s="474" t="s">
        <v>3457</v>
      </c>
      <c r="J1158" s="474" t="s">
        <v>3464</v>
      </c>
      <c r="K1158" s="443" t="s">
        <v>1542</v>
      </c>
      <c r="L1158" s="471">
        <v>1</v>
      </c>
      <c r="M1158" s="447" t="s">
        <v>1553</v>
      </c>
      <c r="N1158" s="455">
        <v>14250</v>
      </c>
      <c r="O1158" s="475">
        <f t="shared" si="4"/>
        <v>14250</v>
      </c>
      <c r="P1158" s="476"/>
      <c r="Q1158" s="477">
        <v>46023</v>
      </c>
      <c r="R1158" s="476"/>
      <c r="S1158" s="476"/>
    </row>
    <row r="1159" spans="1:19" ht="15.75" customHeight="1" x14ac:dyDescent="0.25">
      <c r="A1159" s="438">
        <v>1156</v>
      </c>
      <c r="B1159" s="470" t="s">
        <v>17</v>
      </c>
      <c r="C1159" s="471" t="s">
        <v>18</v>
      </c>
      <c r="D1159" s="472" t="s">
        <v>19</v>
      </c>
      <c r="E1159" s="448" t="s">
        <v>4085</v>
      </c>
      <c r="F1159" s="448" t="s">
        <v>3026</v>
      </c>
      <c r="G1159" s="473" t="s">
        <v>4012</v>
      </c>
      <c r="H1159" s="439" t="s">
        <v>1541</v>
      </c>
      <c r="I1159" s="474" t="s">
        <v>3457</v>
      </c>
      <c r="J1159" s="474" t="s">
        <v>3464</v>
      </c>
      <c r="K1159" s="443" t="s">
        <v>1542</v>
      </c>
      <c r="L1159" s="471">
        <v>1</v>
      </c>
      <c r="M1159" s="447" t="s">
        <v>1554</v>
      </c>
      <c r="N1159" s="455">
        <v>14250</v>
      </c>
      <c r="O1159" s="475">
        <f t="shared" si="4"/>
        <v>14250</v>
      </c>
      <c r="P1159" s="476"/>
      <c r="Q1159" s="477">
        <v>46023</v>
      </c>
      <c r="R1159" s="476"/>
      <c r="S1159" s="476"/>
    </row>
    <row r="1160" spans="1:19" ht="15.75" customHeight="1" x14ac:dyDescent="0.25">
      <c r="A1160" s="438">
        <v>1157</v>
      </c>
      <c r="B1160" s="470" t="s">
        <v>17</v>
      </c>
      <c r="C1160" s="471" t="s">
        <v>18</v>
      </c>
      <c r="D1160" s="472" t="s">
        <v>19</v>
      </c>
      <c r="E1160" s="448" t="s">
        <v>4085</v>
      </c>
      <c r="F1160" s="448" t="s">
        <v>3026</v>
      </c>
      <c r="G1160" s="473" t="s">
        <v>4012</v>
      </c>
      <c r="H1160" s="439" t="s">
        <v>1541</v>
      </c>
      <c r="I1160" s="474" t="s">
        <v>3457</v>
      </c>
      <c r="J1160" s="474" t="s">
        <v>3464</v>
      </c>
      <c r="K1160" s="443" t="s">
        <v>1542</v>
      </c>
      <c r="L1160" s="471">
        <v>1</v>
      </c>
      <c r="M1160" s="449" t="s">
        <v>1555</v>
      </c>
      <c r="N1160" s="455">
        <v>14250</v>
      </c>
      <c r="O1160" s="475">
        <f t="shared" si="4"/>
        <v>14250</v>
      </c>
      <c r="P1160" s="476"/>
      <c r="Q1160" s="477">
        <v>46023</v>
      </c>
      <c r="R1160" s="476"/>
      <c r="S1160" s="476"/>
    </row>
    <row r="1161" spans="1:19" ht="15.75" customHeight="1" x14ac:dyDescent="0.25">
      <c r="A1161" s="438">
        <v>1158</v>
      </c>
      <c r="B1161" s="470" t="s">
        <v>17</v>
      </c>
      <c r="C1161" s="471" t="s">
        <v>18</v>
      </c>
      <c r="D1161" s="472" t="s">
        <v>19</v>
      </c>
      <c r="E1161" s="448" t="s">
        <v>4085</v>
      </c>
      <c r="F1161" s="448" t="s">
        <v>2982</v>
      </c>
      <c r="G1161" s="473" t="s">
        <v>4012</v>
      </c>
      <c r="H1161" s="439" t="s">
        <v>1541</v>
      </c>
      <c r="I1161" s="474" t="s">
        <v>3457</v>
      </c>
      <c r="J1161" s="474" t="s">
        <v>3464</v>
      </c>
      <c r="K1161" s="443" t="s">
        <v>1542</v>
      </c>
      <c r="L1161" s="471">
        <v>1</v>
      </c>
      <c r="M1161" s="449" t="s">
        <v>1556</v>
      </c>
      <c r="N1161" s="455">
        <v>14250</v>
      </c>
      <c r="O1161" s="475">
        <f t="shared" si="4"/>
        <v>14250</v>
      </c>
      <c r="P1161" s="476"/>
      <c r="Q1161" s="477">
        <v>46023</v>
      </c>
      <c r="R1161" s="476"/>
      <c r="S1161" s="476"/>
    </row>
    <row r="1162" spans="1:19" ht="15.75" customHeight="1" x14ac:dyDescent="0.25">
      <c r="A1162" s="438">
        <v>1159</v>
      </c>
      <c r="B1162" s="470" t="s">
        <v>17</v>
      </c>
      <c r="C1162" s="471" t="s">
        <v>18</v>
      </c>
      <c r="D1162" s="472" t="s">
        <v>19</v>
      </c>
      <c r="E1162" s="448" t="s">
        <v>4085</v>
      </c>
      <c r="F1162" s="448" t="s">
        <v>2982</v>
      </c>
      <c r="G1162" s="473" t="s">
        <v>4012</v>
      </c>
      <c r="H1162" s="439" t="s">
        <v>1541</v>
      </c>
      <c r="I1162" s="474" t="s">
        <v>3457</v>
      </c>
      <c r="J1162" s="474" t="s">
        <v>3464</v>
      </c>
      <c r="K1162" s="443" t="s">
        <v>1542</v>
      </c>
      <c r="L1162" s="471">
        <v>1</v>
      </c>
      <c r="M1162" s="449" t="s">
        <v>1557</v>
      </c>
      <c r="N1162" s="455">
        <v>14250</v>
      </c>
      <c r="O1162" s="475">
        <f t="shared" si="4"/>
        <v>14250</v>
      </c>
      <c r="P1162" s="476"/>
      <c r="Q1162" s="477">
        <v>46023</v>
      </c>
      <c r="R1162" s="476"/>
      <c r="S1162" s="476"/>
    </row>
    <row r="1163" spans="1:19" ht="15.75" customHeight="1" x14ac:dyDescent="0.25">
      <c r="A1163" s="438">
        <v>1160</v>
      </c>
      <c r="B1163" s="470" t="s">
        <v>17</v>
      </c>
      <c r="C1163" s="471" t="s">
        <v>18</v>
      </c>
      <c r="D1163" s="472" t="s">
        <v>19</v>
      </c>
      <c r="E1163" s="465" t="s">
        <v>4086</v>
      </c>
      <c r="F1163" s="448" t="s">
        <v>4097</v>
      </c>
      <c r="G1163" s="473" t="s">
        <v>4012</v>
      </c>
      <c r="H1163" s="439" t="s">
        <v>1541</v>
      </c>
      <c r="I1163" s="474" t="s">
        <v>3457</v>
      </c>
      <c r="J1163" s="474" t="s">
        <v>3464</v>
      </c>
      <c r="K1163" s="443" t="s">
        <v>1542</v>
      </c>
      <c r="L1163" s="471">
        <v>1</v>
      </c>
      <c r="M1163" s="449" t="s">
        <v>3509</v>
      </c>
      <c r="N1163" s="455">
        <v>14250</v>
      </c>
      <c r="O1163" s="475">
        <f t="shared" si="4"/>
        <v>14250</v>
      </c>
      <c r="P1163" s="476"/>
      <c r="Q1163" s="477">
        <v>46023</v>
      </c>
      <c r="R1163" s="476"/>
      <c r="S1163" s="476"/>
    </row>
    <row r="1164" spans="1:19" ht="15.75" customHeight="1" x14ac:dyDescent="0.25">
      <c r="A1164" s="438">
        <v>1161</v>
      </c>
      <c r="B1164" s="470" t="s">
        <v>17</v>
      </c>
      <c r="C1164" s="471" t="s">
        <v>18</v>
      </c>
      <c r="D1164" s="472" t="s">
        <v>19</v>
      </c>
      <c r="E1164" s="465" t="s">
        <v>4085</v>
      </c>
      <c r="F1164" s="448" t="s">
        <v>2985</v>
      </c>
      <c r="G1164" s="473" t="s">
        <v>4012</v>
      </c>
      <c r="H1164" s="439" t="s">
        <v>1541</v>
      </c>
      <c r="I1164" s="474" t="s">
        <v>3457</v>
      </c>
      <c r="J1164" s="474" t="s">
        <v>3464</v>
      </c>
      <c r="K1164" s="443" t="s">
        <v>1542</v>
      </c>
      <c r="L1164" s="471">
        <v>1</v>
      </c>
      <c r="M1164" s="449" t="s">
        <v>1558</v>
      </c>
      <c r="N1164" s="455">
        <v>14250</v>
      </c>
      <c r="O1164" s="475">
        <f t="shared" si="4"/>
        <v>14250</v>
      </c>
      <c r="P1164" s="476"/>
      <c r="Q1164" s="477">
        <v>46023</v>
      </c>
      <c r="R1164" s="476"/>
      <c r="S1164" s="476"/>
    </row>
    <row r="1165" spans="1:19" ht="15.75" customHeight="1" x14ac:dyDescent="0.25">
      <c r="A1165" s="438">
        <v>1162</v>
      </c>
      <c r="B1165" s="470" t="s">
        <v>17</v>
      </c>
      <c r="C1165" s="471" t="s">
        <v>18</v>
      </c>
      <c r="D1165" s="472" t="s">
        <v>19</v>
      </c>
      <c r="E1165" s="448" t="s">
        <v>4085</v>
      </c>
      <c r="F1165" s="448" t="s">
        <v>2985</v>
      </c>
      <c r="G1165" s="473" t="s">
        <v>4012</v>
      </c>
      <c r="H1165" s="439" t="s">
        <v>1541</v>
      </c>
      <c r="I1165" s="474" t="s">
        <v>3457</v>
      </c>
      <c r="J1165" s="474" t="s">
        <v>3464</v>
      </c>
      <c r="K1165" s="443" t="s">
        <v>1542</v>
      </c>
      <c r="L1165" s="471">
        <v>1</v>
      </c>
      <c r="M1165" s="447" t="s">
        <v>1559</v>
      </c>
      <c r="N1165" s="455">
        <v>14250</v>
      </c>
      <c r="O1165" s="475">
        <f t="shared" si="4"/>
        <v>14250</v>
      </c>
      <c r="P1165" s="476"/>
      <c r="Q1165" s="477">
        <v>46023</v>
      </c>
      <c r="R1165" s="476"/>
      <c r="S1165" s="476"/>
    </row>
    <row r="1166" spans="1:19" ht="15.75" customHeight="1" x14ac:dyDescent="0.25">
      <c r="A1166" s="438">
        <v>1163</v>
      </c>
      <c r="B1166" s="470" t="s">
        <v>17</v>
      </c>
      <c r="C1166" s="471" t="s">
        <v>18</v>
      </c>
      <c r="D1166" s="472" t="s">
        <v>19</v>
      </c>
      <c r="E1166" s="448" t="s">
        <v>4088</v>
      </c>
      <c r="F1166" s="448" t="s">
        <v>4101</v>
      </c>
      <c r="G1166" s="473" t="s">
        <v>4012</v>
      </c>
      <c r="H1166" s="439" t="s">
        <v>1541</v>
      </c>
      <c r="I1166" s="474" t="s">
        <v>3457</v>
      </c>
      <c r="J1166" s="474" t="s">
        <v>3464</v>
      </c>
      <c r="K1166" s="443" t="s">
        <v>1542</v>
      </c>
      <c r="L1166" s="471">
        <v>1</v>
      </c>
      <c r="M1166" s="447" t="s">
        <v>1560</v>
      </c>
      <c r="N1166" s="455">
        <v>14250</v>
      </c>
      <c r="O1166" s="475">
        <f t="shared" si="4"/>
        <v>14250</v>
      </c>
      <c r="P1166" s="476"/>
      <c r="Q1166" s="477">
        <v>46023</v>
      </c>
      <c r="R1166" s="476"/>
      <c r="S1166" s="476"/>
    </row>
    <row r="1167" spans="1:19" ht="15.75" customHeight="1" x14ac:dyDescent="0.25">
      <c r="A1167" s="438">
        <v>1164</v>
      </c>
      <c r="B1167" s="470" t="s">
        <v>17</v>
      </c>
      <c r="C1167" s="471" t="s">
        <v>18</v>
      </c>
      <c r="D1167" s="472" t="s">
        <v>19</v>
      </c>
      <c r="E1167" s="448" t="s">
        <v>4088</v>
      </c>
      <c r="F1167" s="448" t="s">
        <v>4101</v>
      </c>
      <c r="G1167" s="473" t="s">
        <v>4012</v>
      </c>
      <c r="H1167" s="439" t="s">
        <v>1541</v>
      </c>
      <c r="I1167" s="474" t="s">
        <v>3457</v>
      </c>
      <c r="J1167" s="474" t="s">
        <v>3464</v>
      </c>
      <c r="K1167" s="443" t="s">
        <v>1542</v>
      </c>
      <c r="L1167" s="471">
        <v>1</v>
      </c>
      <c r="M1167" s="447" t="s">
        <v>1561</v>
      </c>
      <c r="N1167" s="455">
        <v>14250</v>
      </c>
      <c r="O1167" s="475">
        <f t="shared" si="4"/>
        <v>14250</v>
      </c>
      <c r="P1167" s="476"/>
      <c r="Q1167" s="477">
        <v>46023</v>
      </c>
      <c r="R1167" s="476"/>
      <c r="S1167" s="476"/>
    </row>
    <row r="1168" spans="1:19" ht="15.75" customHeight="1" x14ac:dyDescent="0.25">
      <c r="A1168" s="438">
        <v>1165</v>
      </c>
      <c r="B1168" s="470" t="s">
        <v>17</v>
      </c>
      <c r="C1168" s="471" t="s">
        <v>18</v>
      </c>
      <c r="D1168" s="472" t="s">
        <v>19</v>
      </c>
      <c r="E1168" s="448" t="s">
        <v>4088</v>
      </c>
      <c r="F1168" s="448" t="s">
        <v>4105</v>
      </c>
      <c r="G1168" s="473" t="s">
        <v>4012</v>
      </c>
      <c r="H1168" s="439" t="s">
        <v>1541</v>
      </c>
      <c r="I1168" s="474" t="s">
        <v>3457</v>
      </c>
      <c r="J1168" s="474" t="s">
        <v>3464</v>
      </c>
      <c r="K1168" s="443" t="s">
        <v>1542</v>
      </c>
      <c r="L1168" s="471">
        <v>1</v>
      </c>
      <c r="M1168" s="447" t="s">
        <v>1562</v>
      </c>
      <c r="N1168" s="455">
        <v>14250</v>
      </c>
      <c r="O1168" s="475">
        <f t="shared" si="4"/>
        <v>14250</v>
      </c>
      <c r="P1168" s="476"/>
      <c r="Q1168" s="477">
        <v>46023</v>
      </c>
      <c r="R1168" s="476"/>
      <c r="S1168" s="476"/>
    </row>
    <row r="1169" spans="1:19" ht="15.75" customHeight="1" x14ac:dyDescent="0.25">
      <c r="A1169" s="438">
        <v>1166</v>
      </c>
      <c r="B1169" s="470" t="s">
        <v>17</v>
      </c>
      <c r="C1169" s="471" t="s">
        <v>18</v>
      </c>
      <c r="D1169" s="472" t="s">
        <v>19</v>
      </c>
      <c r="E1169" s="448" t="s">
        <v>4088</v>
      </c>
      <c r="F1169" s="448" t="s">
        <v>3049</v>
      </c>
      <c r="G1169" s="473" t="s">
        <v>4012</v>
      </c>
      <c r="H1169" s="439" t="s">
        <v>1541</v>
      </c>
      <c r="I1169" s="474" t="s">
        <v>3457</v>
      </c>
      <c r="J1169" s="474" t="s">
        <v>3464</v>
      </c>
      <c r="K1169" s="443" t="s">
        <v>1542</v>
      </c>
      <c r="L1169" s="471">
        <v>1</v>
      </c>
      <c r="M1169" s="447" t="s">
        <v>1563</v>
      </c>
      <c r="N1169" s="455">
        <v>14250</v>
      </c>
      <c r="O1169" s="475">
        <f t="shared" si="4"/>
        <v>14250</v>
      </c>
      <c r="P1169" s="476"/>
      <c r="Q1169" s="477">
        <v>46023</v>
      </c>
      <c r="R1169" s="476"/>
      <c r="S1169" s="476"/>
    </row>
    <row r="1170" spans="1:19" ht="15.75" customHeight="1" x14ac:dyDescent="0.25">
      <c r="A1170" s="438">
        <v>1167</v>
      </c>
      <c r="B1170" s="470" t="s">
        <v>17</v>
      </c>
      <c r="C1170" s="471" t="s">
        <v>18</v>
      </c>
      <c r="D1170" s="472" t="s">
        <v>19</v>
      </c>
      <c r="E1170" s="448" t="s">
        <v>4088</v>
      </c>
      <c r="F1170" s="448" t="s">
        <v>4106</v>
      </c>
      <c r="G1170" s="473" t="s">
        <v>4012</v>
      </c>
      <c r="H1170" s="439" t="s">
        <v>1541</v>
      </c>
      <c r="I1170" s="474" t="s">
        <v>3457</v>
      </c>
      <c r="J1170" s="474" t="s">
        <v>3464</v>
      </c>
      <c r="K1170" s="443" t="s">
        <v>1542</v>
      </c>
      <c r="L1170" s="471">
        <v>1</v>
      </c>
      <c r="M1170" s="447" t="s">
        <v>1564</v>
      </c>
      <c r="N1170" s="455">
        <v>14250</v>
      </c>
      <c r="O1170" s="475">
        <f t="shared" si="4"/>
        <v>14250</v>
      </c>
      <c r="P1170" s="476"/>
      <c r="Q1170" s="477">
        <v>46023</v>
      </c>
      <c r="R1170" s="476"/>
      <c r="S1170" s="476"/>
    </row>
    <row r="1171" spans="1:19" ht="15.75" customHeight="1" x14ac:dyDescent="0.25">
      <c r="A1171" s="438">
        <v>1168</v>
      </c>
      <c r="B1171" s="470" t="s">
        <v>17</v>
      </c>
      <c r="C1171" s="471" t="s">
        <v>18</v>
      </c>
      <c r="D1171" s="472" t="s">
        <v>19</v>
      </c>
      <c r="E1171" s="448" t="s">
        <v>4089</v>
      </c>
      <c r="F1171" s="448" t="s">
        <v>4108</v>
      </c>
      <c r="G1171" s="473" t="s">
        <v>4012</v>
      </c>
      <c r="H1171" s="439" t="s">
        <v>1541</v>
      </c>
      <c r="I1171" s="474" t="s">
        <v>3457</v>
      </c>
      <c r="J1171" s="474" t="s">
        <v>3464</v>
      </c>
      <c r="K1171" s="443" t="s">
        <v>1542</v>
      </c>
      <c r="L1171" s="471">
        <v>1</v>
      </c>
      <c r="M1171" s="447" t="s">
        <v>1565</v>
      </c>
      <c r="N1171" s="455">
        <v>14250</v>
      </c>
      <c r="O1171" s="475">
        <f t="shared" si="4"/>
        <v>14250</v>
      </c>
      <c r="P1171" s="476"/>
      <c r="Q1171" s="477">
        <v>46023</v>
      </c>
      <c r="R1171" s="476"/>
      <c r="S1171" s="476"/>
    </row>
    <row r="1172" spans="1:19" ht="15.75" customHeight="1" x14ac:dyDescent="0.25">
      <c r="A1172" s="438">
        <v>1169</v>
      </c>
      <c r="B1172" s="470" t="s">
        <v>17</v>
      </c>
      <c r="C1172" s="471" t="s">
        <v>18</v>
      </c>
      <c r="D1172" s="472" t="s">
        <v>19</v>
      </c>
      <c r="E1172" s="448" t="s">
        <v>4081</v>
      </c>
      <c r="F1172" s="448" t="s">
        <v>2989</v>
      </c>
      <c r="G1172" s="473" t="s">
        <v>4012</v>
      </c>
      <c r="H1172" s="439" t="s">
        <v>1541</v>
      </c>
      <c r="I1172" s="474" t="s">
        <v>3457</v>
      </c>
      <c r="J1172" s="474" t="s">
        <v>3464</v>
      </c>
      <c r="K1172" s="443" t="s">
        <v>1542</v>
      </c>
      <c r="L1172" s="471">
        <v>1</v>
      </c>
      <c r="M1172" s="447" t="s">
        <v>1566</v>
      </c>
      <c r="N1172" s="455">
        <v>14250</v>
      </c>
      <c r="O1172" s="475">
        <f t="shared" si="4"/>
        <v>14250</v>
      </c>
      <c r="P1172" s="476"/>
      <c r="Q1172" s="477">
        <v>46023</v>
      </c>
      <c r="R1172" s="476"/>
      <c r="S1172" s="476"/>
    </row>
    <row r="1173" spans="1:19" ht="15.75" customHeight="1" x14ac:dyDescent="0.25">
      <c r="A1173" s="438">
        <v>1170</v>
      </c>
      <c r="B1173" s="470" t="s">
        <v>17</v>
      </c>
      <c r="C1173" s="471" t="s">
        <v>18</v>
      </c>
      <c r="D1173" s="472" t="s">
        <v>19</v>
      </c>
      <c r="E1173" s="448" t="s">
        <v>4086</v>
      </c>
      <c r="F1173" s="448" t="s">
        <v>4102</v>
      </c>
      <c r="G1173" s="473" t="s">
        <v>4012</v>
      </c>
      <c r="H1173" s="439" t="s">
        <v>1541</v>
      </c>
      <c r="I1173" s="474" t="s">
        <v>3457</v>
      </c>
      <c r="J1173" s="474" t="s">
        <v>3464</v>
      </c>
      <c r="K1173" s="443" t="s">
        <v>1542</v>
      </c>
      <c r="L1173" s="471">
        <v>1</v>
      </c>
      <c r="M1173" s="447" t="s">
        <v>1567</v>
      </c>
      <c r="N1173" s="455">
        <v>14250</v>
      </c>
      <c r="O1173" s="475">
        <f t="shared" si="4"/>
        <v>14250</v>
      </c>
      <c r="P1173" s="476"/>
      <c r="Q1173" s="477">
        <v>46023</v>
      </c>
      <c r="R1173" s="476"/>
      <c r="S1173" s="476"/>
    </row>
    <row r="1174" spans="1:19" ht="15.75" customHeight="1" x14ac:dyDescent="0.25">
      <c r="A1174" s="438">
        <v>1171</v>
      </c>
      <c r="B1174" s="470" t="s">
        <v>17</v>
      </c>
      <c r="C1174" s="471" t="s">
        <v>18</v>
      </c>
      <c r="D1174" s="472" t="s">
        <v>19</v>
      </c>
      <c r="E1174" s="448" t="s">
        <v>4083</v>
      </c>
      <c r="F1174" s="448" t="s">
        <v>4109</v>
      </c>
      <c r="G1174" s="473" t="s">
        <v>4012</v>
      </c>
      <c r="H1174" s="439" t="s">
        <v>1541</v>
      </c>
      <c r="I1174" s="474" t="s">
        <v>3457</v>
      </c>
      <c r="J1174" s="474" t="s">
        <v>3464</v>
      </c>
      <c r="K1174" s="443" t="s">
        <v>1542</v>
      </c>
      <c r="L1174" s="471">
        <v>1</v>
      </c>
      <c r="M1174" s="447" t="s">
        <v>1568</v>
      </c>
      <c r="N1174" s="455">
        <v>14250</v>
      </c>
      <c r="O1174" s="475">
        <f t="shared" si="4"/>
        <v>14250</v>
      </c>
      <c r="P1174" s="476"/>
      <c r="Q1174" s="477">
        <v>46023</v>
      </c>
      <c r="R1174" s="476"/>
      <c r="S1174" s="476"/>
    </row>
    <row r="1175" spans="1:19" ht="15.75" customHeight="1" x14ac:dyDescent="0.25">
      <c r="A1175" s="438">
        <v>1172</v>
      </c>
      <c r="B1175" s="470" t="s">
        <v>17</v>
      </c>
      <c r="C1175" s="471" t="s">
        <v>18</v>
      </c>
      <c r="D1175" s="472" t="s">
        <v>19</v>
      </c>
      <c r="E1175" s="448" t="s">
        <v>4083</v>
      </c>
      <c r="F1175" s="448" t="s">
        <v>4100</v>
      </c>
      <c r="G1175" s="473" t="s">
        <v>4012</v>
      </c>
      <c r="H1175" s="439" t="s">
        <v>1541</v>
      </c>
      <c r="I1175" s="474" t="s">
        <v>3457</v>
      </c>
      <c r="J1175" s="474" t="s">
        <v>3464</v>
      </c>
      <c r="K1175" s="443" t="s">
        <v>1542</v>
      </c>
      <c r="L1175" s="471">
        <v>1</v>
      </c>
      <c r="M1175" s="447" t="s">
        <v>1569</v>
      </c>
      <c r="N1175" s="455">
        <v>14250</v>
      </c>
      <c r="O1175" s="475">
        <f t="shared" si="4"/>
        <v>14250</v>
      </c>
      <c r="P1175" s="476"/>
      <c r="Q1175" s="477">
        <v>46023</v>
      </c>
      <c r="R1175" s="476"/>
      <c r="S1175" s="476"/>
    </row>
    <row r="1176" spans="1:19" ht="15.75" customHeight="1" x14ac:dyDescent="0.25">
      <c r="A1176" s="438">
        <v>1173</v>
      </c>
      <c r="B1176" s="470" t="s">
        <v>17</v>
      </c>
      <c r="C1176" s="471" t="s">
        <v>18</v>
      </c>
      <c r="D1176" s="472" t="s">
        <v>19</v>
      </c>
      <c r="E1176" s="448" t="s">
        <v>4080</v>
      </c>
      <c r="F1176" s="448" t="s">
        <v>4080</v>
      </c>
      <c r="G1176" s="473" t="s">
        <v>4013</v>
      </c>
      <c r="H1176" s="439" t="s">
        <v>1570</v>
      </c>
      <c r="I1176" s="474" t="s">
        <v>3457</v>
      </c>
      <c r="J1176" s="474" t="s">
        <v>3464</v>
      </c>
      <c r="K1176" s="443" t="s">
        <v>1571</v>
      </c>
      <c r="L1176" s="471">
        <v>1</v>
      </c>
      <c r="M1176" s="447" t="s">
        <v>1572</v>
      </c>
      <c r="N1176" s="455">
        <v>44900</v>
      </c>
      <c r="O1176" s="475">
        <f t="shared" si="4"/>
        <v>44900</v>
      </c>
      <c r="P1176" s="476"/>
      <c r="Q1176" s="477">
        <v>46023</v>
      </c>
      <c r="R1176" s="476"/>
      <c r="S1176" s="476"/>
    </row>
    <row r="1177" spans="1:19" ht="15.75" customHeight="1" x14ac:dyDescent="0.25">
      <c r="A1177" s="438">
        <v>1174</v>
      </c>
      <c r="B1177" s="470" t="s">
        <v>17</v>
      </c>
      <c r="C1177" s="471" t="s">
        <v>18</v>
      </c>
      <c r="D1177" s="472" t="s">
        <v>19</v>
      </c>
      <c r="E1177" s="448" t="s">
        <v>4080</v>
      </c>
      <c r="F1177" s="448" t="s">
        <v>4080</v>
      </c>
      <c r="G1177" s="473" t="s">
        <v>4014</v>
      </c>
      <c r="H1177" s="439" t="s">
        <v>1573</v>
      </c>
      <c r="I1177" s="474" t="s">
        <v>3457</v>
      </c>
      <c r="J1177" s="474" t="s">
        <v>3464</v>
      </c>
      <c r="K1177" s="443" t="s">
        <v>1574</v>
      </c>
      <c r="L1177" s="471">
        <v>1</v>
      </c>
      <c r="M1177" s="447" t="s">
        <v>3510</v>
      </c>
      <c r="N1177" s="455">
        <v>65000</v>
      </c>
      <c r="O1177" s="475">
        <f t="shared" si="4"/>
        <v>65000</v>
      </c>
      <c r="P1177" s="476"/>
      <c r="Q1177" s="477">
        <v>46023</v>
      </c>
      <c r="R1177" s="476"/>
      <c r="S1177" s="476"/>
    </row>
    <row r="1178" spans="1:19" ht="15.75" customHeight="1" x14ac:dyDescent="0.25">
      <c r="A1178" s="438">
        <v>1175</v>
      </c>
      <c r="B1178" s="470" t="s">
        <v>17</v>
      </c>
      <c r="C1178" s="471" t="s">
        <v>18</v>
      </c>
      <c r="D1178" s="472" t="s">
        <v>19</v>
      </c>
      <c r="E1178" s="448" t="s">
        <v>4080</v>
      </c>
      <c r="F1178" s="448" t="s">
        <v>4080</v>
      </c>
      <c r="G1178" s="473" t="s">
        <v>4014</v>
      </c>
      <c r="H1178" s="439" t="s">
        <v>1573</v>
      </c>
      <c r="I1178" s="474" t="s">
        <v>3457</v>
      </c>
      <c r="J1178" s="474" t="s">
        <v>3464</v>
      </c>
      <c r="K1178" s="443" t="s">
        <v>1574</v>
      </c>
      <c r="L1178" s="471">
        <v>1</v>
      </c>
      <c r="M1178" s="447" t="s">
        <v>1575</v>
      </c>
      <c r="N1178" s="455">
        <v>59850</v>
      </c>
      <c r="O1178" s="475">
        <f t="shared" si="4"/>
        <v>59850</v>
      </c>
      <c r="P1178" s="476"/>
      <c r="Q1178" s="477">
        <v>46023</v>
      </c>
      <c r="R1178" s="476"/>
      <c r="S1178" s="476"/>
    </row>
    <row r="1179" spans="1:19" ht="15.75" customHeight="1" x14ac:dyDescent="0.25">
      <c r="A1179" s="438">
        <v>1176</v>
      </c>
      <c r="B1179" s="470" t="s">
        <v>17</v>
      </c>
      <c r="C1179" s="471" t="s">
        <v>18</v>
      </c>
      <c r="D1179" s="472" t="s">
        <v>19</v>
      </c>
      <c r="E1179" s="448" t="s">
        <v>4080</v>
      </c>
      <c r="F1179" s="448" t="s">
        <v>4080</v>
      </c>
      <c r="G1179" s="473" t="s">
        <v>4012</v>
      </c>
      <c r="H1179" s="439" t="s">
        <v>1576</v>
      </c>
      <c r="I1179" s="474" t="s">
        <v>3457</v>
      </c>
      <c r="J1179" s="474" t="s">
        <v>3464</v>
      </c>
      <c r="K1179" s="443" t="s">
        <v>1542</v>
      </c>
      <c r="L1179" s="471">
        <v>1</v>
      </c>
      <c r="M1179" s="447" t="s">
        <v>1577</v>
      </c>
      <c r="N1179" s="455">
        <v>7000</v>
      </c>
      <c r="O1179" s="475">
        <f t="shared" si="4"/>
        <v>7000</v>
      </c>
      <c r="P1179" s="476"/>
      <c r="Q1179" s="477">
        <v>46023</v>
      </c>
      <c r="R1179" s="476"/>
      <c r="S1179" s="476"/>
    </row>
    <row r="1180" spans="1:19" ht="15.75" customHeight="1" x14ac:dyDescent="0.25">
      <c r="A1180" s="438">
        <v>1177</v>
      </c>
      <c r="B1180" s="470" t="s">
        <v>17</v>
      </c>
      <c r="C1180" s="471" t="s">
        <v>18</v>
      </c>
      <c r="D1180" s="472" t="s">
        <v>19</v>
      </c>
      <c r="E1180" s="448" t="s">
        <v>4080</v>
      </c>
      <c r="F1180" s="448" t="s">
        <v>4080</v>
      </c>
      <c r="G1180" s="473" t="s">
        <v>4012</v>
      </c>
      <c r="H1180" s="439" t="s">
        <v>1576</v>
      </c>
      <c r="I1180" s="474" t="s">
        <v>3457</v>
      </c>
      <c r="J1180" s="474" t="s">
        <v>3464</v>
      </c>
      <c r="K1180" s="443" t="s">
        <v>1542</v>
      </c>
      <c r="L1180" s="471">
        <v>1</v>
      </c>
      <c r="M1180" s="447" t="s">
        <v>1578</v>
      </c>
      <c r="N1180" s="455">
        <v>7000</v>
      </c>
      <c r="O1180" s="475">
        <f t="shared" si="4"/>
        <v>7000</v>
      </c>
      <c r="P1180" s="476"/>
      <c r="Q1180" s="477">
        <v>46023</v>
      </c>
      <c r="R1180" s="476"/>
      <c r="S1180" s="476"/>
    </row>
    <row r="1181" spans="1:19" ht="15.75" customHeight="1" x14ac:dyDescent="0.25">
      <c r="A1181" s="438">
        <v>1178</v>
      </c>
      <c r="B1181" s="470" t="s">
        <v>17</v>
      </c>
      <c r="C1181" s="471" t="s">
        <v>18</v>
      </c>
      <c r="D1181" s="472" t="s">
        <v>19</v>
      </c>
      <c r="E1181" s="448" t="s">
        <v>4080</v>
      </c>
      <c r="F1181" s="448" t="s">
        <v>4080</v>
      </c>
      <c r="G1181" s="473" t="s">
        <v>4014</v>
      </c>
      <c r="H1181" s="439" t="s">
        <v>1573</v>
      </c>
      <c r="I1181" s="474" t="s">
        <v>3457</v>
      </c>
      <c r="J1181" s="474" t="s">
        <v>3464</v>
      </c>
      <c r="K1181" s="443" t="s">
        <v>1574</v>
      </c>
      <c r="L1181" s="471">
        <v>1</v>
      </c>
      <c r="M1181" s="447" t="s">
        <v>1579</v>
      </c>
      <c r="N1181" s="455">
        <v>39850</v>
      </c>
      <c r="O1181" s="475">
        <f t="shared" si="4"/>
        <v>39850</v>
      </c>
      <c r="P1181" s="476"/>
      <c r="Q1181" s="477">
        <v>46023</v>
      </c>
      <c r="R1181" s="476"/>
      <c r="S1181" s="476"/>
    </row>
    <row r="1182" spans="1:19" ht="15.75" customHeight="1" x14ac:dyDescent="0.25">
      <c r="A1182" s="438">
        <v>1179</v>
      </c>
      <c r="B1182" s="470" t="s">
        <v>17</v>
      </c>
      <c r="C1182" s="471" t="s">
        <v>18</v>
      </c>
      <c r="D1182" s="472" t="s">
        <v>19</v>
      </c>
      <c r="E1182" s="448" t="s">
        <v>4081</v>
      </c>
      <c r="F1182" s="448" t="s">
        <v>2989</v>
      </c>
      <c r="G1182" s="473" t="s">
        <v>4015</v>
      </c>
      <c r="H1182" s="439" t="s">
        <v>1580</v>
      </c>
      <c r="I1182" s="474" t="s">
        <v>3457</v>
      </c>
      <c r="J1182" s="474" t="s">
        <v>3465</v>
      </c>
      <c r="K1182" s="443" t="s">
        <v>1581</v>
      </c>
      <c r="L1182" s="471">
        <v>1</v>
      </c>
      <c r="M1182" s="447" t="s">
        <v>1582</v>
      </c>
      <c r="N1182" s="455">
        <v>38500</v>
      </c>
      <c r="O1182" s="475">
        <f t="shared" si="4"/>
        <v>38500</v>
      </c>
      <c r="P1182" s="476"/>
      <c r="Q1182" s="477">
        <v>46023</v>
      </c>
      <c r="R1182" s="476"/>
      <c r="S1182" s="476"/>
    </row>
    <row r="1183" spans="1:19" ht="15.75" customHeight="1" x14ac:dyDescent="0.25">
      <c r="A1183" s="438">
        <v>1180</v>
      </c>
      <c r="B1183" s="470" t="s">
        <v>17</v>
      </c>
      <c r="C1183" s="471" t="s">
        <v>18</v>
      </c>
      <c r="D1183" s="472" t="s">
        <v>19</v>
      </c>
      <c r="E1183" s="448" t="s">
        <v>4081</v>
      </c>
      <c r="F1183" s="448" t="s">
        <v>2989</v>
      </c>
      <c r="G1183" s="473" t="s">
        <v>4016</v>
      </c>
      <c r="H1183" s="439" t="s">
        <v>1583</v>
      </c>
      <c r="I1183" s="474" t="s">
        <v>3457</v>
      </c>
      <c r="J1183" s="474" t="s">
        <v>3463</v>
      </c>
      <c r="K1183" s="443" t="s">
        <v>3476</v>
      </c>
      <c r="L1183" s="471">
        <v>1</v>
      </c>
      <c r="M1183" s="447" t="s">
        <v>1584</v>
      </c>
      <c r="N1183" s="455">
        <v>6600</v>
      </c>
      <c r="O1183" s="475">
        <f t="shared" si="4"/>
        <v>6600</v>
      </c>
      <c r="P1183" s="476"/>
      <c r="Q1183" s="477">
        <v>46023</v>
      </c>
      <c r="R1183" s="476"/>
      <c r="S1183" s="476"/>
    </row>
    <row r="1184" spans="1:19" ht="15.75" customHeight="1" x14ac:dyDescent="0.25">
      <c r="A1184" s="438">
        <v>1181</v>
      </c>
      <c r="B1184" s="470" t="s">
        <v>17</v>
      </c>
      <c r="C1184" s="471" t="s">
        <v>18</v>
      </c>
      <c r="D1184" s="472" t="s">
        <v>19</v>
      </c>
      <c r="E1184" s="448" t="s">
        <v>4081</v>
      </c>
      <c r="F1184" s="448" t="s">
        <v>2989</v>
      </c>
      <c r="G1184" s="473" t="s">
        <v>4016</v>
      </c>
      <c r="H1184" s="439" t="s">
        <v>1583</v>
      </c>
      <c r="I1184" s="474" t="s">
        <v>3457</v>
      </c>
      <c r="J1184" s="474" t="s">
        <v>3463</v>
      </c>
      <c r="K1184" s="443" t="s">
        <v>3476</v>
      </c>
      <c r="L1184" s="471">
        <v>1</v>
      </c>
      <c r="M1184" s="447" t="s">
        <v>1585</v>
      </c>
      <c r="N1184" s="455">
        <v>6600</v>
      </c>
      <c r="O1184" s="475">
        <f t="shared" si="4"/>
        <v>6600</v>
      </c>
      <c r="P1184" s="476"/>
      <c r="Q1184" s="477">
        <v>46023</v>
      </c>
      <c r="R1184" s="476"/>
      <c r="S1184" s="476"/>
    </row>
    <row r="1185" spans="1:19" ht="15.75" customHeight="1" x14ac:dyDescent="0.25">
      <c r="A1185" s="438">
        <v>1182</v>
      </c>
      <c r="B1185" s="470" t="s">
        <v>17</v>
      </c>
      <c r="C1185" s="471" t="s">
        <v>18</v>
      </c>
      <c r="D1185" s="472" t="s">
        <v>19</v>
      </c>
      <c r="E1185" s="448" t="s">
        <v>4085</v>
      </c>
      <c r="F1185" s="448" t="s">
        <v>2985</v>
      </c>
      <c r="G1185" s="473" t="s">
        <v>4017</v>
      </c>
      <c r="H1185" s="439" t="s">
        <v>1586</v>
      </c>
      <c r="I1185" s="474" t="s">
        <v>3457</v>
      </c>
      <c r="J1185" s="474" t="s">
        <v>3463</v>
      </c>
      <c r="K1185" s="443" t="s">
        <v>3477</v>
      </c>
      <c r="L1185" s="471">
        <v>1</v>
      </c>
      <c r="M1185" s="447" t="s">
        <v>1587</v>
      </c>
      <c r="N1185" s="455">
        <v>2430</v>
      </c>
      <c r="O1185" s="475">
        <f t="shared" si="4"/>
        <v>2430</v>
      </c>
      <c r="P1185" s="476"/>
      <c r="Q1185" s="477">
        <v>46023</v>
      </c>
      <c r="R1185" s="476"/>
      <c r="S1185" s="476"/>
    </row>
    <row r="1186" spans="1:19" ht="15.75" customHeight="1" x14ac:dyDescent="0.25">
      <c r="A1186" s="438">
        <v>1183</v>
      </c>
      <c r="B1186" s="470" t="s">
        <v>17</v>
      </c>
      <c r="C1186" s="471" t="s">
        <v>18</v>
      </c>
      <c r="D1186" s="472" t="s">
        <v>19</v>
      </c>
      <c r="E1186" s="448" t="s">
        <v>4085</v>
      </c>
      <c r="F1186" s="448" t="s">
        <v>2982</v>
      </c>
      <c r="G1186" s="473" t="s">
        <v>4018</v>
      </c>
      <c r="H1186" s="439" t="s">
        <v>1588</v>
      </c>
      <c r="I1186" s="474" t="s">
        <v>3457</v>
      </c>
      <c r="J1186" s="474" t="s">
        <v>3464</v>
      </c>
      <c r="K1186" s="443" t="s">
        <v>1589</v>
      </c>
      <c r="L1186" s="471">
        <v>1</v>
      </c>
      <c r="M1186" s="447" t="s">
        <v>1590</v>
      </c>
      <c r="N1186" s="455">
        <v>11050</v>
      </c>
      <c r="O1186" s="475">
        <f t="shared" si="4"/>
        <v>11050</v>
      </c>
      <c r="P1186" s="476"/>
      <c r="Q1186" s="477">
        <v>46023</v>
      </c>
      <c r="R1186" s="476"/>
      <c r="S1186" s="476"/>
    </row>
    <row r="1187" spans="1:19" ht="15.75" customHeight="1" x14ac:dyDescent="0.25">
      <c r="A1187" s="438">
        <v>1184</v>
      </c>
      <c r="B1187" s="470" t="s">
        <v>17</v>
      </c>
      <c r="C1187" s="471" t="s">
        <v>18</v>
      </c>
      <c r="D1187" s="472" t="s">
        <v>19</v>
      </c>
      <c r="E1187" s="448" t="s">
        <v>4085</v>
      </c>
      <c r="F1187" s="448" t="s">
        <v>3026</v>
      </c>
      <c r="G1187" s="473" t="s">
        <v>3045</v>
      </c>
      <c r="H1187" s="439" t="s">
        <v>1591</v>
      </c>
      <c r="I1187" s="474" t="s">
        <v>3457</v>
      </c>
      <c r="J1187" s="474" t="s">
        <v>3464</v>
      </c>
      <c r="K1187" s="443" t="s">
        <v>1592</v>
      </c>
      <c r="L1187" s="471">
        <v>1</v>
      </c>
      <c r="M1187" s="447" t="s">
        <v>1593</v>
      </c>
      <c r="N1187" s="455">
        <v>4650</v>
      </c>
      <c r="O1187" s="475">
        <f t="shared" si="4"/>
        <v>4650</v>
      </c>
      <c r="P1187" s="476"/>
      <c r="Q1187" s="477">
        <v>46023</v>
      </c>
      <c r="R1187" s="476"/>
      <c r="S1187" s="476"/>
    </row>
    <row r="1188" spans="1:19" ht="15.75" customHeight="1" x14ac:dyDescent="0.25">
      <c r="A1188" s="438">
        <v>1185</v>
      </c>
      <c r="B1188" s="470" t="s">
        <v>17</v>
      </c>
      <c r="C1188" s="471" t="s">
        <v>18</v>
      </c>
      <c r="D1188" s="472" t="s">
        <v>19</v>
      </c>
      <c r="E1188" s="448" t="s">
        <v>4085</v>
      </c>
      <c r="F1188" s="448" t="s">
        <v>3026</v>
      </c>
      <c r="G1188" s="473" t="s">
        <v>3045</v>
      </c>
      <c r="H1188" s="439" t="s">
        <v>1591</v>
      </c>
      <c r="I1188" s="474" t="s">
        <v>3457</v>
      </c>
      <c r="J1188" s="474" t="s">
        <v>3464</v>
      </c>
      <c r="K1188" s="443" t="s">
        <v>1592</v>
      </c>
      <c r="L1188" s="471">
        <v>1</v>
      </c>
      <c r="M1188" s="447" t="s">
        <v>1594</v>
      </c>
      <c r="N1188" s="455">
        <v>4650</v>
      </c>
      <c r="O1188" s="475">
        <f t="shared" si="4"/>
        <v>4650</v>
      </c>
      <c r="P1188" s="476"/>
      <c r="Q1188" s="477">
        <v>46023</v>
      </c>
      <c r="R1188" s="476"/>
      <c r="S1188" s="476"/>
    </row>
    <row r="1189" spans="1:19" ht="15.75" customHeight="1" x14ac:dyDescent="0.25">
      <c r="A1189" s="438">
        <v>1186</v>
      </c>
      <c r="B1189" s="470" t="s">
        <v>17</v>
      </c>
      <c r="C1189" s="471" t="s">
        <v>18</v>
      </c>
      <c r="D1189" s="472" t="s">
        <v>19</v>
      </c>
      <c r="E1189" s="448" t="s">
        <v>4085</v>
      </c>
      <c r="F1189" s="448" t="s">
        <v>3026</v>
      </c>
      <c r="G1189" s="473" t="s">
        <v>3045</v>
      </c>
      <c r="H1189" s="439" t="s">
        <v>1591</v>
      </c>
      <c r="I1189" s="474" t="s">
        <v>3457</v>
      </c>
      <c r="J1189" s="474" t="s">
        <v>3464</v>
      </c>
      <c r="K1189" s="443" t="s">
        <v>1592</v>
      </c>
      <c r="L1189" s="471">
        <v>1</v>
      </c>
      <c r="M1189" s="447" t="s">
        <v>1595</v>
      </c>
      <c r="N1189" s="455">
        <v>4650</v>
      </c>
      <c r="O1189" s="475">
        <f t="shared" si="4"/>
        <v>4650</v>
      </c>
      <c r="P1189" s="476"/>
      <c r="Q1189" s="477">
        <v>46023</v>
      </c>
      <c r="R1189" s="476"/>
      <c r="S1189" s="476"/>
    </row>
    <row r="1190" spans="1:19" ht="15.75" customHeight="1" x14ac:dyDescent="0.25">
      <c r="A1190" s="438">
        <v>1187</v>
      </c>
      <c r="B1190" s="470" t="s">
        <v>17</v>
      </c>
      <c r="C1190" s="471" t="s">
        <v>18</v>
      </c>
      <c r="D1190" s="472" t="s">
        <v>19</v>
      </c>
      <c r="E1190" s="448" t="s">
        <v>4085</v>
      </c>
      <c r="F1190" s="448" t="s">
        <v>3026</v>
      </c>
      <c r="G1190" s="473" t="s">
        <v>3045</v>
      </c>
      <c r="H1190" s="439" t="s">
        <v>1591</v>
      </c>
      <c r="I1190" s="474" t="s">
        <v>3457</v>
      </c>
      <c r="J1190" s="474" t="s">
        <v>3464</v>
      </c>
      <c r="K1190" s="443" t="s">
        <v>1592</v>
      </c>
      <c r="L1190" s="471">
        <v>1</v>
      </c>
      <c r="M1190" s="447" t="s">
        <v>1596</v>
      </c>
      <c r="N1190" s="455">
        <v>4650</v>
      </c>
      <c r="O1190" s="475">
        <f t="shared" si="4"/>
        <v>4650</v>
      </c>
      <c r="P1190" s="476"/>
      <c r="Q1190" s="477">
        <v>46023</v>
      </c>
      <c r="R1190" s="476"/>
      <c r="S1190" s="476"/>
    </row>
    <row r="1191" spans="1:19" ht="15.75" customHeight="1" x14ac:dyDescent="0.25">
      <c r="A1191" s="438">
        <v>1188</v>
      </c>
      <c r="B1191" s="470" t="s">
        <v>17</v>
      </c>
      <c r="C1191" s="471" t="s">
        <v>18</v>
      </c>
      <c r="D1191" s="472" t="s">
        <v>19</v>
      </c>
      <c r="E1191" s="448" t="s">
        <v>4085</v>
      </c>
      <c r="F1191" s="448" t="s">
        <v>2982</v>
      </c>
      <c r="G1191" s="473" t="s">
        <v>3045</v>
      </c>
      <c r="H1191" s="439" t="s">
        <v>1591</v>
      </c>
      <c r="I1191" s="474" t="s">
        <v>3457</v>
      </c>
      <c r="J1191" s="474" t="s">
        <v>3464</v>
      </c>
      <c r="K1191" s="443" t="s">
        <v>1592</v>
      </c>
      <c r="L1191" s="471">
        <v>1</v>
      </c>
      <c r="M1191" s="447" t="s">
        <v>1597</v>
      </c>
      <c r="N1191" s="455">
        <v>4650</v>
      </c>
      <c r="O1191" s="475">
        <f t="shared" si="4"/>
        <v>4650</v>
      </c>
      <c r="P1191" s="476"/>
      <c r="Q1191" s="477">
        <v>46023</v>
      </c>
      <c r="R1191" s="476"/>
      <c r="S1191" s="476"/>
    </row>
    <row r="1192" spans="1:19" ht="15.75" customHeight="1" x14ac:dyDescent="0.25">
      <c r="A1192" s="438">
        <v>1189</v>
      </c>
      <c r="B1192" s="470" t="s">
        <v>17</v>
      </c>
      <c r="C1192" s="471" t="s">
        <v>18</v>
      </c>
      <c r="D1192" s="472" t="s">
        <v>19</v>
      </c>
      <c r="E1192" s="448" t="s">
        <v>4085</v>
      </c>
      <c r="F1192" s="448" t="s">
        <v>2982</v>
      </c>
      <c r="G1192" s="473" t="s">
        <v>3045</v>
      </c>
      <c r="H1192" s="439" t="s">
        <v>1591</v>
      </c>
      <c r="I1192" s="474" t="s">
        <v>3457</v>
      </c>
      <c r="J1192" s="474" t="s">
        <v>3464</v>
      </c>
      <c r="K1192" s="443" t="s">
        <v>1592</v>
      </c>
      <c r="L1192" s="471">
        <v>1</v>
      </c>
      <c r="M1192" s="447" t="s">
        <v>1598</v>
      </c>
      <c r="N1192" s="455">
        <v>4650</v>
      </c>
      <c r="O1192" s="475">
        <f t="shared" si="4"/>
        <v>4650</v>
      </c>
      <c r="P1192" s="476"/>
      <c r="Q1192" s="477">
        <v>46023</v>
      </c>
      <c r="R1192" s="476"/>
      <c r="S1192" s="476"/>
    </row>
    <row r="1193" spans="1:19" ht="15.75" customHeight="1" x14ac:dyDescent="0.25">
      <c r="A1193" s="438">
        <v>1190</v>
      </c>
      <c r="B1193" s="470" t="s">
        <v>17</v>
      </c>
      <c r="C1193" s="471" t="s">
        <v>18</v>
      </c>
      <c r="D1193" s="472" t="s">
        <v>19</v>
      </c>
      <c r="E1193" s="448" t="s">
        <v>4085</v>
      </c>
      <c r="F1193" s="448" t="s">
        <v>2982</v>
      </c>
      <c r="G1193" s="473" t="s">
        <v>3045</v>
      </c>
      <c r="H1193" s="439" t="s">
        <v>1591</v>
      </c>
      <c r="I1193" s="474" t="s">
        <v>3457</v>
      </c>
      <c r="J1193" s="474" t="s">
        <v>3464</v>
      </c>
      <c r="K1193" s="443" t="s">
        <v>1592</v>
      </c>
      <c r="L1193" s="471">
        <v>1</v>
      </c>
      <c r="M1193" s="447" t="s">
        <v>1599</v>
      </c>
      <c r="N1193" s="455">
        <v>4650</v>
      </c>
      <c r="O1193" s="475">
        <f t="shared" si="4"/>
        <v>4650</v>
      </c>
      <c r="P1193" s="476"/>
      <c r="Q1193" s="477">
        <v>46023</v>
      </c>
      <c r="R1193" s="476"/>
      <c r="S1193" s="476"/>
    </row>
    <row r="1194" spans="1:19" ht="15.75" customHeight="1" x14ac:dyDescent="0.25">
      <c r="A1194" s="438">
        <v>1191</v>
      </c>
      <c r="B1194" s="470" t="s">
        <v>17</v>
      </c>
      <c r="C1194" s="471" t="s">
        <v>18</v>
      </c>
      <c r="D1194" s="472" t="s">
        <v>19</v>
      </c>
      <c r="E1194" s="448" t="s">
        <v>4085</v>
      </c>
      <c r="F1194" s="448" t="s">
        <v>2982</v>
      </c>
      <c r="G1194" s="473" t="s">
        <v>3045</v>
      </c>
      <c r="H1194" s="439" t="s">
        <v>1591</v>
      </c>
      <c r="I1194" s="474" t="s">
        <v>3457</v>
      </c>
      <c r="J1194" s="474" t="s">
        <v>3464</v>
      </c>
      <c r="K1194" s="443" t="s">
        <v>1592</v>
      </c>
      <c r="L1194" s="471">
        <v>1</v>
      </c>
      <c r="M1194" s="447" t="s">
        <v>1600</v>
      </c>
      <c r="N1194" s="455">
        <v>4650</v>
      </c>
      <c r="O1194" s="475">
        <f t="shared" si="4"/>
        <v>4650</v>
      </c>
      <c r="P1194" s="476"/>
      <c r="Q1194" s="477">
        <v>46023</v>
      </c>
      <c r="R1194" s="476"/>
      <c r="S1194" s="476"/>
    </row>
    <row r="1195" spans="1:19" ht="15.75" customHeight="1" x14ac:dyDescent="0.25">
      <c r="A1195" s="438">
        <v>1192</v>
      </c>
      <c r="B1195" s="470" t="s">
        <v>17</v>
      </c>
      <c r="C1195" s="471" t="s">
        <v>18</v>
      </c>
      <c r="D1195" s="472" t="s">
        <v>19</v>
      </c>
      <c r="E1195" s="448" t="s">
        <v>4085</v>
      </c>
      <c r="F1195" s="448" t="s">
        <v>2982</v>
      </c>
      <c r="G1195" s="473" t="s">
        <v>3045</v>
      </c>
      <c r="H1195" s="439" t="s">
        <v>1591</v>
      </c>
      <c r="I1195" s="474" t="s">
        <v>3457</v>
      </c>
      <c r="J1195" s="474" t="s">
        <v>3464</v>
      </c>
      <c r="K1195" s="443" t="s">
        <v>1592</v>
      </c>
      <c r="L1195" s="471">
        <v>1</v>
      </c>
      <c r="M1195" s="447" t="s">
        <v>1601</v>
      </c>
      <c r="N1195" s="455">
        <v>4650</v>
      </c>
      <c r="O1195" s="475">
        <f t="shared" si="4"/>
        <v>4650</v>
      </c>
      <c r="P1195" s="476"/>
      <c r="Q1195" s="477">
        <v>46023</v>
      </c>
      <c r="R1195" s="476"/>
      <c r="S1195" s="476"/>
    </row>
    <row r="1196" spans="1:19" ht="15.75" customHeight="1" x14ac:dyDescent="0.25">
      <c r="A1196" s="438">
        <v>1193</v>
      </c>
      <c r="B1196" s="470" t="s">
        <v>17</v>
      </c>
      <c r="C1196" s="471" t="s">
        <v>18</v>
      </c>
      <c r="D1196" s="472" t="s">
        <v>19</v>
      </c>
      <c r="E1196" s="448" t="s">
        <v>4085</v>
      </c>
      <c r="F1196" s="448" t="s">
        <v>2982</v>
      </c>
      <c r="G1196" s="473" t="s">
        <v>3045</v>
      </c>
      <c r="H1196" s="439" t="s">
        <v>1591</v>
      </c>
      <c r="I1196" s="474" t="s">
        <v>3457</v>
      </c>
      <c r="J1196" s="474" t="s">
        <v>3464</v>
      </c>
      <c r="K1196" s="443" t="s">
        <v>1592</v>
      </c>
      <c r="L1196" s="471">
        <v>1</v>
      </c>
      <c r="M1196" s="447" t="s">
        <v>1602</v>
      </c>
      <c r="N1196" s="455">
        <v>4650</v>
      </c>
      <c r="O1196" s="475">
        <f t="shared" si="4"/>
        <v>4650</v>
      </c>
      <c r="P1196" s="476"/>
      <c r="Q1196" s="477">
        <v>46023</v>
      </c>
      <c r="R1196" s="476"/>
      <c r="S1196" s="476"/>
    </row>
    <row r="1197" spans="1:19" ht="15.75" customHeight="1" x14ac:dyDescent="0.25">
      <c r="A1197" s="438">
        <v>1194</v>
      </c>
      <c r="B1197" s="470" t="s">
        <v>17</v>
      </c>
      <c r="C1197" s="471" t="s">
        <v>18</v>
      </c>
      <c r="D1197" s="472" t="s">
        <v>19</v>
      </c>
      <c r="E1197" s="448" t="s">
        <v>4085</v>
      </c>
      <c r="F1197" s="448" t="s">
        <v>2982</v>
      </c>
      <c r="G1197" s="473" t="s">
        <v>3045</v>
      </c>
      <c r="H1197" s="439" t="s">
        <v>1591</v>
      </c>
      <c r="I1197" s="474" t="s">
        <v>3457</v>
      </c>
      <c r="J1197" s="474" t="s">
        <v>3464</v>
      </c>
      <c r="K1197" s="443" t="s">
        <v>1592</v>
      </c>
      <c r="L1197" s="471">
        <v>1</v>
      </c>
      <c r="M1197" s="447" t="s">
        <v>1603</v>
      </c>
      <c r="N1197" s="455">
        <v>4650</v>
      </c>
      <c r="O1197" s="475">
        <f t="shared" si="4"/>
        <v>4650</v>
      </c>
      <c r="P1197" s="476"/>
      <c r="Q1197" s="477">
        <v>46023</v>
      </c>
      <c r="R1197" s="476"/>
      <c r="S1197" s="476"/>
    </row>
    <row r="1198" spans="1:19" ht="15.75" customHeight="1" x14ac:dyDescent="0.25">
      <c r="A1198" s="438">
        <v>1195</v>
      </c>
      <c r="B1198" s="470" t="s">
        <v>17</v>
      </c>
      <c r="C1198" s="471" t="s">
        <v>18</v>
      </c>
      <c r="D1198" s="472" t="s">
        <v>19</v>
      </c>
      <c r="E1198" s="448" t="s">
        <v>4085</v>
      </c>
      <c r="F1198" s="448" t="s">
        <v>2982</v>
      </c>
      <c r="G1198" s="473" t="s">
        <v>3045</v>
      </c>
      <c r="H1198" s="439" t="s">
        <v>1591</v>
      </c>
      <c r="I1198" s="474" t="s">
        <v>3457</v>
      </c>
      <c r="J1198" s="474" t="s">
        <v>3464</v>
      </c>
      <c r="K1198" s="443" t="s">
        <v>1592</v>
      </c>
      <c r="L1198" s="471">
        <v>1</v>
      </c>
      <c r="M1198" s="447" t="s">
        <v>1604</v>
      </c>
      <c r="N1198" s="455">
        <v>4650</v>
      </c>
      <c r="O1198" s="475">
        <f t="shared" si="4"/>
        <v>4650</v>
      </c>
      <c r="P1198" s="476"/>
      <c r="Q1198" s="477">
        <v>46023</v>
      </c>
      <c r="R1198" s="476"/>
      <c r="S1198" s="476"/>
    </row>
    <row r="1199" spans="1:19" ht="15.75" customHeight="1" x14ac:dyDescent="0.25">
      <c r="A1199" s="438">
        <v>1196</v>
      </c>
      <c r="B1199" s="470" t="s">
        <v>17</v>
      </c>
      <c r="C1199" s="471" t="s">
        <v>18</v>
      </c>
      <c r="D1199" s="472" t="s">
        <v>19</v>
      </c>
      <c r="E1199" s="465" t="s">
        <v>4085</v>
      </c>
      <c r="F1199" s="448" t="s">
        <v>2982</v>
      </c>
      <c r="G1199" s="473" t="s">
        <v>3045</v>
      </c>
      <c r="H1199" s="439" t="s">
        <v>1591</v>
      </c>
      <c r="I1199" s="474" t="s">
        <v>3457</v>
      </c>
      <c r="J1199" s="474" t="s">
        <v>3464</v>
      </c>
      <c r="K1199" s="443" t="s">
        <v>1592</v>
      </c>
      <c r="L1199" s="471">
        <v>1</v>
      </c>
      <c r="M1199" s="447" t="s">
        <v>1605</v>
      </c>
      <c r="N1199" s="455">
        <v>4650</v>
      </c>
      <c r="O1199" s="475">
        <f t="shared" si="4"/>
        <v>4650</v>
      </c>
      <c r="P1199" s="476"/>
      <c r="Q1199" s="477">
        <v>46023</v>
      </c>
      <c r="R1199" s="476"/>
      <c r="S1199" s="476"/>
    </row>
    <row r="1200" spans="1:19" ht="15.75" customHeight="1" x14ac:dyDescent="0.25">
      <c r="A1200" s="438">
        <v>1197</v>
      </c>
      <c r="B1200" s="470" t="s">
        <v>17</v>
      </c>
      <c r="C1200" s="471" t="s">
        <v>18</v>
      </c>
      <c r="D1200" s="472" t="s">
        <v>19</v>
      </c>
      <c r="E1200" s="465" t="s">
        <v>4085</v>
      </c>
      <c r="F1200" s="448" t="s">
        <v>2982</v>
      </c>
      <c r="G1200" s="473" t="s">
        <v>3045</v>
      </c>
      <c r="H1200" s="439" t="s">
        <v>1591</v>
      </c>
      <c r="I1200" s="474" t="s">
        <v>3457</v>
      </c>
      <c r="J1200" s="474" t="s">
        <v>3464</v>
      </c>
      <c r="K1200" s="443" t="s">
        <v>1592</v>
      </c>
      <c r="L1200" s="471">
        <v>1</v>
      </c>
      <c r="M1200" s="447" t="s">
        <v>1606</v>
      </c>
      <c r="N1200" s="455">
        <v>4650</v>
      </c>
      <c r="O1200" s="475">
        <f t="shared" si="4"/>
        <v>4650</v>
      </c>
      <c r="P1200" s="476"/>
      <c r="Q1200" s="477">
        <v>46023</v>
      </c>
      <c r="R1200" s="476"/>
      <c r="S1200" s="476"/>
    </row>
    <row r="1201" spans="1:19" ht="15.75" customHeight="1" x14ac:dyDescent="0.25">
      <c r="A1201" s="438">
        <v>1198</v>
      </c>
      <c r="B1201" s="470" t="s">
        <v>17</v>
      </c>
      <c r="C1201" s="471" t="s">
        <v>18</v>
      </c>
      <c r="D1201" s="472" t="s">
        <v>19</v>
      </c>
      <c r="E1201" s="448" t="s">
        <v>4085</v>
      </c>
      <c r="F1201" s="448" t="s">
        <v>2982</v>
      </c>
      <c r="G1201" s="473" t="s">
        <v>3045</v>
      </c>
      <c r="H1201" s="439" t="s">
        <v>1591</v>
      </c>
      <c r="I1201" s="474" t="s">
        <v>3457</v>
      </c>
      <c r="J1201" s="474" t="s">
        <v>3464</v>
      </c>
      <c r="K1201" s="443" t="s">
        <v>1592</v>
      </c>
      <c r="L1201" s="471">
        <v>1</v>
      </c>
      <c r="M1201" s="447" t="s">
        <v>1607</v>
      </c>
      <c r="N1201" s="455">
        <v>4650</v>
      </c>
      <c r="O1201" s="475">
        <f t="shared" si="4"/>
        <v>4650</v>
      </c>
      <c r="P1201" s="476"/>
      <c r="Q1201" s="477">
        <v>46023</v>
      </c>
      <c r="R1201" s="476"/>
      <c r="S1201" s="476"/>
    </row>
    <row r="1202" spans="1:19" ht="15.75" customHeight="1" x14ac:dyDescent="0.25">
      <c r="A1202" s="438">
        <v>1199</v>
      </c>
      <c r="B1202" s="470" t="s">
        <v>17</v>
      </c>
      <c r="C1202" s="471" t="s">
        <v>18</v>
      </c>
      <c r="D1202" s="472" t="s">
        <v>19</v>
      </c>
      <c r="E1202" s="448" t="s">
        <v>4080</v>
      </c>
      <c r="F1202" s="448" t="s">
        <v>4080</v>
      </c>
      <c r="G1202" s="473" t="s">
        <v>3045</v>
      </c>
      <c r="H1202" s="439" t="s">
        <v>1608</v>
      </c>
      <c r="I1202" s="474" t="s">
        <v>3457</v>
      </c>
      <c r="J1202" s="474" t="s">
        <v>3464</v>
      </c>
      <c r="K1202" s="443" t="s">
        <v>1592</v>
      </c>
      <c r="L1202" s="471">
        <v>1</v>
      </c>
      <c r="M1202" s="447" t="s">
        <v>1609</v>
      </c>
      <c r="N1202" s="455">
        <v>4300</v>
      </c>
      <c r="O1202" s="475">
        <f t="shared" si="4"/>
        <v>4300</v>
      </c>
      <c r="P1202" s="476"/>
      <c r="Q1202" s="477">
        <v>46023</v>
      </c>
      <c r="R1202" s="476"/>
      <c r="S1202" s="476"/>
    </row>
    <row r="1203" spans="1:19" ht="15.75" customHeight="1" x14ac:dyDescent="0.25">
      <c r="A1203" s="438">
        <v>1200</v>
      </c>
      <c r="B1203" s="470" t="s">
        <v>17</v>
      </c>
      <c r="C1203" s="471" t="s">
        <v>18</v>
      </c>
      <c r="D1203" s="472" t="s">
        <v>19</v>
      </c>
      <c r="E1203" s="448" t="s">
        <v>4080</v>
      </c>
      <c r="F1203" s="448" t="s">
        <v>4080</v>
      </c>
      <c r="G1203" s="473" t="s">
        <v>3045</v>
      </c>
      <c r="H1203" s="439" t="s">
        <v>1608</v>
      </c>
      <c r="I1203" s="474" t="s">
        <v>3457</v>
      </c>
      <c r="J1203" s="474" t="s">
        <v>3464</v>
      </c>
      <c r="K1203" s="443" t="s">
        <v>1592</v>
      </c>
      <c r="L1203" s="471">
        <v>1</v>
      </c>
      <c r="M1203" s="447" t="s">
        <v>1610</v>
      </c>
      <c r="N1203" s="455">
        <v>4300</v>
      </c>
      <c r="O1203" s="475">
        <f t="shared" si="4"/>
        <v>4300</v>
      </c>
      <c r="P1203" s="476"/>
      <c r="Q1203" s="477">
        <v>46023</v>
      </c>
      <c r="R1203" s="476"/>
      <c r="S1203" s="476"/>
    </row>
    <row r="1204" spans="1:19" ht="15.75" customHeight="1" x14ac:dyDescent="0.25">
      <c r="A1204" s="438">
        <v>1201</v>
      </c>
      <c r="B1204" s="470" t="s">
        <v>17</v>
      </c>
      <c r="C1204" s="471" t="s">
        <v>18</v>
      </c>
      <c r="D1204" s="472" t="s">
        <v>19</v>
      </c>
      <c r="E1204" s="448" t="s">
        <v>4080</v>
      </c>
      <c r="F1204" s="448" t="s">
        <v>4080</v>
      </c>
      <c r="G1204" s="473" t="s">
        <v>3045</v>
      </c>
      <c r="H1204" s="439" t="s">
        <v>1608</v>
      </c>
      <c r="I1204" s="474" t="s">
        <v>3457</v>
      </c>
      <c r="J1204" s="474" t="s">
        <v>3464</v>
      </c>
      <c r="K1204" s="443" t="s">
        <v>1592</v>
      </c>
      <c r="L1204" s="471">
        <v>1</v>
      </c>
      <c r="M1204" s="447" t="s">
        <v>1611</v>
      </c>
      <c r="N1204" s="455">
        <v>4300</v>
      </c>
      <c r="O1204" s="475">
        <f t="shared" si="4"/>
        <v>4300</v>
      </c>
      <c r="P1204" s="476"/>
      <c r="Q1204" s="477">
        <v>46023</v>
      </c>
      <c r="R1204" s="476"/>
      <c r="S1204" s="476"/>
    </row>
    <row r="1205" spans="1:19" ht="15.75" customHeight="1" x14ac:dyDescent="0.25">
      <c r="A1205" s="438">
        <v>1202</v>
      </c>
      <c r="B1205" s="470" t="s">
        <v>17</v>
      </c>
      <c r="C1205" s="471" t="s">
        <v>18</v>
      </c>
      <c r="D1205" s="472" t="s">
        <v>19</v>
      </c>
      <c r="E1205" s="448" t="s">
        <v>4080</v>
      </c>
      <c r="F1205" s="448" t="s">
        <v>4080</v>
      </c>
      <c r="G1205" s="473" t="s">
        <v>3045</v>
      </c>
      <c r="H1205" s="439" t="s">
        <v>1608</v>
      </c>
      <c r="I1205" s="474" t="s">
        <v>3457</v>
      </c>
      <c r="J1205" s="474" t="s">
        <v>3464</v>
      </c>
      <c r="K1205" s="443" t="s">
        <v>1592</v>
      </c>
      <c r="L1205" s="471">
        <v>1</v>
      </c>
      <c r="M1205" s="447" t="s">
        <v>1612</v>
      </c>
      <c r="N1205" s="455">
        <v>4300</v>
      </c>
      <c r="O1205" s="475">
        <f t="shared" si="4"/>
        <v>4300</v>
      </c>
      <c r="P1205" s="476"/>
      <c r="Q1205" s="477">
        <v>46023</v>
      </c>
      <c r="R1205" s="476"/>
      <c r="S1205" s="476"/>
    </row>
    <row r="1206" spans="1:19" ht="15.75" customHeight="1" x14ac:dyDescent="0.25">
      <c r="A1206" s="438">
        <v>1203</v>
      </c>
      <c r="B1206" s="470" t="s">
        <v>17</v>
      </c>
      <c r="C1206" s="471" t="s">
        <v>18</v>
      </c>
      <c r="D1206" s="472" t="s">
        <v>19</v>
      </c>
      <c r="E1206" s="448" t="s">
        <v>4080</v>
      </c>
      <c r="F1206" s="448" t="s">
        <v>4080</v>
      </c>
      <c r="G1206" s="473" t="s">
        <v>3045</v>
      </c>
      <c r="H1206" s="439" t="s">
        <v>1608</v>
      </c>
      <c r="I1206" s="474" t="s">
        <v>3457</v>
      </c>
      <c r="J1206" s="474" t="s">
        <v>3464</v>
      </c>
      <c r="K1206" s="443" t="s">
        <v>1592</v>
      </c>
      <c r="L1206" s="471">
        <v>1</v>
      </c>
      <c r="M1206" s="447" t="s">
        <v>1613</v>
      </c>
      <c r="N1206" s="455">
        <v>4300</v>
      </c>
      <c r="O1206" s="475">
        <f t="shared" si="4"/>
        <v>4300</v>
      </c>
      <c r="P1206" s="476"/>
      <c r="Q1206" s="477">
        <v>46023</v>
      </c>
      <c r="R1206" s="476"/>
      <c r="S1206" s="476"/>
    </row>
    <row r="1207" spans="1:19" ht="15.75" customHeight="1" x14ac:dyDescent="0.25">
      <c r="A1207" s="438">
        <v>1204</v>
      </c>
      <c r="B1207" s="470" t="s">
        <v>17</v>
      </c>
      <c r="C1207" s="471" t="s">
        <v>18</v>
      </c>
      <c r="D1207" s="472" t="s">
        <v>19</v>
      </c>
      <c r="E1207" s="448" t="s">
        <v>4080</v>
      </c>
      <c r="F1207" s="448" t="s">
        <v>4080</v>
      </c>
      <c r="G1207" s="473" t="s">
        <v>3045</v>
      </c>
      <c r="H1207" s="439" t="s">
        <v>1608</v>
      </c>
      <c r="I1207" s="474" t="s">
        <v>3457</v>
      </c>
      <c r="J1207" s="474" t="s">
        <v>3464</v>
      </c>
      <c r="K1207" s="443" t="s">
        <v>1592</v>
      </c>
      <c r="L1207" s="471">
        <v>1</v>
      </c>
      <c r="M1207" s="447" t="s">
        <v>1614</v>
      </c>
      <c r="N1207" s="455">
        <v>4300</v>
      </c>
      <c r="O1207" s="475">
        <f t="shared" si="4"/>
        <v>4300</v>
      </c>
      <c r="P1207" s="476"/>
      <c r="Q1207" s="477">
        <v>46023</v>
      </c>
      <c r="R1207" s="476"/>
      <c r="S1207" s="476"/>
    </row>
    <row r="1208" spans="1:19" ht="15.75" customHeight="1" x14ac:dyDescent="0.25">
      <c r="A1208" s="438">
        <v>1205</v>
      </c>
      <c r="B1208" s="470" t="s">
        <v>17</v>
      </c>
      <c r="C1208" s="471" t="s">
        <v>18</v>
      </c>
      <c r="D1208" s="472" t="s">
        <v>19</v>
      </c>
      <c r="E1208" s="448" t="s">
        <v>4080</v>
      </c>
      <c r="F1208" s="448" t="s">
        <v>4080</v>
      </c>
      <c r="G1208" s="473" t="s">
        <v>3045</v>
      </c>
      <c r="H1208" s="439" t="s">
        <v>1608</v>
      </c>
      <c r="I1208" s="474" t="s">
        <v>3457</v>
      </c>
      <c r="J1208" s="474" t="s">
        <v>3464</v>
      </c>
      <c r="K1208" s="443" t="s">
        <v>1592</v>
      </c>
      <c r="L1208" s="471">
        <v>1</v>
      </c>
      <c r="M1208" s="447" t="s">
        <v>1615</v>
      </c>
      <c r="N1208" s="455">
        <v>4300</v>
      </c>
      <c r="O1208" s="475">
        <f t="shared" si="4"/>
        <v>4300</v>
      </c>
      <c r="P1208" s="476"/>
      <c r="Q1208" s="477">
        <v>46023</v>
      </c>
      <c r="R1208" s="476"/>
      <c r="S1208" s="476"/>
    </row>
    <row r="1209" spans="1:19" ht="15.75" customHeight="1" x14ac:dyDescent="0.25">
      <c r="A1209" s="438">
        <v>1206</v>
      </c>
      <c r="B1209" s="470" t="s">
        <v>17</v>
      </c>
      <c r="C1209" s="471" t="s">
        <v>18</v>
      </c>
      <c r="D1209" s="472" t="s">
        <v>19</v>
      </c>
      <c r="E1209" s="448" t="s">
        <v>4080</v>
      </c>
      <c r="F1209" s="448" t="s">
        <v>4080</v>
      </c>
      <c r="G1209" s="473" t="s">
        <v>3045</v>
      </c>
      <c r="H1209" s="439" t="s">
        <v>1608</v>
      </c>
      <c r="I1209" s="474" t="s">
        <v>3457</v>
      </c>
      <c r="J1209" s="474" t="s">
        <v>3464</v>
      </c>
      <c r="K1209" s="443" t="s">
        <v>1592</v>
      </c>
      <c r="L1209" s="471">
        <v>1</v>
      </c>
      <c r="M1209" s="447" t="s">
        <v>1616</v>
      </c>
      <c r="N1209" s="455">
        <v>4300</v>
      </c>
      <c r="O1209" s="475">
        <f t="shared" si="4"/>
        <v>4300</v>
      </c>
      <c r="P1209" s="476"/>
      <c r="Q1209" s="477">
        <v>46023</v>
      </c>
      <c r="R1209" s="476"/>
      <c r="S1209" s="476"/>
    </row>
    <row r="1210" spans="1:19" ht="15.75" customHeight="1" x14ac:dyDescent="0.25">
      <c r="A1210" s="438">
        <v>1207</v>
      </c>
      <c r="B1210" s="470" t="s">
        <v>17</v>
      </c>
      <c r="C1210" s="471" t="s">
        <v>18</v>
      </c>
      <c r="D1210" s="472" t="s">
        <v>19</v>
      </c>
      <c r="E1210" s="448" t="s">
        <v>4080</v>
      </c>
      <c r="F1210" s="448" t="s">
        <v>4080</v>
      </c>
      <c r="G1210" s="473" t="s">
        <v>3045</v>
      </c>
      <c r="H1210" s="439" t="s">
        <v>1608</v>
      </c>
      <c r="I1210" s="474" t="s">
        <v>3457</v>
      </c>
      <c r="J1210" s="474" t="s">
        <v>3464</v>
      </c>
      <c r="K1210" s="443" t="s">
        <v>1592</v>
      </c>
      <c r="L1210" s="471">
        <v>1</v>
      </c>
      <c r="M1210" s="447" t="s">
        <v>1617</v>
      </c>
      <c r="N1210" s="455">
        <v>4300</v>
      </c>
      <c r="O1210" s="475">
        <f t="shared" si="4"/>
        <v>4300</v>
      </c>
      <c r="P1210" s="476"/>
      <c r="Q1210" s="477">
        <v>46023</v>
      </c>
      <c r="R1210" s="476"/>
      <c r="S1210" s="476"/>
    </row>
    <row r="1211" spans="1:19" ht="15.75" customHeight="1" x14ac:dyDescent="0.25">
      <c r="A1211" s="438">
        <v>1208</v>
      </c>
      <c r="B1211" s="470" t="s">
        <v>17</v>
      </c>
      <c r="C1211" s="471" t="s">
        <v>18</v>
      </c>
      <c r="D1211" s="472" t="s">
        <v>19</v>
      </c>
      <c r="E1211" s="448" t="s">
        <v>4085</v>
      </c>
      <c r="F1211" s="448" t="s">
        <v>4119</v>
      </c>
      <c r="G1211" s="473" t="s">
        <v>3045</v>
      </c>
      <c r="H1211" s="439" t="s">
        <v>1608</v>
      </c>
      <c r="I1211" s="474" t="s">
        <v>3457</v>
      </c>
      <c r="J1211" s="474" t="s">
        <v>3464</v>
      </c>
      <c r="K1211" s="443" t="s">
        <v>1592</v>
      </c>
      <c r="L1211" s="471">
        <v>1</v>
      </c>
      <c r="M1211" s="447" t="s">
        <v>1618</v>
      </c>
      <c r="N1211" s="455">
        <v>4300</v>
      </c>
      <c r="O1211" s="475">
        <f t="shared" si="4"/>
        <v>4300</v>
      </c>
      <c r="P1211" s="476"/>
      <c r="Q1211" s="477">
        <v>46023</v>
      </c>
      <c r="R1211" s="476"/>
      <c r="S1211" s="476"/>
    </row>
    <row r="1212" spans="1:19" ht="15.75" customHeight="1" x14ac:dyDescent="0.25">
      <c r="A1212" s="438">
        <v>1209</v>
      </c>
      <c r="B1212" s="470" t="s">
        <v>17</v>
      </c>
      <c r="C1212" s="471" t="s">
        <v>18</v>
      </c>
      <c r="D1212" s="472" t="s">
        <v>19</v>
      </c>
      <c r="E1212" s="448" t="s">
        <v>4085</v>
      </c>
      <c r="F1212" s="448" t="s">
        <v>4119</v>
      </c>
      <c r="G1212" s="473" t="s">
        <v>3045</v>
      </c>
      <c r="H1212" s="439" t="s">
        <v>1608</v>
      </c>
      <c r="I1212" s="474" t="s">
        <v>3457</v>
      </c>
      <c r="J1212" s="474" t="s">
        <v>3464</v>
      </c>
      <c r="K1212" s="443" t="s">
        <v>1592</v>
      </c>
      <c r="L1212" s="471">
        <v>1</v>
      </c>
      <c r="M1212" s="447" t="s">
        <v>1619</v>
      </c>
      <c r="N1212" s="455">
        <v>4300</v>
      </c>
      <c r="O1212" s="475">
        <f t="shared" si="4"/>
        <v>4300</v>
      </c>
      <c r="P1212" s="476"/>
      <c r="Q1212" s="477">
        <v>46023</v>
      </c>
      <c r="R1212" s="476"/>
      <c r="S1212" s="476"/>
    </row>
    <row r="1213" spans="1:19" ht="15.75" customHeight="1" x14ac:dyDescent="0.25">
      <c r="A1213" s="438">
        <v>1210</v>
      </c>
      <c r="B1213" s="470" t="s">
        <v>17</v>
      </c>
      <c r="C1213" s="471" t="s">
        <v>18</v>
      </c>
      <c r="D1213" s="472" t="s">
        <v>19</v>
      </c>
      <c r="E1213" s="448" t="s">
        <v>4085</v>
      </c>
      <c r="F1213" s="448" t="s">
        <v>4119</v>
      </c>
      <c r="G1213" s="473" t="s">
        <v>3045</v>
      </c>
      <c r="H1213" s="439" t="s">
        <v>1608</v>
      </c>
      <c r="I1213" s="474" t="s">
        <v>3457</v>
      </c>
      <c r="J1213" s="474" t="s">
        <v>3464</v>
      </c>
      <c r="K1213" s="443" t="s">
        <v>1592</v>
      </c>
      <c r="L1213" s="471">
        <v>1</v>
      </c>
      <c r="M1213" s="447" t="s">
        <v>1620</v>
      </c>
      <c r="N1213" s="455">
        <v>4300</v>
      </c>
      <c r="O1213" s="475">
        <f t="shared" si="4"/>
        <v>4300</v>
      </c>
      <c r="P1213" s="476"/>
      <c r="Q1213" s="477">
        <v>46023</v>
      </c>
      <c r="R1213" s="476"/>
      <c r="S1213" s="476"/>
    </row>
    <row r="1214" spans="1:19" ht="15.75" customHeight="1" x14ac:dyDescent="0.25">
      <c r="A1214" s="438">
        <v>1211</v>
      </c>
      <c r="B1214" s="470" t="s">
        <v>17</v>
      </c>
      <c r="C1214" s="471" t="s">
        <v>18</v>
      </c>
      <c r="D1214" s="472" t="s">
        <v>19</v>
      </c>
      <c r="E1214" s="448" t="s">
        <v>4085</v>
      </c>
      <c r="F1214" s="448" t="s">
        <v>3026</v>
      </c>
      <c r="G1214" s="473" t="s">
        <v>3045</v>
      </c>
      <c r="H1214" s="439" t="s">
        <v>1608</v>
      </c>
      <c r="I1214" s="474" t="s">
        <v>3457</v>
      </c>
      <c r="J1214" s="474" t="s">
        <v>3464</v>
      </c>
      <c r="K1214" s="443" t="s">
        <v>1592</v>
      </c>
      <c r="L1214" s="471">
        <v>1</v>
      </c>
      <c r="M1214" s="447" t="s">
        <v>1621</v>
      </c>
      <c r="N1214" s="455">
        <v>4300</v>
      </c>
      <c r="O1214" s="475">
        <f t="shared" si="4"/>
        <v>4300</v>
      </c>
      <c r="P1214" s="476"/>
      <c r="Q1214" s="477">
        <v>46023</v>
      </c>
      <c r="R1214" s="476"/>
      <c r="S1214" s="476"/>
    </row>
    <row r="1215" spans="1:19" ht="15.75" customHeight="1" x14ac:dyDescent="0.25">
      <c r="A1215" s="438">
        <v>1212</v>
      </c>
      <c r="B1215" s="470" t="s">
        <v>17</v>
      </c>
      <c r="C1215" s="471" t="s">
        <v>18</v>
      </c>
      <c r="D1215" s="472" t="s">
        <v>19</v>
      </c>
      <c r="E1215" s="448" t="s">
        <v>4085</v>
      </c>
      <c r="F1215" s="448" t="s">
        <v>3026</v>
      </c>
      <c r="G1215" s="473" t="s">
        <v>3045</v>
      </c>
      <c r="H1215" s="439" t="s">
        <v>1608</v>
      </c>
      <c r="I1215" s="474" t="s">
        <v>3457</v>
      </c>
      <c r="J1215" s="474" t="s">
        <v>3464</v>
      </c>
      <c r="K1215" s="443" t="s">
        <v>1592</v>
      </c>
      <c r="L1215" s="471">
        <v>1</v>
      </c>
      <c r="M1215" s="447" t="s">
        <v>1622</v>
      </c>
      <c r="N1215" s="455">
        <v>4300</v>
      </c>
      <c r="O1215" s="475">
        <f t="shared" si="4"/>
        <v>4300</v>
      </c>
      <c r="P1215" s="476"/>
      <c r="Q1215" s="477">
        <v>46023</v>
      </c>
      <c r="R1215" s="476"/>
      <c r="S1215" s="476"/>
    </row>
    <row r="1216" spans="1:19" ht="15.75" customHeight="1" x14ac:dyDescent="0.25">
      <c r="A1216" s="438">
        <v>1213</v>
      </c>
      <c r="B1216" s="470" t="s">
        <v>17</v>
      </c>
      <c r="C1216" s="471" t="s">
        <v>18</v>
      </c>
      <c r="D1216" s="472" t="s">
        <v>19</v>
      </c>
      <c r="E1216" s="448" t="s">
        <v>4085</v>
      </c>
      <c r="F1216" s="448" t="s">
        <v>3026</v>
      </c>
      <c r="G1216" s="473" t="s">
        <v>3045</v>
      </c>
      <c r="H1216" s="439" t="s">
        <v>1608</v>
      </c>
      <c r="I1216" s="474" t="s">
        <v>3457</v>
      </c>
      <c r="J1216" s="474" t="s">
        <v>3464</v>
      </c>
      <c r="K1216" s="443" t="s">
        <v>1592</v>
      </c>
      <c r="L1216" s="471">
        <v>1</v>
      </c>
      <c r="M1216" s="447" t="s">
        <v>1623</v>
      </c>
      <c r="N1216" s="455">
        <v>4300</v>
      </c>
      <c r="O1216" s="475">
        <f t="shared" si="4"/>
        <v>4300</v>
      </c>
      <c r="P1216" s="476"/>
      <c r="Q1216" s="477">
        <v>46023</v>
      </c>
      <c r="R1216" s="476"/>
      <c r="S1216" s="476"/>
    </row>
    <row r="1217" spans="1:19" ht="15.75" customHeight="1" x14ac:dyDescent="0.25">
      <c r="A1217" s="438">
        <v>1214</v>
      </c>
      <c r="B1217" s="470" t="s">
        <v>17</v>
      </c>
      <c r="C1217" s="471" t="s">
        <v>18</v>
      </c>
      <c r="D1217" s="472" t="s">
        <v>19</v>
      </c>
      <c r="E1217" s="448" t="s">
        <v>4085</v>
      </c>
      <c r="F1217" s="448" t="s">
        <v>2985</v>
      </c>
      <c r="G1217" s="473" t="s">
        <v>3045</v>
      </c>
      <c r="H1217" s="439" t="s">
        <v>1608</v>
      </c>
      <c r="I1217" s="474" t="s">
        <v>3457</v>
      </c>
      <c r="J1217" s="474" t="s">
        <v>3464</v>
      </c>
      <c r="K1217" s="443" t="s">
        <v>1592</v>
      </c>
      <c r="L1217" s="471">
        <v>1</v>
      </c>
      <c r="M1217" s="447" t="s">
        <v>1624</v>
      </c>
      <c r="N1217" s="455">
        <v>4300</v>
      </c>
      <c r="O1217" s="475">
        <f t="shared" si="4"/>
        <v>4300</v>
      </c>
      <c r="P1217" s="476"/>
      <c r="Q1217" s="477">
        <v>46023</v>
      </c>
      <c r="R1217" s="476"/>
      <c r="S1217" s="476"/>
    </row>
    <row r="1218" spans="1:19" ht="15.75" customHeight="1" x14ac:dyDescent="0.25">
      <c r="A1218" s="438">
        <v>1215</v>
      </c>
      <c r="B1218" s="470" t="s">
        <v>17</v>
      </c>
      <c r="C1218" s="471" t="s">
        <v>18</v>
      </c>
      <c r="D1218" s="472" t="s">
        <v>19</v>
      </c>
      <c r="E1218" s="448" t="s">
        <v>4085</v>
      </c>
      <c r="F1218" s="448" t="s">
        <v>2985</v>
      </c>
      <c r="G1218" s="473" t="s">
        <v>3045</v>
      </c>
      <c r="H1218" s="439" t="s">
        <v>1608</v>
      </c>
      <c r="I1218" s="474" t="s">
        <v>3457</v>
      </c>
      <c r="J1218" s="474" t="s">
        <v>3464</v>
      </c>
      <c r="K1218" s="443" t="s">
        <v>1592</v>
      </c>
      <c r="L1218" s="471">
        <v>1</v>
      </c>
      <c r="M1218" s="447" t="s">
        <v>1625</v>
      </c>
      <c r="N1218" s="455">
        <v>4300</v>
      </c>
      <c r="O1218" s="475">
        <f t="shared" si="4"/>
        <v>4300</v>
      </c>
      <c r="P1218" s="476"/>
      <c r="Q1218" s="477">
        <v>46023</v>
      </c>
      <c r="R1218" s="476"/>
      <c r="S1218" s="476"/>
    </row>
    <row r="1219" spans="1:19" ht="15.75" customHeight="1" x14ac:dyDescent="0.25">
      <c r="A1219" s="438">
        <v>1216</v>
      </c>
      <c r="B1219" s="470" t="s">
        <v>17</v>
      </c>
      <c r="C1219" s="471" t="s">
        <v>18</v>
      </c>
      <c r="D1219" s="472" t="s">
        <v>19</v>
      </c>
      <c r="E1219" s="448" t="s">
        <v>4085</v>
      </c>
      <c r="F1219" s="448" t="s">
        <v>2985</v>
      </c>
      <c r="G1219" s="473" t="s">
        <v>3045</v>
      </c>
      <c r="H1219" s="439" t="s">
        <v>1608</v>
      </c>
      <c r="I1219" s="474" t="s">
        <v>3457</v>
      </c>
      <c r="J1219" s="474" t="s">
        <v>3464</v>
      </c>
      <c r="K1219" s="443" t="s">
        <v>1592</v>
      </c>
      <c r="L1219" s="471">
        <v>1</v>
      </c>
      <c r="M1219" s="447" t="s">
        <v>1626</v>
      </c>
      <c r="N1219" s="455">
        <v>4300</v>
      </c>
      <c r="O1219" s="475">
        <f t="shared" si="4"/>
        <v>4300</v>
      </c>
      <c r="P1219" s="476"/>
      <c r="Q1219" s="477">
        <v>46023</v>
      </c>
      <c r="R1219" s="476"/>
      <c r="S1219" s="476"/>
    </row>
    <row r="1220" spans="1:19" ht="15.75" customHeight="1" x14ac:dyDescent="0.25">
      <c r="A1220" s="438">
        <v>1217</v>
      </c>
      <c r="B1220" s="470" t="s">
        <v>17</v>
      </c>
      <c r="C1220" s="471" t="s">
        <v>18</v>
      </c>
      <c r="D1220" s="472" t="s">
        <v>19</v>
      </c>
      <c r="E1220" s="448" t="s">
        <v>4085</v>
      </c>
      <c r="F1220" s="448" t="s">
        <v>2985</v>
      </c>
      <c r="G1220" s="473" t="s">
        <v>3045</v>
      </c>
      <c r="H1220" s="439" t="s">
        <v>1608</v>
      </c>
      <c r="I1220" s="474" t="s">
        <v>3457</v>
      </c>
      <c r="J1220" s="474" t="s">
        <v>3464</v>
      </c>
      <c r="K1220" s="443" t="s">
        <v>1592</v>
      </c>
      <c r="L1220" s="471">
        <v>1</v>
      </c>
      <c r="M1220" s="447" t="s">
        <v>1627</v>
      </c>
      <c r="N1220" s="455">
        <v>4300</v>
      </c>
      <c r="O1220" s="475">
        <f t="shared" si="4"/>
        <v>4300</v>
      </c>
      <c r="P1220" s="476"/>
      <c r="Q1220" s="477">
        <v>46023</v>
      </c>
      <c r="R1220" s="476"/>
      <c r="S1220" s="476"/>
    </row>
    <row r="1221" spans="1:19" ht="15.75" customHeight="1" x14ac:dyDescent="0.25">
      <c r="A1221" s="438">
        <v>1218</v>
      </c>
      <c r="B1221" s="470" t="s">
        <v>17</v>
      </c>
      <c r="C1221" s="471" t="s">
        <v>18</v>
      </c>
      <c r="D1221" s="472" t="s">
        <v>19</v>
      </c>
      <c r="E1221" s="448" t="s">
        <v>4085</v>
      </c>
      <c r="F1221" s="448" t="s">
        <v>2985</v>
      </c>
      <c r="G1221" s="473" t="s">
        <v>3045</v>
      </c>
      <c r="H1221" s="439" t="s">
        <v>1608</v>
      </c>
      <c r="I1221" s="474" t="s">
        <v>3457</v>
      </c>
      <c r="J1221" s="474" t="s">
        <v>3464</v>
      </c>
      <c r="K1221" s="443" t="s">
        <v>1592</v>
      </c>
      <c r="L1221" s="471">
        <v>1</v>
      </c>
      <c r="M1221" s="447" t="s">
        <v>1628</v>
      </c>
      <c r="N1221" s="455">
        <v>4300</v>
      </c>
      <c r="O1221" s="475">
        <f t="shared" si="4"/>
        <v>4300</v>
      </c>
      <c r="P1221" s="476"/>
      <c r="Q1221" s="477">
        <v>46023</v>
      </c>
      <c r="R1221" s="476"/>
      <c r="S1221" s="476"/>
    </row>
    <row r="1222" spans="1:19" ht="15.75" customHeight="1" x14ac:dyDescent="0.25">
      <c r="A1222" s="438">
        <v>1219</v>
      </c>
      <c r="B1222" s="470" t="s">
        <v>17</v>
      </c>
      <c r="C1222" s="471" t="s">
        <v>18</v>
      </c>
      <c r="D1222" s="472" t="s">
        <v>19</v>
      </c>
      <c r="E1222" s="448" t="s">
        <v>4085</v>
      </c>
      <c r="F1222" s="448" t="s">
        <v>2985</v>
      </c>
      <c r="G1222" s="473" t="s">
        <v>3045</v>
      </c>
      <c r="H1222" s="439" t="s">
        <v>1608</v>
      </c>
      <c r="I1222" s="474" t="s">
        <v>3457</v>
      </c>
      <c r="J1222" s="474" t="s">
        <v>3464</v>
      </c>
      <c r="K1222" s="443" t="s">
        <v>1592</v>
      </c>
      <c r="L1222" s="471">
        <v>1</v>
      </c>
      <c r="M1222" s="447" t="s">
        <v>1629</v>
      </c>
      <c r="N1222" s="456">
        <v>4300</v>
      </c>
      <c r="O1222" s="475">
        <f t="shared" si="4"/>
        <v>4300</v>
      </c>
      <c r="P1222" s="476"/>
      <c r="Q1222" s="477">
        <v>46023</v>
      </c>
      <c r="R1222" s="476"/>
      <c r="S1222" s="476"/>
    </row>
    <row r="1223" spans="1:19" ht="15.75" customHeight="1" x14ac:dyDescent="0.25">
      <c r="A1223" s="438">
        <v>1220</v>
      </c>
      <c r="B1223" s="470" t="s">
        <v>17</v>
      </c>
      <c r="C1223" s="471" t="s">
        <v>18</v>
      </c>
      <c r="D1223" s="472" t="s">
        <v>19</v>
      </c>
      <c r="E1223" s="448" t="s">
        <v>4085</v>
      </c>
      <c r="F1223" s="448" t="s">
        <v>2985</v>
      </c>
      <c r="G1223" s="473" t="s">
        <v>3045</v>
      </c>
      <c r="H1223" s="439" t="s">
        <v>1608</v>
      </c>
      <c r="I1223" s="474" t="s">
        <v>3457</v>
      </c>
      <c r="J1223" s="474" t="s">
        <v>3464</v>
      </c>
      <c r="K1223" s="443" t="s">
        <v>1592</v>
      </c>
      <c r="L1223" s="471">
        <v>1</v>
      </c>
      <c r="M1223" s="447" t="s">
        <v>1630</v>
      </c>
      <c r="N1223" s="456">
        <v>4300</v>
      </c>
      <c r="O1223" s="475">
        <f t="shared" si="4"/>
        <v>4300</v>
      </c>
      <c r="P1223" s="476"/>
      <c r="Q1223" s="477">
        <v>46023</v>
      </c>
      <c r="R1223" s="476"/>
      <c r="S1223" s="476"/>
    </row>
    <row r="1224" spans="1:19" ht="15.75" customHeight="1" x14ac:dyDescent="0.25">
      <c r="A1224" s="438">
        <v>1221</v>
      </c>
      <c r="B1224" s="470" t="s">
        <v>17</v>
      </c>
      <c r="C1224" s="471" t="s">
        <v>18</v>
      </c>
      <c r="D1224" s="472" t="s">
        <v>19</v>
      </c>
      <c r="E1224" s="448" t="s">
        <v>4085</v>
      </c>
      <c r="F1224" s="448" t="s">
        <v>2985</v>
      </c>
      <c r="G1224" s="473" t="s">
        <v>3045</v>
      </c>
      <c r="H1224" s="439" t="s">
        <v>1608</v>
      </c>
      <c r="I1224" s="474" t="s">
        <v>3457</v>
      </c>
      <c r="J1224" s="474" t="s">
        <v>3464</v>
      </c>
      <c r="K1224" s="443" t="s">
        <v>1592</v>
      </c>
      <c r="L1224" s="471">
        <v>1</v>
      </c>
      <c r="M1224" s="447" t="s">
        <v>1631</v>
      </c>
      <c r="N1224" s="456">
        <v>4300</v>
      </c>
      <c r="O1224" s="475">
        <f t="shared" si="4"/>
        <v>4300</v>
      </c>
      <c r="P1224" s="476"/>
      <c r="Q1224" s="477">
        <v>46023</v>
      </c>
      <c r="R1224" s="476"/>
      <c r="S1224" s="476"/>
    </row>
    <row r="1225" spans="1:19" ht="15.75" customHeight="1" x14ac:dyDescent="0.25">
      <c r="A1225" s="438">
        <v>1222</v>
      </c>
      <c r="B1225" s="470" t="s">
        <v>17</v>
      </c>
      <c r="C1225" s="471" t="s">
        <v>18</v>
      </c>
      <c r="D1225" s="472" t="s">
        <v>19</v>
      </c>
      <c r="E1225" s="448" t="s">
        <v>4085</v>
      </c>
      <c r="F1225" s="448" t="s">
        <v>2985</v>
      </c>
      <c r="G1225" s="473" t="s">
        <v>3045</v>
      </c>
      <c r="H1225" s="439" t="s">
        <v>1608</v>
      </c>
      <c r="I1225" s="474" t="s">
        <v>3457</v>
      </c>
      <c r="J1225" s="474" t="s">
        <v>3464</v>
      </c>
      <c r="K1225" s="443" t="s">
        <v>1592</v>
      </c>
      <c r="L1225" s="471">
        <v>1</v>
      </c>
      <c r="M1225" s="447" t="s">
        <v>1632</v>
      </c>
      <c r="N1225" s="456">
        <v>4300</v>
      </c>
      <c r="O1225" s="475">
        <f t="shared" si="4"/>
        <v>4300</v>
      </c>
      <c r="P1225" s="476"/>
      <c r="Q1225" s="477">
        <v>46023</v>
      </c>
      <c r="R1225" s="476"/>
      <c r="S1225" s="476"/>
    </row>
    <row r="1226" spans="1:19" ht="15.75" customHeight="1" x14ac:dyDescent="0.25">
      <c r="A1226" s="438">
        <v>1223</v>
      </c>
      <c r="B1226" s="470" t="s">
        <v>17</v>
      </c>
      <c r="C1226" s="471" t="s">
        <v>18</v>
      </c>
      <c r="D1226" s="472" t="s">
        <v>19</v>
      </c>
      <c r="E1226" s="448" t="s">
        <v>4085</v>
      </c>
      <c r="F1226" s="448" t="s">
        <v>2985</v>
      </c>
      <c r="G1226" s="473" t="s">
        <v>3045</v>
      </c>
      <c r="H1226" s="439" t="s">
        <v>1608</v>
      </c>
      <c r="I1226" s="474" t="s">
        <v>3457</v>
      </c>
      <c r="J1226" s="474" t="s">
        <v>3464</v>
      </c>
      <c r="K1226" s="443" t="s">
        <v>1592</v>
      </c>
      <c r="L1226" s="471">
        <v>1</v>
      </c>
      <c r="M1226" s="447" t="s">
        <v>1633</v>
      </c>
      <c r="N1226" s="456">
        <v>4300</v>
      </c>
      <c r="O1226" s="475">
        <f t="shared" si="4"/>
        <v>4300</v>
      </c>
      <c r="P1226" s="476"/>
      <c r="Q1226" s="477">
        <v>46023</v>
      </c>
      <c r="R1226" s="476"/>
      <c r="S1226" s="476"/>
    </row>
    <row r="1227" spans="1:19" ht="15.75" customHeight="1" x14ac:dyDescent="0.25">
      <c r="A1227" s="438">
        <v>1224</v>
      </c>
      <c r="B1227" s="470" t="s">
        <v>17</v>
      </c>
      <c r="C1227" s="471" t="s">
        <v>18</v>
      </c>
      <c r="D1227" s="472" t="s">
        <v>19</v>
      </c>
      <c r="E1227" s="448" t="s">
        <v>4083</v>
      </c>
      <c r="F1227" s="448" t="s">
        <v>4100</v>
      </c>
      <c r="G1227" s="473" t="s">
        <v>3045</v>
      </c>
      <c r="H1227" s="439" t="s">
        <v>1608</v>
      </c>
      <c r="I1227" s="474" t="s">
        <v>3457</v>
      </c>
      <c r="J1227" s="474" t="s">
        <v>3464</v>
      </c>
      <c r="K1227" s="443" t="s">
        <v>1592</v>
      </c>
      <c r="L1227" s="471">
        <v>1</v>
      </c>
      <c r="M1227" s="447" t="s">
        <v>1634</v>
      </c>
      <c r="N1227" s="456">
        <v>4300</v>
      </c>
      <c r="O1227" s="475">
        <f t="shared" si="4"/>
        <v>4300</v>
      </c>
      <c r="P1227" s="476"/>
      <c r="Q1227" s="477">
        <v>46023</v>
      </c>
      <c r="R1227" s="476"/>
      <c r="S1227" s="476"/>
    </row>
    <row r="1228" spans="1:19" ht="15.75" customHeight="1" x14ac:dyDescent="0.25">
      <c r="A1228" s="438">
        <v>1225</v>
      </c>
      <c r="B1228" s="470" t="s">
        <v>17</v>
      </c>
      <c r="C1228" s="471" t="s">
        <v>18</v>
      </c>
      <c r="D1228" s="472" t="s">
        <v>19</v>
      </c>
      <c r="E1228" s="448" t="s">
        <v>4083</v>
      </c>
      <c r="F1228" s="448" t="s">
        <v>4100</v>
      </c>
      <c r="G1228" s="473" t="s">
        <v>3045</v>
      </c>
      <c r="H1228" s="439" t="s">
        <v>1608</v>
      </c>
      <c r="I1228" s="474" t="s">
        <v>3457</v>
      </c>
      <c r="J1228" s="474" t="s">
        <v>3464</v>
      </c>
      <c r="K1228" s="443" t="s">
        <v>1592</v>
      </c>
      <c r="L1228" s="471">
        <v>1</v>
      </c>
      <c r="M1228" s="447" t="s">
        <v>1635</v>
      </c>
      <c r="N1228" s="456">
        <v>4300</v>
      </c>
      <c r="O1228" s="475">
        <f t="shared" si="4"/>
        <v>4300</v>
      </c>
      <c r="P1228" s="476"/>
      <c r="Q1228" s="477">
        <v>46023</v>
      </c>
      <c r="R1228" s="476"/>
      <c r="S1228" s="476"/>
    </row>
    <row r="1229" spans="1:19" ht="15.75" customHeight="1" x14ac:dyDescent="0.25">
      <c r="A1229" s="438">
        <v>1226</v>
      </c>
      <c r="B1229" s="470" t="s">
        <v>17</v>
      </c>
      <c r="C1229" s="471" t="s">
        <v>18</v>
      </c>
      <c r="D1229" s="472" t="s">
        <v>19</v>
      </c>
      <c r="E1229" s="448" t="s">
        <v>4083</v>
      </c>
      <c r="F1229" s="448" t="s">
        <v>4100</v>
      </c>
      <c r="G1229" s="473" t="s">
        <v>3045</v>
      </c>
      <c r="H1229" s="439" t="s">
        <v>1608</v>
      </c>
      <c r="I1229" s="474" t="s">
        <v>3457</v>
      </c>
      <c r="J1229" s="474" t="s">
        <v>3464</v>
      </c>
      <c r="K1229" s="443" t="s">
        <v>1592</v>
      </c>
      <c r="L1229" s="471">
        <v>1</v>
      </c>
      <c r="M1229" s="447" t="s">
        <v>1636</v>
      </c>
      <c r="N1229" s="456">
        <v>4300</v>
      </c>
      <c r="O1229" s="475">
        <f t="shared" si="4"/>
        <v>4300</v>
      </c>
      <c r="P1229" s="476"/>
      <c r="Q1229" s="477">
        <v>46023</v>
      </c>
      <c r="R1229" s="476"/>
      <c r="S1229" s="476"/>
    </row>
    <row r="1230" spans="1:19" ht="15.75" customHeight="1" x14ac:dyDescent="0.25">
      <c r="A1230" s="438">
        <v>1227</v>
      </c>
      <c r="B1230" s="470" t="s">
        <v>17</v>
      </c>
      <c r="C1230" s="471" t="s">
        <v>18</v>
      </c>
      <c r="D1230" s="472" t="s">
        <v>19</v>
      </c>
      <c r="E1230" s="448" t="s">
        <v>4083</v>
      </c>
      <c r="F1230" s="448" t="s">
        <v>4100</v>
      </c>
      <c r="G1230" s="473" t="s">
        <v>3045</v>
      </c>
      <c r="H1230" s="439" t="s">
        <v>1608</v>
      </c>
      <c r="I1230" s="474" t="s">
        <v>3457</v>
      </c>
      <c r="J1230" s="474" t="s">
        <v>3464</v>
      </c>
      <c r="K1230" s="443" t="s">
        <v>1592</v>
      </c>
      <c r="L1230" s="471">
        <v>1</v>
      </c>
      <c r="M1230" s="447" t="s">
        <v>1637</v>
      </c>
      <c r="N1230" s="456">
        <v>4300</v>
      </c>
      <c r="O1230" s="475">
        <f t="shared" si="4"/>
        <v>4300</v>
      </c>
      <c r="P1230" s="476"/>
      <c r="Q1230" s="477">
        <v>46023</v>
      </c>
      <c r="R1230" s="476"/>
      <c r="S1230" s="476"/>
    </row>
    <row r="1231" spans="1:19" ht="15.75" customHeight="1" x14ac:dyDescent="0.25">
      <c r="A1231" s="438">
        <v>1228</v>
      </c>
      <c r="B1231" s="470" t="s">
        <v>17</v>
      </c>
      <c r="C1231" s="471" t="s">
        <v>18</v>
      </c>
      <c r="D1231" s="472" t="s">
        <v>19</v>
      </c>
      <c r="E1231" s="448" t="s">
        <v>4083</v>
      </c>
      <c r="F1231" s="448" t="s">
        <v>4100</v>
      </c>
      <c r="G1231" s="473" t="s">
        <v>3045</v>
      </c>
      <c r="H1231" s="439" t="s">
        <v>1608</v>
      </c>
      <c r="I1231" s="474" t="s">
        <v>3457</v>
      </c>
      <c r="J1231" s="474" t="s">
        <v>3464</v>
      </c>
      <c r="K1231" s="443" t="s">
        <v>1592</v>
      </c>
      <c r="L1231" s="471">
        <v>1</v>
      </c>
      <c r="M1231" s="447" t="s">
        <v>1638</v>
      </c>
      <c r="N1231" s="456">
        <v>4300</v>
      </c>
      <c r="O1231" s="475">
        <f t="shared" si="4"/>
        <v>4300</v>
      </c>
      <c r="P1231" s="476"/>
      <c r="Q1231" s="477">
        <v>46023</v>
      </c>
      <c r="R1231" s="476"/>
      <c r="S1231" s="476"/>
    </row>
    <row r="1232" spans="1:19" ht="15.75" customHeight="1" x14ac:dyDescent="0.25">
      <c r="A1232" s="438">
        <v>1229</v>
      </c>
      <c r="B1232" s="470" t="s">
        <v>17</v>
      </c>
      <c r="C1232" s="471" t="s">
        <v>18</v>
      </c>
      <c r="D1232" s="472" t="s">
        <v>19</v>
      </c>
      <c r="E1232" s="448" t="s">
        <v>4083</v>
      </c>
      <c r="F1232" s="448" t="s">
        <v>4100</v>
      </c>
      <c r="G1232" s="473" t="s">
        <v>3045</v>
      </c>
      <c r="H1232" s="439" t="s">
        <v>1608</v>
      </c>
      <c r="I1232" s="474" t="s">
        <v>3457</v>
      </c>
      <c r="J1232" s="474" t="s">
        <v>3464</v>
      </c>
      <c r="K1232" s="443" t="s">
        <v>1592</v>
      </c>
      <c r="L1232" s="471">
        <v>1</v>
      </c>
      <c r="M1232" s="447" t="s">
        <v>1639</v>
      </c>
      <c r="N1232" s="456">
        <v>4300</v>
      </c>
      <c r="O1232" s="475">
        <f t="shared" si="4"/>
        <v>4300</v>
      </c>
      <c r="P1232" s="476"/>
      <c r="Q1232" s="477">
        <v>46023</v>
      </c>
      <c r="R1232" s="476"/>
      <c r="S1232" s="476"/>
    </row>
    <row r="1233" spans="1:19" ht="15.75" customHeight="1" x14ac:dyDescent="0.25">
      <c r="A1233" s="438">
        <v>1230</v>
      </c>
      <c r="B1233" s="470" t="s">
        <v>17</v>
      </c>
      <c r="C1233" s="471" t="s">
        <v>18</v>
      </c>
      <c r="D1233" s="472" t="s">
        <v>19</v>
      </c>
      <c r="E1233" s="448" t="s">
        <v>4083</v>
      </c>
      <c r="F1233" s="448" t="s">
        <v>4100</v>
      </c>
      <c r="G1233" s="473" t="s">
        <v>3045</v>
      </c>
      <c r="H1233" s="439" t="s">
        <v>1608</v>
      </c>
      <c r="I1233" s="474" t="s">
        <v>3457</v>
      </c>
      <c r="J1233" s="474" t="s">
        <v>3464</v>
      </c>
      <c r="K1233" s="443" t="s">
        <v>1592</v>
      </c>
      <c r="L1233" s="471">
        <v>1</v>
      </c>
      <c r="M1233" s="447" t="s">
        <v>1640</v>
      </c>
      <c r="N1233" s="456">
        <v>4300</v>
      </c>
      <c r="O1233" s="475">
        <f t="shared" si="4"/>
        <v>4300</v>
      </c>
      <c r="P1233" s="476"/>
      <c r="Q1233" s="477">
        <v>46023</v>
      </c>
      <c r="R1233" s="476"/>
      <c r="S1233" s="476"/>
    </row>
    <row r="1234" spans="1:19" ht="15.75" customHeight="1" x14ac:dyDescent="0.25">
      <c r="A1234" s="438">
        <v>1231</v>
      </c>
      <c r="B1234" s="470" t="s">
        <v>17</v>
      </c>
      <c r="C1234" s="471" t="s">
        <v>18</v>
      </c>
      <c r="D1234" s="472" t="s">
        <v>19</v>
      </c>
      <c r="E1234" s="448" t="s">
        <v>4083</v>
      </c>
      <c r="F1234" s="448" t="s">
        <v>4100</v>
      </c>
      <c r="G1234" s="473" t="s">
        <v>3045</v>
      </c>
      <c r="H1234" s="439" t="s">
        <v>1608</v>
      </c>
      <c r="I1234" s="474" t="s">
        <v>3457</v>
      </c>
      <c r="J1234" s="474" t="s">
        <v>3464</v>
      </c>
      <c r="K1234" s="443" t="s">
        <v>1592</v>
      </c>
      <c r="L1234" s="471">
        <v>1</v>
      </c>
      <c r="M1234" s="447" t="s">
        <v>1641</v>
      </c>
      <c r="N1234" s="456">
        <v>4300</v>
      </c>
      <c r="O1234" s="475">
        <f t="shared" si="4"/>
        <v>4300</v>
      </c>
      <c r="P1234" s="476"/>
      <c r="Q1234" s="477">
        <v>46023</v>
      </c>
      <c r="R1234" s="476"/>
      <c r="S1234" s="476"/>
    </row>
    <row r="1235" spans="1:19" ht="15.75" customHeight="1" x14ac:dyDescent="0.25">
      <c r="A1235" s="438">
        <v>1232</v>
      </c>
      <c r="B1235" s="470" t="s">
        <v>17</v>
      </c>
      <c r="C1235" s="471" t="s">
        <v>18</v>
      </c>
      <c r="D1235" s="472" t="s">
        <v>19</v>
      </c>
      <c r="E1235" s="448" t="s">
        <v>4085</v>
      </c>
      <c r="F1235" s="448" t="s">
        <v>3026</v>
      </c>
      <c r="G1235" s="473" t="s">
        <v>3045</v>
      </c>
      <c r="H1235" s="439" t="s">
        <v>1608</v>
      </c>
      <c r="I1235" s="474" t="s">
        <v>3457</v>
      </c>
      <c r="J1235" s="474" t="s">
        <v>3464</v>
      </c>
      <c r="K1235" s="443" t="s">
        <v>1592</v>
      </c>
      <c r="L1235" s="471">
        <v>1</v>
      </c>
      <c r="M1235" s="447" t="s">
        <v>1642</v>
      </c>
      <c r="N1235" s="456">
        <v>4300</v>
      </c>
      <c r="O1235" s="475">
        <f t="shared" si="4"/>
        <v>4300</v>
      </c>
      <c r="P1235" s="476"/>
      <c r="Q1235" s="477">
        <v>46023</v>
      </c>
      <c r="R1235" s="476"/>
      <c r="S1235" s="476"/>
    </row>
    <row r="1236" spans="1:19" ht="15.75" customHeight="1" x14ac:dyDescent="0.25">
      <c r="A1236" s="438">
        <v>1233</v>
      </c>
      <c r="B1236" s="470" t="s">
        <v>17</v>
      </c>
      <c r="C1236" s="471" t="s">
        <v>18</v>
      </c>
      <c r="D1236" s="472" t="s">
        <v>19</v>
      </c>
      <c r="E1236" s="448" t="s">
        <v>4085</v>
      </c>
      <c r="F1236" s="448" t="s">
        <v>3026</v>
      </c>
      <c r="G1236" s="473" t="s">
        <v>3045</v>
      </c>
      <c r="H1236" s="439" t="s">
        <v>1608</v>
      </c>
      <c r="I1236" s="474" t="s">
        <v>3457</v>
      </c>
      <c r="J1236" s="474" t="s">
        <v>3464</v>
      </c>
      <c r="K1236" s="443" t="s">
        <v>1592</v>
      </c>
      <c r="L1236" s="471">
        <v>1</v>
      </c>
      <c r="M1236" s="447" t="s">
        <v>1643</v>
      </c>
      <c r="N1236" s="456">
        <v>4300</v>
      </c>
      <c r="O1236" s="475">
        <f t="shared" si="4"/>
        <v>4300</v>
      </c>
      <c r="P1236" s="476"/>
      <c r="Q1236" s="477">
        <v>46023</v>
      </c>
      <c r="R1236" s="476"/>
      <c r="S1236" s="476"/>
    </row>
    <row r="1237" spans="1:19" ht="15.75" customHeight="1" x14ac:dyDescent="0.25">
      <c r="A1237" s="438">
        <v>1234</v>
      </c>
      <c r="B1237" s="470" t="s">
        <v>17</v>
      </c>
      <c r="C1237" s="471" t="s">
        <v>18</v>
      </c>
      <c r="D1237" s="472" t="s">
        <v>19</v>
      </c>
      <c r="E1237" s="448" t="s">
        <v>4085</v>
      </c>
      <c r="F1237" s="448" t="s">
        <v>3026</v>
      </c>
      <c r="G1237" s="473" t="s">
        <v>3045</v>
      </c>
      <c r="H1237" s="439" t="s">
        <v>1608</v>
      </c>
      <c r="I1237" s="474" t="s">
        <v>3457</v>
      </c>
      <c r="J1237" s="474" t="s">
        <v>3464</v>
      </c>
      <c r="K1237" s="443" t="s">
        <v>1592</v>
      </c>
      <c r="L1237" s="471">
        <v>1</v>
      </c>
      <c r="M1237" s="447" t="s">
        <v>1644</v>
      </c>
      <c r="N1237" s="456">
        <v>4300</v>
      </c>
      <c r="O1237" s="475">
        <f t="shared" si="4"/>
        <v>4300</v>
      </c>
      <c r="P1237" s="476"/>
      <c r="Q1237" s="477">
        <v>46023</v>
      </c>
      <c r="R1237" s="476"/>
      <c r="S1237" s="476"/>
    </row>
    <row r="1238" spans="1:19" ht="15.75" customHeight="1" x14ac:dyDescent="0.25">
      <c r="A1238" s="438">
        <v>1235</v>
      </c>
      <c r="B1238" s="470" t="s">
        <v>17</v>
      </c>
      <c r="C1238" s="471" t="s">
        <v>18</v>
      </c>
      <c r="D1238" s="472" t="s">
        <v>19</v>
      </c>
      <c r="E1238" s="448" t="s">
        <v>4085</v>
      </c>
      <c r="F1238" s="448" t="s">
        <v>3026</v>
      </c>
      <c r="G1238" s="473" t="s">
        <v>3045</v>
      </c>
      <c r="H1238" s="439" t="s">
        <v>1608</v>
      </c>
      <c r="I1238" s="474" t="s">
        <v>3457</v>
      </c>
      <c r="J1238" s="474" t="s">
        <v>3464</v>
      </c>
      <c r="K1238" s="443" t="s">
        <v>1592</v>
      </c>
      <c r="L1238" s="471">
        <v>1</v>
      </c>
      <c r="M1238" s="447" t="s">
        <v>1645</v>
      </c>
      <c r="N1238" s="456">
        <v>4300</v>
      </c>
      <c r="O1238" s="475">
        <f t="shared" si="4"/>
        <v>4300</v>
      </c>
      <c r="P1238" s="476"/>
      <c r="Q1238" s="477">
        <v>46023</v>
      </c>
      <c r="R1238" s="476"/>
      <c r="S1238" s="476"/>
    </row>
    <row r="1239" spans="1:19" ht="15.75" customHeight="1" x14ac:dyDescent="0.25">
      <c r="A1239" s="438">
        <v>1236</v>
      </c>
      <c r="B1239" s="470" t="s">
        <v>17</v>
      </c>
      <c r="C1239" s="471" t="s">
        <v>18</v>
      </c>
      <c r="D1239" s="472" t="s">
        <v>19</v>
      </c>
      <c r="E1239" s="448" t="s">
        <v>4085</v>
      </c>
      <c r="F1239" s="448" t="s">
        <v>3026</v>
      </c>
      <c r="G1239" s="473" t="s">
        <v>3045</v>
      </c>
      <c r="H1239" s="439" t="s">
        <v>1608</v>
      </c>
      <c r="I1239" s="474" t="s">
        <v>3457</v>
      </c>
      <c r="J1239" s="474" t="s">
        <v>3464</v>
      </c>
      <c r="K1239" s="443" t="s">
        <v>1592</v>
      </c>
      <c r="L1239" s="471">
        <v>1</v>
      </c>
      <c r="M1239" s="447" t="s">
        <v>1646</v>
      </c>
      <c r="N1239" s="456">
        <v>4300</v>
      </c>
      <c r="O1239" s="475">
        <f t="shared" si="4"/>
        <v>4300</v>
      </c>
      <c r="P1239" s="476"/>
      <c r="Q1239" s="477">
        <v>46023</v>
      </c>
      <c r="R1239" s="476"/>
      <c r="S1239" s="476"/>
    </row>
    <row r="1240" spans="1:19" ht="15.75" customHeight="1" x14ac:dyDescent="0.25">
      <c r="A1240" s="438">
        <v>1237</v>
      </c>
      <c r="B1240" s="470" t="s">
        <v>17</v>
      </c>
      <c r="C1240" s="471" t="s">
        <v>18</v>
      </c>
      <c r="D1240" s="472" t="s">
        <v>19</v>
      </c>
      <c r="E1240" s="448" t="s">
        <v>4085</v>
      </c>
      <c r="F1240" s="448" t="s">
        <v>3026</v>
      </c>
      <c r="G1240" s="473" t="s">
        <v>3045</v>
      </c>
      <c r="H1240" s="439" t="s">
        <v>1608</v>
      </c>
      <c r="I1240" s="474" t="s">
        <v>3457</v>
      </c>
      <c r="J1240" s="474" t="s">
        <v>3464</v>
      </c>
      <c r="K1240" s="443" t="s">
        <v>1592</v>
      </c>
      <c r="L1240" s="471">
        <v>1</v>
      </c>
      <c r="M1240" s="447" t="s">
        <v>1647</v>
      </c>
      <c r="N1240" s="456">
        <v>4300</v>
      </c>
      <c r="O1240" s="475">
        <f t="shared" si="4"/>
        <v>4300</v>
      </c>
      <c r="P1240" s="476"/>
      <c r="Q1240" s="477">
        <v>46023</v>
      </c>
      <c r="R1240" s="476"/>
      <c r="S1240" s="476"/>
    </row>
    <row r="1241" spans="1:19" ht="15.75" customHeight="1" x14ac:dyDescent="0.25">
      <c r="A1241" s="438">
        <v>1238</v>
      </c>
      <c r="B1241" s="470" t="s">
        <v>17</v>
      </c>
      <c r="C1241" s="471" t="s">
        <v>18</v>
      </c>
      <c r="D1241" s="472" t="s">
        <v>19</v>
      </c>
      <c r="E1241" s="448" t="s">
        <v>4085</v>
      </c>
      <c r="F1241" s="448" t="s">
        <v>3026</v>
      </c>
      <c r="G1241" s="473" t="s">
        <v>3045</v>
      </c>
      <c r="H1241" s="439" t="s">
        <v>1608</v>
      </c>
      <c r="I1241" s="474" t="s">
        <v>3457</v>
      </c>
      <c r="J1241" s="474" t="s">
        <v>3464</v>
      </c>
      <c r="K1241" s="443" t="s">
        <v>1592</v>
      </c>
      <c r="L1241" s="471">
        <v>1</v>
      </c>
      <c r="M1241" s="447" t="s">
        <v>1648</v>
      </c>
      <c r="N1241" s="456">
        <v>4300</v>
      </c>
      <c r="O1241" s="475">
        <f t="shared" si="4"/>
        <v>4300</v>
      </c>
      <c r="P1241" s="476"/>
      <c r="Q1241" s="477">
        <v>46023</v>
      </c>
      <c r="R1241" s="476"/>
      <c r="S1241" s="476"/>
    </row>
    <row r="1242" spans="1:19" ht="15.75" customHeight="1" x14ac:dyDescent="0.25">
      <c r="A1242" s="438">
        <v>1239</v>
      </c>
      <c r="B1242" s="470" t="s">
        <v>17</v>
      </c>
      <c r="C1242" s="471" t="s">
        <v>18</v>
      </c>
      <c r="D1242" s="472" t="s">
        <v>19</v>
      </c>
      <c r="E1242" s="448" t="s">
        <v>4085</v>
      </c>
      <c r="F1242" s="448" t="s">
        <v>3026</v>
      </c>
      <c r="G1242" s="473" t="s">
        <v>3045</v>
      </c>
      <c r="H1242" s="439" t="s">
        <v>1608</v>
      </c>
      <c r="I1242" s="474" t="s">
        <v>3457</v>
      </c>
      <c r="J1242" s="474" t="s">
        <v>3464</v>
      </c>
      <c r="K1242" s="443" t="s">
        <v>1592</v>
      </c>
      <c r="L1242" s="471">
        <v>1</v>
      </c>
      <c r="M1242" s="447" t="s">
        <v>1649</v>
      </c>
      <c r="N1242" s="456">
        <v>4300</v>
      </c>
      <c r="O1242" s="475">
        <f t="shared" si="4"/>
        <v>4300</v>
      </c>
      <c r="P1242" s="476"/>
      <c r="Q1242" s="477">
        <v>46023</v>
      </c>
      <c r="R1242" s="476"/>
      <c r="S1242" s="476"/>
    </row>
    <row r="1243" spans="1:19" ht="15.75" customHeight="1" x14ac:dyDescent="0.25">
      <c r="A1243" s="438">
        <v>1240</v>
      </c>
      <c r="B1243" s="470" t="s">
        <v>17</v>
      </c>
      <c r="C1243" s="471" t="s">
        <v>18</v>
      </c>
      <c r="D1243" s="472" t="s">
        <v>19</v>
      </c>
      <c r="E1243" s="448" t="s">
        <v>4085</v>
      </c>
      <c r="F1243" s="448" t="s">
        <v>3026</v>
      </c>
      <c r="G1243" s="473" t="s">
        <v>3045</v>
      </c>
      <c r="H1243" s="439" t="s">
        <v>1608</v>
      </c>
      <c r="I1243" s="474" t="s">
        <v>3457</v>
      </c>
      <c r="J1243" s="474" t="s">
        <v>3464</v>
      </c>
      <c r="K1243" s="443" t="s">
        <v>1592</v>
      </c>
      <c r="L1243" s="471">
        <v>1</v>
      </c>
      <c r="M1243" s="447" t="s">
        <v>1650</v>
      </c>
      <c r="N1243" s="456">
        <v>4300</v>
      </c>
      <c r="O1243" s="475">
        <f t="shared" si="4"/>
        <v>4300</v>
      </c>
      <c r="P1243" s="476"/>
      <c r="Q1243" s="477">
        <v>46023</v>
      </c>
      <c r="R1243" s="476"/>
      <c r="S1243" s="476"/>
    </row>
    <row r="1244" spans="1:19" ht="15.75" customHeight="1" x14ac:dyDescent="0.25">
      <c r="A1244" s="438">
        <v>1241</v>
      </c>
      <c r="B1244" s="470" t="s">
        <v>17</v>
      </c>
      <c r="C1244" s="471" t="s">
        <v>18</v>
      </c>
      <c r="D1244" s="472" t="s">
        <v>19</v>
      </c>
      <c r="E1244" s="448" t="s">
        <v>4085</v>
      </c>
      <c r="F1244" s="448" t="s">
        <v>3026</v>
      </c>
      <c r="G1244" s="473" t="s">
        <v>3045</v>
      </c>
      <c r="H1244" s="439" t="s">
        <v>1608</v>
      </c>
      <c r="I1244" s="474" t="s">
        <v>3457</v>
      </c>
      <c r="J1244" s="474" t="s">
        <v>3464</v>
      </c>
      <c r="K1244" s="443" t="s">
        <v>1592</v>
      </c>
      <c r="L1244" s="471">
        <v>1</v>
      </c>
      <c r="M1244" s="447" t="s">
        <v>1651</v>
      </c>
      <c r="N1244" s="456">
        <v>4300</v>
      </c>
      <c r="O1244" s="475">
        <f t="shared" si="4"/>
        <v>4300</v>
      </c>
      <c r="P1244" s="476"/>
      <c r="Q1244" s="477">
        <v>46023</v>
      </c>
      <c r="R1244" s="476"/>
      <c r="S1244" s="476"/>
    </row>
    <row r="1245" spans="1:19" ht="15.75" customHeight="1" x14ac:dyDescent="0.25">
      <c r="A1245" s="438">
        <v>1242</v>
      </c>
      <c r="B1245" s="470" t="s">
        <v>17</v>
      </c>
      <c r="C1245" s="471" t="s">
        <v>18</v>
      </c>
      <c r="D1245" s="472" t="s">
        <v>19</v>
      </c>
      <c r="E1245" s="448" t="s">
        <v>4085</v>
      </c>
      <c r="F1245" s="448" t="s">
        <v>3026</v>
      </c>
      <c r="G1245" s="473" t="s">
        <v>3045</v>
      </c>
      <c r="H1245" s="439" t="s">
        <v>1608</v>
      </c>
      <c r="I1245" s="474" t="s">
        <v>3457</v>
      </c>
      <c r="J1245" s="474" t="s">
        <v>3464</v>
      </c>
      <c r="K1245" s="443" t="s">
        <v>1592</v>
      </c>
      <c r="L1245" s="471">
        <v>1</v>
      </c>
      <c r="M1245" s="447" t="s">
        <v>1652</v>
      </c>
      <c r="N1245" s="456">
        <v>4300</v>
      </c>
      <c r="O1245" s="475">
        <f t="shared" si="4"/>
        <v>4300</v>
      </c>
      <c r="P1245" s="476"/>
      <c r="Q1245" s="477">
        <v>46023</v>
      </c>
      <c r="R1245" s="476"/>
      <c r="S1245" s="476"/>
    </row>
    <row r="1246" spans="1:19" ht="15.75" customHeight="1" x14ac:dyDescent="0.25">
      <c r="A1246" s="438">
        <v>1243</v>
      </c>
      <c r="B1246" s="470" t="s">
        <v>17</v>
      </c>
      <c r="C1246" s="471" t="s">
        <v>18</v>
      </c>
      <c r="D1246" s="472" t="s">
        <v>19</v>
      </c>
      <c r="E1246" s="448" t="s">
        <v>4085</v>
      </c>
      <c r="F1246" s="448" t="s">
        <v>3026</v>
      </c>
      <c r="G1246" s="473" t="s">
        <v>3045</v>
      </c>
      <c r="H1246" s="439" t="s">
        <v>1608</v>
      </c>
      <c r="I1246" s="474" t="s">
        <v>3457</v>
      </c>
      <c r="J1246" s="474" t="s">
        <v>3464</v>
      </c>
      <c r="K1246" s="443" t="s">
        <v>1592</v>
      </c>
      <c r="L1246" s="471">
        <v>1</v>
      </c>
      <c r="M1246" s="447" t="s">
        <v>1653</v>
      </c>
      <c r="N1246" s="456">
        <v>4300</v>
      </c>
      <c r="O1246" s="475">
        <f t="shared" si="4"/>
        <v>4300</v>
      </c>
      <c r="P1246" s="476"/>
      <c r="Q1246" s="477">
        <v>46023</v>
      </c>
      <c r="R1246" s="476"/>
      <c r="S1246" s="476"/>
    </row>
    <row r="1247" spans="1:19" ht="15.75" customHeight="1" x14ac:dyDescent="0.25">
      <c r="A1247" s="438">
        <v>1244</v>
      </c>
      <c r="B1247" s="470" t="s">
        <v>17</v>
      </c>
      <c r="C1247" s="471" t="s">
        <v>18</v>
      </c>
      <c r="D1247" s="472" t="s">
        <v>19</v>
      </c>
      <c r="E1247" s="448" t="s">
        <v>4085</v>
      </c>
      <c r="F1247" s="448" t="s">
        <v>3026</v>
      </c>
      <c r="G1247" s="473" t="s">
        <v>3045</v>
      </c>
      <c r="H1247" s="439" t="s">
        <v>1608</v>
      </c>
      <c r="I1247" s="474" t="s">
        <v>3457</v>
      </c>
      <c r="J1247" s="474" t="s">
        <v>3464</v>
      </c>
      <c r="K1247" s="443" t="s">
        <v>1592</v>
      </c>
      <c r="L1247" s="471">
        <v>1</v>
      </c>
      <c r="M1247" s="447" t="s">
        <v>1654</v>
      </c>
      <c r="N1247" s="456">
        <v>4300</v>
      </c>
      <c r="O1247" s="475">
        <f t="shared" si="4"/>
        <v>4300</v>
      </c>
      <c r="P1247" s="476"/>
      <c r="Q1247" s="477">
        <v>46023</v>
      </c>
      <c r="R1247" s="476"/>
      <c r="S1247" s="476"/>
    </row>
    <row r="1248" spans="1:19" ht="15.75" customHeight="1" x14ac:dyDescent="0.25">
      <c r="A1248" s="438">
        <v>1245</v>
      </c>
      <c r="B1248" s="470" t="s">
        <v>17</v>
      </c>
      <c r="C1248" s="471" t="s">
        <v>18</v>
      </c>
      <c r="D1248" s="472" t="s">
        <v>19</v>
      </c>
      <c r="E1248" s="448" t="s">
        <v>4085</v>
      </c>
      <c r="F1248" s="448" t="s">
        <v>3026</v>
      </c>
      <c r="G1248" s="473" t="s">
        <v>3045</v>
      </c>
      <c r="H1248" s="439" t="s">
        <v>1608</v>
      </c>
      <c r="I1248" s="474" t="s">
        <v>3457</v>
      </c>
      <c r="J1248" s="474" t="s">
        <v>3464</v>
      </c>
      <c r="K1248" s="443" t="s">
        <v>1592</v>
      </c>
      <c r="L1248" s="471">
        <v>1</v>
      </c>
      <c r="M1248" s="447" t="s">
        <v>1655</v>
      </c>
      <c r="N1248" s="456">
        <v>4300</v>
      </c>
      <c r="O1248" s="475">
        <f t="shared" si="4"/>
        <v>4300</v>
      </c>
      <c r="P1248" s="476"/>
      <c r="Q1248" s="477">
        <v>46023</v>
      </c>
      <c r="R1248" s="476"/>
      <c r="S1248" s="476"/>
    </row>
    <row r="1249" spans="1:19" ht="15.75" customHeight="1" x14ac:dyDescent="0.25">
      <c r="A1249" s="438">
        <v>1246</v>
      </c>
      <c r="B1249" s="470" t="s">
        <v>17</v>
      </c>
      <c r="C1249" s="471" t="s">
        <v>18</v>
      </c>
      <c r="D1249" s="472" t="s">
        <v>19</v>
      </c>
      <c r="E1249" s="465" t="s">
        <v>4085</v>
      </c>
      <c r="F1249" s="448" t="s">
        <v>3026</v>
      </c>
      <c r="G1249" s="473" t="s">
        <v>3045</v>
      </c>
      <c r="H1249" s="439" t="s">
        <v>1608</v>
      </c>
      <c r="I1249" s="474" t="s">
        <v>3457</v>
      </c>
      <c r="J1249" s="474" t="s">
        <v>3464</v>
      </c>
      <c r="K1249" s="443" t="s">
        <v>1592</v>
      </c>
      <c r="L1249" s="471">
        <v>1</v>
      </c>
      <c r="M1249" s="447" t="s">
        <v>1656</v>
      </c>
      <c r="N1249" s="456">
        <v>4300</v>
      </c>
      <c r="O1249" s="475">
        <f t="shared" si="4"/>
        <v>4300</v>
      </c>
      <c r="P1249" s="476"/>
      <c r="Q1249" s="477">
        <v>46023</v>
      </c>
      <c r="R1249" s="476"/>
      <c r="S1249" s="476"/>
    </row>
    <row r="1250" spans="1:19" ht="15.75" customHeight="1" x14ac:dyDescent="0.25">
      <c r="A1250" s="438">
        <v>1247</v>
      </c>
      <c r="B1250" s="470" t="s">
        <v>17</v>
      </c>
      <c r="C1250" s="471" t="s">
        <v>18</v>
      </c>
      <c r="D1250" s="472" t="s">
        <v>19</v>
      </c>
      <c r="E1250" s="465" t="s">
        <v>4085</v>
      </c>
      <c r="F1250" s="448" t="s">
        <v>3026</v>
      </c>
      <c r="G1250" s="473" t="s">
        <v>3045</v>
      </c>
      <c r="H1250" s="439" t="s">
        <v>1608</v>
      </c>
      <c r="I1250" s="474" t="s">
        <v>3457</v>
      </c>
      <c r="J1250" s="474" t="s">
        <v>3464</v>
      </c>
      <c r="K1250" s="443" t="s">
        <v>1592</v>
      </c>
      <c r="L1250" s="471">
        <v>1</v>
      </c>
      <c r="M1250" s="447" t="s">
        <v>1657</v>
      </c>
      <c r="N1250" s="456">
        <v>4300</v>
      </c>
      <c r="O1250" s="475">
        <f t="shared" si="4"/>
        <v>4300</v>
      </c>
      <c r="P1250" s="476"/>
      <c r="Q1250" s="477">
        <v>46023</v>
      </c>
      <c r="R1250" s="476"/>
      <c r="S1250" s="476"/>
    </row>
    <row r="1251" spans="1:19" ht="15.75" customHeight="1" x14ac:dyDescent="0.25">
      <c r="A1251" s="438">
        <v>1248</v>
      </c>
      <c r="B1251" s="470" t="s">
        <v>17</v>
      </c>
      <c r="C1251" s="471" t="s">
        <v>18</v>
      </c>
      <c r="D1251" s="472" t="s">
        <v>19</v>
      </c>
      <c r="E1251" s="465" t="s">
        <v>4085</v>
      </c>
      <c r="F1251" s="448" t="s">
        <v>3026</v>
      </c>
      <c r="G1251" s="473" t="s">
        <v>3045</v>
      </c>
      <c r="H1251" s="439" t="s">
        <v>1608</v>
      </c>
      <c r="I1251" s="474" t="s">
        <v>3457</v>
      </c>
      <c r="J1251" s="474" t="s">
        <v>3464</v>
      </c>
      <c r="K1251" s="443" t="s">
        <v>1592</v>
      </c>
      <c r="L1251" s="471">
        <v>1</v>
      </c>
      <c r="M1251" s="447" t="s">
        <v>1658</v>
      </c>
      <c r="N1251" s="456">
        <v>4300</v>
      </c>
      <c r="O1251" s="475">
        <f t="shared" si="4"/>
        <v>4300</v>
      </c>
      <c r="P1251" s="476"/>
      <c r="Q1251" s="477">
        <v>46023</v>
      </c>
      <c r="R1251" s="476"/>
      <c r="S1251" s="476"/>
    </row>
    <row r="1252" spans="1:19" ht="15.75" customHeight="1" x14ac:dyDescent="0.25">
      <c r="A1252" s="438">
        <v>1249</v>
      </c>
      <c r="B1252" s="470" t="s">
        <v>17</v>
      </c>
      <c r="C1252" s="471" t="s">
        <v>18</v>
      </c>
      <c r="D1252" s="472" t="s">
        <v>19</v>
      </c>
      <c r="E1252" s="465" t="s">
        <v>4085</v>
      </c>
      <c r="F1252" s="448" t="s">
        <v>3026</v>
      </c>
      <c r="G1252" s="473" t="s">
        <v>3045</v>
      </c>
      <c r="H1252" s="439" t="s">
        <v>1608</v>
      </c>
      <c r="I1252" s="474" t="s">
        <v>3457</v>
      </c>
      <c r="J1252" s="474" t="s">
        <v>3464</v>
      </c>
      <c r="K1252" s="443" t="s">
        <v>1592</v>
      </c>
      <c r="L1252" s="471">
        <v>1</v>
      </c>
      <c r="M1252" s="447" t="s">
        <v>1659</v>
      </c>
      <c r="N1252" s="456">
        <v>4300</v>
      </c>
      <c r="O1252" s="475">
        <f t="shared" si="4"/>
        <v>4300</v>
      </c>
      <c r="P1252" s="476"/>
      <c r="Q1252" s="477">
        <v>46023</v>
      </c>
      <c r="R1252" s="476"/>
      <c r="S1252" s="476"/>
    </row>
    <row r="1253" spans="1:19" ht="15.75" customHeight="1" x14ac:dyDescent="0.25">
      <c r="A1253" s="438">
        <v>1250</v>
      </c>
      <c r="B1253" s="470" t="s">
        <v>17</v>
      </c>
      <c r="C1253" s="471" t="s">
        <v>18</v>
      </c>
      <c r="D1253" s="472" t="s">
        <v>19</v>
      </c>
      <c r="E1253" s="465" t="s">
        <v>4085</v>
      </c>
      <c r="F1253" s="448" t="s">
        <v>3026</v>
      </c>
      <c r="G1253" s="473" t="s">
        <v>3045</v>
      </c>
      <c r="H1253" s="439" t="s">
        <v>1608</v>
      </c>
      <c r="I1253" s="474" t="s">
        <v>3457</v>
      </c>
      <c r="J1253" s="474" t="s">
        <v>3464</v>
      </c>
      <c r="K1253" s="443" t="s">
        <v>1592</v>
      </c>
      <c r="L1253" s="471">
        <v>1</v>
      </c>
      <c r="M1253" s="447" t="s">
        <v>1660</v>
      </c>
      <c r="N1253" s="456">
        <v>4300</v>
      </c>
      <c r="O1253" s="475">
        <f t="shared" si="4"/>
        <v>4300</v>
      </c>
      <c r="P1253" s="476"/>
      <c r="Q1253" s="477">
        <v>46023</v>
      </c>
      <c r="R1253" s="476"/>
      <c r="S1253" s="476"/>
    </row>
    <row r="1254" spans="1:19" ht="15.75" customHeight="1" x14ac:dyDescent="0.25">
      <c r="A1254" s="438">
        <v>1251</v>
      </c>
      <c r="B1254" s="470" t="s">
        <v>17</v>
      </c>
      <c r="C1254" s="471" t="s">
        <v>18</v>
      </c>
      <c r="D1254" s="472" t="s">
        <v>19</v>
      </c>
      <c r="E1254" s="465" t="s">
        <v>4085</v>
      </c>
      <c r="F1254" s="448" t="s">
        <v>2982</v>
      </c>
      <c r="G1254" s="473" t="s">
        <v>3045</v>
      </c>
      <c r="H1254" s="439" t="s">
        <v>1608</v>
      </c>
      <c r="I1254" s="474" t="s">
        <v>3457</v>
      </c>
      <c r="J1254" s="474" t="s">
        <v>3464</v>
      </c>
      <c r="K1254" s="443" t="s">
        <v>1592</v>
      </c>
      <c r="L1254" s="471">
        <v>1</v>
      </c>
      <c r="M1254" s="447" t="s">
        <v>1661</v>
      </c>
      <c r="N1254" s="456">
        <v>4300</v>
      </c>
      <c r="O1254" s="475">
        <f t="shared" si="4"/>
        <v>4300</v>
      </c>
      <c r="P1254" s="476"/>
      <c r="Q1254" s="477">
        <v>46023</v>
      </c>
      <c r="R1254" s="476"/>
      <c r="S1254" s="476"/>
    </row>
    <row r="1255" spans="1:19" ht="15.75" customHeight="1" x14ac:dyDescent="0.25">
      <c r="A1255" s="438">
        <v>1252</v>
      </c>
      <c r="B1255" s="470" t="s">
        <v>17</v>
      </c>
      <c r="C1255" s="471" t="s">
        <v>18</v>
      </c>
      <c r="D1255" s="472" t="s">
        <v>19</v>
      </c>
      <c r="E1255" s="465" t="s">
        <v>4085</v>
      </c>
      <c r="F1255" s="448" t="s">
        <v>2982</v>
      </c>
      <c r="G1255" s="473" t="s">
        <v>3045</v>
      </c>
      <c r="H1255" s="439" t="s">
        <v>1608</v>
      </c>
      <c r="I1255" s="474" t="s">
        <v>3457</v>
      </c>
      <c r="J1255" s="474" t="s">
        <v>3464</v>
      </c>
      <c r="K1255" s="443" t="s">
        <v>1592</v>
      </c>
      <c r="L1255" s="471">
        <v>1</v>
      </c>
      <c r="M1255" s="447" t="s">
        <v>1662</v>
      </c>
      <c r="N1255" s="456">
        <v>4300</v>
      </c>
      <c r="O1255" s="475">
        <f t="shared" si="4"/>
        <v>4300</v>
      </c>
      <c r="P1255" s="476"/>
      <c r="Q1255" s="477">
        <v>46023</v>
      </c>
      <c r="R1255" s="476"/>
      <c r="S1255" s="476"/>
    </row>
    <row r="1256" spans="1:19" ht="15.75" customHeight="1" x14ac:dyDescent="0.25">
      <c r="A1256" s="438">
        <v>1253</v>
      </c>
      <c r="B1256" s="470" t="s">
        <v>17</v>
      </c>
      <c r="C1256" s="471" t="s">
        <v>18</v>
      </c>
      <c r="D1256" s="472" t="s">
        <v>19</v>
      </c>
      <c r="E1256" s="465" t="s">
        <v>4085</v>
      </c>
      <c r="F1256" s="448" t="s">
        <v>2982</v>
      </c>
      <c r="G1256" s="473" t="s">
        <v>3045</v>
      </c>
      <c r="H1256" s="439" t="s">
        <v>1608</v>
      </c>
      <c r="I1256" s="474" t="s">
        <v>3457</v>
      </c>
      <c r="J1256" s="474" t="s">
        <v>3464</v>
      </c>
      <c r="K1256" s="443" t="s">
        <v>1592</v>
      </c>
      <c r="L1256" s="471">
        <v>1</v>
      </c>
      <c r="M1256" s="447" t="s">
        <v>1663</v>
      </c>
      <c r="N1256" s="456">
        <v>4300</v>
      </c>
      <c r="O1256" s="475">
        <f t="shared" si="4"/>
        <v>4300</v>
      </c>
      <c r="P1256" s="476"/>
      <c r="Q1256" s="477">
        <v>46023</v>
      </c>
      <c r="R1256" s="476"/>
      <c r="S1256" s="476"/>
    </row>
    <row r="1257" spans="1:19" ht="15.75" customHeight="1" x14ac:dyDescent="0.25">
      <c r="A1257" s="438">
        <v>1254</v>
      </c>
      <c r="B1257" s="470" t="s">
        <v>17</v>
      </c>
      <c r="C1257" s="471" t="s">
        <v>18</v>
      </c>
      <c r="D1257" s="472" t="s">
        <v>19</v>
      </c>
      <c r="E1257" s="465" t="s">
        <v>4085</v>
      </c>
      <c r="F1257" s="448" t="s">
        <v>2982</v>
      </c>
      <c r="G1257" s="473" t="s">
        <v>3045</v>
      </c>
      <c r="H1257" s="439" t="s">
        <v>1608</v>
      </c>
      <c r="I1257" s="474" t="s">
        <v>3457</v>
      </c>
      <c r="J1257" s="474" t="s">
        <v>3464</v>
      </c>
      <c r="K1257" s="443" t="s">
        <v>1592</v>
      </c>
      <c r="L1257" s="471">
        <v>1</v>
      </c>
      <c r="M1257" s="447" t="s">
        <v>1664</v>
      </c>
      <c r="N1257" s="456">
        <v>4300</v>
      </c>
      <c r="O1257" s="475">
        <f t="shared" si="4"/>
        <v>4300</v>
      </c>
      <c r="P1257" s="476"/>
      <c r="Q1257" s="477">
        <v>46023</v>
      </c>
      <c r="R1257" s="476"/>
      <c r="S1257" s="476"/>
    </row>
    <row r="1258" spans="1:19" ht="15.75" customHeight="1" x14ac:dyDescent="0.25">
      <c r="A1258" s="438">
        <v>1255</v>
      </c>
      <c r="B1258" s="470" t="s">
        <v>17</v>
      </c>
      <c r="C1258" s="471" t="s">
        <v>18</v>
      </c>
      <c r="D1258" s="472" t="s">
        <v>19</v>
      </c>
      <c r="E1258" s="448" t="s">
        <v>4085</v>
      </c>
      <c r="F1258" s="448" t="s">
        <v>2982</v>
      </c>
      <c r="G1258" s="473" t="s">
        <v>3045</v>
      </c>
      <c r="H1258" s="439" t="s">
        <v>1608</v>
      </c>
      <c r="I1258" s="474" t="s">
        <v>3457</v>
      </c>
      <c r="J1258" s="474" t="s">
        <v>3464</v>
      </c>
      <c r="K1258" s="443" t="s">
        <v>1592</v>
      </c>
      <c r="L1258" s="471">
        <v>1</v>
      </c>
      <c r="M1258" s="447" t="s">
        <v>1665</v>
      </c>
      <c r="N1258" s="456">
        <v>4300</v>
      </c>
      <c r="O1258" s="475">
        <f t="shared" si="4"/>
        <v>4300</v>
      </c>
      <c r="P1258" s="476"/>
      <c r="Q1258" s="477">
        <v>46023</v>
      </c>
      <c r="R1258" s="476"/>
      <c r="S1258" s="476"/>
    </row>
    <row r="1259" spans="1:19" ht="15.75" customHeight="1" x14ac:dyDescent="0.25">
      <c r="A1259" s="438">
        <v>1256</v>
      </c>
      <c r="B1259" s="470" t="s">
        <v>17</v>
      </c>
      <c r="C1259" s="471" t="s">
        <v>18</v>
      </c>
      <c r="D1259" s="472" t="s">
        <v>19</v>
      </c>
      <c r="E1259" s="448" t="s">
        <v>4085</v>
      </c>
      <c r="F1259" s="448" t="s">
        <v>2982</v>
      </c>
      <c r="G1259" s="473" t="s">
        <v>3045</v>
      </c>
      <c r="H1259" s="439" t="s">
        <v>1608</v>
      </c>
      <c r="I1259" s="474" t="s">
        <v>3457</v>
      </c>
      <c r="J1259" s="474" t="s">
        <v>3464</v>
      </c>
      <c r="K1259" s="443" t="s">
        <v>1592</v>
      </c>
      <c r="L1259" s="471">
        <v>1</v>
      </c>
      <c r="M1259" s="447" t="s">
        <v>1666</v>
      </c>
      <c r="N1259" s="456">
        <v>4300</v>
      </c>
      <c r="O1259" s="475">
        <f t="shared" si="4"/>
        <v>4300</v>
      </c>
      <c r="P1259" s="476"/>
      <c r="Q1259" s="477">
        <v>46023</v>
      </c>
      <c r="R1259" s="476"/>
      <c r="S1259" s="476"/>
    </row>
    <row r="1260" spans="1:19" ht="15.75" customHeight="1" x14ac:dyDescent="0.25">
      <c r="A1260" s="438">
        <v>1257</v>
      </c>
      <c r="B1260" s="470" t="s">
        <v>17</v>
      </c>
      <c r="C1260" s="471" t="s">
        <v>18</v>
      </c>
      <c r="D1260" s="472" t="s">
        <v>19</v>
      </c>
      <c r="E1260" s="448" t="s">
        <v>4085</v>
      </c>
      <c r="F1260" s="448" t="s">
        <v>2982</v>
      </c>
      <c r="G1260" s="473" t="s">
        <v>3045</v>
      </c>
      <c r="H1260" s="439" t="s">
        <v>1608</v>
      </c>
      <c r="I1260" s="474" t="s">
        <v>3457</v>
      </c>
      <c r="J1260" s="474" t="s">
        <v>3464</v>
      </c>
      <c r="K1260" s="443" t="s">
        <v>1592</v>
      </c>
      <c r="L1260" s="471">
        <v>1</v>
      </c>
      <c r="M1260" s="447" t="s">
        <v>1667</v>
      </c>
      <c r="N1260" s="456">
        <v>4300</v>
      </c>
      <c r="O1260" s="475">
        <f t="shared" si="4"/>
        <v>4300</v>
      </c>
      <c r="P1260" s="476"/>
      <c r="Q1260" s="477">
        <v>46023</v>
      </c>
      <c r="R1260" s="476"/>
      <c r="S1260" s="476"/>
    </row>
    <row r="1261" spans="1:19" ht="15.75" customHeight="1" x14ac:dyDescent="0.25">
      <c r="A1261" s="438">
        <v>1258</v>
      </c>
      <c r="B1261" s="470" t="s">
        <v>17</v>
      </c>
      <c r="C1261" s="471" t="s">
        <v>18</v>
      </c>
      <c r="D1261" s="472" t="s">
        <v>19</v>
      </c>
      <c r="E1261" s="448" t="s">
        <v>4085</v>
      </c>
      <c r="F1261" s="448" t="s">
        <v>2982</v>
      </c>
      <c r="G1261" s="473" t="s">
        <v>3045</v>
      </c>
      <c r="H1261" s="439" t="s">
        <v>1608</v>
      </c>
      <c r="I1261" s="474" t="s">
        <v>3457</v>
      </c>
      <c r="J1261" s="474" t="s">
        <v>3464</v>
      </c>
      <c r="K1261" s="443" t="s">
        <v>1592</v>
      </c>
      <c r="L1261" s="471">
        <v>1</v>
      </c>
      <c r="M1261" s="447" t="s">
        <v>1668</v>
      </c>
      <c r="N1261" s="456">
        <v>4300</v>
      </c>
      <c r="O1261" s="475">
        <f t="shared" si="4"/>
        <v>4300</v>
      </c>
      <c r="P1261" s="476"/>
      <c r="Q1261" s="477">
        <v>46023</v>
      </c>
      <c r="R1261" s="476"/>
      <c r="S1261" s="476"/>
    </row>
    <row r="1262" spans="1:19" ht="15.75" customHeight="1" x14ac:dyDescent="0.25">
      <c r="A1262" s="438">
        <v>1259</v>
      </c>
      <c r="B1262" s="470" t="s">
        <v>17</v>
      </c>
      <c r="C1262" s="471" t="s">
        <v>18</v>
      </c>
      <c r="D1262" s="472" t="s">
        <v>19</v>
      </c>
      <c r="E1262" s="448" t="s">
        <v>4085</v>
      </c>
      <c r="F1262" s="448" t="s">
        <v>2982</v>
      </c>
      <c r="G1262" s="473" t="s">
        <v>3045</v>
      </c>
      <c r="H1262" s="439" t="s">
        <v>1608</v>
      </c>
      <c r="I1262" s="474" t="s">
        <v>3457</v>
      </c>
      <c r="J1262" s="474" t="s">
        <v>3464</v>
      </c>
      <c r="K1262" s="443" t="s">
        <v>1592</v>
      </c>
      <c r="L1262" s="471">
        <v>1</v>
      </c>
      <c r="M1262" s="447" t="s">
        <v>1669</v>
      </c>
      <c r="N1262" s="456">
        <v>4300</v>
      </c>
      <c r="O1262" s="475">
        <f t="shared" si="4"/>
        <v>4300</v>
      </c>
      <c r="P1262" s="476"/>
      <c r="Q1262" s="477">
        <v>46023</v>
      </c>
      <c r="R1262" s="476"/>
      <c r="S1262" s="476"/>
    </row>
    <row r="1263" spans="1:19" ht="15.75" customHeight="1" x14ac:dyDescent="0.25">
      <c r="A1263" s="438">
        <v>1260</v>
      </c>
      <c r="B1263" s="470" t="s">
        <v>17</v>
      </c>
      <c r="C1263" s="471" t="s">
        <v>18</v>
      </c>
      <c r="D1263" s="472" t="s">
        <v>19</v>
      </c>
      <c r="E1263" s="448" t="s">
        <v>4085</v>
      </c>
      <c r="F1263" s="448" t="s">
        <v>2982</v>
      </c>
      <c r="G1263" s="473" t="s">
        <v>3045</v>
      </c>
      <c r="H1263" s="439" t="s">
        <v>1608</v>
      </c>
      <c r="I1263" s="474" t="s">
        <v>3457</v>
      </c>
      <c r="J1263" s="474" t="s">
        <v>3464</v>
      </c>
      <c r="K1263" s="443" t="s">
        <v>1592</v>
      </c>
      <c r="L1263" s="471">
        <v>1</v>
      </c>
      <c r="M1263" s="447" t="s">
        <v>1670</v>
      </c>
      <c r="N1263" s="456">
        <v>4300</v>
      </c>
      <c r="O1263" s="475">
        <f t="shared" si="4"/>
        <v>4300</v>
      </c>
      <c r="P1263" s="476"/>
      <c r="Q1263" s="477">
        <v>46023</v>
      </c>
      <c r="R1263" s="476"/>
      <c r="S1263" s="476"/>
    </row>
    <row r="1264" spans="1:19" ht="15.75" customHeight="1" x14ac:dyDescent="0.25">
      <c r="A1264" s="438">
        <v>1261</v>
      </c>
      <c r="B1264" s="470" t="s">
        <v>17</v>
      </c>
      <c r="C1264" s="471" t="s">
        <v>18</v>
      </c>
      <c r="D1264" s="472" t="s">
        <v>19</v>
      </c>
      <c r="E1264" s="448" t="s">
        <v>4085</v>
      </c>
      <c r="F1264" s="448" t="s">
        <v>2982</v>
      </c>
      <c r="G1264" s="473" t="s">
        <v>3045</v>
      </c>
      <c r="H1264" s="439" t="s">
        <v>1608</v>
      </c>
      <c r="I1264" s="474" t="s">
        <v>3457</v>
      </c>
      <c r="J1264" s="474" t="s">
        <v>3464</v>
      </c>
      <c r="K1264" s="443" t="s">
        <v>1592</v>
      </c>
      <c r="L1264" s="471">
        <v>1</v>
      </c>
      <c r="M1264" s="447" t="s">
        <v>1671</v>
      </c>
      <c r="N1264" s="456">
        <v>4300</v>
      </c>
      <c r="O1264" s="475">
        <f t="shared" si="4"/>
        <v>4300</v>
      </c>
      <c r="P1264" s="476"/>
      <c r="Q1264" s="477">
        <v>46023</v>
      </c>
      <c r="R1264" s="476"/>
      <c r="S1264" s="476"/>
    </row>
    <row r="1265" spans="1:19" ht="15.75" customHeight="1" x14ac:dyDescent="0.25">
      <c r="A1265" s="438">
        <v>1262</v>
      </c>
      <c r="B1265" s="470" t="s">
        <v>17</v>
      </c>
      <c r="C1265" s="471" t="s">
        <v>18</v>
      </c>
      <c r="D1265" s="472" t="s">
        <v>19</v>
      </c>
      <c r="E1265" s="448" t="s">
        <v>4085</v>
      </c>
      <c r="F1265" s="448" t="s">
        <v>2982</v>
      </c>
      <c r="G1265" s="473" t="s">
        <v>3045</v>
      </c>
      <c r="H1265" s="439" t="s">
        <v>1608</v>
      </c>
      <c r="I1265" s="474" t="s">
        <v>3457</v>
      </c>
      <c r="J1265" s="474" t="s">
        <v>3464</v>
      </c>
      <c r="K1265" s="443" t="s">
        <v>1592</v>
      </c>
      <c r="L1265" s="471">
        <v>1</v>
      </c>
      <c r="M1265" s="447" t="s">
        <v>1672</v>
      </c>
      <c r="N1265" s="456">
        <v>4300</v>
      </c>
      <c r="O1265" s="475">
        <f t="shared" si="4"/>
        <v>4300</v>
      </c>
      <c r="P1265" s="476"/>
      <c r="Q1265" s="477">
        <v>46023</v>
      </c>
      <c r="R1265" s="476"/>
      <c r="S1265" s="476"/>
    </row>
    <row r="1266" spans="1:19" ht="15.75" customHeight="1" x14ac:dyDescent="0.25">
      <c r="A1266" s="438">
        <v>1263</v>
      </c>
      <c r="B1266" s="470" t="s">
        <v>17</v>
      </c>
      <c r="C1266" s="471" t="s">
        <v>18</v>
      </c>
      <c r="D1266" s="472" t="s">
        <v>19</v>
      </c>
      <c r="E1266" s="448" t="s">
        <v>4085</v>
      </c>
      <c r="F1266" s="448" t="s">
        <v>2982</v>
      </c>
      <c r="G1266" s="473" t="s">
        <v>3045</v>
      </c>
      <c r="H1266" s="439" t="s">
        <v>1608</v>
      </c>
      <c r="I1266" s="474" t="s">
        <v>3457</v>
      </c>
      <c r="J1266" s="474" t="s">
        <v>3464</v>
      </c>
      <c r="K1266" s="443" t="s">
        <v>1592</v>
      </c>
      <c r="L1266" s="471">
        <v>1</v>
      </c>
      <c r="M1266" s="447" t="s">
        <v>1673</v>
      </c>
      <c r="N1266" s="456">
        <v>4300</v>
      </c>
      <c r="O1266" s="475">
        <f t="shared" si="4"/>
        <v>4300</v>
      </c>
      <c r="P1266" s="476"/>
      <c r="Q1266" s="477">
        <v>46023</v>
      </c>
      <c r="R1266" s="476"/>
      <c r="S1266" s="476"/>
    </row>
    <row r="1267" spans="1:19" ht="15.75" customHeight="1" x14ac:dyDescent="0.25">
      <c r="A1267" s="438">
        <v>1264</v>
      </c>
      <c r="B1267" s="470" t="s">
        <v>17</v>
      </c>
      <c r="C1267" s="471" t="s">
        <v>18</v>
      </c>
      <c r="D1267" s="472" t="s">
        <v>19</v>
      </c>
      <c r="E1267" s="448" t="s">
        <v>4085</v>
      </c>
      <c r="F1267" s="448" t="s">
        <v>2982</v>
      </c>
      <c r="G1267" s="473" t="s">
        <v>3045</v>
      </c>
      <c r="H1267" s="439" t="s">
        <v>1608</v>
      </c>
      <c r="I1267" s="474" t="s">
        <v>3457</v>
      </c>
      <c r="J1267" s="474" t="s">
        <v>3464</v>
      </c>
      <c r="K1267" s="443" t="s">
        <v>1592</v>
      </c>
      <c r="L1267" s="471">
        <v>1</v>
      </c>
      <c r="M1267" s="447" t="s">
        <v>1674</v>
      </c>
      <c r="N1267" s="456">
        <v>4300</v>
      </c>
      <c r="O1267" s="475">
        <f t="shared" si="4"/>
        <v>4300</v>
      </c>
      <c r="P1267" s="476"/>
      <c r="Q1267" s="477">
        <v>46023</v>
      </c>
      <c r="R1267" s="476"/>
      <c r="S1267" s="476"/>
    </row>
    <row r="1268" spans="1:19" ht="15.75" customHeight="1" x14ac:dyDescent="0.25">
      <c r="A1268" s="438">
        <v>1265</v>
      </c>
      <c r="B1268" s="470" t="s">
        <v>17</v>
      </c>
      <c r="C1268" s="471" t="s">
        <v>18</v>
      </c>
      <c r="D1268" s="472" t="s">
        <v>19</v>
      </c>
      <c r="E1268" s="448" t="s">
        <v>4085</v>
      </c>
      <c r="F1268" s="448" t="s">
        <v>2982</v>
      </c>
      <c r="G1268" s="473" t="s">
        <v>3045</v>
      </c>
      <c r="H1268" s="439" t="s">
        <v>1608</v>
      </c>
      <c r="I1268" s="474" t="s">
        <v>3457</v>
      </c>
      <c r="J1268" s="474" t="s">
        <v>3464</v>
      </c>
      <c r="K1268" s="443" t="s">
        <v>1592</v>
      </c>
      <c r="L1268" s="471">
        <v>1</v>
      </c>
      <c r="M1268" s="447" t="s">
        <v>1675</v>
      </c>
      <c r="N1268" s="456">
        <v>4300</v>
      </c>
      <c r="O1268" s="475">
        <f t="shared" si="4"/>
        <v>4300</v>
      </c>
      <c r="P1268" s="476"/>
      <c r="Q1268" s="477">
        <v>46023</v>
      </c>
      <c r="R1268" s="476"/>
      <c r="S1268" s="476"/>
    </row>
    <row r="1269" spans="1:19" ht="15.75" customHeight="1" x14ac:dyDescent="0.25">
      <c r="A1269" s="438">
        <v>1266</v>
      </c>
      <c r="B1269" s="470" t="s">
        <v>17</v>
      </c>
      <c r="C1269" s="471" t="s">
        <v>18</v>
      </c>
      <c r="D1269" s="472" t="s">
        <v>19</v>
      </c>
      <c r="E1269" s="448" t="s">
        <v>4085</v>
      </c>
      <c r="F1269" s="448" t="s">
        <v>2982</v>
      </c>
      <c r="G1269" s="452" t="s">
        <v>3045</v>
      </c>
      <c r="H1269" s="439" t="s">
        <v>1608</v>
      </c>
      <c r="I1269" s="438" t="s">
        <v>3457</v>
      </c>
      <c r="J1269" s="438" t="s">
        <v>3464</v>
      </c>
      <c r="K1269" s="439" t="s">
        <v>1592</v>
      </c>
      <c r="L1269" s="471">
        <v>1</v>
      </c>
      <c r="M1269" s="447" t="s">
        <v>1676</v>
      </c>
      <c r="N1269" s="456">
        <v>4300</v>
      </c>
      <c r="O1269" s="475">
        <f t="shared" si="4"/>
        <v>4300</v>
      </c>
      <c r="P1269" s="476"/>
      <c r="Q1269" s="477">
        <v>46023</v>
      </c>
      <c r="R1269" s="476"/>
      <c r="S1269" s="476"/>
    </row>
    <row r="1270" spans="1:19" ht="15.75" customHeight="1" x14ac:dyDescent="0.25">
      <c r="A1270" s="438">
        <v>1267</v>
      </c>
      <c r="B1270" s="470" t="s">
        <v>17</v>
      </c>
      <c r="C1270" s="471" t="s">
        <v>18</v>
      </c>
      <c r="D1270" s="472" t="s">
        <v>19</v>
      </c>
      <c r="E1270" s="448" t="s">
        <v>4085</v>
      </c>
      <c r="F1270" s="448" t="s">
        <v>2982</v>
      </c>
      <c r="G1270" s="452" t="s">
        <v>3045</v>
      </c>
      <c r="H1270" s="439" t="s">
        <v>1608</v>
      </c>
      <c r="I1270" s="438" t="s">
        <v>3457</v>
      </c>
      <c r="J1270" s="438" t="s">
        <v>3464</v>
      </c>
      <c r="K1270" s="439" t="s">
        <v>1592</v>
      </c>
      <c r="L1270" s="471">
        <v>1</v>
      </c>
      <c r="M1270" s="447" t="s">
        <v>1677</v>
      </c>
      <c r="N1270" s="456">
        <v>4300</v>
      </c>
      <c r="O1270" s="475">
        <f t="shared" si="4"/>
        <v>4300</v>
      </c>
      <c r="P1270" s="476"/>
      <c r="Q1270" s="477">
        <v>46023</v>
      </c>
      <c r="R1270" s="476"/>
      <c r="S1270" s="476"/>
    </row>
    <row r="1271" spans="1:19" ht="15.75" customHeight="1" x14ac:dyDescent="0.25">
      <c r="A1271" s="438">
        <v>1268</v>
      </c>
      <c r="B1271" s="470" t="s">
        <v>17</v>
      </c>
      <c r="C1271" s="471" t="s">
        <v>18</v>
      </c>
      <c r="D1271" s="472" t="s">
        <v>19</v>
      </c>
      <c r="E1271" s="465" t="s">
        <v>4085</v>
      </c>
      <c r="F1271" s="448" t="s">
        <v>2982</v>
      </c>
      <c r="G1271" s="452" t="s">
        <v>3045</v>
      </c>
      <c r="H1271" s="439" t="s">
        <v>1608</v>
      </c>
      <c r="I1271" s="438" t="s">
        <v>3457</v>
      </c>
      <c r="J1271" s="438" t="s">
        <v>3464</v>
      </c>
      <c r="K1271" s="439" t="s">
        <v>1592</v>
      </c>
      <c r="L1271" s="471">
        <v>1</v>
      </c>
      <c r="M1271" s="447" t="s">
        <v>1678</v>
      </c>
      <c r="N1271" s="456">
        <v>4300</v>
      </c>
      <c r="O1271" s="475">
        <f t="shared" si="4"/>
        <v>4300</v>
      </c>
      <c r="P1271" s="476"/>
      <c r="Q1271" s="477">
        <v>46023</v>
      </c>
      <c r="R1271" s="476"/>
      <c r="S1271" s="476"/>
    </row>
    <row r="1272" spans="1:19" ht="15.75" customHeight="1" x14ac:dyDescent="0.25">
      <c r="A1272" s="438">
        <v>1269</v>
      </c>
      <c r="B1272" s="470" t="s">
        <v>17</v>
      </c>
      <c r="C1272" s="471" t="s">
        <v>18</v>
      </c>
      <c r="D1272" s="472" t="s">
        <v>19</v>
      </c>
      <c r="E1272" s="465" t="s">
        <v>4085</v>
      </c>
      <c r="F1272" s="448" t="s">
        <v>2982</v>
      </c>
      <c r="G1272" s="473" t="s">
        <v>3045</v>
      </c>
      <c r="H1272" s="439" t="s">
        <v>1608</v>
      </c>
      <c r="I1272" s="474" t="s">
        <v>3457</v>
      </c>
      <c r="J1272" s="474" t="s">
        <v>3464</v>
      </c>
      <c r="K1272" s="443" t="s">
        <v>1592</v>
      </c>
      <c r="L1272" s="471">
        <v>1</v>
      </c>
      <c r="M1272" s="447" t="s">
        <v>1679</v>
      </c>
      <c r="N1272" s="456">
        <v>4300</v>
      </c>
      <c r="O1272" s="475">
        <f t="shared" si="4"/>
        <v>4300</v>
      </c>
      <c r="P1272" s="476"/>
      <c r="Q1272" s="477">
        <v>46023</v>
      </c>
      <c r="R1272" s="476"/>
      <c r="S1272" s="476"/>
    </row>
    <row r="1273" spans="1:19" ht="15.75" customHeight="1" x14ac:dyDescent="0.25">
      <c r="A1273" s="438">
        <v>1270</v>
      </c>
      <c r="B1273" s="470" t="s">
        <v>17</v>
      </c>
      <c r="C1273" s="471" t="s">
        <v>18</v>
      </c>
      <c r="D1273" s="472" t="s">
        <v>19</v>
      </c>
      <c r="E1273" s="465" t="s">
        <v>4085</v>
      </c>
      <c r="F1273" s="448" t="s">
        <v>2982</v>
      </c>
      <c r="G1273" s="473" t="s">
        <v>3045</v>
      </c>
      <c r="H1273" s="439" t="s">
        <v>1608</v>
      </c>
      <c r="I1273" s="474" t="s">
        <v>3457</v>
      </c>
      <c r="J1273" s="474" t="s">
        <v>3464</v>
      </c>
      <c r="K1273" s="443" t="s">
        <v>1592</v>
      </c>
      <c r="L1273" s="471">
        <v>1</v>
      </c>
      <c r="M1273" s="447" t="s">
        <v>1680</v>
      </c>
      <c r="N1273" s="456">
        <v>4300</v>
      </c>
      <c r="O1273" s="475">
        <f t="shared" si="4"/>
        <v>4300</v>
      </c>
      <c r="P1273" s="476"/>
      <c r="Q1273" s="477">
        <v>46023</v>
      </c>
      <c r="R1273" s="476"/>
      <c r="S1273" s="476"/>
    </row>
    <row r="1274" spans="1:19" ht="15.75" customHeight="1" x14ac:dyDescent="0.25">
      <c r="A1274" s="438">
        <v>1271</v>
      </c>
      <c r="B1274" s="470" t="s">
        <v>17</v>
      </c>
      <c r="C1274" s="471" t="s">
        <v>18</v>
      </c>
      <c r="D1274" s="472" t="s">
        <v>19</v>
      </c>
      <c r="E1274" s="465" t="s">
        <v>4085</v>
      </c>
      <c r="F1274" s="448" t="s">
        <v>2982</v>
      </c>
      <c r="G1274" s="473" t="s">
        <v>3045</v>
      </c>
      <c r="H1274" s="439" t="s">
        <v>1608</v>
      </c>
      <c r="I1274" s="474" t="s">
        <v>3457</v>
      </c>
      <c r="J1274" s="474" t="s">
        <v>3464</v>
      </c>
      <c r="K1274" s="443" t="s">
        <v>1592</v>
      </c>
      <c r="L1274" s="471">
        <v>1</v>
      </c>
      <c r="M1274" s="447" t="s">
        <v>1681</v>
      </c>
      <c r="N1274" s="456">
        <v>4300</v>
      </c>
      <c r="O1274" s="475">
        <f t="shared" si="4"/>
        <v>4300</v>
      </c>
      <c r="P1274" s="476"/>
      <c r="Q1274" s="477">
        <v>46023</v>
      </c>
      <c r="R1274" s="476"/>
      <c r="S1274" s="476"/>
    </row>
    <row r="1275" spans="1:19" ht="15.75" customHeight="1" x14ac:dyDescent="0.25">
      <c r="A1275" s="438">
        <v>1272</v>
      </c>
      <c r="B1275" s="470" t="s">
        <v>17</v>
      </c>
      <c r="C1275" s="471" t="s">
        <v>18</v>
      </c>
      <c r="D1275" s="472" t="s">
        <v>19</v>
      </c>
      <c r="E1275" s="465" t="s">
        <v>4085</v>
      </c>
      <c r="F1275" s="448" t="s">
        <v>2982</v>
      </c>
      <c r="G1275" s="473" t="s">
        <v>3045</v>
      </c>
      <c r="H1275" s="439" t="s">
        <v>1608</v>
      </c>
      <c r="I1275" s="474" t="s">
        <v>3457</v>
      </c>
      <c r="J1275" s="474" t="s">
        <v>3464</v>
      </c>
      <c r="K1275" s="443" t="s">
        <v>1592</v>
      </c>
      <c r="L1275" s="471">
        <v>1</v>
      </c>
      <c r="M1275" s="447" t="s">
        <v>1682</v>
      </c>
      <c r="N1275" s="456">
        <v>4300</v>
      </c>
      <c r="O1275" s="475">
        <f t="shared" si="4"/>
        <v>4300</v>
      </c>
      <c r="P1275" s="476"/>
      <c r="Q1275" s="477">
        <v>46023</v>
      </c>
      <c r="R1275" s="476"/>
      <c r="S1275" s="476"/>
    </row>
    <row r="1276" spans="1:19" ht="15.75" customHeight="1" x14ac:dyDescent="0.25">
      <c r="A1276" s="438">
        <v>1273</v>
      </c>
      <c r="B1276" s="470" t="s">
        <v>17</v>
      </c>
      <c r="C1276" s="471" t="s">
        <v>18</v>
      </c>
      <c r="D1276" s="472" t="s">
        <v>19</v>
      </c>
      <c r="E1276" s="465" t="s">
        <v>4085</v>
      </c>
      <c r="F1276" s="448" t="s">
        <v>2982</v>
      </c>
      <c r="G1276" s="473" t="s">
        <v>3045</v>
      </c>
      <c r="H1276" s="439" t="s">
        <v>1608</v>
      </c>
      <c r="I1276" s="474" t="s">
        <v>3457</v>
      </c>
      <c r="J1276" s="474" t="s">
        <v>3464</v>
      </c>
      <c r="K1276" s="443" t="s">
        <v>1592</v>
      </c>
      <c r="L1276" s="471">
        <v>1</v>
      </c>
      <c r="M1276" s="447" t="s">
        <v>1683</v>
      </c>
      <c r="N1276" s="456">
        <v>4300</v>
      </c>
      <c r="O1276" s="475">
        <f t="shared" si="4"/>
        <v>4300</v>
      </c>
      <c r="P1276" s="476"/>
      <c r="Q1276" s="477">
        <v>46023</v>
      </c>
      <c r="R1276" s="476"/>
      <c r="S1276" s="476"/>
    </row>
    <row r="1277" spans="1:19" ht="15.75" customHeight="1" x14ac:dyDescent="0.25">
      <c r="A1277" s="438">
        <v>1274</v>
      </c>
      <c r="B1277" s="470" t="s">
        <v>17</v>
      </c>
      <c r="C1277" s="471" t="s">
        <v>18</v>
      </c>
      <c r="D1277" s="472" t="s">
        <v>19</v>
      </c>
      <c r="E1277" s="465" t="s">
        <v>4085</v>
      </c>
      <c r="F1277" s="448" t="s">
        <v>2982</v>
      </c>
      <c r="G1277" s="473" t="s">
        <v>3045</v>
      </c>
      <c r="H1277" s="439" t="s">
        <v>1608</v>
      </c>
      <c r="I1277" s="474" t="s">
        <v>3457</v>
      </c>
      <c r="J1277" s="474" t="s">
        <v>3464</v>
      </c>
      <c r="K1277" s="443" t="s">
        <v>1592</v>
      </c>
      <c r="L1277" s="471">
        <v>1</v>
      </c>
      <c r="M1277" s="447" t="s">
        <v>1684</v>
      </c>
      <c r="N1277" s="456">
        <v>4300</v>
      </c>
      <c r="O1277" s="475">
        <f t="shared" si="4"/>
        <v>4300</v>
      </c>
      <c r="P1277" s="476"/>
      <c r="Q1277" s="477">
        <v>46023</v>
      </c>
      <c r="R1277" s="476"/>
      <c r="S1277" s="476"/>
    </row>
    <row r="1278" spans="1:19" ht="15.75" customHeight="1" x14ac:dyDescent="0.25">
      <c r="A1278" s="438">
        <v>1275</v>
      </c>
      <c r="B1278" s="470" t="s">
        <v>17</v>
      </c>
      <c r="C1278" s="471" t="s">
        <v>18</v>
      </c>
      <c r="D1278" s="472" t="s">
        <v>19</v>
      </c>
      <c r="E1278" s="465" t="s">
        <v>4085</v>
      </c>
      <c r="F1278" s="448" t="s">
        <v>2982</v>
      </c>
      <c r="G1278" s="473" t="s">
        <v>3045</v>
      </c>
      <c r="H1278" s="439" t="s">
        <v>1608</v>
      </c>
      <c r="I1278" s="474" t="s">
        <v>3457</v>
      </c>
      <c r="J1278" s="474" t="s">
        <v>3464</v>
      </c>
      <c r="K1278" s="443" t="s">
        <v>1592</v>
      </c>
      <c r="L1278" s="471">
        <v>1</v>
      </c>
      <c r="M1278" s="447" t="s">
        <v>1685</v>
      </c>
      <c r="N1278" s="456">
        <v>4300</v>
      </c>
      <c r="O1278" s="475">
        <f t="shared" si="4"/>
        <v>4300</v>
      </c>
      <c r="P1278" s="476"/>
      <c r="Q1278" s="477">
        <v>46023</v>
      </c>
      <c r="R1278" s="476"/>
      <c r="S1278" s="476"/>
    </row>
    <row r="1279" spans="1:19" ht="15.75" customHeight="1" x14ac:dyDescent="0.25">
      <c r="A1279" s="438">
        <v>1276</v>
      </c>
      <c r="B1279" s="470" t="s">
        <v>17</v>
      </c>
      <c r="C1279" s="471" t="s">
        <v>18</v>
      </c>
      <c r="D1279" s="472" t="s">
        <v>19</v>
      </c>
      <c r="E1279" s="465" t="s">
        <v>4085</v>
      </c>
      <c r="F1279" s="448" t="s">
        <v>2982</v>
      </c>
      <c r="G1279" s="473" t="s">
        <v>3045</v>
      </c>
      <c r="H1279" s="439" t="s">
        <v>1608</v>
      </c>
      <c r="I1279" s="474" t="s">
        <v>3457</v>
      </c>
      <c r="J1279" s="474" t="s">
        <v>3464</v>
      </c>
      <c r="K1279" s="443" t="s">
        <v>1592</v>
      </c>
      <c r="L1279" s="471">
        <v>1</v>
      </c>
      <c r="M1279" s="447" t="s">
        <v>1686</v>
      </c>
      <c r="N1279" s="456">
        <v>4300</v>
      </c>
      <c r="O1279" s="475">
        <f t="shared" ref="O1279:O1533" si="5">N1279*L1279</f>
        <v>4300</v>
      </c>
      <c r="P1279" s="476"/>
      <c r="Q1279" s="477">
        <v>46023</v>
      </c>
      <c r="R1279" s="476"/>
      <c r="S1279" s="476"/>
    </row>
    <row r="1280" spans="1:19" ht="15.75" customHeight="1" x14ac:dyDescent="0.25">
      <c r="A1280" s="438">
        <v>1277</v>
      </c>
      <c r="B1280" s="470" t="s">
        <v>17</v>
      </c>
      <c r="C1280" s="471" t="s">
        <v>18</v>
      </c>
      <c r="D1280" s="472" t="s">
        <v>19</v>
      </c>
      <c r="E1280" s="465" t="s">
        <v>4085</v>
      </c>
      <c r="F1280" s="448" t="s">
        <v>2982</v>
      </c>
      <c r="G1280" s="473" t="s">
        <v>3045</v>
      </c>
      <c r="H1280" s="439" t="s">
        <v>1608</v>
      </c>
      <c r="I1280" s="474" t="s">
        <v>3457</v>
      </c>
      <c r="J1280" s="474" t="s">
        <v>3464</v>
      </c>
      <c r="K1280" s="443" t="s">
        <v>1592</v>
      </c>
      <c r="L1280" s="471">
        <v>1</v>
      </c>
      <c r="M1280" s="447" t="s">
        <v>1687</v>
      </c>
      <c r="N1280" s="456">
        <v>4300</v>
      </c>
      <c r="O1280" s="475">
        <f t="shared" si="5"/>
        <v>4300</v>
      </c>
      <c r="P1280" s="476"/>
      <c r="Q1280" s="477">
        <v>46023</v>
      </c>
      <c r="R1280" s="476"/>
      <c r="S1280" s="476"/>
    </row>
    <row r="1281" spans="1:19" ht="15.75" customHeight="1" x14ac:dyDescent="0.25">
      <c r="A1281" s="438">
        <v>1278</v>
      </c>
      <c r="B1281" s="470" t="s">
        <v>17</v>
      </c>
      <c r="C1281" s="471" t="s">
        <v>18</v>
      </c>
      <c r="D1281" s="472" t="s">
        <v>19</v>
      </c>
      <c r="E1281" s="465" t="s">
        <v>4085</v>
      </c>
      <c r="F1281" s="448" t="s">
        <v>2982</v>
      </c>
      <c r="G1281" s="473" t="s">
        <v>3045</v>
      </c>
      <c r="H1281" s="439" t="s">
        <v>1608</v>
      </c>
      <c r="I1281" s="474" t="s">
        <v>3457</v>
      </c>
      <c r="J1281" s="474" t="s">
        <v>3464</v>
      </c>
      <c r="K1281" s="443" t="s">
        <v>1592</v>
      </c>
      <c r="L1281" s="471">
        <v>1</v>
      </c>
      <c r="M1281" s="447" t="s">
        <v>1688</v>
      </c>
      <c r="N1281" s="456">
        <v>4300</v>
      </c>
      <c r="O1281" s="475">
        <f t="shared" si="5"/>
        <v>4300</v>
      </c>
      <c r="P1281" s="476"/>
      <c r="Q1281" s="477">
        <v>46023</v>
      </c>
      <c r="R1281" s="476"/>
      <c r="S1281" s="476"/>
    </row>
    <row r="1282" spans="1:19" ht="15.75" customHeight="1" x14ac:dyDescent="0.25">
      <c r="A1282" s="438">
        <v>1279</v>
      </c>
      <c r="B1282" s="470" t="s">
        <v>17</v>
      </c>
      <c r="C1282" s="471" t="s">
        <v>18</v>
      </c>
      <c r="D1282" s="472" t="s">
        <v>19</v>
      </c>
      <c r="E1282" s="448" t="s">
        <v>4085</v>
      </c>
      <c r="F1282" s="448" t="s">
        <v>2982</v>
      </c>
      <c r="G1282" s="473" t="s">
        <v>3045</v>
      </c>
      <c r="H1282" s="439" t="s">
        <v>1608</v>
      </c>
      <c r="I1282" s="474" t="s">
        <v>3457</v>
      </c>
      <c r="J1282" s="474" t="s">
        <v>3464</v>
      </c>
      <c r="K1282" s="443" t="s">
        <v>1592</v>
      </c>
      <c r="L1282" s="471">
        <v>1</v>
      </c>
      <c r="M1282" s="447" t="s">
        <v>1689</v>
      </c>
      <c r="N1282" s="456">
        <v>4300</v>
      </c>
      <c r="O1282" s="475">
        <f t="shared" si="5"/>
        <v>4300</v>
      </c>
      <c r="P1282" s="476"/>
      <c r="Q1282" s="477">
        <v>46023</v>
      </c>
      <c r="R1282" s="476"/>
      <c r="S1282" s="476"/>
    </row>
    <row r="1283" spans="1:19" ht="15.75" customHeight="1" x14ac:dyDescent="0.25">
      <c r="A1283" s="438">
        <v>1280</v>
      </c>
      <c r="B1283" s="470" t="s">
        <v>17</v>
      </c>
      <c r="C1283" s="471" t="s">
        <v>18</v>
      </c>
      <c r="D1283" s="472" t="s">
        <v>19</v>
      </c>
      <c r="E1283" s="448" t="s">
        <v>4085</v>
      </c>
      <c r="F1283" s="448" t="s">
        <v>2982</v>
      </c>
      <c r="G1283" s="473" t="s">
        <v>3045</v>
      </c>
      <c r="H1283" s="439" t="s">
        <v>1608</v>
      </c>
      <c r="I1283" s="474" t="s">
        <v>3457</v>
      </c>
      <c r="J1283" s="474" t="s">
        <v>3464</v>
      </c>
      <c r="K1283" s="443" t="s">
        <v>1592</v>
      </c>
      <c r="L1283" s="471">
        <v>1</v>
      </c>
      <c r="M1283" s="447" t="s">
        <v>1690</v>
      </c>
      <c r="N1283" s="456">
        <v>4300</v>
      </c>
      <c r="O1283" s="475">
        <f t="shared" si="5"/>
        <v>4300</v>
      </c>
      <c r="P1283" s="476"/>
      <c r="Q1283" s="477">
        <v>46023</v>
      </c>
      <c r="R1283" s="476"/>
      <c r="S1283" s="476"/>
    </row>
    <row r="1284" spans="1:19" ht="15.75" customHeight="1" x14ac:dyDescent="0.25">
      <c r="A1284" s="438">
        <v>1281</v>
      </c>
      <c r="B1284" s="470" t="s">
        <v>17</v>
      </c>
      <c r="C1284" s="471" t="s">
        <v>18</v>
      </c>
      <c r="D1284" s="472" t="s">
        <v>19</v>
      </c>
      <c r="E1284" s="448" t="s">
        <v>4085</v>
      </c>
      <c r="F1284" s="448" t="s">
        <v>2982</v>
      </c>
      <c r="G1284" s="473" t="s">
        <v>3045</v>
      </c>
      <c r="H1284" s="439" t="s">
        <v>1608</v>
      </c>
      <c r="I1284" s="474" t="s">
        <v>3457</v>
      </c>
      <c r="J1284" s="474" t="s">
        <v>3464</v>
      </c>
      <c r="K1284" s="443" t="s">
        <v>1592</v>
      </c>
      <c r="L1284" s="471">
        <v>1</v>
      </c>
      <c r="M1284" s="447" t="s">
        <v>1691</v>
      </c>
      <c r="N1284" s="456">
        <v>4300</v>
      </c>
      <c r="O1284" s="475">
        <f t="shared" si="5"/>
        <v>4300</v>
      </c>
      <c r="P1284" s="476"/>
      <c r="Q1284" s="477">
        <v>46023</v>
      </c>
      <c r="R1284" s="476"/>
      <c r="S1284" s="476"/>
    </row>
    <row r="1285" spans="1:19" ht="15.75" customHeight="1" x14ac:dyDescent="0.25">
      <c r="A1285" s="438">
        <v>1282</v>
      </c>
      <c r="B1285" s="470" t="s">
        <v>17</v>
      </c>
      <c r="C1285" s="471" t="s">
        <v>18</v>
      </c>
      <c r="D1285" s="472" t="s">
        <v>19</v>
      </c>
      <c r="E1285" s="448" t="s">
        <v>4085</v>
      </c>
      <c r="F1285" s="448" t="s">
        <v>2982</v>
      </c>
      <c r="G1285" s="473" t="s">
        <v>3045</v>
      </c>
      <c r="H1285" s="439" t="s">
        <v>1608</v>
      </c>
      <c r="I1285" s="474" t="s">
        <v>3457</v>
      </c>
      <c r="J1285" s="474" t="s">
        <v>3464</v>
      </c>
      <c r="K1285" s="443" t="s">
        <v>1592</v>
      </c>
      <c r="L1285" s="471">
        <v>1</v>
      </c>
      <c r="M1285" s="447" t="s">
        <v>1692</v>
      </c>
      <c r="N1285" s="456">
        <v>4300</v>
      </c>
      <c r="O1285" s="475">
        <f t="shared" si="5"/>
        <v>4300</v>
      </c>
      <c r="P1285" s="476"/>
      <c r="Q1285" s="477">
        <v>46023</v>
      </c>
      <c r="R1285" s="476"/>
      <c r="S1285" s="476"/>
    </row>
    <row r="1286" spans="1:19" ht="15.75" customHeight="1" x14ac:dyDescent="0.25">
      <c r="A1286" s="438">
        <v>1283</v>
      </c>
      <c r="B1286" s="470" t="s">
        <v>17</v>
      </c>
      <c r="C1286" s="471" t="s">
        <v>18</v>
      </c>
      <c r="D1286" s="472" t="s">
        <v>19</v>
      </c>
      <c r="E1286" s="448" t="s">
        <v>4085</v>
      </c>
      <c r="F1286" s="448" t="s">
        <v>2982</v>
      </c>
      <c r="G1286" s="473" t="s">
        <v>3045</v>
      </c>
      <c r="H1286" s="439" t="s">
        <v>1608</v>
      </c>
      <c r="I1286" s="474" t="s">
        <v>3457</v>
      </c>
      <c r="J1286" s="474" t="s">
        <v>3464</v>
      </c>
      <c r="K1286" s="443" t="s">
        <v>1592</v>
      </c>
      <c r="L1286" s="471">
        <v>1</v>
      </c>
      <c r="M1286" s="447" t="s">
        <v>1693</v>
      </c>
      <c r="N1286" s="456">
        <v>4300</v>
      </c>
      <c r="O1286" s="475">
        <f t="shared" si="5"/>
        <v>4300</v>
      </c>
      <c r="P1286" s="476"/>
      <c r="Q1286" s="477">
        <v>46023</v>
      </c>
      <c r="R1286" s="476"/>
      <c r="S1286" s="476"/>
    </row>
    <row r="1287" spans="1:19" ht="15.75" customHeight="1" x14ac:dyDescent="0.25">
      <c r="A1287" s="438">
        <v>1284</v>
      </c>
      <c r="B1287" s="470" t="s">
        <v>17</v>
      </c>
      <c r="C1287" s="471" t="s">
        <v>18</v>
      </c>
      <c r="D1287" s="472" t="s">
        <v>19</v>
      </c>
      <c r="E1287" s="448" t="s">
        <v>4085</v>
      </c>
      <c r="F1287" s="448" t="s">
        <v>2982</v>
      </c>
      <c r="G1287" s="473" t="s">
        <v>3045</v>
      </c>
      <c r="H1287" s="439" t="s">
        <v>1608</v>
      </c>
      <c r="I1287" s="474" t="s">
        <v>3457</v>
      </c>
      <c r="J1287" s="474" t="s">
        <v>3464</v>
      </c>
      <c r="K1287" s="443" t="s">
        <v>1592</v>
      </c>
      <c r="L1287" s="471">
        <v>1</v>
      </c>
      <c r="M1287" s="447" t="s">
        <v>1694</v>
      </c>
      <c r="N1287" s="456">
        <v>4300</v>
      </c>
      <c r="O1287" s="475">
        <f t="shared" si="5"/>
        <v>4300</v>
      </c>
      <c r="P1287" s="476"/>
      <c r="Q1287" s="477">
        <v>46023</v>
      </c>
      <c r="R1287" s="476"/>
      <c r="S1287" s="476"/>
    </row>
    <row r="1288" spans="1:19" ht="15.75" customHeight="1" x14ac:dyDescent="0.25">
      <c r="A1288" s="438">
        <v>1285</v>
      </c>
      <c r="B1288" s="470" t="s">
        <v>17</v>
      </c>
      <c r="C1288" s="471" t="s">
        <v>18</v>
      </c>
      <c r="D1288" s="472" t="s">
        <v>19</v>
      </c>
      <c r="E1288" s="465" t="s">
        <v>4085</v>
      </c>
      <c r="F1288" s="448" t="s">
        <v>2982</v>
      </c>
      <c r="G1288" s="473" t="s">
        <v>3045</v>
      </c>
      <c r="H1288" s="439" t="s">
        <v>1608</v>
      </c>
      <c r="I1288" s="474" t="s">
        <v>3457</v>
      </c>
      <c r="J1288" s="474" t="s">
        <v>3464</v>
      </c>
      <c r="K1288" s="443" t="s">
        <v>1592</v>
      </c>
      <c r="L1288" s="471">
        <v>1</v>
      </c>
      <c r="M1288" s="447" t="s">
        <v>1695</v>
      </c>
      <c r="N1288" s="456">
        <v>4300</v>
      </c>
      <c r="O1288" s="475">
        <f t="shared" si="5"/>
        <v>4300</v>
      </c>
      <c r="P1288" s="476"/>
      <c r="Q1288" s="477">
        <v>46023</v>
      </c>
      <c r="R1288" s="476"/>
      <c r="S1288" s="476"/>
    </row>
    <row r="1289" spans="1:19" ht="15.75" customHeight="1" x14ac:dyDescent="0.25">
      <c r="A1289" s="438">
        <v>1286</v>
      </c>
      <c r="B1289" s="470" t="s">
        <v>17</v>
      </c>
      <c r="C1289" s="471" t="s">
        <v>18</v>
      </c>
      <c r="D1289" s="472" t="s">
        <v>19</v>
      </c>
      <c r="E1289" s="465" t="s">
        <v>4085</v>
      </c>
      <c r="F1289" s="448" t="s">
        <v>2982</v>
      </c>
      <c r="G1289" s="473" t="s">
        <v>3045</v>
      </c>
      <c r="H1289" s="439" t="s">
        <v>1608</v>
      </c>
      <c r="I1289" s="474" t="s">
        <v>3457</v>
      </c>
      <c r="J1289" s="474" t="s">
        <v>3464</v>
      </c>
      <c r="K1289" s="443" t="s">
        <v>1592</v>
      </c>
      <c r="L1289" s="471">
        <v>1</v>
      </c>
      <c r="M1289" s="447" t="s">
        <v>1696</v>
      </c>
      <c r="N1289" s="456">
        <v>4300</v>
      </c>
      <c r="O1289" s="475">
        <f t="shared" si="5"/>
        <v>4300</v>
      </c>
      <c r="P1289" s="476"/>
      <c r="Q1289" s="477">
        <v>46023</v>
      </c>
      <c r="R1289" s="476"/>
      <c r="S1289" s="476"/>
    </row>
    <row r="1290" spans="1:19" ht="15.75" customHeight="1" x14ac:dyDescent="0.25">
      <c r="A1290" s="438">
        <v>1287</v>
      </c>
      <c r="B1290" s="470" t="s">
        <v>17</v>
      </c>
      <c r="C1290" s="471" t="s">
        <v>18</v>
      </c>
      <c r="D1290" s="472" t="s">
        <v>19</v>
      </c>
      <c r="E1290" s="465" t="s">
        <v>4085</v>
      </c>
      <c r="F1290" s="448" t="s">
        <v>2982</v>
      </c>
      <c r="G1290" s="473" t="s">
        <v>3045</v>
      </c>
      <c r="H1290" s="439" t="s">
        <v>1608</v>
      </c>
      <c r="I1290" s="474" t="s">
        <v>3457</v>
      </c>
      <c r="J1290" s="474" t="s">
        <v>3464</v>
      </c>
      <c r="K1290" s="443" t="s">
        <v>1592</v>
      </c>
      <c r="L1290" s="471">
        <v>1</v>
      </c>
      <c r="M1290" s="447" t="s">
        <v>1697</v>
      </c>
      <c r="N1290" s="456">
        <v>4300</v>
      </c>
      <c r="O1290" s="475">
        <f t="shared" si="5"/>
        <v>4300</v>
      </c>
      <c r="P1290" s="476"/>
      <c r="Q1290" s="477">
        <v>46023</v>
      </c>
      <c r="R1290" s="476"/>
      <c r="S1290" s="476"/>
    </row>
    <row r="1291" spans="1:19" ht="15.75" customHeight="1" x14ac:dyDescent="0.25">
      <c r="A1291" s="438">
        <v>1288</v>
      </c>
      <c r="B1291" s="470" t="s">
        <v>17</v>
      </c>
      <c r="C1291" s="471" t="s">
        <v>18</v>
      </c>
      <c r="D1291" s="472" t="s">
        <v>19</v>
      </c>
      <c r="E1291" s="465" t="s">
        <v>4085</v>
      </c>
      <c r="F1291" s="448" t="s">
        <v>2982</v>
      </c>
      <c r="G1291" s="473" t="s">
        <v>3045</v>
      </c>
      <c r="H1291" s="439" t="s">
        <v>1608</v>
      </c>
      <c r="I1291" s="474" t="s">
        <v>3457</v>
      </c>
      <c r="J1291" s="474" t="s">
        <v>3464</v>
      </c>
      <c r="K1291" s="443" t="s">
        <v>1592</v>
      </c>
      <c r="L1291" s="471">
        <v>1</v>
      </c>
      <c r="M1291" s="447" t="s">
        <v>1698</v>
      </c>
      <c r="N1291" s="456">
        <v>4300</v>
      </c>
      <c r="O1291" s="475">
        <f t="shared" si="5"/>
        <v>4300</v>
      </c>
      <c r="P1291" s="476"/>
      <c r="Q1291" s="477">
        <v>46023</v>
      </c>
      <c r="R1291" s="476"/>
      <c r="S1291" s="476"/>
    </row>
    <row r="1292" spans="1:19" ht="15.75" customHeight="1" x14ac:dyDescent="0.25">
      <c r="A1292" s="438">
        <v>1289</v>
      </c>
      <c r="B1292" s="470" t="s">
        <v>17</v>
      </c>
      <c r="C1292" s="471" t="s">
        <v>18</v>
      </c>
      <c r="D1292" s="472" t="s">
        <v>19</v>
      </c>
      <c r="E1292" s="465" t="s">
        <v>4085</v>
      </c>
      <c r="F1292" s="448" t="s">
        <v>2982</v>
      </c>
      <c r="G1292" s="473" t="s">
        <v>3045</v>
      </c>
      <c r="H1292" s="439" t="s">
        <v>1608</v>
      </c>
      <c r="I1292" s="474" t="s">
        <v>3457</v>
      </c>
      <c r="J1292" s="474" t="s">
        <v>3464</v>
      </c>
      <c r="K1292" s="443" t="s">
        <v>1592</v>
      </c>
      <c r="L1292" s="471">
        <v>1</v>
      </c>
      <c r="M1292" s="447" t="s">
        <v>1699</v>
      </c>
      <c r="N1292" s="456">
        <v>4300</v>
      </c>
      <c r="O1292" s="475">
        <f t="shared" si="5"/>
        <v>4300</v>
      </c>
      <c r="P1292" s="476"/>
      <c r="Q1292" s="477">
        <v>46023</v>
      </c>
      <c r="R1292" s="476"/>
      <c r="S1292" s="476"/>
    </row>
    <row r="1293" spans="1:19" ht="15.75" customHeight="1" x14ac:dyDescent="0.25">
      <c r="A1293" s="438">
        <v>1290</v>
      </c>
      <c r="B1293" s="470" t="s">
        <v>17</v>
      </c>
      <c r="C1293" s="471" t="s">
        <v>18</v>
      </c>
      <c r="D1293" s="472" t="s">
        <v>19</v>
      </c>
      <c r="E1293" s="465" t="s">
        <v>4083</v>
      </c>
      <c r="F1293" s="448" t="s">
        <v>2988</v>
      </c>
      <c r="G1293" s="473" t="s">
        <v>3045</v>
      </c>
      <c r="H1293" s="439" t="s">
        <v>1608</v>
      </c>
      <c r="I1293" s="474" t="s">
        <v>3457</v>
      </c>
      <c r="J1293" s="474" t="s">
        <v>3464</v>
      </c>
      <c r="K1293" s="443" t="s">
        <v>1592</v>
      </c>
      <c r="L1293" s="471">
        <v>1</v>
      </c>
      <c r="M1293" s="447" t="s">
        <v>1700</v>
      </c>
      <c r="N1293" s="456">
        <v>4300</v>
      </c>
      <c r="O1293" s="475">
        <f t="shared" si="5"/>
        <v>4300</v>
      </c>
      <c r="P1293" s="476"/>
      <c r="Q1293" s="477">
        <v>46023</v>
      </c>
      <c r="R1293" s="476"/>
      <c r="S1293" s="476"/>
    </row>
    <row r="1294" spans="1:19" ht="15.75" customHeight="1" x14ac:dyDescent="0.25">
      <c r="A1294" s="438">
        <v>1291</v>
      </c>
      <c r="B1294" s="470" t="s">
        <v>17</v>
      </c>
      <c r="C1294" s="471" t="s">
        <v>18</v>
      </c>
      <c r="D1294" s="472" t="s">
        <v>19</v>
      </c>
      <c r="E1294" s="465" t="s">
        <v>4083</v>
      </c>
      <c r="F1294" s="448" t="s">
        <v>2988</v>
      </c>
      <c r="G1294" s="473" t="s">
        <v>3045</v>
      </c>
      <c r="H1294" s="439" t="s">
        <v>1608</v>
      </c>
      <c r="I1294" s="474" t="s">
        <v>3457</v>
      </c>
      <c r="J1294" s="474" t="s">
        <v>3464</v>
      </c>
      <c r="K1294" s="443" t="s">
        <v>1592</v>
      </c>
      <c r="L1294" s="471">
        <v>1</v>
      </c>
      <c r="M1294" s="447" t="s">
        <v>1701</v>
      </c>
      <c r="N1294" s="456">
        <v>4300</v>
      </c>
      <c r="O1294" s="475">
        <f t="shared" si="5"/>
        <v>4300</v>
      </c>
      <c r="P1294" s="476"/>
      <c r="Q1294" s="477">
        <v>46023</v>
      </c>
      <c r="R1294" s="476"/>
      <c r="S1294" s="476"/>
    </row>
    <row r="1295" spans="1:19" ht="15.75" customHeight="1" x14ac:dyDescent="0.25">
      <c r="A1295" s="438">
        <v>1292</v>
      </c>
      <c r="B1295" s="470" t="s">
        <v>17</v>
      </c>
      <c r="C1295" s="471" t="s">
        <v>18</v>
      </c>
      <c r="D1295" s="472" t="s">
        <v>19</v>
      </c>
      <c r="E1295" s="465" t="s">
        <v>4083</v>
      </c>
      <c r="F1295" s="448" t="s">
        <v>2988</v>
      </c>
      <c r="G1295" s="473" t="s">
        <v>3045</v>
      </c>
      <c r="H1295" s="439" t="s">
        <v>1608</v>
      </c>
      <c r="I1295" s="474" t="s">
        <v>3457</v>
      </c>
      <c r="J1295" s="474" t="s">
        <v>3464</v>
      </c>
      <c r="K1295" s="443" t="s">
        <v>1592</v>
      </c>
      <c r="L1295" s="471">
        <v>1</v>
      </c>
      <c r="M1295" s="447" t="s">
        <v>1702</v>
      </c>
      <c r="N1295" s="456">
        <v>4300</v>
      </c>
      <c r="O1295" s="475">
        <f t="shared" si="5"/>
        <v>4300</v>
      </c>
      <c r="P1295" s="476"/>
      <c r="Q1295" s="477">
        <v>46023</v>
      </c>
      <c r="R1295" s="476"/>
      <c r="S1295" s="476"/>
    </row>
    <row r="1296" spans="1:19" ht="15.75" customHeight="1" x14ac:dyDescent="0.25">
      <c r="A1296" s="438">
        <v>1293</v>
      </c>
      <c r="B1296" s="470" t="s">
        <v>17</v>
      </c>
      <c r="C1296" s="471" t="s">
        <v>18</v>
      </c>
      <c r="D1296" s="472" t="s">
        <v>19</v>
      </c>
      <c r="E1296" s="465" t="s">
        <v>4083</v>
      </c>
      <c r="F1296" s="448" t="s">
        <v>2988</v>
      </c>
      <c r="G1296" s="473" t="s">
        <v>3045</v>
      </c>
      <c r="H1296" s="439" t="s">
        <v>1608</v>
      </c>
      <c r="I1296" s="474" t="s">
        <v>3457</v>
      </c>
      <c r="J1296" s="474" t="s">
        <v>3464</v>
      </c>
      <c r="K1296" s="443" t="s">
        <v>1592</v>
      </c>
      <c r="L1296" s="471">
        <v>1</v>
      </c>
      <c r="M1296" s="447" t="s">
        <v>1703</v>
      </c>
      <c r="N1296" s="456">
        <v>4300</v>
      </c>
      <c r="O1296" s="475">
        <f t="shared" si="5"/>
        <v>4300</v>
      </c>
      <c r="P1296" s="476"/>
      <c r="Q1296" s="477">
        <v>46023</v>
      </c>
      <c r="R1296" s="476"/>
      <c r="S1296" s="476"/>
    </row>
    <row r="1297" spans="1:19" ht="15.75" customHeight="1" x14ac:dyDescent="0.25">
      <c r="A1297" s="438">
        <v>1294</v>
      </c>
      <c r="B1297" s="470" t="s">
        <v>17</v>
      </c>
      <c r="C1297" s="471" t="s">
        <v>18</v>
      </c>
      <c r="D1297" s="472" t="s">
        <v>19</v>
      </c>
      <c r="E1297" s="465" t="s">
        <v>4083</v>
      </c>
      <c r="F1297" s="448" t="s">
        <v>2988</v>
      </c>
      <c r="G1297" s="473" t="s">
        <v>3045</v>
      </c>
      <c r="H1297" s="439" t="s">
        <v>1608</v>
      </c>
      <c r="I1297" s="474" t="s">
        <v>3457</v>
      </c>
      <c r="J1297" s="474" t="s">
        <v>3464</v>
      </c>
      <c r="K1297" s="443" t="s">
        <v>1592</v>
      </c>
      <c r="L1297" s="471">
        <v>1</v>
      </c>
      <c r="M1297" s="447" t="s">
        <v>1704</v>
      </c>
      <c r="N1297" s="456">
        <v>4300</v>
      </c>
      <c r="O1297" s="475">
        <f t="shared" si="5"/>
        <v>4300</v>
      </c>
      <c r="P1297" s="476"/>
      <c r="Q1297" s="477">
        <v>46023</v>
      </c>
      <c r="R1297" s="476"/>
      <c r="S1297" s="476"/>
    </row>
    <row r="1298" spans="1:19" ht="15.75" customHeight="1" x14ac:dyDescent="0.25">
      <c r="A1298" s="438">
        <v>1295</v>
      </c>
      <c r="B1298" s="470" t="s">
        <v>17</v>
      </c>
      <c r="C1298" s="471" t="s">
        <v>18</v>
      </c>
      <c r="D1298" s="472" t="s">
        <v>19</v>
      </c>
      <c r="E1298" s="465" t="s">
        <v>4083</v>
      </c>
      <c r="F1298" s="448" t="s">
        <v>2988</v>
      </c>
      <c r="G1298" s="473" t="s">
        <v>3045</v>
      </c>
      <c r="H1298" s="439" t="s">
        <v>1608</v>
      </c>
      <c r="I1298" s="474" t="s">
        <v>3457</v>
      </c>
      <c r="J1298" s="474" t="s">
        <v>3464</v>
      </c>
      <c r="K1298" s="443" t="s">
        <v>1592</v>
      </c>
      <c r="L1298" s="471">
        <v>1</v>
      </c>
      <c r="M1298" s="447" t="s">
        <v>1705</v>
      </c>
      <c r="N1298" s="456">
        <v>4300</v>
      </c>
      <c r="O1298" s="475">
        <f t="shared" si="5"/>
        <v>4300</v>
      </c>
      <c r="P1298" s="476"/>
      <c r="Q1298" s="477">
        <v>46023</v>
      </c>
      <c r="R1298" s="476"/>
      <c r="S1298" s="476"/>
    </row>
    <row r="1299" spans="1:19" ht="15.75" customHeight="1" x14ac:dyDescent="0.25">
      <c r="A1299" s="438">
        <v>1296</v>
      </c>
      <c r="B1299" s="470" t="s">
        <v>17</v>
      </c>
      <c r="C1299" s="471" t="s">
        <v>18</v>
      </c>
      <c r="D1299" s="472" t="s">
        <v>19</v>
      </c>
      <c r="E1299" s="465" t="s">
        <v>4083</v>
      </c>
      <c r="F1299" s="448" t="s">
        <v>2988</v>
      </c>
      <c r="G1299" s="473" t="s">
        <v>3045</v>
      </c>
      <c r="H1299" s="439" t="s">
        <v>1608</v>
      </c>
      <c r="I1299" s="474" t="s">
        <v>3457</v>
      </c>
      <c r="J1299" s="474" t="s">
        <v>3464</v>
      </c>
      <c r="K1299" s="443" t="s">
        <v>1592</v>
      </c>
      <c r="L1299" s="471">
        <v>1</v>
      </c>
      <c r="M1299" s="447" t="s">
        <v>1706</v>
      </c>
      <c r="N1299" s="456">
        <v>4300</v>
      </c>
      <c r="O1299" s="475">
        <f t="shared" si="5"/>
        <v>4300</v>
      </c>
      <c r="P1299" s="476"/>
      <c r="Q1299" s="477">
        <v>46023</v>
      </c>
      <c r="R1299" s="476"/>
      <c r="S1299" s="476"/>
    </row>
    <row r="1300" spans="1:19" ht="15.75" customHeight="1" x14ac:dyDescent="0.25">
      <c r="A1300" s="438">
        <v>1297</v>
      </c>
      <c r="B1300" s="470" t="s">
        <v>17</v>
      </c>
      <c r="C1300" s="471" t="s">
        <v>18</v>
      </c>
      <c r="D1300" s="472" t="s">
        <v>19</v>
      </c>
      <c r="E1300" s="465" t="s">
        <v>4083</v>
      </c>
      <c r="F1300" s="448" t="s">
        <v>2988</v>
      </c>
      <c r="G1300" s="473" t="s">
        <v>3045</v>
      </c>
      <c r="H1300" s="439" t="s">
        <v>1608</v>
      </c>
      <c r="I1300" s="474" t="s">
        <v>3457</v>
      </c>
      <c r="J1300" s="474" t="s">
        <v>3464</v>
      </c>
      <c r="K1300" s="443" t="s">
        <v>1592</v>
      </c>
      <c r="L1300" s="471">
        <v>1</v>
      </c>
      <c r="M1300" s="447" t="s">
        <v>1707</v>
      </c>
      <c r="N1300" s="456">
        <v>4300</v>
      </c>
      <c r="O1300" s="475">
        <f t="shared" si="5"/>
        <v>4300</v>
      </c>
      <c r="P1300" s="476"/>
      <c r="Q1300" s="477">
        <v>46023</v>
      </c>
      <c r="R1300" s="476"/>
      <c r="S1300" s="476"/>
    </row>
    <row r="1301" spans="1:19" ht="15.75" customHeight="1" x14ac:dyDescent="0.25">
      <c r="A1301" s="438">
        <v>1298</v>
      </c>
      <c r="B1301" s="470" t="s">
        <v>17</v>
      </c>
      <c r="C1301" s="471" t="s">
        <v>18</v>
      </c>
      <c r="D1301" s="472" t="s">
        <v>19</v>
      </c>
      <c r="E1301" s="465" t="s">
        <v>4083</v>
      </c>
      <c r="F1301" s="448" t="s">
        <v>2988</v>
      </c>
      <c r="G1301" s="473" t="s">
        <v>3045</v>
      </c>
      <c r="H1301" s="439" t="s">
        <v>1608</v>
      </c>
      <c r="I1301" s="474" t="s">
        <v>3457</v>
      </c>
      <c r="J1301" s="474" t="s">
        <v>3464</v>
      </c>
      <c r="K1301" s="443" t="s">
        <v>1592</v>
      </c>
      <c r="L1301" s="471">
        <v>1</v>
      </c>
      <c r="M1301" s="447" t="s">
        <v>1708</v>
      </c>
      <c r="N1301" s="456">
        <v>4300</v>
      </c>
      <c r="O1301" s="475">
        <f t="shared" si="5"/>
        <v>4300</v>
      </c>
      <c r="P1301" s="476"/>
      <c r="Q1301" s="477">
        <v>46023</v>
      </c>
      <c r="R1301" s="476"/>
      <c r="S1301" s="476"/>
    </row>
    <row r="1302" spans="1:19" ht="15.75" customHeight="1" x14ac:dyDescent="0.25">
      <c r="A1302" s="438">
        <v>1299</v>
      </c>
      <c r="B1302" s="470" t="s">
        <v>17</v>
      </c>
      <c r="C1302" s="471" t="s">
        <v>18</v>
      </c>
      <c r="D1302" s="472" t="s">
        <v>19</v>
      </c>
      <c r="E1302" s="465" t="s">
        <v>4083</v>
      </c>
      <c r="F1302" s="448" t="s">
        <v>2988</v>
      </c>
      <c r="G1302" s="473" t="s">
        <v>3045</v>
      </c>
      <c r="H1302" s="439" t="s">
        <v>1608</v>
      </c>
      <c r="I1302" s="474" t="s">
        <v>3457</v>
      </c>
      <c r="J1302" s="474" t="s">
        <v>3464</v>
      </c>
      <c r="K1302" s="443" t="s">
        <v>1592</v>
      </c>
      <c r="L1302" s="471">
        <v>1</v>
      </c>
      <c r="M1302" s="447" t="s">
        <v>1709</v>
      </c>
      <c r="N1302" s="456">
        <v>4300</v>
      </c>
      <c r="O1302" s="475">
        <f t="shared" si="5"/>
        <v>4300</v>
      </c>
      <c r="P1302" s="476"/>
      <c r="Q1302" s="477">
        <v>46023</v>
      </c>
      <c r="R1302" s="476"/>
      <c r="S1302" s="476"/>
    </row>
    <row r="1303" spans="1:19" ht="15.75" customHeight="1" x14ac:dyDescent="0.25">
      <c r="A1303" s="438">
        <v>1300</v>
      </c>
      <c r="B1303" s="470" t="s">
        <v>17</v>
      </c>
      <c r="C1303" s="471" t="s">
        <v>18</v>
      </c>
      <c r="D1303" s="472" t="s">
        <v>19</v>
      </c>
      <c r="E1303" s="465" t="s">
        <v>4083</v>
      </c>
      <c r="F1303" s="448" t="s">
        <v>2988</v>
      </c>
      <c r="G1303" s="473" t="s">
        <v>3045</v>
      </c>
      <c r="H1303" s="439" t="s">
        <v>1608</v>
      </c>
      <c r="I1303" s="474" t="s">
        <v>3457</v>
      </c>
      <c r="J1303" s="474" t="s">
        <v>3464</v>
      </c>
      <c r="K1303" s="443" t="s">
        <v>1592</v>
      </c>
      <c r="L1303" s="471">
        <v>1</v>
      </c>
      <c r="M1303" s="447" t="s">
        <v>1710</v>
      </c>
      <c r="N1303" s="456">
        <v>4300</v>
      </c>
      <c r="O1303" s="475">
        <f t="shared" si="5"/>
        <v>4300</v>
      </c>
      <c r="P1303" s="476"/>
      <c r="Q1303" s="477">
        <v>46023</v>
      </c>
      <c r="R1303" s="476"/>
      <c r="S1303" s="476"/>
    </row>
    <row r="1304" spans="1:19" ht="15.75" customHeight="1" x14ac:dyDescent="0.25">
      <c r="A1304" s="438">
        <v>1301</v>
      </c>
      <c r="B1304" s="470" t="s">
        <v>17</v>
      </c>
      <c r="C1304" s="471" t="s">
        <v>18</v>
      </c>
      <c r="D1304" s="472" t="s">
        <v>19</v>
      </c>
      <c r="E1304" s="448" t="s">
        <v>4083</v>
      </c>
      <c r="F1304" s="448" t="s">
        <v>2988</v>
      </c>
      <c r="G1304" s="473" t="s">
        <v>3045</v>
      </c>
      <c r="H1304" s="439" t="s">
        <v>1608</v>
      </c>
      <c r="I1304" s="474" t="s">
        <v>3457</v>
      </c>
      <c r="J1304" s="474" t="s">
        <v>3464</v>
      </c>
      <c r="K1304" s="443" t="s">
        <v>1592</v>
      </c>
      <c r="L1304" s="471">
        <v>1</v>
      </c>
      <c r="M1304" s="447" t="s">
        <v>1711</v>
      </c>
      <c r="N1304" s="456">
        <v>4300</v>
      </c>
      <c r="O1304" s="475">
        <f t="shared" si="5"/>
        <v>4300</v>
      </c>
      <c r="P1304" s="476"/>
      <c r="Q1304" s="477">
        <v>46023</v>
      </c>
      <c r="R1304" s="476"/>
      <c r="S1304" s="476"/>
    </row>
    <row r="1305" spans="1:19" ht="15.75" customHeight="1" x14ac:dyDescent="0.25">
      <c r="A1305" s="438">
        <v>1302</v>
      </c>
      <c r="B1305" s="470" t="s">
        <v>17</v>
      </c>
      <c r="C1305" s="471" t="s">
        <v>18</v>
      </c>
      <c r="D1305" s="472" t="s">
        <v>19</v>
      </c>
      <c r="E1305" s="448" t="s">
        <v>4083</v>
      </c>
      <c r="F1305" s="448" t="s">
        <v>2988</v>
      </c>
      <c r="G1305" s="473" t="s">
        <v>3045</v>
      </c>
      <c r="H1305" s="439" t="s">
        <v>1608</v>
      </c>
      <c r="I1305" s="474" t="s">
        <v>3457</v>
      </c>
      <c r="J1305" s="474" t="s">
        <v>3464</v>
      </c>
      <c r="K1305" s="443" t="s">
        <v>1592</v>
      </c>
      <c r="L1305" s="471">
        <v>1</v>
      </c>
      <c r="M1305" s="447" t="s">
        <v>1712</v>
      </c>
      <c r="N1305" s="456">
        <v>4300</v>
      </c>
      <c r="O1305" s="475">
        <f t="shared" si="5"/>
        <v>4300</v>
      </c>
      <c r="P1305" s="476"/>
      <c r="Q1305" s="477">
        <v>46023</v>
      </c>
      <c r="R1305" s="476"/>
      <c r="S1305" s="476"/>
    </row>
    <row r="1306" spans="1:19" ht="15.75" customHeight="1" x14ac:dyDescent="0.25">
      <c r="A1306" s="438">
        <v>1303</v>
      </c>
      <c r="B1306" s="470" t="s">
        <v>17</v>
      </c>
      <c r="C1306" s="471" t="s">
        <v>18</v>
      </c>
      <c r="D1306" s="472" t="s">
        <v>19</v>
      </c>
      <c r="E1306" s="448" t="s">
        <v>4083</v>
      </c>
      <c r="F1306" s="448" t="s">
        <v>2988</v>
      </c>
      <c r="G1306" s="473" t="s">
        <v>3045</v>
      </c>
      <c r="H1306" s="439" t="s">
        <v>1608</v>
      </c>
      <c r="I1306" s="474" t="s">
        <v>3457</v>
      </c>
      <c r="J1306" s="474" t="s">
        <v>3464</v>
      </c>
      <c r="K1306" s="443" t="s">
        <v>1592</v>
      </c>
      <c r="L1306" s="471">
        <v>1</v>
      </c>
      <c r="M1306" s="447" t="s">
        <v>1713</v>
      </c>
      <c r="N1306" s="456">
        <v>4300</v>
      </c>
      <c r="O1306" s="475">
        <f t="shared" si="5"/>
        <v>4300</v>
      </c>
      <c r="P1306" s="476"/>
      <c r="Q1306" s="477">
        <v>46023</v>
      </c>
      <c r="R1306" s="476"/>
      <c r="S1306" s="476"/>
    </row>
    <row r="1307" spans="1:19" ht="15.75" customHeight="1" x14ac:dyDescent="0.25">
      <c r="A1307" s="438">
        <v>1304</v>
      </c>
      <c r="B1307" s="470" t="s">
        <v>17</v>
      </c>
      <c r="C1307" s="471" t="s">
        <v>18</v>
      </c>
      <c r="D1307" s="472" t="s">
        <v>19</v>
      </c>
      <c r="E1307" s="448" t="s">
        <v>4083</v>
      </c>
      <c r="F1307" s="448" t="s">
        <v>2988</v>
      </c>
      <c r="G1307" s="473" t="s">
        <v>3045</v>
      </c>
      <c r="H1307" s="439" t="s">
        <v>1608</v>
      </c>
      <c r="I1307" s="474" t="s">
        <v>3457</v>
      </c>
      <c r="J1307" s="474" t="s">
        <v>3464</v>
      </c>
      <c r="K1307" s="443" t="s">
        <v>1592</v>
      </c>
      <c r="L1307" s="471">
        <v>1</v>
      </c>
      <c r="M1307" s="447" t="s">
        <v>1714</v>
      </c>
      <c r="N1307" s="456">
        <v>4300</v>
      </c>
      <c r="O1307" s="475">
        <f t="shared" si="5"/>
        <v>4300</v>
      </c>
      <c r="P1307" s="476"/>
      <c r="Q1307" s="477">
        <v>46023</v>
      </c>
      <c r="R1307" s="476"/>
      <c r="S1307" s="476"/>
    </row>
    <row r="1308" spans="1:19" ht="15.75" customHeight="1" x14ac:dyDescent="0.25">
      <c r="A1308" s="438">
        <v>1305</v>
      </c>
      <c r="B1308" s="470" t="s">
        <v>17</v>
      </c>
      <c r="C1308" s="471" t="s">
        <v>18</v>
      </c>
      <c r="D1308" s="472" t="s">
        <v>19</v>
      </c>
      <c r="E1308" s="448" t="s">
        <v>4083</v>
      </c>
      <c r="F1308" s="448" t="s">
        <v>2988</v>
      </c>
      <c r="G1308" s="473" t="s">
        <v>3045</v>
      </c>
      <c r="H1308" s="439" t="s">
        <v>1608</v>
      </c>
      <c r="I1308" s="474" t="s">
        <v>3457</v>
      </c>
      <c r="J1308" s="474" t="s">
        <v>3464</v>
      </c>
      <c r="K1308" s="443" t="s">
        <v>1592</v>
      </c>
      <c r="L1308" s="471">
        <v>1</v>
      </c>
      <c r="M1308" s="447" t="s">
        <v>1715</v>
      </c>
      <c r="N1308" s="456">
        <v>4300</v>
      </c>
      <c r="O1308" s="475">
        <f t="shared" si="5"/>
        <v>4300</v>
      </c>
      <c r="P1308" s="476"/>
      <c r="Q1308" s="477">
        <v>46023</v>
      </c>
      <c r="R1308" s="476"/>
      <c r="S1308" s="476"/>
    </row>
    <row r="1309" spans="1:19" ht="15.75" customHeight="1" x14ac:dyDescent="0.25">
      <c r="A1309" s="438">
        <v>1306</v>
      </c>
      <c r="B1309" s="470" t="s">
        <v>17</v>
      </c>
      <c r="C1309" s="471" t="s">
        <v>18</v>
      </c>
      <c r="D1309" s="472" t="s">
        <v>19</v>
      </c>
      <c r="E1309" s="448" t="s">
        <v>4083</v>
      </c>
      <c r="F1309" s="448" t="s">
        <v>2988</v>
      </c>
      <c r="G1309" s="473" t="s">
        <v>3045</v>
      </c>
      <c r="H1309" s="439" t="s">
        <v>1608</v>
      </c>
      <c r="I1309" s="474" t="s">
        <v>3457</v>
      </c>
      <c r="J1309" s="474" t="s">
        <v>3464</v>
      </c>
      <c r="K1309" s="443" t="s">
        <v>1592</v>
      </c>
      <c r="L1309" s="471">
        <v>1</v>
      </c>
      <c r="M1309" s="447" t="s">
        <v>1716</v>
      </c>
      <c r="N1309" s="456">
        <v>4300</v>
      </c>
      <c r="O1309" s="475">
        <f t="shared" si="5"/>
        <v>4300</v>
      </c>
      <c r="P1309" s="476"/>
      <c r="Q1309" s="477">
        <v>46023</v>
      </c>
      <c r="R1309" s="476"/>
      <c r="S1309" s="476"/>
    </row>
    <row r="1310" spans="1:19" ht="15.75" customHeight="1" x14ac:dyDescent="0.25">
      <c r="A1310" s="438">
        <v>1307</v>
      </c>
      <c r="B1310" s="470" t="s">
        <v>17</v>
      </c>
      <c r="C1310" s="471" t="s">
        <v>18</v>
      </c>
      <c r="D1310" s="472" t="s">
        <v>19</v>
      </c>
      <c r="E1310" s="448" t="s">
        <v>4083</v>
      </c>
      <c r="F1310" s="448" t="s">
        <v>2988</v>
      </c>
      <c r="G1310" s="473" t="s">
        <v>3045</v>
      </c>
      <c r="H1310" s="439" t="s">
        <v>1608</v>
      </c>
      <c r="I1310" s="474" t="s">
        <v>3457</v>
      </c>
      <c r="J1310" s="474" t="s">
        <v>3464</v>
      </c>
      <c r="K1310" s="443" t="s">
        <v>1592</v>
      </c>
      <c r="L1310" s="471">
        <v>1</v>
      </c>
      <c r="M1310" s="447" t="s">
        <v>1717</v>
      </c>
      <c r="N1310" s="456">
        <v>4300</v>
      </c>
      <c r="O1310" s="475">
        <f t="shared" si="5"/>
        <v>4300</v>
      </c>
      <c r="P1310" s="476"/>
      <c r="Q1310" s="477">
        <v>46023</v>
      </c>
      <c r="R1310" s="476"/>
      <c r="S1310" s="476"/>
    </row>
    <row r="1311" spans="1:19" ht="15.75" customHeight="1" x14ac:dyDescent="0.25">
      <c r="A1311" s="438">
        <v>1308</v>
      </c>
      <c r="B1311" s="470" t="s">
        <v>17</v>
      </c>
      <c r="C1311" s="471" t="s">
        <v>18</v>
      </c>
      <c r="D1311" s="472" t="s">
        <v>19</v>
      </c>
      <c r="E1311" s="448" t="s">
        <v>4083</v>
      </c>
      <c r="F1311" s="448" t="s">
        <v>2988</v>
      </c>
      <c r="G1311" s="473" t="s">
        <v>3045</v>
      </c>
      <c r="H1311" s="439" t="s">
        <v>1608</v>
      </c>
      <c r="I1311" s="474" t="s">
        <v>3457</v>
      </c>
      <c r="J1311" s="474" t="s">
        <v>3464</v>
      </c>
      <c r="K1311" s="443" t="s">
        <v>1592</v>
      </c>
      <c r="L1311" s="471">
        <v>1</v>
      </c>
      <c r="M1311" s="447" t="s">
        <v>1718</v>
      </c>
      <c r="N1311" s="456">
        <v>4300</v>
      </c>
      <c r="O1311" s="475">
        <f t="shared" si="5"/>
        <v>4300</v>
      </c>
      <c r="P1311" s="476"/>
      <c r="Q1311" s="477">
        <v>46023</v>
      </c>
      <c r="R1311" s="476"/>
      <c r="S1311" s="476"/>
    </row>
    <row r="1312" spans="1:19" ht="15.75" customHeight="1" x14ac:dyDescent="0.25">
      <c r="A1312" s="438">
        <v>1309</v>
      </c>
      <c r="B1312" s="470" t="s">
        <v>17</v>
      </c>
      <c r="C1312" s="471" t="s">
        <v>18</v>
      </c>
      <c r="D1312" s="472" t="s">
        <v>19</v>
      </c>
      <c r="E1312" s="448" t="s">
        <v>4083</v>
      </c>
      <c r="F1312" s="448" t="s">
        <v>2988</v>
      </c>
      <c r="G1312" s="473" t="s">
        <v>3045</v>
      </c>
      <c r="H1312" s="439" t="s">
        <v>1608</v>
      </c>
      <c r="I1312" s="474" t="s">
        <v>3457</v>
      </c>
      <c r="J1312" s="474" t="s">
        <v>3464</v>
      </c>
      <c r="K1312" s="443" t="s">
        <v>1592</v>
      </c>
      <c r="L1312" s="471">
        <v>1</v>
      </c>
      <c r="M1312" s="447" t="s">
        <v>1719</v>
      </c>
      <c r="N1312" s="456">
        <v>4300</v>
      </c>
      <c r="O1312" s="475">
        <f t="shared" si="5"/>
        <v>4300</v>
      </c>
      <c r="P1312" s="476"/>
      <c r="Q1312" s="477">
        <v>46023</v>
      </c>
      <c r="R1312" s="476"/>
      <c r="S1312" s="476"/>
    </row>
    <row r="1313" spans="1:19" ht="15.75" customHeight="1" x14ac:dyDescent="0.25">
      <c r="A1313" s="438">
        <v>1310</v>
      </c>
      <c r="B1313" s="470" t="s">
        <v>17</v>
      </c>
      <c r="C1313" s="471" t="s">
        <v>18</v>
      </c>
      <c r="D1313" s="472" t="s">
        <v>19</v>
      </c>
      <c r="E1313" s="465" t="s">
        <v>4083</v>
      </c>
      <c r="F1313" s="448" t="s">
        <v>2988</v>
      </c>
      <c r="G1313" s="473" t="s">
        <v>3045</v>
      </c>
      <c r="H1313" s="439" t="s">
        <v>1608</v>
      </c>
      <c r="I1313" s="474" t="s">
        <v>3457</v>
      </c>
      <c r="J1313" s="474" t="s">
        <v>3464</v>
      </c>
      <c r="K1313" s="443" t="s">
        <v>1592</v>
      </c>
      <c r="L1313" s="471">
        <v>1</v>
      </c>
      <c r="M1313" s="447" t="s">
        <v>1720</v>
      </c>
      <c r="N1313" s="456">
        <v>4300</v>
      </c>
      <c r="O1313" s="475">
        <f t="shared" si="5"/>
        <v>4300</v>
      </c>
      <c r="P1313" s="476"/>
      <c r="Q1313" s="477">
        <v>46023</v>
      </c>
      <c r="R1313" s="476"/>
      <c r="S1313" s="476"/>
    </row>
    <row r="1314" spans="1:19" ht="15.75" customHeight="1" x14ac:dyDescent="0.25">
      <c r="A1314" s="438">
        <v>1311</v>
      </c>
      <c r="B1314" s="470" t="s">
        <v>17</v>
      </c>
      <c r="C1314" s="471" t="s">
        <v>18</v>
      </c>
      <c r="D1314" s="472" t="s">
        <v>19</v>
      </c>
      <c r="E1314" s="465" t="s">
        <v>4083</v>
      </c>
      <c r="F1314" s="448" t="s">
        <v>2988</v>
      </c>
      <c r="G1314" s="473" t="s">
        <v>3045</v>
      </c>
      <c r="H1314" s="439" t="s">
        <v>1608</v>
      </c>
      <c r="I1314" s="474" t="s">
        <v>3457</v>
      </c>
      <c r="J1314" s="474" t="s">
        <v>3464</v>
      </c>
      <c r="K1314" s="443" t="s">
        <v>1592</v>
      </c>
      <c r="L1314" s="471">
        <v>1</v>
      </c>
      <c r="M1314" s="447" t="s">
        <v>1721</v>
      </c>
      <c r="N1314" s="456">
        <v>4300</v>
      </c>
      <c r="O1314" s="475">
        <f t="shared" si="5"/>
        <v>4300</v>
      </c>
      <c r="P1314" s="476"/>
      <c r="Q1314" s="477">
        <v>46023</v>
      </c>
      <c r="R1314" s="476"/>
      <c r="S1314" s="476"/>
    </row>
    <row r="1315" spans="1:19" ht="15.75" customHeight="1" x14ac:dyDescent="0.25">
      <c r="A1315" s="438">
        <v>1312</v>
      </c>
      <c r="B1315" s="470" t="s">
        <v>17</v>
      </c>
      <c r="C1315" s="471" t="s">
        <v>18</v>
      </c>
      <c r="D1315" s="472" t="s">
        <v>19</v>
      </c>
      <c r="E1315" s="465" t="s">
        <v>4083</v>
      </c>
      <c r="F1315" s="448" t="s">
        <v>2988</v>
      </c>
      <c r="G1315" s="473" t="s">
        <v>3045</v>
      </c>
      <c r="H1315" s="439" t="s">
        <v>1608</v>
      </c>
      <c r="I1315" s="474" t="s">
        <v>3457</v>
      </c>
      <c r="J1315" s="474" t="s">
        <v>3464</v>
      </c>
      <c r="K1315" s="443" t="s">
        <v>1592</v>
      </c>
      <c r="L1315" s="471">
        <v>1</v>
      </c>
      <c r="M1315" s="447" t="s">
        <v>1722</v>
      </c>
      <c r="N1315" s="456">
        <v>4300</v>
      </c>
      <c r="O1315" s="475">
        <f t="shared" si="5"/>
        <v>4300</v>
      </c>
      <c r="P1315" s="476"/>
      <c r="Q1315" s="477">
        <v>46023</v>
      </c>
      <c r="R1315" s="476"/>
      <c r="S1315" s="476"/>
    </row>
    <row r="1316" spans="1:19" ht="15.75" customHeight="1" x14ac:dyDescent="0.25">
      <c r="A1316" s="438">
        <v>1313</v>
      </c>
      <c r="B1316" s="470" t="s">
        <v>17</v>
      </c>
      <c r="C1316" s="471" t="s">
        <v>18</v>
      </c>
      <c r="D1316" s="472" t="s">
        <v>19</v>
      </c>
      <c r="E1316" s="448" t="s">
        <v>4083</v>
      </c>
      <c r="F1316" s="448" t="s">
        <v>2988</v>
      </c>
      <c r="G1316" s="473" t="s">
        <v>3045</v>
      </c>
      <c r="H1316" s="439" t="s">
        <v>1608</v>
      </c>
      <c r="I1316" s="474" t="s">
        <v>3457</v>
      </c>
      <c r="J1316" s="474" t="s">
        <v>3464</v>
      </c>
      <c r="K1316" s="443" t="s">
        <v>1592</v>
      </c>
      <c r="L1316" s="471">
        <v>1</v>
      </c>
      <c r="M1316" s="447" t="s">
        <v>1723</v>
      </c>
      <c r="N1316" s="456">
        <v>4300</v>
      </c>
      <c r="O1316" s="475">
        <f t="shared" si="5"/>
        <v>4300</v>
      </c>
      <c r="P1316" s="476"/>
      <c r="Q1316" s="477">
        <v>46023</v>
      </c>
      <c r="R1316" s="476"/>
      <c r="S1316" s="476"/>
    </row>
    <row r="1317" spans="1:19" ht="15.75" customHeight="1" x14ac:dyDescent="0.25">
      <c r="A1317" s="438">
        <v>1314</v>
      </c>
      <c r="B1317" s="470" t="s">
        <v>17</v>
      </c>
      <c r="C1317" s="471" t="s">
        <v>18</v>
      </c>
      <c r="D1317" s="472" t="s">
        <v>19</v>
      </c>
      <c r="E1317" s="448" t="s">
        <v>4083</v>
      </c>
      <c r="F1317" s="448" t="s">
        <v>2988</v>
      </c>
      <c r="G1317" s="473" t="s">
        <v>3045</v>
      </c>
      <c r="H1317" s="439" t="s">
        <v>1608</v>
      </c>
      <c r="I1317" s="474" t="s">
        <v>3457</v>
      </c>
      <c r="J1317" s="474" t="s">
        <v>3464</v>
      </c>
      <c r="K1317" s="443" t="s">
        <v>1592</v>
      </c>
      <c r="L1317" s="471">
        <v>1</v>
      </c>
      <c r="M1317" s="447" t="s">
        <v>1724</v>
      </c>
      <c r="N1317" s="456">
        <v>4300</v>
      </c>
      <c r="O1317" s="475">
        <f t="shared" si="5"/>
        <v>4300</v>
      </c>
      <c r="P1317" s="476"/>
      <c r="Q1317" s="477">
        <v>46023</v>
      </c>
      <c r="R1317" s="476"/>
      <c r="S1317" s="476"/>
    </row>
    <row r="1318" spans="1:19" ht="15.75" customHeight="1" x14ac:dyDescent="0.25">
      <c r="A1318" s="438">
        <v>1315</v>
      </c>
      <c r="B1318" s="470" t="s">
        <v>17</v>
      </c>
      <c r="C1318" s="471" t="s">
        <v>18</v>
      </c>
      <c r="D1318" s="472" t="s">
        <v>19</v>
      </c>
      <c r="E1318" s="448" t="s">
        <v>4083</v>
      </c>
      <c r="F1318" s="448" t="s">
        <v>2988</v>
      </c>
      <c r="G1318" s="473" t="s">
        <v>3045</v>
      </c>
      <c r="H1318" s="439" t="s">
        <v>1608</v>
      </c>
      <c r="I1318" s="474" t="s">
        <v>3457</v>
      </c>
      <c r="J1318" s="474" t="s">
        <v>3464</v>
      </c>
      <c r="K1318" s="443" t="s">
        <v>1592</v>
      </c>
      <c r="L1318" s="471">
        <v>1</v>
      </c>
      <c r="M1318" s="447" t="s">
        <v>1725</v>
      </c>
      <c r="N1318" s="456">
        <v>4300</v>
      </c>
      <c r="O1318" s="475">
        <f t="shared" si="5"/>
        <v>4300</v>
      </c>
      <c r="P1318" s="476"/>
      <c r="Q1318" s="477">
        <v>46023</v>
      </c>
      <c r="R1318" s="476"/>
      <c r="S1318" s="476"/>
    </row>
    <row r="1319" spans="1:19" ht="15.75" customHeight="1" x14ac:dyDescent="0.25">
      <c r="A1319" s="438">
        <v>1316</v>
      </c>
      <c r="B1319" s="470" t="s">
        <v>17</v>
      </c>
      <c r="C1319" s="471" t="s">
        <v>18</v>
      </c>
      <c r="D1319" s="472" t="s">
        <v>19</v>
      </c>
      <c r="E1319" s="465" t="s">
        <v>4083</v>
      </c>
      <c r="F1319" s="448" t="s">
        <v>2988</v>
      </c>
      <c r="G1319" s="473" t="s">
        <v>3045</v>
      </c>
      <c r="H1319" s="439" t="s">
        <v>1608</v>
      </c>
      <c r="I1319" s="474" t="s">
        <v>3457</v>
      </c>
      <c r="J1319" s="474" t="s">
        <v>3464</v>
      </c>
      <c r="K1319" s="443" t="s">
        <v>1592</v>
      </c>
      <c r="L1319" s="471">
        <v>1</v>
      </c>
      <c r="M1319" s="447" t="s">
        <v>1726</v>
      </c>
      <c r="N1319" s="456">
        <v>4300</v>
      </c>
      <c r="O1319" s="475">
        <f t="shared" si="5"/>
        <v>4300</v>
      </c>
      <c r="P1319" s="476"/>
      <c r="Q1319" s="477">
        <v>46023</v>
      </c>
      <c r="R1319" s="476"/>
      <c r="S1319" s="476"/>
    </row>
    <row r="1320" spans="1:19" ht="15.75" customHeight="1" x14ac:dyDescent="0.25">
      <c r="A1320" s="438">
        <v>1317</v>
      </c>
      <c r="B1320" s="470" t="s">
        <v>17</v>
      </c>
      <c r="C1320" s="471" t="s">
        <v>18</v>
      </c>
      <c r="D1320" s="472" t="s">
        <v>19</v>
      </c>
      <c r="E1320" s="465" t="s">
        <v>4083</v>
      </c>
      <c r="F1320" s="448" t="s">
        <v>2988</v>
      </c>
      <c r="G1320" s="473" t="s">
        <v>3045</v>
      </c>
      <c r="H1320" s="439" t="s">
        <v>1608</v>
      </c>
      <c r="I1320" s="474" t="s">
        <v>3457</v>
      </c>
      <c r="J1320" s="474" t="s">
        <v>3464</v>
      </c>
      <c r="K1320" s="443" t="s">
        <v>1592</v>
      </c>
      <c r="L1320" s="471">
        <v>1</v>
      </c>
      <c r="M1320" s="447" t="s">
        <v>1727</v>
      </c>
      <c r="N1320" s="456">
        <v>4300</v>
      </c>
      <c r="O1320" s="475">
        <f t="shared" si="5"/>
        <v>4300</v>
      </c>
      <c r="P1320" s="476"/>
      <c r="Q1320" s="477">
        <v>46023</v>
      </c>
      <c r="R1320" s="476"/>
      <c r="S1320" s="476"/>
    </row>
    <row r="1321" spans="1:19" ht="15.75" customHeight="1" x14ac:dyDescent="0.25">
      <c r="A1321" s="438">
        <v>1318</v>
      </c>
      <c r="B1321" s="470" t="s">
        <v>17</v>
      </c>
      <c r="C1321" s="471" t="s">
        <v>18</v>
      </c>
      <c r="D1321" s="472" t="s">
        <v>19</v>
      </c>
      <c r="E1321" s="465" t="s">
        <v>4083</v>
      </c>
      <c r="F1321" s="448" t="s">
        <v>2988</v>
      </c>
      <c r="G1321" s="473" t="s">
        <v>3045</v>
      </c>
      <c r="H1321" s="439" t="s">
        <v>1608</v>
      </c>
      <c r="I1321" s="474" t="s">
        <v>3457</v>
      </c>
      <c r="J1321" s="474" t="s">
        <v>3464</v>
      </c>
      <c r="K1321" s="443" t="s">
        <v>1592</v>
      </c>
      <c r="L1321" s="471">
        <v>1</v>
      </c>
      <c r="M1321" s="447" t="s">
        <v>1728</v>
      </c>
      <c r="N1321" s="456">
        <v>4300</v>
      </c>
      <c r="O1321" s="475">
        <f t="shared" si="5"/>
        <v>4300</v>
      </c>
      <c r="P1321" s="476"/>
      <c r="Q1321" s="477">
        <v>46023</v>
      </c>
      <c r="R1321" s="476"/>
      <c r="S1321" s="476"/>
    </row>
    <row r="1322" spans="1:19" ht="15.75" customHeight="1" x14ac:dyDescent="0.25">
      <c r="A1322" s="438">
        <v>1319</v>
      </c>
      <c r="B1322" s="470" t="s">
        <v>17</v>
      </c>
      <c r="C1322" s="471" t="s">
        <v>18</v>
      </c>
      <c r="D1322" s="472" t="s">
        <v>19</v>
      </c>
      <c r="E1322" s="465" t="s">
        <v>4083</v>
      </c>
      <c r="F1322" s="448" t="s">
        <v>2988</v>
      </c>
      <c r="G1322" s="473" t="s">
        <v>3045</v>
      </c>
      <c r="H1322" s="439" t="s">
        <v>1608</v>
      </c>
      <c r="I1322" s="474" t="s">
        <v>3457</v>
      </c>
      <c r="J1322" s="474" t="s">
        <v>3464</v>
      </c>
      <c r="K1322" s="443" t="s">
        <v>1592</v>
      </c>
      <c r="L1322" s="471">
        <v>1</v>
      </c>
      <c r="M1322" s="447" t="s">
        <v>1729</v>
      </c>
      <c r="N1322" s="456">
        <v>4300</v>
      </c>
      <c r="O1322" s="475">
        <f t="shared" si="5"/>
        <v>4300</v>
      </c>
      <c r="P1322" s="476"/>
      <c r="Q1322" s="477">
        <v>46023</v>
      </c>
      <c r="R1322" s="476"/>
      <c r="S1322" s="476"/>
    </row>
    <row r="1323" spans="1:19" ht="15.75" customHeight="1" x14ac:dyDescent="0.25">
      <c r="A1323" s="438">
        <v>1320</v>
      </c>
      <c r="B1323" s="470" t="s">
        <v>17</v>
      </c>
      <c r="C1323" s="471" t="s">
        <v>18</v>
      </c>
      <c r="D1323" s="472" t="s">
        <v>19</v>
      </c>
      <c r="E1323" s="465" t="s">
        <v>4083</v>
      </c>
      <c r="F1323" s="448" t="s">
        <v>2988</v>
      </c>
      <c r="G1323" s="473" t="s">
        <v>3045</v>
      </c>
      <c r="H1323" s="439" t="s">
        <v>1608</v>
      </c>
      <c r="I1323" s="474" t="s">
        <v>3457</v>
      </c>
      <c r="J1323" s="474" t="s">
        <v>3464</v>
      </c>
      <c r="K1323" s="443" t="s">
        <v>1592</v>
      </c>
      <c r="L1323" s="471">
        <v>1</v>
      </c>
      <c r="M1323" s="447" t="s">
        <v>1730</v>
      </c>
      <c r="N1323" s="456">
        <v>4300</v>
      </c>
      <c r="O1323" s="475">
        <f t="shared" si="5"/>
        <v>4300</v>
      </c>
      <c r="P1323" s="476"/>
      <c r="Q1323" s="477">
        <v>46023</v>
      </c>
      <c r="R1323" s="476"/>
      <c r="S1323" s="476"/>
    </row>
    <row r="1324" spans="1:19" ht="15.75" customHeight="1" x14ac:dyDescent="0.25">
      <c r="A1324" s="438">
        <v>1321</v>
      </c>
      <c r="B1324" s="470" t="s">
        <v>17</v>
      </c>
      <c r="C1324" s="471" t="s">
        <v>18</v>
      </c>
      <c r="D1324" s="472" t="s">
        <v>19</v>
      </c>
      <c r="E1324" s="465" t="s">
        <v>4083</v>
      </c>
      <c r="F1324" s="448" t="s">
        <v>2988</v>
      </c>
      <c r="G1324" s="473" t="s">
        <v>3045</v>
      </c>
      <c r="H1324" s="439" t="s">
        <v>1608</v>
      </c>
      <c r="I1324" s="474" t="s">
        <v>3457</v>
      </c>
      <c r="J1324" s="474" t="s">
        <v>3464</v>
      </c>
      <c r="K1324" s="443" t="s">
        <v>1592</v>
      </c>
      <c r="L1324" s="471">
        <v>1</v>
      </c>
      <c r="M1324" s="447" t="s">
        <v>1731</v>
      </c>
      <c r="N1324" s="456">
        <v>4300</v>
      </c>
      <c r="O1324" s="475">
        <f t="shared" si="5"/>
        <v>4300</v>
      </c>
      <c r="P1324" s="476"/>
      <c r="Q1324" s="477">
        <v>46023</v>
      </c>
      <c r="R1324" s="476"/>
      <c r="S1324" s="476"/>
    </row>
    <row r="1325" spans="1:19" ht="15.75" customHeight="1" x14ac:dyDescent="0.25">
      <c r="A1325" s="438">
        <v>1322</v>
      </c>
      <c r="B1325" s="470" t="s">
        <v>17</v>
      </c>
      <c r="C1325" s="471" t="s">
        <v>18</v>
      </c>
      <c r="D1325" s="472" t="s">
        <v>19</v>
      </c>
      <c r="E1325" s="465" t="s">
        <v>4083</v>
      </c>
      <c r="F1325" s="448" t="s">
        <v>2988</v>
      </c>
      <c r="G1325" s="473" t="s">
        <v>3045</v>
      </c>
      <c r="H1325" s="439" t="s">
        <v>1608</v>
      </c>
      <c r="I1325" s="474" t="s">
        <v>3457</v>
      </c>
      <c r="J1325" s="474" t="s">
        <v>3464</v>
      </c>
      <c r="K1325" s="443" t="s">
        <v>1592</v>
      </c>
      <c r="L1325" s="471">
        <v>1</v>
      </c>
      <c r="M1325" s="447" t="s">
        <v>1732</v>
      </c>
      <c r="N1325" s="456">
        <v>4300</v>
      </c>
      <c r="O1325" s="475">
        <f t="shared" si="5"/>
        <v>4300</v>
      </c>
      <c r="P1325" s="476"/>
      <c r="Q1325" s="477">
        <v>46023</v>
      </c>
      <c r="R1325" s="476"/>
      <c r="S1325" s="476"/>
    </row>
    <row r="1326" spans="1:19" ht="15.75" customHeight="1" x14ac:dyDescent="0.25">
      <c r="A1326" s="438">
        <v>1323</v>
      </c>
      <c r="B1326" s="470" t="s">
        <v>17</v>
      </c>
      <c r="C1326" s="471" t="s">
        <v>18</v>
      </c>
      <c r="D1326" s="472" t="s">
        <v>19</v>
      </c>
      <c r="E1326" s="465" t="s">
        <v>4083</v>
      </c>
      <c r="F1326" s="448" t="s">
        <v>2988</v>
      </c>
      <c r="G1326" s="473" t="s">
        <v>3045</v>
      </c>
      <c r="H1326" s="439" t="s">
        <v>1608</v>
      </c>
      <c r="I1326" s="474" t="s">
        <v>3457</v>
      </c>
      <c r="J1326" s="474" t="s">
        <v>3464</v>
      </c>
      <c r="K1326" s="443" t="s">
        <v>1592</v>
      </c>
      <c r="L1326" s="471">
        <v>1</v>
      </c>
      <c r="M1326" s="447" t="s">
        <v>1733</v>
      </c>
      <c r="N1326" s="456">
        <v>4300</v>
      </c>
      <c r="O1326" s="475">
        <f t="shared" si="5"/>
        <v>4300</v>
      </c>
      <c r="P1326" s="476"/>
      <c r="Q1326" s="477">
        <v>46023</v>
      </c>
      <c r="R1326" s="476"/>
      <c r="S1326" s="476"/>
    </row>
    <row r="1327" spans="1:19" ht="15.75" customHeight="1" x14ac:dyDescent="0.25">
      <c r="A1327" s="438">
        <v>1324</v>
      </c>
      <c r="B1327" s="470" t="s">
        <v>17</v>
      </c>
      <c r="C1327" s="471" t="s">
        <v>18</v>
      </c>
      <c r="D1327" s="472" t="s">
        <v>19</v>
      </c>
      <c r="E1327" s="465" t="s">
        <v>4083</v>
      </c>
      <c r="F1327" s="448" t="s">
        <v>2988</v>
      </c>
      <c r="G1327" s="473" t="s">
        <v>3045</v>
      </c>
      <c r="H1327" s="439" t="s">
        <v>1608</v>
      </c>
      <c r="I1327" s="474" t="s">
        <v>3457</v>
      </c>
      <c r="J1327" s="474" t="s">
        <v>3464</v>
      </c>
      <c r="K1327" s="443" t="s">
        <v>1592</v>
      </c>
      <c r="L1327" s="471">
        <v>1</v>
      </c>
      <c r="M1327" s="447" t="s">
        <v>1734</v>
      </c>
      <c r="N1327" s="456">
        <v>4300</v>
      </c>
      <c r="O1327" s="475">
        <f t="shared" si="5"/>
        <v>4300</v>
      </c>
      <c r="P1327" s="476"/>
      <c r="Q1327" s="477">
        <v>46023</v>
      </c>
      <c r="R1327" s="476"/>
      <c r="S1327" s="476"/>
    </row>
    <row r="1328" spans="1:19" ht="15.75" customHeight="1" x14ac:dyDescent="0.25">
      <c r="A1328" s="438">
        <v>1325</v>
      </c>
      <c r="B1328" s="470" t="s">
        <v>17</v>
      </c>
      <c r="C1328" s="471" t="s">
        <v>18</v>
      </c>
      <c r="D1328" s="472" t="s">
        <v>19</v>
      </c>
      <c r="E1328" s="465" t="s">
        <v>4083</v>
      </c>
      <c r="F1328" s="448" t="s">
        <v>2988</v>
      </c>
      <c r="G1328" s="473" t="s">
        <v>3045</v>
      </c>
      <c r="H1328" s="439" t="s">
        <v>1608</v>
      </c>
      <c r="I1328" s="474" t="s">
        <v>3457</v>
      </c>
      <c r="J1328" s="474" t="s">
        <v>3464</v>
      </c>
      <c r="K1328" s="443" t="s">
        <v>1592</v>
      </c>
      <c r="L1328" s="471">
        <v>1</v>
      </c>
      <c r="M1328" s="447" t="s">
        <v>1735</v>
      </c>
      <c r="N1328" s="456">
        <v>4300</v>
      </c>
      <c r="O1328" s="475">
        <f t="shared" si="5"/>
        <v>4300</v>
      </c>
      <c r="P1328" s="476"/>
      <c r="Q1328" s="477">
        <v>46023</v>
      </c>
      <c r="R1328" s="476"/>
      <c r="S1328" s="476"/>
    </row>
    <row r="1329" spans="1:19" ht="15.75" customHeight="1" x14ac:dyDescent="0.25">
      <c r="A1329" s="438">
        <v>1326</v>
      </c>
      <c r="B1329" s="470" t="s">
        <v>17</v>
      </c>
      <c r="C1329" s="471" t="s">
        <v>18</v>
      </c>
      <c r="D1329" s="472" t="s">
        <v>19</v>
      </c>
      <c r="E1329" s="448" t="s">
        <v>4083</v>
      </c>
      <c r="F1329" s="448" t="s">
        <v>2988</v>
      </c>
      <c r="G1329" s="473" t="s">
        <v>3045</v>
      </c>
      <c r="H1329" s="439" t="s">
        <v>1608</v>
      </c>
      <c r="I1329" s="474" t="s">
        <v>3457</v>
      </c>
      <c r="J1329" s="474" t="s">
        <v>3464</v>
      </c>
      <c r="K1329" s="443" t="s">
        <v>1592</v>
      </c>
      <c r="L1329" s="471">
        <v>1</v>
      </c>
      <c r="M1329" s="447" t="s">
        <v>1736</v>
      </c>
      <c r="N1329" s="456">
        <v>4300</v>
      </c>
      <c r="O1329" s="475">
        <f t="shared" si="5"/>
        <v>4300</v>
      </c>
      <c r="P1329" s="476"/>
      <c r="Q1329" s="477">
        <v>46023</v>
      </c>
      <c r="R1329" s="476"/>
      <c r="S1329" s="476"/>
    </row>
    <row r="1330" spans="1:19" ht="15.75" customHeight="1" x14ac:dyDescent="0.25">
      <c r="A1330" s="438">
        <v>1327</v>
      </c>
      <c r="B1330" s="470" t="s">
        <v>17</v>
      </c>
      <c r="C1330" s="471" t="s">
        <v>18</v>
      </c>
      <c r="D1330" s="472" t="s">
        <v>19</v>
      </c>
      <c r="E1330" s="448" t="s">
        <v>4083</v>
      </c>
      <c r="F1330" s="448" t="s">
        <v>2988</v>
      </c>
      <c r="G1330" s="473" t="s">
        <v>3045</v>
      </c>
      <c r="H1330" s="439" t="s">
        <v>1608</v>
      </c>
      <c r="I1330" s="474" t="s">
        <v>3457</v>
      </c>
      <c r="J1330" s="474" t="s">
        <v>3464</v>
      </c>
      <c r="K1330" s="443" t="s">
        <v>1592</v>
      </c>
      <c r="L1330" s="471">
        <v>1</v>
      </c>
      <c r="M1330" s="447" t="s">
        <v>1737</v>
      </c>
      <c r="N1330" s="456">
        <v>4300</v>
      </c>
      <c r="O1330" s="475">
        <f t="shared" si="5"/>
        <v>4300</v>
      </c>
      <c r="P1330" s="476"/>
      <c r="Q1330" s="477">
        <v>46023</v>
      </c>
      <c r="R1330" s="476"/>
      <c r="S1330" s="476"/>
    </row>
    <row r="1331" spans="1:19" ht="15.75" customHeight="1" x14ac:dyDescent="0.25">
      <c r="A1331" s="438">
        <v>1328</v>
      </c>
      <c r="B1331" s="470" t="s">
        <v>17</v>
      </c>
      <c r="C1331" s="471" t="s">
        <v>18</v>
      </c>
      <c r="D1331" s="472" t="s">
        <v>19</v>
      </c>
      <c r="E1331" s="448" t="s">
        <v>4083</v>
      </c>
      <c r="F1331" s="448" t="s">
        <v>2988</v>
      </c>
      <c r="G1331" s="473" t="s">
        <v>3045</v>
      </c>
      <c r="H1331" s="439" t="s">
        <v>1608</v>
      </c>
      <c r="I1331" s="474" t="s">
        <v>3457</v>
      </c>
      <c r="J1331" s="474" t="s">
        <v>3464</v>
      </c>
      <c r="K1331" s="443" t="s">
        <v>1592</v>
      </c>
      <c r="L1331" s="471">
        <v>1</v>
      </c>
      <c r="M1331" s="447" t="s">
        <v>1738</v>
      </c>
      <c r="N1331" s="456">
        <v>4300</v>
      </c>
      <c r="O1331" s="475">
        <f t="shared" si="5"/>
        <v>4300</v>
      </c>
      <c r="P1331" s="476"/>
      <c r="Q1331" s="477">
        <v>46023</v>
      </c>
      <c r="R1331" s="476"/>
      <c r="S1331" s="476"/>
    </row>
    <row r="1332" spans="1:19" ht="15.75" customHeight="1" x14ac:dyDescent="0.25">
      <c r="A1332" s="438">
        <v>1329</v>
      </c>
      <c r="B1332" s="470" t="s">
        <v>17</v>
      </c>
      <c r="C1332" s="471" t="s">
        <v>18</v>
      </c>
      <c r="D1332" s="472" t="s">
        <v>19</v>
      </c>
      <c r="E1332" s="448" t="s">
        <v>4083</v>
      </c>
      <c r="F1332" s="448" t="s">
        <v>2988</v>
      </c>
      <c r="G1332" s="473" t="s">
        <v>3045</v>
      </c>
      <c r="H1332" s="439" t="s">
        <v>1608</v>
      </c>
      <c r="I1332" s="474" t="s">
        <v>3457</v>
      </c>
      <c r="J1332" s="474" t="s">
        <v>3464</v>
      </c>
      <c r="K1332" s="443" t="s">
        <v>1592</v>
      </c>
      <c r="L1332" s="471">
        <v>1</v>
      </c>
      <c r="M1332" s="447" t="s">
        <v>1739</v>
      </c>
      <c r="N1332" s="456">
        <v>4300</v>
      </c>
      <c r="O1332" s="475">
        <f t="shared" si="5"/>
        <v>4300</v>
      </c>
      <c r="P1332" s="476"/>
      <c r="Q1332" s="477">
        <v>46023</v>
      </c>
      <c r="R1332" s="476"/>
      <c r="S1332" s="476"/>
    </row>
    <row r="1333" spans="1:19" ht="15.75" customHeight="1" x14ac:dyDescent="0.25">
      <c r="A1333" s="438">
        <v>1330</v>
      </c>
      <c r="B1333" s="470" t="s">
        <v>17</v>
      </c>
      <c r="C1333" s="471" t="s">
        <v>18</v>
      </c>
      <c r="D1333" s="472" t="s">
        <v>19</v>
      </c>
      <c r="E1333" s="448" t="s">
        <v>4083</v>
      </c>
      <c r="F1333" s="448" t="s">
        <v>2988</v>
      </c>
      <c r="G1333" s="473" t="s">
        <v>3045</v>
      </c>
      <c r="H1333" s="439" t="s">
        <v>1608</v>
      </c>
      <c r="I1333" s="474" t="s">
        <v>3457</v>
      </c>
      <c r="J1333" s="474" t="s">
        <v>3464</v>
      </c>
      <c r="K1333" s="443" t="s">
        <v>1592</v>
      </c>
      <c r="L1333" s="471">
        <v>1</v>
      </c>
      <c r="M1333" s="447" t="s">
        <v>1740</v>
      </c>
      <c r="N1333" s="456">
        <v>4300</v>
      </c>
      <c r="O1333" s="475">
        <f t="shared" si="5"/>
        <v>4300</v>
      </c>
      <c r="P1333" s="476"/>
      <c r="Q1333" s="477">
        <v>46023</v>
      </c>
      <c r="R1333" s="476"/>
      <c r="S1333" s="476"/>
    </row>
    <row r="1334" spans="1:19" ht="15.75" customHeight="1" x14ac:dyDescent="0.25">
      <c r="A1334" s="438">
        <v>1331</v>
      </c>
      <c r="B1334" s="470" t="s">
        <v>17</v>
      </c>
      <c r="C1334" s="471" t="s">
        <v>18</v>
      </c>
      <c r="D1334" s="472" t="s">
        <v>19</v>
      </c>
      <c r="E1334" s="448" t="s">
        <v>4083</v>
      </c>
      <c r="F1334" s="448" t="s">
        <v>2988</v>
      </c>
      <c r="G1334" s="473" t="s">
        <v>3045</v>
      </c>
      <c r="H1334" s="439" t="s">
        <v>1608</v>
      </c>
      <c r="I1334" s="474" t="s">
        <v>3457</v>
      </c>
      <c r="J1334" s="474" t="s">
        <v>3464</v>
      </c>
      <c r="K1334" s="443" t="s">
        <v>1592</v>
      </c>
      <c r="L1334" s="471">
        <v>1</v>
      </c>
      <c r="M1334" s="447" t="s">
        <v>1741</v>
      </c>
      <c r="N1334" s="456">
        <v>4300</v>
      </c>
      <c r="O1334" s="475">
        <f t="shared" si="5"/>
        <v>4300</v>
      </c>
      <c r="P1334" s="476"/>
      <c r="Q1334" s="477">
        <v>46023</v>
      </c>
      <c r="R1334" s="476"/>
      <c r="S1334" s="476"/>
    </row>
    <row r="1335" spans="1:19" ht="15.75" customHeight="1" x14ac:dyDescent="0.25">
      <c r="A1335" s="438">
        <v>1332</v>
      </c>
      <c r="B1335" s="470" t="s">
        <v>17</v>
      </c>
      <c r="C1335" s="471" t="s">
        <v>18</v>
      </c>
      <c r="D1335" s="472" t="s">
        <v>19</v>
      </c>
      <c r="E1335" s="448" t="s">
        <v>4083</v>
      </c>
      <c r="F1335" s="448" t="s">
        <v>2988</v>
      </c>
      <c r="G1335" s="473" t="s">
        <v>3045</v>
      </c>
      <c r="H1335" s="439" t="s">
        <v>1608</v>
      </c>
      <c r="I1335" s="474" t="s">
        <v>3457</v>
      </c>
      <c r="J1335" s="474" t="s">
        <v>3464</v>
      </c>
      <c r="K1335" s="443" t="s">
        <v>1592</v>
      </c>
      <c r="L1335" s="471">
        <v>1</v>
      </c>
      <c r="M1335" s="447" t="s">
        <v>1742</v>
      </c>
      <c r="N1335" s="456">
        <v>4300</v>
      </c>
      <c r="O1335" s="475">
        <f t="shared" si="5"/>
        <v>4300</v>
      </c>
      <c r="P1335" s="476"/>
      <c r="Q1335" s="477">
        <v>46023</v>
      </c>
      <c r="R1335" s="476"/>
      <c r="S1335" s="476"/>
    </row>
    <row r="1336" spans="1:19" ht="15.75" customHeight="1" x14ac:dyDescent="0.25">
      <c r="A1336" s="438">
        <v>1333</v>
      </c>
      <c r="B1336" s="470" t="s">
        <v>17</v>
      </c>
      <c r="C1336" s="471" t="s">
        <v>18</v>
      </c>
      <c r="D1336" s="472" t="s">
        <v>19</v>
      </c>
      <c r="E1336" s="448" t="s">
        <v>4083</v>
      </c>
      <c r="F1336" s="448" t="s">
        <v>2988</v>
      </c>
      <c r="G1336" s="473" t="s">
        <v>3045</v>
      </c>
      <c r="H1336" s="439" t="s">
        <v>1608</v>
      </c>
      <c r="I1336" s="474" t="s">
        <v>3457</v>
      </c>
      <c r="J1336" s="474" t="s">
        <v>3464</v>
      </c>
      <c r="K1336" s="443" t="s">
        <v>1592</v>
      </c>
      <c r="L1336" s="471">
        <v>1</v>
      </c>
      <c r="M1336" s="447" t="s">
        <v>1743</v>
      </c>
      <c r="N1336" s="456">
        <v>4300</v>
      </c>
      <c r="O1336" s="475">
        <f t="shared" si="5"/>
        <v>4300</v>
      </c>
      <c r="P1336" s="476"/>
      <c r="Q1336" s="477">
        <v>46023</v>
      </c>
      <c r="R1336" s="476"/>
      <c r="S1336" s="476"/>
    </row>
    <row r="1337" spans="1:19" ht="15.75" customHeight="1" x14ac:dyDescent="0.25">
      <c r="A1337" s="438">
        <v>1334</v>
      </c>
      <c r="B1337" s="470" t="s">
        <v>17</v>
      </c>
      <c r="C1337" s="471" t="s">
        <v>18</v>
      </c>
      <c r="D1337" s="472" t="s">
        <v>19</v>
      </c>
      <c r="E1337" s="448" t="s">
        <v>4083</v>
      </c>
      <c r="F1337" s="448" t="s">
        <v>2988</v>
      </c>
      <c r="G1337" s="473" t="s">
        <v>3045</v>
      </c>
      <c r="H1337" s="439" t="s">
        <v>1608</v>
      </c>
      <c r="I1337" s="474" t="s">
        <v>3457</v>
      </c>
      <c r="J1337" s="474" t="s">
        <v>3464</v>
      </c>
      <c r="K1337" s="443" t="s">
        <v>1592</v>
      </c>
      <c r="L1337" s="471">
        <v>1</v>
      </c>
      <c r="M1337" s="447" t="s">
        <v>1744</v>
      </c>
      <c r="N1337" s="456">
        <v>4300</v>
      </c>
      <c r="O1337" s="475">
        <f t="shared" si="5"/>
        <v>4300</v>
      </c>
      <c r="P1337" s="476"/>
      <c r="Q1337" s="477">
        <v>46023</v>
      </c>
      <c r="R1337" s="476"/>
      <c r="S1337" s="476"/>
    </row>
    <row r="1338" spans="1:19" ht="15.75" customHeight="1" x14ac:dyDescent="0.25">
      <c r="A1338" s="438">
        <v>1335</v>
      </c>
      <c r="B1338" s="470" t="s">
        <v>17</v>
      </c>
      <c r="C1338" s="471" t="s">
        <v>18</v>
      </c>
      <c r="D1338" s="472" t="s">
        <v>19</v>
      </c>
      <c r="E1338" s="448" t="s">
        <v>4083</v>
      </c>
      <c r="F1338" s="448" t="s">
        <v>2988</v>
      </c>
      <c r="G1338" s="473" t="s">
        <v>3045</v>
      </c>
      <c r="H1338" s="439" t="s">
        <v>1608</v>
      </c>
      <c r="I1338" s="474" t="s">
        <v>3457</v>
      </c>
      <c r="J1338" s="474" t="s">
        <v>3464</v>
      </c>
      <c r="K1338" s="443" t="s">
        <v>1592</v>
      </c>
      <c r="L1338" s="471">
        <v>1</v>
      </c>
      <c r="M1338" s="447" t="s">
        <v>1745</v>
      </c>
      <c r="N1338" s="456">
        <v>4300</v>
      </c>
      <c r="O1338" s="475">
        <f t="shared" si="5"/>
        <v>4300</v>
      </c>
      <c r="P1338" s="476"/>
      <c r="Q1338" s="477">
        <v>46023</v>
      </c>
      <c r="R1338" s="476"/>
      <c r="S1338" s="476"/>
    </row>
    <row r="1339" spans="1:19" ht="15.75" customHeight="1" x14ac:dyDescent="0.25">
      <c r="A1339" s="438">
        <v>1336</v>
      </c>
      <c r="B1339" s="470" t="s">
        <v>17</v>
      </c>
      <c r="C1339" s="471" t="s">
        <v>18</v>
      </c>
      <c r="D1339" s="472" t="s">
        <v>19</v>
      </c>
      <c r="E1339" s="448" t="s">
        <v>4083</v>
      </c>
      <c r="F1339" s="448" t="s">
        <v>2988</v>
      </c>
      <c r="G1339" s="473" t="s">
        <v>3045</v>
      </c>
      <c r="H1339" s="439" t="s">
        <v>1608</v>
      </c>
      <c r="I1339" s="474" t="s">
        <v>3457</v>
      </c>
      <c r="J1339" s="474" t="s">
        <v>3464</v>
      </c>
      <c r="K1339" s="443" t="s">
        <v>1592</v>
      </c>
      <c r="L1339" s="471">
        <v>1</v>
      </c>
      <c r="M1339" s="447" t="s">
        <v>1746</v>
      </c>
      <c r="N1339" s="456">
        <v>4300</v>
      </c>
      <c r="O1339" s="475">
        <f t="shared" si="5"/>
        <v>4300</v>
      </c>
      <c r="P1339" s="476"/>
      <c r="Q1339" s="477">
        <v>46023</v>
      </c>
      <c r="R1339" s="476"/>
      <c r="S1339" s="476"/>
    </row>
    <row r="1340" spans="1:19" ht="15.75" customHeight="1" x14ac:dyDescent="0.25">
      <c r="A1340" s="438">
        <v>1337</v>
      </c>
      <c r="B1340" s="470" t="s">
        <v>17</v>
      </c>
      <c r="C1340" s="471" t="s">
        <v>18</v>
      </c>
      <c r="D1340" s="472" t="s">
        <v>19</v>
      </c>
      <c r="E1340" s="448" t="s">
        <v>4083</v>
      </c>
      <c r="F1340" s="448" t="s">
        <v>2988</v>
      </c>
      <c r="G1340" s="473" t="s">
        <v>3045</v>
      </c>
      <c r="H1340" s="439" t="s">
        <v>1608</v>
      </c>
      <c r="I1340" s="474" t="s">
        <v>3457</v>
      </c>
      <c r="J1340" s="474" t="s">
        <v>3464</v>
      </c>
      <c r="K1340" s="443" t="s">
        <v>1592</v>
      </c>
      <c r="L1340" s="471">
        <v>1</v>
      </c>
      <c r="M1340" s="447" t="s">
        <v>1747</v>
      </c>
      <c r="N1340" s="456">
        <v>4300</v>
      </c>
      <c r="O1340" s="475">
        <f t="shared" si="5"/>
        <v>4300</v>
      </c>
      <c r="P1340" s="476"/>
      <c r="Q1340" s="477">
        <v>46023</v>
      </c>
      <c r="R1340" s="476"/>
      <c r="S1340" s="476"/>
    </row>
    <row r="1341" spans="1:19" ht="15.75" customHeight="1" x14ac:dyDescent="0.25">
      <c r="A1341" s="438">
        <v>1338</v>
      </c>
      <c r="B1341" s="470" t="s">
        <v>17</v>
      </c>
      <c r="C1341" s="471" t="s">
        <v>18</v>
      </c>
      <c r="D1341" s="472" t="s">
        <v>19</v>
      </c>
      <c r="E1341" s="448" t="s">
        <v>4083</v>
      </c>
      <c r="F1341" s="448" t="s">
        <v>2988</v>
      </c>
      <c r="G1341" s="473" t="s">
        <v>3045</v>
      </c>
      <c r="H1341" s="439" t="s">
        <v>1608</v>
      </c>
      <c r="I1341" s="474" t="s">
        <v>3457</v>
      </c>
      <c r="J1341" s="474" t="s">
        <v>3464</v>
      </c>
      <c r="K1341" s="443" t="s">
        <v>1592</v>
      </c>
      <c r="L1341" s="471">
        <v>1</v>
      </c>
      <c r="M1341" s="447" t="s">
        <v>1748</v>
      </c>
      <c r="N1341" s="456">
        <v>4300</v>
      </c>
      <c r="O1341" s="475">
        <f t="shared" si="5"/>
        <v>4300</v>
      </c>
      <c r="P1341" s="476"/>
      <c r="Q1341" s="477">
        <v>46023</v>
      </c>
      <c r="R1341" s="476"/>
      <c r="S1341" s="476"/>
    </row>
    <row r="1342" spans="1:19" ht="15.75" customHeight="1" x14ac:dyDescent="0.25">
      <c r="A1342" s="438">
        <v>1339</v>
      </c>
      <c r="B1342" s="470" t="s">
        <v>17</v>
      </c>
      <c r="C1342" s="471" t="s">
        <v>18</v>
      </c>
      <c r="D1342" s="472" t="s">
        <v>19</v>
      </c>
      <c r="E1342" s="448" t="s">
        <v>4083</v>
      </c>
      <c r="F1342" s="448" t="s">
        <v>2988</v>
      </c>
      <c r="G1342" s="473" t="s">
        <v>3045</v>
      </c>
      <c r="H1342" s="439" t="s">
        <v>1608</v>
      </c>
      <c r="I1342" s="474" t="s">
        <v>3457</v>
      </c>
      <c r="J1342" s="474" t="s">
        <v>3464</v>
      </c>
      <c r="K1342" s="443" t="s">
        <v>1592</v>
      </c>
      <c r="L1342" s="471">
        <v>1</v>
      </c>
      <c r="M1342" s="447" t="s">
        <v>1749</v>
      </c>
      <c r="N1342" s="456">
        <v>4300</v>
      </c>
      <c r="O1342" s="475">
        <f t="shared" si="5"/>
        <v>4300</v>
      </c>
      <c r="P1342" s="476"/>
      <c r="Q1342" s="477">
        <v>46023</v>
      </c>
      <c r="R1342" s="476"/>
      <c r="S1342" s="476"/>
    </row>
    <row r="1343" spans="1:19" ht="15.75" customHeight="1" x14ac:dyDescent="0.25">
      <c r="A1343" s="438">
        <v>1340</v>
      </c>
      <c r="B1343" s="470" t="s">
        <v>17</v>
      </c>
      <c r="C1343" s="471" t="s">
        <v>18</v>
      </c>
      <c r="D1343" s="472" t="s">
        <v>19</v>
      </c>
      <c r="E1343" s="448" t="s">
        <v>4083</v>
      </c>
      <c r="F1343" s="448" t="s">
        <v>2988</v>
      </c>
      <c r="G1343" s="473" t="s">
        <v>3045</v>
      </c>
      <c r="H1343" s="439" t="s">
        <v>1608</v>
      </c>
      <c r="I1343" s="474" t="s">
        <v>3457</v>
      </c>
      <c r="J1343" s="474" t="s">
        <v>3464</v>
      </c>
      <c r="K1343" s="443" t="s">
        <v>1592</v>
      </c>
      <c r="L1343" s="471">
        <v>1</v>
      </c>
      <c r="M1343" s="447" t="s">
        <v>1750</v>
      </c>
      <c r="N1343" s="456">
        <v>4300</v>
      </c>
      <c r="O1343" s="475">
        <f t="shared" si="5"/>
        <v>4300</v>
      </c>
      <c r="P1343" s="476"/>
      <c r="Q1343" s="477">
        <v>46023</v>
      </c>
      <c r="R1343" s="476"/>
      <c r="S1343" s="476"/>
    </row>
    <row r="1344" spans="1:19" ht="15.75" customHeight="1" x14ac:dyDescent="0.25">
      <c r="A1344" s="438">
        <v>1341</v>
      </c>
      <c r="B1344" s="470" t="s">
        <v>17</v>
      </c>
      <c r="C1344" s="471" t="s">
        <v>18</v>
      </c>
      <c r="D1344" s="472" t="s">
        <v>19</v>
      </c>
      <c r="E1344" s="448" t="s">
        <v>4083</v>
      </c>
      <c r="F1344" s="448" t="s">
        <v>2988</v>
      </c>
      <c r="G1344" s="473" t="s">
        <v>3045</v>
      </c>
      <c r="H1344" s="439" t="s">
        <v>1608</v>
      </c>
      <c r="I1344" s="474" t="s">
        <v>3457</v>
      </c>
      <c r="J1344" s="474" t="s">
        <v>3464</v>
      </c>
      <c r="K1344" s="443" t="s">
        <v>1592</v>
      </c>
      <c r="L1344" s="471">
        <v>1</v>
      </c>
      <c r="M1344" s="447" t="s">
        <v>1751</v>
      </c>
      <c r="N1344" s="456">
        <v>4300</v>
      </c>
      <c r="O1344" s="475">
        <f t="shared" si="5"/>
        <v>4300</v>
      </c>
      <c r="P1344" s="476"/>
      <c r="Q1344" s="477">
        <v>46023</v>
      </c>
      <c r="R1344" s="476"/>
      <c r="S1344" s="476"/>
    </row>
    <row r="1345" spans="1:19" ht="15.75" customHeight="1" x14ac:dyDescent="0.25">
      <c r="A1345" s="438">
        <v>1342</v>
      </c>
      <c r="B1345" s="470" t="s">
        <v>17</v>
      </c>
      <c r="C1345" s="471" t="s">
        <v>18</v>
      </c>
      <c r="D1345" s="472" t="s">
        <v>19</v>
      </c>
      <c r="E1345" s="448" t="s">
        <v>4083</v>
      </c>
      <c r="F1345" s="448" t="s">
        <v>2988</v>
      </c>
      <c r="G1345" s="473" t="s">
        <v>3045</v>
      </c>
      <c r="H1345" s="439" t="s">
        <v>1608</v>
      </c>
      <c r="I1345" s="474" t="s">
        <v>3457</v>
      </c>
      <c r="J1345" s="474" t="s">
        <v>3464</v>
      </c>
      <c r="K1345" s="443" t="s">
        <v>1592</v>
      </c>
      <c r="L1345" s="471">
        <v>1</v>
      </c>
      <c r="M1345" s="447" t="s">
        <v>1752</v>
      </c>
      <c r="N1345" s="456">
        <v>4300</v>
      </c>
      <c r="O1345" s="475">
        <f t="shared" si="5"/>
        <v>4300</v>
      </c>
      <c r="P1345" s="476"/>
      <c r="Q1345" s="477">
        <v>46023</v>
      </c>
      <c r="R1345" s="476"/>
      <c r="S1345" s="476"/>
    </row>
    <row r="1346" spans="1:19" ht="15.75" customHeight="1" x14ac:dyDescent="0.25">
      <c r="A1346" s="438">
        <v>1343</v>
      </c>
      <c r="B1346" s="470" t="s">
        <v>17</v>
      </c>
      <c r="C1346" s="471" t="s">
        <v>18</v>
      </c>
      <c r="D1346" s="472" t="s">
        <v>19</v>
      </c>
      <c r="E1346" s="448" t="s">
        <v>4083</v>
      </c>
      <c r="F1346" s="448" t="s">
        <v>2988</v>
      </c>
      <c r="G1346" s="473" t="s">
        <v>3045</v>
      </c>
      <c r="H1346" s="439" t="s">
        <v>1608</v>
      </c>
      <c r="I1346" s="474" t="s">
        <v>3457</v>
      </c>
      <c r="J1346" s="474" t="s">
        <v>3464</v>
      </c>
      <c r="K1346" s="443" t="s">
        <v>1592</v>
      </c>
      <c r="L1346" s="471">
        <v>1</v>
      </c>
      <c r="M1346" s="447" t="s">
        <v>1753</v>
      </c>
      <c r="N1346" s="456">
        <v>4300</v>
      </c>
      <c r="O1346" s="475">
        <f t="shared" si="5"/>
        <v>4300</v>
      </c>
      <c r="P1346" s="476"/>
      <c r="Q1346" s="477">
        <v>46023</v>
      </c>
      <c r="R1346" s="476"/>
      <c r="S1346" s="476"/>
    </row>
    <row r="1347" spans="1:19" ht="15.75" customHeight="1" x14ac:dyDescent="0.25">
      <c r="A1347" s="438">
        <v>1344</v>
      </c>
      <c r="B1347" s="470" t="s">
        <v>17</v>
      </c>
      <c r="C1347" s="471" t="s">
        <v>18</v>
      </c>
      <c r="D1347" s="472" t="s">
        <v>19</v>
      </c>
      <c r="E1347" s="448" t="s">
        <v>4083</v>
      </c>
      <c r="F1347" s="448" t="s">
        <v>2988</v>
      </c>
      <c r="G1347" s="473" t="s">
        <v>3045</v>
      </c>
      <c r="H1347" s="439" t="s">
        <v>1608</v>
      </c>
      <c r="I1347" s="474" t="s">
        <v>3457</v>
      </c>
      <c r="J1347" s="474" t="s">
        <v>3464</v>
      </c>
      <c r="K1347" s="443" t="s">
        <v>1592</v>
      </c>
      <c r="L1347" s="471">
        <v>1</v>
      </c>
      <c r="M1347" s="447" t="s">
        <v>1754</v>
      </c>
      <c r="N1347" s="456">
        <v>4300</v>
      </c>
      <c r="O1347" s="475">
        <f t="shared" si="5"/>
        <v>4300</v>
      </c>
      <c r="P1347" s="476"/>
      <c r="Q1347" s="477">
        <v>46023</v>
      </c>
      <c r="R1347" s="476"/>
      <c r="S1347" s="476"/>
    </row>
    <row r="1348" spans="1:19" ht="15.75" customHeight="1" x14ac:dyDescent="0.25">
      <c r="A1348" s="438">
        <v>1345</v>
      </c>
      <c r="B1348" s="470" t="s">
        <v>17</v>
      </c>
      <c r="C1348" s="471" t="s">
        <v>18</v>
      </c>
      <c r="D1348" s="472" t="s">
        <v>19</v>
      </c>
      <c r="E1348" s="448" t="s">
        <v>4083</v>
      </c>
      <c r="F1348" s="448" t="s">
        <v>2988</v>
      </c>
      <c r="G1348" s="473" t="s">
        <v>3045</v>
      </c>
      <c r="H1348" s="439" t="s">
        <v>1608</v>
      </c>
      <c r="I1348" s="474" t="s">
        <v>3457</v>
      </c>
      <c r="J1348" s="474" t="s">
        <v>3464</v>
      </c>
      <c r="K1348" s="443" t="s">
        <v>1592</v>
      </c>
      <c r="L1348" s="471">
        <v>1</v>
      </c>
      <c r="M1348" s="447" t="s">
        <v>1755</v>
      </c>
      <c r="N1348" s="456">
        <v>4300</v>
      </c>
      <c r="O1348" s="475">
        <f t="shared" si="5"/>
        <v>4300</v>
      </c>
      <c r="P1348" s="476"/>
      <c r="Q1348" s="477">
        <v>46023</v>
      </c>
      <c r="R1348" s="476"/>
      <c r="S1348" s="476"/>
    </row>
    <row r="1349" spans="1:19" ht="15.75" customHeight="1" x14ac:dyDescent="0.25">
      <c r="A1349" s="438">
        <v>1346</v>
      </c>
      <c r="B1349" s="470" t="s">
        <v>17</v>
      </c>
      <c r="C1349" s="471" t="s">
        <v>18</v>
      </c>
      <c r="D1349" s="472" t="s">
        <v>19</v>
      </c>
      <c r="E1349" s="448" t="s">
        <v>4083</v>
      </c>
      <c r="F1349" s="448" t="s">
        <v>2988</v>
      </c>
      <c r="G1349" s="473" t="s">
        <v>3045</v>
      </c>
      <c r="H1349" s="439" t="s">
        <v>1608</v>
      </c>
      <c r="I1349" s="474" t="s">
        <v>3457</v>
      </c>
      <c r="J1349" s="474" t="s">
        <v>3464</v>
      </c>
      <c r="K1349" s="443" t="s">
        <v>1592</v>
      </c>
      <c r="L1349" s="471">
        <v>1</v>
      </c>
      <c r="M1349" s="447" t="s">
        <v>1756</v>
      </c>
      <c r="N1349" s="456">
        <v>4300</v>
      </c>
      <c r="O1349" s="475">
        <f t="shared" si="5"/>
        <v>4300</v>
      </c>
      <c r="P1349" s="476"/>
      <c r="Q1349" s="477">
        <v>46023</v>
      </c>
      <c r="R1349" s="476"/>
      <c r="S1349" s="476"/>
    </row>
    <row r="1350" spans="1:19" ht="15.75" customHeight="1" x14ac:dyDescent="0.25">
      <c r="A1350" s="438">
        <v>1347</v>
      </c>
      <c r="B1350" s="470" t="s">
        <v>17</v>
      </c>
      <c r="C1350" s="471" t="s">
        <v>18</v>
      </c>
      <c r="D1350" s="472" t="s">
        <v>19</v>
      </c>
      <c r="E1350" s="448" t="s">
        <v>4083</v>
      </c>
      <c r="F1350" s="448" t="s">
        <v>2988</v>
      </c>
      <c r="G1350" s="473" t="s">
        <v>3045</v>
      </c>
      <c r="H1350" s="439" t="s">
        <v>1608</v>
      </c>
      <c r="I1350" s="474" t="s">
        <v>3457</v>
      </c>
      <c r="J1350" s="474" t="s">
        <v>3464</v>
      </c>
      <c r="K1350" s="443" t="s">
        <v>1592</v>
      </c>
      <c r="L1350" s="471">
        <v>1</v>
      </c>
      <c r="M1350" s="447" t="s">
        <v>1757</v>
      </c>
      <c r="N1350" s="456">
        <v>4300</v>
      </c>
      <c r="O1350" s="475">
        <f t="shared" si="5"/>
        <v>4300</v>
      </c>
      <c r="P1350" s="476"/>
      <c r="Q1350" s="477">
        <v>46023</v>
      </c>
      <c r="R1350" s="476"/>
      <c r="S1350" s="476"/>
    </row>
    <row r="1351" spans="1:19" ht="15.75" customHeight="1" x14ac:dyDescent="0.25">
      <c r="A1351" s="438">
        <v>1348</v>
      </c>
      <c r="B1351" s="470" t="s">
        <v>17</v>
      </c>
      <c r="C1351" s="471" t="s">
        <v>18</v>
      </c>
      <c r="D1351" s="472" t="s">
        <v>19</v>
      </c>
      <c r="E1351" s="448" t="s">
        <v>4083</v>
      </c>
      <c r="F1351" s="448" t="s">
        <v>2988</v>
      </c>
      <c r="G1351" s="473" t="s">
        <v>3045</v>
      </c>
      <c r="H1351" s="439" t="s">
        <v>1608</v>
      </c>
      <c r="I1351" s="474" t="s">
        <v>3457</v>
      </c>
      <c r="J1351" s="474" t="s">
        <v>3464</v>
      </c>
      <c r="K1351" s="443" t="s">
        <v>1592</v>
      </c>
      <c r="L1351" s="471">
        <v>1</v>
      </c>
      <c r="M1351" s="447" t="s">
        <v>1758</v>
      </c>
      <c r="N1351" s="456">
        <v>4300</v>
      </c>
      <c r="O1351" s="475">
        <f t="shared" si="5"/>
        <v>4300</v>
      </c>
      <c r="P1351" s="476"/>
      <c r="Q1351" s="477">
        <v>46023</v>
      </c>
      <c r="R1351" s="476"/>
      <c r="S1351" s="476"/>
    </row>
    <row r="1352" spans="1:19" ht="15.75" customHeight="1" x14ac:dyDescent="0.25">
      <c r="A1352" s="438">
        <v>1349</v>
      </c>
      <c r="B1352" s="470" t="s">
        <v>17</v>
      </c>
      <c r="C1352" s="471" t="s">
        <v>18</v>
      </c>
      <c r="D1352" s="472" t="s">
        <v>19</v>
      </c>
      <c r="E1352" s="448" t="s">
        <v>4083</v>
      </c>
      <c r="F1352" s="448" t="s">
        <v>2988</v>
      </c>
      <c r="G1352" s="473" t="s">
        <v>3045</v>
      </c>
      <c r="H1352" s="439" t="s">
        <v>1608</v>
      </c>
      <c r="I1352" s="474" t="s">
        <v>3457</v>
      </c>
      <c r="J1352" s="474" t="s">
        <v>3464</v>
      </c>
      <c r="K1352" s="443" t="s">
        <v>1592</v>
      </c>
      <c r="L1352" s="471">
        <v>1</v>
      </c>
      <c r="M1352" s="447" t="s">
        <v>1759</v>
      </c>
      <c r="N1352" s="456">
        <v>4300</v>
      </c>
      <c r="O1352" s="475">
        <f t="shared" si="5"/>
        <v>4300</v>
      </c>
      <c r="P1352" s="476"/>
      <c r="Q1352" s="477">
        <v>46023</v>
      </c>
      <c r="R1352" s="476"/>
      <c r="S1352" s="476"/>
    </row>
    <row r="1353" spans="1:19" ht="15.75" customHeight="1" x14ac:dyDescent="0.25">
      <c r="A1353" s="438">
        <v>1350</v>
      </c>
      <c r="B1353" s="470" t="s">
        <v>17</v>
      </c>
      <c r="C1353" s="471" t="s">
        <v>18</v>
      </c>
      <c r="D1353" s="472" t="s">
        <v>19</v>
      </c>
      <c r="E1353" s="448" t="s">
        <v>4083</v>
      </c>
      <c r="F1353" s="448" t="s">
        <v>2988</v>
      </c>
      <c r="G1353" s="473" t="s">
        <v>3045</v>
      </c>
      <c r="H1353" s="439" t="s">
        <v>1608</v>
      </c>
      <c r="I1353" s="474" t="s">
        <v>3457</v>
      </c>
      <c r="J1353" s="474" t="s">
        <v>3464</v>
      </c>
      <c r="K1353" s="443" t="s">
        <v>1592</v>
      </c>
      <c r="L1353" s="471">
        <v>1</v>
      </c>
      <c r="M1353" s="447" t="s">
        <v>1760</v>
      </c>
      <c r="N1353" s="456">
        <v>4300</v>
      </c>
      <c r="O1353" s="475">
        <f t="shared" si="5"/>
        <v>4300</v>
      </c>
      <c r="P1353" s="476"/>
      <c r="Q1353" s="477">
        <v>46023</v>
      </c>
      <c r="R1353" s="476"/>
      <c r="S1353" s="476"/>
    </row>
    <row r="1354" spans="1:19" ht="15.75" customHeight="1" x14ac:dyDescent="0.25">
      <c r="A1354" s="438">
        <v>1351</v>
      </c>
      <c r="B1354" s="470" t="s">
        <v>17</v>
      </c>
      <c r="C1354" s="471" t="s">
        <v>18</v>
      </c>
      <c r="D1354" s="472" t="s">
        <v>19</v>
      </c>
      <c r="E1354" s="448" t="s">
        <v>4083</v>
      </c>
      <c r="F1354" s="448" t="s">
        <v>2988</v>
      </c>
      <c r="G1354" s="473" t="s">
        <v>3045</v>
      </c>
      <c r="H1354" s="439" t="s">
        <v>1608</v>
      </c>
      <c r="I1354" s="474" t="s">
        <v>3457</v>
      </c>
      <c r="J1354" s="474" t="s">
        <v>3464</v>
      </c>
      <c r="K1354" s="443" t="s">
        <v>1592</v>
      </c>
      <c r="L1354" s="471">
        <v>1</v>
      </c>
      <c r="M1354" s="447" t="s">
        <v>1761</v>
      </c>
      <c r="N1354" s="456">
        <v>4300</v>
      </c>
      <c r="O1354" s="475">
        <f t="shared" si="5"/>
        <v>4300</v>
      </c>
      <c r="P1354" s="476"/>
      <c r="Q1354" s="477">
        <v>46023</v>
      </c>
      <c r="R1354" s="476"/>
      <c r="S1354" s="476"/>
    </row>
    <row r="1355" spans="1:19" ht="15.75" customHeight="1" x14ac:dyDescent="0.25">
      <c r="A1355" s="438">
        <v>1352</v>
      </c>
      <c r="B1355" s="470" t="s">
        <v>17</v>
      </c>
      <c r="C1355" s="471" t="s">
        <v>18</v>
      </c>
      <c r="D1355" s="472" t="s">
        <v>19</v>
      </c>
      <c r="E1355" s="448" t="s">
        <v>4083</v>
      </c>
      <c r="F1355" s="448" t="s">
        <v>2988</v>
      </c>
      <c r="G1355" s="473" t="s">
        <v>3045</v>
      </c>
      <c r="H1355" s="439" t="s">
        <v>1608</v>
      </c>
      <c r="I1355" s="474" t="s">
        <v>3457</v>
      </c>
      <c r="J1355" s="474" t="s">
        <v>3464</v>
      </c>
      <c r="K1355" s="443" t="s">
        <v>1592</v>
      </c>
      <c r="L1355" s="471">
        <v>1</v>
      </c>
      <c r="M1355" s="447" t="s">
        <v>1762</v>
      </c>
      <c r="N1355" s="456">
        <v>4300</v>
      </c>
      <c r="O1355" s="475">
        <f t="shared" si="5"/>
        <v>4300</v>
      </c>
      <c r="P1355" s="476"/>
      <c r="Q1355" s="477">
        <v>46023</v>
      </c>
      <c r="R1355" s="476"/>
      <c r="S1355" s="476"/>
    </row>
    <row r="1356" spans="1:19" ht="15.75" customHeight="1" x14ac:dyDescent="0.25">
      <c r="A1356" s="438">
        <v>1353</v>
      </c>
      <c r="B1356" s="470" t="s">
        <v>17</v>
      </c>
      <c r="C1356" s="471" t="s">
        <v>18</v>
      </c>
      <c r="D1356" s="472" t="s">
        <v>19</v>
      </c>
      <c r="E1356" s="465" t="s">
        <v>4083</v>
      </c>
      <c r="F1356" s="448" t="s">
        <v>2988</v>
      </c>
      <c r="G1356" s="473" t="s">
        <v>3045</v>
      </c>
      <c r="H1356" s="439" t="s">
        <v>1608</v>
      </c>
      <c r="I1356" s="474" t="s">
        <v>3457</v>
      </c>
      <c r="J1356" s="474" t="s">
        <v>3464</v>
      </c>
      <c r="K1356" s="443" t="s">
        <v>1592</v>
      </c>
      <c r="L1356" s="471">
        <v>1</v>
      </c>
      <c r="M1356" s="447" t="s">
        <v>1763</v>
      </c>
      <c r="N1356" s="456">
        <v>4300</v>
      </c>
      <c r="O1356" s="475">
        <f t="shared" si="5"/>
        <v>4300</v>
      </c>
      <c r="P1356" s="476"/>
      <c r="Q1356" s="477">
        <v>46023</v>
      </c>
      <c r="R1356" s="476"/>
      <c r="S1356" s="476"/>
    </row>
    <row r="1357" spans="1:19" ht="15.75" customHeight="1" x14ac:dyDescent="0.25">
      <c r="A1357" s="438">
        <v>1354</v>
      </c>
      <c r="B1357" s="470" t="s">
        <v>17</v>
      </c>
      <c r="C1357" s="471" t="s">
        <v>18</v>
      </c>
      <c r="D1357" s="472" t="s">
        <v>19</v>
      </c>
      <c r="E1357" s="465" t="s">
        <v>4083</v>
      </c>
      <c r="F1357" s="448" t="s">
        <v>2988</v>
      </c>
      <c r="G1357" s="473" t="s">
        <v>3045</v>
      </c>
      <c r="H1357" s="439" t="s">
        <v>1608</v>
      </c>
      <c r="I1357" s="474" t="s">
        <v>3457</v>
      </c>
      <c r="J1357" s="474" t="s">
        <v>3464</v>
      </c>
      <c r="K1357" s="443" t="s">
        <v>1592</v>
      </c>
      <c r="L1357" s="471">
        <v>1</v>
      </c>
      <c r="M1357" s="447" t="s">
        <v>1764</v>
      </c>
      <c r="N1357" s="456">
        <v>4300</v>
      </c>
      <c r="O1357" s="475">
        <f t="shared" si="5"/>
        <v>4300</v>
      </c>
      <c r="P1357" s="476"/>
      <c r="Q1357" s="477">
        <v>46023</v>
      </c>
      <c r="R1357" s="476"/>
      <c r="S1357" s="476"/>
    </row>
    <row r="1358" spans="1:19" ht="15.75" customHeight="1" x14ac:dyDescent="0.25">
      <c r="A1358" s="438">
        <v>1355</v>
      </c>
      <c r="B1358" s="470" t="s">
        <v>17</v>
      </c>
      <c r="C1358" s="471" t="s">
        <v>18</v>
      </c>
      <c r="D1358" s="472" t="s">
        <v>19</v>
      </c>
      <c r="E1358" s="465" t="s">
        <v>4083</v>
      </c>
      <c r="F1358" s="448" t="s">
        <v>2988</v>
      </c>
      <c r="G1358" s="473" t="s">
        <v>3045</v>
      </c>
      <c r="H1358" s="439" t="s">
        <v>1608</v>
      </c>
      <c r="I1358" s="474" t="s">
        <v>3457</v>
      </c>
      <c r="J1358" s="474" t="s">
        <v>3464</v>
      </c>
      <c r="K1358" s="443" t="s">
        <v>1592</v>
      </c>
      <c r="L1358" s="471">
        <v>1</v>
      </c>
      <c r="M1358" s="447" t="s">
        <v>1765</v>
      </c>
      <c r="N1358" s="456">
        <v>4300</v>
      </c>
      <c r="O1358" s="475">
        <f t="shared" si="5"/>
        <v>4300</v>
      </c>
      <c r="P1358" s="476"/>
      <c r="Q1358" s="477">
        <v>46023</v>
      </c>
      <c r="R1358" s="476"/>
      <c r="S1358" s="476"/>
    </row>
    <row r="1359" spans="1:19" ht="15.75" customHeight="1" x14ac:dyDescent="0.25">
      <c r="A1359" s="438">
        <v>1356</v>
      </c>
      <c r="B1359" s="470" t="s">
        <v>17</v>
      </c>
      <c r="C1359" s="471" t="s">
        <v>18</v>
      </c>
      <c r="D1359" s="472" t="s">
        <v>19</v>
      </c>
      <c r="E1359" s="465" t="s">
        <v>4083</v>
      </c>
      <c r="F1359" s="448" t="s">
        <v>2988</v>
      </c>
      <c r="G1359" s="473" t="s">
        <v>3045</v>
      </c>
      <c r="H1359" s="439" t="s">
        <v>1608</v>
      </c>
      <c r="I1359" s="474" t="s">
        <v>3457</v>
      </c>
      <c r="J1359" s="474" t="s">
        <v>3464</v>
      </c>
      <c r="K1359" s="443" t="s">
        <v>1592</v>
      </c>
      <c r="L1359" s="471">
        <v>1</v>
      </c>
      <c r="M1359" s="447" t="s">
        <v>1766</v>
      </c>
      <c r="N1359" s="456">
        <v>4300</v>
      </c>
      <c r="O1359" s="475">
        <f t="shared" si="5"/>
        <v>4300</v>
      </c>
      <c r="P1359" s="476"/>
      <c r="Q1359" s="477">
        <v>46023</v>
      </c>
      <c r="R1359" s="476"/>
      <c r="S1359" s="476"/>
    </row>
    <row r="1360" spans="1:19" ht="15.75" customHeight="1" x14ac:dyDescent="0.25">
      <c r="A1360" s="438">
        <v>1357</v>
      </c>
      <c r="B1360" s="470" t="s">
        <v>17</v>
      </c>
      <c r="C1360" s="471" t="s">
        <v>18</v>
      </c>
      <c r="D1360" s="472" t="s">
        <v>19</v>
      </c>
      <c r="E1360" s="465" t="s">
        <v>4083</v>
      </c>
      <c r="F1360" s="448" t="s">
        <v>2988</v>
      </c>
      <c r="G1360" s="473" t="s">
        <v>3045</v>
      </c>
      <c r="H1360" s="439" t="s">
        <v>1608</v>
      </c>
      <c r="I1360" s="474" t="s">
        <v>3457</v>
      </c>
      <c r="J1360" s="474" t="s">
        <v>3464</v>
      </c>
      <c r="K1360" s="443" t="s">
        <v>1592</v>
      </c>
      <c r="L1360" s="471">
        <v>1</v>
      </c>
      <c r="M1360" s="447" t="s">
        <v>1767</v>
      </c>
      <c r="N1360" s="456">
        <v>4300</v>
      </c>
      <c r="O1360" s="475">
        <f t="shared" si="5"/>
        <v>4300</v>
      </c>
      <c r="P1360" s="476"/>
      <c r="Q1360" s="477">
        <v>46023</v>
      </c>
      <c r="R1360" s="476"/>
      <c r="S1360" s="476"/>
    </row>
    <row r="1361" spans="1:19" ht="15.75" customHeight="1" x14ac:dyDescent="0.25">
      <c r="A1361" s="438">
        <v>1358</v>
      </c>
      <c r="B1361" s="470" t="s">
        <v>17</v>
      </c>
      <c r="C1361" s="471" t="s">
        <v>18</v>
      </c>
      <c r="D1361" s="472" t="s">
        <v>19</v>
      </c>
      <c r="E1361" s="465" t="s">
        <v>4083</v>
      </c>
      <c r="F1361" s="448" t="s">
        <v>2988</v>
      </c>
      <c r="G1361" s="473" t="s">
        <v>3045</v>
      </c>
      <c r="H1361" s="439" t="s">
        <v>1608</v>
      </c>
      <c r="I1361" s="474" t="s">
        <v>3457</v>
      </c>
      <c r="J1361" s="474" t="s">
        <v>3464</v>
      </c>
      <c r="K1361" s="443" t="s">
        <v>1592</v>
      </c>
      <c r="L1361" s="471">
        <v>1</v>
      </c>
      <c r="M1361" s="447" t="s">
        <v>1768</v>
      </c>
      <c r="N1361" s="456">
        <v>4300</v>
      </c>
      <c r="O1361" s="475">
        <f t="shared" si="5"/>
        <v>4300</v>
      </c>
      <c r="P1361" s="476"/>
      <c r="Q1361" s="477">
        <v>46023</v>
      </c>
      <c r="R1361" s="476"/>
      <c r="S1361" s="476"/>
    </row>
    <row r="1362" spans="1:19" ht="15.75" customHeight="1" x14ac:dyDescent="0.25">
      <c r="A1362" s="438">
        <v>1359</v>
      </c>
      <c r="B1362" s="470" t="s">
        <v>17</v>
      </c>
      <c r="C1362" s="471" t="s">
        <v>18</v>
      </c>
      <c r="D1362" s="472" t="s">
        <v>19</v>
      </c>
      <c r="E1362" s="465" t="s">
        <v>4083</v>
      </c>
      <c r="F1362" s="448" t="s">
        <v>2988</v>
      </c>
      <c r="G1362" s="473" t="s">
        <v>3045</v>
      </c>
      <c r="H1362" s="439" t="s">
        <v>1608</v>
      </c>
      <c r="I1362" s="474" t="s">
        <v>3457</v>
      </c>
      <c r="J1362" s="474" t="s">
        <v>3464</v>
      </c>
      <c r="K1362" s="443" t="s">
        <v>1592</v>
      </c>
      <c r="L1362" s="471">
        <v>1</v>
      </c>
      <c r="M1362" s="447" t="s">
        <v>1769</v>
      </c>
      <c r="N1362" s="456">
        <v>4300</v>
      </c>
      <c r="O1362" s="475">
        <f t="shared" si="5"/>
        <v>4300</v>
      </c>
      <c r="P1362" s="476"/>
      <c r="Q1362" s="477">
        <v>46023</v>
      </c>
      <c r="R1362" s="476"/>
      <c r="S1362" s="476"/>
    </row>
    <row r="1363" spans="1:19" ht="15.75" customHeight="1" x14ac:dyDescent="0.25">
      <c r="A1363" s="438">
        <v>1360</v>
      </c>
      <c r="B1363" s="470" t="s">
        <v>17</v>
      </c>
      <c r="C1363" s="471" t="s">
        <v>18</v>
      </c>
      <c r="D1363" s="472" t="s">
        <v>19</v>
      </c>
      <c r="E1363" s="465" t="s">
        <v>4083</v>
      </c>
      <c r="F1363" s="448" t="s">
        <v>2988</v>
      </c>
      <c r="G1363" s="473" t="s">
        <v>3045</v>
      </c>
      <c r="H1363" s="439" t="s">
        <v>1608</v>
      </c>
      <c r="I1363" s="474" t="s">
        <v>3457</v>
      </c>
      <c r="J1363" s="474" t="s">
        <v>3464</v>
      </c>
      <c r="K1363" s="443" t="s">
        <v>1592</v>
      </c>
      <c r="L1363" s="471">
        <v>1</v>
      </c>
      <c r="M1363" s="447" t="s">
        <v>1770</v>
      </c>
      <c r="N1363" s="456">
        <v>4300</v>
      </c>
      <c r="O1363" s="475">
        <f t="shared" si="5"/>
        <v>4300</v>
      </c>
      <c r="P1363" s="476"/>
      <c r="Q1363" s="477">
        <v>46023</v>
      </c>
      <c r="R1363" s="476"/>
      <c r="S1363" s="476"/>
    </row>
    <row r="1364" spans="1:19" ht="15.75" customHeight="1" x14ac:dyDescent="0.25">
      <c r="A1364" s="438">
        <v>1361</v>
      </c>
      <c r="B1364" s="470" t="s">
        <v>17</v>
      </c>
      <c r="C1364" s="471" t="s">
        <v>18</v>
      </c>
      <c r="D1364" s="472" t="s">
        <v>19</v>
      </c>
      <c r="E1364" s="465" t="s">
        <v>4083</v>
      </c>
      <c r="F1364" s="448" t="s">
        <v>2988</v>
      </c>
      <c r="G1364" s="473" t="s">
        <v>3045</v>
      </c>
      <c r="H1364" s="439" t="s">
        <v>1608</v>
      </c>
      <c r="I1364" s="474" t="s">
        <v>3457</v>
      </c>
      <c r="J1364" s="474" t="s">
        <v>3464</v>
      </c>
      <c r="K1364" s="443" t="s">
        <v>1592</v>
      </c>
      <c r="L1364" s="471">
        <v>1</v>
      </c>
      <c r="M1364" s="447" t="s">
        <v>1771</v>
      </c>
      <c r="N1364" s="456">
        <v>4300</v>
      </c>
      <c r="O1364" s="475">
        <f t="shared" si="5"/>
        <v>4300</v>
      </c>
      <c r="P1364" s="476"/>
      <c r="Q1364" s="477">
        <v>46023</v>
      </c>
      <c r="R1364" s="476"/>
      <c r="S1364" s="476"/>
    </row>
    <row r="1365" spans="1:19" ht="15.75" customHeight="1" x14ac:dyDescent="0.25">
      <c r="A1365" s="438">
        <v>1362</v>
      </c>
      <c r="B1365" s="470" t="s">
        <v>17</v>
      </c>
      <c r="C1365" s="471" t="s">
        <v>18</v>
      </c>
      <c r="D1365" s="472" t="s">
        <v>19</v>
      </c>
      <c r="E1365" s="465" t="s">
        <v>4083</v>
      </c>
      <c r="F1365" s="448" t="s">
        <v>2988</v>
      </c>
      <c r="G1365" s="473" t="s">
        <v>3045</v>
      </c>
      <c r="H1365" s="439" t="s">
        <v>1608</v>
      </c>
      <c r="I1365" s="474" t="s">
        <v>3457</v>
      </c>
      <c r="J1365" s="474" t="s">
        <v>3464</v>
      </c>
      <c r="K1365" s="443" t="s">
        <v>1592</v>
      </c>
      <c r="L1365" s="471">
        <v>1</v>
      </c>
      <c r="M1365" s="447" t="s">
        <v>1772</v>
      </c>
      <c r="N1365" s="456">
        <v>4300</v>
      </c>
      <c r="O1365" s="475">
        <f t="shared" si="5"/>
        <v>4300</v>
      </c>
      <c r="P1365" s="476"/>
      <c r="Q1365" s="477">
        <v>46023</v>
      </c>
      <c r="R1365" s="476"/>
      <c r="S1365" s="476"/>
    </row>
    <row r="1366" spans="1:19" ht="15.75" customHeight="1" x14ac:dyDescent="0.25">
      <c r="A1366" s="438">
        <v>1363</v>
      </c>
      <c r="B1366" s="470" t="s">
        <v>17</v>
      </c>
      <c r="C1366" s="471" t="s">
        <v>18</v>
      </c>
      <c r="D1366" s="472" t="s">
        <v>19</v>
      </c>
      <c r="E1366" s="465" t="s">
        <v>4083</v>
      </c>
      <c r="F1366" s="448" t="s">
        <v>2988</v>
      </c>
      <c r="G1366" s="473" t="s">
        <v>3045</v>
      </c>
      <c r="H1366" s="439" t="s">
        <v>1608</v>
      </c>
      <c r="I1366" s="474" t="s">
        <v>3457</v>
      </c>
      <c r="J1366" s="474" t="s">
        <v>3464</v>
      </c>
      <c r="K1366" s="443" t="s">
        <v>1592</v>
      </c>
      <c r="L1366" s="471">
        <v>1</v>
      </c>
      <c r="M1366" s="447" t="s">
        <v>1773</v>
      </c>
      <c r="N1366" s="456">
        <v>4300</v>
      </c>
      <c r="O1366" s="475">
        <f t="shared" si="5"/>
        <v>4300</v>
      </c>
      <c r="P1366" s="476"/>
      <c r="Q1366" s="477">
        <v>46023</v>
      </c>
      <c r="R1366" s="476"/>
      <c r="S1366" s="476"/>
    </row>
    <row r="1367" spans="1:19" ht="15.75" customHeight="1" x14ac:dyDescent="0.25">
      <c r="A1367" s="438">
        <v>1364</v>
      </c>
      <c r="B1367" s="470" t="s">
        <v>17</v>
      </c>
      <c r="C1367" s="471" t="s">
        <v>18</v>
      </c>
      <c r="D1367" s="472" t="s">
        <v>19</v>
      </c>
      <c r="E1367" s="465" t="s">
        <v>4083</v>
      </c>
      <c r="F1367" s="448" t="s">
        <v>2988</v>
      </c>
      <c r="G1367" s="473" t="s">
        <v>3045</v>
      </c>
      <c r="H1367" s="439" t="s">
        <v>1608</v>
      </c>
      <c r="I1367" s="474" t="s">
        <v>3457</v>
      </c>
      <c r="J1367" s="474" t="s">
        <v>3464</v>
      </c>
      <c r="K1367" s="443" t="s">
        <v>1592</v>
      </c>
      <c r="L1367" s="471">
        <v>1</v>
      </c>
      <c r="M1367" s="447" t="s">
        <v>1774</v>
      </c>
      <c r="N1367" s="456">
        <v>4300</v>
      </c>
      <c r="O1367" s="475">
        <f t="shared" si="5"/>
        <v>4300</v>
      </c>
      <c r="P1367" s="476"/>
      <c r="Q1367" s="477">
        <v>46023</v>
      </c>
      <c r="R1367" s="476"/>
      <c r="S1367" s="476"/>
    </row>
    <row r="1368" spans="1:19" ht="15.75" customHeight="1" x14ac:dyDescent="0.25">
      <c r="A1368" s="438">
        <v>1365</v>
      </c>
      <c r="B1368" s="470" t="s">
        <v>17</v>
      </c>
      <c r="C1368" s="471" t="s">
        <v>18</v>
      </c>
      <c r="D1368" s="472" t="s">
        <v>19</v>
      </c>
      <c r="E1368" s="465" t="s">
        <v>4083</v>
      </c>
      <c r="F1368" s="448" t="s">
        <v>2988</v>
      </c>
      <c r="G1368" s="473" t="s">
        <v>3045</v>
      </c>
      <c r="H1368" s="439" t="s">
        <v>1608</v>
      </c>
      <c r="I1368" s="474" t="s">
        <v>3457</v>
      </c>
      <c r="J1368" s="474" t="s">
        <v>3464</v>
      </c>
      <c r="K1368" s="443" t="s">
        <v>1592</v>
      </c>
      <c r="L1368" s="471">
        <v>1</v>
      </c>
      <c r="M1368" s="447" t="s">
        <v>1775</v>
      </c>
      <c r="N1368" s="456">
        <v>4300</v>
      </c>
      <c r="O1368" s="475">
        <f t="shared" si="5"/>
        <v>4300</v>
      </c>
      <c r="P1368" s="476"/>
      <c r="Q1368" s="477">
        <v>46023</v>
      </c>
      <c r="R1368" s="476"/>
      <c r="S1368" s="476"/>
    </row>
    <row r="1369" spans="1:19" ht="15.75" customHeight="1" x14ac:dyDescent="0.25">
      <c r="A1369" s="438">
        <v>1366</v>
      </c>
      <c r="B1369" s="470" t="s">
        <v>17</v>
      </c>
      <c r="C1369" s="471" t="s">
        <v>18</v>
      </c>
      <c r="D1369" s="472" t="s">
        <v>19</v>
      </c>
      <c r="E1369" s="465" t="s">
        <v>4088</v>
      </c>
      <c r="F1369" s="448" t="s">
        <v>4101</v>
      </c>
      <c r="G1369" s="473" t="s">
        <v>3045</v>
      </c>
      <c r="H1369" s="439" t="s">
        <v>1608</v>
      </c>
      <c r="I1369" s="474" t="s">
        <v>3457</v>
      </c>
      <c r="J1369" s="474" t="s">
        <v>3464</v>
      </c>
      <c r="K1369" s="443" t="s">
        <v>1592</v>
      </c>
      <c r="L1369" s="471">
        <v>1</v>
      </c>
      <c r="M1369" s="447" t="s">
        <v>1776</v>
      </c>
      <c r="N1369" s="456">
        <v>4300</v>
      </c>
      <c r="O1369" s="475">
        <f t="shared" si="5"/>
        <v>4300</v>
      </c>
      <c r="P1369" s="476"/>
      <c r="Q1369" s="477">
        <v>46023</v>
      </c>
      <c r="R1369" s="476"/>
      <c r="S1369" s="476"/>
    </row>
    <row r="1370" spans="1:19" ht="15.75" customHeight="1" x14ac:dyDescent="0.25">
      <c r="A1370" s="438">
        <v>1367</v>
      </c>
      <c r="B1370" s="470" t="s">
        <v>17</v>
      </c>
      <c r="C1370" s="471" t="s">
        <v>18</v>
      </c>
      <c r="D1370" s="472" t="s">
        <v>19</v>
      </c>
      <c r="E1370" s="465" t="s">
        <v>4088</v>
      </c>
      <c r="F1370" s="448" t="s">
        <v>4101</v>
      </c>
      <c r="G1370" s="473" t="s">
        <v>3045</v>
      </c>
      <c r="H1370" s="439" t="s">
        <v>1608</v>
      </c>
      <c r="I1370" s="474" t="s">
        <v>3457</v>
      </c>
      <c r="J1370" s="474" t="s">
        <v>3464</v>
      </c>
      <c r="K1370" s="443" t="s">
        <v>1592</v>
      </c>
      <c r="L1370" s="471">
        <v>1</v>
      </c>
      <c r="M1370" s="447" t="s">
        <v>1777</v>
      </c>
      <c r="N1370" s="456">
        <v>4300</v>
      </c>
      <c r="O1370" s="475">
        <f t="shared" si="5"/>
        <v>4300</v>
      </c>
      <c r="P1370" s="476"/>
      <c r="Q1370" s="477">
        <v>46023</v>
      </c>
      <c r="R1370" s="476"/>
      <c r="S1370" s="476"/>
    </row>
    <row r="1371" spans="1:19" ht="15.75" customHeight="1" x14ac:dyDescent="0.25">
      <c r="A1371" s="438">
        <v>1368</v>
      </c>
      <c r="B1371" s="470" t="s">
        <v>17</v>
      </c>
      <c r="C1371" s="471" t="s">
        <v>18</v>
      </c>
      <c r="D1371" s="472" t="s">
        <v>19</v>
      </c>
      <c r="E1371" s="465" t="s">
        <v>4083</v>
      </c>
      <c r="F1371" s="448" t="s">
        <v>2988</v>
      </c>
      <c r="G1371" s="473" t="s">
        <v>3045</v>
      </c>
      <c r="H1371" s="439" t="s">
        <v>1608</v>
      </c>
      <c r="I1371" s="474" t="s">
        <v>3457</v>
      </c>
      <c r="J1371" s="474" t="s">
        <v>3464</v>
      </c>
      <c r="K1371" s="443" t="s">
        <v>1592</v>
      </c>
      <c r="L1371" s="471">
        <v>1</v>
      </c>
      <c r="M1371" s="447" t="s">
        <v>1778</v>
      </c>
      <c r="N1371" s="456">
        <v>4300</v>
      </c>
      <c r="O1371" s="475">
        <f t="shared" si="5"/>
        <v>4300</v>
      </c>
      <c r="P1371" s="476"/>
      <c r="Q1371" s="477">
        <v>46023</v>
      </c>
      <c r="R1371" s="476"/>
      <c r="S1371" s="476"/>
    </row>
    <row r="1372" spans="1:19" ht="15.75" customHeight="1" x14ac:dyDescent="0.25">
      <c r="A1372" s="438">
        <v>1369</v>
      </c>
      <c r="B1372" s="470" t="s">
        <v>17</v>
      </c>
      <c r="C1372" s="471" t="s">
        <v>18</v>
      </c>
      <c r="D1372" s="472" t="s">
        <v>19</v>
      </c>
      <c r="E1372" s="465" t="s">
        <v>4085</v>
      </c>
      <c r="F1372" s="448" t="s">
        <v>2982</v>
      </c>
      <c r="G1372" s="473" t="s">
        <v>2782</v>
      </c>
      <c r="H1372" s="439" t="s">
        <v>1779</v>
      </c>
      <c r="I1372" s="474" t="s">
        <v>3457</v>
      </c>
      <c r="J1372" s="474" t="s">
        <v>3464</v>
      </c>
      <c r="K1372" s="443" t="s">
        <v>1780</v>
      </c>
      <c r="L1372" s="471">
        <v>1</v>
      </c>
      <c r="M1372" s="447" t="s">
        <v>1781</v>
      </c>
      <c r="N1372" s="456">
        <v>5489</v>
      </c>
      <c r="O1372" s="475">
        <f t="shared" si="5"/>
        <v>5489</v>
      </c>
      <c r="P1372" s="476"/>
      <c r="Q1372" s="477">
        <v>46023</v>
      </c>
      <c r="R1372" s="476"/>
      <c r="S1372" s="476"/>
    </row>
    <row r="1373" spans="1:19" ht="15.75" customHeight="1" x14ac:dyDescent="0.25">
      <c r="A1373" s="438">
        <v>1370</v>
      </c>
      <c r="B1373" s="470" t="s">
        <v>17</v>
      </c>
      <c r="C1373" s="471" t="s">
        <v>18</v>
      </c>
      <c r="D1373" s="472" t="s">
        <v>19</v>
      </c>
      <c r="E1373" s="465" t="s">
        <v>4085</v>
      </c>
      <c r="F1373" s="448" t="s">
        <v>2982</v>
      </c>
      <c r="G1373" s="473" t="s">
        <v>2782</v>
      </c>
      <c r="H1373" s="439" t="s">
        <v>1779</v>
      </c>
      <c r="I1373" s="474" t="s">
        <v>3457</v>
      </c>
      <c r="J1373" s="474" t="s">
        <v>3464</v>
      </c>
      <c r="K1373" s="443" t="s">
        <v>1780</v>
      </c>
      <c r="L1373" s="471">
        <v>1</v>
      </c>
      <c r="M1373" s="447" t="s">
        <v>1782</v>
      </c>
      <c r="N1373" s="456">
        <v>5489</v>
      </c>
      <c r="O1373" s="475">
        <f t="shared" si="5"/>
        <v>5489</v>
      </c>
      <c r="P1373" s="476"/>
      <c r="Q1373" s="477">
        <v>46023</v>
      </c>
      <c r="R1373" s="476"/>
      <c r="S1373" s="476"/>
    </row>
    <row r="1374" spans="1:19" ht="15.75" customHeight="1" x14ac:dyDescent="0.25">
      <c r="A1374" s="438">
        <v>1371</v>
      </c>
      <c r="B1374" s="470" t="s">
        <v>17</v>
      </c>
      <c r="C1374" s="471" t="s">
        <v>18</v>
      </c>
      <c r="D1374" s="472" t="s">
        <v>19</v>
      </c>
      <c r="E1374" s="465" t="s">
        <v>4085</v>
      </c>
      <c r="F1374" s="448" t="s">
        <v>2982</v>
      </c>
      <c r="G1374" s="473" t="s">
        <v>2782</v>
      </c>
      <c r="H1374" s="439" t="s">
        <v>1779</v>
      </c>
      <c r="I1374" s="474" t="s">
        <v>3457</v>
      </c>
      <c r="J1374" s="474" t="s">
        <v>3464</v>
      </c>
      <c r="K1374" s="443" t="s">
        <v>1780</v>
      </c>
      <c r="L1374" s="471">
        <v>1</v>
      </c>
      <c r="M1374" s="447" t="s">
        <v>1783</v>
      </c>
      <c r="N1374" s="456">
        <v>5489</v>
      </c>
      <c r="O1374" s="475">
        <f t="shared" si="5"/>
        <v>5489</v>
      </c>
      <c r="P1374" s="476"/>
      <c r="Q1374" s="477">
        <v>46023</v>
      </c>
      <c r="R1374" s="476"/>
      <c r="S1374" s="476"/>
    </row>
    <row r="1375" spans="1:19" ht="15.75" customHeight="1" x14ac:dyDescent="0.25">
      <c r="A1375" s="438">
        <v>1372</v>
      </c>
      <c r="B1375" s="470" t="s">
        <v>17</v>
      </c>
      <c r="C1375" s="471" t="s">
        <v>18</v>
      </c>
      <c r="D1375" s="472" t="s">
        <v>19</v>
      </c>
      <c r="E1375" s="465" t="s">
        <v>4085</v>
      </c>
      <c r="F1375" s="448" t="s">
        <v>2982</v>
      </c>
      <c r="G1375" s="473" t="s">
        <v>2782</v>
      </c>
      <c r="H1375" s="439" t="s">
        <v>1779</v>
      </c>
      <c r="I1375" s="474" t="s">
        <v>3457</v>
      </c>
      <c r="J1375" s="474" t="s">
        <v>3464</v>
      </c>
      <c r="K1375" s="443" t="s">
        <v>1780</v>
      </c>
      <c r="L1375" s="471">
        <v>1</v>
      </c>
      <c r="M1375" s="447" t="s">
        <v>1784</v>
      </c>
      <c r="N1375" s="456">
        <v>5489</v>
      </c>
      <c r="O1375" s="475">
        <f t="shared" si="5"/>
        <v>5489</v>
      </c>
      <c r="P1375" s="476"/>
      <c r="Q1375" s="477">
        <v>46023</v>
      </c>
      <c r="R1375" s="476"/>
      <c r="S1375" s="476"/>
    </row>
    <row r="1376" spans="1:19" ht="15.75" customHeight="1" x14ac:dyDescent="0.25">
      <c r="A1376" s="438">
        <v>1373</v>
      </c>
      <c r="B1376" s="470" t="s">
        <v>17</v>
      </c>
      <c r="C1376" s="471" t="s">
        <v>18</v>
      </c>
      <c r="D1376" s="472" t="s">
        <v>19</v>
      </c>
      <c r="E1376" s="465" t="s">
        <v>4080</v>
      </c>
      <c r="F1376" s="448" t="s">
        <v>4080</v>
      </c>
      <c r="G1376" s="473" t="s">
        <v>2782</v>
      </c>
      <c r="H1376" s="439" t="s">
        <v>1785</v>
      </c>
      <c r="I1376" s="474" t="s">
        <v>3457</v>
      </c>
      <c r="J1376" s="474" t="s">
        <v>3464</v>
      </c>
      <c r="K1376" s="443" t="s">
        <v>1780</v>
      </c>
      <c r="L1376" s="471">
        <v>1</v>
      </c>
      <c r="M1376" s="447" t="s">
        <v>1786</v>
      </c>
      <c r="N1376" s="456">
        <v>7245</v>
      </c>
      <c r="O1376" s="475">
        <f t="shared" si="5"/>
        <v>7245</v>
      </c>
      <c r="P1376" s="476"/>
      <c r="Q1376" s="477">
        <v>46023</v>
      </c>
      <c r="R1376" s="476"/>
      <c r="S1376" s="476"/>
    </row>
    <row r="1377" spans="1:19" ht="15.75" customHeight="1" x14ac:dyDescent="0.25">
      <c r="A1377" s="438">
        <v>1374</v>
      </c>
      <c r="B1377" s="470" t="s">
        <v>17</v>
      </c>
      <c r="C1377" s="471" t="s">
        <v>18</v>
      </c>
      <c r="D1377" s="472" t="s">
        <v>19</v>
      </c>
      <c r="E1377" s="465" t="s">
        <v>4080</v>
      </c>
      <c r="F1377" s="448" t="s">
        <v>4080</v>
      </c>
      <c r="G1377" s="473" t="s">
        <v>2782</v>
      </c>
      <c r="H1377" s="439" t="s">
        <v>1785</v>
      </c>
      <c r="I1377" s="474" t="s">
        <v>3457</v>
      </c>
      <c r="J1377" s="474" t="s">
        <v>3464</v>
      </c>
      <c r="K1377" s="443" t="s">
        <v>1780</v>
      </c>
      <c r="L1377" s="471">
        <v>1</v>
      </c>
      <c r="M1377" s="447" t="s">
        <v>1787</v>
      </c>
      <c r="N1377" s="456">
        <v>7245</v>
      </c>
      <c r="O1377" s="475">
        <f t="shared" si="5"/>
        <v>7245</v>
      </c>
      <c r="P1377" s="476"/>
      <c r="Q1377" s="477">
        <v>46023</v>
      </c>
      <c r="R1377" s="476"/>
      <c r="S1377" s="476"/>
    </row>
    <row r="1378" spans="1:19" ht="15.75" customHeight="1" x14ac:dyDescent="0.25">
      <c r="A1378" s="438">
        <v>1375</v>
      </c>
      <c r="B1378" s="470" t="s">
        <v>17</v>
      </c>
      <c r="C1378" s="471" t="s">
        <v>18</v>
      </c>
      <c r="D1378" s="472" t="s">
        <v>19</v>
      </c>
      <c r="E1378" s="465" t="s">
        <v>4080</v>
      </c>
      <c r="F1378" s="448" t="s">
        <v>4080</v>
      </c>
      <c r="G1378" s="473" t="s">
        <v>2782</v>
      </c>
      <c r="H1378" s="439" t="s">
        <v>1785</v>
      </c>
      <c r="I1378" s="474" t="s">
        <v>3457</v>
      </c>
      <c r="J1378" s="474" t="s">
        <v>3464</v>
      </c>
      <c r="K1378" s="443" t="s">
        <v>1780</v>
      </c>
      <c r="L1378" s="471">
        <v>1</v>
      </c>
      <c r="M1378" s="447" t="s">
        <v>1788</v>
      </c>
      <c r="N1378" s="456">
        <v>7245</v>
      </c>
      <c r="O1378" s="475">
        <f t="shared" si="5"/>
        <v>7245</v>
      </c>
      <c r="P1378" s="476"/>
      <c r="Q1378" s="477">
        <v>46023</v>
      </c>
      <c r="R1378" s="476"/>
      <c r="S1378" s="476"/>
    </row>
    <row r="1379" spans="1:19" ht="15.75" customHeight="1" x14ac:dyDescent="0.25">
      <c r="A1379" s="438">
        <v>1376</v>
      </c>
      <c r="B1379" s="470" t="s">
        <v>17</v>
      </c>
      <c r="C1379" s="471" t="s">
        <v>18</v>
      </c>
      <c r="D1379" s="472" t="s">
        <v>19</v>
      </c>
      <c r="E1379" s="465" t="s">
        <v>4080</v>
      </c>
      <c r="F1379" s="448" t="s">
        <v>4080</v>
      </c>
      <c r="G1379" s="473" t="s">
        <v>2782</v>
      </c>
      <c r="H1379" s="439" t="s">
        <v>1785</v>
      </c>
      <c r="I1379" s="474" t="s">
        <v>3457</v>
      </c>
      <c r="J1379" s="474" t="s">
        <v>3464</v>
      </c>
      <c r="K1379" s="443" t="s">
        <v>1780</v>
      </c>
      <c r="L1379" s="471">
        <v>1</v>
      </c>
      <c r="M1379" s="447" t="s">
        <v>1789</v>
      </c>
      <c r="N1379" s="456">
        <v>7245</v>
      </c>
      <c r="O1379" s="475">
        <f t="shared" si="5"/>
        <v>7245</v>
      </c>
      <c r="P1379" s="476"/>
      <c r="Q1379" s="477">
        <v>46023</v>
      </c>
      <c r="R1379" s="476"/>
      <c r="S1379" s="476"/>
    </row>
    <row r="1380" spans="1:19" ht="15.75" customHeight="1" x14ac:dyDescent="0.25">
      <c r="A1380" s="438">
        <v>1377</v>
      </c>
      <c r="B1380" s="470" t="s">
        <v>17</v>
      </c>
      <c r="C1380" s="471" t="s">
        <v>18</v>
      </c>
      <c r="D1380" s="472" t="s">
        <v>19</v>
      </c>
      <c r="E1380" s="465" t="s">
        <v>4085</v>
      </c>
      <c r="F1380" s="448" t="s">
        <v>3026</v>
      </c>
      <c r="G1380" s="473" t="s">
        <v>2782</v>
      </c>
      <c r="H1380" s="439" t="s">
        <v>1785</v>
      </c>
      <c r="I1380" s="474" t="s">
        <v>3457</v>
      </c>
      <c r="J1380" s="474" t="s">
        <v>3464</v>
      </c>
      <c r="K1380" s="443" t="s">
        <v>1780</v>
      </c>
      <c r="L1380" s="471">
        <v>1</v>
      </c>
      <c r="M1380" s="447" t="s">
        <v>1790</v>
      </c>
      <c r="N1380" s="456">
        <v>7245</v>
      </c>
      <c r="O1380" s="475">
        <f t="shared" si="5"/>
        <v>7245</v>
      </c>
      <c r="P1380" s="476"/>
      <c r="Q1380" s="477">
        <v>46023</v>
      </c>
      <c r="R1380" s="476"/>
      <c r="S1380" s="476"/>
    </row>
    <row r="1381" spans="1:19" ht="15.75" customHeight="1" x14ac:dyDescent="0.25">
      <c r="A1381" s="438">
        <v>1378</v>
      </c>
      <c r="B1381" s="470" t="s">
        <v>17</v>
      </c>
      <c r="C1381" s="471" t="s">
        <v>18</v>
      </c>
      <c r="D1381" s="472" t="s">
        <v>19</v>
      </c>
      <c r="E1381" s="465" t="s">
        <v>4085</v>
      </c>
      <c r="F1381" s="448" t="s">
        <v>3026</v>
      </c>
      <c r="G1381" s="473" t="s">
        <v>2782</v>
      </c>
      <c r="H1381" s="439" t="s">
        <v>1785</v>
      </c>
      <c r="I1381" s="474" t="s">
        <v>3457</v>
      </c>
      <c r="J1381" s="474" t="s">
        <v>3464</v>
      </c>
      <c r="K1381" s="443" t="s">
        <v>1780</v>
      </c>
      <c r="L1381" s="471">
        <v>1</v>
      </c>
      <c r="M1381" s="447" t="s">
        <v>1791</v>
      </c>
      <c r="N1381" s="456">
        <v>7245</v>
      </c>
      <c r="O1381" s="475">
        <f t="shared" si="5"/>
        <v>7245</v>
      </c>
      <c r="P1381" s="476"/>
      <c r="Q1381" s="477">
        <v>46023</v>
      </c>
      <c r="R1381" s="476"/>
      <c r="S1381" s="476"/>
    </row>
    <row r="1382" spans="1:19" ht="15.75" customHeight="1" x14ac:dyDescent="0.25">
      <c r="A1382" s="438">
        <v>1379</v>
      </c>
      <c r="B1382" s="470" t="s">
        <v>17</v>
      </c>
      <c r="C1382" s="471" t="s">
        <v>18</v>
      </c>
      <c r="D1382" s="472" t="s">
        <v>19</v>
      </c>
      <c r="E1382" s="465" t="s">
        <v>4085</v>
      </c>
      <c r="F1382" s="448" t="s">
        <v>3026</v>
      </c>
      <c r="G1382" s="473" t="s">
        <v>2782</v>
      </c>
      <c r="H1382" s="439" t="s">
        <v>1785</v>
      </c>
      <c r="I1382" s="474" t="s">
        <v>3457</v>
      </c>
      <c r="J1382" s="474" t="s">
        <v>3464</v>
      </c>
      <c r="K1382" s="443" t="s">
        <v>1780</v>
      </c>
      <c r="L1382" s="471">
        <v>1</v>
      </c>
      <c r="M1382" s="447" t="s">
        <v>1792</v>
      </c>
      <c r="N1382" s="456">
        <v>7245</v>
      </c>
      <c r="O1382" s="475">
        <f t="shared" si="5"/>
        <v>7245</v>
      </c>
      <c r="P1382" s="476"/>
      <c r="Q1382" s="477">
        <v>46023</v>
      </c>
      <c r="R1382" s="476"/>
      <c r="S1382" s="476"/>
    </row>
    <row r="1383" spans="1:19" ht="15.75" customHeight="1" x14ac:dyDescent="0.25">
      <c r="A1383" s="438">
        <v>1380</v>
      </c>
      <c r="B1383" s="470" t="s">
        <v>17</v>
      </c>
      <c r="C1383" s="471" t="s">
        <v>18</v>
      </c>
      <c r="D1383" s="472" t="s">
        <v>19</v>
      </c>
      <c r="E1383" s="465" t="s">
        <v>4085</v>
      </c>
      <c r="F1383" s="448" t="s">
        <v>3026</v>
      </c>
      <c r="G1383" s="473" t="s">
        <v>2782</v>
      </c>
      <c r="H1383" s="439" t="s">
        <v>1785</v>
      </c>
      <c r="I1383" s="474" t="s">
        <v>3457</v>
      </c>
      <c r="J1383" s="474" t="s">
        <v>3464</v>
      </c>
      <c r="K1383" s="443" t="s">
        <v>1780</v>
      </c>
      <c r="L1383" s="471">
        <v>1</v>
      </c>
      <c r="M1383" s="447" t="s">
        <v>1793</v>
      </c>
      <c r="N1383" s="456">
        <v>7245</v>
      </c>
      <c r="O1383" s="475">
        <f t="shared" si="5"/>
        <v>7245</v>
      </c>
      <c r="P1383" s="476"/>
      <c r="Q1383" s="477">
        <v>46023</v>
      </c>
      <c r="R1383" s="476"/>
      <c r="S1383" s="476"/>
    </row>
    <row r="1384" spans="1:19" ht="15.75" customHeight="1" x14ac:dyDescent="0.25">
      <c r="A1384" s="438">
        <v>1381</v>
      </c>
      <c r="B1384" s="470" t="s">
        <v>17</v>
      </c>
      <c r="C1384" s="471" t="s">
        <v>18</v>
      </c>
      <c r="D1384" s="472" t="s">
        <v>19</v>
      </c>
      <c r="E1384" s="465" t="s">
        <v>4085</v>
      </c>
      <c r="F1384" s="448" t="s">
        <v>3026</v>
      </c>
      <c r="G1384" s="473" t="s">
        <v>2782</v>
      </c>
      <c r="H1384" s="439" t="s">
        <v>1785</v>
      </c>
      <c r="I1384" s="474" t="s">
        <v>3457</v>
      </c>
      <c r="J1384" s="474" t="s">
        <v>3464</v>
      </c>
      <c r="K1384" s="443" t="s">
        <v>1780</v>
      </c>
      <c r="L1384" s="471">
        <v>1</v>
      </c>
      <c r="M1384" s="447" t="s">
        <v>1794</v>
      </c>
      <c r="N1384" s="456">
        <v>7245</v>
      </c>
      <c r="O1384" s="475">
        <f t="shared" si="5"/>
        <v>7245</v>
      </c>
      <c r="P1384" s="476"/>
      <c r="Q1384" s="477">
        <v>46023</v>
      </c>
      <c r="R1384" s="476"/>
      <c r="S1384" s="476"/>
    </row>
    <row r="1385" spans="1:19" ht="15.75" customHeight="1" x14ac:dyDescent="0.25">
      <c r="A1385" s="438">
        <v>1382</v>
      </c>
      <c r="B1385" s="470" t="s">
        <v>17</v>
      </c>
      <c r="C1385" s="471" t="s">
        <v>18</v>
      </c>
      <c r="D1385" s="472" t="s">
        <v>19</v>
      </c>
      <c r="E1385" s="465" t="s">
        <v>4085</v>
      </c>
      <c r="F1385" s="448" t="s">
        <v>3026</v>
      </c>
      <c r="G1385" s="473" t="s">
        <v>2782</v>
      </c>
      <c r="H1385" s="439" t="s">
        <v>1785</v>
      </c>
      <c r="I1385" s="474" t="s">
        <v>3457</v>
      </c>
      <c r="J1385" s="474" t="s">
        <v>3464</v>
      </c>
      <c r="K1385" s="443" t="s">
        <v>1780</v>
      </c>
      <c r="L1385" s="471">
        <v>1</v>
      </c>
      <c r="M1385" s="447" t="s">
        <v>1795</v>
      </c>
      <c r="N1385" s="456">
        <v>7245</v>
      </c>
      <c r="O1385" s="475">
        <f t="shared" si="5"/>
        <v>7245</v>
      </c>
      <c r="P1385" s="476"/>
      <c r="Q1385" s="477">
        <v>46023</v>
      </c>
      <c r="R1385" s="476"/>
      <c r="S1385" s="476"/>
    </row>
    <row r="1386" spans="1:19" ht="15.75" customHeight="1" x14ac:dyDescent="0.25">
      <c r="A1386" s="438">
        <v>1383</v>
      </c>
      <c r="B1386" s="470" t="s">
        <v>17</v>
      </c>
      <c r="C1386" s="471" t="s">
        <v>18</v>
      </c>
      <c r="D1386" s="472" t="s">
        <v>19</v>
      </c>
      <c r="E1386" s="465" t="s">
        <v>4085</v>
      </c>
      <c r="F1386" s="448" t="s">
        <v>3026</v>
      </c>
      <c r="G1386" s="473" t="s">
        <v>2782</v>
      </c>
      <c r="H1386" s="439" t="s">
        <v>1785</v>
      </c>
      <c r="I1386" s="474" t="s">
        <v>3457</v>
      </c>
      <c r="J1386" s="474" t="s">
        <v>3464</v>
      </c>
      <c r="K1386" s="443" t="s">
        <v>1780</v>
      </c>
      <c r="L1386" s="471">
        <v>1</v>
      </c>
      <c r="M1386" s="447" t="s">
        <v>1796</v>
      </c>
      <c r="N1386" s="456">
        <v>7245</v>
      </c>
      <c r="O1386" s="475">
        <f t="shared" si="5"/>
        <v>7245</v>
      </c>
      <c r="P1386" s="476"/>
      <c r="Q1386" s="477">
        <v>46023</v>
      </c>
      <c r="R1386" s="476"/>
      <c r="S1386" s="476"/>
    </row>
    <row r="1387" spans="1:19" ht="15.75" customHeight="1" x14ac:dyDescent="0.25">
      <c r="A1387" s="438">
        <v>1384</v>
      </c>
      <c r="B1387" s="470" t="s">
        <v>17</v>
      </c>
      <c r="C1387" s="471" t="s">
        <v>18</v>
      </c>
      <c r="D1387" s="472" t="s">
        <v>19</v>
      </c>
      <c r="E1387" s="465" t="s">
        <v>4085</v>
      </c>
      <c r="F1387" s="448" t="s">
        <v>3026</v>
      </c>
      <c r="G1387" s="473" t="s">
        <v>2782</v>
      </c>
      <c r="H1387" s="439" t="s">
        <v>1785</v>
      </c>
      <c r="I1387" s="474" t="s">
        <v>3457</v>
      </c>
      <c r="J1387" s="474" t="s">
        <v>3464</v>
      </c>
      <c r="K1387" s="443" t="s">
        <v>1780</v>
      </c>
      <c r="L1387" s="471">
        <v>1</v>
      </c>
      <c r="M1387" s="447" t="s">
        <v>1797</v>
      </c>
      <c r="N1387" s="456">
        <v>7245</v>
      </c>
      <c r="O1387" s="475">
        <f t="shared" si="5"/>
        <v>7245</v>
      </c>
      <c r="P1387" s="476"/>
      <c r="Q1387" s="477">
        <v>46023</v>
      </c>
      <c r="R1387" s="476"/>
      <c r="S1387" s="476"/>
    </row>
    <row r="1388" spans="1:19" ht="15.75" customHeight="1" x14ac:dyDescent="0.25">
      <c r="A1388" s="438">
        <v>1385</v>
      </c>
      <c r="B1388" s="470" t="s">
        <v>17</v>
      </c>
      <c r="C1388" s="471" t="s">
        <v>18</v>
      </c>
      <c r="D1388" s="472" t="s">
        <v>19</v>
      </c>
      <c r="E1388" s="465" t="s">
        <v>4085</v>
      </c>
      <c r="F1388" s="448" t="s">
        <v>3026</v>
      </c>
      <c r="G1388" s="473" t="s">
        <v>2782</v>
      </c>
      <c r="H1388" s="439" t="s">
        <v>1785</v>
      </c>
      <c r="I1388" s="474" t="s">
        <v>3457</v>
      </c>
      <c r="J1388" s="474" t="s">
        <v>3464</v>
      </c>
      <c r="K1388" s="443" t="s">
        <v>1780</v>
      </c>
      <c r="L1388" s="471">
        <v>1</v>
      </c>
      <c r="M1388" s="447" t="s">
        <v>1798</v>
      </c>
      <c r="N1388" s="456">
        <v>7245</v>
      </c>
      <c r="O1388" s="475">
        <f t="shared" si="5"/>
        <v>7245</v>
      </c>
      <c r="P1388" s="476"/>
      <c r="Q1388" s="477">
        <v>46023</v>
      </c>
      <c r="R1388" s="476"/>
      <c r="S1388" s="476"/>
    </row>
    <row r="1389" spans="1:19" ht="15.75" customHeight="1" x14ac:dyDescent="0.25">
      <c r="A1389" s="438">
        <v>1386</v>
      </c>
      <c r="B1389" s="470" t="s">
        <v>17</v>
      </c>
      <c r="C1389" s="471" t="s">
        <v>18</v>
      </c>
      <c r="D1389" s="472" t="s">
        <v>19</v>
      </c>
      <c r="E1389" s="465" t="s">
        <v>4085</v>
      </c>
      <c r="F1389" s="448" t="s">
        <v>3026</v>
      </c>
      <c r="G1389" s="473" t="s">
        <v>2782</v>
      </c>
      <c r="H1389" s="439" t="s">
        <v>1785</v>
      </c>
      <c r="I1389" s="474" t="s">
        <v>3457</v>
      </c>
      <c r="J1389" s="474" t="s">
        <v>3464</v>
      </c>
      <c r="K1389" s="443" t="s">
        <v>1780</v>
      </c>
      <c r="L1389" s="471">
        <v>1</v>
      </c>
      <c r="M1389" s="447" t="s">
        <v>1799</v>
      </c>
      <c r="N1389" s="456">
        <v>7245</v>
      </c>
      <c r="O1389" s="475">
        <f t="shared" si="5"/>
        <v>7245</v>
      </c>
      <c r="P1389" s="476"/>
      <c r="Q1389" s="477">
        <v>46023</v>
      </c>
      <c r="R1389" s="476"/>
      <c r="S1389" s="476"/>
    </row>
    <row r="1390" spans="1:19" ht="15.75" customHeight="1" x14ac:dyDescent="0.25">
      <c r="A1390" s="438">
        <v>1387</v>
      </c>
      <c r="B1390" s="470" t="s">
        <v>17</v>
      </c>
      <c r="C1390" s="471" t="s">
        <v>18</v>
      </c>
      <c r="D1390" s="472" t="s">
        <v>19</v>
      </c>
      <c r="E1390" s="465" t="s">
        <v>4085</v>
      </c>
      <c r="F1390" s="448" t="s">
        <v>3026</v>
      </c>
      <c r="G1390" s="473" t="s">
        <v>2782</v>
      </c>
      <c r="H1390" s="439" t="s">
        <v>1785</v>
      </c>
      <c r="I1390" s="474" t="s">
        <v>3457</v>
      </c>
      <c r="J1390" s="474" t="s">
        <v>3464</v>
      </c>
      <c r="K1390" s="443" t="s">
        <v>1780</v>
      </c>
      <c r="L1390" s="471">
        <v>1</v>
      </c>
      <c r="M1390" s="447" t="s">
        <v>1800</v>
      </c>
      <c r="N1390" s="456">
        <v>7245</v>
      </c>
      <c r="O1390" s="475">
        <f t="shared" si="5"/>
        <v>7245</v>
      </c>
      <c r="P1390" s="476"/>
      <c r="Q1390" s="477">
        <v>46023</v>
      </c>
      <c r="R1390" s="476"/>
      <c r="S1390" s="476"/>
    </row>
    <row r="1391" spans="1:19" ht="15.75" customHeight="1" x14ac:dyDescent="0.25">
      <c r="A1391" s="438">
        <v>1388</v>
      </c>
      <c r="B1391" s="470" t="s">
        <v>17</v>
      </c>
      <c r="C1391" s="471" t="s">
        <v>18</v>
      </c>
      <c r="D1391" s="472" t="s">
        <v>19</v>
      </c>
      <c r="E1391" s="465" t="s">
        <v>4085</v>
      </c>
      <c r="F1391" s="448" t="s">
        <v>3026</v>
      </c>
      <c r="G1391" s="473" t="s">
        <v>2782</v>
      </c>
      <c r="H1391" s="439" t="s">
        <v>1785</v>
      </c>
      <c r="I1391" s="474" t="s">
        <v>3457</v>
      </c>
      <c r="J1391" s="474" t="s">
        <v>3464</v>
      </c>
      <c r="K1391" s="443" t="s">
        <v>1780</v>
      </c>
      <c r="L1391" s="471">
        <v>1</v>
      </c>
      <c r="M1391" s="447" t="s">
        <v>1801</v>
      </c>
      <c r="N1391" s="456">
        <v>7245</v>
      </c>
      <c r="O1391" s="475">
        <f t="shared" si="5"/>
        <v>7245</v>
      </c>
      <c r="P1391" s="476"/>
      <c r="Q1391" s="477">
        <v>46023</v>
      </c>
      <c r="R1391" s="476"/>
      <c r="S1391" s="476"/>
    </row>
    <row r="1392" spans="1:19" ht="15.75" customHeight="1" x14ac:dyDescent="0.25">
      <c r="A1392" s="438">
        <v>1389</v>
      </c>
      <c r="B1392" s="470" t="s">
        <v>17</v>
      </c>
      <c r="C1392" s="471" t="s">
        <v>18</v>
      </c>
      <c r="D1392" s="472" t="s">
        <v>19</v>
      </c>
      <c r="E1392" s="465" t="s">
        <v>4085</v>
      </c>
      <c r="F1392" s="448" t="s">
        <v>3026</v>
      </c>
      <c r="G1392" s="473" t="s">
        <v>2782</v>
      </c>
      <c r="H1392" s="439" t="s">
        <v>1785</v>
      </c>
      <c r="I1392" s="474" t="s">
        <v>3457</v>
      </c>
      <c r="J1392" s="474" t="s">
        <v>3464</v>
      </c>
      <c r="K1392" s="443" t="s">
        <v>1780</v>
      </c>
      <c r="L1392" s="471">
        <v>1</v>
      </c>
      <c r="M1392" s="447" t="s">
        <v>1802</v>
      </c>
      <c r="N1392" s="456">
        <v>7245</v>
      </c>
      <c r="O1392" s="475">
        <f t="shared" si="5"/>
        <v>7245</v>
      </c>
      <c r="P1392" s="476"/>
      <c r="Q1392" s="477">
        <v>46023</v>
      </c>
      <c r="R1392" s="476"/>
      <c r="S1392" s="476"/>
    </row>
    <row r="1393" spans="1:19" ht="15.75" customHeight="1" x14ac:dyDescent="0.25">
      <c r="A1393" s="438">
        <v>1390</v>
      </c>
      <c r="B1393" s="470" t="s">
        <v>17</v>
      </c>
      <c r="C1393" s="471" t="s">
        <v>18</v>
      </c>
      <c r="D1393" s="472" t="s">
        <v>19</v>
      </c>
      <c r="E1393" s="465" t="s">
        <v>4085</v>
      </c>
      <c r="F1393" s="448" t="s">
        <v>3026</v>
      </c>
      <c r="G1393" s="473" t="s">
        <v>2782</v>
      </c>
      <c r="H1393" s="439" t="s">
        <v>1785</v>
      </c>
      <c r="I1393" s="474" t="s">
        <v>3457</v>
      </c>
      <c r="J1393" s="474" t="s">
        <v>3464</v>
      </c>
      <c r="K1393" s="443" t="s">
        <v>1780</v>
      </c>
      <c r="L1393" s="471">
        <v>1</v>
      </c>
      <c r="M1393" s="447" t="s">
        <v>1803</v>
      </c>
      <c r="N1393" s="456">
        <v>7245</v>
      </c>
      <c r="O1393" s="475">
        <f t="shared" si="5"/>
        <v>7245</v>
      </c>
      <c r="P1393" s="476"/>
      <c r="Q1393" s="477">
        <v>46023</v>
      </c>
      <c r="R1393" s="476"/>
      <c r="S1393" s="476"/>
    </row>
    <row r="1394" spans="1:19" ht="15.75" customHeight="1" x14ac:dyDescent="0.25">
      <c r="A1394" s="438">
        <v>1391</v>
      </c>
      <c r="B1394" s="470" t="s">
        <v>17</v>
      </c>
      <c r="C1394" s="471" t="s">
        <v>18</v>
      </c>
      <c r="D1394" s="472" t="s">
        <v>19</v>
      </c>
      <c r="E1394" s="465" t="s">
        <v>4085</v>
      </c>
      <c r="F1394" s="448" t="s">
        <v>3026</v>
      </c>
      <c r="G1394" s="473" t="s">
        <v>2782</v>
      </c>
      <c r="H1394" s="439" t="s">
        <v>1785</v>
      </c>
      <c r="I1394" s="474" t="s">
        <v>3457</v>
      </c>
      <c r="J1394" s="474" t="s">
        <v>3464</v>
      </c>
      <c r="K1394" s="443" t="s">
        <v>1780</v>
      </c>
      <c r="L1394" s="471">
        <v>1</v>
      </c>
      <c r="M1394" s="447" t="s">
        <v>1804</v>
      </c>
      <c r="N1394" s="456">
        <v>7245</v>
      </c>
      <c r="O1394" s="475">
        <f t="shared" si="5"/>
        <v>7245</v>
      </c>
      <c r="P1394" s="476"/>
      <c r="Q1394" s="477">
        <v>46023</v>
      </c>
      <c r="R1394" s="476"/>
      <c r="S1394" s="476"/>
    </row>
    <row r="1395" spans="1:19" ht="15.75" customHeight="1" x14ac:dyDescent="0.25">
      <c r="A1395" s="438">
        <v>1392</v>
      </c>
      <c r="B1395" s="470" t="s">
        <v>17</v>
      </c>
      <c r="C1395" s="471" t="s">
        <v>18</v>
      </c>
      <c r="D1395" s="472" t="s">
        <v>19</v>
      </c>
      <c r="E1395" s="448" t="s">
        <v>4085</v>
      </c>
      <c r="F1395" s="448" t="s">
        <v>2982</v>
      </c>
      <c r="G1395" s="473" t="s">
        <v>2782</v>
      </c>
      <c r="H1395" s="439" t="s">
        <v>1785</v>
      </c>
      <c r="I1395" s="474" t="s">
        <v>3457</v>
      </c>
      <c r="J1395" s="474" t="s">
        <v>3464</v>
      </c>
      <c r="K1395" s="443" t="s">
        <v>1780</v>
      </c>
      <c r="L1395" s="471">
        <v>1</v>
      </c>
      <c r="M1395" s="447" t="s">
        <v>1805</v>
      </c>
      <c r="N1395" s="456">
        <v>7245</v>
      </c>
      <c r="O1395" s="475">
        <f t="shared" si="5"/>
        <v>7245</v>
      </c>
      <c r="P1395" s="476"/>
      <c r="Q1395" s="477">
        <v>46023</v>
      </c>
      <c r="R1395" s="476"/>
      <c r="S1395" s="476"/>
    </row>
    <row r="1396" spans="1:19" ht="15.75" customHeight="1" x14ac:dyDescent="0.25">
      <c r="A1396" s="438">
        <v>1393</v>
      </c>
      <c r="B1396" s="470" t="s">
        <v>17</v>
      </c>
      <c r="C1396" s="471" t="s">
        <v>18</v>
      </c>
      <c r="D1396" s="472" t="s">
        <v>19</v>
      </c>
      <c r="E1396" s="448" t="s">
        <v>4085</v>
      </c>
      <c r="F1396" s="448" t="s">
        <v>2982</v>
      </c>
      <c r="G1396" s="473" t="s">
        <v>2782</v>
      </c>
      <c r="H1396" s="439" t="s">
        <v>1785</v>
      </c>
      <c r="I1396" s="474" t="s">
        <v>3457</v>
      </c>
      <c r="J1396" s="474" t="s">
        <v>3464</v>
      </c>
      <c r="K1396" s="443" t="s">
        <v>1780</v>
      </c>
      <c r="L1396" s="471">
        <v>1</v>
      </c>
      <c r="M1396" s="447" t="s">
        <v>1806</v>
      </c>
      <c r="N1396" s="456">
        <v>7245</v>
      </c>
      <c r="O1396" s="475">
        <f t="shared" si="5"/>
        <v>7245</v>
      </c>
      <c r="P1396" s="476"/>
      <c r="Q1396" s="477">
        <v>46023</v>
      </c>
      <c r="R1396" s="476"/>
      <c r="S1396" s="476"/>
    </row>
    <row r="1397" spans="1:19" ht="15.75" customHeight="1" x14ac:dyDescent="0.25">
      <c r="A1397" s="438">
        <v>1394</v>
      </c>
      <c r="B1397" s="470" t="s">
        <v>17</v>
      </c>
      <c r="C1397" s="471" t="s">
        <v>18</v>
      </c>
      <c r="D1397" s="472" t="s">
        <v>19</v>
      </c>
      <c r="E1397" s="448" t="s">
        <v>4085</v>
      </c>
      <c r="F1397" s="448" t="s">
        <v>2982</v>
      </c>
      <c r="G1397" s="473" t="s">
        <v>2782</v>
      </c>
      <c r="H1397" s="439" t="s">
        <v>1785</v>
      </c>
      <c r="I1397" s="474" t="s">
        <v>3457</v>
      </c>
      <c r="J1397" s="474" t="s">
        <v>3464</v>
      </c>
      <c r="K1397" s="443" t="s">
        <v>1780</v>
      </c>
      <c r="L1397" s="471">
        <v>1</v>
      </c>
      <c r="M1397" s="447" t="s">
        <v>1807</v>
      </c>
      <c r="N1397" s="456">
        <v>7245</v>
      </c>
      <c r="O1397" s="475">
        <f t="shared" si="5"/>
        <v>7245</v>
      </c>
      <c r="P1397" s="476"/>
      <c r="Q1397" s="477">
        <v>46023</v>
      </c>
      <c r="R1397" s="476"/>
      <c r="S1397" s="476"/>
    </row>
    <row r="1398" spans="1:19" ht="15.75" customHeight="1" x14ac:dyDescent="0.25">
      <c r="A1398" s="438">
        <v>1395</v>
      </c>
      <c r="B1398" s="470" t="s">
        <v>17</v>
      </c>
      <c r="C1398" s="471" t="s">
        <v>18</v>
      </c>
      <c r="D1398" s="472" t="s">
        <v>19</v>
      </c>
      <c r="E1398" s="448" t="s">
        <v>4085</v>
      </c>
      <c r="F1398" s="448" t="s">
        <v>2982</v>
      </c>
      <c r="G1398" s="473" t="s">
        <v>2782</v>
      </c>
      <c r="H1398" s="439" t="s">
        <v>1785</v>
      </c>
      <c r="I1398" s="474" t="s">
        <v>3457</v>
      </c>
      <c r="J1398" s="474" t="s">
        <v>3464</v>
      </c>
      <c r="K1398" s="443" t="s">
        <v>1780</v>
      </c>
      <c r="L1398" s="471">
        <v>1</v>
      </c>
      <c r="M1398" s="447" t="s">
        <v>1808</v>
      </c>
      <c r="N1398" s="456">
        <v>7245</v>
      </c>
      <c r="O1398" s="475">
        <f t="shared" si="5"/>
        <v>7245</v>
      </c>
      <c r="P1398" s="476"/>
      <c r="Q1398" s="477">
        <v>46023</v>
      </c>
      <c r="R1398" s="476"/>
      <c r="S1398" s="476"/>
    </row>
    <row r="1399" spans="1:19" ht="15.75" customHeight="1" x14ac:dyDescent="0.25">
      <c r="A1399" s="438">
        <v>1396</v>
      </c>
      <c r="B1399" s="470" t="s">
        <v>17</v>
      </c>
      <c r="C1399" s="471" t="s">
        <v>18</v>
      </c>
      <c r="D1399" s="472" t="s">
        <v>19</v>
      </c>
      <c r="E1399" s="448" t="s">
        <v>4085</v>
      </c>
      <c r="F1399" s="448" t="s">
        <v>2982</v>
      </c>
      <c r="G1399" s="473" t="s">
        <v>2782</v>
      </c>
      <c r="H1399" s="439" t="s">
        <v>1785</v>
      </c>
      <c r="I1399" s="474" t="s">
        <v>3457</v>
      </c>
      <c r="J1399" s="474" t="s">
        <v>3464</v>
      </c>
      <c r="K1399" s="443" t="s">
        <v>1780</v>
      </c>
      <c r="L1399" s="471">
        <v>1</v>
      </c>
      <c r="M1399" s="447" t="s">
        <v>1809</v>
      </c>
      <c r="N1399" s="456">
        <v>7245</v>
      </c>
      <c r="O1399" s="475">
        <f t="shared" si="5"/>
        <v>7245</v>
      </c>
      <c r="P1399" s="476"/>
      <c r="Q1399" s="477">
        <v>46023</v>
      </c>
      <c r="R1399" s="476"/>
      <c r="S1399" s="476"/>
    </row>
    <row r="1400" spans="1:19" ht="15.75" customHeight="1" x14ac:dyDescent="0.25">
      <c r="A1400" s="438">
        <v>1397</v>
      </c>
      <c r="B1400" s="470" t="s">
        <v>17</v>
      </c>
      <c r="C1400" s="471" t="s">
        <v>18</v>
      </c>
      <c r="D1400" s="472" t="s">
        <v>19</v>
      </c>
      <c r="E1400" s="448" t="s">
        <v>4085</v>
      </c>
      <c r="F1400" s="448" t="s">
        <v>2982</v>
      </c>
      <c r="G1400" s="473" t="s">
        <v>2782</v>
      </c>
      <c r="H1400" s="439" t="s">
        <v>1785</v>
      </c>
      <c r="I1400" s="474" t="s">
        <v>3457</v>
      </c>
      <c r="J1400" s="474" t="s">
        <v>3464</v>
      </c>
      <c r="K1400" s="443" t="s">
        <v>1780</v>
      </c>
      <c r="L1400" s="471">
        <v>1</v>
      </c>
      <c r="M1400" s="447" t="s">
        <v>1810</v>
      </c>
      <c r="N1400" s="456">
        <v>7245</v>
      </c>
      <c r="O1400" s="475">
        <f t="shared" si="5"/>
        <v>7245</v>
      </c>
      <c r="P1400" s="476"/>
      <c r="Q1400" s="477">
        <v>46023</v>
      </c>
      <c r="R1400" s="476"/>
      <c r="S1400" s="476"/>
    </row>
    <row r="1401" spans="1:19" ht="15.75" customHeight="1" x14ac:dyDescent="0.25">
      <c r="A1401" s="438">
        <v>1398</v>
      </c>
      <c r="B1401" s="470" t="s">
        <v>17</v>
      </c>
      <c r="C1401" s="471" t="s">
        <v>18</v>
      </c>
      <c r="D1401" s="472" t="s">
        <v>19</v>
      </c>
      <c r="E1401" s="448" t="s">
        <v>4085</v>
      </c>
      <c r="F1401" s="448" t="s">
        <v>2982</v>
      </c>
      <c r="G1401" s="473" t="s">
        <v>2782</v>
      </c>
      <c r="H1401" s="439" t="s">
        <v>1785</v>
      </c>
      <c r="I1401" s="474" t="s">
        <v>3457</v>
      </c>
      <c r="J1401" s="474" t="s">
        <v>3464</v>
      </c>
      <c r="K1401" s="443" t="s">
        <v>1780</v>
      </c>
      <c r="L1401" s="471">
        <v>1</v>
      </c>
      <c r="M1401" s="447" t="s">
        <v>1811</v>
      </c>
      <c r="N1401" s="456">
        <v>7245</v>
      </c>
      <c r="O1401" s="475">
        <f t="shared" si="5"/>
        <v>7245</v>
      </c>
      <c r="P1401" s="476"/>
      <c r="Q1401" s="477">
        <v>46023</v>
      </c>
      <c r="R1401" s="476"/>
      <c r="S1401" s="476"/>
    </row>
    <row r="1402" spans="1:19" ht="15.75" customHeight="1" x14ac:dyDescent="0.25">
      <c r="A1402" s="438">
        <v>1399</v>
      </c>
      <c r="B1402" s="470" t="s">
        <v>17</v>
      </c>
      <c r="C1402" s="471" t="s">
        <v>18</v>
      </c>
      <c r="D1402" s="472" t="s">
        <v>19</v>
      </c>
      <c r="E1402" s="448" t="s">
        <v>4085</v>
      </c>
      <c r="F1402" s="448" t="s">
        <v>2982</v>
      </c>
      <c r="G1402" s="473" t="s">
        <v>2782</v>
      </c>
      <c r="H1402" s="439" t="s">
        <v>1785</v>
      </c>
      <c r="I1402" s="474" t="s">
        <v>3457</v>
      </c>
      <c r="J1402" s="474" t="s">
        <v>3464</v>
      </c>
      <c r="K1402" s="443" t="s">
        <v>1780</v>
      </c>
      <c r="L1402" s="471">
        <v>1</v>
      </c>
      <c r="M1402" s="447" t="s">
        <v>1812</v>
      </c>
      <c r="N1402" s="456">
        <v>7245</v>
      </c>
      <c r="O1402" s="475">
        <f t="shared" si="5"/>
        <v>7245</v>
      </c>
      <c r="P1402" s="476"/>
      <c r="Q1402" s="477">
        <v>46023</v>
      </c>
      <c r="R1402" s="476"/>
      <c r="S1402" s="476"/>
    </row>
    <row r="1403" spans="1:19" ht="15.75" customHeight="1" x14ac:dyDescent="0.25">
      <c r="A1403" s="438">
        <v>1400</v>
      </c>
      <c r="B1403" s="470" t="s">
        <v>17</v>
      </c>
      <c r="C1403" s="471" t="s">
        <v>18</v>
      </c>
      <c r="D1403" s="472" t="s">
        <v>19</v>
      </c>
      <c r="E1403" s="448" t="s">
        <v>4085</v>
      </c>
      <c r="F1403" s="448" t="s">
        <v>2982</v>
      </c>
      <c r="G1403" s="473" t="s">
        <v>2782</v>
      </c>
      <c r="H1403" s="439" t="s">
        <v>1785</v>
      </c>
      <c r="I1403" s="474" t="s">
        <v>3457</v>
      </c>
      <c r="J1403" s="474" t="s">
        <v>3464</v>
      </c>
      <c r="K1403" s="443" t="s">
        <v>1780</v>
      </c>
      <c r="L1403" s="471">
        <v>1</v>
      </c>
      <c r="M1403" s="447" t="s">
        <v>1813</v>
      </c>
      <c r="N1403" s="456">
        <v>7245</v>
      </c>
      <c r="O1403" s="475">
        <f t="shared" si="5"/>
        <v>7245</v>
      </c>
      <c r="P1403" s="476"/>
      <c r="Q1403" s="477">
        <v>46023</v>
      </c>
      <c r="R1403" s="476"/>
      <c r="S1403" s="476"/>
    </row>
    <row r="1404" spans="1:19" ht="15.75" customHeight="1" x14ac:dyDescent="0.25">
      <c r="A1404" s="438">
        <v>1401</v>
      </c>
      <c r="B1404" s="470" t="s">
        <v>17</v>
      </c>
      <c r="C1404" s="471" t="s">
        <v>18</v>
      </c>
      <c r="D1404" s="472" t="s">
        <v>19</v>
      </c>
      <c r="E1404" s="448" t="s">
        <v>4085</v>
      </c>
      <c r="F1404" s="448" t="s">
        <v>2982</v>
      </c>
      <c r="G1404" s="473" t="s">
        <v>2782</v>
      </c>
      <c r="H1404" s="439" t="s">
        <v>1785</v>
      </c>
      <c r="I1404" s="474" t="s">
        <v>3457</v>
      </c>
      <c r="J1404" s="474" t="s">
        <v>3464</v>
      </c>
      <c r="K1404" s="443" t="s">
        <v>1780</v>
      </c>
      <c r="L1404" s="471">
        <v>1</v>
      </c>
      <c r="M1404" s="447" t="s">
        <v>1814</v>
      </c>
      <c r="N1404" s="456">
        <v>7245</v>
      </c>
      <c r="O1404" s="475">
        <f t="shared" si="5"/>
        <v>7245</v>
      </c>
      <c r="P1404" s="476"/>
      <c r="Q1404" s="477">
        <v>46023</v>
      </c>
      <c r="R1404" s="476"/>
      <c r="S1404" s="476"/>
    </row>
    <row r="1405" spans="1:19" ht="15.75" customHeight="1" x14ac:dyDescent="0.25">
      <c r="A1405" s="438">
        <v>1402</v>
      </c>
      <c r="B1405" s="470" t="s">
        <v>17</v>
      </c>
      <c r="C1405" s="471" t="s">
        <v>18</v>
      </c>
      <c r="D1405" s="472" t="s">
        <v>19</v>
      </c>
      <c r="E1405" s="448" t="s">
        <v>4088</v>
      </c>
      <c r="F1405" s="448" t="s">
        <v>3025</v>
      </c>
      <c r="G1405" s="473" t="s">
        <v>2782</v>
      </c>
      <c r="H1405" s="439" t="s">
        <v>1785</v>
      </c>
      <c r="I1405" s="474" t="s">
        <v>3457</v>
      </c>
      <c r="J1405" s="474" t="s">
        <v>3464</v>
      </c>
      <c r="K1405" s="443" t="s">
        <v>1780</v>
      </c>
      <c r="L1405" s="471">
        <v>1</v>
      </c>
      <c r="M1405" s="447" t="s">
        <v>1815</v>
      </c>
      <c r="N1405" s="456">
        <v>7245</v>
      </c>
      <c r="O1405" s="475">
        <f t="shared" si="5"/>
        <v>7245</v>
      </c>
      <c r="P1405" s="476"/>
      <c r="Q1405" s="477">
        <v>46023</v>
      </c>
      <c r="R1405" s="476"/>
      <c r="S1405" s="476"/>
    </row>
    <row r="1406" spans="1:19" ht="15.75" customHeight="1" x14ac:dyDescent="0.25">
      <c r="A1406" s="438">
        <v>1403</v>
      </c>
      <c r="B1406" s="470" t="s">
        <v>17</v>
      </c>
      <c r="C1406" s="471" t="s">
        <v>18</v>
      </c>
      <c r="D1406" s="472" t="s">
        <v>19</v>
      </c>
      <c r="E1406" s="448" t="s">
        <v>4088</v>
      </c>
      <c r="F1406" s="448" t="s">
        <v>3025</v>
      </c>
      <c r="G1406" s="473" t="s">
        <v>2782</v>
      </c>
      <c r="H1406" s="439" t="s">
        <v>1785</v>
      </c>
      <c r="I1406" s="474" t="s">
        <v>3457</v>
      </c>
      <c r="J1406" s="474" t="s">
        <v>3464</v>
      </c>
      <c r="K1406" s="443" t="s">
        <v>1780</v>
      </c>
      <c r="L1406" s="471">
        <v>1</v>
      </c>
      <c r="M1406" s="447" t="s">
        <v>1816</v>
      </c>
      <c r="N1406" s="456">
        <v>7245</v>
      </c>
      <c r="O1406" s="475">
        <f t="shared" si="5"/>
        <v>7245</v>
      </c>
      <c r="P1406" s="476"/>
      <c r="Q1406" s="477">
        <v>46023</v>
      </c>
      <c r="R1406" s="476"/>
      <c r="S1406" s="476"/>
    </row>
    <row r="1407" spans="1:19" ht="15.75" customHeight="1" x14ac:dyDescent="0.25">
      <c r="A1407" s="438">
        <v>1404</v>
      </c>
      <c r="B1407" s="470" t="s">
        <v>17</v>
      </c>
      <c r="C1407" s="471" t="s">
        <v>18</v>
      </c>
      <c r="D1407" s="472" t="s">
        <v>19</v>
      </c>
      <c r="E1407" s="448" t="s">
        <v>4088</v>
      </c>
      <c r="F1407" s="448" t="s">
        <v>3025</v>
      </c>
      <c r="G1407" s="473" t="s">
        <v>2782</v>
      </c>
      <c r="H1407" s="439" t="s">
        <v>1785</v>
      </c>
      <c r="I1407" s="474" t="s">
        <v>3457</v>
      </c>
      <c r="J1407" s="474" t="s">
        <v>3464</v>
      </c>
      <c r="K1407" s="443" t="s">
        <v>1780</v>
      </c>
      <c r="L1407" s="471">
        <v>1</v>
      </c>
      <c r="M1407" s="447" t="s">
        <v>1817</v>
      </c>
      <c r="N1407" s="456">
        <v>7245</v>
      </c>
      <c r="O1407" s="475">
        <f t="shared" si="5"/>
        <v>7245</v>
      </c>
      <c r="P1407" s="476"/>
      <c r="Q1407" s="477">
        <v>46023</v>
      </c>
      <c r="R1407" s="476"/>
      <c r="S1407" s="476"/>
    </row>
    <row r="1408" spans="1:19" ht="15.75" customHeight="1" x14ac:dyDescent="0.25">
      <c r="A1408" s="438">
        <v>1405</v>
      </c>
      <c r="B1408" s="470" t="s">
        <v>17</v>
      </c>
      <c r="C1408" s="471" t="s">
        <v>18</v>
      </c>
      <c r="D1408" s="472" t="s">
        <v>19</v>
      </c>
      <c r="E1408" s="448" t="s">
        <v>4088</v>
      </c>
      <c r="F1408" s="448" t="s">
        <v>3025</v>
      </c>
      <c r="G1408" s="473" t="s">
        <v>2782</v>
      </c>
      <c r="H1408" s="439" t="s">
        <v>1785</v>
      </c>
      <c r="I1408" s="474" t="s">
        <v>3457</v>
      </c>
      <c r="J1408" s="474" t="s">
        <v>3464</v>
      </c>
      <c r="K1408" s="443" t="s">
        <v>1780</v>
      </c>
      <c r="L1408" s="471">
        <v>1</v>
      </c>
      <c r="M1408" s="447" t="s">
        <v>1818</v>
      </c>
      <c r="N1408" s="456">
        <v>7245</v>
      </c>
      <c r="O1408" s="475">
        <f t="shared" si="5"/>
        <v>7245</v>
      </c>
      <c r="P1408" s="476"/>
      <c r="Q1408" s="477">
        <v>46023</v>
      </c>
      <c r="R1408" s="476"/>
      <c r="S1408" s="476"/>
    </row>
    <row r="1409" spans="1:19" ht="15.75" customHeight="1" x14ac:dyDescent="0.25">
      <c r="A1409" s="438">
        <v>1406</v>
      </c>
      <c r="B1409" s="470" t="s">
        <v>17</v>
      </c>
      <c r="C1409" s="471" t="s">
        <v>18</v>
      </c>
      <c r="D1409" s="472" t="s">
        <v>19</v>
      </c>
      <c r="E1409" s="448" t="s">
        <v>4088</v>
      </c>
      <c r="F1409" s="448" t="s">
        <v>3025</v>
      </c>
      <c r="G1409" s="473" t="s">
        <v>2782</v>
      </c>
      <c r="H1409" s="439" t="s">
        <v>1785</v>
      </c>
      <c r="I1409" s="474" t="s">
        <v>3457</v>
      </c>
      <c r="J1409" s="474" t="s">
        <v>3464</v>
      </c>
      <c r="K1409" s="443" t="s">
        <v>1780</v>
      </c>
      <c r="L1409" s="471">
        <v>1</v>
      </c>
      <c r="M1409" s="447" t="s">
        <v>1819</v>
      </c>
      <c r="N1409" s="456">
        <v>7245</v>
      </c>
      <c r="O1409" s="475">
        <f t="shared" si="5"/>
        <v>7245</v>
      </c>
      <c r="P1409" s="476"/>
      <c r="Q1409" s="477">
        <v>46023</v>
      </c>
      <c r="R1409" s="476"/>
      <c r="S1409" s="476"/>
    </row>
    <row r="1410" spans="1:19" ht="15.75" customHeight="1" x14ac:dyDescent="0.25">
      <c r="A1410" s="438">
        <v>1407</v>
      </c>
      <c r="B1410" s="470" t="s">
        <v>17</v>
      </c>
      <c r="C1410" s="471" t="s">
        <v>18</v>
      </c>
      <c r="D1410" s="472" t="s">
        <v>19</v>
      </c>
      <c r="E1410" s="448" t="s">
        <v>4088</v>
      </c>
      <c r="F1410" s="448" t="s">
        <v>3025</v>
      </c>
      <c r="G1410" s="473" t="s">
        <v>2782</v>
      </c>
      <c r="H1410" s="439" t="s">
        <v>1785</v>
      </c>
      <c r="I1410" s="474" t="s">
        <v>3457</v>
      </c>
      <c r="J1410" s="474" t="s">
        <v>3464</v>
      </c>
      <c r="K1410" s="443" t="s">
        <v>1780</v>
      </c>
      <c r="L1410" s="471">
        <v>1</v>
      </c>
      <c r="M1410" s="447" t="s">
        <v>1820</v>
      </c>
      <c r="N1410" s="456">
        <v>7245</v>
      </c>
      <c r="O1410" s="475">
        <f t="shared" si="5"/>
        <v>7245</v>
      </c>
      <c r="P1410" s="476"/>
      <c r="Q1410" s="477">
        <v>46023</v>
      </c>
      <c r="R1410" s="476"/>
      <c r="S1410" s="476"/>
    </row>
    <row r="1411" spans="1:19" ht="15.75" customHeight="1" x14ac:dyDescent="0.25">
      <c r="A1411" s="438">
        <v>1408</v>
      </c>
      <c r="B1411" s="470" t="s">
        <v>17</v>
      </c>
      <c r="C1411" s="471" t="s">
        <v>18</v>
      </c>
      <c r="D1411" s="472" t="s">
        <v>19</v>
      </c>
      <c r="E1411" s="448" t="s">
        <v>4088</v>
      </c>
      <c r="F1411" s="448" t="s">
        <v>3025</v>
      </c>
      <c r="G1411" s="473" t="s">
        <v>2782</v>
      </c>
      <c r="H1411" s="439" t="s">
        <v>1785</v>
      </c>
      <c r="I1411" s="474" t="s">
        <v>3457</v>
      </c>
      <c r="J1411" s="474" t="s">
        <v>3464</v>
      </c>
      <c r="K1411" s="443" t="s">
        <v>1780</v>
      </c>
      <c r="L1411" s="471">
        <v>1</v>
      </c>
      <c r="M1411" s="447" t="s">
        <v>1821</v>
      </c>
      <c r="N1411" s="456">
        <v>7245</v>
      </c>
      <c r="O1411" s="475">
        <f t="shared" si="5"/>
        <v>7245</v>
      </c>
      <c r="P1411" s="476"/>
      <c r="Q1411" s="477">
        <v>46023</v>
      </c>
      <c r="R1411" s="476"/>
      <c r="S1411" s="476"/>
    </row>
    <row r="1412" spans="1:19" ht="15.75" customHeight="1" x14ac:dyDescent="0.25">
      <c r="A1412" s="438">
        <v>1409</v>
      </c>
      <c r="B1412" s="470" t="s">
        <v>17</v>
      </c>
      <c r="C1412" s="471" t="s">
        <v>18</v>
      </c>
      <c r="D1412" s="472" t="s">
        <v>19</v>
      </c>
      <c r="E1412" s="448" t="s">
        <v>4088</v>
      </c>
      <c r="F1412" s="448" t="s">
        <v>3025</v>
      </c>
      <c r="G1412" s="473" t="s">
        <v>2782</v>
      </c>
      <c r="H1412" s="439" t="s">
        <v>1785</v>
      </c>
      <c r="I1412" s="474" t="s">
        <v>3457</v>
      </c>
      <c r="J1412" s="474" t="s">
        <v>3464</v>
      </c>
      <c r="K1412" s="443" t="s">
        <v>1780</v>
      </c>
      <c r="L1412" s="471">
        <v>1</v>
      </c>
      <c r="M1412" s="447" t="s">
        <v>1822</v>
      </c>
      <c r="N1412" s="456">
        <v>7245</v>
      </c>
      <c r="O1412" s="475">
        <f t="shared" si="5"/>
        <v>7245</v>
      </c>
      <c r="P1412" s="476"/>
      <c r="Q1412" s="477">
        <v>46023</v>
      </c>
      <c r="R1412" s="476"/>
      <c r="S1412" s="476"/>
    </row>
    <row r="1413" spans="1:19" ht="15.75" customHeight="1" x14ac:dyDescent="0.25">
      <c r="A1413" s="438">
        <v>1410</v>
      </c>
      <c r="B1413" s="470" t="s">
        <v>17</v>
      </c>
      <c r="C1413" s="471" t="s">
        <v>18</v>
      </c>
      <c r="D1413" s="472" t="s">
        <v>19</v>
      </c>
      <c r="E1413" s="448" t="s">
        <v>4088</v>
      </c>
      <c r="F1413" s="448" t="s">
        <v>3025</v>
      </c>
      <c r="G1413" s="473" t="s">
        <v>2782</v>
      </c>
      <c r="H1413" s="439" t="s">
        <v>1785</v>
      </c>
      <c r="I1413" s="474" t="s">
        <v>3457</v>
      </c>
      <c r="J1413" s="474" t="s">
        <v>3464</v>
      </c>
      <c r="K1413" s="443" t="s">
        <v>1780</v>
      </c>
      <c r="L1413" s="471">
        <v>1</v>
      </c>
      <c r="M1413" s="447" t="s">
        <v>1823</v>
      </c>
      <c r="N1413" s="456">
        <v>7245</v>
      </c>
      <c r="O1413" s="475">
        <f t="shared" si="5"/>
        <v>7245</v>
      </c>
      <c r="P1413" s="476"/>
      <c r="Q1413" s="477">
        <v>46023</v>
      </c>
      <c r="R1413" s="476"/>
      <c r="S1413" s="476"/>
    </row>
    <row r="1414" spans="1:19" ht="15.75" customHeight="1" x14ac:dyDescent="0.25">
      <c r="A1414" s="438">
        <v>1411</v>
      </c>
      <c r="B1414" s="470" t="s">
        <v>17</v>
      </c>
      <c r="C1414" s="471" t="s">
        <v>18</v>
      </c>
      <c r="D1414" s="472" t="s">
        <v>19</v>
      </c>
      <c r="E1414" s="448" t="s">
        <v>4088</v>
      </c>
      <c r="F1414" s="448" t="s">
        <v>3025</v>
      </c>
      <c r="G1414" s="473" t="s">
        <v>2782</v>
      </c>
      <c r="H1414" s="439" t="s">
        <v>1785</v>
      </c>
      <c r="I1414" s="474" t="s">
        <v>3457</v>
      </c>
      <c r="J1414" s="474" t="s">
        <v>3464</v>
      </c>
      <c r="K1414" s="443" t="s">
        <v>1780</v>
      </c>
      <c r="L1414" s="471">
        <v>1</v>
      </c>
      <c r="M1414" s="447" t="s">
        <v>1824</v>
      </c>
      <c r="N1414" s="456">
        <v>7245</v>
      </c>
      <c r="O1414" s="475">
        <f t="shared" si="5"/>
        <v>7245</v>
      </c>
      <c r="P1414" s="476"/>
      <c r="Q1414" s="477">
        <v>46023</v>
      </c>
      <c r="R1414" s="476"/>
      <c r="S1414" s="476"/>
    </row>
    <row r="1415" spans="1:19" ht="15.75" customHeight="1" x14ac:dyDescent="0.25">
      <c r="A1415" s="438">
        <v>1412</v>
      </c>
      <c r="B1415" s="470" t="s">
        <v>17</v>
      </c>
      <c r="C1415" s="471" t="s">
        <v>18</v>
      </c>
      <c r="D1415" s="472" t="s">
        <v>19</v>
      </c>
      <c r="E1415" s="448" t="s">
        <v>4088</v>
      </c>
      <c r="F1415" s="448" t="s">
        <v>3025</v>
      </c>
      <c r="G1415" s="473" t="s">
        <v>2782</v>
      </c>
      <c r="H1415" s="439" t="s">
        <v>1785</v>
      </c>
      <c r="I1415" s="474" t="s">
        <v>3457</v>
      </c>
      <c r="J1415" s="474" t="s">
        <v>3464</v>
      </c>
      <c r="K1415" s="443" t="s">
        <v>1780</v>
      </c>
      <c r="L1415" s="471">
        <v>1</v>
      </c>
      <c r="M1415" s="447" t="s">
        <v>1825</v>
      </c>
      <c r="N1415" s="456">
        <v>7245</v>
      </c>
      <c r="O1415" s="475">
        <f t="shared" si="5"/>
        <v>7245</v>
      </c>
      <c r="P1415" s="476"/>
      <c r="Q1415" s="477">
        <v>46023</v>
      </c>
      <c r="R1415" s="476"/>
      <c r="S1415" s="476"/>
    </row>
    <row r="1416" spans="1:19" ht="15.75" customHeight="1" x14ac:dyDescent="0.25">
      <c r="A1416" s="438">
        <v>1413</v>
      </c>
      <c r="B1416" s="470" t="s">
        <v>17</v>
      </c>
      <c r="C1416" s="471" t="s">
        <v>18</v>
      </c>
      <c r="D1416" s="472" t="s">
        <v>19</v>
      </c>
      <c r="E1416" s="448" t="s">
        <v>4088</v>
      </c>
      <c r="F1416" s="448" t="s">
        <v>3025</v>
      </c>
      <c r="G1416" s="473" t="s">
        <v>2782</v>
      </c>
      <c r="H1416" s="439" t="s">
        <v>1785</v>
      </c>
      <c r="I1416" s="474" t="s">
        <v>3457</v>
      </c>
      <c r="J1416" s="474" t="s">
        <v>3464</v>
      </c>
      <c r="K1416" s="443" t="s">
        <v>1780</v>
      </c>
      <c r="L1416" s="471">
        <v>1</v>
      </c>
      <c r="M1416" s="447" t="s">
        <v>1826</v>
      </c>
      <c r="N1416" s="456">
        <v>7245</v>
      </c>
      <c r="O1416" s="475">
        <f t="shared" si="5"/>
        <v>7245</v>
      </c>
      <c r="P1416" s="476"/>
      <c r="Q1416" s="477">
        <v>46023</v>
      </c>
      <c r="R1416" s="476"/>
      <c r="S1416" s="476"/>
    </row>
    <row r="1417" spans="1:19" ht="15.75" customHeight="1" x14ac:dyDescent="0.25">
      <c r="A1417" s="438">
        <v>1414</v>
      </c>
      <c r="B1417" s="470" t="s">
        <v>17</v>
      </c>
      <c r="C1417" s="471" t="s">
        <v>18</v>
      </c>
      <c r="D1417" s="472" t="s">
        <v>19</v>
      </c>
      <c r="E1417" s="448" t="s">
        <v>4088</v>
      </c>
      <c r="F1417" s="448" t="s">
        <v>3025</v>
      </c>
      <c r="G1417" s="473" t="s">
        <v>2782</v>
      </c>
      <c r="H1417" s="439" t="s">
        <v>1785</v>
      </c>
      <c r="I1417" s="474" t="s">
        <v>3457</v>
      </c>
      <c r="J1417" s="474" t="s">
        <v>3464</v>
      </c>
      <c r="K1417" s="443" t="s">
        <v>1780</v>
      </c>
      <c r="L1417" s="471">
        <v>1</v>
      </c>
      <c r="M1417" s="447" t="s">
        <v>1827</v>
      </c>
      <c r="N1417" s="456">
        <v>7245</v>
      </c>
      <c r="O1417" s="475">
        <f t="shared" si="5"/>
        <v>7245</v>
      </c>
      <c r="P1417" s="476"/>
      <c r="Q1417" s="477">
        <v>46023</v>
      </c>
      <c r="R1417" s="476"/>
      <c r="S1417" s="476"/>
    </row>
    <row r="1418" spans="1:19" ht="15.75" customHeight="1" x14ac:dyDescent="0.25">
      <c r="A1418" s="438">
        <v>1415</v>
      </c>
      <c r="B1418" s="470" t="s">
        <v>17</v>
      </c>
      <c r="C1418" s="471" t="s">
        <v>18</v>
      </c>
      <c r="D1418" s="472" t="s">
        <v>19</v>
      </c>
      <c r="E1418" s="448" t="s">
        <v>4088</v>
      </c>
      <c r="F1418" s="448" t="s">
        <v>4104</v>
      </c>
      <c r="G1418" s="473" t="s">
        <v>2782</v>
      </c>
      <c r="H1418" s="439" t="s">
        <v>1785</v>
      </c>
      <c r="I1418" s="474" t="s">
        <v>3457</v>
      </c>
      <c r="J1418" s="474" t="s">
        <v>3464</v>
      </c>
      <c r="K1418" s="443" t="s">
        <v>1780</v>
      </c>
      <c r="L1418" s="471">
        <v>1</v>
      </c>
      <c r="M1418" s="447" t="s">
        <v>1828</v>
      </c>
      <c r="N1418" s="456">
        <v>7245</v>
      </c>
      <c r="O1418" s="475">
        <f t="shared" si="5"/>
        <v>7245</v>
      </c>
      <c r="P1418" s="476"/>
      <c r="Q1418" s="477">
        <v>46023</v>
      </c>
      <c r="R1418" s="476"/>
      <c r="S1418" s="476"/>
    </row>
    <row r="1419" spans="1:19" ht="15.75" customHeight="1" x14ac:dyDescent="0.25">
      <c r="A1419" s="438">
        <v>1416</v>
      </c>
      <c r="B1419" s="470" t="s">
        <v>17</v>
      </c>
      <c r="C1419" s="471" t="s">
        <v>18</v>
      </c>
      <c r="D1419" s="472" t="s">
        <v>19</v>
      </c>
      <c r="E1419" s="448" t="s">
        <v>4088</v>
      </c>
      <c r="F1419" s="448" t="s">
        <v>4104</v>
      </c>
      <c r="G1419" s="473" t="s">
        <v>2782</v>
      </c>
      <c r="H1419" s="439" t="s">
        <v>1785</v>
      </c>
      <c r="I1419" s="474" t="s">
        <v>3457</v>
      </c>
      <c r="J1419" s="474" t="s">
        <v>3464</v>
      </c>
      <c r="K1419" s="443" t="s">
        <v>1780</v>
      </c>
      <c r="L1419" s="471">
        <v>1</v>
      </c>
      <c r="M1419" s="447" t="s">
        <v>1829</v>
      </c>
      <c r="N1419" s="456">
        <v>7245</v>
      </c>
      <c r="O1419" s="475">
        <f t="shared" si="5"/>
        <v>7245</v>
      </c>
      <c r="P1419" s="476"/>
      <c r="Q1419" s="477">
        <v>46023</v>
      </c>
      <c r="R1419" s="476"/>
      <c r="S1419" s="476"/>
    </row>
    <row r="1420" spans="1:19" ht="15.75" customHeight="1" x14ac:dyDescent="0.25">
      <c r="A1420" s="438">
        <v>1417</v>
      </c>
      <c r="B1420" s="470" t="s">
        <v>17</v>
      </c>
      <c r="C1420" s="471" t="s">
        <v>18</v>
      </c>
      <c r="D1420" s="472" t="s">
        <v>19</v>
      </c>
      <c r="E1420" s="448" t="s">
        <v>4086</v>
      </c>
      <c r="F1420" s="448" t="s">
        <v>4097</v>
      </c>
      <c r="G1420" s="473" t="s">
        <v>2782</v>
      </c>
      <c r="H1420" s="439" t="s">
        <v>1785</v>
      </c>
      <c r="I1420" s="474" t="s">
        <v>3457</v>
      </c>
      <c r="J1420" s="474" t="s">
        <v>3464</v>
      </c>
      <c r="K1420" s="443" t="s">
        <v>1780</v>
      </c>
      <c r="L1420" s="471">
        <v>1</v>
      </c>
      <c r="M1420" s="447" t="s">
        <v>1830</v>
      </c>
      <c r="N1420" s="456">
        <v>7245</v>
      </c>
      <c r="O1420" s="475">
        <f t="shared" si="5"/>
        <v>7245</v>
      </c>
      <c r="P1420" s="476"/>
      <c r="Q1420" s="477">
        <v>46023</v>
      </c>
      <c r="R1420" s="476"/>
      <c r="S1420" s="476"/>
    </row>
    <row r="1421" spans="1:19" ht="15.75" customHeight="1" x14ac:dyDescent="0.25">
      <c r="A1421" s="438">
        <v>1418</v>
      </c>
      <c r="B1421" s="470" t="s">
        <v>17</v>
      </c>
      <c r="C1421" s="471" t="s">
        <v>18</v>
      </c>
      <c r="D1421" s="472" t="s">
        <v>19</v>
      </c>
      <c r="E1421" s="448" t="s">
        <v>4086</v>
      </c>
      <c r="F1421" s="448" t="s">
        <v>4097</v>
      </c>
      <c r="G1421" s="473" t="s">
        <v>2782</v>
      </c>
      <c r="H1421" s="439" t="s">
        <v>1785</v>
      </c>
      <c r="I1421" s="474" t="s">
        <v>3457</v>
      </c>
      <c r="J1421" s="474" t="s">
        <v>3464</v>
      </c>
      <c r="K1421" s="443" t="s">
        <v>1780</v>
      </c>
      <c r="L1421" s="471">
        <v>1</v>
      </c>
      <c r="M1421" s="447" t="s">
        <v>1831</v>
      </c>
      <c r="N1421" s="456">
        <v>7245</v>
      </c>
      <c r="O1421" s="475">
        <f t="shared" si="5"/>
        <v>7245</v>
      </c>
      <c r="P1421" s="476"/>
      <c r="Q1421" s="477">
        <v>46023</v>
      </c>
      <c r="R1421" s="476"/>
      <c r="S1421" s="476"/>
    </row>
    <row r="1422" spans="1:19" ht="15.75" customHeight="1" x14ac:dyDescent="0.25">
      <c r="A1422" s="438">
        <v>1419</v>
      </c>
      <c r="B1422" s="470" t="s">
        <v>17</v>
      </c>
      <c r="C1422" s="471" t="s">
        <v>18</v>
      </c>
      <c r="D1422" s="472" t="s">
        <v>19</v>
      </c>
      <c r="E1422" s="448" t="s">
        <v>4091</v>
      </c>
      <c r="F1422" s="448" t="s">
        <v>4115</v>
      </c>
      <c r="G1422" s="473" t="s">
        <v>2782</v>
      </c>
      <c r="H1422" s="439" t="s">
        <v>1785</v>
      </c>
      <c r="I1422" s="474" t="s">
        <v>3457</v>
      </c>
      <c r="J1422" s="474" t="s">
        <v>3464</v>
      </c>
      <c r="K1422" s="443" t="s">
        <v>1780</v>
      </c>
      <c r="L1422" s="471">
        <v>1</v>
      </c>
      <c r="M1422" s="447" t="s">
        <v>1832</v>
      </c>
      <c r="N1422" s="456">
        <v>7245</v>
      </c>
      <c r="O1422" s="475">
        <f t="shared" si="5"/>
        <v>7245</v>
      </c>
      <c r="P1422" s="476"/>
      <c r="Q1422" s="477">
        <v>46023</v>
      </c>
      <c r="R1422" s="476"/>
      <c r="S1422" s="476"/>
    </row>
    <row r="1423" spans="1:19" ht="15.75" customHeight="1" x14ac:dyDescent="0.25">
      <c r="A1423" s="438">
        <v>1420</v>
      </c>
      <c r="B1423" s="470" t="s">
        <v>17</v>
      </c>
      <c r="C1423" s="471" t="s">
        <v>18</v>
      </c>
      <c r="D1423" s="472" t="s">
        <v>19</v>
      </c>
      <c r="E1423" s="448" t="s">
        <v>4091</v>
      </c>
      <c r="F1423" s="448" t="s">
        <v>4115</v>
      </c>
      <c r="G1423" s="473" t="s">
        <v>2782</v>
      </c>
      <c r="H1423" s="439" t="s">
        <v>1785</v>
      </c>
      <c r="I1423" s="474" t="s">
        <v>3457</v>
      </c>
      <c r="J1423" s="474" t="s">
        <v>3464</v>
      </c>
      <c r="K1423" s="443" t="s">
        <v>1780</v>
      </c>
      <c r="L1423" s="471">
        <v>1</v>
      </c>
      <c r="M1423" s="447" t="s">
        <v>1833</v>
      </c>
      <c r="N1423" s="456">
        <v>7245</v>
      </c>
      <c r="O1423" s="475">
        <f t="shared" si="5"/>
        <v>7245</v>
      </c>
      <c r="P1423" s="476"/>
      <c r="Q1423" s="477">
        <v>46023</v>
      </c>
      <c r="R1423" s="476"/>
      <c r="S1423" s="476"/>
    </row>
    <row r="1424" spans="1:19" ht="15.75" customHeight="1" x14ac:dyDescent="0.25">
      <c r="A1424" s="438">
        <v>1421</v>
      </c>
      <c r="B1424" s="470" t="s">
        <v>17</v>
      </c>
      <c r="C1424" s="471" t="s">
        <v>18</v>
      </c>
      <c r="D1424" s="472" t="s">
        <v>19</v>
      </c>
      <c r="E1424" s="448" t="s">
        <v>4091</v>
      </c>
      <c r="F1424" s="448" t="s">
        <v>4115</v>
      </c>
      <c r="G1424" s="473" t="s">
        <v>2782</v>
      </c>
      <c r="H1424" s="439" t="s">
        <v>1785</v>
      </c>
      <c r="I1424" s="474" t="s">
        <v>3457</v>
      </c>
      <c r="J1424" s="474" t="s">
        <v>3464</v>
      </c>
      <c r="K1424" s="443" t="s">
        <v>1780</v>
      </c>
      <c r="L1424" s="471">
        <v>1</v>
      </c>
      <c r="M1424" s="447" t="s">
        <v>1834</v>
      </c>
      <c r="N1424" s="456">
        <v>7245</v>
      </c>
      <c r="O1424" s="475">
        <f t="shared" si="5"/>
        <v>7245</v>
      </c>
      <c r="P1424" s="476"/>
      <c r="Q1424" s="477">
        <v>46023</v>
      </c>
      <c r="R1424" s="476"/>
      <c r="S1424" s="476"/>
    </row>
    <row r="1425" spans="1:19" ht="15.75" customHeight="1" x14ac:dyDescent="0.25">
      <c r="A1425" s="438">
        <v>1422</v>
      </c>
      <c r="B1425" s="470" t="s">
        <v>17</v>
      </c>
      <c r="C1425" s="471" t="s">
        <v>18</v>
      </c>
      <c r="D1425" s="472" t="s">
        <v>19</v>
      </c>
      <c r="E1425" s="448" t="s">
        <v>4091</v>
      </c>
      <c r="F1425" s="448" t="s">
        <v>4115</v>
      </c>
      <c r="G1425" s="473" t="s">
        <v>2782</v>
      </c>
      <c r="H1425" s="439" t="s">
        <v>1785</v>
      </c>
      <c r="I1425" s="474" t="s">
        <v>3457</v>
      </c>
      <c r="J1425" s="474" t="s">
        <v>3464</v>
      </c>
      <c r="K1425" s="443" t="s">
        <v>1780</v>
      </c>
      <c r="L1425" s="471">
        <v>1</v>
      </c>
      <c r="M1425" s="447" t="s">
        <v>1835</v>
      </c>
      <c r="N1425" s="456">
        <v>7245</v>
      </c>
      <c r="O1425" s="475">
        <f t="shared" si="5"/>
        <v>7245</v>
      </c>
      <c r="P1425" s="476"/>
      <c r="Q1425" s="477">
        <v>46023</v>
      </c>
      <c r="R1425" s="476"/>
      <c r="S1425" s="476"/>
    </row>
    <row r="1426" spans="1:19" ht="15.75" customHeight="1" x14ac:dyDescent="0.25">
      <c r="A1426" s="438">
        <v>1423</v>
      </c>
      <c r="B1426" s="470" t="s">
        <v>17</v>
      </c>
      <c r="C1426" s="471" t="s">
        <v>18</v>
      </c>
      <c r="D1426" s="472" t="s">
        <v>19</v>
      </c>
      <c r="E1426" s="448" t="s">
        <v>4091</v>
      </c>
      <c r="F1426" s="448" t="s">
        <v>4115</v>
      </c>
      <c r="G1426" s="473" t="s">
        <v>2782</v>
      </c>
      <c r="H1426" s="439" t="s">
        <v>1785</v>
      </c>
      <c r="I1426" s="474" t="s">
        <v>3457</v>
      </c>
      <c r="J1426" s="474" t="s">
        <v>3464</v>
      </c>
      <c r="K1426" s="443" t="s">
        <v>1780</v>
      </c>
      <c r="L1426" s="471">
        <v>1</v>
      </c>
      <c r="M1426" s="447" t="s">
        <v>1836</v>
      </c>
      <c r="N1426" s="456">
        <v>7245</v>
      </c>
      <c r="O1426" s="475">
        <f t="shared" si="5"/>
        <v>7245</v>
      </c>
      <c r="P1426" s="476"/>
      <c r="Q1426" s="477">
        <v>46023</v>
      </c>
      <c r="R1426" s="476"/>
      <c r="S1426" s="476"/>
    </row>
    <row r="1427" spans="1:19" ht="15.75" customHeight="1" x14ac:dyDescent="0.25">
      <c r="A1427" s="438">
        <v>1424</v>
      </c>
      <c r="B1427" s="470" t="s">
        <v>17</v>
      </c>
      <c r="C1427" s="471" t="s">
        <v>18</v>
      </c>
      <c r="D1427" s="472" t="s">
        <v>19</v>
      </c>
      <c r="E1427" s="448" t="s">
        <v>4091</v>
      </c>
      <c r="F1427" s="448" t="s">
        <v>4115</v>
      </c>
      <c r="G1427" s="473" t="s">
        <v>2782</v>
      </c>
      <c r="H1427" s="439" t="s">
        <v>1785</v>
      </c>
      <c r="I1427" s="474" t="s">
        <v>3457</v>
      </c>
      <c r="J1427" s="474" t="s">
        <v>3464</v>
      </c>
      <c r="K1427" s="443" t="s">
        <v>1780</v>
      </c>
      <c r="L1427" s="471">
        <v>1</v>
      </c>
      <c r="M1427" s="447" t="s">
        <v>1837</v>
      </c>
      <c r="N1427" s="456">
        <v>7245</v>
      </c>
      <c r="O1427" s="475">
        <f t="shared" si="5"/>
        <v>7245</v>
      </c>
      <c r="P1427" s="476"/>
      <c r="Q1427" s="477">
        <v>46023</v>
      </c>
      <c r="R1427" s="476"/>
      <c r="S1427" s="476"/>
    </row>
    <row r="1428" spans="1:19" ht="15.75" customHeight="1" x14ac:dyDescent="0.25">
      <c r="A1428" s="438">
        <v>1425</v>
      </c>
      <c r="B1428" s="470" t="s">
        <v>17</v>
      </c>
      <c r="C1428" s="471" t="s">
        <v>18</v>
      </c>
      <c r="D1428" s="472" t="s">
        <v>19</v>
      </c>
      <c r="E1428" s="448" t="s">
        <v>4091</v>
      </c>
      <c r="F1428" s="448" t="s">
        <v>4115</v>
      </c>
      <c r="G1428" s="473" t="s">
        <v>2782</v>
      </c>
      <c r="H1428" s="439" t="s">
        <v>1785</v>
      </c>
      <c r="I1428" s="474" t="s">
        <v>3457</v>
      </c>
      <c r="J1428" s="474" t="s">
        <v>3464</v>
      </c>
      <c r="K1428" s="443" t="s">
        <v>1780</v>
      </c>
      <c r="L1428" s="471">
        <v>1</v>
      </c>
      <c r="M1428" s="447" t="s">
        <v>1838</v>
      </c>
      <c r="N1428" s="456">
        <v>7245</v>
      </c>
      <c r="O1428" s="475">
        <f t="shared" si="5"/>
        <v>7245</v>
      </c>
      <c r="P1428" s="476"/>
      <c r="Q1428" s="477">
        <v>46023</v>
      </c>
      <c r="R1428" s="476"/>
      <c r="S1428" s="476"/>
    </row>
    <row r="1429" spans="1:19" ht="15.75" customHeight="1" x14ac:dyDescent="0.25">
      <c r="A1429" s="438">
        <v>1426</v>
      </c>
      <c r="B1429" s="470" t="s">
        <v>17</v>
      </c>
      <c r="C1429" s="471" t="s">
        <v>18</v>
      </c>
      <c r="D1429" s="472" t="s">
        <v>19</v>
      </c>
      <c r="E1429" s="448" t="s">
        <v>4091</v>
      </c>
      <c r="F1429" s="448" t="s">
        <v>4110</v>
      </c>
      <c r="G1429" s="473" t="s">
        <v>2782</v>
      </c>
      <c r="H1429" s="439" t="s">
        <v>1785</v>
      </c>
      <c r="I1429" s="474" t="s">
        <v>3457</v>
      </c>
      <c r="J1429" s="474" t="s">
        <v>3464</v>
      </c>
      <c r="K1429" s="443" t="s">
        <v>1780</v>
      </c>
      <c r="L1429" s="471">
        <v>1</v>
      </c>
      <c r="M1429" s="447" t="s">
        <v>1839</v>
      </c>
      <c r="N1429" s="456">
        <v>7245</v>
      </c>
      <c r="O1429" s="475">
        <f t="shared" si="5"/>
        <v>7245</v>
      </c>
      <c r="P1429" s="476"/>
      <c r="Q1429" s="477">
        <v>46023</v>
      </c>
      <c r="R1429" s="476"/>
      <c r="S1429" s="476"/>
    </row>
    <row r="1430" spans="1:19" ht="15.75" customHeight="1" x14ac:dyDescent="0.25">
      <c r="A1430" s="438">
        <v>1427</v>
      </c>
      <c r="B1430" s="470" t="s">
        <v>17</v>
      </c>
      <c r="C1430" s="471" t="s">
        <v>18</v>
      </c>
      <c r="D1430" s="472" t="s">
        <v>19</v>
      </c>
      <c r="E1430" s="448" t="s">
        <v>4091</v>
      </c>
      <c r="F1430" s="448" t="s">
        <v>4110</v>
      </c>
      <c r="G1430" s="473" t="s">
        <v>2782</v>
      </c>
      <c r="H1430" s="439" t="s">
        <v>1785</v>
      </c>
      <c r="I1430" s="474" t="s">
        <v>3457</v>
      </c>
      <c r="J1430" s="474" t="s">
        <v>3464</v>
      </c>
      <c r="K1430" s="443" t="s">
        <v>1780</v>
      </c>
      <c r="L1430" s="471">
        <v>1</v>
      </c>
      <c r="M1430" s="447" t="s">
        <v>1840</v>
      </c>
      <c r="N1430" s="456">
        <v>7245</v>
      </c>
      <c r="O1430" s="475">
        <f t="shared" si="5"/>
        <v>7245</v>
      </c>
      <c r="P1430" s="476"/>
      <c r="Q1430" s="477">
        <v>46023</v>
      </c>
      <c r="R1430" s="476"/>
      <c r="S1430" s="476"/>
    </row>
    <row r="1431" spans="1:19" ht="15.75" customHeight="1" x14ac:dyDescent="0.25">
      <c r="A1431" s="438">
        <v>1428</v>
      </c>
      <c r="B1431" s="470" t="s">
        <v>17</v>
      </c>
      <c r="C1431" s="471" t="s">
        <v>18</v>
      </c>
      <c r="D1431" s="472" t="s">
        <v>19</v>
      </c>
      <c r="E1431" s="448" t="s">
        <v>4091</v>
      </c>
      <c r="F1431" s="448" t="s">
        <v>4110</v>
      </c>
      <c r="G1431" s="473" t="s">
        <v>2782</v>
      </c>
      <c r="H1431" s="439" t="s">
        <v>1785</v>
      </c>
      <c r="I1431" s="474" t="s">
        <v>3457</v>
      </c>
      <c r="J1431" s="474" t="s">
        <v>3464</v>
      </c>
      <c r="K1431" s="443" t="s">
        <v>1780</v>
      </c>
      <c r="L1431" s="471">
        <v>1</v>
      </c>
      <c r="M1431" s="447" t="s">
        <v>1841</v>
      </c>
      <c r="N1431" s="456">
        <v>7245</v>
      </c>
      <c r="O1431" s="475">
        <f t="shared" si="5"/>
        <v>7245</v>
      </c>
      <c r="P1431" s="476"/>
      <c r="Q1431" s="477">
        <v>46023</v>
      </c>
      <c r="R1431" s="476"/>
      <c r="S1431" s="476"/>
    </row>
    <row r="1432" spans="1:19" ht="15.75" customHeight="1" x14ac:dyDescent="0.25">
      <c r="A1432" s="438">
        <v>1429</v>
      </c>
      <c r="B1432" s="470" t="s">
        <v>17</v>
      </c>
      <c r="C1432" s="471" t="s">
        <v>18</v>
      </c>
      <c r="D1432" s="472" t="s">
        <v>19</v>
      </c>
      <c r="E1432" s="448" t="s">
        <v>4091</v>
      </c>
      <c r="F1432" s="448" t="s">
        <v>4110</v>
      </c>
      <c r="G1432" s="473" t="s">
        <v>2782</v>
      </c>
      <c r="H1432" s="439" t="s">
        <v>1785</v>
      </c>
      <c r="I1432" s="474" t="s">
        <v>3457</v>
      </c>
      <c r="J1432" s="474" t="s">
        <v>3464</v>
      </c>
      <c r="K1432" s="443" t="s">
        <v>1780</v>
      </c>
      <c r="L1432" s="471">
        <v>1</v>
      </c>
      <c r="M1432" s="447" t="s">
        <v>1842</v>
      </c>
      <c r="N1432" s="456">
        <v>7245</v>
      </c>
      <c r="O1432" s="475">
        <f t="shared" si="5"/>
        <v>7245</v>
      </c>
      <c r="P1432" s="476"/>
      <c r="Q1432" s="477">
        <v>46023</v>
      </c>
      <c r="R1432" s="476"/>
      <c r="S1432" s="476"/>
    </row>
    <row r="1433" spans="1:19" ht="15.75" customHeight="1" x14ac:dyDescent="0.25">
      <c r="A1433" s="438">
        <v>1430</v>
      </c>
      <c r="B1433" s="470" t="s">
        <v>17</v>
      </c>
      <c r="C1433" s="471" t="s">
        <v>18</v>
      </c>
      <c r="D1433" s="472" t="s">
        <v>19</v>
      </c>
      <c r="E1433" s="448" t="s">
        <v>4091</v>
      </c>
      <c r="F1433" s="448" t="s">
        <v>4110</v>
      </c>
      <c r="G1433" s="473" t="s">
        <v>2782</v>
      </c>
      <c r="H1433" s="439" t="s">
        <v>1785</v>
      </c>
      <c r="I1433" s="474" t="s">
        <v>3457</v>
      </c>
      <c r="J1433" s="474" t="s">
        <v>3464</v>
      </c>
      <c r="K1433" s="443" t="s">
        <v>1780</v>
      </c>
      <c r="L1433" s="471">
        <v>1</v>
      </c>
      <c r="M1433" s="447" t="s">
        <v>1843</v>
      </c>
      <c r="N1433" s="456">
        <v>7245</v>
      </c>
      <c r="O1433" s="475">
        <f t="shared" si="5"/>
        <v>7245</v>
      </c>
      <c r="P1433" s="476"/>
      <c r="Q1433" s="477">
        <v>46023</v>
      </c>
      <c r="R1433" s="476"/>
      <c r="S1433" s="476"/>
    </row>
    <row r="1434" spans="1:19" ht="15.75" customHeight="1" x14ac:dyDescent="0.25">
      <c r="A1434" s="438">
        <v>1431</v>
      </c>
      <c r="B1434" s="470" t="s">
        <v>17</v>
      </c>
      <c r="C1434" s="471" t="s">
        <v>18</v>
      </c>
      <c r="D1434" s="472" t="s">
        <v>19</v>
      </c>
      <c r="E1434" s="448" t="s">
        <v>4091</v>
      </c>
      <c r="F1434" s="448" t="s">
        <v>4110</v>
      </c>
      <c r="G1434" s="473" t="s">
        <v>2782</v>
      </c>
      <c r="H1434" s="439" t="s">
        <v>1785</v>
      </c>
      <c r="I1434" s="474" t="s">
        <v>3457</v>
      </c>
      <c r="J1434" s="474" t="s">
        <v>3464</v>
      </c>
      <c r="K1434" s="443" t="s">
        <v>1780</v>
      </c>
      <c r="L1434" s="471">
        <v>1</v>
      </c>
      <c r="M1434" s="447" t="s">
        <v>1844</v>
      </c>
      <c r="N1434" s="456">
        <v>7245</v>
      </c>
      <c r="O1434" s="475">
        <f t="shared" si="5"/>
        <v>7245</v>
      </c>
      <c r="P1434" s="476"/>
      <c r="Q1434" s="477">
        <v>46023</v>
      </c>
      <c r="R1434" s="476"/>
      <c r="S1434" s="476"/>
    </row>
    <row r="1435" spans="1:19" ht="15.75" customHeight="1" x14ac:dyDescent="0.25">
      <c r="A1435" s="438">
        <v>1432</v>
      </c>
      <c r="B1435" s="470" t="s">
        <v>17</v>
      </c>
      <c r="C1435" s="471" t="s">
        <v>18</v>
      </c>
      <c r="D1435" s="472" t="s">
        <v>19</v>
      </c>
      <c r="E1435" s="448" t="s">
        <v>4088</v>
      </c>
      <c r="F1435" s="448" t="s">
        <v>3049</v>
      </c>
      <c r="G1435" s="473" t="s">
        <v>2782</v>
      </c>
      <c r="H1435" s="439" t="s">
        <v>1785</v>
      </c>
      <c r="I1435" s="474" t="s">
        <v>3457</v>
      </c>
      <c r="J1435" s="474" t="s">
        <v>3464</v>
      </c>
      <c r="K1435" s="443" t="s">
        <v>1780</v>
      </c>
      <c r="L1435" s="471">
        <v>1</v>
      </c>
      <c r="M1435" s="447" t="s">
        <v>1845</v>
      </c>
      <c r="N1435" s="456">
        <v>7245</v>
      </c>
      <c r="O1435" s="475">
        <f t="shared" si="5"/>
        <v>7245</v>
      </c>
      <c r="P1435" s="476"/>
      <c r="Q1435" s="477">
        <v>46023</v>
      </c>
      <c r="R1435" s="476"/>
      <c r="S1435" s="476"/>
    </row>
    <row r="1436" spans="1:19" ht="15.75" customHeight="1" x14ac:dyDescent="0.25">
      <c r="A1436" s="438">
        <v>1433</v>
      </c>
      <c r="B1436" s="470" t="s">
        <v>17</v>
      </c>
      <c r="C1436" s="471" t="s">
        <v>18</v>
      </c>
      <c r="D1436" s="472" t="s">
        <v>19</v>
      </c>
      <c r="E1436" s="448" t="s">
        <v>4088</v>
      </c>
      <c r="F1436" s="448" t="s">
        <v>3049</v>
      </c>
      <c r="G1436" s="473" t="s">
        <v>2782</v>
      </c>
      <c r="H1436" s="439" t="s">
        <v>1785</v>
      </c>
      <c r="I1436" s="474" t="s">
        <v>3457</v>
      </c>
      <c r="J1436" s="474" t="s">
        <v>3464</v>
      </c>
      <c r="K1436" s="443" t="s">
        <v>1780</v>
      </c>
      <c r="L1436" s="471">
        <v>1</v>
      </c>
      <c r="M1436" s="447" t="s">
        <v>1846</v>
      </c>
      <c r="N1436" s="456">
        <v>7245</v>
      </c>
      <c r="O1436" s="475">
        <f t="shared" si="5"/>
        <v>7245</v>
      </c>
      <c r="P1436" s="476"/>
      <c r="Q1436" s="477">
        <v>46023</v>
      </c>
      <c r="R1436" s="476"/>
      <c r="S1436" s="476"/>
    </row>
    <row r="1437" spans="1:19" ht="15.75" customHeight="1" x14ac:dyDescent="0.25">
      <c r="A1437" s="438">
        <v>1434</v>
      </c>
      <c r="B1437" s="470" t="s">
        <v>17</v>
      </c>
      <c r="C1437" s="471" t="s">
        <v>18</v>
      </c>
      <c r="D1437" s="472" t="s">
        <v>19</v>
      </c>
      <c r="E1437" s="448" t="s">
        <v>4088</v>
      </c>
      <c r="F1437" s="448" t="s">
        <v>3049</v>
      </c>
      <c r="G1437" s="473" t="s">
        <v>2782</v>
      </c>
      <c r="H1437" s="439" t="s">
        <v>1785</v>
      </c>
      <c r="I1437" s="474" t="s">
        <v>3457</v>
      </c>
      <c r="J1437" s="474" t="s">
        <v>3464</v>
      </c>
      <c r="K1437" s="443" t="s">
        <v>1780</v>
      </c>
      <c r="L1437" s="471">
        <v>1</v>
      </c>
      <c r="M1437" s="447" t="s">
        <v>1847</v>
      </c>
      <c r="N1437" s="456">
        <v>7245</v>
      </c>
      <c r="O1437" s="475">
        <f t="shared" si="5"/>
        <v>7245</v>
      </c>
      <c r="P1437" s="476"/>
      <c r="Q1437" s="477">
        <v>46023</v>
      </c>
      <c r="R1437" s="476"/>
      <c r="S1437" s="476"/>
    </row>
    <row r="1438" spans="1:19" ht="15.75" customHeight="1" x14ac:dyDescent="0.25">
      <c r="A1438" s="438">
        <v>1435</v>
      </c>
      <c r="B1438" s="470" t="s">
        <v>17</v>
      </c>
      <c r="C1438" s="471" t="s">
        <v>18</v>
      </c>
      <c r="D1438" s="472" t="s">
        <v>19</v>
      </c>
      <c r="E1438" s="448" t="s">
        <v>4088</v>
      </c>
      <c r="F1438" s="448" t="s">
        <v>4106</v>
      </c>
      <c r="G1438" s="473" t="s">
        <v>2782</v>
      </c>
      <c r="H1438" s="439" t="s">
        <v>1785</v>
      </c>
      <c r="I1438" s="474" t="s">
        <v>3457</v>
      </c>
      <c r="J1438" s="474" t="s">
        <v>3464</v>
      </c>
      <c r="K1438" s="443" t="s">
        <v>1780</v>
      </c>
      <c r="L1438" s="471">
        <v>1</v>
      </c>
      <c r="M1438" s="447" t="s">
        <v>1848</v>
      </c>
      <c r="N1438" s="456">
        <v>7245</v>
      </c>
      <c r="O1438" s="475">
        <f t="shared" si="5"/>
        <v>7245</v>
      </c>
      <c r="P1438" s="476"/>
      <c r="Q1438" s="477">
        <v>46023</v>
      </c>
      <c r="R1438" s="476"/>
      <c r="S1438" s="476"/>
    </row>
    <row r="1439" spans="1:19" ht="15.75" customHeight="1" x14ac:dyDescent="0.25">
      <c r="A1439" s="438">
        <v>1436</v>
      </c>
      <c r="B1439" s="470" t="s">
        <v>17</v>
      </c>
      <c r="C1439" s="471" t="s">
        <v>18</v>
      </c>
      <c r="D1439" s="472" t="s">
        <v>19</v>
      </c>
      <c r="E1439" s="448" t="s">
        <v>4088</v>
      </c>
      <c r="F1439" s="448" t="s">
        <v>4106</v>
      </c>
      <c r="G1439" s="473" t="s">
        <v>2782</v>
      </c>
      <c r="H1439" s="439" t="s">
        <v>1785</v>
      </c>
      <c r="I1439" s="474" t="s">
        <v>3457</v>
      </c>
      <c r="J1439" s="474" t="s">
        <v>3464</v>
      </c>
      <c r="K1439" s="443" t="s">
        <v>1780</v>
      </c>
      <c r="L1439" s="471">
        <v>1</v>
      </c>
      <c r="M1439" s="447" t="s">
        <v>1849</v>
      </c>
      <c r="N1439" s="456">
        <v>7245</v>
      </c>
      <c r="O1439" s="475">
        <f t="shared" si="5"/>
        <v>7245</v>
      </c>
      <c r="P1439" s="476"/>
      <c r="Q1439" s="477">
        <v>46023</v>
      </c>
      <c r="R1439" s="476"/>
      <c r="S1439" s="476"/>
    </row>
    <row r="1440" spans="1:19" ht="15.75" customHeight="1" x14ac:dyDescent="0.25">
      <c r="A1440" s="438">
        <v>1437</v>
      </c>
      <c r="B1440" s="470" t="s">
        <v>17</v>
      </c>
      <c r="C1440" s="471" t="s">
        <v>18</v>
      </c>
      <c r="D1440" s="472" t="s">
        <v>19</v>
      </c>
      <c r="E1440" s="448" t="s">
        <v>4088</v>
      </c>
      <c r="F1440" s="448" t="s">
        <v>4106</v>
      </c>
      <c r="G1440" s="473" t="s">
        <v>2782</v>
      </c>
      <c r="H1440" s="439" t="s">
        <v>1785</v>
      </c>
      <c r="I1440" s="474" t="s">
        <v>3457</v>
      </c>
      <c r="J1440" s="474" t="s">
        <v>3464</v>
      </c>
      <c r="K1440" s="443" t="s">
        <v>1780</v>
      </c>
      <c r="L1440" s="471">
        <v>1</v>
      </c>
      <c r="M1440" s="447" t="s">
        <v>1850</v>
      </c>
      <c r="N1440" s="456">
        <v>7245</v>
      </c>
      <c r="O1440" s="475">
        <f t="shared" si="5"/>
        <v>7245</v>
      </c>
      <c r="P1440" s="476"/>
      <c r="Q1440" s="477">
        <v>46023</v>
      </c>
      <c r="R1440" s="476"/>
      <c r="S1440" s="476"/>
    </row>
    <row r="1441" spans="1:19" ht="15.75" customHeight="1" x14ac:dyDescent="0.25">
      <c r="A1441" s="438">
        <v>1438</v>
      </c>
      <c r="B1441" s="470" t="s">
        <v>17</v>
      </c>
      <c r="C1441" s="471" t="s">
        <v>18</v>
      </c>
      <c r="D1441" s="472" t="s">
        <v>19</v>
      </c>
      <c r="E1441" s="448" t="s">
        <v>4087</v>
      </c>
      <c r="F1441" s="448" t="s">
        <v>4098</v>
      </c>
      <c r="G1441" s="473" t="s">
        <v>2782</v>
      </c>
      <c r="H1441" s="439" t="s">
        <v>1785</v>
      </c>
      <c r="I1441" s="474" t="s">
        <v>3457</v>
      </c>
      <c r="J1441" s="474" t="s">
        <v>3464</v>
      </c>
      <c r="K1441" s="443" t="s">
        <v>1780</v>
      </c>
      <c r="L1441" s="471">
        <v>1</v>
      </c>
      <c r="M1441" s="447" t="s">
        <v>1851</v>
      </c>
      <c r="N1441" s="456">
        <v>7245</v>
      </c>
      <c r="O1441" s="475">
        <f t="shared" si="5"/>
        <v>7245</v>
      </c>
      <c r="P1441" s="476"/>
      <c r="Q1441" s="477">
        <v>46023</v>
      </c>
      <c r="R1441" s="476"/>
      <c r="S1441" s="476"/>
    </row>
    <row r="1442" spans="1:19" ht="15.75" customHeight="1" x14ac:dyDescent="0.25">
      <c r="A1442" s="438">
        <v>1439</v>
      </c>
      <c r="B1442" s="470" t="s">
        <v>17</v>
      </c>
      <c r="C1442" s="471" t="s">
        <v>18</v>
      </c>
      <c r="D1442" s="472" t="s">
        <v>19</v>
      </c>
      <c r="E1442" s="448" t="s">
        <v>4087</v>
      </c>
      <c r="F1442" s="448" t="s">
        <v>4098</v>
      </c>
      <c r="G1442" s="473" t="s">
        <v>2782</v>
      </c>
      <c r="H1442" s="439" t="s">
        <v>1785</v>
      </c>
      <c r="I1442" s="474" t="s">
        <v>3457</v>
      </c>
      <c r="J1442" s="474" t="s">
        <v>3464</v>
      </c>
      <c r="K1442" s="443" t="s">
        <v>1780</v>
      </c>
      <c r="L1442" s="471">
        <v>1</v>
      </c>
      <c r="M1442" s="447" t="s">
        <v>1852</v>
      </c>
      <c r="N1442" s="456">
        <v>7245</v>
      </c>
      <c r="O1442" s="475">
        <f t="shared" si="5"/>
        <v>7245</v>
      </c>
      <c r="P1442" s="476"/>
      <c r="Q1442" s="477">
        <v>46023</v>
      </c>
      <c r="R1442" s="476"/>
      <c r="S1442" s="476"/>
    </row>
    <row r="1443" spans="1:19" ht="15.75" customHeight="1" x14ac:dyDescent="0.25">
      <c r="A1443" s="438">
        <v>1440</v>
      </c>
      <c r="B1443" s="470" t="s">
        <v>17</v>
      </c>
      <c r="C1443" s="471" t="s">
        <v>18</v>
      </c>
      <c r="D1443" s="472" t="s">
        <v>19</v>
      </c>
      <c r="E1443" s="448" t="s">
        <v>4083</v>
      </c>
      <c r="F1443" s="448" t="s">
        <v>4100</v>
      </c>
      <c r="G1443" s="473" t="s">
        <v>2782</v>
      </c>
      <c r="H1443" s="439" t="s">
        <v>1785</v>
      </c>
      <c r="I1443" s="474" t="s">
        <v>3457</v>
      </c>
      <c r="J1443" s="474" t="s">
        <v>3464</v>
      </c>
      <c r="K1443" s="443" t="s">
        <v>1780</v>
      </c>
      <c r="L1443" s="471">
        <v>1</v>
      </c>
      <c r="M1443" s="447" t="s">
        <v>1853</v>
      </c>
      <c r="N1443" s="456">
        <v>7245</v>
      </c>
      <c r="O1443" s="475">
        <f t="shared" si="5"/>
        <v>7245</v>
      </c>
      <c r="P1443" s="476"/>
      <c r="Q1443" s="477">
        <v>46023</v>
      </c>
      <c r="R1443" s="476"/>
      <c r="S1443" s="476"/>
    </row>
    <row r="1444" spans="1:19" ht="15.75" customHeight="1" x14ac:dyDescent="0.25">
      <c r="A1444" s="438">
        <v>1441</v>
      </c>
      <c r="B1444" s="470" t="s">
        <v>17</v>
      </c>
      <c r="C1444" s="471" t="s">
        <v>18</v>
      </c>
      <c r="D1444" s="472" t="s">
        <v>19</v>
      </c>
      <c r="E1444" s="448" t="s">
        <v>4083</v>
      </c>
      <c r="F1444" s="448" t="s">
        <v>4100</v>
      </c>
      <c r="G1444" s="473" t="s">
        <v>2782</v>
      </c>
      <c r="H1444" s="439" t="s">
        <v>1785</v>
      </c>
      <c r="I1444" s="474" t="s">
        <v>3457</v>
      </c>
      <c r="J1444" s="474" t="s">
        <v>3464</v>
      </c>
      <c r="K1444" s="443" t="s">
        <v>1780</v>
      </c>
      <c r="L1444" s="471">
        <v>1</v>
      </c>
      <c r="M1444" s="447" t="s">
        <v>1854</v>
      </c>
      <c r="N1444" s="456">
        <v>7245</v>
      </c>
      <c r="O1444" s="475">
        <f t="shared" si="5"/>
        <v>7245</v>
      </c>
      <c r="P1444" s="476"/>
      <c r="Q1444" s="477">
        <v>46023</v>
      </c>
      <c r="R1444" s="476"/>
      <c r="S1444" s="476"/>
    </row>
    <row r="1445" spans="1:19" ht="15.75" customHeight="1" x14ac:dyDescent="0.25">
      <c r="A1445" s="438">
        <v>1442</v>
      </c>
      <c r="B1445" s="470" t="s">
        <v>17</v>
      </c>
      <c r="C1445" s="471" t="s">
        <v>18</v>
      </c>
      <c r="D1445" s="472" t="s">
        <v>19</v>
      </c>
      <c r="E1445" s="448" t="s">
        <v>4083</v>
      </c>
      <c r="F1445" s="448" t="s">
        <v>4100</v>
      </c>
      <c r="G1445" s="473" t="s">
        <v>2782</v>
      </c>
      <c r="H1445" s="439" t="s">
        <v>1785</v>
      </c>
      <c r="I1445" s="474" t="s">
        <v>3457</v>
      </c>
      <c r="J1445" s="474" t="s">
        <v>3464</v>
      </c>
      <c r="K1445" s="443" t="s">
        <v>1780</v>
      </c>
      <c r="L1445" s="471">
        <v>1</v>
      </c>
      <c r="M1445" s="447" t="s">
        <v>1855</v>
      </c>
      <c r="N1445" s="456">
        <v>7245</v>
      </c>
      <c r="O1445" s="475">
        <f t="shared" si="5"/>
        <v>7245</v>
      </c>
      <c r="P1445" s="476"/>
      <c r="Q1445" s="477">
        <v>46023</v>
      </c>
      <c r="R1445" s="476"/>
      <c r="S1445" s="476"/>
    </row>
    <row r="1446" spans="1:19" ht="15.75" customHeight="1" x14ac:dyDescent="0.25">
      <c r="A1446" s="438">
        <v>1443</v>
      </c>
      <c r="B1446" s="470" t="s">
        <v>17</v>
      </c>
      <c r="C1446" s="471" t="s">
        <v>18</v>
      </c>
      <c r="D1446" s="472" t="s">
        <v>19</v>
      </c>
      <c r="E1446" s="448" t="s">
        <v>4083</v>
      </c>
      <c r="F1446" s="448" t="s">
        <v>4100</v>
      </c>
      <c r="G1446" s="473" t="s">
        <v>2782</v>
      </c>
      <c r="H1446" s="439" t="s">
        <v>1785</v>
      </c>
      <c r="I1446" s="474" t="s">
        <v>3457</v>
      </c>
      <c r="J1446" s="474" t="s">
        <v>3464</v>
      </c>
      <c r="K1446" s="443" t="s">
        <v>1780</v>
      </c>
      <c r="L1446" s="471">
        <v>1</v>
      </c>
      <c r="M1446" s="447" t="s">
        <v>1856</v>
      </c>
      <c r="N1446" s="456">
        <v>7245</v>
      </c>
      <c r="O1446" s="475">
        <f t="shared" si="5"/>
        <v>7245</v>
      </c>
      <c r="P1446" s="476"/>
      <c r="Q1446" s="477">
        <v>46023</v>
      </c>
      <c r="R1446" s="476"/>
      <c r="S1446" s="476"/>
    </row>
    <row r="1447" spans="1:19" ht="15.75" customHeight="1" x14ac:dyDescent="0.25">
      <c r="A1447" s="438">
        <v>1444</v>
      </c>
      <c r="B1447" s="470" t="s">
        <v>17</v>
      </c>
      <c r="C1447" s="471" t="s">
        <v>18</v>
      </c>
      <c r="D1447" s="472" t="s">
        <v>19</v>
      </c>
      <c r="E1447" s="448" t="s">
        <v>4083</v>
      </c>
      <c r="F1447" s="448" t="s">
        <v>4100</v>
      </c>
      <c r="G1447" s="473" t="s">
        <v>2782</v>
      </c>
      <c r="H1447" s="439" t="s">
        <v>1785</v>
      </c>
      <c r="I1447" s="474" t="s">
        <v>3457</v>
      </c>
      <c r="J1447" s="474" t="s">
        <v>3464</v>
      </c>
      <c r="K1447" s="443" t="s">
        <v>1780</v>
      </c>
      <c r="L1447" s="471">
        <v>1</v>
      </c>
      <c r="M1447" s="447" t="s">
        <v>1857</v>
      </c>
      <c r="N1447" s="456">
        <v>7245</v>
      </c>
      <c r="O1447" s="475">
        <f t="shared" si="5"/>
        <v>7245</v>
      </c>
      <c r="P1447" s="476"/>
      <c r="Q1447" s="477">
        <v>46023</v>
      </c>
      <c r="R1447" s="476"/>
      <c r="S1447" s="476"/>
    </row>
    <row r="1448" spans="1:19" ht="15.75" customHeight="1" x14ac:dyDescent="0.25">
      <c r="A1448" s="438">
        <v>1445</v>
      </c>
      <c r="B1448" s="470" t="s">
        <v>17</v>
      </c>
      <c r="C1448" s="471" t="s">
        <v>18</v>
      </c>
      <c r="D1448" s="472" t="s">
        <v>19</v>
      </c>
      <c r="E1448" s="448" t="s">
        <v>4083</v>
      </c>
      <c r="F1448" s="448" t="s">
        <v>4100</v>
      </c>
      <c r="G1448" s="473" t="s">
        <v>2782</v>
      </c>
      <c r="H1448" s="439" t="s">
        <v>1785</v>
      </c>
      <c r="I1448" s="474" t="s">
        <v>3457</v>
      </c>
      <c r="J1448" s="474" t="s">
        <v>3464</v>
      </c>
      <c r="K1448" s="443" t="s">
        <v>1780</v>
      </c>
      <c r="L1448" s="471">
        <v>1</v>
      </c>
      <c r="M1448" s="447" t="s">
        <v>1858</v>
      </c>
      <c r="N1448" s="456">
        <v>7245</v>
      </c>
      <c r="O1448" s="475">
        <f t="shared" si="5"/>
        <v>7245</v>
      </c>
      <c r="P1448" s="476"/>
      <c r="Q1448" s="477">
        <v>46023</v>
      </c>
      <c r="R1448" s="476"/>
      <c r="S1448" s="476"/>
    </row>
    <row r="1449" spans="1:19" ht="15.75" customHeight="1" x14ac:dyDescent="0.25">
      <c r="A1449" s="438">
        <v>1446</v>
      </c>
      <c r="B1449" s="470" t="s">
        <v>17</v>
      </c>
      <c r="C1449" s="471" t="s">
        <v>18</v>
      </c>
      <c r="D1449" s="472" t="s">
        <v>19</v>
      </c>
      <c r="E1449" s="448" t="s">
        <v>4083</v>
      </c>
      <c r="F1449" s="448" t="s">
        <v>4100</v>
      </c>
      <c r="G1449" s="473" t="s">
        <v>2782</v>
      </c>
      <c r="H1449" s="439" t="s">
        <v>1785</v>
      </c>
      <c r="I1449" s="474" t="s">
        <v>3457</v>
      </c>
      <c r="J1449" s="474" t="s">
        <v>3464</v>
      </c>
      <c r="K1449" s="443" t="s">
        <v>1780</v>
      </c>
      <c r="L1449" s="471">
        <v>1</v>
      </c>
      <c r="M1449" s="447" t="s">
        <v>1859</v>
      </c>
      <c r="N1449" s="456">
        <v>7245</v>
      </c>
      <c r="O1449" s="475">
        <f t="shared" si="5"/>
        <v>7245</v>
      </c>
      <c r="P1449" s="476"/>
      <c r="Q1449" s="477">
        <v>46023</v>
      </c>
      <c r="R1449" s="476"/>
      <c r="S1449" s="476"/>
    </row>
    <row r="1450" spans="1:19" ht="15.75" customHeight="1" x14ac:dyDescent="0.25">
      <c r="A1450" s="438">
        <v>1447</v>
      </c>
      <c r="B1450" s="470" t="s">
        <v>17</v>
      </c>
      <c r="C1450" s="471" t="s">
        <v>18</v>
      </c>
      <c r="D1450" s="472" t="s">
        <v>19</v>
      </c>
      <c r="E1450" s="448" t="s">
        <v>4083</v>
      </c>
      <c r="F1450" s="448" t="s">
        <v>4100</v>
      </c>
      <c r="G1450" s="473" t="s">
        <v>2782</v>
      </c>
      <c r="H1450" s="439" t="s">
        <v>1785</v>
      </c>
      <c r="I1450" s="474" t="s">
        <v>3457</v>
      </c>
      <c r="J1450" s="474" t="s">
        <v>3464</v>
      </c>
      <c r="K1450" s="443" t="s">
        <v>1780</v>
      </c>
      <c r="L1450" s="471">
        <v>1</v>
      </c>
      <c r="M1450" s="447" t="s">
        <v>1860</v>
      </c>
      <c r="N1450" s="456">
        <v>7245</v>
      </c>
      <c r="O1450" s="475">
        <f t="shared" si="5"/>
        <v>7245</v>
      </c>
      <c r="P1450" s="476"/>
      <c r="Q1450" s="477">
        <v>46023</v>
      </c>
      <c r="R1450" s="476"/>
      <c r="S1450" s="476"/>
    </row>
    <row r="1451" spans="1:19" ht="15.75" customHeight="1" x14ac:dyDescent="0.25">
      <c r="A1451" s="438">
        <v>1448</v>
      </c>
      <c r="B1451" s="470" t="s">
        <v>17</v>
      </c>
      <c r="C1451" s="471" t="s">
        <v>18</v>
      </c>
      <c r="D1451" s="472" t="s">
        <v>19</v>
      </c>
      <c r="E1451" s="448" t="s">
        <v>4086</v>
      </c>
      <c r="F1451" s="448" t="s">
        <v>4112</v>
      </c>
      <c r="G1451" s="473" t="s">
        <v>2782</v>
      </c>
      <c r="H1451" s="439" t="s">
        <v>1785</v>
      </c>
      <c r="I1451" s="474" t="s">
        <v>3457</v>
      </c>
      <c r="J1451" s="474" t="s">
        <v>3464</v>
      </c>
      <c r="K1451" s="443" t="s">
        <v>1780</v>
      </c>
      <c r="L1451" s="471">
        <v>1</v>
      </c>
      <c r="M1451" s="447" t="s">
        <v>1861</v>
      </c>
      <c r="N1451" s="456">
        <v>7245</v>
      </c>
      <c r="O1451" s="475">
        <f t="shared" si="5"/>
        <v>7245</v>
      </c>
      <c r="P1451" s="476"/>
      <c r="Q1451" s="477">
        <v>46023</v>
      </c>
      <c r="R1451" s="476"/>
      <c r="S1451" s="476"/>
    </row>
    <row r="1452" spans="1:19" ht="15.75" customHeight="1" x14ac:dyDescent="0.25">
      <c r="A1452" s="438">
        <v>1449</v>
      </c>
      <c r="B1452" s="470" t="s">
        <v>17</v>
      </c>
      <c r="C1452" s="471" t="s">
        <v>18</v>
      </c>
      <c r="D1452" s="472" t="s">
        <v>19</v>
      </c>
      <c r="E1452" s="448" t="s">
        <v>4086</v>
      </c>
      <c r="F1452" s="448" t="s">
        <v>4112</v>
      </c>
      <c r="G1452" s="473" t="s">
        <v>2782</v>
      </c>
      <c r="H1452" s="439" t="s">
        <v>1785</v>
      </c>
      <c r="I1452" s="474" t="s">
        <v>3457</v>
      </c>
      <c r="J1452" s="474" t="s">
        <v>3464</v>
      </c>
      <c r="K1452" s="443" t="s">
        <v>1780</v>
      </c>
      <c r="L1452" s="471">
        <v>1</v>
      </c>
      <c r="M1452" s="447" t="s">
        <v>1862</v>
      </c>
      <c r="N1452" s="456">
        <v>7245</v>
      </c>
      <c r="O1452" s="475">
        <f t="shared" si="5"/>
        <v>7245</v>
      </c>
      <c r="P1452" s="476"/>
      <c r="Q1452" s="477">
        <v>46023</v>
      </c>
      <c r="R1452" s="476"/>
      <c r="S1452" s="476"/>
    </row>
    <row r="1453" spans="1:19" ht="15.75" customHeight="1" x14ac:dyDescent="0.25">
      <c r="A1453" s="438">
        <v>1450</v>
      </c>
      <c r="B1453" s="470" t="s">
        <v>17</v>
      </c>
      <c r="C1453" s="471" t="s">
        <v>18</v>
      </c>
      <c r="D1453" s="472" t="s">
        <v>19</v>
      </c>
      <c r="E1453" s="448" t="s">
        <v>4086</v>
      </c>
      <c r="F1453" s="448" t="s">
        <v>4112</v>
      </c>
      <c r="G1453" s="473" t="s">
        <v>2782</v>
      </c>
      <c r="H1453" s="439" t="s">
        <v>1785</v>
      </c>
      <c r="I1453" s="474" t="s">
        <v>3457</v>
      </c>
      <c r="J1453" s="474" t="s">
        <v>3464</v>
      </c>
      <c r="K1453" s="443" t="s">
        <v>1780</v>
      </c>
      <c r="L1453" s="471">
        <v>1</v>
      </c>
      <c r="M1453" s="447" t="s">
        <v>1863</v>
      </c>
      <c r="N1453" s="456">
        <v>7245</v>
      </c>
      <c r="O1453" s="475">
        <f t="shared" si="5"/>
        <v>7245</v>
      </c>
      <c r="P1453" s="476"/>
      <c r="Q1453" s="477">
        <v>46023</v>
      </c>
      <c r="R1453" s="476"/>
      <c r="S1453" s="476"/>
    </row>
    <row r="1454" spans="1:19" ht="15.75" customHeight="1" x14ac:dyDescent="0.25">
      <c r="A1454" s="438">
        <v>1451</v>
      </c>
      <c r="B1454" s="470" t="s">
        <v>17</v>
      </c>
      <c r="C1454" s="471" t="s">
        <v>18</v>
      </c>
      <c r="D1454" s="472" t="s">
        <v>19</v>
      </c>
      <c r="E1454" s="448" t="s">
        <v>4086</v>
      </c>
      <c r="F1454" s="448" t="s">
        <v>4111</v>
      </c>
      <c r="G1454" s="473" t="s">
        <v>2782</v>
      </c>
      <c r="H1454" s="439" t="s">
        <v>1785</v>
      </c>
      <c r="I1454" s="474" t="s">
        <v>3457</v>
      </c>
      <c r="J1454" s="474" t="s">
        <v>3464</v>
      </c>
      <c r="K1454" s="443" t="s">
        <v>1780</v>
      </c>
      <c r="L1454" s="471">
        <v>1</v>
      </c>
      <c r="M1454" s="447" t="s">
        <v>1864</v>
      </c>
      <c r="N1454" s="456">
        <v>7245</v>
      </c>
      <c r="O1454" s="475">
        <f t="shared" si="5"/>
        <v>7245</v>
      </c>
      <c r="P1454" s="476"/>
      <c r="Q1454" s="477">
        <v>46023</v>
      </c>
      <c r="R1454" s="476"/>
      <c r="S1454" s="476"/>
    </row>
    <row r="1455" spans="1:19" ht="15.75" customHeight="1" x14ac:dyDescent="0.25">
      <c r="A1455" s="438">
        <v>1452</v>
      </c>
      <c r="B1455" s="470" t="s">
        <v>17</v>
      </c>
      <c r="C1455" s="471" t="s">
        <v>18</v>
      </c>
      <c r="D1455" s="472" t="s">
        <v>19</v>
      </c>
      <c r="E1455" s="448" t="s">
        <v>4086</v>
      </c>
      <c r="F1455" s="448" t="s">
        <v>4111</v>
      </c>
      <c r="G1455" s="473" t="s">
        <v>2782</v>
      </c>
      <c r="H1455" s="439" t="s">
        <v>1785</v>
      </c>
      <c r="I1455" s="474" t="s">
        <v>3457</v>
      </c>
      <c r="J1455" s="474" t="s">
        <v>3464</v>
      </c>
      <c r="K1455" s="443" t="s">
        <v>1780</v>
      </c>
      <c r="L1455" s="471">
        <v>1</v>
      </c>
      <c r="M1455" s="447" t="s">
        <v>1865</v>
      </c>
      <c r="N1455" s="456">
        <v>7245</v>
      </c>
      <c r="O1455" s="475">
        <f t="shared" si="5"/>
        <v>7245</v>
      </c>
      <c r="P1455" s="476"/>
      <c r="Q1455" s="477">
        <v>46023</v>
      </c>
      <c r="R1455" s="476"/>
      <c r="S1455" s="476"/>
    </row>
    <row r="1456" spans="1:19" ht="15.75" customHeight="1" x14ac:dyDescent="0.25">
      <c r="A1456" s="438">
        <v>1453</v>
      </c>
      <c r="B1456" s="470" t="s">
        <v>17</v>
      </c>
      <c r="C1456" s="471" t="s">
        <v>18</v>
      </c>
      <c r="D1456" s="472" t="s">
        <v>19</v>
      </c>
      <c r="E1456" s="448" t="s">
        <v>4086</v>
      </c>
      <c r="F1456" s="448" t="s">
        <v>4111</v>
      </c>
      <c r="G1456" s="473" t="s">
        <v>2782</v>
      </c>
      <c r="H1456" s="439" t="s">
        <v>1785</v>
      </c>
      <c r="I1456" s="474" t="s">
        <v>3457</v>
      </c>
      <c r="J1456" s="474" t="s">
        <v>3464</v>
      </c>
      <c r="K1456" s="443" t="s">
        <v>1780</v>
      </c>
      <c r="L1456" s="471">
        <v>1</v>
      </c>
      <c r="M1456" s="447" t="s">
        <v>1866</v>
      </c>
      <c r="N1456" s="456">
        <v>7245</v>
      </c>
      <c r="O1456" s="475">
        <f t="shared" si="5"/>
        <v>7245</v>
      </c>
      <c r="P1456" s="476"/>
      <c r="Q1456" s="477">
        <v>46023</v>
      </c>
      <c r="R1456" s="476"/>
      <c r="S1456" s="476"/>
    </row>
    <row r="1457" spans="1:19" ht="15.75" customHeight="1" x14ac:dyDescent="0.25">
      <c r="A1457" s="438">
        <v>1454</v>
      </c>
      <c r="B1457" s="470" t="s">
        <v>17</v>
      </c>
      <c r="C1457" s="471" t="s">
        <v>18</v>
      </c>
      <c r="D1457" s="472" t="s">
        <v>19</v>
      </c>
      <c r="E1457" s="448" t="s">
        <v>4091</v>
      </c>
      <c r="F1457" s="448" t="s">
        <v>4115</v>
      </c>
      <c r="G1457" s="473" t="s">
        <v>2782</v>
      </c>
      <c r="H1457" s="439" t="s">
        <v>1785</v>
      </c>
      <c r="I1457" s="474" t="s">
        <v>3457</v>
      </c>
      <c r="J1457" s="474" t="s">
        <v>3464</v>
      </c>
      <c r="K1457" s="443" t="s">
        <v>1780</v>
      </c>
      <c r="L1457" s="471">
        <v>1</v>
      </c>
      <c r="M1457" s="447" t="s">
        <v>1867</v>
      </c>
      <c r="N1457" s="456">
        <v>7245</v>
      </c>
      <c r="O1457" s="475">
        <f t="shared" si="5"/>
        <v>7245</v>
      </c>
      <c r="P1457" s="476"/>
      <c r="Q1457" s="477">
        <v>46023</v>
      </c>
      <c r="R1457" s="476"/>
      <c r="S1457" s="476"/>
    </row>
    <row r="1458" spans="1:19" ht="15.75" customHeight="1" x14ac:dyDescent="0.25">
      <c r="A1458" s="438">
        <v>1455</v>
      </c>
      <c r="B1458" s="470" t="s">
        <v>17</v>
      </c>
      <c r="C1458" s="471" t="s">
        <v>18</v>
      </c>
      <c r="D1458" s="472" t="s">
        <v>19</v>
      </c>
      <c r="E1458" s="448" t="s">
        <v>4091</v>
      </c>
      <c r="F1458" s="448" t="s">
        <v>4114</v>
      </c>
      <c r="G1458" s="473" t="s">
        <v>2782</v>
      </c>
      <c r="H1458" s="439" t="s">
        <v>1785</v>
      </c>
      <c r="I1458" s="474" t="s">
        <v>3457</v>
      </c>
      <c r="J1458" s="474" t="s">
        <v>3464</v>
      </c>
      <c r="K1458" s="443" t="s">
        <v>1780</v>
      </c>
      <c r="L1458" s="471">
        <v>1</v>
      </c>
      <c r="M1458" s="447" t="s">
        <v>1868</v>
      </c>
      <c r="N1458" s="456">
        <v>7245</v>
      </c>
      <c r="O1458" s="475">
        <f t="shared" si="5"/>
        <v>7245</v>
      </c>
      <c r="P1458" s="476"/>
      <c r="Q1458" s="477">
        <v>46023</v>
      </c>
      <c r="R1458" s="476"/>
      <c r="S1458" s="476"/>
    </row>
    <row r="1459" spans="1:19" ht="15.75" customHeight="1" x14ac:dyDescent="0.25">
      <c r="A1459" s="438">
        <v>1456</v>
      </c>
      <c r="B1459" s="470" t="s">
        <v>17</v>
      </c>
      <c r="C1459" s="471" t="s">
        <v>18</v>
      </c>
      <c r="D1459" s="472" t="s">
        <v>19</v>
      </c>
      <c r="E1459" s="448" t="s">
        <v>4091</v>
      </c>
      <c r="F1459" s="448" t="s">
        <v>4114</v>
      </c>
      <c r="G1459" s="473" t="s">
        <v>2782</v>
      </c>
      <c r="H1459" s="439" t="s">
        <v>1785</v>
      </c>
      <c r="I1459" s="474" t="s">
        <v>3457</v>
      </c>
      <c r="J1459" s="474" t="s">
        <v>3464</v>
      </c>
      <c r="K1459" s="443" t="s">
        <v>1780</v>
      </c>
      <c r="L1459" s="471">
        <v>1</v>
      </c>
      <c r="M1459" s="447" t="s">
        <v>1869</v>
      </c>
      <c r="N1459" s="456">
        <v>7245</v>
      </c>
      <c r="O1459" s="475">
        <f t="shared" si="5"/>
        <v>7245</v>
      </c>
      <c r="P1459" s="476"/>
      <c r="Q1459" s="477">
        <v>46023</v>
      </c>
      <c r="R1459" s="476"/>
      <c r="S1459" s="476"/>
    </row>
    <row r="1460" spans="1:19" ht="15.75" customHeight="1" x14ac:dyDescent="0.25">
      <c r="A1460" s="438">
        <v>1457</v>
      </c>
      <c r="B1460" s="470" t="s">
        <v>17</v>
      </c>
      <c r="C1460" s="471" t="s">
        <v>18</v>
      </c>
      <c r="D1460" s="472" t="s">
        <v>19</v>
      </c>
      <c r="E1460" s="448" t="s">
        <v>4085</v>
      </c>
      <c r="F1460" s="448" t="s">
        <v>2982</v>
      </c>
      <c r="G1460" s="473" t="s">
        <v>2782</v>
      </c>
      <c r="H1460" s="439" t="s">
        <v>1870</v>
      </c>
      <c r="I1460" s="474" t="s">
        <v>3457</v>
      </c>
      <c r="J1460" s="474" t="s">
        <v>3464</v>
      </c>
      <c r="K1460" s="443" t="s">
        <v>1780</v>
      </c>
      <c r="L1460" s="471">
        <v>1</v>
      </c>
      <c r="M1460" s="447" t="s">
        <v>1871</v>
      </c>
      <c r="N1460" s="456">
        <v>6500</v>
      </c>
      <c r="O1460" s="475">
        <f t="shared" si="5"/>
        <v>6500</v>
      </c>
      <c r="P1460" s="476"/>
      <c r="Q1460" s="477">
        <v>46023</v>
      </c>
      <c r="R1460" s="476"/>
      <c r="S1460" s="476"/>
    </row>
    <row r="1461" spans="1:19" ht="15.75" customHeight="1" x14ac:dyDescent="0.25">
      <c r="A1461" s="438">
        <v>1458</v>
      </c>
      <c r="B1461" s="470" t="s">
        <v>17</v>
      </c>
      <c r="C1461" s="471" t="s">
        <v>18</v>
      </c>
      <c r="D1461" s="472" t="s">
        <v>19</v>
      </c>
      <c r="E1461" s="448" t="s">
        <v>4085</v>
      </c>
      <c r="F1461" s="448" t="s">
        <v>2982</v>
      </c>
      <c r="G1461" s="473" t="s">
        <v>2782</v>
      </c>
      <c r="H1461" s="439" t="s">
        <v>1870</v>
      </c>
      <c r="I1461" s="474" t="s">
        <v>3457</v>
      </c>
      <c r="J1461" s="474" t="s">
        <v>3464</v>
      </c>
      <c r="K1461" s="443" t="s">
        <v>1780</v>
      </c>
      <c r="L1461" s="471">
        <v>1</v>
      </c>
      <c r="M1461" s="447" t="s">
        <v>1872</v>
      </c>
      <c r="N1461" s="456">
        <v>6500</v>
      </c>
      <c r="O1461" s="475">
        <f t="shared" si="5"/>
        <v>6500</v>
      </c>
      <c r="P1461" s="476"/>
      <c r="Q1461" s="477">
        <v>46023</v>
      </c>
      <c r="R1461" s="476"/>
      <c r="S1461" s="476"/>
    </row>
    <row r="1462" spans="1:19" ht="15.75" customHeight="1" x14ac:dyDescent="0.25">
      <c r="A1462" s="438">
        <v>1459</v>
      </c>
      <c r="B1462" s="470" t="s">
        <v>17</v>
      </c>
      <c r="C1462" s="471" t="s">
        <v>18</v>
      </c>
      <c r="D1462" s="472" t="s">
        <v>19</v>
      </c>
      <c r="E1462" s="448" t="s">
        <v>4085</v>
      </c>
      <c r="F1462" s="448" t="s">
        <v>2982</v>
      </c>
      <c r="G1462" s="473" t="s">
        <v>2782</v>
      </c>
      <c r="H1462" s="439" t="s">
        <v>1870</v>
      </c>
      <c r="I1462" s="474" t="s">
        <v>3457</v>
      </c>
      <c r="J1462" s="474" t="s">
        <v>3464</v>
      </c>
      <c r="K1462" s="443" t="s">
        <v>1780</v>
      </c>
      <c r="L1462" s="471">
        <v>1</v>
      </c>
      <c r="M1462" s="447" t="s">
        <v>1873</v>
      </c>
      <c r="N1462" s="456">
        <v>6500</v>
      </c>
      <c r="O1462" s="475">
        <f t="shared" si="5"/>
        <v>6500</v>
      </c>
      <c r="P1462" s="476"/>
      <c r="Q1462" s="477">
        <v>46023</v>
      </c>
      <c r="R1462" s="476"/>
      <c r="S1462" s="476"/>
    </row>
    <row r="1463" spans="1:19" ht="15.75" customHeight="1" x14ac:dyDescent="0.25">
      <c r="A1463" s="438">
        <v>1460</v>
      </c>
      <c r="B1463" s="470" t="s">
        <v>17</v>
      </c>
      <c r="C1463" s="471" t="s">
        <v>18</v>
      </c>
      <c r="D1463" s="472" t="s">
        <v>19</v>
      </c>
      <c r="E1463" s="448" t="s">
        <v>4085</v>
      </c>
      <c r="F1463" s="448" t="s">
        <v>2982</v>
      </c>
      <c r="G1463" s="473" t="s">
        <v>2782</v>
      </c>
      <c r="H1463" s="439" t="s">
        <v>1870</v>
      </c>
      <c r="I1463" s="474" t="s">
        <v>3457</v>
      </c>
      <c r="J1463" s="474" t="s">
        <v>3464</v>
      </c>
      <c r="K1463" s="443" t="s">
        <v>1780</v>
      </c>
      <c r="L1463" s="471">
        <v>1</v>
      </c>
      <c r="M1463" s="447" t="s">
        <v>1874</v>
      </c>
      <c r="N1463" s="456">
        <v>6500</v>
      </c>
      <c r="O1463" s="475">
        <f t="shared" si="5"/>
        <v>6500</v>
      </c>
      <c r="P1463" s="476"/>
      <c r="Q1463" s="477">
        <v>46023</v>
      </c>
      <c r="R1463" s="476"/>
      <c r="S1463" s="476"/>
    </row>
    <row r="1464" spans="1:19" ht="15.75" customHeight="1" x14ac:dyDescent="0.25">
      <c r="A1464" s="438">
        <v>1461</v>
      </c>
      <c r="B1464" s="470" t="s">
        <v>17</v>
      </c>
      <c r="C1464" s="471" t="s">
        <v>18</v>
      </c>
      <c r="D1464" s="472" t="s">
        <v>19</v>
      </c>
      <c r="E1464" s="448" t="s">
        <v>4085</v>
      </c>
      <c r="F1464" s="448" t="s">
        <v>2982</v>
      </c>
      <c r="G1464" s="473" t="s">
        <v>2782</v>
      </c>
      <c r="H1464" s="439" t="s">
        <v>1870</v>
      </c>
      <c r="I1464" s="474" t="s">
        <v>3457</v>
      </c>
      <c r="J1464" s="474" t="s">
        <v>3464</v>
      </c>
      <c r="K1464" s="443" t="s">
        <v>1780</v>
      </c>
      <c r="L1464" s="471">
        <v>1</v>
      </c>
      <c r="M1464" s="447" t="s">
        <v>1875</v>
      </c>
      <c r="N1464" s="456">
        <v>6500</v>
      </c>
      <c r="O1464" s="475">
        <f t="shared" si="5"/>
        <v>6500</v>
      </c>
      <c r="P1464" s="476"/>
      <c r="Q1464" s="477">
        <v>46023</v>
      </c>
      <c r="R1464" s="476"/>
      <c r="S1464" s="476"/>
    </row>
    <row r="1465" spans="1:19" ht="15.75" customHeight="1" x14ac:dyDescent="0.25">
      <c r="A1465" s="438">
        <v>1462</v>
      </c>
      <c r="B1465" s="470" t="s">
        <v>17</v>
      </c>
      <c r="C1465" s="471" t="s">
        <v>18</v>
      </c>
      <c r="D1465" s="472" t="s">
        <v>19</v>
      </c>
      <c r="E1465" s="448" t="s">
        <v>4088</v>
      </c>
      <c r="F1465" s="448" t="s">
        <v>4101</v>
      </c>
      <c r="G1465" s="473" t="s">
        <v>3045</v>
      </c>
      <c r="H1465" s="439" t="s">
        <v>1876</v>
      </c>
      <c r="I1465" s="474" t="s">
        <v>3457</v>
      </c>
      <c r="J1465" s="474" t="s">
        <v>3464</v>
      </c>
      <c r="K1465" s="443" t="s">
        <v>1592</v>
      </c>
      <c r="L1465" s="471">
        <v>1</v>
      </c>
      <c r="M1465" s="447" t="s">
        <v>1877</v>
      </c>
      <c r="N1465" s="456">
        <v>11283</v>
      </c>
      <c r="O1465" s="475">
        <f t="shared" si="5"/>
        <v>11283</v>
      </c>
      <c r="P1465" s="476"/>
      <c r="Q1465" s="477">
        <v>46023</v>
      </c>
      <c r="R1465" s="476"/>
      <c r="S1465" s="476"/>
    </row>
    <row r="1466" spans="1:19" ht="15.75" customHeight="1" x14ac:dyDescent="0.25">
      <c r="A1466" s="438">
        <v>1463</v>
      </c>
      <c r="B1466" s="470" t="s">
        <v>17</v>
      </c>
      <c r="C1466" s="471" t="s">
        <v>18</v>
      </c>
      <c r="D1466" s="472" t="s">
        <v>19</v>
      </c>
      <c r="E1466" s="448" t="s">
        <v>4085</v>
      </c>
      <c r="F1466" s="448" t="s">
        <v>2985</v>
      </c>
      <c r="G1466" s="473" t="s">
        <v>3045</v>
      </c>
      <c r="H1466" s="439" t="s">
        <v>1876</v>
      </c>
      <c r="I1466" s="474" t="s">
        <v>3457</v>
      </c>
      <c r="J1466" s="474" t="s">
        <v>3464</v>
      </c>
      <c r="K1466" s="443" t="s">
        <v>1592</v>
      </c>
      <c r="L1466" s="471">
        <v>1</v>
      </c>
      <c r="M1466" s="447" t="s">
        <v>1878</v>
      </c>
      <c r="N1466" s="456">
        <v>11283</v>
      </c>
      <c r="O1466" s="475">
        <f t="shared" si="5"/>
        <v>11283</v>
      </c>
      <c r="P1466" s="476"/>
      <c r="Q1466" s="477">
        <v>46023</v>
      </c>
      <c r="R1466" s="476"/>
      <c r="S1466" s="476"/>
    </row>
    <row r="1467" spans="1:19" ht="15.75" customHeight="1" x14ac:dyDescent="0.25">
      <c r="A1467" s="438">
        <v>1464</v>
      </c>
      <c r="B1467" s="470" t="s">
        <v>17</v>
      </c>
      <c r="C1467" s="471" t="s">
        <v>18</v>
      </c>
      <c r="D1467" s="472" t="s">
        <v>19</v>
      </c>
      <c r="E1467" s="448" t="s">
        <v>4085</v>
      </c>
      <c r="F1467" s="448" t="s">
        <v>2985</v>
      </c>
      <c r="G1467" s="473" t="s">
        <v>3045</v>
      </c>
      <c r="H1467" s="439" t="s">
        <v>1876</v>
      </c>
      <c r="I1467" s="474" t="s">
        <v>3457</v>
      </c>
      <c r="J1467" s="474" t="s">
        <v>3464</v>
      </c>
      <c r="K1467" s="443" t="s">
        <v>1592</v>
      </c>
      <c r="L1467" s="471">
        <v>1</v>
      </c>
      <c r="M1467" s="447" t="s">
        <v>1879</v>
      </c>
      <c r="N1467" s="456">
        <v>11283</v>
      </c>
      <c r="O1467" s="475">
        <f t="shared" si="5"/>
        <v>11283</v>
      </c>
      <c r="P1467" s="476"/>
      <c r="Q1467" s="477">
        <v>46023</v>
      </c>
      <c r="R1467" s="476"/>
      <c r="S1467" s="476"/>
    </row>
    <row r="1468" spans="1:19" ht="15.75" customHeight="1" x14ac:dyDescent="0.25">
      <c r="A1468" s="438">
        <v>1465</v>
      </c>
      <c r="B1468" s="470" t="s">
        <v>17</v>
      </c>
      <c r="C1468" s="471" t="s">
        <v>18</v>
      </c>
      <c r="D1468" s="472" t="s">
        <v>19</v>
      </c>
      <c r="E1468" s="448" t="s">
        <v>4085</v>
      </c>
      <c r="F1468" s="448" t="s">
        <v>2985</v>
      </c>
      <c r="G1468" s="473" t="s">
        <v>3045</v>
      </c>
      <c r="H1468" s="439" t="s">
        <v>1876</v>
      </c>
      <c r="I1468" s="474" t="s">
        <v>3457</v>
      </c>
      <c r="J1468" s="474" t="s">
        <v>3464</v>
      </c>
      <c r="K1468" s="443" t="s">
        <v>1592</v>
      </c>
      <c r="L1468" s="471">
        <v>1</v>
      </c>
      <c r="M1468" s="447" t="s">
        <v>1880</v>
      </c>
      <c r="N1468" s="456">
        <v>11283</v>
      </c>
      <c r="O1468" s="475">
        <f t="shared" si="5"/>
        <v>11283</v>
      </c>
      <c r="P1468" s="476"/>
      <c r="Q1468" s="477">
        <v>46023</v>
      </c>
      <c r="R1468" s="476"/>
      <c r="S1468" s="476"/>
    </row>
    <row r="1469" spans="1:19" ht="15.75" customHeight="1" x14ac:dyDescent="0.25">
      <c r="A1469" s="438">
        <v>1466</v>
      </c>
      <c r="B1469" s="470" t="s">
        <v>17</v>
      </c>
      <c r="C1469" s="471" t="s">
        <v>18</v>
      </c>
      <c r="D1469" s="472" t="s">
        <v>19</v>
      </c>
      <c r="E1469" s="448" t="s">
        <v>4085</v>
      </c>
      <c r="F1469" s="448" t="s">
        <v>2985</v>
      </c>
      <c r="G1469" s="473" t="s">
        <v>3045</v>
      </c>
      <c r="H1469" s="439" t="s">
        <v>1876</v>
      </c>
      <c r="I1469" s="474" t="s">
        <v>3457</v>
      </c>
      <c r="J1469" s="474" t="s">
        <v>3464</v>
      </c>
      <c r="K1469" s="443" t="s">
        <v>1592</v>
      </c>
      <c r="L1469" s="471">
        <v>1</v>
      </c>
      <c r="M1469" s="447" t="s">
        <v>1881</v>
      </c>
      <c r="N1469" s="456">
        <v>11283</v>
      </c>
      <c r="O1469" s="475">
        <f t="shared" si="5"/>
        <v>11283</v>
      </c>
      <c r="P1469" s="476"/>
      <c r="Q1469" s="477">
        <v>46023</v>
      </c>
      <c r="R1469" s="476"/>
      <c r="S1469" s="476"/>
    </row>
    <row r="1470" spans="1:19" ht="15.75" customHeight="1" x14ac:dyDescent="0.25">
      <c r="A1470" s="438">
        <v>1467</v>
      </c>
      <c r="B1470" s="470" t="s">
        <v>17</v>
      </c>
      <c r="C1470" s="471" t="s">
        <v>18</v>
      </c>
      <c r="D1470" s="472" t="s">
        <v>19</v>
      </c>
      <c r="E1470" s="448" t="s">
        <v>4088</v>
      </c>
      <c r="F1470" s="448" t="s">
        <v>4101</v>
      </c>
      <c r="G1470" s="473" t="s">
        <v>3045</v>
      </c>
      <c r="H1470" s="439" t="s">
        <v>1882</v>
      </c>
      <c r="I1470" s="474" t="s">
        <v>3457</v>
      </c>
      <c r="J1470" s="474" t="s">
        <v>3464</v>
      </c>
      <c r="K1470" s="443" t="s">
        <v>1592</v>
      </c>
      <c r="L1470" s="471">
        <v>1</v>
      </c>
      <c r="M1470" s="447" t="s">
        <v>1883</v>
      </c>
      <c r="N1470" s="456">
        <v>2700</v>
      </c>
      <c r="O1470" s="475">
        <f t="shared" si="5"/>
        <v>2700</v>
      </c>
      <c r="P1470" s="476"/>
      <c r="Q1470" s="477">
        <v>46023</v>
      </c>
      <c r="R1470" s="476"/>
      <c r="S1470" s="476"/>
    </row>
    <row r="1471" spans="1:19" ht="15.75" customHeight="1" x14ac:dyDescent="0.25">
      <c r="A1471" s="438">
        <v>1468</v>
      </c>
      <c r="B1471" s="470" t="s">
        <v>17</v>
      </c>
      <c r="C1471" s="471" t="s">
        <v>18</v>
      </c>
      <c r="D1471" s="472" t="s">
        <v>19</v>
      </c>
      <c r="E1471" s="465" t="s">
        <v>4088</v>
      </c>
      <c r="F1471" s="448" t="s">
        <v>4101</v>
      </c>
      <c r="G1471" s="473" t="s">
        <v>3045</v>
      </c>
      <c r="H1471" s="439" t="s">
        <v>1882</v>
      </c>
      <c r="I1471" s="474" t="s">
        <v>3457</v>
      </c>
      <c r="J1471" s="474" t="s">
        <v>3464</v>
      </c>
      <c r="K1471" s="443" t="s">
        <v>1592</v>
      </c>
      <c r="L1471" s="471">
        <v>1</v>
      </c>
      <c r="M1471" s="447" t="s">
        <v>1884</v>
      </c>
      <c r="N1471" s="456">
        <v>2700</v>
      </c>
      <c r="O1471" s="475">
        <f t="shared" si="5"/>
        <v>2700</v>
      </c>
      <c r="P1471" s="476"/>
      <c r="Q1471" s="477">
        <v>46023</v>
      </c>
      <c r="R1471" s="476"/>
      <c r="S1471" s="476"/>
    </row>
    <row r="1472" spans="1:19" ht="15.75" customHeight="1" x14ac:dyDescent="0.25">
      <c r="A1472" s="438">
        <v>1469</v>
      </c>
      <c r="B1472" s="470" t="s">
        <v>17</v>
      </c>
      <c r="C1472" s="471" t="s">
        <v>18</v>
      </c>
      <c r="D1472" s="472" t="s">
        <v>19</v>
      </c>
      <c r="E1472" s="465" t="s">
        <v>4088</v>
      </c>
      <c r="F1472" s="448" t="s">
        <v>4101</v>
      </c>
      <c r="G1472" s="473" t="s">
        <v>3045</v>
      </c>
      <c r="H1472" s="439" t="s">
        <v>1882</v>
      </c>
      <c r="I1472" s="474" t="s">
        <v>3457</v>
      </c>
      <c r="J1472" s="474" t="s">
        <v>3464</v>
      </c>
      <c r="K1472" s="443" t="s">
        <v>1592</v>
      </c>
      <c r="L1472" s="471">
        <v>1</v>
      </c>
      <c r="M1472" s="447" t="s">
        <v>1885</v>
      </c>
      <c r="N1472" s="456">
        <v>2700</v>
      </c>
      <c r="O1472" s="475">
        <f t="shared" si="5"/>
        <v>2700</v>
      </c>
      <c r="P1472" s="476"/>
      <c r="Q1472" s="477">
        <v>46023</v>
      </c>
      <c r="R1472" s="476"/>
      <c r="S1472" s="476"/>
    </row>
    <row r="1473" spans="1:19" ht="15.75" customHeight="1" x14ac:dyDescent="0.25">
      <c r="A1473" s="438">
        <v>1470</v>
      </c>
      <c r="B1473" s="470" t="s">
        <v>17</v>
      </c>
      <c r="C1473" s="471" t="s">
        <v>18</v>
      </c>
      <c r="D1473" s="472" t="s">
        <v>19</v>
      </c>
      <c r="E1473" s="448" t="s">
        <v>4088</v>
      </c>
      <c r="F1473" s="448" t="s">
        <v>4101</v>
      </c>
      <c r="G1473" s="473" t="s">
        <v>3045</v>
      </c>
      <c r="H1473" s="439" t="s">
        <v>1882</v>
      </c>
      <c r="I1473" s="474" t="s">
        <v>3457</v>
      </c>
      <c r="J1473" s="474" t="s">
        <v>3464</v>
      </c>
      <c r="K1473" s="443" t="s">
        <v>1592</v>
      </c>
      <c r="L1473" s="471">
        <v>1</v>
      </c>
      <c r="M1473" s="447" t="s">
        <v>1886</v>
      </c>
      <c r="N1473" s="456">
        <v>2700</v>
      </c>
      <c r="O1473" s="475">
        <f t="shared" si="5"/>
        <v>2700</v>
      </c>
      <c r="P1473" s="476"/>
      <c r="Q1473" s="477">
        <v>46023</v>
      </c>
      <c r="R1473" s="476"/>
      <c r="S1473" s="476"/>
    </row>
    <row r="1474" spans="1:19" ht="15.75" customHeight="1" x14ac:dyDescent="0.25">
      <c r="A1474" s="438">
        <v>1471</v>
      </c>
      <c r="B1474" s="470" t="s">
        <v>17</v>
      </c>
      <c r="C1474" s="471" t="s">
        <v>18</v>
      </c>
      <c r="D1474" s="472" t="s">
        <v>19</v>
      </c>
      <c r="E1474" s="465" t="s">
        <v>4088</v>
      </c>
      <c r="F1474" s="448" t="s">
        <v>4101</v>
      </c>
      <c r="G1474" s="473" t="s">
        <v>3045</v>
      </c>
      <c r="H1474" s="439" t="s">
        <v>1882</v>
      </c>
      <c r="I1474" s="474" t="s">
        <v>3457</v>
      </c>
      <c r="J1474" s="474" t="s">
        <v>3464</v>
      </c>
      <c r="K1474" s="443" t="s">
        <v>1592</v>
      </c>
      <c r="L1474" s="471">
        <v>1</v>
      </c>
      <c r="M1474" s="447" t="s">
        <v>1887</v>
      </c>
      <c r="N1474" s="456">
        <v>2700</v>
      </c>
      <c r="O1474" s="475">
        <f t="shared" si="5"/>
        <v>2700</v>
      </c>
      <c r="P1474" s="476"/>
      <c r="Q1474" s="477">
        <v>46023</v>
      </c>
      <c r="R1474" s="476"/>
      <c r="S1474" s="476"/>
    </row>
    <row r="1475" spans="1:19" ht="15.75" customHeight="1" x14ac:dyDescent="0.25">
      <c r="A1475" s="438">
        <v>1472</v>
      </c>
      <c r="B1475" s="470" t="s">
        <v>17</v>
      </c>
      <c r="C1475" s="471" t="s">
        <v>18</v>
      </c>
      <c r="D1475" s="472" t="s">
        <v>19</v>
      </c>
      <c r="E1475" s="465" t="s">
        <v>4091</v>
      </c>
      <c r="F1475" s="448" t="s">
        <v>4115</v>
      </c>
      <c r="G1475" s="473" t="s">
        <v>3045</v>
      </c>
      <c r="H1475" s="439" t="s">
        <v>1882</v>
      </c>
      <c r="I1475" s="474" t="s">
        <v>3457</v>
      </c>
      <c r="J1475" s="474" t="s">
        <v>3464</v>
      </c>
      <c r="K1475" s="443" t="s">
        <v>1592</v>
      </c>
      <c r="L1475" s="471">
        <v>1</v>
      </c>
      <c r="M1475" s="447" t="s">
        <v>1888</v>
      </c>
      <c r="N1475" s="456">
        <v>2700</v>
      </c>
      <c r="O1475" s="475">
        <f t="shared" si="5"/>
        <v>2700</v>
      </c>
      <c r="P1475" s="476"/>
      <c r="Q1475" s="477">
        <v>46023</v>
      </c>
      <c r="R1475" s="476"/>
      <c r="S1475" s="476"/>
    </row>
    <row r="1476" spans="1:19" ht="15.75" customHeight="1" x14ac:dyDescent="0.25">
      <c r="A1476" s="438">
        <v>1473</v>
      </c>
      <c r="B1476" s="470" t="s">
        <v>17</v>
      </c>
      <c r="C1476" s="471" t="s">
        <v>18</v>
      </c>
      <c r="D1476" s="472" t="s">
        <v>19</v>
      </c>
      <c r="E1476" s="465" t="s">
        <v>4091</v>
      </c>
      <c r="F1476" s="448" t="s">
        <v>4115</v>
      </c>
      <c r="G1476" s="473" t="s">
        <v>3045</v>
      </c>
      <c r="H1476" s="439" t="s">
        <v>1882</v>
      </c>
      <c r="I1476" s="474" t="s">
        <v>3457</v>
      </c>
      <c r="J1476" s="474" t="s">
        <v>3464</v>
      </c>
      <c r="K1476" s="443" t="s">
        <v>1592</v>
      </c>
      <c r="L1476" s="471">
        <v>1</v>
      </c>
      <c r="M1476" s="447" t="s">
        <v>1889</v>
      </c>
      <c r="N1476" s="456">
        <v>2700</v>
      </c>
      <c r="O1476" s="475">
        <f t="shared" si="5"/>
        <v>2700</v>
      </c>
      <c r="P1476" s="476"/>
      <c r="Q1476" s="477">
        <v>46023</v>
      </c>
      <c r="R1476" s="476"/>
      <c r="S1476" s="476"/>
    </row>
    <row r="1477" spans="1:19" ht="15.75" customHeight="1" x14ac:dyDescent="0.25">
      <c r="A1477" s="438">
        <v>1474</v>
      </c>
      <c r="B1477" s="470" t="s">
        <v>17</v>
      </c>
      <c r="C1477" s="471" t="s">
        <v>18</v>
      </c>
      <c r="D1477" s="472" t="s">
        <v>19</v>
      </c>
      <c r="E1477" s="465" t="s">
        <v>4091</v>
      </c>
      <c r="F1477" s="448" t="s">
        <v>4115</v>
      </c>
      <c r="G1477" s="473" t="s">
        <v>3045</v>
      </c>
      <c r="H1477" s="439" t="s">
        <v>1882</v>
      </c>
      <c r="I1477" s="474" t="s">
        <v>3457</v>
      </c>
      <c r="J1477" s="474" t="s">
        <v>3464</v>
      </c>
      <c r="K1477" s="443" t="s">
        <v>1592</v>
      </c>
      <c r="L1477" s="471">
        <v>1</v>
      </c>
      <c r="M1477" s="447" t="s">
        <v>1890</v>
      </c>
      <c r="N1477" s="456">
        <v>2700</v>
      </c>
      <c r="O1477" s="475">
        <f t="shared" si="5"/>
        <v>2700</v>
      </c>
      <c r="P1477" s="476"/>
      <c r="Q1477" s="477">
        <v>46023</v>
      </c>
      <c r="R1477" s="476"/>
      <c r="S1477" s="476"/>
    </row>
    <row r="1478" spans="1:19" ht="15.75" customHeight="1" x14ac:dyDescent="0.25">
      <c r="A1478" s="438">
        <v>1475</v>
      </c>
      <c r="B1478" s="470" t="s">
        <v>17</v>
      </c>
      <c r="C1478" s="471" t="s">
        <v>18</v>
      </c>
      <c r="D1478" s="472" t="s">
        <v>19</v>
      </c>
      <c r="E1478" s="448" t="s">
        <v>4091</v>
      </c>
      <c r="F1478" s="448" t="s">
        <v>4115</v>
      </c>
      <c r="G1478" s="473" t="s">
        <v>3045</v>
      </c>
      <c r="H1478" s="439" t="s">
        <v>1882</v>
      </c>
      <c r="I1478" s="474" t="s">
        <v>3457</v>
      </c>
      <c r="J1478" s="474" t="s">
        <v>3464</v>
      </c>
      <c r="K1478" s="443" t="s">
        <v>1592</v>
      </c>
      <c r="L1478" s="471">
        <v>1</v>
      </c>
      <c r="M1478" s="447" t="s">
        <v>1891</v>
      </c>
      <c r="N1478" s="456">
        <v>2700</v>
      </c>
      <c r="O1478" s="475">
        <f t="shared" si="5"/>
        <v>2700</v>
      </c>
      <c r="P1478" s="476"/>
      <c r="Q1478" s="477">
        <v>46023</v>
      </c>
      <c r="R1478" s="476"/>
      <c r="S1478" s="476"/>
    </row>
    <row r="1479" spans="1:19" ht="15.75" customHeight="1" x14ac:dyDescent="0.25">
      <c r="A1479" s="438">
        <v>1476</v>
      </c>
      <c r="B1479" s="470" t="s">
        <v>17</v>
      </c>
      <c r="C1479" s="471" t="s">
        <v>18</v>
      </c>
      <c r="D1479" s="472" t="s">
        <v>19</v>
      </c>
      <c r="E1479" s="448" t="s">
        <v>4091</v>
      </c>
      <c r="F1479" s="448" t="s">
        <v>4115</v>
      </c>
      <c r="G1479" s="473" t="s">
        <v>3045</v>
      </c>
      <c r="H1479" s="439" t="s">
        <v>1882</v>
      </c>
      <c r="I1479" s="474" t="s">
        <v>3457</v>
      </c>
      <c r="J1479" s="474" t="s">
        <v>3464</v>
      </c>
      <c r="K1479" s="443" t="s">
        <v>1592</v>
      </c>
      <c r="L1479" s="471">
        <v>1</v>
      </c>
      <c r="M1479" s="447" t="s">
        <v>1892</v>
      </c>
      <c r="N1479" s="456">
        <v>2700</v>
      </c>
      <c r="O1479" s="475">
        <f t="shared" si="5"/>
        <v>2700</v>
      </c>
      <c r="P1479" s="476"/>
      <c r="Q1479" s="477">
        <v>46023</v>
      </c>
      <c r="R1479" s="476"/>
      <c r="S1479" s="476"/>
    </row>
    <row r="1480" spans="1:19" ht="15.75" customHeight="1" x14ac:dyDescent="0.25">
      <c r="A1480" s="438">
        <v>1477</v>
      </c>
      <c r="B1480" s="470" t="s">
        <v>17</v>
      </c>
      <c r="C1480" s="471" t="s">
        <v>18</v>
      </c>
      <c r="D1480" s="472" t="s">
        <v>19</v>
      </c>
      <c r="E1480" s="448" t="s">
        <v>4091</v>
      </c>
      <c r="F1480" s="448" t="s">
        <v>4110</v>
      </c>
      <c r="G1480" s="473" t="s">
        <v>3045</v>
      </c>
      <c r="H1480" s="439" t="s">
        <v>1882</v>
      </c>
      <c r="I1480" s="474" t="s">
        <v>3457</v>
      </c>
      <c r="J1480" s="474" t="s">
        <v>3464</v>
      </c>
      <c r="K1480" s="443" t="s">
        <v>1592</v>
      </c>
      <c r="L1480" s="471">
        <v>1</v>
      </c>
      <c r="M1480" s="447" t="s">
        <v>1893</v>
      </c>
      <c r="N1480" s="456">
        <v>2700</v>
      </c>
      <c r="O1480" s="475">
        <f t="shared" si="5"/>
        <v>2700</v>
      </c>
      <c r="P1480" s="476"/>
      <c r="Q1480" s="477">
        <v>46023</v>
      </c>
      <c r="R1480" s="476"/>
      <c r="S1480" s="476"/>
    </row>
    <row r="1481" spans="1:19" ht="15.75" customHeight="1" x14ac:dyDescent="0.25">
      <c r="A1481" s="438">
        <v>1478</v>
      </c>
      <c r="B1481" s="470" t="s">
        <v>17</v>
      </c>
      <c r="C1481" s="471" t="s">
        <v>18</v>
      </c>
      <c r="D1481" s="472" t="s">
        <v>19</v>
      </c>
      <c r="E1481" s="448" t="s">
        <v>4091</v>
      </c>
      <c r="F1481" s="448" t="s">
        <v>4110</v>
      </c>
      <c r="G1481" s="473" t="s">
        <v>3045</v>
      </c>
      <c r="H1481" s="439" t="s">
        <v>1882</v>
      </c>
      <c r="I1481" s="474" t="s">
        <v>3457</v>
      </c>
      <c r="J1481" s="474" t="s">
        <v>3464</v>
      </c>
      <c r="K1481" s="443" t="s">
        <v>1592</v>
      </c>
      <c r="L1481" s="471">
        <v>1</v>
      </c>
      <c r="M1481" s="447" t="s">
        <v>1894</v>
      </c>
      <c r="N1481" s="456">
        <v>2700</v>
      </c>
      <c r="O1481" s="475">
        <f t="shared" si="5"/>
        <v>2700</v>
      </c>
      <c r="P1481" s="476"/>
      <c r="Q1481" s="477">
        <v>46023</v>
      </c>
      <c r="R1481" s="476"/>
      <c r="S1481" s="476"/>
    </row>
    <row r="1482" spans="1:19" ht="15.75" customHeight="1" x14ac:dyDescent="0.25">
      <c r="A1482" s="438">
        <v>1479</v>
      </c>
      <c r="B1482" s="470" t="s">
        <v>17</v>
      </c>
      <c r="C1482" s="471" t="s">
        <v>18</v>
      </c>
      <c r="D1482" s="472" t="s">
        <v>19</v>
      </c>
      <c r="E1482" s="448" t="s">
        <v>4091</v>
      </c>
      <c r="F1482" s="448" t="s">
        <v>4110</v>
      </c>
      <c r="G1482" s="473" t="s">
        <v>3045</v>
      </c>
      <c r="H1482" s="439" t="s">
        <v>1882</v>
      </c>
      <c r="I1482" s="474" t="s">
        <v>3457</v>
      </c>
      <c r="J1482" s="474" t="s">
        <v>3464</v>
      </c>
      <c r="K1482" s="443" t="s">
        <v>1592</v>
      </c>
      <c r="L1482" s="471">
        <v>1</v>
      </c>
      <c r="M1482" s="447" t="s">
        <v>1895</v>
      </c>
      <c r="N1482" s="456">
        <v>2700</v>
      </c>
      <c r="O1482" s="475">
        <f t="shared" si="5"/>
        <v>2700</v>
      </c>
      <c r="P1482" s="476"/>
      <c r="Q1482" s="477">
        <v>46023</v>
      </c>
      <c r="R1482" s="476"/>
      <c r="S1482" s="476"/>
    </row>
    <row r="1483" spans="1:19" ht="15.75" customHeight="1" x14ac:dyDescent="0.25">
      <c r="A1483" s="438">
        <v>1480</v>
      </c>
      <c r="B1483" s="470" t="s">
        <v>17</v>
      </c>
      <c r="C1483" s="471" t="s">
        <v>18</v>
      </c>
      <c r="D1483" s="472" t="s">
        <v>19</v>
      </c>
      <c r="E1483" s="448" t="s">
        <v>4091</v>
      </c>
      <c r="F1483" s="448" t="s">
        <v>4110</v>
      </c>
      <c r="G1483" s="473" t="s">
        <v>3045</v>
      </c>
      <c r="H1483" s="439" t="s">
        <v>1882</v>
      </c>
      <c r="I1483" s="474" t="s">
        <v>3457</v>
      </c>
      <c r="J1483" s="474" t="s">
        <v>3464</v>
      </c>
      <c r="K1483" s="443" t="s">
        <v>1592</v>
      </c>
      <c r="L1483" s="471">
        <v>1</v>
      </c>
      <c r="M1483" s="447" t="s">
        <v>1896</v>
      </c>
      <c r="N1483" s="456">
        <v>2700</v>
      </c>
      <c r="O1483" s="475">
        <f t="shared" si="5"/>
        <v>2700</v>
      </c>
      <c r="P1483" s="476"/>
      <c r="Q1483" s="477">
        <v>46023</v>
      </c>
      <c r="R1483" s="476"/>
      <c r="S1483" s="476"/>
    </row>
    <row r="1484" spans="1:19" ht="15.75" customHeight="1" x14ac:dyDescent="0.25">
      <c r="A1484" s="438">
        <v>1481</v>
      </c>
      <c r="B1484" s="470" t="s">
        <v>17</v>
      </c>
      <c r="C1484" s="471" t="s">
        <v>18</v>
      </c>
      <c r="D1484" s="472" t="s">
        <v>19</v>
      </c>
      <c r="E1484" s="448" t="s">
        <v>4091</v>
      </c>
      <c r="F1484" s="448" t="s">
        <v>4110</v>
      </c>
      <c r="G1484" s="473" t="s">
        <v>3045</v>
      </c>
      <c r="H1484" s="439" t="s">
        <v>1882</v>
      </c>
      <c r="I1484" s="474" t="s">
        <v>3457</v>
      </c>
      <c r="J1484" s="474" t="s">
        <v>3464</v>
      </c>
      <c r="K1484" s="443" t="s">
        <v>1592</v>
      </c>
      <c r="L1484" s="471">
        <v>1</v>
      </c>
      <c r="M1484" s="447" t="s">
        <v>1897</v>
      </c>
      <c r="N1484" s="456">
        <v>2700</v>
      </c>
      <c r="O1484" s="475">
        <f t="shared" si="5"/>
        <v>2700</v>
      </c>
      <c r="P1484" s="476"/>
      <c r="Q1484" s="477">
        <v>46023</v>
      </c>
      <c r="R1484" s="476"/>
      <c r="S1484" s="476"/>
    </row>
    <row r="1485" spans="1:19" ht="15.75" customHeight="1" x14ac:dyDescent="0.25">
      <c r="A1485" s="438">
        <v>1482</v>
      </c>
      <c r="B1485" s="470" t="s">
        <v>17</v>
      </c>
      <c r="C1485" s="471" t="s">
        <v>18</v>
      </c>
      <c r="D1485" s="472" t="s">
        <v>19</v>
      </c>
      <c r="E1485" s="448" t="s">
        <v>4088</v>
      </c>
      <c r="F1485" s="448" t="s">
        <v>3049</v>
      </c>
      <c r="G1485" s="473" t="s">
        <v>3045</v>
      </c>
      <c r="H1485" s="439" t="s">
        <v>1882</v>
      </c>
      <c r="I1485" s="474" t="s">
        <v>3457</v>
      </c>
      <c r="J1485" s="474" t="s">
        <v>3464</v>
      </c>
      <c r="K1485" s="443" t="s">
        <v>1592</v>
      </c>
      <c r="L1485" s="471">
        <v>1</v>
      </c>
      <c r="M1485" s="447" t="s">
        <v>1898</v>
      </c>
      <c r="N1485" s="456">
        <v>2700</v>
      </c>
      <c r="O1485" s="475">
        <f t="shared" si="5"/>
        <v>2700</v>
      </c>
      <c r="P1485" s="476"/>
      <c r="Q1485" s="477">
        <v>46023</v>
      </c>
      <c r="R1485" s="476"/>
      <c r="S1485" s="476"/>
    </row>
    <row r="1486" spans="1:19" ht="15.75" customHeight="1" x14ac:dyDescent="0.25">
      <c r="A1486" s="438">
        <v>1483</v>
      </c>
      <c r="B1486" s="470" t="s">
        <v>17</v>
      </c>
      <c r="C1486" s="471" t="s">
        <v>18</v>
      </c>
      <c r="D1486" s="472" t="s">
        <v>19</v>
      </c>
      <c r="E1486" s="448" t="s">
        <v>4088</v>
      </c>
      <c r="F1486" s="448" t="s">
        <v>3049</v>
      </c>
      <c r="G1486" s="473" t="s">
        <v>3045</v>
      </c>
      <c r="H1486" s="439" t="s">
        <v>1882</v>
      </c>
      <c r="I1486" s="474" t="s">
        <v>3457</v>
      </c>
      <c r="J1486" s="474" t="s">
        <v>3464</v>
      </c>
      <c r="K1486" s="443" t="s">
        <v>1592</v>
      </c>
      <c r="L1486" s="471">
        <v>1</v>
      </c>
      <c r="M1486" s="447" t="s">
        <v>1899</v>
      </c>
      <c r="N1486" s="456">
        <v>2700</v>
      </c>
      <c r="O1486" s="475">
        <f t="shared" si="5"/>
        <v>2700</v>
      </c>
      <c r="P1486" s="476"/>
      <c r="Q1486" s="477">
        <v>46023</v>
      </c>
      <c r="R1486" s="476"/>
      <c r="S1486" s="476"/>
    </row>
    <row r="1487" spans="1:19" ht="15.75" customHeight="1" x14ac:dyDescent="0.25">
      <c r="A1487" s="438">
        <v>1484</v>
      </c>
      <c r="B1487" s="470" t="s">
        <v>17</v>
      </c>
      <c r="C1487" s="471" t="s">
        <v>18</v>
      </c>
      <c r="D1487" s="472" t="s">
        <v>19</v>
      </c>
      <c r="E1487" s="448" t="s">
        <v>4088</v>
      </c>
      <c r="F1487" s="448" t="s">
        <v>3049</v>
      </c>
      <c r="G1487" s="473" t="s">
        <v>3045</v>
      </c>
      <c r="H1487" s="439" t="s">
        <v>1882</v>
      </c>
      <c r="I1487" s="474" t="s">
        <v>3457</v>
      </c>
      <c r="J1487" s="474" t="s">
        <v>3464</v>
      </c>
      <c r="K1487" s="443" t="s">
        <v>1592</v>
      </c>
      <c r="L1487" s="471">
        <v>1</v>
      </c>
      <c r="M1487" s="447" t="s">
        <v>1900</v>
      </c>
      <c r="N1487" s="456">
        <v>2700</v>
      </c>
      <c r="O1487" s="475">
        <f t="shared" si="5"/>
        <v>2700</v>
      </c>
      <c r="P1487" s="476"/>
      <c r="Q1487" s="477">
        <v>46023</v>
      </c>
      <c r="R1487" s="476"/>
      <c r="S1487" s="476"/>
    </row>
    <row r="1488" spans="1:19" ht="15.75" customHeight="1" x14ac:dyDescent="0.25">
      <c r="A1488" s="438">
        <v>1485</v>
      </c>
      <c r="B1488" s="470" t="s">
        <v>17</v>
      </c>
      <c r="C1488" s="471" t="s">
        <v>18</v>
      </c>
      <c r="D1488" s="472" t="s">
        <v>19</v>
      </c>
      <c r="E1488" s="448" t="s">
        <v>4088</v>
      </c>
      <c r="F1488" s="448" t="s">
        <v>4106</v>
      </c>
      <c r="G1488" s="473" t="s">
        <v>3045</v>
      </c>
      <c r="H1488" s="439" t="s">
        <v>1882</v>
      </c>
      <c r="I1488" s="474" t="s">
        <v>3457</v>
      </c>
      <c r="J1488" s="474" t="s">
        <v>3464</v>
      </c>
      <c r="K1488" s="443" t="s">
        <v>1592</v>
      </c>
      <c r="L1488" s="471">
        <v>1</v>
      </c>
      <c r="M1488" s="447" t="s">
        <v>1901</v>
      </c>
      <c r="N1488" s="456">
        <v>2700</v>
      </c>
      <c r="O1488" s="475">
        <f t="shared" si="5"/>
        <v>2700</v>
      </c>
      <c r="P1488" s="476"/>
      <c r="Q1488" s="477">
        <v>46023</v>
      </c>
      <c r="R1488" s="476"/>
      <c r="S1488" s="476"/>
    </row>
    <row r="1489" spans="1:19" ht="15.75" customHeight="1" x14ac:dyDescent="0.25">
      <c r="A1489" s="438">
        <v>1486</v>
      </c>
      <c r="B1489" s="470" t="s">
        <v>17</v>
      </c>
      <c r="C1489" s="471" t="s">
        <v>18</v>
      </c>
      <c r="D1489" s="472" t="s">
        <v>19</v>
      </c>
      <c r="E1489" s="448" t="s">
        <v>4088</v>
      </c>
      <c r="F1489" s="448" t="s">
        <v>4106</v>
      </c>
      <c r="G1489" s="473" t="s">
        <v>3045</v>
      </c>
      <c r="H1489" s="439" t="s">
        <v>1882</v>
      </c>
      <c r="I1489" s="474" t="s">
        <v>3457</v>
      </c>
      <c r="J1489" s="474" t="s">
        <v>3464</v>
      </c>
      <c r="K1489" s="443" t="s">
        <v>1592</v>
      </c>
      <c r="L1489" s="471">
        <v>1</v>
      </c>
      <c r="M1489" s="447" t="s">
        <v>1902</v>
      </c>
      <c r="N1489" s="456">
        <v>2700</v>
      </c>
      <c r="O1489" s="475">
        <f t="shared" si="5"/>
        <v>2700</v>
      </c>
      <c r="P1489" s="476"/>
      <c r="Q1489" s="477">
        <v>46023</v>
      </c>
      <c r="R1489" s="476"/>
      <c r="S1489" s="476"/>
    </row>
    <row r="1490" spans="1:19" ht="15.75" customHeight="1" x14ac:dyDescent="0.25">
      <c r="A1490" s="438">
        <v>1487</v>
      </c>
      <c r="B1490" s="470" t="s">
        <v>17</v>
      </c>
      <c r="C1490" s="471" t="s">
        <v>18</v>
      </c>
      <c r="D1490" s="472" t="s">
        <v>19</v>
      </c>
      <c r="E1490" s="448" t="s">
        <v>4088</v>
      </c>
      <c r="F1490" s="448" t="s">
        <v>4106</v>
      </c>
      <c r="G1490" s="473" t="s">
        <v>3045</v>
      </c>
      <c r="H1490" s="439" t="s">
        <v>1882</v>
      </c>
      <c r="I1490" s="474" t="s">
        <v>3457</v>
      </c>
      <c r="J1490" s="474" t="s">
        <v>3464</v>
      </c>
      <c r="K1490" s="443" t="s">
        <v>1592</v>
      </c>
      <c r="L1490" s="471">
        <v>1</v>
      </c>
      <c r="M1490" s="447" t="s">
        <v>1903</v>
      </c>
      <c r="N1490" s="456">
        <v>2700</v>
      </c>
      <c r="O1490" s="475">
        <f t="shared" si="5"/>
        <v>2700</v>
      </c>
      <c r="P1490" s="476"/>
      <c r="Q1490" s="477">
        <v>46023</v>
      </c>
      <c r="R1490" s="476"/>
      <c r="S1490" s="476"/>
    </row>
    <row r="1491" spans="1:19" ht="15.75" customHeight="1" x14ac:dyDescent="0.25">
      <c r="A1491" s="438">
        <v>1488</v>
      </c>
      <c r="B1491" s="470" t="s">
        <v>17</v>
      </c>
      <c r="C1491" s="471" t="s">
        <v>18</v>
      </c>
      <c r="D1491" s="472" t="s">
        <v>19</v>
      </c>
      <c r="E1491" s="448" t="s">
        <v>4088</v>
      </c>
      <c r="F1491" s="448" t="s">
        <v>4106</v>
      </c>
      <c r="G1491" s="473" t="s">
        <v>3045</v>
      </c>
      <c r="H1491" s="439" t="s">
        <v>1882</v>
      </c>
      <c r="I1491" s="474" t="s">
        <v>3457</v>
      </c>
      <c r="J1491" s="474" t="s">
        <v>3464</v>
      </c>
      <c r="K1491" s="443" t="s">
        <v>1592</v>
      </c>
      <c r="L1491" s="471">
        <v>1</v>
      </c>
      <c r="M1491" s="447" t="s">
        <v>1904</v>
      </c>
      <c r="N1491" s="456">
        <v>2700</v>
      </c>
      <c r="O1491" s="475">
        <f t="shared" si="5"/>
        <v>2700</v>
      </c>
      <c r="P1491" s="476"/>
      <c r="Q1491" s="477">
        <v>46023</v>
      </c>
      <c r="R1491" s="476"/>
      <c r="S1491" s="476"/>
    </row>
    <row r="1492" spans="1:19" ht="15.75" customHeight="1" x14ac:dyDescent="0.25">
      <c r="A1492" s="438">
        <v>1489</v>
      </c>
      <c r="B1492" s="470" t="s">
        <v>17</v>
      </c>
      <c r="C1492" s="471" t="s">
        <v>18</v>
      </c>
      <c r="D1492" s="472" t="s">
        <v>19</v>
      </c>
      <c r="E1492" s="448" t="s">
        <v>4087</v>
      </c>
      <c r="F1492" s="448" t="s">
        <v>4098</v>
      </c>
      <c r="G1492" s="473" t="s">
        <v>3045</v>
      </c>
      <c r="H1492" s="439" t="s">
        <v>1882</v>
      </c>
      <c r="I1492" s="474" t="s">
        <v>3457</v>
      </c>
      <c r="J1492" s="474" t="s">
        <v>3464</v>
      </c>
      <c r="K1492" s="443" t="s">
        <v>1592</v>
      </c>
      <c r="L1492" s="471">
        <v>1</v>
      </c>
      <c r="M1492" s="447" t="s">
        <v>1905</v>
      </c>
      <c r="N1492" s="456">
        <v>2700</v>
      </c>
      <c r="O1492" s="475">
        <f t="shared" si="5"/>
        <v>2700</v>
      </c>
      <c r="P1492" s="476"/>
      <c r="Q1492" s="477">
        <v>46023</v>
      </c>
      <c r="R1492" s="476"/>
      <c r="S1492" s="476"/>
    </row>
    <row r="1493" spans="1:19" ht="15.75" customHeight="1" x14ac:dyDescent="0.25">
      <c r="A1493" s="438">
        <v>1490</v>
      </c>
      <c r="B1493" s="470" t="s">
        <v>17</v>
      </c>
      <c r="C1493" s="471" t="s">
        <v>18</v>
      </c>
      <c r="D1493" s="472" t="s">
        <v>19</v>
      </c>
      <c r="E1493" s="448" t="s">
        <v>4087</v>
      </c>
      <c r="F1493" s="448" t="s">
        <v>4098</v>
      </c>
      <c r="G1493" s="473" t="s">
        <v>3045</v>
      </c>
      <c r="H1493" s="439" t="s">
        <v>1882</v>
      </c>
      <c r="I1493" s="474" t="s">
        <v>3457</v>
      </c>
      <c r="J1493" s="474" t="s">
        <v>3464</v>
      </c>
      <c r="K1493" s="443" t="s">
        <v>1592</v>
      </c>
      <c r="L1493" s="471">
        <v>1</v>
      </c>
      <c r="M1493" s="447" t="s">
        <v>1906</v>
      </c>
      <c r="N1493" s="456">
        <v>2700</v>
      </c>
      <c r="O1493" s="475">
        <f t="shared" si="5"/>
        <v>2700</v>
      </c>
      <c r="P1493" s="476"/>
      <c r="Q1493" s="477">
        <v>46023</v>
      </c>
      <c r="R1493" s="476"/>
      <c r="S1493" s="476"/>
    </row>
    <row r="1494" spans="1:19" ht="15.75" customHeight="1" x14ac:dyDescent="0.25">
      <c r="A1494" s="438">
        <v>1491</v>
      </c>
      <c r="B1494" s="470" t="s">
        <v>17</v>
      </c>
      <c r="C1494" s="471" t="s">
        <v>18</v>
      </c>
      <c r="D1494" s="472" t="s">
        <v>19</v>
      </c>
      <c r="E1494" s="448" t="s">
        <v>4087</v>
      </c>
      <c r="F1494" s="448" t="s">
        <v>4098</v>
      </c>
      <c r="G1494" s="473" t="s">
        <v>3045</v>
      </c>
      <c r="H1494" s="439" t="s">
        <v>1882</v>
      </c>
      <c r="I1494" s="474" t="s">
        <v>3457</v>
      </c>
      <c r="J1494" s="474" t="s">
        <v>3464</v>
      </c>
      <c r="K1494" s="443" t="s">
        <v>1592</v>
      </c>
      <c r="L1494" s="471">
        <v>1</v>
      </c>
      <c r="M1494" s="447" t="s">
        <v>1907</v>
      </c>
      <c r="N1494" s="456">
        <v>2700</v>
      </c>
      <c r="O1494" s="475">
        <f t="shared" si="5"/>
        <v>2700</v>
      </c>
      <c r="P1494" s="476"/>
      <c r="Q1494" s="477">
        <v>46023</v>
      </c>
      <c r="R1494" s="476"/>
      <c r="S1494" s="476"/>
    </row>
    <row r="1495" spans="1:19" ht="15.75" customHeight="1" x14ac:dyDescent="0.25">
      <c r="A1495" s="438">
        <v>1492</v>
      </c>
      <c r="B1495" s="470" t="s">
        <v>17</v>
      </c>
      <c r="C1495" s="471" t="s">
        <v>18</v>
      </c>
      <c r="D1495" s="472" t="s">
        <v>19</v>
      </c>
      <c r="E1495" s="448" t="s">
        <v>4087</v>
      </c>
      <c r="F1495" s="448" t="s">
        <v>4098</v>
      </c>
      <c r="G1495" s="473" t="s">
        <v>3045</v>
      </c>
      <c r="H1495" s="439" t="s">
        <v>1882</v>
      </c>
      <c r="I1495" s="474" t="s">
        <v>3457</v>
      </c>
      <c r="J1495" s="474" t="s">
        <v>3464</v>
      </c>
      <c r="K1495" s="443" t="s">
        <v>1592</v>
      </c>
      <c r="L1495" s="471">
        <v>1</v>
      </c>
      <c r="M1495" s="447" t="s">
        <v>1908</v>
      </c>
      <c r="N1495" s="456">
        <v>2700</v>
      </c>
      <c r="O1495" s="475">
        <f t="shared" si="5"/>
        <v>2700</v>
      </c>
      <c r="P1495" s="476"/>
      <c r="Q1495" s="477">
        <v>46023</v>
      </c>
      <c r="R1495" s="476"/>
      <c r="S1495" s="476"/>
    </row>
    <row r="1496" spans="1:19" ht="15.75" customHeight="1" x14ac:dyDescent="0.25">
      <c r="A1496" s="438">
        <v>1493</v>
      </c>
      <c r="B1496" s="470" t="s">
        <v>17</v>
      </c>
      <c r="C1496" s="471" t="s">
        <v>18</v>
      </c>
      <c r="D1496" s="472" t="s">
        <v>19</v>
      </c>
      <c r="E1496" s="448" t="s">
        <v>4086</v>
      </c>
      <c r="F1496" s="448" t="s">
        <v>4112</v>
      </c>
      <c r="G1496" s="473" t="s">
        <v>3045</v>
      </c>
      <c r="H1496" s="439" t="s">
        <v>1882</v>
      </c>
      <c r="I1496" s="474" t="s">
        <v>3457</v>
      </c>
      <c r="J1496" s="474" t="s">
        <v>3464</v>
      </c>
      <c r="K1496" s="443" t="s">
        <v>1592</v>
      </c>
      <c r="L1496" s="471">
        <v>1</v>
      </c>
      <c r="M1496" s="447" t="s">
        <v>1909</v>
      </c>
      <c r="N1496" s="456">
        <v>2700</v>
      </c>
      <c r="O1496" s="475">
        <f t="shared" si="5"/>
        <v>2700</v>
      </c>
      <c r="P1496" s="476"/>
      <c r="Q1496" s="477">
        <v>46023</v>
      </c>
      <c r="R1496" s="476"/>
      <c r="S1496" s="476"/>
    </row>
    <row r="1497" spans="1:19" ht="15.75" customHeight="1" x14ac:dyDescent="0.25">
      <c r="A1497" s="438">
        <v>1494</v>
      </c>
      <c r="B1497" s="470" t="s">
        <v>17</v>
      </c>
      <c r="C1497" s="471" t="s">
        <v>18</v>
      </c>
      <c r="D1497" s="472" t="s">
        <v>19</v>
      </c>
      <c r="E1497" s="465" t="s">
        <v>4091</v>
      </c>
      <c r="F1497" s="448" t="s">
        <v>4114</v>
      </c>
      <c r="G1497" s="473" t="s">
        <v>3045</v>
      </c>
      <c r="H1497" s="439" t="s">
        <v>1882</v>
      </c>
      <c r="I1497" s="474" t="s">
        <v>3457</v>
      </c>
      <c r="J1497" s="474" t="s">
        <v>3464</v>
      </c>
      <c r="K1497" s="443" t="s">
        <v>1592</v>
      </c>
      <c r="L1497" s="471">
        <v>1</v>
      </c>
      <c r="M1497" s="447" t="s">
        <v>1910</v>
      </c>
      <c r="N1497" s="456">
        <v>2700</v>
      </c>
      <c r="O1497" s="475">
        <f t="shared" si="5"/>
        <v>2700</v>
      </c>
      <c r="P1497" s="476"/>
      <c r="Q1497" s="477">
        <v>46023</v>
      </c>
      <c r="R1497" s="476"/>
      <c r="S1497" s="476"/>
    </row>
    <row r="1498" spans="1:19" ht="15.75" customHeight="1" x14ac:dyDescent="0.25">
      <c r="A1498" s="438">
        <v>1495</v>
      </c>
      <c r="B1498" s="470" t="s">
        <v>17</v>
      </c>
      <c r="C1498" s="471" t="s">
        <v>18</v>
      </c>
      <c r="D1498" s="472" t="s">
        <v>19</v>
      </c>
      <c r="E1498" s="465" t="s">
        <v>4091</v>
      </c>
      <c r="F1498" s="448" t="s">
        <v>4114</v>
      </c>
      <c r="G1498" s="473" t="s">
        <v>3045</v>
      </c>
      <c r="H1498" s="439" t="s">
        <v>1882</v>
      </c>
      <c r="I1498" s="474" t="s">
        <v>3457</v>
      </c>
      <c r="J1498" s="474" t="s">
        <v>3464</v>
      </c>
      <c r="K1498" s="443" t="s">
        <v>1592</v>
      </c>
      <c r="L1498" s="471">
        <v>1</v>
      </c>
      <c r="M1498" s="447" t="s">
        <v>1911</v>
      </c>
      <c r="N1498" s="456">
        <v>2700</v>
      </c>
      <c r="O1498" s="475">
        <f t="shared" si="5"/>
        <v>2700</v>
      </c>
      <c r="P1498" s="476"/>
      <c r="Q1498" s="477">
        <v>46023</v>
      </c>
      <c r="R1498" s="476"/>
      <c r="S1498" s="476"/>
    </row>
    <row r="1499" spans="1:19" ht="15.75" customHeight="1" x14ac:dyDescent="0.25">
      <c r="A1499" s="438">
        <v>1496</v>
      </c>
      <c r="B1499" s="470" t="s">
        <v>17</v>
      </c>
      <c r="C1499" s="471" t="s">
        <v>18</v>
      </c>
      <c r="D1499" s="472" t="s">
        <v>19</v>
      </c>
      <c r="E1499" s="465" t="s">
        <v>4091</v>
      </c>
      <c r="F1499" s="448" t="s">
        <v>4114</v>
      </c>
      <c r="G1499" s="473" t="s">
        <v>3045</v>
      </c>
      <c r="H1499" s="439" t="s">
        <v>1882</v>
      </c>
      <c r="I1499" s="474" t="s">
        <v>3457</v>
      </c>
      <c r="J1499" s="474" t="s">
        <v>3464</v>
      </c>
      <c r="K1499" s="443" t="s">
        <v>1592</v>
      </c>
      <c r="L1499" s="471">
        <v>1</v>
      </c>
      <c r="M1499" s="447" t="s">
        <v>1912</v>
      </c>
      <c r="N1499" s="456">
        <v>2700</v>
      </c>
      <c r="O1499" s="475">
        <f t="shared" si="5"/>
        <v>2700</v>
      </c>
      <c r="P1499" s="476"/>
      <c r="Q1499" s="477">
        <v>46023</v>
      </c>
      <c r="R1499" s="476"/>
      <c r="S1499" s="476"/>
    </row>
    <row r="1500" spans="1:19" ht="15.75" customHeight="1" x14ac:dyDescent="0.25">
      <c r="A1500" s="438">
        <v>1497</v>
      </c>
      <c r="B1500" s="470" t="s">
        <v>17</v>
      </c>
      <c r="C1500" s="471" t="s">
        <v>18</v>
      </c>
      <c r="D1500" s="472" t="s">
        <v>19</v>
      </c>
      <c r="E1500" s="465" t="s">
        <v>4091</v>
      </c>
      <c r="F1500" s="448" t="s">
        <v>4114</v>
      </c>
      <c r="G1500" s="473" t="s">
        <v>3045</v>
      </c>
      <c r="H1500" s="439" t="s">
        <v>1882</v>
      </c>
      <c r="I1500" s="474" t="s">
        <v>3457</v>
      </c>
      <c r="J1500" s="474" t="s">
        <v>3464</v>
      </c>
      <c r="K1500" s="443" t="s">
        <v>1592</v>
      </c>
      <c r="L1500" s="471">
        <v>1</v>
      </c>
      <c r="M1500" s="447" t="s">
        <v>1913</v>
      </c>
      <c r="N1500" s="456">
        <v>2700</v>
      </c>
      <c r="O1500" s="475">
        <f t="shared" si="5"/>
        <v>2700</v>
      </c>
      <c r="P1500" s="476"/>
      <c r="Q1500" s="477">
        <v>46023</v>
      </c>
      <c r="R1500" s="476"/>
      <c r="S1500" s="476"/>
    </row>
    <row r="1501" spans="1:19" ht="15.75" customHeight="1" x14ac:dyDescent="0.25">
      <c r="A1501" s="438">
        <v>1498</v>
      </c>
      <c r="B1501" s="470" t="s">
        <v>17</v>
      </c>
      <c r="C1501" s="471" t="s">
        <v>18</v>
      </c>
      <c r="D1501" s="472" t="s">
        <v>19</v>
      </c>
      <c r="E1501" s="465" t="s">
        <v>4086</v>
      </c>
      <c r="F1501" s="448" t="s">
        <v>4097</v>
      </c>
      <c r="G1501" s="473" t="s">
        <v>3045</v>
      </c>
      <c r="H1501" s="439" t="s">
        <v>1882</v>
      </c>
      <c r="I1501" s="474" t="s">
        <v>3457</v>
      </c>
      <c r="J1501" s="474" t="s">
        <v>3464</v>
      </c>
      <c r="K1501" s="443" t="s">
        <v>1592</v>
      </c>
      <c r="L1501" s="471">
        <v>1</v>
      </c>
      <c r="M1501" s="447" t="s">
        <v>1914</v>
      </c>
      <c r="N1501" s="456">
        <v>2700</v>
      </c>
      <c r="O1501" s="475">
        <f t="shared" si="5"/>
        <v>2700</v>
      </c>
      <c r="P1501" s="476"/>
      <c r="Q1501" s="477">
        <v>46023</v>
      </c>
      <c r="R1501" s="476"/>
      <c r="S1501" s="476"/>
    </row>
    <row r="1502" spans="1:19" ht="15.75" customHeight="1" x14ac:dyDescent="0.25">
      <c r="A1502" s="438">
        <v>1499</v>
      </c>
      <c r="B1502" s="470" t="s">
        <v>17</v>
      </c>
      <c r="C1502" s="471" t="s">
        <v>18</v>
      </c>
      <c r="D1502" s="472" t="s">
        <v>19</v>
      </c>
      <c r="E1502" s="465" t="s">
        <v>4086</v>
      </c>
      <c r="F1502" s="448" t="s">
        <v>4097</v>
      </c>
      <c r="G1502" s="473" t="s">
        <v>3045</v>
      </c>
      <c r="H1502" s="439" t="s">
        <v>1882</v>
      </c>
      <c r="I1502" s="474" t="s">
        <v>3457</v>
      </c>
      <c r="J1502" s="474" t="s">
        <v>3464</v>
      </c>
      <c r="K1502" s="443" t="s">
        <v>1592</v>
      </c>
      <c r="L1502" s="471">
        <v>1</v>
      </c>
      <c r="M1502" s="447" t="s">
        <v>1915</v>
      </c>
      <c r="N1502" s="456">
        <v>2700</v>
      </c>
      <c r="O1502" s="475">
        <f t="shared" si="5"/>
        <v>2700</v>
      </c>
      <c r="P1502" s="476"/>
      <c r="Q1502" s="477">
        <v>46023</v>
      </c>
      <c r="R1502" s="476"/>
      <c r="S1502" s="476"/>
    </row>
    <row r="1503" spans="1:19" ht="15.75" customHeight="1" x14ac:dyDescent="0.25">
      <c r="A1503" s="438">
        <v>1500</v>
      </c>
      <c r="B1503" s="470" t="s">
        <v>17</v>
      </c>
      <c r="C1503" s="471" t="s">
        <v>18</v>
      </c>
      <c r="D1503" s="472" t="s">
        <v>19</v>
      </c>
      <c r="E1503" s="465" t="s">
        <v>4080</v>
      </c>
      <c r="F1503" s="448" t="s">
        <v>4080</v>
      </c>
      <c r="G1503" s="473" t="s">
        <v>2471</v>
      </c>
      <c r="H1503" s="439" t="s">
        <v>1916</v>
      </c>
      <c r="I1503" s="474" t="s">
        <v>3457</v>
      </c>
      <c r="J1503" s="474" t="s">
        <v>3463</v>
      </c>
      <c r="K1503" s="443" t="s">
        <v>1917</v>
      </c>
      <c r="L1503" s="471">
        <v>1</v>
      </c>
      <c r="M1503" s="447" t="s">
        <v>1918</v>
      </c>
      <c r="N1503" s="456">
        <v>3386.5</v>
      </c>
      <c r="O1503" s="475">
        <f t="shared" si="5"/>
        <v>3386.5</v>
      </c>
      <c r="P1503" s="476"/>
      <c r="Q1503" s="477">
        <v>46023</v>
      </c>
      <c r="R1503" s="476"/>
      <c r="S1503" s="476"/>
    </row>
    <row r="1504" spans="1:19" ht="15.75" customHeight="1" x14ac:dyDescent="0.25">
      <c r="A1504" s="438">
        <v>1501</v>
      </c>
      <c r="B1504" s="470" t="s">
        <v>17</v>
      </c>
      <c r="C1504" s="471" t="s">
        <v>18</v>
      </c>
      <c r="D1504" s="472" t="s">
        <v>19</v>
      </c>
      <c r="E1504" s="465" t="s">
        <v>4080</v>
      </c>
      <c r="F1504" s="448" t="s">
        <v>4080</v>
      </c>
      <c r="G1504" s="473" t="s">
        <v>2471</v>
      </c>
      <c r="H1504" s="439" t="s">
        <v>1916</v>
      </c>
      <c r="I1504" s="474" t="s">
        <v>3457</v>
      </c>
      <c r="J1504" s="474" t="s">
        <v>3463</v>
      </c>
      <c r="K1504" s="443" t="s">
        <v>1917</v>
      </c>
      <c r="L1504" s="471">
        <v>1</v>
      </c>
      <c r="M1504" s="447" t="s">
        <v>1919</v>
      </c>
      <c r="N1504" s="456">
        <v>3386.5</v>
      </c>
      <c r="O1504" s="475">
        <f t="shared" si="5"/>
        <v>3386.5</v>
      </c>
      <c r="P1504" s="476"/>
      <c r="Q1504" s="477">
        <v>46023</v>
      </c>
      <c r="R1504" s="476"/>
      <c r="S1504" s="476"/>
    </row>
    <row r="1505" spans="1:19" ht="15.75" customHeight="1" x14ac:dyDescent="0.25">
      <c r="A1505" s="438">
        <v>1502</v>
      </c>
      <c r="B1505" s="470" t="s">
        <v>17</v>
      </c>
      <c r="C1505" s="471" t="s">
        <v>18</v>
      </c>
      <c r="D1505" s="472" t="s">
        <v>19</v>
      </c>
      <c r="E1505" s="465" t="s">
        <v>4080</v>
      </c>
      <c r="F1505" s="448" t="s">
        <v>4080</v>
      </c>
      <c r="G1505" s="473" t="s">
        <v>2471</v>
      </c>
      <c r="H1505" s="439" t="s">
        <v>1916</v>
      </c>
      <c r="I1505" s="474" t="s">
        <v>3457</v>
      </c>
      <c r="J1505" s="474" t="s">
        <v>3463</v>
      </c>
      <c r="K1505" s="443" t="s">
        <v>1917</v>
      </c>
      <c r="L1505" s="471">
        <v>1</v>
      </c>
      <c r="M1505" s="447" t="s">
        <v>1920</v>
      </c>
      <c r="N1505" s="456">
        <v>3386.5</v>
      </c>
      <c r="O1505" s="475">
        <f t="shared" si="5"/>
        <v>3386.5</v>
      </c>
      <c r="P1505" s="476"/>
      <c r="Q1505" s="477">
        <v>46023</v>
      </c>
      <c r="R1505" s="476"/>
      <c r="S1505" s="476"/>
    </row>
    <row r="1506" spans="1:19" ht="15.75" customHeight="1" x14ac:dyDescent="0.25">
      <c r="A1506" s="438">
        <v>1503</v>
      </c>
      <c r="B1506" s="470" t="s">
        <v>17</v>
      </c>
      <c r="C1506" s="471" t="s">
        <v>18</v>
      </c>
      <c r="D1506" s="472" t="s">
        <v>19</v>
      </c>
      <c r="E1506" s="465" t="s">
        <v>3047</v>
      </c>
      <c r="F1506" s="448" t="s">
        <v>3047</v>
      </c>
      <c r="G1506" s="473" t="s">
        <v>2471</v>
      </c>
      <c r="H1506" s="439" t="s">
        <v>1916</v>
      </c>
      <c r="I1506" s="474" t="s">
        <v>3457</v>
      </c>
      <c r="J1506" s="474" t="s">
        <v>3463</v>
      </c>
      <c r="K1506" s="443" t="s">
        <v>1917</v>
      </c>
      <c r="L1506" s="471">
        <v>1</v>
      </c>
      <c r="M1506" s="447" t="s">
        <v>1921</v>
      </c>
      <c r="N1506" s="456">
        <v>3386.5</v>
      </c>
      <c r="O1506" s="475">
        <f t="shared" si="5"/>
        <v>3386.5</v>
      </c>
      <c r="P1506" s="476"/>
      <c r="Q1506" s="477">
        <v>46023</v>
      </c>
      <c r="R1506" s="476"/>
      <c r="S1506" s="476"/>
    </row>
    <row r="1507" spans="1:19" ht="15.75" customHeight="1" x14ac:dyDescent="0.25">
      <c r="A1507" s="438">
        <v>1504</v>
      </c>
      <c r="B1507" s="470" t="s">
        <v>17</v>
      </c>
      <c r="C1507" s="471" t="s">
        <v>18</v>
      </c>
      <c r="D1507" s="472" t="s">
        <v>19</v>
      </c>
      <c r="E1507" s="465" t="s">
        <v>4085</v>
      </c>
      <c r="F1507" s="448" t="s">
        <v>3026</v>
      </c>
      <c r="G1507" s="473" t="s">
        <v>2471</v>
      </c>
      <c r="H1507" s="439" t="s">
        <v>1916</v>
      </c>
      <c r="I1507" s="474" t="s">
        <v>3457</v>
      </c>
      <c r="J1507" s="474" t="s">
        <v>3463</v>
      </c>
      <c r="K1507" s="443" t="s">
        <v>1917</v>
      </c>
      <c r="L1507" s="471">
        <v>1</v>
      </c>
      <c r="M1507" s="447" t="s">
        <v>1922</v>
      </c>
      <c r="N1507" s="456">
        <v>3386.5</v>
      </c>
      <c r="O1507" s="475">
        <f t="shared" si="5"/>
        <v>3386.5</v>
      </c>
      <c r="P1507" s="476"/>
      <c r="Q1507" s="477">
        <v>46023</v>
      </c>
      <c r="R1507" s="476"/>
      <c r="S1507" s="476"/>
    </row>
    <row r="1508" spans="1:19" ht="15.75" customHeight="1" x14ac:dyDescent="0.25">
      <c r="A1508" s="438">
        <v>1505</v>
      </c>
      <c r="B1508" s="470" t="s">
        <v>17</v>
      </c>
      <c r="C1508" s="471" t="s">
        <v>18</v>
      </c>
      <c r="D1508" s="472" t="s">
        <v>19</v>
      </c>
      <c r="E1508" s="465" t="s">
        <v>4088</v>
      </c>
      <c r="F1508" s="448" t="s">
        <v>4101</v>
      </c>
      <c r="G1508" s="473" t="s">
        <v>2471</v>
      </c>
      <c r="H1508" s="439" t="s">
        <v>1916</v>
      </c>
      <c r="I1508" s="474" t="s">
        <v>3457</v>
      </c>
      <c r="J1508" s="474" t="s">
        <v>3463</v>
      </c>
      <c r="K1508" s="443" t="s">
        <v>1917</v>
      </c>
      <c r="L1508" s="471">
        <v>1</v>
      </c>
      <c r="M1508" s="447" t="s">
        <v>1923</v>
      </c>
      <c r="N1508" s="456">
        <v>3386.5</v>
      </c>
      <c r="O1508" s="475">
        <f t="shared" si="5"/>
        <v>3386.5</v>
      </c>
      <c r="P1508" s="476"/>
      <c r="Q1508" s="477">
        <v>46023</v>
      </c>
      <c r="R1508" s="476"/>
      <c r="S1508" s="476"/>
    </row>
    <row r="1509" spans="1:19" ht="15.75" customHeight="1" x14ac:dyDescent="0.25">
      <c r="A1509" s="438">
        <v>1506</v>
      </c>
      <c r="B1509" s="470" t="s">
        <v>17</v>
      </c>
      <c r="C1509" s="471" t="s">
        <v>18</v>
      </c>
      <c r="D1509" s="472" t="s">
        <v>19</v>
      </c>
      <c r="E1509" s="465" t="s">
        <v>4085</v>
      </c>
      <c r="F1509" s="448" t="s">
        <v>2985</v>
      </c>
      <c r="G1509" s="473" t="s">
        <v>2471</v>
      </c>
      <c r="H1509" s="439" t="s">
        <v>1916</v>
      </c>
      <c r="I1509" s="474" t="s">
        <v>3457</v>
      </c>
      <c r="J1509" s="474" t="s">
        <v>3463</v>
      </c>
      <c r="K1509" s="443" t="s">
        <v>1917</v>
      </c>
      <c r="L1509" s="471">
        <v>1</v>
      </c>
      <c r="M1509" s="447" t="s">
        <v>1924</v>
      </c>
      <c r="N1509" s="456">
        <v>3386.5</v>
      </c>
      <c r="O1509" s="475">
        <f t="shared" si="5"/>
        <v>3386.5</v>
      </c>
      <c r="P1509" s="476"/>
      <c r="Q1509" s="477">
        <v>46023</v>
      </c>
      <c r="R1509" s="476"/>
      <c r="S1509" s="476"/>
    </row>
    <row r="1510" spans="1:19" ht="15.75" customHeight="1" x14ac:dyDescent="0.25">
      <c r="A1510" s="438">
        <v>1507</v>
      </c>
      <c r="B1510" s="470" t="s">
        <v>17</v>
      </c>
      <c r="C1510" s="471" t="s">
        <v>18</v>
      </c>
      <c r="D1510" s="472" t="s">
        <v>19</v>
      </c>
      <c r="E1510" s="465" t="s">
        <v>4085</v>
      </c>
      <c r="F1510" s="448" t="s">
        <v>2985</v>
      </c>
      <c r="G1510" s="473" t="s">
        <v>2471</v>
      </c>
      <c r="H1510" s="439" t="s">
        <v>1916</v>
      </c>
      <c r="I1510" s="474" t="s">
        <v>3457</v>
      </c>
      <c r="J1510" s="474" t="s">
        <v>3463</v>
      </c>
      <c r="K1510" s="443" t="s">
        <v>1917</v>
      </c>
      <c r="L1510" s="471">
        <v>1</v>
      </c>
      <c r="M1510" s="447" t="s">
        <v>1925</v>
      </c>
      <c r="N1510" s="456">
        <v>3386.5</v>
      </c>
      <c r="O1510" s="475">
        <f t="shared" si="5"/>
        <v>3386.5</v>
      </c>
      <c r="P1510" s="476"/>
      <c r="Q1510" s="477">
        <v>46023</v>
      </c>
      <c r="R1510" s="476"/>
      <c r="S1510" s="476"/>
    </row>
    <row r="1511" spans="1:19" ht="15.75" customHeight="1" x14ac:dyDescent="0.25">
      <c r="A1511" s="438">
        <v>1508</v>
      </c>
      <c r="B1511" s="470" t="s">
        <v>17</v>
      </c>
      <c r="C1511" s="471" t="s">
        <v>18</v>
      </c>
      <c r="D1511" s="472" t="s">
        <v>19</v>
      </c>
      <c r="E1511" s="465" t="s">
        <v>4086</v>
      </c>
      <c r="F1511" s="448" t="s">
        <v>4102</v>
      </c>
      <c r="G1511" s="473" t="s">
        <v>2471</v>
      </c>
      <c r="H1511" s="439" t="s">
        <v>1916</v>
      </c>
      <c r="I1511" s="474" t="s">
        <v>3457</v>
      </c>
      <c r="J1511" s="474" t="s">
        <v>3463</v>
      </c>
      <c r="K1511" s="443" t="s">
        <v>1917</v>
      </c>
      <c r="L1511" s="471">
        <v>1</v>
      </c>
      <c r="M1511" s="447" t="s">
        <v>1926</v>
      </c>
      <c r="N1511" s="456">
        <v>3386.5</v>
      </c>
      <c r="O1511" s="475">
        <f t="shared" si="5"/>
        <v>3386.5</v>
      </c>
      <c r="P1511" s="476"/>
      <c r="Q1511" s="477">
        <v>46023</v>
      </c>
      <c r="R1511" s="476"/>
      <c r="S1511" s="476"/>
    </row>
    <row r="1512" spans="1:19" ht="15.75" customHeight="1" x14ac:dyDescent="0.25">
      <c r="A1512" s="438">
        <v>1509</v>
      </c>
      <c r="B1512" s="470" t="s">
        <v>17</v>
      </c>
      <c r="C1512" s="471" t="s">
        <v>18</v>
      </c>
      <c r="D1512" s="472" t="s">
        <v>19</v>
      </c>
      <c r="E1512" s="465" t="s">
        <v>4091</v>
      </c>
      <c r="F1512" s="448" t="s">
        <v>4115</v>
      </c>
      <c r="G1512" s="473" t="s">
        <v>2471</v>
      </c>
      <c r="H1512" s="439" t="s">
        <v>1916</v>
      </c>
      <c r="I1512" s="474" t="s">
        <v>3457</v>
      </c>
      <c r="J1512" s="474" t="s">
        <v>3463</v>
      </c>
      <c r="K1512" s="443" t="s">
        <v>1917</v>
      </c>
      <c r="L1512" s="471">
        <v>1</v>
      </c>
      <c r="M1512" s="447" t="s">
        <v>1927</v>
      </c>
      <c r="N1512" s="456">
        <v>3386.5</v>
      </c>
      <c r="O1512" s="475">
        <f t="shared" si="5"/>
        <v>3386.5</v>
      </c>
      <c r="P1512" s="476"/>
      <c r="Q1512" s="477">
        <v>46023</v>
      </c>
      <c r="R1512" s="476"/>
      <c r="S1512" s="476"/>
    </row>
    <row r="1513" spans="1:19" ht="15.75" customHeight="1" x14ac:dyDescent="0.25">
      <c r="A1513" s="438">
        <v>1510</v>
      </c>
      <c r="B1513" s="470" t="s">
        <v>17</v>
      </c>
      <c r="C1513" s="471" t="s">
        <v>18</v>
      </c>
      <c r="D1513" s="472" t="s">
        <v>19</v>
      </c>
      <c r="E1513" s="465" t="s">
        <v>4091</v>
      </c>
      <c r="F1513" s="448" t="s">
        <v>4115</v>
      </c>
      <c r="G1513" s="473" t="s">
        <v>2471</v>
      </c>
      <c r="H1513" s="439" t="s">
        <v>1916</v>
      </c>
      <c r="I1513" s="474" t="s">
        <v>3457</v>
      </c>
      <c r="J1513" s="474" t="s">
        <v>3463</v>
      </c>
      <c r="K1513" s="443" t="s">
        <v>1917</v>
      </c>
      <c r="L1513" s="471">
        <v>1</v>
      </c>
      <c r="M1513" s="447" t="s">
        <v>1928</v>
      </c>
      <c r="N1513" s="456">
        <v>3386.5</v>
      </c>
      <c r="O1513" s="475">
        <f t="shared" si="5"/>
        <v>3386.5</v>
      </c>
      <c r="P1513" s="476"/>
      <c r="Q1513" s="477">
        <v>46023</v>
      </c>
      <c r="R1513" s="476"/>
      <c r="S1513" s="476"/>
    </row>
    <row r="1514" spans="1:19" ht="15.75" customHeight="1" x14ac:dyDescent="0.25">
      <c r="A1514" s="438">
        <v>1511</v>
      </c>
      <c r="B1514" s="470" t="s">
        <v>17</v>
      </c>
      <c r="C1514" s="471" t="s">
        <v>18</v>
      </c>
      <c r="D1514" s="472" t="s">
        <v>19</v>
      </c>
      <c r="E1514" s="465" t="s">
        <v>4091</v>
      </c>
      <c r="F1514" s="448" t="s">
        <v>4115</v>
      </c>
      <c r="G1514" s="473" t="s">
        <v>2471</v>
      </c>
      <c r="H1514" s="439" t="s">
        <v>1916</v>
      </c>
      <c r="I1514" s="474" t="s">
        <v>3457</v>
      </c>
      <c r="J1514" s="474" t="s">
        <v>3463</v>
      </c>
      <c r="K1514" s="443" t="s">
        <v>1917</v>
      </c>
      <c r="L1514" s="471">
        <v>1</v>
      </c>
      <c r="M1514" s="447" t="s">
        <v>1929</v>
      </c>
      <c r="N1514" s="456">
        <v>3386.5</v>
      </c>
      <c r="O1514" s="475">
        <f t="shared" si="5"/>
        <v>3386.5</v>
      </c>
      <c r="P1514" s="476"/>
      <c r="Q1514" s="477">
        <v>46023</v>
      </c>
      <c r="R1514" s="476"/>
      <c r="S1514" s="476"/>
    </row>
    <row r="1515" spans="1:19" ht="15.75" customHeight="1" x14ac:dyDescent="0.25">
      <c r="A1515" s="438">
        <v>1512</v>
      </c>
      <c r="B1515" s="470" t="s">
        <v>17</v>
      </c>
      <c r="C1515" s="471" t="s">
        <v>18</v>
      </c>
      <c r="D1515" s="472" t="s">
        <v>19</v>
      </c>
      <c r="E1515" s="465" t="s">
        <v>4091</v>
      </c>
      <c r="F1515" s="448" t="s">
        <v>4110</v>
      </c>
      <c r="G1515" s="473" t="s">
        <v>2471</v>
      </c>
      <c r="H1515" s="439" t="s">
        <v>1916</v>
      </c>
      <c r="I1515" s="474" t="s">
        <v>3457</v>
      </c>
      <c r="J1515" s="474" t="s">
        <v>3463</v>
      </c>
      <c r="K1515" s="443" t="s">
        <v>1917</v>
      </c>
      <c r="L1515" s="471">
        <v>1</v>
      </c>
      <c r="M1515" s="447" t="s">
        <v>1930</v>
      </c>
      <c r="N1515" s="456">
        <v>3386.5</v>
      </c>
      <c r="O1515" s="475">
        <f t="shared" si="5"/>
        <v>3386.5</v>
      </c>
      <c r="P1515" s="476"/>
      <c r="Q1515" s="477">
        <v>46023</v>
      </c>
      <c r="R1515" s="476"/>
      <c r="S1515" s="476"/>
    </row>
    <row r="1516" spans="1:19" ht="15.75" customHeight="1" x14ac:dyDescent="0.25">
      <c r="A1516" s="438">
        <v>1513</v>
      </c>
      <c r="B1516" s="470" t="s">
        <v>17</v>
      </c>
      <c r="C1516" s="471" t="s">
        <v>18</v>
      </c>
      <c r="D1516" s="472" t="s">
        <v>19</v>
      </c>
      <c r="E1516" s="465" t="s">
        <v>4091</v>
      </c>
      <c r="F1516" s="448" t="s">
        <v>4110</v>
      </c>
      <c r="G1516" s="473" t="s">
        <v>2471</v>
      </c>
      <c r="H1516" s="439" t="s">
        <v>1916</v>
      </c>
      <c r="I1516" s="474" t="s">
        <v>3457</v>
      </c>
      <c r="J1516" s="474" t="s">
        <v>3463</v>
      </c>
      <c r="K1516" s="443" t="s">
        <v>1917</v>
      </c>
      <c r="L1516" s="471">
        <v>1</v>
      </c>
      <c r="M1516" s="447" t="s">
        <v>1931</v>
      </c>
      <c r="N1516" s="456">
        <v>3386.5</v>
      </c>
      <c r="O1516" s="475">
        <f t="shared" si="5"/>
        <v>3386.5</v>
      </c>
      <c r="P1516" s="476"/>
      <c r="Q1516" s="477">
        <v>46023</v>
      </c>
      <c r="R1516" s="476"/>
      <c r="S1516" s="476"/>
    </row>
    <row r="1517" spans="1:19" ht="15.75" customHeight="1" x14ac:dyDescent="0.25">
      <c r="A1517" s="438">
        <v>1514</v>
      </c>
      <c r="B1517" s="470" t="s">
        <v>17</v>
      </c>
      <c r="C1517" s="471" t="s">
        <v>18</v>
      </c>
      <c r="D1517" s="472" t="s">
        <v>19</v>
      </c>
      <c r="E1517" s="465" t="s">
        <v>4091</v>
      </c>
      <c r="F1517" s="448" t="s">
        <v>4110</v>
      </c>
      <c r="G1517" s="473" t="s">
        <v>2471</v>
      </c>
      <c r="H1517" s="439" t="s">
        <v>1916</v>
      </c>
      <c r="I1517" s="474" t="s">
        <v>3457</v>
      </c>
      <c r="J1517" s="474" t="s">
        <v>3463</v>
      </c>
      <c r="K1517" s="443" t="s">
        <v>1917</v>
      </c>
      <c r="L1517" s="471">
        <v>1</v>
      </c>
      <c r="M1517" s="447" t="s">
        <v>1932</v>
      </c>
      <c r="N1517" s="456">
        <v>3386.5</v>
      </c>
      <c r="O1517" s="475">
        <f t="shared" si="5"/>
        <v>3386.5</v>
      </c>
      <c r="P1517" s="476"/>
      <c r="Q1517" s="477">
        <v>46023</v>
      </c>
      <c r="R1517" s="476"/>
      <c r="S1517" s="476"/>
    </row>
    <row r="1518" spans="1:19" ht="15.75" customHeight="1" x14ac:dyDescent="0.25">
      <c r="A1518" s="438">
        <v>1515</v>
      </c>
      <c r="B1518" s="470" t="s">
        <v>17</v>
      </c>
      <c r="C1518" s="471" t="s">
        <v>18</v>
      </c>
      <c r="D1518" s="472" t="s">
        <v>19</v>
      </c>
      <c r="E1518" s="465" t="s">
        <v>4088</v>
      </c>
      <c r="F1518" s="448" t="s">
        <v>3049</v>
      </c>
      <c r="G1518" s="473" t="s">
        <v>2471</v>
      </c>
      <c r="H1518" s="439" t="s">
        <v>1916</v>
      </c>
      <c r="I1518" s="474" t="s">
        <v>3457</v>
      </c>
      <c r="J1518" s="474" t="s">
        <v>3463</v>
      </c>
      <c r="K1518" s="443" t="s">
        <v>1917</v>
      </c>
      <c r="L1518" s="471">
        <v>1</v>
      </c>
      <c r="M1518" s="447" t="s">
        <v>1933</v>
      </c>
      <c r="N1518" s="456">
        <v>3386.5</v>
      </c>
      <c r="O1518" s="475">
        <f t="shared" si="5"/>
        <v>3386.5</v>
      </c>
      <c r="P1518" s="476"/>
      <c r="Q1518" s="477">
        <v>46023</v>
      </c>
      <c r="R1518" s="476"/>
      <c r="S1518" s="476"/>
    </row>
    <row r="1519" spans="1:19" ht="15.75" customHeight="1" x14ac:dyDescent="0.25">
      <c r="A1519" s="438">
        <v>1516</v>
      </c>
      <c r="B1519" s="470" t="s">
        <v>17</v>
      </c>
      <c r="C1519" s="471" t="s">
        <v>18</v>
      </c>
      <c r="D1519" s="472" t="s">
        <v>19</v>
      </c>
      <c r="E1519" s="465" t="s">
        <v>4088</v>
      </c>
      <c r="F1519" s="448" t="s">
        <v>4106</v>
      </c>
      <c r="G1519" s="473" t="s">
        <v>2471</v>
      </c>
      <c r="H1519" s="439" t="s">
        <v>1916</v>
      </c>
      <c r="I1519" s="474" t="s">
        <v>3457</v>
      </c>
      <c r="J1519" s="474" t="s">
        <v>3463</v>
      </c>
      <c r="K1519" s="443" t="s">
        <v>1917</v>
      </c>
      <c r="L1519" s="471">
        <v>1</v>
      </c>
      <c r="M1519" s="447" t="s">
        <v>1934</v>
      </c>
      <c r="N1519" s="456">
        <v>3386.5</v>
      </c>
      <c r="O1519" s="475">
        <f t="shared" si="5"/>
        <v>3386.5</v>
      </c>
      <c r="P1519" s="476"/>
      <c r="Q1519" s="477">
        <v>46023</v>
      </c>
      <c r="R1519" s="476"/>
      <c r="S1519" s="476"/>
    </row>
    <row r="1520" spans="1:19" ht="15.75" customHeight="1" x14ac:dyDescent="0.25">
      <c r="A1520" s="438">
        <v>1517</v>
      </c>
      <c r="B1520" s="470" t="s">
        <v>17</v>
      </c>
      <c r="C1520" s="471" t="s">
        <v>18</v>
      </c>
      <c r="D1520" s="472" t="s">
        <v>19</v>
      </c>
      <c r="E1520" s="465" t="s">
        <v>4087</v>
      </c>
      <c r="F1520" s="448" t="s">
        <v>4098</v>
      </c>
      <c r="G1520" s="473" t="s">
        <v>2471</v>
      </c>
      <c r="H1520" s="439" t="s">
        <v>1916</v>
      </c>
      <c r="I1520" s="474" t="s">
        <v>3457</v>
      </c>
      <c r="J1520" s="474" t="s">
        <v>3463</v>
      </c>
      <c r="K1520" s="443" t="s">
        <v>1917</v>
      </c>
      <c r="L1520" s="471">
        <v>1</v>
      </c>
      <c r="M1520" s="447" t="s">
        <v>1935</v>
      </c>
      <c r="N1520" s="456">
        <v>3386.5</v>
      </c>
      <c r="O1520" s="475">
        <f t="shared" si="5"/>
        <v>3386.5</v>
      </c>
      <c r="P1520" s="476"/>
      <c r="Q1520" s="477">
        <v>46023</v>
      </c>
      <c r="R1520" s="476"/>
      <c r="S1520" s="476"/>
    </row>
    <row r="1521" spans="1:19" ht="15.75" customHeight="1" x14ac:dyDescent="0.25">
      <c r="A1521" s="438">
        <v>1518</v>
      </c>
      <c r="B1521" s="470" t="s">
        <v>17</v>
      </c>
      <c r="C1521" s="471" t="s">
        <v>18</v>
      </c>
      <c r="D1521" s="472" t="s">
        <v>19</v>
      </c>
      <c r="E1521" s="465" t="s">
        <v>4087</v>
      </c>
      <c r="F1521" s="448" t="s">
        <v>4098</v>
      </c>
      <c r="G1521" s="473" t="s">
        <v>2471</v>
      </c>
      <c r="H1521" s="439" t="s">
        <v>1916</v>
      </c>
      <c r="I1521" s="474" t="s">
        <v>3457</v>
      </c>
      <c r="J1521" s="474" t="s">
        <v>3463</v>
      </c>
      <c r="K1521" s="443" t="s">
        <v>1917</v>
      </c>
      <c r="L1521" s="471">
        <v>1</v>
      </c>
      <c r="M1521" s="447" t="s">
        <v>1936</v>
      </c>
      <c r="N1521" s="456">
        <v>3386.5</v>
      </c>
      <c r="O1521" s="475">
        <f t="shared" si="5"/>
        <v>3386.5</v>
      </c>
      <c r="P1521" s="476"/>
      <c r="Q1521" s="477">
        <v>46023</v>
      </c>
      <c r="R1521" s="476"/>
      <c r="S1521" s="476"/>
    </row>
    <row r="1522" spans="1:19" ht="15.75" customHeight="1" x14ac:dyDescent="0.25">
      <c r="A1522" s="438">
        <v>1519</v>
      </c>
      <c r="B1522" s="470" t="s">
        <v>17</v>
      </c>
      <c r="C1522" s="471" t="s">
        <v>18</v>
      </c>
      <c r="D1522" s="472" t="s">
        <v>19</v>
      </c>
      <c r="E1522" s="448" t="s">
        <v>4087</v>
      </c>
      <c r="F1522" s="448" t="s">
        <v>4098</v>
      </c>
      <c r="G1522" s="473" t="s">
        <v>2471</v>
      </c>
      <c r="H1522" s="439" t="s">
        <v>1916</v>
      </c>
      <c r="I1522" s="474" t="s">
        <v>3457</v>
      </c>
      <c r="J1522" s="474" t="s">
        <v>3463</v>
      </c>
      <c r="K1522" s="443" t="s">
        <v>1917</v>
      </c>
      <c r="L1522" s="471">
        <v>1</v>
      </c>
      <c r="M1522" s="447" t="s">
        <v>1937</v>
      </c>
      <c r="N1522" s="456">
        <v>3386.5</v>
      </c>
      <c r="O1522" s="475">
        <f t="shared" si="5"/>
        <v>3386.5</v>
      </c>
      <c r="P1522" s="476"/>
      <c r="Q1522" s="477">
        <v>46023</v>
      </c>
      <c r="R1522" s="476"/>
      <c r="S1522" s="476"/>
    </row>
    <row r="1523" spans="1:19" ht="15.75" customHeight="1" x14ac:dyDescent="0.25">
      <c r="A1523" s="438">
        <v>1520</v>
      </c>
      <c r="B1523" s="470" t="s">
        <v>17</v>
      </c>
      <c r="C1523" s="471" t="s">
        <v>18</v>
      </c>
      <c r="D1523" s="472" t="s">
        <v>19</v>
      </c>
      <c r="E1523" s="448" t="s">
        <v>4086</v>
      </c>
      <c r="F1523" s="448" t="s">
        <v>4111</v>
      </c>
      <c r="G1523" s="473" t="s">
        <v>2471</v>
      </c>
      <c r="H1523" s="439" t="s">
        <v>1916</v>
      </c>
      <c r="I1523" s="474" t="s">
        <v>3457</v>
      </c>
      <c r="J1523" s="474" t="s">
        <v>3463</v>
      </c>
      <c r="K1523" s="443" t="s">
        <v>1917</v>
      </c>
      <c r="L1523" s="471">
        <v>1</v>
      </c>
      <c r="M1523" s="447" t="s">
        <v>1938</v>
      </c>
      <c r="N1523" s="456">
        <v>3386.5</v>
      </c>
      <c r="O1523" s="475">
        <f t="shared" si="5"/>
        <v>3386.5</v>
      </c>
      <c r="P1523" s="476"/>
      <c r="Q1523" s="477">
        <v>46023</v>
      </c>
      <c r="R1523" s="476"/>
      <c r="S1523" s="476"/>
    </row>
    <row r="1524" spans="1:19" ht="15.75" customHeight="1" x14ac:dyDescent="0.25">
      <c r="A1524" s="438">
        <v>1521</v>
      </c>
      <c r="B1524" s="470" t="s">
        <v>17</v>
      </c>
      <c r="C1524" s="471" t="s">
        <v>18</v>
      </c>
      <c r="D1524" s="472" t="s">
        <v>19</v>
      </c>
      <c r="E1524" s="448" t="s">
        <v>4086</v>
      </c>
      <c r="F1524" s="448" t="s">
        <v>4111</v>
      </c>
      <c r="G1524" s="473" t="s">
        <v>2471</v>
      </c>
      <c r="H1524" s="439" t="s">
        <v>1916</v>
      </c>
      <c r="I1524" s="474" t="s">
        <v>3457</v>
      </c>
      <c r="J1524" s="474" t="s">
        <v>3463</v>
      </c>
      <c r="K1524" s="443" t="s">
        <v>1917</v>
      </c>
      <c r="L1524" s="471">
        <v>1</v>
      </c>
      <c r="M1524" s="447" t="s">
        <v>1939</v>
      </c>
      <c r="N1524" s="456">
        <v>3386.5</v>
      </c>
      <c r="O1524" s="475">
        <f t="shared" si="5"/>
        <v>3386.5</v>
      </c>
      <c r="P1524" s="476"/>
      <c r="Q1524" s="477">
        <v>46023</v>
      </c>
      <c r="R1524" s="476"/>
      <c r="S1524" s="476"/>
    </row>
    <row r="1525" spans="1:19" ht="15.75" customHeight="1" x14ac:dyDescent="0.25">
      <c r="A1525" s="438">
        <v>1522</v>
      </c>
      <c r="B1525" s="470" t="s">
        <v>17</v>
      </c>
      <c r="C1525" s="471" t="s">
        <v>18</v>
      </c>
      <c r="D1525" s="472" t="s">
        <v>19</v>
      </c>
      <c r="E1525" s="448" t="s">
        <v>4086</v>
      </c>
      <c r="F1525" s="448" t="s">
        <v>4111</v>
      </c>
      <c r="G1525" s="473" t="s">
        <v>2471</v>
      </c>
      <c r="H1525" s="439" t="s">
        <v>1916</v>
      </c>
      <c r="I1525" s="474" t="s">
        <v>3457</v>
      </c>
      <c r="J1525" s="474" t="s">
        <v>3463</v>
      </c>
      <c r="K1525" s="443" t="s">
        <v>1917</v>
      </c>
      <c r="L1525" s="471">
        <v>1</v>
      </c>
      <c r="M1525" s="447" t="s">
        <v>1940</v>
      </c>
      <c r="N1525" s="456">
        <v>3386.5</v>
      </c>
      <c r="O1525" s="475">
        <f t="shared" si="5"/>
        <v>3386.5</v>
      </c>
      <c r="P1525" s="476"/>
      <c r="Q1525" s="477">
        <v>46023</v>
      </c>
      <c r="R1525" s="476"/>
      <c r="S1525" s="476"/>
    </row>
    <row r="1526" spans="1:19" ht="15.75" customHeight="1" x14ac:dyDescent="0.25">
      <c r="A1526" s="438">
        <v>1523</v>
      </c>
      <c r="B1526" s="470" t="s">
        <v>17</v>
      </c>
      <c r="C1526" s="471" t="s">
        <v>18</v>
      </c>
      <c r="D1526" s="472" t="s">
        <v>19</v>
      </c>
      <c r="E1526" s="448" t="s">
        <v>4080</v>
      </c>
      <c r="F1526" s="448" t="s">
        <v>4080</v>
      </c>
      <c r="G1526" s="473" t="s">
        <v>4017</v>
      </c>
      <c r="H1526" s="439" t="s">
        <v>1941</v>
      </c>
      <c r="I1526" s="474" t="s">
        <v>3457</v>
      </c>
      <c r="J1526" s="474" t="s">
        <v>3463</v>
      </c>
      <c r="K1526" s="443" t="s">
        <v>3477</v>
      </c>
      <c r="L1526" s="471">
        <v>1</v>
      </c>
      <c r="M1526" s="447" t="s">
        <v>1942</v>
      </c>
      <c r="N1526" s="456">
        <v>12150</v>
      </c>
      <c r="O1526" s="475">
        <f t="shared" si="5"/>
        <v>12150</v>
      </c>
      <c r="P1526" s="476"/>
      <c r="Q1526" s="477">
        <v>46023</v>
      </c>
      <c r="R1526" s="476"/>
      <c r="S1526" s="476"/>
    </row>
    <row r="1527" spans="1:19" ht="15.75" customHeight="1" x14ac:dyDescent="0.25">
      <c r="A1527" s="438">
        <v>1524</v>
      </c>
      <c r="B1527" s="470" t="s">
        <v>17</v>
      </c>
      <c r="C1527" s="471" t="s">
        <v>18</v>
      </c>
      <c r="D1527" s="472" t="s">
        <v>19</v>
      </c>
      <c r="E1527" s="448" t="s">
        <v>4088</v>
      </c>
      <c r="F1527" s="448" t="s">
        <v>4101</v>
      </c>
      <c r="G1527" s="473" t="s">
        <v>4017</v>
      </c>
      <c r="H1527" s="439" t="s">
        <v>1941</v>
      </c>
      <c r="I1527" s="474" t="s">
        <v>3457</v>
      </c>
      <c r="J1527" s="474" t="s">
        <v>3463</v>
      </c>
      <c r="K1527" s="443" t="s">
        <v>3477</v>
      </c>
      <c r="L1527" s="471">
        <v>1</v>
      </c>
      <c r="M1527" s="447" t="s">
        <v>1943</v>
      </c>
      <c r="N1527" s="456">
        <v>12150</v>
      </c>
      <c r="O1527" s="475">
        <f t="shared" si="5"/>
        <v>12150</v>
      </c>
      <c r="P1527" s="476"/>
      <c r="Q1527" s="477">
        <v>46023</v>
      </c>
      <c r="R1527" s="476"/>
      <c r="S1527" s="476"/>
    </row>
    <row r="1528" spans="1:19" ht="15.75" customHeight="1" x14ac:dyDescent="0.25">
      <c r="A1528" s="438">
        <v>1525</v>
      </c>
      <c r="B1528" s="470" t="s">
        <v>17</v>
      </c>
      <c r="C1528" s="471" t="s">
        <v>18</v>
      </c>
      <c r="D1528" s="472" t="s">
        <v>19</v>
      </c>
      <c r="E1528" s="448" t="s">
        <v>4088</v>
      </c>
      <c r="F1528" s="448" t="s">
        <v>4101</v>
      </c>
      <c r="G1528" s="473" t="s">
        <v>4017</v>
      </c>
      <c r="H1528" s="439" t="s">
        <v>1941</v>
      </c>
      <c r="I1528" s="474" t="s">
        <v>3457</v>
      </c>
      <c r="J1528" s="474" t="s">
        <v>3463</v>
      </c>
      <c r="K1528" s="443" t="s">
        <v>3477</v>
      </c>
      <c r="L1528" s="471">
        <v>1</v>
      </c>
      <c r="M1528" s="447" t="s">
        <v>1944</v>
      </c>
      <c r="N1528" s="456">
        <v>12150</v>
      </c>
      <c r="O1528" s="475">
        <f t="shared" si="5"/>
        <v>12150</v>
      </c>
      <c r="P1528" s="476"/>
      <c r="Q1528" s="477">
        <v>46023</v>
      </c>
      <c r="R1528" s="476"/>
      <c r="S1528" s="476"/>
    </row>
    <row r="1529" spans="1:19" ht="15.75" customHeight="1" x14ac:dyDescent="0.25">
      <c r="A1529" s="438">
        <v>1526</v>
      </c>
      <c r="B1529" s="470" t="s">
        <v>17</v>
      </c>
      <c r="C1529" s="471" t="s">
        <v>18</v>
      </c>
      <c r="D1529" s="472" t="s">
        <v>19</v>
      </c>
      <c r="E1529" s="448" t="s">
        <v>3249</v>
      </c>
      <c r="F1529" s="448" t="s">
        <v>4119</v>
      </c>
      <c r="G1529" s="473" t="s">
        <v>2471</v>
      </c>
      <c r="H1529" s="439" t="s">
        <v>1941</v>
      </c>
      <c r="I1529" s="474" t="s">
        <v>3457</v>
      </c>
      <c r="J1529" s="474" t="s">
        <v>3463</v>
      </c>
      <c r="K1529" s="443" t="s">
        <v>1917</v>
      </c>
      <c r="L1529" s="471">
        <v>1</v>
      </c>
      <c r="M1529" s="447" t="s">
        <v>1945</v>
      </c>
      <c r="N1529" s="456">
        <v>12150</v>
      </c>
      <c r="O1529" s="475">
        <f t="shared" si="5"/>
        <v>12150</v>
      </c>
      <c r="P1529" s="476"/>
      <c r="Q1529" s="477">
        <v>46023</v>
      </c>
      <c r="R1529" s="476"/>
      <c r="S1529" s="476"/>
    </row>
    <row r="1530" spans="1:19" ht="15.75" customHeight="1" x14ac:dyDescent="0.25">
      <c r="A1530" s="438">
        <v>1527</v>
      </c>
      <c r="B1530" s="470" t="s">
        <v>17</v>
      </c>
      <c r="C1530" s="471" t="s">
        <v>18</v>
      </c>
      <c r="D1530" s="472" t="s">
        <v>19</v>
      </c>
      <c r="E1530" s="448" t="s">
        <v>4081</v>
      </c>
      <c r="F1530" s="448" t="s">
        <v>2989</v>
      </c>
      <c r="G1530" s="473" t="s">
        <v>2471</v>
      </c>
      <c r="H1530" s="439" t="s">
        <v>1941</v>
      </c>
      <c r="I1530" s="474" t="s">
        <v>3457</v>
      </c>
      <c r="J1530" s="474" t="s">
        <v>3463</v>
      </c>
      <c r="K1530" s="443" t="s">
        <v>1917</v>
      </c>
      <c r="L1530" s="471">
        <v>1</v>
      </c>
      <c r="M1530" s="447" t="s">
        <v>1946</v>
      </c>
      <c r="N1530" s="456">
        <v>12150</v>
      </c>
      <c r="O1530" s="475">
        <f t="shared" si="5"/>
        <v>12150</v>
      </c>
      <c r="P1530" s="476"/>
      <c r="Q1530" s="477">
        <v>46023</v>
      </c>
      <c r="R1530" s="476"/>
      <c r="S1530" s="476"/>
    </row>
    <row r="1531" spans="1:19" ht="15.75" customHeight="1" x14ac:dyDescent="0.25">
      <c r="A1531" s="438">
        <v>1528</v>
      </c>
      <c r="B1531" s="470" t="s">
        <v>17</v>
      </c>
      <c r="C1531" s="471" t="s">
        <v>18</v>
      </c>
      <c r="D1531" s="472" t="s">
        <v>19</v>
      </c>
      <c r="E1531" s="448" t="s">
        <v>4085</v>
      </c>
      <c r="F1531" s="448" t="s">
        <v>2985</v>
      </c>
      <c r="G1531" s="473" t="s">
        <v>2471</v>
      </c>
      <c r="H1531" s="439" t="s">
        <v>1941</v>
      </c>
      <c r="I1531" s="474" t="s">
        <v>3457</v>
      </c>
      <c r="J1531" s="474" t="s">
        <v>3463</v>
      </c>
      <c r="K1531" s="443" t="s">
        <v>1917</v>
      </c>
      <c r="L1531" s="471">
        <v>1</v>
      </c>
      <c r="M1531" s="447" t="s">
        <v>1947</v>
      </c>
      <c r="N1531" s="456">
        <v>12150</v>
      </c>
      <c r="O1531" s="475">
        <f t="shared" si="5"/>
        <v>12150</v>
      </c>
      <c r="P1531" s="476"/>
      <c r="Q1531" s="477">
        <v>46023</v>
      </c>
      <c r="R1531" s="476"/>
      <c r="S1531" s="476"/>
    </row>
    <row r="1532" spans="1:19" ht="15.75" customHeight="1" x14ac:dyDescent="0.25">
      <c r="A1532" s="438">
        <v>1529</v>
      </c>
      <c r="B1532" s="470" t="s">
        <v>17</v>
      </c>
      <c r="C1532" s="471" t="s">
        <v>18</v>
      </c>
      <c r="D1532" s="472" t="s">
        <v>19</v>
      </c>
      <c r="E1532" s="448" t="s">
        <v>4085</v>
      </c>
      <c r="F1532" s="448" t="s">
        <v>2985</v>
      </c>
      <c r="G1532" s="473" t="s">
        <v>2471</v>
      </c>
      <c r="H1532" s="439" t="s">
        <v>1941</v>
      </c>
      <c r="I1532" s="474" t="s">
        <v>3457</v>
      </c>
      <c r="J1532" s="474" t="s">
        <v>3463</v>
      </c>
      <c r="K1532" s="443" t="s">
        <v>1917</v>
      </c>
      <c r="L1532" s="471">
        <v>1</v>
      </c>
      <c r="M1532" s="447" t="s">
        <v>1948</v>
      </c>
      <c r="N1532" s="456">
        <v>12150</v>
      </c>
      <c r="O1532" s="475">
        <f t="shared" si="5"/>
        <v>12150</v>
      </c>
      <c r="P1532" s="476"/>
      <c r="Q1532" s="477">
        <v>46023</v>
      </c>
      <c r="R1532" s="476"/>
      <c r="S1532" s="476"/>
    </row>
    <row r="1533" spans="1:19" ht="15.75" customHeight="1" x14ac:dyDescent="0.25">
      <c r="A1533" s="438">
        <v>1530</v>
      </c>
      <c r="B1533" s="470" t="s">
        <v>17</v>
      </c>
      <c r="C1533" s="471" t="s">
        <v>18</v>
      </c>
      <c r="D1533" s="472" t="s">
        <v>19</v>
      </c>
      <c r="E1533" s="448" t="s">
        <v>4085</v>
      </c>
      <c r="F1533" s="448" t="s">
        <v>2985</v>
      </c>
      <c r="G1533" s="473" t="s">
        <v>2471</v>
      </c>
      <c r="H1533" s="439" t="s">
        <v>1941</v>
      </c>
      <c r="I1533" s="474" t="s">
        <v>3457</v>
      </c>
      <c r="J1533" s="474" t="s">
        <v>3463</v>
      </c>
      <c r="K1533" s="443" t="s">
        <v>1917</v>
      </c>
      <c r="L1533" s="471">
        <v>1</v>
      </c>
      <c r="M1533" s="447" t="s">
        <v>1949</v>
      </c>
      <c r="N1533" s="456">
        <v>12150</v>
      </c>
      <c r="O1533" s="475">
        <f t="shared" si="5"/>
        <v>12150</v>
      </c>
      <c r="P1533" s="476"/>
      <c r="Q1533" s="477">
        <v>46023</v>
      </c>
      <c r="R1533" s="476"/>
      <c r="S1533" s="476"/>
    </row>
    <row r="1534" spans="1:19" ht="15.75" customHeight="1" x14ac:dyDescent="0.25">
      <c r="A1534" s="438">
        <v>1531</v>
      </c>
      <c r="B1534" s="470" t="s">
        <v>17</v>
      </c>
      <c r="C1534" s="471" t="s">
        <v>18</v>
      </c>
      <c r="D1534" s="472" t="s">
        <v>19</v>
      </c>
      <c r="E1534" s="448" t="s">
        <v>4085</v>
      </c>
      <c r="F1534" s="448" t="s">
        <v>2985</v>
      </c>
      <c r="G1534" s="473" t="s">
        <v>2471</v>
      </c>
      <c r="H1534" s="439" t="s">
        <v>1941</v>
      </c>
      <c r="I1534" s="474" t="s">
        <v>3457</v>
      </c>
      <c r="J1534" s="474" t="s">
        <v>3463</v>
      </c>
      <c r="K1534" s="443" t="s">
        <v>1917</v>
      </c>
      <c r="L1534" s="471">
        <v>1</v>
      </c>
      <c r="M1534" s="447" t="s">
        <v>1950</v>
      </c>
      <c r="N1534" s="456">
        <v>12150</v>
      </c>
      <c r="O1534" s="475">
        <f t="shared" ref="O1534:O1788" si="6">N1534*L1534</f>
        <v>12150</v>
      </c>
      <c r="P1534" s="476"/>
      <c r="Q1534" s="477">
        <v>46023</v>
      </c>
      <c r="R1534" s="476"/>
      <c r="S1534" s="476"/>
    </row>
    <row r="1535" spans="1:19" ht="15.75" customHeight="1" x14ac:dyDescent="0.25">
      <c r="A1535" s="438">
        <v>1532</v>
      </c>
      <c r="B1535" s="470" t="s">
        <v>17</v>
      </c>
      <c r="C1535" s="471" t="s">
        <v>18</v>
      </c>
      <c r="D1535" s="472" t="s">
        <v>19</v>
      </c>
      <c r="E1535" s="448" t="s">
        <v>4085</v>
      </c>
      <c r="F1535" s="448" t="s">
        <v>2985</v>
      </c>
      <c r="G1535" s="473" t="s">
        <v>2471</v>
      </c>
      <c r="H1535" s="439" t="s">
        <v>1941</v>
      </c>
      <c r="I1535" s="474" t="s">
        <v>3457</v>
      </c>
      <c r="J1535" s="474" t="s">
        <v>3463</v>
      </c>
      <c r="K1535" s="443" t="s">
        <v>1917</v>
      </c>
      <c r="L1535" s="471">
        <v>1</v>
      </c>
      <c r="M1535" s="447" t="s">
        <v>1951</v>
      </c>
      <c r="N1535" s="456">
        <v>12150</v>
      </c>
      <c r="O1535" s="475">
        <f t="shared" si="6"/>
        <v>12150</v>
      </c>
      <c r="P1535" s="476"/>
      <c r="Q1535" s="477">
        <v>46023</v>
      </c>
      <c r="R1535" s="476"/>
      <c r="S1535" s="476"/>
    </row>
    <row r="1536" spans="1:19" ht="15.75" customHeight="1" x14ac:dyDescent="0.25">
      <c r="A1536" s="438">
        <v>1533</v>
      </c>
      <c r="B1536" s="470" t="s">
        <v>17</v>
      </c>
      <c r="C1536" s="471" t="s">
        <v>18</v>
      </c>
      <c r="D1536" s="472" t="s">
        <v>19</v>
      </c>
      <c r="E1536" s="448" t="s">
        <v>4085</v>
      </c>
      <c r="F1536" s="448" t="s">
        <v>2985</v>
      </c>
      <c r="G1536" s="473" t="s">
        <v>2471</v>
      </c>
      <c r="H1536" s="439" t="s">
        <v>1941</v>
      </c>
      <c r="I1536" s="474" t="s">
        <v>3457</v>
      </c>
      <c r="J1536" s="474" t="s">
        <v>3463</v>
      </c>
      <c r="K1536" s="443" t="s">
        <v>1917</v>
      </c>
      <c r="L1536" s="471">
        <v>1</v>
      </c>
      <c r="M1536" s="447" t="s">
        <v>1952</v>
      </c>
      <c r="N1536" s="456">
        <v>12150</v>
      </c>
      <c r="O1536" s="475">
        <f t="shared" si="6"/>
        <v>12150</v>
      </c>
      <c r="P1536" s="476"/>
      <c r="Q1536" s="477">
        <v>46023</v>
      </c>
      <c r="R1536" s="476"/>
      <c r="S1536" s="476"/>
    </row>
    <row r="1537" spans="1:19" ht="15.75" customHeight="1" x14ac:dyDescent="0.25">
      <c r="A1537" s="438">
        <v>1534</v>
      </c>
      <c r="B1537" s="470" t="s">
        <v>17</v>
      </c>
      <c r="C1537" s="471" t="s">
        <v>18</v>
      </c>
      <c r="D1537" s="472" t="s">
        <v>19</v>
      </c>
      <c r="E1537" s="448" t="s">
        <v>4085</v>
      </c>
      <c r="F1537" s="448" t="s">
        <v>2985</v>
      </c>
      <c r="G1537" s="473" t="s">
        <v>2471</v>
      </c>
      <c r="H1537" s="439" t="s">
        <v>1941</v>
      </c>
      <c r="I1537" s="474" t="s">
        <v>3457</v>
      </c>
      <c r="J1537" s="474" t="s">
        <v>3463</v>
      </c>
      <c r="K1537" s="443" t="s">
        <v>1917</v>
      </c>
      <c r="L1537" s="471">
        <v>1</v>
      </c>
      <c r="M1537" s="447" t="s">
        <v>1953</v>
      </c>
      <c r="N1537" s="456">
        <v>12150</v>
      </c>
      <c r="O1537" s="475">
        <f t="shared" si="6"/>
        <v>12150</v>
      </c>
      <c r="P1537" s="476"/>
      <c r="Q1537" s="477">
        <v>46023</v>
      </c>
      <c r="R1537" s="476"/>
      <c r="S1537" s="476"/>
    </row>
    <row r="1538" spans="1:19" ht="15.75" customHeight="1" x14ac:dyDescent="0.25">
      <c r="A1538" s="438">
        <v>1535</v>
      </c>
      <c r="B1538" s="470" t="s">
        <v>17</v>
      </c>
      <c r="C1538" s="471" t="s">
        <v>18</v>
      </c>
      <c r="D1538" s="472" t="s">
        <v>19</v>
      </c>
      <c r="E1538" s="465" t="s">
        <v>4085</v>
      </c>
      <c r="F1538" s="448" t="s">
        <v>2985</v>
      </c>
      <c r="G1538" s="473" t="s">
        <v>2471</v>
      </c>
      <c r="H1538" s="439" t="s">
        <v>1941</v>
      </c>
      <c r="I1538" s="474" t="s">
        <v>3457</v>
      </c>
      <c r="J1538" s="474" t="s">
        <v>3463</v>
      </c>
      <c r="K1538" s="443" t="s">
        <v>1917</v>
      </c>
      <c r="L1538" s="471">
        <v>1</v>
      </c>
      <c r="M1538" s="447" t="s">
        <v>1954</v>
      </c>
      <c r="N1538" s="456">
        <v>12150</v>
      </c>
      <c r="O1538" s="475">
        <f t="shared" si="6"/>
        <v>12150</v>
      </c>
      <c r="P1538" s="476"/>
      <c r="Q1538" s="477">
        <v>46023</v>
      </c>
      <c r="R1538" s="476"/>
      <c r="S1538" s="476"/>
    </row>
    <row r="1539" spans="1:19" ht="15.75" customHeight="1" x14ac:dyDescent="0.25">
      <c r="A1539" s="438">
        <v>1536</v>
      </c>
      <c r="B1539" s="470" t="s">
        <v>17</v>
      </c>
      <c r="C1539" s="471" t="s">
        <v>18</v>
      </c>
      <c r="D1539" s="472" t="s">
        <v>19</v>
      </c>
      <c r="E1539" s="465" t="s">
        <v>4085</v>
      </c>
      <c r="F1539" s="448" t="s">
        <v>2985</v>
      </c>
      <c r="G1539" s="473" t="s">
        <v>2471</v>
      </c>
      <c r="H1539" s="439" t="s">
        <v>1941</v>
      </c>
      <c r="I1539" s="474" t="s">
        <v>3457</v>
      </c>
      <c r="J1539" s="474" t="s">
        <v>3463</v>
      </c>
      <c r="K1539" s="443" t="s">
        <v>1917</v>
      </c>
      <c r="L1539" s="471">
        <v>1</v>
      </c>
      <c r="M1539" s="447" t="s">
        <v>1955</v>
      </c>
      <c r="N1539" s="456">
        <v>12150</v>
      </c>
      <c r="O1539" s="475">
        <f t="shared" si="6"/>
        <v>12150</v>
      </c>
      <c r="P1539" s="476"/>
      <c r="Q1539" s="477">
        <v>46023</v>
      </c>
      <c r="R1539" s="476"/>
      <c r="S1539" s="476"/>
    </row>
    <row r="1540" spans="1:19" ht="15.75" customHeight="1" x14ac:dyDescent="0.25">
      <c r="A1540" s="438">
        <v>1537</v>
      </c>
      <c r="B1540" s="470" t="s">
        <v>17</v>
      </c>
      <c r="C1540" s="471" t="s">
        <v>18</v>
      </c>
      <c r="D1540" s="472" t="s">
        <v>19</v>
      </c>
      <c r="E1540" s="465" t="s">
        <v>4091</v>
      </c>
      <c r="F1540" s="448" t="s">
        <v>3024</v>
      </c>
      <c r="G1540" s="473" t="s">
        <v>4019</v>
      </c>
      <c r="H1540" s="439" t="s">
        <v>1956</v>
      </c>
      <c r="I1540" s="474" t="s">
        <v>3457</v>
      </c>
      <c r="J1540" s="474" t="s">
        <v>3463</v>
      </c>
      <c r="K1540" s="443" t="s">
        <v>3478</v>
      </c>
      <c r="L1540" s="471">
        <v>1</v>
      </c>
      <c r="M1540" s="447" t="s">
        <v>1957</v>
      </c>
      <c r="N1540" s="456">
        <v>5455</v>
      </c>
      <c r="O1540" s="475">
        <f t="shared" si="6"/>
        <v>5455</v>
      </c>
      <c r="P1540" s="476"/>
      <c r="Q1540" s="477">
        <v>46023</v>
      </c>
      <c r="R1540" s="476"/>
      <c r="S1540" s="476"/>
    </row>
    <row r="1541" spans="1:19" ht="15.75" customHeight="1" x14ac:dyDescent="0.25">
      <c r="A1541" s="438">
        <v>1538</v>
      </c>
      <c r="B1541" s="470" t="s">
        <v>17</v>
      </c>
      <c r="C1541" s="471" t="s">
        <v>18</v>
      </c>
      <c r="D1541" s="472" t="s">
        <v>19</v>
      </c>
      <c r="E1541" s="465" t="s">
        <v>4091</v>
      </c>
      <c r="F1541" s="448" t="s">
        <v>3024</v>
      </c>
      <c r="G1541" s="473" t="s">
        <v>4019</v>
      </c>
      <c r="H1541" s="439" t="s">
        <v>1956</v>
      </c>
      <c r="I1541" s="474" t="s">
        <v>3457</v>
      </c>
      <c r="J1541" s="474" t="s">
        <v>3463</v>
      </c>
      <c r="K1541" s="443" t="s">
        <v>3478</v>
      </c>
      <c r="L1541" s="471">
        <v>1</v>
      </c>
      <c r="M1541" s="447" t="s">
        <v>1958</v>
      </c>
      <c r="N1541" s="456">
        <v>5455</v>
      </c>
      <c r="O1541" s="475">
        <f t="shared" si="6"/>
        <v>5455</v>
      </c>
      <c r="P1541" s="476"/>
      <c r="Q1541" s="477">
        <v>46023</v>
      </c>
      <c r="R1541" s="476"/>
      <c r="S1541" s="476"/>
    </row>
    <row r="1542" spans="1:19" ht="15.75" customHeight="1" x14ac:dyDescent="0.25">
      <c r="A1542" s="438">
        <v>1539</v>
      </c>
      <c r="B1542" s="470" t="s">
        <v>17</v>
      </c>
      <c r="C1542" s="471" t="s">
        <v>18</v>
      </c>
      <c r="D1542" s="472" t="s">
        <v>19</v>
      </c>
      <c r="E1542" s="465" t="s">
        <v>4085</v>
      </c>
      <c r="F1542" s="448" t="s">
        <v>3026</v>
      </c>
      <c r="G1542" s="473" t="s">
        <v>4019</v>
      </c>
      <c r="H1542" s="439" t="s">
        <v>1956</v>
      </c>
      <c r="I1542" s="474" t="s">
        <v>3457</v>
      </c>
      <c r="J1542" s="474" t="s">
        <v>3463</v>
      </c>
      <c r="K1542" s="443" t="s">
        <v>3478</v>
      </c>
      <c r="L1542" s="471">
        <v>1</v>
      </c>
      <c r="M1542" s="447" t="s">
        <v>1959</v>
      </c>
      <c r="N1542" s="456">
        <v>5455</v>
      </c>
      <c r="O1542" s="475">
        <f t="shared" si="6"/>
        <v>5455</v>
      </c>
      <c r="P1542" s="476"/>
      <c r="Q1542" s="477">
        <v>46023</v>
      </c>
      <c r="R1542" s="476"/>
      <c r="S1542" s="476"/>
    </row>
    <row r="1543" spans="1:19" ht="15.75" customHeight="1" x14ac:dyDescent="0.25">
      <c r="A1543" s="438">
        <v>1540</v>
      </c>
      <c r="B1543" s="470" t="s">
        <v>17</v>
      </c>
      <c r="C1543" s="471" t="s">
        <v>18</v>
      </c>
      <c r="D1543" s="472" t="s">
        <v>19</v>
      </c>
      <c r="E1543" s="465" t="s">
        <v>4085</v>
      </c>
      <c r="F1543" s="448" t="s">
        <v>3026</v>
      </c>
      <c r="G1543" s="473" t="s">
        <v>4019</v>
      </c>
      <c r="H1543" s="439" t="s">
        <v>1956</v>
      </c>
      <c r="I1543" s="474" t="s">
        <v>3457</v>
      </c>
      <c r="J1543" s="474" t="s">
        <v>3463</v>
      </c>
      <c r="K1543" s="443" t="s">
        <v>3478</v>
      </c>
      <c r="L1543" s="471">
        <v>1</v>
      </c>
      <c r="M1543" s="447" t="s">
        <v>1960</v>
      </c>
      <c r="N1543" s="456">
        <v>5455</v>
      </c>
      <c r="O1543" s="475">
        <f t="shared" si="6"/>
        <v>5455</v>
      </c>
      <c r="P1543" s="476"/>
      <c r="Q1543" s="477">
        <v>46023</v>
      </c>
      <c r="R1543" s="476"/>
      <c r="S1543" s="476"/>
    </row>
    <row r="1544" spans="1:19" ht="15.75" customHeight="1" x14ac:dyDescent="0.25">
      <c r="A1544" s="438">
        <v>1541</v>
      </c>
      <c r="B1544" s="470" t="s">
        <v>17</v>
      </c>
      <c r="C1544" s="471" t="s">
        <v>18</v>
      </c>
      <c r="D1544" s="472" t="s">
        <v>19</v>
      </c>
      <c r="E1544" s="448" t="s">
        <v>4085</v>
      </c>
      <c r="F1544" s="448" t="s">
        <v>3026</v>
      </c>
      <c r="G1544" s="473" t="s">
        <v>4019</v>
      </c>
      <c r="H1544" s="439" t="s">
        <v>1956</v>
      </c>
      <c r="I1544" s="474" t="s">
        <v>3457</v>
      </c>
      <c r="J1544" s="474" t="s">
        <v>3463</v>
      </c>
      <c r="K1544" s="443" t="s">
        <v>3478</v>
      </c>
      <c r="L1544" s="471">
        <v>1</v>
      </c>
      <c r="M1544" s="447" t="s">
        <v>1961</v>
      </c>
      <c r="N1544" s="456">
        <v>5455</v>
      </c>
      <c r="O1544" s="475">
        <f t="shared" si="6"/>
        <v>5455</v>
      </c>
      <c r="P1544" s="476"/>
      <c r="Q1544" s="477">
        <v>46023</v>
      </c>
      <c r="R1544" s="476"/>
      <c r="S1544" s="476"/>
    </row>
    <row r="1545" spans="1:19" ht="15.75" customHeight="1" x14ac:dyDescent="0.25">
      <c r="A1545" s="438">
        <v>1542</v>
      </c>
      <c r="B1545" s="470" t="s">
        <v>17</v>
      </c>
      <c r="C1545" s="471" t="s">
        <v>18</v>
      </c>
      <c r="D1545" s="472" t="s">
        <v>19</v>
      </c>
      <c r="E1545" s="448" t="s">
        <v>4085</v>
      </c>
      <c r="F1545" s="448" t="s">
        <v>3026</v>
      </c>
      <c r="G1545" s="473" t="s">
        <v>4019</v>
      </c>
      <c r="H1545" s="439" t="s">
        <v>1956</v>
      </c>
      <c r="I1545" s="474" t="s">
        <v>3457</v>
      </c>
      <c r="J1545" s="474" t="s">
        <v>3463</v>
      </c>
      <c r="K1545" s="443" t="s">
        <v>3478</v>
      </c>
      <c r="L1545" s="471">
        <v>1</v>
      </c>
      <c r="M1545" s="447" t="s">
        <v>1962</v>
      </c>
      <c r="N1545" s="456">
        <v>5455</v>
      </c>
      <c r="O1545" s="475">
        <f t="shared" si="6"/>
        <v>5455</v>
      </c>
      <c r="P1545" s="476"/>
      <c r="Q1545" s="477">
        <v>46023</v>
      </c>
      <c r="R1545" s="476"/>
      <c r="S1545" s="476"/>
    </row>
    <row r="1546" spans="1:19" ht="15.75" customHeight="1" x14ac:dyDescent="0.25">
      <c r="A1546" s="438">
        <v>1543</v>
      </c>
      <c r="B1546" s="470" t="s">
        <v>17</v>
      </c>
      <c r="C1546" s="471" t="s">
        <v>18</v>
      </c>
      <c r="D1546" s="472" t="s">
        <v>19</v>
      </c>
      <c r="E1546" s="448" t="s">
        <v>4091</v>
      </c>
      <c r="F1546" s="448" t="s">
        <v>3024</v>
      </c>
      <c r="G1546" s="473" t="s">
        <v>4020</v>
      </c>
      <c r="H1546" s="439" t="s">
        <v>1963</v>
      </c>
      <c r="I1546" s="474" t="s">
        <v>3457</v>
      </c>
      <c r="J1546" s="474" t="s">
        <v>3464</v>
      </c>
      <c r="K1546" s="443" t="s">
        <v>1964</v>
      </c>
      <c r="L1546" s="471">
        <v>1</v>
      </c>
      <c r="M1546" s="447" t="s">
        <v>1965</v>
      </c>
      <c r="N1546" s="456">
        <v>9900</v>
      </c>
      <c r="O1546" s="475">
        <f t="shared" si="6"/>
        <v>9900</v>
      </c>
      <c r="P1546" s="476"/>
      <c r="Q1546" s="477">
        <v>46023</v>
      </c>
      <c r="R1546" s="476"/>
      <c r="S1546" s="476"/>
    </row>
    <row r="1547" spans="1:19" ht="15.75" customHeight="1" x14ac:dyDescent="0.25">
      <c r="A1547" s="438">
        <v>1544</v>
      </c>
      <c r="B1547" s="470" t="s">
        <v>17</v>
      </c>
      <c r="C1547" s="471" t="s">
        <v>18</v>
      </c>
      <c r="D1547" s="472" t="s">
        <v>19</v>
      </c>
      <c r="E1547" s="448" t="s">
        <v>4091</v>
      </c>
      <c r="F1547" s="448" t="s">
        <v>3024</v>
      </c>
      <c r="G1547" s="473" t="s">
        <v>4020</v>
      </c>
      <c r="H1547" s="439" t="s">
        <v>1963</v>
      </c>
      <c r="I1547" s="474" t="s">
        <v>3457</v>
      </c>
      <c r="J1547" s="474" t="s">
        <v>3464</v>
      </c>
      <c r="K1547" s="443" t="s">
        <v>1964</v>
      </c>
      <c r="L1547" s="471">
        <v>1</v>
      </c>
      <c r="M1547" s="447" t="s">
        <v>1966</v>
      </c>
      <c r="N1547" s="456">
        <v>9900</v>
      </c>
      <c r="O1547" s="475">
        <f t="shared" si="6"/>
        <v>9900</v>
      </c>
      <c r="P1547" s="476"/>
      <c r="Q1547" s="477">
        <v>46023</v>
      </c>
      <c r="R1547" s="476"/>
      <c r="S1547" s="476"/>
    </row>
    <row r="1548" spans="1:19" ht="15.75" customHeight="1" x14ac:dyDescent="0.25">
      <c r="A1548" s="438">
        <v>1545</v>
      </c>
      <c r="B1548" s="470" t="s">
        <v>17</v>
      </c>
      <c r="C1548" s="471" t="s">
        <v>18</v>
      </c>
      <c r="D1548" s="472" t="s">
        <v>19</v>
      </c>
      <c r="E1548" s="448" t="s">
        <v>4088</v>
      </c>
      <c r="F1548" s="448" t="s">
        <v>3025</v>
      </c>
      <c r="G1548" s="473" t="s">
        <v>4021</v>
      </c>
      <c r="H1548" s="439" t="s">
        <v>1967</v>
      </c>
      <c r="I1548" s="474" t="s">
        <v>3457</v>
      </c>
      <c r="J1548" s="474" t="s">
        <v>3463</v>
      </c>
      <c r="K1548" s="443" t="s">
        <v>1968</v>
      </c>
      <c r="L1548" s="471">
        <v>1</v>
      </c>
      <c r="M1548" s="447" t="s">
        <v>1969</v>
      </c>
      <c r="N1548" s="456">
        <v>6560</v>
      </c>
      <c r="O1548" s="475">
        <f t="shared" si="6"/>
        <v>6560</v>
      </c>
      <c r="P1548" s="476"/>
      <c r="Q1548" s="477">
        <v>46023</v>
      </c>
      <c r="R1548" s="476"/>
      <c r="S1548" s="476"/>
    </row>
    <row r="1549" spans="1:19" ht="15.75" customHeight="1" x14ac:dyDescent="0.25">
      <c r="A1549" s="438">
        <v>1546</v>
      </c>
      <c r="B1549" s="470" t="s">
        <v>17</v>
      </c>
      <c r="C1549" s="471" t="s">
        <v>18</v>
      </c>
      <c r="D1549" s="472" t="s">
        <v>19</v>
      </c>
      <c r="E1549" s="448" t="s">
        <v>4088</v>
      </c>
      <c r="F1549" s="448" t="s">
        <v>4101</v>
      </c>
      <c r="G1549" s="473" t="s">
        <v>4021</v>
      </c>
      <c r="H1549" s="439" t="s">
        <v>1967</v>
      </c>
      <c r="I1549" s="474" t="s">
        <v>3457</v>
      </c>
      <c r="J1549" s="474" t="s">
        <v>3463</v>
      </c>
      <c r="K1549" s="443" t="s">
        <v>1968</v>
      </c>
      <c r="L1549" s="471">
        <v>1</v>
      </c>
      <c r="M1549" s="447" t="s">
        <v>1970</v>
      </c>
      <c r="N1549" s="456">
        <v>6560</v>
      </c>
      <c r="O1549" s="475">
        <f t="shared" si="6"/>
        <v>6560</v>
      </c>
      <c r="P1549" s="476"/>
      <c r="Q1549" s="477">
        <v>46023</v>
      </c>
      <c r="R1549" s="476"/>
      <c r="S1549" s="476"/>
    </row>
    <row r="1550" spans="1:19" ht="15.75" customHeight="1" x14ac:dyDescent="0.25">
      <c r="A1550" s="438">
        <v>1547</v>
      </c>
      <c r="B1550" s="470" t="s">
        <v>17</v>
      </c>
      <c r="C1550" s="471" t="s">
        <v>18</v>
      </c>
      <c r="D1550" s="472" t="s">
        <v>19</v>
      </c>
      <c r="E1550" s="448" t="s">
        <v>4088</v>
      </c>
      <c r="F1550" s="448" t="s">
        <v>4101</v>
      </c>
      <c r="G1550" s="473" t="s">
        <v>4021</v>
      </c>
      <c r="H1550" s="439" t="s">
        <v>1967</v>
      </c>
      <c r="I1550" s="474" t="s">
        <v>3457</v>
      </c>
      <c r="J1550" s="474" t="s">
        <v>3463</v>
      </c>
      <c r="K1550" s="443" t="s">
        <v>1968</v>
      </c>
      <c r="L1550" s="471">
        <v>1</v>
      </c>
      <c r="M1550" s="447" t="s">
        <v>1971</v>
      </c>
      <c r="N1550" s="456">
        <v>6560</v>
      </c>
      <c r="O1550" s="475">
        <f t="shared" si="6"/>
        <v>6560</v>
      </c>
      <c r="P1550" s="476"/>
      <c r="Q1550" s="477">
        <v>46023</v>
      </c>
      <c r="R1550" s="476"/>
      <c r="S1550" s="476"/>
    </row>
    <row r="1551" spans="1:19" ht="15.75" customHeight="1" x14ac:dyDescent="0.25">
      <c r="A1551" s="438">
        <v>1548</v>
      </c>
      <c r="B1551" s="470" t="s">
        <v>17</v>
      </c>
      <c r="C1551" s="471" t="s">
        <v>18</v>
      </c>
      <c r="D1551" s="472" t="s">
        <v>19</v>
      </c>
      <c r="E1551" s="448" t="s">
        <v>4085</v>
      </c>
      <c r="F1551" s="448" t="s">
        <v>2985</v>
      </c>
      <c r="G1551" s="473" t="s">
        <v>4021</v>
      </c>
      <c r="H1551" s="439" t="s">
        <v>1967</v>
      </c>
      <c r="I1551" s="474" t="s">
        <v>3457</v>
      </c>
      <c r="J1551" s="474" t="s">
        <v>3463</v>
      </c>
      <c r="K1551" s="443" t="s">
        <v>1968</v>
      </c>
      <c r="L1551" s="471">
        <v>1</v>
      </c>
      <c r="M1551" s="447" t="s">
        <v>1972</v>
      </c>
      <c r="N1551" s="456">
        <v>6560</v>
      </c>
      <c r="O1551" s="475">
        <f t="shared" si="6"/>
        <v>6560</v>
      </c>
      <c r="P1551" s="476"/>
      <c r="Q1551" s="477">
        <v>46023</v>
      </c>
      <c r="R1551" s="476"/>
      <c r="S1551" s="476"/>
    </row>
    <row r="1552" spans="1:19" ht="15.75" customHeight="1" x14ac:dyDescent="0.25">
      <c r="A1552" s="438">
        <v>1549</v>
      </c>
      <c r="B1552" s="470" t="s">
        <v>17</v>
      </c>
      <c r="C1552" s="471" t="s">
        <v>18</v>
      </c>
      <c r="D1552" s="472" t="s">
        <v>19</v>
      </c>
      <c r="E1552" s="448" t="s">
        <v>4085</v>
      </c>
      <c r="F1552" s="448" t="s">
        <v>2985</v>
      </c>
      <c r="G1552" s="473" t="s">
        <v>4021</v>
      </c>
      <c r="H1552" s="439" t="s">
        <v>1967</v>
      </c>
      <c r="I1552" s="474" t="s">
        <v>3457</v>
      </c>
      <c r="J1552" s="474" t="s">
        <v>3463</v>
      </c>
      <c r="K1552" s="443" t="s">
        <v>1968</v>
      </c>
      <c r="L1552" s="471">
        <v>1</v>
      </c>
      <c r="M1552" s="447" t="s">
        <v>1973</v>
      </c>
      <c r="N1552" s="456">
        <v>6560</v>
      </c>
      <c r="O1552" s="475">
        <f t="shared" si="6"/>
        <v>6560</v>
      </c>
      <c r="P1552" s="476"/>
      <c r="Q1552" s="477">
        <v>46023</v>
      </c>
      <c r="R1552" s="476"/>
      <c r="S1552" s="476"/>
    </row>
    <row r="1553" spans="1:19" ht="15.75" customHeight="1" x14ac:dyDescent="0.25">
      <c r="A1553" s="438">
        <v>1550</v>
      </c>
      <c r="B1553" s="470" t="s">
        <v>17</v>
      </c>
      <c r="C1553" s="471" t="s">
        <v>18</v>
      </c>
      <c r="D1553" s="472" t="s">
        <v>19</v>
      </c>
      <c r="E1553" s="448" t="s">
        <v>4085</v>
      </c>
      <c r="F1553" s="448" t="s">
        <v>2985</v>
      </c>
      <c r="G1553" s="473" t="s">
        <v>4021</v>
      </c>
      <c r="H1553" s="439" t="s">
        <v>1967</v>
      </c>
      <c r="I1553" s="474" t="s">
        <v>3457</v>
      </c>
      <c r="J1553" s="474" t="s">
        <v>3463</v>
      </c>
      <c r="K1553" s="443" t="s">
        <v>1968</v>
      </c>
      <c r="L1553" s="471">
        <v>1</v>
      </c>
      <c r="M1553" s="447" t="s">
        <v>1974</v>
      </c>
      <c r="N1553" s="456">
        <v>6560</v>
      </c>
      <c r="O1553" s="475">
        <f t="shared" si="6"/>
        <v>6560</v>
      </c>
      <c r="P1553" s="476"/>
      <c r="Q1553" s="477">
        <v>46023</v>
      </c>
      <c r="R1553" s="476"/>
      <c r="S1553" s="476"/>
    </row>
    <row r="1554" spans="1:19" ht="15.75" customHeight="1" x14ac:dyDescent="0.25">
      <c r="A1554" s="438">
        <v>1551</v>
      </c>
      <c r="B1554" s="470" t="s">
        <v>17</v>
      </c>
      <c r="C1554" s="471" t="s">
        <v>18</v>
      </c>
      <c r="D1554" s="472" t="s">
        <v>19</v>
      </c>
      <c r="E1554" s="448" t="s">
        <v>4085</v>
      </c>
      <c r="F1554" s="448" t="s">
        <v>2985</v>
      </c>
      <c r="G1554" s="473" t="s">
        <v>4021</v>
      </c>
      <c r="H1554" s="439" t="s">
        <v>1967</v>
      </c>
      <c r="I1554" s="474" t="s">
        <v>3457</v>
      </c>
      <c r="J1554" s="474" t="s">
        <v>3463</v>
      </c>
      <c r="K1554" s="443" t="s">
        <v>1968</v>
      </c>
      <c r="L1554" s="471">
        <v>1</v>
      </c>
      <c r="M1554" s="447" t="s">
        <v>1975</v>
      </c>
      <c r="N1554" s="456">
        <v>6560</v>
      </c>
      <c r="O1554" s="475">
        <f t="shared" si="6"/>
        <v>6560</v>
      </c>
      <c r="P1554" s="476"/>
      <c r="Q1554" s="477">
        <v>46023</v>
      </c>
      <c r="R1554" s="476"/>
      <c r="S1554" s="476"/>
    </row>
    <row r="1555" spans="1:19" ht="15.75" customHeight="1" x14ac:dyDescent="0.25">
      <c r="A1555" s="438">
        <v>1552</v>
      </c>
      <c r="B1555" s="470" t="s">
        <v>17</v>
      </c>
      <c r="C1555" s="471" t="s">
        <v>18</v>
      </c>
      <c r="D1555" s="472" t="s">
        <v>19</v>
      </c>
      <c r="E1555" s="448" t="s">
        <v>4085</v>
      </c>
      <c r="F1555" s="448" t="s">
        <v>2985</v>
      </c>
      <c r="G1555" s="473" t="s">
        <v>4021</v>
      </c>
      <c r="H1555" s="439" t="s">
        <v>1967</v>
      </c>
      <c r="I1555" s="474" t="s">
        <v>3457</v>
      </c>
      <c r="J1555" s="474" t="s">
        <v>3463</v>
      </c>
      <c r="K1555" s="443" t="s">
        <v>1968</v>
      </c>
      <c r="L1555" s="471">
        <v>1</v>
      </c>
      <c r="M1555" s="447" t="s">
        <v>1976</v>
      </c>
      <c r="N1555" s="456">
        <v>6560</v>
      </c>
      <c r="O1555" s="475">
        <f t="shared" si="6"/>
        <v>6560</v>
      </c>
      <c r="P1555" s="476"/>
      <c r="Q1555" s="477">
        <v>46023</v>
      </c>
      <c r="R1555" s="476"/>
      <c r="S1555" s="476"/>
    </row>
    <row r="1556" spans="1:19" ht="15.75" customHeight="1" x14ac:dyDescent="0.25">
      <c r="A1556" s="438">
        <v>1553</v>
      </c>
      <c r="B1556" s="470" t="s">
        <v>17</v>
      </c>
      <c r="C1556" s="471" t="s">
        <v>18</v>
      </c>
      <c r="D1556" s="472" t="s">
        <v>19</v>
      </c>
      <c r="E1556" s="448" t="s">
        <v>4085</v>
      </c>
      <c r="F1556" s="448" t="s">
        <v>2985</v>
      </c>
      <c r="G1556" s="473" t="s">
        <v>4021</v>
      </c>
      <c r="H1556" s="439" t="s">
        <v>1967</v>
      </c>
      <c r="I1556" s="474" t="s">
        <v>3457</v>
      </c>
      <c r="J1556" s="474" t="s">
        <v>3463</v>
      </c>
      <c r="K1556" s="443" t="s">
        <v>1968</v>
      </c>
      <c r="L1556" s="471">
        <v>1</v>
      </c>
      <c r="M1556" s="447" t="s">
        <v>1977</v>
      </c>
      <c r="N1556" s="456">
        <v>6560</v>
      </c>
      <c r="O1556" s="475">
        <f t="shared" si="6"/>
        <v>6560</v>
      </c>
      <c r="P1556" s="476"/>
      <c r="Q1556" s="477">
        <v>46023</v>
      </c>
      <c r="R1556" s="476"/>
      <c r="S1556" s="476"/>
    </row>
    <row r="1557" spans="1:19" ht="15.75" customHeight="1" x14ac:dyDescent="0.25">
      <c r="A1557" s="438">
        <v>1554</v>
      </c>
      <c r="B1557" s="470" t="s">
        <v>17</v>
      </c>
      <c r="C1557" s="471" t="s">
        <v>18</v>
      </c>
      <c r="D1557" s="472" t="s">
        <v>19</v>
      </c>
      <c r="E1557" s="448" t="s">
        <v>4085</v>
      </c>
      <c r="F1557" s="448" t="s">
        <v>2985</v>
      </c>
      <c r="G1557" s="473" t="s">
        <v>4021</v>
      </c>
      <c r="H1557" s="439" t="s">
        <v>1967</v>
      </c>
      <c r="I1557" s="474" t="s">
        <v>3457</v>
      </c>
      <c r="J1557" s="474" t="s">
        <v>3463</v>
      </c>
      <c r="K1557" s="443" t="s">
        <v>1968</v>
      </c>
      <c r="L1557" s="471">
        <v>1</v>
      </c>
      <c r="M1557" s="447" t="s">
        <v>1978</v>
      </c>
      <c r="N1557" s="456">
        <v>6560</v>
      </c>
      <c r="O1557" s="475">
        <f t="shared" si="6"/>
        <v>6560</v>
      </c>
      <c r="P1557" s="476"/>
      <c r="Q1557" s="477">
        <v>46023</v>
      </c>
      <c r="R1557" s="476"/>
      <c r="S1557" s="476"/>
    </row>
    <row r="1558" spans="1:19" ht="15.75" customHeight="1" x14ac:dyDescent="0.25">
      <c r="A1558" s="438">
        <v>1555</v>
      </c>
      <c r="B1558" s="470" t="s">
        <v>17</v>
      </c>
      <c r="C1558" s="471" t="s">
        <v>18</v>
      </c>
      <c r="D1558" s="472" t="s">
        <v>19</v>
      </c>
      <c r="E1558" s="448" t="s">
        <v>4085</v>
      </c>
      <c r="F1558" s="448" t="s">
        <v>2985</v>
      </c>
      <c r="G1558" s="473" t="s">
        <v>4021</v>
      </c>
      <c r="H1558" s="439" t="s">
        <v>1967</v>
      </c>
      <c r="I1558" s="474" t="s">
        <v>3457</v>
      </c>
      <c r="J1558" s="474" t="s">
        <v>3463</v>
      </c>
      <c r="K1558" s="443" t="s">
        <v>1968</v>
      </c>
      <c r="L1558" s="471">
        <v>1</v>
      </c>
      <c r="M1558" s="447" t="s">
        <v>1979</v>
      </c>
      <c r="N1558" s="456">
        <v>6560</v>
      </c>
      <c r="O1558" s="475">
        <f t="shared" si="6"/>
        <v>6560</v>
      </c>
      <c r="P1558" s="476"/>
      <c r="Q1558" s="477">
        <v>46023</v>
      </c>
      <c r="R1558" s="476"/>
      <c r="S1558" s="476"/>
    </row>
    <row r="1559" spans="1:19" ht="15.75" customHeight="1" x14ac:dyDescent="0.25">
      <c r="A1559" s="438">
        <v>1556</v>
      </c>
      <c r="B1559" s="470" t="s">
        <v>17</v>
      </c>
      <c r="C1559" s="471" t="s">
        <v>18</v>
      </c>
      <c r="D1559" s="472" t="s">
        <v>19</v>
      </c>
      <c r="E1559" s="448" t="s">
        <v>4085</v>
      </c>
      <c r="F1559" s="448" t="s">
        <v>2985</v>
      </c>
      <c r="G1559" s="473" t="s">
        <v>4021</v>
      </c>
      <c r="H1559" s="439" t="s">
        <v>1967</v>
      </c>
      <c r="I1559" s="474" t="s">
        <v>3457</v>
      </c>
      <c r="J1559" s="474" t="s">
        <v>3463</v>
      </c>
      <c r="K1559" s="443" t="s">
        <v>1968</v>
      </c>
      <c r="L1559" s="471">
        <v>1</v>
      </c>
      <c r="M1559" s="447" t="s">
        <v>1980</v>
      </c>
      <c r="N1559" s="456">
        <v>6560</v>
      </c>
      <c r="O1559" s="475">
        <f t="shared" si="6"/>
        <v>6560</v>
      </c>
      <c r="P1559" s="476"/>
      <c r="Q1559" s="477">
        <v>46023</v>
      </c>
      <c r="R1559" s="476"/>
      <c r="S1559" s="476"/>
    </row>
    <row r="1560" spans="1:19" ht="15.75" customHeight="1" x14ac:dyDescent="0.25">
      <c r="A1560" s="438">
        <v>1557</v>
      </c>
      <c r="B1560" s="470" t="s">
        <v>17</v>
      </c>
      <c r="C1560" s="471" t="s">
        <v>18</v>
      </c>
      <c r="D1560" s="472" t="s">
        <v>19</v>
      </c>
      <c r="E1560" s="448" t="s">
        <v>4085</v>
      </c>
      <c r="F1560" s="448" t="s">
        <v>2985</v>
      </c>
      <c r="G1560" s="473" t="s">
        <v>4021</v>
      </c>
      <c r="H1560" s="439" t="s">
        <v>1967</v>
      </c>
      <c r="I1560" s="474" t="s">
        <v>3457</v>
      </c>
      <c r="J1560" s="474" t="s">
        <v>3463</v>
      </c>
      <c r="K1560" s="443" t="s">
        <v>1968</v>
      </c>
      <c r="L1560" s="471">
        <v>1</v>
      </c>
      <c r="M1560" s="447" t="s">
        <v>1981</v>
      </c>
      <c r="N1560" s="456">
        <v>6560</v>
      </c>
      <c r="O1560" s="475">
        <f t="shared" si="6"/>
        <v>6560</v>
      </c>
      <c r="P1560" s="476"/>
      <c r="Q1560" s="477">
        <v>46023</v>
      </c>
      <c r="R1560" s="476"/>
      <c r="S1560" s="476"/>
    </row>
    <row r="1561" spans="1:19" ht="15.75" customHeight="1" x14ac:dyDescent="0.25">
      <c r="A1561" s="438">
        <v>1558</v>
      </c>
      <c r="B1561" s="470" t="s">
        <v>17</v>
      </c>
      <c r="C1561" s="471" t="s">
        <v>18</v>
      </c>
      <c r="D1561" s="472" t="s">
        <v>19</v>
      </c>
      <c r="E1561" s="448" t="s">
        <v>4085</v>
      </c>
      <c r="F1561" s="448" t="s">
        <v>2985</v>
      </c>
      <c r="G1561" s="473" t="s">
        <v>4021</v>
      </c>
      <c r="H1561" s="439" t="s">
        <v>1967</v>
      </c>
      <c r="I1561" s="474" t="s">
        <v>3457</v>
      </c>
      <c r="J1561" s="474" t="s">
        <v>3463</v>
      </c>
      <c r="K1561" s="443" t="s">
        <v>1968</v>
      </c>
      <c r="L1561" s="471">
        <v>1</v>
      </c>
      <c r="M1561" s="447" t="s">
        <v>1982</v>
      </c>
      <c r="N1561" s="456">
        <v>6560</v>
      </c>
      <c r="O1561" s="475">
        <f t="shared" si="6"/>
        <v>6560</v>
      </c>
      <c r="P1561" s="476"/>
      <c r="Q1561" s="477">
        <v>46023</v>
      </c>
      <c r="R1561" s="476"/>
      <c r="S1561" s="476"/>
    </row>
    <row r="1562" spans="1:19" ht="15.75" customHeight="1" x14ac:dyDescent="0.25">
      <c r="A1562" s="438">
        <v>1559</v>
      </c>
      <c r="B1562" s="470" t="s">
        <v>17</v>
      </c>
      <c r="C1562" s="471" t="s">
        <v>18</v>
      </c>
      <c r="D1562" s="472" t="s">
        <v>19</v>
      </c>
      <c r="E1562" s="448" t="s">
        <v>4088</v>
      </c>
      <c r="F1562" s="448" t="s">
        <v>3025</v>
      </c>
      <c r="G1562" s="473" t="s">
        <v>4017</v>
      </c>
      <c r="H1562" s="439" t="s">
        <v>1983</v>
      </c>
      <c r="I1562" s="474" t="s">
        <v>3457</v>
      </c>
      <c r="J1562" s="474" t="s">
        <v>3463</v>
      </c>
      <c r="K1562" s="443" t="s">
        <v>3477</v>
      </c>
      <c r="L1562" s="471">
        <v>1</v>
      </c>
      <c r="M1562" s="447" t="s">
        <v>1984</v>
      </c>
      <c r="N1562" s="456">
        <v>8850</v>
      </c>
      <c r="O1562" s="475">
        <f t="shared" si="6"/>
        <v>8850</v>
      </c>
      <c r="P1562" s="476"/>
      <c r="Q1562" s="477">
        <v>46023</v>
      </c>
      <c r="R1562" s="476"/>
      <c r="S1562" s="476"/>
    </row>
    <row r="1563" spans="1:19" ht="15.75" customHeight="1" x14ac:dyDescent="0.25">
      <c r="A1563" s="438">
        <v>1560</v>
      </c>
      <c r="B1563" s="470" t="s">
        <v>17</v>
      </c>
      <c r="C1563" s="471" t="s">
        <v>18</v>
      </c>
      <c r="D1563" s="472" t="s">
        <v>19</v>
      </c>
      <c r="E1563" s="465" t="s">
        <v>4088</v>
      </c>
      <c r="F1563" s="448" t="s">
        <v>3025</v>
      </c>
      <c r="G1563" s="473" t="s">
        <v>4017</v>
      </c>
      <c r="H1563" s="439" t="s">
        <v>1983</v>
      </c>
      <c r="I1563" s="474" t="s">
        <v>3457</v>
      </c>
      <c r="J1563" s="474" t="s">
        <v>3463</v>
      </c>
      <c r="K1563" s="443" t="s">
        <v>3477</v>
      </c>
      <c r="L1563" s="471">
        <v>1</v>
      </c>
      <c r="M1563" s="447" t="s">
        <v>1985</v>
      </c>
      <c r="N1563" s="456">
        <v>8850</v>
      </c>
      <c r="O1563" s="475">
        <f t="shared" si="6"/>
        <v>8850</v>
      </c>
      <c r="P1563" s="476"/>
      <c r="Q1563" s="477">
        <v>46023</v>
      </c>
      <c r="R1563" s="476"/>
      <c r="S1563" s="476"/>
    </row>
    <row r="1564" spans="1:19" ht="15.75" customHeight="1" x14ac:dyDescent="0.25">
      <c r="A1564" s="438">
        <v>1561</v>
      </c>
      <c r="B1564" s="470" t="s">
        <v>17</v>
      </c>
      <c r="C1564" s="471" t="s">
        <v>18</v>
      </c>
      <c r="D1564" s="472" t="s">
        <v>19</v>
      </c>
      <c r="E1564" s="465" t="s">
        <v>4088</v>
      </c>
      <c r="F1564" s="448" t="s">
        <v>3025</v>
      </c>
      <c r="G1564" s="473" t="s">
        <v>4017</v>
      </c>
      <c r="H1564" s="439" t="s">
        <v>1983</v>
      </c>
      <c r="I1564" s="474" t="s">
        <v>3457</v>
      </c>
      <c r="J1564" s="474" t="s">
        <v>3463</v>
      </c>
      <c r="K1564" s="443" t="s">
        <v>3477</v>
      </c>
      <c r="L1564" s="471">
        <v>1</v>
      </c>
      <c r="M1564" s="447" t="s">
        <v>1986</v>
      </c>
      <c r="N1564" s="456">
        <v>8850</v>
      </c>
      <c r="O1564" s="475">
        <f t="shared" si="6"/>
        <v>8850</v>
      </c>
      <c r="P1564" s="476"/>
      <c r="Q1564" s="477">
        <v>46023</v>
      </c>
      <c r="R1564" s="476"/>
      <c r="S1564" s="476"/>
    </row>
    <row r="1565" spans="1:19" ht="15.75" customHeight="1" x14ac:dyDescent="0.25">
      <c r="A1565" s="438">
        <v>1562</v>
      </c>
      <c r="B1565" s="470" t="s">
        <v>17</v>
      </c>
      <c r="C1565" s="471" t="s">
        <v>18</v>
      </c>
      <c r="D1565" s="472" t="s">
        <v>19</v>
      </c>
      <c r="E1565" s="465" t="s">
        <v>4083</v>
      </c>
      <c r="F1565" s="448" t="s">
        <v>2988</v>
      </c>
      <c r="G1565" s="473" t="s">
        <v>2471</v>
      </c>
      <c r="H1565" s="439" t="s">
        <v>1987</v>
      </c>
      <c r="I1565" s="474" t="s">
        <v>3457</v>
      </c>
      <c r="J1565" s="474" t="s">
        <v>3463</v>
      </c>
      <c r="K1565" s="443" t="s">
        <v>1917</v>
      </c>
      <c r="L1565" s="471">
        <v>1</v>
      </c>
      <c r="M1565" s="447" t="s">
        <v>1988</v>
      </c>
      <c r="N1565" s="456">
        <v>6500</v>
      </c>
      <c r="O1565" s="475">
        <f t="shared" si="6"/>
        <v>6500</v>
      </c>
      <c r="P1565" s="476"/>
      <c r="Q1565" s="477">
        <v>46023</v>
      </c>
      <c r="R1565" s="476"/>
      <c r="S1565" s="476"/>
    </row>
    <row r="1566" spans="1:19" ht="15.75" customHeight="1" x14ac:dyDescent="0.25">
      <c r="A1566" s="438">
        <v>1563</v>
      </c>
      <c r="B1566" s="470" t="s">
        <v>17</v>
      </c>
      <c r="C1566" s="471" t="s">
        <v>18</v>
      </c>
      <c r="D1566" s="472" t="s">
        <v>19</v>
      </c>
      <c r="E1566" s="465" t="s">
        <v>4085</v>
      </c>
      <c r="F1566" s="448" t="s">
        <v>3026</v>
      </c>
      <c r="G1566" s="473" t="s">
        <v>4022</v>
      </c>
      <c r="H1566" s="439" t="s">
        <v>1989</v>
      </c>
      <c r="I1566" s="474" t="s">
        <v>3457</v>
      </c>
      <c r="J1566" s="474" t="s">
        <v>3463</v>
      </c>
      <c r="K1566" s="443" t="s">
        <v>1990</v>
      </c>
      <c r="L1566" s="471">
        <v>1</v>
      </c>
      <c r="M1566" s="447" t="s">
        <v>1991</v>
      </c>
      <c r="N1566" s="456">
        <v>9000</v>
      </c>
      <c r="O1566" s="475">
        <f t="shared" si="6"/>
        <v>9000</v>
      </c>
      <c r="P1566" s="476"/>
      <c r="Q1566" s="477">
        <v>46023</v>
      </c>
      <c r="R1566" s="476"/>
      <c r="S1566" s="476"/>
    </row>
    <row r="1567" spans="1:19" ht="15.75" customHeight="1" x14ac:dyDescent="0.25">
      <c r="A1567" s="438">
        <v>1564</v>
      </c>
      <c r="B1567" s="470" t="s">
        <v>17</v>
      </c>
      <c r="C1567" s="471" t="s">
        <v>18</v>
      </c>
      <c r="D1567" s="472" t="s">
        <v>19</v>
      </c>
      <c r="E1567" s="465" t="s">
        <v>4085</v>
      </c>
      <c r="F1567" s="448" t="s">
        <v>3026</v>
      </c>
      <c r="G1567" s="473" t="s">
        <v>4022</v>
      </c>
      <c r="H1567" s="439" t="s">
        <v>1989</v>
      </c>
      <c r="I1567" s="474" t="s">
        <v>3457</v>
      </c>
      <c r="J1567" s="474" t="s">
        <v>3463</v>
      </c>
      <c r="K1567" s="443" t="s">
        <v>1990</v>
      </c>
      <c r="L1567" s="471">
        <v>1</v>
      </c>
      <c r="M1567" s="447" t="s">
        <v>1992</v>
      </c>
      <c r="N1567" s="456">
        <v>9000</v>
      </c>
      <c r="O1567" s="475">
        <f t="shared" si="6"/>
        <v>9000</v>
      </c>
      <c r="P1567" s="476"/>
      <c r="Q1567" s="477">
        <v>46023</v>
      </c>
      <c r="R1567" s="476"/>
      <c r="S1567" s="476"/>
    </row>
    <row r="1568" spans="1:19" ht="15.75" customHeight="1" x14ac:dyDescent="0.25">
      <c r="A1568" s="438">
        <v>1565</v>
      </c>
      <c r="B1568" s="470" t="s">
        <v>17</v>
      </c>
      <c r="C1568" s="471" t="s">
        <v>18</v>
      </c>
      <c r="D1568" s="472" t="s">
        <v>19</v>
      </c>
      <c r="E1568" s="465" t="s">
        <v>4080</v>
      </c>
      <c r="F1568" s="448" t="s">
        <v>4080</v>
      </c>
      <c r="G1568" s="473" t="s">
        <v>2471</v>
      </c>
      <c r="H1568" s="439" t="s">
        <v>1993</v>
      </c>
      <c r="I1568" s="474" t="s">
        <v>3457</v>
      </c>
      <c r="J1568" s="474" t="s">
        <v>3463</v>
      </c>
      <c r="K1568" s="443" t="s">
        <v>1917</v>
      </c>
      <c r="L1568" s="471">
        <v>1</v>
      </c>
      <c r="M1568" s="447" t="s">
        <v>1994</v>
      </c>
      <c r="N1568" s="456">
        <v>5400</v>
      </c>
      <c r="O1568" s="475">
        <f t="shared" si="6"/>
        <v>5400</v>
      </c>
      <c r="P1568" s="476"/>
      <c r="Q1568" s="477">
        <v>46023</v>
      </c>
      <c r="R1568" s="476"/>
      <c r="S1568" s="476"/>
    </row>
    <row r="1569" spans="1:19" ht="15.75" customHeight="1" x14ac:dyDescent="0.25">
      <c r="A1569" s="438">
        <v>1566</v>
      </c>
      <c r="B1569" s="470" t="s">
        <v>17</v>
      </c>
      <c r="C1569" s="471" t="s">
        <v>18</v>
      </c>
      <c r="D1569" s="472" t="s">
        <v>19</v>
      </c>
      <c r="E1569" s="465" t="s">
        <v>4080</v>
      </c>
      <c r="F1569" s="448" t="s">
        <v>4080</v>
      </c>
      <c r="G1569" s="473" t="s">
        <v>3045</v>
      </c>
      <c r="H1569" s="439" t="s">
        <v>1995</v>
      </c>
      <c r="I1569" s="474" t="s">
        <v>3457</v>
      </c>
      <c r="J1569" s="474" t="s">
        <v>3464</v>
      </c>
      <c r="K1569" s="443" t="s">
        <v>1592</v>
      </c>
      <c r="L1569" s="471">
        <v>1</v>
      </c>
      <c r="M1569" s="447" t="s">
        <v>1996</v>
      </c>
      <c r="N1569" s="456">
        <v>4000</v>
      </c>
      <c r="O1569" s="475">
        <f t="shared" si="6"/>
        <v>4000</v>
      </c>
      <c r="P1569" s="476"/>
      <c r="Q1569" s="477">
        <v>46023</v>
      </c>
      <c r="R1569" s="476"/>
      <c r="S1569" s="476"/>
    </row>
    <row r="1570" spans="1:19" ht="15.75" customHeight="1" x14ac:dyDescent="0.25">
      <c r="A1570" s="438">
        <v>1567</v>
      </c>
      <c r="B1570" s="470" t="s">
        <v>17</v>
      </c>
      <c r="C1570" s="471" t="s">
        <v>18</v>
      </c>
      <c r="D1570" s="472" t="s">
        <v>19</v>
      </c>
      <c r="E1570" s="465" t="s">
        <v>4080</v>
      </c>
      <c r="F1570" s="448" t="s">
        <v>4080</v>
      </c>
      <c r="G1570" s="473" t="s">
        <v>3045</v>
      </c>
      <c r="H1570" s="439" t="s">
        <v>1995</v>
      </c>
      <c r="I1570" s="474" t="s">
        <v>3457</v>
      </c>
      <c r="J1570" s="474" t="s">
        <v>3464</v>
      </c>
      <c r="K1570" s="443" t="s">
        <v>1592</v>
      </c>
      <c r="L1570" s="471">
        <v>1</v>
      </c>
      <c r="M1570" s="447" t="s">
        <v>1997</v>
      </c>
      <c r="N1570" s="456">
        <v>4000</v>
      </c>
      <c r="O1570" s="475">
        <f t="shared" si="6"/>
        <v>4000</v>
      </c>
      <c r="P1570" s="476"/>
      <c r="Q1570" s="477">
        <v>46023</v>
      </c>
      <c r="R1570" s="476"/>
      <c r="S1570" s="476"/>
    </row>
    <row r="1571" spans="1:19" ht="15.75" customHeight="1" x14ac:dyDescent="0.25">
      <c r="A1571" s="438">
        <v>1568</v>
      </c>
      <c r="B1571" s="470" t="s">
        <v>17</v>
      </c>
      <c r="C1571" s="471" t="s">
        <v>18</v>
      </c>
      <c r="D1571" s="472" t="s">
        <v>19</v>
      </c>
      <c r="E1571" s="465" t="s">
        <v>4080</v>
      </c>
      <c r="F1571" s="448" t="s">
        <v>4080</v>
      </c>
      <c r="G1571" s="473" t="s">
        <v>2782</v>
      </c>
      <c r="H1571" s="439" t="s">
        <v>1998</v>
      </c>
      <c r="I1571" s="474" t="s">
        <v>3457</v>
      </c>
      <c r="J1571" s="474" t="s">
        <v>3464</v>
      </c>
      <c r="K1571" s="443" t="s">
        <v>1780</v>
      </c>
      <c r="L1571" s="471">
        <v>1</v>
      </c>
      <c r="M1571" s="447" t="s">
        <v>1999</v>
      </c>
      <c r="N1571" s="456">
        <v>8000</v>
      </c>
      <c r="O1571" s="475">
        <f t="shared" si="6"/>
        <v>8000</v>
      </c>
      <c r="P1571" s="476"/>
      <c r="Q1571" s="477">
        <v>46023</v>
      </c>
      <c r="R1571" s="476"/>
      <c r="S1571" s="476"/>
    </row>
    <row r="1572" spans="1:19" ht="15.75" customHeight="1" x14ac:dyDescent="0.25">
      <c r="A1572" s="438">
        <v>1569</v>
      </c>
      <c r="B1572" s="470" t="s">
        <v>17</v>
      </c>
      <c r="C1572" s="471" t="s">
        <v>18</v>
      </c>
      <c r="D1572" s="472" t="s">
        <v>19</v>
      </c>
      <c r="E1572" s="465" t="s">
        <v>4080</v>
      </c>
      <c r="F1572" s="448" t="s">
        <v>4080</v>
      </c>
      <c r="G1572" s="473" t="s">
        <v>2782</v>
      </c>
      <c r="H1572" s="439" t="s">
        <v>1998</v>
      </c>
      <c r="I1572" s="474" t="s">
        <v>3457</v>
      </c>
      <c r="J1572" s="474" t="s">
        <v>3464</v>
      </c>
      <c r="K1572" s="443" t="s">
        <v>1780</v>
      </c>
      <c r="L1572" s="471">
        <v>1</v>
      </c>
      <c r="M1572" s="447" t="s">
        <v>2000</v>
      </c>
      <c r="N1572" s="456">
        <v>8000</v>
      </c>
      <c r="O1572" s="475">
        <f t="shared" si="6"/>
        <v>8000</v>
      </c>
      <c r="P1572" s="476"/>
      <c r="Q1572" s="477">
        <v>46023</v>
      </c>
      <c r="R1572" s="476"/>
      <c r="S1572" s="476"/>
    </row>
    <row r="1573" spans="1:19" ht="15.75" customHeight="1" x14ac:dyDescent="0.25">
      <c r="A1573" s="438">
        <v>1570</v>
      </c>
      <c r="B1573" s="470" t="s">
        <v>17</v>
      </c>
      <c r="C1573" s="471" t="s">
        <v>18</v>
      </c>
      <c r="D1573" s="472" t="s">
        <v>19</v>
      </c>
      <c r="E1573" s="465" t="s">
        <v>4080</v>
      </c>
      <c r="F1573" s="448" t="s">
        <v>4080</v>
      </c>
      <c r="G1573" s="473" t="s">
        <v>2782</v>
      </c>
      <c r="H1573" s="439" t="s">
        <v>1998</v>
      </c>
      <c r="I1573" s="474" t="s">
        <v>3457</v>
      </c>
      <c r="J1573" s="474" t="s">
        <v>3464</v>
      </c>
      <c r="K1573" s="443" t="s">
        <v>1780</v>
      </c>
      <c r="L1573" s="471">
        <v>1</v>
      </c>
      <c r="M1573" s="447" t="s">
        <v>2001</v>
      </c>
      <c r="N1573" s="456">
        <v>8000</v>
      </c>
      <c r="O1573" s="475">
        <f t="shared" si="6"/>
        <v>8000</v>
      </c>
      <c r="P1573" s="476"/>
      <c r="Q1573" s="477">
        <v>46023</v>
      </c>
      <c r="R1573" s="476"/>
      <c r="S1573" s="476"/>
    </row>
    <row r="1574" spans="1:19" ht="15.75" customHeight="1" x14ac:dyDescent="0.25">
      <c r="A1574" s="438">
        <v>1571</v>
      </c>
      <c r="B1574" s="470" t="s">
        <v>17</v>
      </c>
      <c r="C1574" s="471" t="s">
        <v>18</v>
      </c>
      <c r="D1574" s="472" t="s">
        <v>19</v>
      </c>
      <c r="E1574" s="465" t="s">
        <v>4080</v>
      </c>
      <c r="F1574" s="448" t="s">
        <v>4080</v>
      </c>
      <c r="G1574" s="473" t="s">
        <v>4023</v>
      </c>
      <c r="H1574" s="439" t="s">
        <v>2002</v>
      </c>
      <c r="I1574" s="474" t="s">
        <v>3457</v>
      </c>
      <c r="J1574" s="474" t="s">
        <v>3463</v>
      </c>
      <c r="K1574" s="443" t="s">
        <v>2003</v>
      </c>
      <c r="L1574" s="471">
        <v>1</v>
      </c>
      <c r="M1574" s="447" t="s">
        <v>2004</v>
      </c>
      <c r="N1574" s="456">
        <v>50000</v>
      </c>
      <c r="O1574" s="475">
        <f t="shared" si="6"/>
        <v>50000</v>
      </c>
      <c r="P1574" s="476"/>
      <c r="Q1574" s="477">
        <v>46023</v>
      </c>
      <c r="R1574" s="476"/>
      <c r="S1574" s="476"/>
    </row>
    <row r="1575" spans="1:19" ht="15.75" customHeight="1" x14ac:dyDescent="0.25">
      <c r="A1575" s="438">
        <v>1572</v>
      </c>
      <c r="B1575" s="470" t="s">
        <v>17</v>
      </c>
      <c r="C1575" s="471" t="s">
        <v>18</v>
      </c>
      <c r="D1575" s="472" t="s">
        <v>19</v>
      </c>
      <c r="E1575" s="465" t="s">
        <v>4083</v>
      </c>
      <c r="F1575" s="448" t="s">
        <v>2988</v>
      </c>
      <c r="G1575" s="473" t="s">
        <v>3060</v>
      </c>
      <c r="H1575" s="439" t="s">
        <v>2005</v>
      </c>
      <c r="I1575" s="474" t="s">
        <v>3457</v>
      </c>
      <c r="J1575" s="474" t="s">
        <v>3463</v>
      </c>
      <c r="K1575" s="443" t="s">
        <v>1539</v>
      </c>
      <c r="L1575" s="471">
        <v>1</v>
      </c>
      <c r="M1575" s="447" t="s">
        <v>2006</v>
      </c>
      <c r="N1575" s="456">
        <v>6000</v>
      </c>
      <c r="O1575" s="475">
        <f t="shared" si="6"/>
        <v>6000</v>
      </c>
      <c r="P1575" s="476"/>
      <c r="Q1575" s="477">
        <v>46023</v>
      </c>
      <c r="R1575" s="476"/>
      <c r="S1575" s="476"/>
    </row>
    <row r="1576" spans="1:19" ht="15.75" customHeight="1" x14ac:dyDescent="0.25">
      <c r="A1576" s="438">
        <v>1573</v>
      </c>
      <c r="B1576" s="470" t="s">
        <v>17</v>
      </c>
      <c r="C1576" s="471" t="s">
        <v>18</v>
      </c>
      <c r="D1576" s="472" t="s">
        <v>19</v>
      </c>
      <c r="E1576" s="465" t="s">
        <v>4083</v>
      </c>
      <c r="F1576" s="448" t="s">
        <v>2988</v>
      </c>
      <c r="G1576" s="473" t="s">
        <v>3060</v>
      </c>
      <c r="H1576" s="439" t="s">
        <v>2005</v>
      </c>
      <c r="I1576" s="474" t="s">
        <v>3457</v>
      </c>
      <c r="J1576" s="474" t="s">
        <v>3463</v>
      </c>
      <c r="K1576" s="443" t="s">
        <v>1539</v>
      </c>
      <c r="L1576" s="471">
        <v>1</v>
      </c>
      <c r="M1576" s="447" t="s">
        <v>2007</v>
      </c>
      <c r="N1576" s="456">
        <v>6000</v>
      </c>
      <c r="O1576" s="475">
        <f t="shared" si="6"/>
        <v>6000</v>
      </c>
      <c r="P1576" s="476"/>
      <c r="Q1576" s="477">
        <v>46023</v>
      </c>
      <c r="R1576" s="476"/>
      <c r="S1576" s="476"/>
    </row>
    <row r="1577" spans="1:19" ht="15.75" customHeight="1" x14ac:dyDescent="0.25">
      <c r="A1577" s="438">
        <v>1574</v>
      </c>
      <c r="B1577" s="470" t="s">
        <v>17</v>
      </c>
      <c r="C1577" s="471" t="s">
        <v>18</v>
      </c>
      <c r="D1577" s="472" t="s">
        <v>19</v>
      </c>
      <c r="E1577" s="465" t="s">
        <v>4083</v>
      </c>
      <c r="F1577" s="448" t="s">
        <v>2988</v>
      </c>
      <c r="G1577" s="473" t="s">
        <v>3060</v>
      </c>
      <c r="H1577" s="439" t="s">
        <v>2005</v>
      </c>
      <c r="I1577" s="474" t="s">
        <v>3457</v>
      </c>
      <c r="J1577" s="474" t="s">
        <v>3463</v>
      </c>
      <c r="K1577" s="443" t="s">
        <v>1539</v>
      </c>
      <c r="L1577" s="471">
        <v>1</v>
      </c>
      <c r="M1577" s="447" t="s">
        <v>2008</v>
      </c>
      <c r="N1577" s="456">
        <v>6000</v>
      </c>
      <c r="O1577" s="475">
        <f t="shared" si="6"/>
        <v>6000</v>
      </c>
      <c r="P1577" s="476"/>
      <c r="Q1577" s="477">
        <v>46023</v>
      </c>
      <c r="R1577" s="476"/>
      <c r="S1577" s="476"/>
    </row>
    <row r="1578" spans="1:19" ht="15.75" customHeight="1" x14ac:dyDescent="0.25">
      <c r="A1578" s="438">
        <v>1575</v>
      </c>
      <c r="B1578" s="470" t="s">
        <v>17</v>
      </c>
      <c r="C1578" s="471" t="s">
        <v>18</v>
      </c>
      <c r="D1578" s="472" t="s">
        <v>19</v>
      </c>
      <c r="E1578" s="448" t="s">
        <v>4083</v>
      </c>
      <c r="F1578" s="448" t="s">
        <v>2988</v>
      </c>
      <c r="G1578" s="473" t="s">
        <v>3060</v>
      </c>
      <c r="H1578" s="439" t="s">
        <v>2005</v>
      </c>
      <c r="I1578" s="474" t="s">
        <v>3457</v>
      </c>
      <c r="J1578" s="474" t="s">
        <v>3463</v>
      </c>
      <c r="K1578" s="443" t="s">
        <v>1539</v>
      </c>
      <c r="L1578" s="471">
        <v>1</v>
      </c>
      <c r="M1578" s="447" t="s">
        <v>2009</v>
      </c>
      <c r="N1578" s="456">
        <v>6000</v>
      </c>
      <c r="O1578" s="475">
        <f t="shared" si="6"/>
        <v>6000</v>
      </c>
      <c r="P1578" s="476"/>
      <c r="Q1578" s="477">
        <v>46023</v>
      </c>
      <c r="R1578" s="476"/>
      <c r="S1578" s="476"/>
    </row>
    <row r="1579" spans="1:19" ht="15.75" customHeight="1" x14ac:dyDescent="0.25">
      <c r="A1579" s="438">
        <v>1576</v>
      </c>
      <c r="B1579" s="470" t="s">
        <v>17</v>
      </c>
      <c r="C1579" s="471" t="s">
        <v>18</v>
      </c>
      <c r="D1579" s="472" t="s">
        <v>19</v>
      </c>
      <c r="E1579" s="448" t="s">
        <v>4083</v>
      </c>
      <c r="F1579" s="448" t="s">
        <v>2988</v>
      </c>
      <c r="G1579" s="473" t="s">
        <v>3060</v>
      </c>
      <c r="H1579" s="439" t="s">
        <v>2005</v>
      </c>
      <c r="I1579" s="474" t="s">
        <v>3457</v>
      </c>
      <c r="J1579" s="474" t="s">
        <v>3463</v>
      </c>
      <c r="K1579" s="443" t="s">
        <v>1539</v>
      </c>
      <c r="L1579" s="471">
        <v>1</v>
      </c>
      <c r="M1579" s="447" t="s">
        <v>2010</v>
      </c>
      <c r="N1579" s="456">
        <v>6000</v>
      </c>
      <c r="O1579" s="475">
        <f t="shared" si="6"/>
        <v>6000</v>
      </c>
      <c r="P1579" s="476"/>
      <c r="Q1579" s="477">
        <v>46023</v>
      </c>
      <c r="R1579" s="476"/>
      <c r="S1579" s="476"/>
    </row>
    <row r="1580" spans="1:19" ht="15.75" customHeight="1" x14ac:dyDescent="0.25">
      <c r="A1580" s="438">
        <v>1577</v>
      </c>
      <c r="B1580" s="470" t="s">
        <v>17</v>
      </c>
      <c r="C1580" s="471" t="s">
        <v>18</v>
      </c>
      <c r="D1580" s="472" t="s">
        <v>19</v>
      </c>
      <c r="E1580" s="448" t="s">
        <v>4083</v>
      </c>
      <c r="F1580" s="448" t="s">
        <v>2988</v>
      </c>
      <c r="G1580" s="473" t="s">
        <v>3060</v>
      </c>
      <c r="H1580" s="439" t="s">
        <v>2005</v>
      </c>
      <c r="I1580" s="474" t="s">
        <v>3457</v>
      </c>
      <c r="J1580" s="474" t="s">
        <v>3463</v>
      </c>
      <c r="K1580" s="443" t="s">
        <v>1539</v>
      </c>
      <c r="L1580" s="471">
        <v>1</v>
      </c>
      <c r="M1580" s="447" t="s">
        <v>2011</v>
      </c>
      <c r="N1580" s="456">
        <v>6000</v>
      </c>
      <c r="O1580" s="475">
        <f t="shared" si="6"/>
        <v>6000</v>
      </c>
      <c r="P1580" s="476"/>
      <c r="Q1580" s="477">
        <v>46023</v>
      </c>
      <c r="R1580" s="476"/>
      <c r="S1580" s="476"/>
    </row>
    <row r="1581" spans="1:19" ht="15.75" customHeight="1" x14ac:dyDescent="0.25">
      <c r="A1581" s="438">
        <v>1578</v>
      </c>
      <c r="B1581" s="470" t="s">
        <v>17</v>
      </c>
      <c r="C1581" s="471" t="s">
        <v>18</v>
      </c>
      <c r="D1581" s="472" t="s">
        <v>19</v>
      </c>
      <c r="E1581" s="448" t="s">
        <v>4083</v>
      </c>
      <c r="F1581" s="448" t="s">
        <v>2988</v>
      </c>
      <c r="G1581" s="473" t="s">
        <v>3060</v>
      </c>
      <c r="H1581" s="439" t="s">
        <v>2005</v>
      </c>
      <c r="I1581" s="474" t="s">
        <v>3457</v>
      </c>
      <c r="J1581" s="474" t="s">
        <v>3463</v>
      </c>
      <c r="K1581" s="443" t="s">
        <v>1539</v>
      </c>
      <c r="L1581" s="471">
        <v>1</v>
      </c>
      <c r="M1581" s="447" t="s">
        <v>2012</v>
      </c>
      <c r="N1581" s="456">
        <v>6000</v>
      </c>
      <c r="O1581" s="475">
        <f t="shared" si="6"/>
        <v>6000</v>
      </c>
      <c r="P1581" s="476"/>
      <c r="Q1581" s="477">
        <v>46023</v>
      </c>
      <c r="R1581" s="476"/>
      <c r="S1581" s="476"/>
    </row>
    <row r="1582" spans="1:19" ht="15.75" customHeight="1" x14ac:dyDescent="0.25">
      <c r="A1582" s="438">
        <v>1579</v>
      </c>
      <c r="B1582" s="470" t="s">
        <v>17</v>
      </c>
      <c r="C1582" s="471" t="s">
        <v>18</v>
      </c>
      <c r="D1582" s="472" t="s">
        <v>19</v>
      </c>
      <c r="E1582" s="448" t="s">
        <v>4083</v>
      </c>
      <c r="F1582" s="448" t="s">
        <v>2988</v>
      </c>
      <c r="G1582" s="473" t="s">
        <v>3060</v>
      </c>
      <c r="H1582" s="439" t="s">
        <v>2005</v>
      </c>
      <c r="I1582" s="474" t="s">
        <v>3457</v>
      </c>
      <c r="J1582" s="474" t="s">
        <v>3463</v>
      </c>
      <c r="K1582" s="443" t="s">
        <v>1539</v>
      </c>
      <c r="L1582" s="471">
        <v>1</v>
      </c>
      <c r="M1582" s="447" t="s">
        <v>2013</v>
      </c>
      <c r="N1582" s="456">
        <v>6000</v>
      </c>
      <c r="O1582" s="475">
        <f t="shared" si="6"/>
        <v>6000</v>
      </c>
      <c r="P1582" s="476"/>
      <c r="Q1582" s="477">
        <v>46023</v>
      </c>
      <c r="R1582" s="476"/>
      <c r="S1582" s="476"/>
    </row>
    <row r="1583" spans="1:19" ht="15.75" customHeight="1" x14ac:dyDescent="0.25">
      <c r="A1583" s="438">
        <v>1580</v>
      </c>
      <c r="B1583" s="470" t="s">
        <v>17</v>
      </c>
      <c r="C1583" s="471" t="s">
        <v>18</v>
      </c>
      <c r="D1583" s="472" t="s">
        <v>19</v>
      </c>
      <c r="E1583" s="448" t="s">
        <v>4083</v>
      </c>
      <c r="F1583" s="448" t="s">
        <v>2988</v>
      </c>
      <c r="G1583" s="473" t="s">
        <v>3060</v>
      </c>
      <c r="H1583" s="439" t="s">
        <v>2005</v>
      </c>
      <c r="I1583" s="474" t="s">
        <v>3457</v>
      </c>
      <c r="J1583" s="474" t="s">
        <v>3463</v>
      </c>
      <c r="K1583" s="443" t="s">
        <v>1539</v>
      </c>
      <c r="L1583" s="471">
        <v>1</v>
      </c>
      <c r="M1583" s="447" t="s">
        <v>2014</v>
      </c>
      <c r="N1583" s="456">
        <v>6000</v>
      </c>
      <c r="O1583" s="475">
        <f t="shared" si="6"/>
        <v>6000</v>
      </c>
      <c r="P1583" s="476"/>
      <c r="Q1583" s="477">
        <v>46023</v>
      </c>
      <c r="R1583" s="476"/>
      <c r="S1583" s="476"/>
    </row>
    <row r="1584" spans="1:19" ht="15.75" customHeight="1" x14ac:dyDescent="0.25">
      <c r="A1584" s="438">
        <v>1581</v>
      </c>
      <c r="B1584" s="470" t="s">
        <v>17</v>
      </c>
      <c r="C1584" s="471" t="s">
        <v>18</v>
      </c>
      <c r="D1584" s="472" t="s">
        <v>19</v>
      </c>
      <c r="E1584" s="448" t="s">
        <v>4083</v>
      </c>
      <c r="F1584" s="448" t="s">
        <v>2988</v>
      </c>
      <c r="G1584" s="473" t="s">
        <v>3060</v>
      </c>
      <c r="H1584" s="439" t="s">
        <v>2005</v>
      </c>
      <c r="I1584" s="474" t="s">
        <v>3457</v>
      </c>
      <c r="J1584" s="474" t="s">
        <v>3463</v>
      </c>
      <c r="K1584" s="443" t="s">
        <v>1539</v>
      </c>
      <c r="L1584" s="471">
        <v>1</v>
      </c>
      <c r="M1584" s="447" t="s">
        <v>2015</v>
      </c>
      <c r="N1584" s="456">
        <v>6000</v>
      </c>
      <c r="O1584" s="475">
        <f t="shared" si="6"/>
        <v>6000</v>
      </c>
      <c r="P1584" s="476"/>
      <c r="Q1584" s="477">
        <v>46023</v>
      </c>
      <c r="R1584" s="476"/>
      <c r="S1584" s="476"/>
    </row>
    <row r="1585" spans="1:19" ht="15.75" customHeight="1" x14ac:dyDescent="0.25">
      <c r="A1585" s="438">
        <v>1582</v>
      </c>
      <c r="B1585" s="470" t="s">
        <v>17</v>
      </c>
      <c r="C1585" s="471" t="s">
        <v>18</v>
      </c>
      <c r="D1585" s="472" t="s">
        <v>19</v>
      </c>
      <c r="E1585" s="448" t="s">
        <v>4083</v>
      </c>
      <c r="F1585" s="448" t="s">
        <v>2988</v>
      </c>
      <c r="G1585" s="473" t="s">
        <v>3060</v>
      </c>
      <c r="H1585" s="439" t="s">
        <v>2005</v>
      </c>
      <c r="I1585" s="474" t="s">
        <v>3457</v>
      </c>
      <c r="J1585" s="474" t="s">
        <v>3463</v>
      </c>
      <c r="K1585" s="443" t="s">
        <v>1539</v>
      </c>
      <c r="L1585" s="471">
        <v>1</v>
      </c>
      <c r="M1585" s="447" t="s">
        <v>2016</v>
      </c>
      <c r="N1585" s="456">
        <v>6000</v>
      </c>
      <c r="O1585" s="475">
        <f t="shared" si="6"/>
        <v>6000</v>
      </c>
      <c r="P1585" s="476"/>
      <c r="Q1585" s="477">
        <v>46023</v>
      </c>
      <c r="R1585" s="476"/>
      <c r="S1585" s="476"/>
    </row>
    <row r="1586" spans="1:19" ht="15.75" customHeight="1" x14ac:dyDescent="0.25">
      <c r="A1586" s="438">
        <v>1583</v>
      </c>
      <c r="B1586" s="470" t="s">
        <v>17</v>
      </c>
      <c r="C1586" s="471" t="s">
        <v>18</v>
      </c>
      <c r="D1586" s="472" t="s">
        <v>19</v>
      </c>
      <c r="E1586" s="448" t="s">
        <v>4088</v>
      </c>
      <c r="F1586" s="448" t="s">
        <v>3049</v>
      </c>
      <c r="G1586" s="473" t="s">
        <v>3060</v>
      </c>
      <c r="H1586" s="439" t="s">
        <v>2005</v>
      </c>
      <c r="I1586" s="474" t="s">
        <v>3457</v>
      </c>
      <c r="J1586" s="474" t="s">
        <v>3463</v>
      </c>
      <c r="K1586" s="443" t="s">
        <v>1539</v>
      </c>
      <c r="L1586" s="471">
        <v>1</v>
      </c>
      <c r="M1586" s="447" t="s">
        <v>2017</v>
      </c>
      <c r="N1586" s="456">
        <v>6000</v>
      </c>
      <c r="O1586" s="475">
        <f t="shared" si="6"/>
        <v>6000</v>
      </c>
      <c r="P1586" s="476"/>
      <c r="Q1586" s="477">
        <v>46023</v>
      </c>
      <c r="R1586" s="476"/>
      <c r="S1586" s="476"/>
    </row>
    <row r="1587" spans="1:19" ht="15.75" customHeight="1" x14ac:dyDescent="0.25">
      <c r="A1587" s="438">
        <v>1584</v>
      </c>
      <c r="B1587" s="470" t="s">
        <v>17</v>
      </c>
      <c r="C1587" s="471" t="s">
        <v>18</v>
      </c>
      <c r="D1587" s="472" t="s">
        <v>19</v>
      </c>
      <c r="E1587" s="448" t="s">
        <v>4088</v>
      </c>
      <c r="F1587" s="448" t="s">
        <v>3049</v>
      </c>
      <c r="G1587" s="473" t="s">
        <v>3060</v>
      </c>
      <c r="H1587" s="439" t="s">
        <v>2005</v>
      </c>
      <c r="I1587" s="474" t="s">
        <v>3457</v>
      </c>
      <c r="J1587" s="474" t="s">
        <v>3463</v>
      </c>
      <c r="K1587" s="443" t="s">
        <v>1539</v>
      </c>
      <c r="L1587" s="471">
        <v>1</v>
      </c>
      <c r="M1587" s="447" t="s">
        <v>2018</v>
      </c>
      <c r="N1587" s="456">
        <v>6000</v>
      </c>
      <c r="O1587" s="475">
        <f t="shared" si="6"/>
        <v>6000</v>
      </c>
      <c r="P1587" s="476"/>
      <c r="Q1587" s="477">
        <v>46023</v>
      </c>
      <c r="R1587" s="476"/>
      <c r="S1587" s="476"/>
    </row>
    <row r="1588" spans="1:19" ht="15.75" customHeight="1" x14ac:dyDescent="0.25">
      <c r="A1588" s="438">
        <v>1585</v>
      </c>
      <c r="B1588" s="470" t="s">
        <v>17</v>
      </c>
      <c r="C1588" s="471" t="s">
        <v>18</v>
      </c>
      <c r="D1588" s="472" t="s">
        <v>19</v>
      </c>
      <c r="E1588" s="465" t="s">
        <v>4088</v>
      </c>
      <c r="F1588" s="448" t="s">
        <v>3049</v>
      </c>
      <c r="G1588" s="473" t="s">
        <v>3060</v>
      </c>
      <c r="H1588" s="439" t="s">
        <v>2005</v>
      </c>
      <c r="I1588" s="474" t="s">
        <v>3457</v>
      </c>
      <c r="J1588" s="474" t="s">
        <v>3463</v>
      </c>
      <c r="K1588" s="443" t="s">
        <v>1539</v>
      </c>
      <c r="L1588" s="471">
        <v>1</v>
      </c>
      <c r="M1588" s="447" t="s">
        <v>2019</v>
      </c>
      <c r="N1588" s="456">
        <v>6000</v>
      </c>
      <c r="O1588" s="475">
        <f t="shared" si="6"/>
        <v>6000</v>
      </c>
      <c r="P1588" s="476"/>
      <c r="Q1588" s="477">
        <v>46023</v>
      </c>
      <c r="R1588" s="476"/>
      <c r="S1588" s="476"/>
    </row>
    <row r="1589" spans="1:19" ht="15.75" customHeight="1" x14ac:dyDescent="0.25">
      <c r="A1589" s="438">
        <v>1586</v>
      </c>
      <c r="B1589" s="470" t="s">
        <v>17</v>
      </c>
      <c r="C1589" s="471" t="s">
        <v>18</v>
      </c>
      <c r="D1589" s="472" t="s">
        <v>19</v>
      </c>
      <c r="E1589" s="465" t="s">
        <v>4088</v>
      </c>
      <c r="F1589" s="448" t="s">
        <v>3049</v>
      </c>
      <c r="G1589" s="473" t="s">
        <v>3060</v>
      </c>
      <c r="H1589" s="439" t="s">
        <v>2005</v>
      </c>
      <c r="I1589" s="474" t="s">
        <v>3457</v>
      </c>
      <c r="J1589" s="474" t="s">
        <v>3463</v>
      </c>
      <c r="K1589" s="443" t="s">
        <v>1539</v>
      </c>
      <c r="L1589" s="471">
        <v>1</v>
      </c>
      <c r="M1589" s="447" t="s">
        <v>2020</v>
      </c>
      <c r="N1589" s="456">
        <v>6000</v>
      </c>
      <c r="O1589" s="475">
        <f t="shared" si="6"/>
        <v>6000</v>
      </c>
      <c r="P1589" s="476"/>
      <c r="Q1589" s="477">
        <v>46023</v>
      </c>
      <c r="R1589" s="476"/>
      <c r="S1589" s="476"/>
    </row>
    <row r="1590" spans="1:19" ht="15.75" customHeight="1" x14ac:dyDescent="0.25">
      <c r="A1590" s="438">
        <v>1587</v>
      </c>
      <c r="B1590" s="470" t="s">
        <v>17</v>
      </c>
      <c r="C1590" s="471" t="s">
        <v>18</v>
      </c>
      <c r="D1590" s="472" t="s">
        <v>19</v>
      </c>
      <c r="E1590" s="465" t="s">
        <v>4088</v>
      </c>
      <c r="F1590" s="448" t="s">
        <v>3049</v>
      </c>
      <c r="G1590" s="473" t="s">
        <v>3060</v>
      </c>
      <c r="H1590" s="439" t="s">
        <v>2005</v>
      </c>
      <c r="I1590" s="474" t="s">
        <v>3457</v>
      </c>
      <c r="J1590" s="474" t="s">
        <v>3463</v>
      </c>
      <c r="K1590" s="443" t="s">
        <v>1539</v>
      </c>
      <c r="L1590" s="471">
        <v>1</v>
      </c>
      <c r="M1590" s="447" t="s">
        <v>2021</v>
      </c>
      <c r="N1590" s="456">
        <v>6000</v>
      </c>
      <c r="O1590" s="475">
        <f t="shared" si="6"/>
        <v>6000</v>
      </c>
      <c r="P1590" s="476"/>
      <c r="Q1590" s="477">
        <v>46023</v>
      </c>
      <c r="R1590" s="476"/>
      <c r="S1590" s="476"/>
    </row>
    <row r="1591" spans="1:19" ht="15.75" customHeight="1" x14ac:dyDescent="0.25">
      <c r="A1591" s="438">
        <v>1588</v>
      </c>
      <c r="B1591" s="470" t="s">
        <v>17</v>
      </c>
      <c r="C1591" s="471" t="s">
        <v>18</v>
      </c>
      <c r="D1591" s="472" t="s">
        <v>19</v>
      </c>
      <c r="E1591" s="465" t="s">
        <v>4088</v>
      </c>
      <c r="F1591" s="448" t="s">
        <v>4106</v>
      </c>
      <c r="G1591" s="473" t="s">
        <v>3060</v>
      </c>
      <c r="H1591" s="439" t="s">
        <v>2005</v>
      </c>
      <c r="I1591" s="474" t="s">
        <v>3457</v>
      </c>
      <c r="J1591" s="474" t="s">
        <v>3463</v>
      </c>
      <c r="K1591" s="443" t="s">
        <v>1539</v>
      </c>
      <c r="L1591" s="471">
        <v>1</v>
      </c>
      <c r="M1591" s="447" t="s">
        <v>2022</v>
      </c>
      <c r="N1591" s="456">
        <v>6000</v>
      </c>
      <c r="O1591" s="475">
        <f t="shared" si="6"/>
        <v>6000</v>
      </c>
      <c r="P1591" s="476"/>
      <c r="Q1591" s="477">
        <v>46023</v>
      </c>
      <c r="R1591" s="476"/>
      <c r="S1591" s="476"/>
    </row>
    <row r="1592" spans="1:19" ht="15.75" customHeight="1" x14ac:dyDescent="0.25">
      <c r="A1592" s="438">
        <v>1589</v>
      </c>
      <c r="B1592" s="470" t="s">
        <v>17</v>
      </c>
      <c r="C1592" s="471" t="s">
        <v>18</v>
      </c>
      <c r="D1592" s="472" t="s">
        <v>19</v>
      </c>
      <c r="E1592" s="465" t="s">
        <v>4088</v>
      </c>
      <c r="F1592" s="448" t="s">
        <v>4106</v>
      </c>
      <c r="G1592" s="473" t="s">
        <v>3060</v>
      </c>
      <c r="H1592" s="439" t="s">
        <v>2005</v>
      </c>
      <c r="I1592" s="474" t="s">
        <v>3457</v>
      </c>
      <c r="J1592" s="474" t="s">
        <v>3463</v>
      </c>
      <c r="K1592" s="443" t="s">
        <v>1539</v>
      </c>
      <c r="L1592" s="471">
        <v>1</v>
      </c>
      <c r="M1592" s="447" t="s">
        <v>2023</v>
      </c>
      <c r="N1592" s="456">
        <v>6000</v>
      </c>
      <c r="O1592" s="475">
        <f t="shared" si="6"/>
        <v>6000</v>
      </c>
      <c r="P1592" s="476"/>
      <c r="Q1592" s="477">
        <v>46023</v>
      </c>
      <c r="R1592" s="476"/>
      <c r="S1592" s="476"/>
    </row>
    <row r="1593" spans="1:19" ht="15.75" customHeight="1" x14ac:dyDescent="0.25">
      <c r="A1593" s="438">
        <v>1590</v>
      </c>
      <c r="B1593" s="470" t="s">
        <v>17</v>
      </c>
      <c r="C1593" s="471" t="s">
        <v>18</v>
      </c>
      <c r="D1593" s="472" t="s">
        <v>19</v>
      </c>
      <c r="E1593" s="465" t="s">
        <v>4088</v>
      </c>
      <c r="F1593" s="448" t="s">
        <v>4106</v>
      </c>
      <c r="G1593" s="473" t="s">
        <v>3060</v>
      </c>
      <c r="H1593" s="439" t="s">
        <v>2005</v>
      </c>
      <c r="I1593" s="474" t="s">
        <v>3457</v>
      </c>
      <c r="J1593" s="474" t="s">
        <v>3463</v>
      </c>
      <c r="K1593" s="443" t="s">
        <v>1539</v>
      </c>
      <c r="L1593" s="471">
        <v>1</v>
      </c>
      <c r="M1593" s="447" t="s">
        <v>2024</v>
      </c>
      <c r="N1593" s="456">
        <v>6000</v>
      </c>
      <c r="O1593" s="475">
        <f t="shared" si="6"/>
        <v>6000</v>
      </c>
      <c r="P1593" s="476"/>
      <c r="Q1593" s="477">
        <v>46023</v>
      </c>
      <c r="R1593" s="476"/>
      <c r="S1593" s="476"/>
    </row>
    <row r="1594" spans="1:19" ht="15.75" customHeight="1" x14ac:dyDescent="0.25">
      <c r="A1594" s="438">
        <v>1591</v>
      </c>
      <c r="B1594" s="470" t="s">
        <v>17</v>
      </c>
      <c r="C1594" s="471" t="s">
        <v>18</v>
      </c>
      <c r="D1594" s="472" t="s">
        <v>19</v>
      </c>
      <c r="E1594" s="465" t="s">
        <v>4088</v>
      </c>
      <c r="F1594" s="448" t="s">
        <v>4106</v>
      </c>
      <c r="G1594" s="473" t="s">
        <v>3060</v>
      </c>
      <c r="H1594" s="439" t="s">
        <v>2005</v>
      </c>
      <c r="I1594" s="474" t="s">
        <v>3457</v>
      </c>
      <c r="J1594" s="474" t="s">
        <v>3463</v>
      </c>
      <c r="K1594" s="443" t="s">
        <v>1539</v>
      </c>
      <c r="L1594" s="471">
        <v>1</v>
      </c>
      <c r="M1594" s="447" t="s">
        <v>2025</v>
      </c>
      <c r="N1594" s="456">
        <v>6000</v>
      </c>
      <c r="O1594" s="475">
        <f t="shared" si="6"/>
        <v>6000</v>
      </c>
      <c r="P1594" s="476"/>
      <c r="Q1594" s="477">
        <v>46023</v>
      </c>
      <c r="R1594" s="476"/>
      <c r="S1594" s="476"/>
    </row>
    <row r="1595" spans="1:19" ht="15.75" customHeight="1" x14ac:dyDescent="0.25">
      <c r="A1595" s="438">
        <v>1592</v>
      </c>
      <c r="B1595" s="470" t="s">
        <v>17</v>
      </c>
      <c r="C1595" s="471" t="s">
        <v>18</v>
      </c>
      <c r="D1595" s="472" t="s">
        <v>19</v>
      </c>
      <c r="E1595" s="448" t="s">
        <v>4088</v>
      </c>
      <c r="F1595" s="448" t="s">
        <v>4106</v>
      </c>
      <c r="G1595" s="473" t="s">
        <v>3060</v>
      </c>
      <c r="H1595" s="439" t="s">
        <v>2005</v>
      </c>
      <c r="I1595" s="474" t="s">
        <v>3457</v>
      </c>
      <c r="J1595" s="474" t="s">
        <v>3463</v>
      </c>
      <c r="K1595" s="443" t="s">
        <v>1539</v>
      </c>
      <c r="L1595" s="471">
        <v>1</v>
      </c>
      <c r="M1595" s="447" t="s">
        <v>2026</v>
      </c>
      <c r="N1595" s="456">
        <v>6000</v>
      </c>
      <c r="O1595" s="475">
        <f t="shared" si="6"/>
        <v>6000</v>
      </c>
      <c r="P1595" s="476"/>
      <c r="Q1595" s="477">
        <v>46023</v>
      </c>
      <c r="R1595" s="476"/>
      <c r="S1595" s="476"/>
    </row>
    <row r="1596" spans="1:19" ht="15.75" customHeight="1" x14ac:dyDescent="0.25">
      <c r="A1596" s="438">
        <v>1593</v>
      </c>
      <c r="B1596" s="470" t="s">
        <v>17</v>
      </c>
      <c r="C1596" s="471" t="s">
        <v>18</v>
      </c>
      <c r="D1596" s="472" t="s">
        <v>19</v>
      </c>
      <c r="E1596" s="448" t="s">
        <v>4083</v>
      </c>
      <c r="F1596" s="448" t="s">
        <v>2988</v>
      </c>
      <c r="G1596" s="473" t="s">
        <v>3060</v>
      </c>
      <c r="H1596" s="439" t="s">
        <v>2005</v>
      </c>
      <c r="I1596" s="474" t="s">
        <v>3457</v>
      </c>
      <c r="J1596" s="474" t="s">
        <v>3463</v>
      </c>
      <c r="K1596" s="443" t="s">
        <v>1539</v>
      </c>
      <c r="L1596" s="471">
        <v>1</v>
      </c>
      <c r="M1596" s="447" t="s">
        <v>2027</v>
      </c>
      <c r="N1596" s="456">
        <v>6000</v>
      </c>
      <c r="O1596" s="475">
        <f t="shared" si="6"/>
        <v>6000</v>
      </c>
      <c r="P1596" s="476"/>
      <c r="Q1596" s="477">
        <v>46023</v>
      </c>
      <c r="R1596" s="476"/>
      <c r="S1596" s="476"/>
    </row>
    <row r="1597" spans="1:19" ht="15.75" customHeight="1" x14ac:dyDescent="0.25">
      <c r="A1597" s="438">
        <v>1594</v>
      </c>
      <c r="B1597" s="470" t="s">
        <v>17</v>
      </c>
      <c r="C1597" s="471" t="s">
        <v>18</v>
      </c>
      <c r="D1597" s="472" t="s">
        <v>19</v>
      </c>
      <c r="E1597" s="448" t="s">
        <v>4083</v>
      </c>
      <c r="F1597" s="448" t="s">
        <v>2988</v>
      </c>
      <c r="G1597" s="473" t="s">
        <v>4023</v>
      </c>
      <c r="H1597" s="439" t="s">
        <v>2028</v>
      </c>
      <c r="I1597" s="474" t="s">
        <v>3457</v>
      </c>
      <c r="J1597" s="474" t="s">
        <v>3463</v>
      </c>
      <c r="K1597" s="443" t="s">
        <v>2003</v>
      </c>
      <c r="L1597" s="471">
        <v>1</v>
      </c>
      <c r="M1597" s="447" t="s">
        <v>2029</v>
      </c>
      <c r="N1597" s="456">
        <v>6000</v>
      </c>
      <c r="O1597" s="475">
        <f t="shared" si="6"/>
        <v>6000</v>
      </c>
      <c r="P1597" s="476"/>
      <c r="Q1597" s="477">
        <v>46023</v>
      </c>
      <c r="R1597" s="476"/>
      <c r="S1597" s="476"/>
    </row>
    <row r="1598" spans="1:19" ht="15.75" customHeight="1" x14ac:dyDescent="0.25">
      <c r="A1598" s="438">
        <v>1595</v>
      </c>
      <c r="B1598" s="470" t="s">
        <v>17</v>
      </c>
      <c r="C1598" s="471" t="s">
        <v>18</v>
      </c>
      <c r="D1598" s="472" t="s">
        <v>19</v>
      </c>
      <c r="E1598" s="448" t="s">
        <v>4083</v>
      </c>
      <c r="F1598" s="448" t="s">
        <v>2988</v>
      </c>
      <c r="G1598" s="473" t="s">
        <v>4023</v>
      </c>
      <c r="H1598" s="439" t="s">
        <v>2028</v>
      </c>
      <c r="I1598" s="474" t="s">
        <v>3457</v>
      </c>
      <c r="J1598" s="474" t="s">
        <v>3463</v>
      </c>
      <c r="K1598" s="443" t="s">
        <v>2003</v>
      </c>
      <c r="L1598" s="471">
        <v>1</v>
      </c>
      <c r="M1598" s="447" t="s">
        <v>2030</v>
      </c>
      <c r="N1598" s="456">
        <v>6000</v>
      </c>
      <c r="O1598" s="475">
        <f t="shared" si="6"/>
        <v>6000</v>
      </c>
      <c r="P1598" s="476"/>
      <c r="Q1598" s="477">
        <v>46023</v>
      </c>
      <c r="R1598" s="476"/>
      <c r="S1598" s="476"/>
    </row>
    <row r="1599" spans="1:19" ht="15.75" customHeight="1" x14ac:dyDescent="0.25">
      <c r="A1599" s="438">
        <v>1596</v>
      </c>
      <c r="B1599" s="470" t="s">
        <v>17</v>
      </c>
      <c r="C1599" s="471" t="s">
        <v>18</v>
      </c>
      <c r="D1599" s="472" t="s">
        <v>19</v>
      </c>
      <c r="E1599" s="448" t="s">
        <v>4083</v>
      </c>
      <c r="F1599" s="448" t="s">
        <v>2988</v>
      </c>
      <c r="G1599" s="473" t="s">
        <v>4023</v>
      </c>
      <c r="H1599" s="439" t="s">
        <v>2028</v>
      </c>
      <c r="I1599" s="474" t="s">
        <v>3457</v>
      </c>
      <c r="J1599" s="474" t="s">
        <v>3463</v>
      </c>
      <c r="K1599" s="443" t="s">
        <v>2003</v>
      </c>
      <c r="L1599" s="471">
        <v>1</v>
      </c>
      <c r="M1599" s="447" t="s">
        <v>2031</v>
      </c>
      <c r="N1599" s="456">
        <v>6000</v>
      </c>
      <c r="O1599" s="475">
        <f t="shared" si="6"/>
        <v>6000</v>
      </c>
      <c r="P1599" s="476"/>
      <c r="Q1599" s="477">
        <v>46023</v>
      </c>
      <c r="R1599" s="476"/>
      <c r="S1599" s="476"/>
    </row>
    <row r="1600" spans="1:19" ht="15.75" customHeight="1" x14ac:dyDescent="0.25">
      <c r="A1600" s="438">
        <v>1597</v>
      </c>
      <c r="B1600" s="470" t="s">
        <v>17</v>
      </c>
      <c r="C1600" s="471" t="s">
        <v>18</v>
      </c>
      <c r="D1600" s="472" t="s">
        <v>19</v>
      </c>
      <c r="E1600" s="448" t="s">
        <v>4083</v>
      </c>
      <c r="F1600" s="448" t="s">
        <v>2988</v>
      </c>
      <c r="G1600" s="473" t="s">
        <v>4024</v>
      </c>
      <c r="H1600" s="439" t="s">
        <v>2032</v>
      </c>
      <c r="I1600" s="474" t="s">
        <v>3457</v>
      </c>
      <c r="J1600" s="474" t="s">
        <v>3464</v>
      </c>
      <c r="K1600" s="443" t="s">
        <v>2033</v>
      </c>
      <c r="L1600" s="471">
        <v>1</v>
      </c>
      <c r="M1600" s="447" t="s">
        <v>2034</v>
      </c>
      <c r="N1600" s="456">
        <v>89800</v>
      </c>
      <c r="O1600" s="475">
        <f t="shared" si="6"/>
        <v>89800</v>
      </c>
      <c r="P1600" s="476"/>
      <c r="Q1600" s="477">
        <v>46023</v>
      </c>
      <c r="R1600" s="476"/>
      <c r="S1600" s="476"/>
    </row>
    <row r="1601" spans="1:19" ht="15.75" customHeight="1" x14ac:dyDescent="0.25">
      <c r="A1601" s="438">
        <v>1598</v>
      </c>
      <c r="B1601" s="470" t="s">
        <v>17</v>
      </c>
      <c r="C1601" s="471" t="s">
        <v>18</v>
      </c>
      <c r="D1601" s="472" t="s">
        <v>19</v>
      </c>
      <c r="E1601" s="448" t="s">
        <v>4083</v>
      </c>
      <c r="F1601" s="448" t="s">
        <v>2988</v>
      </c>
      <c r="G1601" s="473" t="s">
        <v>4025</v>
      </c>
      <c r="H1601" s="439" t="s">
        <v>2035</v>
      </c>
      <c r="I1601" s="474" t="s">
        <v>3457</v>
      </c>
      <c r="J1601" s="474" t="s">
        <v>3464</v>
      </c>
      <c r="K1601" s="443" t="s">
        <v>2036</v>
      </c>
      <c r="L1601" s="471">
        <v>1</v>
      </c>
      <c r="M1601" s="447" t="s">
        <v>2037</v>
      </c>
      <c r="N1601" s="456">
        <v>5580</v>
      </c>
      <c r="O1601" s="475">
        <f t="shared" si="6"/>
        <v>5580</v>
      </c>
      <c r="P1601" s="476"/>
      <c r="Q1601" s="477">
        <v>46023</v>
      </c>
      <c r="R1601" s="476"/>
      <c r="S1601" s="476"/>
    </row>
    <row r="1602" spans="1:19" ht="15.75" customHeight="1" x14ac:dyDescent="0.25">
      <c r="A1602" s="438">
        <v>1599</v>
      </c>
      <c r="B1602" s="470" t="s">
        <v>17</v>
      </c>
      <c r="C1602" s="471" t="s">
        <v>18</v>
      </c>
      <c r="D1602" s="472" t="s">
        <v>19</v>
      </c>
      <c r="E1602" s="448" t="s">
        <v>4083</v>
      </c>
      <c r="F1602" s="448" t="s">
        <v>2988</v>
      </c>
      <c r="G1602" s="473" t="s">
        <v>4025</v>
      </c>
      <c r="H1602" s="439" t="s">
        <v>2035</v>
      </c>
      <c r="I1602" s="474" t="s">
        <v>3457</v>
      </c>
      <c r="J1602" s="474" t="s">
        <v>3464</v>
      </c>
      <c r="K1602" s="443" t="s">
        <v>2036</v>
      </c>
      <c r="L1602" s="471">
        <v>1</v>
      </c>
      <c r="M1602" s="447" t="s">
        <v>2038</v>
      </c>
      <c r="N1602" s="456">
        <v>5580</v>
      </c>
      <c r="O1602" s="475">
        <f t="shared" si="6"/>
        <v>5580</v>
      </c>
      <c r="P1602" s="476"/>
      <c r="Q1602" s="477">
        <v>46023</v>
      </c>
      <c r="R1602" s="476"/>
      <c r="S1602" s="476"/>
    </row>
    <row r="1603" spans="1:19" ht="15.75" customHeight="1" x14ac:dyDescent="0.25">
      <c r="A1603" s="438">
        <v>1600</v>
      </c>
      <c r="B1603" s="470" t="s">
        <v>17</v>
      </c>
      <c r="C1603" s="471" t="s">
        <v>18</v>
      </c>
      <c r="D1603" s="472" t="s">
        <v>19</v>
      </c>
      <c r="E1603" s="448" t="s">
        <v>4083</v>
      </c>
      <c r="F1603" s="448" t="s">
        <v>2988</v>
      </c>
      <c r="G1603" s="473" t="s">
        <v>3060</v>
      </c>
      <c r="H1603" s="439" t="s">
        <v>2039</v>
      </c>
      <c r="I1603" s="474" t="s">
        <v>3457</v>
      </c>
      <c r="J1603" s="474" t="s">
        <v>3463</v>
      </c>
      <c r="K1603" s="443" t="s">
        <v>1539</v>
      </c>
      <c r="L1603" s="471">
        <v>1</v>
      </c>
      <c r="M1603" s="447" t="s">
        <v>2040</v>
      </c>
      <c r="N1603" s="456">
        <v>7100</v>
      </c>
      <c r="O1603" s="475">
        <f t="shared" si="6"/>
        <v>7100</v>
      </c>
      <c r="P1603" s="476"/>
      <c r="Q1603" s="477">
        <v>46023</v>
      </c>
      <c r="R1603" s="476"/>
      <c r="S1603" s="476"/>
    </row>
    <row r="1604" spans="1:19" ht="15.75" customHeight="1" x14ac:dyDescent="0.25">
      <c r="A1604" s="438">
        <v>1601</v>
      </c>
      <c r="B1604" s="470" t="s">
        <v>17</v>
      </c>
      <c r="C1604" s="471" t="s">
        <v>18</v>
      </c>
      <c r="D1604" s="472" t="s">
        <v>19</v>
      </c>
      <c r="E1604" s="448" t="s">
        <v>4083</v>
      </c>
      <c r="F1604" s="448" t="s">
        <v>2988</v>
      </c>
      <c r="G1604" s="473" t="s">
        <v>3060</v>
      </c>
      <c r="H1604" s="439" t="s">
        <v>2039</v>
      </c>
      <c r="I1604" s="474" t="s">
        <v>3457</v>
      </c>
      <c r="J1604" s="474" t="s">
        <v>3463</v>
      </c>
      <c r="K1604" s="443" t="s">
        <v>1539</v>
      </c>
      <c r="L1604" s="471">
        <v>1</v>
      </c>
      <c r="M1604" s="447" t="s">
        <v>2041</v>
      </c>
      <c r="N1604" s="456">
        <v>7100</v>
      </c>
      <c r="O1604" s="475">
        <f t="shared" si="6"/>
        <v>7100</v>
      </c>
      <c r="P1604" s="476"/>
      <c r="Q1604" s="477">
        <v>46023</v>
      </c>
      <c r="R1604" s="476"/>
      <c r="S1604" s="476"/>
    </row>
    <row r="1605" spans="1:19" ht="15.75" customHeight="1" x14ac:dyDescent="0.25">
      <c r="A1605" s="438">
        <v>1602</v>
      </c>
      <c r="B1605" s="470" t="s">
        <v>17</v>
      </c>
      <c r="C1605" s="471" t="s">
        <v>18</v>
      </c>
      <c r="D1605" s="472" t="s">
        <v>19</v>
      </c>
      <c r="E1605" s="448" t="s">
        <v>4083</v>
      </c>
      <c r="F1605" s="448" t="s">
        <v>2988</v>
      </c>
      <c r="G1605" s="473" t="s">
        <v>3060</v>
      </c>
      <c r="H1605" s="439" t="s">
        <v>2039</v>
      </c>
      <c r="I1605" s="474" t="s">
        <v>3457</v>
      </c>
      <c r="J1605" s="474" t="s">
        <v>3463</v>
      </c>
      <c r="K1605" s="443" t="s">
        <v>1539</v>
      </c>
      <c r="L1605" s="471">
        <v>1</v>
      </c>
      <c r="M1605" s="447" t="s">
        <v>2042</v>
      </c>
      <c r="N1605" s="456">
        <v>7100</v>
      </c>
      <c r="O1605" s="475">
        <f t="shared" si="6"/>
        <v>7100</v>
      </c>
      <c r="P1605" s="476"/>
      <c r="Q1605" s="477">
        <v>46023</v>
      </c>
      <c r="R1605" s="476"/>
      <c r="S1605" s="476"/>
    </row>
    <row r="1606" spans="1:19" ht="15.75" customHeight="1" x14ac:dyDescent="0.25">
      <c r="A1606" s="438">
        <v>1603</v>
      </c>
      <c r="B1606" s="470" t="s">
        <v>17</v>
      </c>
      <c r="C1606" s="471" t="s">
        <v>18</v>
      </c>
      <c r="D1606" s="472" t="s">
        <v>19</v>
      </c>
      <c r="E1606" s="448" t="s">
        <v>4083</v>
      </c>
      <c r="F1606" s="448" t="s">
        <v>2988</v>
      </c>
      <c r="G1606" s="473" t="s">
        <v>3060</v>
      </c>
      <c r="H1606" s="439" t="s">
        <v>2039</v>
      </c>
      <c r="I1606" s="474" t="s">
        <v>3457</v>
      </c>
      <c r="J1606" s="474" t="s">
        <v>3463</v>
      </c>
      <c r="K1606" s="439" t="s">
        <v>1539</v>
      </c>
      <c r="L1606" s="471">
        <v>1</v>
      </c>
      <c r="M1606" s="447" t="s">
        <v>2043</v>
      </c>
      <c r="N1606" s="456">
        <v>7100</v>
      </c>
      <c r="O1606" s="475">
        <f t="shared" si="6"/>
        <v>7100</v>
      </c>
      <c r="P1606" s="476"/>
      <c r="Q1606" s="477">
        <v>46023</v>
      </c>
      <c r="R1606" s="476"/>
      <c r="S1606" s="476"/>
    </row>
    <row r="1607" spans="1:19" ht="15.75" customHeight="1" x14ac:dyDescent="0.25">
      <c r="A1607" s="438">
        <v>1604</v>
      </c>
      <c r="B1607" s="470" t="s">
        <v>17</v>
      </c>
      <c r="C1607" s="471" t="s">
        <v>18</v>
      </c>
      <c r="D1607" s="472" t="s">
        <v>19</v>
      </c>
      <c r="E1607" s="448" t="s">
        <v>4083</v>
      </c>
      <c r="F1607" s="448" t="s">
        <v>2988</v>
      </c>
      <c r="G1607" s="473" t="s">
        <v>3060</v>
      </c>
      <c r="H1607" s="439" t="s">
        <v>2039</v>
      </c>
      <c r="I1607" s="474" t="s">
        <v>3457</v>
      </c>
      <c r="J1607" s="474" t="s">
        <v>3463</v>
      </c>
      <c r="K1607" s="439" t="s">
        <v>1539</v>
      </c>
      <c r="L1607" s="471">
        <v>1</v>
      </c>
      <c r="M1607" s="447" t="s">
        <v>2044</v>
      </c>
      <c r="N1607" s="456">
        <v>7100</v>
      </c>
      <c r="O1607" s="475">
        <f t="shared" si="6"/>
        <v>7100</v>
      </c>
      <c r="P1607" s="476"/>
      <c r="Q1607" s="477">
        <v>46023</v>
      </c>
      <c r="R1607" s="476"/>
      <c r="S1607" s="476"/>
    </row>
    <row r="1608" spans="1:19" ht="15.75" customHeight="1" x14ac:dyDescent="0.25">
      <c r="A1608" s="438">
        <v>1605</v>
      </c>
      <c r="B1608" s="470" t="s">
        <v>17</v>
      </c>
      <c r="C1608" s="471" t="s">
        <v>18</v>
      </c>
      <c r="D1608" s="472" t="s">
        <v>19</v>
      </c>
      <c r="E1608" s="448" t="s">
        <v>4083</v>
      </c>
      <c r="F1608" s="448" t="s">
        <v>2988</v>
      </c>
      <c r="G1608" s="473" t="s">
        <v>3060</v>
      </c>
      <c r="H1608" s="439" t="s">
        <v>2039</v>
      </c>
      <c r="I1608" s="474" t="s">
        <v>3457</v>
      </c>
      <c r="J1608" s="474" t="s">
        <v>3463</v>
      </c>
      <c r="K1608" s="439" t="s">
        <v>1539</v>
      </c>
      <c r="L1608" s="471">
        <v>1</v>
      </c>
      <c r="M1608" s="447" t="s">
        <v>2045</v>
      </c>
      <c r="N1608" s="456">
        <v>7100</v>
      </c>
      <c r="O1608" s="475">
        <f t="shared" si="6"/>
        <v>7100</v>
      </c>
      <c r="P1608" s="476"/>
      <c r="Q1608" s="477">
        <v>46023</v>
      </c>
      <c r="R1608" s="476"/>
      <c r="S1608" s="476"/>
    </row>
    <row r="1609" spans="1:19" ht="15.75" customHeight="1" x14ac:dyDescent="0.25">
      <c r="A1609" s="438">
        <v>1606</v>
      </c>
      <c r="B1609" s="470" t="s">
        <v>17</v>
      </c>
      <c r="C1609" s="471" t="s">
        <v>18</v>
      </c>
      <c r="D1609" s="472" t="s">
        <v>19</v>
      </c>
      <c r="E1609" s="448" t="s">
        <v>4089</v>
      </c>
      <c r="F1609" s="448" t="s">
        <v>4108</v>
      </c>
      <c r="G1609" s="473" t="s">
        <v>4026</v>
      </c>
      <c r="H1609" s="439" t="s">
        <v>2046</v>
      </c>
      <c r="I1609" s="474" t="s">
        <v>3457</v>
      </c>
      <c r="J1609" s="474" t="s">
        <v>3465</v>
      </c>
      <c r="K1609" s="439" t="s">
        <v>2047</v>
      </c>
      <c r="L1609" s="471">
        <v>1</v>
      </c>
      <c r="M1609" s="447" t="s">
        <v>2048</v>
      </c>
      <c r="N1609" s="456">
        <v>93000</v>
      </c>
      <c r="O1609" s="475">
        <f t="shared" si="6"/>
        <v>93000</v>
      </c>
      <c r="P1609" s="476"/>
      <c r="Q1609" s="477">
        <v>46023</v>
      </c>
      <c r="R1609" s="476"/>
      <c r="S1609" s="476"/>
    </row>
    <row r="1610" spans="1:19" ht="15.75" customHeight="1" x14ac:dyDescent="0.25">
      <c r="A1610" s="438">
        <v>1607</v>
      </c>
      <c r="B1610" s="470" t="s">
        <v>17</v>
      </c>
      <c r="C1610" s="471" t="s">
        <v>18</v>
      </c>
      <c r="D1610" s="472" t="s">
        <v>19</v>
      </c>
      <c r="E1610" s="448" t="s">
        <v>4089</v>
      </c>
      <c r="F1610" s="448" t="s">
        <v>4108</v>
      </c>
      <c r="G1610" s="473" t="s">
        <v>4027</v>
      </c>
      <c r="H1610" s="439" t="s">
        <v>2049</v>
      </c>
      <c r="I1610" s="474" t="s">
        <v>3457</v>
      </c>
      <c r="J1610" s="474" t="s">
        <v>3465</v>
      </c>
      <c r="K1610" s="439" t="s">
        <v>2050</v>
      </c>
      <c r="L1610" s="471">
        <v>1</v>
      </c>
      <c r="M1610" s="447" t="s">
        <v>2051</v>
      </c>
      <c r="N1610" s="456">
        <v>125347</v>
      </c>
      <c r="O1610" s="475">
        <f t="shared" si="6"/>
        <v>125347</v>
      </c>
      <c r="P1610" s="476"/>
      <c r="Q1610" s="477">
        <v>46023</v>
      </c>
      <c r="R1610" s="476"/>
      <c r="S1610" s="476"/>
    </row>
    <row r="1611" spans="1:19" ht="15.75" customHeight="1" x14ac:dyDescent="0.25">
      <c r="A1611" s="438">
        <v>1608</v>
      </c>
      <c r="B1611" s="470" t="s">
        <v>17</v>
      </c>
      <c r="C1611" s="471" t="s">
        <v>18</v>
      </c>
      <c r="D1611" s="472" t="s">
        <v>19</v>
      </c>
      <c r="E1611" s="448" t="s">
        <v>4089</v>
      </c>
      <c r="F1611" s="448" t="s">
        <v>4108</v>
      </c>
      <c r="G1611" s="473" t="s">
        <v>4027</v>
      </c>
      <c r="H1611" s="439" t="s">
        <v>2049</v>
      </c>
      <c r="I1611" s="474" t="s">
        <v>3457</v>
      </c>
      <c r="J1611" s="474" t="s">
        <v>3465</v>
      </c>
      <c r="K1611" s="439" t="s">
        <v>2050</v>
      </c>
      <c r="L1611" s="471">
        <v>1</v>
      </c>
      <c r="M1611" s="447" t="s">
        <v>2052</v>
      </c>
      <c r="N1611" s="456">
        <v>125347</v>
      </c>
      <c r="O1611" s="475">
        <f t="shared" si="6"/>
        <v>125347</v>
      </c>
      <c r="P1611" s="476"/>
      <c r="Q1611" s="477">
        <v>46023</v>
      </c>
      <c r="R1611" s="476"/>
      <c r="S1611" s="476"/>
    </row>
    <row r="1612" spans="1:19" ht="15.75" customHeight="1" x14ac:dyDescent="0.25">
      <c r="A1612" s="438">
        <v>1609</v>
      </c>
      <c r="B1612" s="470" t="s">
        <v>17</v>
      </c>
      <c r="C1612" s="471" t="s">
        <v>18</v>
      </c>
      <c r="D1612" s="472" t="s">
        <v>19</v>
      </c>
      <c r="E1612" s="465" t="s">
        <v>3249</v>
      </c>
      <c r="F1612" s="448" t="s">
        <v>3249</v>
      </c>
      <c r="G1612" s="473" t="s">
        <v>4028</v>
      </c>
      <c r="H1612" s="439" t="s">
        <v>2053</v>
      </c>
      <c r="I1612" s="474" t="s">
        <v>3457</v>
      </c>
      <c r="J1612" s="474" t="s">
        <v>3464</v>
      </c>
      <c r="K1612" s="439" t="s">
        <v>2054</v>
      </c>
      <c r="L1612" s="471">
        <v>1</v>
      </c>
      <c r="M1612" s="447" t="s">
        <v>2055</v>
      </c>
      <c r="N1612" s="456">
        <v>24466</v>
      </c>
      <c r="O1612" s="475">
        <f t="shared" si="6"/>
        <v>24466</v>
      </c>
      <c r="P1612" s="476"/>
      <c r="Q1612" s="477">
        <v>46023</v>
      </c>
      <c r="R1612" s="476"/>
      <c r="S1612" s="476"/>
    </row>
    <row r="1613" spans="1:19" ht="15.75" customHeight="1" x14ac:dyDescent="0.25">
      <c r="A1613" s="438">
        <v>1610</v>
      </c>
      <c r="B1613" s="470" t="s">
        <v>17</v>
      </c>
      <c r="C1613" s="471" t="s">
        <v>18</v>
      </c>
      <c r="D1613" s="472" t="s">
        <v>19</v>
      </c>
      <c r="E1613" s="465" t="s">
        <v>3249</v>
      </c>
      <c r="F1613" s="448" t="s">
        <v>3249</v>
      </c>
      <c r="G1613" s="473" t="s">
        <v>4028</v>
      </c>
      <c r="H1613" s="439" t="s">
        <v>2053</v>
      </c>
      <c r="I1613" s="474" t="s">
        <v>3457</v>
      </c>
      <c r="J1613" s="474" t="s">
        <v>3464</v>
      </c>
      <c r="K1613" s="439" t="s">
        <v>2054</v>
      </c>
      <c r="L1613" s="471">
        <v>1</v>
      </c>
      <c r="M1613" s="447" t="s">
        <v>2056</v>
      </c>
      <c r="N1613" s="456">
        <v>24466</v>
      </c>
      <c r="O1613" s="475">
        <f t="shared" si="6"/>
        <v>24466</v>
      </c>
      <c r="P1613" s="476"/>
      <c r="Q1613" s="477">
        <v>46023</v>
      </c>
      <c r="R1613" s="476"/>
      <c r="S1613" s="476"/>
    </row>
    <row r="1614" spans="1:19" ht="15.75" customHeight="1" x14ac:dyDescent="0.25">
      <c r="A1614" s="438">
        <v>1611</v>
      </c>
      <c r="B1614" s="470" t="s">
        <v>17</v>
      </c>
      <c r="C1614" s="471" t="s">
        <v>18</v>
      </c>
      <c r="D1614" s="472" t="s">
        <v>19</v>
      </c>
      <c r="E1614" s="465" t="s">
        <v>3249</v>
      </c>
      <c r="F1614" s="448" t="s">
        <v>3249</v>
      </c>
      <c r="G1614" s="473" t="s">
        <v>4028</v>
      </c>
      <c r="H1614" s="439" t="s">
        <v>2057</v>
      </c>
      <c r="I1614" s="474" t="s">
        <v>3457</v>
      </c>
      <c r="J1614" s="474" t="s">
        <v>3464</v>
      </c>
      <c r="K1614" s="439" t="s">
        <v>2054</v>
      </c>
      <c r="L1614" s="471">
        <v>1</v>
      </c>
      <c r="M1614" s="447" t="s">
        <v>2058</v>
      </c>
      <c r="N1614" s="456">
        <v>105000</v>
      </c>
      <c r="O1614" s="475">
        <f t="shared" si="6"/>
        <v>105000</v>
      </c>
      <c r="P1614" s="476"/>
      <c r="Q1614" s="477">
        <v>46023</v>
      </c>
      <c r="R1614" s="476"/>
      <c r="S1614" s="476"/>
    </row>
    <row r="1615" spans="1:19" ht="15.75" customHeight="1" x14ac:dyDescent="0.25">
      <c r="A1615" s="438">
        <v>1612</v>
      </c>
      <c r="B1615" s="470" t="s">
        <v>17</v>
      </c>
      <c r="C1615" s="471" t="s">
        <v>18</v>
      </c>
      <c r="D1615" s="472" t="s">
        <v>19</v>
      </c>
      <c r="E1615" s="448" t="s">
        <v>4085</v>
      </c>
      <c r="F1615" s="448" t="s">
        <v>2985</v>
      </c>
      <c r="G1615" s="473" t="s">
        <v>4029</v>
      </c>
      <c r="H1615" s="439" t="s">
        <v>2059</v>
      </c>
      <c r="I1615" s="474" t="s">
        <v>3457</v>
      </c>
      <c r="J1615" s="474" t="s">
        <v>3464</v>
      </c>
      <c r="K1615" s="439" t="s">
        <v>2060</v>
      </c>
      <c r="L1615" s="471">
        <v>1</v>
      </c>
      <c r="M1615" s="447" t="s">
        <v>2061</v>
      </c>
      <c r="N1615" s="456">
        <v>89185</v>
      </c>
      <c r="O1615" s="475">
        <f t="shared" si="6"/>
        <v>89185</v>
      </c>
      <c r="P1615" s="476"/>
      <c r="Q1615" s="477">
        <v>46023</v>
      </c>
      <c r="R1615" s="476"/>
      <c r="S1615" s="476"/>
    </row>
    <row r="1616" spans="1:19" ht="15.75" customHeight="1" x14ac:dyDescent="0.25">
      <c r="A1616" s="438">
        <v>1613</v>
      </c>
      <c r="B1616" s="470" t="s">
        <v>17</v>
      </c>
      <c r="C1616" s="471" t="s">
        <v>18</v>
      </c>
      <c r="D1616" s="472" t="s">
        <v>19</v>
      </c>
      <c r="E1616" s="448" t="s">
        <v>4083</v>
      </c>
      <c r="F1616" s="448" t="s">
        <v>2988</v>
      </c>
      <c r="G1616" s="473" t="s">
        <v>3066</v>
      </c>
      <c r="H1616" s="439" t="s">
        <v>2062</v>
      </c>
      <c r="I1616" s="474" t="s">
        <v>3457</v>
      </c>
      <c r="J1616" s="474" t="s">
        <v>3464</v>
      </c>
      <c r="K1616" s="439" t="s">
        <v>1524</v>
      </c>
      <c r="L1616" s="471">
        <v>1</v>
      </c>
      <c r="M1616" s="447" t="s">
        <v>2063</v>
      </c>
      <c r="N1616" s="456">
        <v>38720</v>
      </c>
      <c r="O1616" s="475">
        <f t="shared" si="6"/>
        <v>38720</v>
      </c>
      <c r="P1616" s="476"/>
      <c r="Q1616" s="477">
        <v>46023</v>
      </c>
      <c r="R1616" s="476"/>
      <c r="S1616" s="476"/>
    </row>
    <row r="1617" spans="1:19" ht="15.75" customHeight="1" x14ac:dyDescent="0.25">
      <c r="A1617" s="438">
        <v>1614</v>
      </c>
      <c r="B1617" s="470" t="s">
        <v>17</v>
      </c>
      <c r="C1617" s="471" t="s">
        <v>18</v>
      </c>
      <c r="D1617" s="472" t="s">
        <v>19</v>
      </c>
      <c r="E1617" s="448" t="s">
        <v>4083</v>
      </c>
      <c r="F1617" s="448" t="s">
        <v>2988</v>
      </c>
      <c r="G1617" s="473" t="s">
        <v>4030</v>
      </c>
      <c r="H1617" s="439" t="s">
        <v>2064</v>
      </c>
      <c r="I1617" s="474" t="s">
        <v>3457</v>
      </c>
      <c r="J1617" s="474" t="s">
        <v>3464</v>
      </c>
      <c r="K1617" s="439" t="s">
        <v>2065</v>
      </c>
      <c r="L1617" s="471">
        <v>1</v>
      </c>
      <c r="M1617" s="447" t="s">
        <v>2066</v>
      </c>
      <c r="N1617" s="456">
        <v>7450</v>
      </c>
      <c r="O1617" s="475">
        <f t="shared" si="6"/>
        <v>7450</v>
      </c>
      <c r="P1617" s="476"/>
      <c r="Q1617" s="477">
        <v>46023</v>
      </c>
      <c r="R1617" s="476"/>
      <c r="S1617" s="476"/>
    </row>
    <row r="1618" spans="1:19" ht="15.75" customHeight="1" x14ac:dyDescent="0.25">
      <c r="A1618" s="438">
        <v>1615</v>
      </c>
      <c r="B1618" s="470" t="s">
        <v>17</v>
      </c>
      <c r="C1618" s="471" t="s">
        <v>18</v>
      </c>
      <c r="D1618" s="472" t="s">
        <v>19</v>
      </c>
      <c r="E1618" s="448" t="s">
        <v>4083</v>
      </c>
      <c r="F1618" s="448" t="s">
        <v>2988</v>
      </c>
      <c r="G1618" s="473" t="s">
        <v>4030</v>
      </c>
      <c r="H1618" s="439" t="s">
        <v>2064</v>
      </c>
      <c r="I1618" s="474" t="s">
        <v>3457</v>
      </c>
      <c r="J1618" s="474" t="s">
        <v>3464</v>
      </c>
      <c r="K1618" s="439" t="s">
        <v>2065</v>
      </c>
      <c r="L1618" s="471">
        <v>1</v>
      </c>
      <c r="M1618" s="447" t="s">
        <v>2067</v>
      </c>
      <c r="N1618" s="456">
        <v>7450</v>
      </c>
      <c r="O1618" s="475">
        <f t="shared" si="6"/>
        <v>7450</v>
      </c>
      <c r="P1618" s="476"/>
      <c r="Q1618" s="477">
        <v>46023</v>
      </c>
      <c r="R1618" s="476"/>
      <c r="S1618" s="476"/>
    </row>
    <row r="1619" spans="1:19" ht="15.75" customHeight="1" x14ac:dyDescent="0.25">
      <c r="A1619" s="438">
        <v>1616</v>
      </c>
      <c r="B1619" s="470" t="s">
        <v>17</v>
      </c>
      <c r="C1619" s="471" t="s">
        <v>18</v>
      </c>
      <c r="D1619" s="472" t="s">
        <v>19</v>
      </c>
      <c r="E1619" s="448" t="s">
        <v>4081</v>
      </c>
      <c r="F1619" s="448" t="s">
        <v>2989</v>
      </c>
      <c r="G1619" s="473" t="s">
        <v>4031</v>
      </c>
      <c r="H1619" s="439" t="s">
        <v>2068</v>
      </c>
      <c r="I1619" s="474" t="s">
        <v>3457</v>
      </c>
      <c r="J1619" s="474" t="s">
        <v>3464</v>
      </c>
      <c r="K1619" s="439" t="s">
        <v>2069</v>
      </c>
      <c r="L1619" s="471">
        <v>1</v>
      </c>
      <c r="M1619" s="447" t="s">
        <v>2070</v>
      </c>
      <c r="N1619" s="456">
        <v>14000</v>
      </c>
      <c r="O1619" s="475">
        <f t="shared" si="6"/>
        <v>14000</v>
      </c>
      <c r="P1619" s="476"/>
      <c r="Q1619" s="477">
        <v>46023</v>
      </c>
      <c r="R1619" s="476"/>
      <c r="S1619" s="476"/>
    </row>
    <row r="1620" spans="1:19" ht="15.75" customHeight="1" x14ac:dyDescent="0.25">
      <c r="A1620" s="438">
        <v>1617</v>
      </c>
      <c r="B1620" s="470" t="s">
        <v>17</v>
      </c>
      <c r="C1620" s="471" t="s">
        <v>18</v>
      </c>
      <c r="D1620" s="472" t="s">
        <v>19</v>
      </c>
      <c r="E1620" s="448" t="s">
        <v>4087</v>
      </c>
      <c r="F1620" s="448" t="s">
        <v>2985</v>
      </c>
      <c r="G1620" s="473" t="s">
        <v>4032</v>
      </c>
      <c r="H1620" s="439" t="s">
        <v>2071</v>
      </c>
      <c r="I1620" s="474" t="s">
        <v>3457</v>
      </c>
      <c r="J1620" s="474" t="s">
        <v>3463</v>
      </c>
      <c r="K1620" s="439" t="s">
        <v>2241</v>
      </c>
      <c r="L1620" s="471">
        <v>1</v>
      </c>
      <c r="M1620" s="447" t="s">
        <v>2072</v>
      </c>
      <c r="N1620" s="456">
        <v>6989</v>
      </c>
      <c r="O1620" s="475">
        <f t="shared" si="6"/>
        <v>6989</v>
      </c>
      <c r="P1620" s="476"/>
      <c r="Q1620" s="477">
        <v>46023</v>
      </c>
      <c r="R1620" s="476"/>
      <c r="S1620" s="476"/>
    </row>
    <row r="1621" spans="1:19" ht="15.75" customHeight="1" x14ac:dyDescent="0.25">
      <c r="A1621" s="438">
        <v>1618</v>
      </c>
      <c r="B1621" s="470" t="s">
        <v>17</v>
      </c>
      <c r="C1621" s="471" t="s">
        <v>18</v>
      </c>
      <c r="D1621" s="472" t="s">
        <v>19</v>
      </c>
      <c r="E1621" s="448" t="s">
        <v>3249</v>
      </c>
      <c r="F1621" s="448" t="s">
        <v>3249</v>
      </c>
      <c r="G1621" s="473" t="s">
        <v>2298</v>
      </c>
      <c r="H1621" s="439" t="s">
        <v>2073</v>
      </c>
      <c r="I1621" s="474" t="s">
        <v>3457</v>
      </c>
      <c r="J1621" s="474" t="s">
        <v>3463</v>
      </c>
      <c r="K1621" s="439" t="s">
        <v>1292</v>
      </c>
      <c r="L1621" s="471">
        <v>1</v>
      </c>
      <c r="M1621" s="447" t="s">
        <v>2074</v>
      </c>
      <c r="N1621" s="456">
        <v>24464</v>
      </c>
      <c r="O1621" s="475">
        <f t="shared" si="6"/>
        <v>24464</v>
      </c>
      <c r="P1621" s="476"/>
      <c r="Q1621" s="477">
        <v>46023</v>
      </c>
      <c r="R1621" s="476"/>
      <c r="S1621" s="476"/>
    </row>
    <row r="1622" spans="1:19" ht="15.75" customHeight="1" x14ac:dyDescent="0.25">
      <c r="A1622" s="438">
        <v>1619</v>
      </c>
      <c r="B1622" s="470" t="s">
        <v>17</v>
      </c>
      <c r="C1622" s="471" t="s">
        <v>18</v>
      </c>
      <c r="D1622" s="472" t="s">
        <v>19</v>
      </c>
      <c r="E1622" s="465" t="s">
        <v>4081</v>
      </c>
      <c r="F1622" s="448" t="s">
        <v>2989</v>
      </c>
      <c r="G1622" s="473" t="s">
        <v>3972</v>
      </c>
      <c r="H1622" s="439" t="s">
        <v>2075</v>
      </c>
      <c r="I1622" s="474" t="s">
        <v>3458</v>
      </c>
      <c r="J1622" s="474" t="s">
        <v>3463</v>
      </c>
      <c r="K1622" s="439" t="s">
        <v>1065</v>
      </c>
      <c r="L1622" s="471">
        <v>1</v>
      </c>
      <c r="M1622" s="447" t="s">
        <v>2076</v>
      </c>
      <c r="N1622" s="456">
        <v>3380</v>
      </c>
      <c r="O1622" s="475">
        <f t="shared" si="6"/>
        <v>3380</v>
      </c>
      <c r="P1622" s="476"/>
      <c r="Q1622" s="477">
        <v>46023</v>
      </c>
      <c r="R1622" s="476"/>
      <c r="S1622" s="476"/>
    </row>
    <row r="1623" spans="1:19" ht="15.75" customHeight="1" x14ac:dyDescent="0.25">
      <c r="A1623" s="438">
        <v>1620</v>
      </c>
      <c r="B1623" s="470" t="s">
        <v>17</v>
      </c>
      <c r="C1623" s="471" t="s">
        <v>18</v>
      </c>
      <c r="D1623" s="472" t="s">
        <v>19</v>
      </c>
      <c r="E1623" s="465" t="s">
        <v>4081</v>
      </c>
      <c r="F1623" s="448" t="s">
        <v>2989</v>
      </c>
      <c r="G1623" s="473" t="s">
        <v>3972</v>
      </c>
      <c r="H1623" s="439" t="s">
        <v>2075</v>
      </c>
      <c r="I1623" s="474" t="s">
        <v>3458</v>
      </c>
      <c r="J1623" s="474" t="s">
        <v>3463</v>
      </c>
      <c r="K1623" s="439" t="s">
        <v>1065</v>
      </c>
      <c r="L1623" s="471">
        <v>1</v>
      </c>
      <c r="M1623" s="447" t="s">
        <v>2077</v>
      </c>
      <c r="N1623" s="456">
        <v>3380</v>
      </c>
      <c r="O1623" s="475">
        <f t="shared" si="6"/>
        <v>3380</v>
      </c>
      <c r="P1623" s="476"/>
      <c r="Q1623" s="477">
        <v>46023</v>
      </c>
      <c r="R1623" s="476"/>
      <c r="S1623" s="476"/>
    </row>
    <row r="1624" spans="1:19" ht="15.75" customHeight="1" x14ac:dyDescent="0.25">
      <c r="A1624" s="438">
        <v>1621</v>
      </c>
      <c r="B1624" s="470" t="s">
        <v>17</v>
      </c>
      <c r="C1624" s="471" t="s">
        <v>18</v>
      </c>
      <c r="D1624" s="472" t="s">
        <v>19</v>
      </c>
      <c r="E1624" s="448" t="s">
        <v>4089</v>
      </c>
      <c r="F1624" s="448" t="s">
        <v>4108</v>
      </c>
      <c r="G1624" s="473" t="s">
        <v>4032</v>
      </c>
      <c r="H1624" s="439" t="s">
        <v>2078</v>
      </c>
      <c r="I1624" s="474" t="s">
        <v>3457</v>
      </c>
      <c r="J1624" s="474" t="s">
        <v>3463</v>
      </c>
      <c r="K1624" s="439" t="s">
        <v>2241</v>
      </c>
      <c r="L1624" s="471">
        <v>1</v>
      </c>
      <c r="M1624" s="447" t="s">
        <v>2079</v>
      </c>
      <c r="N1624" s="456">
        <v>1482</v>
      </c>
      <c r="O1624" s="475">
        <f t="shared" si="6"/>
        <v>1482</v>
      </c>
      <c r="P1624" s="476"/>
      <c r="Q1624" s="477">
        <v>46023</v>
      </c>
      <c r="R1624" s="476"/>
      <c r="S1624" s="476"/>
    </row>
    <row r="1625" spans="1:19" ht="15.75" customHeight="1" x14ac:dyDescent="0.25">
      <c r="A1625" s="438">
        <v>1622</v>
      </c>
      <c r="B1625" s="470" t="s">
        <v>17</v>
      </c>
      <c r="C1625" s="471" t="s">
        <v>18</v>
      </c>
      <c r="D1625" s="472" t="s">
        <v>19</v>
      </c>
      <c r="E1625" s="448" t="s">
        <v>4089</v>
      </c>
      <c r="F1625" s="448" t="s">
        <v>4108</v>
      </c>
      <c r="G1625" s="473" t="s">
        <v>4032</v>
      </c>
      <c r="H1625" s="439" t="s">
        <v>2078</v>
      </c>
      <c r="I1625" s="474" t="s">
        <v>3457</v>
      </c>
      <c r="J1625" s="474" t="s">
        <v>3463</v>
      </c>
      <c r="K1625" s="439" t="s">
        <v>2241</v>
      </c>
      <c r="L1625" s="471">
        <v>1</v>
      </c>
      <c r="M1625" s="447" t="s">
        <v>2080</v>
      </c>
      <c r="N1625" s="456">
        <v>1482</v>
      </c>
      <c r="O1625" s="475">
        <f t="shared" si="6"/>
        <v>1482</v>
      </c>
      <c r="P1625" s="476"/>
      <c r="Q1625" s="477">
        <v>46023</v>
      </c>
      <c r="R1625" s="476"/>
      <c r="S1625" s="476"/>
    </row>
    <row r="1626" spans="1:19" ht="15.75" customHeight="1" x14ac:dyDescent="0.25">
      <c r="A1626" s="438">
        <v>1623</v>
      </c>
      <c r="B1626" s="470" t="s">
        <v>17</v>
      </c>
      <c r="C1626" s="471" t="s">
        <v>18</v>
      </c>
      <c r="D1626" s="472" t="s">
        <v>19</v>
      </c>
      <c r="E1626" s="448" t="s">
        <v>4089</v>
      </c>
      <c r="F1626" s="448" t="s">
        <v>4108</v>
      </c>
      <c r="G1626" s="473" t="s">
        <v>4032</v>
      </c>
      <c r="H1626" s="439" t="s">
        <v>2078</v>
      </c>
      <c r="I1626" s="474" t="s">
        <v>3457</v>
      </c>
      <c r="J1626" s="474" t="s">
        <v>3463</v>
      </c>
      <c r="K1626" s="439" t="s">
        <v>2241</v>
      </c>
      <c r="L1626" s="471">
        <v>1</v>
      </c>
      <c r="M1626" s="447" t="s">
        <v>2081</v>
      </c>
      <c r="N1626" s="456">
        <v>1482</v>
      </c>
      <c r="O1626" s="475">
        <f t="shared" si="6"/>
        <v>1482</v>
      </c>
      <c r="P1626" s="476"/>
      <c r="Q1626" s="477">
        <v>46023</v>
      </c>
      <c r="R1626" s="476"/>
      <c r="S1626" s="476"/>
    </row>
    <row r="1627" spans="1:19" ht="15.75" customHeight="1" x14ac:dyDescent="0.25">
      <c r="A1627" s="438">
        <v>1624</v>
      </c>
      <c r="B1627" s="470" t="s">
        <v>17</v>
      </c>
      <c r="C1627" s="471" t="s">
        <v>18</v>
      </c>
      <c r="D1627" s="472" t="s">
        <v>19</v>
      </c>
      <c r="E1627" s="448" t="s">
        <v>3249</v>
      </c>
      <c r="F1627" s="448" t="s">
        <v>4119</v>
      </c>
      <c r="G1627" s="473" t="s">
        <v>2298</v>
      </c>
      <c r="H1627" s="439" t="s">
        <v>2082</v>
      </c>
      <c r="I1627" s="474" t="s">
        <v>3457</v>
      </c>
      <c r="J1627" s="474" t="s">
        <v>3463</v>
      </c>
      <c r="K1627" s="439" t="s">
        <v>1292</v>
      </c>
      <c r="L1627" s="471">
        <v>1</v>
      </c>
      <c r="M1627" s="447" t="s">
        <v>2083</v>
      </c>
      <c r="N1627" s="456">
        <v>11650</v>
      </c>
      <c r="O1627" s="475">
        <f t="shared" si="6"/>
        <v>11650</v>
      </c>
      <c r="P1627" s="476"/>
      <c r="Q1627" s="477">
        <v>46023</v>
      </c>
      <c r="R1627" s="476"/>
      <c r="S1627" s="476"/>
    </row>
    <row r="1628" spans="1:19" ht="15.75" customHeight="1" x14ac:dyDescent="0.25">
      <c r="A1628" s="438">
        <v>1625</v>
      </c>
      <c r="B1628" s="470" t="s">
        <v>17</v>
      </c>
      <c r="C1628" s="471" t="s">
        <v>18</v>
      </c>
      <c r="D1628" s="472" t="s">
        <v>19</v>
      </c>
      <c r="E1628" s="448" t="s">
        <v>4081</v>
      </c>
      <c r="F1628" s="448" t="s">
        <v>2989</v>
      </c>
      <c r="G1628" s="473" t="s">
        <v>3908</v>
      </c>
      <c r="H1628" s="439" t="s">
        <v>157</v>
      </c>
      <c r="I1628" s="474" t="s">
        <v>3457</v>
      </c>
      <c r="J1628" s="474" t="s">
        <v>3464</v>
      </c>
      <c r="K1628" s="439" t="s">
        <v>158</v>
      </c>
      <c r="L1628" s="471">
        <v>1</v>
      </c>
      <c r="M1628" s="447" t="s">
        <v>3511</v>
      </c>
      <c r="N1628" s="456">
        <v>3450</v>
      </c>
      <c r="O1628" s="475">
        <f t="shared" si="6"/>
        <v>3450</v>
      </c>
      <c r="P1628" s="476"/>
      <c r="Q1628" s="477">
        <v>46023</v>
      </c>
      <c r="R1628" s="476"/>
      <c r="S1628" s="476"/>
    </row>
    <row r="1629" spans="1:19" ht="15.75" customHeight="1" x14ac:dyDescent="0.25">
      <c r="A1629" s="438">
        <v>1626</v>
      </c>
      <c r="B1629" s="470" t="s">
        <v>17</v>
      </c>
      <c r="C1629" s="471" t="s">
        <v>18</v>
      </c>
      <c r="D1629" s="472" t="s">
        <v>19</v>
      </c>
      <c r="E1629" s="448" t="s">
        <v>4081</v>
      </c>
      <c r="F1629" s="448" t="s">
        <v>2989</v>
      </c>
      <c r="G1629" s="473" t="s">
        <v>3908</v>
      </c>
      <c r="H1629" s="439" t="s">
        <v>2304</v>
      </c>
      <c r="I1629" s="474" t="s">
        <v>3457</v>
      </c>
      <c r="J1629" s="474" t="s">
        <v>3464</v>
      </c>
      <c r="K1629" s="439" t="s">
        <v>3479</v>
      </c>
      <c r="L1629" s="471">
        <v>1</v>
      </c>
      <c r="M1629" s="447" t="s">
        <v>2305</v>
      </c>
      <c r="N1629" s="456">
        <v>16400</v>
      </c>
      <c r="O1629" s="475">
        <f t="shared" si="6"/>
        <v>16400</v>
      </c>
      <c r="P1629" s="476"/>
      <c r="Q1629" s="477">
        <v>46023</v>
      </c>
      <c r="R1629" s="476"/>
      <c r="S1629" s="476"/>
    </row>
    <row r="1630" spans="1:19" ht="15.75" customHeight="1" x14ac:dyDescent="0.25">
      <c r="A1630" s="438">
        <v>1627</v>
      </c>
      <c r="B1630" s="470" t="s">
        <v>17</v>
      </c>
      <c r="C1630" s="471" t="s">
        <v>18</v>
      </c>
      <c r="D1630" s="472" t="s">
        <v>19</v>
      </c>
      <c r="E1630" s="448" t="s">
        <v>4081</v>
      </c>
      <c r="F1630" s="448" t="s">
        <v>2989</v>
      </c>
      <c r="G1630" s="452" t="s">
        <v>3955</v>
      </c>
      <c r="H1630" s="439" t="s">
        <v>2084</v>
      </c>
      <c r="I1630" s="438" t="s">
        <v>3459</v>
      </c>
      <c r="J1630" s="438" t="s">
        <v>3464</v>
      </c>
      <c r="K1630" s="439" t="s">
        <v>940</v>
      </c>
      <c r="L1630" s="471">
        <v>1</v>
      </c>
      <c r="M1630" s="447" t="s">
        <v>2085</v>
      </c>
      <c r="N1630" s="456">
        <v>2070</v>
      </c>
      <c r="O1630" s="475">
        <f t="shared" si="6"/>
        <v>2070</v>
      </c>
      <c r="P1630" s="476"/>
      <c r="Q1630" s="477">
        <v>46023</v>
      </c>
      <c r="R1630" s="476"/>
      <c r="S1630" s="476"/>
    </row>
    <row r="1631" spans="1:19" ht="15.75" customHeight="1" x14ac:dyDescent="0.25">
      <c r="A1631" s="438">
        <v>1628</v>
      </c>
      <c r="B1631" s="470" t="s">
        <v>17</v>
      </c>
      <c r="C1631" s="471" t="s">
        <v>18</v>
      </c>
      <c r="D1631" s="472" t="s">
        <v>19</v>
      </c>
      <c r="E1631" s="465" t="s">
        <v>4083</v>
      </c>
      <c r="F1631" s="448" t="s">
        <v>2988</v>
      </c>
      <c r="G1631" s="452" t="s">
        <v>3980</v>
      </c>
      <c r="H1631" s="439" t="s">
        <v>1153</v>
      </c>
      <c r="I1631" s="438" t="s">
        <v>3459</v>
      </c>
      <c r="J1631" s="438" t="s">
        <v>3464</v>
      </c>
      <c r="K1631" s="439" t="s">
        <v>1136</v>
      </c>
      <c r="L1631" s="471">
        <v>1</v>
      </c>
      <c r="M1631" s="447" t="s">
        <v>2086</v>
      </c>
      <c r="N1631" s="456">
        <v>5450</v>
      </c>
      <c r="O1631" s="475">
        <f t="shared" si="6"/>
        <v>5450</v>
      </c>
      <c r="P1631" s="476"/>
      <c r="Q1631" s="477">
        <v>46023</v>
      </c>
      <c r="R1631" s="476"/>
      <c r="S1631" s="476"/>
    </row>
    <row r="1632" spans="1:19" ht="15.75" customHeight="1" x14ac:dyDescent="0.25">
      <c r="A1632" s="438">
        <v>1629</v>
      </c>
      <c r="B1632" s="470" t="s">
        <v>17</v>
      </c>
      <c r="C1632" s="471" t="s">
        <v>18</v>
      </c>
      <c r="D1632" s="472" t="s">
        <v>19</v>
      </c>
      <c r="E1632" s="465" t="s">
        <v>4083</v>
      </c>
      <c r="F1632" s="448" t="s">
        <v>2988</v>
      </c>
      <c r="G1632" s="452" t="s">
        <v>3980</v>
      </c>
      <c r="H1632" s="439" t="s">
        <v>1153</v>
      </c>
      <c r="I1632" s="438" t="s">
        <v>3459</v>
      </c>
      <c r="J1632" s="438" t="s">
        <v>3464</v>
      </c>
      <c r="K1632" s="439" t="s">
        <v>1136</v>
      </c>
      <c r="L1632" s="471">
        <v>1</v>
      </c>
      <c r="M1632" s="447" t="s">
        <v>2087</v>
      </c>
      <c r="N1632" s="456">
        <v>5450</v>
      </c>
      <c r="O1632" s="475">
        <f t="shared" si="6"/>
        <v>5450</v>
      </c>
      <c r="P1632" s="476"/>
      <c r="Q1632" s="477">
        <v>46023</v>
      </c>
      <c r="R1632" s="476"/>
      <c r="S1632" s="476"/>
    </row>
    <row r="1633" spans="1:19" ht="15.75" customHeight="1" x14ac:dyDescent="0.25">
      <c r="A1633" s="438">
        <v>1630</v>
      </c>
      <c r="B1633" s="470" t="s">
        <v>17</v>
      </c>
      <c r="C1633" s="471" t="s">
        <v>18</v>
      </c>
      <c r="D1633" s="472" t="s">
        <v>19</v>
      </c>
      <c r="E1633" s="448" t="s">
        <v>4083</v>
      </c>
      <c r="F1633" s="448" t="s">
        <v>2988</v>
      </c>
      <c r="G1633" s="473" t="s">
        <v>3980</v>
      </c>
      <c r="H1633" s="439" t="s">
        <v>1153</v>
      </c>
      <c r="I1633" s="474" t="s">
        <v>3459</v>
      </c>
      <c r="J1633" s="474" t="s">
        <v>3464</v>
      </c>
      <c r="K1633" s="439" t="s">
        <v>1136</v>
      </c>
      <c r="L1633" s="471">
        <v>1</v>
      </c>
      <c r="M1633" s="447" t="s">
        <v>2088</v>
      </c>
      <c r="N1633" s="456">
        <v>5450</v>
      </c>
      <c r="O1633" s="475">
        <f t="shared" si="6"/>
        <v>5450</v>
      </c>
      <c r="P1633" s="476"/>
      <c r="Q1633" s="477">
        <v>46023</v>
      </c>
      <c r="R1633" s="476"/>
      <c r="S1633" s="476"/>
    </row>
    <row r="1634" spans="1:19" ht="15.75" customHeight="1" x14ac:dyDescent="0.25">
      <c r="A1634" s="438">
        <v>1631</v>
      </c>
      <c r="B1634" s="470" t="s">
        <v>17</v>
      </c>
      <c r="C1634" s="471" t="s">
        <v>18</v>
      </c>
      <c r="D1634" s="472" t="s">
        <v>19</v>
      </c>
      <c r="E1634" s="448" t="s">
        <v>4083</v>
      </c>
      <c r="F1634" s="448" t="s">
        <v>2988</v>
      </c>
      <c r="G1634" s="473" t="s">
        <v>3053</v>
      </c>
      <c r="H1634" s="439" t="s">
        <v>2089</v>
      </c>
      <c r="I1634" s="474" t="s">
        <v>3457</v>
      </c>
      <c r="J1634" s="474" t="s">
        <v>3463</v>
      </c>
      <c r="K1634" s="439" t="s">
        <v>1191</v>
      </c>
      <c r="L1634" s="471">
        <v>1</v>
      </c>
      <c r="M1634" s="447" t="s">
        <v>2090</v>
      </c>
      <c r="N1634" s="456">
        <v>30500</v>
      </c>
      <c r="O1634" s="475">
        <f t="shared" si="6"/>
        <v>30500</v>
      </c>
      <c r="P1634" s="476"/>
      <c r="Q1634" s="477">
        <v>46023</v>
      </c>
      <c r="R1634" s="476"/>
      <c r="S1634" s="476"/>
    </row>
    <row r="1635" spans="1:19" ht="15.75" customHeight="1" x14ac:dyDescent="0.25">
      <c r="A1635" s="438">
        <v>1632</v>
      </c>
      <c r="B1635" s="470" t="s">
        <v>17</v>
      </c>
      <c r="C1635" s="471" t="s">
        <v>18</v>
      </c>
      <c r="D1635" s="472" t="s">
        <v>19</v>
      </c>
      <c r="E1635" s="465" t="s">
        <v>4083</v>
      </c>
      <c r="F1635" s="448" t="s">
        <v>2988</v>
      </c>
      <c r="G1635" s="473" t="s">
        <v>2782</v>
      </c>
      <c r="H1635" s="439" t="s">
        <v>1998</v>
      </c>
      <c r="I1635" s="474" t="s">
        <v>3457</v>
      </c>
      <c r="J1635" s="474" t="s">
        <v>3464</v>
      </c>
      <c r="K1635" s="439" t="s">
        <v>1780</v>
      </c>
      <c r="L1635" s="471">
        <v>1</v>
      </c>
      <c r="M1635" s="447" t="s">
        <v>2091</v>
      </c>
      <c r="N1635" s="456">
        <v>3500</v>
      </c>
      <c r="O1635" s="475">
        <f t="shared" si="6"/>
        <v>3500</v>
      </c>
      <c r="P1635" s="476"/>
      <c r="Q1635" s="477">
        <v>46023</v>
      </c>
      <c r="R1635" s="476"/>
      <c r="S1635" s="476"/>
    </row>
    <row r="1636" spans="1:19" ht="15.75" customHeight="1" x14ac:dyDescent="0.25">
      <c r="A1636" s="438">
        <v>1633</v>
      </c>
      <c r="B1636" s="470" t="s">
        <v>17</v>
      </c>
      <c r="C1636" s="471" t="s">
        <v>18</v>
      </c>
      <c r="D1636" s="472" t="s">
        <v>19</v>
      </c>
      <c r="E1636" s="465" t="s">
        <v>4082</v>
      </c>
      <c r="F1636" s="448" t="s">
        <v>4082</v>
      </c>
      <c r="G1636" s="473" t="s">
        <v>3963</v>
      </c>
      <c r="H1636" s="439" t="s">
        <v>2092</v>
      </c>
      <c r="I1636" s="474" t="s">
        <v>3458</v>
      </c>
      <c r="J1636" s="474" t="s">
        <v>3464</v>
      </c>
      <c r="K1636" s="439" t="s">
        <v>1024</v>
      </c>
      <c r="L1636" s="471">
        <v>1</v>
      </c>
      <c r="M1636" s="447" t="s">
        <v>2093</v>
      </c>
      <c r="N1636" s="456">
        <v>2500</v>
      </c>
      <c r="O1636" s="475">
        <f t="shared" si="6"/>
        <v>2500</v>
      </c>
      <c r="P1636" s="476"/>
      <c r="Q1636" s="477">
        <v>46023</v>
      </c>
      <c r="R1636" s="476"/>
      <c r="S1636" s="476"/>
    </row>
    <row r="1637" spans="1:19" ht="15.75" customHeight="1" x14ac:dyDescent="0.25">
      <c r="A1637" s="438">
        <v>1634</v>
      </c>
      <c r="B1637" s="470" t="s">
        <v>17</v>
      </c>
      <c r="C1637" s="471" t="s">
        <v>18</v>
      </c>
      <c r="D1637" s="472" t="s">
        <v>19</v>
      </c>
      <c r="E1637" s="465" t="s">
        <v>4086</v>
      </c>
      <c r="F1637" s="448" t="s">
        <v>4103</v>
      </c>
      <c r="G1637" s="473" t="s">
        <v>3045</v>
      </c>
      <c r="H1637" s="439" t="s">
        <v>1995</v>
      </c>
      <c r="I1637" s="474" t="s">
        <v>3457</v>
      </c>
      <c r="J1637" s="474" t="s">
        <v>3464</v>
      </c>
      <c r="K1637" s="439" t="s">
        <v>1592</v>
      </c>
      <c r="L1637" s="471">
        <v>1</v>
      </c>
      <c r="M1637" s="447" t="s">
        <v>2094</v>
      </c>
      <c r="N1637" s="456">
        <v>3300</v>
      </c>
      <c r="O1637" s="475">
        <f t="shared" si="6"/>
        <v>3300</v>
      </c>
      <c r="P1637" s="476"/>
      <c r="Q1637" s="477">
        <v>46023</v>
      </c>
      <c r="R1637" s="476"/>
      <c r="S1637" s="476"/>
    </row>
    <row r="1638" spans="1:19" ht="15.75" customHeight="1" x14ac:dyDescent="0.25">
      <c r="A1638" s="438">
        <v>1635</v>
      </c>
      <c r="B1638" s="470" t="s">
        <v>17</v>
      </c>
      <c r="C1638" s="471" t="s">
        <v>18</v>
      </c>
      <c r="D1638" s="472" t="s">
        <v>19</v>
      </c>
      <c r="E1638" s="465" t="s">
        <v>4083</v>
      </c>
      <c r="F1638" s="448" t="s">
        <v>2988</v>
      </c>
      <c r="G1638" s="473" t="s">
        <v>3053</v>
      </c>
      <c r="H1638" s="439" t="s">
        <v>2089</v>
      </c>
      <c r="I1638" s="474" t="s">
        <v>3457</v>
      </c>
      <c r="J1638" s="474" t="s">
        <v>3463</v>
      </c>
      <c r="K1638" s="439" t="s">
        <v>1191</v>
      </c>
      <c r="L1638" s="471">
        <v>1</v>
      </c>
      <c r="M1638" s="447" t="s">
        <v>2095</v>
      </c>
      <c r="N1638" s="456">
        <v>35000</v>
      </c>
      <c r="O1638" s="475">
        <f t="shared" si="6"/>
        <v>35000</v>
      </c>
      <c r="P1638" s="476"/>
      <c r="Q1638" s="477">
        <v>46023</v>
      </c>
      <c r="R1638" s="476"/>
      <c r="S1638" s="476"/>
    </row>
    <row r="1639" spans="1:19" ht="15.75" customHeight="1" x14ac:dyDescent="0.25">
      <c r="A1639" s="438">
        <v>1636</v>
      </c>
      <c r="B1639" s="470" t="s">
        <v>17</v>
      </c>
      <c r="C1639" s="471" t="s">
        <v>18</v>
      </c>
      <c r="D1639" s="472" t="s">
        <v>19</v>
      </c>
      <c r="E1639" s="465" t="s">
        <v>4087</v>
      </c>
      <c r="F1639" s="448" t="s">
        <v>4099</v>
      </c>
      <c r="G1639" s="473" t="s">
        <v>4033</v>
      </c>
      <c r="H1639" s="439" t="s">
        <v>2096</v>
      </c>
      <c r="I1639" s="474" t="s">
        <v>3457</v>
      </c>
      <c r="J1639" s="474" t="s">
        <v>3463</v>
      </c>
      <c r="K1639" s="439" t="s">
        <v>2097</v>
      </c>
      <c r="L1639" s="471">
        <v>1</v>
      </c>
      <c r="M1639" s="447" t="s">
        <v>2098</v>
      </c>
      <c r="N1639" s="456">
        <v>14500</v>
      </c>
      <c r="O1639" s="475">
        <f t="shared" si="6"/>
        <v>14500</v>
      </c>
      <c r="P1639" s="476"/>
      <c r="Q1639" s="477">
        <v>46023</v>
      </c>
      <c r="R1639" s="476"/>
      <c r="S1639" s="476"/>
    </row>
    <row r="1640" spans="1:19" ht="15.75" customHeight="1" x14ac:dyDescent="0.25">
      <c r="A1640" s="438">
        <v>1637</v>
      </c>
      <c r="B1640" s="470" t="s">
        <v>17</v>
      </c>
      <c r="C1640" s="471" t="s">
        <v>18</v>
      </c>
      <c r="D1640" s="472" t="s">
        <v>19</v>
      </c>
      <c r="E1640" s="465" t="s">
        <v>4089</v>
      </c>
      <c r="F1640" s="448" t="s">
        <v>2985</v>
      </c>
      <c r="G1640" s="473" t="s">
        <v>2544</v>
      </c>
      <c r="H1640" s="439" t="s">
        <v>2099</v>
      </c>
      <c r="I1640" s="474" t="s">
        <v>3458</v>
      </c>
      <c r="J1640" s="474" t="s">
        <v>3464</v>
      </c>
      <c r="K1640" s="439" t="s">
        <v>2100</v>
      </c>
      <c r="L1640" s="471">
        <v>1</v>
      </c>
      <c r="M1640" s="447" t="s">
        <v>3111</v>
      </c>
      <c r="N1640" s="456">
        <v>449250.5</v>
      </c>
      <c r="O1640" s="475">
        <f t="shared" si="6"/>
        <v>449250.5</v>
      </c>
      <c r="P1640" s="476"/>
      <c r="Q1640" s="477">
        <v>46023</v>
      </c>
      <c r="R1640" s="476"/>
      <c r="S1640" s="476"/>
    </row>
    <row r="1641" spans="1:19" ht="15.75" customHeight="1" x14ac:dyDescent="0.25">
      <c r="A1641" s="438">
        <v>1638</v>
      </c>
      <c r="B1641" s="470" t="s">
        <v>17</v>
      </c>
      <c r="C1641" s="471" t="s">
        <v>18</v>
      </c>
      <c r="D1641" s="472" t="s">
        <v>19</v>
      </c>
      <c r="E1641" s="465" t="s">
        <v>4080</v>
      </c>
      <c r="F1641" s="448" t="s">
        <v>4080</v>
      </c>
      <c r="G1641" s="473" t="s">
        <v>4021</v>
      </c>
      <c r="H1641" s="439" t="s">
        <v>1967</v>
      </c>
      <c r="I1641" s="474" t="s">
        <v>3457</v>
      </c>
      <c r="J1641" s="474" t="s">
        <v>3463</v>
      </c>
      <c r="K1641" s="439" t="s">
        <v>1968</v>
      </c>
      <c r="L1641" s="471">
        <v>1</v>
      </c>
      <c r="M1641" s="447" t="s">
        <v>2101</v>
      </c>
      <c r="N1641" s="456">
        <v>6560</v>
      </c>
      <c r="O1641" s="475">
        <f t="shared" si="6"/>
        <v>6560</v>
      </c>
      <c r="P1641" s="476"/>
      <c r="Q1641" s="477">
        <v>46023</v>
      </c>
      <c r="R1641" s="476"/>
      <c r="S1641" s="476"/>
    </row>
    <row r="1642" spans="1:19" ht="15.75" customHeight="1" x14ac:dyDescent="0.25">
      <c r="A1642" s="438">
        <v>1639</v>
      </c>
      <c r="B1642" s="470" t="s">
        <v>17</v>
      </c>
      <c r="C1642" s="471" t="s">
        <v>18</v>
      </c>
      <c r="D1642" s="472" t="s">
        <v>19</v>
      </c>
      <c r="E1642" s="465" t="s">
        <v>4080</v>
      </c>
      <c r="F1642" s="448" t="s">
        <v>4080</v>
      </c>
      <c r="G1642" s="473" t="s">
        <v>4021</v>
      </c>
      <c r="H1642" s="439" t="s">
        <v>1967</v>
      </c>
      <c r="I1642" s="474" t="s">
        <v>3457</v>
      </c>
      <c r="J1642" s="474" t="s">
        <v>3463</v>
      </c>
      <c r="K1642" s="439" t="s">
        <v>1968</v>
      </c>
      <c r="L1642" s="471">
        <v>1</v>
      </c>
      <c r="M1642" s="447" t="s">
        <v>2102</v>
      </c>
      <c r="N1642" s="456">
        <v>6560</v>
      </c>
      <c r="O1642" s="475">
        <f t="shared" si="6"/>
        <v>6560</v>
      </c>
      <c r="P1642" s="476"/>
      <c r="Q1642" s="477">
        <v>46023</v>
      </c>
      <c r="R1642" s="476"/>
      <c r="S1642" s="476"/>
    </row>
    <row r="1643" spans="1:19" ht="15.75" customHeight="1" x14ac:dyDescent="0.25">
      <c r="A1643" s="438">
        <v>1640</v>
      </c>
      <c r="B1643" s="470" t="s">
        <v>17</v>
      </c>
      <c r="C1643" s="471" t="s">
        <v>18</v>
      </c>
      <c r="D1643" s="472" t="s">
        <v>19</v>
      </c>
      <c r="E1643" s="465" t="s">
        <v>4080</v>
      </c>
      <c r="F1643" s="448" t="s">
        <v>4080</v>
      </c>
      <c r="G1643" s="473" t="s">
        <v>4021</v>
      </c>
      <c r="H1643" s="439" t="s">
        <v>1967</v>
      </c>
      <c r="I1643" s="474" t="s">
        <v>3457</v>
      </c>
      <c r="J1643" s="474" t="s">
        <v>3463</v>
      </c>
      <c r="K1643" s="439" t="s">
        <v>1968</v>
      </c>
      <c r="L1643" s="471">
        <v>1</v>
      </c>
      <c r="M1643" s="447" t="s">
        <v>2103</v>
      </c>
      <c r="N1643" s="456">
        <v>6560</v>
      </c>
      <c r="O1643" s="475">
        <f t="shared" si="6"/>
        <v>6560</v>
      </c>
      <c r="P1643" s="476"/>
      <c r="Q1643" s="477">
        <v>46023</v>
      </c>
      <c r="R1643" s="476"/>
      <c r="S1643" s="476"/>
    </row>
    <row r="1644" spans="1:19" ht="15.75" customHeight="1" x14ac:dyDescent="0.25">
      <c r="A1644" s="438">
        <v>1641</v>
      </c>
      <c r="B1644" s="470" t="s">
        <v>17</v>
      </c>
      <c r="C1644" s="471" t="s">
        <v>18</v>
      </c>
      <c r="D1644" s="472" t="s">
        <v>19</v>
      </c>
      <c r="E1644" s="465" t="s">
        <v>4080</v>
      </c>
      <c r="F1644" s="448" t="s">
        <v>4080</v>
      </c>
      <c r="G1644" s="473" t="s">
        <v>4021</v>
      </c>
      <c r="H1644" s="439" t="s">
        <v>1967</v>
      </c>
      <c r="I1644" s="474" t="s">
        <v>3457</v>
      </c>
      <c r="J1644" s="474" t="s">
        <v>3463</v>
      </c>
      <c r="K1644" s="439" t="s">
        <v>1968</v>
      </c>
      <c r="L1644" s="471">
        <v>1</v>
      </c>
      <c r="M1644" s="447" t="s">
        <v>2104</v>
      </c>
      <c r="N1644" s="456">
        <v>6560</v>
      </c>
      <c r="O1644" s="475">
        <f t="shared" si="6"/>
        <v>6560</v>
      </c>
      <c r="P1644" s="476"/>
      <c r="Q1644" s="477">
        <v>46023</v>
      </c>
      <c r="R1644" s="476"/>
      <c r="S1644" s="476"/>
    </row>
    <row r="1645" spans="1:19" ht="15.75" customHeight="1" x14ac:dyDescent="0.25">
      <c r="A1645" s="438">
        <v>1642</v>
      </c>
      <c r="B1645" s="470" t="s">
        <v>17</v>
      </c>
      <c r="C1645" s="471" t="s">
        <v>18</v>
      </c>
      <c r="D1645" s="472" t="s">
        <v>19</v>
      </c>
      <c r="E1645" s="448" t="s">
        <v>4085</v>
      </c>
      <c r="F1645" s="448" t="s">
        <v>3026</v>
      </c>
      <c r="G1645" s="452" t="s">
        <v>4021</v>
      </c>
      <c r="H1645" s="439" t="s">
        <v>1967</v>
      </c>
      <c r="I1645" s="438" t="s">
        <v>3457</v>
      </c>
      <c r="J1645" s="438" t="s">
        <v>3463</v>
      </c>
      <c r="K1645" s="439" t="s">
        <v>1968</v>
      </c>
      <c r="L1645" s="471">
        <v>1</v>
      </c>
      <c r="M1645" s="447" t="s">
        <v>2105</v>
      </c>
      <c r="N1645" s="456">
        <v>6560</v>
      </c>
      <c r="O1645" s="475">
        <f t="shared" si="6"/>
        <v>6560</v>
      </c>
      <c r="P1645" s="476"/>
      <c r="Q1645" s="477">
        <v>46023</v>
      </c>
      <c r="R1645" s="476"/>
      <c r="S1645" s="476"/>
    </row>
    <row r="1646" spans="1:19" ht="15.75" customHeight="1" x14ac:dyDescent="0.25">
      <c r="A1646" s="438">
        <v>1643</v>
      </c>
      <c r="B1646" s="470" t="s">
        <v>17</v>
      </c>
      <c r="C1646" s="471" t="s">
        <v>18</v>
      </c>
      <c r="D1646" s="472" t="s">
        <v>19</v>
      </c>
      <c r="E1646" s="448" t="s">
        <v>4091</v>
      </c>
      <c r="F1646" s="448" t="s">
        <v>4114</v>
      </c>
      <c r="G1646" s="452" t="s">
        <v>2471</v>
      </c>
      <c r="H1646" s="439" t="s">
        <v>1916</v>
      </c>
      <c r="I1646" s="438" t="s">
        <v>3457</v>
      </c>
      <c r="J1646" s="438" t="s">
        <v>3463</v>
      </c>
      <c r="K1646" s="439" t="s">
        <v>1917</v>
      </c>
      <c r="L1646" s="471">
        <v>1</v>
      </c>
      <c r="M1646" s="447" t="s">
        <v>2106</v>
      </c>
      <c r="N1646" s="456">
        <v>3386.5</v>
      </c>
      <c r="O1646" s="475">
        <f t="shared" si="6"/>
        <v>3386.5</v>
      </c>
      <c r="P1646" s="476"/>
      <c r="Q1646" s="477">
        <v>46023</v>
      </c>
      <c r="R1646" s="476"/>
      <c r="S1646" s="476"/>
    </row>
    <row r="1647" spans="1:19" ht="15.75" customHeight="1" x14ac:dyDescent="0.25">
      <c r="A1647" s="438">
        <v>1644</v>
      </c>
      <c r="B1647" s="470" t="s">
        <v>17</v>
      </c>
      <c r="C1647" s="471" t="s">
        <v>18</v>
      </c>
      <c r="D1647" s="472" t="s">
        <v>19</v>
      </c>
      <c r="E1647" s="448" t="s">
        <v>4091</v>
      </c>
      <c r="F1647" s="448" t="s">
        <v>4114</v>
      </c>
      <c r="G1647" s="452" t="s">
        <v>2471</v>
      </c>
      <c r="H1647" s="439" t="s">
        <v>1916</v>
      </c>
      <c r="I1647" s="438" t="s">
        <v>3457</v>
      </c>
      <c r="J1647" s="438" t="s">
        <v>3463</v>
      </c>
      <c r="K1647" s="439" t="s">
        <v>1917</v>
      </c>
      <c r="L1647" s="471">
        <v>1</v>
      </c>
      <c r="M1647" s="447" t="s">
        <v>2107</v>
      </c>
      <c r="N1647" s="456">
        <v>3386.5</v>
      </c>
      <c r="O1647" s="475">
        <f t="shared" si="6"/>
        <v>3386.5</v>
      </c>
      <c r="P1647" s="476"/>
      <c r="Q1647" s="477">
        <v>46023</v>
      </c>
      <c r="R1647" s="476"/>
      <c r="S1647" s="476"/>
    </row>
    <row r="1648" spans="1:19" ht="15.75" customHeight="1" x14ac:dyDescent="0.25">
      <c r="A1648" s="438">
        <v>1645</v>
      </c>
      <c r="B1648" s="470" t="s">
        <v>17</v>
      </c>
      <c r="C1648" s="471" t="s">
        <v>18</v>
      </c>
      <c r="D1648" s="472" t="s">
        <v>19</v>
      </c>
      <c r="E1648" s="448" t="s">
        <v>4086</v>
      </c>
      <c r="F1648" s="448" t="s">
        <v>4097</v>
      </c>
      <c r="G1648" s="452" t="s">
        <v>2471</v>
      </c>
      <c r="H1648" s="439" t="s">
        <v>1916</v>
      </c>
      <c r="I1648" s="438" t="s">
        <v>3457</v>
      </c>
      <c r="J1648" s="438" t="s">
        <v>3463</v>
      </c>
      <c r="K1648" s="439" t="s">
        <v>1917</v>
      </c>
      <c r="L1648" s="471">
        <v>1</v>
      </c>
      <c r="M1648" s="447" t="s">
        <v>2108</v>
      </c>
      <c r="N1648" s="456">
        <v>3386.5</v>
      </c>
      <c r="O1648" s="475">
        <f t="shared" si="6"/>
        <v>3386.5</v>
      </c>
      <c r="P1648" s="476"/>
      <c r="Q1648" s="477">
        <v>46023</v>
      </c>
      <c r="R1648" s="476"/>
      <c r="S1648" s="476"/>
    </row>
    <row r="1649" spans="1:19" ht="15.75" customHeight="1" x14ac:dyDescent="0.25">
      <c r="A1649" s="438">
        <v>1646</v>
      </c>
      <c r="B1649" s="470" t="s">
        <v>17</v>
      </c>
      <c r="C1649" s="471" t="s">
        <v>18</v>
      </c>
      <c r="D1649" s="472" t="s">
        <v>19</v>
      </c>
      <c r="E1649" s="448" t="s">
        <v>4086</v>
      </c>
      <c r="F1649" s="448" t="s">
        <v>4097</v>
      </c>
      <c r="G1649" s="452" t="s">
        <v>2471</v>
      </c>
      <c r="H1649" s="439" t="s">
        <v>1916</v>
      </c>
      <c r="I1649" s="438" t="s">
        <v>3457</v>
      </c>
      <c r="J1649" s="438" t="s">
        <v>3463</v>
      </c>
      <c r="K1649" s="439" t="s">
        <v>1917</v>
      </c>
      <c r="L1649" s="471">
        <v>1</v>
      </c>
      <c r="M1649" s="447" t="s">
        <v>2109</v>
      </c>
      <c r="N1649" s="456">
        <v>3386.5</v>
      </c>
      <c r="O1649" s="475">
        <f t="shared" si="6"/>
        <v>3386.5</v>
      </c>
      <c r="P1649" s="476"/>
      <c r="Q1649" s="477">
        <v>46023</v>
      </c>
      <c r="R1649" s="476"/>
      <c r="S1649" s="476"/>
    </row>
    <row r="1650" spans="1:19" ht="15.75" customHeight="1" x14ac:dyDescent="0.25">
      <c r="A1650" s="438">
        <v>1647</v>
      </c>
      <c r="B1650" s="470" t="s">
        <v>17</v>
      </c>
      <c r="C1650" s="471" t="s">
        <v>18</v>
      </c>
      <c r="D1650" s="472" t="s">
        <v>19</v>
      </c>
      <c r="E1650" s="448" t="s">
        <v>4086</v>
      </c>
      <c r="F1650" s="448" t="s">
        <v>4097</v>
      </c>
      <c r="G1650" s="452" t="s">
        <v>2471</v>
      </c>
      <c r="H1650" s="439" t="s">
        <v>1916</v>
      </c>
      <c r="I1650" s="438" t="s">
        <v>3457</v>
      </c>
      <c r="J1650" s="438" t="s">
        <v>3463</v>
      </c>
      <c r="K1650" s="439" t="s">
        <v>1917</v>
      </c>
      <c r="L1650" s="471">
        <v>1</v>
      </c>
      <c r="M1650" s="447" t="s">
        <v>2110</v>
      </c>
      <c r="N1650" s="456">
        <v>3386.5</v>
      </c>
      <c r="O1650" s="475">
        <f t="shared" si="6"/>
        <v>3386.5</v>
      </c>
      <c r="P1650" s="476"/>
      <c r="Q1650" s="477">
        <v>46023</v>
      </c>
      <c r="R1650" s="476"/>
      <c r="S1650" s="476"/>
    </row>
    <row r="1651" spans="1:19" ht="15.75" customHeight="1" x14ac:dyDescent="0.25">
      <c r="A1651" s="438">
        <v>1648</v>
      </c>
      <c r="B1651" s="470" t="s">
        <v>17</v>
      </c>
      <c r="C1651" s="471" t="s">
        <v>18</v>
      </c>
      <c r="D1651" s="472" t="s">
        <v>19</v>
      </c>
      <c r="E1651" s="448" t="s">
        <v>4086</v>
      </c>
      <c r="F1651" s="448" t="s">
        <v>4103</v>
      </c>
      <c r="G1651" s="473" t="s">
        <v>2471</v>
      </c>
      <c r="H1651" s="439" t="s">
        <v>1916</v>
      </c>
      <c r="I1651" s="474" t="s">
        <v>3457</v>
      </c>
      <c r="J1651" s="474" t="s">
        <v>3463</v>
      </c>
      <c r="K1651" s="443" t="s">
        <v>1917</v>
      </c>
      <c r="L1651" s="471">
        <v>1</v>
      </c>
      <c r="M1651" s="447" t="s">
        <v>2111</v>
      </c>
      <c r="N1651" s="456">
        <v>3386.5</v>
      </c>
      <c r="O1651" s="475">
        <f t="shared" si="6"/>
        <v>3386.5</v>
      </c>
      <c r="P1651" s="476"/>
      <c r="Q1651" s="477">
        <v>46023</v>
      </c>
      <c r="R1651" s="476"/>
      <c r="S1651" s="476"/>
    </row>
    <row r="1652" spans="1:19" ht="15.75" customHeight="1" x14ac:dyDescent="0.25">
      <c r="A1652" s="438">
        <v>1649</v>
      </c>
      <c r="B1652" s="470" t="s">
        <v>17</v>
      </c>
      <c r="C1652" s="471" t="s">
        <v>18</v>
      </c>
      <c r="D1652" s="472" t="s">
        <v>19</v>
      </c>
      <c r="E1652" s="448" t="s">
        <v>4086</v>
      </c>
      <c r="F1652" s="448" t="s">
        <v>4112</v>
      </c>
      <c r="G1652" s="473" t="s">
        <v>2471</v>
      </c>
      <c r="H1652" s="439" t="s">
        <v>1916</v>
      </c>
      <c r="I1652" s="474" t="s">
        <v>3457</v>
      </c>
      <c r="J1652" s="474" t="s">
        <v>3463</v>
      </c>
      <c r="K1652" s="443" t="s">
        <v>1917</v>
      </c>
      <c r="L1652" s="471">
        <v>1</v>
      </c>
      <c r="M1652" s="447" t="s">
        <v>2112</v>
      </c>
      <c r="N1652" s="456">
        <v>3386.5</v>
      </c>
      <c r="O1652" s="475">
        <f t="shared" si="6"/>
        <v>3386.5</v>
      </c>
      <c r="P1652" s="476"/>
      <c r="Q1652" s="477">
        <v>46023</v>
      </c>
      <c r="R1652" s="476"/>
      <c r="S1652" s="476"/>
    </row>
    <row r="1653" spans="1:19" ht="15.75" customHeight="1" x14ac:dyDescent="0.25">
      <c r="A1653" s="438">
        <v>1650</v>
      </c>
      <c r="B1653" s="470" t="s">
        <v>17</v>
      </c>
      <c r="C1653" s="471" t="s">
        <v>18</v>
      </c>
      <c r="D1653" s="472" t="s">
        <v>19</v>
      </c>
      <c r="E1653" s="465" t="s">
        <v>4086</v>
      </c>
      <c r="F1653" s="448" t="s">
        <v>4112</v>
      </c>
      <c r="G1653" s="473" t="s">
        <v>2471</v>
      </c>
      <c r="H1653" s="439" t="s">
        <v>1916</v>
      </c>
      <c r="I1653" s="474" t="s">
        <v>3457</v>
      </c>
      <c r="J1653" s="474" t="s">
        <v>3463</v>
      </c>
      <c r="K1653" s="443" t="s">
        <v>1917</v>
      </c>
      <c r="L1653" s="471">
        <v>1</v>
      </c>
      <c r="M1653" s="447" t="s">
        <v>2113</v>
      </c>
      <c r="N1653" s="456">
        <v>3386.5</v>
      </c>
      <c r="O1653" s="475">
        <f t="shared" si="6"/>
        <v>3386.5</v>
      </c>
      <c r="P1653" s="476"/>
      <c r="Q1653" s="477">
        <v>46023</v>
      </c>
      <c r="R1653" s="476"/>
      <c r="S1653" s="476"/>
    </row>
    <row r="1654" spans="1:19" ht="15.75" customHeight="1" x14ac:dyDescent="0.25">
      <c r="A1654" s="438">
        <v>1651</v>
      </c>
      <c r="B1654" s="470" t="s">
        <v>17</v>
      </c>
      <c r="C1654" s="471" t="s">
        <v>18</v>
      </c>
      <c r="D1654" s="472" t="s">
        <v>19</v>
      </c>
      <c r="E1654" s="465" t="s">
        <v>4086</v>
      </c>
      <c r="F1654" s="448" t="s">
        <v>4112</v>
      </c>
      <c r="G1654" s="473" t="s">
        <v>2471</v>
      </c>
      <c r="H1654" s="439" t="s">
        <v>1916</v>
      </c>
      <c r="I1654" s="474" t="s">
        <v>3457</v>
      </c>
      <c r="J1654" s="474" t="s">
        <v>3463</v>
      </c>
      <c r="K1654" s="443" t="s">
        <v>1917</v>
      </c>
      <c r="L1654" s="471">
        <v>1</v>
      </c>
      <c r="M1654" s="447" t="s">
        <v>2114</v>
      </c>
      <c r="N1654" s="456">
        <v>3386.5</v>
      </c>
      <c r="O1654" s="475">
        <f t="shared" si="6"/>
        <v>3386.5</v>
      </c>
      <c r="P1654" s="476"/>
      <c r="Q1654" s="477">
        <v>46023</v>
      </c>
      <c r="R1654" s="476"/>
      <c r="S1654" s="476"/>
    </row>
    <row r="1655" spans="1:19" ht="15.75" customHeight="1" x14ac:dyDescent="0.25">
      <c r="A1655" s="438">
        <v>1652</v>
      </c>
      <c r="B1655" s="470" t="s">
        <v>17</v>
      </c>
      <c r="C1655" s="471" t="s">
        <v>18</v>
      </c>
      <c r="D1655" s="472" t="s">
        <v>19</v>
      </c>
      <c r="E1655" s="465" t="s">
        <v>4088</v>
      </c>
      <c r="F1655" s="448" t="s">
        <v>3049</v>
      </c>
      <c r="G1655" s="473" t="s">
        <v>3045</v>
      </c>
      <c r="H1655" s="439" t="s">
        <v>1882</v>
      </c>
      <c r="I1655" s="474" t="s">
        <v>3457</v>
      </c>
      <c r="J1655" s="474" t="s">
        <v>3464</v>
      </c>
      <c r="K1655" s="443" t="s">
        <v>1592</v>
      </c>
      <c r="L1655" s="471">
        <v>1</v>
      </c>
      <c r="M1655" s="447" t="s">
        <v>2115</v>
      </c>
      <c r="N1655" s="456">
        <v>2700</v>
      </c>
      <c r="O1655" s="475">
        <f t="shared" si="6"/>
        <v>2700</v>
      </c>
      <c r="P1655" s="476"/>
      <c r="Q1655" s="477">
        <v>46023</v>
      </c>
      <c r="R1655" s="476"/>
      <c r="S1655" s="476"/>
    </row>
    <row r="1656" spans="1:19" ht="15.75" customHeight="1" x14ac:dyDescent="0.25">
      <c r="A1656" s="438">
        <v>1653</v>
      </c>
      <c r="B1656" s="470" t="s">
        <v>17</v>
      </c>
      <c r="C1656" s="471" t="s">
        <v>18</v>
      </c>
      <c r="D1656" s="472" t="s">
        <v>19</v>
      </c>
      <c r="E1656" s="465" t="s">
        <v>4091</v>
      </c>
      <c r="F1656" s="448" t="s">
        <v>4107</v>
      </c>
      <c r="G1656" s="473" t="s">
        <v>2471</v>
      </c>
      <c r="H1656" s="439" t="s">
        <v>1916</v>
      </c>
      <c r="I1656" s="474" t="s">
        <v>3457</v>
      </c>
      <c r="J1656" s="474" t="s">
        <v>3463</v>
      </c>
      <c r="K1656" s="443" t="s">
        <v>1917</v>
      </c>
      <c r="L1656" s="471">
        <v>1</v>
      </c>
      <c r="M1656" s="447" t="s">
        <v>2116</v>
      </c>
      <c r="N1656" s="456">
        <v>3386.5</v>
      </c>
      <c r="O1656" s="475">
        <f t="shared" si="6"/>
        <v>3386.5</v>
      </c>
      <c r="P1656" s="476"/>
      <c r="Q1656" s="477">
        <v>46023</v>
      </c>
      <c r="R1656" s="476"/>
      <c r="S1656" s="476"/>
    </row>
    <row r="1657" spans="1:19" ht="15.75" customHeight="1" x14ac:dyDescent="0.25">
      <c r="A1657" s="438">
        <v>1654</v>
      </c>
      <c r="B1657" s="470" t="s">
        <v>17</v>
      </c>
      <c r="C1657" s="471" t="s">
        <v>18</v>
      </c>
      <c r="D1657" s="472" t="s">
        <v>19</v>
      </c>
      <c r="E1657" s="465" t="s">
        <v>4083</v>
      </c>
      <c r="F1657" s="448" t="s">
        <v>4109</v>
      </c>
      <c r="G1657" s="473" t="s">
        <v>2471</v>
      </c>
      <c r="H1657" s="439" t="s">
        <v>1916</v>
      </c>
      <c r="I1657" s="474" t="s">
        <v>3457</v>
      </c>
      <c r="J1657" s="474" t="s">
        <v>3463</v>
      </c>
      <c r="K1657" s="443" t="s">
        <v>1917</v>
      </c>
      <c r="L1657" s="471">
        <v>1</v>
      </c>
      <c r="M1657" s="447" t="s">
        <v>2117</v>
      </c>
      <c r="N1657" s="456">
        <v>3386.5</v>
      </c>
      <c r="O1657" s="475">
        <f t="shared" si="6"/>
        <v>3386.5</v>
      </c>
      <c r="P1657" s="476"/>
      <c r="Q1657" s="477">
        <v>46023</v>
      </c>
      <c r="R1657" s="476"/>
      <c r="S1657" s="476"/>
    </row>
    <row r="1658" spans="1:19" ht="15.75" customHeight="1" x14ac:dyDescent="0.25">
      <c r="A1658" s="438">
        <v>1655</v>
      </c>
      <c r="B1658" s="470" t="s">
        <v>17</v>
      </c>
      <c r="C1658" s="471" t="s">
        <v>18</v>
      </c>
      <c r="D1658" s="472" t="s">
        <v>19</v>
      </c>
      <c r="E1658" s="465" t="s">
        <v>4086</v>
      </c>
      <c r="F1658" s="448" t="s">
        <v>4112</v>
      </c>
      <c r="G1658" s="473" t="s">
        <v>3045</v>
      </c>
      <c r="H1658" s="439" t="s">
        <v>1882</v>
      </c>
      <c r="I1658" s="474" t="s">
        <v>3457</v>
      </c>
      <c r="J1658" s="474" t="s">
        <v>3464</v>
      </c>
      <c r="K1658" s="443" t="s">
        <v>1592</v>
      </c>
      <c r="L1658" s="471">
        <v>1</v>
      </c>
      <c r="M1658" s="447" t="s">
        <v>2118</v>
      </c>
      <c r="N1658" s="456">
        <v>2700</v>
      </c>
      <c r="O1658" s="475">
        <f t="shared" si="6"/>
        <v>2700</v>
      </c>
      <c r="P1658" s="476"/>
      <c r="Q1658" s="477">
        <v>46023</v>
      </c>
      <c r="R1658" s="476"/>
      <c r="S1658" s="476"/>
    </row>
    <row r="1659" spans="1:19" ht="15.75" customHeight="1" x14ac:dyDescent="0.25">
      <c r="A1659" s="438">
        <v>1656</v>
      </c>
      <c r="B1659" s="470" t="s">
        <v>17</v>
      </c>
      <c r="C1659" s="471" t="s">
        <v>18</v>
      </c>
      <c r="D1659" s="472" t="s">
        <v>19</v>
      </c>
      <c r="E1659" s="465" t="s">
        <v>4086</v>
      </c>
      <c r="F1659" s="448" t="s">
        <v>4112</v>
      </c>
      <c r="G1659" s="473" t="s">
        <v>3045</v>
      </c>
      <c r="H1659" s="439" t="s">
        <v>1882</v>
      </c>
      <c r="I1659" s="474" t="s">
        <v>3457</v>
      </c>
      <c r="J1659" s="474" t="s">
        <v>3464</v>
      </c>
      <c r="K1659" s="443" t="s">
        <v>1592</v>
      </c>
      <c r="L1659" s="471">
        <v>1</v>
      </c>
      <c r="M1659" s="447" t="s">
        <v>2119</v>
      </c>
      <c r="N1659" s="456">
        <v>2700</v>
      </c>
      <c r="O1659" s="475">
        <f t="shared" si="6"/>
        <v>2700</v>
      </c>
      <c r="P1659" s="476"/>
      <c r="Q1659" s="477">
        <v>46023</v>
      </c>
      <c r="R1659" s="476"/>
      <c r="S1659" s="476"/>
    </row>
    <row r="1660" spans="1:19" ht="15.75" customHeight="1" x14ac:dyDescent="0.25">
      <c r="A1660" s="438">
        <v>1657</v>
      </c>
      <c r="B1660" s="470" t="s">
        <v>17</v>
      </c>
      <c r="C1660" s="471" t="s">
        <v>18</v>
      </c>
      <c r="D1660" s="472" t="s">
        <v>19</v>
      </c>
      <c r="E1660" s="465" t="s">
        <v>4086</v>
      </c>
      <c r="F1660" s="448" t="s">
        <v>4112</v>
      </c>
      <c r="G1660" s="473" t="s">
        <v>3045</v>
      </c>
      <c r="H1660" s="439" t="s">
        <v>1882</v>
      </c>
      <c r="I1660" s="474" t="s">
        <v>3457</v>
      </c>
      <c r="J1660" s="474" t="s">
        <v>3464</v>
      </c>
      <c r="K1660" s="443" t="s">
        <v>1592</v>
      </c>
      <c r="L1660" s="471">
        <v>1</v>
      </c>
      <c r="M1660" s="447" t="s">
        <v>2120</v>
      </c>
      <c r="N1660" s="456">
        <v>2700</v>
      </c>
      <c r="O1660" s="475">
        <f t="shared" si="6"/>
        <v>2700</v>
      </c>
      <c r="P1660" s="476"/>
      <c r="Q1660" s="477">
        <v>46023</v>
      </c>
      <c r="R1660" s="476"/>
      <c r="S1660" s="476"/>
    </row>
    <row r="1661" spans="1:19" ht="15.75" customHeight="1" x14ac:dyDescent="0.25">
      <c r="A1661" s="438">
        <v>1658</v>
      </c>
      <c r="B1661" s="470" t="s">
        <v>17</v>
      </c>
      <c r="C1661" s="471" t="s">
        <v>18</v>
      </c>
      <c r="D1661" s="472" t="s">
        <v>19</v>
      </c>
      <c r="E1661" s="465" t="s">
        <v>4086</v>
      </c>
      <c r="F1661" s="448" t="s">
        <v>4111</v>
      </c>
      <c r="G1661" s="473" t="s">
        <v>3045</v>
      </c>
      <c r="H1661" s="439" t="s">
        <v>1882</v>
      </c>
      <c r="I1661" s="474" t="s">
        <v>3457</v>
      </c>
      <c r="J1661" s="474" t="s">
        <v>3464</v>
      </c>
      <c r="K1661" s="443" t="s">
        <v>1592</v>
      </c>
      <c r="L1661" s="471">
        <v>1</v>
      </c>
      <c r="M1661" s="447" t="s">
        <v>2121</v>
      </c>
      <c r="N1661" s="456">
        <v>2700</v>
      </c>
      <c r="O1661" s="475">
        <f t="shared" si="6"/>
        <v>2700</v>
      </c>
      <c r="P1661" s="476"/>
      <c r="Q1661" s="477">
        <v>46023</v>
      </c>
      <c r="R1661" s="476"/>
      <c r="S1661" s="476"/>
    </row>
    <row r="1662" spans="1:19" ht="15.75" customHeight="1" x14ac:dyDescent="0.25">
      <c r="A1662" s="438">
        <v>1659</v>
      </c>
      <c r="B1662" s="470" t="s">
        <v>17</v>
      </c>
      <c r="C1662" s="471" t="s">
        <v>18</v>
      </c>
      <c r="D1662" s="472" t="s">
        <v>19</v>
      </c>
      <c r="E1662" s="465" t="s">
        <v>4086</v>
      </c>
      <c r="F1662" s="448" t="s">
        <v>4111</v>
      </c>
      <c r="G1662" s="473" t="s">
        <v>3045</v>
      </c>
      <c r="H1662" s="439" t="s">
        <v>1882</v>
      </c>
      <c r="I1662" s="474" t="s">
        <v>3457</v>
      </c>
      <c r="J1662" s="474" t="s">
        <v>3464</v>
      </c>
      <c r="K1662" s="443" t="s">
        <v>1592</v>
      </c>
      <c r="L1662" s="471">
        <v>1</v>
      </c>
      <c r="M1662" s="447" t="s">
        <v>2122</v>
      </c>
      <c r="N1662" s="456">
        <v>2700</v>
      </c>
      <c r="O1662" s="475">
        <f t="shared" si="6"/>
        <v>2700</v>
      </c>
      <c r="P1662" s="476"/>
      <c r="Q1662" s="477">
        <v>46023</v>
      </c>
      <c r="R1662" s="476"/>
      <c r="S1662" s="476"/>
    </row>
    <row r="1663" spans="1:19" ht="15.75" customHeight="1" x14ac:dyDescent="0.25">
      <c r="A1663" s="438">
        <v>1660</v>
      </c>
      <c r="B1663" s="470" t="s">
        <v>17</v>
      </c>
      <c r="C1663" s="471" t="s">
        <v>18</v>
      </c>
      <c r="D1663" s="472" t="s">
        <v>19</v>
      </c>
      <c r="E1663" s="465" t="s">
        <v>4086</v>
      </c>
      <c r="F1663" s="448" t="s">
        <v>4111</v>
      </c>
      <c r="G1663" s="473" t="s">
        <v>3045</v>
      </c>
      <c r="H1663" s="439" t="s">
        <v>1882</v>
      </c>
      <c r="I1663" s="474" t="s">
        <v>3457</v>
      </c>
      <c r="J1663" s="474" t="s">
        <v>3464</v>
      </c>
      <c r="K1663" s="443" t="s">
        <v>1592</v>
      </c>
      <c r="L1663" s="471">
        <v>1</v>
      </c>
      <c r="M1663" s="447" t="s">
        <v>2123</v>
      </c>
      <c r="N1663" s="456">
        <v>2700</v>
      </c>
      <c r="O1663" s="475">
        <f t="shared" si="6"/>
        <v>2700</v>
      </c>
      <c r="P1663" s="476"/>
      <c r="Q1663" s="477">
        <v>46023</v>
      </c>
      <c r="R1663" s="476"/>
      <c r="S1663" s="476"/>
    </row>
    <row r="1664" spans="1:19" ht="15.75" customHeight="1" x14ac:dyDescent="0.25">
      <c r="A1664" s="438">
        <v>1661</v>
      </c>
      <c r="B1664" s="470" t="s">
        <v>17</v>
      </c>
      <c r="C1664" s="471" t="s">
        <v>18</v>
      </c>
      <c r="D1664" s="472" t="s">
        <v>19</v>
      </c>
      <c r="E1664" s="465" t="s">
        <v>4086</v>
      </c>
      <c r="F1664" s="448" t="s">
        <v>4111</v>
      </c>
      <c r="G1664" s="473" t="s">
        <v>3045</v>
      </c>
      <c r="H1664" s="439" t="s">
        <v>1882</v>
      </c>
      <c r="I1664" s="474" t="s">
        <v>3457</v>
      </c>
      <c r="J1664" s="474" t="s">
        <v>3464</v>
      </c>
      <c r="K1664" s="443" t="s">
        <v>1592</v>
      </c>
      <c r="L1664" s="471">
        <v>1</v>
      </c>
      <c r="M1664" s="447" t="s">
        <v>2124</v>
      </c>
      <c r="N1664" s="456">
        <v>2700</v>
      </c>
      <c r="O1664" s="475">
        <f t="shared" si="6"/>
        <v>2700</v>
      </c>
      <c r="P1664" s="476"/>
      <c r="Q1664" s="477">
        <v>46023</v>
      </c>
      <c r="R1664" s="476"/>
      <c r="S1664" s="476"/>
    </row>
    <row r="1665" spans="1:19" ht="15.75" customHeight="1" x14ac:dyDescent="0.25">
      <c r="A1665" s="438">
        <v>1662</v>
      </c>
      <c r="B1665" s="470" t="s">
        <v>17</v>
      </c>
      <c r="C1665" s="471" t="s">
        <v>18</v>
      </c>
      <c r="D1665" s="472" t="s">
        <v>19</v>
      </c>
      <c r="E1665" s="465" t="s">
        <v>4091</v>
      </c>
      <c r="F1665" s="448" t="s">
        <v>3024</v>
      </c>
      <c r="G1665" s="473" t="s">
        <v>2782</v>
      </c>
      <c r="H1665" s="439" t="s">
        <v>1785</v>
      </c>
      <c r="I1665" s="474" t="s">
        <v>3457</v>
      </c>
      <c r="J1665" s="474" t="s">
        <v>3464</v>
      </c>
      <c r="K1665" s="443" t="s">
        <v>1780</v>
      </c>
      <c r="L1665" s="471">
        <v>1</v>
      </c>
      <c r="M1665" s="447" t="s">
        <v>2125</v>
      </c>
      <c r="N1665" s="456">
        <v>7245</v>
      </c>
      <c r="O1665" s="475">
        <f t="shared" si="6"/>
        <v>7245</v>
      </c>
      <c r="P1665" s="476"/>
      <c r="Q1665" s="477">
        <v>46023</v>
      </c>
      <c r="R1665" s="476"/>
      <c r="S1665" s="476"/>
    </row>
    <row r="1666" spans="1:19" ht="15.75" customHeight="1" x14ac:dyDescent="0.25">
      <c r="A1666" s="438">
        <v>1663</v>
      </c>
      <c r="B1666" s="470" t="s">
        <v>17</v>
      </c>
      <c r="C1666" s="471" t="s">
        <v>18</v>
      </c>
      <c r="D1666" s="472" t="s">
        <v>19</v>
      </c>
      <c r="E1666" s="465" t="s">
        <v>4091</v>
      </c>
      <c r="F1666" s="448" t="s">
        <v>3024</v>
      </c>
      <c r="G1666" s="473" t="s">
        <v>2782</v>
      </c>
      <c r="H1666" s="439" t="s">
        <v>1785</v>
      </c>
      <c r="I1666" s="474" t="s">
        <v>3457</v>
      </c>
      <c r="J1666" s="474" t="s">
        <v>3464</v>
      </c>
      <c r="K1666" s="443" t="s">
        <v>1780</v>
      </c>
      <c r="L1666" s="471">
        <v>1</v>
      </c>
      <c r="M1666" s="447" t="s">
        <v>2126</v>
      </c>
      <c r="N1666" s="456">
        <v>7245</v>
      </c>
      <c r="O1666" s="475">
        <f t="shared" si="6"/>
        <v>7245</v>
      </c>
      <c r="P1666" s="476"/>
      <c r="Q1666" s="477">
        <v>46023</v>
      </c>
      <c r="R1666" s="476"/>
      <c r="S1666" s="476"/>
    </row>
    <row r="1667" spans="1:19" ht="15.75" customHeight="1" x14ac:dyDescent="0.25">
      <c r="A1667" s="438">
        <v>1664</v>
      </c>
      <c r="B1667" s="470" t="s">
        <v>17</v>
      </c>
      <c r="C1667" s="471" t="s">
        <v>18</v>
      </c>
      <c r="D1667" s="472" t="s">
        <v>19</v>
      </c>
      <c r="E1667" s="465" t="s">
        <v>4091</v>
      </c>
      <c r="F1667" s="448" t="s">
        <v>3024</v>
      </c>
      <c r="G1667" s="452" t="s">
        <v>2782</v>
      </c>
      <c r="H1667" s="439" t="s">
        <v>1785</v>
      </c>
      <c r="I1667" s="438" t="s">
        <v>3457</v>
      </c>
      <c r="J1667" s="438" t="s">
        <v>3464</v>
      </c>
      <c r="K1667" s="439" t="s">
        <v>1780</v>
      </c>
      <c r="L1667" s="471">
        <v>1</v>
      </c>
      <c r="M1667" s="447" t="s">
        <v>2127</v>
      </c>
      <c r="N1667" s="456">
        <v>7245</v>
      </c>
      <c r="O1667" s="475">
        <f t="shared" si="6"/>
        <v>7245</v>
      </c>
      <c r="P1667" s="476"/>
      <c r="Q1667" s="477">
        <v>46023</v>
      </c>
      <c r="R1667" s="476"/>
      <c r="S1667" s="476"/>
    </row>
    <row r="1668" spans="1:19" ht="15.75" customHeight="1" x14ac:dyDescent="0.25">
      <c r="A1668" s="438">
        <v>1665</v>
      </c>
      <c r="B1668" s="470" t="s">
        <v>17</v>
      </c>
      <c r="C1668" s="471" t="s">
        <v>18</v>
      </c>
      <c r="D1668" s="472" t="s">
        <v>19</v>
      </c>
      <c r="E1668" s="465" t="s">
        <v>4091</v>
      </c>
      <c r="F1668" s="448" t="s">
        <v>3024</v>
      </c>
      <c r="G1668" s="452" t="s">
        <v>2782</v>
      </c>
      <c r="H1668" s="439" t="s">
        <v>1785</v>
      </c>
      <c r="I1668" s="438" t="s">
        <v>3457</v>
      </c>
      <c r="J1668" s="438" t="s">
        <v>3464</v>
      </c>
      <c r="K1668" s="439" t="s">
        <v>1780</v>
      </c>
      <c r="L1668" s="471">
        <v>1</v>
      </c>
      <c r="M1668" s="447" t="s">
        <v>2128</v>
      </c>
      <c r="N1668" s="456">
        <v>7245</v>
      </c>
      <c r="O1668" s="475">
        <f t="shared" si="6"/>
        <v>7245</v>
      </c>
      <c r="P1668" s="476"/>
      <c r="Q1668" s="477">
        <v>46023</v>
      </c>
      <c r="R1668" s="476"/>
      <c r="S1668" s="476"/>
    </row>
    <row r="1669" spans="1:19" ht="15.75" customHeight="1" x14ac:dyDescent="0.25">
      <c r="A1669" s="438">
        <v>1666</v>
      </c>
      <c r="B1669" s="470" t="s">
        <v>17</v>
      </c>
      <c r="C1669" s="471" t="s">
        <v>18</v>
      </c>
      <c r="D1669" s="472" t="s">
        <v>19</v>
      </c>
      <c r="E1669" s="465" t="s">
        <v>4091</v>
      </c>
      <c r="F1669" s="448" t="s">
        <v>3024</v>
      </c>
      <c r="G1669" s="452" t="s">
        <v>2782</v>
      </c>
      <c r="H1669" s="439" t="s">
        <v>1785</v>
      </c>
      <c r="I1669" s="438" t="s">
        <v>3457</v>
      </c>
      <c r="J1669" s="438" t="s">
        <v>3464</v>
      </c>
      <c r="K1669" s="439" t="s">
        <v>1780</v>
      </c>
      <c r="L1669" s="471">
        <v>1</v>
      </c>
      <c r="M1669" s="447" t="s">
        <v>2129</v>
      </c>
      <c r="N1669" s="456">
        <v>7245</v>
      </c>
      <c r="O1669" s="475">
        <f t="shared" si="6"/>
        <v>7245</v>
      </c>
      <c r="P1669" s="476"/>
      <c r="Q1669" s="477">
        <v>46023</v>
      </c>
      <c r="R1669" s="476"/>
      <c r="S1669" s="476"/>
    </row>
    <row r="1670" spans="1:19" ht="15.75" customHeight="1" x14ac:dyDescent="0.25">
      <c r="A1670" s="438">
        <v>1667</v>
      </c>
      <c r="B1670" s="470" t="s">
        <v>17</v>
      </c>
      <c r="C1670" s="471" t="s">
        <v>18</v>
      </c>
      <c r="D1670" s="472" t="s">
        <v>19</v>
      </c>
      <c r="E1670" s="448" t="s">
        <v>4091</v>
      </c>
      <c r="F1670" s="448" t="s">
        <v>3024</v>
      </c>
      <c r="G1670" s="473" t="s">
        <v>2782</v>
      </c>
      <c r="H1670" s="439" t="s">
        <v>1785</v>
      </c>
      <c r="I1670" s="474" t="s">
        <v>3457</v>
      </c>
      <c r="J1670" s="474" t="s">
        <v>3464</v>
      </c>
      <c r="K1670" s="443" t="s">
        <v>1780</v>
      </c>
      <c r="L1670" s="471">
        <v>1</v>
      </c>
      <c r="M1670" s="447" t="s">
        <v>2130</v>
      </c>
      <c r="N1670" s="456">
        <v>7245</v>
      </c>
      <c r="O1670" s="475">
        <f t="shared" si="6"/>
        <v>7245</v>
      </c>
      <c r="P1670" s="476"/>
      <c r="Q1670" s="477">
        <v>46023</v>
      </c>
      <c r="R1670" s="476"/>
      <c r="S1670" s="476"/>
    </row>
    <row r="1671" spans="1:19" ht="15.75" customHeight="1" x14ac:dyDescent="0.25">
      <c r="A1671" s="438">
        <v>1668</v>
      </c>
      <c r="B1671" s="470" t="s">
        <v>17</v>
      </c>
      <c r="C1671" s="471" t="s">
        <v>18</v>
      </c>
      <c r="D1671" s="472" t="s">
        <v>19</v>
      </c>
      <c r="E1671" s="448" t="s">
        <v>4091</v>
      </c>
      <c r="F1671" s="448" t="s">
        <v>3024</v>
      </c>
      <c r="G1671" s="473" t="s">
        <v>2782</v>
      </c>
      <c r="H1671" s="439" t="s">
        <v>1785</v>
      </c>
      <c r="I1671" s="474" t="s">
        <v>3457</v>
      </c>
      <c r="J1671" s="474" t="s">
        <v>3464</v>
      </c>
      <c r="K1671" s="443" t="s">
        <v>1780</v>
      </c>
      <c r="L1671" s="471">
        <v>1</v>
      </c>
      <c r="M1671" s="447" t="s">
        <v>2131</v>
      </c>
      <c r="N1671" s="456">
        <v>7245</v>
      </c>
      <c r="O1671" s="475">
        <f t="shared" si="6"/>
        <v>7245</v>
      </c>
      <c r="P1671" s="476"/>
      <c r="Q1671" s="477">
        <v>46023</v>
      </c>
      <c r="R1671" s="476"/>
      <c r="S1671" s="476"/>
    </row>
    <row r="1672" spans="1:19" ht="15.75" customHeight="1" x14ac:dyDescent="0.25">
      <c r="A1672" s="438">
        <v>1669</v>
      </c>
      <c r="B1672" s="470" t="s">
        <v>17</v>
      </c>
      <c r="C1672" s="471" t="s">
        <v>18</v>
      </c>
      <c r="D1672" s="472" t="s">
        <v>19</v>
      </c>
      <c r="E1672" s="448" t="s">
        <v>4085</v>
      </c>
      <c r="F1672" s="448" t="s">
        <v>3026</v>
      </c>
      <c r="G1672" s="473" t="s">
        <v>2782</v>
      </c>
      <c r="H1672" s="439" t="s">
        <v>1785</v>
      </c>
      <c r="I1672" s="474" t="s">
        <v>3457</v>
      </c>
      <c r="J1672" s="474" t="s">
        <v>3464</v>
      </c>
      <c r="K1672" s="443" t="s">
        <v>1780</v>
      </c>
      <c r="L1672" s="471">
        <v>1</v>
      </c>
      <c r="M1672" s="447" t="s">
        <v>2132</v>
      </c>
      <c r="N1672" s="456">
        <v>7245</v>
      </c>
      <c r="O1672" s="475">
        <f t="shared" si="6"/>
        <v>7245</v>
      </c>
      <c r="P1672" s="476"/>
      <c r="Q1672" s="477">
        <v>46023</v>
      </c>
      <c r="R1672" s="476"/>
      <c r="S1672" s="476"/>
    </row>
    <row r="1673" spans="1:19" ht="15.75" customHeight="1" x14ac:dyDescent="0.25">
      <c r="A1673" s="438">
        <v>1670</v>
      </c>
      <c r="B1673" s="470" t="s">
        <v>17</v>
      </c>
      <c r="C1673" s="471" t="s">
        <v>18</v>
      </c>
      <c r="D1673" s="472" t="s">
        <v>19</v>
      </c>
      <c r="E1673" s="448" t="s">
        <v>4091</v>
      </c>
      <c r="F1673" s="448" t="s">
        <v>3024</v>
      </c>
      <c r="G1673" s="473" t="s">
        <v>3045</v>
      </c>
      <c r="H1673" s="439" t="s">
        <v>1608</v>
      </c>
      <c r="I1673" s="474" t="s">
        <v>3457</v>
      </c>
      <c r="J1673" s="474" t="s">
        <v>3464</v>
      </c>
      <c r="K1673" s="443" t="s">
        <v>1592</v>
      </c>
      <c r="L1673" s="471">
        <v>1</v>
      </c>
      <c r="M1673" s="447" t="s">
        <v>2133</v>
      </c>
      <c r="N1673" s="456">
        <v>4300</v>
      </c>
      <c r="O1673" s="475">
        <f t="shared" si="6"/>
        <v>4300</v>
      </c>
      <c r="P1673" s="476"/>
      <c r="Q1673" s="477">
        <v>46023</v>
      </c>
      <c r="R1673" s="476"/>
      <c r="S1673" s="476"/>
    </row>
    <row r="1674" spans="1:19" ht="15.75" customHeight="1" x14ac:dyDescent="0.25">
      <c r="A1674" s="438">
        <v>1671</v>
      </c>
      <c r="B1674" s="470" t="s">
        <v>17</v>
      </c>
      <c r="C1674" s="471" t="s">
        <v>18</v>
      </c>
      <c r="D1674" s="472" t="s">
        <v>19</v>
      </c>
      <c r="E1674" s="448" t="s">
        <v>4091</v>
      </c>
      <c r="F1674" s="448" t="s">
        <v>3024</v>
      </c>
      <c r="G1674" s="473" t="s">
        <v>3045</v>
      </c>
      <c r="H1674" s="439" t="s">
        <v>1608</v>
      </c>
      <c r="I1674" s="474" t="s">
        <v>3457</v>
      </c>
      <c r="J1674" s="474" t="s">
        <v>3464</v>
      </c>
      <c r="K1674" s="443" t="s">
        <v>1592</v>
      </c>
      <c r="L1674" s="471">
        <v>1</v>
      </c>
      <c r="M1674" s="447" t="s">
        <v>2134</v>
      </c>
      <c r="N1674" s="456">
        <v>4300</v>
      </c>
      <c r="O1674" s="475">
        <f t="shared" si="6"/>
        <v>4300</v>
      </c>
      <c r="P1674" s="476"/>
      <c r="Q1674" s="477">
        <v>46023</v>
      </c>
      <c r="R1674" s="476"/>
      <c r="S1674" s="476"/>
    </row>
    <row r="1675" spans="1:19" ht="15.75" customHeight="1" x14ac:dyDescent="0.25">
      <c r="A1675" s="438">
        <v>1672</v>
      </c>
      <c r="B1675" s="470" t="s">
        <v>17</v>
      </c>
      <c r="C1675" s="471" t="s">
        <v>18</v>
      </c>
      <c r="D1675" s="472" t="s">
        <v>19</v>
      </c>
      <c r="E1675" s="448" t="s">
        <v>4091</v>
      </c>
      <c r="F1675" s="448" t="s">
        <v>3024</v>
      </c>
      <c r="G1675" s="473" t="s">
        <v>3045</v>
      </c>
      <c r="H1675" s="439" t="s">
        <v>1608</v>
      </c>
      <c r="I1675" s="474" t="s">
        <v>3457</v>
      </c>
      <c r="J1675" s="474" t="s">
        <v>3464</v>
      </c>
      <c r="K1675" s="443" t="s">
        <v>1592</v>
      </c>
      <c r="L1675" s="471">
        <v>1</v>
      </c>
      <c r="M1675" s="447" t="s">
        <v>2135</v>
      </c>
      <c r="N1675" s="456">
        <v>4300</v>
      </c>
      <c r="O1675" s="475">
        <f t="shared" si="6"/>
        <v>4300</v>
      </c>
      <c r="P1675" s="476"/>
      <c r="Q1675" s="477">
        <v>46023</v>
      </c>
      <c r="R1675" s="476"/>
      <c r="S1675" s="476"/>
    </row>
    <row r="1676" spans="1:19" ht="15.75" customHeight="1" x14ac:dyDescent="0.25">
      <c r="A1676" s="438">
        <v>1673</v>
      </c>
      <c r="B1676" s="470" t="s">
        <v>17</v>
      </c>
      <c r="C1676" s="471" t="s">
        <v>18</v>
      </c>
      <c r="D1676" s="472" t="s">
        <v>19</v>
      </c>
      <c r="E1676" s="448" t="s">
        <v>4083</v>
      </c>
      <c r="F1676" s="448" t="s">
        <v>2988</v>
      </c>
      <c r="G1676" s="473" t="s">
        <v>3045</v>
      </c>
      <c r="H1676" s="439" t="s">
        <v>1608</v>
      </c>
      <c r="I1676" s="474" t="s">
        <v>3457</v>
      </c>
      <c r="J1676" s="474" t="s">
        <v>3464</v>
      </c>
      <c r="K1676" s="443" t="s">
        <v>1592</v>
      </c>
      <c r="L1676" s="471">
        <v>1</v>
      </c>
      <c r="M1676" s="447" t="s">
        <v>2136</v>
      </c>
      <c r="N1676" s="456">
        <v>4300</v>
      </c>
      <c r="O1676" s="475">
        <f t="shared" si="6"/>
        <v>4300</v>
      </c>
      <c r="P1676" s="476"/>
      <c r="Q1676" s="477">
        <v>46023</v>
      </c>
      <c r="R1676" s="476"/>
      <c r="S1676" s="476"/>
    </row>
    <row r="1677" spans="1:19" ht="15.75" customHeight="1" x14ac:dyDescent="0.25">
      <c r="A1677" s="438">
        <v>1674</v>
      </c>
      <c r="B1677" s="470" t="s">
        <v>17</v>
      </c>
      <c r="C1677" s="471" t="s">
        <v>18</v>
      </c>
      <c r="D1677" s="472" t="s">
        <v>19</v>
      </c>
      <c r="E1677" s="448" t="s">
        <v>4083</v>
      </c>
      <c r="F1677" s="448" t="s">
        <v>2988</v>
      </c>
      <c r="G1677" s="473" t="s">
        <v>3045</v>
      </c>
      <c r="H1677" s="439" t="s">
        <v>1608</v>
      </c>
      <c r="I1677" s="474" t="s">
        <v>3457</v>
      </c>
      <c r="J1677" s="474" t="s">
        <v>3464</v>
      </c>
      <c r="K1677" s="443" t="s">
        <v>1592</v>
      </c>
      <c r="L1677" s="471">
        <v>1</v>
      </c>
      <c r="M1677" s="447" t="s">
        <v>2137</v>
      </c>
      <c r="N1677" s="456">
        <v>4300</v>
      </c>
      <c r="O1677" s="475">
        <f t="shared" si="6"/>
        <v>4300</v>
      </c>
      <c r="P1677" s="476"/>
      <c r="Q1677" s="477">
        <v>46023</v>
      </c>
      <c r="R1677" s="476"/>
      <c r="S1677" s="476"/>
    </row>
    <row r="1678" spans="1:19" ht="15.75" customHeight="1" x14ac:dyDescent="0.25">
      <c r="A1678" s="438">
        <v>1675</v>
      </c>
      <c r="B1678" s="470" t="s">
        <v>17</v>
      </c>
      <c r="C1678" s="471" t="s">
        <v>18</v>
      </c>
      <c r="D1678" s="472" t="s">
        <v>19</v>
      </c>
      <c r="E1678" s="448" t="s">
        <v>4083</v>
      </c>
      <c r="F1678" s="448" t="s">
        <v>2988</v>
      </c>
      <c r="G1678" s="473" t="s">
        <v>3045</v>
      </c>
      <c r="H1678" s="439" t="s">
        <v>1608</v>
      </c>
      <c r="I1678" s="474" t="s">
        <v>3457</v>
      </c>
      <c r="J1678" s="474" t="s">
        <v>3464</v>
      </c>
      <c r="K1678" s="443" t="s">
        <v>1592</v>
      </c>
      <c r="L1678" s="471">
        <v>1</v>
      </c>
      <c r="M1678" s="447" t="s">
        <v>2138</v>
      </c>
      <c r="N1678" s="456">
        <v>4300</v>
      </c>
      <c r="O1678" s="475">
        <f t="shared" si="6"/>
        <v>4300</v>
      </c>
      <c r="P1678" s="476"/>
      <c r="Q1678" s="477">
        <v>46023</v>
      </c>
      <c r="R1678" s="476"/>
      <c r="S1678" s="476"/>
    </row>
    <row r="1679" spans="1:19" ht="15.75" customHeight="1" x14ac:dyDescent="0.25">
      <c r="A1679" s="438">
        <v>1676</v>
      </c>
      <c r="B1679" s="470" t="s">
        <v>17</v>
      </c>
      <c r="C1679" s="471" t="s">
        <v>18</v>
      </c>
      <c r="D1679" s="472" t="s">
        <v>19</v>
      </c>
      <c r="E1679" s="448" t="s">
        <v>4085</v>
      </c>
      <c r="F1679" s="448" t="s">
        <v>3026</v>
      </c>
      <c r="G1679" s="473" t="s">
        <v>2782</v>
      </c>
      <c r="H1679" s="439" t="s">
        <v>1779</v>
      </c>
      <c r="I1679" s="474" t="s">
        <v>3457</v>
      </c>
      <c r="J1679" s="474" t="s">
        <v>3464</v>
      </c>
      <c r="K1679" s="443" t="s">
        <v>1780</v>
      </c>
      <c r="L1679" s="471">
        <v>1</v>
      </c>
      <c r="M1679" s="447" t="s">
        <v>2139</v>
      </c>
      <c r="N1679" s="456">
        <v>5489</v>
      </c>
      <c r="O1679" s="475">
        <f t="shared" si="6"/>
        <v>5489</v>
      </c>
      <c r="P1679" s="476"/>
      <c r="Q1679" s="477">
        <v>46023</v>
      </c>
      <c r="R1679" s="476"/>
      <c r="S1679" s="476"/>
    </row>
    <row r="1680" spans="1:19" ht="15.75" customHeight="1" x14ac:dyDescent="0.25">
      <c r="A1680" s="438">
        <v>1677</v>
      </c>
      <c r="B1680" s="470" t="s">
        <v>17</v>
      </c>
      <c r="C1680" s="471" t="s">
        <v>18</v>
      </c>
      <c r="D1680" s="472" t="s">
        <v>19</v>
      </c>
      <c r="E1680" s="448" t="s">
        <v>4085</v>
      </c>
      <c r="F1680" s="448" t="s">
        <v>3026</v>
      </c>
      <c r="G1680" s="473" t="s">
        <v>2782</v>
      </c>
      <c r="H1680" s="439" t="s">
        <v>1779</v>
      </c>
      <c r="I1680" s="474" t="s">
        <v>3457</v>
      </c>
      <c r="J1680" s="474" t="s">
        <v>3464</v>
      </c>
      <c r="K1680" s="443" t="s">
        <v>1780</v>
      </c>
      <c r="L1680" s="471">
        <v>1</v>
      </c>
      <c r="M1680" s="447" t="s">
        <v>2140</v>
      </c>
      <c r="N1680" s="456">
        <v>5489</v>
      </c>
      <c r="O1680" s="475">
        <f t="shared" si="6"/>
        <v>5489</v>
      </c>
      <c r="P1680" s="476"/>
      <c r="Q1680" s="477">
        <v>46023</v>
      </c>
      <c r="R1680" s="476"/>
      <c r="S1680" s="476"/>
    </row>
    <row r="1681" spans="1:19" ht="15.75" customHeight="1" x14ac:dyDescent="0.25">
      <c r="A1681" s="438">
        <v>1678</v>
      </c>
      <c r="B1681" s="470" t="s">
        <v>17</v>
      </c>
      <c r="C1681" s="471" t="s">
        <v>18</v>
      </c>
      <c r="D1681" s="472" t="s">
        <v>19</v>
      </c>
      <c r="E1681" s="448" t="s">
        <v>4087</v>
      </c>
      <c r="F1681" s="448" t="s">
        <v>4098</v>
      </c>
      <c r="G1681" s="473" t="s">
        <v>4012</v>
      </c>
      <c r="H1681" s="439" t="s">
        <v>1541</v>
      </c>
      <c r="I1681" s="474" t="s">
        <v>3457</v>
      </c>
      <c r="J1681" s="474" t="s">
        <v>3464</v>
      </c>
      <c r="K1681" s="443" t="s">
        <v>1542</v>
      </c>
      <c r="L1681" s="471">
        <v>1</v>
      </c>
      <c r="M1681" s="447" t="s">
        <v>2141</v>
      </c>
      <c r="N1681" s="456">
        <v>14250</v>
      </c>
      <c r="O1681" s="475">
        <f t="shared" si="6"/>
        <v>14250</v>
      </c>
      <c r="P1681" s="476"/>
      <c r="Q1681" s="477">
        <v>46023</v>
      </c>
      <c r="R1681" s="476"/>
      <c r="S1681" s="476"/>
    </row>
    <row r="1682" spans="1:19" ht="15.75" customHeight="1" x14ac:dyDescent="0.25">
      <c r="A1682" s="438">
        <v>1679</v>
      </c>
      <c r="B1682" s="470" t="s">
        <v>17</v>
      </c>
      <c r="C1682" s="471" t="s">
        <v>18</v>
      </c>
      <c r="D1682" s="472" t="s">
        <v>19</v>
      </c>
      <c r="E1682" s="448" t="s">
        <v>4086</v>
      </c>
      <c r="F1682" s="448" t="s">
        <v>4112</v>
      </c>
      <c r="G1682" s="473" t="s">
        <v>4012</v>
      </c>
      <c r="H1682" s="439" t="s">
        <v>1541</v>
      </c>
      <c r="I1682" s="474" t="s">
        <v>3457</v>
      </c>
      <c r="J1682" s="474" t="s">
        <v>3464</v>
      </c>
      <c r="K1682" s="443" t="s">
        <v>1542</v>
      </c>
      <c r="L1682" s="471">
        <v>1</v>
      </c>
      <c r="M1682" s="447" t="s">
        <v>2142</v>
      </c>
      <c r="N1682" s="456">
        <v>14250</v>
      </c>
      <c r="O1682" s="475">
        <f t="shared" si="6"/>
        <v>14250</v>
      </c>
      <c r="P1682" s="476"/>
      <c r="Q1682" s="477">
        <v>46023</v>
      </c>
      <c r="R1682" s="476"/>
      <c r="S1682" s="476"/>
    </row>
    <row r="1683" spans="1:19" ht="15.75" customHeight="1" x14ac:dyDescent="0.25">
      <c r="A1683" s="438">
        <v>1680</v>
      </c>
      <c r="B1683" s="470" t="s">
        <v>17</v>
      </c>
      <c r="C1683" s="471" t="s">
        <v>18</v>
      </c>
      <c r="D1683" s="472" t="s">
        <v>19</v>
      </c>
      <c r="E1683" s="448" t="s">
        <v>4086</v>
      </c>
      <c r="F1683" s="448" t="s">
        <v>4111</v>
      </c>
      <c r="G1683" s="473" t="s">
        <v>4012</v>
      </c>
      <c r="H1683" s="439" t="s">
        <v>1541</v>
      </c>
      <c r="I1683" s="474" t="s">
        <v>3457</v>
      </c>
      <c r="J1683" s="474" t="s">
        <v>3464</v>
      </c>
      <c r="K1683" s="443" t="s">
        <v>1542</v>
      </c>
      <c r="L1683" s="471">
        <v>1</v>
      </c>
      <c r="M1683" s="447" t="s">
        <v>2143</v>
      </c>
      <c r="N1683" s="456">
        <v>14250</v>
      </c>
      <c r="O1683" s="475">
        <f t="shared" si="6"/>
        <v>14250</v>
      </c>
      <c r="P1683" s="476"/>
      <c r="Q1683" s="477">
        <v>46023</v>
      </c>
      <c r="R1683" s="476"/>
      <c r="S1683" s="476"/>
    </row>
    <row r="1684" spans="1:19" ht="15.75" customHeight="1" x14ac:dyDescent="0.25">
      <c r="A1684" s="438">
        <v>1681</v>
      </c>
      <c r="B1684" s="470" t="s">
        <v>17</v>
      </c>
      <c r="C1684" s="471" t="s">
        <v>18</v>
      </c>
      <c r="D1684" s="472" t="s">
        <v>19</v>
      </c>
      <c r="E1684" s="448" t="s">
        <v>4084</v>
      </c>
      <c r="F1684" s="448" t="s">
        <v>4096</v>
      </c>
      <c r="G1684" s="473" t="s">
        <v>4017</v>
      </c>
      <c r="H1684" s="439" t="s">
        <v>1586</v>
      </c>
      <c r="I1684" s="474" t="s">
        <v>3457</v>
      </c>
      <c r="J1684" s="474" t="s">
        <v>3463</v>
      </c>
      <c r="K1684" s="443" t="s">
        <v>3477</v>
      </c>
      <c r="L1684" s="471">
        <v>1</v>
      </c>
      <c r="M1684" s="447" t="s">
        <v>2144</v>
      </c>
      <c r="N1684" s="456">
        <v>2430</v>
      </c>
      <c r="O1684" s="475">
        <f t="shared" si="6"/>
        <v>2430</v>
      </c>
      <c r="P1684" s="476"/>
      <c r="Q1684" s="477">
        <v>46023</v>
      </c>
      <c r="R1684" s="476"/>
      <c r="S1684" s="476"/>
    </row>
    <row r="1685" spans="1:19" ht="15.75" customHeight="1" x14ac:dyDescent="0.25">
      <c r="A1685" s="438">
        <v>1682</v>
      </c>
      <c r="B1685" s="470" t="s">
        <v>17</v>
      </c>
      <c r="C1685" s="471" t="s">
        <v>18</v>
      </c>
      <c r="D1685" s="472" t="s">
        <v>19</v>
      </c>
      <c r="E1685" s="448" t="s">
        <v>4085</v>
      </c>
      <c r="F1685" s="448" t="s">
        <v>3026</v>
      </c>
      <c r="G1685" s="473" t="s">
        <v>3045</v>
      </c>
      <c r="H1685" s="439" t="s">
        <v>1591</v>
      </c>
      <c r="I1685" s="474" t="s">
        <v>3457</v>
      </c>
      <c r="J1685" s="474" t="s">
        <v>3464</v>
      </c>
      <c r="K1685" s="443" t="s">
        <v>1592</v>
      </c>
      <c r="L1685" s="471">
        <v>1</v>
      </c>
      <c r="M1685" s="447" t="s">
        <v>2145</v>
      </c>
      <c r="N1685" s="456">
        <v>4650</v>
      </c>
      <c r="O1685" s="475">
        <f t="shared" si="6"/>
        <v>4650</v>
      </c>
      <c r="P1685" s="476"/>
      <c r="Q1685" s="477">
        <v>46023</v>
      </c>
      <c r="R1685" s="476"/>
      <c r="S1685" s="476"/>
    </row>
    <row r="1686" spans="1:19" ht="15.75" customHeight="1" x14ac:dyDescent="0.25">
      <c r="A1686" s="438">
        <v>1683</v>
      </c>
      <c r="B1686" s="470" t="s">
        <v>17</v>
      </c>
      <c r="C1686" s="471" t="s">
        <v>18</v>
      </c>
      <c r="D1686" s="472" t="s">
        <v>19</v>
      </c>
      <c r="E1686" s="448" t="s">
        <v>4080</v>
      </c>
      <c r="F1686" s="448" t="s">
        <v>4080</v>
      </c>
      <c r="G1686" s="473" t="s">
        <v>3045</v>
      </c>
      <c r="H1686" s="439" t="s">
        <v>1608</v>
      </c>
      <c r="I1686" s="474" t="s">
        <v>3457</v>
      </c>
      <c r="J1686" s="474" t="s">
        <v>3464</v>
      </c>
      <c r="K1686" s="443" t="s">
        <v>1592</v>
      </c>
      <c r="L1686" s="471">
        <v>1</v>
      </c>
      <c r="M1686" s="447" t="s">
        <v>2146</v>
      </c>
      <c r="N1686" s="456">
        <v>4300</v>
      </c>
      <c r="O1686" s="475">
        <f t="shared" si="6"/>
        <v>4300</v>
      </c>
      <c r="P1686" s="476"/>
      <c r="Q1686" s="477">
        <v>46023</v>
      </c>
      <c r="R1686" s="476"/>
      <c r="S1686" s="476"/>
    </row>
    <row r="1687" spans="1:19" ht="15.75" customHeight="1" x14ac:dyDescent="0.25">
      <c r="A1687" s="438">
        <v>1684</v>
      </c>
      <c r="B1687" s="470" t="s">
        <v>17</v>
      </c>
      <c r="C1687" s="471" t="s">
        <v>18</v>
      </c>
      <c r="D1687" s="472" t="s">
        <v>19</v>
      </c>
      <c r="E1687" s="448" t="s">
        <v>4091</v>
      </c>
      <c r="F1687" s="448" t="s">
        <v>3024</v>
      </c>
      <c r="G1687" s="473" t="s">
        <v>3045</v>
      </c>
      <c r="H1687" s="439" t="s">
        <v>1608</v>
      </c>
      <c r="I1687" s="474" t="s">
        <v>3457</v>
      </c>
      <c r="J1687" s="474" t="s">
        <v>3464</v>
      </c>
      <c r="K1687" s="443" t="s">
        <v>1592</v>
      </c>
      <c r="L1687" s="471">
        <v>1</v>
      </c>
      <c r="M1687" s="447" t="s">
        <v>2147</v>
      </c>
      <c r="N1687" s="456">
        <v>4300</v>
      </c>
      <c r="O1687" s="475">
        <f t="shared" si="6"/>
        <v>4300</v>
      </c>
      <c r="P1687" s="476"/>
      <c r="Q1687" s="477">
        <v>46023</v>
      </c>
      <c r="R1687" s="476"/>
      <c r="S1687" s="476"/>
    </row>
    <row r="1688" spans="1:19" ht="15.75" customHeight="1" x14ac:dyDescent="0.25">
      <c r="A1688" s="438">
        <v>1685</v>
      </c>
      <c r="B1688" s="470" t="s">
        <v>17</v>
      </c>
      <c r="C1688" s="471" t="s">
        <v>18</v>
      </c>
      <c r="D1688" s="472" t="s">
        <v>19</v>
      </c>
      <c r="E1688" s="448" t="s">
        <v>4091</v>
      </c>
      <c r="F1688" s="448" t="s">
        <v>3024</v>
      </c>
      <c r="G1688" s="473" t="s">
        <v>3045</v>
      </c>
      <c r="H1688" s="439" t="s">
        <v>1608</v>
      </c>
      <c r="I1688" s="474" t="s">
        <v>3457</v>
      </c>
      <c r="J1688" s="474" t="s">
        <v>3464</v>
      </c>
      <c r="K1688" s="443" t="s">
        <v>1592</v>
      </c>
      <c r="L1688" s="471">
        <v>1</v>
      </c>
      <c r="M1688" s="447" t="s">
        <v>2148</v>
      </c>
      <c r="N1688" s="456">
        <v>4300</v>
      </c>
      <c r="O1688" s="475">
        <f t="shared" si="6"/>
        <v>4300</v>
      </c>
      <c r="P1688" s="476"/>
      <c r="Q1688" s="477">
        <v>46023</v>
      </c>
      <c r="R1688" s="476"/>
      <c r="S1688" s="476"/>
    </row>
    <row r="1689" spans="1:19" ht="15.75" customHeight="1" x14ac:dyDescent="0.25">
      <c r="A1689" s="438">
        <v>1686</v>
      </c>
      <c r="B1689" s="470" t="s">
        <v>17</v>
      </c>
      <c r="C1689" s="471" t="s">
        <v>18</v>
      </c>
      <c r="D1689" s="472" t="s">
        <v>19</v>
      </c>
      <c r="E1689" s="448" t="s">
        <v>4091</v>
      </c>
      <c r="F1689" s="448" t="s">
        <v>3024</v>
      </c>
      <c r="G1689" s="473" t="s">
        <v>3045</v>
      </c>
      <c r="H1689" s="439" t="s">
        <v>1608</v>
      </c>
      <c r="I1689" s="474" t="s">
        <v>3457</v>
      </c>
      <c r="J1689" s="474" t="s">
        <v>3464</v>
      </c>
      <c r="K1689" s="443" t="s">
        <v>1592</v>
      </c>
      <c r="L1689" s="471">
        <v>1</v>
      </c>
      <c r="M1689" s="447" t="s">
        <v>2149</v>
      </c>
      <c r="N1689" s="456">
        <v>4300</v>
      </c>
      <c r="O1689" s="475">
        <f t="shared" si="6"/>
        <v>4300</v>
      </c>
      <c r="P1689" s="476"/>
      <c r="Q1689" s="477">
        <v>46023</v>
      </c>
      <c r="R1689" s="476"/>
      <c r="S1689" s="476"/>
    </row>
    <row r="1690" spans="1:19" ht="15.75" customHeight="1" x14ac:dyDescent="0.25">
      <c r="A1690" s="438">
        <v>1687</v>
      </c>
      <c r="B1690" s="470" t="s">
        <v>17</v>
      </c>
      <c r="C1690" s="471" t="s">
        <v>18</v>
      </c>
      <c r="D1690" s="472" t="s">
        <v>19</v>
      </c>
      <c r="E1690" s="448" t="s">
        <v>4091</v>
      </c>
      <c r="F1690" s="448" t="s">
        <v>3024</v>
      </c>
      <c r="G1690" s="473" t="s">
        <v>3045</v>
      </c>
      <c r="H1690" s="439" t="s">
        <v>1608</v>
      </c>
      <c r="I1690" s="474" t="s">
        <v>3457</v>
      </c>
      <c r="J1690" s="474" t="s">
        <v>3464</v>
      </c>
      <c r="K1690" s="443" t="s">
        <v>1592</v>
      </c>
      <c r="L1690" s="471">
        <v>1</v>
      </c>
      <c r="M1690" s="447" t="s">
        <v>2150</v>
      </c>
      <c r="N1690" s="456">
        <v>4300</v>
      </c>
      <c r="O1690" s="475">
        <f t="shared" si="6"/>
        <v>4300</v>
      </c>
      <c r="P1690" s="476"/>
      <c r="Q1690" s="477">
        <v>46023</v>
      </c>
      <c r="R1690" s="476"/>
      <c r="S1690" s="476"/>
    </row>
    <row r="1691" spans="1:19" ht="15.75" customHeight="1" x14ac:dyDescent="0.25">
      <c r="A1691" s="438">
        <v>1688</v>
      </c>
      <c r="B1691" s="470" t="s">
        <v>17</v>
      </c>
      <c r="C1691" s="471" t="s">
        <v>18</v>
      </c>
      <c r="D1691" s="472" t="s">
        <v>19</v>
      </c>
      <c r="E1691" s="465" t="s">
        <v>4091</v>
      </c>
      <c r="F1691" s="448" t="s">
        <v>3024</v>
      </c>
      <c r="G1691" s="473" t="s">
        <v>3045</v>
      </c>
      <c r="H1691" s="439" t="s">
        <v>1608</v>
      </c>
      <c r="I1691" s="474" t="s">
        <v>3457</v>
      </c>
      <c r="J1691" s="474" t="s">
        <v>3464</v>
      </c>
      <c r="K1691" s="443" t="s">
        <v>1592</v>
      </c>
      <c r="L1691" s="471">
        <v>1</v>
      </c>
      <c r="M1691" s="447" t="s">
        <v>2151</v>
      </c>
      <c r="N1691" s="456">
        <v>4300</v>
      </c>
      <c r="O1691" s="475">
        <f t="shared" si="6"/>
        <v>4300</v>
      </c>
      <c r="P1691" s="476"/>
      <c r="Q1691" s="477">
        <v>46023</v>
      </c>
      <c r="R1691" s="476"/>
      <c r="S1691" s="476"/>
    </row>
    <row r="1692" spans="1:19" ht="15.75" customHeight="1" x14ac:dyDescent="0.25">
      <c r="A1692" s="438">
        <v>1689</v>
      </c>
      <c r="B1692" s="470" t="s">
        <v>17</v>
      </c>
      <c r="C1692" s="471" t="s">
        <v>18</v>
      </c>
      <c r="D1692" s="472" t="s">
        <v>19</v>
      </c>
      <c r="E1692" s="465" t="s">
        <v>4091</v>
      </c>
      <c r="F1692" s="448" t="s">
        <v>3024</v>
      </c>
      <c r="G1692" s="473" t="s">
        <v>3045</v>
      </c>
      <c r="H1692" s="439" t="s">
        <v>1608</v>
      </c>
      <c r="I1692" s="474" t="s">
        <v>3457</v>
      </c>
      <c r="J1692" s="474" t="s">
        <v>3464</v>
      </c>
      <c r="K1692" s="443" t="s">
        <v>1592</v>
      </c>
      <c r="L1692" s="471">
        <v>1</v>
      </c>
      <c r="M1692" s="447" t="s">
        <v>2152</v>
      </c>
      <c r="N1692" s="456">
        <v>4300</v>
      </c>
      <c r="O1692" s="475">
        <f t="shared" si="6"/>
        <v>4300</v>
      </c>
      <c r="P1692" s="476"/>
      <c r="Q1692" s="477">
        <v>46023</v>
      </c>
      <c r="R1692" s="476"/>
      <c r="S1692" s="476"/>
    </row>
    <row r="1693" spans="1:19" ht="15.75" customHeight="1" x14ac:dyDescent="0.25">
      <c r="A1693" s="438">
        <v>1690</v>
      </c>
      <c r="B1693" s="470" t="s">
        <v>17</v>
      </c>
      <c r="C1693" s="471" t="s">
        <v>18</v>
      </c>
      <c r="D1693" s="472" t="s">
        <v>19</v>
      </c>
      <c r="E1693" s="465" t="s">
        <v>4091</v>
      </c>
      <c r="F1693" s="448" t="s">
        <v>3024</v>
      </c>
      <c r="G1693" s="473" t="s">
        <v>3045</v>
      </c>
      <c r="H1693" s="439" t="s">
        <v>1608</v>
      </c>
      <c r="I1693" s="474" t="s">
        <v>3457</v>
      </c>
      <c r="J1693" s="474" t="s">
        <v>3464</v>
      </c>
      <c r="K1693" s="443" t="s">
        <v>1592</v>
      </c>
      <c r="L1693" s="471">
        <v>1</v>
      </c>
      <c r="M1693" s="447" t="s">
        <v>2153</v>
      </c>
      <c r="N1693" s="456">
        <v>4300</v>
      </c>
      <c r="O1693" s="475">
        <f t="shared" si="6"/>
        <v>4300</v>
      </c>
      <c r="P1693" s="476"/>
      <c r="Q1693" s="477">
        <v>46023</v>
      </c>
      <c r="R1693" s="476"/>
      <c r="S1693" s="476"/>
    </row>
    <row r="1694" spans="1:19" ht="15.75" customHeight="1" x14ac:dyDescent="0.25">
      <c r="A1694" s="438">
        <v>1691</v>
      </c>
      <c r="B1694" s="470" t="s">
        <v>17</v>
      </c>
      <c r="C1694" s="471" t="s">
        <v>18</v>
      </c>
      <c r="D1694" s="472" t="s">
        <v>19</v>
      </c>
      <c r="E1694" s="465" t="s">
        <v>4091</v>
      </c>
      <c r="F1694" s="448" t="s">
        <v>3024</v>
      </c>
      <c r="G1694" s="473" t="s">
        <v>3045</v>
      </c>
      <c r="H1694" s="439" t="s">
        <v>1608</v>
      </c>
      <c r="I1694" s="474" t="s">
        <v>3457</v>
      </c>
      <c r="J1694" s="474" t="s">
        <v>3464</v>
      </c>
      <c r="K1694" s="443" t="s">
        <v>1592</v>
      </c>
      <c r="L1694" s="471">
        <v>1</v>
      </c>
      <c r="M1694" s="447" t="s">
        <v>2154</v>
      </c>
      <c r="N1694" s="456">
        <v>4300</v>
      </c>
      <c r="O1694" s="475">
        <f t="shared" si="6"/>
        <v>4300</v>
      </c>
      <c r="P1694" s="476"/>
      <c r="Q1694" s="477">
        <v>46023</v>
      </c>
      <c r="R1694" s="476"/>
      <c r="S1694" s="476"/>
    </row>
    <row r="1695" spans="1:19" ht="15.75" customHeight="1" x14ac:dyDescent="0.25">
      <c r="A1695" s="438">
        <v>1692</v>
      </c>
      <c r="B1695" s="470" t="s">
        <v>17</v>
      </c>
      <c r="C1695" s="471" t="s">
        <v>18</v>
      </c>
      <c r="D1695" s="472" t="s">
        <v>19</v>
      </c>
      <c r="E1695" s="465" t="s">
        <v>4091</v>
      </c>
      <c r="F1695" s="448" t="s">
        <v>3024</v>
      </c>
      <c r="G1695" s="473" t="s">
        <v>3045</v>
      </c>
      <c r="H1695" s="439" t="s">
        <v>1608</v>
      </c>
      <c r="I1695" s="474" t="s">
        <v>3457</v>
      </c>
      <c r="J1695" s="474" t="s">
        <v>3464</v>
      </c>
      <c r="K1695" s="443" t="s">
        <v>1592</v>
      </c>
      <c r="L1695" s="471">
        <v>1</v>
      </c>
      <c r="M1695" s="447" t="s">
        <v>2155</v>
      </c>
      <c r="N1695" s="456">
        <v>4300</v>
      </c>
      <c r="O1695" s="475">
        <f t="shared" si="6"/>
        <v>4300</v>
      </c>
      <c r="P1695" s="476"/>
      <c r="Q1695" s="477">
        <v>46023</v>
      </c>
      <c r="R1695" s="476"/>
      <c r="S1695" s="476"/>
    </row>
    <row r="1696" spans="1:19" ht="15.75" customHeight="1" x14ac:dyDescent="0.25">
      <c r="A1696" s="438">
        <v>1693</v>
      </c>
      <c r="B1696" s="470" t="s">
        <v>17</v>
      </c>
      <c r="C1696" s="471" t="s">
        <v>18</v>
      </c>
      <c r="D1696" s="472" t="s">
        <v>19</v>
      </c>
      <c r="E1696" s="465" t="s">
        <v>4091</v>
      </c>
      <c r="F1696" s="448" t="s">
        <v>3024</v>
      </c>
      <c r="G1696" s="473" t="s">
        <v>3045</v>
      </c>
      <c r="H1696" s="439" t="s">
        <v>1608</v>
      </c>
      <c r="I1696" s="474" t="s">
        <v>3457</v>
      </c>
      <c r="J1696" s="474" t="s">
        <v>3464</v>
      </c>
      <c r="K1696" s="443" t="s">
        <v>1592</v>
      </c>
      <c r="L1696" s="471">
        <v>1</v>
      </c>
      <c r="M1696" s="447" t="s">
        <v>2156</v>
      </c>
      <c r="N1696" s="456">
        <v>4300</v>
      </c>
      <c r="O1696" s="475">
        <f t="shared" si="6"/>
        <v>4300</v>
      </c>
      <c r="P1696" s="476"/>
      <c r="Q1696" s="477">
        <v>46023</v>
      </c>
      <c r="R1696" s="476"/>
      <c r="S1696" s="476"/>
    </row>
    <row r="1697" spans="1:19" ht="15.75" customHeight="1" x14ac:dyDescent="0.25">
      <c r="A1697" s="438">
        <v>1694</v>
      </c>
      <c r="B1697" s="470" t="s">
        <v>17</v>
      </c>
      <c r="C1697" s="471" t="s">
        <v>18</v>
      </c>
      <c r="D1697" s="472" t="s">
        <v>19</v>
      </c>
      <c r="E1697" s="465" t="s">
        <v>4091</v>
      </c>
      <c r="F1697" s="448" t="s">
        <v>3024</v>
      </c>
      <c r="G1697" s="473" t="s">
        <v>3045</v>
      </c>
      <c r="H1697" s="439" t="s">
        <v>1608</v>
      </c>
      <c r="I1697" s="474" t="s">
        <v>3457</v>
      </c>
      <c r="J1697" s="474" t="s">
        <v>3464</v>
      </c>
      <c r="K1697" s="443" t="s">
        <v>1592</v>
      </c>
      <c r="L1697" s="471">
        <v>1</v>
      </c>
      <c r="M1697" s="447" t="s">
        <v>2157</v>
      </c>
      <c r="N1697" s="456">
        <v>4300</v>
      </c>
      <c r="O1697" s="475">
        <f t="shared" si="6"/>
        <v>4300</v>
      </c>
      <c r="P1697" s="476"/>
      <c r="Q1697" s="477">
        <v>46023</v>
      </c>
      <c r="R1697" s="476"/>
      <c r="S1697" s="476"/>
    </row>
    <row r="1698" spans="1:19" ht="15.75" customHeight="1" x14ac:dyDescent="0.25">
      <c r="A1698" s="438">
        <v>1695</v>
      </c>
      <c r="B1698" s="470" t="s">
        <v>17</v>
      </c>
      <c r="C1698" s="471" t="s">
        <v>18</v>
      </c>
      <c r="D1698" s="472" t="s">
        <v>19</v>
      </c>
      <c r="E1698" s="465" t="s">
        <v>4091</v>
      </c>
      <c r="F1698" s="448" t="s">
        <v>3024</v>
      </c>
      <c r="G1698" s="473" t="s">
        <v>3045</v>
      </c>
      <c r="H1698" s="439" t="s">
        <v>1608</v>
      </c>
      <c r="I1698" s="474" t="s">
        <v>3457</v>
      </c>
      <c r="J1698" s="474" t="s">
        <v>3464</v>
      </c>
      <c r="K1698" s="443" t="s">
        <v>1592</v>
      </c>
      <c r="L1698" s="471">
        <v>1</v>
      </c>
      <c r="M1698" s="447" t="s">
        <v>2158</v>
      </c>
      <c r="N1698" s="456">
        <v>4300</v>
      </c>
      <c r="O1698" s="475">
        <f t="shared" si="6"/>
        <v>4300</v>
      </c>
      <c r="P1698" s="476"/>
      <c r="Q1698" s="477">
        <v>46023</v>
      </c>
      <c r="R1698" s="476"/>
      <c r="S1698" s="476"/>
    </row>
    <row r="1699" spans="1:19" ht="15.75" customHeight="1" x14ac:dyDescent="0.25">
      <c r="A1699" s="438">
        <v>1696</v>
      </c>
      <c r="B1699" s="470" t="s">
        <v>17</v>
      </c>
      <c r="C1699" s="471" t="s">
        <v>18</v>
      </c>
      <c r="D1699" s="472" t="s">
        <v>19</v>
      </c>
      <c r="E1699" s="465" t="s">
        <v>4091</v>
      </c>
      <c r="F1699" s="448" t="s">
        <v>3024</v>
      </c>
      <c r="G1699" s="473" t="s">
        <v>3045</v>
      </c>
      <c r="H1699" s="439" t="s">
        <v>1608</v>
      </c>
      <c r="I1699" s="474" t="s">
        <v>3457</v>
      </c>
      <c r="J1699" s="474" t="s">
        <v>3464</v>
      </c>
      <c r="K1699" s="443" t="s">
        <v>1592</v>
      </c>
      <c r="L1699" s="471">
        <v>1</v>
      </c>
      <c r="M1699" s="447" t="s">
        <v>2159</v>
      </c>
      <c r="N1699" s="456">
        <v>4300</v>
      </c>
      <c r="O1699" s="475">
        <f t="shared" si="6"/>
        <v>4300</v>
      </c>
      <c r="P1699" s="476"/>
      <c r="Q1699" s="477">
        <v>46023</v>
      </c>
      <c r="R1699" s="476"/>
      <c r="S1699" s="476"/>
    </row>
    <row r="1700" spans="1:19" ht="15.75" customHeight="1" x14ac:dyDescent="0.25">
      <c r="A1700" s="438">
        <v>1697</v>
      </c>
      <c r="B1700" s="470" t="s">
        <v>17</v>
      </c>
      <c r="C1700" s="471" t="s">
        <v>18</v>
      </c>
      <c r="D1700" s="472" t="s">
        <v>19</v>
      </c>
      <c r="E1700" s="465" t="s">
        <v>4091</v>
      </c>
      <c r="F1700" s="448" t="s">
        <v>3024</v>
      </c>
      <c r="G1700" s="473" t="s">
        <v>3045</v>
      </c>
      <c r="H1700" s="439" t="s">
        <v>1608</v>
      </c>
      <c r="I1700" s="474" t="s">
        <v>3457</v>
      </c>
      <c r="J1700" s="474" t="s">
        <v>3464</v>
      </c>
      <c r="K1700" s="443" t="s">
        <v>1592</v>
      </c>
      <c r="L1700" s="471">
        <v>1</v>
      </c>
      <c r="M1700" s="447" t="s">
        <v>2160</v>
      </c>
      <c r="N1700" s="456">
        <v>4300</v>
      </c>
      <c r="O1700" s="475">
        <f t="shared" si="6"/>
        <v>4300</v>
      </c>
      <c r="P1700" s="476"/>
      <c r="Q1700" s="477">
        <v>46023</v>
      </c>
      <c r="R1700" s="476"/>
      <c r="S1700" s="476"/>
    </row>
    <row r="1701" spans="1:19" ht="15.75" customHeight="1" x14ac:dyDescent="0.25">
      <c r="A1701" s="438">
        <v>1698</v>
      </c>
      <c r="B1701" s="470" t="s">
        <v>17</v>
      </c>
      <c r="C1701" s="471" t="s">
        <v>18</v>
      </c>
      <c r="D1701" s="472" t="s">
        <v>19</v>
      </c>
      <c r="E1701" s="448" t="s">
        <v>4091</v>
      </c>
      <c r="F1701" s="448" t="s">
        <v>3024</v>
      </c>
      <c r="G1701" s="473" t="s">
        <v>3045</v>
      </c>
      <c r="H1701" s="439" t="s">
        <v>1608</v>
      </c>
      <c r="I1701" s="474" t="s">
        <v>3457</v>
      </c>
      <c r="J1701" s="474" t="s">
        <v>3464</v>
      </c>
      <c r="K1701" s="443" t="s">
        <v>1592</v>
      </c>
      <c r="L1701" s="471">
        <v>1</v>
      </c>
      <c r="M1701" s="447" t="s">
        <v>2161</v>
      </c>
      <c r="N1701" s="456">
        <v>4300</v>
      </c>
      <c r="O1701" s="475">
        <f t="shared" si="6"/>
        <v>4300</v>
      </c>
      <c r="P1701" s="476"/>
      <c r="Q1701" s="477">
        <v>46023</v>
      </c>
      <c r="R1701" s="476"/>
      <c r="S1701" s="476"/>
    </row>
    <row r="1702" spans="1:19" ht="15.75" customHeight="1" x14ac:dyDescent="0.25">
      <c r="A1702" s="438">
        <v>1699</v>
      </c>
      <c r="B1702" s="470" t="s">
        <v>17</v>
      </c>
      <c r="C1702" s="471" t="s">
        <v>18</v>
      </c>
      <c r="D1702" s="472" t="s">
        <v>19</v>
      </c>
      <c r="E1702" s="448" t="s">
        <v>4091</v>
      </c>
      <c r="F1702" s="448" t="s">
        <v>3024</v>
      </c>
      <c r="G1702" s="473" t="s">
        <v>3045</v>
      </c>
      <c r="H1702" s="439" t="s">
        <v>1608</v>
      </c>
      <c r="I1702" s="474" t="s">
        <v>3457</v>
      </c>
      <c r="J1702" s="474" t="s">
        <v>3464</v>
      </c>
      <c r="K1702" s="443" t="s">
        <v>1592</v>
      </c>
      <c r="L1702" s="471">
        <v>1</v>
      </c>
      <c r="M1702" s="447" t="s">
        <v>2162</v>
      </c>
      <c r="N1702" s="456">
        <v>4300</v>
      </c>
      <c r="O1702" s="475">
        <f t="shared" si="6"/>
        <v>4300</v>
      </c>
      <c r="P1702" s="476"/>
      <c r="Q1702" s="477">
        <v>46023</v>
      </c>
      <c r="R1702" s="476"/>
      <c r="S1702" s="476"/>
    </row>
    <row r="1703" spans="1:19" ht="15.75" customHeight="1" x14ac:dyDescent="0.25">
      <c r="A1703" s="438">
        <v>1700</v>
      </c>
      <c r="B1703" s="470" t="s">
        <v>17</v>
      </c>
      <c r="C1703" s="471" t="s">
        <v>18</v>
      </c>
      <c r="D1703" s="472" t="s">
        <v>19</v>
      </c>
      <c r="E1703" s="448" t="s">
        <v>4091</v>
      </c>
      <c r="F1703" s="448" t="s">
        <v>3024</v>
      </c>
      <c r="G1703" s="473" t="s">
        <v>3045</v>
      </c>
      <c r="H1703" s="439" t="s">
        <v>1608</v>
      </c>
      <c r="I1703" s="474" t="s">
        <v>3457</v>
      </c>
      <c r="J1703" s="474" t="s">
        <v>3464</v>
      </c>
      <c r="K1703" s="443" t="s">
        <v>1592</v>
      </c>
      <c r="L1703" s="471">
        <v>1</v>
      </c>
      <c r="M1703" s="447" t="s">
        <v>2163</v>
      </c>
      <c r="N1703" s="456">
        <v>4300</v>
      </c>
      <c r="O1703" s="475">
        <f t="shared" si="6"/>
        <v>4300</v>
      </c>
      <c r="P1703" s="476"/>
      <c r="Q1703" s="477">
        <v>46023</v>
      </c>
      <c r="R1703" s="476"/>
      <c r="S1703" s="476"/>
    </row>
    <row r="1704" spans="1:19" ht="15.75" customHeight="1" x14ac:dyDescent="0.25">
      <c r="A1704" s="438">
        <v>1701</v>
      </c>
      <c r="B1704" s="470" t="s">
        <v>17</v>
      </c>
      <c r="C1704" s="471" t="s">
        <v>18</v>
      </c>
      <c r="D1704" s="472" t="s">
        <v>19</v>
      </c>
      <c r="E1704" s="448" t="s">
        <v>4091</v>
      </c>
      <c r="F1704" s="448" t="s">
        <v>3024</v>
      </c>
      <c r="G1704" s="473" t="s">
        <v>3045</v>
      </c>
      <c r="H1704" s="439" t="s">
        <v>1608</v>
      </c>
      <c r="I1704" s="474" t="s">
        <v>3457</v>
      </c>
      <c r="J1704" s="474" t="s">
        <v>3464</v>
      </c>
      <c r="K1704" s="443" t="s">
        <v>1592</v>
      </c>
      <c r="L1704" s="471">
        <v>1</v>
      </c>
      <c r="M1704" s="447" t="s">
        <v>2164</v>
      </c>
      <c r="N1704" s="456">
        <v>4300</v>
      </c>
      <c r="O1704" s="475">
        <f t="shared" si="6"/>
        <v>4300</v>
      </c>
      <c r="P1704" s="476"/>
      <c r="Q1704" s="477">
        <v>46023</v>
      </c>
      <c r="R1704" s="476"/>
      <c r="S1704" s="476"/>
    </row>
    <row r="1705" spans="1:19" ht="15.75" customHeight="1" x14ac:dyDescent="0.25">
      <c r="A1705" s="438">
        <v>1702</v>
      </c>
      <c r="B1705" s="470" t="s">
        <v>17</v>
      </c>
      <c r="C1705" s="471" t="s">
        <v>18</v>
      </c>
      <c r="D1705" s="472" t="s">
        <v>19</v>
      </c>
      <c r="E1705" s="448" t="s">
        <v>4091</v>
      </c>
      <c r="F1705" s="448" t="s">
        <v>3024</v>
      </c>
      <c r="G1705" s="473" t="s">
        <v>3045</v>
      </c>
      <c r="H1705" s="439" t="s">
        <v>1608</v>
      </c>
      <c r="I1705" s="474" t="s">
        <v>3457</v>
      </c>
      <c r="J1705" s="474" t="s">
        <v>3464</v>
      </c>
      <c r="K1705" s="443" t="s">
        <v>1592</v>
      </c>
      <c r="L1705" s="471">
        <v>1</v>
      </c>
      <c r="M1705" s="447" t="s">
        <v>2165</v>
      </c>
      <c r="N1705" s="456">
        <v>4300</v>
      </c>
      <c r="O1705" s="475">
        <f t="shared" si="6"/>
        <v>4300</v>
      </c>
      <c r="P1705" s="476"/>
      <c r="Q1705" s="477">
        <v>46023</v>
      </c>
      <c r="R1705" s="476"/>
      <c r="S1705" s="476"/>
    </row>
    <row r="1706" spans="1:19" ht="15.75" customHeight="1" x14ac:dyDescent="0.25">
      <c r="A1706" s="438">
        <v>1703</v>
      </c>
      <c r="B1706" s="470" t="s">
        <v>17</v>
      </c>
      <c r="C1706" s="471" t="s">
        <v>18</v>
      </c>
      <c r="D1706" s="472" t="s">
        <v>19</v>
      </c>
      <c r="E1706" s="448" t="s">
        <v>4091</v>
      </c>
      <c r="F1706" s="448" t="s">
        <v>3024</v>
      </c>
      <c r="G1706" s="473" t="s">
        <v>3045</v>
      </c>
      <c r="H1706" s="439" t="s">
        <v>1608</v>
      </c>
      <c r="I1706" s="474" t="s">
        <v>3457</v>
      </c>
      <c r="J1706" s="474" t="s">
        <v>3464</v>
      </c>
      <c r="K1706" s="443" t="s">
        <v>1592</v>
      </c>
      <c r="L1706" s="471">
        <v>1</v>
      </c>
      <c r="M1706" s="447" t="s">
        <v>2166</v>
      </c>
      <c r="N1706" s="456">
        <v>4300</v>
      </c>
      <c r="O1706" s="475">
        <f t="shared" si="6"/>
        <v>4300</v>
      </c>
      <c r="P1706" s="476"/>
      <c r="Q1706" s="477">
        <v>46023</v>
      </c>
      <c r="R1706" s="476"/>
      <c r="S1706" s="476"/>
    </row>
    <row r="1707" spans="1:19" ht="15.75" customHeight="1" x14ac:dyDescent="0.25">
      <c r="A1707" s="438">
        <v>1704</v>
      </c>
      <c r="B1707" s="470" t="s">
        <v>17</v>
      </c>
      <c r="C1707" s="471" t="s">
        <v>18</v>
      </c>
      <c r="D1707" s="472" t="s">
        <v>19</v>
      </c>
      <c r="E1707" s="448" t="s">
        <v>4091</v>
      </c>
      <c r="F1707" s="448" t="s">
        <v>3024</v>
      </c>
      <c r="G1707" s="473" t="s">
        <v>3045</v>
      </c>
      <c r="H1707" s="439" t="s">
        <v>1608</v>
      </c>
      <c r="I1707" s="474" t="s">
        <v>3457</v>
      </c>
      <c r="J1707" s="474" t="s">
        <v>3464</v>
      </c>
      <c r="K1707" s="443" t="s">
        <v>1592</v>
      </c>
      <c r="L1707" s="471">
        <v>1</v>
      </c>
      <c r="M1707" s="447" t="s">
        <v>2167</v>
      </c>
      <c r="N1707" s="456">
        <v>4300</v>
      </c>
      <c r="O1707" s="475">
        <f t="shared" si="6"/>
        <v>4300</v>
      </c>
      <c r="P1707" s="476"/>
      <c r="Q1707" s="477">
        <v>46023</v>
      </c>
      <c r="R1707" s="476"/>
      <c r="S1707" s="476"/>
    </row>
    <row r="1708" spans="1:19" ht="15.75" customHeight="1" x14ac:dyDescent="0.25">
      <c r="A1708" s="438">
        <v>1705</v>
      </c>
      <c r="B1708" s="470" t="s">
        <v>17</v>
      </c>
      <c r="C1708" s="471" t="s">
        <v>18</v>
      </c>
      <c r="D1708" s="472" t="s">
        <v>19</v>
      </c>
      <c r="E1708" s="448" t="s">
        <v>4091</v>
      </c>
      <c r="F1708" s="448" t="s">
        <v>3024</v>
      </c>
      <c r="G1708" s="473" t="s">
        <v>3045</v>
      </c>
      <c r="H1708" s="439" t="s">
        <v>1608</v>
      </c>
      <c r="I1708" s="474" t="s">
        <v>3457</v>
      </c>
      <c r="J1708" s="474" t="s">
        <v>3464</v>
      </c>
      <c r="K1708" s="443" t="s">
        <v>1592</v>
      </c>
      <c r="L1708" s="471">
        <v>1</v>
      </c>
      <c r="M1708" s="447" t="s">
        <v>2168</v>
      </c>
      <c r="N1708" s="456">
        <v>4300</v>
      </c>
      <c r="O1708" s="475">
        <f t="shared" si="6"/>
        <v>4300</v>
      </c>
      <c r="P1708" s="476"/>
      <c r="Q1708" s="477">
        <v>46023</v>
      </c>
      <c r="R1708" s="476"/>
      <c r="S1708" s="476"/>
    </row>
    <row r="1709" spans="1:19" ht="15.75" customHeight="1" x14ac:dyDescent="0.25">
      <c r="A1709" s="438">
        <v>1706</v>
      </c>
      <c r="B1709" s="470" t="s">
        <v>17</v>
      </c>
      <c r="C1709" s="471" t="s">
        <v>18</v>
      </c>
      <c r="D1709" s="472" t="s">
        <v>19</v>
      </c>
      <c r="E1709" s="448" t="s">
        <v>4091</v>
      </c>
      <c r="F1709" s="448" t="s">
        <v>3024</v>
      </c>
      <c r="G1709" s="473" t="s">
        <v>3045</v>
      </c>
      <c r="H1709" s="439" t="s">
        <v>1608</v>
      </c>
      <c r="I1709" s="474" t="s">
        <v>3457</v>
      </c>
      <c r="J1709" s="474" t="s">
        <v>3464</v>
      </c>
      <c r="K1709" s="443" t="s">
        <v>1592</v>
      </c>
      <c r="L1709" s="471">
        <v>1</v>
      </c>
      <c r="M1709" s="447" t="s">
        <v>2169</v>
      </c>
      <c r="N1709" s="456">
        <v>4300</v>
      </c>
      <c r="O1709" s="475">
        <f t="shared" si="6"/>
        <v>4300</v>
      </c>
      <c r="P1709" s="476"/>
      <c r="Q1709" s="477">
        <v>46023</v>
      </c>
      <c r="R1709" s="476"/>
      <c r="S1709" s="476"/>
    </row>
    <row r="1710" spans="1:19" ht="15.75" customHeight="1" x14ac:dyDescent="0.25">
      <c r="A1710" s="438">
        <v>1707</v>
      </c>
      <c r="B1710" s="470" t="s">
        <v>17</v>
      </c>
      <c r="C1710" s="471" t="s">
        <v>18</v>
      </c>
      <c r="D1710" s="472" t="s">
        <v>19</v>
      </c>
      <c r="E1710" s="448" t="s">
        <v>4091</v>
      </c>
      <c r="F1710" s="448" t="s">
        <v>3024</v>
      </c>
      <c r="G1710" s="473" t="s">
        <v>3045</v>
      </c>
      <c r="H1710" s="439" t="s">
        <v>1608</v>
      </c>
      <c r="I1710" s="474" t="s">
        <v>3457</v>
      </c>
      <c r="J1710" s="474" t="s">
        <v>3464</v>
      </c>
      <c r="K1710" s="443" t="s">
        <v>1592</v>
      </c>
      <c r="L1710" s="471">
        <v>1</v>
      </c>
      <c r="M1710" s="447" t="s">
        <v>2170</v>
      </c>
      <c r="N1710" s="456">
        <v>4300</v>
      </c>
      <c r="O1710" s="475">
        <f t="shared" si="6"/>
        <v>4300</v>
      </c>
      <c r="P1710" s="476"/>
      <c r="Q1710" s="477">
        <v>46023</v>
      </c>
      <c r="R1710" s="476"/>
      <c r="S1710" s="476"/>
    </row>
    <row r="1711" spans="1:19" ht="15.75" customHeight="1" x14ac:dyDescent="0.25">
      <c r="A1711" s="438">
        <v>1708</v>
      </c>
      <c r="B1711" s="470" t="s">
        <v>17</v>
      </c>
      <c r="C1711" s="471" t="s">
        <v>18</v>
      </c>
      <c r="D1711" s="472" t="s">
        <v>19</v>
      </c>
      <c r="E1711" s="448" t="s">
        <v>4091</v>
      </c>
      <c r="F1711" s="448" t="s">
        <v>3024</v>
      </c>
      <c r="G1711" s="473" t="s">
        <v>3045</v>
      </c>
      <c r="H1711" s="439" t="s">
        <v>1608</v>
      </c>
      <c r="I1711" s="474" t="s">
        <v>3457</v>
      </c>
      <c r="J1711" s="474" t="s">
        <v>3464</v>
      </c>
      <c r="K1711" s="443" t="s">
        <v>1592</v>
      </c>
      <c r="L1711" s="471">
        <v>1</v>
      </c>
      <c r="M1711" s="447" t="s">
        <v>2171</v>
      </c>
      <c r="N1711" s="456">
        <v>4300</v>
      </c>
      <c r="O1711" s="475">
        <f t="shared" si="6"/>
        <v>4300</v>
      </c>
      <c r="P1711" s="476"/>
      <c r="Q1711" s="477">
        <v>46023</v>
      </c>
      <c r="R1711" s="476"/>
      <c r="S1711" s="476"/>
    </row>
    <row r="1712" spans="1:19" ht="15.75" customHeight="1" x14ac:dyDescent="0.25">
      <c r="A1712" s="438">
        <v>1709</v>
      </c>
      <c r="B1712" s="470" t="s">
        <v>17</v>
      </c>
      <c r="C1712" s="471" t="s">
        <v>18</v>
      </c>
      <c r="D1712" s="472" t="s">
        <v>19</v>
      </c>
      <c r="E1712" s="448" t="s">
        <v>4091</v>
      </c>
      <c r="F1712" s="448" t="s">
        <v>3024</v>
      </c>
      <c r="G1712" s="473" t="s">
        <v>3045</v>
      </c>
      <c r="H1712" s="439" t="s">
        <v>1608</v>
      </c>
      <c r="I1712" s="474" t="s">
        <v>3457</v>
      </c>
      <c r="J1712" s="474" t="s">
        <v>3464</v>
      </c>
      <c r="K1712" s="443" t="s">
        <v>1592</v>
      </c>
      <c r="L1712" s="471">
        <v>1</v>
      </c>
      <c r="M1712" s="447" t="s">
        <v>2172</v>
      </c>
      <c r="N1712" s="456">
        <v>4300</v>
      </c>
      <c r="O1712" s="475">
        <f t="shared" si="6"/>
        <v>4300</v>
      </c>
      <c r="P1712" s="476"/>
      <c r="Q1712" s="477">
        <v>46023</v>
      </c>
      <c r="R1712" s="476"/>
      <c r="S1712" s="476"/>
    </row>
    <row r="1713" spans="1:19" ht="15.75" customHeight="1" x14ac:dyDescent="0.25">
      <c r="A1713" s="438">
        <v>1710</v>
      </c>
      <c r="B1713" s="470" t="s">
        <v>17</v>
      </c>
      <c r="C1713" s="471" t="s">
        <v>18</v>
      </c>
      <c r="D1713" s="472" t="s">
        <v>19</v>
      </c>
      <c r="E1713" s="448" t="s">
        <v>4091</v>
      </c>
      <c r="F1713" s="448" t="s">
        <v>3024</v>
      </c>
      <c r="G1713" s="473" t="s">
        <v>3045</v>
      </c>
      <c r="H1713" s="439" t="s">
        <v>1608</v>
      </c>
      <c r="I1713" s="474" t="s">
        <v>3457</v>
      </c>
      <c r="J1713" s="474" t="s">
        <v>3464</v>
      </c>
      <c r="K1713" s="443" t="s">
        <v>1592</v>
      </c>
      <c r="L1713" s="471">
        <v>1</v>
      </c>
      <c r="M1713" s="447" t="s">
        <v>2173</v>
      </c>
      <c r="N1713" s="456">
        <v>4300</v>
      </c>
      <c r="O1713" s="475">
        <f t="shared" si="6"/>
        <v>4300</v>
      </c>
      <c r="P1713" s="476"/>
      <c r="Q1713" s="477">
        <v>46023</v>
      </c>
      <c r="R1713" s="476"/>
      <c r="S1713" s="476"/>
    </row>
    <row r="1714" spans="1:19" ht="15.75" customHeight="1" x14ac:dyDescent="0.25">
      <c r="A1714" s="438">
        <v>1711</v>
      </c>
      <c r="B1714" s="470" t="s">
        <v>17</v>
      </c>
      <c r="C1714" s="471" t="s">
        <v>18</v>
      </c>
      <c r="D1714" s="472" t="s">
        <v>19</v>
      </c>
      <c r="E1714" s="448" t="s">
        <v>4091</v>
      </c>
      <c r="F1714" s="448" t="s">
        <v>3024</v>
      </c>
      <c r="G1714" s="473" t="s">
        <v>3045</v>
      </c>
      <c r="H1714" s="439" t="s">
        <v>1608</v>
      </c>
      <c r="I1714" s="474" t="s">
        <v>3457</v>
      </c>
      <c r="J1714" s="474" t="s">
        <v>3464</v>
      </c>
      <c r="K1714" s="443" t="s">
        <v>1592</v>
      </c>
      <c r="L1714" s="471">
        <v>1</v>
      </c>
      <c r="M1714" s="447" t="s">
        <v>2174</v>
      </c>
      <c r="N1714" s="456">
        <v>4300</v>
      </c>
      <c r="O1714" s="475">
        <f t="shared" si="6"/>
        <v>4300</v>
      </c>
      <c r="P1714" s="476"/>
      <c r="Q1714" s="477">
        <v>46023</v>
      </c>
      <c r="R1714" s="476"/>
      <c r="S1714" s="476"/>
    </row>
    <row r="1715" spans="1:19" ht="15.75" customHeight="1" x14ac:dyDescent="0.25">
      <c r="A1715" s="438">
        <v>1712</v>
      </c>
      <c r="B1715" s="470" t="s">
        <v>17</v>
      </c>
      <c r="C1715" s="471" t="s">
        <v>18</v>
      </c>
      <c r="D1715" s="472" t="s">
        <v>19</v>
      </c>
      <c r="E1715" s="448" t="s">
        <v>4091</v>
      </c>
      <c r="F1715" s="448" t="s">
        <v>3024</v>
      </c>
      <c r="G1715" s="473" t="s">
        <v>3045</v>
      </c>
      <c r="H1715" s="439" t="s">
        <v>1608</v>
      </c>
      <c r="I1715" s="474" t="s">
        <v>3457</v>
      </c>
      <c r="J1715" s="474" t="s">
        <v>3464</v>
      </c>
      <c r="K1715" s="443" t="s">
        <v>1592</v>
      </c>
      <c r="L1715" s="471">
        <v>1</v>
      </c>
      <c r="M1715" s="447" t="s">
        <v>2175</v>
      </c>
      <c r="N1715" s="456">
        <v>4300</v>
      </c>
      <c r="O1715" s="475">
        <f t="shared" si="6"/>
        <v>4300</v>
      </c>
      <c r="P1715" s="476"/>
      <c r="Q1715" s="477">
        <v>46023</v>
      </c>
      <c r="R1715" s="476"/>
      <c r="S1715" s="476"/>
    </row>
    <row r="1716" spans="1:19" ht="15.75" customHeight="1" x14ac:dyDescent="0.25">
      <c r="A1716" s="438">
        <v>1713</v>
      </c>
      <c r="B1716" s="470" t="s">
        <v>17</v>
      </c>
      <c r="C1716" s="471" t="s">
        <v>18</v>
      </c>
      <c r="D1716" s="472" t="s">
        <v>19</v>
      </c>
      <c r="E1716" s="448" t="s">
        <v>4091</v>
      </c>
      <c r="F1716" s="448" t="s">
        <v>3024</v>
      </c>
      <c r="G1716" s="473" t="s">
        <v>3045</v>
      </c>
      <c r="H1716" s="439" t="s">
        <v>1608</v>
      </c>
      <c r="I1716" s="474" t="s">
        <v>3457</v>
      </c>
      <c r="J1716" s="474" t="s">
        <v>3464</v>
      </c>
      <c r="K1716" s="443" t="s">
        <v>1592</v>
      </c>
      <c r="L1716" s="471">
        <v>1</v>
      </c>
      <c r="M1716" s="447" t="s">
        <v>2176</v>
      </c>
      <c r="N1716" s="456">
        <v>4300</v>
      </c>
      <c r="O1716" s="475">
        <f t="shared" si="6"/>
        <v>4300</v>
      </c>
      <c r="P1716" s="476"/>
      <c r="Q1716" s="477">
        <v>46023</v>
      </c>
      <c r="R1716" s="476"/>
      <c r="S1716" s="476"/>
    </row>
    <row r="1717" spans="1:19" ht="15.75" customHeight="1" x14ac:dyDescent="0.25">
      <c r="A1717" s="438">
        <v>1714</v>
      </c>
      <c r="B1717" s="470" t="s">
        <v>17</v>
      </c>
      <c r="C1717" s="471" t="s">
        <v>18</v>
      </c>
      <c r="D1717" s="472" t="s">
        <v>19</v>
      </c>
      <c r="E1717" s="448" t="s">
        <v>4085</v>
      </c>
      <c r="F1717" s="448" t="s">
        <v>3026</v>
      </c>
      <c r="G1717" s="473" t="s">
        <v>3045</v>
      </c>
      <c r="H1717" s="439" t="s">
        <v>1608</v>
      </c>
      <c r="I1717" s="474" t="s">
        <v>3457</v>
      </c>
      <c r="J1717" s="474" t="s">
        <v>3464</v>
      </c>
      <c r="K1717" s="443" t="s">
        <v>1592</v>
      </c>
      <c r="L1717" s="471">
        <v>1</v>
      </c>
      <c r="M1717" s="447" t="s">
        <v>2177</v>
      </c>
      <c r="N1717" s="456">
        <v>4300</v>
      </c>
      <c r="O1717" s="475">
        <f t="shared" si="6"/>
        <v>4300</v>
      </c>
      <c r="P1717" s="476"/>
      <c r="Q1717" s="477">
        <v>46023</v>
      </c>
      <c r="R1717" s="476"/>
      <c r="S1717" s="476"/>
    </row>
    <row r="1718" spans="1:19" ht="15.75" customHeight="1" x14ac:dyDescent="0.25">
      <c r="A1718" s="438">
        <v>1715</v>
      </c>
      <c r="B1718" s="470" t="s">
        <v>17</v>
      </c>
      <c r="C1718" s="471" t="s">
        <v>18</v>
      </c>
      <c r="D1718" s="472" t="s">
        <v>19</v>
      </c>
      <c r="E1718" s="448" t="s">
        <v>4085</v>
      </c>
      <c r="F1718" s="448" t="s">
        <v>2985</v>
      </c>
      <c r="G1718" s="473" t="s">
        <v>4021</v>
      </c>
      <c r="H1718" s="439" t="s">
        <v>1967</v>
      </c>
      <c r="I1718" s="474" t="s">
        <v>3457</v>
      </c>
      <c r="J1718" s="474" t="s">
        <v>3463</v>
      </c>
      <c r="K1718" s="443" t="s">
        <v>1968</v>
      </c>
      <c r="L1718" s="471">
        <v>1</v>
      </c>
      <c r="M1718" s="447" t="s">
        <v>2178</v>
      </c>
      <c r="N1718" s="456">
        <v>6560</v>
      </c>
      <c r="O1718" s="475">
        <f t="shared" si="6"/>
        <v>6560</v>
      </c>
      <c r="P1718" s="476"/>
      <c r="Q1718" s="477">
        <v>46023</v>
      </c>
      <c r="R1718" s="476"/>
      <c r="S1718" s="476"/>
    </row>
    <row r="1719" spans="1:19" ht="15.75" customHeight="1" x14ac:dyDescent="0.25">
      <c r="A1719" s="438">
        <v>1716</v>
      </c>
      <c r="B1719" s="470" t="s">
        <v>17</v>
      </c>
      <c r="C1719" s="471" t="s">
        <v>18</v>
      </c>
      <c r="D1719" s="472" t="s">
        <v>19</v>
      </c>
      <c r="E1719" s="448" t="s">
        <v>4085</v>
      </c>
      <c r="F1719" s="448" t="s">
        <v>2985</v>
      </c>
      <c r="G1719" s="473" t="s">
        <v>4021</v>
      </c>
      <c r="H1719" s="439" t="s">
        <v>1967</v>
      </c>
      <c r="I1719" s="474" t="s">
        <v>3457</v>
      </c>
      <c r="J1719" s="474" t="s">
        <v>3463</v>
      </c>
      <c r="K1719" s="443" t="s">
        <v>1968</v>
      </c>
      <c r="L1719" s="471">
        <v>1</v>
      </c>
      <c r="M1719" s="447" t="s">
        <v>2179</v>
      </c>
      <c r="N1719" s="456">
        <v>6560</v>
      </c>
      <c r="O1719" s="475">
        <f t="shared" si="6"/>
        <v>6560</v>
      </c>
      <c r="P1719" s="476"/>
      <c r="Q1719" s="477">
        <v>46023</v>
      </c>
      <c r="R1719" s="476"/>
      <c r="S1719" s="476"/>
    </row>
    <row r="1720" spans="1:19" ht="15.75" customHeight="1" x14ac:dyDescent="0.25">
      <c r="A1720" s="438">
        <v>1717</v>
      </c>
      <c r="B1720" s="470" t="s">
        <v>17</v>
      </c>
      <c r="C1720" s="471" t="s">
        <v>18</v>
      </c>
      <c r="D1720" s="472" t="s">
        <v>19</v>
      </c>
      <c r="E1720" s="448" t="s">
        <v>4085</v>
      </c>
      <c r="F1720" s="448" t="s">
        <v>2985</v>
      </c>
      <c r="G1720" s="473" t="s">
        <v>4021</v>
      </c>
      <c r="H1720" s="439" t="s">
        <v>1967</v>
      </c>
      <c r="I1720" s="474" t="s">
        <v>3457</v>
      </c>
      <c r="J1720" s="474" t="s">
        <v>3463</v>
      </c>
      <c r="K1720" s="443" t="s">
        <v>1968</v>
      </c>
      <c r="L1720" s="471">
        <v>1</v>
      </c>
      <c r="M1720" s="447" t="s">
        <v>2180</v>
      </c>
      <c r="N1720" s="456">
        <v>6560</v>
      </c>
      <c r="O1720" s="475">
        <f t="shared" si="6"/>
        <v>6560</v>
      </c>
      <c r="P1720" s="476"/>
      <c r="Q1720" s="477">
        <v>46023</v>
      </c>
      <c r="R1720" s="476"/>
      <c r="S1720" s="476"/>
    </row>
    <row r="1721" spans="1:19" ht="15.75" customHeight="1" x14ac:dyDescent="0.25">
      <c r="A1721" s="438">
        <v>1718</v>
      </c>
      <c r="B1721" s="470" t="s">
        <v>17</v>
      </c>
      <c r="C1721" s="471" t="s">
        <v>18</v>
      </c>
      <c r="D1721" s="472" t="s">
        <v>19</v>
      </c>
      <c r="E1721" s="465" t="s">
        <v>4080</v>
      </c>
      <c r="F1721" s="448" t="s">
        <v>4080</v>
      </c>
      <c r="G1721" s="473" t="s">
        <v>4017</v>
      </c>
      <c r="H1721" s="439" t="s">
        <v>2181</v>
      </c>
      <c r="I1721" s="474" t="s">
        <v>3457</v>
      </c>
      <c r="J1721" s="474" t="s">
        <v>3463</v>
      </c>
      <c r="K1721" s="443" t="s">
        <v>3477</v>
      </c>
      <c r="L1721" s="471">
        <v>1</v>
      </c>
      <c r="M1721" s="447" t="s">
        <v>2182</v>
      </c>
      <c r="N1721" s="456">
        <v>5900</v>
      </c>
      <c r="O1721" s="475">
        <f t="shared" si="6"/>
        <v>5900</v>
      </c>
      <c r="P1721" s="476"/>
      <c r="Q1721" s="477">
        <v>46023</v>
      </c>
      <c r="R1721" s="476"/>
      <c r="S1721" s="476"/>
    </row>
    <row r="1722" spans="1:19" ht="15.75" customHeight="1" x14ac:dyDescent="0.25">
      <c r="A1722" s="438">
        <v>1719</v>
      </c>
      <c r="B1722" s="470" t="s">
        <v>17</v>
      </c>
      <c r="C1722" s="471" t="s">
        <v>18</v>
      </c>
      <c r="D1722" s="472" t="s">
        <v>19</v>
      </c>
      <c r="E1722" s="448" t="s">
        <v>4085</v>
      </c>
      <c r="F1722" s="448" t="s">
        <v>2985</v>
      </c>
      <c r="G1722" s="473" t="s">
        <v>4017</v>
      </c>
      <c r="H1722" s="439" t="s">
        <v>2183</v>
      </c>
      <c r="I1722" s="474" t="s">
        <v>3457</v>
      </c>
      <c r="J1722" s="474" t="s">
        <v>3463</v>
      </c>
      <c r="K1722" s="443" t="s">
        <v>3477</v>
      </c>
      <c r="L1722" s="471">
        <v>1</v>
      </c>
      <c r="M1722" s="447" t="s">
        <v>2184</v>
      </c>
      <c r="N1722" s="457">
        <v>1475</v>
      </c>
      <c r="O1722" s="475">
        <f t="shared" si="6"/>
        <v>1475</v>
      </c>
      <c r="P1722" s="476"/>
      <c r="Q1722" s="477">
        <v>46023</v>
      </c>
      <c r="R1722" s="476"/>
      <c r="S1722" s="476"/>
    </row>
    <row r="1723" spans="1:19" ht="15.75" customHeight="1" x14ac:dyDescent="0.25">
      <c r="A1723" s="438">
        <v>1720</v>
      </c>
      <c r="B1723" s="470" t="s">
        <v>17</v>
      </c>
      <c r="C1723" s="471" t="s">
        <v>18</v>
      </c>
      <c r="D1723" s="472" t="s">
        <v>19</v>
      </c>
      <c r="E1723" s="448" t="s">
        <v>4085</v>
      </c>
      <c r="F1723" s="448" t="s">
        <v>2985</v>
      </c>
      <c r="G1723" s="473" t="s">
        <v>4017</v>
      </c>
      <c r="H1723" s="439" t="s">
        <v>2183</v>
      </c>
      <c r="I1723" s="474" t="s">
        <v>3457</v>
      </c>
      <c r="J1723" s="474" t="s">
        <v>3463</v>
      </c>
      <c r="K1723" s="443" t="s">
        <v>3477</v>
      </c>
      <c r="L1723" s="471">
        <v>1</v>
      </c>
      <c r="M1723" s="447" t="s">
        <v>2185</v>
      </c>
      <c r="N1723" s="457">
        <v>1475</v>
      </c>
      <c r="O1723" s="475">
        <f t="shared" si="6"/>
        <v>1475</v>
      </c>
      <c r="P1723" s="476"/>
      <c r="Q1723" s="477">
        <v>46023</v>
      </c>
      <c r="R1723" s="476"/>
      <c r="S1723" s="476"/>
    </row>
    <row r="1724" spans="1:19" ht="15.75" customHeight="1" x14ac:dyDescent="0.25">
      <c r="A1724" s="438">
        <v>1721</v>
      </c>
      <c r="B1724" s="470" t="s">
        <v>17</v>
      </c>
      <c r="C1724" s="471" t="s">
        <v>18</v>
      </c>
      <c r="D1724" s="472" t="s">
        <v>19</v>
      </c>
      <c r="E1724" s="448" t="s">
        <v>4085</v>
      </c>
      <c r="F1724" s="448" t="s">
        <v>2985</v>
      </c>
      <c r="G1724" s="473" t="s">
        <v>4017</v>
      </c>
      <c r="H1724" s="439" t="s">
        <v>2183</v>
      </c>
      <c r="I1724" s="474" t="s">
        <v>3457</v>
      </c>
      <c r="J1724" s="474" t="s">
        <v>3463</v>
      </c>
      <c r="K1724" s="443" t="s">
        <v>3477</v>
      </c>
      <c r="L1724" s="471">
        <v>1</v>
      </c>
      <c r="M1724" s="447" t="s">
        <v>2186</v>
      </c>
      <c r="N1724" s="457">
        <v>1475</v>
      </c>
      <c r="O1724" s="475">
        <f t="shared" si="6"/>
        <v>1475</v>
      </c>
      <c r="P1724" s="476"/>
      <c r="Q1724" s="477">
        <v>46023</v>
      </c>
      <c r="R1724" s="476"/>
      <c r="S1724" s="476"/>
    </row>
    <row r="1725" spans="1:19" ht="15.75" customHeight="1" x14ac:dyDescent="0.25">
      <c r="A1725" s="438">
        <v>1722</v>
      </c>
      <c r="B1725" s="470" t="s">
        <v>17</v>
      </c>
      <c r="C1725" s="471" t="s">
        <v>18</v>
      </c>
      <c r="D1725" s="472" t="s">
        <v>19</v>
      </c>
      <c r="E1725" s="448" t="s">
        <v>4085</v>
      </c>
      <c r="F1725" s="448" t="s">
        <v>2985</v>
      </c>
      <c r="G1725" s="473" t="s">
        <v>4017</v>
      </c>
      <c r="H1725" s="439" t="s">
        <v>2183</v>
      </c>
      <c r="I1725" s="474" t="s">
        <v>3457</v>
      </c>
      <c r="J1725" s="474" t="s">
        <v>3463</v>
      </c>
      <c r="K1725" s="443" t="s">
        <v>3477</v>
      </c>
      <c r="L1725" s="471">
        <v>1</v>
      </c>
      <c r="M1725" s="447" t="s">
        <v>2187</v>
      </c>
      <c r="N1725" s="457">
        <v>1475</v>
      </c>
      <c r="O1725" s="475">
        <f t="shared" si="6"/>
        <v>1475</v>
      </c>
      <c r="P1725" s="476"/>
      <c r="Q1725" s="477">
        <v>46023</v>
      </c>
      <c r="R1725" s="476"/>
      <c r="S1725" s="476"/>
    </row>
    <row r="1726" spans="1:19" ht="15.75" customHeight="1" x14ac:dyDescent="0.25">
      <c r="A1726" s="438">
        <v>1723</v>
      </c>
      <c r="B1726" s="470" t="s">
        <v>17</v>
      </c>
      <c r="C1726" s="471" t="s">
        <v>18</v>
      </c>
      <c r="D1726" s="472" t="s">
        <v>19</v>
      </c>
      <c r="E1726" s="448" t="s">
        <v>4081</v>
      </c>
      <c r="F1726" s="448" t="s">
        <v>2989</v>
      </c>
      <c r="G1726" s="473" t="s">
        <v>4032</v>
      </c>
      <c r="H1726" s="439" t="s">
        <v>2188</v>
      </c>
      <c r="I1726" s="474" t="s">
        <v>3457</v>
      </c>
      <c r="J1726" s="474" t="s">
        <v>3463</v>
      </c>
      <c r="K1726" s="443" t="s">
        <v>2241</v>
      </c>
      <c r="L1726" s="471">
        <v>1</v>
      </c>
      <c r="M1726" s="447" t="s">
        <v>2189</v>
      </c>
      <c r="N1726" s="457">
        <v>10200</v>
      </c>
      <c r="O1726" s="475">
        <f t="shared" si="6"/>
        <v>10200</v>
      </c>
      <c r="P1726" s="476"/>
      <c r="Q1726" s="477">
        <v>46023</v>
      </c>
      <c r="R1726" s="476"/>
      <c r="S1726" s="476"/>
    </row>
    <row r="1727" spans="1:19" ht="15.75" customHeight="1" x14ac:dyDescent="0.25">
      <c r="A1727" s="438">
        <v>1724</v>
      </c>
      <c r="B1727" s="470" t="s">
        <v>17</v>
      </c>
      <c r="C1727" s="471" t="s">
        <v>18</v>
      </c>
      <c r="D1727" s="472" t="s">
        <v>19</v>
      </c>
      <c r="E1727" s="448" t="s">
        <v>4081</v>
      </c>
      <c r="F1727" s="448" t="s">
        <v>2989</v>
      </c>
      <c r="G1727" s="473" t="s">
        <v>4032</v>
      </c>
      <c r="H1727" s="439" t="s">
        <v>2188</v>
      </c>
      <c r="I1727" s="474" t="s">
        <v>3457</v>
      </c>
      <c r="J1727" s="474" t="s">
        <v>3463</v>
      </c>
      <c r="K1727" s="443" t="s">
        <v>2241</v>
      </c>
      <c r="L1727" s="471">
        <v>1</v>
      </c>
      <c r="M1727" s="447" t="s">
        <v>2190</v>
      </c>
      <c r="N1727" s="457">
        <v>10200</v>
      </c>
      <c r="O1727" s="475">
        <f t="shared" si="6"/>
        <v>10200</v>
      </c>
      <c r="P1727" s="476"/>
      <c r="Q1727" s="477">
        <v>46023</v>
      </c>
      <c r="R1727" s="476"/>
      <c r="S1727" s="476"/>
    </row>
    <row r="1728" spans="1:19" ht="15.75" customHeight="1" x14ac:dyDescent="0.25">
      <c r="A1728" s="438">
        <v>1725</v>
      </c>
      <c r="B1728" s="470" t="s">
        <v>17</v>
      </c>
      <c r="C1728" s="471" t="s">
        <v>18</v>
      </c>
      <c r="D1728" s="472" t="s">
        <v>19</v>
      </c>
      <c r="E1728" s="448" t="s">
        <v>4081</v>
      </c>
      <c r="F1728" s="448" t="s">
        <v>2989</v>
      </c>
      <c r="G1728" s="473" t="s">
        <v>4032</v>
      </c>
      <c r="H1728" s="439" t="s">
        <v>2188</v>
      </c>
      <c r="I1728" s="474" t="s">
        <v>3457</v>
      </c>
      <c r="J1728" s="474" t="s">
        <v>3463</v>
      </c>
      <c r="K1728" s="443" t="s">
        <v>2241</v>
      </c>
      <c r="L1728" s="471">
        <v>1</v>
      </c>
      <c r="M1728" s="447" t="s">
        <v>2191</v>
      </c>
      <c r="N1728" s="455">
        <v>10200</v>
      </c>
      <c r="O1728" s="475">
        <f t="shared" si="6"/>
        <v>10200</v>
      </c>
      <c r="P1728" s="476"/>
      <c r="Q1728" s="477">
        <v>46023</v>
      </c>
      <c r="R1728" s="476"/>
      <c r="S1728" s="476"/>
    </row>
    <row r="1729" spans="1:19" ht="15.75" customHeight="1" x14ac:dyDescent="0.25">
      <c r="A1729" s="438">
        <v>1726</v>
      </c>
      <c r="B1729" s="470" t="s">
        <v>17</v>
      </c>
      <c r="C1729" s="471" t="s">
        <v>18</v>
      </c>
      <c r="D1729" s="472" t="s">
        <v>19</v>
      </c>
      <c r="E1729" s="448" t="s">
        <v>4081</v>
      </c>
      <c r="F1729" s="448" t="s">
        <v>2989</v>
      </c>
      <c r="G1729" s="473" t="s">
        <v>4034</v>
      </c>
      <c r="H1729" s="439" t="s">
        <v>2192</v>
      </c>
      <c r="I1729" s="474" t="s">
        <v>3457</v>
      </c>
      <c r="J1729" s="474" t="s">
        <v>3463</v>
      </c>
      <c r="K1729" s="443" t="s">
        <v>3480</v>
      </c>
      <c r="L1729" s="471">
        <v>1</v>
      </c>
      <c r="M1729" s="447" t="s">
        <v>2193</v>
      </c>
      <c r="N1729" s="456">
        <v>9666.7999999999993</v>
      </c>
      <c r="O1729" s="475">
        <f t="shared" si="6"/>
        <v>9666.7999999999993</v>
      </c>
      <c r="P1729" s="476"/>
      <c r="Q1729" s="477">
        <v>46023</v>
      </c>
      <c r="R1729" s="476"/>
      <c r="S1729" s="476"/>
    </row>
    <row r="1730" spans="1:19" ht="15.75" customHeight="1" x14ac:dyDescent="0.25">
      <c r="A1730" s="438">
        <v>1727</v>
      </c>
      <c r="B1730" s="470" t="s">
        <v>17</v>
      </c>
      <c r="C1730" s="471" t="s">
        <v>18</v>
      </c>
      <c r="D1730" s="472" t="s">
        <v>19</v>
      </c>
      <c r="E1730" s="448" t="s">
        <v>4081</v>
      </c>
      <c r="F1730" s="448" t="s">
        <v>2989</v>
      </c>
      <c r="G1730" s="473" t="s">
        <v>4034</v>
      </c>
      <c r="H1730" s="439" t="s">
        <v>2192</v>
      </c>
      <c r="I1730" s="474" t="s">
        <v>3457</v>
      </c>
      <c r="J1730" s="474" t="s">
        <v>3463</v>
      </c>
      <c r="K1730" s="443" t="s">
        <v>3480</v>
      </c>
      <c r="L1730" s="471">
        <v>1</v>
      </c>
      <c r="M1730" s="447" t="s">
        <v>2194</v>
      </c>
      <c r="N1730" s="456">
        <v>9666.7999999999993</v>
      </c>
      <c r="O1730" s="475">
        <f t="shared" si="6"/>
        <v>9666.7999999999993</v>
      </c>
      <c r="P1730" s="476"/>
      <c r="Q1730" s="477">
        <v>46023</v>
      </c>
      <c r="R1730" s="476"/>
      <c r="S1730" s="476"/>
    </row>
    <row r="1731" spans="1:19" ht="15.75" customHeight="1" x14ac:dyDescent="0.25">
      <c r="A1731" s="438">
        <v>1728</v>
      </c>
      <c r="B1731" s="470" t="s">
        <v>17</v>
      </c>
      <c r="C1731" s="471" t="s">
        <v>18</v>
      </c>
      <c r="D1731" s="472" t="s">
        <v>19</v>
      </c>
      <c r="E1731" s="448" t="s">
        <v>4081</v>
      </c>
      <c r="F1731" s="448" t="s">
        <v>2989</v>
      </c>
      <c r="G1731" s="473" t="s">
        <v>4035</v>
      </c>
      <c r="H1731" s="439" t="s">
        <v>2195</v>
      </c>
      <c r="I1731" s="474" t="s">
        <v>3457</v>
      </c>
      <c r="J1731" s="474" t="s">
        <v>3463</v>
      </c>
      <c r="K1731" s="443" t="s">
        <v>2196</v>
      </c>
      <c r="L1731" s="471">
        <v>1</v>
      </c>
      <c r="M1731" s="447" t="s">
        <v>2197</v>
      </c>
      <c r="N1731" s="456">
        <v>2200</v>
      </c>
      <c r="O1731" s="475">
        <f t="shared" si="6"/>
        <v>2200</v>
      </c>
      <c r="P1731" s="476"/>
      <c r="Q1731" s="477">
        <v>46023</v>
      </c>
      <c r="R1731" s="476"/>
      <c r="S1731" s="476"/>
    </row>
    <row r="1732" spans="1:19" ht="15.75" customHeight="1" x14ac:dyDescent="0.25">
      <c r="A1732" s="438">
        <v>1729</v>
      </c>
      <c r="B1732" s="470" t="s">
        <v>17</v>
      </c>
      <c r="C1732" s="471" t="s">
        <v>18</v>
      </c>
      <c r="D1732" s="472" t="s">
        <v>19</v>
      </c>
      <c r="E1732" s="448" t="s">
        <v>4089</v>
      </c>
      <c r="F1732" s="448" t="s">
        <v>4080</v>
      </c>
      <c r="G1732" s="473" t="s">
        <v>3938</v>
      </c>
      <c r="H1732" s="439" t="s">
        <v>2198</v>
      </c>
      <c r="I1732" s="474" t="s">
        <v>3459</v>
      </c>
      <c r="J1732" s="474" t="s">
        <v>3463</v>
      </c>
      <c r="K1732" s="443" t="s">
        <v>652</v>
      </c>
      <c r="L1732" s="471">
        <v>1</v>
      </c>
      <c r="M1732" s="447" t="s">
        <v>2199</v>
      </c>
      <c r="N1732" s="456">
        <v>7150</v>
      </c>
      <c r="O1732" s="475">
        <f t="shared" si="6"/>
        <v>7150</v>
      </c>
      <c r="P1732" s="476"/>
      <c r="Q1732" s="477">
        <v>46023</v>
      </c>
      <c r="R1732" s="476"/>
      <c r="S1732" s="476"/>
    </row>
    <row r="1733" spans="1:19" ht="15.75" customHeight="1" x14ac:dyDescent="0.25">
      <c r="A1733" s="438">
        <v>1730</v>
      </c>
      <c r="B1733" s="470" t="s">
        <v>17</v>
      </c>
      <c r="C1733" s="471" t="s">
        <v>18</v>
      </c>
      <c r="D1733" s="472" t="s">
        <v>19</v>
      </c>
      <c r="E1733" s="448" t="s">
        <v>4081</v>
      </c>
      <c r="F1733" s="448" t="s">
        <v>2989</v>
      </c>
      <c r="G1733" s="473" t="s">
        <v>4036</v>
      </c>
      <c r="H1733" s="439" t="s">
        <v>2200</v>
      </c>
      <c r="I1733" s="474" t="s">
        <v>3457</v>
      </c>
      <c r="J1733" s="474" t="s">
        <v>3463</v>
      </c>
      <c r="K1733" s="443" t="s">
        <v>2201</v>
      </c>
      <c r="L1733" s="471">
        <v>1</v>
      </c>
      <c r="M1733" s="447" t="s">
        <v>2202</v>
      </c>
      <c r="N1733" s="457">
        <v>1100</v>
      </c>
      <c r="O1733" s="475">
        <f t="shared" si="6"/>
        <v>1100</v>
      </c>
      <c r="P1733" s="476"/>
      <c r="Q1733" s="477">
        <v>46023</v>
      </c>
      <c r="R1733" s="476"/>
      <c r="S1733" s="476"/>
    </row>
    <row r="1734" spans="1:19" ht="15.75" customHeight="1" x14ac:dyDescent="0.25">
      <c r="A1734" s="438">
        <v>1731</v>
      </c>
      <c r="B1734" s="470" t="s">
        <v>17</v>
      </c>
      <c r="C1734" s="471" t="s">
        <v>18</v>
      </c>
      <c r="D1734" s="472" t="s">
        <v>19</v>
      </c>
      <c r="E1734" s="448" t="s">
        <v>4081</v>
      </c>
      <c r="F1734" s="448" t="s">
        <v>2989</v>
      </c>
      <c r="G1734" s="473" t="s">
        <v>4037</v>
      </c>
      <c r="H1734" s="439" t="s">
        <v>2203</v>
      </c>
      <c r="I1734" s="474" t="s">
        <v>3457</v>
      </c>
      <c r="J1734" s="474" t="s">
        <v>3463</v>
      </c>
      <c r="K1734" s="443" t="s">
        <v>2204</v>
      </c>
      <c r="L1734" s="471">
        <v>1</v>
      </c>
      <c r="M1734" s="447" t="s">
        <v>2205</v>
      </c>
      <c r="N1734" s="457">
        <v>920</v>
      </c>
      <c r="O1734" s="475">
        <f t="shared" si="6"/>
        <v>920</v>
      </c>
      <c r="P1734" s="476"/>
      <c r="Q1734" s="477">
        <v>46023</v>
      </c>
      <c r="R1734" s="476"/>
      <c r="S1734" s="476"/>
    </row>
    <row r="1735" spans="1:19" ht="15.75" customHeight="1" x14ac:dyDescent="0.25">
      <c r="A1735" s="438">
        <v>1732</v>
      </c>
      <c r="B1735" s="470" t="s">
        <v>17</v>
      </c>
      <c r="C1735" s="471" t="s">
        <v>18</v>
      </c>
      <c r="D1735" s="472" t="s">
        <v>19</v>
      </c>
      <c r="E1735" s="448" t="s">
        <v>4085</v>
      </c>
      <c r="F1735" s="448" t="s">
        <v>2985</v>
      </c>
      <c r="G1735" s="473" t="s">
        <v>4029</v>
      </c>
      <c r="H1735" s="439" t="s">
        <v>2059</v>
      </c>
      <c r="I1735" s="474" t="s">
        <v>3457</v>
      </c>
      <c r="J1735" s="474" t="s">
        <v>3464</v>
      </c>
      <c r="K1735" s="443" t="s">
        <v>2060</v>
      </c>
      <c r="L1735" s="471">
        <v>1</v>
      </c>
      <c r="M1735" s="447" t="s">
        <v>2206</v>
      </c>
      <c r="N1735" s="457">
        <v>89185</v>
      </c>
      <c r="O1735" s="475">
        <f t="shared" si="6"/>
        <v>89185</v>
      </c>
      <c r="P1735" s="476"/>
      <c r="Q1735" s="477">
        <v>46023</v>
      </c>
      <c r="R1735" s="476"/>
      <c r="S1735" s="476"/>
    </row>
    <row r="1736" spans="1:19" ht="15.75" customHeight="1" x14ac:dyDescent="0.25">
      <c r="A1736" s="438">
        <v>1733</v>
      </c>
      <c r="B1736" s="470" t="s">
        <v>17</v>
      </c>
      <c r="C1736" s="471" t="s">
        <v>18</v>
      </c>
      <c r="D1736" s="472" t="s">
        <v>19</v>
      </c>
      <c r="E1736" s="448" t="s">
        <v>4085</v>
      </c>
      <c r="F1736" s="448" t="s">
        <v>2985</v>
      </c>
      <c r="G1736" s="473" t="s">
        <v>4029</v>
      </c>
      <c r="H1736" s="439" t="s">
        <v>2059</v>
      </c>
      <c r="I1736" s="474" t="s">
        <v>3457</v>
      </c>
      <c r="J1736" s="474" t="s">
        <v>3464</v>
      </c>
      <c r="K1736" s="443" t="s">
        <v>2060</v>
      </c>
      <c r="L1736" s="471">
        <v>1</v>
      </c>
      <c r="M1736" s="447" t="s">
        <v>2207</v>
      </c>
      <c r="N1736" s="457">
        <v>89185</v>
      </c>
      <c r="O1736" s="475">
        <f t="shared" si="6"/>
        <v>89185</v>
      </c>
      <c r="P1736" s="476"/>
      <c r="Q1736" s="477">
        <v>46023</v>
      </c>
      <c r="R1736" s="476"/>
      <c r="S1736" s="476"/>
    </row>
    <row r="1737" spans="1:19" ht="15.75" customHeight="1" x14ac:dyDescent="0.25">
      <c r="A1737" s="438">
        <v>1734</v>
      </c>
      <c r="B1737" s="470" t="s">
        <v>17</v>
      </c>
      <c r="C1737" s="471" t="s">
        <v>18</v>
      </c>
      <c r="D1737" s="472" t="s">
        <v>19</v>
      </c>
      <c r="E1737" s="448" t="s">
        <v>4080</v>
      </c>
      <c r="F1737" s="448" t="s">
        <v>4080</v>
      </c>
      <c r="G1737" s="473" t="s">
        <v>3982</v>
      </c>
      <c r="H1737" s="439" t="s">
        <v>1175</v>
      </c>
      <c r="I1737" s="474" t="s">
        <v>3457</v>
      </c>
      <c r="J1737" s="474" t="s">
        <v>3463</v>
      </c>
      <c r="K1737" s="443" t="s">
        <v>1176</v>
      </c>
      <c r="L1737" s="471">
        <v>1</v>
      </c>
      <c r="M1737" s="447" t="s">
        <v>3512</v>
      </c>
      <c r="N1737" s="457">
        <v>3500</v>
      </c>
      <c r="O1737" s="475">
        <f t="shared" si="6"/>
        <v>3500</v>
      </c>
      <c r="P1737" s="476"/>
      <c r="Q1737" s="477">
        <v>46023</v>
      </c>
      <c r="R1737" s="476"/>
      <c r="S1737" s="476"/>
    </row>
    <row r="1738" spans="1:19" ht="15.75" customHeight="1" x14ac:dyDescent="0.25">
      <c r="A1738" s="438">
        <v>1735</v>
      </c>
      <c r="B1738" s="470" t="s">
        <v>17</v>
      </c>
      <c r="C1738" s="471" t="s">
        <v>18</v>
      </c>
      <c r="D1738" s="472" t="s">
        <v>19</v>
      </c>
      <c r="E1738" s="448" t="s">
        <v>4090</v>
      </c>
      <c r="F1738" s="448" t="s">
        <v>4090</v>
      </c>
      <c r="G1738" s="473" t="s">
        <v>4038</v>
      </c>
      <c r="H1738" s="439" t="s">
        <v>2208</v>
      </c>
      <c r="I1738" s="474" t="s">
        <v>3460</v>
      </c>
      <c r="J1738" s="474" t="s">
        <v>3463</v>
      </c>
      <c r="K1738" s="443" t="s">
        <v>2209</v>
      </c>
      <c r="L1738" s="471">
        <v>1</v>
      </c>
      <c r="M1738" s="447" t="s">
        <v>3513</v>
      </c>
      <c r="N1738" s="457">
        <v>4000</v>
      </c>
      <c r="O1738" s="475">
        <f t="shared" si="6"/>
        <v>4000</v>
      </c>
      <c r="P1738" s="476"/>
      <c r="Q1738" s="477">
        <v>46023</v>
      </c>
      <c r="R1738" s="476"/>
      <c r="S1738" s="476"/>
    </row>
    <row r="1739" spans="1:19" ht="15.75" customHeight="1" x14ac:dyDescent="0.25">
      <c r="A1739" s="438">
        <v>1736</v>
      </c>
      <c r="B1739" s="470" t="s">
        <v>17</v>
      </c>
      <c r="C1739" s="471" t="s">
        <v>18</v>
      </c>
      <c r="D1739" s="472" t="s">
        <v>19</v>
      </c>
      <c r="E1739" s="448" t="s">
        <v>4090</v>
      </c>
      <c r="F1739" s="448" t="s">
        <v>4090</v>
      </c>
      <c r="G1739" s="473" t="s">
        <v>4039</v>
      </c>
      <c r="H1739" s="439" t="s">
        <v>2210</v>
      </c>
      <c r="I1739" s="474" t="s">
        <v>3460</v>
      </c>
      <c r="J1739" s="474" t="s">
        <v>3464</v>
      </c>
      <c r="K1739" s="445" t="s">
        <v>2211</v>
      </c>
      <c r="L1739" s="471">
        <v>1</v>
      </c>
      <c r="M1739" s="447" t="s">
        <v>3514</v>
      </c>
      <c r="N1739" s="457">
        <v>5000</v>
      </c>
      <c r="O1739" s="475">
        <f t="shared" si="6"/>
        <v>5000</v>
      </c>
      <c r="P1739" s="476"/>
      <c r="Q1739" s="477">
        <v>46023</v>
      </c>
      <c r="R1739" s="476"/>
      <c r="S1739" s="476"/>
    </row>
    <row r="1740" spans="1:19" ht="15.75" customHeight="1" x14ac:dyDescent="0.25">
      <c r="A1740" s="438">
        <v>1737</v>
      </c>
      <c r="B1740" s="470" t="s">
        <v>17</v>
      </c>
      <c r="C1740" s="471" t="s">
        <v>18</v>
      </c>
      <c r="D1740" s="472" t="s">
        <v>19</v>
      </c>
      <c r="E1740" s="448" t="s">
        <v>4085</v>
      </c>
      <c r="F1740" s="448" t="s">
        <v>2985</v>
      </c>
      <c r="G1740" s="452" t="s">
        <v>4040</v>
      </c>
      <c r="H1740" s="441" t="s">
        <v>2212</v>
      </c>
      <c r="I1740" s="474" t="s">
        <v>3457</v>
      </c>
      <c r="J1740" s="474" t="s">
        <v>3464</v>
      </c>
      <c r="K1740" s="443" t="s">
        <v>2213</v>
      </c>
      <c r="L1740" s="471">
        <v>1</v>
      </c>
      <c r="M1740" s="451" t="s">
        <v>3515</v>
      </c>
      <c r="N1740" s="457">
        <v>550000</v>
      </c>
      <c r="O1740" s="475">
        <f t="shared" si="6"/>
        <v>550000</v>
      </c>
      <c r="P1740" s="476"/>
      <c r="Q1740" s="477">
        <v>46023</v>
      </c>
      <c r="R1740" s="476"/>
      <c r="S1740" s="476"/>
    </row>
    <row r="1741" spans="1:19" ht="15.75" customHeight="1" x14ac:dyDescent="0.25">
      <c r="A1741" s="438">
        <v>1738</v>
      </c>
      <c r="B1741" s="470" t="s">
        <v>17</v>
      </c>
      <c r="C1741" s="471" t="s">
        <v>18</v>
      </c>
      <c r="D1741" s="472" t="s">
        <v>19</v>
      </c>
      <c r="E1741" s="448" t="s">
        <v>4085</v>
      </c>
      <c r="F1741" s="448" t="s">
        <v>2985</v>
      </c>
      <c r="G1741" s="452" t="s">
        <v>4041</v>
      </c>
      <c r="H1741" s="439" t="s">
        <v>2214</v>
      </c>
      <c r="I1741" s="474" t="s">
        <v>3457</v>
      </c>
      <c r="J1741" s="474" t="s">
        <v>3464</v>
      </c>
      <c r="K1741" s="445" t="s">
        <v>2215</v>
      </c>
      <c r="L1741" s="471">
        <v>1</v>
      </c>
      <c r="M1741" s="447" t="s">
        <v>3516</v>
      </c>
      <c r="N1741" s="457">
        <v>33600</v>
      </c>
      <c r="O1741" s="475">
        <f t="shared" si="6"/>
        <v>33600</v>
      </c>
      <c r="P1741" s="476"/>
      <c r="Q1741" s="477">
        <v>46023</v>
      </c>
      <c r="R1741" s="476"/>
      <c r="S1741" s="476"/>
    </row>
    <row r="1742" spans="1:19" ht="15.75" customHeight="1" x14ac:dyDescent="0.25">
      <c r="A1742" s="438">
        <v>1739</v>
      </c>
      <c r="B1742" s="470" t="s">
        <v>17</v>
      </c>
      <c r="C1742" s="471" t="s">
        <v>18</v>
      </c>
      <c r="D1742" s="472" t="s">
        <v>19</v>
      </c>
      <c r="E1742" s="448" t="s">
        <v>4090</v>
      </c>
      <c r="F1742" s="448" t="s">
        <v>4090</v>
      </c>
      <c r="G1742" s="452" t="s">
        <v>4042</v>
      </c>
      <c r="H1742" s="439" t="s">
        <v>2216</v>
      </c>
      <c r="I1742" s="474" t="s">
        <v>3457</v>
      </c>
      <c r="J1742" s="474" t="s">
        <v>3463</v>
      </c>
      <c r="K1742" s="445" t="s">
        <v>2217</v>
      </c>
      <c r="L1742" s="471">
        <v>1</v>
      </c>
      <c r="M1742" s="447" t="s">
        <v>2876</v>
      </c>
      <c r="N1742" s="457">
        <v>5200</v>
      </c>
      <c r="O1742" s="475">
        <f t="shared" si="6"/>
        <v>5200</v>
      </c>
      <c r="P1742" s="476"/>
      <c r="Q1742" s="477">
        <v>46023</v>
      </c>
      <c r="R1742" s="476"/>
      <c r="S1742" s="476"/>
    </row>
    <row r="1743" spans="1:19" ht="15.75" customHeight="1" x14ac:dyDescent="0.25">
      <c r="A1743" s="438">
        <v>1740</v>
      </c>
      <c r="B1743" s="470" t="s">
        <v>17</v>
      </c>
      <c r="C1743" s="471" t="s">
        <v>18</v>
      </c>
      <c r="D1743" s="472" t="s">
        <v>19</v>
      </c>
      <c r="E1743" s="448" t="s">
        <v>3249</v>
      </c>
      <c r="F1743" s="448" t="s">
        <v>3249</v>
      </c>
      <c r="G1743" s="452" t="s">
        <v>2519</v>
      </c>
      <c r="H1743" s="439" t="s">
        <v>2218</v>
      </c>
      <c r="I1743" s="474" t="s">
        <v>3459</v>
      </c>
      <c r="J1743" s="474" t="s">
        <v>3463</v>
      </c>
      <c r="K1743" s="445" t="s">
        <v>1359</v>
      </c>
      <c r="L1743" s="471">
        <v>1</v>
      </c>
      <c r="M1743" s="447" t="s">
        <v>3517</v>
      </c>
      <c r="N1743" s="457">
        <v>6917</v>
      </c>
      <c r="O1743" s="475">
        <f t="shared" si="6"/>
        <v>6917</v>
      </c>
      <c r="P1743" s="476"/>
      <c r="Q1743" s="477">
        <v>46023</v>
      </c>
      <c r="R1743" s="476"/>
      <c r="S1743" s="476"/>
    </row>
    <row r="1744" spans="1:19" ht="15.75" customHeight="1" x14ac:dyDescent="0.25">
      <c r="A1744" s="438">
        <v>1741</v>
      </c>
      <c r="B1744" s="470" t="s">
        <v>17</v>
      </c>
      <c r="C1744" s="471" t="s">
        <v>18</v>
      </c>
      <c r="D1744" s="472" t="s">
        <v>19</v>
      </c>
      <c r="E1744" s="448" t="s">
        <v>4085</v>
      </c>
      <c r="F1744" s="448" t="s">
        <v>2985</v>
      </c>
      <c r="G1744" s="452" t="s">
        <v>4043</v>
      </c>
      <c r="H1744" s="439" t="s">
        <v>2219</v>
      </c>
      <c r="I1744" s="474" t="s">
        <v>3457</v>
      </c>
      <c r="J1744" s="474" t="s">
        <v>3464</v>
      </c>
      <c r="K1744" s="445" t="s">
        <v>2220</v>
      </c>
      <c r="L1744" s="471">
        <v>1</v>
      </c>
      <c r="M1744" s="447" t="s">
        <v>3518</v>
      </c>
      <c r="N1744" s="457">
        <v>117000</v>
      </c>
      <c r="O1744" s="475">
        <f t="shared" si="6"/>
        <v>117000</v>
      </c>
      <c r="P1744" s="476"/>
      <c r="Q1744" s="477">
        <v>46023</v>
      </c>
      <c r="R1744" s="476"/>
      <c r="S1744" s="476"/>
    </row>
    <row r="1745" spans="1:19" ht="15.75" customHeight="1" x14ac:dyDescent="0.25">
      <c r="A1745" s="438">
        <v>1742</v>
      </c>
      <c r="B1745" s="470" t="s">
        <v>17</v>
      </c>
      <c r="C1745" s="471" t="s">
        <v>18</v>
      </c>
      <c r="D1745" s="472" t="s">
        <v>19</v>
      </c>
      <c r="E1745" s="448" t="s">
        <v>4085</v>
      </c>
      <c r="F1745" s="448" t="s">
        <v>2985</v>
      </c>
      <c r="G1745" s="452" t="s">
        <v>4043</v>
      </c>
      <c r="H1745" s="439" t="s">
        <v>2219</v>
      </c>
      <c r="I1745" s="474" t="s">
        <v>3457</v>
      </c>
      <c r="J1745" s="474" t="s">
        <v>3464</v>
      </c>
      <c r="K1745" s="445" t="s">
        <v>2220</v>
      </c>
      <c r="L1745" s="471">
        <v>1</v>
      </c>
      <c r="M1745" s="447" t="s">
        <v>3519</v>
      </c>
      <c r="N1745" s="457">
        <v>117000</v>
      </c>
      <c r="O1745" s="475">
        <f t="shared" si="6"/>
        <v>117000</v>
      </c>
      <c r="P1745" s="476"/>
      <c r="Q1745" s="477">
        <v>46023</v>
      </c>
      <c r="R1745" s="476"/>
      <c r="S1745" s="476"/>
    </row>
    <row r="1746" spans="1:19" ht="15.75" customHeight="1" x14ac:dyDescent="0.25">
      <c r="A1746" s="438">
        <v>1743</v>
      </c>
      <c r="B1746" s="470" t="s">
        <v>17</v>
      </c>
      <c r="C1746" s="471" t="s">
        <v>18</v>
      </c>
      <c r="D1746" s="472" t="s">
        <v>19</v>
      </c>
      <c r="E1746" s="448" t="s">
        <v>4085</v>
      </c>
      <c r="F1746" s="448" t="s">
        <v>2985</v>
      </c>
      <c r="G1746" s="452" t="s">
        <v>4043</v>
      </c>
      <c r="H1746" s="439" t="s">
        <v>2219</v>
      </c>
      <c r="I1746" s="474" t="s">
        <v>3457</v>
      </c>
      <c r="J1746" s="474" t="s">
        <v>3464</v>
      </c>
      <c r="K1746" s="445" t="s">
        <v>2220</v>
      </c>
      <c r="L1746" s="471">
        <v>1</v>
      </c>
      <c r="M1746" s="447" t="s">
        <v>3520</v>
      </c>
      <c r="N1746" s="457">
        <v>117000</v>
      </c>
      <c r="O1746" s="475">
        <f t="shared" si="6"/>
        <v>117000</v>
      </c>
      <c r="P1746" s="476"/>
      <c r="Q1746" s="477">
        <v>46023</v>
      </c>
      <c r="R1746" s="476"/>
      <c r="S1746" s="476"/>
    </row>
    <row r="1747" spans="1:19" ht="15.75" customHeight="1" x14ac:dyDescent="0.25">
      <c r="A1747" s="438">
        <v>1744</v>
      </c>
      <c r="B1747" s="470" t="s">
        <v>17</v>
      </c>
      <c r="C1747" s="471" t="s">
        <v>18</v>
      </c>
      <c r="D1747" s="472" t="s">
        <v>19</v>
      </c>
      <c r="E1747" s="448" t="s">
        <v>4085</v>
      </c>
      <c r="F1747" s="450" t="s">
        <v>2985</v>
      </c>
      <c r="G1747" s="452" t="s">
        <v>4029</v>
      </c>
      <c r="H1747" s="442" t="s">
        <v>2221</v>
      </c>
      <c r="I1747" s="474" t="s">
        <v>3457</v>
      </c>
      <c r="J1747" s="474" t="s">
        <v>3464</v>
      </c>
      <c r="K1747" s="445" t="s">
        <v>2060</v>
      </c>
      <c r="L1747" s="471">
        <v>1</v>
      </c>
      <c r="M1747" s="450" t="s">
        <v>3521</v>
      </c>
      <c r="N1747" s="463">
        <v>47600</v>
      </c>
      <c r="O1747" s="475">
        <f t="shared" si="6"/>
        <v>47600</v>
      </c>
      <c r="P1747" s="476"/>
      <c r="Q1747" s="477">
        <v>46023</v>
      </c>
      <c r="R1747" s="476"/>
      <c r="S1747" s="476"/>
    </row>
    <row r="1748" spans="1:19" ht="15.75" customHeight="1" x14ac:dyDescent="0.25">
      <c r="A1748" s="438">
        <v>1745</v>
      </c>
      <c r="B1748" s="470" t="s">
        <v>17</v>
      </c>
      <c r="C1748" s="471" t="s">
        <v>18</v>
      </c>
      <c r="D1748" s="472" t="s">
        <v>19</v>
      </c>
      <c r="E1748" s="448" t="s">
        <v>4085</v>
      </c>
      <c r="F1748" s="448" t="s">
        <v>2985</v>
      </c>
      <c r="G1748" s="452" t="s">
        <v>4029</v>
      </c>
      <c r="H1748" s="442" t="s">
        <v>2221</v>
      </c>
      <c r="I1748" s="474" t="s">
        <v>3457</v>
      </c>
      <c r="J1748" s="474" t="s">
        <v>3464</v>
      </c>
      <c r="K1748" s="445" t="s">
        <v>2060</v>
      </c>
      <c r="L1748" s="471">
        <v>1</v>
      </c>
      <c r="M1748" s="450" t="s">
        <v>3522</v>
      </c>
      <c r="N1748" s="463">
        <v>47600</v>
      </c>
      <c r="O1748" s="475">
        <f t="shared" si="6"/>
        <v>47600</v>
      </c>
      <c r="P1748" s="476"/>
      <c r="Q1748" s="477">
        <v>46023</v>
      </c>
      <c r="R1748" s="476"/>
      <c r="S1748" s="476"/>
    </row>
    <row r="1749" spans="1:19" ht="15.75" customHeight="1" x14ac:dyDescent="0.25">
      <c r="A1749" s="438">
        <v>1746</v>
      </c>
      <c r="B1749" s="470" t="s">
        <v>17</v>
      </c>
      <c r="C1749" s="471" t="s">
        <v>18</v>
      </c>
      <c r="D1749" s="472" t="s">
        <v>19</v>
      </c>
      <c r="E1749" s="448" t="s">
        <v>4085</v>
      </c>
      <c r="F1749" s="448" t="s">
        <v>2985</v>
      </c>
      <c r="G1749" s="452" t="s">
        <v>4029</v>
      </c>
      <c r="H1749" s="442" t="s">
        <v>2222</v>
      </c>
      <c r="I1749" s="474" t="s">
        <v>3457</v>
      </c>
      <c r="J1749" s="474" t="s">
        <v>3464</v>
      </c>
      <c r="K1749" s="445" t="s">
        <v>2060</v>
      </c>
      <c r="L1749" s="471">
        <v>1</v>
      </c>
      <c r="M1749" s="450" t="s">
        <v>3523</v>
      </c>
      <c r="N1749" s="463">
        <v>80900</v>
      </c>
      <c r="O1749" s="475">
        <f t="shared" si="6"/>
        <v>80900</v>
      </c>
      <c r="P1749" s="476"/>
      <c r="Q1749" s="477">
        <v>46023</v>
      </c>
      <c r="R1749" s="476"/>
      <c r="S1749" s="476"/>
    </row>
    <row r="1750" spans="1:19" ht="15.75" customHeight="1" x14ac:dyDescent="0.25">
      <c r="A1750" s="438">
        <v>1747</v>
      </c>
      <c r="B1750" s="470" t="s">
        <v>17</v>
      </c>
      <c r="C1750" s="471" t="s">
        <v>18</v>
      </c>
      <c r="D1750" s="472" t="s">
        <v>19</v>
      </c>
      <c r="E1750" s="448" t="s">
        <v>4085</v>
      </c>
      <c r="F1750" s="448" t="s">
        <v>2985</v>
      </c>
      <c r="G1750" s="452" t="s">
        <v>4029</v>
      </c>
      <c r="H1750" s="442" t="s">
        <v>2222</v>
      </c>
      <c r="I1750" s="474" t="s">
        <v>3457</v>
      </c>
      <c r="J1750" s="474" t="s">
        <v>3464</v>
      </c>
      <c r="K1750" s="445" t="s">
        <v>2060</v>
      </c>
      <c r="L1750" s="471">
        <v>1</v>
      </c>
      <c r="M1750" s="450" t="s">
        <v>3524</v>
      </c>
      <c r="N1750" s="463">
        <v>80900</v>
      </c>
      <c r="O1750" s="475">
        <f t="shared" si="6"/>
        <v>80900</v>
      </c>
      <c r="P1750" s="476"/>
      <c r="Q1750" s="477">
        <v>46023</v>
      </c>
      <c r="R1750" s="476"/>
      <c r="S1750" s="476"/>
    </row>
    <row r="1751" spans="1:19" ht="15.75" customHeight="1" x14ac:dyDescent="0.25">
      <c r="A1751" s="438">
        <v>1748</v>
      </c>
      <c r="B1751" s="470" t="s">
        <v>17</v>
      </c>
      <c r="C1751" s="471" t="s">
        <v>18</v>
      </c>
      <c r="D1751" s="472" t="s">
        <v>19</v>
      </c>
      <c r="E1751" s="448" t="s">
        <v>4085</v>
      </c>
      <c r="F1751" s="448" t="s">
        <v>2985</v>
      </c>
      <c r="G1751" s="452" t="s">
        <v>4029</v>
      </c>
      <c r="H1751" s="441" t="s">
        <v>2222</v>
      </c>
      <c r="I1751" s="474" t="s">
        <v>3457</v>
      </c>
      <c r="J1751" s="474" t="s">
        <v>3464</v>
      </c>
      <c r="K1751" s="443" t="s">
        <v>2060</v>
      </c>
      <c r="L1751" s="471">
        <v>1</v>
      </c>
      <c r="M1751" s="451" t="s">
        <v>3525</v>
      </c>
      <c r="N1751" s="463">
        <v>80900</v>
      </c>
      <c r="O1751" s="475">
        <f t="shared" si="6"/>
        <v>80900</v>
      </c>
      <c r="P1751" s="476"/>
      <c r="Q1751" s="477">
        <v>46023</v>
      </c>
      <c r="R1751" s="476"/>
      <c r="S1751" s="476"/>
    </row>
    <row r="1752" spans="1:19" ht="15.75" customHeight="1" x14ac:dyDescent="0.25">
      <c r="A1752" s="438">
        <v>1749</v>
      </c>
      <c r="B1752" s="470" t="s">
        <v>17</v>
      </c>
      <c r="C1752" s="471" t="s">
        <v>18</v>
      </c>
      <c r="D1752" s="472" t="s">
        <v>19</v>
      </c>
      <c r="E1752" s="448" t="s">
        <v>4081</v>
      </c>
      <c r="F1752" s="448" t="s">
        <v>2989</v>
      </c>
      <c r="G1752" s="473" t="s">
        <v>3896</v>
      </c>
      <c r="H1752" s="439" t="s">
        <v>2223</v>
      </c>
      <c r="I1752" s="474" t="s">
        <v>3457</v>
      </c>
      <c r="J1752" s="474" t="s">
        <v>3463</v>
      </c>
      <c r="K1752" s="443" t="s">
        <v>72</v>
      </c>
      <c r="L1752" s="471">
        <v>1</v>
      </c>
      <c r="M1752" s="447" t="s">
        <v>3526</v>
      </c>
      <c r="N1752" s="456">
        <v>13100</v>
      </c>
      <c r="O1752" s="475">
        <f t="shared" si="6"/>
        <v>13100</v>
      </c>
      <c r="P1752" s="476"/>
      <c r="Q1752" s="477">
        <v>46023</v>
      </c>
      <c r="R1752" s="476"/>
      <c r="S1752" s="476"/>
    </row>
    <row r="1753" spans="1:19" ht="15.75" customHeight="1" x14ac:dyDescent="0.25">
      <c r="A1753" s="438">
        <v>1750</v>
      </c>
      <c r="B1753" s="470" t="s">
        <v>17</v>
      </c>
      <c r="C1753" s="471" t="s">
        <v>18</v>
      </c>
      <c r="D1753" s="472" t="s">
        <v>19</v>
      </c>
      <c r="E1753" s="448" t="s">
        <v>4086</v>
      </c>
      <c r="F1753" s="448" t="s">
        <v>4097</v>
      </c>
      <c r="G1753" s="473" t="s">
        <v>4044</v>
      </c>
      <c r="H1753" s="439" t="s">
        <v>3410</v>
      </c>
      <c r="I1753" s="474" t="s">
        <v>3459</v>
      </c>
      <c r="J1753" s="474" t="s">
        <v>3464</v>
      </c>
      <c r="K1753" s="443" t="s">
        <v>2225</v>
      </c>
      <c r="L1753" s="471">
        <v>1</v>
      </c>
      <c r="M1753" s="447" t="s">
        <v>3527</v>
      </c>
      <c r="N1753" s="456">
        <v>3080</v>
      </c>
      <c r="O1753" s="475">
        <f t="shared" si="6"/>
        <v>3080</v>
      </c>
      <c r="P1753" s="476"/>
      <c r="Q1753" s="477">
        <v>46023</v>
      </c>
      <c r="R1753" s="476"/>
      <c r="S1753" s="476"/>
    </row>
    <row r="1754" spans="1:19" ht="15.75" customHeight="1" x14ac:dyDescent="0.25">
      <c r="A1754" s="438">
        <v>1751</v>
      </c>
      <c r="B1754" s="470" t="s">
        <v>17</v>
      </c>
      <c r="C1754" s="471" t="s">
        <v>18</v>
      </c>
      <c r="D1754" s="472" t="s">
        <v>19</v>
      </c>
      <c r="E1754" s="448" t="s">
        <v>4084</v>
      </c>
      <c r="F1754" s="448" t="s">
        <v>4096</v>
      </c>
      <c r="G1754" s="473" t="s">
        <v>4044</v>
      </c>
      <c r="H1754" s="439" t="s">
        <v>2224</v>
      </c>
      <c r="I1754" s="474" t="s">
        <v>3459</v>
      </c>
      <c r="J1754" s="474" t="s">
        <v>3464</v>
      </c>
      <c r="K1754" s="443" t="s">
        <v>2225</v>
      </c>
      <c r="L1754" s="471">
        <v>1</v>
      </c>
      <c r="M1754" s="447" t="s">
        <v>3528</v>
      </c>
      <c r="N1754" s="456">
        <v>3080</v>
      </c>
      <c r="O1754" s="475">
        <f t="shared" si="6"/>
        <v>3080</v>
      </c>
      <c r="P1754" s="476"/>
      <c r="Q1754" s="477">
        <v>46023</v>
      </c>
      <c r="R1754" s="476"/>
      <c r="S1754" s="476"/>
    </row>
    <row r="1755" spans="1:19" ht="15.75" customHeight="1" x14ac:dyDescent="0.25">
      <c r="A1755" s="438">
        <v>1752</v>
      </c>
      <c r="B1755" s="470" t="s">
        <v>17</v>
      </c>
      <c r="C1755" s="471" t="s">
        <v>18</v>
      </c>
      <c r="D1755" s="472" t="s">
        <v>19</v>
      </c>
      <c r="E1755" s="448" t="s">
        <v>4084</v>
      </c>
      <c r="F1755" s="448" t="s">
        <v>4096</v>
      </c>
      <c r="G1755" s="473" t="s">
        <v>4045</v>
      </c>
      <c r="H1755" s="439" t="s">
        <v>2226</v>
      </c>
      <c r="I1755" s="474" t="s">
        <v>3459</v>
      </c>
      <c r="J1755" s="474" t="s">
        <v>3464</v>
      </c>
      <c r="K1755" s="443" t="s">
        <v>2227</v>
      </c>
      <c r="L1755" s="471">
        <v>1</v>
      </c>
      <c r="M1755" s="447" t="s">
        <v>3529</v>
      </c>
      <c r="N1755" s="456">
        <v>246399.99999999997</v>
      </c>
      <c r="O1755" s="475">
        <f t="shared" si="6"/>
        <v>246399.99999999997</v>
      </c>
      <c r="P1755" s="476"/>
      <c r="Q1755" s="477">
        <v>46023</v>
      </c>
      <c r="R1755" s="476"/>
      <c r="S1755" s="476"/>
    </row>
    <row r="1756" spans="1:19" ht="15.75" customHeight="1" x14ac:dyDescent="0.25">
      <c r="A1756" s="438">
        <v>1753</v>
      </c>
      <c r="B1756" s="470" t="s">
        <v>17</v>
      </c>
      <c r="C1756" s="471" t="s">
        <v>18</v>
      </c>
      <c r="D1756" s="472" t="s">
        <v>19</v>
      </c>
      <c r="E1756" s="448" t="s">
        <v>4085</v>
      </c>
      <c r="F1756" s="448" t="s">
        <v>2985</v>
      </c>
      <c r="G1756" s="473" t="s">
        <v>4042</v>
      </c>
      <c r="H1756" s="439" t="s">
        <v>2228</v>
      </c>
      <c r="I1756" s="474" t="s">
        <v>3457</v>
      </c>
      <c r="J1756" s="474" t="s">
        <v>3463</v>
      </c>
      <c r="K1756" s="443" t="s">
        <v>2217</v>
      </c>
      <c r="L1756" s="471">
        <v>1</v>
      </c>
      <c r="M1756" s="447" t="s">
        <v>3530</v>
      </c>
      <c r="N1756" s="456">
        <v>11396</v>
      </c>
      <c r="O1756" s="475">
        <f t="shared" si="6"/>
        <v>11396</v>
      </c>
      <c r="P1756" s="476"/>
      <c r="Q1756" s="477">
        <v>46023</v>
      </c>
      <c r="R1756" s="476"/>
      <c r="S1756" s="476"/>
    </row>
    <row r="1757" spans="1:19" ht="15.75" customHeight="1" x14ac:dyDescent="0.25">
      <c r="A1757" s="438">
        <v>1754</v>
      </c>
      <c r="B1757" s="470" t="s">
        <v>17</v>
      </c>
      <c r="C1757" s="471" t="s">
        <v>18</v>
      </c>
      <c r="D1757" s="472" t="s">
        <v>19</v>
      </c>
      <c r="E1757" s="448" t="s">
        <v>4085</v>
      </c>
      <c r="F1757" s="448" t="s">
        <v>2985</v>
      </c>
      <c r="G1757" s="473" t="s">
        <v>4042</v>
      </c>
      <c r="H1757" s="439" t="s">
        <v>2228</v>
      </c>
      <c r="I1757" s="474" t="s">
        <v>3457</v>
      </c>
      <c r="J1757" s="474" t="s">
        <v>3463</v>
      </c>
      <c r="K1757" s="439" t="s">
        <v>2217</v>
      </c>
      <c r="L1757" s="471">
        <v>1</v>
      </c>
      <c r="M1757" s="447" t="s">
        <v>3531</v>
      </c>
      <c r="N1757" s="456">
        <v>11396</v>
      </c>
      <c r="O1757" s="475">
        <f t="shared" si="6"/>
        <v>11396</v>
      </c>
      <c r="P1757" s="476"/>
      <c r="Q1757" s="477">
        <v>46023</v>
      </c>
      <c r="R1757" s="476"/>
      <c r="S1757" s="476"/>
    </row>
    <row r="1758" spans="1:19" ht="15.75" customHeight="1" x14ac:dyDescent="0.25">
      <c r="A1758" s="438">
        <v>1755</v>
      </c>
      <c r="B1758" s="470" t="s">
        <v>17</v>
      </c>
      <c r="C1758" s="471" t="s">
        <v>18</v>
      </c>
      <c r="D1758" s="472" t="s">
        <v>19</v>
      </c>
      <c r="E1758" s="448" t="s">
        <v>4085</v>
      </c>
      <c r="F1758" s="448" t="s">
        <v>2985</v>
      </c>
      <c r="G1758" s="473" t="s">
        <v>4042</v>
      </c>
      <c r="H1758" s="439" t="s">
        <v>2228</v>
      </c>
      <c r="I1758" s="474" t="s">
        <v>3457</v>
      </c>
      <c r="J1758" s="474" t="s">
        <v>3463</v>
      </c>
      <c r="K1758" s="439" t="s">
        <v>2217</v>
      </c>
      <c r="L1758" s="471">
        <v>1</v>
      </c>
      <c r="M1758" s="447" t="s">
        <v>3162</v>
      </c>
      <c r="N1758" s="456">
        <v>11396</v>
      </c>
      <c r="O1758" s="475">
        <f t="shared" si="6"/>
        <v>11396</v>
      </c>
      <c r="P1758" s="476"/>
      <c r="Q1758" s="477">
        <v>46023</v>
      </c>
      <c r="R1758" s="476"/>
      <c r="S1758" s="476"/>
    </row>
    <row r="1759" spans="1:19" ht="15.75" customHeight="1" x14ac:dyDescent="0.25">
      <c r="A1759" s="438">
        <v>1756</v>
      </c>
      <c r="B1759" s="470" t="s">
        <v>17</v>
      </c>
      <c r="C1759" s="471" t="s">
        <v>18</v>
      </c>
      <c r="D1759" s="472" t="s">
        <v>19</v>
      </c>
      <c r="E1759" s="448" t="s">
        <v>4082</v>
      </c>
      <c r="F1759" s="448" t="s">
        <v>4082</v>
      </c>
      <c r="G1759" s="473" t="s">
        <v>3992</v>
      </c>
      <c r="H1759" s="439" t="s">
        <v>1305</v>
      </c>
      <c r="I1759" s="474" t="s">
        <v>3457</v>
      </c>
      <c r="J1759" s="474" t="s">
        <v>3463</v>
      </c>
      <c r="K1759" s="439" t="s">
        <v>1306</v>
      </c>
      <c r="L1759" s="471">
        <v>1</v>
      </c>
      <c r="M1759" s="447" t="s">
        <v>3532</v>
      </c>
      <c r="N1759" s="456">
        <v>4600</v>
      </c>
      <c r="O1759" s="475">
        <f t="shared" si="6"/>
        <v>4600</v>
      </c>
      <c r="P1759" s="476"/>
      <c r="Q1759" s="477">
        <v>46023</v>
      </c>
      <c r="R1759" s="476"/>
      <c r="S1759" s="476"/>
    </row>
    <row r="1760" spans="1:19" ht="15.75" customHeight="1" x14ac:dyDescent="0.25">
      <c r="A1760" s="438">
        <v>1757</v>
      </c>
      <c r="B1760" s="470" t="s">
        <v>17</v>
      </c>
      <c r="C1760" s="471" t="s">
        <v>18</v>
      </c>
      <c r="D1760" s="472" t="s">
        <v>19</v>
      </c>
      <c r="E1760" s="448" t="s">
        <v>4085</v>
      </c>
      <c r="F1760" s="448" t="s">
        <v>2982</v>
      </c>
      <c r="G1760" s="473" t="s">
        <v>3989</v>
      </c>
      <c r="H1760" s="439" t="s">
        <v>1244</v>
      </c>
      <c r="I1760" s="474" t="s">
        <v>3457</v>
      </c>
      <c r="J1760" s="474" t="s">
        <v>3463</v>
      </c>
      <c r="K1760" s="439" t="s">
        <v>1245</v>
      </c>
      <c r="L1760" s="471">
        <v>1</v>
      </c>
      <c r="M1760" s="447" t="s">
        <v>3533</v>
      </c>
      <c r="N1760" s="456">
        <v>2975</v>
      </c>
      <c r="O1760" s="475">
        <f t="shared" si="6"/>
        <v>2975</v>
      </c>
      <c r="P1760" s="476"/>
      <c r="Q1760" s="477">
        <v>46023</v>
      </c>
      <c r="R1760" s="476"/>
      <c r="S1760" s="476"/>
    </row>
    <row r="1761" spans="1:19" ht="15.75" customHeight="1" x14ac:dyDescent="0.25">
      <c r="A1761" s="438">
        <v>1758</v>
      </c>
      <c r="B1761" s="470" t="s">
        <v>17</v>
      </c>
      <c r="C1761" s="471" t="s">
        <v>18</v>
      </c>
      <c r="D1761" s="472" t="s">
        <v>19</v>
      </c>
      <c r="E1761" s="448" t="s">
        <v>4085</v>
      </c>
      <c r="F1761" s="448" t="s">
        <v>2982</v>
      </c>
      <c r="G1761" s="473" t="s">
        <v>3989</v>
      </c>
      <c r="H1761" s="439" t="s">
        <v>1244</v>
      </c>
      <c r="I1761" s="474" t="s">
        <v>3457</v>
      </c>
      <c r="J1761" s="474" t="s">
        <v>3463</v>
      </c>
      <c r="K1761" s="439" t="s">
        <v>1245</v>
      </c>
      <c r="L1761" s="471">
        <v>1</v>
      </c>
      <c r="M1761" s="447" t="s">
        <v>3534</v>
      </c>
      <c r="N1761" s="456">
        <v>2975</v>
      </c>
      <c r="O1761" s="475">
        <f t="shared" si="6"/>
        <v>2975</v>
      </c>
      <c r="P1761" s="476"/>
      <c r="Q1761" s="477">
        <v>46023</v>
      </c>
      <c r="R1761" s="476"/>
      <c r="S1761" s="476"/>
    </row>
    <row r="1762" spans="1:19" ht="15.75" customHeight="1" x14ac:dyDescent="0.25">
      <c r="A1762" s="438">
        <v>1759</v>
      </c>
      <c r="B1762" s="470" t="s">
        <v>17</v>
      </c>
      <c r="C1762" s="471" t="s">
        <v>18</v>
      </c>
      <c r="D1762" s="472" t="s">
        <v>19</v>
      </c>
      <c r="E1762" s="448" t="s">
        <v>4085</v>
      </c>
      <c r="F1762" s="448" t="s">
        <v>2982</v>
      </c>
      <c r="G1762" s="473" t="s">
        <v>3989</v>
      </c>
      <c r="H1762" s="439" t="s">
        <v>1244</v>
      </c>
      <c r="I1762" s="474" t="s">
        <v>3457</v>
      </c>
      <c r="J1762" s="474" t="s">
        <v>3463</v>
      </c>
      <c r="K1762" s="439" t="s">
        <v>1245</v>
      </c>
      <c r="L1762" s="471">
        <v>1</v>
      </c>
      <c r="M1762" s="447" t="s">
        <v>3165</v>
      </c>
      <c r="N1762" s="456">
        <v>2975</v>
      </c>
      <c r="O1762" s="475">
        <f t="shared" si="6"/>
        <v>2975</v>
      </c>
      <c r="P1762" s="476"/>
      <c r="Q1762" s="477">
        <v>46023</v>
      </c>
      <c r="R1762" s="476"/>
      <c r="S1762" s="476"/>
    </row>
    <row r="1763" spans="1:19" ht="15.75" customHeight="1" x14ac:dyDescent="0.25">
      <c r="A1763" s="438">
        <v>1760</v>
      </c>
      <c r="B1763" s="470" t="s">
        <v>17</v>
      </c>
      <c r="C1763" s="471" t="s">
        <v>18</v>
      </c>
      <c r="D1763" s="472" t="s">
        <v>19</v>
      </c>
      <c r="E1763" s="448" t="s">
        <v>4085</v>
      </c>
      <c r="F1763" s="448" t="s">
        <v>2982</v>
      </c>
      <c r="G1763" s="473" t="s">
        <v>3989</v>
      </c>
      <c r="H1763" s="439" t="s">
        <v>1244</v>
      </c>
      <c r="I1763" s="474" t="s">
        <v>3457</v>
      </c>
      <c r="J1763" s="474" t="s">
        <v>3463</v>
      </c>
      <c r="K1763" s="439" t="s">
        <v>1245</v>
      </c>
      <c r="L1763" s="471">
        <v>1</v>
      </c>
      <c r="M1763" s="447" t="s">
        <v>3535</v>
      </c>
      <c r="N1763" s="456">
        <v>2975</v>
      </c>
      <c r="O1763" s="475">
        <f t="shared" si="6"/>
        <v>2975</v>
      </c>
      <c r="P1763" s="476"/>
      <c r="Q1763" s="477">
        <v>46023</v>
      </c>
      <c r="R1763" s="476"/>
      <c r="S1763" s="476"/>
    </row>
    <row r="1764" spans="1:19" ht="15.75" customHeight="1" x14ac:dyDescent="0.25">
      <c r="A1764" s="438">
        <v>1761</v>
      </c>
      <c r="B1764" s="470" t="s">
        <v>17</v>
      </c>
      <c r="C1764" s="471" t="s">
        <v>18</v>
      </c>
      <c r="D1764" s="472" t="s">
        <v>19</v>
      </c>
      <c r="E1764" s="448" t="s">
        <v>4085</v>
      </c>
      <c r="F1764" s="448" t="s">
        <v>2982</v>
      </c>
      <c r="G1764" s="473" t="s">
        <v>3989</v>
      </c>
      <c r="H1764" s="439" t="s">
        <v>1244</v>
      </c>
      <c r="I1764" s="474" t="s">
        <v>3457</v>
      </c>
      <c r="J1764" s="474" t="s">
        <v>3463</v>
      </c>
      <c r="K1764" s="439" t="s">
        <v>1245</v>
      </c>
      <c r="L1764" s="471">
        <v>1</v>
      </c>
      <c r="M1764" s="447" t="s">
        <v>3120</v>
      </c>
      <c r="N1764" s="456">
        <v>2975</v>
      </c>
      <c r="O1764" s="475">
        <f t="shared" si="6"/>
        <v>2975</v>
      </c>
      <c r="P1764" s="476"/>
      <c r="Q1764" s="477">
        <v>46023</v>
      </c>
      <c r="R1764" s="476"/>
      <c r="S1764" s="476"/>
    </row>
    <row r="1765" spans="1:19" ht="15.75" customHeight="1" x14ac:dyDescent="0.25">
      <c r="A1765" s="438">
        <v>1762</v>
      </c>
      <c r="B1765" s="470" t="s">
        <v>17</v>
      </c>
      <c r="C1765" s="471" t="s">
        <v>18</v>
      </c>
      <c r="D1765" s="472" t="s">
        <v>19</v>
      </c>
      <c r="E1765" s="448" t="s">
        <v>4085</v>
      </c>
      <c r="F1765" s="448" t="s">
        <v>2982</v>
      </c>
      <c r="G1765" s="473" t="s">
        <v>3989</v>
      </c>
      <c r="H1765" s="439" t="s">
        <v>1244</v>
      </c>
      <c r="I1765" s="474" t="s">
        <v>3457</v>
      </c>
      <c r="J1765" s="474" t="s">
        <v>3463</v>
      </c>
      <c r="K1765" s="439" t="s">
        <v>1245</v>
      </c>
      <c r="L1765" s="471">
        <v>1</v>
      </c>
      <c r="M1765" s="447" t="s">
        <v>3536</v>
      </c>
      <c r="N1765" s="456">
        <v>2975</v>
      </c>
      <c r="O1765" s="475">
        <f t="shared" si="6"/>
        <v>2975</v>
      </c>
      <c r="P1765" s="476"/>
      <c r="Q1765" s="477">
        <v>46023</v>
      </c>
      <c r="R1765" s="476"/>
      <c r="S1765" s="476"/>
    </row>
    <row r="1766" spans="1:19" ht="15.75" customHeight="1" x14ac:dyDescent="0.25">
      <c r="A1766" s="438">
        <v>1763</v>
      </c>
      <c r="B1766" s="470" t="s">
        <v>17</v>
      </c>
      <c r="C1766" s="471" t="s">
        <v>18</v>
      </c>
      <c r="D1766" s="472" t="s">
        <v>19</v>
      </c>
      <c r="E1766" s="465" t="s">
        <v>4085</v>
      </c>
      <c r="F1766" s="448" t="s">
        <v>2982</v>
      </c>
      <c r="G1766" s="473" t="s">
        <v>3989</v>
      </c>
      <c r="H1766" s="439" t="s">
        <v>1244</v>
      </c>
      <c r="I1766" s="474" t="s">
        <v>3457</v>
      </c>
      <c r="J1766" s="474" t="s">
        <v>3463</v>
      </c>
      <c r="K1766" s="443" t="s">
        <v>1245</v>
      </c>
      <c r="L1766" s="471">
        <v>1</v>
      </c>
      <c r="M1766" s="447" t="s">
        <v>3537</v>
      </c>
      <c r="N1766" s="456">
        <v>2975</v>
      </c>
      <c r="O1766" s="475">
        <f t="shared" si="6"/>
        <v>2975</v>
      </c>
      <c r="P1766" s="476"/>
      <c r="Q1766" s="477">
        <v>46023</v>
      </c>
      <c r="R1766" s="476"/>
      <c r="S1766" s="476"/>
    </row>
    <row r="1767" spans="1:19" ht="15.75" customHeight="1" x14ac:dyDescent="0.25">
      <c r="A1767" s="438">
        <v>1764</v>
      </c>
      <c r="B1767" s="470" t="s">
        <v>17</v>
      </c>
      <c r="C1767" s="471" t="s">
        <v>18</v>
      </c>
      <c r="D1767" s="472" t="s">
        <v>19</v>
      </c>
      <c r="E1767" s="448" t="s">
        <v>3047</v>
      </c>
      <c r="F1767" s="448" t="s">
        <v>3047</v>
      </c>
      <c r="G1767" s="473" t="s">
        <v>3048</v>
      </c>
      <c r="H1767" s="439" t="s">
        <v>2229</v>
      </c>
      <c r="I1767" s="474" t="s">
        <v>3457</v>
      </c>
      <c r="J1767" s="474" t="s">
        <v>3464</v>
      </c>
      <c r="K1767" s="439" t="s">
        <v>2230</v>
      </c>
      <c r="L1767" s="471">
        <v>1</v>
      </c>
      <c r="M1767" s="447" t="s">
        <v>3046</v>
      </c>
      <c r="N1767" s="456">
        <v>125000</v>
      </c>
      <c r="O1767" s="475">
        <f t="shared" si="6"/>
        <v>125000</v>
      </c>
      <c r="P1767" s="476"/>
      <c r="Q1767" s="477">
        <v>46023</v>
      </c>
      <c r="R1767" s="476"/>
      <c r="S1767" s="476"/>
    </row>
    <row r="1768" spans="1:19" ht="15.75" customHeight="1" x14ac:dyDescent="0.25">
      <c r="A1768" s="438">
        <v>1765</v>
      </c>
      <c r="B1768" s="470" t="s">
        <v>17</v>
      </c>
      <c r="C1768" s="471" t="s">
        <v>18</v>
      </c>
      <c r="D1768" s="472" t="s">
        <v>19</v>
      </c>
      <c r="E1768" s="448" t="s">
        <v>3047</v>
      </c>
      <c r="F1768" s="448" t="s">
        <v>3047</v>
      </c>
      <c r="G1768" s="473" t="s">
        <v>3048</v>
      </c>
      <c r="H1768" s="439" t="s">
        <v>2229</v>
      </c>
      <c r="I1768" s="474" t="s">
        <v>3457</v>
      </c>
      <c r="J1768" s="474" t="s">
        <v>3464</v>
      </c>
      <c r="K1768" s="439" t="s">
        <v>2230</v>
      </c>
      <c r="L1768" s="471">
        <v>1</v>
      </c>
      <c r="M1768" s="447" t="s">
        <v>3108</v>
      </c>
      <c r="N1768" s="456">
        <v>125000</v>
      </c>
      <c r="O1768" s="475">
        <f t="shared" si="6"/>
        <v>125000</v>
      </c>
      <c r="P1768" s="476"/>
      <c r="Q1768" s="477">
        <v>46023</v>
      </c>
      <c r="R1768" s="476"/>
      <c r="S1768" s="476"/>
    </row>
    <row r="1769" spans="1:19" ht="15.75" customHeight="1" x14ac:dyDescent="0.25">
      <c r="A1769" s="438">
        <v>1766</v>
      </c>
      <c r="B1769" s="470" t="s">
        <v>17</v>
      </c>
      <c r="C1769" s="471" t="s">
        <v>18</v>
      </c>
      <c r="D1769" s="472" t="s">
        <v>19</v>
      </c>
      <c r="E1769" s="448" t="s">
        <v>3047</v>
      </c>
      <c r="F1769" s="448" t="s">
        <v>3047</v>
      </c>
      <c r="G1769" s="473" t="s">
        <v>3048</v>
      </c>
      <c r="H1769" s="439" t="s">
        <v>2231</v>
      </c>
      <c r="I1769" s="474" t="s">
        <v>3457</v>
      </c>
      <c r="J1769" s="474" t="s">
        <v>3464</v>
      </c>
      <c r="K1769" s="443" t="s">
        <v>2230</v>
      </c>
      <c r="L1769" s="471">
        <v>1</v>
      </c>
      <c r="M1769" s="447" t="s">
        <v>3538</v>
      </c>
      <c r="N1769" s="456">
        <v>43000</v>
      </c>
      <c r="O1769" s="475">
        <f t="shared" si="6"/>
        <v>43000</v>
      </c>
      <c r="P1769" s="476"/>
      <c r="Q1769" s="477">
        <v>46023</v>
      </c>
      <c r="R1769" s="476"/>
      <c r="S1769" s="476"/>
    </row>
    <row r="1770" spans="1:19" ht="15.75" customHeight="1" x14ac:dyDescent="0.25">
      <c r="A1770" s="438">
        <v>1767</v>
      </c>
      <c r="B1770" s="470" t="s">
        <v>17</v>
      </c>
      <c r="C1770" s="471" t="s">
        <v>18</v>
      </c>
      <c r="D1770" s="472" t="s">
        <v>19</v>
      </c>
      <c r="E1770" s="448" t="s">
        <v>3047</v>
      </c>
      <c r="F1770" s="448" t="s">
        <v>3047</v>
      </c>
      <c r="G1770" s="473" t="s">
        <v>3048</v>
      </c>
      <c r="H1770" s="439" t="s">
        <v>2232</v>
      </c>
      <c r="I1770" s="474" t="s">
        <v>3457</v>
      </c>
      <c r="J1770" s="474" t="s">
        <v>3464</v>
      </c>
      <c r="K1770" s="443" t="s">
        <v>2230</v>
      </c>
      <c r="L1770" s="471">
        <v>1</v>
      </c>
      <c r="M1770" s="447" t="s">
        <v>3539</v>
      </c>
      <c r="N1770" s="456">
        <v>5800</v>
      </c>
      <c r="O1770" s="475">
        <f t="shared" si="6"/>
        <v>5800</v>
      </c>
      <c r="P1770" s="476"/>
      <c r="Q1770" s="477">
        <v>46023</v>
      </c>
      <c r="R1770" s="476"/>
      <c r="S1770" s="476"/>
    </row>
    <row r="1771" spans="1:19" ht="15.75" customHeight="1" x14ac:dyDescent="0.25">
      <c r="A1771" s="438">
        <v>1768</v>
      </c>
      <c r="B1771" s="470" t="s">
        <v>17</v>
      </c>
      <c r="C1771" s="471" t="s">
        <v>18</v>
      </c>
      <c r="D1771" s="472" t="s">
        <v>19</v>
      </c>
      <c r="E1771" s="448" t="s">
        <v>4088</v>
      </c>
      <c r="F1771" s="448" t="s">
        <v>4105</v>
      </c>
      <c r="G1771" s="473" t="s">
        <v>3971</v>
      </c>
      <c r="H1771" s="439" t="s">
        <v>1059</v>
      </c>
      <c r="I1771" s="474" t="s">
        <v>3458</v>
      </c>
      <c r="J1771" s="474" t="s">
        <v>3464</v>
      </c>
      <c r="K1771" s="443" t="s">
        <v>1060</v>
      </c>
      <c r="L1771" s="471">
        <v>1</v>
      </c>
      <c r="M1771" s="447" t="s">
        <v>3540</v>
      </c>
      <c r="N1771" s="456">
        <v>6000</v>
      </c>
      <c r="O1771" s="475">
        <f t="shared" si="6"/>
        <v>6000</v>
      </c>
      <c r="P1771" s="476"/>
      <c r="Q1771" s="477">
        <v>46023</v>
      </c>
      <c r="R1771" s="476"/>
      <c r="S1771" s="476"/>
    </row>
    <row r="1772" spans="1:19" ht="15.75" customHeight="1" x14ac:dyDescent="0.25">
      <c r="A1772" s="438">
        <v>1769</v>
      </c>
      <c r="B1772" s="470" t="s">
        <v>17</v>
      </c>
      <c r="C1772" s="471" t="s">
        <v>18</v>
      </c>
      <c r="D1772" s="472" t="s">
        <v>19</v>
      </c>
      <c r="E1772" s="448" t="s">
        <v>4088</v>
      </c>
      <c r="F1772" s="448" t="s">
        <v>4105</v>
      </c>
      <c r="G1772" s="473" t="s">
        <v>4046</v>
      </c>
      <c r="H1772" s="439" t="s">
        <v>2233</v>
      </c>
      <c r="I1772" s="474" t="s">
        <v>3458</v>
      </c>
      <c r="J1772" s="474" t="s">
        <v>3464</v>
      </c>
      <c r="K1772" s="443" t="s">
        <v>3481</v>
      </c>
      <c r="L1772" s="471">
        <v>1</v>
      </c>
      <c r="M1772" s="447" t="s">
        <v>3541</v>
      </c>
      <c r="N1772" s="456">
        <v>7670</v>
      </c>
      <c r="O1772" s="475">
        <f t="shared" si="6"/>
        <v>7670</v>
      </c>
      <c r="P1772" s="476"/>
      <c r="Q1772" s="477">
        <v>46023</v>
      </c>
      <c r="R1772" s="476"/>
      <c r="S1772" s="476"/>
    </row>
    <row r="1773" spans="1:19" ht="15.75" customHeight="1" x14ac:dyDescent="0.25">
      <c r="A1773" s="438">
        <v>1770</v>
      </c>
      <c r="B1773" s="470" t="s">
        <v>17</v>
      </c>
      <c r="C1773" s="471" t="s">
        <v>18</v>
      </c>
      <c r="D1773" s="472" t="s">
        <v>19</v>
      </c>
      <c r="E1773" s="448" t="s">
        <v>4088</v>
      </c>
      <c r="F1773" s="448" t="s">
        <v>3025</v>
      </c>
      <c r="G1773" s="473" t="s">
        <v>3058</v>
      </c>
      <c r="H1773" s="439" t="s">
        <v>861</v>
      </c>
      <c r="I1773" s="474" t="s">
        <v>3459</v>
      </c>
      <c r="J1773" s="474" t="s">
        <v>3464</v>
      </c>
      <c r="K1773" s="443" t="s">
        <v>729</v>
      </c>
      <c r="L1773" s="471">
        <v>1</v>
      </c>
      <c r="M1773" s="447" t="s">
        <v>2234</v>
      </c>
      <c r="N1773" s="456">
        <v>15500</v>
      </c>
      <c r="O1773" s="475">
        <f t="shared" si="6"/>
        <v>15500</v>
      </c>
      <c r="P1773" s="476"/>
      <c r="Q1773" s="477">
        <v>46023</v>
      </c>
      <c r="R1773" s="476"/>
      <c r="S1773" s="476"/>
    </row>
    <row r="1774" spans="1:19" ht="15.75" customHeight="1" x14ac:dyDescent="0.25">
      <c r="A1774" s="438">
        <v>1771</v>
      </c>
      <c r="B1774" s="470" t="s">
        <v>17</v>
      </c>
      <c r="C1774" s="471" t="s">
        <v>18</v>
      </c>
      <c r="D1774" s="472" t="s">
        <v>19</v>
      </c>
      <c r="E1774" s="448" t="s">
        <v>4086</v>
      </c>
      <c r="F1774" s="448" t="s">
        <v>4097</v>
      </c>
      <c r="G1774" s="473" t="s">
        <v>3947</v>
      </c>
      <c r="H1774" s="439" t="s">
        <v>2235</v>
      </c>
      <c r="I1774" s="474" t="s">
        <v>3459</v>
      </c>
      <c r="J1774" s="474" t="s">
        <v>3464</v>
      </c>
      <c r="K1774" s="443" t="s">
        <v>905</v>
      </c>
      <c r="L1774" s="471">
        <v>1</v>
      </c>
      <c r="M1774" s="447" t="s">
        <v>3542</v>
      </c>
      <c r="N1774" s="456">
        <v>45860</v>
      </c>
      <c r="O1774" s="475">
        <f t="shared" si="6"/>
        <v>45860</v>
      </c>
      <c r="P1774" s="476"/>
      <c r="Q1774" s="477">
        <v>46023</v>
      </c>
      <c r="R1774" s="476"/>
      <c r="S1774" s="476"/>
    </row>
    <row r="1775" spans="1:19" ht="15.75" customHeight="1" x14ac:dyDescent="0.25">
      <c r="A1775" s="438">
        <v>1772</v>
      </c>
      <c r="B1775" s="470" t="s">
        <v>17</v>
      </c>
      <c r="C1775" s="471" t="s">
        <v>18</v>
      </c>
      <c r="D1775" s="472" t="s">
        <v>19</v>
      </c>
      <c r="E1775" s="448" t="s">
        <v>4085</v>
      </c>
      <c r="F1775" s="448" t="s">
        <v>2985</v>
      </c>
      <c r="G1775" s="473" t="s">
        <v>4047</v>
      </c>
      <c r="H1775" s="439" t="s">
        <v>3411</v>
      </c>
      <c r="I1775" s="474" t="s">
        <v>3459</v>
      </c>
      <c r="J1775" s="474" t="s">
        <v>3464</v>
      </c>
      <c r="K1775" s="443" t="s">
        <v>2236</v>
      </c>
      <c r="L1775" s="471">
        <v>1</v>
      </c>
      <c r="M1775" s="447" t="s">
        <v>3543</v>
      </c>
      <c r="N1775" s="456">
        <v>58450</v>
      </c>
      <c r="O1775" s="475">
        <f t="shared" si="6"/>
        <v>58450</v>
      </c>
      <c r="P1775" s="476"/>
      <c r="Q1775" s="477">
        <v>46023</v>
      </c>
      <c r="R1775" s="476"/>
      <c r="S1775" s="476"/>
    </row>
    <row r="1776" spans="1:19" ht="15.75" customHeight="1" x14ac:dyDescent="0.25">
      <c r="A1776" s="438">
        <v>1773</v>
      </c>
      <c r="B1776" s="470" t="s">
        <v>17</v>
      </c>
      <c r="C1776" s="471" t="s">
        <v>18</v>
      </c>
      <c r="D1776" s="472" t="s">
        <v>19</v>
      </c>
      <c r="E1776" s="448" t="s">
        <v>4085</v>
      </c>
      <c r="F1776" s="448" t="s">
        <v>2985</v>
      </c>
      <c r="G1776" s="473" t="s">
        <v>4047</v>
      </c>
      <c r="H1776" s="439" t="s">
        <v>3411</v>
      </c>
      <c r="I1776" s="474" t="s">
        <v>3459</v>
      </c>
      <c r="J1776" s="474" t="s">
        <v>3464</v>
      </c>
      <c r="K1776" s="443" t="s">
        <v>2236</v>
      </c>
      <c r="L1776" s="471">
        <v>1</v>
      </c>
      <c r="M1776" s="447" t="s">
        <v>3544</v>
      </c>
      <c r="N1776" s="456">
        <v>58450</v>
      </c>
      <c r="O1776" s="475">
        <f t="shared" si="6"/>
        <v>58450</v>
      </c>
      <c r="P1776" s="476"/>
      <c r="Q1776" s="477">
        <v>46023</v>
      </c>
      <c r="R1776" s="476"/>
      <c r="S1776" s="476"/>
    </row>
    <row r="1777" spans="1:19" ht="15.75" customHeight="1" x14ac:dyDescent="0.25">
      <c r="A1777" s="438">
        <v>1774</v>
      </c>
      <c r="B1777" s="470" t="s">
        <v>17</v>
      </c>
      <c r="C1777" s="471" t="s">
        <v>18</v>
      </c>
      <c r="D1777" s="472" t="s">
        <v>19</v>
      </c>
      <c r="E1777" s="448" t="s">
        <v>4085</v>
      </c>
      <c r="F1777" s="448" t="s">
        <v>2985</v>
      </c>
      <c r="G1777" s="473" t="s">
        <v>4047</v>
      </c>
      <c r="H1777" s="439" t="s">
        <v>3411</v>
      </c>
      <c r="I1777" s="474" t="s">
        <v>3459</v>
      </c>
      <c r="J1777" s="474" t="s">
        <v>3464</v>
      </c>
      <c r="K1777" s="443" t="s">
        <v>2236</v>
      </c>
      <c r="L1777" s="471">
        <v>1</v>
      </c>
      <c r="M1777" s="447" t="s">
        <v>3545</v>
      </c>
      <c r="N1777" s="456">
        <v>58450</v>
      </c>
      <c r="O1777" s="475">
        <f t="shared" si="6"/>
        <v>58450</v>
      </c>
      <c r="P1777" s="476"/>
      <c r="Q1777" s="477">
        <v>46023</v>
      </c>
      <c r="R1777" s="476"/>
      <c r="S1777" s="476"/>
    </row>
    <row r="1778" spans="1:19" ht="15.75" customHeight="1" x14ac:dyDescent="0.25">
      <c r="A1778" s="438">
        <v>1775</v>
      </c>
      <c r="B1778" s="470" t="s">
        <v>17</v>
      </c>
      <c r="C1778" s="471" t="s">
        <v>18</v>
      </c>
      <c r="D1778" s="472" t="s">
        <v>19</v>
      </c>
      <c r="E1778" s="448" t="s">
        <v>4084</v>
      </c>
      <c r="F1778" s="448" t="s">
        <v>4096</v>
      </c>
      <c r="G1778" s="473" t="s">
        <v>4047</v>
      </c>
      <c r="H1778" s="439" t="s">
        <v>3411</v>
      </c>
      <c r="I1778" s="474" t="s">
        <v>3459</v>
      </c>
      <c r="J1778" s="474" t="s">
        <v>3464</v>
      </c>
      <c r="K1778" s="443" t="s">
        <v>2236</v>
      </c>
      <c r="L1778" s="471">
        <v>1</v>
      </c>
      <c r="M1778" s="447" t="s">
        <v>3546</v>
      </c>
      <c r="N1778" s="456">
        <v>58450</v>
      </c>
      <c r="O1778" s="475">
        <f t="shared" si="6"/>
        <v>58450</v>
      </c>
      <c r="P1778" s="476"/>
      <c r="Q1778" s="477">
        <v>46023</v>
      </c>
      <c r="R1778" s="476"/>
      <c r="S1778" s="476"/>
    </row>
    <row r="1779" spans="1:19" ht="15.75" customHeight="1" x14ac:dyDescent="0.25">
      <c r="A1779" s="438">
        <v>1776</v>
      </c>
      <c r="B1779" s="470" t="s">
        <v>17</v>
      </c>
      <c r="C1779" s="471" t="s">
        <v>18</v>
      </c>
      <c r="D1779" s="472" t="s">
        <v>19</v>
      </c>
      <c r="E1779" s="448" t="s">
        <v>4091</v>
      </c>
      <c r="F1779" s="448" t="s">
        <v>3024</v>
      </c>
      <c r="G1779" s="473" t="s">
        <v>3058</v>
      </c>
      <c r="H1779" s="439" t="s">
        <v>819</v>
      </c>
      <c r="I1779" s="474" t="s">
        <v>3459</v>
      </c>
      <c r="J1779" s="474" t="s">
        <v>3464</v>
      </c>
      <c r="K1779" s="443" t="s">
        <v>729</v>
      </c>
      <c r="L1779" s="471">
        <v>1</v>
      </c>
      <c r="M1779" s="447" t="s">
        <v>3121</v>
      </c>
      <c r="N1779" s="456">
        <v>19200</v>
      </c>
      <c r="O1779" s="475">
        <f t="shared" si="6"/>
        <v>19200</v>
      </c>
      <c r="P1779" s="476"/>
      <c r="Q1779" s="477">
        <v>46023</v>
      </c>
      <c r="R1779" s="476"/>
      <c r="S1779" s="476"/>
    </row>
    <row r="1780" spans="1:19" ht="15.75" customHeight="1" x14ac:dyDescent="0.25">
      <c r="A1780" s="438">
        <v>1777</v>
      </c>
      <c r="B1780" s="470" t="s">
        <v>17</v>
      </c>
      <c r="C1780" s="471" t="s">
        <v>18</v>
      </c>
      <c r="D1780" s="472" t="s">
        <v>19</v>
      </c>
      <c r="E1780" s="448" t="s">
        <v>4091</v>
      </c>
      <c r="F1780" s="448" t="s">
        <v>3024</v>
      </c>
      <c r="G1780" s="473" t="s">
        <v>3058</v>
      </c>
      <c r="H1780" s="439" t="s">
        <v>819</v>
      </c>
      <c r="I1780" s="474" t="s">
        <v>3459</v>
      </c>
      <c r="J1780" s="474" t="s">
        <v>3464</v>
      </c>
      <c r="K1780" s="443" t="s">
        <v>729</v>
      </c>
      <c r="L1780" s="471">
        <v>1</v>
      </c>
      <c r="M1780" s="447" t="s">
        <v>3135</v>
      </c>
      <c r="N1780" s="456">
        <v>19200</v>
      </c>
      <c r="O1780" s="475">
        <f t="shared" si="6"/>
        <v>19200</v>
      </c>
      <c r="P1780" s="476"/>
      <c r="Q1780" s="477">
        <v>46023</v>
      </c>
      <c r="R1780" s="476"/>
      <c r="S1780" s="476"/>
    </row>
    <row r="1781" spans="1:19" ht="15.75" customHeight="1" x14ac:dyDescent="0.25">
      <c r="A1781" s="438">
        <v>1778</v>
      </c>
      <c r="B1781" s="470" t="s">
        <v>17</v>
      </c>
      <c r="C1781" s="471" t="s">
        <v>18</v>
      </c>
      <c r="D1781" s="472" t="s">
        <v>19</v>
      </c>
      <c r="E1781" s="448" t="s">
        <v>4091</v>
      </c>
      <c r="F1781" s="448" t="s">
        <v>3024</v>
      </c>
      <c r="G1781" s="473" t="s">
        <v>3058</v>
      </c>
      <c r="H1781" s="439" t="s">
        <v>819</v>
      </c>
      <c r="I1781" s="474" t="s">
        <v>3459</v>
      </c>
      <c r="J1781" s="474" t="s">
        <v>3464</v>
      </c>
      <c r="K1781" s="443" t="s">
        <v>729</v>
      </c>
      <c r="L1781" s="471">
        <v>1</v>
      </c>
      <c r="M1781" s="447" t="s">
        <v>3547</v>
      </c>
      <c r="N1781" s="456">
        <v>19200</v>
      </c>
      <c r="O1781" s="475">
        <f t="shared" si="6"/>
        <v>19200</v>
      </c>
      <c r="P1781" s="476"/>
      <c r="Q1781" s="477">
        <v>46023</v>
      </c>
      <c r="R1781" s="476"/>
      <c r="S1781" s="476"/>
    </row>
    <row r="1782" spans="1:19" ht="15.75" customHeight="1" x14ac:dyDescent="0.25">
      <c r="A1782" s="438">
        <v>1779</v>
      </c>
      <c r="B1782" s="470" t="s">
        <v>17</v>
      </c>
      <c r="C1782" s="471" t="s">
        <v>18</v>
      </c>
      <c r="D1782" s="472" t="s">
        <v>19</v>
      </c>
      <c r="E1782" s="448" t="s">
        <v>4091</v>
      </c>
      <c r="F1782" s="448" t="s">
        <v>3024</v>
      </c>
      <c r="G1782" s="473" t="s">
        <v>3058</v>
      </c>
      <c r="H1782" s="439" t="s">
        <v>819</v>
      </c>
      <c r="I1782" s="474" t="s">
        <v>3459</v>
      </c>
      <c r="J1782" s="474" t="s">
        <v>3464</v>
      </c>
      <c r="K1782" s="443" t="s">
        <v>729</v>
      </c>
      <c r="L1782" s="471">
        <v>1</v>
      </c>
      <c r="M1782" s="447" t="s">
        <v>3548</v>
      </c>
      <c r="N1782" s="456">
        <v>19200</v>
      </c>
      <c r="O1782" s="475">
        <f t="shared" si="6"/>
        <v>19200</v>
      </c>
      <c r="P1782" s="476"/>
      <c r="Q1782" s="477">
        <v>46023</v>
      </c>
      <c r="R1782" s="476"/>
      <c r="S1782" s="476"/>
    </row>
    <row r="1783" spans="1:19" ht="15.75" customHeight="1" x14ac:dyDescent="0.25">
      <c r="A1783" s="438">
        <v>1780</v>
      </c>
      <c r="B1783" s="470" t="s">
        <v>17</v>
      </c>
      <c r="C1783" s="471" t="s">
        <v>18</v>
      </c>
      <c r="D1783" s="472" t="s">
        <v>19</v>
      </c>
      <c r="E1783" s="448" t="s">
        <v>4085</v>
      </c>
      <c r="F1783" s="448" t="s">
        <v>3026</v>
      </c>
      <c r="G1783" s="473" t="s">
        <v>3058</v>
      </c>
      <c r="H1783" s="439" t="s">
        <v>803</v>
      </c>
      <c r="I1783" s="474" t="s">
        <v>3459</v>
      </c>
      <c r="J1783" s="474" t="s">
        <v>3464</v>
      </c>
      <c r="K1783" s="443" t="s">
        <v>729</v>
      </c>
      <c r="L1783" s="471">
        <v>1</v>
      </c>
      <c r="M1783" s="447" t="s">
        <v>3549</v>
      </c>
      <c r="N1783" s="456">
        <v>32900</v>
      </c>
      <c r="O1783" s="475">
        <f t="shared" si="6"/>
        <v>32900</v>
      </c>
      <c r="P1783" s="476"/>
      <c r="Q1783" s="477">
        <v>46023</v>
      </c>
      <c r="R1783" s="476"/>
      <c r="S1783" s="476"/>
    </row>
    <row r="1784" spans="1:19" ht="15.75" customHeight="1" x14ac:dyDescent="0.25">
      <c r="A1784" s="438">
        <v>1781</v>
      </c>
      <c r="B1784" s="470" t="s">
        <v>17</v>
      </c>
      <c r="C1784" s="471" t="s">
        <v>18</v>
      </c>
      <c r="D1784" s="472" t="s">
        <v>19</v>
      </c>
      <c r="E1784" s="448" t="s">
        <v>4085</v>
      </c>
      <c r="F1784" s="448" t="s">
        <v>3026</v>
      </c>
      <c r="G1784" s="473" t="s">
        <v>3058</v>
      </c>
      <c r="H1784" s="439" t="s">
        <v>803</v>
      </c>
      <c r="I1784" s="474" t="s">
        <v>3459</v>
      </c>
      <c r="J1784" s="474" t="s">
        <v>3464</v>
      </c>
      <c r="K1784" s="443" t="s">
        <v>729</v>
      </c>
      <c r="L1784" s="471">
        <v>1</v>
      </c>
      <c r="M1784" s="447" t="s">
        <v>2983</v>
      </c>
      <c r="N1784" s="456">
        <v>32900</v>
      </c>
      <c r="O1784" s="475">
        <f t="shared" si="6"/>
        <v>32900</v>
      </c>
      <c r="P1784" s="476"/>
      <c r="Q1784" s="477">
        <v>46023</v>
      </c>
      <c r="R1784" s="476"/>
      <c r="S1784" s="476"/>
    </row>
    <row r="1785" spans="1:19" ht="15.75" customHeight="1" x14ac:dyDescent="0.25">
      <c r="A1785" s="438">
        <v>1782</v>
      </c>
      <c r="B1785" s="470" t="s">
        <v>17</v>
      </c>
      <c r="C1785" s="471" t="s">
        <v>18</v>
      </c>
      <c r="D1785" s="472" t="s">
        <v>19</v>
      </c>
      <c r="E1785" s="448" t="s">
        <v>4085</v>
      </c>
      <c r="F1785" s="448" t="s">
        <v>3026</v>
      </c>
      <c r="G1785" s="473" t="s">
        <v>3058</v>
      </c>
      <c r="H1785" s="439" t="s">
        <v>803</v>
      </c>
      <c r="I1785" s="474" t="s">
        <v>3459</v>
      </c>
      <c r="J1785" s="474" t="s">
        <v>3464</v>
      </c>
      <c r="K1785" s="443" t="s">
        <v>729</v>
      </c>
      <c r="L1785" s="471">
        <v>1</v>
      </c>
      <c r="M1785" s="447" t="s">
        <v>3067</v>
      </c>
      <c r="N1785" s="456">
        <v>32900</v>
      </c>
      <c r="O1785" s="475">
        <f t="shared" si="6"/>
        <v>32900</v>
      </c>
      <c r="P1785" s="476"/>
      <c r="Q1785" s="477">
        <v>46023</v>
      </c>
      <c r="R1785" s="476"/>
      <c r="S1785" s="476"/>
    </row>
    <row r="1786" spans="1:19" ht="15.75" customHeight="1" x14ac:dyDescent="0.25">
      <c r="A1786" s="438">
        <v>1783</v>
      </c>
      <c r="B1786" s="470" t="s">
        <v>17</v>
      </c>
      <c r="C1786" s="471" t="s">
        <v>18</v>
      </c>
      <c r="D1786" s="472" t="s">
        <v>19</v>
      </c>
      <c r="E1786" s="448" t="s">
        <v>4085</v>
      </c>
      <c r="F1786" s="448" t="s">
        <v>3026</v>
      </c>
      <c r="G1786" s="473" t="s">
        <v>3058</v>
      </c>
      <c r="H1786" s="439" t="s">
        <v>803</v>
      </c>
      <c r="I1786" s="474" t="s">
        <v>3459</v>
      </c>
      <c r="J1786" s="474" t="s">
        <v>3464</v>
      </c>
      <c r="K1786" s="443" t="s">
        <v>729</v>
      </c>
      <c r="L1786" s="471">
        <v>1</v>
      </c>
      <c r="M1786" s="447" t="s">
        <v>2984</v>
      </c>
      <c r="N1786" s="456">
        <v>32900</v>
      </c>
      <c r="O1786" s="475">
        <f t="shared" si="6"/>
        <v>32900</v>
      </c>
      <c r="P1786" s="476"/>
      <c r="Q1786" s="477">
        <v>46023</v>
      </c>
      <c r="R1786" s="476"/>
      <c r="S1786" s="476"/>
    </row>
    <row r="1787" spans="1:19" ht="15.75" customHeight="1" x14ac:dyDescent="0.25">
      <c r="A1787" s="438">
        <v>1784</v>
      </c>
      <c r="B1787" s="470" t="s">
        <v>17</v>
      </c>
      <c r="C1787" s="471" t="s">
        <v>18</v>
      </c>
      <c r="D1787" s="472" t="s">
        <v>19</v>
      </c>
      <c r="E1787" s="448" t="s">
        <v>4085</v>
      </c>
      <c r="F1787" s="448" t="s">
        <v>3026</v>
      </c>
      <c r="G1787" s="473" t="s">
        <v>3058</v>
      </c>
      <c r="H1787" s="439" t="s">
        <v>803</v>
      </c>
      <c r="I1787" s="474" t="s">
        <v>3459</v>
      </c>
      <c r="J1787" s="474" t="s">
        <v>3464</v>
      </c>
      <c r="K1787" s="443" t="s">
        <v>729</v>
      </c>
      <c r="L1787" s="471">
        <v>1</v>
      </c>
      <c r="M1787" s="447" t="s">
        <v>3550</v>
      </c>
      <c r="N1787" s="456">
        <v>32900</v>
      </c>
      <c r="O1787" s="475">
        <f t="shared" si="6"/>
        <v>32900</v>
      </c>
      <c r="P1787" s="476"/>
      <c r="Q1787" s="477">
        <v>46023</v>
      </c>
      <c r="R1787" s="476"/>
      <c r="S1787" s="476"/>
    </row>
    <row r="1788" spans="1:19" ht="15.75" customHeight="1" x14ac:dyDescent="0.25">
      <c r="A1788" s="438">
        <v>1785</v>
      </c>
      <c r="B1788" s="470" t="s">
        <v>17</v>
      </c>
      <c r="C1788" s="471" t="s">
        <v>18</v>
      </c>
      <c r="D1788" s="472" t="s">
        <v>19</v>
      </c>
      <c r="E1788" s="448" t="s">
        <v>4085</v>
      </c>
      <c r="F1788" s="448" t="s">
        <v>3026</v>
      </c>
      <c r="G1788" s="473" t="s">
        <v>3058</v>
      </c>
      <c r="H1788" s="439" t="s">
        <v>803</v>
      </c>
      <c r="I1788" s="474" t="s">
        <v>3459</v>
      </c>
      <c r="J1788" s="474" t="s">
        <v>3464</v>
      </c>
      <c r="K1788" s="443" t="s">
        <v>729</v>
      </c>
      <c r="L1788" s="471">
        <v>1</v>
      </c>
      <c r="M1788" s="447" t="s">
        <v>3551</v>
      </c>
      <c r="N1788" s="456">
        <v>32900</v>
      </c>
      <c r="O1788" s="475">
        <f t="shared" si="6"/>
        <v>32900</v>
      </c>
      <c r="P1788" s="476"/>
      <c r="Q1788" s="477">
        <v>46023</v>
      </c>
      <c r="R1788" s="476"/>
      <c r="S1788" s="476"/>
    </row>
    <row r="1789" spans="1:19" ht="15.75" customHeight="1" x14ac:dyDescent="0.25">
      <c r="A1789" s="438">
        <v>1786</v>
      </c>
      <c r="B1789" s="470" t="s">
        <v>17</v>
      </c>
      <c r="C1789" s="471" t="s">
        <v>18</v>
      </c>
      <c r="D1789" s="472" t="s">
        <v>19</v>
      </c>
      <c r="E1789" s="448" t="s">
        <v>4085</v>
      </c>
      <c r="F1789" s="448" t="s">
        <v>3026</v>
      </c>
      <c r="G1789" s="473" t="s">
        <v>3058</v>
      </c>
      <c r="H1789" s="439" t="s">
        <v>803</v>
      </c>
      <c r="I1789" s="474" t="s">
        <v>3459</v>
      </c>
      <c r="J1789" s="474" t="s">
        <v>3464</v>
      </c>
      <c r="K1789" s="443" t="s">
        <v>729</v>
      </c>
      <c r="L1789" s="471">
        <v>1</v>
      </c>
      <c r="M1789" s="447" t="s">
        <v>3552</v>
      </c>
      <c r="N1789" s="456">
        <v>32900</v>
      </c>
      <c r="O1789" s="475">
        <f t="shared" ref="O1789:O2043" si="7">N1789*L1789</f>
        <v>32900</v>
      </c>
      <c r="P1789" s="476"/>
      <c r="Q1789" s="477">
        <v>46023</v>
      </c>
      <c r="R1789" s="476"/>
      <c r="S1789" s="476"/>
    </row>
    <row r="1790" spans="1:19" ht="15.75" customHeight="1" x14ac:dyDescent="0.25">
      <c r="A1790" s="438">
        <v>1787</v>
      </c>
      <c r="B1790" s="470" t="s">
        <v>17</v>
      </c>
      <c r="C1790" s="471" t="s">
        <v>18</v>
      </c>
      <c r="D1790" s="472" t="s">
        <v>19</v>
      </c>
      <c r="E1790" s="448" t="s">
        <v>4085</v>
      </c>
      <c r="F1790" s="448" t="s">
        <v>3026</v>
      </c>
      <c r="G1790" s="473" t="s">
        <v>3058</v>
      </c>
      <c r="H1790" s="439" t="s">
        <v>803</v>
      </c>
      <c r="I1790" s="474" t="s">
        <v>3459</v>
      </c>
      <c r="J1790" s="474" t="s">
        <v>3464</v>
      </c>
      <c r="K1790" s="443" t="s">
        <v>729</v>
      </c>
      <c r="L1790" s="471">
        <v>1</v>
      </c>
      <c r="M1790" s="447" t="s">
        <v>3553</v>
      </c>
      <c r="N1790" s="456">
        <v>32900</v>
      </c>
      <c r="O1790" s="475">
        <f t="shared" si="7"/>
        <v>32900</v>
      </c>
      <c r="P1790" s="476"/>
      <c r="Q1790" s="477">
        <v>46023</v>
      </c>
      <c r="R1790" s="476"/>
      <c r="S1790" s="476"/>
    </row>
    <row r="1791" spans="1:19" ht="15.75" customHeight="1" x14ac:dyDescent="0.25">
      <c r="A1791" s="438">
        <v>1788</v>
      </c>
      <c r="B1791" s="470" t="s">
        <v>17</v>
      </c>
      <c r="C1791" s="471" t="s">
        <v>18</v>
      </c>
      <c r="D1791" s="472" t="s">
        <v>19</v>
      </c>
      <c r="E1791" s="448" t="s">
        <v>4085</v>
      </c>
      <c r="F1791" s="448" t="s">
        <v>3026</v>
      </c>
      <c r="G1791" s="473" t="s">
        <v>3058</v>
      </c>
      <c r="H1791" s="439" t="s">
        <v>803</v>
      </c>
      <c r="I1791" s="474" t="s">
        <v>3459</v>
      </c>
      <c r="J1791" s="474" t="s">
        <v>3464</v>
      </c>
      <c r="K1791" s="443" t="s">
        <v>729</v>
      </c>
      <c r="L1791" s="471">
        <v>1</v>
      </c>
      <c r="M1791" s="447" t="s">
        <v>3554</v>
      </c>
      <c r="N1791" s="456">
        <v>32900</v>
      </c>
      <c r="O1791" s="475">
        <f t="shared" si="7"/>
        <v>32900</v>
      </c>
      <c r="P1791" s="476"/>
      <c r="Q1791" s="477">
        <v>46023</v>
      </c>
      <c r="R1791" s="476"/>
      <c r="S1791" s="476"/>
    </row>
    <row r="1792" spans="1:19" ht="15.75" customHeight="1" x14ac:dyDescent="0.25">
      <c r="A1792" s="438">
        <v>1789</v>
      </c>
      <c r="B1792" s="470" t="s">
        <v>17</v>
      </c>
      <c r="C1792" s="471" t="s">
        <v>18</v>
      </c>
      <c r="D1792" s="472" t="s">
        <v>19</v>
      </c>
      <c r="E1792" s="448" t="s">
        <v>4085</v>
      </c>
      <c r="F1792" s="448" t="s">
        <v>3026</v>
      </c>
      <c r="G1792" s="473" t="s">
        <v>3058</v>
      </c>
      <c r="H1792" s="439" t="s">
        <v>803</v>
      </c>
      <c r="I1792" s="474" t="s">
        <v>3459</v>
      </c>
      <c r="J1792" s="474" t="s">
        <v>3464</v>
      </c>
      <c r="K1792" s="443" t="s">
        <v>729</v>
      </c>
      <c r="L1792" s="471">
        <v>1</v>
      </c>
      <c r="M1792" s="447" t="s">
        <v>3555</v>
      </c>
      <c r="N1792" s="456">
        <v>32900</v>
      </c>
      <c r="O1792" s="475">
        <f t="shared" si="7"/>
        <v>32900</v>
      </c>
      <c r="P1792" s="476"/>
      <c r="Q1792" s="477">
        <v>46023</v>
      </c>
      <c r="R1792" s="476"/>
      <c r="S1792" s="476"/>
    </row>
    <row r="1793" spans="1:19" ht="15.75" customHeight="1" x14ac:dyDescent="0.25">
      <c r="A1793" s="438">
        <v>1790</v>
      </c>
      <c r="B1793" s="470" t="s">
        <v>17</v>
      </c>
      <c r="C1793" s="471" t="s">
        <v>18</v>
      </c>
      <c r="D1793" s="472" t="s">
        <v>19</v>
      </c>
      <c r="E1793" s="448" t="s">
        <v>4085</v>
      </c>
      <c r="F1793" s="448" t="s">
        <v>3026</v>
      </c>
      <c r="G1793" s="473" t="s">
        <v>3058</v>
      </c>
      <c r="H1793" s="439" t="s">
        <v>803</v>
      </c>
      <c r="I1793" s="474" t="s">
        <v>3459</v>
      </c>
      <c r="J1793" s="474" t="s">
        <v>3464</v>
      </c>
      <c r="K1793" s="443" t="s">
        <v>729</v>
      </c>
      <c r="L1793" s="471">
        <v>1</v>
      </c>
      <c r="M1793" s="447" t="s">
        <v>3556</v>
      </c>
      <c r="N1793" s="456">
        <v>32900</v>
      </c>
      <c r="O1793" s="475">
        <f t="shared" si="7"/>
        <v>32900</v>
      </c>
      <c r="P1793" s="476"/>
      <c r="Q1793" s="477">
        <v>46023</v>
      </c>
      <c r="R1793" s="476"/>
      <c r="S1793" s="476"/>
    </row>
    <row r="1794" spans="1:19" ht="15.75" customHeight="1" x14ac:dyDescent="0.25">
      <c r="A1794" s="438">
        <v>1791</v>
      </c>
      <c r="B1794" s="470" t="s">
        <v>17</v>
      </c>
      <c r="C1794" s="471" t="s">
        <v>18</v>
      </c>
      <c r="D1794" s="472" t="s">
        <v>19</v>
      </c>
      <c r="E1794" s="448" t="s">
        <v>4085</v>
      </c>
      <c r="F1794" s="448" t="s">
        <v>3026</v>
      </c>
      <c r="G1794" s="473" t="s">
        <v>3058</v>
      </c>
      <c r="H1794" s="439" t="s">
        <v>803</v>
      </c>
      <c r="I1794" s="474" t="s">
        <v>3459</v>
      </c>
      <c r="J1794" s="474" t="s">
        <v>3464</v>
      </c>
      <c r="K1794" s="443" t="s">
        <v>729</v>
      </c>
      <c r="L1794" s="471">
        <v>1</v>
      </c>
      <c r="M1794" s="447" t="s">
        <v>3557</v>
      </c>
      <c r="N1794" s="456">
        <v>32900</v>
      </c>
      <c r="O1794" s="475">
        <f t="shared" si="7"/>
        <v>32900</v>
      </c>
      <c r="P1794" s="476"/>
      <c r="Q1794" s="477">
        <v>46023</v>
      </c>
      <c r="R1794" s="476"/>
      <c r="S1794" s="476"/>
    </row>
    <row r="1795" spans="1:19" ht="15.75" customHeight="1" x14ac:dyDescent="0.25">
      <c r="A1795" s="438">
        <v>1792</v>
      </c>
      <c r="B1795" s="470" t="s">
        <v>17</v>
      </c>
      <c r="C1795" s="471" t="s">
        <v>18</v>
      </c>
      <c r="D1795" s="472" t="s">
        <v>19</v>
      </c>
      <c r="E1795" s="448" t="s">
        <v>4085</v>
      </c>
      <c r="F1795" s="448" t="s">
        <v>3026</v>
      </c>
      <c r="G1795" s="452" t="s">
        <v>3058</v>
      </c>
      <c r="H1795" s="439" t="s">
        <v>803</v>
      </c>
      <c r="I1795" s="438" t="s">
        <v>3459</v>
      </c>
      <c r="J1795" s="438" t="s">
        <v>3464</v>
      </c>
      <c r="K1795" s="439" t="s">
        <v>729</v>
      </c>
      <c r="L1795" s="471">
        <v>1</v>
      </c>
      <c r="M1795" s="447" t="s">
        <v>3558</v>
      </c>
      <c r="N1795" s="456">
        <v>32900</v>
      </c>
      <c r="O1795" s="475">
        <f t="shared" si="7"/>
        <v>32900</v>
      </c>
      <c r="P1795" s="476"/>
      <c r="Q1795" s="477">
        <v>46023</v>
      </c>
      <c r="R1795" s="476"/>
      <c r="S1795" s="476"/>
    </row>
    <row r="1796" spans="1:19" ht="15.75" customHeight="1" x14ac:dyDescent="0.25">
      <c r="A1796" s="438">
        <v>1793</v>
      </c>
      <c r="B1796" s="470" t="s">
        <v>17</v>
      </c>
      <c r="C1796" s="471" t="s">
        <v>18</v>
      </c>
      <c r="D1796" s="472" t="s">
        <v>19</v>
      </c>
      <c r="E1796" s="448" t="s">
        <v>4085</v>
      </c>
      <c r="F1796" s="448" t="s">
        <v>2985</v>
      </c>
      <c r="G1796" s="473" t="s">
        <v>3058</v>
      </c>
      <c r="H1796" s="439" t="s">
        <v>803</v>
      </c>
      <c r="I1796" s="474" t="s">
        <v>3459</v>
      </c>
      <c r="J1796" s="474" t="s">
        <v>3464</v>
      </c>
      <c r="K1796" s="443" t="s">
        <v>729</v>
      </c>
      <c r="L1796" s="471">
        <v>1</v>
      </c>
      <c r="M1796" s="447" t="s">
        <v>3559</v>
      </c>
      <c r="N1796" s="456">
        <v>32900</v>
      </c>
      <c r="O1796" s="475">
        <f t="shared" si="7"/>
        <v>32900</v>
      </c>
      <c r="P1796" s="476"/>
      <c r="Q1796" s="477">
        <v>46023</v>
      </c>
      <c r="R1796" s="476"/>
      <c r="S1796" s="476"/>
    </row>
    <row r="1797" spans="1:19" ht="15.75" customHeight="1" x14ac:dyDescent="0.25">
      <c r="A1797" s="438">
        <v>1794</v>
      </c>
      <c r="B1797" s="470" t="s">
        <v>17</v>
      </c>
      <c r="C1797" s="471" t="s">
        <v>18</v>
      </c>
      <c r="D1797" s="472" t="s">
        <v>19</v>
      </c>
      <c r="E1797" s="448" t="s">
        <v>4085</v>
      </c>
      <c r="F1797" s="448" t="s">
        <v>4117</v>
      </c>
      <c r="G1797" s="473" t="s">
        <v>3058</v>
      </c>
      <c r="H1797" s="439" t="s">
        <v>803</v>
      </c>
      <c r="I1797" s="474" t="s">
        <v>3459</v>
      </c>
      <c r="J1797" s="474" t="s">
        <v>3464</v>
      </c>
      <c r="K1797" s="443" t="s">
        <v>729</v>
      </c>
      <c r="L1797" s="471">
        <v>1</v>
      </c>
      <c r="M1797" s="447" t="s">
        <v>3560</v>
      </c>
      <c r="N1797" s="456">
        <v>32900</v>
      </c>
      <c r="O1797" s="475">
        <f t="shared" si="7"/>
        <v>32900</v>
      </c>
      <c r="P1797" s="476"/>
      <c r="Q1797" s="477">
        <v>46023</v>
      </c>
      <c r="R1797" s="476"/>
      <c r="S1797" s="476"/>
    </row>
    <row r="1798" spans="1:19" ht="15.75" customHeight="1" x14ac:dyDescent="0.25">
      <c r="A1798" s="438">
        <v>1795</v>
      </c>
      <c r="B1798" s="470" t="s">
        <v>17</v>
      </c>
      <c r="C1798" s="471" t="s">
        <v>18</v>
      </c>
      <c r="D1798" s="472" t="s">
        <v>19</v>
      </c>
      <c r="E1798" s="448" t="s">
        <v>4085</v>
      </c>
      <c r="F1798" s="448" t="s">
        <v>2985</v>
      </c>
      <c r="G1798" s="473" t="s">
        <v>3058</v>
      </c>
      <c r="H1798" s="439" t="s">
        <v>803</v>
      </c>
      <c r="I1798" s="474" t="s">
        <v>3459</v>
      </c>
      <c r="J1798" s="474" t="s">
        <v>3464</v>
      </c>
      <c r="K1798" s="443" t="s">
        <v>729</v>
      </c>
      <c r="L1798" s="471">
        <v>1</v>
      </c>
      <c r="M1798" s="447" t="s">
        <v>3561</v>
      </c>
      <c r="N1798" s="456">
        <v>32900</v>
      </c>
      <c r="O1798" s="475">
        <f t="shared" si="7"/>
        <v>32900</v>
      </c>
      <c r="P1798" s="476"/>
      <c r="Q1798" s="477">
        <v>46023</v>
      </c>
      <c r="R1798" s="476"/>
      <c r="S1798" s="476"/>
    </row>
    <row r="1799" spans="1:19" ht="15.75" customHeight="1" x14ac:dyDescent="0.25">
      <c r="A1799" s="438">
        <v>1796</v>
      </c>
      <c r="B1799" s="470" t="s">
        <v>17</v>
      </c>
      <c r="C1799" s="471" t="s">
        <v>18</v>
      </c>
      <c r="D1799" s="472" t="s">
        <v>19</v>
      </c>
      <c r="E1799" s="448" t="s">
        <v>4085</v>
      </c>
      <c r="F1799" s="448" t="s">
        <v>2985</v>
      </c>
      <c r="G1799" s="473" t="s">
        <v>3058</v>
      </c>
      <c r="H1799" s="439" t="s">
        <v>803</v>
      </c>
      <c r="I1799" s="474" t="s">
        <v>3459</v>
      </c>
      <c r="J1799" s="474" t="s">
        <v>3464</v>
      </c>
      <c r="K1799" s="443" t="s">
        <v>729</v>
      </c>
      <c r="L1799" s="471">
        <v>1</v>
      </c>
      <c r="M1799" s="447" t="s">
        <v>3562</v>
      </c>
      <c r="N1799" s="456">
        <v>32900</v>
      </c>
      <c r="O1799" s="475">
        <f t="shared" si="7"/>
        <v>32900</v>
      </c>
      <c r="P1799" s="476"/>
      <c r="Q1799" s="477">
        <v>46023</v>
      </c>
      <c r="R1799" s="476"/>
      <c r="S1799" s="476"/>
    </row>
    <row r="1800" spans="1:19" ht="15.75" customHeight="1" x14ac:dyDescent="0.25">
      <c r="A1800" s="438">
        <v>1797</v>
      </c>
      <c r="B1800" s="470" t="s">
        <v>17</v>
      </c>
      <c r="C1800" s="471" t="s">
        <v>18</v>
      </c>
      <c r="D1800" s="472" t="s">
        <v>19</v>
      </c>
      <c r="E1800" s="448" t="s">
        <v>4085</v>
      </c>
      <c r="F1800" s="448" t="s">
        <v>2985</v>
      </c>
      <c r="G1800" s="473" t="s">
        <v>3058</v>
      </c>
      <c r="H1800" s="439" t="s">
        <v>803</v>
      </c>
      <c r="I1800" s="474" t="s">
        <v>3459</v>
      </c>
      <c r="J1800" s="474" t="s">
        <v>3464</v>
      </c>
      <c r="K1800" s="443" t="s">
        <v>729</v>
      </c>
      <c r="L1800" s="471">
        <v>1</v>
      </c>
      <c r="M1800" s="447" t="s">
        <v>3563</v>
      </c>
      <c r="N1800" s="456">
        <v>32900</v>
      </c>
      <c r="O1800" s="475">
        <f t="shared" si="7"/>
        <v>32900</v>
      </c>
      <c r="P1800" s="476"/>
      <c r="Q1800" s="477">
        <v>46023</v>
      </c>
      <c r="R1800" s="476"/>
      <c r="S1800" s="476"/>
    </row>
    <row r="1801" spans="1:19" ht="15.75" customHeight="1" x14ac:dyDescent="0.25">
      <c r="A1801" s="438">
        <v>1798</v>
      </c>
      <c r="B1801" s="470" t="s">
        <v>17</v>
      </c>
      <c r="C1801" s="471" t="s">
        <v>18</v>
      </c>
      <c r="D1801" s="472" t="s">
        <v>19</v>
      </c>
      <c r="E1801" s="448" t="s">
        <v>4085</v>
      </c>
      <c r="F1801" s="448" t="s">
        <v>2985</v>
      </c>
      <c r="G1801" s="473" t="s">
        <v>3058</v>
      </c>
      <c r="H1801" s="439" t="s">
        <v>803</v>
      </c>
      <c r="I1801" s="474" t="s">
        <v>3459</v>
      </c>
      <c r="J1801" s="474" t="s">
        <v>3464</v>
      </c>
      <c r="K1801" s="443" t="s">
        <v>729</v>
      </c>
      <c r="L1801" s="471">
        <v>1</v>
      </c>
      <c r="M1801" s="447" t="s">
        <v>2986</v>
      </c>
      <c r="N1801" s="456">
        <v>32900</v>
      </c>
      <c r="O1801" s="475">
        <f t="shared" si="7"/>
        <v>32900</v>
      </c>
      <c r="P1801" s="476"/>
      <c r="Q1801" s="477">
        <v>46023</v>
      </c>
      <c r="R1801" s="476"/>
      <c r="S1801" s="476"/>
    </row>
    <row r="1802" spans="1:19" ht="15.75" customHeight="1" x14ac:dyDescent="0.25">
      <c r="A1802" s="438">
        <v>1799</v>
      </c>
      <c r="B1802" s="470" t="s">
        <v>17</v>
      </c>
      <c r="C1802" s="471" t="s">
        <v>18</v>
      </c>
      <c r="D1802" s="472" t="s">
        <v>19</v>
      </c>
      <c r="E1802" s="448" t="s">
        <v>4085</v>
      </c>
      <c r="F1802" s="448" t="s">
        <v>2985</v>
      </c>
      <c r="G1802" s="473" t="s">
        <v>3058</v>
      </c>
      <c r="H1802" s="439" t="s">
        <v>803</v>
      </c>
      <c r="I1802" s="474" t="s">
        <v>3459</v>
      </c>
      <c r="J1802" s="474" t="s">
        <v>3464</v>
      </c>
      <c r="K1802" s="443" t="s">
        <v>729</v>
      </c>
      <c r="L1802" s="471">
        <v>1</v>
      </c>
      <c r="M1802" s="447" t="s">
        <v>3564</v>
      </c>
      <c r="N1802" s="456">
        <v>32900</v>
      </c>
      <c r="O1802" s="475">
        <f t="shared" si="7"/>
        <v>32900</v>
      </c>
      <c r="P1802" s="476"/>
      <c r="Q1802" s="477">
        <v>46023</v>
      </c>
      <c r="R1802" s="476"/>
      <c r="S1802" s="476"/>
    </row>
    <row r="1803" spans="1:19" ht="15.75" customHeight="1" x14ac:dyDescent="0.25">
      <c r="A1803" s="438">
        <v>1800</v>
      </c>
      <c r="B1803" s="470" t="s">
        <v>17</v>
      </c>
      <c r="C1803" s="471" t="s">
        <v>18</v>
      </c>
      <c r="D1803" s="472" t="s">
        <v>19</v>
      </c>
      <c r="E1803" s="448" t="s">
        <v>4085</v>
      </c>
      <c r="F1803" s="448" t="s">
        <v>2985</v>
      </c>
      <c r="G1803" s="473" t="s">
        <v>3058</v>
      </c>
      <c r="H1803" s="439" t="s">
        <v>803</v>
      </c>
      <c r="I1803" s="474" t="s">
        <v>3459</v>
      </c>
      <c r="J1803" s="474" t="s">
        <v>3464</v>
      </c>
      <c r="K1803" s="443" t="s">
        <v>729</v>
      </c>
      <c r="L1803" s="471">
        <v>1</v>
      </c>
      <c r="M1803" s="447" t="s">
        <v>3565</v>
      </c>
      <c r="N1803" s="456">
        <v>32900</v>
      </c>
      <c r="O1803" s="475">
        <f t="shared" si="7"/>
        <v>32900</v>
      </c>
      <c r="P1803" s="476"/>
      <c r="Q1803" s="477">
        <v>46023</v>
      </c>
      <c r="R1803" s="476"/>
      <c r="S1803" s="476"/>
    </row>
    <row r="1804" spans="1:19" ht="15.75" customHeight="1" x14ac:dyDescent="0.25">
      <c r="A1804" s="438">
        <v>1801</v>
      </c>
      <c r="B1804" s="470" t="s">
        <v>17</v>
      </c>
      <c r="C1804" s="471" t="s">
        <v>18</v>
      </c>
      <c r="D1804" s="472" t="s">
        <v>19</v>
      </c>
      <c r="E1804" s="448" t="s">
        <v>4085</v>
      </c>
      <c r="F1804" s="448" t="s">
        <v>2985</v>
      </c>
      <c r="G1804" s="473" t="s">
        <v>3058</v>
      </c>
      <c r="H1804" s="439" t="s">
        <v>803</v>
      </c>
      <c r="I1804" s="474" t="s">
        <v>3459</v>
      </c>
      <c r="J1804" s="474" t="s">
        <v>3464</v>
      </c>
      <c r="K1804" s="443" t="s">
        <v>729</v>
      </c>
      <c r="L1804" s="471">
        <v>1</v>
      </c>
      <c r="M1804" s="447" t="s">
        <v>2987</v>
      </c>
      <c r="N1804" s="456">
        <v>32900</v>
      </c>
      <c r="O1804" s="475">
        <f t="shared" si="7"/>
        <v>32900</v>
      </c>
      <c r="P1804" s="476"/>
      <c r="Q1804" s="477">
        <v>46023</v>
      </c>
      <c r="R1804" s="476"/>
      <c r="S1804" s="476"/>
    </row>
    <row r="1805" spans="1:19" ht="15.75" customHeight="1" x14ac:dyDescent="0.25">
      <c r="A1805" s="438">
        <v>1802</v>
      </c>
      <c r="B1805" s="470" t="s">
        <v>17</v>
      </c>
      <c r="C1805" s="471" t="s">
        <v>18</v>
      </c>
      <c r="D1805" s="472" t="s">
        <v>19</v>
      </c>
      <c r="E1805" s="448" t="s">
        <v>4089</v>
      </c>
      <c r="F1805" s="448" t="s">
        <v>4108</v>
      </c>
      <c r="G1805" s="473" t="s">
        <v>3937</v>
      </c>
      <c r="H1805" s="439" t="s">
        <v>2238</v>
      </c>
      <c r="I1805" s="474" t="s">
        <v>3459</v>
      </c>
      <c r="J1805" s="474" t="s">
        <v>3464</v>
      </c>
      <c r="K1805" s="443" t="s">
        <v>648</v>
      </c>
      <c r="L1805" s="471">
        <v>1</v>
      </c>
      <c r="M1805" s="447" t="s">
        <v>3566</v>
      </c>
      <c r="N1805" s="456">
        <v>26390</v>
      </c>
      <c r="O1805" s="475">
        <f t="shared" si="7"/>
        <v>26390</v>
      </c>
      <c r="P1805" s="476"/>
      <c r="Q1805" s="477">
        <v>46023</v>
      </c>
      <c r="R1805" s="476"/>
      <c r="S1805" s="476"/>
    </row>
    <row r="1806" spans="1:19" ht="15.75" customHeight="1" x14ac:dyDescent="0.25">
      <c r="A1806" s="438">
        <v>1803</v>
      </c>
      <c r="B1806" s="470" t="s">
        <v>17</v>
      </c>
      <c r="C1806" s="471" t="s">
        <v>18</v>
      </c>
      <c r="D1806" s="472" t="s">
        <v>19</v>
      </c>
      <c r="E1806" s="448" t="s">
        <v>4083</v>
      </c>
      <c r="F1806" s="448" t="s">
        <v>4109</v>
      </c>
      <c r="G1806" s="473" t="s">
        <v>3223</v>
      </c>
      <c r="H1806" s="439" t="s">
        <v>403</v>
      </c>
      <c r="I1806" s="474" t="s">
        <v>3459</v>
      </c>
      <c r="J1806" s="474" t="s">
        <v>3464</v>
      </c>
      <c r="K1806" s="443" t="s">
        <v>404</v>
      </c>
      <c r="L1806" s="471">
        <v>1</v>
      </c>
      <c r="M1806" s="447" t="s">
        <v>3567</v>
      </c>
      <c r="N1806" s="456">
        <v>2750</v>
      </c>
      <c r="O1806" s="475">
        <f t="shared" si="7"/>
        <v>2750</v>
      </c>
      <c r="P1806" s="476"/>
      <c r="Q1806" s="477">
        <v>46023</v>
      </c>
      <c r="R1806" s="476"/>
      <c r="S1806" s="476"/>
    </row>
    <row r="1807" spans="1:19" ht="15.75" customHeight="1" x14ac:dyDescent="0.25">
      <c r="A1807" s="438">
        <v>1804</v>
      </c>
      <c r="B1807" s="470" t="s">
        <v>17</v>
      </c>
      <c r="C1807" s="471" t="s">
        <v>18</v>
      </c>
      <c r="D1807" s="472" t="s">
        <v>19</v>
      </c>
      <c r="E1807" s="448" t="s">
        <v>4086</v>
      </c>
      <c r="F1807" s="448" t="s">
        <v>4112</v>
      </c>
      <c r="G1807" s="473" t="s">
        <v>3926</v>
      </c>
      <c r="H1807" s="439" t="s">
        <v>447</v>
      </c>
      <c r="I1807" s="474" t="s">
        <v>3457</v>
      </c>
      <c r="J1807" s="474" t="s">
        <v>3464</v>
      </c>
      <c r="K1807" s="443" t="s">
        <v>448</v>
      </c>
      <c r="L1807" s="471">
        <v>1</v>
      </c>
      <c r="M1807" s="447" t="s">
        <v>3568</v>
      </c>
      <c r="N1807" s="456">
        <v>10595</v>
      </c>
      <c r="O1807" s="475">
        <f t="shared" si="7"/>
        <v>10595</v>
      </c>
      <c r="P1807" s="476"/>
      <c r="Q1807" s="477">
        <v>46023</v>
      </c>
      <c r="R1807" s="476"/>
      <c r="S1807" s="476"/>
    </row>
    <row r="1808" spans="1:19" ht="15.75" customHeight="1" x14ac:dyDescent="0.25">
      <c r="A1808" s="438">
        <v>1805</v>
      </c>
      <c r="B1808" s="470" t="s">
        <v>17</v>
      </c>
      <c r="C1808" s="471" t="s">
        <v>18</v>
      </c>
      <c r="D1808" s="472" t="s">
        <v>19</v>
      </c>
      <c r="E1808" s="448" t="s">
        <v>4093</v>
      </c>
      <c r="F1808" s="448" t="s">
        <v>4093</v>
      </c>
      <c r="G1808" s="473" t="s">
        <v>3930</v>
      </c>
      <c r="H1808" s="439" t="s">
        <v>2239</v>
      </c>
      <c r="I1808" s="474" t="s">
        <v>3458</v>
      </c>
      <c r="J1808" s="474" t="s">
        <v>3464</v>
      </c>
      <c r="K1808" s="443" t="s">
        <v>475</v>
      </c>
      <c r="L1808" s="471">
        <v>1</v>
      </c>
      <c r="M1808" s="447" t="s">
        <v>3569</v>
      </c>
      <c r="N1808" s="456">
        <v>4000</v>
      </c>
      <c r="O1808" s="475">
        <f t="shared" si="7"/>
        <v>4000</v>
      </c>
      <c r="P1808" s="476"/>
      <c r="Q1808" s="477">
        <v>46023</v>
      </c>
      <c r="R1808" s="476"/>
      <c r="S1808" s="476"/>
    </row>
    <row r="1809" spans="1:19" ht="15.75" customHeight="1" x14ac:dyDescent="0.25">
      <c r="A1809" s="438">
        <v>1806</v>
      </c>
      <c r="B1809" s="470" t="s">
        <v>17</v>
      </c>
      <c r="C1809" s="471" t="s">
        <v>18</v>
      </c>
      <c r="D1809" s="472" t="s">
        <v>19</v>
      </c>
      <c r="E1809" s="448" t="s">
        <v>4083</v>
      </c>
      <c r="F1809" s="448" t="s">
        <v>4109</v>
      </c>
      <c r="G1809" s="473" t="s">
        <v>4048</v>
      </c>
      <c r="H1809" s="439" t="s">
        <v>2240</v>
      </c>
      <c r="I1809" s="474" t="s">
        <v>3459</v>
      </c>
      <c r="J1809" s="474" t="s">
        <v>3463</v>
      </c>
      <c r="K1809" s="443" t="s">
        <v>3482</v>
      </c>
      <c r="L1809" s="471">
        <v>1</v>
      </c>
      <c r="M1809" s="447" t="s">
        <v>3570</v>
      </c>
      <c r="N1809" s="456">
        <v>3000</v>
      </c>
      <c r="O1809" s="475">
        <f t="shared" si="7"/>
        <v>3000</v>
      </c>
      <c r="P1809" s="476"/>
      <c r="Q1809" s="477">
        <v>46023</v>
      </c>
      <c r="R1809" s="476"/>
      <c r="S1809" s="476"/>
    </row>
    <row r="1810" spans="1:19" ht="15.75" customHeight="1" x14ac:dyDescent="0.25">
      <c r="A1810" s="438">
        <v>1807</v>
      </c>
      <c r="B1810" s="470" t="s">
        <v>17</v>
      </c>
      <c r="C1810" s="471" t="s">
        <v>18</v>
      </c>
      <c r="D1810" s="472" t="s">
        <v>19</v>
      </c>
      <c r="E1810" s="448" t="s">
        <v>4084</v>
      </c>
      <c r="F1810" s="448" t="s">
        <v>4096</v>
      </c>
      <c r="G1810" s="473" t="s">
        <v>4049</v>
      </c>
      <c r="H1810" s="439" t="s">
        <v>325</v>
      </c>
      <c r="I1810" s="474" t="s">
        <v>3459</v>
      </c>
      <c r="J1810" s="474" t="s">
        <v>3464</v>
      </c>
      <c r="K1810" s="443" t="s">
        <v>326</v>
      </c>
      <c r="L1810" s="471">
        <v>1</v>
      </c>
      <c r="M1810" s="447" t="s">
        <v>3571</v>
      </c>
      <c r="N1810" s="456">
        <v>26000</v>
      </c>
      <c r="O1810" s="475">
        <f t="shared" si="7"/>
        <v>26000</v>
      </c>
      <c r="P1810" s="476"/>
      <c r="Q1810" s="477">
        <v>46023</v>
      </c>
      <c r="R1810" s="476"/>
      <c r="S1810" s="476"/>
    </row>
    <row r="1811" spans="1:19" ht="15.75" customHeight="1" x14ac:dyDescent="0.25">
      <c r="A1811" s="438">
        <v>1808</v>
      </c>
      <c r="B1811" s="470" t="s">
        <v>17</v>
      </c>
      <c r="C1811" s="471" t="s">
        <v>18</v>
      </c>
      <c r="D1811" s="472" t="s">
        <v>19</v>
      </c>
      <c r="E1811" s="448" t="s">
        <v>4084</v>
      </c>
      <c r="F1811" s="448" t="s">
        <v>4096</v>
      </c>
      <c r="G1811" s="473" t="s">
        <v>4049</v>
      </c>
      <c r="H1811" s="439" t="s">
        <v>325</v>
      </c>
      <c r="I1811" s="474" t="s">
        <v>3459</v>
      </c>
      <c r="J1811" s="474" t="s">
        <v>3464</v>
      </c>
      <c r="K1811" s="443" t="s">
        <v>326</v>
      </c>
      <c r="L1811" s="471">
        <v>1</v>
      </c>
      <c r="M1811" s="447" t="s">
        <v>3572</v>
      </c>
      <c r="N1811" s="456">
        <v>26000</v>
      </c>
      <c r="O1811" s="475">
        <f t="shared" si="7"/>
        <v>26000</v>
      </c>
      <c r="P1811" s="476"/>
      <c r="Q1811" s="477">
        <v>46023</v>
      </c>
      <c r="R1811" s="476"/>
      <c r="S1811" s="476"/>
    </row>
    <row r="1812" spans="1:19" ht="15.75" customHeight="1" x14ac:dyDescent="0.25">
      <c r="A1812" s="438">
        <v>1809</v>
      </c>
      <c r="B1812" s="470" t="s">
        <v>17</v>
      </c>
      <c r="C1812" s="471" t="s">
        <v>18</v>
      </c>
      <c r="D1812" s="472" t="s">
        <v>19</v>
      </c>
      <c r="E1812" s="448" t="s">
        <v>4084</v>
      </c>
      <c r="F1812" s="448" t="s">
        <v>4096</v>
      </c>
      <c r="G1812" s="473" t="s">
        <v>3924</v>
      </c>
      <c r="H1812" s="439" t="s">
        <v>2242</v>
      </c>
      <c r="I1812" s="474" t="s">
        <v>3461</v>
      </c>
      <c r="J1812" s="474" t="s">
        <v>3463</v>
      </c>
      <c r="K1812" s="443" t="s">
        <v>3469</v>
      </c>
      <c r="L1812" s="471">
        <v>1</v>
      </c>
      <c r="M1812" s="447" t="s">
        <v>3573</v>
      </c>
      <c r="N1812" s="456">
        <v>38493</v>
      </c>
      <c r="O1812" s="475">
        <f t="shared" si="7"/>
        <v>38493</v>
      </c>
      <c r="P1812" s="476"/>
      <c r="Q1812" s="477">
        <v>46023</v>
      </c>
      <c r="R1812" s="476"/>
      <c r="S1812" s="476"/>
    </row>
    <row r="1813" spans="1:19" ht="15.75" customHeight="1" x14ac:dyDescent="0.25">
      <c r="A1813" s="438">
        <v>1810</v>
      </c>
      <c r="B1813" s="470" t="s">
        <v>17</v>
      </c>
      <c r="C1813" s="471" t="s">
        <v>18</v>
      </c>
      <c r="D1813" s="472" t="s">
        <v>19</v>
      </c>
      <c r="E1813" s="448" t="s">
        <v>4086</v>
      </c>
      <c r="F1813" s="448" t="s">
        <v>4102</v>
      </c>
      <c r="G1813" s="473" t="s">
        <v>3065</v>
      </c>
      <c r="H1813" s="439" t="s">
        <v>348</v>
      </c>
      <c r="I1813" s="474" t="s">
        <v>3459</v>
      </c>
      <c r="J1813" s="474" t="s">
        <v>3464</v>
      </c>
      <c r="K1813" s="443" t="s">
        <v>349</v>
      </c>
      <c r="L1813" s="471">
        <v>1</v>
      </c>
      <c r="M1813" s="447" t="s">
        <v>3574</v>
      </c>
      <c r="N1813" s="456">
        <v>1855</v>
      </c>
      <c r="O1813" s="475">
        <f t="shared" si="7"/>
        <v>1855</v>
      </c>
      <c r="P1813" s="476"/>
      <c r="Q1813" s="477">
        <v>46023</v>
      </c>
      <c r="R1813" s="476"/>
      <c r="S1813" s="476"/>
    </row>
    <row r="1814" spans="1:19" ht="15.75" customHeight="1" x14ac:dyDescent="0.25">
      <c r="A1814" s="438">
        <v>1811</v>
      </c>
      <c r="B1814" s="470" t="s">
        <v>17</v>
      </c>
      <c r="C1814" s="471" t="s">
        <v>18</v>
      </c>
      <c r="D1814" s="472" t="s">
        <v>19</v>
      </c>
      <c r="E1814" s="448" t="s">
        <v>4088</v>
      </c>
      <c r="F1814" s="448" t="s">
        <v>4105</v>
      </c>
      <c r="G1814" s="473" t="s">
        <v>4050</v>
      </c>
      <c r="H1814" s="439" t="s">
        <v>2243</v>
      </c>
      <c r="I1814" s="474" t="s">
        <v>3458</v>
      </c>
      <c r="J1814" s="474" t="s">
        <v>3464</v>
      </c>
      <c r="K1814" s="443" t="s">
        <v>2244</v>
      </c>
      <c r="L1814" s="471">
        <v>1</v>
      </c>
      <c r="M1814" s="447" t="s">
        <v>3575</v>
      </c>
      <c r="N1814" s="456">
        <v>2300</v>
      </c>
      <c r="O1814" s="475">
        <f t="shared" si="7"/>
        <v>2300</v>
      </c>
      <c r="P1814" s="476"/>
      <c r="Q1814" s="477">
        <v>46023</v>
      </c>
      <c r="R1814" s="476"/>
      <c r="S1814" s="476"/>
    </row>
    <row r="1815" spans="1:19" ht="15.75" customHeight="1" x14ac:dyDescent="0.25">
      <c r="A1815" s="438">
        <v>1812</v>
      </c>
      <c r="B1815" s="470" t="s">
        <v>17</v>
      </c>
      <c r="C1815" s="471" t="s">
        <v>18</v>
      </c>
      <c r="D1815" s="472" t="s">
        <v>19</v>
      </c>
      <c r="E1815" s="448" t="s">
        <v>4081</v>
      </c>
      <c r="F1815" s="448" t="s">
        <v>2989</v>
      </c>
      <c r="G1815" s="473" t="s">
        <v>3899</v>
      </c>
      <c r="H1815" s="439" t="s">
        <v>2245</v>
      </c>
      <c r="I1815" s="474" t="s">
        <v>3457</v>
      </c>
      <c r="J1815" s="474" t="s">
        <v>3464</v>
      </c>
      <c r="K1815" s="443" t="s">
        <v>100</v>
      </c>
      <c r="L1815" s="471">
        <v>1</v>
      </c>
      <c r="M1815" s="447" t="s">
        <v>3576</v>
      </c>
      <c r="N1815" s="456">
        <v>50000</v>
      </c>
      <c r="O1815" s="475">
        <f t="shared" si="7"/>
        <v>50000</v>
      </c>
      <c r="P1815" s="476"/>
      <c r="Q1815" s="477">
        <v>46023</v>
      </c>
      <c r="R1815" s="476"/>
      <c r="S1815" s="476"/>
    </row>
    <row r="1816" spans="1:19" ht="15.75" customHeight="1" x14ac:dyDescent="0.25">
      <c r="A1816" s="438">
        <v>1813</v>
      </c>
      <c r="B1816" s="470" t="s">
        <v>17</v>
      </c>
      <c r="C1816" s="471" t="s">
        <v>18</v>
      </c>
      <c r="D1816" s="472" t="s">
        <v>19</v>
      </c>
      <c r="E1816" s="448" t="s">
        <v>4088</v>
      </c>
      <c r="F1816" s="448" t="s">
        <v>4105</v>
      </c>
      <c r="G1816" s="473" t="s">
        <v>3913</v>
      </c>
      <c r="H1816" s="439" t="s">
        <v>246</v>
      </c>
      <c r="I1816" s="474" t="s">
        <v>3457</v>
      </c>
      <c r="J1816" s="474" t="s">
        <v>3464</v>
      </c>
      <c r="K1816" s="443" t="s">
        <v>242</v>
      </c>
      <c r="L1816" s="471">
        <v>1</v>
      </c>
      <c r="M1816" s="447" t="s">
        <v>3577</v>
      </c>
      <c r="N1816" s="456">
        <v>11160</v>
      </c>
      <c r="O1816" s="475">
        <f t="shared" si="7"/>
        <v>11160</v>
      </c>
      <c r="P1816" s="476"/>
      <c r="Q1816" s="477">
        <v>46023</v>
      </c>
      <c r="R1816" s="476"/>
      <c r="S1816" s="476"/>
    </row>
    <row r="1817" spans="1:19" ht="15.75" customHeight="1" x14ac:dyDescent="0.25">
      <c r="A1817" s="438">
        <v>1814</v>
      </c>
      <c r="B1817" s="470" t="s">
        <v>17</v>
      </c>
      <c r="C1817" s="471" t="s">
        <v>18</v>
      </c>
      <c r="D1817" s="472" t="s">
        <v>19</v>
      </c>
      <c r="E1817" s="448" t="s">
        <v>4084</v>
      </c>
      <c r="F1817" s="448" t="s">
        <v>4096</v>
      </c>
      <c r="G1817" s="473" t="s">
        <v>4051</v>
      </c>
      <c r="H1817" s="439" t="s">
        <v>2246</v>
      </c>
      <c r="I1817" s="474" t="s">
        <v>3459</v>
      </c>
      <c r="J1817" s="474" t="s">
        <v>3464</v>
      </c>
      <c r="K1817" s="443" t="s">
        <v>2247</v>
      </c>
      <c r="L1817" s="471">
        <v>1</v>
      </c>
      <c r="M1817" s="447"/>
      <c r="N1817" s="456">
        <v>148645</v>
      </c>
      <c r="O1817" s="475">
        <f t="shared" si="7"/>
        <v>148645</v>
      </c>
      <c r="P1817" s="476"/>
      <c r="Q1817" s="477">
        <v>46023</v>
      </c>
      <c r="R1817" s="476"/>
      <c r="S1817" s="476"/>
    </row>
    <row r="1818" spans="1:19" ht="15.75" customHeight="1" x14ac:dyDescent="0.25">
      <c r="A1818" s="438">
        <v>1815</v>
      </c>
      <c r="B1818" s="470" t="s">
        <v>17</v>
      </c>
      <c r="C1818" s="471" t="s">
        <v>18</v>
      </c>
      <c r="D1818" s="472" t="s">
        <v>19</v>
      </c>
      <c r="E1818" s="448" t="s">
        <v>4084</v>
      </c>
      <c r="F1818" s="448" t="s">
        <v>4096</v>
      </c>
      <c r="G1818" s="473" t="s">
        <v>4051</v>
      </c>
      <c r="H1818" s="439" t="s">
        <v>2246</v>
      </c>
      <c r="I1818" s="474" t="s">
        <v>3459</v>
      </c>
      <c r="J1818" s="474" t="s">
        <v>3464</v>
      </c>
      <c r="K1818" s="443" t="s">
        <v>2247</v>
      </c>
      <c r="L1818" s="471">
        <v>1</v>
      </c>
      <c r="M1818" s="447"/>
      <c r="N1818" s="456">
        <v>148645</v>
      </c>
      <c r="O1818" s="475">
        <f t="shared" si="7"/>
        <v>148645</v>
      </c>
      <c r="P1818" s="476"/>
      <c r="Q1818" s="477">
        <v>46023</v>
      </c>
      <c r="R1818" s="476"/>
      <c r="S1818" s="476"/>
    </row>
    <row r="1819" spans="1:19" ht="15.75" customHeight="1" x14ac:dyDescent="0.25">
      <c r="A1819" s="438">
        <v>1816</v>
      </c>
      <c r="B1819" s="470" t="s">
        <v>17</v>
      </c>
      <c r="C1819" s="471" t="s">
        <v>18</v>
      </c>
      <c r="D1819" s="472" t="s">
        <v>19</v>
      </c>
      <c r="E1819" s="448" t="s">
        <v>4080</v>
      </c>
      <c r="F1819" s="448" t="s">
        <v>4080</v>
      </c>
      <c r="G1819" s="473" t="s">
        <v>3406</v>
      </c>
      <c r="H1819" s="439" t="s">
        <v>187</v>
      </c>
      <c r="I1819" s="474" t="s">
        <v>3457</v>
      </c>
      <c r="J1819" s="474" t="s">
        <v>3463</v>
      </c>
      <c r="K1819" s="443" t="s">
        <v>176</v>
      </c>
      <c r="L1819" s="471">
        <v>1</v>
      </c>
      <c r="M1819" s="447" t="s">
        <v>3578</v>
      </c>
      <c r="N1819" s="456">
        <v>30000</v>
      </c>
      <c r="O1819" s="475">
        <f t="shared" si="7"/>
        <v>30000</v>
      </c>
      <c r="P1819" s="476"/>
      <c r="Q1819" s="477">
        <v>46023</v>
      </c>
      <c r="R1819" s="476"/>
      <c r="S1819" s="476"/>
    </row>
    <row r="1820" spans="1:19" ht="15.75" customHeight="1" x14ac:dyDescent="0.25">
      <c r="A1820" s="438">
        <v>1817</v>
      </c>
      <c r="B1820" s="470" t="s">
        <v>17</v>
      </c>
      <c r="C1820" s="471" t="s">
        <v>18</v>
      </c>
      <c r="D1820" s="472" t="s">
        <v>19</v>
      </c>
      <c r="E1820" s="448" t="s">
        <v>4084</v>
      </c>
      <c r="F1820" s="448" t="s">
        <v>4096</v>
      </c>
      <c r="G1820" s="473" t="s">
        <v>3406</v>
      </c>
      <c r="H1820" s="439" t="s">
        <v>187</v>
      </c>
      <c r="I1820" s="474" t="s">
        <v>3457</v>
      </c>
      <c r="J1820" s="474" t="s">
        <v>3463</v>
      </c>
      <c r="K1820" s="443" t="s">
        <v>176</v>
      </c>
      <c r="L1820" s="471">
        <v>1</v>
      </c>
      <c r="M1820" s="447" t="s">
        <v>3579</v>
      </c>
      <c r="N1820" s="456">
        <v>30000</v>
      </c>
      <c r="O1820" s="475">
        <f t="shared" si="7"/>
        <v>30000</v>
      </c>
      <c r="P1820" s="476"/>
      <c r="Q1820" s="477">
        <v>46023</v>
      </c>
      <c r="R1820" s="476"/>
      <c r="S1820" s="476"/>
    </row>
    <row r="1821" spans="1:19" ht="15.75" customHeight="1" x14ac:dyDescent="0.25">
      <c r="A1821" s="438">
        <v>1818</v>
      </c>
      <c r="B1821" s="470" t="s">
        <v>17</v>
      </c>
      <c r="C1821" s="471" t="s">
        <v>18</v>
      </c>
      <c r="D1821" s="472" t="s">
        <v>19</v>
      </c>
      <c r="E1821" s="448" t="s">
        <v>4089</v>
      </c>
      <c r="F1821" s="448" t="s">
        <v>4108</v>
      </c>
      <c r="G1821" s="473" t="s">
        <v>3406</v>
      </c>
      <c r="H1821" s="439" t="s">
        <v>187</v>
      </c>
      <c r="I1821" s="474" t="s">
        <v>3457</v>
      </c>
      <c r="J1821" s="474" t="s">
        <v>3463</v>
      </c>
      <c r="K1821" s="443" t="s">
        <v>176</v>
      </c>
      <c r="L1821" s="471">
        <v>1</v>
      </c>
      <c r="M1821" s="447" t="s">
        <v>3580</v>
      </c>
      <c r="N1821" s="456">
        <v>30000</v>
      </c>
      <c r="O1821" s="475">
        <f t="shared" si="7"/>
        <v>30000</v>
      </c>
      <c r="P1821" s="476"/>
      <c r="Q1821" s="477">
        <v>46023</v>
      </c>
      <c r="R1821" s="476"/>
      <c r="S1821" s="476"/>
    </row>
    <row r="1822" spans="1:19" ht="15.75" customHeight="1" x14ac:dyDescent="0.25">
      <c r="A1822" s="438">
        <v>1819</v>
      </c>
      <c r="B1822" s="470" t="s">
        <v>17</v>
      </c>
      <c r="C1822" s="471" t="s">
        <v>18</v>
      </c>
      <c r="D1822" s="472" t="s">
        <v>19</v>
      </c>
      <c r="E1822" s="448" t="s">
        <v>4088</v>
      </c>
      <c r="F1822" s="448" t="s">
        <v>4105</v>
      </c>
      <c r="G1822" s="473" t="s">
        <v>3404</v>
      </c>
      <c r="H1822" s="439" t="s">
        <v>239</v>
      </c>
      <c r="I1822" s="474" t="s">
        <v>3459</v>
      </c>
      <c r="J1822" s="474" t="s">
        <v>3464</v>
      </c>
      <c r="K1822" s="443" t="s">
        <v>225</v>
      </c>
      <c r="L1822" s="471">
        <v>1</v>
      </c>
      <c r="M1822" s="447" t="s">
        <v>235</v>
      </c>
      <c r="N1822" s="456">
        <v>10200</v>
      </c>
      <c r="O1822" s="475">
        <f t="shared" si="7"/>
        <v>10200</v>
      </c>
      <c r="P1822" s="476"/>
      <c r="Q1822" s="477">
        <v>46023</v>
      </c>
      <c r="R1822" s="476"/>
      <c r="S1822" s="476"/>
    </row>
    <row r="1823" spans="1:19" ht="15.75" customHeight="1" x14ac:dyDescent="0.25">
      <c r="A1823" s="438">
        <v>1820</v>
      </c>
      <c r="B1823" s="470" t="s">
        <v>17</v>
      </c>
      <c r="C1823" s="471" t="s">
        <v>18</v>
      </c>
      <c r="D1823" s="472" t="s">
        <v>19</v>
      </c>
      <c r="E1823" s="448" t="s">
        <v>4088</v>
      </c>
      <c r="F1823" s="448" t="s">
        <v>4104</v>
      </c>
      <c r="G1823" s="473" t="s">
        <v>3404</v>
      </c>
      <c r="H1823" s="439" t="s">
        <v>239</v>
      </c>
      <c r="I1823" s="474" t="s">
        <v>3459</v>
      </c>
      <c r="J1823" s="474" t="s">
        <v>3464</v>
      </c>
      <c r="K1823" s="443" t="s">
        <v>225</v>
      </c>
      <c r="L1823" s="471">
        <v>1</v>
      </c>
      <c r="M1823" s="447" t="s">
        <v>3581</v>
      </c>
      <c r="N1823" s="456">
        <v>10200</v>
      </c>
      <c r="O1823" s="475">
        <f t="shared" si="7"/>
        <v>10200</v>
      </c>
      <c r="P1823" s="476"/>
      <c r="Q1823" s="477">
        <v>46023</v>
      </c>
      <c r="R1823" s="476"/>
      <c r="S1823" s="476"/>
    </row>
    <row r="1824" spans="1:19" ht="15.75" customHeight="1" x14ac:dyDescent="0.25">
      <c r="A1824" s="438">
        <v>1821</v>
      </c>
      <c r="B1824" s="470" t="s">
        <v>17</v>
      </c>
      <c r="C1824" s="471" t="s">
        <v>18</v>
      </c>
      <c r="D1824" s="472" t="s">
        <v>19</v>
      </c>
      <c r="E1824" s="448" t="s">
        <v>4090</v>
      </c>
      <c r="F1824" s="448" t="s">
        <v>4090</v>
      </c>
      <c r="G1824" s="473" t="s">
        <v>4052</v>
      </c>
      <c r="H1824" s="439" t="s">
        <v>2251</v>
      </c>
      <c r="I1824" s="474" t="s">
        <v>3460</v>
      </c>
      <c r="J1824" s="474" t="s">
        <v>3463</v>
      </c>
      <c r="K1824" s="443" t="s">
        <v>2252</v>
      </c>
      <c r="L1824" s="471">
        <v>1</v>
      </c>
      <c r="M1824" s="447" t="s">
        <v>3582</v>
      </c>
      <c r="N1824" s="456">
        <v>4000</v>
      </c>
      <c r="O1824" s="475">
        <f t="shared" si="7"/>
        <v>4000</v>
      </c>
      <c r="P1824" s="476"/>
      <c r="Q1824" s="477">
        <v>46023</v>
      </c>
      <c r="R1824" s="476"/>
      <c r="S1824" s="476"/>
    </row>
    <row r="1825" spans="1:19" ht="15.75" customHeight="1" x14ac:dyDescent="0.25">
      <c r="A1825" s="438">
        <v>1822</v>
      </c>
      <c r="B1825" s="470" t="s">
        <v>17</v>
      </c>
      <c r="C1825" s="471" t="s">
        <v>18</v>
      </c>
      <c r="D1825" s="472" t="s">
        <v>19</v>
      </c>
      <c r="E1825" s="448" t="s">
        <v>4090</v>
      </c>
      <c r="F1825" s="448" t="s">
        <v>4090</v>
      </c>
      <c r="G1825" s="473" t="s">
        <v>4052</v>
      </c>
      <c r="H1825" s="439" t="s">
        <v>2251</v>
      </c>
      <c r="I1825" s="474" t="s">
        <v>3460</v>
      </c>
      <c r="J1825" s="474" t="s">
        <v>3463</v>
      </c>
      <c r="K1825" s="443" t="s">
        <v>2252</v>
      </c>
      <c r="L1825" s="471">
        <v>1</v>
      </c>
      <c r="M1825" s="447" t="s">
        <v>3583</v>
      </c>
      <c r="N1825" s="456">
        <v>4000</v>
      </c>
      <c r="O1825" s="475">
        <f t="shared" si="7"/>
        <v>4000</v>
      </c>
      <c r="P1825" s="476"/>
      <c r="Q1825" s="477">
        <v>46023</v>
      </c>
      <c r="R1825" s="476"/>
      <c r="S1825" s="476"/>
    </row>
    <row r="1826" spans="1:19" ht="15.75" customHeight="1" x14ac:dyDescent="0.25">
      <c r="A1826" s="438">
        <v>1823</v>
      </c>
      <c r="B1826" s="470" t="s">
        <v>17</v>
      </c>
      <c r="C1826" s="471" t="s">
        <v>18</v>
      </c>
      <c r="D1826" s="472" t="s">
        <v>19</v>
      </c>
      <c r="E1826" s="448" t="s">
        <v>4090</v>
      </c>
      <c r="F1826" s="448" t="s">
        <v>4090</v>
      </c>
      <c r="G1826" s="473" t="s">
        <v>4052</v>
      </c>
      <c r="H1826" s="439" t="s">
        <v>2251</v>
      </c>
      <c r="I1826" s="474" t="s">
        <v>3460</v>
      </c>
      <c r="J1826" s="474" t="s">
        <v>3463</v>
      </c>
      <c r="K1826" s="443" t="s">
        <v>2252</v>
      </c>
      <c r="L1826" s="471">
        <v>1</v>
      </c>
      <c r="M1826" s="447" t="s">
        <v>3584</v>
      </c>
      <c r="N1826" s="456">
        <v>4000</v>
      </c>
      <c r="O1826" s="475">
        <f t="shared" si="7"/>
        <v>4000</v>
      </c>
      <c r="P1826" s="476"/>
      <c r="Q1826" s="477">
        <v>46023</v>
      </c>
      <c r="R1826" s="476"/>
      <c r="S1826" s="476"/>
    </row>
    <row r="1827" spans="1:19" ht="15.75" customHeight="1" x14ac:dyDescent="0.25">
      <c r="A1827" s="438">
        <v>1824</v>
      </c>
      <c r="B1827" s="470" t="s">
        <v>17</v>
      </c>
      <c r="C1827" s="471" t="s">
        <v>18</v>
      </c>
      <c r="D1827" s="472" t="s">
        <v>19</v>
      </c>
      <c r="E1827" s="448" t="s">
        <v>4090</v>
      </c>
      <c r="F1827" s="448" t="s">
        <v>4090</v>
      </c>
      <c r="G1827" s="473" t="s">
        <v>4052</v>
      </c>
      <c r="H1827" s="439" t="s">
        <v>2251</v>
      </c>
      <c r="I1827" s="474" t="s">
        <v>3460</v>
      </c>
      <c r="J1827" s="474" t="s">
        <v>3463</v>
      </c>
      <c r="K1827" s="443" t="s">
        <v>2252</v>
      </c>
      <c r="L1827" s="471">
        <v>1</v>
      </c>
      <c r="M1827" s="447" t="s">
        <v>3585</v>
      </c>
      <c r="N1827" s="456">
        <v>4000</v>
      </c>
      <c r="O1827" s="475">
        <f t="shared" si="7"/>
        <v>4000</v>
      </c>
      <c r="P1827" s="476"/>
      <c r="Q1827" s="477">
        <v>46023</v>
      </c>
      <c r="R1827" s="476"/>
      <c r="S1827" s="476"/>
    </row>
    <row r="1828" spans="1:19" ht="15.75" customHeight="1" x14ac:dyDescent="0.25">
      <c r="A1828" s="438">
        <v>1825</v>
      </c>
      <c r="B1828" s="470" t="s">
        <v>17</v>
      </c>
      <c r="C1828" s="471" t="s">
        <v>18</v>
      </c>
      <c r="D1828" s="472" t="s">
        <v>19</v>
      </c>
      <c r="E1828" s="448" t="s">
        <v>4090</v>
      </c>
      <c r="F1828" s="448" t="s">
        <v>4090</v>
      </c>
      <c r="G1828" s="473" t="s">
        <v>4052</v>
      </c>
      <c r="H1828" s="439" t="s">
        <v>2251</v>
      </c>
      <c r="I1828" s="474" t="s">
        <v>3460</v>
      </c>
      <c r="J1828" s="474" t="s">
        <v>3463</v>
      </c>
      <c r="K1828" s="443" t="s">
        <v>2252</v>
      </c>
      <c r="L1828" s="471">
        <v>1</v>
      </c>
      <c r="M1828" s="447" t="s">
        <v>3586</v>
      </c>
      <c r="N1828" s="456">
        <v>4000</v>
      </c>
      <c r="O1828" s="475">
        <f t="shared" si="7"/>
        <v>4000</v>
      </c>
      <c r="P1828" s="476"/>
      <c r="Q1828" s="477">
        <v>46023</v>
      </c>
      <c r="R1828" s="476"/>
      <c r="S1828" s="476"/>
    </row>
    <row r="1829" spans="1:19" ht="15.75" customHeight="1" x14ac:dyDescent="0.25">
      <c r="A1829" s="438">
        <v>1826</v>
      </c>
      <c r="B1829" s="470" t="s">
        <v>17</v>
      </c>
      <c r="C1829" s="471" t="s">
        <v>18</v>
      </c>
      <c r="D1829" s="472" t="s">
        <v>19</v>
      </c>
      <c r="E1829" s="448" t="s">
        <v>4090</v>
      </c>
      <c r="F1829" s="448" t="s">
        <v>4090</v>
      </c>
      <c r="G1829" s="473" t="s">
        <v>4052</v>
      </c>
      <c r="H1829" s="439" t="s">
        <v>2251</v>
      </c>
      <c r="I1829" s="474" t="s">
        <v>3460</v>
      </c>
      <c r="J1829" s="474" t="s">
        <v>3463</v>
      </c>
      <c r="K1829" s="443" t="s">
        <v>2252</v>
      </c>
      <c r="L1829" s="471">
        <v>1</v>
      </c>
      <c r="M1829" s="447" t="s">
        <v>3587</v>
      </c>
      <c r="N1829" s="456">
        <v>4000</v>
      </c>
      <c r="O1829" s="475">
        <f t="shared" si="7"/>
        <v>4000</v>
      </c>
      <c r="P1829" s="476"/>
      <c r="Q1829" s="477">
        <v>46023</v>
      </c>
      <c r="R1829" s="476"/>
      <c r="S1829" s="476"/>
    </row>
    <row r="1830" spans="1:19" ht="15.75" customHeight="1" x14ac:dyDescent="0.25">
      <c r="A1830" s="438">
        <v>1827</v>
      </c>
      <c r="B1830" s="470" t="s">
        <v>17</v>
      </c>
      <c r="C1830" s="471" t="s">
        <v>18</v>
      </c>
      <c r="D1830" s="472" t="s">
        <v>19</v>
      </c>
      <c r="E1830" s="465" t="s">
        <v>4090</v>
      </c>
      <c r="F1830" s="448" t="s">
        <v>4090</v>
      </c>
      <c r="G1830" s="473" t="s">
        <v>4052</v>
      </c>
      <c r="H1830" s="439" t="s">
        <v>2251</v>
      </c>
      <c r="I1830" s="474" t="s">
        <v>3460</v>
      </c>
      <c r="J1830" s="474" t="s">
        <v>3463</v>
      </c>
      <c r="K1830" s="443" t="s">
        <v>2252</v>
      </c>
      <c r="L1830" s="471">
        <v>1</v>
      </c>
      <c r="M1830" s="447" t="s">
        <v>3588</v>
      </c>
      <c r="N1830" s="456">
        <v>4000</v>
      </c>
      <c r="O1830" s="475">
        <f t="shared" si="7"/>
        <v>4000</v>
      </c>
      <c r="P1830" s="476"/>
      <c r="Q1830" s="477">
        <v>46023</v>
      </c>
      <c r="R1830" s="476"/>
      <c r="S1830" s="476"/>
    </row>
    <row r="1831" spans="1:19" ht="15.75" customHeight="1" x14ac:dyDescent="0.25">
      <c r="A1831" s="438">
        <v>1828</v>
      </c>
      <c r="B1831" s="470" t="s">
        <v>17</v>
      </c>
      <c r="C1831" s="471" t="s">
        <v>18</v>
      </c>
      <c r="D1831" s="472" t="s">
        <v>19</v>
      </c>
      <c r="E1831" s="465" t="s">
        <v>4090</v>
      </c>
      <c r="F1831" s="448" t="s">
        <v>4090</v>
      </c>
      <c r="G1831" s="473" t="s">
        <v>4052</v>
      </c>
      <c r="H1831" s="439" t="s">
        <v>2251</v>
      </c>
      <c r="I1831" s="474" t="s">
        <v>3460</v>
      </c>
      <c r="J1831" s="474" t="s">
        <v>3463</v>
      </c>
      <c r="K1831" s="443" t="s">
        <v>2252</v>
      </c>
      <c r="L1831" s="471">
        <v>1</v>
      </c>
      <c r="M1831" s="447" t="s">
        <v>3589</v>
      </c>
      <c r="N1831" s="456">
        <v>4000</v>
      </c>
      <c r="O1831" s="475">
        <f t="shared" si="7"/>
        <v>4000</v>
      </c>
      <c r="P1831" s="476"/>
      <c r="Q1831" s="477">
        <v>46023</v>
      </c>
      <c r="R1831" s="476"/>
      <c r="S1831" s="476"/>
    </row>
    <row r="1832" spans="1:19" ht="15.75" customHeight="1" x14ac:dyDescent="0.25">
      <c r="A1832" s="438">
        <v>1829</v>
      </c>
      <c r="B1832" s="470" t="s">
        <v>17</v>
      </c>
      <c r="C1832" s="471" t="s">
        <v>18</v>
      </c>
      <c r="D1832" s="472" t="s">
        <v>19</v>
      </c>
      <c r="E1832" s="465" t="s">
        <v>4091</v>
      </c>
      <c r="F1832" s="448" t="s">
        <v>3024</v>
      </c>
      <c r="G1832" s="473" t="s">
        <v>4053</v>
      </c>
      <c r="H1832" s="439" t="s">
        <v>2253</v>
      </c>
      <c r="I1832" s="474" t="s">
        <v>3457</v>
      </c>
      <c r="J1832" s="474" t="s">
        <v>3464</v>
      </c>
      <c r="K1832" s="443" t="s">
        <v>2250</v>
      </c>
      <c r="L1832" s="471">
        <v>1</v>
      </c>
      <c r="M1832" s="447" t="s">
        <v>3590</v>
      </c>
      <c r="N1832" s="456">
        <v>12194</v>
      </c>
      <c r="O1832" s="475">
        <f t="shared" si="7"/>
        <v>12194</v>
      </c>
      <c r="P1832" s="476"/>
      <c r="Q1832" s="477">
        <v>46023</v>
      </c>
      <c r="R1832" s="476"/>
      <c r="S1832" s="476"/>
    </row>
    <row r="1833" spans="1:19" ht="15.75" customHeight="1" x14ac:dyDescent="0.25">
      <c r="A1833" s="438">
        <v>1830</v>
      </c>
      <c r="B1833" s="470" t="s">
        <v>17</v>
      </c>
      <c r="C1833" s="471" t="s">
        <v>18</v>
      </c>
      <c r="D1833" s="472" t="s">
        <v>19</v>
      </c>
      <c r="E1833" s="448" t="s">
        <v>4091</v>
      </c>
      <c r="F1833" s="448" t="s">
        <v>3024</v>
      </c>
      <c r="G1833" s="452" t="s">
        <v>4053</v>
      </c>
      <c r="H1833" s="439" t="s">
        <v>2253</v>
      </c>
      <c r="I1833" s="438" t="s">
        <v>3457</v>
      </c>
      <c r="J1833" s="438" t="s">
        <v>3464</v>
      </c>
      <c r="K1833" s="439" t="s">
        <v>2250</v>
      </c>
      <c r="L1833" s="471">
        <v>1</v>
      </c>
      <c r="M1833" s="447" t="s">
        <v>3591</v>
      </c>
      <c r="N1833" s="456">
        <v>12194</v>
      </c>
      <c r="O1833" s="475">
        <f t="shared" si="7"/>
        <v>12194</v>
      </c>
      <c r="P1833" s="476"/>
      <c r="Q1833" s="477">
        <v>46023</v>
      </c>
      <c r="R1833" s="476"/>
      <c r="S1833" s="476"/>
    </row>
    <row r="1834" spans="1:19" ht="15.75" customHeight="1" x14ac:dyDescent="0.25">
      <c r="A1834" s="438">
        <v>1831</v>
      </c>
      <c r="B1834" s="470" t="s">
        <v>17</v>
      </c>
      <c r="C1834" s="471" t="s">
        <v>18</v>
      </c>
      <c r="D1834" s="472" t="s">
        <v>19</v>
      </c>
      <c r="E1834" s="465" t="s">
        <v>4091</v>
      </c>
      <c r="F1834" s="448" t="s">
        <v>3024</v>
      </c>
      <c r="G1834" s="452" t="s">
        <v>4053</v>
      </c>
      <c r="H1834" s="439" t="s">
        <v>2253</v>
      </c>
      <c r="I1834" s="438" t="s">
        <v>3457</v>
      </c>
      <c r="J1834" s="438" t="s">
        <v>3464</v>
      </c>
      <c r="K1834" s="439" t="s">
        <v>2250</v>
      </c>
      <c r="L1834" s="471">
        <v>1</v>
      </c>
      <c r="M1834" s="447" t="s">
        <v>3592</v>
      </c>
      <c r="N1834" s="456">
        <v>12194</v>
      </c>
      <c r="O1834" s="475">
        <f t="shared" si="7"/>
        <v>12194</v>
      </c>
      <c r="P1834" s="476"/>
      <c r="Q1834" s="477">
        <v>46023</v>
      </c>
      <c r="R1834" s="476"/>
      <c r="S1834" s="476"/>
    </row>
    <row r="1835" spans="1:19" ht="15.75" customHeight="1" x14ac:dyDescent="0.25">
      <c r="A1835" s="438">
        <v>1832</v>
      </c>
      <c r="B1835" s="470" t="s">
        <v>17</v>
      </c>
      <c r="C1835" s="471" t="s">
        <v>18</v>
      </c>
      <c r="D1835" s="472" t="s">
        <v>19</v>
      </c>
      <c r="E1835" s="465" t="s">
        <v>4091</v>
      </c>
      <c r="F1835" s="448" t="s">
        <v>3024</v>
      </c>
      <c r="G1835" s="452" t="s">
        <v>4053</v>
      </c>
      <c r="H1835" s="439" t="s">
        <v>2253</v>
      </c>
      <c r="I1835" s="438" t="s">
        <v>3457</v>
      </c>
      <c r="J1835" s="438" t="s">
        <v>3464</v>
      </c>
      <c r="K1835" s="439" t="s">
        <v>2250</v>
      </c>
      <c r="L1835" s="471">
        <v>1</v>
      </c>
      <c r="M1835" s="447" t="s">
        <v>3593</v>
      </c>
      <c r="N1835" s="456">
        <v>12194</v>
      </c>
      <c r="O1835" s="475">
        <f t="shared" si="7"/>
        <v>12194</v>
      </c>
      <c r="P1835" s="476"/>
      <c r="Q1835" s="477">
        <v>46023</v>
      </c>
      <c r="R1835" s="476"/>
      <c r="S1835" s="476"/>
    </row>
    <row r="1836" spans="1:19" ht="15.75" customHeight="1" x14ac:dyDescent="0.25">
      <c r="A1836" s="438">
        <v>1833</v>
      </c>
      <c r="B1836" s="470" t="s">
        <v>17</v>
      </c>
      <c r="C1836" s="471" t="s">
        <v>18</v>
      </c>
      <c r="D1836" s="472" t="s">
        <v>19</v>
      </c>
      <c r="E1836" s="465" t="s">
        <v>4091</v>
      </c>
      <c r="F1836" s="448" t="s">
        <v>3024</v>
      </c>
      <c r="G1836" s="452" t="s">
        <v>4053</v>
      </c>
      <c r="H1836" s="439" t="s">
        <v>2253</v>
      </c>
      <c r="I1836" s="438" t="s">
        <v>3457</v>
      </c>
      <c r="J1836" s="438" t="s">
        <v>3464</v>
      </c>
      <c r="K1836" s="439" t="s">
        <v>2250</v>
      </c>
      <c r="L1836" s="471">
        <v>1</v>
      </c>
      <c r="M1836" s="447" t="s">
        <v>3594</v>
      </c>
      <c r="N1836" s="456">
        <v>12194</v>
      </c>
      <c r="O1836" s="475">
        <f t="shared" si="7"/>
        <v>12194</v>
      </c>
      <c r="P1836" s="476"/>
      <c r="Q1836" s="477">
        <v>46023</v>
      </c>
      <c r="R1836" s="476"/>
      <c r="S1836" s="476"/>
    </row>
    <row r="1837" spans="1:19" ht="15.75" customHeight="1" x14ac:dyDescent="0.25">
      <c r="A1837" s="438">
        <v>1834</v>
      </c>
      <c r="B1837" s="470" t="s">
        <v>17</v>
      </c>
      <c r="C1837" s="471" t="s">
        <v>18</v>
      </c>
      <c r="D1837" s="472" t="s">
        <v>19</v>
      </c>
      <c r="E1837" s="465" t="s">
        <v>4091</v>
      </c>
      <c r="F1837" s="448" t="s">
        <v>3026</v>
      </c>
      <c r="G1837" s="452" t="s">
        <v>4053</v>
      </c>
      <c r="H1837" s="439" t="s">
        <v>2253</v>
      </c>
      <c r="I1837" s="438" t="s">
        <v>3457</v>
      </c>
      <c r="J1837" s="438" t="s">
        <v>3464</v>
      </c>
      <c r="K1837" s="439" t="s">
        <v>2250</v>
      </c>
      <c r="L1837" s="471">
        <v>1</v>
      </c>
      <c r="M1837" s="447" t="s">
        <v>3595</v>
      </c>
      <c r="N1837" s="456">
        <v>12194</v>
      </c>
      <c r="O1837" s="475">
        <f t="shared" si="7"/>
        <v>12194</v>
      </c>
      <c r="P1837" s="476"/>
      <c r="Q1837" s="477">
        <v>46023</v>
      </c>
      <c r="R1837" s="476"/>
      <c r="S1837" s="476"/>
    </row>
    <row r="1838" spans="1:19" ht="15.75" customHeight="1" x14ac:dyDescent="0.25">
      <c r="A1838" s="438">
        <v>1835</v>
      </c>
      <c r="B1838" s="470" t="s">
        <v>17</v>
      </c>
      <c r="C1838" s="471" t="s">
        <v>18</v>
      </c>
      <c r="D1838" s="472" t="s">
        <v>19</v>
      </c>
      <c r="E1838" s="448" t="s">
        <v>4091</v>
      </c>
      <c r="F1838" s="448" t="s">
        <v>3026</v>
      </c>
      <c r="G1838" s="473" t="s">
        <v>4053</v>
      </c>
      <c r="H1838" s="439" t="s">
        <v>2253</v>
      </c>
      <c r="I1838" s="474" t="s">
        <v>3457</v>
      </c>
      <c r="J1838" s="474" t="s">
        <v>3464</v>
      </c>
      <c r="K1838" s="443" t="s">
        <v>2250</v>
      </c>
      <c r="L1838" s="471">
        <v>1</v>
      </c>
      <c r="M1838" s="447" t="s">
        <v>3596</v>
      </c>
      <c r="N1838" s="456">
        <v>12194</v>
      </c>
      <c r="O1838" s="475">
        <f t="shared" si="7"/>
        <v>12194</v>
      </c>
      <c r="P1838" s="476"/>
      <c r="Q1838" s="477">
        <v>46023</v>
      </c>
      <c r="R1838" s="476"/>
      <c r="S1838" s="476"/>
    </row>
    <row r="1839" spans="1:19" ht="15.75" customHeight="1" x14ac:dyDescent="0.25">
      <c r="A1839" s="438">
        <v>1836</v>
      </c>
      <c r="B1839" s="470" t="s">
        <v>17</v>
      </c>
      <c r="C1839" s="471" t="s">
        <v>18</v>
      </c>
      <c r="D1839" s="472" t="s">
        <v>19</v>
      </c>
      <c r="E1839" s="448" t="s">
        <v>4091</v>
      </c>
      <c r="F1839" s="448" t="s">
        <v>3026</v>
      </c>
      <c r="G1839" s="473" t="s">
        <v>4053</v>
      </c>
      <c r="H1839" s="439" t="s">
        <v>2253</v>
      </c>
      <c r="I1839" s="474" t="s">
        <v>3457</v>
      </c>
      <c r="J1839" s="474" t="s">
        <v>3464</v>
      </c>
      <c r="K1839" s="443" t="s">
        <v>2250</v>
      </c>
      <c r="L1839" s="471">
        <v>1</v>
      </c>
      <c r="M1839" s="447" t="s">
        <v>3597</v>
      </c>
      <c r="N1839" s="456">
        <v>12194</v>
      </c>
      <c r="O1839" s="475">
        <f t="shared" si="7"/>
        <v>12194</v>
      </c>
      <c r="P1839" s="476"/>
      <c r="Q1839" s="477">
        <v>46023</v>
      </c>
      <c r="R1839" s="476"/>
      <c r="S1839" s="476"/>
    </row>
    <row r="1840" spans="1:19" ht="15.75" customHeight="1" x14ac:dyDescent="0.25">
      <c r="A1840" s="438">
        <v>1837</v>
      </c>
      <c r="B1840" s="470" t="s">
        <v>17</v>
      </c>
      <c r="C1840" s="471" t="s">
        <v>18</v>
      </c>
      <c r="D1840" s="472" t="s">
        <v>19</v>
      </c>
      <c r="E1840" s="448" t="s">
        <v>4091</v>
      </c>
      <c r="F1840" s="448" t="s">
        <v>2982</v>
      </c>
      <c r="G1840" s="473" t="s">
        <v>4053</v>
      </c>
      <c r="H1840" s="439" t="s">
        <v>2253</v>
      </c>
      <c r="I1840" s="474" t="s">
        <v>3457</v>
      </c>
      <c r="J1840" s="474" t="s">
        <v>3464</v>
      </c>
      <c r="K1840" s="443" t="s">
        <v>2250</v>
      </c>
      <c r="L1840" s="471">
        <v>1</v>
      </c>
      <c r="M1840" s="447" t="s">
        <v>3598</v>
      </c>
      <c r="N1840" s="456">
        <v>12194</v>
      </c>
      <c r="O1840" s="475">
        <f t="shared" si="7"/>
        <v>12194</v>
      </c>
      <c r="P1840" s="476"/>
      <c r="Q1840" s="477">
        <v>46023</v>
      </c>
      <c r="R1840" s="476"/>
      <c r="S1840" s="476"/>
    </row>
    <row r="1841" spans="1:19" ht="15.75" customHeight="1" x14ac:dyDescent="0.25">
      <c r="A1841" s="438">
        <v>1838</v>
      </c>
      <c r="B1841" s="470" t="s">
        <v>17</v>
      </c>
      <c r="C1841" s="471" t="s">
        <v>18</v>
      </c>
      <c r="D1841" s="472" t="s">
        <v>19</v>
      </c>
      <c r="E1841" s="448" t="s">
        <v>4091</v>
      </c>
      <c r="F1841" s="448" t="s">
        <v>2982</v>
      </c>
      <c r="G1841" s="473" t="s">
        <v>4053</v>
      </c>
      <c r="H1841" s="439" t="s">
        <v>2253</v>
      </c>
      <c r="I1841" s="474" t="s">
        <v>3457</v>
      </c>
      <c r="J1841" s="474" t="s">
        <v>3464</v>
      </c>
      <c r="K1841" s="443" t="s">
        <v>2250</v>
      </c>
      <c r="L1841" s="471">
        <v>1</v>
      </c>
      <c r="M1841" s="447" t="s">
        <v>3599</v>
      </c>
      <c r="N1841" s="456">
        <v>12194</v>
      </c>
      <c r="O1841" s="475">
        <f t="shared" si="7"/>
        <v>12194</v>
      </c>
      <c r="P1841" s="476"/>
      <c r="Q1841" s="477">
        <v>46023</v>
      </c>
      <c r="R1841" s="476"/>
      <c r="S1841" s="476"/>
    </row>
    <row r="1842" spans="1:19" ht="15.75" customHeight="1" x14ac:dyDescent="0.25">
      <c r="A1842" s="438">
        <v>1839</v>
      </c>
      <c r="B1842" s="470" t="s">
        <v>17</v>
      </c>
      <c r="C1842" s="471" t="s">
        <v>18</v>
      </c>
      <c r="D1842" s="472" t="s">
        <v>19</v>
      </c>
      <c r="E1842" s="448" t="s">
        <v>4091</v>
      </c>
      <c r="F1842" s="448" t="s">
        <v>2982</v>
      </c>
      <c r="G1842" s="473" t="s">
        <v>4053</v>
      </c>
      <c r="H1842" s="439" t="s">
        <v>2253</v>
      </c>
      <c r="I1842" s="474" t="s">
        <v>3457</v>
      </c>
      <c r="J1842" s="474" t="s">
        <v>3464</v>
      </c>
      <c r="K1842" s="443" t="s">
        <v>2250</v>
      </c>
      <c r="L1842" s="471">
        <v>1</v>
      </c>
      <c r="M1842" s="447" t="s">
        <v>3600</v>
      </c>
      <c r="N1842" s="457">
        <v>12194</v>
      </c>
      <c r="O1842" s="475">
        <f t="shared" si="7"/>
        <v>12194</v>
      </c>
      <c r="P1842" s="476"/>
      <c r="Q1842" s="477">
        <v>46023</v>
      </c>
      <c r="R1842" s="476"/>
      <c r="S1842" s="476"/>
    </row>
    <row r="1843" spans="1:19" ht="15.75" customHeight="1" x14ac:dyDescent="0.25">
      <c r="A1843" s="438">
        <v>1840</v>
      </c>
      <c r="B1843" s="470" t="s">
        <v>17</v>
      </c>
      <c r="C1843" s="471" t="s">
        <v>18</v>
      </c>
      <c r="D1843" s="472" t="s">
        <v>19</v>
      </c>
      <c r="E1843" s="448" t="s">
        <v>4085</v>
      </c>
      <c r="F1843" s="448" t="s">
        <v>2982</v>
      </c>
      <c r="G1843" s="473" t="s">
        <v>4053</v>
      </c>
      <c r="H1843" s="439" t="s">
        <v>2253</v>
      </c>
      <c r="I1843" s="474" t="s">
        <v>3457</v>
      </c>
      <c r="J1843" s="474" t="s">
        <v>3464</v>
      </c>
      <c r="K1843" s="443" t="s">
        <v>2250</v>
      </c>
      <c r="L1843" s="471">
        <v>1</v>
      </c>
      <c r="M1843" s="447" t="s">
        <v>3601</v>
      </c>
      <c r="N1843" s="457">
        <v>12194</v>
      </c>
      <c r="O1843" s="475">
        <f t="shared" si="7"/>
        <v>12194</v>
      </c>
      <c r="P1843" s="476"/>
      <c r="Q1843" s="477">
        <v>46023</v>
      </c>
      <c r="R1843" s="476"/>
      <c r="S1843" s="476"/>
    </row>
    <row r="1844" spans="1:19" ht="15.75" customHeight="1" x14ac:dyDescent="0.25">
      <c r="A1844" s="438">
        <v>1841</v>
      </c>
      <c r="B1844" s="470" t="s">
        <v>17</v>
      </c>
      <c r="C1844" s="471" t="s">
        <v>18</v>
      </c>
      <c r="D1844" s="472" t="s">
        <v>19</v>
      </c>
      <c r="E1844" s="448" t="s">
        <v>4085</v>
      </c>
      <c r="F1844" s="448" t="s">
        <v>2982</v>
      </c>
      <c r="G1844" s="473" t="s">
        <v>4053</v>
      </c>
      <c r="H1844" s="439" t="s">
        <v>2253</v>
      </c>
      <c r="I1844" s="474" t="s">
        <v>3457</v>
      </c>
      <c r="J1844" s="474" t="s">
        <v>3464</v>
      </c>
      <c r="K1844" s="443" t="s">
        <v>2250</v>
      </c>
      <c r="L1844" s="471">
        <v>1</v>
      </c>
      <c r="M1844" s="447" t="s">
        <v>3602</v>
      </c>
      <c r="N1844" s="457">
        <v>12194</v>
      </c>
      <c r="O1844" s="475">
        <f t="shared" si="7"/>
        <v>12194</v>
      </c>
      <c r="P1844" s="476"/>
      <c r="Q1844" s="477">
        <v>46023</v>
      </c>
      <c r="R1844" s="476"/>
      <c r="S1844" s="476"/>
    </row>
    <row r="1845" spans="1:19" ht="15.75" customHeight="1" x14ac:dyDescent="0.25">
      <c r="A1845" s="438">
        <v>1842</v>
      </c>
      <c r="B1845" s="470" t="s">
        <v>17</v>
      </c>
      <c r="C1845" s="471" t="s">
        <v>18</v>
      </c>
      <c r="D1845" s="472" t="s">
        <v>19</v>
      </c>
      <c r="E1845" s="448" t="s">
        <v>4085</v>
      </c>
      <c r="F1845" s="448" t="s">
        <v>2982</v>
      </c>
      <c r="G1845" s="473" t="s">
        <v>4053</v>
      </c>
      <c r="H1845" s="439" t="s">
        <v>2253</v>
      </c>
      <c r="I1845" s="474" t="s">
        <v>3457</v>
      </c>
      <c r="J1845" s="474" t="s">
        <v>3464</v>
      </c>
      <c r="K1845" s="443" t="s">
        <v>2250</v>
      </c>
      <c r="L1845" s="471">
        <v>1</v>
      </c>
      <c r="M1845" s="447" t="s">
        <v>3603</v>
      </c>
      <c r="N1845" s="457">
        <v>12194</v>
      </c>
      <c r="O1845" s="475">
        <f t="shared" si="7"/>
        <v>12194</v>
      </c>
      <c r="P1845" s="476"/>
      <c r="Q1845" s="477">
        <v>46023</v>
      </c>
      <c r="R1845" s="476"/>
      <c r="S1845" s="476"/>
    </row>
    <row r="1846" spans="1:19" ht="15.75" customHeight="1" x14ac:dyDescent="0.25">
      <c r="A1846" s="438">
        <v>1843</v>
      </c>
      <c r="B1846" s="470" t="s">
        <v>17</v>
      </c>
      <c r="C1846" s="471" t="s">
        <v>18</v>
      </c>
      <c r="D1846" s="472" t="s">
        <v>19</v>
      </c>
      <c r="E1846" s="448" t="s">
        <v>4085</v>
      </c>
      <c r="F1846" s="448" t="s">
        <v>2982</v>
      </c>
      <c r="G1846" s="473" t="s">
        <v>4053</v>
      </c>
      <c r="H1846" s="439" t="s">
        <v>2253</v>
      </c>
      <c r="I1846" s="474" t="s">
        <v>3457</v>
      </c>
      <c r="J1846" s="474" t="s">
        <v>3464</v>
      </c>
      <c r="K1846" s="443" t="s">
        <v>2250</v>
      </c>
      <c r="L1846" s="471">
        <v>1</v>
      </c>
      <c r="M1846" s="447" t="s">
        <v>3604</v>
      </c>
      <c r="N1846" s="457">
        <v>12194</v>
      </c>
      <c r="O1846" s="475">
        <f t="shared" si="7"/>
        <v>12194</v>
      </c>
      <c r="P1846" s="476"/>
      <c r="Q1846" s="477">
        <v>46023</v>
      </c>
      <c r="R1846" s="476"/>
      <c r="S1846" s="476"/>
    </row>
    <row r="1847" spans="1:19" ht="15.75" customHeight="1" x14ac:dyDescent="0.25">
      <c r="A1847" s="438">
        <v>1844</v>
      </c>
      <c r="B1847" s="470" t="s">
        <v>17</v>
      </c>
      <c r="C1847" s="471" t="s">
        <v>18</v>
      </c>
      <c r="D1847" s="472" t="s">
        <v>19</v>
      </c>
      <c r="E1847" s="448" t="s">
        <v>4085</v>
      </c>
      <c r="F1847" s="448" t="s">
        <v>2985</v>
      </c>
      <c r="G1847" s="473" t="s">
        <v>4053</v>
      </c>
      <c r="H1847" s="439" t="s">
        <v>2253</v>
      </c>
      <c r="I1847" s="474" t="s">
        <v>3457</v>
      </c>
      <c r="J1847" s="474" t="s">
        <v>3464</v>
      </c>
      <c r="K1847" s="443" t="s">
        <v>2250</v>
      </c>
      <c r="L1847" s="471">
        <v>1</v>
      </c>
      <c r="M1847" s="447" t="s">
        <v>3605</v>
      </c>
      <c r="N1847" s="457">
        <v>12194</v>
      </c>
      <c r="O1847" s="475">
        <f t="shared" si="7"/>
        <v>12194</v>
      </c>
      <c r="P1847" s="476"/>
      <c r="Q1847" s="477">
        <v>46023</v>
      </c>
      <c r="R1847" s="476"/>
      <c r="S1847" s="476"/>
    </row>
    <row r="1848" spans="1:19" ht="15.75" customHeight="1" x14ac:dyDescent="0.25">
      <c r="A1848" s="438">
        <v>1845</v>
      </c>
      <c r="B1848" s="470" t="s">
        <v>17</v>
      </c>
      <c r="C1848" s="471" t="s">
        <v>18</v>
      </c>
      <c r="D1848" s="472" t="s">
        <v>19</v>
      </c>
      <c r="E1848" s="448" t="s">
        <v>4091</v>
      </c>
      <c r="F1848" s="448" t="s">
        <v>3024</v>
      </c>
      <c r="G1848" s="473" t="s">
        <v>3058</v>
      </c>
      <c r="H1848" s="440" t="s">
        <v>888</v>
      </c>
      <c r="I1848" s="474" t="s">
        <v>3459</v>
      </c>
      <c r="J1848" s="474" t="s">
        <v>3464</v>
      </c>
      <c r="K1848" s="446" t="s">
        <v>729</v>
      </c>
      <c r="L1848" s="471">
        <v>1</v>
      </c>
      <c r="M1848" s="447" t="s">
        <v>3606</v>
      </c>
      <c r="N1848" s="458">
        <v>3499</v>
      </c>
      <c r="O1848" s="475">
        <f t="shared" si="7"/>
        <v>3499</v>
      </c>
      <c r="P1848" s="476"/>
      <c r="Q1848" s="477">
        <v>46023</v>
      </c>
      <c r="R1848" s="476"/>
      <c r="S1848" s="476"/>
    </row>
    <row r="1849" spans="1:19" ht="15.75" customHeight="1" x14ac:dyDescent="0.25">
      <c r="A1849" s="438">
        <v>1846</v>
      </c>
      <c r="B1849" s="470" t="s">
        <v>17</v>
      </c>
      <c r="C1849" s="471" t="s">
        <v>18</v>
      </c>
      <c r="D1849" s="472" t="s">
        <v>19</v>
      </c>
      <c r="E1849" s="448" t="s">
        <v>4085</v>
      </c>
      <c r="F1849" s="448" t="s">
        <v>3026</v>
      </c>
      <c r="G1849" s="464" t="s">
        <v>3058</v>
      </c>
      <c r="H1849" s="440" t="s">
        <v>888</v>
      </c>
      <c r="I1849" s="474" t="s">
        <v>3459</v>
      </c>
      <c r="J1849" s="474" t="s">
        <v>3464</v>
      </c>
      <c r="K1849" s="446" t="s">
        <v>729</v>
      </c>
      <c r="L1849" s="471">
        <v>1</v>
      </c>
      <c r="M1849" s="447" t="s">
        <v>3607</v>
      </c>
      <c r="N1849" s="458">
        <v>3499</v>
      </c>
      <c r="O1849" s="475">
        <f t="shared" si="7"/>
        <v>3499</v>
      </c>
      <c r="P1849" s="476"/>
      <c r="Q1849" s="477">
        <v>46023</v>
      </c>
      <c r="R1849" s="476"/>
      <c r="S1849" s="476"/>
    </row>
    <row r="1850" spans="1:19" ht="15.75" customHeight="1" x14ac:dyDescent="0.25">
      <c r="A1850" s="438">
        <v>1847</v>
      </c>
      <c r="B1850" s="470" t="s">
        <v>17</v>
      </c>
      <c r="C1850" s="471" t="s">
        <v>18</v>
      </c>
      <c r="D1850" s="472" t="s">
        <v>19</v>
      </c>
      <c r="E1850" s="465" t="s">
        <v>4085</v>
      </c>
      <c r="F1850" s="448" t="s">
        <v>2982</v>
      </c>
      <c r="G1850" s="473" t="s">
        <v>3058</v>
      </c>
      <c r="H1850" s="439" t="s">
        <v>888</v>
      </c>
      <c r="I1850" s="474" t="s">
        <v>3459</v>
      </c>
      <c r="J1850" s="474" t="s">
        <v>3464</v>
      </c>
      <c r="K1850" s="443" t="s">
        <v>729</v>
      </c>
      <c r="L1850" s="471">
        <v>1</v>
      </c>
      <c r="M1850" s="447" t="s">
        <v>3608</v>
      </c>
      <c r="N1850" s="456">
        <v>3499</v>
      </c>
      <c r="O1850" s="475">
        <f t="shared" si="7"/>
        <v>3499</v>
      </c>
      <c r="P1850" s="476"/>
      <c r="Q1850" s="477">
        <v>46023</v>
      </c>
      <c r="R1850" s="476"/>
      <c r="S1850" s="476"/>
    </row>
    <row r="1851" spans="1:19" ht="15.75" customHeight="1" x14ac:dyDescent="0.25">
      <c r="A1851" s="438">
        <v>1848</v>
      </c>
      <c r="B1851" s="470" t="s">
        <v>17</v>
      </c>
      <c r="C1851" s="471" t="s">
        <v>18</v>
      </c>
      <c r="D1851" s="472" t="s">
        <v>19</v>
      </c>
      <c r="E1851" s="465" t="s">
        <v>4083</v>
      </c>
      <c r="F1851" s="448" t="s">
        <v>2988</v>
      </c>
      <c r="G1851" s="473" t="s">
        <v>3058</v>
      </c>
      <c r="H1851" s="439" t="s">
        <v>888</v>
      </c>
      <c r="I1851" s="474" t="s">
        <v>3459</v>
      </c>
      <c r="J1851" s="474" t="s">
        <v>3464</v>
      </c>
      <c r="K1851" s="443" t="s">
        <v>729</v>
      </c>
      <c r="L1851" s="471">
        <v>1</v>
      </c>
      <c r="M1851" s="447" t="s">
        <v>3609</v>
      </c>
      <c r="N1851" s="456">
        <v>3499</v>
      </c>
      <c r="O1851" s="475">
        <f t="shared" si="7"/>
        <v>3499</v>
      </c>
      <c r="P1851" s="476"/>
      <c r="Q1851" s="477">
        <v>46023</v>
      </c>
      <c r="R1851" s="476"/>
      <c r="S1851" s="476"/>
    </row>
    <row r="1852" spans="1:19" ht="15.75" customHeight="1" x14ac:dyDescent="0.25">
      <c r="A1852" s="438">
        <v>1849</v>
      </c>
      <c r="B1852" s="470" t="s">
        <v>17</v>
      </c>
      <c r="C1852" s="471" t="s">
        <v>18</v>
      </c>
      <c r="D1852" s="472" t="s">
        <v>19</v>
      </c>
      <c r="E1852" s="448" t="s">
        <v>4085</v>
      </c>
      <c r="F1852" s="448" t="s">
        <v>2985</v>
      </c>
      <c r="G1852" s="473" t="s">
        <v>4054</v>
      </c>
      <c r="H1852" s="439" t="s">
        <v>2254</v>
      </c>
      <c r="I1852" s="474" t="s">
        <v>3457</v>
      </c>
      <c r="J1852" s="474" t="s">
        <v>3465</v>
      </c>
      <c r="K1852" s="443" t="s">
        <v>2255</v>
      </c>
      <c r="L1852" s="471">
        <v>1</v>
      </c>
      <c r="M1852" s="447" t="s">
        <v>3610</v>
      </c>
      <c r="N1852" s="455">
        <v>12000</v>
      </c>
      <c r="O1852" s="475">
        <f t="shared" si="7"/>
        <v>12000</v>
      </c>
      <c r="P1852" s="476"/>
      <c r="Q1852" s="477">
        <v>46023</v>
      </c>
      <c r="R1852" s="476"/>
      <c r="S1852" s="476"/>
    </row>
    <row r="1853" spans="1:19" ht="15.75" customHeight="1" x14ac:dyDescent="0.25">
      <c r="A1853" s="438">
        <v>1850</v>
      </c>
      <c r="B1853" s="470" t="s">
        <v>17</v>
      </c>
      <c r="C1853" s="471" t="s">
        <v>18</v>
      </c>
      <c r="D1853" s="472" t="s">
        <v>19</v>
      </c>
      <c r="E1853" s="448" t="s">
        <v>4086</v>
      </c>
      <c r="F1853" s="448" t="s">
        <v>4112</v>
      </c>
      <c r="G1853" s="473" t="s">
        <v>3223</v>
      </c>
      <c r="H1853" s="439" t="s">
        <v>466</v>
      </c>
      <c r="I1853" s="474" t="s">
        <v>3459</v>
      </c>
      <c r="J1853" s="474" t="s">
        <v>3464</v>
      </c>
      <c r="K1853" s="443" t="s">
        <v>404</v>
      </c>
      <c r="L1853" s="471">
        <v>1</v>
      </c>
      <c r="M1853" s="447" t="s">
        <v>2256</v>
      </c>
      <c r="N1853" s="463">
        <v>6000</v>
      </c>
      <c r="O1853" s="475">
        <f t="shared" si="7"/>
        <v>6000</v>
      </c>
      <c r="P1853" s="476"/>
      <c r="Q1853" s="477">
        <v>46023</v>
      </c>
      <c r="R1853" s="476"/>
      <c r="S1853" s="476"/>
    </row>
    <row r="1854" spans="1:19" ht="15.75" customHeight="1" x14ac:dyDescent="0.25">
      <c r="A1854" s="438">
        <v>1851</v>
      </c>
      <c r="B1854" s="470" t="s">
        <v>17</v>
      </c>
      <c r="C1854" s="471" t="s">
        <v>18</v>
      </c>
      <c r="D1854" s="472" t="s">
        <v>19</v>
      </c>
      <c r="E1854" s="448" t="s">
        <v>4086</v>
      </c>
      <c r="F1854" s="448" t="s">
        <v>4112</v>
      </c>
      <c r="G1854" s="473" t="s">
        <v>2782</v>
      </c>
      <c r="H1854" s="442" t="s">
        <v>1785</v>
      </c>
      <c r="I1854" s="474" t="s">
        <v>3457</v>
      </c>
      <c r="J1854" s="474" t="s">
        <v>3464</v>
      </c>
      <c r="K1854" s="443" t="s">
        <v>1780</v>
      </c>
      <c r="L1854" s="471">
        <v>1</v>
      </c>
      <c r="M1854" s="447" t="s">
        <v>2257</v>
      </c>
      <c r="N1854" s="463">
        <v>3300</v>
      </c>
      <c r="O1854" s="475">
        <f t="shared" si="7"/>
        <v>3300</v>
      </c>
      <c r="P1854" s="476"/>
      <c r="Q1854" s="477">
        <v>46023</v>
      </c>
      <c r="R1854" s="476"/>
      <c r="S1854" s="476"/>
    </row>
    <row r="1855" spans="1:19" ht="15.75" customHeight="1" x14ac:dyDescent="0.25">
      <c r="A1855" s="438">
        <v>1852</v>
      </c>
      <c r="B1855" s="470" t="s">
        <v>17</v>
      </c>
      <c r="C1855" s="471" t="s">
        <v>18</v>
      </c>
      <c r="D1855" s="472" t="s">
        <v>19</v>
      </c>
      <c r="E1855" s="448" t="s">
        <v>4086</v>
      </c>
      <c r="F1855" s="448" t="s">
        <v>4112</v>
      </c>
      <c r="G1855" s="473" t="s">
        <v>2782</v>
      </c>
      <c r="H1855" s="442" t="s">
        <v>1785</v>
      </c>
      <c r="I1855" s="474" t="s">
        <v>3457</v>
      </c>
      <c r="J1855" s="474" t="s">
        <v>3464</v>
      </c>
      <c r="K1855" s="443" t="s">
        <v>1780</v>
      </c>
      <c r="L1855" s="471">
        <v>1</v>
      </c>
      <c r="M1855" s="447" t="s">
        <v>2258</v>
      </c>
      <c r="N1855" s="463">
        <v>3300</v>
      </c>
      <c r="O1855" s="475">
        <f t="shared" si="7"/>
        <v>3300</v>
      </c>
      <c r="P1855" s="476"/>
      <c r="Q1855" s="477">
        <v>46023</v>
      </c>
      <c r="R1855" s="476"/>
      <c r="S1855" s="476"/>
    </row>
    <row r="1856" spans="1:19" ht="15.75" customHeight="1" x14ac:dyDescent="0.25">
      <c r="A1856" s="438">
        <v>1853</v>
      </c>
      <c r="B1856" s="470" t="s">
        <v>17</v>
      </c>
      <c r="C1856" s="471" t="s">
        <v>18</v>
      </c>
      <c r="D1856" s="472" t="s">
        <v>19</v>
      </c>
      <c r="E1856" s="448" t="s">
        <v>4086</v>
      </c>
      <c r="F1856" s="448" t="s">
        <v>4112</v>
      </c>
      <c r="G1856" s="473" t="s">
        <v>2782</v>
      </c>
      <c r="H1856" s="441" t="s">
        <v>1785</v>
      </c>
      <c r="I1856" s="474" t="s">
        <v>3457</v>
      </c>
      <c r="J1856" s="474" t="s">
        <v>3464</v>
      </c>
      <c r="K1856" s="443" t="s">
        <v>1780</v>
      </c>
      <c r="L1856" s="471">
        <v>1</v>
      </c>
      <c r="M1856" s="447" t="s">
        <v>2259</v>
      </c>
      <c r="N1856" s="463">
        <v>3300</v>
      </c>
      <c r="O1856" s="475">
        <f t="shared" si="7"/>
        <v>3300</v>
      </c>
      <c r="P1856" s="476"/>
      <c r="Q1856" s="477">
        <v>46023</v>
      </c>
      <c r="R1856" s="476"/>
      <c r="S1856" s="476"/>
    </row>
    <row r="1857" spans="1:19" ht="15.75" customHeight="1" x14ac:dyDescent="0.25">
      <c r="A1857" s="438">
        <v>1854</v>
      </c>
      <c r="B1857" s="470" t="s">
        <v>17</v>
      </c>
      <c r="C1857" s="471" t="s">
        <v>18</v>
      </c>
      <c r="D1857" s="472" t="s">
        <v>19</v>
      </c>
      <c r="E1857" s="465" t="s">
        <v>4086</v>
      </c>
      <c r="F1857" s="448" t="s">
        <v>4120</v>
      </c>
      <c r="G1857" s="473" t="s">
        <v>2782</v>
      </c>
      <c r="H1857" s="440" t="s">
        <v>1785</v>
      </c>
      <c r="I1857" s="474" t="s">
        <v>3457</v>
      </c>
      <c r="J1857" s="474" t="s">
        <v>3464</v>
      </c>
      <c r="K1857" s="440" t="s">
        <v>1780</v>
      </c>
      <c r="L1857" s="471">
        <v>1</v>
      </c>
      <c r="M1857" s="447" t="s">
        <v>2260</v>
      </c>
      <c r="N1857" s="458">
        <v>3300</v>
      </c>
      <c r="O1857" s="475">
        <f t="shared" si="7"/>
        <v>3300</v>
      </c>
      <c r="P1857" s="476"/>
      <c r="Q1857" s="477">
        <v>46023</v>
      </c>
      <c r="R1857" s="476"/>
      <c r="S1857" s="476"/>
    </row>
    <row r="1858" spans="1:19" ht="15.75" customHeight="1" x14ac:dyDescent="0.25">
      <c r="A1858" s="438">
        <v>1855</v>
      </c>
      <c r="B1858" s="470" t="s">
        <v>17</v>
      </c>
      <c r="C1858" s="471" t="s">
        <v>18</v>
      </c>
      <c r="D1858" s="472" t="s">
        <v>19</v>
      </c>
      <c r="E1858" s="465" t="s">
        <v>4086</v>
      </c>
      <c r="F1858" s="448" t="s">
        <v>4120</v>
      </c>
      <c r="G1858" s="473" t="s">
        <v>2782</v>
      </c>
      <c r="H1858" s="439" t="s">
        <v>1785</v>
      </c>
      <c r="I1858" s="474" t="s">
        <v>3457</v>
      </c>
      <c r="J1858" s="474" t="s">
        <v>3464</v>
      </c>
      <c r="K1858" s="443" t="s">
        <v>1780</v>
      </c>
      <c r="L1858" s="471">
        <v>1</v>
      </c>
      <c r="M1858" s="447" t="s">
        <v>2261</v>
      </c>
      <c r="N1858" s="456">
        <v>3300</v>
      </c>
      <c r="O1858" s="475">
        <f t="shared" si="7"/>
        <v>3300</v>
      </c>
      <c r="P1858" s="476"/>
      <c r="Q1858" s="477">
        <v>46023</v>
      </c>
      <c r="R1858" s="476"/>
      <c r="S1858" s="476"/>
    </row>
    <row r="1859" spans="1:19" ht="15.75" customHeight="1" x14ac:dyDescent="0.25">
      <c r="A1859" s="438">
        <v>1856</v>
      </c>
      <c r="B1859" s="470" t="s">
        <v>17</v>
      </c>
      <c r="C1859" s="471" t="s">
        <v>18</v>
      </c>
      <c r="D1859" s="472" t="s">
        <v>19</v>
      </c>
      <c r="E1859" s="448" t="s">
        <v>4086</v>
      </c>
      <c r="F1859" s="448" t="s">
        <v>4120</v>
      </c>
      <c r="G1859" s="473" t="s">
        <v>4012</v>
      </c>
      <c r="H1859" s="439" t="s">
        <v>1541</v>
      </c>
      <c r="I1859" s="474" t="s">
        <v>3457</v>
      </c>
      <c r="J1859" s="474" t="s">
        <v>3464</v>
      </c>
      <c r="K1859" s="443" t="s">
        <v>1542</v>
      </c>
      <c r="L1859" s="471">
        <v>1</v>
      </c>
      <c r="M1859" s="447" t="s">
        <v>2262</v>
      </c>
      <c r="N1859" s="456">
        <v>25000</v>
      </c>
      <c r="O1859" s="475">
        <f t="shared" si="7"/>
        <v>25000</v>
      </c>
      <c r="P1859" s="476"/>
      <c r="Q1859" s="477">
        <v>46023</v>
      </c>
      <c r="R1859" s="476"/>
      <c r="S1859" s="476"/>
    </row>
    <row r="1860" spans="1:19" ht="15.75" customHeight="1" x14ac:dyDescent="0.25">
      <c r="A1860" s="438">
        <v>1857</v>
      </c>
      <c r="B1860" s="470" t="s">
        <v>17</v>
      </c>
      <c r="C1860" s="471" t="s">
        <v>18</v>
      </c>
      <c r="D1860" s="472" t="s">
        <v>19</v>
      </c>
      <c r="E1860" s="448" t="s">
        <v>4087</v>
      </c>
      <c r="F1860" s="448" t="s">
        <v>4099</v>
      </c>
      <c r="G1860" s="473" t="s">
        <v>4055</v>
      </c>
      <c r="H1860" s="439" t="s">
        <v>2263</v>
      </c>
      <c r="I1860" s="474" t="s">
        <v>3457</v>
      </c>
      <c r="J1860" s="474" t="s">
        <v>3463</v>
      </c>
      <c r="K1860" s="443" t="s">
        <v>2220</v>
      </c>
      <c r="L1860" s="471">
        <v>1</v>
      </c>
      <c r="M1860" s="447" t="s">
        <v>3611</v>
      </c>
      <c r="N1860" s="457">
        <v>89500</v>
      </c>
      <c r="O1860" s="475">
        <f t="shared" si="7"/>
        <v>89500</v>
      </c>
      <c r="P1860" s="476"/>
      <c r="Q1860" s="477">
        <v>46023</v>
      </c>
      <c r="R1860" s="476"/>
      <c r="S1860" s="476"/>
    </row>
    <row r="1861" spans="1:19" ht="15.75" customHeight="1" x14ac:dyDescent="0.25">
      <c r="A1861" s="438">
        <v>1858</v>
      </c>
      <c r="B1861" s="470" t="s">
        <v>17</v>
      </c>
      <c r="C1861" s="471" t="s">
        <v>18</v>
      </c>
      <c r="D1861" s="472" t="s">
        <v>19</v>
      </c>
      <c r="E1861" s="465" t="s">
        <v>4087</v>
      </c>
      <c r="F1861" s="448" t="s">
        <v>4099</v>
      </c>
      <c r="G1861" s="473" t="s">
        <v>4055</v>
      </c>
      <c r="H1861" s="440" t="s">
        <v>2263</v>
      </c>
      <c r="I1861" s="474" t="s">
        <v>3457</v>
      </c>
      <c r="J1861" s="474" t="s">
        <v>3463</v>
      </c>
      <c r="K1861" s="440" t="s">
        <v>2220</v>
      </c>
      <c r="L1861" s="471">
        <v>1</v>
      </c>
      <c r="M1861" s="447" t="s">
        <v>3612</v>
      </c>
      <c r="N1861" s="458">
        <v>89500</v>
      </c>
      <c r="O1861" s="475">
        <f t="shared" si="7"/>
        <v>89500</v>
      </c>
      <c r="P1861" s="476"/>
      <c r="Q1861" s="477">
        <v>46023</v>
      </c>
      <c r="R1861" s="476"/>
      <c r="S1861" s="476"/>
    </row>
    <row r="1862" spans="1:19" ht="15.75" customHeight="1" x14ac:dyDescent="0.25">
      <c r="A1862" s="438">
        <v>1859</v>
      </c>
      <c r="B1862" s="470" t="s">
        <v>17</v>
      </c>
      <c r="C1862" s="471" t="s">
        <v>18</v>
      </c>
      <c r="D1862" s="472" t="s">
        <v>19</v>
      </c>
      <c r="E1862" s="465" t="s">
        <v>4087</v>
      </c>
      <c r="F1862" s="448" t="s">
        <v>4099</v>
      </c>
      <c r="G1862" s="473" t="s">
        <v>4055</v>
      </c>
      <c r="H1862" s="440" t="s">
        <v>2263</v>
      </c>
      <c r="I1862" s="474" t="s">
        <v>3457</v>
      </c>
      <c r="J1862" s="474" t="s">
        <v>3463</v>
      </c>
      <c r="K1862" s="440" t="s">
        <v>2220</v>
      </c>
      <c r="L1862" s="471">
        <v>1</v>
      </c>
      <c r="M1862" s="447" t="s">
        <v>3613</v>
      </c>
      <c r="N1862" s="458">
        <v>89500</v>
      </c>
      <c r="O1862" s="475">
        <f t="shared" si="7"/>
        <v>89500</v>
      </c>
      <c r="P1862" s="476"/>
      <c r="Q1862" s="477">
        <v>46023</v>
      </c>
      <c r="R1862" s="476"/>
      <c r="S1862" s="476"/>
    </row>
    <row r="1863" spans="1:19" ht="15.75" customHeight="1" x14ac:dyDescent="0.25">
      <c r="A1863" s="438">
        <v>1860</v>
      </c>
      <c r="B1863" s="470" t="s">
        <v>17</v>
      </c>
      <c r="C1863" s="471" t="s">
        <v>18</v>
      </c>
      <c r="D1863" s="472" t="s">
        <v>19</v>
      </c>
      <c r="E1863" s="448" t="s">
        <v>4085</v>
      </c>
      <c r="F1863" s="448" t="s">
        <v>2985</v>
      </c>
      <c r="G1863" s="473" t="s">
        <v>3957</v>
      </c>
      <c r="H1863" s="439" t="s">
        <v>950</v>
      </c>
      <c r="I1863" s="474" t="s">
        <v>3459</v>
      </c>
      <c r="J1863" s="474" t="s">
        <v>3463</v>
      </c>
      <c r="K1863" s="443" t="s">
        <v>951</v>
      </c>
      <c r="L1863" s="471">
        <v>1</v>
      </c>
      <c r="M1863" s="447" t="s">
        <v>2308</v>
      </c>
      <c r="N1863" s="456">
        <v>2000</v>
      </c>
      <c r="O1863" s="475">
        <f t="shared" si="7"/>
        <v>2000</v>
      </c>
      <c r="P1863" s="476"/>
      <c r="Q1863" s="477">
        <v>46023</v>
      </c>
      <c r="R1863" s="476"/>
      <c r="S1863" s="476"/>
    </row>
    <row r="1864" spans="1:19" ht="15.75" customHeight="1" x14ac:dyDescent="0.25">
      <c r="A1864" s="438">
        <v>1861</v>
      </c>
      <c r="B1864" s="470" t="s">
        <v>17</v>
      </c>
      <c r="C1864" s="471" t="s">
        <v>18</v>
      </c>
      <c r="D1864" s="472" t="s">
        <v>19</v>
      </c>
      <c r="E1864" s="465" t="s">
        <v>4089</v>
      </c>
      <c r="F1864" s="448" t="s">
        <v>4108</v>
      </c>
      <c r="G1864" s="473" t="s">
        <v>3933</v>
      </c>
      <c r="H1864" s="439" t="s">
        <v>2343</v>
      </c>
      <c r="I1864" s="474" t="s">
        <v>3459</v>
      </c>
      <c r="J1864" s="474" t="s">
        <v>3463</v>
      </c>
      <c r="K1864" s="443" t="s">
        <v>521</v>
      </c>
      <c r="L1864" s="471">
        <v>1</v>
      </c>
      <c r="M1864" s="447" t="s">
        <v>2344</v>
      </c>
      <c r="N1864" s="456">
        <v>12000</v>
      </c>
      <c r="O1864" s="475">
        <f t="shared" si="7"/>
        <v>12000</v>
      </c>
      <c r="P1864" s="476"/>
      <c r="Q1864" s="477">
        <v>46023</v>
      </c>
      <c r="R1864" s="476"/>
      <c r="S1864" s="476"/>
    </row>
    <row r="1865" spans="1:19" ht="15.75" customHeight="1" x14ac:dyDescent="0.25">
      <c r="A1865" s="438">
        <v>1862</v>
      </c>
      <c r="B1865" s="470" t="s">
        <v>17</v>
      </c>
      <c r="C1865" s="471" t="s">
        <v>18</v>
      </c>
      <c r="D1865" s="472" t="s">
        <v>19</v>
      </c>
      <c r="E1865" s="465" t="s">
        <v>4089</v>
      </c>
      <c r="F1865" s="448" t="s">
        <v>4108</v>
      </c>
      <c r="G1865" s="473" t="s">
        <v>3933</v>
      </c>
      <c r="H1865" s="439" t="s">
        <v>2343</v>
      </c>
      <c r="I1865" s="474" t="s">
        <v>3459</v>
      </c>
      <c r="J1865" s="474" t="s">
        <v>3463</v>
      </c>
      <c r="K1865" s="443" t="s">
        <v>521</v>
      </c>
      <c r="L1865" s="471">
        <v>1</v>
      </c>
      <c r="M1865" s="447" t="s">
        <v>2345</v>
      </c>
      <c r="N1865" s="456">
        <v>12000</v>
      </c>
      <c r="O1865" s="475">
        <f t="shared" si="7"/>
        <v>12000</v>
      </c>
      <c r="P1865" s="476"/>
      <c r="Q1865" s="477">
        <v>46023</v>
      </c>
      <c r="R1865" s="476"/>
      <c r="S1865" s="476"/>
    </row>
    <row r="1866" spans="1:19" ht="15.75" customHeight="1" x14ac:dyDescent="0.25">
      <c r="A1866" s="438">
        <v>1863</v>
      </c>
      <c r="B1866" s="470" t="s">
        <v>17</v>
      </c>
      <c r="C1866" s="471" t="s">
        <v>18</v>
      </c>
      <c r="D1866" s="472" t="s">
        <v>19</v>
      </c>
      <c r="E1866" s="465" t="s">
        <v>4088</v>
      </c>
      <c r="F1866" s="448" t="s">
        <v>4101</v>
      </c>
      <c r="G1866" s="473" t="s">
        <v>3980</v>
      </c>
      <c r="H1866" s="439" t="s">
        <v>1153</v>
      </c>
      <c r="I1866" s="474" t="s">
        <v>3459</v>
      </c>
      <c r="J1866" s="474" t="s">
        <v>3464</v>
      </c>
      <c r="K1866" s="443" t="s">
        <v>1136</v>
      </c>
      <c r="L1866" s="471">
        <v>1</v>
      </c>
      <c r="M1866" s="447" t="s">
        <v>2302</v>
      </c>
      <c r="N1866" s="456">
        <v>7400</v>
      </c>
      <c r="O1866" s="475">
        <f t="shared" si="7"/>
        <v>7400</v>
      </c>
      <c r="P1866" s="476"/>
      <c r="Q1866" s="477">
        <v>46023</v>
      </c>
      <c r="R1866" s="476"/>
      <c r="S1866" s="476"/>
    </row>
    <row r="1867" spans="1:19" ht="15.75" customHeight="1" x14ac:dyDescent="0.25">
      <c r="A1867" s="438">
        <v>1864</v>
      </c>
      <c r="B1867" s="470" t="s">
        <v>17</v>
      </c>
      <c r="C1867" s="471" t="s">
        <v>18</v>
      </c>
      <c r="D1867" s="472" t="s">
        <v>19</v>
      </c>
      <c r="E1867" s="465" t="s">
        <v>4088</v>
      </c>
      <c r="F1867" s="448" t="s">
        <v>4101</v>
      </c>
      <c r="G1867" s="473" t="s">
        <v>3980</v>
      </c>
      <c r="H1867" s="439" t="s">
        <v>1153</v>
      </c>
      <c r="I1867" s="474" t="s">
        <v>3459</v>
      </c>
      <c r="J1867" s="474" t="s">
        <v>3464</v>
      </c>
      <c r="K1867" s="443" t="s">
        <v>1136</v>
      </c>
      <c r="L1867" s="471">
        <v>1</v>
      </c>
      <c r="M1867" s="447" t="s">
        <v>2303</v>
      </c>
      <c r="N1867" s="456">
        <v>7400</v>
      </c>
      <c r="O1867" s="475">
        <f t="shared" si="7"/>
        <v>7400</v>
      </c>
      <c r="P1867" s="476"/>
      <c r="Q1867" s="477">
        <v>46023</v>
      </c>
      <c r="R1867" s="476"/>
      <c r="S1867" s="476"/>
    </row>
    <row r="1868" spans="1:19" ht="15.75" customHeight="1" x14ac:dyDescent="0.25">
      <c r="A1868" s="438">
        <v>1865</v>
      </c>
      <c r="B1868" s="470" t="s">
        <v>17</v>
      </c>
      <c r="C1868" s="471" t="s">
        <v>18</v>
      </c>
      <c r="D1868" s="472" t="s">
        <v>19</v>
      </c>
      <c r="E1868" s="465" t="s">
        <v>4080</v>
      </c>
      <c r="F1868" s="448" t="s">
        <v>4080</v>
      </c>
      <c r="G1868" s="473" t="s">
        <v>3946</v>
      </c>
      <c r="H1868" s="439" t="s">
        <v>961</v>
      </c>
      <c r="I1868" s="474" t="s">
        <v>3459</v>
      </c>
      <c r="J1868" s="474" t="s">
        <v>3464</v>
      </c>
      <c r="K1868" s="443" t="s">
        <v>902</v>
      </c>
      <c r="L1868" s="471">
        <v>1</v>
      </c>
      <c r="M1868" s="447" t="s">
        <v>2329</v>
      </c>
      <c r="N1868" s="456">
        <v>49900</v>
      </c>
      <c r="O1868" s="475">
        <f t="shared" si="7"/>
        <v>49900</v>
      </c>
      <c r="P1868" s="476"/>
      <c r="Q1868" s="477">
        <v>46023</v>
      </c>
      <c r="R1868" s="476"/>
      <c r="S1868" s="476"/>
    </row>
    <row r="1869" spans="1:19" ht="15.75" customHeight="1" x14ac:dyDescent="0.25">
      <c r="A1869" s="438">
        <v>1866</v>
      </c>
      <c r="B1869" s="470" t="s">
        <v>17</v>
      </c>
      <c r="C1869" s="471" t="s">
        <v>18</v>
      </c>
      <c r="D1869" s="472" t="s">
        <v>19</v>
      </c>
      <c r="E1869" s="465" t="s">
        <v>4083</v>
      </c>
      <c r="F1869" s="448" t="s">
        <v>2988</v>
      </c>
      <c r="G1869" s="473" t="s">
        <v>3058</v>
      </c>
      <c r="H1869" s="439" t="s">
        <v>2394</v>
      </c>
      <c r="I1869" s="474" t="s">
        <v>3459</v>
      </c>
      <c r="J1869" s="474" t="s">
        <v>3464</v>
      </c>
      <c r="K1869" s="443" t="s">
        <v>729</v>
      </c>
      <c r="L1869" s="471">
        <v>1</v>
      </c>
      <c r="M1869" s="447" t="s">
        <v>2337</v>
      </c>
      <c r="N1869" s="456">
        <v>9980</v>
      </c>
      <c r="O1869" s="475">
        <f t="shared" si="7"/>
        <v>9980</v>
      </c>
      <c r="P1869" s="476"/>
      <c r="Q1869" s="477">
        <v>46023</v>
      </c>
      <c r="R1869" s="476"/>
      <c r="S1869" s="476"/>
    </row>
    <row r="1870" spans="1:19" ht="15.75" customHeight="1" x14ac:dyDescent="0.25">
      <c r="A1870" s="438">
        <v>1867</v>
      </c>
      <c r="B1870" s="470" t="s">
        <v>17</v>
      </c>
      <c r="C1870" s="471" t="s">
        <v>18</v>
      </c>
      <c r="D1870" s="472" t="s">
        <v>19</v>
      </c>
      <c r="E1870" s="465" t="s">
        <v>4088</v>
      </c>
      <c r="F1870" s="448" t="s">
        <v>4104</v>
      </c>
      <c r="G1870" s="473" t="s">
        <v>3058</v>
      </c>
      <c r="H1870" s="439" t="s">
        <v>2394</v>
      </c>
      <c r="I1870" s="474" t="s">
        <v>3459</v>
      </c>
      <c r="J1870" s="474" t="s">
        <v>3464</v>
      </c>
      <c r="K1870" s="443" t="s">
        <v>729</v>
      </c>
      <c r="L1870" s="471">
        <v>1</v>
      </c>
      <c r="M1870" s="447" t="s">
        <v>2338</v>
      </c>
      <c r="N1870" s="456">
        <v>9980</v>
      </c>
      <c r="O1870" s="475">
        <f t="shared" si="7"/>
        <v>9980</v>
      </c>
      <c r="P1870" s="476"/>
      <c r="Q1870" s="477">
        <v>46023</v>
      </c>
      <c r="R1870" s="476"/>
      <c r="S1870" s="476"/>
    </row>
    <row r="1871" spans="1:19" ht="15.75" customHeight="1" x14ac:dyDescent="0.25">
      <c r="A1871" s="438">
        <v>1868</v>
      </c>
      <c r="B1871" s="470" t="s">
        <v>17</v>
      </c>
      <c r="C1871" s="471" t="s">
        <v>18</v>
      </c>
      <c r="D1871" s="472" t="s">
        <v>19</v>
      </c>
      <c r="E1871" s="465" t="s">
        <v>4089</v>
      </c>
      <c r="F1871" s="448" t="s">
        <v>4108</v>
      </c>
      <c r="G1871" s="473" t="s">
        <v>2286</v>
      </c>
      <c r="H1871" s="439" t="s">
        <v>523</v>
      </c>
      <c r="I1871" s="474" t="s">
        <v>3459</v>
      </c>
      <c r="J1871" s="474" t="s">
        <v>3464</v>
      </c>
      <c r="K1871" s="443" t="s">
        <v>500</v>
      </c>
      <c r="L1871" s="471">
        <v>1</v>
      </c>
      <c r="M1871" s="447" t="s">
        <v>2341</v>
      </c>
      <c r="N1871" s="456">
        <v>37980</v>
      </c>
      <c r="O1871" s="475">
        <f t="shared" si="7"/>
        <v>37980</v>
      </c>
      <c r="P1871" s="476"/>
      <c r="Q1871" s="477">
        <v>46023</v>
      </c>
      <c r="R1871" s="476"/>
      <c r="S1871" s="476"/>
    </row>
    <row r="1872" spans="1:19" ht="15.75" customHeight="1" x14ac:dyDescent="0.25">
      <c r="A1872" s="438">
        <v>1869</v>
      </c>
      <c r="B1872" s="470" t="s">
        <v>17</v>
      </c>
      <c r="C1872" s="471" t="s">
        <v>18</v>
      </c>
      <c r="D1872" s="472" t="s">
        <v>19</v>
      </c>
      <c r="E1872" s="465" t="s">
        <v>4089</v>
      </c>
      <c r="F1872" s="448" t="s">
        <v>4080</v>
      </c>
      <c r="G1872" s="473" t="s">
        <v>2286</v>
      </c>
      <c r="H1872" s="439" t="s">
        <v>523</v>
      </c>
      <c r="I1872" s="474" t="s">
        <v>3459</v>
      </c>
      <c r="J1872" s="474" t="s">
        <v>3464</v>
      </c>
      <c r="K1872" s="443" t="s">
        <v>500</v>
      </c>
      <c r="L1872" s="471">
        <v>1</v>
      </c>
      <c r="M1872" s="447" t="s">
        <v>2342</v>
      </c>
      <c r="N1872" s="456">
        <v>37980</v>
      </c>
      <c r="O1872" s="475">
        <f t="shared" si="7"/>
        <v>37980</v>
      </c>
      <c r="P1872" s="476"/>
      <c r="Q1872" s="477">
        <v>46023</v>
      </c>
      <c r="R1872" s="476"/>
      <c r="S1872" s="476"/>
    </row>
    <row r="1873" spans="1:19" ht="15.75" customHeight="1" x14ac:dyDescent="0.25">
      <c r="A1873" s="438">
        <v>1870</v>
      </c>
      <c r="B1873" s="470" t="s">
        <v>17</v>
      </c>
      <c r="C1873" s="471" t="s">
        <v>18</v>
      </c>
      <c r="D1873" s="472" t="s">
        <v>19</v>
      </c>
      <c r="E1873" s="448" t="s">
        <v>3249</v>
      </c>
      <c r="F1873" s="448" t="s">
        <v>3249</v>
      </c>
      <c r="G1873" s="452" t="s">
        <v>3065</v>
      </c>
      <c r="H1873" s="440" t="s">
        <v>2349</v>
      </c>
      <c r="I1873" s="474" t="s">
        <v>3459</v>
      </c>
      <c r="J1873" s="474" t="s">
        <v>3464</v>
      </c>
      <c r="K1873" s="446" t="s">
        <v>349</v>
      </c>
      <c r="L1873" s="471">
        <v>1</v>
      </c>
      <c r="M1873" s="447" t="s">
        <v>2350</v>
      </c>
      <c r="N1873" s="458">
        <v>5500</v>
      </c>
      <c r="O1873" s="475">
        <f t="shared" si="7"/>
        <v>5500</v>
      </c>
      <c r="P1873" s="476"/>
      <c r="Q1873" s="477">
        <v>46023</v>
      </c>
      <c r="R1873" s="476"/>
      <c r="S1873" s="476"/>
    </row>
    <row r="1874" spans="1:19" ht="15.75" customHeight="1" x14ac:dyDescent="0.25">
      <c r="A1874" s="438">
        <v>1871</v>
      </c>
      <c r="B1874" s="470" t="s">
        <v>17</v>
      </c>
      <c r="C1874" s="471" t="s">
        <v>18</v>
      </c>
      <c r="D1874" s="472" t="s">
        <v>19</v>
      </c>
      <c r="E1874" s="448" t="s">
        <v>4090</v>
      </c>
      <c r="F1874" s="448" t="s">
        <v>4090</v>
      </c>
      <c r="G1874" s="473" t="s">
        <v>2803</v>
      </c>
      <c r="H1874" s="439" t="s">
        <v>302</v>
      </c>
      <c r="I1874" s="474" t="s">
        <v>3460</v>
      </c>
      <c r="J1874" s="474" t="s">
        <v>3464</v>
      </c>
      <c r="K1874" s="443" t="s">
        <v>279</v>
      </c>
      <c r="L1874" s="471">
        <v>1</v>
      </c>
      <c r="M1874" s="447" t="s">
        <v>2309</v>
      </c>
      <c r="N1874" s="456">
        <v>170000</v>
      </c>
      <c r="O1874" s="475">
        <f t="shared" si="7"/>
        <v>170000</v>
      </c>
      <c r="P1874" s="476"/>
      <c r="Q1874" s="477">
        <v>46023</v>
      </c>
      <c r="R1874" s="476"/>
      <c r="S1874" s="476"/>
    </row>
    <row r="1875" spans="1:19" ht="15.75" customHeight="1" x14ac:dyDescent="0.25">
      <c r="A1875" s="438">
        <v>1872</v>
      </c>
      <c r="B1875" s="470" t="s">
        <v>17</v>
      </c>
      <c r="C1875" s="471" t="s">
        <v>18</v>
      </c>
      <c r="D1875" s="472" t="s">
        <v>19</v>
      </c>
      <c r="E1875" s="448" t="s">
        <v>4090</v>
      </c>
      <c r="F1875" s="448" t="s">
        <v>4090</v>
      </c>
      <c r="G1875" s="473" t="s">
        <v>3916</v>
      </c>
      <c r="H1875" s="439" t="s">
        <v>271</v>
      </c>
      <c r="I1875" s="474" t="s">
        <v>3460</v>
      </c>
      <c r="J1875" s="474" t="s">
        <v>3464</v>
      </c>
      <c r="K1875" s="443" t="s">
        <v>272</v>
      </c>
      <c r="L1875" s="471">
        <v>1</v>
      </c>
      <c r="M1875" s="447" t="s">
        <v>3614</v>
      </c>
      <c r="N1875" s="456">
        <v>104000</v>
      </c>
      <c r="O1875" s="475">
        <f t="shared" si="7"/>
        <v>104000</v>
      </c>
      <c r="P1875" s="476"/>
      <c r="Q1875" s="477">
        <v>46023</v>
      </c>
      <c r="R1875" s="476"/>
      <c r="S1875" s="476"/>
    </row>
    <row r="1876" spans="1:19" ht="15.75" customHeight="1" x14ac:dyDescent="0.25">
      <c r="A1876" s="438">
        <v>1873</v>
      </c>
      <c r="B1876" s="470" t="s">
        <v>17</v>
      </c>
      <c r="C1876" s="471" t="s">
        <v>18</v>
      </c>
      <c r="D1876" s="472" t="s">
        <v>19</v>
      </c>
      <c r="E1876" s="448" t="s">
        <v>4080</v>
      </c>
      <c r="F1876" s="448" t="s">
        <v>4080</v>
      </c>
      <c r="G1876" s="473" t="s">
        <v>2803</v>
      </c>
      <c r="H1876" s="439" t="s">
        <v>302</v>
      </c>
      <c r="I1876" s="474" t="s">
        <v>3460</v>
      </c>
      <c r="J1876" s="474" t="s">
        <v>3464</v>
      </c>
      <c r="K1876" s="443" t="s">
        <v>279</v>
      </c>
      <c r="L1876" s="471">
        <v>1</v>
      </c>
      <c r="M1876" s="447" t="s">
        <v>2328</v>
      </c>
      <c r="N1876" s="456">
        <v>74000</v>
      </c>
      <c r="O1876" s="475">
        <f t="shared" si="7"/>
        <v>74000</v>
      </c>
      <c r="P1876" s="476"/>
      <c r="Q1876" s="477">
        <v>46023</v>
      </c>
      <c r="R1876" s="476"/>
      <c r="S1876" s="476"/>
    </row>
    <row r="1877" spans="1:19" ht="15.75" customHeight="1" x14ac:dyDescent="0.25">
      <c r="A1877" s="438">
        <v>1874</v>
      </c>
      <c r="B1877" s="470" t="s">
        <v>17</v>
      </c>
      <c r="C1877" s="471" t="s">
        <v>18</v>
      </c>
      <c r="D1877" s="472" t="s">
        <v>19</v>
      </c>
      <c r="E1877" s="448" t="s">
        <v>4083</v>
      </c>
      <c r="F1877" s="448" t="s">
        <v>2988</v>
      </c>
      <c r="G1877" s="473" t="s">
        <v>3060</v>
      </c>
      <c r="H1877" s="439" t="s">
        <v>3412</v>
      </c>
      <c r="I1877" s="474" t="s">
        <v>3457</v>
      </c>
      <c r="J1877" s="474" t="s">
        <v>3463</v>
      </c>
      <c r="K1877" s="443" t="s">
        <v>1539</v>
      </c>
      <c r="L1877" s="471">
        <v>1</v>
      </c>
      <c r="M1877" s="447" t="s">
        <v>2326</v>
      </c>
      <c r="N1877" s="456">
        <v>6500</v>
      </c>
      <c r="O1877" s="475">
        <f t="shared" si="7"/>
        <v>6500</v>
      </c>
      <c r="P1877" s="476"/>
      <c r="Q1877" s="477">
        <v>46023</v>
      </c>
      <c r="R1877" s="476"/>
      <c r="S1877" s="476"/>
    </row>
    <row r="1878" spans="1:19" ht="15.75" customHeight="1" x14ac:dyDescent="0.25">
      <c r="A1878" s="438">
        <v>1875</v>
      </c>
      <c r="B1878" s="470" t="s">
        <v>17</v>
      </c>
      <c r="C1878" s="471" t="s">
        <v>18</v>
      </c>
      <c r="D1878" s="472" t="s">
        <v>19</v>
      </c>
      <c r="E1878" s="465" t="s">
        <v>4083</v>
      </c>
      <c r="F1878" s="448" t="s">
        <v>2988</v>
      </c>
      <c r="G1878" s="473" t="s">
        <v>3060</v>
      </c>
      <c r="H1878" s="439" t="s">
        <v>3412</v>
      </c>
      <c r="I1878" s="474" t="s">
        <v>3457</v>
      </c>
      <c r="J1878" s="474" t="s">
        <v>3463</v>
      </c>
      <c r="K1878" s="443" t="s">
        <v>1539</v>
      </c>
      <c r="L1878" s="471">
        <v>1</v>
      </c>
      <c r="M1878" s="447" t="s">
        <v>2327</v>
      </c>
      <c r="N1878" s="456">
        <v>6500</v>
      </c>
      <c r="O1878" s="475">
        <f t="shared" si="7"/>
        <v>6500</v>
      </c>
      <c r="P1878" s="476"/>
      <c r="Q1878" s="477">
        <v>46023</v>
      </c>
      <c r="R1878" s="476"/>
      <c r="S1878" s="476"/>
    </row>
    <row r="1879" spans="1:19" ht="15.75" customHeight="1" x14ac:dyDescent="0.25">
      <c r="A1879" s="438">
        <v>1876</v>
      </c>
      <c r="B1879" s="470" t="s">
        <v>17</v>
      </c>
      <c r="C1879" s="471" t="s">
        <v>18</v>
      </c>
      <c r="D1879" s="472" t="s">
        <v>19</v>
      </c>
      <c r="E1879" s="465" t="s">
        <v>4081</v>
      </c>
      <c r="F1879" s="448" t="s">
        <v>2989</v>
      </c>
      <c r="G1879" s="473" t="s">
        <v>4016</v>
      </c>
      <c r="H1879" s="439" t="s">
        <v>1583</v>
      </c>
      <c r="I1879" s="474" t="s">
        <v>3457</v>
      </c>
      <c r="J1879" s="474" t="s">
        <v>3463</v>
      </c>
      <c r="K1879" s="443" t="s">
        <v>3476</v>
      </c>
      <c r="L1879" s="471">
        <v>1</v>
      </c>
      <c r="M1879" s="447" t="s">
        <v>2331</v>
      </c>
      <c r="N1879" s="456">
        <v>3200</v>
      </c>
      <c r="O1879" s="475">
        <f t="shared" si="7"/>
        <v>3200</v>
      </c>
      <c r="P1879" s="476"/>
      <c r="Q1879" s="477">
        <v>46023</v>
      </c>
      <c r="R1879" s="476"/>
      <c r="S1879" s="476"/>
    </row>
    <row r="1880" spans="1:19" ht="15.75" customHeight="1" x14ac:dyDescent="0.25">
      <c r="A1880" s="438">
        <v>1877</v>
      </c>
      <c r="B1880" s="470" t="s">
        <v>17</v>
      </c>
      <c r="C1880" s="471" t="s">
        <v>18</v>
      </c>
      <c r="D1880" s="472" t="s">
        <v>19</v>
      </c>
      <c r="E1880" s="465" t="s">
        <v>4081</v>
      </c>
      <c r="F1880" s="448" t="s">
        <v>2989</v>
      </c>
      <c r="G1880" s="473" t="s">
        <v>4016</v>
      </c>
      <c r="H1880" s="439" t="s">
        <v>1583</v>
      </c>
      <c r="I1880" s="474" t="s">
        <v>3457</v>
      </c>
      <c r="J1880" s="474" t="s">
        <v>3463</v>
      </c>
      <c r="K1880" s="443" t="s">
        <v>3476</v>
      </c>
      <c r="L1880" s="471">
        <v>1</v>
      </c>
      <c r="M1880" s="447" t="s">
        <v>2339</v>
      </c>
      <c r="N1880" s="456">
        <v>5100</v>
      </c>
      <c r="O1880" s="475">
        <f t="shared" si="7"/>
        <v>5100</v>
      </c>
      <c r="P1880" s="476"/>
      <c r="Q1880" s="477">
        <v>46023</v>
      </c>
      <c r="R1880" s="476"/>
      <c r="S1880" s="476"/>
    </row>
    <row r="1881" spans="1:19" ht="15.75" customHeight="1" x14ac:dyDescent="0.25">
      <c r="A1881" s="438">
        <v>1878</v>
      </c>
      <c r="B1881" s="470" t="s">
        <v>17</v>
      </c>
      <c r="C1881" s="471" t="s">
        <v>18</v>
      </c>
      <c r="D1881" s="472" t="s">
        <v>19</v>
      </c>
      <c r="E1881" s="448" t="s">
        <v>4081</v>
      </c>
      <c r="F1881" s="448" t="s">
        <v>2989</v>
      </c>
      <c r="G1881" s="473" t="s">
        <v>4016</v>
      </c>
      <c r="H1881" s="439" t="s">
        <v>1583</v>
      </c>
      <c r="I1881" s="474" t="s">
        <v>3457</v>
      </c>
      <c r="J1881" s="474" t="s">
        <v>3463</v>
      </c>
      <c r="K1881" s="443" t="s">
        <v>3476</v>
      </c>
      <c r="L1881" s="471">
        <v>1</v>
      </c>
      <c r="M1881" s="447" t="s">
        <v>2340</v>
      </c>
      <c r="N1881" s="456">
        <v>5100</v>
      </c>
      <c r="O1881" s="475">
        <f t="shared" si="7"/>
        <v>5100</v>
      </c>
      <c r="P1881" s="476"/>
      <c r="Q1881" s="477">
        <v>46023</v>
      </c>
      <c r="R1881" s="476"/>
      <c r="S1881" s="476"/>
    </row>
    <row r="1882" spans="1:19" ht="15.75" customHeight="1" x14ac:dyDescent="0.25">
      <c r="A1882" s="438">
        <v>1879</v>
      </c>
      <c r="B1882" s="470" t="s">
        <v>17</v>
      </c>
      <c r="C1882" s="471" t="s">
        <v>18</v>
      </c>
      <c r="D1882" s="472" t="s">
        <v>19</v>
      </c>
      <c r="E1882" s="448" t="s">
        <v>4080</v>
      </c>
      <c r="F1882" s="448" t="s">
        <v>4121</v>
      </c>
      <c r="G1882" s="473" t="s">
        <v>4006</v>
      </c>
      <c r="H1882" s="439" t="s">
        <v>3413</v>
      </c>
      <c r="I1882" s="474" t="s">
        <v>3457</v>
      </c>
      <c r="J1882" s="474" t="s">
        <v>3464</v>
      </c>
      <c r="K1882" s="443" t="s">
        <v>1431</v>
      </c>
      <c r="L1882" s="471">
        <v>1</v>
      </c>
      <c r="M1882" s="447" t="s">
        <v>2306</v>
      </c>
      <c r="N1882" s="456">
        <v>55000</v>
      </c>
      <c r="O1882" s="475">
        <f t="shared" si="7"/>
        <v>55000</v>
      </c>
      <c r="P1882" s="476"/>
      <c r="Q1882" s="477">
        <v>46023</v>
      </c>
      <c r="R1882" s="476"/>
      <c r="S1882" s="476"/>
    </row>
    <row r="1883" spans="1:19" ht="15.75" customHeight="1" x14ac:dyDescent="0.25">
      <c r="A1883" s="438">
        <v>1880</v>
      </c>
      <c r="B1883" s="470" t="s">
        <v>17</v>
      </c>
      <c r="C1883" s="471" t="s">
        <v>18</v>
      </c>
      <c r="D1883" s="472" t="s">
        <v>19</v>
      </c>
      <c r="E1883" s="465" t="s">
        <v>4080</v>
      </c>
      <c r="F1883" s="448" t="s">
        <v>4121</v>
      </c>
      <c r="G1883" s="473" t="s">
        <v>4006</v>
      </c>
      <c r="H1883" s="439" t="s">
        <v>3413</v>
      </c>
      <c r="I1883" s="474" t="s">
        <v>3457</v>
      </c>
      <c r="J1883" s="474" t="s">
        <v>3464</v>
      </c>
      <c r="K1883" s="443" t="s">
        <v>1431</v>
      </c>
      <c r="L1883" s="471">
        <v>1</v>
      </c>
      <c r="M1883" s="447" t="s">
        <v>2307</v>
      </c>
      <c r="N1883" s="457">
        <v>55000</v>
      </c>
      <c r="O1883" s="475">
        <f t="shared" si="7"/>
        <v>55000</v>
      </c>
      <c r="P1883" s="476"/>
      <c r="Q1883" s="477">
        <v>46023</v>
      </c>
      <c r="R1883" s="476"/>
      <c r="S1883" s="476"/>
    </row>
    <row r="1884" spans="1:19" ht="15.75" customHeight="1" x14ac:dyDescent="0.25">
      <c r="A1884" s="438">
        <v>1881</v>
      </c>
      <c r="B1884" s="470" t="s">
        <v>17</v>
      </c>
      <c r="C1884" s="471" t="s">
        <v>18</v>
      </c>
      <c r="D1884" s="472" t="s">
        <v>19</v>
      </c>
      <c r="E1884" s="465" t="s">
        <v>4086</v>
      </c>
      <c r="F1884" s="448" t="s">
        <v>4114</v>
      </c>
      <c r="G1884" s="473" t="s">
        <v>3045</v>
      </c>
      <c r="H1884" s="439" t="s">
        <v>1591</v>
      </c>
      <c r="I1884" s="474" t="s">
        <v>3457</v>
      </c>
      <c r="J1884" s="474" t="s">
        <v>3464</v>
      </c>
      <c r="K1884" s="443" t="s">
        <v>1592</v>
      </c>
      <c r="L1884" s="471">
        <v>1</v>
      </c>
      <c r="M1884" s="447" t="s">
        <v>2312</v>
      </c>
      <c r="N1884" s="457">
        <v>3150</v>
      </c>
      <c r="O1884" s="475">
        <f t="shared" si="7"/>
        <v>3150</v>
      </c>
      <c r="P1884" s="476"/>
      <c r="Q1884" s="477">
        <v>46023</v>
      </c>
      <c r="R1884" s="476"/>
      <c r="S1884" s="476"/>
    </row>
    <row r="1885" spans="1:19" ht="15.75" customHeight="1" x14ac:dyDescent="0.25">
      <c r="A1885" s="438">
        <v>1882</v>
      </c>
      <c r="B1885" s="470" t="s">
        <v>17</v>
      </c>
      <c r="C1885" s="471" t="s">
        <v>18</v>
      </c>
      <c r="D1885" s="472" t="s">
        <v>19</v>
      </c>
      <c r="E1885" s="465" t="s">
        <v>4086</v>
      </c>
      <c r="F1885" s="448" t="s">
        <v>4114</v>
      </c>
      <c r="G1885" s="473" t="s">
        <v>3045</v>
      </c>
      <c r="H1885" s="439" t="s">
        <v>1591</v>
      </c>
      <c r="I1885" s="474" t="s">
        <v>3457</v>
      </c>
      <c r="J1885" s="474" t="s">
        <v>3464</v>
      </c>
      <c r="K1885" s="443" t="s">
        <v>1592</v>
      </c>
      <c r="L1885" s="471">
        <v>1</v>
      </c>
      <c r="M1885" s="447" t="s">
        <v>2313</v>
      </c>
      <c r="N1885" s="457">
        <v>3150</v>
      </c>
      <c r="O1885" s="475">
        <f t="shared" si="7"/>
        <v>3150</v>
      </c>
      <c r="P1885" s="476"/>
      <c r="Q1885" s="477">
        <v>46023</v>
      </c>
      <c r="R1885" s="476"/>
      <c r="S1885" s="476"/>
    </row>
    <row r="1886" spans="1:19" ht="15.75" customHeight="1" x14ac:dyDescent="0.25">
      <c r="A1886" s="438">
        <v>1883</v>
      </c>
      <c r="B1886" s="470" t="s">
        <v>17</v>
      </c>
      <c r="C1886" s="471" t="s">
        <v>18</v>
      </c>
      <c r="D1886" s="472" t="s">
        <v>19</v>
      </c>
      <c r="E1886" s="465" t="s">
        <v>3047</v>
      </c>
      <c r="F1886" s="448" t="s">
        <v>3026</v>
      </c>
      <c r="G1886" s="473" t="s">
        <v>3960</v>
      </c>
      <c r="H1886" s="439" t="s">
        <v>1012</v>
      </c>
      <c r="I1886" s="474" t="s">
        <v>3457</v>
      </c>
      <c r="J1886" s="474" t="s">
        <v>3464</v>
      </c>
      <c r="K1886" s="443" t="s">
        <v>1013</v>
      </c>
      <c r="L1886" s="471">
        <v>1</v>
      </c>
      <c r="M1886" s="447" t="s">
        <v>2315</v>
      </c>
      <c r="N1886" s="457">
        <v>35000</v>
      </c>
      <c r="O1886" s="475">
        <f t="shared" si="7"/>
        <v>35000</v>
      </c>
      <c r="P1886" s="476"/>
      <c r="Q1886" s="477">
        <v>46023</v>
      </c>
      <c r="R1886" s="476"/>
      <c r="S1886" s="476"/>
    </row>
    <row r="1887" spans="1:19" ht="15.75" customHeight="1" x14ac:dyDescent="0.25">
      <c r="A1887" s="438">
        <v>1884</v>
      </c>
      <c r="B1887" s="470" t="s">
        <v>17</v>
      </c>
      <c r="C1887" s="471" t="s">
        <v>18</v>
      </c>
      <c r="D1887" s="472" t="s">
        <v>19</v>
      </c>
      <c r="E1887" s="465" t="s">
        <v>4091</v>
      </c>
      <c r="F1887" s="448"/>
      <c r="G1887" s="473" t="s">
        <v>3045</v>
      </c>
      <c r="H1887" s="439" t="s">
        <v>1591</v>
      </c>
      <c r="I1887" s="474" t="s">
        <v>3457</v>
      </c>
      <c r="J1887" s="474" t="s">
        <v>3464</v>
      </c>
      <c r="K1887" s="443" t="s">
        <v>1592</v>
      </c>
      <c r="L1887" s="471">
        <v>1</v>
      </c>
      <c r="M1887" s="447" t="s">
        <v>2316</v>
      </c>
      <c r="N1887" s="457">
        <v>3150</v>
      </c>
      <c r="O1887" s="475">
        <f t="shared" si="7"/>
        <v>3150</v>
      </c>
      <c r="P1887" s="476"/>
      <c r="Q1887" s="477">
        <v>46023</v>
      </c>
      <c r="R1887" s="476"/>
      <c r="S1887" s="476"/>
    </row>
    <row r="1888" spans="1:19" ht="15.75" customHeight="1" x14ac:dyDescent="0.25">
      <c r="A1888" s="438">
        <v>1885</v>
      </c>
      <c r="B1888" s="470" t="s">
        <v>17</v>
      </c>
      <c r="C1888" s="471" t="s">
        <v>18</v>
      </c>
      <c r="D1888" s="472" t="s">
        <v>19</v>
      </c>
      <c r="E1888" s="465" t="s">
        <v>4091</v>
      </c>
      <c r="F1888" s="448"/>
      <c r="G1888" s="473" t="s">
        <v>3045</v>
      </c>
      <c r="H1888" s="439" t="s">
        <v>1591</v>
      </c>
      <c r="I1888" s="474" t="s">
        <v>3457</v>
      </c>
      <c r="J1888" s="474" t="s">
        <v>3464</v>
      </c>
      <c r="K1888" s="443" t="s">
        <v>1592</v>
      </c>
      <c r="L1888" s="471">
        <v>1</v>
      </c>
      <c r="M1888" s="447" t="s">
        <v>2317</v>
      </c>
      <c r="N1888" s="457">
        <v>3150</v>
      </c>
      <c r="O1888" s="475">
        <f t="shared" si="7"/>
        <v>3150</v>
      </c>
      <c r="P1888" s="476"/>
      <c r="Q1888" s="477">
        <v>46023</v>
      </c>
      <c r="R1888" s="476"/>
      <c r="S1888" s="476"/>
    </row>
    <row r="1889" spans="1:19" ht="15.75" customHeight="1" x14ac:dyDescent="0.25">
      <c r="A1889" s="438">
        <v>1886</v>
      </c>
      <c r="B1889" s="470" t="s">
        <v>17</v>
      </c>
      <c r="C1889" s="471" t="s">
        <v>18</v>
      </c>
      <c r="D1889" s="472" t="s">
        <v>19</v>
      </c>
      <c r="E1889" s="465" t="s">
        <v>4091</v>
      </c>
      <c r="F1889" s="448"/>
      <c r="G1889" s="473" t="s">
        <v>3045</v>
      </c>
      <c r="H1889" s="439" t="s">
        <v>1998</v>
      </c>
      <c r="I1889" s="474" t="s">
        <v>3457</v>
      </c>
      <c r="J1889" s="474" t="s">
        <v>3464</v>
      </c>
      <c r="K1889" s="443" t="s">
        <v>1592</v>
      </c>
      <c r="L1889" s="471">
        <v>1</v>
      </c>
      <c r="M1889" s="447" t="s">
        <v>2318</v>
      </c>
      <c r="N1889" s="457">
        <v>3290</v>
      </c>
      <c r="O1889" s="475">
        <f t="shared" si="7"/>
        <v>3290</v>
      </c>
      <c r="P1889" s="476"/>
      <c r="Q1889" s="477">
        <v>46023</v>
      </c>
      <c r="R1889" s="476"/>
      <c r="S1889" s="476"/>
    </row>
    <row r="1890" spans="1:19" ht="15.75" customHeight="1" x14ac:dyDescent="0.25">
      <c r="A1890" s="438">
        <v>1887</v>
      </c>
      <c r="B1890" s="470" t="s">
        <v>17</v>
      </c>
      <c r="C1890" s="471" t="s">
        <v>18</v>
      </c>
      <c r="D1890" s="472" t="s">
        <v>19</v>
      </c>
      <c r="E1890" s="465" t="s">
        <v>4091</v>
      </c>
      <c r="F1890" s="448"/>
      <c r="G1890" s="473" t="s">
        <v>3045</v>
      </c>
      <c r="H1890" s="439" t="s">
        <v>1998</v>
      </c>
      <c r="I1890" s="474" t="s">
        <v>3457</v>
      </c>
      <c r="J1890" s="474" t="s">
        <v>3464</v>
      </c>
      <c r="K1890" s="443" t="s">
        <v>1592</v>
      </c>
      <c r="L1890" s="471">
        <v>1</v>
      </c>
      <c r="M1890" s="447" t="s">
        <v>2319</v>
      </c>
      <c r="N1890" s="457">
        <v>3290</v>
      </c>
      <c r="O1890" s="475">
        <f t="shared" si="7"/>
        <v>3290</v>
      </c>
      <c r="P1890" s="476"/>
      <c r="Q1890" s="477">
        <v>46023</v>
      </c>
      <c r="R1890" s="476"/>
      <c r="S1890" s="476"/>
    </row>
    <row r="1891" spans="1:19" ht="15.75" customHeight="1" x14ac:dyDescent="0.25">
      <c r="A1891" s="438">
        <v>1888</v>
      </c>
      <c r="B1891" s="470" t="s">
        <v>17</v>
      </c>
      <c r="C1891" s="471" t="s">
        <v>18</v>
      </c>
      <c r="D1891" s="472" t="s">
        <v>19</v>
      </c>
      <c r="E1891" s="465" t="s">
        <v>4083</v>
      </c>
      <c r="F1891" s="448"/>
      <c r="G1891" s="473" t="s">
        <v>3045</v>
      </c>
      <c r="H1891" s="439" t="s">
        <v>1998</v>
      </c>
      <c r="I1891" s="474" t="s">
        <v>3457</v>
      </c>
      <c r="J1891" s="474" t="s">
        <v>3464</v>
      </c>
      <c r="K1891" s="443" t="s">
        <v>1592</v>
      </c>
      <c r="L1891" s="471">
        <v>1</v>
      </c>
      <c r="M1891" s="447" t="s">
        <v>2320</v>
      </c>
      <c r="N1891" s="457">
        <v>3180</v>
      </c>
      <c r="O1891" s="475">
        <f t="shared" si="7"/>
        <v>3180</v>
      </c>
      <c r="P1891" s="476"/>
      <c r="Q1891" s="477">
        <v>46023</v>
      </c>
      <c r="R1891" s="476"/>
      <c r="S1891" s="476"/>
    </row>
    <row r="1892" spans="1:19" ht="15.75" customHeight="1" x14ac:dyDescent="0.25">
      <c r="A1892" s="438">
        <v>1889</v>
      </c>
      <c r="B1892" s="470" t="s">
        <v>17</v>
      </c>
      <c r="C1892" s="471" t="s">
        <v>18</v>
      </c>
      <c r="D1892" s="472" t="s">
        <v>19</v>
      </c>
      <c r="E1892" s="465" t="s">
        <v>4083</v>
      </c>
      <c r="F1892" s="448"/>
      <c r="G1892" s="473" t="s">
        <v>3045</v>
      </c>
      <c r="H1892" s="439" t="s">
        <v>1998</v>
      </c>
      <c r="I1892" s="474" t="s">
        <v>3457</v>
      </c>
      <c r="J1892" s="474" t="s">
        <v>3464</v>
      </c>
      <c r="K1892" s="443" t="s">
        <v>1592</v>
      </c>
      <c r="L1892" s="471">
        <v>1</v>
      </c>
      <c r="M1892" s="447" t="s">
        <v>2321</v>
      </c>
      <c r="N1892" s="457">
        <v>3180</v>
      </c>
      <c r="O1892" s="475">
        <f t="shared" si="7"/>
        <v>3180</v>
      </c>
      <c r="P1892" s="476"/>
      <c r="Q1892" s="477">
        <v>46023</v>
      </c>
      <c r="R1892" s="476"/>
      <c r="S1892" s="476"/>
    </row>
    <row r="1893" spans="1:19" ht="15.75" customHeight="1" x14ac:dyDescent="0.25">
      <c r="A1893" s="438">
        <v>1890</v>
      </c>
      <c r="B1893" s="470" t="s">
        <v>17</v>
      </c>
      <c r="C1893" s="471" t="s">
        <v>18</v>
      </c>
      <c r="D1893" s="472" t="s">
        <v>19</v>
      </c>
      <c r="E1893" s="465" t="s">
        <v>4083</v>
      </c>
      <c r="F1893" s="448"/>
      <c r="G1893" s="473" t="s">
        <v>3045</v>
      </c>
      <c r="H1893" s="439" t="s">
        <v>1998</v>
      </c>
      <c r="I1893" s="474" t="s">
        <v>3457</v>
      </c>
      <c r="J1893" s="474" t="s">
        <v>3464</v>
      </c>
      <c r="K1893" s="443" t="s">
        <v>1592</v>
      </c>
      <c r="L1893" s="471">
        <v>1</v>
      </c>
      <c r="M1893" s="447" t="s">
        <v>2322</v>
      </c>
      <c r="N1893" s="457">
        <v>3000</v>
      </c>
      <c r="O1893" s="475">
        <f t="shared" si="7"/>
        <v>3000</v>
      </c>
      <c r="P1893" s="476"/>
      <c r="Q1893" s="477">
        <v>46023</v>
      </c>
      <c r="R1893" s="476"/>
      <c r="S1893" s="476"/>
    </row>
    <row r="1894" spans="1:19" ht="15.75" customHeight="1" x14ac:dyDescent="0.25">
      <c r="A1894" s="438">
        <v>1891</v>
      </c>
      <c r="B1894" s="470" t="s">
        <v>17</v>
      </c>
      <c r="C1894" s="471" t="s">
        <v>18</v>
      </c>
      <c r="D1894" s="472" t="s">
        <v>19</v>
      </c>
      <c r="E1894" s="448" t="s">
        <v>4083</v>
      </c>
      <c r="F1894" s="448" t="s">
        <v>2988</v>
      </c>
      <c r="G1894" s="473" t="s">
        <v>4011</v>
      </c>
      <c r="H1894" s="439" t="s">
        <v>1503</v>
      </c>
      <c r="I1894" s="474" t="s">
        <v>3457</v>
      </c>
      <c r="J1894" s="474" t="s">
        <v>3464</v>
      </c>
      <c r="K1894" s="443" t="s">
        <v>1504</v>
      </c>
      <c r="L1894" s="471">
        <v>1</v>
      </c>
      <c r="M1894" s="447" t="s">
        <v>2324</v>
      </c>
      <c r="N1894" s="457">
        <v>24900</v>
      </c>
      <c r="O1894" s="475">
        <f t="shared" si="7"/>
        <v>24900</v>
      </c>
      <c r="P1894" s="476"/>
      <c r="Q1894" s="477">
        <v>46023</v>
      </c>
      <c r="R1894" s="476"/>
      <c r="S1894" s="476"/>
    </row>
    <row r="1895" spans="1:19" ht="15.75" customHeight="1" x14ac:dyDescent="0.25">
      <c r="A1895" s="438">
        <v>1892</v>
      </c>
      <c r="B1895" s="470" t="s">
        <v>17</v>
      </c>
      <c r="C1895" s="471" t="s">
        <v>18</v>
      </c>
      <c r="D1895" s="472" t="s">
        <v>19</v>
      </c>
      <c r="E1895" s="448" t="s">
        <v>4083</v>
      </c>
      <c r="F1895" s="448" t="s">
        <v>2988</v>
      </c>
      <c r="G1895" s="473" t="s">
        <v>4011</v>
      </c>
      <c r="H1895" s="439" t="s">
        <v>1503</v>
      </c>
      <c r="I1895" s="474" t="s">
        <v>3457</v>
      </c>
      <c r="J1895" s="474" t="s">
        <v>3464</v>
      </c>
      <c r="K1895" s="443" t="s">
        <v>1504</v>
      </c>
      <c r="L1895" s="471">
        <v>1</v>
      </c>
      <c r="M1895" s="447" t="s">
        <v>2325</v>
      </c>
      <c r="N1895" s="457">
        <v>24900</v>
      </c>
      <c r="O1895" s="475">
        <f t="shared" si="7"/>
        <v>24900</v>
      </c>
      <c r="P1895" s="476"/>
      <c r="Q1895" s="477">
        <v>46023</v>
      </c>
      <c r="R1895" s="476"/>
      <c r="S1895" s="476"/>
    </row>
    <row r="1896" spans="1:19" ht="15.75" customHeight="1" x14ac:dyDescent="0.25">
      <c r="A1896" s="438">
        <v>1893</v>
      </c>
      <c r="B1896" s="470" t="s">
        <v>17</v>
      </c>
      <c r="C1896" s="471" t="s">
        <v>18</v>
      </c>
      <c r="D1896" s="472" t="s">
        <v>19</v>
      </c>
      <c r="E1896" s="448" t="s">
        <v>4086</v>
      </c>
      <c r="F1896" s="448" t="s">
        <v>4122</v>
      </c>
      <c r="G1896" s="473" t="s">
        <v>3045</v>
      </c>
      <c r="H1896" s="439" t="s">
        <v>1591</v>
      </c>
      <c r="I1896" s="474" t="s">
        <v>3457</v>
      </c>
      <c r="J1896" s="474" t="s">
        <v>3464</v>
      </c>
      <c r="K1896" s="443" t="s">
        <v>1592</v>
      </c>
      <c r="L1896" s="471">
        <v>1</v>
      </c>
      <c r="M1896" s="447" t="s">
        <v>2332</v>
      </c>
      <c r="N1896" s="457">
        <v>3000</v>
      </c>
      <c r="O1896" s="475">
        <f t="shared" si="7"/>
        <v>3000</v>
      </c>
      <c r="P1896" s="476"/>
      <c r="Q1896" s="477">
        <v>46023</v>
      </c>
      <c r="R1896" s="476"/>
      <c r="S1896" s="476"/>
    </row>
    <row r="1897" spans="1:19" ht="15.75" customHeight="1" x14ac:dyDescent="0.25">
      <c r="A1897" s="438">
        <v>1894</v>
      </c>
      <c r="B1897" s="470" t="s">
        <v>17</v>
      </c>
      <c r="C1897" s="471" t="s">
        <v>18</v>
      </c>
      <c r="D1897" s="472" t="s">
        <v>19</v>
      </c>
      <c r="E1897" s="448" t="s">
        <v>4086</v>
      </c>
      <c r="F1897" s="448" t="s">
        <v>4122</v>
      </c>
      <c r="G1897" s="473" t="s">
        <v>3045</v>
      </c>
      <c r="H1897" s="439" t="s">
        <v>1591</v>
      </c>
      <c r="I1897" s="474" t="s">
        <v>3457</v>
      </c>
      <c r="J1897" s="474" t="s">
        <v>3464</v>
      </c>
      <c r="K1897" s="443" t="s">
        <v>1592</v>
      </c>
      <c r="L1897" s="471">
        <v>1</v>
      </c>
      <c r="M1897" s="447" t="s">
        <v>2333</v>
      </c>
      <c r="N1897" s="457">
        <v>3000</v>
      </c>
      <c r="O1897" s="475">
        <f t="shared" si="7"/>
        <v>3000</v>
      </c>
      <c r="P1897" s="476"/>
      <c r="Q1897" s="477">
        <v>46023</v>
      </c>
      <c r="R1897" s="476"/>
      <c r="S1897" s="476"/>
    </row>
    <row r="1898" spans="1:19" ht="15.75" customHeight="1" x14ac:dyDescent="0.25">
      <c r="A1898" s="438">
        <v>1895</v>
      </c>
      <c r="B1898" s="470" t="s">
        <v>17</v>
      </c>
      <c r="C1898" s="471" t="s">
        <v>18</v>
      </c>
      <c r="D1898" s="472" t="s">
        <v>19</v>
      </c>
      <c r="E1898" s="448" t="s">
        <v>4088</v>
      </c>
      <c r="F1898" s="448" t="s">
        <v>4104</v>
      </c>
      <c r="G1898" s="473" t="s">
        <v>3045</v>
      </c>
      <c r="H1898" s="439" t="s">
        <v>1591</v>
      </c>
      <c r="I1898" s="474" t="s">
        <v>3457</v>
      </c>
      <c r="J1898" s="474" t="s">
        <v>3464</v>
      </c>
      <c r="K1898" s="443" t="s">
        <v>1592</v>
      </c>
      <c r="L1898" s="471">
        <v>1</v>
      </c>
      <c r="M1898" s="447" t="s">
        <v>2334</v>
      </c>
      <c r="N1898" s="457">
        <v>3000</v>
      </c>
      <c r="O1898" s="475">
        <f t="shared" si="7"/>
        <v>3000</v>
      </c>
      <c r="P1898" s="476"/>
      <c r="Q1898" s="477">
        <v>46023</v>
      </c>
      <c r="R1898" s="476"/>
      <c r="S1898" s="476"/>
    </row>
    <row r="1899" spans="1:19" ht="15.75" customHeight="1" x14ac:dyDescent="0.25">
      <c r="A1899" s="438">
        <v>1896</v>
      </c>
      <c r="B1899" s="470" t="s">
        <v>17</v>
      </c>
      <c r="C1899" s="471" t="s">
        <v>18</v>
      </c>
      <c r="D1899" s="472" t="s">
        <v>19</v>
      </c>
      <c r="E1899" s="465" t="s">
        <v>4088</v>
      </c>
      <c r="F1899" s="448" t="s">
        <v>4123</v>
      </c>
      <c r="G1899" s="473" t="s">
        <v>3045</v>
      </c>
      <c r="H1899" s="439" t="s">
        <v>1591</v>
      </c>
      <c r="I1899" s="474" t="s">
        <v>3457</v>
      </c>
      <c r="J1899" s="474" t="s">
        <v>3464</v>
      </c>
      <c r="K1899" s="443" t="s">
        <v>1592</v>
      </c>
      <c r="L1899" s="471">
        <v>1</v>
      </c>
      <c r="M1899" s="447" t="s">
        <v>2335</v>
      </c>
      <c r="N1899" s="456">
        <v>3000</v>
      </c>
      <c r="O1899" s="475">
        <f t="shared" si="7"/>
        <v>3000</v>
      </c>
      <c r="P1899" s="476"/>
      <c r="Q1899" s="477">
        <v>46023</v>
      </c>
      <c r="R1899" s="476"/>
      <c r="S1899" s="476"/>
    </row>
    <row r="1900" spans="1:19" ht="15.75" customHeight="1" x14ac:dyDescent="0.25">
      <c r="A1900" s="438">
        <v>1897</v>
      </c>
      <c r="B1900" s="470" t="s">
        <v>17</v>
      </c>
      <c r="C1900" s="471" t="s">
        <v>18</v>
      </c>
      <c r="D1900" s="472" t="s">
        <v>19</v>
      </c>
      <c r="E1900" s="465" t="s">
        <v>4083</v>
      </c>
      <c r="F1900" s="448" t="s">
        <v>2988</v>
      </c>
      <c r="G1900" s="473" t="s">
        <v>4030</v>
      </c>
      <c r="H1900" s="439" t="s">
        <v>2347</v>
      </c>
      <c r="I1900" s="474" t="s">
        <v>3457</v>
      </c>
      <c r="J1900" s="474" t="s">
        <v>3464</v>
      </c>
      <c r="K1900" s="443" t="s">
        <v>2065</v>
      </c>
      <c r="L1900" s="471">
        <v>1</v>
      </c>
      <c r="M1900" s="447" t="s">
        <v>2348</v>
      </c>
      <c r="N1900" s="456">
        <v>30000</v>
      </c>
      <c r="O1900" s="475">
        <f t="shared" si="7"/>
        <v>30000</v>
      </c>
      <c r="P1900" s="476"/>
      <c r="Q1900" s="477">
        <v>46023</v>
      </c>
      <c r="R1900" s="476"/>
      <c r="S1900" s="476"/>
    </row>
    <row r="1901" spans="1:19" ht="15.75" customHeight="1" x14ac:dyDescent="0.25">
      <c r="A1901" s="438">
        <v>1898</v>
      </c>
      <c r="B1901" s="470" t="s">
        <v>17</v>
      </c>
      <c r="C1901" s="471" t="s">
        <v>18</v>
      </c>
      <c r="D1901" s="472" t="s">
        <v>19</v>
      </c>
      <c r="E1901" s="465" t="s">
        <v>4086</v>
      </c>
      <c r="F1901" s="448" t="s">
        <v>4112</v>
      </c>
      <c r="G1901" s="473" t="s">
        <v>3058</v>
      </c>
      <c r="H1901" s="439" t="s">
        <v>2394</v>
      </c>
      <c r="I1901" s="474" t="s">
        <v>3459</v>
      </c>
      <c r="J1901" s="474" t="s">
        <v>3464</v>
      </c>
      <c r="K1901" s="443" t="s">
        <v>729</v>
      </c>
      <c r="L1901" s="471">
        <v>1</v>
      </c>
      <c r="M1901" s="447" t="s">
        <v>2352</v>
      </c>
      <c r="N1901" s="456">
        <v>5500</v>
      </c>
      <c r="O1901" s="475">
        <f t="shared" si="7"/>
        <v>5500</v>
      </c>
      <c r="P1901" s="476"/>
      <c r="Q1901" s="477">
        <v>46023</v>
      </c>
      <c r="R1901" s="476"/>
      <c r="S1901" s="476"/>
    </row>
    <row r="1902" spans="1:19" ht="15.75" customHeight="1" x14ac:dyDescent="0.25">
      <c r="A1902" s="438">
        <v>1899</v>
      </c>
      <c r="B1902" s="470" t="s">
        <v>17</v>
      </c>
      <c r="C1902" s="471" t="s">
        <v>18</v>
      </c>
      <c r="D1902" s="472" t="s">
        <v>19</v>
      </c>
      <c r="E1902" s="448" t="s">
        <v>4086</v>
      </c>
      <c r="F1902" s="448" t="s">
        <v>4120</v>
      </c>
      <c r="G1902" s="473" t="s">
        <v>3058</v>
      </c>
      <c r="H1902" s="439" t="s">
        <v>2394</v>
      </c>
      <c r="I1902" s="474" t="s">
        <v>3459</v>
      </c>
      <c r="J1902" s="474" t="s">
        <v>3464</v>
      </c>
      <c r="K1902" s="443" t="s">
        <v>729</v>
      </c>
      <c r="L1902" s="471">
        <v>1</v>
      </c>
      <c r="M1902" s="447" t="s">
        <v>2353</v>
      </c>
      <c r="N1902" s="456">
        <v>5500</v>
      </c>
      <c r="O1902" s="475">
        <f t="shared" si="7"/>
        <v>5500</v>
      </c>
      <c r="P1902" s="476"/>
      <c r="Q1902" s="477">
        <v>46023</v>
      </c>
      <c r="R1902" s="476"/>
      <c r="S1902" s="476"/>
    </row>
    <row r="1903" spans="1:19" ht="15.75" customHeight="1" x14ac:dyDescent="0.25">
      <c r="A1903" s="438">
        <v>1900</v>
      </c>
      <c r="B1903" s="470" t="s">
        <v>17</v>
      </c>
      <c r="C1903" s="471" t="s">
        <v>18</v>
      </c>
      <c r="D1903" s="472" t="s">
        <v>19</v>
      </c>
      <c r="E1903" s="448" t="s">
        <v>4088</v>
      </c>
      <c r="F1903" s="448" t="s">
        <v>3049</v>
      </c>
      <c r="G1903" s="473" t="s">
        <v>3980</v>
      </c>
      <c r="H1903" s="439" t="s">
        <v>1153</v>
      </c>
      <c r="I1903" s="474" t="s">
        <v>3459</v>
      </c>
      <c r="J1903" s="474" t="s">
        <v>3464</v>
      </c>
      <c r="K1903" s="443" t="s">
        <v>1136</v>
      </c>
      <c r="L1903" s="471">
        <v>1</v>
      </c>
      <c r="M1903" s="447" t="s">
        <v>2354</v>
      </c>
      <c r="N1903" s="456">
        <v>7400</v>
      </c>
      <c r="O1903" s="475">
        <f t="shared" si="7"/>
        <v>7400</v>
      </c>
      <c r="P1903" s="476"/>
      <c r="Q1903" s="477">
        <v>46023</v>
      </c>
      <c r="R1903" s="476"/>
      <c r="S1903" s="476"/>
    </row>
    <row r="1904" spans="1:19" ht="15.75" customHeight="1" x14ac:dyDescent="0.25">
      <c r="A1904" s="438">
        <v>1901</v>
      </c>
      <c r="B1904" s="470" t="s">
        <v>17</v>
      </c>
      <c r="C1904" s="471" t="s">
        <v>18</v>
      </c>
      <c r="D1904" s="472" t="s">
        <v>19</v>
      </c>
      <c r="E1904" s="465" t="s">
        <v>4088</v>
      </c>
      <c r="F1904" s="448" t="s">
        <v>3025</v>
      </c>
      <c r="G1904" s="473" t="s">
        <v>3980</v>
      </c>
      <c r="H1904" s="439" t="s">
        <v>1153</v>
      </c>
      <c r="I1904" s="474" t="s">
        <v>3459</v>
      </c>
      <c r="J1904" s="474" t="s">
        <v>3464</v>
      </c>
      <c r="K1904" s="443" t="s">
        <v>1136</v>
      </c>
      <c r="L1904" s="471">
        <v>1</v>
      </c>
      <c r="M1904" s="447" t="s">
        <v>2355</v>
      </c>
      <c r="N1904" s="456">
        <v>7400</v>
      </c>
      <c r="O1904" s="475">
        <f t="shared" si="7"/>
        <v>7400</v>
      </c>
      <c r="P1904" s="476"/>
      <c r="Q1904" s="477">
        <v>46023</v>
      </c>
      <c r="R1904" s="476"/>
      <c r="S1904" s="476"/>
    </row>
    <row r="1905" spans="1:19" ht="15.75" customHeight="1" x14ac:dyDescent="0.25">
      <c r="A1905" s="438">
        <v>1902</v>
      </c>
      <c r="B1905" s="470" t="s">
        <v>17</v>
      </c>
      <c r="C1905" s="471" t="s">
        <v>18</v>
      </c>
      <c r="D1905" s="472" t="s">
        <v>19</v>
      </c>
      <c r="E1905" s="465" t="s">
        <v>4088</v>
      </c>
      <c r="F1905" s="448" t="s">
        <v>4106</v>
      </c>
      <c r="G1905" s="473" t="s">
        <v>3980</v>
      </c>
      <c r="H1905" s="439" t="s">
        <v>1153</v>
      </c>
      <c r="I1905" s="474" t="s">
        <v>3459</v>
      </c>
      <c r="J1905" s="474" t="s">
        <v>3464</v>
      </c>
      <c r="K1905" s="443" t="s">
        <v>1136</v>
      </c>
      <c r="L1905" s="471">
        <v>1</v>
      </c>
      <c r="M1905" s="447" t="s">
        <v>2356</v>
      </c>
      <c r="N1905" s="456">
        <v>7400</v>
      </c>
      <c r="O1905" s="475">
        <f t="shared" si="7"/>
        <v>7400</v>
      </c>
      <c r="P1905" s="476"/>
      <c r="Q1905" s="477">
        <v>46023</v>
      </c>
      <c r="R1905" s="476"/>
      <c r="S1905" s="476"/>
    </row>
    <row r="1906" spans="1:19" ht="15.75" customHeight="1" x14ac:dyDescent="0.25">
      <c r="A1906" s="438">
        <v>1903</v>
      </c>
      <c r="B1906" s="470" t="s">
        <v>17</v>
      </c>
      <c r="C1906" s="471" t="s">
        <v>18</v>
      </c>
      <c r="D1906" s="472" t="s">
        <v>19</v>
      </c>
      <c r="E1906" s="465" t="s">
        <v>4083</v>
      </c>
      <c r="F1906" s="448" t="s">
        <v>2988</v>
      </c>
      <c r="G1906" s="473" t="s">
        <v>3980</v>
      </c>
      <c r="H1906" s="439" t="s">
        <v>1153</v>
      </c>
      <c r="I1906" s="474" t="s">
        <v>3459</v>
      </c>
      <c r="J1906" s="474" t="s">
        <v>3464</v>
      </c>
      <c r="K1906" s="443" t="s">
        <v>1136</v>
      </c>
      <c r="L1906" s="471">
        <v>1</v>
      </c>
      <c r="M1906" s="447" t="s">
        <v>2357</v>
      </c>
      <c r="N1906" s="456">
        <v>7400</v>
      </c>
      <c r="O1906" s="475">
        <f t="shared" si="7"/>
        <v>7400</v>
      </c>
      <c r="P1906" s="476"/>
      <c r="Q1906" s="477">
        <v>46023</v>
      </c>
      <c r="R1906" s="476"/>
      <c r="S1906" s="476"/>
    </row>
    <row r="1907" spans="1:19" ht="15.75" customHeight="1" x14ac:dyDescent="0.25">
      <c r="A1907" s="438">
        <v>1904</v>
      </c>
      <c r="B1907" s="470" t="s">
        <v>17</v>
      </c>
      <c r="C1907" s="471" t="s">
        <v>18</v>
      </c>
      <c r="D1907" s="472" t="s">
        <v>19</v>
      </c>
      <c r="E1907" s="465" t="s">
        <v>4085</v>
      </c>
      <c r="F1907" s="448" t="s">
        <v>2985</v>
      </c>
      <c r="G1907" s="473" t="s">
        <v>3980</v>
      </c>
      <c r="H1907" s="439" t="s">
        <v>1153</v>
      </c>
      <c r="I1907" s="474" t="s">
        <v>3459</v>
      </c>
      <c r="J1907" s="474" t="s">
        <v>3464</v>
      </c>
      <c r="K1907" s="443" t="s">
        <v>1136</v>
      </c>
      <c r="L1907" s="471">
        <v>1</v>
      </c>
      <c r="M1907" s="447" t="s">
        <v>2358</v>
      </c>
      <c r="N1907" s="456">
        <v>7400</v>
      </c>
      <c r="O1907" s="475">
        <f t="shared" si="7"/>
        <v>7400</v>
      </c>
      <c r="P1907" s="476"/>
      <c r="Q1907" s="477">
        <v>46023</v>
      </c>
      <c r="R1907" s="476"/>
      <c r="S1907" s="476"/>
    </row>
    <row r="1908" spans="1:19" ht="15.75" customHeight="1" x14ac:dyDescent="0.25">
      <c r="A1908" s="438">
        <v>1905</v>
      </c>
      <c r="B1908" s="470" t="s">
        <v>17</v>
      </c>
      <c r="C1908" s="471" t="s">
        <v>18</v>
      </c>
      <c r="D1908" s="472" t="s">
        <v>19</v>
      </c>
      <c r="E1908" s="465" t="s">
        <v>4091</v>
      </c>
      <c r="F1908" s="448" t="s">
        <v>4114</v>
      </c>
      <c r="G1908" s="473" t="s">
        <v>3065</v>
      </c>
      <c r="H1908" s="439" t="s">
        <v>2349</v>
      </c>
      <c r="I1908" s="474" t="s">
        <v>3459</v>
      </c>
      <c r="J1908" s="474" t="s">
        <v>3464</v>
      </c>
      <c r="K1908" s="443" t="s">
        <v>349</v>
      </c>
      <c r="L1908" s="471">
        <v>1</v>
      </c>
      <c r="M1908" s="447" t="s">
        <v>2365</v>
      </c>
      <c r="N1908" s="456">
        <v>6500</v>
      </c>
      <c r="O1908" s="475">
        <f t="shared" si="7"/>
        <v>6500</v>
      </c>
      <c r="P1908" s="476"/>
      <c r="Q1908" s="477">
        <v>46023</v>
      </c>
      <c r="R1908" s="476"/>
      <c r="S1908" s="476"/>
    </row>
    <row r="1909" spans="1:19" ht="15.75" customHeight="1" x14ac:dyDescent="0.25">
      <c r="A1909" s="438">
        <v>1906</v>
      </c>
      <c r="B1909" s="470" t="s">
        <v>17</v>
      </c>
      <c r="C1909" s="471" t="s">
        <v>18</v>
      </c>
      <c r="D1909" s="472" t="s">
        <v>19</v>
      </c>
      <c r="E1909" s="465" t="s">
        <v>4080</v>
      </c>
      <c r="F1909" s="448" t="s">
        <v>4121</v>
      </c>
      <c r="G1909" s="473" t="s">
        <v>3065</v>
      </c>
      <c r="H1909" s="439" t="s">
        <v>2349</v>
      </c>
      <c r="I1909" s="474" t="s">
        <v>3459</v>
      </c>
      <c r="J1909" s="474" t="s">
        <v>3464</v>
      </c>
      <c r="K1909" s="443" t="s">
        <v>349</v>
      </c>
      <c r="L1909" s="471">
        <v>1</v>
      </c>
      <c r="M1909" s="447" t="s">
        <v>2366</v>
      </c>
      <c r="N1909" s="456">
        <v>3983</v>
      </c>
      <c r="O1909" s="475">
        <f t="shared" si="7"/>
        <v>3983</v>
      </c>
      <c r="P1909" s="476"/>
      <c r="Q1909" s="477">
        <v>46023</v>
      </c>
      <c r="R1909" s="476"/>
      <c r="S1909" s="476"/>
    </row>
    <row r="1910" spans="1:19" ht="15.75" customHeight="1" x14ac:dyDescent="0.25">
      <c r="A1910" s="438">
        <v>1907</v>
      </c>
      <c r="B1910" s="470" t="s">
        <v>17</v>
      </c>
      <c r="C1910" s="471" t="s">
        <v>18</v>
      </c>
      <c r="D1910" s="472" t="s">
        <v>19</v>
      </c>
      <c r="E1910" s="465" t="s">
        <v>4083</v>
      </c>
      <c r="F1910" s="448" t="s">
        <v>4100</v>
      </c>
      <c r="G1910" s="473" t="s">
        <v>3065</v>
      </c>
      <c r="H1910" s="439" t="s">
        <v>2349</v>
      </c>
      <c r="I1910" s="474" t="s">
        <v>3459</v>
      </c>
      <c r="J1910" s="474" t="s">
        <v>3464</v>
      </c>
      <c r="K1910" s="443" t="s">
        <v>349</v>
      </c>
      <c r="L1910" s="471">
        <v>1</v>
      </c>
      <c r="M1910" s="447" t="s">
        <v>2367</v>
      </c>
      <c r="N1910" s="456">
        <v>3983</v>
      </c>
      <c r="O1910" s="475">
        <f t="shared" si="7"/>
        <v>3983</v>
      </c>
      <c r="P1910" s="476"/>
      <c r="Q1910" s="477">
        <v>46023</v>
      </c>
      <c r="R1910" s="476"/>
      <c r="S1910" s="476"/>
    </row>
    <row r="1911" spans="1:19" ht="15.75" customHeight="1" x14ac:dyDescent="0.25">
      <c r="A1911" s="438">
        <v>1908</v>
      </c>
      <c r="B1911" s="470" t="s">
        <v>17</v>
      </c>
      <c r="C1911" s="471" t="s">
        <v>18</v>
      </c>
      <c r="D1911" s="472" t="s">
        <v>19</v>
      </c>
      <c r="E1911" s="448" t="s">
        <v>4083</v>
      </c>
      <c r="F1911" s="448" t="s">
        <v>2988</v>
      </c>
      <c r="G1911" s="473" t="s">
        <v>3980</v>
      </c>
      <c r="H1911" s="439" t="s">
        <v>1153</v>
      </c>
      <c r="I1911" s="474" t="s">
        <v>3459</v>
      </c>
      <c r="J1911" s="474" t="s">
        <v>3464</v>
      </c>
      <c r="K1911" s="443" t="s">
        <v>1136</v>
      </c>
      <c r="L1911" s="471">
        <v>1</v>
      </c>
      <c r="M1911" s="447" t="s">
        <v>2368</v>
      </c>
      <c r="N1911" s="456">
        <v>5500</v>
      </c>
      <c r="O1911" s="475">
        <f t="shared" si="7"/>
        <v>5500</v>
      </c>
      <c r="P1911" s="476"/>
      <c r="Q1911" s="477">
        <v>46023</v>
      </c>
      <c r="R1911" s="476"/>
      <c r="S1911" s="476"/>
    </row>
    <row r="1912" spans="1:19" ht="15.75" customHeight="1" x14ac:dyDescent="0.25">
      <c r="A1912" s="438">
        <v>1909</v>
      </c>
      <c r="B1912" s="470" t="s">
        <v>17</v>
      </c>
      <c r="C1912" s="471" t="s">
        <v>18</v>
      </c>
      <c r="D1912" s="472" t="s">
        <v>19</v>
      </c>
      <c r="E1912" s="448" t="s">
        <v>4083</v>
      </c>
      <c r="F1912" s="448" t="s">
        <v>2988</v>
      </c>
      <c r="G1912" s="473" t="s">
        <v>3980</v>
      </c>
      <c r="H1912" s="439" t="s">
        <v>1153</v>
      </c>
      <c r="I1912" s="474" t="s">
        <v>3459</v>
      </c>
      <c r="J1912" s="474" t="s">
        <v>3464</v>
      </c>
      <c r="K1912" s="443" t="s">
        <v>1136</v>
      </c>
      <c r="L1912" s="471">
        <v>1</v>
      </c>
      <c r="M1912" s="447" t="s">
        <v>2369</v>
      </c>
      <c r="N1912" s="456">
        <v>5500</v>
      </c>
      <c r="O1912" s="475">
        <f t="shared" si="7"/>
        <v>5500</v>
      </c>
      <c r="P1912" s="476"/>
      <c r="Q1912" s="477">
        <v>46023</v>
      </c>
      <c r="R1912" s="476"/>
      <c r="S1912" s="476"/>
    </row>
    <row r="1913" spans="1:19" ht="15.75" customHeight="1" x14ac:dyDescent="0.25">
      <c r="A1913" s="438">
        <v>1910</v>
      </c>
      <c r="B1913" s="470" t="s">
        <v>17</v>
      </c>
      <c r="C1913" s="471" t="s">
        <v>18</v>
      </c>
      <c r="D1913" s="472" t="s">
        <v>19</v>
      </c>
      <c r="E1913" s="465" t="s">
        <v>4083</v>
      </c>
      <c r="F1913" s="448" t="s">
        <v>2988</v>
      </c>
      <c r="G1913" s="473" t="s">
        <v>3980</v>
      </c>
      <c r="H1913" s="439" t="s">
        <v>1153</v>
      </c>
      <c r="I1913" s="474" t="s">
        <v>3459</v>
      </c>
      <c r="J1913" s="474" t="s">
        <v>3464</v>
      </c>
      <c r="K1913" s="443" t="s">
        <v>1136</v>
      </c>
      <c r="L1913" s="471">
        <v>1</v>
      </c>
      <c r="M1913" s="447" t="s">
        <v>2370</v>
      </c>
      <c r="N1913" s="456">
        <v>5500</v>
      </c>
      <c r="O1913" s="475">
        <f t="shared" si="7"/>
        <v>5500</v>
      </c>
      <c r="P1913" s="476"/>
      <c r="Q1913" s="477">
        <v>46023</v>
      </c>
      <c r="R1913" s="476"/>
      <c r="S1913" s="476"/>
    </row>
    <row r="1914" spans="1:19" ht="15.75" customHeight="1" x14ac:dyDescent="0.25">
      <c r="A1914" s="438">
        <v>1911</v>
      </c>
      <c r="B1914" s="470" t="s">
        <v>17</v>
      </c>
      <c r="C1914" s="471" t="s">
        <v>18</v>
      </c>
      <c r="D1914" s="472" t="s">
        <v>19</v>
      </c>
      <c r="E1914" s="448" t="s">
        <v>4083</v>
      </c>
      <c r="F1914" s="448" t="s">
        <v>2988</v>
      </c>
      <c r="G1914" s="473" t="s">
        <v>3045</v>
      </c>
      <c r="H1914" s="439" t="s">
        <v>1998</v>
      </c>
      <c r="I1914" s="474" t="s">
        <v>3457</v>
      </c>
      <c r="J1914" s="474" t="s">
        <v>3464</v>
      </c>
      <c r="K1914" s="443" t="s">
        <v>1592</v>
      </c>
      <c r="L1914" s="471">
        <v>1</v>
      </c>
      <c r="M1914" s="447" t="s">
        <v>2359</v>
      </c>
      <c r="N1914" s="457">
        <v>4500</v>
      </c>
      <c r="O1914" s="475">
        <f t="shared" si="7"/>
        <v>4500</v>
      </c>
      <c r="P1914" s="476"/>
      <c r="Q1914" s="477">
        <v>46023</v>
      </c>
      <c r="R1914" s="476"/>
      <c r="S1914" s="476"/>
    </row>
    <row r="1915" spans="1:19" ht="15.75" customHeight="1" x14ac:dyDescent="0.25">
      <c r="A1915" s="438">
        <v>1912</v>
      </c>
      <c r="B1915" s="470" t="s">
        <v>17</v>
      </c>
      <c r="C1915" s="471" t="s">
        <v>18</v>
      </c>
      <c r="D1915" s="472" t="s">
        <v>19</v>
      </c>
      <c r="E1915" s="448" t="s">
        <v>4083</v>
      </c>
      <c r="F1915" s="448" t="s">
        <v>2988</v>
      </c>
      <c r="G1915" s="473" t="s">
        <v>3045</v>
      </c>
      <c r="H1915" s="439" t="s">
        <v>1998</v>
      </c>
      <c r="I1915" s="474" t="s">
        <v>3457</v>
      </c>
      <c r="J1915" s="474" t="s">
        <v>3464</v>
      </c>
      <c r="K1915" s="443" t="s">
        <v>1592</v>
      </c>
      <c r="L1915" s="471">
        <v>1</v>
      </c>
      <c r="M1915" s="447" t="s">
        <v>2360</v>
      </c>
      <c r="N1915" s="455">
        <v>4500</v>
      </c>
      <c r="O1915" s="475">
        <f t="shared" si="7"/>
        <v>4500</v>
      </c>
      <c r="P1915" s="476"/>
      <c r="Q1915" s="477">
        <v>46023</v>
      </c>
      <c r="R1915" s="476"/>
      <c r="S1915" s="476"/>
    </row>
    <row r="1916" spans="1:19" ht="15.75" customHeight="1" x14ac:dyDescent="0.25">
      <c r="A1916" s="438">
        <v>1913</v>
      </c>
      <c r="B1916" s="470" t="s">
        <v>17</v>
      </c>
      <c r="C1916" s="471" t="s">
        <v>18</v>
      </c>
      <c r="D1916" s="472" t="s">
        <v>19</v>
      </c>
      <c r="E1916" s="448" t="s">
        <v>4083</v>
      </c>
      <c r="F1916" s="448" t="s">
        <v>2988</v>
      </c>
      <c r="G1916" s="473" t="s">
        <v>3045</v>
      </c>
      <c r="H1916" s="439" t="s">
        <v>1998</v>
      </c>
      <c r="I1916" s="474" t="s">
        <v>3457</v>
      </c>
      <c r="J1916" s="474" t="s">
        <v>3464</v>
      </c>
      <c r="K1916" s="443" t="s">
        <v>1592</v>
      </c>
      <c r="L1916" s="471">
        <v>1</v>
      </c>
      <c r="M1916" s="447" t="s">
        <v>2361</v>
      </c>
      <c r="N1916" s="455">
        <v>4500</v>
      </c>
      <c r="O1916" s="475">
        <f t="shared" si="7"/>
        <v>4500</v>
      </c>
      <c r="P1916" s="476"/>
      <c r="Q1916" s="477">
        <v>46023</v>
      </c>
      <c r="R1916" s="476"/>
      <c r="S1916" s="476"/>
    </row>
    <row r="1917" spans="1:19" ht="15.75" customHeight="1" x14ac:dyDescent="0.25">
      <c r="A1917" s="438">
        <v>1914</v>
      </c>
      <c r="B1917" s="470" t="s">
        <v>17</v>
      </c>
      <c r="C1917" s="471" t="s">
        <v>18</v>
      </c>
      <c r="D1917" s="472" t="s">
        <v>19</v>
      </c>
      <c r="E1917" s="448" t="s">
        <v>4083</v>
      </c>
      <c r="F1917" s="448" t="s">
        <v>2988</v>
      </c>
      <c r="G1917" s="473" t="s">
        <v>3045</v>
      </c>
      <c r="H1917" s="439" t="s">
        <v>1998</v>
      </c>
      <c r="I1917" s="474" t="s">
        <v>3457</v>
      </c>
      <c r="J1917" s="474" t="s">
        <v>3464</v>
      </c>
      <c r="K1917" s="443" t="s">
        <v>1592</v>
      </c>
      <c r="L1917" s="471">
        <v>1</v>
      </c>
      <c r="M1917" s="447" t="s">
        <v>2362</v>
      </c>
      <c r="N1917" s="455">
        <v>4500</v>
      </c>
      <c r="O1917" s="475">
        <f t="shared" si="7"/>
        <v>4500</v>
      </c>
      <c r="P1917" s="476"/>
      <c r="Q1917" s="477">
        <v>46023</v>
      </c>
      <c r="R1917" s="476"/>
      <c r="S1917" s="476"/>
    </row>
    <row r="1918" spans="1:19" ht="15.75" customHeight="1" x14ac:dyDescent="0.25">
      <c r="A1918" s="438">
        <v>1915</v>
      </c>
      <c r="B1918" s="470" t="s">
        <v>17</v>
      </c>
      <c r="C1918" s="471" t="s">
        <v>18</v>
      </c>
      <c r="D1918" s="472" t="s">
        <v>19</v>
      </c>
      <c r="E1918" s="448" t="s">
        <v>4086</v>
      </c>
      <c r="F1918" s="448" t="s">
        <v>4111</v>
      </c>
      <c r="G1918" s="473" t="s">
        <v>3045</v>
      </c>
      <c r="H1918" s="439" t="s">
        <v>1998</v>
      </c>
      <c r="I1918" s="474" t="s">
        <v>3457</v>
      </c>
      <c r="J1918" s="474" t="s">
        <v>3464</v>
      </c>
      <c r="K1918" s="443" t="s">
        <v>1592</v>
      </c>
      <c r="L1918" s="471">
        <v>1</v>
      </c>
      <c r="M1918" s="447" t="s">
        <v>3615</v>
      </c>
      <c r="N1918" s="455">
        <v>4500</v>
      </c>
      <c r="O1918" s="475">
        <f t="shared" si="7"/>
        <v>4500</v>
      </c>
      <c r="P1918" s="476"/>
      <c r="Q1918" s="477">
        <v>46023</v>
      </c>
      <c r="R1918" s="476"/>
      <c r="S1918" s="476"/>
    </row>
    <row r="1919" spans="1:19" ht="15.75" customHeight="1" x14ac:dyDescent="0.25">
      <c r="A1919" s="438">
        <v>1916</v>
      </c>
      <c r="B1919" s="470" t="s">
        <v>17</v>
      </c>
      <c r="C1919" s="471" t="s">
        <v>18</v>
      </c>
      <c r="D1919" s="472" t="s">
        <v>19</v>
      </c>
      <c r="E1919" s="465" t="s">
        <v>4086</v>
      </c>
      <c r="F1919" s="448" t="s">
        <v>4097</v>
      </c>
      <c r="G1919" s="473" t="s">
        <v>3045</v>
      </c>
      <c r="H1919" s="439" t="s">
        <v>1998</v>
      </c>
      <c r="I1919" s="474" t="s">
        <v>3457</v>
      </c>
      <c r="J1919" s="474" t="s">
        <v>3464</v>
      </c>
      <c r="K1919" s="443" t="s">
        <v>1592</v>
      </c>
      <c r="L1919" s="471">
        <v>1</v>
      </c>
      <c r="M1919" s="447" t="s">
        <v>3616</v>
      </c>
      <c r="N1919" s="456">
        <v>4500</v>
      </c>
      <c r="O1919" s="475">
        <f t="shared" si="7"/>
        <v>4500</v>
      </c>
      <c r="P1919" s="476"/>
      <c r="Q1919" s="477">
        <v>46023</v>
      </c>
      <c r="R1919" s="476"/>
      <c r="S1919" s="476"/>
    </row>
    <row r="1920" spans="1:19" ht="15.75" customHeight="1" x14ac:dyDescent="0.25">
      <c r="A1920" s="438">
        <v>1917</v>
      </c>
      <c r="B1920" s="470" t="s">
        <v>17</v>
      </c>
      <c r="C1920" s="471" t="s">
        <v>18</v>
      </c>
      <c r="D1920" s="472" t="s">
        <v>19</v>
      </c>
      <c r="E1920" s="465" t="s">
        <v>4091</v>
      </c>
      <c r="F1920" s="448" t="s">
        <v>4114</v>
      </c>
      <c r="G1920" s="473" t="s">
        <v>3045</v>
      </c>
      <c r="H1920" s="439" t="s">
        <v>1591</v>
      </c>
      <c r="I1920" s="474" t="s">
        <v>3457</v>
      </c>
      <c r="J1920" s="474" t="s">
        <v>3464</v>
      </c>
      <c r="K1920" s="439" t="s">
        <v>1592</v>
      </c>
      <c r="L1920" s="471">
        <v>1</v>
      </c>
      <c r="M1920" s="447" t="s">
        <v>2363</v>
      </c>
      <c r="N1920" s="456">
        <v>3150</v>
      </c>
      <c r="O1920" s="475">
        <f t="shared" si="7"/>
        <v>3150</v>
      </c>
      <c r="P1920" s="476"/>
      <c r="Q1920" s="477">
        <v>46023</v>
      </c>
      <c r="R1920" s="476"/>
      <c r="S1920" s="476"/>
    </row>
    <row r="1921" spans="1:19" ht="15.75" customHeight="1" x14ac:dyDescent="0.25">
      <c r="A1921" s="438">
        <v>1918</v>
      </c>
      <c r="B1921" s="470" t="s">
        <v>17</v>
      </c>
      <c r="C1921" s="471" t="s">
        <v>18</v>
      </c>
      <c r="D1921" s="472" t="s">
        <v>19</v>
      </c>
      <c r="E1921" s="448" t="s">
        <v>4091</v>
      </c>
      <c r="F1921" s="448" t="s">
        <v>4114</v>
      </c>
      <c r="G1921" s="473" t="s">
        <v>3045</v>
      </c>
      <c r="H1921" s="439" t="s">
        <v>1591</v>
      </c>
      <c r="I1921" s="474" t="s">
        <v>3457</v>
      </c>
      <c r="J1921" s="474" t="s">
        <v>3464</v>
      </c>
      <c r="K1921" s="443" t="s">
        <v>1592</v>
      </c>
      <c r="L1921" s="471">
        <v>1</v>
      </c>
      <c r="M1921" s="447" t="s">
        <v>2364</v>
      </c>
      <c r="N1921" s="456">
        <v>3150</v>
      </c>
      <c r="O1921" s="475">
        <f t="shared" si="7"/>
        <v>3150</v>
      </c>
      <c r="P1921" s="476"/>
      <c r="Q1921" s="477">
        <v>46023</v>
      </c>
      <c r="R1921" s="476"/>
      <c r="S1921" s="476"/>
    </row>
    <row r="1922" spans="1:19" ht="15.75" customHeight="1" x14ac:dyDescent="0.25">
      <c r="A1922" s="438">
        <v>1919</v>
      </c>
      <c r="B1922" s="470" t="s">
        <v>17</v>
      </c>
      <c r="C1922" s="471" t="s">
        <v>18</v>
      </c>
      <c r="D1922" s="472" t="s">
        <v>19</v>
      </c>
      <c r="E1922" s="465" t="s">
        <v>4083</v>
      </c>
      <c r="F1922" s="448" t="s">
        <v>4100</v>
      </c>
      <c r="G1922" s="473" t="s">
        <v>3045</v>
      </c>
      <c r="H1922" s="439" t="s">
        <v>1998</v>
      </c>
      <c r="I1922" s="474" t="s">
        <v>3457</v>
      </c>
      <c r="J1922" s="474" t="s">
        <v>3464</v>
      </c>
      <c r="K1922" s="443" t="s">
        <v>1592</v>
      </c>
      <c r="L1922" s="471">
        <v>1</v>
      </c>
      <c r="M1922" s="447" t="s">
        <v>2371</v>
      </c>
      <c r="N1922" s="456">
        <v>3150</v>
      </c>
      <c r="O1922" s="475">
        <f t="shared" si="7"/>
        <v>3150</v>
      </c>
      <c r="P1922" s="476"/>
      <c r="Q1922" s="477">
        <v>46023</v>
      </c>
      <c r="R1922" s="476"/>
      <c r="S1922" s="476"/>
    </row>
    <row r="1923" spans="1:19" ht="15.75" customHeight="1" x14ac:dyDescent="0.25">
      <c r="A1923" s="438">
        <v>1920</v>
      </c>
      <c r="B1923" s="470" t="s">
        <v>17</v>
      </c>
      <c r="C1923" s="471" t="s">
        <v>18</v>
      </c>
      <c r="D1923" s="472" t="s">
        <v>19</v>
      </c>
      <c r="E1923" s="465" t="s">
        <v>4083</v>
      </c>
      <c r="F1923" s="448" t="s">
        <v>4100</v>
      </c>
      <c r="G1923" s="473" t="s">
        <v>3045</v>
      </c>
      <c r="H1923" s="439" t="s">
        <v>1998</v>
      </c>
      <c r="I1923" s="474" t="s">
        <v>3457</v>
      </c>
      <c r="J1923" s="474" t="s">
        <v>3464</v>
      </c>
      <c r="K1923" s="443" t="s">
        <v>1592</v>
      </c>
      <c r="L1923" s="471">
        <v>1</v>
      </c>
      <c r="M1923" s="447" t="s">
        <v>2372</v>
      </c>
      <c r="N1923" s="456">
        <v>3150</v>
      </c>
      <c r="O1923" s="475">
        <f t="shared" si="7"/>
        <v>3150</v>
      </c>
      <c r="P1923" s="476"/>
      <c r="Q1923" s="477">
        <v>46023</v>
      </c>
      <c r="R1923" s="476"/>
      <c r="S1923" s="476"/>
    </row>
    <row r="1924" spans="1:19" ht="15.75" customHeight="1" x14ac:dyDescent="0.25">
      <c r="A1924" s="438">
        <v>1921</v>
      </c>
      <c r="B1924" s="470" t="s">
        <v>17</v>
      </c>
      <c r="C1924" s="471" t="s">
        <v>18</v>
      </c>
      <c r="D1924" s="472" t="s">
        <v>19</v>
      </c>
      <c r="E1924" s="465" t="s">
        <v>4083</v>
      </c>
      <c r="F1924" s="448" t="s">
        <v>4100</v>
      </c>
      <c r="G1924" s="473" t="s">
        <v>3045</v>
      </c>
      <c r="H1924" s="439" t="s">
        <v>1998</v>
      </c>
      <c r="I1924" s="474" t="s">
        <v>3457</v>
      </c>
      <c r="J1924" s="474" t="s">
        <v>3464</v>
      </c>
      <c r="K1924" s="443" t="s">
        <v>1592</v>
      </c>
      <c r="L1924" s="471">
        <v>1</v>
      </c>
      <c r="M1924" s="447" t="s">
        <v>2373</v>
      </c>
      <c r="N1924" s="456">
        <v>3150</v>
      </c>
      <c r="O1924" s="475">
        <f t="shared" si="7"/>
        <v>3150</v>
      </c>
      <c r="P1924" s="476"/>
      <c r="Q1924" s="477">
        <v>46023</v>
      </c>
      <c r="R1924" s="476"/>
      <c r="S1924" s="476"/>
    </row>
    <row r="1925" spans="1:19" ht="15.75" customHeight="1" x14ac:dyDescent="0.25">
      <c r="A1925" s="438">
        <v>1922</v>
      </c>
      <c r="B1925" s="470" t="s">
        <v>17</v>
      </c>
      <c r="C1925" s="471" t="s">
        <v>18</v>
      </c>
      <c r="D1925" s="472" t="s">
        <v>19</v>
      </c>
      <c r="E1925" s="465" t="s">
        <v>4083</v>
      </c>
      <c r="F1925" s="448" t="s">
        <v>4100</v>
      </c>
      <c r="G1925" s="473" t="s">
        <v>3045</v>
      </c>
      <c r="H1925" s="439" t="s">
        <v>1998</v>
      </c>
      <c r="I1925" s="474" t="s">
        <v>3457</v>
      </c>
      <c r="J1925" s="474" t="s">
        <v>3464</v>
      </c>
      <c r="K1925" s="443" t="s">
        <v>1592</v>
      </c>
      <c r="L1925" s="471">
        <v>1</v>
      </c>
      <c r="M1925" s="447" t="s">
        <v>2374</v>
      </c>
      <c r="N1925" s="456">
        <v>3150</v>
      </c>
      <c r="O1925" s="475">
        <f t="shared" si="7"/>
        <v>3150</v>
      </c>
      <c r="P1925" s="476"/>
      <c r="Q1925" s="477">
        <v>46023</v>
      </c>
      <c r="R1925" s="476"/>
      <c r="S1925" s="476"/>
    </row>
    <row r="1926" spans="1:19" ht="15.75" customHeight="1" x14ac:dyDescent="0.25">
      <c r="A1926" s="438">
        <v>1923</v>
      </c>
      <c r="B1926" s="470" t="s">
        <v>17</v>
      </c>
      <c r="C1926" s="471" t="s">
        <v>18</v>
      </c>
      <c r="D1926" s="472" t="s">
        <v>19</v>
      </c>
      <c r="E1926" s="465" t="s">
        <v>4083</v>
      </c>
      <c r="F1926" s="448" t="s">
        <v>4100</v>
      </c>
      <c r="G1926" s="473" t="s">
        <v>3045</v>
      </c>
      <c r="H1926" s="439" t="s">
        <v>1591</v>
      </c>
      <c r="I1926" s="474" t="s">
        <v>3457</v>
      </c>
      <c r="J1926" s="474" t="s">
        <v>3464</v>
      </c>
      <c r="K1926" s="443" t="s">
        <v>1592</v>
      </c>
      <c r="L1926" s="471">
        <v>1</v>
      </c>
      <c r="M1926" s="447" t="s">
        <v>2375</v>
      </c>
      <c r="N1926" s="456">
        <v>3000</v>
      </c>
      <c r="O1926" s="475">
        <f t="shared" si="7"/>
        <v>3000</v>
      </c>
      <c r="P1926" s="476"/>
      <c r="Q1926" s="477">
        <v>46023</v>
      </c>
      <c r="R1926" s="476"/>
      <c r="S1926" s="476"/>
    </row>
    <row r="1927" spans="1:19" ht="15.75" customHeight="1" x14ac:dyDescent="0.25">
      <c r="A1927" s="438">
        <v>1924</v>
      </c>
      <c r="B1927" s="470" t="s">
        <v>17</v>
      </c>
      <c r="C1927" s="471" t="s">
        <v>18</v>
      </c>
      <c r="D1927" s="472" t="s">
        <v>19</v>
      </c>
      <c r="E1927" s="465" t="s">
        <v>4083</v>
      </c>
      <c r="F1927" s="448" t="s">
        <v>4100</v>
      </c>
      <c r="G1927" s="473" t="s">
        <v>3065</v>
      </c>
      <c r="H1927" s="439" t="s">
        <v>2349</v>
      </c>
      <c r="I1927" s="474" t="s">
        <v>3459</v>
      </c>
      <c r="J1927" s="474" t="s">
        <v>3464</v>
      </c>
      <c r="K1927" s="443" t="s">
        <v>349</v>
      </c>
      <c r="L1927" s="471">
        <v>1</v>
      </c>
      <c r="M1927" s="447" t="s">
        <v>2376</v>
      </c>
      <c r="N1927" s="456">
        <v>3983</v>
      </c>
      <c r="O1927" s="475">
        <f t="shared" si="7"/>
        <v>3983</v>
      </c>
      <c r="P1927" s="476"/>
      <c r="Q1927" s="477">
        <v>46023</v>
      </c>
      <c r="R1927" s="476"/>
      <c r="S1927" s="476"/>
    </row>
    <row r="1928" spans="1:19" ht="15.75" customHeight="1" x14ac:dyDescent="0.25">
      <c r="A1928" s="438">
        <v>1925</v>
      </c>
      <c r="B1928" s="470" t="s">
        <v>17</v>
      </c>
      <c r="C1928" s="471" t="s">
        <v>18</v>
      </c>
      <c r="D1928" s="472" t="s">
        <v>19</v>
      </c>
      <c r="E1928" s="465" t="s">
        <v>4083</v>
      </c>
      <c r="F1928" s="448" t="s">
        <v>4100</v>
      </c>
      <c r="G1928" s="473" t="s">
        <v>3906</v>
      </c>
      <c r="H1928" s="439" t="s">
        <v>144</v>
      </c>
      <c r="I1928" s="474" t="s">
        <v>3457</v>
      </c>
      <c r="J1928" s="474" t="s">
        <v>3463</v>
      </c>
      <c r="K1928" s="443" t="s">
        <v>145</v>
      </c>
      <c r="L1928" s="471">
        <v>1</v>
      </c>
      <c r="M1928" s="447" t="s">
        <v>2377</v>
      </c>
      <c r="N1928" s="456">
        <v>10000</v>
      </c>
      <c r="O1928" s="475">
        <f t="shared" si="7"/>
        <v>10000</v>
      </c>
      <c r="P1928" s="476"/>
      <c r="Q1928" s="477">
        <v>46023</v>
      </c>
      <c r="R1928" s="476"/>
      <c r="S1928" s="476"/>
    </row>
    <row r="1929" spans="1:19" ht="15.75" customHeight="1" x14ac:dyDescent="0.25">
      <c r="A1929" s="438">
        <v>1926</v>
      </c>
      <c r="B1929" s="470" t="s">
        <v>17</v>
      </c>
      <c r="C1929" s="471" t="s">
        <v>18</v>
      </c>
      <c r="D1929" s="472" t="s">
        <v>19</v>
      </c>
      <c r="E1929" s="465" t="s">
        <v>4087</v>
      </c>
      <c r="F1929" s="448" t="s">
        <v>4098</v>
      </c>
      <c r="G1929" s="473" t="s">
        <v>2790</v>
      </c>
      <c r="H1929" s="439" t="s">
        <v>1254</v>
      </c>
      <c r="I1929" s="474" t="s">
        <v>3457</v>
      </c>
      <c r="J1929" s="474" t="s">
        <v>3463</v>
      </c>
      <c r="K1929" s="443" t="s">
        <v>1255</v>
      </c>
      <c r="L1929" s="471">
        <v>1</v>
      </c>
      <c r="M1929" s="447" t="s">
        <v>2378</v>
      </c>
      <c r="N1929" s="456">
        <v>950</v>
      </c>
      <c r="O1929" s="475">
        <f t="shared" si="7"/>
        <v>950</v>
      </c>
      <c r="P1929" s="476"/>
      <c r="Q1929" s="477">
        <v>46023</v>
      </c>
      <c r="R1929" s="476"/>
      <c r="S1929" s="476"/>
    </row>
    <row r="1930" spans="1:19" ht="15.75" customHeight="1" x14ac:dyDescent="0.25">
      <c r="A1930" s="438">
        <v>1927</v>
      </c>
      <c r="B1930" s="470" t="s">
        <v>17</v>
      </c>
      <c r="C1930" s="471" t="s">
        <v>18</v>
      </c>
      <c r="D1930" s="472" t="s">
        <v>19</v>
      </c>
      <c r="E1930" s="465" t="s">
        <v>4087</v>
      </c>
      <c r="F1930" s="448" t="s">
        <v>4098</v>
      </c>
      <c r="G1930" s="473" t="s">
        <v>2790</v>
      </c>
      <c r="H1930" s="439" t="s">
        <v>1254</v>
      </c>
      <c r="I1930" s="474" t="s">
        <v>3457</v>
      </c>
      <c r="J1930" s="474" t="s">
        <v>3463</v>
      </c>
      <c r="K1930" s="443" t="s">
        <v>1255</v>
      </c>
      <c r="L1930" s="471">
        <v>1</v>
      </c>
      <c r="M1930" s="447" t="s">
        <v>2379</v>
      </c>
      <c r="N1930" s="456">
        <v>950</v>
      </c>
      <c r="O1930" s="475">
        <f t="shared" si="7"/>
        <v>950</v>
      </c>
      <c r="P1930" s="476"/>
      <c r="Q1930" s="477">
        <v>46023</v>
      </c>
      <c r="R1930" s="476"/>
      <c r="S1930" s="476"/>
    </row>
    <row r="1931" spans="1:19" ht="15.75" customHeight="1" x14ac:dyDescent="0.25">
      <c r="A1931" s="438">
        <v>1928</v>
      </c>
      <c r="B1931" s="470" t="s">
        <v>17</v>
      </c>
      <c r="C1931" s="471" t="s">
        <v>18</v>
      </c>
      <c r="D1931" s="472" t="s">
        <v>19</v>
      </c>
      <c r="E1931" s="465" t="s">
        <v>4091</v>
      </c>
      <c r="F1931" s="448" t="s">
        <v>4124</v>
      </c>
      <c r="G1931" s="473" t="s">
        <v>2790</v>
      </c>
      <c r="H1931" s="439" t="s">
        <v>1254</v>
      </c>
      <c r="I1931" s="474" t="s">
        <v>3457</v>
      </c>
      <c r="J1931" s="474" t="s">
        <v>3463</v>
      </c>
      <c r="K1931" s="443" t="s">
        <v>1255</v>
      </c>
      <c r="L1931" s="471">
        <v>1</v>
      </c>
      <c r="M1931" s="447" t="s">
        <v>2380</v>
      </c>
      <c r="N1931" s="456">
        <v>950</v>
      </c>
      <c r="O1931" s="475">
        <f t="shared" si="7"/>
        <v>950</v>
      </c>
      <c r="P1931" s="476"/>
      <c r="Q1931" s="477">
        <v>46023</v>
      </c>
      <c r="R1931" s="476"/>
      <c r="S1931" s="476"/>
    </row>
    <row r="1932" spans="1:19" ht="15.75" customHeight="1" x14ac:dyDescent="0.25">
      <c r="A1932" s="438">
        <v>1929</v>
      </c>
      <c r="B1932" s="470" t="s">
        <v>17</v>
      </c>
      <c r="C1932" s="471" t="s">
        <v>18</v>
      </c>
      <c r="D1932" s="472" t="s">
        <v>19</v>
      </c>
      <c r="E1932" s="465" t="s">
        <v>4086</v>
      </c>
      <c r="F1932" s="448" t="s">
        <v>4122</v>
      </c>
      <c r="G1932" s="473" t="s">
        <v>2790</v>
      </c>
      <c r="H1932" s="439" t="s">
        <v>1254</v>
      </c>
      <c r="I1932" s="474" t="s">
        <v>3457</v>
      </c>
      <c r="J1932" s="474" t="s">
        <v>3463</v>
      </c>
      <c r="K1932" s="443" t="s">
        <v>1255</v>
      </c>
      <c r="L1932" s="471">
        <v>1</v>
      </c>
      <c r="M1932" s="447" t="s">
        <v>2381</v>
      </c>
      <c r="N1932" s="456">
        <v>950</v>
      </c>
      <c r="O1932" s="475">
        <f t="shared" si="7"/>
        <v>950</v>
      </c>
      <c r="P1932" s="476"/>
      <c r="Q1932" s="477">
        <v>46023</v>
      </c>
      <c r="R1932" s="476"/>
      <c r="S1932" s="476"/>
    </row>
    <row r="1933" spans="1:19" ht="15.75" customHeight="1" x14ac:dyDescent="0.25">
      <c r="A1933" s="438">
        <v>1930</v>
      </c>
      <c r="B1933" s="470" t="s">
        <v>17</v>
      </c>
      <c r="C1933" s="471" t="s">
        <v>18</v>
      </c>
      <c r="D1933" s="472" t="s">
        <v>19</v>
      </c>
      <c r="E1933" s="465" t="s">
        <v>4091</v>
      </c>
      <c r="F1933" s="448" t="s">
        <v>4114</v>
      </c>
      <c r="G1933" s="473" t="s">
        <v>2790</v>
      </c>
      <c r="H1933" s="439" t="s">
        <v>1254</v>
      </c>
      <c r="I1933" s="474" t="s">
        <v>3457</v>
      </c>
      <c r="J1933" s="474" t="s">
        <v>3463</v>
      </c>
      <c r="K1933" s="443" t="s">
        <v>1255</v>
      </c>
      <c r="L1933" s="471">
        <v>1</v>
      </c>
      <c r="M1933" s="447" t="s">
        <v>2382</v>
      </c>
      <c r="N1933" s="456">
        <v>950</v>
      </c>
      <c r="O1933" s="475">
        <f t="shared" si="7"/>
        <v>950</v>
      </c>
      <c r="P1933" s="476"/>
      <c r="Q1933" s="477">
        <v>46023</v>
      </c>
      <c r="R1933" s="476"/>
      <c r="S1933" s="476"/>
    </row>
    <row r="1934" spans="1:19" ht="15.75" customHeight="1" x14ac:dyDescent="0.25">
      <c r="A1934" s="438">
        <v>1931</v>
      </c>
      <c r="B1934" s="470" t="s">
        <v>17</v>
      </c>
      <c r="C1934" s="471" t="s">
        <v>18</v>
      </c>
      <c r="D1934" s="472" t="s">
        <v>19</v>
      </c>
      <c r="E1934" s="465" t="s">
        <v>4091</v>
      </c>
      <c r="F1934" s="448" t="s">
        <v>4124</v>
      </c>
      <c r="G1934" s="473" t="s">
        <v>3045</v>
      </c>
      <c r="H1934" s="439" t="s">
        <v>1998</v>
      </c>
      <c r="I1934" s="474" t="s">
        <v>3457</v>
      </c>
      <c r="J1934" s="474" t="s">
        <v>3464</v>
      </c>
      <c r="K1934" s="443" t="s">
        <v>1592</v>
      </c>
      <c r="L1934" s="471">
        <v>1</v>
      </c>
      <c r="M1934" s="447" t="s">
        <v>2383</v>
      </c>
      <c r="N1934" s="456">
        <v>3000</v>
      </c>
      <c r="O1934" s="475">
        <f t="shared" si="7"/>
        <v>3000</v>
      </c>
      <c r="P1934" s="476"/>
      <c r="Q1934" s="477">
        <v>46023</v>
      </c>
      <c r="R1934" s="476"/>
      <c r="S1934" s="476"/>
    </row>
    <row r="1935" spans="1:19" ht="15.75" customHeight="1" x14ac:dyDescent="0.25">
      <c r="A1935" s="438">
        <v>1932</v>
      </c>
      <c r="B1935" s="470" t="s">
        <v>17</v>
      </c>
      <c r="C1935" s="471" t="s">
        <v>18</v>
      </c>
      <c r="D1935" s="472" t="s">
        <v>19</v>
      </c>
      <c r="E1935" s="465" t="s">
        <v>4091</v>
      </c>
      <c r="F1935" s="448" t="s">
        <v>4124</v>
      </c>
      <c r="G1935" s="473" t="s">
        <v>3045</v>
      </c>
      <c r="H1935" s="439" t="s">
        <v>1998</v>
      </c>
      <c r="I1935" s="474" t="s">
        <v>3457</v>
      </c>
      <c r="J1935" s="474" t="s">
        <v>3464</v>
      </c>
      <c r="K1935" s="443" t="s">
        <v>1592</v>
      </c>
      <c r="L1935" s="471">
        <v>1</v>
      </c>
      <c r="M1935" s="447" t="s">
        <v>3617</v>
      </c>
      <c r="N1935" s="456">
        <v>3000</v>
      </c>
      <c r="O1935" s="475">
        <f t="shared" si="7"/>
        <v>3000</v>
      </c>
      <c r="P1935" s="476"/>
      <c r="Q1935" s="477">
        <v>46023</v>
      </c>
      <c r="R1935" s="476"/>
      <c r="S1935" s="476"/>
    </row>
    <row r="1936" spans="1:19" ht="15.75" customHeight="1" x14ac:dyDescent="0.25">
      <c r="A1936" s="438">
        <v>1933</v>
      </c>
      <c r="B1936" s="470" t="s">
        <v>17</v>
      </c>
      <c r="C1936" s="471" t="s">
        <v>18</v>
      </c>
      <c r="D1936" s="472" t="s">
        <v>19</v>
      </c>
      <c r="E1936" s="465" t="s">
        <v>4086</v>
      </c>
      <c r="F1936" s="448" t="s">
        <v>4097</v>
      </c>
      <c r="G1936" s="473" t="s">
        <v>3045</v>
      </c>
      <c r="H1936" s="439" t="s">
        <v>1998</v>
      </c>
      <c r="I1936" s="474" t="s">
        <v>3457</v>
      </c>
      <c r="J1936" s="474" t="s">
        <v>3464</v>
      </c>
      <c r="K1936" s="443" t="s">
        <v>1592</v>
      </c>
      <c r="L1936" s="471">
        <v>1</v>
      </c>
      <c r="M1936" s="447" t="s">
        <v>3618</v>
      </c>
      <c r="N1936" s="456">
        <v>3000</v>
      </c>
      <c r="O1936" s="475">
        <f t="shared" si="7"/>
        <v>3000</v>
      </c>
      <c r="P1936" s="476"/>
      <c r="Q1936" s="477">
        <v>46023</v>
      </c>
      <c r="R1936" s="476"/>
      <c r="S1936" s="476"/>
    </row>
    <row r="1937" spans="1:19" ht="15.75" customHeight="1" x14ac:dyDescent="0.25">
      <c r="A1937" s="438">
        <v>1934</v>
      </c>
      <c r="B1937" s="470" t="s">
        <v>17</v>
      </c>
      <c r="C1937" s="471" t="s">
        <v>18</v>
      </c>
      <c r="D1937" s="472" t="s">
        <v>19</v>
      </c>
      <c r="E1937" s="465" t="s">
        <v>4086</v>
      </c>
      <c r="F1937" s="448" t="s">
        <v>4097</v>
      </c>
      <c r="G1937" s="473" t="s">
        <v>3045</v>
      </c>
      <c r="H1937" s="439" t="s">
        <v>1998</v>
      </c>
      <c r="I1937" s="474" t="s">
        <v>3457</v>
      </c>
      <c r="J1937" s="474" t="s">
        <v>3464</v>
      </c>
      <c r="K1937" s="443" t="s">
        <v>1592</v>
      </c>
      <c r="L1937" s="471">
        <v>1</v>
      </c>
      <c r="M1937" s="447" t="s">
        <v>3619</v>
      </c>
      <c r="N1937" s="456">
        <v>3000</v>
      </c>
      <c r="O1937" s="475">
        <f t="shared" si="7"/>
        <v>3000</v>
      </c>
      <c r="P1937" s="476"/>
      <c r="Q1937" s="477">
        <v>46023</v>
      </c>
      <c r="R1937" s="476"/>
      <c r="S1937" s="476"/>
    </row>
    <row r="1938" spans="1:19" ht="15.75" customHeight="1" x14ac:dyDescent="0.25">
      <c r="A1938" s="438">
        <v>1935</v>
      </c>
      <c r="B1938" s="470" t="s">
        <v>17</v>
      </c>
      <c r="C1938" s="471" t="s">
        <v>18</v>
      </c>
      <c r="D1938" s="472" t="s">
        <v>19</v>
      </c>
      <c r="E1938" s="448" t="s">
        <v>4086</v>
      </c>
      <c r="F1938" s="448" t="s">
        <v>4111</v>
      </c>
      <c r="G1938" s="473" t="s">
        <v>3045</v>
      </c>
      <c r="H1938" s="439" t="s">
        <v>1998</v>
      </c>
      <c r="I1938" s="474" t="s">
        <v>3457</v>
      </c>
      <c r="J1938" s="474" t="s">
        <v>3464</v>
      </c>
      <c r="K1938" s="443" t="s">
        <v>1592</v>
      </c>
      <c r="L1938" s="471">
        <v>1</v>
      </c>
      <c r="M1938" s="447" t="s">
        <v>3620</v>
      </c>
      <c r="N1938" s="456">
        <v>3000</v>
      </c>
      <c r="O1938" s="475">
        <f t="shared" si="7"/>
        <v>3000</v>
      </c>
      <c r="P1938" s="476"/>
      <c r="Q1938" s="477">
        <v>46023</v>
      </c>
      <c r="R1938" s="476"/>
      <c r="S1938" s="476"/>
    </row>
    <row r="1939" spans="1:19" ht="15.75" customHeight="1" x14ac:dyDescent="0.25">
      <c r="A1939" s="438">
        <v>1936</v>
      </c>
      <c r="B1939" s="470" t="s">
        <v>17</v>
      </c>
      <c r="C1939" s="471" t="s">
        <v>18</v>
      </c>
      <c r="D1939" s="472" t="s">
        <v>19</v>
      </c>
      <c r="E1939" s="465" t="s">
        <v>4083</v>
      </c>
      <c r="F1939" s="448" t="s">
        <v>2988</v>
      </c>
      <c r="G1939" s="473" t="s">
        <v>3060</v>
      </c>
      <c r="H1939" s="439" t="s">
        <v>3414</v>
      </c>
      <c r="I1939" s="474" t="s">
        <v>3457</v>
      </c>
      <c r="J1939" s="474" t="s">
        <v>3463</v>
      </c>
      <c r="K1939" s="443" t="s">
        <v>1539</v>
      </c>
      <c r="L1939" s="471">
        <v>1</v>
      </c>
      <c r="M1939" s="447" t="s">
        <v>2384</v>
      </c>
      <c r="N1939" s="456">
        <v>8000</v>
      </c>
      <c r="O1939" s="475">
        <f t="shared" si="7"/>
        <v>8000</v>
      </c>
      <c r="P1939" s="476"/>
      <c r="Q1939" s="477">
        <v>46023</v>
      </c>
      <c r="R1939" s="476"/>
      <c r="S1939" s="476"/>
    </row>
    <row r="1940" spans="1:19" ht="15.75" customHeight="1" x14ac:dyDescent="0.25">
      <c r="A1940" s="438">
        <v>1937</v>
      </c>
      <c r="B1940" s="470" t="s">
        <v>17</v>
      </c>
      <c r="C1940" s="471" t="s">
        <v>18</v>
      </c>
      <c r="D1940" s="472" t="s">
        <v>19</v>
      </c>
      <c r="E1940" s="448" t="s">
        <v>4083</v>
      </c>
      <c r="F1940" s="448" t="s">
        <v>2988</v>
      </c>
      <c r="G1940" s="473" t="s">
        <v>3053</v>
      </c>
      <c r="H1940" s="439" t="s">
        <v>2386</v>
      </c>
      <c r="I1940" s="474" t="s">
        <v>3457</v>
      </c>
      <c r="J1940" s="474" t="s">
        <v>3463</v>
      </c>
      <c r="K1940" s="439" t="s">
        <v>1191</v>
      </c>
      <c r="L1940" s="471">
        <v>1</v>
      </c>
      <c r="M1940" s="447" t="s">
        <v>2387</v>
      </c>
      <c r="N1940" s="456">
        <v>35500</v>
      </c>
      <c r="O1940" s="475">
        <f t="shared" si="7"/>
        <v>35500</v>
      </c>
      <c r="P1940" s="476"/>
      <c r="Q1940" s="477">
        <v>46023</v>
      </c>
      <c r="R1940" s="476"/>
      <c r="S1940" s="476"/>
    </row>
    <row r="1941" spans="1:19" ht="15.75" customHeight="1" x14ac:dyDescent="0.25">
      <c r="A1941" s="438">
        <v>1938</v>
      </c>
      <c r="B1941" s="470" t="s">
        <v>17</v>
      </c>
      <c r="C1941" s="471" t="s">
        <v>18</v>
      </c>
      <c r="D1941" s="472" t="s">
        <v>19</v>
      </c>
      <c r="E1941" s="448" t="s">
        <v>4084</v>
      </c>
      <c r="F1941" s="448" t="s">
        <v>4096</v>
      </c>
      <c r="G1941" s="473" t="s">
        <v>3223</v>
      </c>
      <c r="H1941" s="439" t="s">
        <v>466</v>
      </c>
      <c r="I1941" s="474" t="s">
        <v>3459</v>
      </c>
      <c r="J1941" s="474" t="s">
        <v>3464</v>
      </c>
      <c r="K1941" s="443" t="s">
        <v>404</v>
      </c>
      <c r="L1941" s="471">
        <v>1</v>
      </c>
      <c r="M1941" s="447" t="s">
        <v>3085</v>
      </c>
      <c r="N1941" s="456">
        <v>5500</v>
      </c>
      <c r="O1941" s="475">
        <f t="shared" si="7"/>
        <v>5500</v>
      </c>
      <c r="P1941" s="476"/>
      <c r="Q1941" s="477">
        <v>46023</v>
      </c>
      <c r="R1941" s="476"/>
      <c r="S1941" s="476"/>
    </row>
    <row r="1942" spans="1:19" ht="15.75" customHeight="1" x14ac:dyDescent="0.25">
      <c r="A1942" s="438">
        <v>1939</v>
      </c>
      <c r="B1942" s="470" t="s">
        <v>17</v>
      </c>
      <c r="C1942" s="471" t="s">
        <v>18</v>
      </c>
      <c r="D1942" s="472" t="s">
        <v>19</v>
      </c>
      <c r="E1942" s="465" t="s">
        <v>4088</v>
      </c>
      <c r="F1942" s="448" t="s">
        <v>4105</v>
      </c>
      <c r="G1942" s="473" t="s">
        <v>3223</v>
      </c>
      <c r="H1942" s="439" t="s">
        <v>466</v>
      </c>
      <c r="I1942" s="474" t="s">
        <v>3459</v>
      </c>
      <c r="J1942" s="474" t="s">
        <v>3464</v>
      </c>
      <c r="K1942" s="443" t="s">
        <v>404</v>
      </c>
      <c r="L1942" s="471">
        <v>1</v>
      </c>
      <c r="M1942" s="447" t="s">
        <v>2388</v>
      </c>
      <c r="N1942" s="456">
        <v>5500</v>
      </c>
      <c r="O1942" s="475">
        <f t="shared" si="7"/>
        <v>5500</v>
      </c>
      <c r="P1942" s="476"/>
      <c r="Q1942" s="477">
        <v>46023</v>
      </c>
      <c r="R1942" s="476"/>
      <c r="S1942" s="476"/>
    </row>
    <row r="1943" spans="1:19" ht="15.75" customHeight="1" x14ac:dyDescent="0.25">
      <c r="A1943" s="438">
        <v>1940</v>
      </c>
      <c r="B1943" s="470" t="s">
        <v>17</v>
      </c>
      <c r="C1943" s="471" t="s">
        <v>18</v>
      </c>
      <c r="D1943" s="472" t="s">
        <v>19</v>
      </c>
      <c r="E1943" s="465" t="s">
        <v>4086</v>
      </c>
      <c r="F1943" s="448" t="s">
        <v>4103</v>
      </c>
      <c r="G1943" s="473" t="s">
        <v>3223</v>
      </c>
      <c r="H1943" s="439" t="s">
        <v>466</v>
      </c>
      <c r="I1943" s="474" t="s">
        <v>3459</v>
      </c>
      <c r="J1943" s="474" t="s">
        <v>3464</v>
      </c>
      <c r="K1943" s="443" t="s">
        <v>404</v>
      </c>
      <c r="L1943" s="471">
        <v>1</v>
      </c>
      <c r="M1943" s="447" t="s">
        <v>2389</v>
      </c>
      <c r="N1943" s="456">
        <v>5500</v>
      </c>
      <c r="O1943" s="475">
        <f t="shared" si="7"/>
        <v>5500</v>
      </c>
      <c r="P1943" s="476"/>
      <c r="Q1943" s="477">
        <v>46023</v>
      </c>
      <c r="R1943" s="476"/>
      <c r="S1943" s="476"/>
    </row>
    <row r="1944" spans="1:19" ht="15.75" customHeight="1" x14ac:dyDescent="0.25">
      <c r="A1944" s="438">
        <v>1941</v>
      </c>
      <c r="B1944" s="470" t="s">
        <v>17</v>
      </c>
      <c r="C1944" s="471" t="s">
        <v>18</v>
      </c>
      <c r="D1944" s="472" t="s">
        <v>19</v>
      </c>
      <c r="E1944" s="465" t="s">
        <v>4085</v>
      </c>
      <c r="F1944" s="448" t="s">
        <v>2982</v>
      </c>
      <c r="G1944" s="473" t="s">
        <v>3223</v>
      </c>
      <c r="H1944" s="439" t="s">
        <v>466</v>
      </c>
      <c r="I1944" s="474" t="s">
        <v>3459</v>
      </c>
      <c r="J1944" s="474" t="s">
        <v>3464</v>
      </c>
      <c r="K1944" s="443" t="s">
        <v>404</v>
      </c>
      <c r="L1944" s="471">
        <v>1</v>
      </c>
      <c r="M1944" s="447" t="s">
        <v>3621</v>
      </c>
      <c r="N1944" s="456">
        <v>4200</v>
      </c>
      <c r="O1944" s="475">
        <f t="shared" si="7"/>
        <v>4200</v>
      </c>
      <c r="P1944" s="476"/>
      <c r="Q1944" s="477">
        <v>46023</v>
      </c>
      <c r="R1944" s="476"/>
      <c r="S1944" s="476"/>
    </row>
    <row r="1945" spans="1:19" ht="15.75" customHeight="1" x14ac:dyDescent="0.25">
      <c r="A1945" s="438">
        <v>1942</v>
      </c>
      <c r="B1945" s="470" t="s">
        <v>17</v>
      </c>
      <c r="C1945" s="471" t="s">
        <v>18</v>
      </c>
      <c r="D1945" s="472" t="s">
        <v>19</v>
      </c>
      <c r="E1945" s="448" t="s">
        <v>4088</v>
      </c>
      <c r="F1945" s="448" t="s">
        <v>4106</v>
      </c>
      <c r="G1945" s="473" t="s">
        <v>3223</v>
      </c>
      <c r="H1945" s="439" t="s">
        <v>466</v>
      </c>
      <c r="I1945" s="474" t="s">
        <v>3459</v>
      </c>
      <c r="J1945" s="474" t="s">
        <v>3464</v>
      </c>
      <c r="K1945" s="443" t="s">
        <v>404</v>
      </c>
      <c r="L1945" s="471">
        <v>1</v>
      </c>
      <c r="M1945" s="447" t="s">
        <v>2400</v>
      </c>
      <c r="N1945" s="456">
        <v>4200</v>
      </c>
      <c r="O1945" s="475">
        <f t="shared" si="7"/>
        <v>4200</v>
      </c>
      <c r="P1945" s="476"/>
      <c r="Q1945" s="477">
        <v>46023</v>
      </c>
      <c r="R1945" s="476"/>
      <c r="S1945" s="476"/>
    </row>
    <row r="1946" spans="1:19" ht="15.75" customHeight="1" x14ac:dyDescent="0.25">
      <c r="A1946" s="438">
        <v>1943</v>
      </c>
      <c r="B1946" s="470" t="s">
        <v>17</v>
      </c>
      <c r="C1946" s="471" t="s">
        <v>18</v>
      </c>
      <c r="D1946" s="472" t="s">
        <v>19</v>
      </c>
      <c r="E1946" s="448" t="s">
        <v>4086</v>
      </c>
      <c r="F1946" s="448" t="s">
        <v>4125</v>
      </c>
      <c r="G1946" s="473" t="s">
        <v>3223</v>
      </c>
      <c r="H1946" s="439" t="s">
        <v>466</v>
      </c>
      <c r="I1946" s="474" t="s">
        <v>3459</v>
      </c>
      <c r="J1946" s="474" t="s">
        <v>3464</v>
      </c>
      <c r="K1946" s="443" t="s">
        <v>404</v>
      </c>
      <c r="L1946" s="471">
        <v>1</v>
      </c>
      <c r="M1946" s="447" t="s">
        <v>3099</v>
      </c>
      <c r="N1946" s="456">
        <v>4200</v>
      </c>
      <c r="O1946" s="475">
        <f t="shared" si="7"/>
        <v>4200</v>
      </c>
      <c r="P1946" s="476"/>
      <c r="Q1946" s="477">
        <v>46023</v>
      </c>
      <c r="R1946" s="476"/>
      <c r="S1946" s="476"/>
    </row>
    <row r="1947" spans="1:19" ht="15.75" customHeight="1" x14ac:dyDescent="0.25">
      <c r="A1947" s="438">
        <v>1944</v>
      </c>
      <c r="B1947" s="470" t="s">
        <v>17</v>
      </c>
      <c r="C1947" s="471" t="s">
        <v>18</v>
      </c>
      <c r="D1947" s="472" t="s">
        <v>19</v>
      </c>
      <c r="E1947" s="448" t="s">
        <v>4080</v>
      </c>
      <c r="F1947" s="448" t="s">
        <v>4080</v>
      </c>
      <c r="G1947" s="473" t="s">
        <v>3223</v>
      </c>
      <c r="H1947" s="439" t="s">
        <v>466</v>
      </c>
      <c r="I1947" s="474" t="s">
        <v>3459</v>
      </c>
      <c r="J1947" s="474" t="s">
        <v>3464</v>
      </c>
      <c r="K1947" s="443" t="s">
        <v>404</v>
      </c>
      <c r="L1947" s="471">
        <v>1</v>
      </c>
      <c r="M1947" s="447" t="s">
        <v>2401</v>
      </c>
      <c r="N1947" s="456">
        <v>12000</v>
      </c>
      <c r="O1947" s="475">
        <f t="shared" si="7"/>
        <v>12000</v>
      </c>
      <c r="P1947" s="476"/>
      <c r="Q1947" s="477">
        <v>46023</v>
      </c>
      <c r="R1947" s="476"/>
      <c r="S1947" s="476"/>
    </row>
    <row r="1948" spans="1:19" ht="15.75" customHeight="1" x14ac:dyDescent="0.25">
      <c r="A1948" s="438">
        <v>1945</v>
      </c>
      <c r="B1948" s="470" t="s">
        <v>17</v>
      </c>
      <c r="C1948" s="471" t="s">
        <v>18</v>
      </c>
      <c r="D1948" s="472" t="s">
        <v>19</v>
      </c>
      <c r="E1948" s="448" t="s">
        <v>4080</v>
      </c>
      <c r="F1948" s="448" t="s">
        <v>4080</v>
      </c>
      <c r="G1948" s="473" t="s">
        <v>3223</v>
      </c>
      <c r="H1948" s="439" t="s">
        <v>466</v>
      </c>
      <c r="I1948" s="474" t="s">
        <v>3459</v>
      </c>
      <c r="J1948" s="474" t="s">
        <v>3464</v>
      </c>
      <c r="K1948" s="443" t="s">
        <v>404</v>
      </c>
      <c r="L1948" s="471">
        <v>1</v>
      </c>
      <c r="M1948" s="447" t="s">
        <v>3622</v>
      </c>
      <c r="N1948" s="456">
        <v>8500</v>
      </c>
      <c r="O1948" s="475">
        <f t="shared" si="7"/>
        <v>8500</v>
      </c>
      <c r="P1948" s="476"/>
      <c r="Q1948" s="477">
        <v>46023</v>
      </c>
      <c r="R1948" s="476"/>
      <c r="S1948" s="476"/>
    </row>
    <row r="1949" spans="1:19" ht="15.75" customHeight="1" x14ac:dyDescent="0.25">
      <c r="A1949" s="438">
        <v>1946</v>
      </c>
      <c r="B1949" s="470" t="s">
        <v>17</v>
      </c>
      <c r="C1949" s="471" t="s">
        <v>18</v>
      </c>
      <c r="D1949" s="472" t="s">
        <v>19</v>
      </c>
      <c r="E1949" s="448" t="s">
        <v>4080</v>
      </c>
      <c r="F1949" s="448" t="s">
        <v>4080</v>
      </c>
      <c r="G1949" s="473" t="s">
        <v>3223</v>
      </c>
      <c r="H1949" s="439" t="s">
        <v>466</v>
      </c>
      <c r="I1949" s="474" t="s">
        <v>3459</v>
      </c>
      <c r="J1949" s="474" t="s">
        <v>3464</v>
      </c>
      <c r="K1949" s="443" t="s">
        <v>404</v>
      </c>
      <c r="L1949" s="471">
        <v>1</v>
      </c>
      <c r="M1949" s="447" t="s">
        <v>3623</v>
      </c>
      <c r="N1949" s="456">
        <v>8500</v>
      </c>
      <c r="O1949" s="475">
        <f t="shared" si="7"/>
        <v>8500</v>
      </c>
      <c r="P1949" s="476"/>
      <c r="Q1949" s="477">
        <v>46023</v>
      </c>
      <c r="R1949" s="476"/>
      <c r="S1949" s="476"/>
    </row>
    <row r="1950" spans="1:19" ht="15.75" customHeight="1" x14ac:dyDescent="0.25">
      <c r="A1950" s="438">
        <v>1947</v>
      </c>
      <c r="B1950" s="470" t="s">
        <v>17</v>
      </c>
      <c r="C1950" s="471" t="s">
        <v>18</v>
      </c>
      <c r="D1950" s="472" t="s">
        <v>19</v>
      </c>
      <c r="E1950" s="465" t="s">
        <v>4080</v>
      </c>
      <c r="F1950" s="448" t="s">
        <v>4080</v>
      </c>
      <c r="G1950" s="473" t="s">
        <v>3223</v>
      </c>
      <c r="H1950" s="439" t="s">
        <v>466</v>
      </c>
      <c r="I1950" s="474" t="s">
        <v>3459</v>
      </c>
      <c r="J1950" s="474" t="s">
        <v>3464</v>
      </c>
      <c r="K1950" s="443" t="s">
        <v>404</v>
      </c>
      <c r="L1950" s="471">
        <v>1</v>
      </c>
      <c r="M1950" s="447" t="s">
        <v>3624</v>
      </c>
      <c r="N1950" s="456">
        <v>8500</v>
      </c>
      <c r="O1950" s="475">
        <f t="shared" si="7"/>
        <v>8500</v>
      </c>
      <c r="P1950" s="476"/>
      <c r="Q1950" s="477">
        <v>46023</v>
      </c>
      <c r="R1950" s="476"/>
      <c r="S1950" s="476"/>
    </row>
    <row r="1951" spans="1:19" ht="15.75" customHeight="1" x14ac:dyDescent="0.25">
      <c r="A1951" s="438">
        <v>1948</v>
      </c>
      <c r="B1951" s="470" t="s">
        <v>17</v>
      </c>
      <c r="C1951" s="471" t="s">
        <v>18</v>
      </c>
      <c r="D1951" s="472" t="s">
        <v>19</v>
      </c>
      <c r="E1951" s="465" t="s">
        <v>4086</v>
      </c>
      <c r="F1951" s="448" t="s">
        <v>4120</v>
      </c>
      <c r="G1951" s="473" t="s">
        <v>3065</v>
      </c>
      <c r="H1951" s="439" t="s">
        <v>2349</v>
      </c>
      <c r="I1951" s="474" t="s">
        <v>3459</v>
      </c>
      <c r="J1951" s="474" t="s">
        <v>3464</v>
      </c>
      <c r="K1951" s="443" t="s">
        <v>349</v>
      </c>
      <c r="L1951" s="471">
        <v>1</v>
      </c>
      <c r="M1951" s="447" t="s">
        <v>2916</v>
      </c>
      <c r="N1951" s="456">
        <v>5800</v>
      </c>
      <c r="O1951" s="475">
        <f t="shared" si="7"/>
        <v>5800</v>
      </c>
      <c r="P1951" s="476"/>
      <c r="Q1951" s="477">
        <v>46023</v>
      </c>
      <c r="R1951" s="476"/>
      <c r="S1951" s="476"/>
    </row>
    <row r="1952" spans="1:19" ht="15.75" customHeight="1" x14ac:dyDescent="0.25">
      <c r="A1952" s="438">
        <v>1949</v>
      </c>
      <c r="B1952" s="470" t="s">
        <v>17</v>
      </c>
      <c r="C1952" s="471" t="s">
        <v>18</v>
      </c>
      <c r="D1952" s="472" t="s">
        <v>19</v>
      </c>
      <c r="E1952" s="465" t="s">
        <v>4087</v>
      </c>
      <c r="F1952" s="448" t="s">
        <v>4126</v>
      </c>
      <c r="G1952" s="473" t="s">
        <v>3065</v>
      </c>
      <c r="H1952" s="439" t="s">
        <v>2349</v>
      </c>
      <c r="I1952" s="474" t="s">
        <v>3459</v>
      </c>
      <c r="J1952" s="474" t="s">
        <v>3464</v>
      </c>
      <c r="K1952" s="443" t="s">
        <v>349</v>
      </c>
      <c r="L1952" s="471">
        <v>1</v>
      </c>
      <c r="M1952" s="447" t="s">
        <v>2390</v>
      </c>
      <c r="N1952" s="456">
        <v>6500</v>
      </c>
      <c r="O1952" s="475">
        <f t="shared" si="7"/>
        <v>6500</v>
      </c>
      <c r="P1952" s="476"/>
      <c r="Q1952" s="477">
        <v>46023</v>
      </c>
      <c r="R1952" s="476"/>
      <c r="S1952" s="476"/>
    </row>
    <row r="1953" spans="1:19" ht="15.75" customHeight="1" x14ac:dyDescent="0.25">
      <c r="A1953" s="438">
        <v>1950</v>
      </c>
      <c r="B1953" s="470" t="s">
        <v>17</v>
      </c>
      <c r="C1953" s="471" t="s">
        <v>18</v>
      </c>
      <c r="D1953" s="472" t="s">
        <v>19</v>
      </c>
      <c r="E1953" s="465" t="s">
        <v>4086</v>
      </c>
      <c r="F1953" s="448" t="s">
        <v>4127</v>
      </c>
      <c r="G1953" s="473" t="s">
        <v>3065</v>
      </c>
      <c r="H1953" s="439" t="s">
        <v>2349</v>
      </c>
      <c r="I1953" s="474" t="s">
        <v>3459</v>
      </c>
      <c r="J1953" s="474" t="s">
        <v>3464</v>
      </c>
      <c r="K1953" s="443" t="s">
        <v>349</v>
      </c>
      <c r="L1953" s="471">
        <v>1</v>
      </c>
      <c r="M1953" s="447" t="s">
        <v>2391</v>
      </c>
      <c r="N1953" s="456">
        <v>6500</v>
      </c>
      <c r="O1953" s="475">
        <f t="shared" si="7"/>
        <v>6500</v>
      </c>
      <c r="P1953" s="476"/>
      <c r="Q1953" s="477">
        <v>46023</v>
      </c>
      <c r="R1953" s="476"/>
      <c r="S1953" s="476"/>
    </row>
    <row r="1954" spans="1:19" ht="15.75" customHeight="1" x14ac:dyDescent="0.25">
      <c r="A1954" s="438">
        <v>1951</v>
      </c>
      <c r="B1954" s="470" t="s">
        <v>17</v>
      </c>
      <c r="C1954" s="471" t="s">
        <v>18</v>
      </c>
      <c r="D1954" s="472" t="s">
        <v>19</v>
      </c>
      <c r="E1954" s="465" t="s">
        <v>4088</v>
      </c>
      <c r="F1954" s="448" t="s">
        <v>3049</v>
      </c>
      <c r="G1954" s="473" t="s">
        <v>3065</v>
      </c>
      <c r="H1954" s="439" t="s">
        <v>2349</v>
      </c>
      <c r="I1954" s="474" t="s">
        <v>3459</v>
      </c>
      <c r="J1954" s="474" t="s">
        <v>3464</v>
      </c>
      <c r="K1954" s="443" t="s">
        <v>349</v>
      </c>
      <c r="L1954" s="471">
        <v>1</v>
      </c>
      <c r="M1954" s="447" t="s">
        <v>3625</v>
      </c>
      <c r="N1954" s="456">
        <v>6500</v>
      </c>
      <c r="O1954" s="475">
        <f t="shared" si="7"/>
        <v>6500</v>
      </c>
      <c r="P1954" s="476"/>
      <c r="Q1954" s="477">
        <v>46023</v>
      </c>
      <c r="R1954" s="476"/>
      <c r="S1954" s="476"/>
    </row>
    <row r="1955" spans="1:19" ht="15.75" customHeight="1" x14ac:dyDescent="0.25">
      <c r="A1955" s="438">
        <v>1952</v>
      </c>
      <c r="B1955" s="470" t="s">
        <v>17</v>
      </c>
      <c r="C1955" s="471" t="s">
        <v>18</v>
      </c>
      <c r="D1955" s="472" t="s">
        <v>19</v>
      </c>
      <c r="E1955" s="465" t="s">
        <v>4088</v>
      </c>
      <c r="F1955" s="448" t="s">
        <v>4106</v>
      </c>
      <c r="G1955" s="473" t="s">
        <v>3065</v>
      </c>
      <c r="H1955" s="439" t="s">
        <v>2349</v>
      </c>
      <c r="I1955" s="474" t="s">
        <v>3459</v>
      </c>
      <c r="J1955" s="474" t="s">
        <v>3464</v>
      </c>
      <c r="K1955" s="443" t="s">
        <v>349</v>
      </c>
      <c r="L1955" s="471">
        <v>1</v>
      </c>
      <c r="M1955" s="447" t="s">
        <v>2392</v>
      </c>
      <c r="N1955" s="456">
        <v>6500</v>
      </c>
      <c r="O1955" s="475">
        <f t="shared" si="7"/>
        <v>6500</v>
      </c>
      <c r="P1955" s="476"/>
      <c r="Q1955" s="477">
        <v>46023</v>
      </c>
      <c r="R1955" s="476"/>
      <c r="S1955" s="476"/>
    </row>
    <row r="1956" spans="1:19" ht="15.75" customHeight="1" x14ac:dyDescent="0.25">
      <c r="A1956" s="438">
        <v>1953</v>
      </c>
      <c r="B1956" s="470" t="s">
        <v>17</v>
      </c>
      <c r="C1956" s="471" t="s">
        <v>18</v>
      </c>
      <c r="D1956" s="472" t="s">
        <v>19</v>
      </c>
      <c r="E1956" s="465" t="s">
        <v>4080</v>
      </c>
      <c r="F1956" s="448" t="s">
        <v>4121</v>
      </c>
      <c r="G1956" s="473" t="s">
        <v>3065</v>
      </c>
      <c r="H1956" s="439" t="s">
        <v>2349</v>
      </c>
      <c r="I1956" s="474" t="s">
        <v>3459</v>
      </c>
      <c r="J1956" s="474" t="s">
        <v>3464</v>
      </c>
      <c r="K1956" s="443" t="s">
        <v>349</v>
      </c>
      <c r="L1956" s="471">
        <v>1</v>
      </c>
      <c r="M1956" s="447" t="s">
        <v>2393</v>
      </c>
      <c r="N1956" s="456">
        <v>6500</v>
      </c>
      <c r="O1956" s="475">
        <f t="shared" si="7"/>
        <v>6500</v>
      </c>
      <c r="P1956" s="476"/>
      <c r="Q1956" s="477">
        <v>46023</v>
      </c>
      <c r="R1956" s="476"/>
      <c r="S1956" s="476"/>
    </row>
    <row r="1957" spans="1:19" ht="15.75" customHeight="1" x14ac:dyDescent="0.25">
      <c r="A1957" s="438">
        <v>1954</v>
      </c>
      <c r="B1957" s="470" t="s">
        <v>17</v>
      </c>
      <c r="C1957" s="471" t="s">
        <v>18</v>
      </c>
      <c r="D1957" s="472" t="s">
        <v>19</v>
      </c>
      <c r="E1957" s="465" t="s">
        <v>4091</v>
      </c>
      <c r="F1957" s="448" t="s">
        <v>4128</v>
      </c>
      <c r="G1957" s="473" t="s">
        <v>3058</v>
      </c>
      <c r="H1957" s="439" t="s">
        <v>896</v>
      </c>
      <c r="I1957" s="474" t="s">
        <v>3459</v>
      </c>
      <c r="J1957" s="474" t="s">
        <v>3464</v>
      </c>
      <c r="K1957" s="443" t="s">
        <v>729</v>
      </c>
      <c r="L1957" s="471">
        <v>1</v>
      </c>
      <c r="M1957" s="447" t="s">
        <v>2395</v>
      </c>
      <c r="N1957" s="456">
        <v>28333.34</v>
      </c>
      <c r="O1957" s="475">
        <f t="shared" si="7"/>
        <v>28333.34</v>
      </c>
      <c r="P1957" s="476"/>
      <c r="Q1957" s="477">
        <v>46023</v>
      </c>
      <c r="R1957" s="476"/>
      <c r="S1957" s="476"/>
    </row>
    <row r="1958" spans="1:19" ht="15.75" customHeight="1" x14ac:dyDescent="0.25">
      <c r="A1958" s="438">
        <v>1955</v>
      </c>
      <c r="B1958" s="470" t="s">
        <v>17</v>
      </c>
      <c r="C1958" s="471" t="s">
        <v>18</v>
      </c>
      <c r="D1958" s="472" t="s">
        <v>19</v>
      </c>
      <c r="E1958" s="465" t="s">
        <v>4091</v>
      </c>
      <c r="F1958" s="448" t="s">
        <v>4128</v>
      </c>
      <c r="G1958" s="473" t="s">
        <v>3058</v>
      </c>
      <c r="H1958" s="439" t="s">
        <v>896</v>
      </c>
      <c r="I1958" s="474" t="s">
        <v>3459</v>
      </c>
      <c r="J1958" s="474" t="s">
        <v>3464</v>
      </c>
      <c r="K1958" s="443" t="s">
        <v>729</v>
      </c>
      <c r="L1958" s="471">
        <v>1</v>
      </c>
      <c r="M1958" s="447" t="s">
        <v>2396</v>
      </c>
      <c r="N1958" s="456">
        <v>28333.34</v>
      </c>
      <c r="O1958" s="475">
        <f t="shared" si="7"/>
        <v>28333.34</v>
      </c>
      <c r="P1958" s="476"/>
      <c r="Q1958" s="477">
        <v>46023</v>
      </c>
      <c r="R1958" s="476"/>
      <c r="S1958" s="476"/>
    </row>
    <row r="1959" spans="1:19" ht="15.75" customHeight="1" x14ac:dyDescent="0.25">
      <c r="A1959" s="438">
        <v>1956</v>
      </c>
      <c r="B1959" s="470" t="s">
        <v>17</v>
      </c>
      <c r="C1959" s="471" t="s">
        <v>18</v>
      </c>
      <c r="D1959" s="472" t="s">
        <v>19</v>
      </c>
      <c r="E1959" s="465" t="s">
        <v>4091</v>
      </c>
      <c r="F1959" s="448" t="s">
        <v>4129</v>
      </c>
      <c r="G1959" s="473" t="s">
        <v>3058</v>
      </c>
      <c r="H1959" s="439" t="s">
        <v>896</v>
      </c>
      <c r="I1959" s="474" t="s">
        <v>3459</v>
      </c>
      <c r="J1959" s="474" t="s">
        <v>3464</v>
      </c>
      <c r="K1959" s="443" t="s">
        <v>729</v>
      </c>
      <c r="L1959" s="471">
        <v>1</v>
      </c>
      <c r="M1959" s="447" t="s">
        <v>2883</v>
      </c>
      <c r="N1959" s="456">
        <v>28333.34</v>
      </c>
      <c r="O1959" s="475">
        <f t="shared" si="7"/>
        <v>28333.34</v>
      </c>
      <c r="P1959" s="476"/>
      <c r="Q1959" s="477">
        <v>46023</v>
      </c>
      <c r="R1959" s="476"/>
      <c r="S1959" s="476"/>
    </row>
    <row r="1960" spans="1:19" ht="15.75" customHeight="1" x14ac:dyDescent="0.25">
      <c r="A1960" s="438">
        <v>1957</v>
      </c>
      <c r="B1960" s="470" t="s">
        <v>17</v>
      </c>
      <c r="C1960" s="471" t="s">
        <v>18</v>
      </c>
      <c r="D1960" s="472" t="s">
        <v>19</v>
      </c>
      <c r="E1960" s="465" t="s">
        <v>4086</v>
      </c>
      <c r="F1960" s="448" t="s">
        <v>4120</v>
      </c>
      <c r="G1960" s="473" t="s">
        <v>3058</v>
      </c>
      <c r="H1960" s="439" t="s">
        <v>896</v>
      </c>
      <c r="I1960" s="474" t="s">
        <v>3459</v>
      </c>
      <c r="J1960" s="474" t="s">
        <v>3464</v>
      </c>
      <c r="K1960" s="443" t="s">
        <v>729</v>
      </c>
      <c r="L1960" s="471">
        <v>1</v>
      </c>
      <c r="M1960" s="447" t="s">
        <v>3138</v>
      </c>
      <c r="N1960" s="456">
        <v>23333.33</v>
      </c>
      <c r="O1960" s="475">
        <f t="shared" si="7"/>
        <v>23333.33</v>
      </c>
      <c r="P1960" s="476"/>
      <c r="Q1960" s="477">
        <v>46023</v>
      </c>
      <c r="R1960" s="476"/>
      <c r="S1960" s="476"/>
    </row>
    <row r="1961" spans="1:19" ht="15.75" customHeight="1" x14ac:dyDescent="0.25">
      <c r="A1961" s="438">
        <v>1958</v>
      </c>
      <c r="B1961" s="470" t="s">
        <v>17</v>
      </c>
      <c r="C1961" s="471" t="s">
        <v>18</v>
      </c>
      <c r="D1961" s="472" t="s">
        <v>19</v>
      </c>
      <c r="E1961" s="465" t="s">
        <v>4086</v>
      </c>
      <c r="F1961" s="448" t="s">
        <v>4120</v>
      </c>
      <c r="G1961" s="473" t="s">
        <v>3058</v>
      </c>
      <c r="H1961" s="439" t="s">
        <v>896</v>
      </c>
      <c r="I1961" s="474" t="s">
        <v>3459</v>
      </c>
      <c r="J1961" s="474" t="s">
        <v>3464</v>
      </c>
      <c r="K1961" s="443" t="s">
        <v>729</v>
      </c>
      <c r="L1961" s="471">
        <v>1</v>
      </c>
      <c r="M1961" s="447" t="s">
        <v>3626</v>
      </c>
      <c r="N1961" s="456">
        <v>23333.33</v>
      </c>
      <c r="O1961" s="475">
        <f t="shared" si="7"/>
        <v>23333.33</v>
      </c>
      <c r="P1961" s="476"/>
      <c r="Q1961" s="477">
        <v>46023</v>
      </c>
      <c r="R1961" s="476"/>
      <c r="S1961" s="476"/>
    </row>
    <row r="1962" spans="1:19" ht="15.75" customHeight="1" x14ac:dyDescent="0.25">
      <c r="A1962" s="438">
        <v>1959</v>
      </c>
      <c r="B1962" s="470" t="s">
        <v>17</v>
      </c>
      <c r="C1962" s="471" t="s">
        <v>18</v>
      </c>
      <c r="D1962" s="472" t="s">
        <v>19</v>
      </c>
      <c r="E1962" s="465" t="s">
        <v>4086</v>
      </c>
      <c r="F1962" s="448" t="s">
        <v>4120</v>
      </c>
      <c r="G1962" s="473" t="s">
        <v>3058</v>
      </c>
      <c r="H1962" s="439" t="s">
        <v>896</v>
      </c>
      <c r="I1962" s="474" t="s">
        <v>3459</v>
      </c>
      <c r="J1962" s="474" t="s">
        <v>3464</v>
      </c>
      <c r="K1962" s="443" t="s">
        <v>729</v>
      </c>
      <c r="L1962" s="471">
        <v>1</v>
      </c>
      <c r="M1962" s="447" t="s">
        <v>3136</v>
      </c>
      <c r="N1962" s="456">
        <v>23333.33</v>
      </c>
      <c r="O1962" s="475">
        <f t="shared" si="7"/>
        <v>23333.33</v>
      </c>
      <c r="P1962" s="476"/>
      <c r="Q1962" s="477">
        <v>46023</v>
      </c>
      <c r="R1962" s="476"/>
      <c r="S1962" s="476"/>
    </row>
    <row r="1963" spans="1:19" ht="15.75" customHeight="1" x14ac:dyDescent="0.25">
      <c r="A1963" s="438">
        <v>1960</v>
      </c>
      <c r="B1963" s="470" t="s">
        <v>17</v>
      </c>
      <c r="C1963" s="471" t="s">
        <v>18</v>
      </c>
      <c r="D1963" s="472" t="s">
        <v>19</v>
      </c>
      <c r="E1963" s="465" t="s">
        <v>4083</v>
      </c>
      <c r="F1963" s="448" t="s">
        <v>2988</v>
      </c>
      <c r="G1963" s="473" t="s">
        <v>3058</v>
      </c>
      <c r="H1963" s="439" t="s">
        <v>896</v>
      </c>
      <c r="I1963" s="474" t="s">
        <v>3459</v>
      </c>
      <c r="J1963" s="474" t="s">
        <v>3464</v>
      </c>
      <c r="K1963" s="443" t="s">
        <v>729</v>
      </c>
      <c r="L1963" s="471">
        <v>1</v>
      </c>
      <c r="M1963" s="447" t="s">
        <v>2337</v>
      </c>
      <c r="N1963" s="456">
        <v>9980</v>
      </c>
      <c r="O1963" s="475">
        <f t="shared" si="7"/>
        <v>9980</v>
      </c>
      <c r="P1963" s="476"/>
      <c r="Q1963" s="477">
        <v>46023</v>
      </c>
      <c r="R1963" s="476"/>
      <c r="S1963" s="476"/>
    </row>
    <row r="1964" spans="1:19" ht="15.75" customHeight="1" x14ac:dyDescent="0.25">
      <c r="A1964" s="438">
        <v>1961</v>
      </c>
      <c r="B1964" s="470" t="s">
        <v>17</v>
      </c>
      <c r="C1964" s="471" t="s">
        <v>18</v>
      </c>
      <c r="D1964" s="472" t="s">
        <v>19</v>
      </c>
      <c r="E1964" s="465" t="s">
        <v>4086</v>
      </c>
      <c r="F1964" s="448" t="s">
        <v>4120</v>
      </c>
      <c r="G1964" s="473" t="s">
        <v>3058</v>
      </c>
      <c r="H1964" s="439" t="s">
        <v>896</v>
      </c>
      <c r="I1964" s="474" t="s">
        <v>3459</v>
      </c>
      <c r="J1964" s="474" t="s">
        <v>3464</v>
      </c>
      <c r="K1964" s="443" t="s">
        <v>729</v>
      </c>
      <c r="L1964" s="471">
        <v>1</v>
      </c>
      <c r="M1964" s="447" t="s">
        <v>3627</v>
      </c>
      <c r="N1964" s="456">
        <v>9980</v>
      </c>
      <c r="O1964" s="475">
        <f t="shared" si="7"/>
        <v>9980</v>
      </c>
      <c r="P1964" s="476"/>
      <c r="Q1964" s="477">
        <v>46023</v>
      </c>
      <c r="R1964" s="476"/>
      <c r="S1964" s="476"/>
    </row>
    <row r="1965" spans="1:19" ht="15.75" customHeight="1" x14ac:dyDescent="0.25">
      <c r="A1965" s="438">
        <v>1962</v>
      </c>
      <c r="B1965" s="470" t="s">
        <v>17</v>
      </c>
      <c r="C1965" s="471" t="s">
        <v>18</v>
      </c>
      <c r="D1965" s="472" t="s">
        <v>19</v>
      </c>
      <c r="E1965" s="465" t="s">
        <v>4088</v>
      </c>
      <c r="F1965" s="448" t="s">
        <v>4104</v>
      </c>
      <c r="G1965" s="473" t="s">
        <v>3058</v>
      </c>
      <c r="H1965" s="439" t="s">
        <v>896</v>
      </c>
      <c r="I1965" s="474" t="s">
        <v>3459</v>
      </c>
      <c r="J1965" s="474" t="s">
        <v>3464</v>
      </c>
      <c r="K1965" s="443" t="s">
        <v>729</v>
      </c>
      <c r="L1965" s="471">
        <v>1</v>
      </c>
      <c r="M1965" s="447" t="s">
        <v>2338</v>
      </c>
      <c r="N1965" s="456">
        <v>9980</v>
      </c>
      <c r="O1965" s="475">
        <f t="shared" si="7"/>
        <v>9980</v>
      </c>
      <c r="P1965" s="476"/>
      <c r="Q1965" s="477">
        <v>46023</v>
      </c>
      <c r="R1965" s="476"/>
      <c r="S1965" s="476"/>
    </row>
    <row r="1966" spans="1:19" ht="15.75" customHeight="1" x14ac:dyDescent="0.25">
      <c r="A1966" s="438">
        <v>1963</v>
      </c>
      <c r="B1966" s="470" t="s">
        <v>17</v>
      </c>
      <c r="C1966" s="471" t="s">
        <v>18</v>
      </c>
      <c r="D1966" s="472" t="s">
        <v>19</v>
      </c>
      <c r="E1966" s="465" t="s">
        <v>4087</v>
      </c>
      <c r="F1966" s="448" t="s">
        <v>4098</v>
      </c>
      <c r="G1966" s="473" t="s">
        <v>3058</v>
      </c>
      <c r="H1966" s="439" t="s">
        <v>896</v>
      </c>
      <c r="I1966" s="474" t="s">
        <v>3459</v>
      </c>
      <c r="J1966" s="474" t="s">
        <v>3464</v>
      </c>
      <c r="K1966" s="443" t="s">
        <v>729</v>
      </c>
      <c r="L1966" s="471">
        <v>1</v>
      </c>
      <c r="M1966" s="447" t="s">
        <v>3137</v>
      </c>
      <c r="N1966" s="456">
        <v>9980</v>
      </c>
      <c r="O1966" s="475">
        <f t="shared" si="7"/>
        <v>9980</v>
      </c>
      <c r="P1966" s="476"/>
      <c r="Q1966" s="477">
        <v>46023</v>
      </c>
      <c r="R1966" s="476"/>
      <c r="S1966" s="476"/>
    </row>
    <row r="1967" spans="1:19" ht="15.75" customHeight="1" x14ac:dyDescent="0.25">
      <c r="A1967" s="438">
        <v>1964</v>
      </c>
      <c r="B1967" s="470" t="s">
        <v>17</v>
      </c>
      <c r="C1967" s="471" t="s">
        <v>18</v>
      </c>
      <c r="D1967" s="472" t="s">
        <v>19</v>
      </c>
      <c r="E1967" s="465" t="s">
        <v>4080</v>
      </c>
      <c r="F1967" s="448" t="s">
        <v>4121</v>
      </c>
      <c r="G1967" s="473" t="s">
        <v>3058</v>
      </c>
      <c r="H1967" s="439" t="s">
        <v>896</v>
      </c>
      <c r="I1967" s="474" t="s">
        <v>3459</v>
      </c>
      <c r="J1967" s="474" t="s">
        <v>3464</v>
      </c>
      <c r="K1967" s="443" t="s">
        <v>729</v>
      </c>
      <c r="L1967" s="471">
        <v>1</v>
      </c>
      <c r="M1967" s="447" t="s">
        <v>2346</v>
      </c>
      <c r="N1967" s="456">
        <v>30000</v>
      </c>
      <c r="O1967" s="475">
        <f t="shared" si="7"/>
        <v>30000</v>
      </c>
      <c r="P1967" s="476"/>
      <c r="Q1967" s="477">
        <v>46023</v>
      </c>
      <c r="R1967" s="476"/>
      <c r="S1967" s="476"/>
    </row>
    <row r="1968" spans="1:19" ht="15.75" customHeight="1" x14ac:dyDescent="0.25">
      <c r="A1968" s="438">
        <v>1965</v>
      </c>
      <c r="B1968" s="470" t="s">
        <v>17</v>
      </c>
      <c r="C1968" s="471" t="s">
        <v>18</v>
      </c>
      <c r="D1968" s="472" t="s">
        <v>19</v>
      </c>
      <c r="E1968" s="465" t="s">
        <v>4085</v>
      </c>
      <c r="F1968" s="448" t="s">
        <v>2982</v>
      </c>
      <c r="G1968" s="473" t="s">
        <v>3058</v>
      </c>
      <c r="H1968" s="439" t="s">
        <v>896</v>
      </c>
      <c r="I1968" s="474" t="s">
        <v>3459</v>
      </c>
      <c r="J1968" s="474" t="s">
        <v>3464</v>
      </c>
      <c r="K1968" s="443" t="s">
        <v>729</v>
      </c>
      <c r="L1968" s="471">
        <v>1</v>
      </c>
      <c r="M1968" s="447" t="s">
        <v>3628</v>
      </c>
      <c r="N1968" s="456">
        <v>69480</v>
      </c>
      <c r="O1968" s="475">
        <f t="shared" si="7"/>
        <v>69480</v>
      </c>
      <c r="P1968" s="476"/>
      <c r="Q1968" s="477">
        <v>46023</v>
      </c>
      <c r="R1968" s="476"/>
      <c r="S1968" s="476"/>
    </row>
    <row r="1969" spans="1:19" ht="15.75" customHeight="1" x14ac:dyDescent="0.25">
      <c r="A1969" s="438">
        <v>1966</v>
      </c>
      <c r="B1969" s="470" t="s">
        <v>17</v>
      </c>
      <c r="C1969" s="471" t="s">
        <v>18</v>
      </c>
      <c r="D1969" s="472" t="s">
        <v>19</v>
      </c>
      <c r="E1969" s="465" t="s">
        <v>4085</v>
      </c>
      <c r="F1969" s="448" t="s">
        <v>2982</v>
      </c>
      <c r="G1969" s="473" t="s">
        <v>3058</v>
      </c>
      <c r="H1969" s="439" t="s">
        <v>896</v>
      </c>
      <c r="I1969" s="474" t="s">
        <v>3459</v>
      </c>
      <c r="J1969" s="474" t="s">
        <v>3464</v>
      </c>
      <c r="K1969" s="443" t="s">
        <v>729</v>
      </c>
      <c r="L1969" s="471">
        <v>1</v>
      </c>
      <c r="M1969" s="447" t="s">
        <v>3629</v>
      </c>
      <c r="N1969" s="456">
        <v>69480</v>
      </c>
      <c r="O1969" s="475">
        <f t="shared" si="7"/>
        <v>69480</v>
      </c>
      <c r="P1969" s="476"/>
      <c r="Q1969" s="477">
        <v>46023</v>
      </c>
      <c r="R1969" s="476"/>
      <c r="S1969" s="476"/>
    </row>
    <row r="1970" spans="1:19" ht="15.75" customHeight="1" x14ac:dyDescent="0.25">
      <c r="A1970" s="438">
        <v>1967</v>
      </c>
      <c r="B1970" s="470" t="s">
        <v>17</v>
      </c>
      <c r="C1970" s="471" t="s">
        <v>18</v>
      </c>
      <c r="D1970" s="472" t="s">
        <v>19</v>
      </c>
      <c r="E1970" s="465" t="s">
        <v>4080</v>
      </c>
      <c r="F1970" s="448" t="s">
        <v>4121</v>
      </c>
      <c r="G1970" s="473" t="s">
        <v>3058</v>
      </c>
      <c r="H1970" s="439" t="s">
        <v>896</v>
      </c>
      <c r="I1970" s="474" t="s">
        <v>3459</v>
      </c>
      <c r="J1970" s="474" t="s">
        <v>3464</v>
      </c>
      <c r="K1970" s="443" t="s">
        <v>729</v>
      </c>
      <c r="L1970" s="471">
        <v>1</v>
      </c>
      <c r="M1970" s="447" t="s">
        <v>2406</v>
      </c>
      <c r="N1970" s="456">
        <v>8450</v>
      </c>
      <c r="O1970" s="475">
        <f t="shared" si="7"/>
        <v>8450</v>
      </c>
      <c r="P1970" s="476"/>
      <c r="Q1970" s="477">
        <v>46023</v>
      </c>
      <c r="R1970" s="476"/>
      <c r="S1970" s="476"/>
    </row>
    <row r="1971" spans="1:19" ht="15.75" customHeight="1" x14ac:dyDescent="0.25">
      <c r="A1971" s="438">
        <v>1968</v>
      </c>
      <c r="B1971" s="470" t="s">
        <v>17</v>
      </c>
      <c r="C1971" s="471" t="s">
        <v>18</v>
      </c>
      <c r="D1971" s="472" t="s">
        <v>19</v>
      </c>
      <c r="E1971" s="448" t="s">
        <v>4080</v>
      </c>
      <c r="F1971" s="448" t="s">
        <v>4121</v>
      </c>
      <c r="G1971" s="473" t="s">
        <v>3058</v>
      </c>
      <c r="H1971" s="439" t="s">
        <v>896</v>
      </c>
      <c r="I1971" s="474" t="s">
        <v>3459</v>
      </c>
      <c r="J1971" s="474" t="s">
        <v>3464</v>
      </c>
      <c r="K1971" s="443" t="s">
        <v>729</v>
      </c>
      <c r="L1971" s="471">
        <v>1</v>
      </c>
      <c r="M1971" s="447" t="s">
        <v>2407</v>
      </c>
      <c r="N1971" s="456">
        <v>8450</v>
      </c>
      <c r="O1971" s="475">
        <f t="shared" si="7"/>
        <v>8450</v>
      </c>
      <c r="P1971" s="476"/>
      <c r="Q1971" s="477">
        <v>46023</v>
      </c>
      <c r="R1971" s="476"/>
      <c r="S1971" s="476"/>
    </row>
    <row r="1972" spans="1:19" ht="15.75" customHeight="1" x14ac:dyDescent="0.25">
      <c r="A1972" s="438">
        <v>1969</v>
      </c>
      <c r="B1972" s="470" t="s">
        <v>17</v>
      </c>
      <c r="C1972" s="471" t="s">
        <v>18</v>
      </c>
      <c r="D1972" s="472" t="s">
        <v>19</v>
      </c>
      <c r="E1972" s="448" t="s">
        <v>4080</v>
      </c>
      <c r="F1972" s="448" t="s">
        <v>4121</v>
      </c>
      <c r="G1972" s="473" t="s">
        <v>3058</v>
      </c>
      <c r="H1972" s="439" t="s">
        <v>896</v>
      </c>
      <c r="I1972" s="474" t="s">
        <v>3459</v>
      </c>
      <c r="J1972" s="474" t="s">
        <v>3464</v>
      </c>
      <c r="K1972" s="443" t="s">
        <v>729</v>
      </c>
      <c r="L1972" s="471">
        <v>1</v>
      </c>
      <c r="M1972" s="447" t="s">
        <v>2408</v>
      </c>
      <c r="N1972" s="456">
        <v>8450</v>
      </c>
      <c r="O1972" s="475">
        <f t="shared" si="7"/>
        <v>8450</v>
      </c>
      <c r="P1972" s="476"/>
      <c r="Q1972" s="477">
        <v>46023</v>
      </c>
      <c r="R1972" s="476"/>
      <c r="S1972" s="476"/>
    </row>
    <row r="1973" spans="1:19" ht="15.75" customHeight="1" x14ac:dyDescent="0.25">
      <c r="A1973" s="438">
        <v>1970</v>
      </c>
      <c r="B1973" s="470" t="s">
        <v>17</v>
      </c>
      <c r="C1973" s="471" t="s">
        <v>18</v>
      </c>
      <c r="D1973" s="472" t="s">
        <v>19</v>
      </c>
      <c r="E1973" s="448" t="s">
        <v>4088</v>
      </c>
      <c r="F1973" s="448" t="s">
        <v>3025</v>
      </c>
      <c r="G1973" s="473" t="s">
        <v>3058</v>
      </c>
      <c r="H1973" s="439" t="s">
        <v>896</v>
      </c>
      <c r="I1973" s="474" t="s">
        <v>3459</v>
      </c>
      <c r="J1973" s="474" t="s">
        <v>3464</v>
      </c>
      <c r="K1973" s="443" t="s">
        <v>729</v>
      </c>
      <c r="L1973" s="471">
        <v>1</v>
      </c>
      <c r="M1973" s="447" t="s">
        <v>2409</v>
      </c>
      <c r="N1973" s="456">
        <v>7300</v>
      </c>
      <c r="O1973" s="475">
        <f t="shared" si="7"/>
        <v>7300</v>
      </c>
      <c r="P1973" s="476"/>
      <c r="Q1973" s="477">
        <v>46023</v>
      </c>
      <c r="R1973" s="476"/>
      <c r="S1973" s="476"/>
    </row>
    <row r="1974" spans="1:19" ht="15.75" customHeight="1" x14ac:dyDescent="0.25">
      <c r="A1974" s="438">
        <v>1971</v>
      </c>
      <c r="B1974" s="470" t="s">
        <v>17</v>
      </c>
      <c r="C1974" s="471" t="s">
        <v>18</v>
      </c>
      <c r="D1974" s="472" t="s">
        <v>19</v>
      </c>
      <c r="E1974" s="448" t="s">
        <v>4085</v>
      </c>
      <c r="F1974" s="448" t="s">
        <v>2985</v>
      </c>
      <c r="G1974" s="473" t="s">
        <v>3053</v>
      </c>
      <c r="H1974" s="439" t="s">
        <v>2386</v>
      </c>
      <c r="I1974" s="474" t="s">
        <v>3457</v>
      </c>
      <c r="J1974" s="474" t="s">
        <v>3463</v>
      </c>
      <c r="K1974" s="443" t="s">
        <v>1191</v>
      </c>
      <c r="L1974" s="471">
        <v>1</v>
      </c>
      <c r="M1974" s="447" t="s">
        <v>2397</v>
      </c>
      <c r="N1974" s="456">
        <v>35500</v>
      </c>
      <c r="O1974" s="475">
        <f t="shared" si="7"/>
        <v>35500</v>
      </c>
      <c r="P1974" s="476"/>
      <c r="Q1974" s="477">
        <v>46023</v>
      </c>
      <c r="R1974" s="476"/>
      <c r="S1974" s="476"/>
    </row>
    <row r="1975" spans="1:19" ht="15.75" customHeight="1" x14ac:dyDescent="0.25">
      <c r="A1975" s="438">
        <v>1972</v>
      </c>
      <c r="B1975" s="470" t="s">
        <v>17</v>
      </c>
      <c r="C1975" s="471" t="s">
        <v>18</v>
      </c>
      <c r="D1975" s="472" t="s">
        <v>19</v>
      </c>
      <c r="E1975" s="448" t="s">
        <v>4091</v>
      </c>
      <c r="F1975" s="448" t="s">
        <v>4115</v>
      </c>
      <c r="G1975" s="473" t="s">
        <v>3045</v>
      </c>
      <c r="H1975" s="439" t="s">
        <v>1995</v>
      </c>
      <c r="I1975" s="478" t="s">
        <v>3457</v>
      </c>
      <c r="J1975" s="478" t="s">
        <v>3464</v>
      </c>
      <c r="K1975" s="443" t="s">
        <v>1592</v>
      </c>
      <c r="L1975" s="471">
        <v>1</v>
      </c>
      <c r="M1975" s="447" t="s">
        <v>2904</v>
      </c>
      <c r="N1975" s="456">
        <v>3150</v>
      </c>
      <c r="O1975" s="475">
        <f t="shared" si="7"/>
        <v>3150</v>
      </c>
      <c r="P1975" s="476"/>
      <c r="Q1975" s="477">
        <v>46023</v>
      </c>
      <c r="R1975" s="476"/>
      <c r="S1975" s="476"/>
    </row>
    <row r="1976" spans="1:19" ht="15.75" customHeight="1" x14ac:dyDescent="0.25">
      <c r="A1976" s="438">
        <v>1973</v>
      </c>
      <c r="B1976" s="470" t="s">
        <v>17</v>
      </c>
      <c r="C1976" s="471" t="s">
        <v>18</v>
      </c>
      <c r="D1976" s="472" t="s">
        <v>19</v>
      </c>
      <c r="E1976" s="448" t="s">
        <v>4091</v>
      </c>
      <c r="F1976" s="448" t="s">
        <v>4115</v>
      </c>
      <c r="G1976" s="473" t="s">
        <v>3045</v>
      </c>
      <c r="H1976" s="439" t="s">
        <v>1995</v>
      </c>
      <c r="I1976" s="474" t="s">
        <v>3457</v>
      </c>
      <c r="J1976" s="474" t="s">
        <v>3464</v>
      </c>
      <c r="K1976" s="443" t="s">
        <v>1592</v>
      </c>
      <c r="L1976" s="471">
        <v>1</v>
      </c>
      <c r="M1976" s="447" t="s">
        <v>2905</v>
      </c>
      <c r="N1976" s="456">
        <v>3150</v>
      </c>
      <c r="O1976" s="475">
        <f t="shared" si="7"/>
        <v>3150</v>
      </c>
      <c r="P1976" s="476"/>
      <c r="Q1976" s="477">
        <v>46023</v>
      </c>
      <c r="R1976" s="476"/>
      <c r="S1976" s="476"/>
    </row>
    <row r="1977" spans="1:19" ht="15.75" customHeight="1" x14ac:dyDescent="0.25">
      <c r="A1977" s="438">
        <v>1974</v>
      </c>
      <c r="B1977" s="470" t="s">
        <v>17</v>
      </c>
      <c r="C1977" s="471" t="s">
        <v>18</v>
      </c>
      <c r="D1977" s="472" t="s">
        <v>19</v>
      </c>
      <c r="E1977" s="448" t="s">
        <v>4086</v>
      </c>
      <c r="F1977" s="448" t="s">
        <v>4097</v>
      </c>
      <c r="G1977" s="473" t="s">
        <v>3045</v>
      </c>
      <c r="H1977" s="439" t="s">
        <v>1995</v>
      </c>
      <c r="I1977" s="474" t="s">
        <v>3457</v>
      </c>
      <c r="J1977" s="474" t="s">
        <v>3464</v>
      </c>
      <c r="K1977" s="443" t="s">
        <v>1592</v>
      </c>
      <c r="L1977" s="471">
        <v>1</v>
      </c>
      <c r="M1977" s="447" t="s">
        <v>3630</v>
      </c>
      <c r="N1977" s="456">
        <v>3150</v>
      </c>
      <c r="O1977" s="475">
        <f t="shared" si="7"/>
        <v>3150</v>
      </c>
      <c r="P1977" s="476"/>
      <c r="Q1977" s="477">
        <v>46023</v>
      </c>
      <c r="R1977" s="476"/>
      <c r="S1977" s="476"/>
    </row>
    <row r="1978" spans="1:19" ht="15.75" customHeight="1" x14ac:dyDescent="0.25">
      <c r="A1978" s="438">
        <v>1975</v>
      </c>
      <c r="B1978" s="470" t="s">
        <v>17</v>
      </c>
      <c r="C1978" s="471" t="s">
        <v>18</v>
      </c>
      <c r="D1978" s="472" t="s">
        <v>19</v>
      </c>
      <c r="E1978" s="448" t="s">
        <v>4086</v>
      </c>
      <c r="F1978" s="448" t="s">
        <v>4097</v>
      </c>
      <c r="G1978" s="473" t="s">
        <v>3045</v>
      </c>
      <c r="H1978" s="439" t="s">
        <v>1995</v>
      </c>
      <c r="I1978" s="474" t="s">
        <v>3457</v>
      </c>
      <c r="J1978" s="474" t="s">
        <v>3464</v>
      </c>
      <c r="K1978" s="443" t="s">
        <v>1592</v>
      </c>
      <c r="L1978" s="471">
        <v>1</v>
      </c>
      <c r="M1978" s="447" t="s">
        <v>3631</v>
      </c>
      <c r="N1978" s="456">
        <v>3150</v>
      </c>
      <c r="O1978" s="475">
        <f t="shared" si="7"/>
        <v>3150</v>
      </c>
      <c r="P1978" s="476"/>
      <c r="Q1978" s="477">
        <v>46023</v>
      </c>
      <c r="R1978" s="476"/>
      <c r="S1978" s="476"/>
    </row>
    <row r="1979" spans="1:19" ht="15.75" customHeight="1" x14ac:dyDescent="0.25">
      <c r="A1979" s="438">
        <v>1976</v>
      </c>
      <c r="B1979" s="470" t="s">
        <v>17</v>
      </c>
      <c r="C1979" s="471" t="s">
        <v>18</v>
      </c>
      <c r="D1979" s="472" t="s">
        <v>19</v>
      </c>
      <c r="E1979" s="448" t="s">
        <v>3047</v>
      </c>
      <c r="F1979" s="448" t="s">
        <v>3026</v>
      </c>
      <c r="G1979" s="473" t="s">
        <v>3960</v>
      </c>
      <c r="H1979" s="439" t="s">
        <v>1012</v>
      </c>
      <c r="I1979" s="474" t="s">
        <v>3457</v>
      </c>
      <c r="J1979" s="474" t="s">
        <v>3464</v>
      </c>
      <c r="K1979" s="443" t="s">
        <v>1013</v>
      </c>
      <c r="L1979" s="471">
        <v>1</v>
      </c>
      <c r="M1979" s="447" t="s">
        <v>3632</v>
      </c>
      <c r="N1979" s="456">
        <v>40000</v>
      </c>
      <c r="O1979" s="475">
        <f t="shared" si="7"/>
        <v>40000</v>
      </c>
      <c r="P1979" s="476"/>
      <c r="Q1979" s="477">
        <v>46023</v>
      </c>
      <c r="R1979" s="476"/>
      <c r="S1979" s="476"/>
    </row>
    <row r="1980" spans="1:19" ht="15.75" customHeight="1" x14ac:dyDescent="0.25">
      <c r="A1980" s="438">
        <v>1977</v>
      </c>
      <c r="B1980" s="470" t="s">
        <v>17</v>
      </c>
      <c r="C1980" s="471" t="s">
        <v>18</v>
      </c>
      <c r="D1980" s="472" t="s">
        <v>19</v>
      </c>
      <c r="E1980" s="448" t="s">
        <v>4088</v>
      </c>
      <c r="F1980" s="448" t="s">
        <v>3049</v>
      </c>
      <c r="G1980" s="473" t="s">
        <v>3955</v>
      </c>
      <c r="H1980" s="439" t="s">
        <v>939</v>
      </c>
      <c r="I1980" s="474" t="s">
        <v>3459</v>
      </c>
      <c r="J1980" s="474" t="s">
        <v>3463</v>
      </c>
      <c r="K1980" s="443" t="s">
        <v>940</v>
      </c>
      <c r="L1980" s="471">
        <v>1</v>
      </c>
      <c r="M1980" s="447" t="s">
        <v>3633</v>
      </c>
      <c r="N1980" s="456">
        <v>633</v>
      </c>
      <c r="O1980" s="475">
        <f t="shared" si="7"/>
        <v>633</v>
      </c>
      <c r="P1980" s="476"/>
      <c r="Q1980" s="477">
        <v>46023</v>
      </c>
      <c r="R1980" s="476"/>
      <c r="S1980" s="476"/>
    </row>
    <row r="1981" spans="1:19" ht="15.75" customHeight="1" x14ac:dyDescent="0.25">
      <c r="A1981" s="438">
        <v>1978</v>
      </c>
      <c r="B1981" s="470" t="s">
        <v>17</v>
      </c>
      <c r="C1981" s="471" t="s">
        <v>18</v>
      </c>
      <c r="D1981" s="472" t="s">
        <v>19</v>
      </c>
      <c r="E1981" s="465" t="s">
        <v>4085</v>
      </c>
      <c r="F1981" s="448" t="s">
        <v>2982</v>
      </c>
      <c r="G1981" s="473" t="s">
        <v>2790</v>
      </c>
      <c r="H1981" s="439" t="s">
        <v>3415</v>
      </c>
      <c r="I1981" s="474" t="s">
        <v>3457</v>
      </c>
      <c r="J1981" s="474" t="s">
        <v>3463</v>
      </c>
      <c r="K1981" s="443" t="s">
        <v>1255</v>
      </c>
      <c r="L1981" s="471">
        <v>1</v>
      </c>
      <c r="M1981" s="447" t="s">
        <v>3634</v>
      </c>
      <c r="N1981" s="456">
        <v>5000</v>
      </c>
      <c r="O1981" s="475">
        <f t="shared" si="7"/>
        <v>5000</v>
      </c>
      <c r="P1981" s="476"/>
      <c r="Q1981" s="477">
        <v>46023</v>
      </c>
      <c r="R1981" s="476"/>
      <c r="S1981" s="476"/>
    </row>
    <row r="1982" spans="1:19" ht="15.75" customHeight="1" x14ac:dyDescent="0.25">
      <c r="A1982" s="438">
        <v>1979</v>
      </c>
      <c r="B1982" s="470" t="s">
        <v>17</v>
      </c>
      <c r="C1982" s="471" t="s">
        <v>18</v>
      </c>
      <c r="D1982" s="472" t="s">
        <v>19</v>
      </c>
      <c r="E1982" s="448" t="s">
        <v>4085</v>
      </c>
      <c r="F1982" s="448" t="s">
        <v>2982</v>
      </c>
      <c r="G1982" s="473" t="s">
        <v>2790</v>
      </c>
      <c r="H1982" s="439" t="s">
        <v>3415</v>
      </c>
      <c r="I1982" s="474" t="s">
        <v>3457</v>
      </c>
      <c r="J1982" s="474" t="s">
        <v>3463</v>
      </c>
      <c r="K1982" s="439" t="s">
        <v>1255</v>
      </c>
      <c r="L1982" s="471">
        <v>1</v>
      </c>
      <c r="M1982" s="447" t="s">
        <v>3635</v>
      </c>
      <c r="N1982" s="456">
        <v>5000</v>
      </c>
      <c r="O1982" s="475">
        <f t="shared" si="7"/>
        <v>5000</v>
      </c>
      <c r="P1982" s="476"/>
      <c r="Q1982" s="477">
        <v>46023</v>
      </c>
      <c r="R1982" s="476"/>
      <c r="S1982" s="476"/>
    </row>
    <row r="1983" spans="1:19" ht="15.75" customHeight="1" x14ac:dyDescent="0.25">
      <c r="A1983" s="438">
        <v>1980</v>
      </c>
      <c r="B1983" s="470" t="s">
        <v>17</v>
      </c>
      <c r="C1983" s="471" t="s">
        <v>18</v>
      </c>
      <c r="D1983" s="472" t="s">
        <v>19</v>
      </c>
      <c r="E1983" s="448" t="s">
        <v>4085</v>
      </c>
      <c r="F1983" s="448" t="s">
        <v>2982</v>
      </c>
      <c r="G1983" s="473" t="s">
        <v>2790</v>
      </c>
      <c r="H1983" s="439" t="s">
        <v>3415</v>
      </c>
      <c r="I1983" s="474" t="s">
        <v>3457</v>
      </c>
      <c r="J1983" s="474" t="s">
        <v>3463</v>
      </c>
      <c r="K1983" s="443" t="s">
        <v>1255</v>
      </c>
      <c r="L1983" s="471">
        <v>1</v>
      </c>
      <c r="M1983" s="447" t="s">
        <v>3636</v>
      </c>
      <c r="N1983" s="456">
        <v>5000</v>
      </c>
      <c r="O1983" s="475">
        <f t="shared" si="7"/>
        <v>5000</v>
      </c>
      <c r="P1983" s="476"/>
      <c r="Q1983" s="477">
        <v>46023</v>
      </c>
      <c r="R1983" s="476"/>
      <c r="S1983" s="476"/>
    </row>
    <row r="1984" spans="1:19" ht="15.75" customHeight="1" x14ac:dyDescent="0.25">
      <c r="A1984" s="438">
        <v>1981</v>
      </c>
      <c r="B1984" s="470" t="s">
        <v>17</v>
      </c>
      <c r="C1984" s="471" t="s">
        <v>18</v>
      </c>
      <c r="D1984" s="472" t="s">
        <v>19</v>
      </c>
      <c r="E1984" s="448" t="s">
        <v>4085</v>
      </c>
      <c r="F1984" s="448" t="s">
        <v>2982</v>
      </c>
      <c r="G1984" s="473" t="s">
        <v>2790</v>
      </c>
      <c r="H1984" s="439" t="s">
        <v>3415</v>
      </c>
      <c r="I1984" s="474" t="s">
        <v>3457</v>
      </c>
      <c r="J1984" s="474" t="s">
        <v>3463</v>
      </c>
      <c r="K1984" s="443" t="s">
        <v>1255</v>
      </c>
      <c r="L1984" s="471">
        <v>1</v>
      </c>
      <c r="M1984" s="447" t="s">
        <v>3637</v>
      </c>
      <c r="N1984" s="456">
        <v>5000</v>
      </c>
      <c r="O1984" s="475">
        <f t="shared" si="7"/>
        <v>5000</v>
      </c>
      <c r="P1984" s="476"/>
      <c r="Q1984" s="477">
        <v>46023</v>
      </c>
      <c r="R1984" s="476"/>
      <c r="S1984" s="476"/>
    </row>
    <row r="1985" spans="1:19" ht="15.75" customHeight="1" x14ac:dyDescent="0.25">
      <c r="A1985" s="438">
        <v>1982</v>
      </c>
      <c r="B1985" s="470" t="s">
        <v>17</v>
      </c>
      <c r="C1985" s="471" t="s">
        <v>18</v>
      </c>
      <c r="D1985" s="472" t="s">
        <v>19</v>
      </c>
      <c r="E1985" s="448" t="s">
        <v>4085</v>
      </c>
      <c r="F1985" s="448" t="s">
        <v>2982</v>
      </c>
      <c r="G1985" s="473" t="s">
        <v>2790</v>
      </c>
      <c r="H1985" s="439" t="s">
        <v>3415</v>
      </c>
      <c r="I1985" s="474" t="s">
        <v>3457</v>
      </c>
      <c r="J1985" s="474" t="s">
        <v>3463</v>
      </c>
      <c r="K1985" s="443" t="s">
        <v>1255</v>
      </c>
      <c r="L1985" s="471">
        <v>1</v>
      </c>
      <c r="M1985" s="447" t="s">
        <v>3638</v>
      </c>
      <c r="N1985" s="456">
        <v>5000</v>
      </c>
      <c r="O1985" s="475">
        <f t="shared" si="7"/>
        <v>5000</v>
      </c>
      <c r="P1985" s="476"/>
      <c r="Q1985" s="477">
        <v>46023</v>
      </c>
      <c r="R1985" s="476"/>
      <c r="S1985" s="476"/>
    </row>
    <row r="1986" spans="1:19" ht="15.75" customHeight="1" x14ac:dyDescent="0.25">
      <c r="A1986" s="438">
        <v>1983</v>
      </c>
      <c r="B1986" s="470" t="s">
        <v>17</v>
      </c>
      <c r="C1986" s="471" t="s">
        <v>18</v>
      </c>
      <c r="D1986" s="472" t="s">
        <v>19</v>
      </c>
      <c r="E1986" s="448" t="s">
        <v>4085</v>
      </c>
      <c r="F1986" s="448" t="s">
        <v>2982</v>
      </c>
      <c r="G1986" s="473" t="s">
        <v>2803</v>
      </c>
      <c r="H1986" s="439" t="s">
        <v>290</v>
      </c>
      <c r="I1986" s="474" t="s">
        <v>3460</v>
      </c>
      <c r="J1986" s="474" t="s">
        <v>3464</v>
      </c>
      <c r="K1986" s="443" t="s">
        <v>279</v>
      </c>
      <c r="L1986" s="471">
        <v>1</v>
      </c>
      <c r="M1986" s="447" t="s">
        <v>3639</v>
      </c>
      <c r="N1986" s="456">
        <v>68000</v>
      </c>
      <c r="O1986" s="475">
        <f t="shared" si="7"/>
        <v>68000</v>
      </c>
      <c r="P1986" s="476"/>
      <c r="Q1986" s="477">
        <v>46023</v>
      </c>
      <c r="R1986" s="476"/>
      <c r="S1986" s="476"/>
    </row>
    <row r="1987" spans="1:19" ht="15.75" customHeight="1" x14ac:dyDescent="0.25">
      <c r="A1987" s="438">
        <v>1984</v>
      </c>
      <c r="B1987" s="470" t="s">
        <v>17</v>
      </c>
      <c r="C1987" s="471" t="s">
        <v>18</v>
      </c>
      <c r="D1987" s="472" t="s">
        <v>19</v>
      </c>
      <c r="E1987" s="448" t="s">
        <v>4085</v>
      </c>
      <c r="F1987" s="448" t="s">
        <v>2982</v>
      </c>
      <c r="G1987" s="473" t="s">
        <v>4053</v>
      </c>
      <c r="H1987" s="439" t="s">
        <v>2249</v>
      </c>
      <c r="I1987" s="474" t="s">
        <v>3457</v>
      </c>
      <c r="J1987" s="474" t="s">
        <v>3464</v>
      </c>
      <c r="K1987" s="443" t="s">
        <v>2250</v>
      </c>
      <c r="L1987" s="471">
        <v>1</v>
      </c>
      <c r="M1987" s="447" t="s">
        <v>3640</v>
      </c>
      <c r="N1987" s="456">
        <v>25500</v>
      </c>
      <c r="O1987" s="475">
        <f t="shared" si="7"/>
        <v>25500</v>
      </c>
      <c r="P1987" s="476"/>
      <c r="Q1987" s="477">
        <v>46023</v>
      </c>
      <c r="R1987" s="476"/>
      <c r="S1987" s="476"/>
    </row>
    <row r="1988" spans="1:19" ht="15.75" customHeight="1" x14ac:dyDescent="0.25">
      <c r="A1988" s="438">
        <v>1985</v>
      </c>
      <c r="B1988" s="470" t="s">
        <v>17</v>
      </c>
      <c r="C1988" s="471" t="s">
        <v>18</v>
      </c>
      <c r="D1988" s="472" t="s">
        <v>19</v>
      </c>
      <c r="E1988" s="465" t="s">
        <v>4085</v>
      </c>
      <c r="F1988" s="448" t="s">
        <v>2982</v>
      </c>
      <c r="G1988" s="473" t="s">
        <v>4053</v>
      </c>
      <c r="H1988" s="440" t="s">
        <v>2249</v>
      </c>
      <c r="I1988" s="474" t="s">
        <v>3457</v>
      </c>
      <c r="J1988" s="474" t="s">
        <v>3464</v>
      </c>
      <c r="K1988" s="440" t="s">
        <v>2250</v>
      </c>
      <c r="L1988" s="471">
        <v>1</v>
      </c>
      <c r="M1988" s="447" t="s">
        <v>3641</v>
      </c>
      <c r="N1988" s="455">
        <v>25500</v>
      </c>
      <c r="O1988" s="475">
        <f t="shared" si="7"/>
        <v>25500</v>
      </c>
      <c r="P1988" s="476"/>
      <c r="Q1988" s="477">
        <v>46023</v>
      </c>
      <c r="R1988" s="476"/>
      <c r="S1988" s="476"/>
    </row>
    <row r="1989" spans="1:19" ht="15.75" customHeight="1" x14ac:dyDescent="0.25">
      <c r="A1989" s="438">
        <v>1986</v>
      </c>
      <c r="B1989" s="470" t="s">
        <v>17</v>
      </c>
      <c r="C1989" s="471" t="s">
        <v>18</v>
      </c>
      <c r="D1989" s="472" t="s">
        <v>19</v>
      </c>
      <c r="E1989" s="448" t="s">
        <v>4085</v>
      </c>
      <c r="F1989" s="448" t="s">
        <v>2982</v>
      </c>
      <c r="G1989" s="473" t="s">
        <v>4053</v>
      </c>
      <c r="H1989" s="439" t="s">
        <v>2249</v>
      </c>
      <c r="I1989" s="474" t="s">
        <v>3457</v>
      </c>
      <c r="J1989" s="474" t="s">
        <v>3464</v>
      </c>
      <c r="K1989" s="443" t="s">
        <v>2250</v>
      </c>
      <c r="L1989" s="471">
        <v>1</v>
      </c>
      <c r="M1989" s="447" t="s">
        <v>3642</v>
      </c>
      <c r="N1989" s="456">
        <v>25500</v>
      </c>
      <c r="O1989" s="475">
        <f t="shared" si="7"/>
        <v>25500</v>
      </c>
      <c r="P1989" s="476"/>
      <c r="Q1989" s="477">
        <v>46023</v>
      </c>
      <c r="R1989" s="476"/>
      <c r="S1989" s="476"/>
    </row>
    <row r="1990" spans="1:19" ht="15.75" customHeight="1" x14ac:dyDescent="0.25">
      <c r="A1990" s="438">
        <v>1987</v>
      </c>
      <c r="B1990" s="470" t="s">
        <v>17</v>
      </c>
      <c r="C1990" s="471" t="s">
        <v>18</v>
      </c>
      <c r="D1990" s="472" t="s">
        <v>19</v>
      </c>
      <c r="E1990" s="448" t="s">
        <v>4085</v>
      </c>
      <c r="F1990" s="448" t="s">
        <v>2982</v>
      </c>
      <c r="G1990" s="473" t="s">
        <v>4053</v>
      </c>
      <c r="H1990" s="439" t="s">
        <v>2249</v>
      </c>
      <c r="I1990" s="474" t="s">
        <v>3457</v>
      </c>
      <c r="J1990" s="474" t="s">
        <v>3464</v>
      </c>
      <c r="K1990" s="443" t="s">
        <v>2250</v>
      </c>
      <c r="L1990" s="471">
        <v>1</v>
      </c>
      <c r="M1990" s="447" t="s">
        <v>3643</v>
      </c>
      <c r="N1990" s="456">
        <v>25500</v>
      </c>
      <c r="O1990" s="475">
        <f t="shared" si="7"/>
        <v>25500</v>
      </c>
      <c r="P1990" s="476"/>
      <c r="Q1990" s="477">
        <v>46023</v>
      </c>
      <c r="R1990" s="476"/>
      <c r="S1990" s="476"/>
    </row>
    <row r="1991" spans="1:19" ht="15.75" customHeight="1" x14ac:dyDescent="0.25">
      <c r="A1991" s="438">
        <v>1988</v>
      </c>
      <c r="B1991" s="470" t="s">
        <v>17</v>
      </c>
      <c r="C1991" s="471" t="s">
        <v>18</v>
      </c>
      <c r="D1991" s="472" t="s">
        <v>19</v>
      </c>
      <c r="E1991" s="448" t="s">
        <v>4085</v>
      </c>
      <c r="F1991" s="448" t="s">
        <v>2982</v>
      </c>
      <c r="G1991" s="473" t="s">
        <v>4053</v>
      </c>
      <c r="H1991" s="439" t="s">
        <v>2249</v>
      </c>
      <c r="I1991" s="474" t="s">
        <v>3457</v>
      </c>
      <c r="J1991" s="474" t="s">
        <v>3464</v>
      </c>
      <c r="K1991" s="443" t="s">
        <v>2250</v>
      </c>
      <c r="L1991" s="471">
        <v>1</v>
      </c>
      <c r="M1991" s="447" t="s">
        <v>3644</v>
      </c>
      <c r="N1991" s="456">
        <v>25500</v>
      </c>
      <c r="O1991" s="475">
        <f t="shared" si="7"/>
        <v>25500</v>
      </c>
      <c r="P1991" s="476"/>
      <c r="Q1991" s="477">
        <v>46023</v>
      </c>
      <c r="R1991" s="476"/>
      <c r="S1991" s="476"/>
    </row>
    <row r="1992" spans="1:19" ht="15.75" customHeight="1" x14ac:dyDescent="0.25">
      <c r="A1992" s="438">
        <v>1989</v>
      </c>
      <c r="B1992" s="470" t="s">
        <v>17</v>
      </c>
      <c r="C1992" s="471" t="s">
        <v>18</v>
      </c>
      <c r="D1992" s="472" t="s">
        <v>19</v>
      </c>
      <c r="E1992" s="448" t="s">
        <v>4085</v>
      </c>
      <c r="F1992" s="448" t="s">
        <v>2982</v>
      </c>
      <c r="G1992" s="473" t="s">
        <v>2782</v>
      </c>
      <c r="H1992" s="439" t="s">
        <v>1779</v>
      </c>
      <c r="I1992" s="474" t="s">
        <v>3457</v>
      </c>
      <c r="J1992" s="474" t="s">
        <v>3464</v>
      </c>
      <c r="K1992" s="443" t="s">
        <v>1780</v>
      </c>
      <c r="L1992" s="471">
        <v>1</v>
      </c>
      <c r="M1992" s="447" t="s">
        <v>3645</v>
      </c>
      <c r="N1992" s="456">
        <v>5300</v>
      </c>
      <c r="O1992" s="475">
        <f t="shared" si="7"/>
        <v>5300</v>
      </c>
      <c r="P1992" s="476"/>
      <c r="Q1992" s="477">
        <v>46023</v>
      </c>
      <c r="R1992" s="476"/>
      <c r="S1992" s="476"/>
    </row>
    <row r="1993" spans="1:19" ht="15.75" customHeight="1" x14ac:dyDescent="0.25">
      <c r="A1993" s="438">
        <v>1990</v>
      </c>
      <c r="B1993" s="470" t="s">
        <v>17</v>
      </c>
      <c r="C1993" s="471" t="s">
        <v>18</v>
      </c>
      <c r="D1993" s="472" t="s">
        <v>19</v>
      </c>
      <c r="E1993" s="448" t="s">
        <v>4085</v>
      </c>
      <c r="F1993" s="448" t="s">
        <v>2982</v>
      </c>
      <c r="G1993" s="473" t="s">
        <v>2782</v>
      </c>
      <c r="H1993" s="439" t="s">
        <v>1779</v>
      </c>
      <c r="I1993" s="474" t="s">
        <v>3457</v>
      </c>
      <c r="J1993" s="474" t="s">
        <v>3464</v>
      </c>
      <c r="K1993" s="443" t="s">
        <v>1780</v>
      </c>
      <c r="L1993" s="471">
        <v>1</v>
      </c>
      <c r="M1993" s="447" t="s">
        <v>3646</v>
      </c>
      <c r="N1993" s="456">
        <v>5300</v>
      </c>
      <c r="O1993" s="475">
        <f t="shared" si="7"/>
        <v>5300</v>
      </c>
      <c r="P1993" s="476"/>
      <c r="Q1993" s="477">
        <v>46023</v>
      </c>
      <c r="R1993" s="476"/>
      <c r="S1993" s="476"/>
    </row>
    <row r="1994" spans="1:19" ht="15.75" customHeight="1" x14ac:dyDescent="0.25">
      <c r="A1994" s="438">
        <v>1991</v>
      </c>
      <c r="B1994" s="470" t="s">
        <v>17</v>
      </c>
      <c r="C1994" s="471" t="s">
        <v>18</v>
      </c>
      <c r="D1994" s="472" t="s">
        <v>19</v>
      </c>
      <c r="E1994" s="448" t="s">
        <v>4085</v>
      </c>
      <c r="F1994" s="448" t="s">
        <v>2982</v>
      </c>
      <c r="G1994" s="473" t="s">
        <v>2782</v>
      </c>
      <c r="H1994" s="439" t="s">
        <v>1779</v>
      </c>
      <c r="I1994" s="474" t="s">
        <v>3457</v>
      </c>
      <c r="J1994" s="474" t="s">
        <v>3464</v>
      </c>
      <c r="K1994" s="443" t="s">
        <v>1780</v>
      </c>
      <c r="L1994" s="471">
        <v>1</v>
      </c>
      <c r="M1994" s="447" t="s">
        <v>3647</v>
      </c>
      <c r="N1994" s="456">
        <v>5300</v>
      </c>
      <c r="O1994" s="475">
        <f t="shared" si="7"/>
        <v>5300</v>
      </c>
      <c r="P1994" s="476"/>
      <c r="Q1994" s="477">
        <v>46023</v>
      </c>
      <c r="R1994" s="476"/>
      <c r="S1994" s="476"/>
    </row>
    <row r="1995" spans="1:19" ht="15.75" customHeight="1" x14ac:dyDescent="0.25">
      <c r="A1995" s="438">
        <v>1992</v>
      </c>
      <c r="B1995" s="470" t="s">
        <v>17</v>
      </c>
      <c r="C1995" s="471" t="s">
        <v>18</v>
      </c>
      <c r="D1995" s="472" t="s">
        <v>19</v>
      </c>
      <c r="E1995" s="448" t="s">
        <v>4085</v>
      </c>
      <c r="F1995" s="448" t="s">
        <v>2982</v>
      </c>
      <c r="G1995" s="452" t="s">
        <v>2782</v>
      </c>
      <c r="H1995" s="439" t="s">
        <v>1779</v>
      </c>
      <c r="I1995" s="438" t="s">
        <v>3457</v>
      </c>
      <c r="J1995" s="438" t="s">
        <v>3464</v>
      </c>
      <c r="K1995" s="439" t="s">
        <v>1780</v>
      </c>
      <c r="L1995" s="471">
        <v>1</v>
      </c>
      <c r="M1995" s="447" t="s">
        <v>2891</v>
      </c>
      <c r="N1995" s="456">
        <v>5300</v>
      </c>
      <c r="O1995" s="475">
        <f t="shared" si="7"/>
        <v>5300</v>
      </c>
      <c r="P1995" s="476"/>
      <c r="Q1995" s="477">
        <v>46023</v>
      </c>
      <c r="R1995" s="476"/>
      <c r="S1995" s="476"/>
    </row>
    <row r="1996" spans="1:19" ht="15.75" customHeight="1" x14ac:dyDescent="0.25">
      <c r="A1996" s="438">
        <v>1993</v>
      </c>
      <c r="B1996" s="470" t="s">
        <v>17</v>
      </c>
      <c r="C1996" s="471" t="s">
        <v>18</v>
      </c>
      <c r="D1996" s="472" t="s">
        <v>19</v>
      </c>
      <c r="E1996" s="448" t="s">
        <v>4085</v>
      </c>
      <c r="F1996" s="448" t="s">
        <v>2982</v>
      </c>
      <c r="G1996" s="473" t="s">
        <v>2782</v>
      </c>
      <c r="H1996" s="439" t="s">
        <v>1779</v>
      </c>
      <c r="I1996" s="474" t="s">
        <v>3457</v>
      </c>
      <c r="J1996" s="474" t="s">
        <v>3464</v>
      </c>
      <c r="K1996" s="443" t="s">
        <v>1780</v>
      </c>
      <c r="L1996" s="471">
        <v>1</v>
      </c>
      <c r="M1996" s="447" t="s">
        <v>3648</v>
      </c>
      <c r="N1996" s="456">
        <v>5300</v>
      </c>
      <c r="O1996" s="475">
        <f t="shared" si="7"/>
        <v>5300</v>
      </c>
      <c r="P1996" s="476"/>
      <c r="Q1996" s="477">
        <v>46023</v>
      </c>
      <c r="R1996" s="476"/>
      <c r="S1996" s="476"/>
    </row>
    <row r="1997" spans="1:19" ht="15.75" customHeight="1" x14ac:dyDescent="0.25">
      <c r="A1997" s="438">
        <v>1994</v>
      </c>
      <c r="B1997" s="470" t="s">
        <v>17</v>
      </c>
      <c r="C1997" s="471" t="s">
        <v>18</v>
      </c>
      <c r="D1997" s="472" t="s">
        <v>19</v>
      </c>
      <c r="E1997" s="465" t="s">
        <v>4087</v>
      </c>
      <c r="F1997" s="448" t="s">
        <v>4098</v>
      </c>
      <c r="G1997" s="473" t="s">
        <v>2782</v>
      </c>
      <c r="H1997" s="439" t="s">
        <v>1779</v>
      </c>
      <c r="I1997" s="474" t="s">
        <v>3457</v>
      </c>
      <c r="J1997" s="474" t="s">
        <v>3464</v>
      </c>
      <c r="K1997" s="443" t="s">
        <v>1780</v>
      </c>
      <c r="L1997" s="471">
        <v>1</v>
      </c>
      <c r="M1997" s="447" t="s">
        <v>3649</v>
      </c>
      <c r="N1997" s="456">
        <v>2400</v>
      </c>
      <c r="O1997" s="475">
        <f t="shared" si="7"/>
        <v>2400</v>
      </c>
      <c r="P1997" s="476"/>
      <c r="Q1997" s="477">
        <v>46023</v>
      </c>
      <c r="R1997" s="476"/>
      <c r="S1997" s="476"/>
    </row>
    <row r="1998" spans="1:19" ht="15.75" customHeight="1" x14ac:dyDescent="0.25">
      <c r="A1998" s="438">
        <v>1995</v>
      </c>
      <c r="B1998" s="470" t="s">
        <v>17</v>
      </c>
      <c r="C1998" s="471" t="s">
        <v>18</v>
      </c>
      <c r="D1998" s="472" t="s">
        <v>19</v>
      </c>
      <c r="E1998" s="448" t="s">
        <v>4087</v>
      </c>
      <c r="F1998" s="448" t="s">
        <v>4098</v>
      </c>
      <c r="G1998" s="473" t="s">
        <v>2782</v>
      </c>
      <c r="H1998" s="439" t="s">
        <v>1779</v>
      </c>
      <c r="I1998" s="474" t="s">
        <v>3457</v>
      </c>
      <c r="J1998" s="474" t="s">
        <v>3464</v>
      </c>
      <c r="K1998" s="443" t="s">
        <v>1780</v>
      </c>
      <c r="L1998" s="471">
        <v>1</v>
      </c>
      <c r="M1998" s="447" t="s">
        <v>3650</v>
      </c>
      <c r="N1998" s="456">
        <v>2400</v>
      </c>
      <c r="O1998" s="475">
        <f t="shared" si="7"/>
        <v>2400</v>
      </c>
      <c r="P1998" s="476"/>
      <c r="Q1998" s="477">
        <v>46023</v>
      </c>
      <c r="R1998" s="476"/>
      <c r="S1998" s="476"/>
    </row>
    <row r="1999" spans="1:19" ht="15.75" customHeight="1" x14ac:dyDescent="0.25">
      <c r="A1999" s="438">
        <v>1996</v>
      </c>
      <c r="B1999" s="470" t="s">
        <v>17</v>
      </c>
      <c r="C1999" s="471" t="s">
        <v>18</v>
      </c>
      <c r="D1999" s="472" t="s">
        <v>19</v>
      </c>
      <c r="E1999" s="465" t="s">
        <v>4087</v>
      </c>
      <c r="F1999" s="448" t="s">
        <v>4098</v>
      </c>
      <c r="G1999" s="473" t="s">
        <v>2782</v>
      </c>
      <c r="H1999" s="439" t="s">
        <v>1779</v>
      </c>
      <c r="I1999" s="474" t="s">
        <v>3457</v>
      </c>
      <c r="J1999" s="474" t="s">
        <v>3464</v>
      </c>
      <c r="K1999" s="443" t="s">
        <v>1780</v>
      </c>
      <c r="L1999" s="471">
        <v>1</v>
      </c>
      <c r="M1999" s="447" t="s">
        <v>3651</v>
      </c>
      <c r="N1999" s="456">
        <v>2400</v>
      </c>
      <c r="O1999" s="475">
        <f t="shared" si="7"/>
        <v>2400</v>
      </c>
      <c r="P1999" s="476"/>
      <c r="Q1999" s="477">
        <v>46023</v>
      </c>
      <c r="R1999" s="476"/>
      <c r="S1999" s="476"/>
    </row>
    <row r="2000" spans="1:19" ht="15.75" customHeight="1" x14ac:dyDescent="0.25">
      <c r="A2000" s="438">
        <v>1997</v>
      </c>
      <c r="B2000" s="470" t="s">
        <v>17</v>
      </c>
      <c r="C2000" s="471" t="s">
        <v>18</v>
      </c>
      <c r="D2000" s="472" t="s">
        <v>19</v>
      </c>
      <c r="E2000" s="448" t="s">
        <v>4088</v>
      </c>
      <c r="F2000" s="448" t="s">
        <v>4106</v>
      </c>
      <c r="G2000" s="473" t="s">
        <v>2782</v>
      </c>
      <c r="H2000" s="439" t="s">
        <v>1779</v>
      </c>
      <c r="I2000" s="474" t="s">
        <v>3457</v>
      </c>
      <c r="J2000" s="474" t="s">
        <v>3464</v>
      </c>
      <c r="K2000" s="443" t="s">
        <v>1780</v>
      </c>
      <c r="L2000" s="471">
        <v>1</v>
      </c>
      <c r="M2000" s="447" t="s">
        <v>3652</v>
      </c>
      <c r="N2000" s="457">
        <v>2400</v>
      </c>
      <c r="O2000" s="475">
        <f t="shared" si="7"/>
        <v>2400</v>
      </c>
      <c r="P2000" s="476"/>
      <c r="Q2000" s="477">
        <v>46023</v>
      </c>
      <c r="R2000" s="476"/>
      <c r="S2000" s="476"/>
    </row>
    <row r="2001" spans="1:19" ht="15.75" customHeight="1" x14ac:dyDescent="0.25">
      <c r="A2001" s="438">
        <v>1998</v>
      </c>
      <c r="B2001" s="470" t="s">
        <v>17</v>
      </c>
      <c r="C2001" s="471" t="s">
        <v>18</v>
      </c>
      <c r="D2001" s="472" t="s">
        <v>19</v>
      </c>
      <c r="E2001" s="448" t="s">
        <v>4088</v>
      </c>
      <c r="F2001" s="448" t="s">
        <v>4105</v>
      </c>
      <c r="G2001" s="473" t="s">
        <v>2782</v>
      </c>
      <c r="H2001" s="439" t="s">
        <v>1779</v>
      </c>
      <c r="I2001" s="474" t="s">
        <v>3457</v>
      </c>
      <c r="J2001" s="474" t="s">
        <v>3464</v>
      </c>
      <c r="K2001" s="443" t="s">
        <v>1780</v>
      </c>
      <c r="L2001" s="471">
        <v>1</v>
      </c>
      <c r="M2001" s="447" t="s">
        <v>3653</v>
      </c>
      <c r="N2001" s="457">
        <v>2400</v>
      </c>
      <c r="O2001" s="475">
        <f t="shared" si="7"/>
        <v>2400</v>
      </c>
      <c r="P2001" s="476"/>
      <c r="Q2001" s="477">
        <v>46023</v>
      </c>
      <c r="R2001" s="476"/>
      <c r="S2001" s="476"/>
    </row>
    <row r="2002" spans="1:19" ht="15.75" customHeight="1" x14ac:dyDescent="0.25">
      <c r="A2002" s="438">
        <v>1999</v>
      </c>
      <c r="B2002" s="470" t="s">
        <v>17</v>
      </c>
      <c r="C2002" s="471" t="s">
        <v>18</v>
      </c>
      <c r="D2002" s="472" t="s">
        <v>19</v>
      </c>
      <c r="E2002" s="448" t="s">
        <v>4088</v>
      </c>
      <c r="F2002" s="448" t="s">
        <v>3025</v>
      </c>
      <c r="G2002" s="473" t="s">
        <v>2782</v>
      </c>
      <c r="H2002" s="440" t="s">
        <v>1779</v>
      </c>
      <c r="I2002" s="474" t="s">
        <v>3457</v>
      </c>
      <c r="J2002" s="474" t="s">
        <v>3464</v>
      </c>
      <c r="K2002" s="444" t="s">
        <v>1780</v>
      </c>
      <c r="L2002" s="471">
        <v>1</v>
      </c>
      <c r="M2002" s="447" t="s">
        <v>3654</v>
      </c>
      <c r="N2002" s="459">
        <v>2400</v>
      </c>
      <c r="O2002" s="475">
        <f t="shared" si="7"/>
        <v>2400</v>
      </c>
      <c r="P2002" s="476"/>
      <c r="Q2002" s="477">
        <v>46023</v>
      </c>
      <c r="R2002" s="476"/>
      <c r="S2002" s="476"/>
    </row>
    <row r="2003" spans="1:19" ht="15.75" customHeight="1" x14ac:dyDescent="0.25">
      <c r="A2003" s="438">
        <v>2000</v>
      </c>
      <c r="B2003" s="470" t="s">
        <v>17</v>
      </c>
      <c r="C2003" s="471" t="s">
        <v>18</v>
      </c>
      <c r="D2003" s="472" t="s">
        <v>19</v>
      </c>
      <c r="E2003" s="448" t="s">
        <v>4091</v>
      </c>
      <c r="F2003" s="448" t="s">
        <v>3024</v>
      </c>
      <c r="G2003" s="473" t="s">
        <v>2782</v>
      </c>
      <c r="H2003" s="440" t="s">
        <v>1779</v>
      </c>
      <c r="I2003" s="474" t="s">
        <v>3457</v>
      </c>
      <c r="J2003" s="474" t="s">
        <v>3464</v>
      </c>
      <c r="K2003" s="444" t="s">
        <v>1780</v>
      </c>
      <c r="L2003" s="471">
        <v>1</v>
      </c>
      <c r="M2003" s="447" t="s">
        <v>3655</v>
      </c>
      <c r="N2003" s="459">
        <v>2400</v>
      </c>
      <c r="O2003" s="475">
        <f t="shared" si="7"/>
        <v>2400</v>
      </c>
      <c r="P2003" s="476"/>
      <c r="Q2003" s="477">
        <v>46023</v>
      </c>
      <c r="R2003" s="476"/>
      <c r="S2003" s="476"/>
    </row>
    <row r="2004" spans="1:19" ht="15.75" customHeight="1" x14ac:dyDescent="0.25">
      <c r="A2004" s="438">
        <v>2001</v>
      </c>
      <c r="B2004" s="470" t="s">
        <v>17</v>
      </c>
      <c r="C2004" s="471" t="s">
        <v>18</v>
      </c>
      <c r="D2004" s="472" t="s">
        <v>19</v>
      </c>
      <c r="E2004" s="448" t="s">
        <v>4091</v>
      </c>
      <c r="F2004" s="448" t="s">
        <v>3024</v>
      </c>
      <c r="G2004" s="473" t="s">
        <v>2782</v>
      </c>
      <c r="H2004" s="440" t="s">
        <v>1779</v>
      </c>
      <c r="I2004" s="474" t="s">
        <v>3457</v>
      </c>
      <c r="J2004" s="474" t="s">
        <v>3464</v>
      </c>
      <c r="K2004" s="444" t="s">
        <v>1780</v>
      </c>
      <c r="L2004" s="471">
        <v>1</v>
      </c>
      <c r="M2004" s="447" t="s">
        <v>3656</v>
      </c>
      <c r="N2004" s="459">
        <v>2400</v>
      </c>
      <c r="O2004" s="475">
        <f t="shared" si="7"/>
        <v>2400</v>
      </c>
      <c r="P2004" s="476"/>
      <c r="Q2004" s="477">
        <v>46023</v>
      </c>
      <c r="R2004" s="476"/>
      <c r="S2004" s="476"/>
    </row>
    <row r="2005" spans="1:19" ht="15.75" customHeight="1" x14ac:dyDescent="0.25">
      <c r="A2005" s="438">
        <v>2002</v>
      </c>
      <c r="B2005" s="470" t="s">
        <v>17</v>
      </c>
      <c r="C2005" s="471" t="s">
        <v>18</v>
      </c>
      <c r="D2005" s="472" t="s">
        <v>19</v>
      </c>
      <c r="E2005" s="465" t="s">
        <v>4091</v>
      </c>
      <c r="F2005" s="448" t="s">
        <v>3024</v>
      </c>
      <c r="G2005" s="473" t="s">
        <v>2782</v>
      </c>
      <c r="H2005" s="439" t="s">
        <v>1779</v>
      </c>
      <c r="I2005" s="474" t="s">
        <v>3457</v>
      </c>
      <c r="J2005" s="474" t="s">
        <v>3464</v>
      </c>
      <c r="K2005" s="443" t="s">
        <v>1780</v>
      </c>
      <c r="L2005" s="471">
        <v>1</v>
      </c>
      <c r="M2005" s="447" t="s">
        <v>3657</v>
      </c>
      <c r="N2005" s="455">
        <v>2400</v>
      </c>
      <c r="O2005" s="475">
        <f t="shared" si="7"/>
        <v>2400</v>
      </c>
      <c r="P2005" s="476"/>
      <c r="Q2005" s="477">
        <v>46023</v>
      </c>
      <c r="R2005" s="476"/>
      <c r="S2005" s="476"/>
    </row>
    <row r="2006" spans="1:19" ht="15.75" customHeight="1" x14ac:dyDescent="0.25">
      <c r="A2006" s="438">
        <v>2003</v>
      </c>
      <c r="B2006" s="470" t="s">
        <v>17</v>
      </c>
      <c r="C2006" s="471" t="s">
        <v>18</v>
      </c>
      <c r="D2006" s="472" t="s">
        <v>19</v>
      </c>
      <c r="E2006" s="465" t="s">
        <v>4091</v>
      </c>
      <c r="F2006" s="448" t="s">
        <v>3024</v>
      </c>
      <c r="G2006" s="473" t="s">
        <v>2782</v>
      </c>
      <c r="H2006" s="439" t="s">
        <v>1779</v>
      </c>
      <c r="I2006" s="474" t="s">
        <v>3457</v>
      </c>
      <c r="J2006" s="474" t="s">
        <v>3464</v>
      </c>
      <c r="K2006" s="443" t="s">
        <v>1780</v>
      </c>
      <c r="L2006" s="471">
        <v>1</v>
      </c>
      <c r="M2006" s="447" t="s">
        <v>3658</v>
      </c>
      <c r="N2006" s="455">
        <v>2400</v>
      </c>
      <c r="O2006" s="475">
        <f t="shared" si="7"/>
        <v>2400</v>
      </c>
      <c r="P2006" s="476"/>
      <c r="Q2006" s="477">
        <v>46023</v>
      </c>
      <c r="R2006" s="476"/>
      <c r="S2006" s="476"/>
    </row>
    <row r="2007" spans="1:19" ht="15.75" customHeight="1" x14ac:dyDescent="0.25">
      <c r="A2007" s="438">
        <v>2004</v>
      </c>
      <c r="B2007" s="470" t="s">
        <v>17</v>
      </c>
      <c r="C2007" s="471" t="s">
        <v>18</v>
      </c>
      <c r="D2007" s="472" t="s">
        <v>19</v>
      </c>
      <c r="E2007" s="465" t="s">
        <v>4086</v>
      </c>
      <c r="F2007" s="448" t="s">
        <v>4111</v>
      </c>
      <c r="G2007" s="473" t="s">
        <v>2782</v>
      </c>
      <c r="H2007" s="439" t="s">
        <v>1779</v>
      </c>
      <c r="I2007" s="474" t="s">
        <v>3457</v>
      </c>
      <c r="J2007" s="474" t="s">
        <v>3464</v>
      </c>
      <c r="K2007" s="443" t="s">
        <v>1780</v>
      </c>
      <c r="L2007" s="471">
        <v>1</v>
      </c>
      <c r="M2007" s="447" t="s">
        <v>3090</v>
      </c>
      <c r="N2007" s="456">
        <v>2400</v>
      </c>
      <c r="O2007" s="475">
        <f t="shared" si="7"/>
        <v>2400</v>
      </c>
      <c r="P2007" s="476"/>
      <c r="Q2007" s="477">
        <v>46023</v>
      </c>
      <c r="R2007" s="476"/>
      <c r="S2007" s="476"/>
    </row>
    <row r="2008" spans="1:19" ht="15.75" customHeight="1" x14ac:dyDescent="0.25">
      <c r="A2008" s="438">
        <v>2005</v>
      </c>
      <c r="B2008" s="470" t="s">
        <v>17</v>
      </c>
      <c r="C2008" s="471" t="s">
        <v>18</v>
      </c>
      <c r="D2008" s="472" t="s">
        <v>19</v>
      </c>
      <c r="E2008" s="465" t="s">
        <v>4086</v>
      </c>
      <c r="F2008" s="448" t="s">
        <v>4111</v>
      </c>
      <c r="G2008" s="473" t="s">
        <v>2782</v>
      </c>
      <c r="H2008" s="439" t="s">
        <v>1779</v>
      </c>
      <c r="I2008" s="474" t="s">
        <v>3457</v>
      </c>
      <c r="J2008" s="474" t="s">
        <v>3464</v>
      </c>
      <c r="K2008" s="443" t="s">
        <v>1780</v>
      </c>
      <c r="L2008" s="471">
        <v>1</v>
      </c>
      <c r="M2008" s="447" t="s">
        <v>3091</v>
      </c>
      <c r="N2008" s="456">
        <v>2400</v>
      </c>
      <c r="O2008" s="475">
        <f t="shared" si="7"/>
        <v>2400</v>
      </c>
      <c r="P2008" s="476"/>
      <c r="Q2008" s="477">
        <v>46023</v>
      </c>
      <c r="R2008" s="476"/>
      <c r="S2008" s="476"/>
    </row>
    <row r="2009" spans="1:19" ht="15.75" customHeight="1" x14ac:dyDescent="0.25">
      <c r="A2009" s="438">
        <v>2006</v>
      </c>
      <c r="B2009" s="470" t="s">
        <v>17</v>
      </c>
      <c r="C2009" s="471" t="s">
        <v>18</v>
      </c>
      <c r="D2009" s="472" t="s">
        <v>19</v>
      </c>
      <c r="E2009" s="465" t="s">
        <v>4086</v>
      </c>
      <c r="F2009" s="448" t="s">
        <v>4111</v>
      </c>
      <c r="G2009" s="473" t="s">
        <v>2782</v>
      </c>
      <c r="H2009" s="439" t="s">
        <v>1779</v>
      </c>
      <c r="I2009" s="474" t="s">
        <v>3457</v>
      </c>
      <c r="J2009" s="474" t="s">
        <v>3464</v>
      </c>
      <c r="K2009" s="443" t="s">
        <v>1780</v>
      </c>
      <c r="L2009" s="471">
        <v>1</v>
      </c>
      <c r="M2009" s="447" t="s">
        <v>3092</v>
      </c>
      <c r="N2009" s="456">
        <v>2400</v>
      </c>
      <c r="O2009" s="475">
        <f t="shared" si="7"/>
        <v>2400</v>
      </c>
      <c r="P2009" s="476"/>
      <c r="Q2009" s="477">
        <v>46023</v>
      </c>
      <c r="R2009" s="476"/>
      <c r="S2009" s="476"/>
    </row>
    <row r="2010" spans="1:19" ht="15.75" customHeight="1" x14ac:dyDescent="0.25">
      <c r="A2010" s="438">
        <v>2007</v>
      </c>
      <c r="B2010" s="470" t="s">
        <v>17</v>
      </c>
      <c r="C2010" s="471" t="s">
        <v>18</v>
      </c>
      <c r="D2010" s="472" t="s">
        <v>19</v>
      </c>
      <c r="E2010" s="448" t="s">
        <v>4086</v>
      </c>
      <c r="F2010" s="448" t="s">
        <v>4111</v>
      </c>
      <c r="G2010" s="452" t="s">
        <v>2782</v>
      </c>
      <c r="H2010" s="442" t="s">
        <v>1779</v>
      </c>
      <c r="I2010" s="474" t="s">
        <v>3457</v>
      </c>
      <c r="J2010" s="474" t="s">
        <v>3464</v>
      </c>
      <c r="K2010" s="445" t="s">
        <v>1780</v>
      </c>
      <c r="L2010" s="471">
        <v>1</v>
      </c>
      <c r="M2010" s="450" t="s">
        <v>3093</v>
      </c>
      <c r="N2010" s="463">
        <v>2400</v>
      </c>
      <c r="O2010" s="475">
        <f t="shared" si="7"/>
        <v>2400</v>
      </c>
      <c r="P2010" s="476"/>
      <c r="Q2010" s="477">
        <v>46023</v>
      </c>
      <c r="R2010" s="476"/>
      <c r="S2010" s="476"/>
    </row>
    <row r="2011" spans="1:19" ht="15.75" customHeight="1" x14ac:dyDescent="0.25">
      <c r="A2011" s="438">
        <v>2008</v>
      </c>
      <c r="B2011" s="470" t="s">
        <v>17</v>
      </c>
      <c r="C2011" s="471" t="s">
        <v>18</v>
      </c>
      <c r="D2011" s="472" t="s">
        <v>19</v>
      </c>
      <c r="E2011" s="448" t="s">
        <v>4086</v>
      </c>
      <c r="F2011" s="448" t="s">
        <v>4111</v>
      </c>
      <c r="G2011" s="452" t="s">
        <v>2782</v>
      </c>
      <c r="H2011" s="442" t="s">
        <v>1779</v>
      </c>
      <c r="I2011" s="474" t="s">
        <v>3457</v>
      </c>
      <c r="J2011" s="474" t="s">
        <v>3464</v>
      </c>
      <c r="K2011" s="445" t="s">
        <v>1780</v>
      </c>
      <c r="L2011" s="471">
        <v>1</v>
      </c>
      <c r="M2011" s="450" t="s">
        <v>3094</v>
      </c>
      <c r="N2011" s="463">
        <v>2400</v>
      </c>
      <c r="O2011" s="475">
        <f t="shared" si="7"/>
        <v>2400</v>
      </c>
      <c r="P2011" s="476"/>
      <c r="Q2011" s="477">
        <v>46023</v>
      </c>
      <c r="R2011" s="476"/>
      <c r="S2011" s="476"/>
    </row>
    <row r="2012" spans="1:19" ht="15.75" customHeight="1" x14ac:dyDescent="0.25">
      <c r="A2012" s="438">
        <v>2009</v>
      </c>
      <c r="B2012" s="470" t="s">
        <v>17</v>
      </c>
      <c r="C2012" s="471" t="s">
        <v>18</v>
      </c>
      <c r="D2012" s="472" t="s">
        <v>19</v>
      </c>
      <c r="E2012" s="448" t="s">
        <v>4086</v>
      </c>
      <c r="F2012" s="448" t="s">
        <v>4127</v>
      </c>
      <c r="G2012" s="452" t="s">
        <v>2782</v>
      </c>
      <c r="H2012" s="442" t="s">
        <v>1779</v>
      </c>
      <c r="I2012" s="474" t="s">
        <v>3457</v>
      </c>
      <c r="J2012" s="474" t="s">
        <v>3464</v>
      </c>
      <c r="K2012" s="445" t="s">
        <v>1780</v>
      </c>
      <c r="L2012" s="471">
        <v>1</v>
      </c>
      <c r="M2012" s="450" t="s">
        <v>3339</v>
      </c>
      <c r="N2012" s="463">
        <v>2400</v>
      </c>
      <c r="O2012" s="475">
        <f t="shared" si="7"/>
        <v>2400</v>
      </c>
      <c r="P2012" s="476"/>
      <c r="Q2012" s="477">
        <v>46023</v>
      </c>
      <c r="R2012" s="476"/>
      <c r="S2012" s="476"/>
    </row>
    <row r="2013" spans="1:19" ht="15.75" customHeight="1" x14ac:dyDescent="0.25">
      <c r="A2013" s="438">
        <v>2010</v>
      </c>
      <c r="B2013" s="470" t="s">
        <v>17</v>
      </c>
      <c r="C2013" s="471" t="s">
        <v>18</v>
      </c>
      <c r="D2013" s="472" t="s">
        <v>19</v>
      </c>
      <c r="E2013" s="448" t="s">
        <v>4086</v>
      </c>
      <c r="F2013" s="448" t="s">
        <v>4127</v>
      </c>
      <c r="G2013" s="452" t="s">
        <v>2782</v>
      </c>
      <c r="H2013" s="442" t="s">
        <v>1779</v>
      </c>
      <c r="I2013" s="474" t="s">
        <v>3457</v>
      </c>
      <c r="J2013" s="474" t="s">
        <v>3464</v>
      </c>
      <c r="K2013" s="445" t="s">
        <v>1780</v>
      </c>
      <c r="L2013" s="471">
        <v>1</v>
      </c>
      <c r="M2013" s="450" t="s">
        <v>3341</v>
      </c>
      <c r="N2013" s="463">
        <v>2400</v>
      </c>
      <c r="O2013" s="475">
        <f t="shared" si="7"/>
        <v>2400</v>
      </c>
      <c r="P2013" s="476"/>
      <c r="Q2013" s="477">
        <v>46023</v>
      </c>
      <c r="R2013" s="476"/>
      <c r="S2013" s="476"/>
    </row>
    <row r="2014" spans="1:19" ht="15.75" customHeight="1" x14ac:dyDescent="0.25">
      <c r="A2014" s="438">
        <v>2011</v>
      </c>
      <c r="B2014" s="470" t="s">
        <v>17</v>
      </c>
      <c r="C2014" s="471" t="s">
        <v>18</v>
      </c>
      <c r="D2014" s="472" t="s">
        <v>19</v>
      </c>
      <c r="E2014" s="448" t="s">
        <v>4086</v>
      </c>
      <c r="F2014" s="448" t="s">
        <v>4127</v>
      </c>
      <c r="G2014" s="452" t="s">
        <v>2782</v>
      </c>
      <c r="H2014" s="442" t="s">
        <v>1779</v>
      </c>
      <c r="I2014" s="474" t="s">
        <v>3457</v>
      </c>
      <c r="J2014" s="474" t="s">
        <v>3464</v>
      </c>
      <c r="K2014" s="445" t="s">
        <v>1780</v>
      </c>
      <c r="L2014" s="471">
        <v>1</v>
      </c>
      <c r="M2014" s="450" t="s">
        <v>3343</v>
      </c>
      <c r="N2014" s="463">
        <v>2400</v>
      </c>
      <c r="O2014" s="475">
        <f t="shared" si="7"/>
        <v>2400</v>
      </c>
      <c r="P2014" s="476"/>
      <c r="Q2014" s="477">
        <v>46023</v>
      </c>
      <c r="R2014" s="476"/>
      <c r="S2014" s="476"/>
    </row>
    <row r="2015" spans="1:19" ht="15.75" customHeight="1" x14ac:dyDescent="0.25">
      <c r="A2015" s="438">
        <v>2012</v>
      </c>
      <c r="B2015" s="470" t="s">
        <v>17</v>
      </c>
      <c r="C2015" s="471" t="s">
        <v>18</v>
      </c>
      <c r="D2015" s="472" t="s">
        <v>19</v>
      </c>
      <c r="E2015" s="448" t="s">
        <v>4086</v>
      </c>
      <c r="F2015" s="448" t="s">
        <v>4127</v>
      </c>
      <c r="G2015" s="452" t="s">
        <v>2782</v>
      </c>
      <c r="H2015" s="442" t="s">
        <v>1779</v>
      </c>
      <c r="I2015" s="474" t="s">
        <v>3457</v>
      </c>
      <c r="J2015" s="474" t="s">
        <v>3464</v>
      </c>
      <c r="K2015" s="445" t="s">
        <v>1780</v>
      </c>
      <c r="L2015" s="471">
        <v>1</v>
      </c>
      <c r="M2015" s="450" t="s">
        <v>3345</v>
      </c>
      <c r="N2015" s="463">
        <v>2400</v>
      </c>
      <c r="O2015" s="475">
        <f t="shared" si="7"/>
        <v>2400</v>
      </c>
      <c r="P2015" s="476"/>
      <c r="Q2015" s="477">
        <v>46023</v>
      </c>
      <c r="R2015" s="476"/>
      <c r="S2015" s="476"/>
    </row>
    <row r="2016" spans="1:19" ht="15.75" customHeight="1" x14ac:dyDescent="0.25">
      <c r="A2016" s="438">
        <v>2013</v>
      </c>
      <c r="B2016" s="470" t="s">
        <v>17</v>
      </c>
      <c r="C2016" s="471" t="s">
        <v>18</v>
      </c>
      <c r="D2016" s="472" t="s">
        <v>19</v>
      </c>
      <c r="E2016" s="448" t="s">
        <v>4086</v>
      </c>
      <c r="F2016" s="448" t="s">
        <v>4127</v>
      </c>
      <c r="G2016" s="452" t="s">
        <v>2782</v>
      </c>
      <c r="H2016" s="442" t="s">
        <v>1779</v>
      </c>
      <c r="I2016" s="474" t="s">
        <v>3457</v>
      </c>
      <c r="J2016" s="474" t="s">
        <v>3464</v>
      </c>
      <c r="K2016" s="445" t="s">
        <v>1780</v>
      </c>
      <c r="L2016" s="471">
        <v>1</v>
      </c>
      <c r="M2016" s="450" t="s">
        <v>3347</v>
      </c>
      <c r="N2016" s="463">
        <v>2400</v>
      </c>
      <c r="O2016" s="475">
        <f t="shared" si="7"/>
        <v>2400</v>
      </c>
      <c r="P2016" s="476"/>
      <c r="Q2016" s="477">
        <v>46023</v>
      </c>
      <c r="R2016" s="476"/>
      <c r="S2016" s="476"/>
    </row>
    <row r="2017" spans="1:19" ht="15.75" customHeight="1" x14ac:dyDescent="0.25">
      <c r="A2017" s="438">
        <v>2014</v>
      </c>
      <c r="B2017" s="470" t="s">
        <v>17</v>
      </c>
      <c r="C2017" s="471" t="s">
        <v>18</v>
      </c>
      <c r="D2017" s="472" t="s">
        <v>19</v>
      </c>
      <c r="E2017" s="448" t="s">
        <v>4091</v>
      </c>
      <c r="F2017" s="448" t="s">
        <v>4128</v>
      </c>
      <c r="G2017" s="452" t="s">
        <v>2782</v>
      </c>
      <c r="H2017" s="442" t="s">
        <v>1779</v>
      </c>
      <c r="I2017" s="474" t="s">
        <v>3457</v>
      </c>
      <c r="J2017" s="474" t="s">
        <v>3464</v>
      </c>
      <c r="K2017" s="445" t="s">
        <v>1780</v>
      </c>
      <c r="L2017" s="471">
        <v>1</v>
      </c>
      <c r="M2017" s="450" t="s">
        <v>2906</v>
      </c>
      <c r="N2017" s="463">
        <v>2400</v>
      </c>
      <c r="O2017" s="475">
        <f t="shared" si="7"/>
        <v>2400</v>
      </c>
      <c r="P2017" s="476"/>
      <c r="Q2017" s="477">
        <v>46023</v>
      </c>
      <c r="R2017" s="476"/>
      <c r="S2017" s="476"/>
    </row>
    <row r="2018" spans="1:19" ht="15.75" customHeight="1" x14ac:dyDescent="0.25">
      <c r="A2018" s="438">
        <v>2015</v>
      </c>
      <c r="B2018" s="470" t="s">
        <v>17</v>
      </c>
      <c r="C2018" s="471" t="s">
        <v>18</v>
      </c>
      <c r="D2018" s="472" t="s">
        <v>19</v>
      </c>
      <c r="E2018" s="448" t="s">
        <v>4091</v>
      </c>
      <c r="F2018" s="448" t="s">
        <v>4128</v>
      </c>
      <c r="G2018" s="452" t="s">
        <v>2782</v>
      </c>
      <c r="H2018" s="442" t="s">
        <v>1779</v>
      </c>
      <c r="I2018" s="474" t="s">
        <v>3457</v>
      </c>
      <c r="J2018" s="474" t="s">
        <v>3464</v>
      </c>
      <c r="K2018" s="445" t="s">
        <v>1780</v>
      </c>
      <c r="L2018" s="471">
        <v>1</v>
      </c>
      <c r="M2018" s="450" t="s">
        <v>2907</v>
      </c>
      <c r="N2018" s="463">
        <v>2400</v>
      </c>
      <c r="O2018" s="475">
        <f t="shared" si="7"/>
        <v>2400</v>
      </c>
      <c r="P2018" s="476"/>
      <c r="Q2018" s="477">
        <v>46023</v>
      </c>
      <c r="R2018" s="476"/>
      <c r="S2018" s="476"/>
    </row>
    <row r="2019" spans="1:19" ht="15.75" customHeight="1" x14ac:dyDescent="0.25">
      <c r="A2019" s="438">
        <v>2016</v>
      </c>
      <c r="B2019" s="470" t="s">
        <v>17</v>
      </c>
      <c r="C2019" s="471" t="s">
        <v>18</v>
      </c>
      <c r="D2019" s="472" t="s">
        <v>19</v>
      </c>
      <c r="E2019" s="448" t="s">
        <v>4091</v>
      </c>
      <c r="F2019" s="448" t="s">
        <v>4128</v>
      </c>
      <c r="G2019" s="452" t="s">
        <v>2782</v>
      </c>
      <c r="H2019" s="442" t="s">
        <v>1779</v>
      </c>
      <c r="I2019" s="474" t="s">
        <v>3457</v>
      </c>
      <c r="J2019" s="474" t="s">
        <v>3464</v>
      </c>
      <c r="K2019" s="445" t="s">
        <v>1780</v>
      </c>
      <c r="L2019" s="471">
        <v>1</v>
      </c>
      <c r="M2019" s="450" t="s">
        <v>2909</v>
      </c>
      <c r="N2019" s="463">
        <v>2400</v>
      </c>
      <c r="O2019" s="475">
        <f t="shared" si="7"/>
        <v>2400</v>
      </c>
      <c r="P2019" s="476"/>
      <c r="Q2019" s="477">
        <v>46023</v>
      </c>
      <c r="R2019" s="476"/>
      <c r="S2019" s="476"/>
    </row>
    <row r="2020" spans="1:19" ht="15.75" customHeight="1" x14ac:dyDescent="0.25">
      <c r="A2020" s="438">
        <v>2017</v>
      </c>
      <c r="B2020" s="470" t="s">
        <v>17</v>
      </c>
      <c r="C2020" s="471" t="s">
        <v>18</v>
      </c>
      <c r="D2020" s="472" t="s">
        <v>19</v>
      </c>
      <c r="E2020" s="448" t="s">
        <v>4091</v>
      </c>
      <c r="F2020" s="448" t="s">
        <v>4128</v>
      </c>
      <c r="G2020" s="473" t="s">
        <v>2782</v>
      </c>
      <c r="H2020" s="439" t="s">
        <v>1779</v>
      </c>
      <c r="I2020" s="474" t="s">
        <v>3457</v>
      </c>
      <c r="J2020" s="474" t="s">
        <v>3464</v>
      </c>
      <c r="K2020" s="443" t="s">
        <v>1780</v>
      </c>
      <c r="L2020" s="471">
        <v>1</v>
      </c>
      <c r="M2020" s="447" t="s">
        <v>2910</v>
      </c>
      <c r="N2020" s="456">
        <v>2400</v>
      </c>
      <c r="O2020" s="475">
        <f t="shared" si="7"/>
        <v>2400</v>
      </c>
      <c r="P2020" s="476"/>
      <c r="Q2020" s="477">
        <v>46023</v>
      </c>
      <c r="R2020" s="476"/>
      <c r="S2020" s="476"/>
    </row>
    <row r="2021" spans="1:19" ht="15.75" customHeight="1" x14ac:dyDescent="0.25">
      <c r="A2021" s="438">
        <v>2018</v>
      </c>
      <c r="B2021" s="470" t="s">
        <v>17</v>
      </c>
      <c r="C2021" s="471" t="s">
        <v>18</v>
      </c>
      <c r="D2021" s="472" t="s">
        <v>19</v>
      </c>
      <c r="E2021" s="448" t="s">
        <v>4091</v>
      </c>
      <c r="F2021" s="448" t="s">
        <v>4128</v>
      </c>
      <c r="G2021" s="473" t="s">
        <v>2782</v>
      </c>
      <c r="H2021" s="439" t="s">
        <v>1779</v>
      </c>
      <c r="I2021" s="474" t="s">
        <v>3457</v>
      </c>
      <c r="J2021" s="474" t="s">
        <v>3464</v>
      </c>
      <c r="K2021" s="443" t="s">
        <v>1780</v>
      </c>
      <c r="L2021" s="471">
        <v>1</v>
      </c>
      <c r="M2021" s="447" t="s">
        <v>2744</v>
      </c>
      <c r="N2021" s="456">
        <v>2400</v>
      </c>
      <c r="O2021" s="475">
        <f t="shared" si="7"/>
        <v>2400</v>
      </c>
      <c r="P2021" s="476"/>
      <c r="Q2021" s="477">
        <v>46023</v>
      </c>
      <c r="R2021" s="476"/>
      <c r="S2021" s="476"/>
    </row>
    <row r="2022" spans="1:19" ht="15.75" customHeight="1" x14ac:dyDescent="0.25">
      <c r="A2022" s="438">
        <v>2019</v>
      </c>
      <c r="B2022" s="470" t="s">
        <v>17</v>
      </c>
      <c r="C2022" s="471" t="s">
        <v>18</v>
      </c>
      <c r="D2022" s="472" t="s">
        <v>19</v>
      </c>
      <c r="E2022" s="448" t="s">
        <v>4091</v>
      </c>
      <c r="F2022" s="448" t="s">
        <v>4110</v>
      </c>
      <c r="G2022" s="473" t="s">
        <v>2782</v>
      </c>
      <c r="H2022" s="439" t="s">
        <v>1779</v>
      </c>
      <c r="I2022" s="474" t="s">
        <v>3457</v>
      </c>
      <c r="J2022" s="474" t="s">
        <v>3464</v>
      </c>
      <c r="K2022" s="443" t="s">
        <v>1780</v>
      </c>
      <c r="L2022" s="471">
        <v>1</v>
      </c>
      <c r="M2022" s="447" t="s">
        <v>2917</v>
      </c>
      <c r="N2022" s="456">
        <v>2400</v>
      </c>
      <c r="O2022" s="475">
        <f t="shared" si="7"/>
        <v>2400</v>
      </c>
      <c r="P2022" s="476"/>
      <c r="Q2022" s="477">
        <v>46023</v>
      </c>
      <c r="R2022" s="476"/>
      <c r="S2022" s="476"/>
    </row>
    <row r="2023" spans="1:19" ht="15.75" customHeight="1" x14ac:dyDescent="0.25">
      <c r="A2023" s="438">
        <v>2020</v>
      </c>
      <c r="B2023" s="470" t="s">
        <v>17</v>
      </c>
      <c r="C2023" s="471" t="s">
        <v>18</v>
      </c>
      <c r="D2023" s="472" t="s">
        <v>19</v>
      </c>
      <c r="E2023" s="448" t="s">
        <v>4091</v>
      </c>
      <c r="F2023" s="448" t="s">
        <v>4110</v>
      </c>
      <c r="G2023" s="473" t="s">
        <v>2782</v>
      </c>
      <c r="H2023" s="439" t="s">
        <v>1779</v>
      </c>
      <c r="I2023" s="474" t="s">
        <v>3457</v>
      </c>
      <c r="J2023" s="474" t="s">
        <v>3464</v>
      </c>
      <c r="K2023" s="443" t="s">
        <v>1780</v>
      </c>
      <c r="L2023" s="471">
        <v>1</v>
      </c>
      <c r="M2023" s="447" t="s">
        <v>2918</v>
      </c>
      <c r="N2023" s="456">
        <v>2400</v>
      </c>
      <c r="O2023" s="475">
        <f t="shared" si="7"/>
        <v>2400</v>
      </c>
      <c r="P2023" s="476"/>
      <c r="Q2023" s="477">
        <v>46023</v>
      </c>
      <c r="R2023" s="476"/>
      <c r="S2023" s="476"/>
    </row>
    <row r="2024" spans="1:19" ht="15.75" customHeight="1" x14ac:dyDescent="0.25">
      <c r="A2024" s="438">
        <v>2021</v>
      </c>
      <c r="B2024" s="470" t="s">
        <v>17</v>
      </c>
      <c r="C2024" s="471" t="s">
        <v>18</v>
      </c>
      <c r="D2024" s="472" t="s">
        <v>19</v>
      </c>
      <c r="E2024" s="448" t="s">
        <v>4091</v>
      </c>
      <c r="F2024" s="448" t="s">
        <v>4110</v>
      </c>
      <c r="G2024" s="473" t="s">
        <v>2782</v>
      </c>
      <c r="H2024" s="439" t="s">
        <v>1779</v>
      </c>
      <c r="I2024" s="474" t="s">
        <v>3457</v>
      </c>
      <c r="J2024" s="474" t="s">
        <v>3464</v>
      </c>
      <c r="K2024" s="443" t="s">
        <v>1780</v>
      </c>
      <c r="L2024" s="471">
        <v>1</v>
      </c>
      <c r="M2024" s="447" t="s">
        <v>2920</v>
      </c>
      <c r="N2024" s="456">
        <v>2400</v>
      </c>
      <c r="O2024" s="475">
        <f t="shared" si="7"/>
        <v>2400</v>
      </c>
      <c r="P2024" s="476"/>
      <c r="Q2024" s="477">
        <v>46023</v>
      </c>
      <c r="R2024" s="476"/>
      <c r="S2024" s="476"/>
    </row>
    <row r="2025" spans="1:19" ht="15.75" customHeight="1" x14ac:dyDescent="0.25">
      <c r="A2025" s="438">
        <v>2022</v>
      </c>
      <c r="B2025" s="470" t="s">
        <v>17</v>
      </c>
      <c r="C2025" s="471" t="s">
        <v>18</v>
      </c>
      <c r="D2025" s="472" t="s">
        <v>19</v>
      </c>
      <c r="E2025" s="448" t="s">
        <v>4091</v>
      </c>
      <c r="F2025" s="465" t="s">
        <v>4110</v>
      </c>
      <c r="G2025" s="473" t="s">
        <v>2782</v>
      </c>
      <c r="H2025" s="439" t="s">
        <v>1779</v>
      </c>
      <c r="I2025" s="474" t="s">
        <v>3457</v>
      </c>
      <c r="J2025" s="474" t="s">
        <v>3464</v>
      </c>
      <c r="K2025" s="443" t="s">
        <v>1780</v>
      </c>
      <c r="L2025" s="471">
        <v>1</v>
      </c>
      <c r="M2025" s="447" t="s">
        <v>2921</v>
      </c>
      <c r="N2025" s="456">
        <v>2400</v>
      </c>
      <c r="O2025" s="475">
        <f t="shared" si="7"/>
        <v>2400</v>
      </c>
      <c r="P2025" s="476"/>
      <c r="Q2025" s="477">
        <v>46023</v>
      </c>
      <c r="R2025" s="476"/>
      <c r="S2025" s="476"/>
    </row>
    <row r="2026" spans="1:19" ht="15.75" customHeight="1" x14ac:dyDescent="0.25">
      <c r="A2026" s="438">
        <v>2023</v>
      </c>
      <c r="B2026" s="470" t="s">
        <v>17</v>
      </c>
      <c r="C2026" s="471" t="s">
        <v>18</v>
      </c>
      <c r="D2026" s="472" t="s">
        <v>19</v>
      </c>
      <c r="E2026" s="448" t="s">
        <v>4091</v>
      </c>
      <c r="F2026" s="465" t="s">
        <v>4110</v>
      </c>
      <c r="G2026" s="473" t="s">
        <v>2782</v>
      </c>
      <c r="H2026" s="439" t="s">
        <v>1779</v>
      </c>
      <c r="I2026" s="474" t="s">
        <v>3457</v>
      </c>
      <c r="J2026" s="474" t="s">
        <v>3464</v>
      </c>
      <c r="K2026" s="443" t="s">
        <v>1780</v>
      </c>
      <c r="L2026" s="471">
        <v>1</v>
      </c>
      <c r="M2026" s="447" t="s">
        <v>2922</v>
      </c>
      <c r="N2026" s="456">
        <v>2400</v>
      </c>
      <c r="O2026" s="475">
        <f t="shared" si="7"/>
        <v>2400</v>
      </c>
      <c r="P2026" s="476"/>
      <c r="Q2026" s="477">
        <v>46023</v>
      </c>
      <c r="R2026" s="476"/>
      <c r="S2026" s="476"/>
    </row>
    <row r="2027" spans="1:19" ht="15.75" customHeight="1" x14ac:dyDescent="0.25">
      <c r="A2027" s="438">
        <v>2024</v>
      </c>
      <c r="B2027" s="470" t="s">
        <v>17</v>
      </c>
      <c r="C2027" s="471" t="s">
        <v>18</v>
      </c>
      <c r="D2027" s="472" t="s">
        <v>19</v>
      </c>
      <c r="E2027" s="448" t="s">
        <v>4083</v>
      </c>
      <c r="F2027" s="465" t="s">
        <v>2988</v>
      </c>
      <c r="G2027" s="473" t="s">
        <v>3066</v>
      </c>
      <c r="H2027" s="439" t="s">
        <v>2062</v>
      </c>
      <c r="I2027" s="474" t="s">
        <v>3457</v>
      </c>
      <c r="J2027" s="474" t="s">
        <v>3464</v>
      </c>
      <c r="K2027" s="443" t="s">
        <v>1524</v>
      </c>
      <c r="L2027" s="471">
        <v>1</v>
      </c>
      <c r="M2027" s="447" t="s">
        <v>2688</v>
      </c>
      <c r="N2027" s="456">
        <v>130000</v>
      </c>
      <c r="O2027" s="475">
        <f t="shared" si="7"/>
        <v>130000</v>
      </c>
      <c r="P2027" s="476"/>
      <c r="Q2027" s="477">
        <v>46023</v>
      </c>
      <c r="R2027" s="476"/>
      <c r="S2027" s="476"/>
    </row>
    <row r="2028" spans="1:19" ht="15.75" customHeight="1" x14ac:dyDescent="0.25">
      <c r="A2028" s="438">
        <v>2025</v>
      </c>
      <c r="B2028" s="470" t="s">
        <v>17</v>
      </c>
      <c r="C2028" s="471" t="s">
        <v>18</v>
      </c>
      <c r="D2028" s="472" t="s">
        <v>19</v>
      </c>
      <c r="E2028" s="448" t="s">
        <v>4083</v>
      </c>
      <c r="F2028" s="465" t="s">
        <v>2988</v>
      </c>
      <c r="G2028" s="473" t="s">
        <v>3066</v>
      </c>
      <c r="H2028" s="439" t="s">
        <v>2062</v>
      </c>
      <c r="I2028" s="474" t="s">
        <v>3457</v>
      </c>
      <c r="J2028" s="474" t="s">
        <v>3464</v>
      </c>
      <c r="K2028" s="443" t="s">
        <v>1524</v>
      </c>
      <c r="L2028" s="471">
        <v>1</v>
      </c>
      <c r="M2028" s="447" t="s">
        <v>2684</v>
      </c>
      <c r="N2028" s="456">
        <v>130000</v>
      </c>
      <c r="O2028" s="475">
        <f t="shared" si="7"/>
        <v>130000</v>
      </c>
      <c r="P2028" s="476"/>
      <c r="Q2028" s="477">
        <v>46023</v>
      </c>
      <c r="R2028" s="476"/>
      <c r="S2028" s="476"/>
    </row>
    <row r="2029" spans="1:19" ht="15.75" customHeight="1" x14ac:dyDescent="0.25">
      <c r="A2029" s="438">
        <v>2026</v>
      </c>
      <c r="B2029" s="470" t="s">
        <v>17</v>
      </c>
      <c r="C2029" s="471" t="s">
        <v>18</v>
      </c>
      <c r="D2029" s="472" t="s">
        <v>19</v>
      </c>
      <c r="E2029" s="448" t="s">
        <v>4083</v>
      </c>
      <c r="F2029" s="465" t="s">
        <v>2988</v>
      </c>
      <c r="G2029" s="473" t="s">
        <v>3066</v>
      </c>
      <c r="H2029" s="439" t="s">
        <v>2062</v>
      </c>
      <c r="I2029" s="474" t="s">
        <v>3457</v>
      </c>
      <c r="J2029" s="474" t="s">
        <v>3464</v>
      </c>
      <c r="K2029" s="443" t="s">
        <v>1524</v>
      </c>
      <c r="L2029" s="471">
        <v>1</v>
      </c>
      <c r="M2029" s="447" t="s">
        <v>2690</v>
      </c>
      <c r="N2029" s="456">
        <v>130000</v>
      </c>
      <c r="O2029" s="475">
        <f t="shared" si="7"/>
        <v>130000</v>
      </c>
      <c r="P2029" s="476"/>
      <c r="Q2029" s="477">
        <v>46023</v>
      </c>
      <c r="R2029" s="476"/>
      <c r="S2029" s="476"/>
    </row>
    <row r="2030" spans="1:19" ht="15.75" customHeight="1" x14ac:dyDescent="0.25">
      <c r="A2030" s="438">
        <v>2027</v>
      </c>
      <c r="B2030" s="470" t="s">
        <v>17</v>
      </c>
      <c r="C2030" s="471" t="s">
        <v>18</v>
      </c>
      <c r="D2030" s="472" t="s">
        <v>19</v>
      </c>
      <c r="E2030" s="448" t="s">
        <v>4083</v>
      </c>
      <c r="F2030" s="465" t="s">
        <v>2988</v>
      </c>
      <c r="G2030" s="473" t="s">
        <v>3066</v>
      </c>
      <c r="H2030" s="439" t="s">
        <v>2062</v>
      </c>
      <c r="I2030" s="474" t="s">
        <v>3457</v>
      </c>
      <c r="J2030" s="474" t="s">
        <v>3464</v>
      </c>
      <c r="K2030" s="443" t="s">
        <v>1524</v>
      </c>
      <c r="L2030" s="471">
        <v>1</v>
      </c>
      <c r="M2030" s="447" t="s">
        <v>2877</v>
      </c>
      <c r="N2030" s="456">
        <v>55000</v>
      </c>
      <c r="O2030" s="475">
        <f t="shared" si="7"/>
        <v>55000</v>
      </c>
      <c r="P2030" s="476"/>
      <c r="Q2030" s="477">
        <v>46023</v>
      </c>
      <c r="R2030" s="476"/>
      <c r="S2030" s="476"/>
    </row>
    <row r="2031" spans="1:19" ht="15.75" customHeight="1" x14ac:dyDescent="0.25">
      <c r="A2031" s="438">
        <v>2028</v>
      </c>
      <c r="B2031" s="470" t="s">
        <v>17</v>
      </c>
      <c r="C2031" s="471" t="s">
        <v>18</v>
      </c>
      <c r="D2031" s="472" t="s">
        <v>19</v>
      </c>
      <c r="E2031" s="465" t="s">
        <v>4083</v>
      </c>
      <c r="F2031" s="448" t="s">
        <v>2988</v>
      </c>
      <c r="G2031" s="473" t="s">
        <v>3066</v>
      </c>
      <c r="H2031" s="439" t="s">
        <v>2062</v>
      </c>
      <c r="I2031" s="474" t="s">
        <v>3457</v>
      </c>
      <c r="J2031" s="474" t="s">
        <v>3464</v>
      </c>
      <c r="K2031" s="443" t="s">
        <v>1524</v>
      </c>
      <c r="L2031" s="471">
        <v>1</v>
      </c>
      <c r="M2031" s="447" t="s">
        <v>2878</v>
      </c>
      <c r="N2031" s="456">
        <v>55000</v>
      </c>
      <c r="O2031" s="475">
        <f t="shared" si="7"/>
        <v>55000</v>
      </c>
      <c r="P2031" s="476"/>
      <c r="Q2031" s="477">
        <v>46023</v>
      </c>
      <c r="R2031" s="476"/>
      <c r="S2031" s="476"/>
    </row>
    <row r="2032" spans="1:19" ht="15.75" customHeight="1" x14ac:dyDescent="0.25">
      <c r="A2032" s="438">
        <v>2029</v>
      </c>
      <c r="B2032" s="470" t="s">
        <v>17</v>
      </c>
      <c r="C2032" s="471" t="s">
        <v>18</v>
      </c>
      <c r="D2032" s="472" t="s">
        <v>19</v>
      </c>
      <c r="E2032" s="465" t="s">
        <v>4083</v>
      </c>
      <c r="F2032" s="448" t="s">
        <v>2988</v>
      </c>
      <c r="G2032" s="473" t="s">
        <v>3066</v>
      </c>
      <c r="H2032" s="439" t="s">
        <v>2062</v>
      </c>
      <c r="I2032" s="474" t="s">
        <v>3457</v>
      </c>
      <c r="J2032" s="474" t="s">
        <v>3464</v>
      </c>
      <c r="K2032" s="443" t="s">
        <v>1524</v>
      </c>
      <c r="L2032" s="471">
        <v>1</v>
      </c>
      <c r="M2032" s="447" t="s">
        <v>2879</v>
      </c>
      <c r="N2032" s="456">
        <v>55000</v>
      </c>
      <c r="O2032" s="475">
        <f t="shared" si="7"/>
        <v>55000</v>
      </c>
      <c r="P2032" s="476"/>
      <c r="Q2032" s="477">
        <v>46023</v>
      </c>
      <c r="R2032" s="476"/>
      <c r="S2032" s="476"/>
    </row>
    <row r="2033" spans="1:19" ht="15.75" customHeight="1" x14ac:dyDescent="0.25">
      <c r="A2033" s="438">
        <v>2030</v>
      </c>
      <c r="B2033" s="470" t="s">
        <v>17</v>
      </c>
      <c r="C2033" s="471" t="s">
        <v>18</v>
      </c>
      <c r="D2033" s="472" t="s">
        <v>19</v>
      </c>
      <c r="E2033" s="465" t="s">
        <v>3047</v>
      </c>
      <c r="F2033" s="448" t="s">
        <v>3047</v>
      </c>
      <c r="G2033" s="473" t="s">
        <v>4009</v>
      </c>
      <c r="H2033" s="439" t="s">
        <v>3416</v>
      </c>
      <c r="I2033" s="474" t="s">
        <v>3457</v>
      </c>
      <c r="J2033" s="474" t="s">
        <v>3464</v>
      </c>
      <c r="K2033" s="443" t="s">
        <v>1474</v>
      </c>
      <c r="L2033" s="471">
        <v>1</v>
      </c>
      <c r="M2033" s="447" t="s">
        <v>2311</v>
      </c>
      <c r="N2033" s="456">
        <v>40000</v>
      </c>
      <c r="O2033" s="475">
        <f t="shared" si="7"/>
        <v>40000</v>
      </c>
      <c r="P2033" s="476"/>
      <c r="Q2033" s="477">
        <v>46023</v>
      </c>
      <c r="R2033" s="476"/>
      <c r="S2033" s="476"/>
    </row>
    <row r="2034" spans="1:19" ht="15.75" customHeight="1" x14ac:dyDescent="0.25">
      <c r="A2034" s="438">
        <v>2031</v>
      </c>
      <c r="B2034" s="470" t="s">
        <v>17</v>
      </c>
      <c r="C2034" s="471" t="s">
        <v>18</v>
      </c>
      <c r="D2034" s="472" t="s">
        <v>19</v>
      </c>
      <c r="E2034" s="465" t="s">
        <v>3047</v>
      </c>
      <c r="F2034" s="448" t="s">
        <v>3047</v>
      </c>
      <c r="G2034" s="473" t="s">
        <v>4009</v>
      </c>
      <c r="H2034" s="439" t="s">
        <v>3416</v>
      </c>
      <c r="I2034" s="474" t="s">
        <v>3457</v>
      </c>
      <c r="J2034" s="474" t="s">
        <v>3464</v>
      </c>
      <c r="K2034" s="443" t="s">
        <v>1474</v>
      </c>
      <c r="L2034" s="471">
        <v>1</v>
      </c>
      <c r="M2034" s="447" t="s">
        <v>2897</v>
      </c>
      <c r="N2034" s="456">
        <v>42000</v>
      </c>
      <c r="O2034" s="475">
        <f t="shared" si="7"/>
        <v>42000</v>
      </c>
      <c r="P2034" s="476"/>
      <c r="Q2034" s="477">
        <v>46023</v>
      </c>
      <c r="R2034" s="476"/>
      <c r="S2034" s="476"/>
    </row>
    <row r="2035" spans="1:19" ht="15.75" customHeight="1" x14ac:dyDescent="0.25">
      <c r="A2035" s="438">
        <v>2032</v>
      </c>
      <c r="B2035" s="470" t="s">
        <v>17</v>
      </c>
      <c r="C2035" s="471" t="s">
        <v>18</v>
      </c>
      <c r="D2035" s="472" t="s">
        <v>19</v>
      </c>
      <c r="E2035" s="465" t="s">
        <v>3047</v>
      </c>
      <c r="F2035" s="448" t="s">
        <v>3047</v>
      </c>
      <c r="G2035" s="473" t="s">
        <v>4009</v>
      </c>
      <c r="H2035" s="439" t="s">
        <v>3416</v>
      </c>
      <c r="I2035" s="474" t="s">
        <v>3457</v>
      </c>
      <c r="J2035" s="474" t="s">
        <v>3464</v>
      </c>
      <c r="K2035" s="443" t="s">
        <v>1474</v>
      </c>
      <c r="L2035" s="471">
        <v>1</v>
      </c>
      <c r="M2035" s="447" t="s">
        <v>3366</v>
      </c>
      <c r="N2035" s="456">
        <v>69900</v>
      </c>
      <c r="O2035" s="475">
        <f t="shared" si="7"/>
        <v>69900</v>
      </c>
      <c r="P2035" s="476"/>
      <c r="Q2035" s="477">
        <v>46023</v>
      </c>
      <c r="R2035" s="476"/>
      <c r="S2035" s="476"/>
    </row>
    <row r="2036" spans="1:19" ht="15.75" customHeight="1" x14ac:dyDescent="0.25">
      <c r="A2036" s="438">
        <v>2033</v>
      </c>
      <c r="B2036" s="470" t="s">
        <v>17</v>
      </c>
      <c r="C2036" s="471" t="s">
        <v>18</v>
      </c>
      <c r="D2036" s="472" t="s">
        <v>19</v>
      </c>
      <c r="E2036" s="448" t="s">
        <v>4085</v>
      </c>
      <c r="F2036" s="448" t="s">
        <v>2982</v>
      </c>
      <c r="G2036" s="473" t="s">
        <v>4007</v>
      </c>
      <c r="H2036" s="439" t="s">
        <v>3417</v>
      </c>
      <c r="I2036" s="474" t="s">
        <v>3457</v>
      </c>
      <c r="J2036" s="474" t="s">
        <v>3464</v>
      </c>
      <c r="K2036" s="443" t="s">
        <v>3475</v>
      </c>
      <c r="L2036" s="471">
        <v>1</v>
      </c>
      <c r="M2036" s="447" t="s">
        <v>3659</v>
      </c>
      <c r="N2036" s="456">
        <v>85000</v>
      </c>
      <c r="O2036" s="475">
        <f t="shared" si="7"/>
        <v>85000</v>
      </c>
      <c r="P2036" s="476"/>
      <c r="Q2036" s="477">
        <v>46023</v>
      </c>
      <c r="R2036" s="476"/>
      <c r="S2036" s="476"/>
    </row>
    <row r="2037" spans="1:19" ht="15.75" customHeight="1" x14ac:dyDescent="0.25">
      <c r="A2037" s="438">
        <v>2034</v>
      </c>
      <c r="B2037" s="470" t="s">
        <v>17</v>
      </c>
      <c r="C2037" s="471" t="s">
        <v>18</v>
      </c>
      <c r="D2037" s="472" t="s">
        <v>19</v>
      </c>
      <c r="E2037" s="465" t="s">
        <v>4085</v>
      </c>
      <c r="F2037" s="448" t="s">
        <v>2982</v>
      </c>
      <c r="G2037" s="473" t="s">
        <v>4007</v>
      </c>
      <c r="H2037" s="439" t="s">
        <v>3417</v>
      </c>
      <c r="I2037" s="474" t="s">
        <v>3457</v>
      </c>
      <c r="J2037" s="474" t="s">
        <v>3464</v>
      </c>
      <c r="K2037" s="443" t="s">
        <v>3475</v>
      </c>
      <c r="L2037" s="471">
        <v>1</v>
      </c>
      <c r="M2037" s="447" t="s">
        <v>3660</v>
      </c>
      <c r="N2037" s="456">
        <v>85000</v>
      </c>
      <c r="O2037" s="475">
        <f t="shared" si="7"/>
        <v>85000</v>
      </c>
      <c r="P2037" s="476"/>
      <c r="Q2037" s="477">
        <v>46023</v>
      </c>
      <c r="R2037" s="476"/>
      <c r="S2037" s="476"/>
    </row>
    <row r="2038" spans="1:19" ht="15.75" customHeight="1" x14ac:dyDescent="0.25">
      <c r="A2038" s="438">
        <v>2035</v>
      </c>
      <c r="B2038" s="470" t="s">
        <v>17</v>
      </c>
      <c r="C2038" s="471" t="s">
        <v>18</v>
      </c>
      <c r="D2038" s="472" t="s">
        <v>19</v>
      </c>
      <c r="E2038" s="465" t="s">
        <v>4085</v>
      </c>
      <c r="F2038" s="448" t="s">
        <v>2982</v>
      </c>
      <c r="G2038" s="473" t="s">
        <v>4007</v>
      </c>
      <c r="H2038" s="439" t="s">
        <v>3417</v>
      </c>
      <c r="I2038" s="474" t="s">
        <v>3457</v>
      </c>
      <c r="J2038" s="474" t="s">
        <v>3464</v>
      </c>
      <c r="K2038" s="443" t="s">
        <v>3475</v>
      </c>
      <c r="L2038" s="471">
        <v>1</v>
      </c>
      <c r="M2038" s="447" t="s">
        <v>2743</v>
      </c>
      <c r="N2038" s="456">
        <v>85000</v>
      </c>
      <c r="O2038" s="475">
        <f t="shared" si="7"/>
        <v>85000</v>
      </c>
      <c r="P2038" s="476"/>
      <c r="Q2038" s="477">
        <v>46023</v>
      </c>
      <c r="R2038" s="476"/>
      <c r="S2038" s="476"/>
    </row>
    <row r="2039" spans="1:19" ht="15.75" customHeight="1" x14ac:dyDescent="0.25">
      <c r="A2039" s="438">
        <v>2036</v>
      </c>
      <c r="B2039" s="470" t="s">
        <v>17</v>
      </c>
      <c r="C2039" s="471" t="s">
        <v>18</v>
      </c>
      <c r="D2039" s="472" t="s">
        <v>19</v>
      </c>
      <c r="E2039" s="448" t="s">
        <v>4085</v>
      </c>
      <c r="F2039" s="448" t="s">
        <v>2982</v>
      </c>
      <c r="G2039" s="473" t="s">
        <v>4007</v>
      </c>
      <c r="H2039" s="439" t="s">
        <v>3417</v>
      </c>
      <c r="I2039" s="474" t="s">
        <v>3457</v>
      </c>
      <c r="J2039" s="474" t="s">
        <v>3464</v>
      </c>
      <c r="K2039" s="443" t="s">
        <v>3475</v>
      </c>
      <c r="L2039" s="471">
        <v>1</v>
      </c>
      <c r="M2039" s="447" t="s">
        <v>3661</v>
      </c>
      <c r="N2039" s="456">
        <v>97000</v>
      </c>
      <c r="O2039" s="475">
        <f t="shared" si="7"/>
        <v>97000</v>
      </c>
      <c r="P2039" s="476"/>
      <c r="Q2039" s="477">
        <v>46023</v>
      </c>
      <c r="R2039" s="476"/>
      <c r="S2039" s="476"/>
    </row>
    <row r="2040" spans="1:19" ht="15.75" customHeight="1" x14ac:dyDescent="0.25">
      <c r="A2040" s="438">
        <v>2037</v>
      </c>
      <c r="B2040" s="470" t="s">
        <v>17</v>
      </c>
      <c r="C2040" s="471" t="s">
        <v>18</v>
      </c>
      <c r="D2040" s="472" t="s">
        <v>19</v>
      </c>
      <c r="E2040" s="448" t="s">
        <v>4085</v>
      </c>
      <c r="F2040" s="448" t="s">
        <v>2982</v>
      </c>
      <c r="G2040" s="452" t="s">
        <v>4007</v>
      </c>
      <c r="H2040" s="441" t="s">
        <v>3417</v>
      </c>
      <c r="I2040" s="474" t="s">
        <v>3457</v>
      </c>
      <c r="J2040" s="474" t="s">
        <v>3464</v>
      </c>
      <c r="K2040" s="443" t="s">
        <v>3475</v>
      </c>
      <c r="L2040" s="471">
        <v>1</v>
      </c>
      <c r="M2040" s="452" t="s">
        <v>3662</v>
      </c>
      <c r="N2040" s="463">
        <v>120000</v>
      </c>
      <c r="O2040" s="475">
        <f t="shared" si="7"/>
        <v>120000</v>
      </c>
      <c r="P2040" s="476"/>
      <c r="Q2040" s="477">
        <v>46023</v>
      </c>
      <c r="R2040" s="476"/>
      <c r="S2040" s="476"/>
    </row>
    <row r="2041" spans="1:19" ht="15.75" customHeight="1" x14ac:dyDescent="0.25">
      <c r="A2041" s="438">
        <v>2038</v>
      </c>
      <c r="B2041" s="470" t="s">
        <v>17</v>
      </c>
      <c r="C2041" s="471" t="s">
        <v>18</v>
      </c>
      <c r="D2041" s="472" t="s">
        <v>19</v>
      </c>
      <c r="E2041" s="448" t="s">
        <v>4085</v>
      </c>
      <c r="F2041" s="448" t="s">
        <v>2982</v>
      </c>
      <c r="G2041" s="452" t="s">
        <v>4007</v>
      </c>
      <c r="H2041" s="441" t="s">
        <v>3417</v>
      </c>
      <c r="I2041" s="474" t="s">
        <v>3457</v>
      </c>
      <c r="J2041" s="474" t="s">
        <v>3464</v>
      </c>
      <c r="K2041" s="443" t="s">
        <v>3475</v>
      </c>
      <c r="L2041" s="471">
        <v>1</v>
      </c>
      <c r="M2041" s="452" t="s">
        <v>3663</v>
      </c>
      <c r="N2041" s="463">
        <v>40000</v>
      </c>
      <c r="O2041" s="475">
        <f t="shared" si="7"/>
        <v>40000</v>
      </c>
      <c r="P2041" s="476"/>
      <c r="Q2041" s="477">
        <v>46023</v>
      </c>
      <c r="R2041" s="476"/>
      <c r="S2041" s="476"/>
    </row>
    <row r="2042" spans="1:19" ht="15.75" customHeight="1" x14ac:dyDescent="0.25">
      <c r="A2042" s="438">
        <v>2039</v>
      </c>
      <c r="B2042" s="470" t="s">
        <v>17</v>
      </c>
      <c r="C2042" s="471" t="s">
        <v>18</v>
      </c>
      <c r="D2042" s="472" t="s">
        <v>19</v>
      </c>
      <c r="E2042" s="448" t="s">
        <v>4085</v>
      </c>
      <c r="F2042" s="448" t="s">
        <v>2982</v>
      </c>
      <c r="G2042" s="452" t="s">
        <v>4007</v>
      </c>
      <c r="H2042" s="441" t="s">
        <v>3417</v>
      </c>
      <c r="I2042" s="474" t="s">
        <v>3457</v>
      </c>
      <c r="J2042" s="474" t="s">
        <v>3464</v>
      </c>
      <c r="K2042" s="443" t="s">
        <v>3475</v>
      </c>
      <c r="L2042" s="471">
        <v>1</v>
      </c>
      <c r="M2042" s="452" t="s">
        <v>2903</v>
      </c>
      <c r="N2042" s="463">
        <v>70000</v>
      </c>
      <c r="O2042" s="475">
        <f t="shared" si="7"/>
        <v>70000</v>
      </c>
      <c r="P2042" s="476"/>
      <c r="Q2042" s="477">
        <v>46023</v>
      </c>
      <c r="R2042" s="476"/>
      <c r="S2042" s="476"/>
    </row>
    <row r="2043" spans="1:19" ht="15.75" customHeight="1" x14ac:dyDescent="0.25">
      <c r="A2043" s="438">
        <v>2040</v>
      </c>
      <c r="B2043" s="470" t="s">
        <v>17</v>
      </c>
      <c r="C2043" s="471" t="s">
        <v>18</v>
      </c>
      <c r="D2043" s="472" t="s">
        <v>19</v>
      </c>
      <c r="E2043" s="448" t="s">
        <v>4085</v>
      </c>
      <c r="F2043" s="448" t="s">
        <v>2982</v>
      </c>
      <c r="G2043" s="452" t="s">
        <v>4007</v>
      </c>
      <c r="H2043" s="441" t="s">
        <v>3417</v>
      </c>
      <c r="I2043" s="474" t="s">
        <v>3457</v>
      </c>
      <c r="J2043" s="474" t="s">
        <v>3464</v>
      </c>
      <c r="K2043" s="443" t="s">
        <v>3475</v>
      </c>
      <c r="L2043" s="471">
        <v>1</v>
      </c>
      <c r="M2043" s="452" t="s">
        <v>2418</v>
      </c>
      <c r="N2043" s="463">
        <v>63000</v>
      </c>
      <c r="O2043" s="475">
        <f t="shared" si="7"/>
        <v>63000</v>
      </c>
      <c r="P2043" s="476"/>
      <c r="Q2043" s="477">
        <v>46023</v>
      </c>
      <c r="R2043" s="476"/>
      <c r="S2043" s="476"/>
    </row>
    <row r="2044" spans="1:19" ht="15.75" customHeight="1" x14ac:dyDescent="0.25">
      <c r="A2044" s="438">
        <v>2041</v>
      </c>
      <c r="B2044" s="470" t="s">
        <v>17</v>
      </c>
      <c r="C2044" s="471" t="s">
        <v>18</v>
      </c>
      <c r="D2044" s="472" t="s">
        <v>19</v>
      </c>
      <c r="E2044" s="448" t="s">
        <v>4085</v>
      </c>
      <c r="F2044" s="448" t="s">
        <v>2982</v>
      </c>
      <c r="G2044" s="452" t="s">
        <v>4007</v>
      </c>
      <c r="H2044" s="441" t="s">
        <v>3417</v>
      </c>
      <c r="I2044" s="474" t="s">
        <v>3457</v>
      </c>
      <c r="J2044" s="474" t="s">
        <v>3464</v>
      </c>
      <c r="K2044" s="443" t="s">
        <v>3475</v>
      </c>
      <c r="L2044" s="471">
        <v>1</v>
      </c>
      <c r="M2044" s="452" t="s">
        <v>2419</v>
      </c>
      <c r="N2044" s="463">
        <v>63000</v>
      </c>
      <c r="O2044" s="475">
        <f t="shared" ref="O2044:O2245" si="8">N2044*L2044</f>
        <v>63000</v>
      </c>
      <c r="P2044" s="476"/>
      <c r="Q2044" s="477">
        <v>46023</v>
      </c>
      <c r="R2044" s="476"/>
      <c r="S2044" s="476"/>
    </row>
    <row r="2045" spans="1:19" ht="15.75" customHeight="1" x14ac:dyDescent="0.25">
      <c r="A2045" s="438">
        <v>2042</v>
      </c>
      <c r="B2045" s="470" t="s">
        <v>17</v>
      </c>
      <c r="C2045" s="471" t="s">
        <v>18</v>
      </c>
      <c r="D2045" s="472" t="s">
        <v>19</v>
      </c>
      <c r="E2045" s="448" t="s">
        <v>4085</v>
      </c>
      <c r="F2045" s="448" t="s">
        <v>2982</v>
      </c>
      <c r="G2045" s="452" t="s">
        <v>4007</v>
      </c>
      <c r="H2045" s="441" t="s">
        <v>3417</v>
      </c>
      <c r="I2045" s="474" t="s">
        <v>3457</v>
      </c>
      <c r="J2045" s="474" t="s">
        <v>3464</v>
      </c>
      <c r="K2045" s="443" t="s">
        <v>3475</v>
      </c>
      <c r="L2045" s="471">
        <v>1</v>
      </c>
      <c r="M2045" s="452" t="s">
        <v>2420</v>
      </c>
      <c r="N2045" s="463">
        <v>63000</v>
      </c>
      <c r="O2045" s="475">
        <f t="shared" si="8"/>
        <v>63000</v>
      </c>
      <c r="P2045" s="476"/>
      <c r="Q2045" s="477">
        <v>46023</v>
      </c>
      <c r="R2045" s="476"/>
      <c r="S2045" s="476"/>
    </row>
    <row r="2046" spans="1:19" ht="15.75" customHeight="1" x14ac:dyDescent="0.25">
      <c r="A2046" s="438">
        <v>2043</v>
      </c>
      <c r="B2046" s="470" t="s">
        <v>17</v>
      </c>
      <c r="C2046" s="471" t="s">
        <v>18</v>
      </c>
      <c r="D2046" s="472" t="s">
        <v>19</v>
      </c>
      <c r="E2046" s="448" t="s">
        <v>4085</v>
      </c>
      <c r="F2046" s="448" t="s">
        <v>2982</v>
      </c>
      <c r="G2046" s="452" t="s">
        <v>4007</v>
      </c>
      <c r="H2046" s="441" t="s">
        <v>3417</v>
      </c>
      <c r="I2046" s="474" t="s">
        <v>3457</v>
      </c>
      <c r="J2046" s="474" t="s">
        <v>3464</v>
      </c>
      <c r="K2046" s="443" t="s">
        <v>3475</v>
      </c>
      <c r="L2046" s="471">
        <v>1</v>
      </c>
      <c r="M2046" s="452" t="s">
        <v>2415</v>
      </c>
      <c r="N2046" s="463">
        <v>63000</v>
      </c>
      <c r="O2046" s="475">
        <f t="shared" si="8"/>
        <v>63000</v>
      </c>
      <c r="P2046" s="476"/>
      <c r="Q2046" s="477">
        <v>46023</v>
      </c>
      <c r="R2046" s="476"/>
      <c r="S2046" s="476"/>
    </row>
    <row r="2047" spans="1:19" ht="15.75" customHeight="1" x14ac:dyDescent="0.25">
      <c r="A2047" s="438">
        <v>2044</v>
      </c>
      <c r="B2047" s="470" t="s">
        <v>17</v>
      </c>
      <c r="C2047" s="471" t="s">
        <v>18</v>
      </c>
      <c r="D2047" s="472" t="s">
        <v>19</v>
      </c>
      <c r="E2047" s="448" t="s">
        <v>4085</v>
      </c>
      <c r="F2047" s="448" t="s">
        <v>2982</v>
      </c>
      <c r="G2047" s="452" t="s">
        <v>4007</v>
      </c>
      <c r="H2047" s="441" t="s">
        <v>3417</v>
      </c>
      <c r="I2047" s="474" t="s">
        <v>3457</v>
      </c>
      <c r="J2047" s="474" t="s">
        <v>3464</v>
      </c>
      <c r="K2047" s="443" t="s">
        <v>3475</v>
      </c>
      <c r="L2047" s="471">
        <v>1</v>
      </c>
      <c r="M2047" s="452" t="s">
        <v>2416</v>
      </c>
      <c r="N2047" s="463">
        <v>63000</v>
      </c>
      <c r="O2047" s="475">
        <f t="shared" si="8"/>
        <v>63000</v>
      </c>
      <c r="P2047" s="476"/>
      <c r="Q2047" s="477">
        <v>46023</v>
      </c>
      <c r="R2047" s="476"/>
      <c r="S2047" s="476"/>
    </row>
    <row r="2048" spans="1:19" ht="15.75" customHeight="1" x14ac:dyDescent="0.25">
      <c r="A2048" s="438">
        <v>2045</v>
      </c>
      <c r="B2048" s="470" t="s">
        <v>17</v>
      </c>
      <c r="C2048" s="471" t="s">
        <v>18</v>
      </c>
      <c r="D2048" s="472" t="s">
        <v>19</v>
      </c>
      <c r="E2048" s="448" t="s">
        <v>4085</v>
      </c>
      <c r="F2048" s="448" t="s">
        <v>2982</v>
      </c>
      <c r="G2048" s="452" t="s">
        <v>4007</v>
      </c>
      <c r="H2048" s="441" t="s">
        <v>3417</v>
      </c>
      <c r="I2048" s="474" t="s">
        <v>3457</v>
      </c>
      <c r="J2048" s="474" t="s">
        <v>3464</v>
      </c>
      <c r="K2048" s="443" t="s">
        <v>3475</v>
      </c>
      <c r="L2048" s="471">
        <v>1</v>
      </c>
      <c r="M2048" s="452" t="s">
        <v>2417</v>
      </c>
      <c r="N2048" s="463">
        <v>63000</v>
      </c>
      <c r="O2048" s="475">
        <f t="shared" si="8"/>
        <v>63000</v>
      </c>
      <c r="P2048" s="476"/>
      <c r="Q2048" s="477">
        <v>46023</v>
      </c>
      <c r="R2048" s="476"/>
      <c r="S2048" s="476"/>
    </row>
    <row r="2049" spans="1:19" ht="15.75" customHeight="1" x14ac:dyDescent="0.25">
      <c r="A2049" s="438">
        <v>2046</v>
      </c>
      <c r="B2049" s="470" t="s">
        <v>17</v>
      </c>
      <c r="C2049" s="471" t="s">
        <v>18</v>
      </c>
      <c r="D2049" s="472" t="s">
        <v>19</v>
      </c>
      <c r="E2049" s="448" t="s">
        <v>4085</v>
      </c>
      <c r="F2049" s="448" t="s">
        <v>2982</v>
      </c>
      <c r="G2049" s="452" t="s">
        <v>4007</v>
      </c>
      <c r="H2049" s="441" t="s">
        <v>3417</v>
      </c>
      <c r="I2049" s="474" t="s">
        <v>3457</v>
      </c>
      <c r="J2049" s="474" t="s">
        <v>3464</v>
      </c>
      <c r="K2049" s="443" t="s">
        <v>3475</v>
      </c>
      <c r="L2049" s="471">
        <v>1</v>
      </c>
      <c r="M2049" s="452" t="s">
        <v>3187</v>
      </c>
      <c r="N2049" s="463">
        <v>105000</v>
      </c>
      <c r="O2049" s="475">
        <f t="shared" si="8"/>
        <v>105000</v>
      </c>
      <c r="P2049" s="476"/>
      <c r="Q2049" s="477">
        <v>46023</v>
      </c>
      <c r="R2049" s="476"/>
      <c r="S2049" s="476"/>
    </row>
    <row r="2050" spans="1:19" ht="15.75" customHeight="1" x14ac:dyDescent="0.25">
      <c r="A2050" s="438">
        <v>2047</v>
      </c>
      <c r="B2050" s="470" t="s">
        <v>17</v>
      </c>
      <c r="C2050" s="471" t="s">
        <v>18</v>
      </c>
      <c r="D2050" s="472" t="s">
        <v>19</v>
      </c>
      <c r="E2050" s="448" t="s">
        <v>4085</v>
      </c>
      <c r="F2050" s="448" t="s">
        <v>2982</v>
      </c>
      <c r="G2050" s="452" t="s">
        <v>4007</v>
      </c>
      <c r="H2050" s="441" t="s">
        <v>3417</v>
      </c>
      <c r="I2050" s="474" t="s">
        <v>3457</v>
      </c>
      <c r="J2050" s="474" t="s">
        <v>3464</v>
      </c>
      <c r="K2050" s="443" t="s">
        <v>3475</v>
      </c>
      <c r="L2050" s="471">
        <v>1</v>
      </c>
      <c r="M2050" s="452" t="s">
        <v>3664</v>
      </c>
      <c r="N2050" s="463">
        <v>105000</v>
      </c>
      <c r="O2050" s="475">
        <f t="shared" si="8"/>
        <v>105000</v>
      </c>
      <c r="P2050" s="476"/>
      <c r="Q2050" s="477">
        <v>46023</v>
      </c>
      <c r="R2050" s="476"/>
      <c r="S2050" s="476"/>
    </row>
    <row r="2051" spans="1:19" ht="15.75" customHeight="1" x14ac:dyDescent="0.25">
      <c r="A2051" s="438">
        <v>2048</v>
      </c>
      <c r="B2051" s="470" t="s">
        <v>17</v>
      </c>
      <c r="C2051" s="471" t="s">
        <v>18</v>
      </c>
      <c r="D2051" s="472" t="s">
        <v>19</v>
      </c>
      <c r="E2051" s="448" t="s">
        <v>4085</v>
      </c>
      <c r="F2051" s="448" t="s">
        <v>2982</v>
      </c>
      <c r="G2051" s="452" t="s">
        <v>4007</v>
      </c>
      <c r="H2051" s="441" t="s">
        <v>3417</v>
      </c>
      <c r="I2051" s="474" t="s">
        <v>3457</v>
      </c>
      <c r="J2051" s="474" t="s">
        <v>3464</v>
      </c>
      <c r="K2051" s="443" t="s">
        <v>3475</v>
      </c>
      <c r="L2051" s="471">
        <v>1</v>
      </c>
      <c r="M2051" s="452" t="s">
        <v>3665</v>
      </c>
      <c r="N2051" s="463">
        <v>138000</v>
      </c>
      <c r="O2051" s="475">
        <f t="shared" si="8"/>
        <v>138000</v>
      </c>
      <c r="P2051" s="476"/>
      <c r="Q2051" s="477">
        <v>46023</v>
      </c>
      <c r="R2051" s="476"/>
      <c r="S2051" s="476"/>
    </row>
    <row r="2052" spans="1:19" ht="15.75" customHeight="1" x14ac:dyDescent="0.25">
      <c r="A2052" s="438">
        <v>2049</v>
      </c>
      <c r="B2052" s="470" t="s">
        <v>17</v>
      </c>
      <c r="C2052" s="471" t="s">
        <v>18</v>
      </c>
      <c r="D2052" s="472" t="s">
        <v>19</v>
      </c>
      <c r="E2052" s="448" t="s">
        <v>4085</v>
      </c>
      <c r="F2052" s="448" t="s">
        <v>2982</v>
      </c>
      <c r="G2052" s="452" t="s">
        <v>4007</v>
      </c>
      <c r="H2052" s="441" t="s">
        <v>3417</v>
      </c>
      <c r="I2052" s="474" t="s">
        <v>3457</v>
      </c>
      <c r="J2052" s="474" t="s">
        <v>3464</v>
      </c>
      <c r="K2052" s="443" t="s">
        <v>3475</v>
      </c>
      <c r="L2052" s="471">
        <v>1</v>
      </c>
      <c r="M2052" s="452" t="s">
        <v>3125</v>
      </c>
      <c r="N2052" s="463">
        <v>138000</v>
      </c>
      <c r="O2052" s="475">
        <f t="shared" si="8"/>
        <v>138000</v>
      </c>
      <c r="P2052" s="476"/>
      <c r="Q2052" s="477">
        <v>46023</v>
      </c>
      <c r="R2052" s="476"/>
      <c r="S2052" s="476"/>
    </row>
    <row r="2053" spans="1:19" ht="15.75" customHeight="1" x14ac:dyDescent="0.25">
      <c r="A2053" s="438">
        <v>2050</v>
      </c>
      <c r="B2053" s="470" t="s">
        <v>17</v>
      </c>
      <c r="C2053" s="471" t="s">
        <v>18</v>
      </c>
      <c r="D2053" s="472" t="s">
        <v>19</v>
      </c>
      <c r="E2053" s="448" t="s">
        <v>4085</v>
      </c>
      <c r="F2053" s="448" t="s">
        <v>2982</v>
      </c>
      <c r="G2053" s="452" t="s">
        <v>4007</v>
      </c>
      <c r="H2053" s="441" t="s">
        <v>3417</v>
      </c>
      <c r="I2053" s="474" t="s">
        <v>3457</v>
      </c>
      <c r="J2053" s="474" t="s">
        <v>3464</v>
      </c>
      <c r="K2053" s="443" t="s">
        <v>3475</v>
      </c>
      <c r="L2053" s="471">
        <v>1</v>
      </c>
      <c r="M2053" s="452" t="s">
        <v>3666</v>
      </c>
      <c r="N2053" s="463">
        <v>105000</v>
      </c>
      <c r="O2053" s="475">
        <f t="shared" si="8"/>
        <v>105000</v>
      </c>
      <c r="P2053" s="476"/>
      <c r="Q2053" s="477">
        <v>46023</v>
      </c>
      <c r="R2053" s="476"/>
      <c r="S2053" s="476"/>
    </row>
    <row r="2054" spans="1:19" ht="15.75" customHeight="1" x14ac:dyDescent="0.25">
      <c r="A2054" s="438">
        <v>2051</v>
      </c>
      <c r="B2054" s="470" t="s">
        <v>17</v>
      </c>
      <c r="C2054" s="471" t="s">
        <v>18</v>
      </c>
      <c r="D2054" s="472" t="s">
        <v>19</v>
      </c>
      <c r="E2054" s="448" t="s">
        <v>4085</v>
      </c>
      <c r="F2054" s="448" t="s">
        <v>2982</v>
      </c>
      <c r="G2054" s="452" t="s">
        <v>4007</v>
      </c>
      <c r="H2054" s="441" t="s">
        <v>3417</v>
      </c>
      <c r="I2054" s="474" t="s">
        <v>3457</v>
      </c>
      <c r="J2054" s="474" t="s">
        <v>3464</v>
      </c>
      <c r="K2054" s="443" t="s">
        <v>3475</v>
      </c>
      <c r="L2054" s="471">
        <v>1</v>
      </c>
      <c r="M2054" s="452" t="s">
        <v>3667</v>
      </c>
      <c r="N2054" s="463">
        <v>105000</v>
      </c>
      <c r="O2054" s="475">
        <f t="shared" si="8"/>
        <v>105000</v>
      </c>
      <c r="P2054" s="476"/>
      <c r="Q2054" s="477">
        <v>46023</v>
      </c>
      <c r="R2054" s="476"/>
      <c r="S2054" s="476"/>
    </row>
    <row r="2055" spans="1:19" ht="15.75" customHeight="1" x14ac:dyDescent="0.25">
      <c r="A2055" s="438">
        <v>2052</v>
      </c>
      <c r="B2055" s="470" t="s">
        <v>17</v>
      </c>
      <c r="C2055" s="471" t="s">
        <v>18</v>
      </c>
      <c r="D2055" s="472" t="s">
        <v>19</v>
      </c>
      <c r="E2055" s="448" t="s">
        <v>4085</v>
      </c>
      <c r="F2055" s="448" t="s">
        <v>2982</v>
      </c>
      <c r="G2055" s="452" t="s">
        <v>4007</v>
      </c>
      <c r="H2055" s="441" t="s">
        <v>3417</v>
      </c>
      <c r="I2055" s="474" t="s">
        <v>3457</v>
      </c>
      <c r="J2055" s="474" t="s">
        <v>3464</v>
      </c>
      <c r="K2055" s="443" t="s">
        <v>3475</v>
      </c>
      <c r="L2055" s="471">
        <v>1</v>
      </c>
      <c r="M2055" s="452" t="s">
        <v>3668</v>
      </c>
      <c r="N2055" s="463">
        <v>105000</v>
      </c>
      <c r="O2055" s="475">
        <f t="shared" si="8"/>
        <v>105000</v>
      </c>
      <c r="P2055" s="476"/>
      <c r="Q2055" s="477">
        <v>46023</v>
      </c>
      <c r="R2055" s="476"/>
      <c r="S2055" s="476"/>
    </row>
    <row r="2056" spans="1:19" ht="15.75" customHeight="1" x14ac:dyDescent="0.25">
      <c r="A2056" s="438">
        <v>2053</v>
      </c>
      <c r="B2056" s="470" t="s">
        <v>17</v>
      </c>
      <c r="C2056" s="471" t="s">
        <v>18</v>
      </c>
      <c r="D2056" s="472" t="s">
        <v>19</v>
      </c>
      <c r="E2056" s="448" t="s">
        <v>4085</v>
      </c>
      <c r="F2056" s="448" t="s">
        <v>2982</v>
      </c>
      <c r="G2056" s="452" t="s">
        <v>4007</v>
      </c>
      <c r="H2056" s="441" t="s">
        <v>3417</v>
      </c>
      <c r="I2056" s="474" t="s">
        <v>3457</v>
      </c>
      <c r="J2056" s="474" t="s">
        <v>3464</v>
      </c>
      <c r="K2056" s="443" t="s">
        <v>3475</v>
      </c>
      <c r="L2056" s="471">
        <v>1</v>
      </c>
      <c r="M2056" s="452" t="s">
        <v>2867</v>
      </c>
      <c r="N2056" s="463">
        <v>105000</v>
      </c>
      <c r="O2056" s="475">
        <f t="shared" si="8"/>
        <v>105000</v>
      </c>
      <c r="P2056" s="476"/>
      <c r="Q2056" s="477">
        <v>46023</v>
      </c>
      <c r="R2056" s="476"/>
      <c r="S2056" s="476"/>
    </row>
    <row r="2057" spans="1:19" ht="15.75" customHeight="1" x14ac:dyDescent="0.25">
      <c r="A2057" s="438">
        <v>2054</v>
      </c>
      <c r="B2057" s="470" t="s">
        <v>17</v>
      </c>
      <c r="C2057" s="471" t="s">
        <v>18</v>
      </c>
      <c r="D2057" s="472" t="s">
        <v>19</v>
      </c>
      <c r="E2057" s="448" t="s">
        <v>4085</v>
      </c>
      <c r="F2057" s="448" t="s">
        <v>2982</v>
      </c>
      <c r="G2057" s="452" t="s">
        <v>4007</v>
      </c>
      <c r="H2057" s="441" t="s">
        <v>3417</v>
      </c>
      <c r="I2057" s="474" t="s">
        <v>3457</v>
      </c>
      <c r="J2057" s="474" t="s">
        <v>3464</v>
      </c>
      <c r="K2057" s="443" t="s">
        <v>3475</v>
      </c>
      <c r="L2057" s="471">
        <v>1</v>
      </c>
      <c r="M2057" s="452" t="s">
        <v>3669</v>
      </c>
      <c r="N2057" s="463">
        <v>105000</v>
      </c>
      <c r="O2057" s="475">
        <f t="shared" si="8"/>
        <v>105000</v>
      </c>
      <c r="P2057" s="476"/>
      <c r="Q2057" s="477">
        <v>46023</v>
      </c>
      <c r="R2057" s="476"/>
      <c r="S2057" s="476"/>
    </row>
    <row r="2058" spans="1:19" ht="15.75" customHeight="1" x14ac:dyDescent="0.25">
      <c r="A2058" s="438">
        <v>2055</v>
      </c>
      <c r="B2058" s="470" t="s">
        <v>17</v>
      </c>
      <c r="C2058" s="471" t="s">
        <v>18</v>
      </c>
      <c r="D2058" s="472" t="s">
        <v>19</v>
      </c>
      <c r="E2058" s="448" t="s">
        <v>4085</v>
      </c>
      <c r="F2058" s="448" t="s">
        <v>2982</v>
      </c>
      <c r="G2058" s="452" t="s">
        <v>4007</v>
      </c>
      <c r="H2058" s="441" t="s">
        <v>3417</v>
      </c>
      <c r="I2058" s="474" t="s">
        <v>3457</v>
      </c>
      <c r="J2058" s="474" t="s">
        <v>3464</v>
      </c>
      <c r="K2058" s="443" t="s">
        <v>3475</v>
      </c>
      <c r="L2058" s="471">
        <v>1</v>
      </c>
      <c r="M2058" s="452" t="s">
        <v>3670</v>
      </c>
      <c r="N2058" s="463">
        <v>105000</v>
      </c>
      <c r="O2058" s="475">
        <f t="shared" si="8"/>
        <v>105000</v>
      </c>
      <c r="P2058" s="476"/>
      <c r="Q2058" s="477">
        <v>46023</v>
      </c>
      <c r="R2058" s="476"/>
      <c r="S2058" s="476"/>
    </row>
    <row r="2059" spans="1:19" ht="15.75" customHeight="1" x14ac:dyDescent="0.25">
      <c r="A2059" s="438">
        <v>2056</v>
      </c>
      <c r="B2059" s="470" t="s">
        <v>17</v>
      </c>
      <c r="C2059" s="471" t="s">
        <v>18</v>
      </c>
      <c r="D2059" s="472" t="s">
        <v>19</v>
      </c>
      <c r="E2059" s="448" t="s">
        <v>4085</v>
      </c>
      <c r="F2059" s="448" t="s">
        <v>2982</v>
      </c>
      <c r="G2059" s="452" t="s">
        <v>4007</v>
      </c>
      <c r="H2059" s="441" t="s">
        <v>3417</v>
      </c>
      <c r="I2059" s="474" t="s">
        <v>3457</v>
      </c>
      <c r="J2059" s="474" t="s">
        <v>3464</v>
      </c>
      <c r="K2059" s="443" t="s">
        <v>3475</v>
      </c>
      <c r="L2059" s="471">
        <v>1</v>
      </c>
      <c r="M2059" s="452" t="s">
        <v>3081</v>
      </c>
      <c r="N2059" s="463">
        <v>105000</v>
      </c>
      <c r="O2059" s="475">
        <f t="shared" si="8"/>
        <v>105000</v>
      </c>
      <c r="P2059" s="476"/>
      <c r="Q2059" s="477">
        <v>46023</v>
      </c>
      <c r="R2059" s="476"/>
      <c r="S2059" s="476"/>
    </row>
    <row r="2060" spans="1:19" ht="15.75" customHeight="1" x14ac:dyDescent="0.25">
      <c r="A2060" s="438">
        <v>2057</v>
      </c>
      <c r="B2060" s="470" t="s">
        <v>17</v>
      </c>
      <c r="C2060" s="471" t="s">
        <v>18</v>
      </c>
      <c r="D2060" s="472" t="s">
        <v>19</v>
      </c>
      <c r="E2060" s="448" t="s">
        <v>4085</v>
      </c>
      <c r="F2060" s="448" t="s">
        <v>2982</v>
      </c>
      <c r="G2060" s="452" t="s">
        <v>4007</v>
      </c>
      <c r="H2060" s="441" t="s">
        <v>3417</v>
      </c>
      <c r="I2060" s="474" t="s">
        <v>3457</v>
      </c>
      <c r="J2060" s="474" t="s">
        <v>3464</v>
      </c>
      <c r="K2060" s="443" t="s">
        <v>3475</v>
      </c>
      <c r="L2060" s="471">
        <v>1</v>
      </c>
      <c r="M2060" s="452" t="s">
        <v>3303</v>
      </c>
      <c r="N2060" s="463">
        <v>105000</v>
      </c>
      <c r="O2060" s="475">
        <f t="shared" si="8"/>
        <v>105000</v>
      </c>
      <c r="P2060" s="476"/>
      <c r="Q2060" s="477">
        <v>46023</v>
      </c>
      <c r="R2060" s="476"/>
      <c r="S2060" s="476"/>
    </row>
    <row r="2061" spans="1:19" ht="15.75" customHeight="1" x14ac:dyDescent="0.25">
      <c r="A2061" s="438">
        <v>2058</v>
      </c>
      <c r="B2061" s="470" t="s">
        <v>17</v>
      </c>
      <c r="C2061" s="471" t="s">
        <v>18</v>
      </c>
      <c r="D2061" s="472" t="s">
        <v>19</v>
      </c>
      <c r="E2061" s="448" t="s">
        <v>4085</v>
      </c>
      <c r="F2061" s="448" t="s">
        <v>2982</v>
      </c>
      <c r="G2061" s="452" t="s">
        <v>4007</v>
      </c>
      <c r="H2061" s="441" t="s">
        <v>3417</v>
      </c>
      <c r="I2061" s="474" t="s">
        <v>3457</v>
      </c>
      <c r="J2061" s="474" t="s">
        <v>3464</v>
      </c>
      <c r="K2061" s="443" t="s">
        <v>3475</v>
      </c>
      <c r="L2061" s="471">
        <v>1</v>
      </c>
      <c r="M2061" s="452" t="s">
        <v>3082</v>
      </c>
      <c r="N2061" s="463">
        <v>105000</v>
      </c>
      <c r="O2061" s="475">
        <f t="shared" si="8"/>
        <v>105000</v>
      </c>
      <c r="P2061" s="476"/>
      <c r="Q2061" s="477">
        <v>46023</v>
      </c>
      <c r="R2061" s="476"/>
      <c r="S2061" s="476"/>
    </row>
    <row r="2062" spans="1:19" ht="15.75" customHeight="1" x14ac:dyDescent="0.25">
      <c r="A2062" s="438">
        <v>2059</v>
      </c>
      <c r="B2062" s="470" t="s">
        <v>17</v>
      </c>
      <c r="C2062" s="471" t="s">
        <v>18</v>
      </c>
      <c r="D2062" s="472" t="s">
        <v>19</v>
      </c>
      <c r="E2062" s="448" t="s">
        <v>4085</v>
      </c>
      <c r="F2062" s="448" t="s">
        <v>2982</v>
      </c>
      <c r="G2062" s="452" t="s">
        <v>4007</v>
      </c>
      <c r="H2062" s="441" t="s">
        <v>3417</v>
      </c>
      <c r="I2062" s="474" t="s">
        <v>3457</v>
      </c>
      <c r="J2062" s="474" t="s">
        <v>3464</v>
      </c>
      <c r="K2062" s="443" t="s">
        <v>3475</v>
      </c>
      <c r="L2062" s="471">
        <v>1</v>
      </c>
      <c r="M2062" s="452" t="s">
        <v>3083</v>
      </c>
      <c r="N2062" s="463">
        <v>105000</v>
      </c>
      <c r="O2062" s="475">
        <f t="shared" si="8"/>
        <v>105000</v>
      </c>
      <c r="P2062" s="476"/>
      <c r="Q2062" s="477">
        <v>46023</v>
      </c>
      <c r="R2062" s="476"/>
      <c r="S2062" s="476"/>
    </row>
    <row r="2063" spans="1:19" ht="15.75" customHeight="1" x14ac:dyDescent="0.25">
      <c r="A2063" s="438">
        <v>2060</v>
      </c>
      <c r="B2063" s="470" t="s">
        <v>17</v>
      </c>
      <c r="C2063" s="471" t="s">
        <v>18</v>
      </c>
      <c r="D2063" s="472" t="s">
        <v>19</v>
      </c>
      <c r="E2063" s="448" t="s">
        <v>4085</v>
      </c>
      <c r="F2063" s="448" t="s">
        <v>2982</v>
      </c>
      <c r="G2063" s="452" t="s">
        <v>4007</v>
      </c>
      <c r="H2063" s="441" t="s">
        <v>3417</v>
      </c>
      <c r="I2063" s="474" t="s">
        <v>3457</v>
      </c>
      <c r="J2063" s="474" t="s">
        <v>3464</v>
      </c>
      <c r="K2063" s="443" t="s">
        <v>3475</v>
      </c>
      <c r="L2063" s="471">
        <v>1</v>
      </c>
      <c r="M2063" s="452" t="s">
        <v>3084</v>
      </c>
      <c r="N2063" s="463">
        <v>105000</v>
      </c>
      <c r="O2063" s="475">
        <f t="shared" si="8"/>
        <v>105000</v>
      </c>
      <c r="P2063" s="476"/>
      <c r="Q2063" s="477">
        <v>46023</v>
      </c>
      <c r="R2063" s="476"/>
      <c r="S2063" s="476"/>
    </row>
    <row r="2064" spans="1:19" ht="15.75" customHeight="1" x14ac:dyDescent="0.25">
      <c r="A2064" s="438">
        <v>2061</v>
      </c>
      <c r="B2064" s="470" t="s">
        <v>17</v>
      </c>
      <c r="C2064" s="471" t="s">
        <v>18</v>
      </c>
      <c r="D2064" s="472" t="s">
        <v>19</v>
      </c>
      <c r="E2064" s="448" t="s">
        <v>4083</v>
      </c>
      <c r="F2064" s="448" t="s">
        <v>4100</v>
      </c>
      <c r="G2064" s="452" t="s">
        <v>3066</v>
      </c>
      <c r="H2064" s="441" t="s">
        <v>3417</v>
      </c>
      <c r="I2064" s="474" t="s">
        <v>3457</v>
      </c>
      <c r="J2064" s="474" t="s">
        <v>3464</v>
      </c>
      <c r="K2064" s="443" t="s">
        <v>1524</v>
      </c>
      <c r="L2064" s="471">
        <v>1</v>
      </c>
      <c r="M2064" s="452" t="s">
        <v>2887</v>
      </c>
      <c r="N2064" s="463">
        <v>26000</v>
      </c>
      <c r="O2064" s="475">
        <f t="shared" si="8"/>
        <v>26000</v>
      </c>
      <c r="P2064" s="476"/>
      <c r="Q2064" s="477">
        <v>46023</v>
      </c>
      <c r="R2064" s="476"/>
      <c r="S2064" s="476"/>
    </row>
    <row r="2065" spans="1:19" ht="15.75" customHeight="1" x14ac:dyDescent="0.25">
      <c r="A2065" s="438">
        <v>2062</v>
      </c>
      <c r="B2065" s="470" t="s">
        <v>17</v>
      </c>
      <c r="C2065" s="471" t="s">
        <v>18</v>
      </c>
      <c r="D2065" s="472" t="s">
        <v>19</v>
      </c>
      <c r="E2065" s="448" t="s">
        <v>4083</v>
      </c>
      <c r="F2065" s="448" t="s">
        <v>4100</v>
      </c>
      <c r="G2065" s="452" t="s">
        <v>3066</v>
      </c>
      <c r="H2065" s="441" t="s">
        <v>3417</v>
      </c>
      <c r="I2065" s="474" t="s">
        <v>3457</v>
      </c>
      <c r="J2065" s="474" t="s">
        <v>3464</v>
      </c>
      <c r="K2065" s="443" t="s">
        <v>1524</v>
      </c>
      <c r="L2065" s="471">
        <v>1</v>
      </c>
      <c r="M2065" s="452" t="s">
        <v>2888</v>
      </c>
      <c r="N2065" s="463">
        <v>26000</v>
      </c>
      <c r="O2065" s="475">
        <f t="shared" si="8"/>
        <v>26000</v>
      </c>
      <c r="P2065" s="476"/>
      <c r="Q2065" s="477">
        <v>46023</v>
      </c>
      <c r="R2065" s="476"/>
      <c r="S2065" s="476"/>
    </row>
    <row r="2066" spans="1:19" ht="15.75" customHeight="1" x14ac:dyDescent="0.25">
      <c r="A2066" s="438">
        <v>2063</v>
      </c>
      <c r="B2066" s="470" t="s">
        <v>17</v>
      </c>
      <c r="C2066" s="471" t="s">
        <v>18</v>
      </c>
      <c r="D2066" s="472" t="s">
        <v>19</v>
      </c>
      <c r="E2066" s="448" t="s">
        <v>4083</v>
      </c>
      <c r="F2066" s="448" t="s">
        <v>4100</v>
      </c>
      <c r="G2066" s="452" t="s">
        <v>3066</v>
      </c>
      <c r="H2066" s="441" t="s">
        <v>3417</v>
      </c>
      <c r="I2066" s="474" t="s">
        <v>3457</v>
      </c>
      <c r="J2066" s="474" t="s">
        <v>3464</v>
      </c>
      <c r="K2066" s="443" t="s">
        <v>1524</v>
      </c>
      <c r="L2066" s="471">
        <v>1</v>
      </c>
      <c r="M2066" s="452" t="s">
        <v>2889</v>
      </c>
      <c r="N2066" s="463">
        <v>26000</v>
      </c>
      <c r="O2066" s="475">
        <f t="shared" si="8"/>
        <v>26000</v>
      </c>
      <c r="P2066" s="476"/>
      <c r="Q2066" s="477">
        <v>46023</v>
      </c>
      <c r="R2066" s="476"/>
      <c r="S2066" s="476"/>
    </row>
    <row r="2067" spans="1:19" ht="15.75" customHeight="1" x14ac:dyDescent="0.25">
      <c r="A2067" s="438">
        <v>2064</v>
      </c>
      <c r="B2067" s="470" t="s">
        <v>17</v>
      </c>
      <c r="C2067" s="471" t="s">
        <v>18</v>
      </c>
      <c r="D2067" s="472" t="s">
        <v>19</v>
      </c>
      <c r="E2067" s="448" t="s">
        <v>4083</v>
      </c>
      <c r="F2067" s="448" t="s">
        <v>4100</v>
      </c>
      <c r="G2067" s="452" t="s">
        <v>3066</v>
      </c>
      <c r="H2067" s="441" t="s">
        <v>3418</v>
      </c>
      <c r="I2067" s="474" t="s">
        <v>3457</v>
      </c>
      <c r="J2067" s="474" t="s">
        <v>3464</v>
      </c>
      <c r="K2067" s="443" t="s">
        <v>1524</v>
      </c>
      <c r="L2067" s="471">
        <v>1</v>
      </c>
      <c r="M2067" s="452" t="s">
        <v>3671</v>
      </c>
      <c r="N2067" s="463">
        <v>75000</v>
      </c>
      <c r="O2067" s="475">
        <f t="shared" si="8"/>
        <v>75000</v>
      </c>
      <c r="P2067" s="476"/>
      <c r="Q2067" s="477">
        <v>46023</v>
      </c>
      <c r="R2067" s="476"/>
      <c r="S2067" s="476"/>
    </row>
    <row r="2068" spans="1:19" ht="15.75" customHeight="1" x14ac:dyDescent="0.25">
      <c r="A2068" s="438">
        <v>2065</v>
      </c>
      <c r="B2068" s="470" t="s">
        <v>17</v>
      </c>
      <c r="C2068" s="471" t="s">
        <v>18</v>
      </c>
      <c r="D2068" s="472" t="s">
        <v>19</v>
      </c>
      <c r="E2068" s="448" t="s">
        <v>4083</v>
      </c>
      <c r="F2068" s="448" t="s">
        <v>4100</v>
      </c>
      <c r="G2068" s="452" t="s">
        <v>3066</v>
      </c>
      <c r="H2068" s="441" t="s">
        <v>3418</v>
      </c>
      <c r="I2068" s="474" t="s">
        <v>3457</v>
      </c>
      <c r="J2068" s="474" t="s">
        <v>3464</v>
      </c>
      <c r="K2068" s="443" t="s">
        <v>1524</v>
      </c>
      <c r="L2068" s="471">
        <v>1</v>
      </c>
      <c r="M2068" s="452" t="s">
        <v>3672</v>
      </c>
      <c r="N2068" s="463">
        <v>75000</v>
      </c>
      <c r="O2068" s="475">
        <f t="shared" si="8"/>
        <v>75000</v>
      </c>
      <c r="P2068" s="476"/>
      <c r="Q2068" s="477">
        <v>46023</v>
      </c>
      <c r="R2068" s="476"/>
      <c r="S2068" s="476"/>
    </row>
    <row r="2069" spans="1:19" ht="15.75" customHeight="1" x14ac:dyDescent="0.25">
      <c r="A2069" s="438">
        <v>2066</v>
      </c>
      <c r="B2069" s="470" t="s">
        <v>17</v>
      </c>
      <c r="C2069" s="471" t="s">
        <v>18</v>
      </c>
      <c r="D2069" s="472" t="s">
        <v>19</v>
      </c>
      <c r="E2069" s="448" t="s">
        <v>4083</v>
      </c>
      <c r="F2069" s="448" t="s">
        <v>4100</v>
      </c>
      <c r="G2069" s="452" t="s">
        <v>3066</v>
      </c>
      <c r="H2069" s="441" t="s">
        <v>1471</v>
      </c>
      <c r="I2069" s="474" t="s">
        <v>3457</v>
      </c>
      <c r="J2069" s="474" t="s">
        <v>3464</v>
      </c>
      <c r="K2069" s="443" t="s">
        <v>1524</v>
      </c>
      <c r="L2069" s="471">
        <v>1</v>
      </c>
      <c r="M2069" s="452" t="s">
        <v>3673</v>
      </c>
      <c r="N2069" s="463">
        <v>59000</v>
      </c>
      <c r="O2069" s="475">
        <f t="shared" si="8"/>
        <v>59000</v>
      </c>
      <c r="P2069" s="476"/>
      <c r="Q2069" s="477">
        <v>46023</v>
      </c>
      <c r="R2069" s="476"/>
      <c r="S2069" s="476"/>
    </row>
    <row r="2070" spans="1:19" ht="15.75" customHeight="1" x14ac:dyDescent="0.25">
      <c r="A2070" s="438">
        <v>2067</v>
      </c>
      <c r="B2070" s="470" t="s">
        <v>17</v>
      </c>
      <c r="C2070" s="471" t="s">
        <v>18</v>
      </c>
      <c r="D2070" s="472" t="s">
        <v>19</v>
      </c>
      <c r="E2070" s="448" t="s">
        <v>4080</v>
      </c>
      <c r="F2070" s="448" t="s">
        <v>4080</v>
      </c>
      <c r="G2070" s="452" t="s">
        <v>4008</v>
      </c>
      <c r="H2070" s="441" t="s">
        <v>1471</v>
      </c>
      <c r="I2070" s="474" t="s">
        <v>3457</v>
      </c>
      <c r="J2070" s="474" t="s">
        <v>3464</v>
      </c>
      <c r="K2070" s="443" t="s">
        <v>1449</v>
      </c>
      <c r="L2070" s="471">
        <v>1</v>
      </c>
      <c r="M2070" s="452" t="s">
        <v>2994</v>
      </c>
      <c r="N2070" s="463">
        <v>60000</v>
      </c>
      <c r="O2070" s="475">
        <f t="shared" si="8"/>
        <v>60000</v>
      </c>
      <c r="P2070" s="476"/>
      <c r="Q2070" s="477">
        <v>46023</v>
      </c>
      <c r="R2070" s="476"/>
      <c r="S2070" s="476"/>
    </row>
    <row r="2071" spans="1:19" ht="15.75" customHeight="1" x14ac:dyDescent="0.25">
      <c r="A2071" s="438">
        <v>2068</v>
      </c>
      <c r="B2071" s="470" t="s">
        <v>17</v>
      </c>
      <c r="C2071" s="471" t="s">
        <v>18</v>
      </c>
      <c r="D2071" s="472" t="s">
        <v>19</v>
      </c>
      <c r="E2071" s="448" t="s">
        <v>4080</v>
      </c>
      <c r="F2071" s="448" t="s">
        <v>4080</v>
      </c>
      <c r="G2071" s="452" t="s">
        <v>4008</v>
      </c>
      <c r="H2071" s="441" t="s">
        <v>1471</v>
      </c>
      <c r="I2071" s="474" t="s">
        <v>3457</v>
      </c>
      <c r="J2071" s="474" t="s">
        <v>3464</v>
      </c>
      <c r="K2071" s="443" t="s">
        <v>1449</v>
      </c>
      <c r="L2071" s="471">
        <v>1</v>
      </c>
      <c r="M2071" s="452" t="s">
        <v>3674</v>
      </c>
      <c r="N2071" s="463">
        <v>59800</v>
      </c>
      <c r="O2071" s="475">
        <f t="shared" si="8"/>
        <v>59800</v>
      </c>
      <c r="P2071" s="476"/>
      <c r="Q2071" s="477">
        <v>46023</v>
      </c>
      <c r="R2071" s="476"/>
      <c r="S2071" s="476"/>
    </row>
    <row r="2072" spans="1:19" ht="15.75" customHeight="1" x14ac:dyDescent="0.25">
      <c r="A2072" s="438">
        <v>2069</v>
      </c>
      <c r="B2072" s="470" t="s">
        <v>17</v>
      </c>
      <c r="C2072" s="471" t="s">
        <v>18</v>
      </c>
      <c r="D2072" s="472" t="s">
        <v>19</v>
      </c>
      <c r="E2072" s="448" t="s">
        <v>4080</v>
      </c>
      <c r="F2072" s="448" t="s">
        <v>4080</v>
      </c>
      <c r="G2072" s="452" t="s">
        <v>4008</v>
      </c>
      <c r="H2072" s="441" t="s">
        <v>1471</v>
      </c>
      <c r="I2072" s="474" t="s">
        <v>3457</v>
      </c>
      <c r="J2072" s="474" t="s">
        <v>3464</v>
      </c>
      <c r="K2072" s="443" t="s">
        <v>1449</v>
      </c>
      <c r="L2072" s="471">
        <v>1</v>
      </c>
      <c r="M2072" s="452" t="s">
        <v>3675</v>
      </c>
      <c r="N2072" s="463">
        <v>59800</v>
      </c>
      <c r="O2072" s="475">
        <f t="shared" si="8"/>
        <v>59800</v>
      </c>
      <c r="P2072" s="476"/>
      <c r="Q2072" s="477">
        <v>46023</v>
      </c>
      <c r="R2072" s="476"/>
      <c r="S2072" s="476"/>
    </row>
    <row r="2073" spans="1:19" ht="15.75" customHeight="1" x14ac:dyDescent="0.25">
      <c r="A2073" s="438">
        <v>2070</v>
      </c>
      <c r="B2073" s="470" t="s">
        <v>17</v>
      </c>
      <c r="C2073" s="471" t="s">
        <v>18</v>
      </c>
      <c r="D2073" s="472" t="s">
        <v>19</v>
      </c>
      <c r="E2073" s="448" t="s">
        <v>4083</v>
      </c>
      <c r="F2073" s="448" t="s">
        <v>4100</v>
      </c>
      <c r="G2073" s="452" t="s">
        <v>3066</v>
      </c>
      <c r="H2073" s="441" t="s">
        <v>3417</v>
      </c>
      <c r="I2073" s="474" t="s">
        <v>3457</v>
      </c>
      <c r="J2073" s="474" t="s">
        <v>3464</v>
      </c>
      <c r="K2073" s="443" t="s">
        <v>1524</v>
      </c>
      <c r="L2073" s="471">
        <v>1</v>
      </c>
      <c r="M2073" s="452" t="s">
        <v>2880</v>
      </c>
      <c r="N2073" s="463">
        <v>26000</v>
      </c>
      <c r="O2073" s="475">
        <f t="shared" si="8"/>
        <v>26000</v>
      </c>
      <c r="P2073" s="476"/>
      <c r="Q2073" s="477">
        <v>46023</v>
      </c>
      <c r="R2073" s="476"/>
      <c r="S2073" s="476"/>
    </row>
    <row r="2074" spans="1:19" ht="15.75" customHeight="1" x14ac:dyDescent="0.25">
      <c r="A2074" s="438">
        <v>2071</v>
      </c>
      <c r="B2074" s="470" t="s">
        <v>17</v>
      </c>
      <c r="C2074" s="471" t="s">
        <v>18</v>
      </c>
      <c r="D2074" s="472" t="s">
        <v>19</v>
      </c>
      <c r="E2074" s="448" t="s">
        <v>4083</v>
      </c>
      <c r="F2074" s="448" t="s">
        <v>4100</v>
      </c>
      <c r="G2074" s="452" t="s">
        <v>3066</v>
      </c>
      <c r="H2074" s="441" t="s">
        <v>3417</v>
      </c>
      <c r="I2074" s="474" t="s">
        <v>3457</v>
      </c>
      <c r="J2074" s="474" t="s">
        <v>3464</v>
      </c>
      <c r="K2074" s="443" t="s">
        <v>1524</v>
      </c>
      <c r="L2074" s="471">
        <v>1</v>
      </c>
      <c r="M2074" s="452" t="s">
        <v>2881</v>
      </c>
      <c r="N2074" s="463">
        <v>26000</v>
      </c>
      <c r="O2074" s="475">
        <f t="shared" si="8"/>
        <v>26000</v>
      </c>
      <c r="P2074" s="476"/>
      <c r="Q2074" s="477">
        <v>46023</v>
      </c>
      <c r="R2074" s="476"/>
      <c r="S2074" s="476"/>
    </row>
    <row r="2075" spans="1:19" ht="15.75" customHeight="1" x14ac:dyDescent="0.25">
      <c r="A2075" s="438">
        <v>2072</v>
      </c>
      <c r="B2075" s="470" t="s">
        <v>17</v>
      </c>
      <c r="C2075" s="471" t="s">
        <v>18</v>
      </c>
      <c r="D2075" s="472" t="s">
        <v>19</v>
      </c>
      <c r="E2075" s="448" t="s">
        <v>4083</v>
      </c>
      <c r="F2075" s="448" t="s">
        <v>2988</v>
      </c>
      <c r="G2075" s="452" t="s">
        <v>3066</v>
      </c>
      <c r="H2075" s="441" t="s">
        <v>3417</v>
      </c>
      <c r="I2075" s="474" t="s">
        <v>3457</v>
      </c>
      <c r="J2075" s="474" t="s">
        <v>3464</v>
      </c>
      <c r="K2075" s="443" t="s">
        <v>1524</v>
      </c>
      <c r="L2075" s="471">
        <v>1</v>
      </c>
      <c r="M2075" s="452" t="s">
        <v>3676</v>
      </c>
      <c r="N2075" s="463">
        <v>56800</v>
      </c>
      <c r="O2075" s="475">
        <f t="shared" si="8"/>
        <v>56800</v>
      </c>
      <c r="P2075" s="476"/>
      <c r="Q2075" s="477">
        <v>46023</v>
      </c>
      <c r="R2075" s="476"/>
      <c r="S2075" s="476"/>
    </row>
    <row r="2076" spans="1:19" ht="15.75" customHeight="1" x14ac:dyDescent="0.25">
      <c r="A2076" s="438">
        <v>2073</v>
      </c>
      <c r="B2076" s="470" t="s">
        <v>17</v>
      </c>
      <c r="C2076" s="471" t="s">
        <v>18</v>
      </c>
      <c r="D2076" s="472" t="s">
        <v>19</v>
      </c>
      <c r="E2076" s="448" t="s">
        <v>4083</v>
      </c>
      <c r="F2076" s="448" t="s">
        <v>4100</v>
      </c>
      <c r="G2076" s="452" t="s">
        <v>3066</v>
      </c>
      <c r="H2076" s="441" t="s">
        <v>3417</v>
      </c>
      <c r="I2076" s="474" t="s">
        <v>3457</v>
      </c>
      <c r="J2076" s="474" t="s">
        <v>3464</v>
      </c>
      <c r="K2076" s="443" t="s">
        <v>1524</v>
      </c>
      <c r="L2076" s="471">
        <v>1</v>
      </c>
      <c r="M2076" s="452" t="s">
        <v>2421</v>
      </c>
      <c r="N2076" s="463">
        <v>125000</v>
      </c>
      <c r="O2076" s="475">
        <f t="shared" si="8"/>
        <v>125000</v>
      </c>
      <c r="P2076" s="476"/>
      <c r="Q2076" s="477">
        <v>46023</v>
      </c>
      <c r="R2076" s="476"/>
      <c r="S2076" s="476"/>
    </row>
    <row r="2077" spans="1:19" ht="15.75" customHeight="1" x14ac:dyDescent="0.25">
      <c r="A2077" s="438">
        <v>2074</v>
      </c>
      <c r="B2077" s="470" t="s">
        <v>17</v>
      </c>
      <c r="C2077" s="471" t="s">
        <v>18</v>
      </c>
      <c r="D2077" s="472" t="s">
        <v>19</v>
      </c>
      <c r="E2077" s="448" t="s">
        <v>4083</v>
      </c>
      <c r="F2077" s="448" t="s">
        <v>2988</v>
      </c>
      <c r="G2077" s="452" t="s">
        <v>3066</v>
      </c>
      <c r="H2077" s="441" t="s">
        <v>3417</v>
      </c>
      <c r="I2077" s="474" t="s">
        <v>3457</v>
      </c>
      <c r="J2077" s="474" t="s">
        <v>3464</v>
      </c>
      <c r="K2077" s="443" t="s">
        <v>1524</v>
      </c>
      <c r="L2077" s="471">
        <v>1</v>
      </c>
      <c r="M2077" s="452" t="s">
        <v>2705</v>
      </c>
      <c r="N2077" s="463">
        <v>137000</v>
      </c>
      <c r="O2077" s="475">
        <f t="shared" si="8"/>
        <v>137000</v>
      </c>
      <c r="P2077" s="476"/>
      <c r="Q2077" s="477">
        <v>46023</v>
      </c>
      <c r="R2077" s="476"/>
      <c r="S2077" s="476"/>
    </row>
    <row r="2078" spans="1:19" ht="15.75" customHeight="1" x14ac:dyDescent="0.25">
      <c r="A2078" s="438">
        <v>2075</v>
      </c>
      <c r="B2078" s="479" t="s">
        <v>17</v>
      </c>
      <c r="C2078" s="471" t="s">
        <v>18</v>
      </c>
      <c r="D2078" s="480" t="s">
        <v>2301</v>
      </c>
      <c r="E2078" s="448" t="s">
        <v>4083</v>
      </c>
      <c r="F2078" s="448" t="s">
        <v>4100</v>
      </c>
      <c r="G2078" s="452" t="s">
        <v>3066</v>
      </c>
      <c r="H2078" s="441" t="s">
        <v>3417</v>
      </c>
      <c r="I2078" s="474" t="s">
        <v>3457</v>
      </c>
      <c r="J2078" s="474" t="s">
        <v>3464</v>
      </c>
      <c r="K2078" s="443" t="s">
        <v>1524</v>
      </c>
      <c r="L2078" s="471">
        <v>1</v>
      </c>
      <c r="M2078" s="452" t="s">
        <v>2882</v>
      </c>
      <c r="N2078" s="463">
        <v>26000</v>
      </c>
      <c r="O2078" s="481">
        <f t="shared" si="8"/>
        <v>26000</v>
      </c>
      <c r="P2078" s="482"/>
      <c r="Q2078" s="477">
        <v>46023</v>
      </c>
      <c r="R2078" s="483"/>
      <c r="S2078" s="484"/>
    </row>
    <row r="2079" spans="1:19" ht="15.75" customHeight="1" x14ac:dyDescent="0.25">
      <c r="A2079" s="438">
        <v>2076</v>
      </c>
      <c r="B2079" s="479" t="s">
        <v>17</v>
      </c>
      <c r="C2079" s="471" t="s">
        <v>18</v>
      </c>
      <c r="D2079" s="480" t="s">
        <v>2301</v>
      </c>
      <c r="E2079" s="448" t="s">
        <v>4085</v>
      </c>
      <c r="F2079" s="448" t="s">
        <v>2982</v>
      </c>
      <c r="G2079" s="452" t="s">
        <v>4007</v>
      </c>
      <c r="H2079" s="441" t="s">
        <v>3417</v>
      </c>
      <c r="I2079" s="474" t="s">
        <v>3457</v>
      </c>
      <c r="J2079" s="474" t="s">
        <v>3464</v>
      </c>
      <c r="K2079" s="443" t="s">
        <v>3475</v>
      </c>
      <c r="L2079" s="471">
        <v>1</v>
      </c>
      <c r="M2079" s="452" t="s">
        <v>3677</v>
      </c>
      <c r="N2079" s="463">
        <v>100000</v>
      </c>
      <c r="O2079" s="481">
        <f t="shared" si="8"/>
        <v>100000</v>
      </c>
      <c r="P2079" s="482"/>
      <c r="Q2079" s="477">
        <v>46023</v>
      </c>
      <c r="R2079" s="483"/>
      <c r="S2079" s="484"/>
    </row>
    <row r="2080" spans="1:19" ht="15.75" customHeight="1" x14ac:dyDescent="0.25">
      <c r="A2080" s="438">
        <v>2077</v>
      </c>
      <c r="B2080" s="479" t="s">
        <v>17</v>
      </c>
      <c r="C2080" s="471" t="s">
        <v>18</v>
      </c>
      <c r="D2080" s="480" t="s">
        <v>2301</v>
      </c>
      <c r="E2080" s="448" t="s">
        <v>4085</v>
      </c>
      <c r="F2080" s="448" t="s">
        <v>2982</v>
      </c>
      <c r="G2080" s="452" t="s">
        <v>4007</v>
      </c>
      <c r="H2080" s="441" t="s">
        <v>3417</v>
      </c>
      <c r="I2080" s="474" t="s">
        <v>3457</v>
      </c>
      <c r="J2080" s="474" t="s">
        <v>3464</v>
      </c>
      <c r="K2080" s="443" t="s">
        <v>3475</v>
      </c>
      <c r="L2080" s="471">
        <v>1</v>
      </c>
      <c r="M2080" s="452" t="s">
        <v>2680</v>
      </c>
      <c r="N2080" s="463">
        <v>85000</v>
      </c>
      <c r="O2080" s="481">
        <f t="shared" si="8"/>
        <v>85000</v>
      </c>
      <c r="P2080" s="482"/>
      <c r="Q2080" s="477">
        <v>46023</v>
      </c>
      <c r="R2080" s="483"/>
      <c r="S2080" s="484"/>
    </row>
    <row r="2081" spans="1:19" ht="15.75" customHeight="1" x14ac:dyDescent="0.25">
      <c r="A2081" s="438">
        <v>2078</v>
      </c>
      <c r="B2081" s="479" t="s">
        <v>17</v>
      </c>
      <c r="C2081" s="471" t="s">
        <v>18</v>
      </c>
      <c r="D2081" s="480" t="s">
        <v>2301</v>
      </c>
      <c r="E2081" s="448" t="s">
        <v>4088</v>
      </c>
      <c r="F2081" s="448" t="s">
        <v>3025</v>
      </c>
      <c r="G2081" s="452" t="s">
        <v>3404</v>
      </c>
      <c r="H2081" s="441" t="s">
        <v>2452</v>
      </c>
      <c r="I2081" s="474" t="s">
        <v>3459</v>
      </c>
      <c r="J2081" s="474" t="s">
        <v>3464</v>
      </c>
      <c r="K2081" s="443" t="s">
        <v>225</v>
      </c>
      <c r="L2081" s="471">
        <v>1</v>
      </c>
      <c r="M2081" s="452" t="s">
        <v>2398</v>
      </c>
      <c r="N2081" s="463">
        <v>14300</v>
      </c>
      <c r="O2081" s="481">
        <f t="shared" si="8"/>
        <v>14300</v>
      </c>
      <c r="P2081" s="482"/>
      <c r="Q2081" s="477">
        <v>46023</v>
      </c>
      <c r="R2081" s="483"/>
      <c r="S2081" s="484"/>
    </row>
    <row r="2082" spans="1:19" ht="15.75" customHeight="1" x14ac:dyDescent="0.25">
      <c r="A2082" s="438">
        <v>2079</v>
      </c>
      <c r="B2082" s="479" t="s">
        <v>17</v>
      </c>
      <c r="C2082" s="471" t="s">
        <v>18</v>
      </c>
      <c r="D2082" s="480" t="s">
        <v>2301</v>
      </c>
      <c r="E2082" s="448" t="s">
        <v>4088</v>
      </c>
      <c r="F2082" s="448" t="s">
        <v>4104</v>
      </c>
      <c r="G2082" s="452" t="s">
        <v>3065</v>
      </c>
      <c r="H2082" s="441" t="s">
        <v>2349</v>
      </c>
      <c r="I2082" s="474" t="s">
        <v>3459</v>
      </c>
      <c r="J2082" s="474" t="s">
        <v>3464</v>
      </c>
      <c r="K2082" s="443" t="s">
        <v>349</v>
      </c>
      <c r="L2082" s="471">
        <v>1</v>
      </c>
      <c r="M2082" s="452" t="s">
        <v>2402</v>
      </c>
      <c r="N2082" s="463">
        <v>5066</v>
      </c>
      <c r="O2082" s="481">
        <f t="shared" si="8"/>
        <v>5066</v>
      </c>
      <c r="P2082" s="482"/>
      <c r="Q2082" s="477">
        <v>46023</v>
      </c>
      <c r="R2082" s="483"/>
      <c r="S2082" s="484"/>
    </row>
    <row r="2083" spans="1:19" ht="15.75" customHeight="1" x14ac:dyDescent="0.25">
      <c r="A2083" s="438">
        <v>2080</v>
      </c>
      <c r="B2083" s="479" t="s">
        <v>17</v>
      </c>
      <c r="C2083" s="471" t="s">
        <v>18</v>
      </c>
      <c r="D2083" s="480" t="s">
        <v>2301</v>
      </c>
      <c r="E2083" s="448" t="s">
        <v>4091</v>
      </c>
      <c r="F2083" s="448" t="s">
        <v>4114</v>
      </c>
      <c r="G2083" s="452" t="s">
        <v>3065</v>
      </c>
      <c r="H2083" s="441" t="s">
        <v>2349</v>
      </c>
      <c r="I2083" s="474" t="s">
        <v>3459</v>
      </c>
      <c r="J2083" s="474" t="s">
        <v>3464</v>
      </c>
      <c r="K2083" s="443" t="s">
        <v>349</v>
      </c>
      <c r="L2083" s="471">
        <v>1</v>
      </c>
      <c r="M2083" s="452" t="s">
        <v>2403</v>
      </c>
      <c r="N2083" s="463">
        <v>5066</v>
      </c>
      <c r="O2083" s="481">
        <f t="shared" si="8"/>
        <v>5066</v>
      </c>
      <c r="P2083" s="482"/>
      <c r="Q2083" s="477">
        <v>46023</v>
      </c>
      <c r="R2083" s="483"/>
      <c r="S2083" s="484"/>
    </row>
    <row r="2084" spans="1:19" ht="15.75" customHeight="1" x14ac:dyDescent="0.25">
      <c r="A2084" s="438">
        <v>2081</v>
      </c>
      <c r="B2084" s="479" t="s">
        <v>17</v>
      </c>
      <c r="C2084" s="471" t="s">
        <v>18</v>
      </c>
      <c r="D2084" s="480" t="s">
        <v>2301</v>
      </c>
      <c r="E2084" s="448" t="s">
        <v>4080</v>
      </c>
      <c r="F2084" s="448" t="s">
        <v>4080</v>
      </c>
      <c r="G2084" s="452" t="s">
        <v>3065</v>
      </c>
      <c r="H2084" s="441" t="s">
        <v>2349</v>
      </c>
      <c r="I2084" s="474" t="s">
        <v>3459</v>
      </c>
      <c r="J2084" s="474" t="s">
        <v>3464</v>
      </c>
      <c r="K2084" s="443" t="s">
        <v>349</v>
      </c>
      <c r="L2084" s="471">
        <v>1</v>
      </c>
      <c r="M2084" s="452" t="s">
        <v>2404</v>
      </c>
      <c r="N2084" s="463">
        <v>5066</v>
      </c>
      <c r="O2084" s="481">
        <f t="shared" si="8"/>
        <v>5066</v>
      </c>
      <c r="P2084" s="479"/>
      <c r="Q2084" s="477">
        <v>46023</v>
      </c>
      <c r="R2084" s="485"/>
      <c r="S2084" s="484"/>
    </row>
    <row r="2085" spans="1:19" ht="15.75" customHeight="1" x14ac:dyDescent="0.25">
      <c r="A2085" s="438">
        <v>2082</v>
      </c>
      <c r="B2085" s="479" t="s">
        <v>17</v>
      </c>
      <c r="C2085" s="471" t="s">
        <v>18</v>
      </c>
      <c r="D2085" s="480" t="s">
        <v>2301</v>
      </c>
      <c r="E2085" s="448" t="s">
        <v>4086</v>
      </c>
      <c r="F2085" s="448" t="s">
        <v>4125</v>
      </c>
      <c r="G2085" s="452" t="s">
        <v>3065</v>
      </c>
      <c r="H2085" s="441" t="s">
        <v>2349</v>
      </c>
      <c r="I2085" s="474" t="s">
        <v>3459</v>
      </c>
      <c r="J2085" s="474" t="s">
        <v>3464</v>
      </c>
      <c r="K2085" s="443" t="s">
        <v>349</v>
      </c>
      <c r="L2085" s="471">
        <v>1</v>
      </c>
      <c r="M2085" s="452" t="s">
        <v>3678</v>
      </c>
      <c r="N2085" s="463">
        <v>5066</v>
      </c>
      <c r="O2085" s="481">
        <f t="shared" si="8"/>
        <v>5066</v>
      </c>
      <c r="P2085" s="479"/>
      <c r="Q2085" s="477">
        <v>46023</v>
      </c>
      <c r="R2085" s="485"/>
      <c r="S2085" s="484"/>
    </row>
    <row r="2086" spans="1:19" ht="15.75" customHeight="1" x14ac:dyDescent="0.25">
      <c r="A2086" s="438">
        <v>2083</v>
      </c>
      <c r="B2086" s="479" t="s">
        <v>17</v>
      </c>
      <c r="C2086" s="471" t="s">
        <v>18</v>
      </c>
      <c r="D2086" s="480" t="s">
        <v>2301</v>
      </c>
      <c r="E2086" s="448" t="s">
        <v>4091</v>
      </c>
      <c r="F2086" s="448" t="s">
        <v>4115</v>
      </c>
      <c r="G2086" s="452" t="s">
        <v>3058</v>
      </c>
      <c r="H2086" s="441" t="s">
        <v>896</v>
      </c>
      <c r="I2086" s="474" t="s">
        <v>3459</v>
      </c>
      <c r="J2086" s="474" t="s">
        <v>3464</v>
      </c>
      <c r="K2086" s="443" t="s">
        <v>729</v>
      </c>
      <c r="L2086" s="471">
        <v>1</v>
      </c>
      <c r="M2086" s="452" t="s">
        <v>2911</v>
      </c>
      <c r="N2086" s="463">
        <v>16000</v>
      </c>
      <c r="O2086" s="481">
        <f t="shared" si="8"/>
        <v>16000</v>
      </c>
      <c r="P2086" s="479"/>
      <c r="Q2086" s="477">
        <v>46023</v>
      </c>
      <c r="R2086" s="485"/>
      <c r="S2086" s="484"/>
    </row>
    <row r="2087" spans="1:19" ht="15.75" customHeight="1" x14ac:dyDescent="0.25">
      <c r="A2087" s="438">
        <v>2084</v>
      </c>
      <c r="B2087" s="479" t="s">
        <v>17</v>
      </c>
      <c r="C2087" s="471" t="s">
        <v>18</v>
      </c>
      <c r="D2087" s="480" t="s">
        <v>2301</v>
      </c>
      <c r="E2087" s="448" t="s">
        <v>4086</v>
      </c>
      <c r="F2087" s="448" t="s">
        <v>4112</v>
      </c>
      <c r="G2087" s="452" t="s">
        <v>3058</v>
      </c>
      <c r="H2087" s="441" t="s">
        <v>896</v>
      </c>
      <c r="I2087" s="474" t="s">
        <v>3459</v>
      </c>
      <c r="J2087" s="474" t="s">
        <v>3464</v>
      </c>
      <c r="K2087" s="443" t="s">
        <v>729</v>
      </c>
      <c r="L2087" s="471">
        <v>1</v>
      </c>
      <c r="M2087" s="452" t="s">
        <v>2741</v>
      </c>
      <c r="N2087" s="463">
        <v>16000</v>
      </c>
      <c r="O2087" s="481">
        <f t="shared" si="8"/>
        <v>16000</v>
      </c>
      <c r="P2087" s="479"/>
      <c r="Q2087" s="477">
        <v>46023</v>
      </c>
      <c r="R2087" s="485"/>
      <c r="S2087" s="484"/>
    </row>
    <row r="2088" spans="1:19" ht="15.75" customHeight="1" x14ac:dyDescent="0.25">
      <c r="A2088" s="438">
        <v>2085</v>
      </c>
      <c r="B2088" s="479" t="s">
        <v>17</v>
      </c>
      <c r="C2088" s="471" t="s">
        <v>18</v>
      </c>
      <c r="D2088" s="480" t="s">
        <v>2301</v>
      </c>
      <c r="E2088" s="448" t="s">
        <v>4086</v>
      </c>
      <c r="F2088" s="448" t="s">
        <v>4120</v>
      </c>
      <c r="G2088" s="452" t="s">
        <v>3058</v>
      </c>
      <c r="H2088" s="441" t="s">
        <v>896</v>
      </c>
      <c r="I2088" s="474" t="s">
        <v>3459</v>
      </c>
      <c r="J2088" s="474" t="s">
        <v>3464</v>
      </c>
      <c r="K2088" s="443" t="s">
        <v>729</v>
      </c>
      <c r="L2088" s="471">
        <v>1</v>
      </c>
      <c r="M2088" s="452" t="s">
        <v>2913</v>
      </c>
      <c r="N2088" s="463">
        <v>16000</v>
      </c>
      <c r="O2088" s="481">
        <f t="shared" si="8"/>
        <v>16000</v>
      </c>
      <c r="P2088" s="479"/>
      <c r="Q2088" s="477">
        <v>46023</v>
      </c>
      <c r="R2088" s="485"/>
      <c r="S2088" s="484"/>
    </row>
    <row r="2089" spans="1:19" ht="15.75" customHeight="1" x14ac:dyDescent="0.25">
      <c r="A2089" s="438">
        <v>2086</v>
      </c>
      <c r="B2089" s="479" t="s">
        <v>17</v>
      </c>
      <c r="C2089" s="471" t="s">
        <v>18</v>
      </c>
      <c r="D2089" s="480" t="s">
        <v>2301</v>
      </c>
      <c r="E2089" s="448" t="s">
        <v>4086</v>
      </c>
      <c r="F2089" s="448" t="s">
        <v>4103</v>
      </c>
      <c r="G2089" s="452" t="s">
        <v>3065</v>
      </c>
      <c r="H2089" s="441" t="s">
        <v>2349</v>
      </c>
      <c r="I2089" s="474" t="s">
        <v>3459</v>
      </c>
      <c r="J2089" s="474" t="s">
        <v>3464</v>
      </c>
      <c r="K2089" s="443" t="s">
        <v>349</v>
      </c>
      <c r="L2089" s="471">
        <v>1</v>
      </c>
      <c r="M2089" s="452" t="s">
        <v>2886</v>
      </c>
      <c r="N2089" s="463">
        <v>5066</v>
      </c>
      <c r="O2089" s="481">
        <f t="shared" si="8"/>
        <v>5066</v>
      </c>
      <c r="P2089" s="479"/>
      <c r="Q2089" s="477">
        <v>46023</v>
      </c>
      <c r="R2089" s="485"/>
      <c r="S2089" s="484"/>
    </row>
    <row r="2090" spans="1:19" ht="15.75" customHeight="1" x14ac:dyDescent="0.25">
      <c r="A2090" s="438">
        <v>2087</v>
      </c>
      <c r="B2090" s="479" t="s">
        <v>17</v>
      </c>
      <c r="C2090" s="471" t="s">
        <v>18</v>
      </c>
      <c r="D2090" s="480" t="s">
        <v>2301</v>
      </c>
      <c r="E2090" s="448" t="s">
        <v>4086</v>
      </c>
      <c r="F2090" s="448" t="s">
        <v>4125</v>
      </c>
      <c r="G2090" s="452" t="s">
        <v>3065</v>
      </c>
      <c r="H2090" s="441" t="s">
        <v>2349</v>
      </c>
      <c r="I2090" s="474" t="s">
        <v>3459</v>
      </c>
      <c r="J2090" s="474" t="s">
        <v>3464</v>
      </c>
      <c r="K2090" s="443" t="s">
        <v>349</v>
      </c>
      <c r="L2090" s="471">
        <v>1</v>
      </c>
      <c r="M2090" s="452" t="s">
        <v>3078</v>
      </c>
      <c r="N2090" s="463">
        <v>5066</v>
      </c>
      <c r="O2090" s="481">
        <f t="shared" si="8"/>
        <v>5066</v>
      </c>
      <c r="P2090" s="479"/>
      <c r="Q2090" s="477">
        <v>46023</v>
      </c>
      <c r="R2090" s="486"/>
      <c r="S2090" s="484"/>
    </row>
    <row r="2091" spans="1:19" ht="15.75" customHeight="1" x14ac:dyDescent="0.25">
      <c r="A2091" s="438">
        <v>2088</v>
      </c>
      <c r="B2091" s="479" t="s">
        <v>17</v>
      </c>
      <c r="C2091" s="471" t="s">
        <v>18</v>
      </c>
      <c r="D2091" s="480" t="s">
        <v>2301</v>
      </c>
      <c r="E2091" s="448" t="s">
        <v>4086</v>
      </c>
      <c r="F2091" s="448" t="s">
        <v>4125</v>
      </c>
      <c r="G2091" s="452" t="s">
        <v>3065</v>
      </c>
      <c r="H2091" s="441" t="s">
        <v>2349</v>
      </c>
      <c r="I2091" s="474" t="s">
        <v>3459</v>
      </c>
      <c r="J2091" s="474" t="s">
        <v>3464</v>
      </c>
      <c r="K2091" s="443" t="s">
        <v>349</v>
      </c>
      <c r="L2091" s="471">
        <v>1</v>
      </c>
      <c r="M2091" s="452" t="s">
        <v>3079</v>
      </c>
      <c r="N2091" s="463">
        <v>5066</v>
      </c>
      <c r="O2091" s="481">
        <f t="shared" si="8"/>
        <v>5066</v>
      </c>
      <c r="P2091" s="479"/>
      <c r="Q2091" s="477">
        <v>46023</v>
      </c>
      <c r="R2091" s="486"/>
      <c r="S2091" s="484"/>
    </row>
    <row r="2092" spans="1:19" ht="15.75" customHeight="1" x14ac:dyDescent="0.25">
      <c r="A2092" s="438">
        <v>2089</v>
      </c>
      <c r="B2092" s="479" t="s">
        <v>17</v>
      </c>
      <c r="C2092" s="471" t="s">
        <v>18</v>
      </c>
      <c r="D2092" s="480" t="s">
        <v>2301</v>
      </c>
      <c r="E2092" s="448" t="s">
        <v>4085</v>
      </c>
      <c r="F2092" s="448" t="s">
        <v>2985</v>
      </c>
      <c r="G2092" s="452" t="s">
        <v>3065</v>
      </c>
      <c r="H2092" s="441" t="s">
        <v>2349</v>
      </c>
      <c r="I2092" s="474" t="s">
        <v>3459</v>
      </c>
      <c r="J2092" s="474" t="s">
        <v>3464</v>
      </c>
      <c r="K2092" s="443" t="s">
        <v>349</v>
      </c>
      <c r="L2092" s="471">
        <v>1</v>
      </c>
      <c r="M2092" s="452" t="s">
        <v>3679</v>
      </c>
      <c r="N2092" s="463">
        <v>5066</v>
      </c>
      <c r="O2092" s="481">
        <f t="shared" si="8"/>
        <v>5066</v>
      </c>
      <c r="P2092" s="479"/>
      <c r="Q2092" s="477">
        <v>46023</v>
      </c>
      <c r="R2092" s="486"/>
      <c r="S2092" s="484"/>
    </row>
    <row r="2093" spans="1:19" ht="15.75" customHeight="1" x14ac:dyDescent="0.25">
      <c r="A2093" s="438">
        <v>2090</v>
      </c>
      <c r="B2093" s="479" t="s">
        <v>17</v>
      </c>
      <c r="C2093" s="471" t="s">
        <v>18</v>
      </c>
      <c r="D2093" s="480" t="s">
        <v>2301</v>
      </c>
      <c r="E2093" s="448" t="s">
        <v>4085</v>
      </c>
      <c r="F2093" s="448" t="s">
        <v>2985</v>
      </c>
      <c r="G2093" s="452" t="s">
        <v>3065</v>
      </c>
      <c r="H2093" s="441" t="s">
        <v>2349</v>
      </c>
      <c r="I2093" s="474" t="s">
        <v>3459</v>
      </c>
      <c r="J2093" s="474" t="s">
        <v>3464</v>
      </c>
      <c r="K2093" s="443" t="s">
        <v>349</v>
      </c>
      <c r="L2093" s="471">
        <v>1</v>
      </c>
      <c r="M2093" s="452" t="s">
        <v>3680</v>
      </c>
      <c r="N2093" s="463">
        <v>5066</v>
      </c>
      <c r="O2093" s="481">
        <f t="shared" si="8"/>
        <v>5066</v>
      </c>
      <c r="P2093" s="479"/>
      <c r="Q2093" s="477">
        <v>46023</v>
      </c>
      <c r="R2093" s="486"/>
      <c r="S2093" s="484"/>
    </row>
    <row r="2094" spans="1:19" ht="15.75" customHeight="1" x14ac:dyDescent="0.25">
      <c r="A2094" s="438">
        <v>2091</v>
      </c>
      <c r="B2094" s="479" t="s">
        <v>17</v>
      </c>
      <c r="C2094" s="471" t="s">
        <v>18</v>
      </c>
      <c r="D2094" s="480" t="s">
        <v>2301</v>
      </c>
      <c r="E2094" s="448" t="s">
        <v>4083</v>
      </c>
      <c r="F2094" s="448" t="s">
        <v>2988</v>
      </c>
      <c r="G2094" s="452" t="s">
        <v>3058</v>
      </c>
      <c r="H2094" s="441" t="s">
        <v>896</v>
      </c>
      <c r="I2094" s="474" t="s">
        <v>3459</v>
      </c>
      <c r="J2094" s="474" t="s">
        <v>3464</v>
      </c>
      <c r="K2094" s="443" t="s">
        <v>729</v>
      </c>
      <c r="L2094" s="471">
        <v>1</v>
      </c>
      <c r="M2094" s="452" t="s">
        <v>3681</v>
      </c>
      <c r="N2094" s="463">
        <v>19610</v>
      </c>
      <c r="O2094" s="481">
        <f t="shared" si="8"/>
        <v>19610</v>
      </c>
      <c r="P2094" s="479"/>
      <c r="Q2094" s="477">
        <v>46023</v>
      </c>
      <c r="R2094" s="486"/>
      <c r="S2094" s="484"/>
    </row>
    <row r="2095" spans="1:19" ht="15.75" customHeight="1" x14ac:dyDescent="0.25">
      <c r="A2095" s="438">
        <v>2092</v>
      </c>
      <c r="B2095" s="479" t="s">
        <v>17</v>
      </c>
      <c r="C2095" s="471" t="s">
        <v>18</v>
      </c>
      <c r="D2095" s="480" t="s">
        <v>2301</v>
      </c>
      <c r="E2095" s="448" t="s">
        <v>4083</v>
      </c>
      <c r="F2095" s="448" t="s">
        <v>4100</v>
      </c>
      <c r="G2095" s="452" t="s">
        <v>3058</v>
      </c>
      <c r="H2095" s="441" t="s">
        <v>896</v>
      </c>
      <c r="I2095" s="474" t="s">
        <v>3459</v>
      </c>
      <c r="J2095" s="474" t="s">
        <v>3464</v>
      </c>
      <c r="K2095" s="443" t="s">
        <v>729</v>
      </c>
      <c r="L2095" s="471">
        <v>1</v>
      </c>
      <c r="M2095" s="452" t="s">
        <v>2890</v>
      </c>
      <c r="N2095" s="463">
        <v>19610</v>
      </c>
      <c r="O2095" s="481">
        <f t="shared" si="8"/>
        <v>19610</v>
      </c>
      <c r="P2095" s="479"/>
      <c r="Q2095" s="477">
        <v>46023</v>
      </c>
      <c r="R2095" s="486"/>
      <c r="S2095" s="484"/>
    </row>
    <row r="2096" spans="1:19" ht="15.75" customHeight="1" x14ac:dyDescent="0.25">
      <c r="A2096" s="438">
        <v>2093</v>
      </c>
      <c r="B2096" s="479" t="s">
        <v>17</v>
      </c>
      <c r="C2096" s="471" t="s">
        <v>18</v>
      </c>
      <c r="D2096" s="480" t="s">
        <v>2301</v>
      </c>
      <c r="E2096" s="448" t="s">
        <v>4083</v>
      </c>
      <c r="F2096" s="448" t="s">
        <v>4100</v>
      </c>
      <c r="G2096" s="452" t="s">
        <v>3058</v>
      </c>
      <c r="H2096" s="441" t="s">
        <v>896</v>
      </c>
      <c r="I2096" s="474" t="s">
        <v>3459</v>
      </c>
      <c r="J2096" s="474" t="s">
        <v>3464</v>
      </c>
      <c r="K2096" s="443" t="s">
        <v>729</v>
      </c>
      <c r="L2096" s="471">
        <v>1</v>
      </c>
      <c r="M2096" s="452" t="s">
        <v>3080</v>
      </c>
      <c r="N2096" s="463">
        <v>9000</v>
      </c>
      <c r="O2096" s="481">
        <f t="shared" si="8"/>
        <v>9000</v>
      </c>
      <c r="P2096" s="479"/>
      <c r="Q2096" s="477">
        <v>46023</v>
      </c>
      <c r="R2096" s="486"/>
      <c r="S2096" s="484"/>
    </row>
    <row r="2097" spans="1:19" ht="15.75" customHeight="1" x14ac:dyDescent="0.25">
      <c r="A2097" s="438">
        <v>2094</v>
      </c>
      <c r="B2097" s="479" t="s">
        <v>17</v>
      </c>
      <c r="C2097" s="471" t="s">
        <v>18</v>
      </c>
      <c r="D2097" s="480" t="s">
        <v>2301</v>
      </c>
      <c r="E2097" s="448" t="s">
        <v>4083</v>
      </c>
      <c r="F2097" s="448" t="s">
        <v>2988</v>
      </c>
      <c r="G2097" s="452" t="s">
        <v>3058</v>
      </c>
      <c r="H2097" s="441" t="s">
        <v>896</v>
      </c>
      <c r="I2097" s="474" t="s">
        <v>3459</v>
      </c>
      <c r="J2097" s="474" t="s">
        <v>3464</v>
      </c>
      <c r="K2097" s="443" t="s">
        <v>729</v>
      </c>
      <c r="L2097" s="471">
        <v>1</v>
      </c>
      <c r="M2097" s="452" t="s">
        <v>3077</v>
      </c>
      <c r="N2097" s="463">
        <v>9000</v>
      </c>
      <c r="O2097" s="481">
        <f t="shared" si="8"/>
        <v>9000</v>
      </c>
      <c r="P2097" s="479"/>
      <c r="Q2097" s="477">
        <v>46023</v>
      </c>
      <c r="R2097" s="486"/>
      <c r="S2097" s="484"/>
    </row>
    <row r="2098" spans="1:19" ht="15.75" customHeight="1" x14ac:dyDescent="0.25">
      <c r="A2098" s="438">
        <v>2095</v>
      </c>
      <c r="B2098" s="479" t="s">
        <v>17</v>
      </c>
      <c r="C2098" s="471" t="s">
        <v>18</v>
      </c>
      <c r="D2098" s="480" t="s">
        <v>2301</v>
      </c>
      <c r="E2098" s="448" t="s">
        <v>4083</v>
      </c>
      <c r="F2098" s="448" t="s">
        <v>4100</v>
      </c>
      <c r="G2098" s="452" t="s">
        <v>3058</v>
      </c>
      <c r="H2098" s="441" t="s">
        <v>896</v>
      </c>
      <c r="I2098" s="474" t="s">
        <v>3459</v>
      </c>
      <c r="J2098" s="474" t="s">
        <v>3464</v>
      </c>
      <c r="K2098" s="443" t="s">
        <v>729</v>
      </c>
      <c r="L2098" s="471">
        <v>1</v>
      </c>
      <c r="M2098" s="452" t="s">
        <v>3682</v>
      </c>
      <c r="N2098" s="463">
        <v>7280</v>
      </c>
      <c r="O2098" s="481">
        <f t="shared" si="8"/>
        <v>7280</v>
      </c>
      <c r="P2098" s="479"/>
      <c r="Q2098" s="477">
        <v>46023</v>
      </c>
      <c r="R2098" s="486"/>
      <c r="S2098" s="484"/>
    </row>
    <row r="2099" spans="1:19" ht="15.75" customHeight="1" x14ac:dyDescent="0.25">
      <c r="A2099" s="438">
        <v>2096</v>
      </c>
      <c r="B2099" s="479" t="s">
        <v>17</v>
      </c>
      <c r="C2099" s="471" t="s">
        <v>18</v>
      </c>
      <c r="D2099" s="480" t="s">
        <v>2301</v>
      </c>
      <c r="E2099" s="448" t="s">
        <v>4085</v>
      </c>
      <c r="F2099" s="448" t="s">
        <v>2982</v>
      </c>
      <c r="G2099" s="452" t="s">
        <v>3045</v>
      </c>
      <c r="H2099" s="441" t="s">
        <v>1591</v>
      </c>
      <c r="I2099" s="474" t="s">
        <v>3457</v>
      </c>
      <c r="J2099" s="474" t="s">
        <v>3464</v>
      </c>
      <c r="K2099" s="443" t="s">
        <v>1592</v>
      </c>
      <c r="L2099" s="471">
        <v>1</v>
      </c>
      <c r="M2099" s="452" t="s">
        <v>3086</v>
      </c>
      <c r="N2099" s="463">
        <v>2800</v>
      </c>
      <c r="O2099" s="481">
        <f t="shared" si="8"/>
        <v>2800</v>
      </c>
      <c r="P2099" s="479"/>
      <c r="Q2099" s="477">
        <v>46023</v>
      </c>
      <c r="R2099" s="486"/>
      <c r="S2099" s="484"/>
    </row>
    <row r="2100" spans="1:19" ht="15.75" customHeight="1" x14ac:dyDescent="0.25">
      <c r="A2100" s="438">
        <v>2097</v>
      </c>
      <c r="B2100" s="479" t="s">
        <v>17</v>
      </c>
      <c r="C2100" s="471" t="s">
        <v>18</v>
      </c>
      <c r="D2100" s="480" t="s">
        <v>2301</v>
      </c>
      <c r="E2100" s="448" t="s">
        <v>4085</v>
      </c>
      <c r="F2100" s="448" t="s">
        <v>2982</v>
      </c>
      <c r="G2100" s="452" t="s">
        <v>3045</v>
      </c>
      <c r="H2100" s="441" t="s">
        <v>1591</v>
      </c>
      <c r="I2100" s="474" t="s">
        <v>3457</v>
      </c>
      <c r="J2100" s="474" t="s">
        <v>3464</v>
      </c>
      <c r="K2100" s="443" t="s">
        <v>1592</v>
      </c>
      <c r="L2100" s="471">
        <v>1</v>
      </c>
      <c r="M2100" s="452" t="s">
        <v>3087</v>
      </c>
      <c r="N2100" s="463">
        <v>2800</v>
      </c>
      <c r="O2100" s="481">
        <f t="shared" si="8"/>
        <v>2800</v>
      </c>
      <c r="P2100" s="479"/>
      <c r="Q2100" s="477">
        <v>46023</v>
      </c>
      <c r="R2100" s="486"/>
      <c r="S2100" s="484"/>
    </row>
    <row r="2101" spans="1:19" ht="15.75" customHeight="1" x14ac:dyDescent="0.25">
      <c r="A2101" s="438">
        <v>2098</v>
      </c>
      <c r="B2101" s="479" t="s">
        <v>17</v>
      </c>
      <c r="C2101" s="471" t="s">
        <v>18</v>
      </c>
      <c r="D2101" s="480" t="s">
        <v>2301</v>
      </c>
      <c r="E2101" s="448" t="s">
        <v>4085</v>
      </c>
      <c r="F2101" s="448" t="s">
        <v>2982</v>
      </c>
      <c r="G2101" s="452" t="s">
        <v>3045</v>
      </c>
      <c r="H2101" s="441" t="s">
        <v>1591</v>
      </c>
      <c r="I2101" s="474" t="s">
        <v>3457</v>
      </c>
      <c r="J2101" s="474" t="s">
        <v>3464</v>
      </c>
      <c r="K2101" s="443" t="s">
        <v>1592</v>
      </c>
      <c r="L2101" s="471">
        <v>1</v>
      </c>
      <c r="M2101" s="452" t="s">
        <v>3088</v>
      </c>
      <c r="N2101" s="463">
        <v>2800</v>
      </c>
      <c r="O2101" s="481">
        <f t="shared" si="8"/>
        <v>2800</v>
      </c>
      <c r="P2101" s="479"/>
      <c r="Q2101" s="477">
        <v>46023</v>
      </c>
      <c r="R2101" s="486"/>
      <c r="S2101" s="484"/>
    </row>
    <row r="2102" spans="1:19" ht="15.75" customHeight="1" x14ac:dyDescent="0.25">
      <c r="A2102" s="438">
        <v>2099</v>
      </c>
      <c r="B2102" s="479" t="s">
        <v>17</v>
      </c>
      <c r="C2102" s="471" t="s">
        <v>18</v>
      </c>
      <c r="D2102" s="480" t="s">
        <v>2301</v>
      </c>
      <c r="E2102" s="448" t="s">
        <v>4085</v>
      </c>
      <c r="F2102" s="448" t="s">
        <v>2982</v>
      </c>
      <c r="G2102" s="452" t="s">
        <v>3045</v>
      </c>
      <c r="H2102" s="441" t="s">
        <v>1591</v>
      </c>
      <c r="I2102" s="474" t="s">
        <v>3457</v>
      </c>
      <c r="J2102" s="474" t="s">
        <v>3464</v>
      </c>
      <c r="K2102" s="443" t="s">
        <v>1592</v>
      </c>
      <c r="L2102" s="471">
        <v>1</v>
      </c>
      <c r="M2102" s="452" t="s">
        <v>3335</v>
      </c>
      <c r="N2102" s="463">
        <v>2800</v>
      </c>
      <c r="O2102" s="481">
        <f t="shared" si="8"/>
        <v>2800</v>
      </c>
      <c r="P2102" s="479"/>
      <c r="Q2102" s="477">
        <v>46023</v>
      </c>
      <c r="R2102" s="486"/>
      <c r="S2102" s="482"/>
    </row>
    <row r="2103" spans="1:19" ht="15.75" customHeight="1" x14ac:dyDescent="0.25">
      <c r="A2103" s="438">
        <v>2100</v>
      </c>
      <c r="B2103" s="479" t="s">
        <v>17</v>
      </c>
      <c r="C2103" s="471" t="s">
        <v>18</v>
      </c>
      <c r="D2103" s="480" t="s">
        <v>2301</v>
      </c>
      <c r="E2103" s="448" t="s">
        <v>4085</v>
      </c>
      <c r="F2103" s="448" t="s">
        <v>2982</v>
      </c>
      <c r="G2103" s="452" t="s">
        <v>3045</v>
      </c>
      <c r="H2103" s="441" t="s">
        <v>1591</v>
      </c>
      <c r="I2103" s="474" t="s">
        <v>3457</v>
      </c>
      <c r="J2103" s="474" t="s">
        <v>3464</v>
      </c>
      <c r="K2103" s="443" t="s">
        <v>1592</v>
      </c>
      <c r="L2103" s="471">
        <v>1</v>
      </c>
      <c r="M2103" s="452" t="s">
        <v>3683</v>
      </c>
      <c r="N2103" s="463">
        <v>2800</v>
      </c>
      <c r="O2103" s="481">
        <f t="shared" si="8"/>
        <v>2800</v>
      </c>
      <c r="P2103" s="479"/>
      <c r="Q2103" s="477">
        <v>46023</v>
      </c>
      <c r="R2103" s="486"/>
      <c r="S2103" s="484"/>
    </row>
    <row r="2104" spans="1:19" ht="15.75" customHeight="1" x14ac:dyDescent="0.25">
      <c r="A2104" s="438">
        <v>2101</v>
      </c>
      <c r="B2104" s="479" t="s">
        <v>17</v>
      </c>
      <c r="C2104" s="471" t="s">
        <v>18</v>
      </c>
      <c r="D2104" s="480" t="s">
        <v>2301</v>
      </c>
      <c r="E2104" s="448" t="s">
        <v>4085</v>
      </c>
      <c r="F2104" s="448" t="s">
        <v>2982</v>
      </c>
      <c r="G2104" s="452" t="s">
        <v>3045</v>
      </c>
      <c r="H2104" s="441" t="s">
        <v>1591</v>
      </c>
      <c r="I2104" s="474" t="s">
        <v>3457</v>
      </c>
      <c r="J2104" s="474" t="s">
        <v>3464</v>
      </c>
      <c r="K2104" s="443" t="s">
        <v>1592</v>
      </c>
      <c r="L2104" s="471">
        <v>1</v>
      </c>
      <c r="M2104" s="452" t="s">
        <v>3684</v>
      </c>
      <c r="N2104" s="463">
        <v>2800</v>
      </c>
      <c r="O2104" s="481">
        <f t="shared" si="8"/>
        <v>2800</v>
      </c>
      <c r="P2104" s="479"/>
      <c r="Q2104" s="477">
        <v>46023</v>
      </c>
      <c r="R2104" s="486"/>
      <c r="S2104" s="484"/>
    </row>
    <row r="2105" spans="1:19" ht="15.75" customHeight="1" x14ac:dyDescent="0.25">
      <c r="A2105" s="438">
        <v>2102</v>
      </c>
      <c r="B2105" s="479" t="s">
        <v>17</v>
      </c>
      <c r="C2105" s="471" t="s">
        <v>18</v>
      </c>
      <c r="D2105" s="480" t="s">
        <v>2301</v>
      </c>
      <c r="E2105" s="448" t="s">
        <v>4085</v>
      </c>
      <c r="F2105" s="448" t="s">
        <v>2982</v>
      </c>
      <c r="G2105" s="452" t="s">
        <v>3045</v>
      </c>
      <c r="H2105" s="441" t="s">
        <v>1591</v>
      </c>
      <c r="I2105" s="474" t="s">
        <v>3457</v>
      </c>
      <c r="J2105" s="474" t="s">
        <v>3464</v>
      </c>
      <c r="K2105" s="443" t="s">
        <v>1592</v>
      </c>
      <c r="L2105" s="471">
        <v>1</v>
      </c>
      <c r="M2105" s="452" t="s">
        <v>3685</v>
      </c>
      <c r="N2105" s="463">
        <v>2800</v>
      </c>
      <c r="O2105" s="481">
        <f t="shared" si="8"/>
        <v>2800</v>
      </c>
      <c r="P2105" s="479"/>
      <c r="Q2105" s="477">
        <v>46023</v>
      </c>
      <c r="R2105" s="486"/>
      <c r="S2105" s="484"/>
    </row>
    <row r="2106" spans="1:19" ht="15.75" customHeight="1" x14ac:dyDescent="0.25">
      <c r="A2106" s="438">
        <v>2103</v>
      </c>
      <c r="B2106" s="479" t="s">
        <v>17</v>
      </c>
      <c r="C2106" s="471" t="s">
        <v>18</v>
      </c>
      <c r="D2106" s="480" t="s">
        <v>2301</v>
      </c>
      <c r="E2106" s="448" t="s">
        <v>4085</v>
      </c>
      <c r="F2106" s="448" t="s">
        <v>2982</v>
      </c>
      <c r="G2106" s="452" t="s">
        <v>3045</v>
      </c>
      <c r="H2106" s="441" t="s">
        <v>1591</v>
      </c>
      <c r="I2106" s="474" t="s">
        <v>3457</v>
      </c>
      <c r="J2106" s="474" t="s">
        <v>3464</v>
      </c>
      <c r="K2106" s="443" t="s">
        <v>1592</v>
      </c>
      <c r="L2106" s="471">
        <v>1</v>
      </c>
      <c r="M2106" s="452" t="s">
        <v>3686</v>
      </c>
      <c r="N2106" s="463">
        <v>2800</v>
      </c>
      <c r="O2106" s="481">
        <f t="shared" si="8"/>
        <v>2800</v>
      </c>
      <c r="P2106" s="479"/>
      <c r="Q2106" s="477">
        <v>46023</v>
      </c>
      <c r="R2106" s="486"/>
      <c r="S2106" s="484"/>
    </row>
    <row r="2107" spans="1:19" ht="15.75" customHeight="1" x14ac:dyDescent="0.25">
      <c r="A2107" s="438">
        <v>2104</v>
      </c>
      <c r="B2107" s="479" t="s">
        <v>17</v>
      </c>
      <c r="C2107" s="471" t="s">
        <v>18</v>
      </c>
      <c r="D2107" s="480" t="s">
        <v>2301</v>
      </c>
      <c r="E2107" s="448" t="s">
        <v>4085</v>
      </c>
      <c r="F2107" s="448" t="s">
        <v>2982</v>
      </c>
      <c r="G2107" s="452" t="s">
        <v>3045</v>
      </c>
      <c r="H2107" s="441" t="s">
        <v>1591</v>
      </c>
      <c r="I2107" s="474" t="s">
        <v>3457</v>
      </c>
      <c r="J2107" s="474" t="s">
        <v>3464</v>
      </c>
      <c r="K2107" s="443" t="s">
        <v>1592</v>
      </c>
      <c r="L2107" s="471">
        <v>1</v>
      </c>
      <c r="M2107" s="452" t="s">
        <v>3687</v>
      </c>
      <c r="N2107" s="463">
        <v>2800</v>
      </c>
      <c r="O2107" s="481">
        <f t="shared" si="8"/>
        <v>2800</v>
      </c>
      <c r="P2107" s="479"/>
      <c r="Q2107" s="477">
        <v>46023</v>
      </c>
      <c r="R2107" s="486"/>
      <c r="S2107" s="484"/>
    </row>
    <row r="2108" spans="1:19" ht="15.75" customHeight="1" x14ac:dyDescent="0.25">
      <c r="A2108" s="438">
        <v>2105</v>
      </c>
      <c r="B2108" s="479" t="s">
        <v>17</v>
      </c>
      <c r="C2108" s="471" t="s">
        <v>18</v>
      </c>
      <c r="D2108" s="480" t="s">
        <v>2301</v>
      </c>
      <c r="E2108" s="448" t="s">
        <v>4085</v>
      </c>
      <c r="F2108" s="448" t="s">
        <v>2982</v>
      </c>
      <c r="G2108" s="452" t="s">
        <v>3045</v>
      </c>
      <c r="H2108" s="441" t="s">
        <v>1591</v>
      </c>
      <c r="I2108" s="474" t="s">
        <v>3457</v>
      </c>
      <c r="J2108" s="474" t="s">
        <v>3464</v>
      </c>
      <c r="K2108" s="443" t="s">
        <v>1592</v>
      </c>
      <c r="L2108" s="471">
        <v>1</v>
      </c>
      <c r="M2108" s="452" t="s">
        <v>3688</v>
      </c>
      <c r="N2108" s="463">
        <v>2800</v>
      </c>
      <c r="O2108" s="481">
        <f t="shared" si="8"/>
        <v>2800</v>
      </c>
      <c r="P2108" s="479"/>
      <c r="Q2108" s="477">
        <v>46023</v>
      </c>
      <c r="R2108" s="486"/>
      <c r="S2108" s="486"/>
    </row>
    <row r="2109" spans="1:19" ht="15.75" customHeight="1" x14ac:dyDescent="0.25">
      <c r="A2109" s="438">
        <v>2106</v>
      </c>
      <c r="B2109" s="479" t="s">
        <v>17</v>
      </c>
      <c r="C2109" s="471" t="s">
        <v>18</v>
      </c>
      <c r="D2109" s="480" t="s">
        <v>2301</v>
      </c>
      <c r="E2109" s="448" t="s">
        <v>4085</v>
      </c>
      <c r="F2109" s="448" t="s">
        <v>2982</v>
      </c>
      <c r="G2109" s="452" t="s">
        <v>3045</v>
      </c>
      <c r="H2109" s="441" t="s">
        <v>1591</v>
      </c>
      <c r="I2109" s="474" t="s">
        <v>3457</v>
      </c>
      <c r="J2109" s="474" t="s">
        <v>3464</v>
      </c>
      <c r="K2109" s="443" t="s">
        <v>1592</v>
      </c>
      <c r="L2109" s="471">
        <v>1</v>
      </c>
      <c r="M2109" s="452" t="s">
        <v>3689</v>
      </c>
      <c r="N2109" s="463">
        <v>2800</v>
      </c>
      <c r="O2109" s="481">
        <f t="shared" si="8"/>
        <v>2800</v>
      </c>
      <c r="P2109" s="479"/>
      <c r="Q2109" s="477">
        <v>46023</v>
      </c>
      <c r="R2109" s="486"/>
      <c r="S2109" s="486"/>
    </row>
    <row r="2110" spans="1:19" ht="15.75" customHeight="1" x14ac:dyDescent="0.25">
      <c r="A2110" s="438">
        <v>2107</v>
      </c>
      <c r="B2110" s="479" t="s">
        <v>17</v>
      </c>
      <c r="C2110" s="471" t="s">
        <v>18</v>
      </c>
      <c r="D2110" s="480" t="s">
        <v>2301</v>
      </c>
      <c r="E2110" s="448" t="s">
        <v>4085</v>
      </c>
      <c r="F2110" s="448" t="s">
        <v>2982</v>
      </c>
      <c r="G2110" s="452" t="s">
        <v>3045</v>
      </c>
      <c r="H2110" s="441" t="s">
        <v>1591</v>
      </c>
      <c r="I2110" s="474" t="s">
        <v>3457</v>
      </c>
      <c r="J2110" s="474" t="s">
        <v>3464</v>
      </c>
      <c r="K2110" s="443" t="s">
        <v>1592</v>
      </c>
      <c r="L2110" s="471">
        <v>1</v>
      </c>
      <c r="M2110" s="452" t="s">
        <v>3690</v>
      </c>
      <c r="N2110" s="463">
        <v>2800</v>
      </c>
      <c r="O2110" s="481">
        <f t="shared" si="8"/>
        <v>2800</v>
      </c>
      <c r="P2110" s="479"/>
      <c r="Q2110" s="477">
        <v>46023</v>
      </c>
      <c r="R2110" s="486"/>
      <c r="S2110" s="486"/>
    </row>
    <row r="2111" spans="1:19" ht="15.75" customHeight="1" x14ac:dyDescent="0.25">
      <c r="A2111" s="438">
        <v>2108</v>
      </c>
      <c r="B2111" s="479" t="s">
        <v>17</v>
      </c>
      <c r="C2111" s="471" t="s">
        <v>18</v>
      </c>
      <c r="D2111" s="480" t="s">
        <v>2301</v>
      </c>
      <c r="E2111" s="448" t="s">
        <v>4085</v>
      </c>
      <c r="F2111" s="448" t="s">
        <v>2982</v>
      </c>
      <c r="G2111" s="452" t="s">
        <v>3045</v>
      </c>
      <c r="H2111" s="441" t="s">
        <v>1591</v>
      </c>
      <c r="I2111" s="474" t="s">
        <v>3457</v>
      </c>
      <c r="J2111" s="474" t="s">
        <v>3464</v>
      </c>
      <c r="K2111" s="443" t="s">
        <v>1592</v>
      </c>
      <c r="L2111" s="471">
        <v>1</v>
      </c>
      <c r="M2111" s="452" t="s">
        <v>3691</v>
      </c>
      <c r="N2111" s="463">
        <v>2800</v>
      </c>
      <c r="O2111" s="481">
        <f t="shared" si="8"/>
        <v>2800</v>
      </c>
      <c r="P2111" s="479"/>
      <c r="Q2111" s="477">
        <v>46023</v>
      </c>
      <c r="R2111" s="486"/>
      <c r="S2111" s="486"/>
    </row>
    <row r="2112" spans="1:19" ht="15.75" customHeight="1" x14ac:dyDescent="0.25">
      <c r="A2112" s="438">
        <v>2109</v>
      </c>
      <c r="B2112" s="479" t="s">
        <v>17</v>
      </c>
      <c r="C2112" s="471" t="s">
        <v>18</v>
      </c>
      <c r="D2112" s="480" t="s">
        <v>2301</v>
      </c>
      <c r="E2112" s="448" t="s">
        <v>4085</v>
      </c>
      <c r="F2112" s="448" t="s">
        <v>2982</v>
      </c>
      <c r="G2112" s="452" t="s">
        <v>3045</v>
      </c>
      <c r="H2112" s="441" t="s">
        <v>1591</v>
      </c>
      <c r="I2112" s="474" t="s">
        <v>3457</v>
      </c>
      <c r="J2112" s="474" t="s">
        <v>3464</v>
      </c>
      <c r="K2112" s="443" t="s">
        <v>1592</v>
      </c>
      <c r="L2112" s="471">
        <v>1</v>
      </c>
      <c r="M2112" s="452" t="s">
        <v>3692</v>
      </c>
      <c r="N2112" s="463">
        <v>2800</v>
      </c>
      <c r="O2112" s="481">
        <f t="shared" si="8"/>
        <v>2800</v>
      </c>
      <c r="P2112" s="479"/>
      <c r="Q2112" s="477">
        <v>46023</v>
      </c>
      <c r="R2112" s="486"/>
      <c r="S2112" s="486"/>
    </row>
    <row r="2113" spans="1:19" ht="15.75" customHeight="1" x14ac:dyDescent="0.25">
      <c r="A2113" s="438">
        <v>2110</v>
      </c>
      <c r="B2113" s="479" t="s">
        <v>17</v>
      </c>
      <c r="C2113" s="471" t="s">
        <v>18</v>
      </c>
      <c r="D2113" s="480" t="s">
        <v>2301</v>
      </c>
      <c r="E2113" s="448" t="s">
        <v>4085</v>
      </c>
      <c r="F2113" s="448" t="s">
        <v>2982</v>
      </c>
      <c r="G2113" s="452" t="s">
        <v>3045</v>
      </c>
      <c r="H2113" s="441" t="s">
        <v>1591</v>
      </c>
      <c r="I2113" s="474" t="s">
        <v>3457</v>
      </c>
      <c r="J2113" s="474" t="s">
        <v>3464</v>
      </c>
      <c r="K2113" s="443" t="s">
        <v>1592</v>
      </c>
      <c r="L2113" s="471">
        <v>1</v>
      </c>
      <c r="M2113" s="452" t="s">
        <v>3693</v>
      </c>
      <c r="N2113" s="463">
        <v>2800</v>
      </c>
      <c r="O2113" s="481">
        <f t="shared" si="8"/>
        <v>2800</v>
      </c>
      <c r="P2113" s="479"/>
      <c r="Q2113" s="477">
        <v>46023</v>
      </c>
      <c r="R2113" s="486"/>
      <c r="S2113" s="486"/>
    </row>
    <row r="2114" spans="1:19" ht="15.75" customHeight="1" x14ac:dyDescent="0.25">
      <c r="A2114" s="438">
        <v>2111</v>
      </c>
      <c r="B2114" s="479" t="s">
        <v>17</v>
      </c>
      <c r="C2114" s="471" t="s">
        <v>18</v>
      </c>
      <c r="D2114" s="480" t="s">
        <v>2301</v>
      </c>
      <c r="E2114" s="448" t="s">
        <v>4085</v>
      </c>
      <c r="F2114" s="448" t="s">
        <v>2982</v>
      </c>
      <c r="G2114" s="452" t="s">
        <v>3045</v>
      </c>
      <c r="H2114" s="441" t="s">
        <v>1591</v>
      </c>
      <c r="I2114" s="474" t="s">
        <v>3457</v>
      </c>
      <c r="J2114" s="474" t="s">
        <v>3464</v>
      </c>
      <c r="K2114" s="443" t="s">
        <v>1592</v>
      </c>
      <c r="L2114" s="471">
        <v>1</v>
      </c>
      <c r="M2114" s="452" t="s">
        <v>3694</v>
      </c>
      <c r="N2114" s="463">
        <v>2800</v>
      </c>
      <c r="O2114" s="481">
        <f t="shared" si="8"/>
        <v>2800</v>
      </c>
      <c r="P2114" s="479"/>
      <c r="Q2114" s="477">
        <v>46023</v>
      </c>
      <c r="R2114" s="486"/>
      <c r="S2114" s="486"/>
    </row>
    <row r="2115" spans="1:19" ht="15.75" customHeight="1" x14ac:dyDescent="0.25">
      <c r="A2115" s="438">
        <v>2112</v>
      </c>
      <c r="B2115" s="479" t="s">
        <v>17</v>
      </c>
      <c r="C2115" s="471" t="s">
        <v>18</v>
      </c>
      <c r="D2115" s="480" t="s">
        <v>2301</v>
      </c>
      <c r="E2115" s="448" t="s">
        <v>4085</v>
      </c>
      <c r="F2115" s="448" t="s">
        <v>2982</v>
      </c>
      <c r="G2115" s="452" t="s">
        <v>3045</v>
      </c>
      <c r="H2115" s="441" t="s">
        <v>1591</v>
      </c>
      <c r="I2115" s="474" t="s">
        <v>3457</v>
      </c>
      <c r="J2115" s="474" t="s">
        <v>3464</v>
      </c>
      <c r="K2115" s="443" t="s">
        <v>1592</v>
      </c>
      <c r="L2115" s="471">
        <v>1</v>
      </c>
      <c r="M2115" s="452" t="s">
        <v>3695</v>
      </c>
      <c r="N2115" s="463">
        <v>2800</v>
      </c>
      <c r="O2115" s="481">
        <f t="shared" si="8"/>
        <v>2800</v>
      </c>
      <c r="P2115" s="479"/>
      <c r="Q2115" s="477">
        <v>46023</v>
      </c>
      <c r="R2115" s="486"/>
      <c r="S2115" s="486"/>
    </row>
    <row r="2116" spans="1:19" ht="15.75" customHeight="1" x14ac:dyDescent="0.25">
      <c r="A2116" s="438">
        <v>2113</v>
      </c>
      <c r="B2116" s="479" t="s">
        <v>17</v>
      </c>
      <c r="C2116" s="471" t="s">
        <v>18</v>
      </c>
      <c r="D2116" s="480" t="s">
        <v>2301</v>
      </c>
      <c r="E2116" s="448" t="s">
        <v>4085</v>
      </c>
      <c r="F2116" s="448" t="s">
        <v>2982</v>
      </c>
      <c r="G2116" s="452" t="s">
        <v>3045</v>
      </c>
      <c r="H2116" s="441" t="s">
        <v>1591</v>
      </c>
      <c r="I2116" s="474" t="s">
        <v>3457</v>
      </c>
      <c r="J2116" s="474" t="s">
        <v>3464</v>
      </c>
      <c r="K2116" s="443" t="s">
        <v>1592</v>
      </c>
      <c r="L2116" s="471">
        <v>1</v>
      </c>
      <c r="M2116" s="452" t="s">
        <v>3696</v>
      </c>
      <c r="N2116" s="463">
        <v>2800</v>
      </c>
      <c r="O2116" s="481">
        <f t="shared" si="8"/>
        <v>2800</v>
      </c>
      <c r="P2116" s="479"/>
      <c r="Q2116" s="477">
        <v>46023</v>
      </c>
      <c r="R2116" s="486"/>
      <c r="S2116" s="486"/>
    </row>
    <row r="2117" spans="1:19" ht="15.75" customHeight="1" x14ac:dyDescent="0.25">
      <c r="A2117" s="438">
        <v>2114</v>
      </c>
      <c r="B2117" s="479" t="s">
        <v>17</v>
      </c>
      <c r="C2117" s="471" t="s">
        <v>18</v>
      </c>
      <c r="D2117" s="480" t="s">
        <v>2301</v>
      </c>
      <c r="E2117" s="448" t="s">
        <v>4085</v>
      </c>
      <c r="F2117" s="448" t="s">
        <v>2982</v>
      </c>
      <c r="G2117" s="452" t="s">
        <v>3045</v>
      </c>
      <c r="H2117" s="441" t="s">
        <v>1591</v>
      </c>
      <c r="I2117" s="474" t="s">
        <v>3457</v>
      </c>
      <c r="J2117" s="474" t="s">
        <v>3464</v>
      </c>
      <c r="K2117" s="443" t="s">
        <v>1592</v>
      </c>
      <c r="L2117" s="471">
        <v>1</v>
      </c>
      <c r="M2117" s="452" t="s">
        <v>3697</v>
      </c>
      <c r="N2117" s="463">
        <v>2800</v>
      </c>
      <c r="O2117" s="481">
        <f t="shared" si="8"/>
        <v>2800</v>
      </c>
      <c r="P2117" s="479"/>
      <c r="Q2117" s="477">
        <v>46023</v>
      </c>
      <c r="R2117" s="486"/>
      <c r="S2117" s="486"/>
    </row>
    <row r="2118" spans="1:19" ht="15.75" customHeight="1" x14ac:dyDescent="0.25">
      <c r="A2118" s="438">
        <v>2115</v>
      </c>
      <c r="B2118" s="479" t="s">
        <v>17</v>
      </c>
      <c r="C2118" s="471" t="s">
        <v>18</v>
      </c>
      <c r="D2118" s="480" t="s">
        <v>2301</v>
      </c>
      <c r="E2118" s="448" t="s">
        <v>4085</v>
      </c>
      <c r="F2118" s="448" t="s">
        <v>2982</v>
      </c>
      <c r="G2118" s="452" t="s">
        <v>3045</v>
      </c>
      <c r="H2118" s="441" t="s">
        <v>1591</v>
      </c>
      <c r="I2118" s="474" t="s">
        <v>3457</v>
      </c>
      <c r="J2118" s="474" t="s">
        <v>3464</v>
      </c>
      <c r="K2118" s="443" t="s">
        <v>1592</v>
      </c>
      <c r="L2118" s="471">
        <v>1</v>
      </c>
      <c r="M2118" s="452" t="s">
        <v>3698</v>
      </c>
      <c r="N2118" s="463">
        <v>2800</v>
      </c>
      <c r="O2118" s="481">
        <f t="shared" si="8"/>
        <v>2800</v>
      </c>
      <c r="P2118" s="479"/>
      <c r="Q2118" s="477">
        <v>46023</v>
      </c>
      <c r="R2118" s="486"/>
      <c r="S2118" s="486"/>
    </row>
    <row r="2119" spans="1:19" ht="15.75" customHeight="1" x14ac:dyDescent="0.25">
      <c r="A2119" s="438">
        <v>2116</v>
      </c>
      <c r="B2119" s="479" t="s">
        <v>17</v>
      </c>
      <c r="C2119" s="471" t="s">
        <v>18</v>
      </c>
      <c r="D2119" s="480" t="s">
        <v>2301</v>
      </c>
      <c r="E2119" s="448" t="s">
        <v>4085</v>
      </c>
      <c r="F2119" s="448" t="s">
        <v>2982</v>
      </c>
      <c r="G2119" s="452" t="s">
        <v>3045</v>
      </c>
      <c r="H2119" s="441" t="s">
        <v>1591</v>
      </c>
      <c r="I2119" s="474" t="s">
        <v>3457</v>
      </c>
      <c r="J2119" s="474" t="s">
        <v>3464</v>
      </c>
      <c r="K2119" s="443" t="s">
        <v>1592</v>
      </c>
      <c r="L2119" s="471">
        <v>1</v>
      </c>
      <c r="M2119" s="452" t="s">
        <v>3699</v>
      </c>
      <c r="N2119" s="463">
        <v>2800</v>
      </c>
      <c r="O2119" s="481">
        <f t="shared" si="8"/>
        <v>2800</v>
      </c>
      <c r="P2119" s="479"/>
      <c r="Q2119" s="477">
        <v>46023</v>
      </c>
      <c r="R2119" s="486"/>
      <c r="S2119" s="486"/>
    </row>
    <row r="2120" spans="1:19" ht="15.75" customHeight="1" x14ac:dyDescent="0.25">
      <c r="A2120" s="438">
        <v>2117</v>
      </c>
      <c r="B2120" s="479" t="s">
        <v>17</v>
      </c>
      <c r="C2120" s="471" t="s">
        <v>18</v>
      </c>
      <c r="D2120" s="480" t="s">
        <v>2301</v>
      </c>
      <c r="E2120" s="448" t="s">
        <v>4085</v>
      </c>
      <c r="F2120" s="448" t="s">
        <v>2982</v>
      </c>
      <c r="G2120" s="452" t="s">
        <v>3045</v>
      </c>
      <c r="H2120" s="441" t="s">
        <v>1591</v>
      </c>
      <c r="I2120" s="474" t="s">
        <v>3457</v>
      </c>
      <c r="J2120" s="474" t="s">
        <v>3464</v>
      </c>
      <c r="K2120" s="443" t="s">
        <v>1592</v>
      </c>
      <c r="L2120" s="471">
        <v>1</v>
      </c>
      <c r="M2120" s="452" t="s">
        <v>3700</v>
      </c>
      <c r="N2120" s="463">
        <v>2800</v>
      </c>
      <c r="O2120" s="481">
        <f t="shared" si="8"/>
        <v>2800</v>
      </c>
      <c r="P2120" s="479"/>
      <c r="Q2120" s="477">
        <v>46023</v>
      </c>
      <c r="R2120" s="486"/>
      <c r="S2120" s="486"/>
    </row>
    <row r="2121" spans="1:19" ht="15.75" customHeight="1" x14ac:dyDescent="0.25">
      <c r="A2121" s="438">
        <v>2118</v>
      </c>
      <c r="B2121" s="479" t="s">
        <v>17</v>
      </c>
      <c r="C2121" s="471" t="s">
        <v>18</v>
      </c>
      <c r="D2121" s="480" t="s">
        <v>2301</v>
      </c>
      <c r="E2121" s="448" t="s">
        <v>4085</v>
      </c>
      <c r="F2121" s="448" t="s">
        <v>2982</v>
      </c>
      <c r="G2121" s="452" t="s">
        <v>3045</v>
      </c>
      <c r="H2121" s="441" t="s">
        <v>1591</v>
      </c>
      <c r="I2121" s="474" t="s">
        <v>3457</v>
      </c>
      <c r="J2121" s="474" t="s">
        <v>3464</v>
      </c>
      <c r="K2121" s="443" t="s">
        <v>1592</v>
      </c>
      <c r="L2121" s="471">
        <v>1</v>
      </c>
      <c r="M2121" s="452" t="s">
        <v>3701</v>
      </c>
      <c r="N2121" s="463">
        <v>2800</v>
      </c>
      <c r="O2121" s="481">
        <f t="shared" si="8"/>
        <v>2800</v>
      </c>
      <c r="P2121" s="479"/>
      <c r="Q2121" s="477">
        <v>46023</v>
      </c>
      <c r="R2121" s="486"/>
      <c r="S2121" s="486"/>
    </row>
    <row r="2122" spans="1:19" ht="15.75" customHeight="1" x14ac:dyDescent="0.25">
      <c r="A2122" s="438">
        <v>2119</v>
      </c>
      <c r="B2122" s="479" t="s">
        <v>17</v>
      </c>
      <c r="C2122" s="471" t="s">
        <v>18</v>
      </c>
      <c r="D2122" s="480" t="s">
        <v>2301</v>
      </c>
      <c r="E2122" s="448" t="s">
        <v>4085</v>
      </c>
      <c r="F2122" s="448" t="s">
        <v>2982</v>
      </c>
      <c r="G2122" s="452" t="s">
        <v>3045</v>
      </c>
      <c r="H2122" s="441" t="s">
        <v>1591</v>
      </c>
      <c r="I2122" s="474" t="s">
        <v>3457</v>
      </c>
      <c r="J2122" s="474" t="s">
        <v>3464</v>
      </c>
      <c r="K2122" s="443" t="s">
        <v>1592</v>
      </c>
      <c r="L2122" s="471">
        <v>1</v>
      </c>
      <c r="M2122" s="452" t="s">
        <v>3702</v>
      </c>
      <c r="N2122" s="463">
        <v>2800</v>
      </c>
      <c r="O2122" s="481">
        <f t="shared" si="8"/>
        <v>2800</v>
      </c>
      <c r="P2122" s="479"/>
      <c r="Q2122" s="477">
        <v>46023</v>
      </c>
      <c r="R2122" s="486"/>
      <c r="S2122" s="486"/>
    </row>
    <row r="2123" spans="1:19" ht="15.75" customHeight="1" x14ac:dyDescent="0.25">
      <c r="A2123" s="438">
        <v>2120</v>
      </c>
      <c r="B2123" s="479" t="s">
        <v>17</v>
      </c>
      <c r="C2123" s="471" t="s">
        <v>18</v>
      </c>
      <c r="D2123" s="480" t="s">
        <v>2301</v>
      </c>
      <c r="E2123" s="448" t="s">
        <v>4085</v>
      </c>
      <c r="F2123" s="448" t="s">
        <v>2982</v>
      </c>
      <c r="G2123" s="452" t="s">
        <v>3045</v>
      </c>
      <c r="H2123" s="441" t="s">
        <v>1591</v>
      </c>
      <c r="I2123" s="474" t="s">
        <v>3457</v>
      </c>
      <c r="J2123" s="474" t="s">
        <v>3464</v>
      </c>
      <c r="K2123" s="443" t="s">
        <v>1592</v>
      </c>
      <c r="L2123" s="471">
        <v>1</v>
      </c>
      <c r="M2123" s="452" t="s">
        <v>3703</v>
      </c>
      <c r="N2123" s="463">
        <v>2800</v>
      </c>
      <c r="O2123" s="481">
        <f t="shared" si="8"/>
        <v>2800</v>
      </c>
      <c r="P2123" s="479"/>
      <c r="Q2123" s="477">
        <v>46023</v>
      </c>
      <c r="R2123" s="486"/>
      <c r="S2123" s="486"/>
    </row>
    <row r="2124" spans="1:19" ht="15.75" customHeight="1" x14ac:dyDescent="0.25">
      <c r="A2124" s="438">
        <v>2121</v>
      </c>
      <c r="B2124" s="479" t="s">
        <v>17</v>
      </c>
      <c r="C2124" s="471" t="s">
        <v>18</v>
      </c>
      <c r="D2124" s="480" t="s">
        <v>2301</v>
      </c>
      <c r="E2124" s="448" t="s">
        <v>4085</v>
      </c>
      <c r="F2124" s="448" t="s">
        <v>2982</v>
      </c>
      <c r="G2124" s="452" t="s">
        <v>3045</v>
      </c>
      <c r="H2124" s="441" t="s">
        <v>1591</v>
      </c>
      <c r="I2124" s="474" t="s">
        <v>3457</v>
      </c>
      <c r="J2124" s="474" t="s">
        <v>3464</v>
      </c>
      <c r="K2124" s="443" t="s">
        <v>1592</v>
      </c>
      <c r="L2124" s="471">
        <v>1</v>
      </c>
      <c r="M2124" s="452" t="s">
        <v>3704</v>
      </c>
      <c r="N2124" s="463">
        <v>2800</v>
      </c>
      <c r="O2124" s="481">
        <f t="shared" si="8"/>
        <v>2800</v>
      </c>
      <c r="P2124" s="479"/>
      <c r="Q2124" s="477">
        <v>46023</v>
      </c>
      <c r="R2124" s="486"/>
      <c r="S2124" s="486"/>
    </row>
    <row r="2125" spans="1:19" ht="15.75" customHeight="1" x14ac:dyDescent="0.25">
      <c r="A2125" s="438">
        <v>2122</v>
      </c>
      <c r="B2125" s="479" t="s">
        <v>17</v>
      </c>
      <c r="C2125" s="471" t="s">
        <v>18</v>
      </c>
      <c r="D2125" s="480" t="s">
        <v>2301</v>
      </c>
      <c r="E2125" s="448" t="s">
        <v>4085</v>
      </c>
      <c r="F2125" s="448" t="s">
        <v>2982</v>
      </c>
      <c r="G2125" s="452" t="s">
        <v>3045</v>
      </c>
      <c r="H2125" s="441" t="s">
        <v>1591</v>
      </c>
      <c r="I2125" s="474" t="s">
        <v>3457</v>
      </c>
      <c r="J2125" s="474" t="s">
        <v>3464</v>
      </c>
      <c r="K2125" s="443" t="s">
        <v>1592</v>
      </c>
      <c r="L2125" s="471">
        <v>1</v>
      </c>
      <c r="M2125" s="452" t="s">
        <v>3705</v>
      </c>
      <c r="N2125" s="463">
        <v>2800</v>
      </c>
      <c r="O2125" s="481">
        <f t="shared" si="8"/>
        <v>2800</v>
      </c>
      <c r="P2125" s="479"/>
      <c r="Q2125" s="477">
        <v>46023</v>
      </c>
      <c r="R2125" s="486"/>
      <c r="S2125" s="486"/>
    </row>
    <row r="2126" spans="1:19" ht="15.75" customHeight="1" x14ac:dyDescent="0.25">
      <c r="A2126" s="438">
        <v>2123</v>
      </c>
      <c r="B2126" s="479" t="s">
        <v>17</v>
      </c>
      <c r="C2126" s="471" t="s">
        <v>18</v>
      </c>
      <c r="D2126" s="480" t="s">
        <v>2301</v>
      </c>
      <c r="E2126" s="448" t="s">
        <v>4085</v>
      </c>
      <c r="F2126" s="448" t="s">
        <v>2982</v>
      </c>
      <c r="G2126" s="452" t="s">
        <v>3045</v>
      </c>
      <c r="H2126" s="441" t="s">
        <v>1591</v>
      </c>
      <c r="I2126" s="474" t="s">
        <v>3457</v>
      </c>
      <c r="J2126" s="474" t="s">
        <v>3464</v>
      </c>
      <c r="K2126" s="443" t="s">
        <v>1592</v>
      </c>
      <c r="L2126" s="471">
        <v>1</v>
      </c>
      <c r="M2126" s="452" t="s">
        <v>3706</v>
      </c>
      <c r="N2126" s="463">
        <v>2800</v>
      </c>
      <c r="O2126" s="481">
        <f t="shared" si="8"/>
        <v>2800</v>
      </c>
      <c r="P2126" s="479"/>
      <c r="Q2126" s="477">
        <v>46023</v>
      </c>
      <c r="R2126" s="486"/>
      <c r="S2126" s="486"/>
    </row>
    <row r="2127" spans="1:19" ht="15.75" customHeight="1" x14ac:dyDescent="0.25">
      <c r="A2127" s="438">
        <v>2124</v>
      </c>
      <c r="B2127" s="479" t="s">
        <v>17</v>
      </c>
      <c r="C2127" s="471" t="s">
        <v>18</v>
      </c>
      <c r="D2127" s="480" t="s">
        <v>2301</v>
      </c>
      <c r="E2127" s="448" t="s">
        <v>4085</v>
      </c>
      <c r="F2127" s="448" t="s">
        <v>2982</v>
      </c>
      <c r="G2127" s="452" t="s">
        <v>3045</v>
      </c>
      <c r="H2127" s="441" t="s">
        <v>1591</v>
      </c>
      <c r="I2127" s="474" t="s">
        <v>3457</v>
      </c>
      <c r="J2127" s="474" t="s">
        <v>3464</v>
      </c>
      <c r="K2127" s="443" t="s">
        <v>1592</v>
      </c>
      <c r="L2127" s="471">
        <v>1</v>
      </c>
      <c r="M2127" s="452" t="s">
        <v>3707</v>
      </c>
      <c r="N2127" s="463">
        <v>2800</v>
      </c>
      <c r="O2127" s="481">
        <f t="shared" si="8"/>
        <v>2800</v>
      </c>
      <c r="P2127" s="479"/>
      <c r="Q2127" s="477">
        <v>46023</v>
      </c>
      <c r="R2127" s="486"/>
      <c r="S2127" s="486"/>
    </row>
    <row r="2128" spans="1:19" ht="15.75" customHeight="1" x14ac:dyDescent="0.25">
      <c r="A2128" s="438">
        <v>2125</v>
      </c>
      <c r="B2128" s="479" t="s">
        <v>17</v>
      </c>
      <c r="C2128" s="471" t="s">
        <v>18</v>
      </c>
      <c r="D2128" s="480" t="s">
        <v>2301</v>
      </c>
      <c r="E2128" s="448" t="s">
        <v>4085</v>
      </c>
      <c r="F2128" s="448" t="s">
        <v>2982</v>
      </c>
      <c r="G2128" s="452" t="s">
        <v>3045</v>
      </c>
      <c r="H2128" s="441" t="s">
        <v>1591</v>
      </c>
      <c r="I2128" s="474" t="s">
        <v>3457</v>
      </c>
      <c r="J2128" s="474" t="s">
        <v>3464</v>
      </c>
      <c r="K2128" s="443" t="s">
        <v>1592</v>
      </c>
      <c r="L2128" s="471">
        <v>1</v>
      </c>
      <c r="M2128" s="452" t="s">
        <v>3708</v>
      </c>
      <c r="N2128" s="463">
        <v>2800</v>
      </c>
      <c r="O2128" s="481">
        <f t="shared" si="8"/>
        <v>2800</v>
      </c>
      <c r="P2128" s="479"/>
      <c r="Q2128" s="477">
        <v>46023</v>
      </c>
      <c r="R2128" s="486"/>
      <c r="S2128" s="486"/>
    </row>
    <row r="2129" spans="1:19" ht="15.75" customHeight="1" x14ac:dyDescent="0.25">
      <c r="A2129" s="438">
        <v>2126</v>
      </c>
      <c r="B2129" s="479" t="s">
        <v>17</v>
      </c>
      <c r="C2129" s="471" t="s">
        <v>18</v>
      </c>
      <c r="D2129" s="480" t="s">
        <v>2301</v>
      </c>
      <c r="E2129" s="448" t="s">
        <v>4085</v>
      </c>
      <c r="F2129" s="448" t="s">
        <v>2982</v>
      </c>
      <c r="G2129" s="452" t="s">
        <v>3045</v>
      </c>
      <c r="H2129" s="441" t="s">
        <v>1591</v>
      </c>
      <c r="I2129" s="474" t="s">
        <v>3457</v>
      </c>
      <c r="J2129" s="474" t="s">
        <v>3464</v>
      </c>
      <c r="K2129" s="443" t="s">
        <v>1592</v>
      </c>
      <c r="L2129" s="471">
        <v>1</v>
      </c>
      <c r="M2129" s="452" t="s">
        <v>3709</v>
      </c>
      <c r="N2129" s="463">
        <v>2800</v>
      </c>
      <c r="O2129" s="481">
        <f t="shared" si="8"/>
        <v>2800</v>
      </c>
      <c r="P2129" s="479"/>
      <c r="Q2129" s="477">
        <v>46023</v>
      </c>
      <c r="R2129" s="486"/>
      <c r="S2129" s="486"/>
    </row>
    <row r="2130" spans="1:19" ht="15.75" customHeight="1" x14ac:dyDescent="0.25">
      <c r="A2130" s="438">
        <v>2127</v>
      </c>
      <c r="B2130" s="479" t="s">
        <v>17</v>
      </c>
      <c r="C2130" s="471" t="s">
        <v>18</v>
      </c>
      <c r="D2130" s="480" t="s">
        <v>2301</v>
      </c>
      <c r="E2130" s="448" t="s">
        <v>4085</v>
      </c>
      <c r="F2130" s="448" t="s">
        <v>2982</v>
      </c>
      <c r="G2130" s="452" t="s">
        <v>3045</v>
      </c>
      <c r="H2130" s="441" t="s">
        <v>1591</v>
      </c>
      <c r="I2130" s="474" t="s">
        <v>3457</v>
      </c>
      <c r="J2130" s="474" t="s">
        <v>3464</v>
      </c>
      <c r="K2130" s="443" t="s">
        <v>1592</v>
      </c>
      <c r="L2130" s="471">
        <v>1</v>
      </c>
      <c r="M2130" s="452" t="s">
        <v>3710</v>
      </c>
      <c r="N2130" s="463">
        <v>2800</v>
      </c>
      <c r="O2130" s="481">
        <f t="shared" si="8"/>
        <v>2800</v>
      </c>
      <c r="P2130" s="479"/>
      <c r="Q2130" s="477">
        <v>46023</v>
      </c>
      <c r="R2130" s="486"/>
      <c r="S2130" s="486"/>
    </row>
    <row r="2131" spans="1:19" ht="15.75" customHeight="1" x14ac:dyDescent="0.25">
      <c r="A2131" s="438">
        <v>2128</v>
      </c>
      <c r="B2131" s="479" t="s">
        <v>17</v>
      </c>
      <c r="C2131" s="471" t="s">
        <v>18</v>
      </c>
      <c r="D2131" s="480" t="s">
        <v>2301</v>
      </c>
      <c r="E2131" s="448" t="s">
        <v>4085</v>
      </c>
      <c r="F2131" s="448" t="s">
        <v>2982</v>
      </c>
      <c r="G2131" s="452" t="s">
        <v>3045</v>
      </c>
      <c r="H2131" s="441" t="s">
        <v>1591</v>
      </c>
      <c r="I2131" s="474" t="s">
        <v>3457</v>
      </c>
      <c r="J2131" s="474" t="s">
        <v>3464</v>
      </c>
      <c r="K2131" s="443" t="s">
        <v>1592</v>
      </c>
      <c r="L2131" s="471">
        <v>1</v>
      </c>
      <c r="M2131" s="452" t="s">
        <v>3711</v>
      </c>
      <c r="N2131" s="463">
        <v>2800</v>
      </c>
      <c r="O2131" s="481">
        <f t="shared" si="8"/>
        <v>2800</v>
      </c>
      <c r="P2131" s="479"/>
      <c r="Q2131" s="477">
        <v>46023</v>
      </c>
      <c r="R2131" s="486"/>
      <c r="S2131" s="486"/>
    </row>
    <row r="2132" spans="1:19" ht="15.75" customHeight="1" x14ac:dyDescent="0.25">
      <c r="A2132" s="438">
        <v>2129</v>
      </c>
      <c r="B2132" s="479" t="s">
        <v>17</v>
      </c>
      <c r="C2132" s="471" t="s">
        <v>18</v>
      </c>
      <c r="D2132" s="480" t="s">
        <v>2301</v>
      </c>
      <c r="E2132" s="448" t="s">
        <v>4085</v>
      </c>
      <c r="F2132" s="448" t="s">
        <v>2982</v>
      </c>
      <c r="G2132" s="452" t="s">
        <v>3045</v>
      </c>
      <c r="H2132" s="441" t="s">
        <v>1591</v>
      </c>
      <c r="I2132" s="474" t="s">
        <v>3457</v>
      </c>
      <c r="J2132" s="474" t="s">
        <v>3464</v>
      </c>
      <c r="K2132" s="443" t="s">
        <v>1592</v>
      </c>
      <c r="L2132" s="471">
        <v>1</v>
      </c>
      <c r="M2132" s="452" t="s">
        <v>3712</v>
      </c>
      <c r="N2132" s="463">
        <v>2800</v>
      </c>
      <c r="O2132" s="481">
        <f t="shared" si="8"/>
        <v>2800</v>
      </c>
      <c r="P2132" s="479"/>
      <c r="Q2132" s="477">
        <v>46023</v>
      </c>
      <c r="R2132" s="486"/>
      <c r="S2132" s="486"/>
    </row>
    <row r="2133" spans="1:19" ht="15.75" customHeight="1" x14ac:dyDescent="0.25">
      <c r="A2133" s="438">
        <v>2130</v>
      </c>
      <c r="B2133" s="479" t="s">
        <v>17</v>
      </c>
      <c r="C2133" s="471" t="s">
        <v>18</v>
      </c>
      <c r="D2133" s="480" t="s">
        <v>2301</v>
      </c>
      <c r="E2133" s="448" t="s">
        <v>4085</v>
      </c>
      <c r="F2133" s="448" t="s">
        <v>2982</v>
      </c>
      <c r="G2133" s="452" t="s">
        <v>3045</v>
      </c>
      <c r="H2133" s="441" t="s">
        <v>1591</v>
      </c>
      <c r="I2133" s="474" t="s">
        <v>3457</v>
      </c>
      <c r="J2133" s="474" t="s">
        <v>3464</v>
      </c>
      <c r="K2133" s="443" t="s">
        <v>1592</v>
      </c>
      <c r="L2133" s="471">
        <v>1</v>
      </c>
      <c r="M2133" s="452" t="s">
        <v>3713</v>
      </c>
      <c r="N2133" s="463">
        <v>2800</v>
      </c>
      <c r="O2133" s="481">
        <f t="shared" si="8"/>
        <v>2800</v>
      </c>
      <c r="P2133" s="479"/>
      <c r="Q2133" s="477">
        <v>46023</v>
      </c>
      <c r="R2133" s="486"/>
      <c r="S2133" s="486"/>
    </row>
    <row r="2134" spans="1:19" ht="15.75" customHeight="1" x14ac:dyDescent="0.25">
      <c r="A2134" s="438">
        <v>2131</v>
      </c>
      <c r="B2134" s="479" t="s">
        <v>17</v>
      </c>
      <c r="C2134" s="471" t="s">
        <v>18</v>
      </c>
      <c r="D2134" s="480" t="s">
        <v>2301</v>
      </c>
      <c r="E2134" s="448" t="s">
        <v>4085</v>
      </c>
      <c r="F2134" s="448" t="s">
        <v>2982</v>
      </c>
      <c r="G2134" s="452" t="s">
        <v>3045</v>
      </c>
      <c r="H2134" s="441" t="s">
        <v>1591</v>
      </c>
      <c r="I2134" s="474" t="s">
        <v>3457</v>
      </c>
      <c r="J2134" s="474" t="s">
        <v>3464</v>
      </c>
      <c r="K2134" s="443" t="s">
        <v>1592</v>
      </c>
      <c r="L2134" s="471">
        <v>1</v>
      </c>
      <c r="M2134" s="452" t="s">
        <v>3714</v>
      </c>
      <c r="N2134" s="463">
        <v>2800</v>
      </c>
      <c r="O2134" s="481">
        <f t="shared" si="8"/>
        <v>2800</v>
      </c>
      <c r="P2134" s="479"/>
      <c r="Q2134" s="477">
        <v>46023</v>
      </c>
      <c r="R2134" s="486"/>
      <c r="S2134" s="486"/>
    </row>
    <row r="2135" spans="1:19" ht="15.75" customHeight="1" x14ac:dyDescent="0.25">
      <c r="A2135" s="438">
        <v>2132</v>
      </c>
      <c r="B2135" s="479" t="s">
        <v>17</v>
      </c>
      <c r="C2135" s="471" t="s">
        <v>18</v>
      </c>
      <c r="D2135" s="480" t="s">
        <v>2301</v>
      </c>
      <c r="E2135" s="448" t="s">
        <v>4085</v>
      </c>
      <c r="F2135" s="448" t="s">
        <v>2982</v>
      </c>
      <c r="G2135" s="452" t="s">
        <v>3045</v>
      </c>
      <c r="H2135" s="441" t="s">
        <v>1591</v>
      </c>
      <c r="I2135" s="474" t="s">
        <v>3457</v>
      </c>
      <c r="J2135" s="474" t="s">
        <v>3464</v>
      </c>
      <c r="K2135" s="443" t="s">
        <v>1592</v>
      </c>
      <c r="L2135" s="471">
        <v>1</v>
      </c>
      <c r="M2135" s="452" t="s">
        <v>3715</v>
      </c>
      <c r="N2135" s="463">
        <v>2800</v>
      </c>
      <c r="O2135" s="481">
        <f t="shared" si="8"/>
        <v>2800</v>
      </c>
      <c r="P2135" s="479"/>
      <c r="Q2135" s="477">
        <v>46023</v>
      </c>
      <c r="R2135" s="486"/>
      <c r="S2135" s="486"/>
    </row>
    <row r="2136" spans="1:19" ht="15.75" customHeight="1" x14ac:dyDescent="0.25">
      <c r="A2136" s="438">
        <v>2133</v>
      </c>
      <c r="B2136" s="479" t="s">
        <v>17</v>
      </c>
      <c r="C2136" s="471" t="s">
        <v>18</v>
      </c>
      <c r="D2136" s="480" t="s">
        <v>2301</v>
      </c>
      <c r="E2136" s="448" t="s">
        <v>4085</v>
      </c>
      <c r="F2136" s="448" t="s">
        <v>2982</v>
      </c>
      <c r="G2136" s="452" t="s">
        <v>3045</v>
      </c>
      <c r="H2136" s="441" t="s">
        <v>1591</v>
      </c>
      <c r="I2136" s="474" t="s">
        <v>3457</v>
      </c>
      <c r="J2136" s="474" t="s">
        <v>3464</v>
      </c>
      <c r="K2136" s="443" t="s">
        <v>1592</v>
      </c>
      <c r="L2136" s="471">
        <v>1</v>
      </c>
      <c r="M2136" s="452" t="s">
        <v>3716</v>
      </c>
      <c r="N2136" s="463">
        <v>2800</v>
      </c>
      <c r="O2136" s="481">
        <f t="shared" si="8"/>
        <v>2800</v>
      </c>
      <c r="P2136" s="479"/>
      <c r="Q2136" s="477">
        <v>46023</v>
      </c>
      <c r="R2136" s="486"/>
      <c r="S2136" s="486"/>
    </row>
    <row r="2137" spans="1:19" ht="15.75" customHeight="1" x14ac:dyDescent="0.25">
      <c r="A2137" s="438">
        <v>2134</v>
      </c>
      <c r="B2137" s="479" t="s">
        <v>17</v>
      </c>
      <c r="C2137" s="471" t="s">
        <v>18</v>
      </c>
      <c r="D2137" s="480" t="s">
        <v>2301</v>
      </c>
      <c r="E2137" s="448" t="s">
        <v>4085</v>
      </c>
      <c r="F2137" s="448" t="s">
        <v>2982</v>
      </c>
      <c r="G2137" s="452" t="s">
        <v>3045</v>
      </c>
      <c r="H2137" s="441" t="s">
        <v>1591</v>
      </c>
      <c r="I2137" s="474" t="s">
        <v>3457</v>
      </c>
      <c r="J2137" s="474" t="s">
        <v>3464</v>
      </c>
      <c r="K2137" s="443" t="s">
        <v>1592</v>
      </c>
      <c r="L2137" s="471">
        <v>1</v>
      </c>
      <c r="M2137" s="452" t="s">
        <v>3717</v>
      </c>
      <c r="N2137" s="463">
        <v>2800</v>
      </c>
      <c r="O2137" s="481">
        <f t="shared" si="8"/>
        <v>2800</v>
      </c>
      <c r="P2137" s="479"/>
      <c r="Q2137" s="477">
        <v>46023</v>
      </c>
      <c r="R2137" s="486"/>
      <c r="S2137" s="486"/>
    </row>
    <row r="2138" spans="1:19" ht="15.75" customHeight="1" x14ac:dyDescent="0.25">
      <c r="A2138" s="438">
        <v>2135</v>
      </c>
      <c r="B2138" s="479" t="s">
        <v>17</v>
      </c>
      <c r="C2138" s="471" t="s">
        <v>18</v>
      </c>
      <c r="D2138" s="480" t="s">
        <v>2301</v>
      </c>
      <c r="E2138" s="448" t="s">
        <v>4085</v>
      </c>
      <c r="F2138" s="448" t="s">
        <v>2982</v>
      </c>
      <c r="G2138" s="452" t="s">
        <v>3045</v>
      </c>
      <c r="H2138" s="441" t="s">
        <v>1591</v>
      </c>
      <c r="I2138" s="474" t="s">
        <v>3457</v>
      </c>
      <c r="J2138" s="474" t="s">
        <v>3464</v>
      </c>
      <c r="K2138" s="443" t="s">
        <v>1592</v>
      </c>
      <c r="L2138" s="471">
        <v>1</v>
      </c>
      <c r="M2138" s="452" t="s">
        <v>3718</v>
      </c>
      <c r="N2138" s="463">
        <v>2800</v>
      </c>
      <c r="O2138" s="481">
        <f t="shared" si="8"/>
        <v>2800</v>
      </c>
      <c r="P2138" s="479"/>
      <c r="Q2138" s="477">
        <v>46023</v>
      </c>
      <c r="R2138" s="486"/>
      <c r="S2138" s="486"/>
    </row>
    <row r="2139" spans="1:19" ht="15.75" customHeight="1" x14ac:dyDescent="0.25">
      <c r="A2139" s="438">
        <v>2136</v>
      </c>
      <c r="B2139" s="479" t="s">
        <v>17</v>
      </c>
      <c r="C2139" s="471" t="s">
        <v>18</v>
      </c>
      <c r="D2139" s="480" t="s">
        <v>2301</v>
      </c>
      <c r="E2139" s="448" t="s">
        <v>4080</v>
      </c>
      <c r="F2139" s="448" t="s">
        <v>4080</v>
      </c>
      <c r="G2139" s="452" t="s">
        <v>3045</v>
      </c>
      <c r="H2139" s="441" t="s">
        <v>1591</v>
      </c>
      <c r="I2139" s="474" t="s">
        <v>3457</v>
      </c>
      <c r="J2139" s="474" t="s">
        <v>3464</v>
      </c>
      <c r="K2139" s="443" t="s">
        <v>1592</v>
      </c>
      <c r="L2139" s="471">
        <v>1</v>
      </c>
      <c r="M2139" s="452" t="s">
        <v>2422</v>
      </c>
      <c r="N2139" s="463">
        <v>3995</v>
      </c>
      <c r="O2139" s="481">
        <f t="shared" si="8"/>
        <v>3995</v>
      </c>
      <c r="P2139" s="479"/>
      <c r="Q2139" s="477">
        <v>46023</v>
      </c>
      <c r="R2139" s="486"/>
      <c r="S2139" s="486"/>
    </row>
    <row r="2140" spans="1:19" ht="15.75" customHeight="1" x14ac:dyDescent="0.25">
      <c r="A2140" s="438">
        <v>2137</v>
      </c>
      <c r="B2140" s="479" t="s">
        <v>17</v>
      </c>
      <c r="C2140" s="471" t="s">
        <v>18</v>
      </c>
      <c r="D2140" s="480" t="s">
        <v>2301</v>
      </c>
      <c r="E2140" s="448" t="s">
        <v>4080</v>
      </c>
      <c r="F2140" s="448" t="s">
        <v>4080</v>
      </c>
      <c r="G2140" s="452" t="s">
        <v>3045</v>
      </c>
      <c r="H2140" s="441" t="s">
        <v>1591</v>
      </c>
      <c r="I2140" s="474" t="s">
        <v>3457</v>
      </c>
      <c r="J2140" s="474" t="s">
        <v>3464</v>
      </c>
      <c r="K2140" s="443" t="s">
        <v>1592</v>
      </c>
      <c r="L2140" s="471">
        <v>1</v>
      </c>
      <c r="M2140" s="452" t="s">
        <v>2423</v>
      </c>
      <c r="N2140" s="463">
        <v>3995</v>
      </c>
      <c r="O2140" s="481">
        <f t="shared" si="8"/>
        <v>3995</v>
      </c>
      <c r="P2140" s="479"/>
      <c r="Q2140" s="477">
        <v>46023</v>
      </c>
      <c r="R2140" s="486"/>
      <c r="S2140" s="486"/>
    </row>
    <row r="2141" spans="1:19" ht="15.75" customHeight="1" x14ac:dyDescent="0.25">
      <c r="A2141" s="438">
        <v>2138</v>
      </c>
      <c r="B2141" s="479" t="s">
        <v>17</v>
      </c>
      <c r="C2141" s="471" t="s">
        <v>18</v>
      </c>
      <c r="D2141" s="480" t="s">
        <v>2301</v>
      </c>
      <c r="E2141" s="448" t="s">
        <v>4080</v>
      </c>
      <c r="F2141" s="448" t="s">
        <v>4080</v>
      </c>
      <c r="G2141" s="452" t="s">
        <v>3045</v>
      </c>
      <c r="H2141" s="441" t="s">
        <v>1591</v>
      </c>
      <c r="I2141" s="474" t="s">
        <v>3457</v>
      </c>
      <c r="J2141" s="474" t="s">
        <v>3464</v>
      </c>
      <c r="K2141" s="443" t="s">
        <v>1592</v>
      </c>
      <c r="L2141" s="471">
        <v>1</v>
      </c>
      <c r="M2141" s="452" t="s">
        <v>2424</v>
      </c>
      <c r="N2141" s="463">
        <v>3995</v>
      </c>
      <c r="O2141" s="481">
        <f t="shared" si="8"/>
        <v>3995</v>
      </c>
      <c r="P2141" s="479"/>
      <c r="Q2141" s="477">
        <v>46023</v>
      </c>
      <c r="R2141" s="486"/>
      <c r="S2141" s="486"/>
    </row>
    <row r="2142" spans="1:19" ht="15.75" customHeight="1" x14ac:dyDescent="0.25">
      <c r="A2142" s="438">
        <v>2139</v>
      </c>
      <c r="B2142" s="479" t="s">
        <v>17</v>
      </c>
      <c r="C2142" s="471" t="s">
        <v>18</v>
      </c>
      <c r="D2142" s="480" t="s">
        <v>2301</v>
      </c>
      <c r="E2142" s="448" t="s">
        <v>4080</v>
      </c>
      <c r="F2142" s="448" t="s">
        <v>4080</v>
      </c>
      <c r="G2142" s="452" t="s">
        <v>3045</v>
      </c>
      <c r="H2142" s="441" t="s">
        <v>1591</v>
      </c>
      <c r="I2142" s="474" t="s">
        <v>3457</v>
      </c>
      <c r="J2142" s="474" t="s">
        <v>3464</v>
      </c>
      <c r="K2142" s="443" t="s">
        <v>1592</v>
      </c>
      <c r="L2142" s="471">
        <v>1</v>
      </c>
      <c r="M2142" s="452" t="s">
        <v>2425</v>
      </c>
      <c r="N2142" s="463">
        <v>3995</v>
      </c>
      <c r="O2142" s="481">
        <f t="shared" si="8"/>
        <v>3995</v>
      </c>
      <c r="P2142" s="479"/>
      <c r="Q2142" s="477">
        <v>46023</v>
      </c>
      <c r="R2142" s="486"/>
      <c r="S2142" s="486"/>
    </row>
    <row r="2143" spans="1:19" ht="15.75" customHeight="1" x14ac:dyDescent="0.25">
      <c r="A2143" s="438">
        <v>2140</v>
      </c>
      <c r="B2143" s="479" t="s">
        <v>17</v>
      </c>
      <c r="C2143" s="471" t="s">
        <v>18</v>
      </c>
      <c r="D2143" s="480" t="s">
        <v>2301</v>
      </c>
      <c r="E2143" s="448" t="s">
        <v>4080</v>
      </c>
      <c r="F2143" s="448" t="s">
        <v>4080</v>
      </c>
      <c r="G2143" s="452" t="s">
        <v>3045</v>
      </c>
      <c r="H2143" s="441" t="s">
        <v>1591</v>
      </c>
      <c r="I2143" s="474" t="s">
        <v>3457</v>
      </c>
      <c r="J2143" s="474" t="s">
        <v>3464</v>
      </c>
      <c r="K2143" s="443" t="s">
        <v>1592</v>
      </c>
      <c r="L2143" s="471">
        <v>1</v>
      </c>
      <c r="M2143" s="452" t="s">
        <v>2426</v>
      </c>
      <c r="N2143" s="463">
        <v>3995</v>
      </c>
      <c r="O2143" s="481">
        <f t="shared" si="8"/>
        <v>3995</v>
      </c>
      <c r="P2143" s="479"/>
      <c r="Q2143" s="477">
        <v>46023</v>
      </c>
      <c r="R2143" s="486"/>
      <c r="S2143" s="486"/>
    </row>
    <row r="2144" spans="1:19" ht="15.75" customHeight="1" x14ac:dyDescent="0.25">
      <c r="A2144" s="438">
        <v>2141</v>
      </c>
      <c r="B2144" s="479" t="s">
        <v>17</v>
      </c>
      <c r="C2144" s="471" t="s">
        <v>18</v>
      </c>
      <c r="D2144" s="480" t="s">
        <v>2301</v>
      </c>
      <c r="E2144" s="448" t="s">
        <v>4080</v>
      </c>
      <c r="F2144" s="448" t="s">
        <v>4080</v>
      </c>
      <c r="G2144" s="452" t="s">
        <v>3045</v>
      </c>
      <c r="H2144" s="441" t="s">
        <v>1591</v>
      </c>
      <c r="I2144" s="474" t="s">
        <v>3457</v>
      </c>
      <c r="J2144" s="474" t="s">
        <v>3464</v>
      </c>
      <c r="K2144" s="443" t="s">
        <v>1592</v>
      </c>
      <c r="L2144" s="471">
        <v>1</v>
      </c>
      <c r="M2144" s="452" t="s">
        <v>2427</v>
      </c>
      <c r="N2144" s="463">
        <v>3995</v>
      </c>
      <c r="O2144" s="481">
        <f t="shared" si="8"/>
        <v>3995</v>
      </c>
      <c r="P2144" s="479"/>
      <c r="Q2144" s="477">
        <v>46023</v>
      </c>
      <c r="R2144" s="486"/>
      <c r="S2144" s="486"/>
    </row>
    <row r="2145" spans="1:19" ht="15.75" customHeight="1" x14ac:dyDescent="0.25">
      <c r="A2145" s="438">
        <v>2142</v>
      </c>
      <c r="B2145" s="479" t="s">
        <v>17</v>
      </c>
      <c r="C2145" s="471" t="s">
        <v>18</v>
      </c>
      <c r="D2145" s="480" t="s">
        <v>2301</v>
      </c>
      <c r="E2145" s="448" t="s">
        <v>4080</v>
      </c>
      <c r="F2145" s="448" t="s">
        <v>4080</v>
      </c>
      <c r="G2145" s="452" t="s">
        <v>3045</v>
      </c>
      <c r="H2145" s="441" t="s">
        <v>1591</v>
      </c>
      <c r="I2145" s="474" t="s">
        <v>3457</v>
      </c>
      <c r="J2145" s="474" t="s">
        <v>3464</v>
      </c>
      <c r="K2145" s="443" t="s">
        <v>1592</v>
      </c>
      <c r="L2145" s="471">
        <v>1</v>
      </c>
      <c r="M2145" s="452" t="s">
        <v>2428</v>
      </c>
      <c r="N2145" s="463">
        <v>3995</v>
      </c>
      <c r="O2145" s="481">
        <f t="shared" si="8"/>
        <v>3995</v>
      </c>
      <c r="P2145" s="479"/>
      <c r="Q2145" s="477">
        <v>46023</v>
      </c>
      <c r="R2145" s="486"/>
      <c r="S2145" s="486"/>
    </row>
    <row r="2146" spans="1:19" ht="15.75" customHeight="1" x14ac:dyDescent="0.25">
      <c r="A2146" s="438">
        <v>2143</v>
      </c>
      <c r="B2146" s="479" t="s">
        <v>17</v>
      </c>
      <c r="C2146" s="471" t="s">
        <v>18</v>
      </c>
      <c r="D2146" s="480" t="s">
        <v>2301</v>
      </c>
      <c r="E2146" s="448" t="s">
        <v>4080</v>
      </c>
      <c r="F2146" s="448" t="s">
        <v>4080</v>
      </c>
      <c r="G2146" s="452" t="s">
        <v>3045</v>
      </c>
      <c r="H2146" s="441" t="s">
        <v>1591</v>
      </c>
      <c r="I2146" s="474" t="s">
        <v>3457</v>
      </c>
      <c r="J2146" s="474" t="s">
        <v>3464</v>
      </c>
      <c r="K2146" s="443" t="s">
        <v>1592</v>
      </c>
      <c r="L2146" s="471">
        <v>1</v>
      </c>
      <c r="M2146" s="452" t="s">
        <v>2429</v>
      </c>
      <c r="N2146" s="463">
        <v>3995</v>
      </c>
      <c r="O2146" s="481">
        <f t="shared" si="8"/>
        <v>3995</v>
      </c>
      <c r="P2146" s="479"/>
      <c r="Q2146" s="477">
        <v>46023</v>
      </c>
      <c r="R2146" s="486"/>
      <c r="S2146" s="486"/>
    </row>
    <row r="2147" spans="1:19" ht="15.75" customHeight="1" x14ac:dyDescent="0.25">
      <c r="A2147" s="438">
        <v>2144</v>
      </c>
      <c r="B2147" s="479" t="s">
        <v>17</v>
      </c>
      <c r="C2147" s="471" t="s">
        <v>18</v>
      </c>
      <c r="D2147" s="480" t="s">
        <v>2301</v>
      </c>
      <c r="E2147" s="448" t="s">
        <v>4080</v>
      </c>
      <c r="F2147" s="448" t="s">
        <v>4080</v>
      </c>
      <c r="G2147" s="452" t="s">
        <v>3045</v>
      </c>
      <c r="H2147" s="441" t="s">
        <v>1591</v>
      </c>
      <c r="I2147" s="474" t="s">
        <v>3457</v>
      </c>
      <c r="J2147" s="474" t="s">
        <v>3464</v>
      </c>
      <c r="K2147" s="443" t="s">
        <v>1592</v>
      </c>
      <c r="L2147" s="471">
        <v>1</v>
      </c>
      <c r="M2147" s="452" t="s">
        <v>2430</v>
      </c>
      <c r="N2147" s="463">
        <v>3995</v>
      </c>
      <c r="O2147" s="481">
        <f t="shared" si="8"/>
        <v>3995</v>
      </c>
      <c r="P2147" s="479"/>
      <c r="Q2147" s="477">
        <v>46023</v>
      </c>
      <c r="R2147" s="486"/>
      <c r="S2147" s="486"/>
    </row>
    <row r="2148" spans="1:19" ht="15.75" customHeight="1" x14ac:dyDescent="0.25">
      <c r="A2148" s="438">
        <v>2145</v>
      </c>
      <c r="B2148" s="479" t="s">
        <v>17</v>
      </c>
      <c r="C2148" s="471" t="s">
        <v>18</v>
      </c>
      <c r="D2148" s="480" t="s">
        <v>2301</v>
      </c>
      <c r="E2148" s="448" t="s">
        <v>4080</v>
      </c>
      <c r="F2148" s="448" t="s">
        <v>4080</v>
      </c>
      <c r="G2148" s="452" t="s">
        <v>3045</v>
      </c>
      <c r="H2148" s="441" t="s">
        <v>1591</v>
      </c>
      <c r="I2148" s="474" t="s">
        <v>3457</v>
      </c>
      <c r="J2148" s="474" t="s">
        <v>3464</v>
      </c>
      <c r="K2148" s="443" t="s">
        <v>1592</v>
      </c>
      <c r="L2148" s="471">
        <v>1</v>
      </c>
      <c r="M2148" s="452" t="s">
        <v>2431</v>
      </c>
      <c r="N2148" s="463">
        <v>3995</v>
      </c>
      <c r="O2148" s="481">
        <f t="shared" si="8"/>
        <v>3995</v>
      </c>
      <c r="P2148" s="479"/>
      <c r="Q2148" s="477">
        <v>46023</v>
      </c>
      <c r="R2148" s="486"/>
      <c r="S2148" s="486"/>
    </row>
    <row r="2149" spans="1:19" ht="15.75" customHeight="1" x14ac:dyDescent="0.25">
      <c r="A2149" s="438">
        <v>2146</v>
      </c>
      <c r="B2149" s="479" t="s">
        <v>17</v>
      </c>
      <c r="C2149" s="471" t="s">
        <v>18</v>
      </c>
      <c r="D2149" s="480" t="s">
        <v>2301</v>
      </c>
      <c r="E2149" s="448" t="s">
        <v>4086</v>
      </c>
      <c r="F2149" s="448" t="s">
        <v>4111</v>
      </c>
      <c r="G2149" s="452" t="s">
        <v>3045</v>
      </c>
      <c r="H2149" s="441" t="s">
        <v>1591</v>
      </c>
      <c r="I2149" s="474" t="s">
        <v>3457</v>
      </c>
      <c r="J2149" s="474" t="s">
        <v>3464</v>
      </c>
      <c r="K2149" s="443" t="s">
        <v>1592</v>
      </c>
      <c r="L2149" s="471">
        <v>1</v>
      </c>
      <c r="M2149" s="452" t="s">
        <v>3089</v>
      </c>
      <c r="N2149" s="463">
        <v>4200</v>
      </c>
      <c r="O2149" s="481">
        <f t="shared" si="8"/>
        <v>4200</v>
      </c>
      <c r="P2149" s="479"/>
      <c r="Q2149" s="477">
        <v>46023</v>
      </c>
      <c r="R2149" s="486"/>
      <c r="S2149" s="486"/>
    </row>
    <row r="2150" spans="1:19" ht="15.75" customHeight="1" x14ac:dyDescent="0.25">
      <c r="A2150" s="438">
        <v>2147</v>
      </c>
      <c r="B2150" s="479" t="s">
        <v>17</v>
      </c>
      <c r="C2150" s="471" t="s">
        <v>18</v>
      </c>
      <c r="D2150" s="480" t="s">
        <v>2301</v>
      </c>
      <c r="E2150" s="448" t="s">
        <v>4091</v>
      </c>
      <c r="F2150" s="448" t="s">
        <v>4115</v>
      </c>
      <c r="G2150" s="452" t="s">
        <v>3045</v>
      </c>
      <c r="H2150" s="441" t="s">
        <v>1591</v>
      </c>
      <c r="I2150" s="474" t="s">
        <v>3457</v>
      </c>
      <c r="J2150" s="474" t="s">
        <v>3464</v>
      </c>
      <c r="K2150" s="443" t="s">
        <v>1592</v>
      </c>
      <c r="L2150" s="471">
        <v>1</v>
      </c>
      <c r="M2150" s="452" t="s">
        <v>3719</v>
      </c>
      <c r="N2150" s="463">
        <v>3500</v>
      </c>
      <c r="O2150" s="481">
        <f t="shared" si="8"/>
        <v>3500</v>
      </c>
      <c r="P2150" s="479"/>
      <c r="Q2150" s="477">
        <v>46023</v>
      </c>
      <c r="R2150" s="486"/>
      <c r="S2150" s="486"/>
    </row>
    <row r="2151" spans="1:19" ht="15.75" customHeight="1" x14ac:dyDescent="0.25">
      <c r="A2151" s="438">
        <v>2148</v>
      </c>
      <c r="B2151" s="479" t="s">
        <v>17</v>
      </c>
      <c r="C2151" s="471" t="s">
        <v>18</v>
      </c>
      <c r="D2151" s="480" t="s">
        <v>2301</v>
      </c>
      <c r="E2151" s="448" t="s">
        <v>4091</v>
      </c>
      <c r="F2151" s="448" t="s">
        <v>4115</v>
      </c>
      <c r="G2151" s="452" t="s">
        <v>3045</v>
      </c>
      <c r="H2151" s="441" t="s">
        <v>1591</v>
      </c>
      <c r="I2151" s="474" t="s">
        <v>3457</v>
      </c>
      <c r="J2151" s="474" t="s">
        <v>3464</v>
      </c>
      <c r="K2151" s="443" t="s">
        <v>1592</v>
      </c>
      <c r="L2151" s="471">
        <v>1</v>
      </c>
      <c r="M2151" s="452" t="s">
        <v>3720</v>
      </c>
      <c r="N2151" s="463">
        <v>3500</v>
      </c>
      <c r="O2151" s="481">
        <f t="shared" si="8"/>
        <v>3500</v>
      </c>
      <c r="P2151" s="479"/>
      <c r="Q2151" s="477">
        <v>46023</v>
      </c>
      <c r="R2151" s="486"/>
      <c r="S2151" s="486"/>
    </row>
    <row r="2152" spans="1:19" ht="15.75" customHeight="1" x14ac:dyDescent="0.25">
      <c r="A2152" s="438">
        <v>2149</v>
      </c>
      <c r="B2152" s="479" t="s">
        <v>17</v>
      </c>
      <c r="C2152" s="471" t="s">
        <v>18</v>
      </c>
      <c r="D2152" s="480" t="s">
        <v>2301</v>
      </c>
      <c r="E2152" s="448" t="s">
        <v>4086</v>
      </c>
      <c r="F2152" s="448" t="s">
        <v>4127</v>
      </c>
      <c r="G2152" s="452" t="s">
        <v>3045</v>
      </c>
      <c r="H2152" s="441" t="s">
        <v>1591</v>
      </c>
      <c r="I2152" s="474" t="s">
        <v>3457</v>
      </c>
      <c r="J2152" s="474" t="s">
        <v>3464</v>
      </c>
      <c r="K2152" s="443" t="s">
        <v>1592</v>
      </c>
      <c r="L2152" s="471">
        <v>1</v>
      </c>
      <c r="M2152" s="452" t="s">
        <v>3721</v>
      </c>
      <c r="N2152" s="463">
        <v>3500</v>
      </c>
      <c r="O2152" s="481">
        <f t="shared" si="8"/>
        <v>3500</v>
      </c>
      <c r="P2152" s="479"/>
      <c r="Q2152" s="477">
        <v>46023</v>
      </c>
      <c r="R2152" s="486"/>
      <c r="S2152" s="486"/>
    </row>
    <row r="2153" spans="1:19" ht="15.75" customHeight="1" x14ac:dyDescent="0.25">
      <c r="A2153" s="438">
        <v>2150</v>
      </c>
      <c r="B2153" s="479" t="s">
        <v>17</v>
      </c>
      <c r="C2153" s="471" t="s">
        <v>18</v>
      </c>
      <c r="D2153" s="480" t="s">
        <v>2301</v>
      </c>
      <c r="E2153" s="448" t="s">
        <v>4086</v>
      </c>
      <c r="F2153" s="448" t="s">
        <v>4127</v>
      </c>
      <c r="G2153" s="452" t="s">
        <v>3045</v>
      </c>
      <c r="H2153" s="441" t="s">
        <v>1591</v>
      </c>
      <c r="I2153" s="474" t="s">
        <v>3457</v>
      </c>
      <c r="J2153" s="474" t="s">
        <v>3464</v>
      </c>
      <c r="K2153" s="443" t="s">
        <v>1592</v>
      </c>
      <c r="L2153" s="471">
        <v>1</v>
      </c>
      <c r="M2153" s="452" t="s">
        <v>3722</v>
      </c>
      <c r="N2153" s="463">
        <v>3500</v>
      </c>
      <c r="O2153" s="481">
        <f t="shared" si="8"/>
        <v>3500</v>
      </c>
      <c r="P2153" s="479"/>
      <c r="Q2153" s="477">
        <v>46023</v>
      </c>
      <c r="R2153" s="486"/>
      <c r="S2153" s="486"/>
    </row>
    <row r="2154" spans="1:19" ht="15.75" customHeight="1" x14ac:dyDescent="0.25">
      <c r="A2154" s="438">
        <v>2151</v>
      </c>
      <c r="B2154" s="479" t="s">
        <v>17</v>
      </c>
      <c r="C2154" s="471" t="s">
        <v>18</v>
      </c>
      <c r="D2154" s="480" t="s">
        <v>2301</v>
      </c>
      <c r="E2154" s="448" t="s">
        <v>4086</v>
      </c>
      <c r="F2154" s="448" t="s">
        <v>4111</v>
      </c>
      <c r="G2154" s="452" t="s">
        <v>3045</v>
      </c>
      <c r="H2154" s="441" t="s">
        <v>1591</v>
      </c>
      <c r="I2154" s="474" t="s">
        <v>3457</v>
      </c>
      <c r="J2154" s="474" t="s">
        <v>3464</v>
      </c>
      <c r="K2154" s="443" t="s">
        <v>1592</v>
      </c>
      <c r="L2154" s="471">
        <v>1</v>
      </c>
      <c r="M2154" s="452" t="s">
        <v>3723</v>
      </c>
      <c r="N2154" s="463">
        <v>3500</v>
      </c>
      <c r="O2154" s="481">
        <f t="shared" si="8"/>
        <v>3500</v>
      </c>
      <c r="P2154" s="479"/>
      <c r="Q2154" s="477">
        <v>46023</v>
      </c>
      <c r="R2154" s="486"/>
      <c r="S2154" s="486"/>
    </row>
    <row r="2155" spans="1:19" ht="15.75" customHeight="1" x14ac:dyDescent="0.25">
      <c r="A2155" s="438">
        <v>2152</v>
      </c>
      <c r="B2155" s="479" t="s">
        <v>17</v>
      </c>
      <c r="C2155" s="471" t="s">
        <v>18</v>
      </c>
      <c r="D2155" s="480" t="s">
        <v>2301</v>
      </c>
      <c r="E2155" s="448" t="s">
        <v>4086</v>
      </c>
      <c r="F2155" s="448" t="s">
        <v>4111</v>
      </c>
      <c r="G2155" s="452" t="s">
        <v>3045</v>
      </c>
      <c r="H2155" s="441" t="s">
        <v>1591</v>
      </c>
      <c r="I2155" s="474" t="s">
        <v>3457</v>
      </c>
      <c r="J2155" s="474" t="s">
        <v>3464</v>
      </c>
      <c r="K2155" s="443" t="s">
        <v>1592</v>
      </c>
      <c r="L2155" s="471">
        <v>1</v>
      </c>
      <c r="M2155" s="452" t="s">
        <v>3724</v>
      </c>
      <c r="N2155" s="463">
        <v>3500</v>
      </c>
      <c r="O2155" s="481">
        <f t="shared" si="8"/>
        <v>3500</v>
      </c>
      <c r="P2155" s="479"/>
      <c r="Q2155" s="477">
        <v>46023</v>
      </c>
      <c r="R2155" s="486"/>
      <c r="S2155" s="486"/>
    </row>
    <row r="2156" spans="1:19" ht="15.75" customHeight="1" x14ac:dyDescent="0.25">
      <c r="A2156" s="438">
        <v>2153</v>
      </c>
      <c r="B2156" s="479" t="s">
        <v>17</v>
      </c>
      <c r="C2156" s="471" t="s">
        <v>18</v>
      </c>
      <c r="D2156" s="480" t="s">
        <v>2301</v>
      </c>
      <c r="E2156" s="448" t="s">
        <v>4091</v>
      </c>
      <c r="F2156" s="448" t="s">
        <v>4129</v>
      </c>
      <c r="G2156" s="452" t="s">
        <v>3045</v>
      </c>
      <c r="H2156" s="441" t="s">
        <v>1591</v>
      </c>
      <c r="I2156" s="474" t="s">
        <v>3457</v>
      </c>
      <c r="J2156" s="474" t="s">
        <v>3464</v>
      </c>
      <c r="K2156" s="443" t="s">
        <v>1592</v>
      </c>
      <c r="L2156" s="471">
        <v>1</v>
      </c>
      <c r="M2156" s="452" t="s">
        <v>3725</v>
      </c>
      <c r="N2156" s="463">
        <v>3500</v>
      </c>
      <c r="O2156" s="481">
        <f t="shared" si="8"/>
        <v>3500</v>
      </c>
      <c r="P2156" s="479"/>
      <c r="Q2156" s="477">
        <v>46023</v>
      </c>
      <c r="R2156" s="486"/>
      <c r="S2156" s="486"/>
    </row>
    <row r="2157" spans="1:19" ht="15.75" customHeight="1" x14ac:dyDescent="0.25">
      <c r="A2157" s="438">
        <v>2154</v>
      </c>
      <c r="B2157" s="479" t="s">
        <v>17</v>
      </c>
      <c r="C2157" s="471" t="s">
        <v>18</v>
      </c>
      <c r="D2157" s="480" t="s">
        <v>2301</v>
      </c>
      <c r="E2157" s="448" t="s">
        <v>4091</v>
      </c>
      <c r="F2157" s="448" t="s">
        <v>4129</v>
      </c>
      <c r="G2157" s="452" t="s">
        <v>3045</v>
      </c>
      <c r="H2157" s="441" t="s">
        <v>1591</v>
      </c>
      <c r="I2157" s="474" t="s">
        <v>3457</v>
      </c>
      <c r="J2157" s="474" t="s">
        <v>3464</v>
      </c>
      <c r="K2157" s="443" t="s">
        <v>1592</v>
      </c>
      <c r="L2157" s="471">
        <v>1</v>
      </c>
      <c r="M2157" s="452" t="s">
        <v>3726</v>
      </c>
      <c r="N2157" s="463">
        <v>3500</v>
      </c>
      <c r="O2157" s="481">
        <f t="shared" si="8"/>
        <v>3500</v>
      </c>
      <c r="P2157" s="479"/>
      <c r="Q2157" s="477">
        <v>46023</v>
      </c>
      <c r="R2157" s="486"/>
      <c r="S2157" s="486"/>
    </row>
    <row r="2158" spans="1:19" ht="15.75" customHeight="1" x14ac:dyDescent="0.25">
      <c r="A2158" s="438">
        <v>2155</v>
      </c>
      <c r="B2158" s="479" t="s">
        <v>17</v>
      </c>
      <c r="C2158" s="471" t="s">
        <v>18</v>
      </c>
      <c r="D2158" s="480" t="s">
        <v>2301</v>
      </c>
      <c r="E2158" s="448" t="s">
        <v>4086</v>
      </c>
      <c r="F2158" s="448" t="s">
        <v>4127</v>
      </c>
      <c r="G2158" s="452" t="s">
        <v>3045</v>
      </c>
      <c r="H2158" s="441" t="s">
        <v>1591</v>
      </c>
      <c r="I2158" s="474" t="s">
        <v>3457</v>
      </c>
      <c r="J2158" s="474" t="s">
        <v>3464</v>
      </c>
      <c r="K2158" s="443" t="s">
        <v>1592</v>
      </c>
      <c r="L2158" s="471">
        <v>1</v>
      </c>
      <c r="M2158" s="452" t="s">
        <v>3727</v>
      </c>
      <c r="N2158" s="463">
        <v>3500</v>
      </c>
      <c r="O2158" s="481">
        <f t="shared" si="8"/>
        <v>3500</v>
      </c>
      <c r="P2158" s="479"/>
      <c r="Q2158" s="477">
        <v>46023</v>
      </c>
      <c r="R2158" s="486"/>
      <c r="S2158" s="486"/>
    </row>
    <row r="2159" spans="1:19" ht="15.75" customHeight="1" x14ac:dyDescent="0.25">
      <c r="A2159" s="438">
        <v>2156</v>
      </c>
      <c r="B2159" s="479" t="s">
        <v>17</v>
      </c>
      <c r="C2159" s="471" t="s">
        <v>18</v>
      </c>
      <c r="D2159" s="480" t="s">
        <v>2301</v>
      </c>
      <c r="E2159" s="448" t="s">
        <v>4086</v>
      </c>
      <c r="F2159" s="448" t="s">
        <v>4111</v>
      </c>
      <c r="G2159" s="452" t="s">
        <v>3045</v>
      </c>
      <c r="H2159" s="441" t="s">
        <v>1591</v>
      </c>
      <c r="I2159" s="474" t="s">
        <v>3457</v>
      </c>
      <c r="J2159" s="474" t="s">
        <v>3464</v>
      </c>
      <c r="K2159" s="443" t="s">
        <v>1592</v>
      </c>
      <c r="L2159" s="471">
        <v>1</v>
      </c>
      <c r="M2159" s="452" t="s">
        <v>3728</v>
      </c>
      <c r="N2159" s="463">
        <v>3500</v>
      </c>
      <c r="O2159" s="481">
        <f t="shared" si="8"/>
        <v>3500</v>
      </c>
      <c r="P2159" s="479"/>
      <c r="Q2159" s="477">
        <v>46023</v>
      </c>
      <c r="R2159" s="486"/>
      <c r="S2159" s="486"/>
    </row>
    <row r="2160" spans="1:19" ht="15.75" customHeight="1" x14ac:dyDescent="0.25">
      <c r="A2160" s="438">
        <v>2157</v>
      </c>
      <c r="B2160" s="479" t="s">
        <v>17</v>
      </c>
      <c r="C2160" s="471" t="s">
        <v>18</v>
      </c>
      <c r="D2160" s="480" t="s">
        <v>2301</v>
      </c>
      <c r="E2160" s="448" t="s">
        <v>4091</v>
      </c>
      <c r="F2160" s="448" t="s">
        <v>4115</v>
      </c>
      <c r="G2160" s="452" t="s">
        <v>3045</v>
      </c>
      <c r="H2160" s="441" t="s">
        <v>1591</v>
      </c>
      <c r="I2160" s="474" t="s">
        <v>3457</v>
      </c>
      <c r="J2160" s="474" t="s">
        <v>3464</v>
      </c>
      <c r="K2160" s="443" t="s">
        <v>1592</v>
      </c>
      <c r="L2160" s="471">
        <v>1</v>
      </c>
      <c r="M2160" s="452" t="s">
        <v>2912</v>
      </c>
      <c r="N2160" s="463">
        <v>2800</v>
      </c>
      <c r="O2160" s="481">
        <f t="shared" si="8"/>
        <v>2800</v>
      </c>
      <c r="P2160" s="479"/>
      <c r="Q2160" s="477">
        <v>46023</v>
      </c>
      <c r="R2160" s="486"/>
      <c r="S2160" s="486"/>
    </row>
    <row r="2161" spans="1:19" ht="15.75" customHeight="1" x14ac:dyDescent="0.25">
      <c r="A2161" s="438">
        <v>2158</v>
      </c>
      <c r="B2161" s="479" t="s">
        <v>17</v>
      </c>
      <c r="C2161" s="471" t="s">
        <v>18</v>
      </c>
      <c r="D2161" s="480" t="s">
        <v>2301</v>
      </c>
      <c r="E2161" s="448" t="s">
        <v>4091</v>
      </c>
      <c r="F2161" s="448" t="s">
        <v>4130</v>
      </c>
      <c r="G2161" s="452" t="s">
        <v>3045</v>
      </c>
      <c r="H2161" s="441" t="s">
        <v>1591</v>
      </c>
      <c r="I2161" s="474" t="s">
        <v>3457</v>
      </c>
      <c r="J2161" s="474" t="s">
        <v>3464</v>
      </c>
      <c r="K2161" s="443" t="s">
        <v>1592</v>
      </c>
      <c r="L2161" s="471">
        <v>1</v>
      </c>
      <c r="M2161" s="452" t="s">
        <v>2900</v>
      </c>
      <c r="N2161" s="463">
        <v>2800</v>
      </c>
      <c r="O2161" s="481">
        <f t="shared" si="8"/>
        <v>2800</v>
      </c>
      <c r="P2161" s="479"/>
      <c r="Q2161" s="477">
        <v>46023</v>
      </c>
      <c r="R2161" s="486"/>
      <c r="S2161" s="486"/>
    </row>
    <row r="2162" spans="1:19" ht="15.75" customHeight="1" x14ac:dyDescent="0.25">
      <c r="A2162" s="438">
        <v>2159</v>
      </c>
      <c r="B2162" s="479" t="s">
        <v>17</v>
      </c>
      <c r="C2162" s="471" t="s">
        <v>18</v>
      </c>
      <c r="D2162" s="480" t="s">
        <v>2301</v>
      </c>
      <c r="E2162" s="448" t="s">
        <v>4086</v>
      </c>
      <c r="F2162" s="448" t="s">
        <v>4111</v>
      </c>
      <c r="G2162" s="452" t="s">
        <v>3045</v>
      </c>
      <c r="H2162" s="441" t="s">
        <v>1591</v>
      </c>
      <c r="I2162" s="474" t="s">
        <v>3457</v>
      </c>
      <c r="J2162" s="474" t="s">
        <v>3464</v>
      </c>
      <c r="K2162" s="443" t="s">
        <v>1592</v>
      </c>
      <c r="L2162" s="471">
        <v>1</v>
      </c>
      <c r="M2162" s="452" t="s">
        <v>3729</v>
      </c>
      <c r="N2162" s="463">
        <v>2800</v>
      </c>
      <c r="O2162" s="481">
        <f t="shared" si="8"/>
        <v>2800</v>
      </c>
      <c r="P2162" s="479"/>
      <c r="Q2162" s="477">
        <v>46023</v>
      </c>
      <c r="R2162" s="486"/>
      <c r="S2162" s="486"/>
    </row>
    <row r="2163" spans="1:19" ht="15.75" customHeight="1" x14ac:dyDescent="0.25">
      <c r="A2163" s="438">
        <v>2160</v>
      </c>
      <c r="B2163" s="479" t="s">
        <v>17</v>
      </c>
      <c r="C2163" s="471" t="s">
        <v>18</v>
      </c>
      <c r="D2163" s="480" t="s">
        <v>2301</v>
      </c>
      <c r="E2163" s="448" t="s">
        <v>4080</v>
      </c>
      <c r="F2163" s="448" t="s">
        <v>4080</v>
      </c>
      <c r="G2163" s="452" t="s">
        <v>3045</v>
      </c>
      <c r="H2163" s="441" t="s">
        <v>1591</v>
      </c>
      <c r="I2163" s="474" t="s">
        <v>3457</v>
      </c>
      <c r="J2163" s="474" t="s">
        <v>3464</v>
      </c>
      <c r="K2163" s="443" t="s">
        <v>1592</v>
      </c>
      <c r="L2163" s="471">
        <v>1</v>
      </c>
      <c r="M2163" s="452" t="s">
        <v>2442</v>
      </c>
      <c r="N2163" s="463">
        <v>4300</v>
      </c>
      <c r="O2163" s="481">
        <f t="shared" si="8"/>
        <v>4300</v>
      </c>
      <c r="P2163" s="479"/>
      <c r="Q2163" s="477">
        <v>46023</v>
      </c>
      <c r="R2163" s="486"/>
      <c r="S2163" s="486"/>
    </row>
    <row r="2164" spans="1:19" ht="15.75" customHeight="1" x14ac:dyDescent="0.25">
      <c r="A2164" s="438">
        <v>2161</v>
      </c>
      <c r="B2164" s="479" t="s">
        <v>17</v>
      </c>
      <c r="C2164" s="471" t="s">
        <v>18</v>
      </c>
      <c r="D2164" s="480" t="s">
        <v>2301</v>
      </c>
      <c r="E2164" s="448" t="s">
        <v>4080</v>
      </c>
      <c r="F2164" s="448" t="s">
        <v>4080</v>
      </c>
      <c r="G2164" s="452" t="s">
        <v>3045</v>
      </c>
      <c r="H2164" s="441" t="s">
        <v>1591</v>
      </c>
      <c r="I2164" s="474" t="s">
        <v>3457</v>
      </c>
      <c r="J2164" s="474" t="s">
        <v>3464</v>
      </c>
      <c r="K2164" s="443" t="s">
        <v>1592</v>
      </c>
      <c r="L2164" s="471">
        <v>1</v>
      </c>
      <c r="M2164" s="452" t="s">
        <v>2443</v>
      </c>
      <c r="N2164" s="463">
        <v>4300</v>
      </c>
      <c r="O2164" s="481">
        <f t="shared" si="8"/>
        <v>4300</v>
      </c>
      <c r="P2164" s="479"/>
      <c r="Q2164" s="477">
        <v>46023</v>
      </c>
      <c r="R2164" s="486"/>
      <c r="S2164" s="486"/>
    </row>
    <row r="2165" spans="1:19" ht="15.75" customHeight="1" x14ac:dyDescent="0.25">
      <c r="A2165" s="438">
        <v>2162</v>
      </c>
      <c r="B2165" s="479" t="s">
        <v>17</v>
      </c>
      <c r="C2165" s="471" t="s">
        <v>18</v>
      </c>
      <c r="D2165" s="480" t="s">
        <v>2301</v>
      </c>
      <c r="E2165" s="448" t="s">
        <v>4080</v>
      </c>
      <c r="F2165" s="448" t="s">
        <v>4080</v>
      </c>
      <c r="G2165" s="452" t="s">
        <v>3045</v>
      </c>
      <c r="H2165" s="441" t="s">
        <v>1591</v>
      </c>
      <c r="I2165" s="474" t="s">
        <v>3457</v>
      </c>
      <c r="J2165" s="474" t="s">
        <v>3464</v>
      </c>
      <c r="K2165" s="443" t="s">
        <v>1592</v>
      </c>
      <c r="L2165" s="471">
        <v>1</v>
      </c>
      <c r="M2165" s="452" t="s">
        <v>2444</v>
      </c>
      <c r="N2165" s="463">
        <v>4300</v>
      </c>
      <c r="O2165" s="481">
        <f t="shared" si="8"/>
        <v>4300</v>
      </c>
      <c r="P2165" s="479"/>
      <c r="Q2165" s="477">
        <v>46023</v>
      </c>
      <c r="R2165" s="486"/>
      <c r="S2165" s="486"/>
    </row>
    <row r="2166" spans="1:19" ht="15.75" customHeight="1" x14ac:dyDescent="0.25">
      <c r="A2166" s="438">
        <v>2163</v>
      </c>
      <c r="B2166" s="479" t="s">
        <v>17</v>
      </c>
      <c r="C2166" s="471" t="s">
        <v>18</v>
      </c>
      <c r="D2166" s="480" t="s">
        <v>2301</v>
      </c>
      <c r="E2166" s="448" t="s">
        <v>4080</v>
      </c>
      <c r="F2166" s="448" t="s">
        <v>4080</v>
      </c>
      <c r="G2166" s="452" t="s">
        <v>3045</v>
      </c>
      <c r="H2166" s="441" t="s">
        <v>1591</v>
      </c>
      <c r="I2166" s="474" t="s">
        <v>3457</v>
      </c>
      <c r="J2166" s="474" t="s">
        <v>3464</v>
      </c>
      <c r="K2166" s="443" t="s">
        <v>1592</v>
      </c>
      <c r="L2166" s="471">
        <v>1</v>
      </c>
      <c r="M2166" s="452" t="s">
        <v>2445</v>
      </c>
      <c r="N2166" s="463">
        <v>4300</v>
      </c>
      <c r="O2166" s="481">
        <f t="shared" si="8"/>
        <v>4300</v>
      </c>
      <c r="P2166" s="479"/>
      <c r="Q2166" s="477">
        <v>46023</v>
      </c>
      <c r="R2166" s="486"/>
      <c r="S2166" s="486"/>
    </row>
    <row r="2167" spans="1:19" ht="15.75" customHeight="1" x14ac:dyDescent="0.25">
      <c r="A2167" s="438">
        <v>2164</v>
      </c>
      <c r="B2167" s="479" t="s">
        <v>17</v>
      </c>
      <c r="C2167" s="471" t="s">
        <v>18</v>
      </c>
      <c r="D2167" s="480" t="s">
        <v>2301</v>
      </c>
      <c r="E2167" s="448" t="s">
        <v>4080</v>
      </c>
      <c r="F2167" s="448" t="s">
        <v>4080</v>
      </c>
      <c r="G2167" s="452" t="s">
        <v>3045</v>
      </c>
      <c r="H2167" s="441" t="s">
        <v>1591</v>
      </c>
      <c r="I2167" s="474" t="s">
        <v>3457</v>
      </c>
      <c r="J2167" s="474" t="s">
        <v>3464</v>
      </c>
      <c r="K2167" s="443" t="s">
        <v>1592</v>
      </c>
      <c r="L2167" s="471">
        <v>1</v>
      </c>
      <c r="M2167" s="452" t="s">
        <v>2446</v>
      </c>
      <c r="N2167" s="463">
        <v>4300</v>
      </c>
      <c r="O2167" s="481">
        <f t="shared" si="8"/>
        <v>4300</v>
      </c>
      <c r="P2167" s="479"/>
      <c r="Q2167" s="477">
        <v>46023</v>
      </c>
      <c r="R2167" s="486"/>
      <c r="S2167" s="486"/>
    </row>
    <row r="2168" spans="1:19" ht="15.75" customHeight="1" x14ac:dyDescent="0.25">
      <c r="A2168" s="438">
        <v>2165</v>
      </c>
      <c r="B2168" s="479" t="s">
        <v>17</v>
      </c>
      <c r="C2168" s="471" t="s">
        <v>18</v>
      </c>
      <c r="D2168" s="480" t="s">
        <v>2301</v>
      </c>
      <c r="E2168" s="448" t="s">
        <v>4086</v>
      </c>
      <c r="F2168" s="448" t="s">
        <v>4131</v>
      </c>
      <c r="G2168" s="452" t="s">
        <v>3045</v>
      </c>
      <c r="H2168" s="441" t="s">
        <v>1591</v>
      </c>
      <c r="I2168" s="474" t="s">
        <v>3457</v>
      </c>
      <c r="J2168" s="474" t="s">
        <v>3464</v>
      </c>
      <c r="K2168" s="443" t="s">
        <v>1592</v>
      </c>
      <c r="L2168" s="471">
        <v>1</v>
      </c>
      <c r="M2168" s="452" t="s">
        <v>3096</v>
      </c>
      <c r="N2168" s="463">
        <v>3300</v>
      </c>
      <c r="O2168" s="481">
        <f t="shared" si="8"/>
        <v>3300</v>
      </c>
      <c r="P2168" s="479"/>
      <c r="Q2168" s="477">
        <v>46023</v>
      </c>
      <c r="R2168" s="486"/>
      <c r="S2168" s="486"/>
    </row>
    <row r="2169" spans="1:19" ht="15.75" customHeight="1" x14ac:dyDescent="0.25">
      <c r="A2169" s="438">
        <v>2166</v>
      </c>
      <c r="B2169" s="479" t="s">
        <v>17</v>
      </c>
      <c r="C2169" s="471" t="s">
        <v>18</v>
      </c>
      <c r="D2169" s="480" t="s">
        <v>2301</v>
      </c>
      <c r="E2169" s="448" t="s">
        <v>4086</v>
      </c>
      <c r="F2169" s="448" t="s">
        <v>4131</v>
      </c>
      <c r="G2169" s="452" t="s">
        <v>3045</v>
      </c>
      <c r="H2169" s="441" t="s">
        <v>1591</v>
      </c>
      <c r="I2169" s="474" t="s">
        <v>3457</v>
      </c>
      <c r="J2169" s="474" t="s">
        <v>3464</v>
      </c>
      <c r="K2169" s="443" t="s">
        <v>1592</v>
      </c>
      <c r="L2169" s="471">
        <v>1</v>
      </c>
      <c r="M2169" s="452" t="s">
        <v>3097</v>
      </c>
      <c r="N2169" s="463">
        <v>3300</v>
      </c>
      <c r="O2169" s="481">
        <f t="shared" si="8"/>
        <v>3300</v>
      </c>
      <c r="P2169" s="479"/>
      <c r="Q2169" s="477">
        <v>46023</v>
      </c>
      <c r="R2169" s="486"/>
      <c r="S2169" s="486"/>
    </row>
    <row r="2170" spans="1:19" ht="15.75" customHeight="1" x14ac:dyDescent="0.25">
      <c r="A2170" s="438">
        <v>2167</v>
      </c>
      <c r="B2170" s="479" t="s">
        <v>17</v>
      </c>
      <c r="C2170" s="471" t="s">
        <v>18</v>
      </c>
      <c r="D2170" s="480" t="s">
        <v>2301</v>
      </c>
      <c r="E2170" s="448" t="s">
        <v>4086</v>
      </c>
      <c r="F2170" s="448" t="s">
        <v>4131</v>
      </c>
      <c r="G2170" s="452" t="s">
        <v>3045</v>
      </c>
      <c r="H2170" s="441" t="s">
        <v>1591</v>
      </c>
      <c r="I2170" s="474" t="s">
        <v>3457</v>
      </c>
      <c r="J2170" s="474" t="s">
        <v>3464</v>
      </c>
      <c r="K2170" s="443" t="s">
        <v>1592</v>
      </c>
      <c r="L2170" s="471">
        <v>1</v>
      </c>
      <c r="M2170" s="452" t="s">
        <v>3730</v>
      </c>
      <c r="N2170" s="463">
        <v>3300</v>
      </c>
      <c r="O2170" s="481">
        <f t="shared" si="8"/>
        <v>3300</v>
      </c>
      <c r="P2170" s="479"/>
      <c r="Q2170" s="477">
        <v>46023</v>
      </c>
      <c r="R2170" s="486"/>
      <c r="S2170" s="486"/>
    </row>
    <row r="2171" spans="1:19" ht="15.75" customHeight="1" x14ac:dyDescent="0.25">
      <c r="A2171" s="438">
        <v>2168</v>
      </c>
      <c r="B2171" s="479" t="s">
        <v>17</v>
      </c>
      <c r="C2171" s="471" t="s">
        <v>18</v>
      </c>
      <c r="D2171" s="480" t="s">
        <v>2301</v>
      </c>
      <c r="E2171" s="448" t="s">
        <v>4086</v>
      </c>
      <c r="F2171" s="448" t="s">
        <v>4131</v>
      </c>
      <c r="G2171" s="452" t="s">
        <v>3045</v>
      </c>
      <c r="H2171" s="441" t="s">
        <v>1591</v>
      </c>
      <c r="I2171" s="474" t="s">
        <v>3457</v>
      </c>
      <c r="J2171" s="474" t="s">
        <v>3464</v>
      </c>
      <c r="K2171" s="443" t="s">
        <v>1592</v>
      </c>
      <c r="L2171" s="471">
        <v>1</v>
      </c>
      <c r="M2171" s="452" t="s">
        <v>3731</v>
      </c>
      <c r="N2171" s="463">
        <v>3300</v>
      </c>
      <c r="O2171" s="481">
        <f t="shared" si="8"/>
        <v>3300</v>
      </c>
      <c r="P2171" s="479"/>
      <c r="Q2171" s="477">
        <v>46023</v>
      </c>
      <c r="R2171" s="486"/>
      <c r="S2171" s="486"/>
    </row>
    <row r="2172" spans="1:19" ht="15.75" customHeight="1" x14ac:dyDescent="0.25">
      <c r="A2172" s="438">
        <v>2169</v>
      </c>
      <c r="B2172" s="479" t="s">
        <v>17</v>
      </c>
      <c r="C2172" s="471" t="s">
        <v>18</v>
      </c>
      <c r="D2172" s="480" t="s">
        <v>2301</v>
      </c>
      <c r="E2172" s="448" t="s">
        <v>4086</v>
      </c>
      <c r="F2172" s="448" t="s">
        <v>4131</v>
      </c>
      <c r="G2172" s="452" t="s">
        <v>3045</v>
      </c>
      <c r="H2172" s="441" t="s">
        <v>1591</v>
      </c>
      <c r="I2172" s="474" t="s">
        <v>3457</v>
      </c>
      <c r="J2172" s="474" t="s">
        <v>3464</v>
      </c>
      <c r="K2172" s="443" t="s">
        <v>1592</v>
      </c>
      <c r="L2172" s="471">
        <v>1</v>
      </c>
      <c r="M2172" s="452" t="s">
        <v>3732</v>
      </c>
      <c r="N2172" s="463">
        <v>3300</v>
      </c>
      <c r="O2172" s="481">
        <f t="shared" si="8"/>
        <v>3300</v>
      </c>
      <c r="P2172" s="479"/>
      <c r="Q2172" s="477">
        <v>46023</v>
      </c>
      <c r="R2172" s="486"/>
      <c r="S2172" s="486"/>
    </row>
    <row r="2173" spans="1:19" ht="15.75" customHeight="1" x14ac:dyDescent="0.25">
      <c r="A2173" s="438">
        <v>2170</v>
      </c>
      <c r="B2173" s="479" t="s">
        <v>17</v>
      </c>
      <c r="C2173" s="471" t="s">
        <v>18</v>
      </c>
      <c r="D2173" s="480" t="s">
        <v>2301</v>
      </c>
      <c r="E2173" s="448" t="s">
        <v>4086</v>
      </c>
      <c r="F2173" s="448" t="s">
        <v>4111</v>
      </c>
      <c r="G2173" s="452" t="s">
        <v>3045</v>
      </c>
      <c r="H2173" s="441" t="s">
        <v>1591</v>
      </c>
      <c r="I2173" s="474" t="s">
        <v>3457</v>
      </c>
      <c r="J2173" s="474" t="s">
        <v>3464</v>
      </c>
      <c r="K2173" s="443" t="s">
        <v>1592</v>
      </c>
      <c r="L2173" s="471">
        <v>1</v>
      </c>
      <c r="M2173" s="452" t="s">
        <v>3733</v>
      </c>
      <c r="N2173" s="463">
        <v>4000</v>
      </c>
      <c r="O2173" s="481">
        <f t="shared" si="8"/>
        <v>4000</v>
      </c>
      <c r="P2173" s="479"/>
      <c r="Q2173" s="477">
        <v>46023</v>
      </c>
      <c r="R2173" s="486"/>
      <c r="S2173" s="486"/>
    </row>
    <row r="2174" spans="1:19" ht="15.75" customHeight="1" x14ac:dyDescent="0.25">
      <c r="A2174" s="438">
        <v>2171</v>
      </c>
      <c r="B2174" s="479" t="s">
        <v>17</v>
      </c>
      <c r="C2174" s="471" t="s">
        <v>18</v>
      </c>
      <c r="D2174" s="480" t="s">
        <v>2301</v>
      </c>
      <c r="E2174" s="448" t="s">
        <v>4086</v>
      </c>
      <c r="F2174" s="448" t="s">
        <v>4111</v>
      </c>
      <c r="G2174" s="452" t="s">
        <v>3045</v>
      </c>
      <c r="H2174" s="441" t="s">
        <v>1591</v>
      </c>
      <c r="I2174" s="474" t="s">
        <v>3457</v>
      </c>
      <c r="J2174" s="474" t="s">
        <v>3464</v>
      </c>
      <c r="K2174" s="443" t="s">
        <v>1592</v>
      </c>
      <c r="L2174" s="471">
        <v>1</v>
      </c>
      <c r="M2174" s="452" t="s">
        <v>3734</v>
      </c>
      <c r="N2174" s="463">
        <v>4000</v>
      </c>
      <c r="O2174" s="481">
        <f t="shared" si="8"/>
        <v>4000</v>
      </c>
      <c r="P2174" s="479"/>
      <c r="Q2174" s="477">
        <v>46023</v>
      </c>
      <c r="R2174" s="486"/>
      <c r="S2174" s="486"/>
    </row>
    <row r="2175" spans="1:19" ht="15.75" customHeight="1" x14ac:dyDescent="0.25">
      <c r="A2175" s="438">
        <v>2172</v>
      </c>
      <c r="B2175" s="479" t="s">
        <v>17</v>
      </c>
      <c r="C2175" s="471" t="s">
        <v>18</v>
      </c>
      <c r="D2175" s="480" t="s">
        <v>2301</v>
      </c>
      <c r="E2175" s="448" t="s">
        <v>4086</v>
      </c>
      <c r="F2175" s="448" t="s">
        <v>4111</v>
      </c>
      <c r="G2175" s="452" t="s">
        <v>3045</v>
      </c>
      <c r="H2175" s="441" t="s">
        <v>1591</v>
      </c>
      <c r="I2175" s="474" t="s">
        <v>3457</v>
      </c>
      <c r="J2175" s="474" t="s">
        <v>3464</v>
      </c>
      <c r="K2175" s="443" t="s">
        <v>1592</v>
      </c>
      <c r="L2175" s="471">
        <v>1</v>
      </c>
      <c r="M2175" s="452" t="s">
        <v>3735</v>
      </c>
      <c r="N2175" s="463">
        <v>4000</v>
      </c>
      <c r="O2175" s="481">
        <f t="shared" si="8"/>
        <v>4000</v>
      </c>
      <c r="P2175" s="479"/>
      <c r="Q2175" s="477">
        <v>46023</v>
      </c>
      <c r="R2175" s="486"/>
      <c r="S2175" s="486"/>
    </row>
    <row r="2176" spans="1:19" ht="15.75" customHeight="1" x14ac:dyDescent="0.25">
      <c r="A2176" s="438">
        <v>2173</v>
      </c>
      <c r="B2176" s="479" t="s">
        <v>17</v>
      </c>
      <c r="C2176" s="471" t="s">
        <v>18</v>
      </c>
      <c r="D2176" s="480" t="s">
        <v>2301</v>
      </c>
      <c r="E2176" s="448" t="s">
        <v>4086</v>
      </c>
      <c r="F2176" s="448" t="s">
        <v>4111</v>
      </c>
      <c r="G2176" s="452" t="s">
        <v>3045</v>
      </c>
      <c r="H2176" s="441" t="s">
        <v>1591</v>
      </c>
      <c r="I2176" s="474" t="s">
        <v>3457</v>
      </c>
      <c r="J2176" s="474" t="s">
        <v>3464</v>
      </c>
      <c r="K2176" s="443" t="s">
        <v>1592</v>
      </c>
      <c r="L2176" s="471">
        <v>1</v>
      </c>
      <c r="M2176" s="452" t="s">
        <v>3736</v>
      </c>
      <c r="N2176" s="463">
        <v>4000</v>
      </c>
      <c r="O2176" s="481">
        <f t="shared" si="8"/>
        <v>4000</v>
      </c>
      <c r="P2176" s="479"/>
      <c r="Q2176" s="477">
        <v>46023</v>
      </c>
      <c r="R2176" s="486"/>
      <c r="S2176" s="486"/>
    </row>
    <row r="2177" spans="1:19" ht="15.75" customHeight="1" x14ac:dyDescent="0.25">
      <c r="A2177" s="438">
        <v>2174</v>
      </c>
      <c r="B2177" s="479" t="s">
        <v>17</v>
      </c>
      <c r="C2177" s="471" t="s">
        <v>18</v>
      </c>
      <c r="D2177" s="480" t="s">
        <v>2301</v>
      </c>
      <c r="E2177" s="448" t="s">
        <v>4086</v>
      </c>
      <c r="F2177" s="448" t="s">
        <v>4111</v>
      </c>
      <c r="G2177" s="452" t="s">
        <v>3045</v>
      </c>
      <c r="H2177" s="441" t="s">
        <v>1591</v>
      </c>
      <c r="I2177" s="474" t="s">
        <v>3457</v>
      </c>
      <c r="J2177" s="474" t="s">
        <v>3464</v>
      </c>
      <c r="K2177" s="443" t="s">
        <v>1592</v>
      </c>
      <c r="L2177" s="471">
        <v>1</v>
      </c>
      <c r="M2177" s="452" t="s">
        <v>3737</v>
      </c>
      <c r="N2177" s="463">
        <v>4000</v>
      </c>
      <c r="O2177" s="481">
        <f t="shared" si="8"/>
        <v>4000</v>
      </c>
      <c r="P2177" s="479"/>
      <c r="Q2177" s="477">
        <v>46023</v>
      </c>
      <c r="R2177" s="486"/>
      <c r="S2177" s="486"/>
    </row>
    <row r="2178" spans="1:19" ht="15.75" customHeight="1" x14ac:dyDescent="0.25">
      <c r="A2178" s="438">
        <v>2175</v>
      </c>
      <c r="B2178" s="479" t="s">
        <v>17</v>
      </c>
      <c r="C2178" s="471" t="s">
        <v>18</v>
      </c>
      <c r="D2178" s="480" t="s">
        <v>2301</v>
      </c>
      <c r="E2178" s="448" t="s">
        <v>4086</v>
      </c>
      <c r="F2178" s="448" t="s">
        <v>4111</v>
      </c>
      <c r="G2178" s="452" t="s">
        <v>3045</v>
      </c>
      <c r="H2178" s="441" t="s">
        <v>1591</v>
      </c>
      <c r="I2178" s="474" t="s">
        <v>3457</v>
      </c>
      <c r="J2178" s="474" t="s">
        <v>3464</v>
      </c>
      <c r="K2178" s="443" t="s">
        <v>1592</v>
      </c>
      <c r="L2178" s="471">
        <v>1</v>
      </c>
      <c r="M2178" s="452" t="s">
        <v>3738</v>
      </c>
      <c r="N2178" s="463">
        <v>4000</v>
      </c>
      <c r="O2178" s="481">
        <f t="shared" si="8"/>
        <v>4000</v>
      </c>
      <c r="P2178" s="479"/>
      <c r="Q2178" s="477">
        <v>46023</v>
      </c>
      <c r="R2178" s="486"/>
      <c r="S2178" s="486"/>
    </row>
    <row r="2179" spans="1:19" ht="15.75" customHeight="1" x14ac:dyDescent="0.25">
      <c r="A2179" s="438">
        <v>2176</v>
      </c>
      <c r="B2179" s="479" t="s">
        <v>17</v>
      </c>
      <c r="C2179" s="471" t="s">
        <v>18</v>
      </c>
      <c r="D2179" s="480" t="s">
        <v>2301</v>
      </c>
      <c r="E2179" s="448" t="s">
        <v>4091</v>
      </c>
      <c r="F2179" s="448" t="s">
        <v>4130</v>
      </c>
      <c r="G2179" s="452" t="s">
        <v>3045</v>
      </c>
      <c r="H2179" s="441" t="s">
        <v>1591</v>
      </c>
      <c r="I2179" s="474" t="s">
        <v>3457</v>
      </c>
      <c r="J2179" s="474" t="s">
        <v>3464</v>
      </c>
      <c r="K2179" s="443" t="s">
        <v>1592</v>
      </c>
      <c r="L2179" s="471">
        <v>1</v>
      </c>
      <c r="M2179" s="452" t="s">
        <v>2901</v>
      </c>
      <c r="N2179" s="463">
        <v>3150</v>
      </c>
      <c r="O2179" s="487">
        <f t="shared" si="8"/>
        <v>3150</v>
      </c>
      <c r="P2179" s="479"/>
      <c r="Q2179" s="477">
        <v>46023</v>
      </c>
      <c r="R2179" s="486"/>
      <c r="S2179" s="486"/>
    </row>
    <row r="2180" spans="1:19" ht="15.75" customHeight="1" x14ac:dyDescent="0.25">
      <c r="A2180" s="438">
        <v>2177</v>
      </c>
      <c r="B2180" s="479" t="s">
        <v>17</v>
      </c>
      <c r="C2180" s="471" t="s">
        <v>18</v>
      </c>
      <c r="D2180" s="480" t="s">
        <v>2301</v>
      </c>
      <c r="E2180" s="448" t="s">
        <v>4091</v>
      </c>
      <c r="F2180" s="448" t="s">
        <v>4130</v>
      </c>
      <c r="G2180" s="452" t="s">
        <v>3045</v>
      </c>
      <c r="H2180" s="441" t="s">
        <v>1591</v>
      </c>
      <c r="I2180" s="474" t="s">
        <v>3457</v>
      </c>
      <c r="J2180" s="474" t="s">
        <v>3464</v>
      </c>
      <c r="K2180" s="443" t="s">
        <v>1592</v>
      </c>
      <c r="L2180" s="471">
        <v>1</v>
      </c>
      <c r="M2180" s="452" t="s">
        <v>2902</v>
      </c>
      <c r="N2180" s="463">
        <v>3150</v>
      </c>
      <c r="O2180" s="487">
        <f t="shared" si="8"/>
        <v>3150</v>
      </c>
      <c r="P2180" s="479"/>
      <c r="Q2180" s="477">
        <v>46023</v>
      </c>
      <c r="R2180" s="486"/>
      <c r="S2180" s="486"/>
    </row>
    <row r="2181" spans="1:19" ht="15.75" customHeight="1" x14ac:dyDescent="0.25">
      <c r="A2181" s="438">
        <v>2178</v>
      </c>
      <c r="B2181" s="479" t="s">
        <v>17</v>
      </c>
      <c r="C2181" s="471" t="s">
        <v>18</v>
      </c>
      <c r="D2181" s="480" t="s">
        <v>2301</v>
      </c>
      <c r="E2181" s="448" t="s">
        <v>4086</v>
      </c>
      <c r="F2181" s="448" t="s">
        <v>4103</v>
      </c>
      <c r="G2181" s="452" t="s">
        <v>3045</v>
      </c>
      <c r="H2181" s="441" t="s">
        <v>1591</v>
      </c>
      <c r="I2181" s="474" t="s">
        <v>3457</v>
      </c>
      <c r="J2181" s="474" t="s">
        <v>3464</v>
      </c>
      <c r="K2181" s="443" t="s">
        <v>1592</v>
      </c>
      <c r="L2181" s="471">
        <v>1</v>
      </c>
      <c r="M2181" s="452" t="s">
        <v>2927</v>
      </c>
      <c r="N2181" s="463">
        <v>3000</v>
      </c>
      <c r="O2181" s="487">
        <f t="shared" si="8"/>
        <v>3000</v>
      </c>
      <c r="P2181" s="479"/>
      <c r="Q2181" s="477">
        <v>46023</v>
      </c>
      <c r="R2181" s="486"/>
      <c r="S2181" s="486"/>
    </row>
    <row r="2182" spans="1:19" ht="15.75" customHeight="1" x14ac:dyDescent="0.25">
      <c r="A2182" s="438">
        <v>2179</v>
      </c>
      <c r="B2182" s="479" t="s">
        <v>17</v>
      </c>
      <c r="C2182" s="471" t="s">
        <v>18</v>
      </c>
      <c r="D2182" s="480" t="s">
        <v>2301</v>
      </c>
      <c r="E2182" s="448" t="s">
        <v>4086</v>
      </c>
      <c r="F2182" s="448" t="s">
        <v>4127</v>
      </c>
      <c r="G2182" s="452" t="s">
        <v>3045</v>
      </c>
      <c r="H2182" s="441" t="s">
        <v>1591</v>
      </c>
      <c r="I2182" s="474" t="s">
        <v>3457</v>
      </c>
      <c r="J2182" s="474" t="s">
        <v>3464</v>
      </c>
      <c r="K2182" s="443" t="s">
        <v>1592</v>
      </c>
      <c r="L2182" s="471">
        <v>1</v>
      </c>
      <c r="M2182" s="452" t="s">
        <v>2332</v>
      </c>
      <c r="N2182" s="463">
        <v>3000</v>
      </c>
      <c r="O2182" s="487">
        <f t="shared" si="8"/>
        <v>3000</v>
      </c>
      <c r="P2182" s="479"/>
      <c r="Q2182" s="477">
        <v>46023</v>
      </c>
      <c r="R2182" s="486"/>
      <c r="S2182" s="486"/>
    </row>
    <row r="2183" spans="1:19" ht="15.75" customHeight="1" x14ac:dyDescent="0.25">
      <c r="A2183" s="438">
        <v>2180</v>
      </c>
      <c r="B2183" s="479" t="s">
        <v>17</v>
      </c>
      <c r="C2183" s="471" t="s">
        <v>18</v>
      </c>
      <c r="D2183" s="480" t="s">
        <v>2301</v>
      </c>
      <c r="E2183" s="448" t="s">
        <v>4086</v>
      </c>
      <c r="F2183" s="448" t="s">
        <v>4111</v>
      </c>
      <c r="G2183" s="452" t="s">
        <v>3045</v>
      </c>
      <c r="H2183" s="441" t="s">
        <v>1591</v>
      </c>
      <c r="I2183" s="474" t="s">
        <v>3457</v>
      </c>
      <c r="J2183" s="474" t="s">
        <v>3464</v>
      </c>
      <c r="K2183" s="443" t="s">
        <v>1592</v>
      </c>
      <c r="L2183" s="471">
        <v>1</v>
      </c>
      <c r="M2183" s="452" t="s">
        <v>2915</v>
      </c>
      <c r="N2183" s="463">
        <v>3000</v>
      </c>
      <c r="O2183" s="487">
        <f t="shared" si="8"/>
        <v>3000</v>
      </c>
      <c r="P2183" s="479"/>
      <c r="Q2183" s="477">
        <v>46023</v>
      </c>
      <c r="R2183" s="486"/>
      <c r="S2183" s="486"/>
    </row>
    <row r="2184" spans="1:19" ht="15.75" customHeight="1" x14ac:dyDescent="0.25">
      <c r="A2184" s="438">
        <v>2181</v>
      </c>
      <c r="B2184" s="479" t="s">
        <v>17</v>
      </c>
      <c r="C2184" s="471" t="s">
        <v>18</v>
      </c>
      <c r="D2184" s="480" t="s">
        <v>2301</v>
      </c>
      <c r="E2184" s="448" t="s">
        <v>3047</v>
      </c>
      <c r="F2184" s="448" t="s">
        <v>2982</v>
      </c>
      <c r="G2184" s="452" t="s">
        <v>4009</v>
      </c>
      <c r="H2184" s="441" t="s">
        <v>3419</v>
      </c>
      <c r="I2184" s="474" t="s">
        <v>3457</v>
      </c>
      <c r="J2184" s="474" t="s">
        <v>3464</v>
      </c>
      <c r="K2184" s="443" t="s">
        <v>1474</v>
      </c>
      <c r="L2184" s="471">
        <v>1</v>
      </c>
      <c r="M2184" s="452" t="s">
        <v>3739</v>
      </c>
      <c r="N2184" s="463">
        <v>117707.5</v>
      </c>
      <c r="O2184" s="487">
        <f t="shared" si="8"/>
        <v>117707.5</v>
      </c>
      <c r="P2184" s="479"/>
      <c r="Q2184" s="477">
        <v>46023</v>
      </c>
      <c r="R2184" s="486"/>
      <c r="S2184" s="486"/>
    </row>
    <row r="2185" spans="1:19" ht="15.75" customHeight="1" x14ac:dyDescent="0.25">
      <c r="A2185" s="438">
        <v>2182</v>
      </c>
      <c r="B2185" s="479" t="s">
        <v>17</v>
      </c>
      <c r="C2185" s="471" t="s">
        <v>18</v>
      </c>
      <c r="D2185" s="480" t="s">
        <v>2301</v>
      </c>
      <c r="E2185" s="448" t="s">
        <v>4081</v>
      </c>
      <c r="F2185" s="448" t="s">
        <v>2989</v>
      </c>
      <c r="G2185" s="452" t="s">
        <v>4016</v>
      </c>
      <c r="H2185" s="441" t="s">
        <v>2330</v>
      </c>
      <c r="I2185" s="474" t="s">
        <v>3457</v>
      </c>
      <c r="J2185" s="474" t="s">
        <v>3463</v>
      </c>
      <c r="K2185" s="443" t="s">
        <v>3476</v>
      </c>
      <c r="L2185" s="471">
        <v>1</v>
      </c>
      <c r="M2185" s="452" t="s">
        <v>3740</v>
      </c>
      <c r="N2185" s="463">
        <v>5000</v>
      </c>
      <c r="O2185" s="487">
        <f t="shared" si="8"/>
        <v>5000</v>
      </c>
      <c r="P2185" s="479"/>
      <c r="Q2185" s="477">
        <v>46023</v>
      </c>
      <c r="R2185" s="486"/>
      <c r="S2185" s="486"/>
    </row>
    <row r="2186" spans="1:19" ht="15.75" customHeight="1" x14ac:dyDescent="0.25">
      <c r="A2186" s="438">
        <v>2183</v>
      </c>
      <c r="B2186" s="479" t="s">
        <v>17</v>
      </c>
      <c r="C2186" s="471" t="s">
        <v>18</v>
      </c>
      <c r="D2186" s="480" t="s">
        <v>2301</v>
      </c>
      <c r="E2186" s="448" t="s">
        <v>4080</v>
      </c>
      <c r="F2186" s="448" t="s">
        <v>4080</v>
      </c>
      <c r="G2186" s="452" t="s">
        <v>3045</v>
      </c>
      <c r="H2186" s="441" t="s">
        <v>1998</v>
      </c>
      <c r="I2186" s="474" t="s">
        <v>3457</v>
      </c>
      <c r="J2186" s="474" t="s">
        <v>3464</v>
      </c>
      <c r="K2186" s="443" t="s">
        <v>1592</v>
      </c>
      <c r="L2186" s="471">
        <v>1</v>
      </c>
      <c r="M2186" s="452" t="s">
        <v>2432</v>
      </c>
      <c r="N2186" s="463">
        <v>3450</v>
      </c>
      <c r="O2186" s="487">
        <f t="shared" si="8"/>
        <v>3450</v>
      </c>
      <c r="P2186" s="479"/>
      <c r="Q2186" s="477">
        <v>46023</v>
      </c>
      <c r="R2186" s="486"/>
      <c r="S2186" s="486"/>
    </row>
    <row r="2187" spans="1:19" ht="15.75" customHeight="1" x14ac:dyDescent="0.25">
      <c r="A2187" s="438">
        <v>2184</v>
      </c>
      <c r="B2187" s="479" t="s">
        <v>17</v>
      </c>
      <c r="C2187" s="471" t="s">
        <v>18</v>
      </c>
      <c r="D2187" s="480" t="s">
        <v>2301</v>
      </c>
      <c r="E2187" s="448" t="s">
        <v>4080</v>
      </c>
      <c r="F2187" s="448" t="s">
        <v>4080</v>
      </c>
      <c r="G2187" s="452" t="s">
        <v>3045</v>
      </c>
      <c r="H2187" s="441" t="s">
        <v>1998</v>
      </c>
      <c r="I2187" s="474" t="s">
        <v>3457</v>
      </c>
      <c r="J2187" s="474" t="s">
        <v>3464</v>
      </c>
      <c r="K2187" s="443" t="s">
        <v>1592</v>
      </c>
      <c r="L2187" s="471">
        <v>1</v>
      </c>
      <c r="M2187" s="452" t="s">
        <v>2433</v>
      </c>
      <c r="N2187" s="463">
        <v>3450</v>
      </c>
      <c r="O2187" s="487">
        <f t="shared" si="8"/>
        <v>3450</v>
      </c>
      <c r="P2187" s="479"/>
      <c r="Q2187" s="477">
        <v>46023</v>
      </c>
      <c r="R2187" s="486"/>
      <c r="S2187" s="486"/>
    </row>
    <row r="2188" spans="1:19" ht="15.75" customHeight="1" x14ac:dyDescent="0.25">
      <c r="A2188" s="438">
        <v>2185</v>
      </c>
      <c r="B2188" s="479" t="s">
        <v>17</v>
      </c>
      <c r="C2188" s="471" t="s">
        <v>18</v>
      </c>
      <c r="D2188" s="480" t="s">
        <v>2301</v>
      </c>
      <c r="E2188" s="448" t="s">
        <v>4080</v>
      </c>
      <c r="F2188" s="448" t="s">
        <v>4080</v>
      </c>
      <c r="G2188" s="452" t="s">
        <v>3045</v>
      </c>
      <c r="H2188" s="441" t="s">
        <v>1998</v>
      </c>
      <c r="I2188" s="474" t="s">
        <v>3457</v>
      </c>
      <c r="J2188" s="474" t="s">
        <v>3464</v>
      </c>
      <c r="K2188" s="443" t="s">
        <v>1592</v>
      </c>
      <c r="L2188" s="471">
        <v>1</v>
      </c>
      <c r="M2188" s="452" t="s">
        <v>2434</v>
      </c>
      <c r="N2188" s="463">
        <v>3450</v>
      </c>
      <c r="O2188" s="487">
        <f t="shared" si="8"/>
        <v>3450</v>
      </c>
      <c r="P2188" s="479"/>
      <c r="Q2188" s="477">
        <v>46023</v>
      </c>
      <c r="R2188" s="486"/>
      <c r="S2188" s="486"/>
    </row>
    <row r="2189" spans="1:19" ht="15.75" customHeight="1" x14ac:dyDescent="0.25">
      <c r="A2189" s="438">
        <v>2186</v>
      </c>
      <c r="B2189" s="479" t="s">
        <v>17</v>
      </c>
      <c r="C2189" s="471" t="s">
        <v>18</v>
      </c>
      <c r="D2189" s="480" t="s">
        <v>2301</v>
      </c>
      <c r="E2189" s="448" t="s">
        <v>4080</v>
      </c>
      <c r="F2189" s="448" t="s">
        <v>4080</v>
      </c>
      <c r="G2189" s="452" t="s">
        <v>3045</v>
      </c>
      <c r="H2189" s="441" t="s">
        <v>1998</v>
      </c>
      <c r="I2189" s="474" t="s">
        <v>3457</v>
      </c>
      <c r="J2189" s="474" t="s">
        <v>3464</v>
      </c>
      <c r="K2189" s="443" t="s">
        <v>1592</v>
      </c>
      <c r="L2189" s="471">
        <v>1</v>
      </c>
      <c r="M2189" s="452" t="s">
        <v>2435</v>
      </c>
      <c r="N2189" s="463">
        <v>3450</v>
      </c>
      <c r="O2189" s="487">
        <f t="shared" si="8"/>
        <v>3450</v>
      </c>
      <c r="P2189" s="479"/>
      <c r="Q2189" s="477">
        <v>46023</v>
      </c>
      <c r="R2189" s="486"/>
      <c r="S2189" s="486"/>
    </row>
    <row r="2190" spans="1:19" ht="15.75" customHeight="1" x14ac:dyDescent="0.25">
      <c r="A2190" s="438">
        <v>2187</v>
      </c>
      <c r="B2190" s="479" t="s">
        <v>17</v>
      </c>
      <c r="C2190" s="471" t="s">
        <v>18</v>
      </c>
      <c r="D2190" s="480" t="s">
        <v>2301</v>
      </c>
      <c r="E2190" s="448" t="s">
        <v>4080</v>
      </c>
      <c r="F2190" s="448" t="s">
        <v>4080</v>
      </c>
      <c r="G2190" s="452" t="s">
        <v>3045</v>
      </c>
      <c r="H2190" s="441" t="s">
        <v>1998</v>
      </c>
      <c r="I2190" s="474" t="s">
        <v>3457</v>
      </c>
      <c r="J2190" s="474" t="s">
        <v>3464</v>
      </c>
      <c r="K2190" s="443" t="s">
        <v>1592</v>
      </c>
      <c r="L2190" s="471">
        <v>1</v>
      </c>
      <c r="M2190" s="452" t="s">
        <v>2436</v>
      </c>
      <c r="N2190" s="463">
        <v>3450</v>
      </c>
      <c r="O2190" s="487">
        <f t="shared" si="8"/>
        <v>3450</v>
      </c>
      <c r="P2190" s="479"/>
      <c r="Q2190" s="477">
        <v>46023</v>
      </c>
      <c r="R2190" s="486"/>
      <c r="S2190" s="486"/>
    </row>
    <row r="2191" spans="1:19" ht="15.75" customHeight="1" x14ac:dyDescent="0.25">
      <c r="A2191" s="438">
        <v>2188</v>
      </c>
      <c r="B2191" s="479" t="s">
        <v>17</v>
      </c>
      <c r="C2191" s="471" t="s">
        <v>18</v>
      </c>
      <c r="D2191" s="480" t="s">
        <v>2301</v>
      </c>
      <c r="E2191" s="448" t="s">
        <v>4080</v>
      </c>
      <c r="F2191" s="448" t="s">
        <v>4080</v>
      </c>
      <c r="G2191" s="452" t="s">
        <v>3045</v>
      </c>
      <c r="H2191" s="441" t="s">
        <v>1998</v>
      </c>
      <c r="I2191" s="474" t="s">
        <v>3457</v>
      </c>
      <c r="J2191" s="474" t="s">
        <v>3464</v>
      </c>
      <c r="K2191" s="443" t="s">
        <v>1592</v>
      </c>
      <c r="L2191" s="471">
        <v>1</v>
      </c>
      <c r="M2191" s="452" t="s">
        <v>2437</v>
      </c>
      <c r="N2191" s="463">
        <v>3450</v>
      </c>
      <c r="O2191" s="487">
        <f t="shared" si="8"/>
        <v>3450</v>
      </c>
      <c r="P2191" s="479"/>
      <c r="Q2191" s="477">
        <v>46023</v>
      </c>
      <c r="R2191" s="486"/>
      <c r="S2191" s="486"/>
    </row>
    <row r="2192" spans="1:19" ht="15.75" customHeight="1" x14ac:dyDescent="0.25">
      <c r="A2192" s="438">
        <v>2189</v>
      </c>
      <c r="B2192" s="479" t="s">
        <v>17</v>
      </c>
      <c r="C2192" s="471" t="s">
        <v>18</v>
      </c>
      <c r="D2192" s="480" t="s">
        <v>2301</v>
      </c>
      <c r="E2192" s="448" t="s">
        <v>4080</v>
      </c>
      <c r="F2192" s="448" t="s">
        <v>4080</v>
      </c>
      <c r="G2192" s="452" t="s">
        <v>3045</v>
      </c>
      <c r="H2192" s="441" t="s">
        <v>1998</v>
      </c>
      <c r="I2192" s="474" t="s">
        <v>3457</v>
      </c>
      <c r="J2192" s="474" t="s">
        <v>3464</v>
      </c>
      <c r="K2192" s="443" t="s">
        <v>1592</v>
      </c>
      <c r="L2192" s="471">
        <v>1</v>
      </c>
      <c r="M2192" s="452" t="s">
        <v>2438</v>
      </c>
      <c r="N2192" s="463">
        <v>3450</v>
      </c>
      <c r="O2192" s="487">
        <f t="shared" si="8"/>
        <v>3450</v>
      </c>
      <c r="P2192" s="479"/>
      <c r="Q2192" s="477">
        <v>46023</v>
      </c>
      <c r="R2192" s="486"/>
      <c r="S2192" s="486"/>
    </row>
    <row r="2193" spans="1:19" ht="15.75" customHeight="1" x14ac:dyDescent="0.25">
      <c r="A2193" s="438">
        <v>2190</v>
      </c>
      <c r="B2193" s="479" t="s">
        <v>17</v>
      </c>
      <c r="C2193" s="471" t="s">
        <v>18</v>
      </c>
      <c r="D2193" s="480" t="s">
        <v>2301</v>
      </c>
      <c r="E2193" s="448" t="s">
        <v>4080</v>
      </c>
      <c r="F2193" s="448" t="s">
        <v>4080</v>
      </c>
      <c r="G2193" s="452" t="s">
        <v>3045</v>
      </c>
      <c r="H2193" s="441" t="s">
        <v>1998</v>
      </c>
      <c r="I2193" s="474" t="s">
        <v>3457</v>
      </c>
      <c r="J2193" s="474" t="s">
        <v>3464</v>
      </c>
      <c r="K2193" s="443" t="s">
        <v>1592</v>
      </c>
      <c r="L2193" s="471">
        <v>1</v>
      </c>
      <c r="M2193" s="452" t="s">
        <v>2439</v>
      </c>
      <c r="N2193" s="463">
        <v>3450</v>
      </c>
      <c r="O2193" s="487">
        <f t="shared" si="8"/>
        <v>3450</v>
      </c>
      <c r="P2193" s="479"/>
      <c r="Q2193" s="477">
        <v>46023</v>
      </c>
      <c r="R2193" s="486"/>
      <c r="S2193" s="486"/>
    </row>
    <row r="2194" spans="1:19" ht="15.75" customHeight="1" x14ac:dyDescent="0.25">
      <c r="A2194" s="438">
        <v>2191</v>
      </c>
      <c r="B2194" s="479" t="s">
        <v>17</v>
      </c>
      <c r="C2194" s="471" t="s">
        <v>18</v>
      </c>
      <c r="D2194" s="480" t="s">
        <v>2301</v>
      </c>
      <c r="E2194" s="448" t="s">
        <v>4080</v>
      </c>
      <c r="F2194" s="448" t="s">
        <v>4080</v>
      </c>
      <c r="G2194" s="452" t="s">
        <v>3045</v>
      </c>
      <c r="H2194" s="441" t="s">
        <v>1998</v>
      </c>
      <c r="I2194" s="474" t="s">
        <v>3457</v>
      </c>
      <c r="J2194" s="474" t="s">
        <v>3464</v>
      </c>
      <c r="K2194" s="443" t="s">
        <v>1592</v>
      </c>
      <c r="L2194" s="471">
        <v>1</v>
      </c>
      <c r="M2194" s="452" t="s">
        <v>2440</v>
      </c>
      <c r="N2194" s="463">
        <v>3450</v>
      </c>
      <c r="O2194" s="487">
        <f t="shared" si="8"/>
        <v>3450</v>
      </c>
      <c r="P2194" s="479"/>
      <c r="Q2194" s="477">
        <v>46023</v>
      </c>
      <c r="R2194" s="486"/>
      <c r="S2194" s="486"/>
    </row>
    <row r="2195" spans="1:19" ht="15.75" customHeight="1" x14ac:dyDescent="0.25">
      <c r="A2195" s="438">
        <v>2192</v>
      </c>
      <c r="B2195" s="479" t="s">
        <v>17</v>
      </c>
      <c r="C2195" s="471" t="s">
        <v>18</v>
      </c>
      <c r="D2195" s="480" t="s">
        <v>2301</v>
      </c>
      <c r="E2195" s="448" t="s">
        <v>4080</v>
      </c>
      <c r="F2195" s="448" t="s">
        <v>4080</v>
      </c>
      <c r="G2195" s="452" t="s">
        <v>3045</v>
      </c>
      <c r="H2195" s="441" t="s">
        <v>1998</v>
      </c>
      <c r="I2195" s="474" t="s">
        <v>3457</v>
      </c>
      <c r="J2195" s="474" t="s">
        <v>3464</v>
      </c>
      <c r="K2195" s="443" t="s">
        <v>1592</v>
      </c>
      <c r="L2195" s="471">
        <v>1</v>
      </c>
      <c r="M2195" s="452" t="s">
        <v>2441</v>
      </c>
      <c r="N2195" s="463">
        <v>3450</v>
      </c>
      <c r="O2195" s="487">
        <f t="shared" si="8"/>
        <v>3450</v>
      </c>
      <c r="P2195" s="479"/>
      <c r="Q2195" s="477">
        <v>46023</v>
      </c>
      <c r="R2195" s="486"/>
      <c r="S2195" s="486"/>
    </row>
    <row r="2196" spans="1:19" ht="15.75" customHeight="1" x14ac:dyDescent="0.25">
      <c r="A2196" s="438">
        <v>2193</v>
      </c>
      <c r="B2196" s="479" t="s">
        <v>17</v>
      </c>
      <c r="C2196" s="471" t="s">
        <v>18</v>
      </c>
      <c r="D2196" s="480" t="s">
        <v>2301</v>
      </c>
      <c r="E2196" s="448" t="s">
        <v>4086</v>
      </c>
      <c r="F2196" s="448" t="s">
        <v>4097</v>
      </c>
      <c r="G2196" s="452" t="s">
        <v>3065</v>
      </c>
      <c r="H2196" s="441" t="s">
        <v>348</v>
      </c>
      <c r="I2196" s="474" t="s">
        <v>3459</v>
      </c>
      <c r="J2196" s="474" t="s">
        <v>3464</v>
      </c>
      <c r="K2196" s="443" t="s">
        <v>349</v>
      </c>
      <c r="L2196" s="471">
        <v>1</v>
      </c>
      <c r="M2196" s="452" t="s">
        <v>2447</v>
      </c>
      <c r="N2196" s="463">
        <v>338</v>
      </c>
      <c r="O2196" s="487">
        <f t="shared" si="8"/>
        <v>338</v>
      </c>
      <c r="P2196" s="479"/>
      <c r="Q2196" s="477">
        <v>46023</v>
      </c>
      <c r="R2196" s="486"/>
      <c r="S2196" s="486"/>
    </row>
    <row r="2197" spans="1:19" ht="15.75" customHeight="1" x14ac:dyDescent="0.25">
      <c r="A2197" s="438">
        <v>2194</v>
      </c>
      <c r="B2197" s="479" t="s">
        <v>17</v>
      </c>
      <c r="C2197" s="471" t="s">
        <v>18</v>
      </c>
      <c r="D2197" s="480" t="s">
        <v>2301</v>
      </c>
      <c r="E2197" s="448" t="s">
        <v>4086</v>
      </c>
      <c r="F2197" s="448" t="s">
        <v>4097</v>
      </c>
      <c r="G2197" s="452" t="s">
        <v>3065</v>
      </c>
      <c r="H2197" s="441" t="s">
        <v>348</v>
      </c>
      <c r="I2197" s="474" t="s">
        <v>3459</v>
      </c>
      <c r="J2197" s="474" t="s">
        <v>3464</v>
      </c>
      <c r="K2197" s="443" t="s">
        <v>349</v>
      </c>
      <c r="L2197" s="471">
        <v>1</v>
      </c>
      <c r="M2197" s="452" t="s">
        <v>2448</v>
      </c>
      <c r="N2197" s="463">
        <v>338</v>
      </c>
      <c r="O2197" s="487">
        <f t="shared" si="8"/>
        <v>338</v>
      </c>
      <c r="P2197" s="479"/>
      <c r="Q2197" s="477">
        <v>46023</v>
      </c>
      <c r="R2197" s="486"/>
      <c r="S2197" s="486"/>
    </row>
    <row r="2198" spans="1:19" ht="15.75" customHeight="1" x14ac:dyDescent="0.25">
      <c r="A2198" s="438">
        <v>2195</v>
      </c>
      <c r="B2198" s="479" t="s">
        <v>17</v>
      </c>
      <c r="C2198" s="471" t="s">
        <v>18</v>
      </c>
      <c r="D2198" s="480" t="s">
        <v>2301</v>
      </c>
      <c r="E2198" s="448" t="s">
        <v>4094</v>
      </c>
      <c r="F2198" s="448" t="s">
        <v>4132</v>
      </c>
      <c r="G2198" s="452" t="s">
        <v>3065</v>
      </c>
      <c r="H2198" s="441" t="s">
        <v>348</v>
      </c>
      <c r="I2198" s="474" t="s">
        <v>3459</v>
      </c>
      <c r="J2198" s="474" t="s">
        <v>3464</v>
      </c>
      <c r="K2198" s="443" t="s">
        <v>349</v>
      </c>
      <c r="L2198" s="471">
        <v>1</v>
      </c>
      <c r="M2198" s="452" t="s">
        <v>2449</v>
      </c>
      <c r="N2198" s="463">
        <v>338</v>
      </c>
      <c r="O2198" s="487">
        <f t="shared" si="8"/>
        <v>338</v>
      </c>
      <c r="P2198" s="479"/>
      <c r="Q2198" s="477">
        <v>46023</v>
      </c>
      <c r="R2198" s="486"/>
      <c r="S2198" s="486"/>
    </row>
    <row r="2199" spans="1:19" ht="15.75" customHeight="1" x14ac:dyDescent="0.25">
      <c r="A2199" s="438">
        <v>2196</v>
      </c>
      <c r="B2199" s="479" t="s">
        <v>17</v>
      </c>
      <c r="C2199" s="471" t="s">
        <v>18</v>
      </c>
      <c r="D2199" s="480" t="s">
        <v>2301</v>
      </c>
      <c r="E2199" s="448" t="s">
        <v>4080</v>
      </c>
      <c r="F2199" s="448" t="s">
        <v>4080</v>
      </c>
      <c r="G2199" s="452" t="s">
        <v>4012</v>
      </c>
      <c r="H2199" s="441" t="s">
        <v>1541</v>
      </c>
      <c r="I2199" s="474" t="s">
        <v>3457</v>
      </c>
      <c r="J2199" s="474" t="s">
        <v>3464</v>
      </c>
      <c r="K2199" s="443" t="s">
        <v>1542</v>
      </c>
      <c r="L2199" s="471">
        <v>1</v>
      </c>
      <c r="M2199" s="452" t="s">
        <v>2450</v>
      </c>
      <c r="N2199" s="463">
        <v>24500</v>
      </c>
      <c r="O2199" s="487">
        <f t="shared" si="8"/>
        <v>24500</v>
      </c>
      <c r="P2199" s="479"/>
      <c r="Q2199" s="477">
        <v>46023</v>
      </c>
      <c r="R2199" s="486"/>
      <c r="S2199" s="486"/>
    </row>
    <row r="2200" spans="1:19" ht="15.75" customHeight="1" x14ac:dyDescent="0.25">
      <c r="A2200" s="438">
        <v>2197</v>
      </c>
      <c r="B2200" s="479" t="s">
        <v>17</v>
      </c>
      <c r="C2200" s="471" t="s">
        <v>18</v>
      </c>
      <c r="D2200" s="480" t="s">
        <v>2301</v>
      </c>
      <c r="E2200" s="448" t="s">
        <v>4085</v>
      </c>
      <c r="F2200" s="448" t="s">
        <v>2982</v>
      </c>
      <c r="G2200" s="452" t="s">
        <v>3946</v>
      </c>
      <c r="H2200" s="441" t="s">
        <v>901</v>
      </c>
      <c r="I2200" s="474" t="s">
        <v>3459</v>
      </c>
      <c r="J2200" s="474" t="s">
        <v>3464</v>
      </c>
      <c r="K2200" s="443" t="s">
        <v>902</v>
      </c>
      <c r="L2200" s="471">
        <v>1</v>
      </c>
      <c r="M2200" s="452" t="s">
        <v>3741</v>
      </c>
      <c r="N2200" s="463">
        <v>126000</v>
      </c>
      <c r="O2200" s="487">
        <f t="shared" si="8"/>
        <v>126000</v>
      </c>
      <c r="P2200" s="479"/>
      <c r="Q2200" s="477">
        <v>46023</v>
      </c>
      <c r="R2200" s="486"/>
      <c r="S2200" s="486"/>
    </row>
    <row r="2201" spans="1:19" ht="15.75" customHeight="1" x14ac:dyDescent="0.25">
      <c r="A2201" s="438">
        <v>2198</v>
      </c>
      <c r="B2201" s="479" t="s">
        <v>17</v>
      </c>
      <c r="C2201" s="471" t="s">
        <v>18</v>
      </c>
      <c r="D2201" s="480" t="s">
        <v>2301</v>
      </c>
      <c r="E2201" s="448" t="s">
        <v>4083</v>
      </c>
      <c r="F2201" s="448" t="s">
        <v>4100</v>
      </c>
      <c r="G2201" s="452" t="s">
        <v>3989</v>
      </c>
      <c r="H2201" s="441" t="s">
        <v>1244</v>
      </c>
      <c r="I2201" s="474" t="s">
        <v>3457</v>
      </c>
      <c r="J2201" s="474" t="s">
        <v>3463</v>
      </c>
      <c r="K2201" s="443" t="s">
        <v>1245</v>
      </c>
      <c r="L2201" s="471">
        <v>1</v>
      </c>
      <c r="M2201" s="452" t="s">
        <v>3742</v>
      </c>
      <c r="N2201" s="463">
        <v>3000</v>
      </c>
      <c r="O2201" s="487">
        <f t="shared" si="8"/>
        <v>3000</v>
      </c>
      <c r="P2201" s="479"/>
      <c r="Q2201" s="477">
        <v>46023</v>
      </c>
      <c r="R2201" s="486"/>
      <c r="S2201" s="486"/>
    </row>
    <row r="2202" spans="1:19" ht="15.75" customHeight="1" x14ac:dyDescent="0.25">
      <c r="A2202" s="438">
        <v>2199</v>
      </c>
      <c r="B2202" s="479" t="s">
        <v>17</v>
      </c>
      <c r="C2202" s="471" t="s">
        <v>18</v>
      </c>
      <c r="D2202" s="480" t="s">
        <v>2301</v>
      </c>
      <c r="E2202" s="448" t="s">
        <v>4085</v>
      </c>
      <c r="F2202" s="448" t="s">
        <v>2982</v>
      </c>
      <c r="G2202" s="452" t="s">
        <v>3989</v>
      </c>
      <c r="H2202" s="441" t="s">
        <v>1244</v>
      </c>
      <c r="I2202" s="474" t="s">
        <v>3457</v>
      </c>
      <c r="J2202" s="474" t="s">
        <v>3463</v>
      </c>
      <c r="K2202" s="443" t="s">
        <v>1245</v>
      </c>
      <c r="L2202" s="471">
        <v>1</v>
      </c>
      <c r="M2202" s="452" t="s">
        <v>3743</v>
      </c>
      <c r="N2202" s="463">
        <v>4200</v>
      </c>
      <c r="O2202" s="487">
        <f t="shared" si="8"/>
        <v>4200</v>
      </c>
      <c r="P2202" s="479"/>
      <c r="Q2202" s="477">
        <v>46023</v>
      </c>
      <c r="R2202" s="486"/>
      <c r="S2202" s="486"/>
    </row>
    <row r="2203" spans="1:19" ht="15.75" customHeight="1" x14ac:dyDescent="0.25">
      <c r="A2203" s="438">
        <v>2200</v>
      </c>
      <c r="B2203" s="479" t="s">
        <v>17</v>
      </c>
      <c r="C2203" s="471" t="s">
        <v>18</v>
      </c>
      <c r="D2203" s="480" t="s">
        <v>2301</v>
      </c>
      <c r="E2203" s="448" t="s">
        <v>4085</v>
      </c>
      <c r="F2203" s="448" t="s">
        <v>2982</v>
      </c>
      <c r="G2203" s="452" t="s">
        <v>3989</v>
      </c>
      <c r="H2203" s="441" t="s">
        <v>1244</v>
      </c>
      <c r="I2203" s="474" t="s">
        <v>3457</v>
      </c>
      <c r="J2203" s="474" t="s">
        <v>3463</v>
      </c>
      <c r="K2203" s="443" t="s">
        <v>1245</v>
      </c>
      <c r="L2203" s="471">
        <v>1</v>
      </c>
      <c r="M2203" s="452" t="s">
        <v>3744</v>
      </c>
      <c r="N2203" s="463">
        <v>4200</v>
      </c>
      <c r="O2203" s="487">
        <f t="shared" si="8"/>
        <v>4200</v>
      </c>
      <c r="P2203" s="479"/>
      <c r="Q2203" s="477">
        <v>46023</v>
      </c>
      <c r="R2203" s="486"/>
      <c r="S2203" s="486"/>
    </row>
    <row r="2204" spans="1:19" ht="15.75" customHeight="1" x14ac:dyDescent="0.25">
      <c r="A2204" s="438">
        <v>2201</v>
      </c>
      <c r="B2204" s="479" t="s">
        <v>17</v>
      </c>
      <c r="C2204" s="471" t="s">
        <v>18</v>
      </c>
      <c r="D2204" s="480" t="s">
        <v>2301</v>
      </c>
      <c r="E2204" s="448" t="s">
        <v>4085</v>
      </c>
      <c r="F2204" s="448" t="s">
        <v>2982</v>
      </c>
      <c r="G2204" s="452" t="s">
        <v>3989</v>
      </c>
      <c r="H2204" s="441" t="s">
        <v>1244</v>
      </c>
      <c r="I2204" s="474" t="s">
        <v>3457</v>
      </c>
      <c r="J2204" s="474" t="s">
        <v>3463</v>
      </c>
      <c r="K2204" s="443" t="s">
        <v>1245</v>
      </c>
      <c r="L2204" s="471">
        <v>1</v>
      </c>
      <c r="M2204" s="452" t="s">
        <v>3745</v>
      </c>
      <c r="N2204" s="463">
        <v>4200</v>
      </c>
      <c r="O2204" s="487">
        <f t="shared" si="8"/>
        <v>4200</v>
      </c>
      <c r="P2204" s="479"/>
      <c r="Q2204" s="477">
        <v>46023</v>
      </c>
      <c r="R2204" s="486"/>
      <c r="S2204" s="486"/>
    </row>
    <row r="2205" spans="1:19" ht="15.75" customHeight="1" x14ac:dyDescent="0.25">
      <c r="A2205" s="438">
        <v>2202</v>
      </c>
      <c r="B2205" s="479" t="s">
        <v>17</v>
      </c>
      <c r="C2205" s="471" t="s">
        <v>18</v>
      </c>
      <c r="D2205" s="480" t="s">
        <v>2301</v>
      </c>
      <c r="E2205" s="448" t="s">
        <v>4085</v>
      </c>
      <c r="F2205" s="448" t="s">
        <v>2982</v>
      </c>
      <c r="G2205" s="452" t="s">
        <v>3989</v>
      </c>
      <c r="H2205" s="441" t="s">
        <v>1244</v>
      </c>
      <c r="I2205" s="474" t="s">
        <v>3457</v>
      </c>
      <c r="J2205" s="474" t="s">
        <v>3463</v>
      </c>
      <c r="K2205" s="443" t="s">
        <v>1245</v>
      </c>
      <c r="L2205" s="471">
        <v>1</v>
      </c>
      <c r="M2205" s="452" t="s">
        <v>3746</v>
      </c>
      <c r="N2205" s="463">
        <v>4200</v>
      </c>
      <c r="O2205" s="487">
        <f t="shared" si="8"/>
        <v>4200</v>
      </c>
      <c r="P2205" s="479"/>
      <c r="Q2205" s="477">
        <v>46023</v>
      </c>
      <c r="R2205" s="486"/>
      <c r="S2205" s="486"/>
    </row>
    <row r="2206" spans="1:19" ht="15.75" customHeight="1" x14ac:dyDescent="0.25">
      <c r="A2206" s="438">
        <v>2203</v>
      </c>
      <c r="B2206" s="479" t="s">
        <v>17</v>
      </c>
      <c r="C2206" s="471" t="s">
        <v>18</v>
      </c>
      <c r="D2206" s="480" t="s">
        <v>2301</v>
      </c>
      <c r="E2206" s="448" t="s">
        <v>4085</v>
      </c>
      <c r="F2206" s="448" t="s">
        <v>2982</v>
      </c>
      <c r="G2206" s="452" t="s">
        <v>3989</v>
      </c>
      <c r="H2206" s="441" t="s">
        <v>1244</v>
      </c>
      <c r="I2206" s="474" t="s">
        <v>3457</v>
      </c>
      <c r="J2206" s="474" t="s">
        <v>3463</v>
      </c>
      <c r="K2206" s="443" t="s">
        <v>1245</v>
      </c>
      <c r="L2206" s="471">
        <v>1</v>
      </c>
      <c r="M2206" s="452" t="s">
        <v>3747</v>
      </c>
      <c r="N2206" s="463">
        <v>4200</v>
      </c>
      <c r="O2206" s="487">
        <f t="shared" si="8"/>
        <v>4200</v>
      </c>
      <c r="P2206" s="479"/>
      <c r="Q2206" s="477">
        <v>46023</v>
      </c>
      <c r="R2206" s="486"/>
      <c r="S2206" s="486"/>
    </row>
    <row r="2207" spans="1:19" ht="15.75" customHeight="1" x14ac:dyDescent="0.25">
      <c r="A2207" s="438">
        <v>2204</v>
      </c>
      <c r="B2207" s="479" t="s">
        <v>17</v>
      </c>
      <c r="C2207" s="471" t="s">
        <v>18</v>
      </c>
      <c r="D2207" s="480" t="s">
        <v>2301</v>
      </c>
      <c r="E2207" s="448" t="s">
        <v>4085</v>
      </c>
      <c r="F2207" s="448" t="s">
        <v>2982</v>
      </c>
      <c r="G2207" s="452" t="s">
        <v>4030</v>
      </c>
      <c r="H2207" s="441" t="s">
        <v>2064</v>
      </c>
      <c r="I2207" s="474" t="s">
        <v>3457</v>
      </c>
      <c r="J2207" s="474" t="s">
        <v>3464</v>
      </c>
      <c r="K2207" s="443" t="s">
        <v>2065</v>
      </c>
      <c r="L2207" s="471">
        <v>1</v>
      </c>
      <c r="M2207" s="452" t="s">
        <v>3748</v>
      </c>
      <c r="N2207" s="463">
        <v>21000</v>
      </c>
      <c r="O2207" s="487">
        <f t="shared" si="8"/>
        <v>21000</v>
      </c>
      <c r="P2207" s="479"/>
      <c r="Q2207" s="477">
        <v>46023</v>
      </c>
      <c r="R2207" s="486"/>
      <c r="S2207" s="486"/>
    </row>
    <row r="2208" spans="1:19" ht="15.75" customHeight="1" x14ac:dyDescent="0.25">
      <c r="A2208" s="438">
        <v>2205</v>
      </c>
      <c r="B2208" s="479" t="s">
        <v>17</v>
      </c>
      <c r="C2208" s="471" t="s">
        <v>18</v>
      </c>
      <c r="D2208" s="480" t="s">
        <v>2301</v>
      </c>
      <c r="E2208" s="448" t="s">
        <v>4083</v>
      </c>
      <c r="F2208" s="448" t="s">
        <v>2988</v>
      </c>
      <c r="G2208" s="452" t="s">
        <v>4011</v>
      </c>
      <c r="H2208" s="441" t="s">
        <v>1503</v>
      </c>
      <c r="I2208" s="474" t="s">
        <v>3457</v>
      </c>
      <c r="J2208" s="474" t="s">
        <v>3464</v>
      </c>
      <c r="K2208" s="443" t="s">
        <v>1504</v>
      </c>
      <c r="L2208" s="471">
        <v>1</v>
      </c>
      <c r="M2208" s="452" t="s">
        <v>2875</v>
      </c>
      <c r="N2208" s="463">
        <v>28000</v>
      </c>
      <c r="O2208" s="487">
        <f t="shared" si="8"/>
        <v>28000</v>
      </c>
      <c r="P2208" s="479"/>
      <c r="Q2208" s="477">
        <v>46023</v>
      </c>
      <c r="R2208" s="486"/>
      <c r="S2208" s="486"/>
    </row>
    <row r="2209" spans="1:19" ht="15.75" customHeight="1" x14ac:dyDescent="0.25">
      <c r="A2209" s="438">
        <v>2206</v>
      </c>
      <c r="B2209" s="479" t="s">
        <v>17</v>
      </c>
      <c r="C2209" s="471" t="s">
        <v>18</v>
      </c>
      <c r="D2209" s="480" t="s">
        <v>2301</v>
      </c>
      <c r="E2209" s="448" t="s">
        <v>4083</v>
      </c>
      <c r="F2209" s="448" t="s">
        <v>2988</v>
      </c>
      <c r="G2209" s="452" t="s">
        <v>4011</v>
      </c>
      <c r="H2209" s="441" t="s">
        <v>1503</v>
      </c>
      <c r="I2209" s="474" t="s">
        <v>3457</v>
      </c>
      <c r="J2209" s="474" t="s">
        <v>3464</v>
      </c>
      <c r="K2209" s="443" t="s">
        <v>1504</v>
      </c>
      <c r="L2209" s="471">
        <v>1</v>
      </c>
      <c r="M2209" s="452" t="s">
        <v>3749</v>
      </c>
      <c r="N2209" s="463">
        <v>28000</v>
      </c>
      <c r="O2209" s="487">
        <f t="shared" si="8"/>
        <v>28000</v>
      </c>
      <c r="P2209" s="479"/>
      <c r="Q2209" s="477">
        <v>46023</v>
      </c>
      <c r="R2209" s="486"/>
      <c r="S2209" s="486"/>
    </row>
    <row r="2210" spans="1:19" ht="15.75" customHeight="1" x14ac:dyDescent="0.25">
      <c r="A2210" s="438">
        <v>2207</v>
      </c>
      <c r="B2210" s="479" t="s">
        <v>17</v>
      </c>
      <c r="C2210" s="471" t="s">
        <v>18</v>
      </c>
      <c r="D2210" s="480" t="s">
        <v>2301</v>
      </c>
      <c r="E2210" s="448" t="s">
        <v>4083</v>
      </c>
      <c r="F2210" s="448" t="s">
        <v>2988</v>
      </c>
      <c r="G2210" s="452" t="s">
        <v>4011</v>
      </c>
      <c r="H2210" s="441" t="s">
        <v>1503</v>
      </c>
      <c r="I2210" s="474" t="s">
        <v>3457</v>
      </c>
      <c r="J2210" s="474" t="s">
        <v>3464</v>
      </c>
      <c r="K2210" s="443" t="s">
        <v>1504</v>
      </c>
      <c r="L2210" s="471">
        <v>1</v>
      </c>
      <c r="M2210" s="452" t="s">
        <v>3285</v>
      </c>
      <c r="N2210" s="463">
        <v>43000</v>
      </c>
      <c r="O2210" s="487">
        <f t="shared" si="8"/>
        <v>43000</v>
      </c>
      <c r="P2210" s="479"/>
      <c r="Q2210" s="477">
        <v>46023</v>
      </c>
      <c r="R2210" s="486"/>
      <c r="S2210" s="486"/>
    </row>
    <row r="2211" spans="1:19" ht="15.75" customHeight="1" x14ac:dyDescent="0.25">
      <c r="A2211" s="438">
        <v>2208</v>
      </c>
      <c r="B2211" s="479" t="s">
        <v>17</v>
      </c>
      <c r="C2211" s="471" t="s">
        <v>18</v>
      </c>
      <c r="D2211" s="480" t="s">
        <v>2301</v>
      </c>
      <c r="E2211" s="448" t="s">
        <v>4083</v>
      </c>
      <c r="F2211" s="448" t="s">
        <v>2988</v>
      </c>
      <c r="G2211" s="452" t="s">
        <v>4011</v>
      </c>
      <c r="H2211" s="441" t="s">
        <v>1503</v>
      </c>
      <c r="I2211" s="474" t="s">
        <v>3457</v>
      </c>
      <c r="J2211" s="474" t="s">
        <v>3464</v>
      </c>
      <c r="K2211" s="443" t="s">
        <v>1504</v>
      </c>
      <c r="L2211" s="471">
        <v>1</v>
      </c>
      <c r="M2211" s="452" t="s">
        <v>3287</v>
      </c>
      <c r="N2211" s="463">
        <v>43000</v>
      </c>
      <c r="O2211" s="487">
        <f t="shared" si="8"/>
        <v>43000</v>
      </c>
      <c r="P2211" s="479"/>
      <c r="Q2211" s="477">
        <v>46023</v>
      </c>
      <c r="R2211" s="486"/>
      <c r="S2211" s="486"/>
    </row>
    <row r="2212" spans="1:19" ht="15.75" customHeight="1" x14ac:dyDescent="0.25">
      <c r="A2212" s="438">
        <v>2209</v>
      </c>
      <c r="B2212" s="479" t="s">
        <v>17</v>
      </c>
      <c r="C2212" s="471" t="s">
        <v>18</v>
      </c>
      <c r="D2212" s="480" t="s">
        <v>2301</v>
      </c>
      <c r="E2212" s="448" t="s">
        <v>4083</v>
      </c>
      <c r="F2212" s="448" t="s">
        <v>2988</v>
      </c>
      <c r="G2212" s="452" t="s">
        <v>4011</v>
      </c>
      <c r="H2212" s="441" t="s">
        <v>1503</v>
      </c>
      <c r="I2212" s="474" t="s">
        <v>3457</v>
      </c>
      <c r="J2212" s="474" t="s">
        <v>3464</v>
      </c>
      <c r="K2212" s="443" t="s">
        <v>1504</v>
      </c>
      <c r="L2212" s="471">
        <v>1</v>
      </c>
      <c r="M2212" s="452" t="s">
        <v>3279</v>
      </c>
      <c r="N2212" s="463">
        <v>43000</v>
      </c>
      <c r="O2212" s="487">
        <f t="shared" si="8"/>
        <v>43000</v>
      </c>
      <c r="P2212" s="479"/>
      <c r="Q2212" s="477">
        <v>46023</v>
      </c>
      <c r="R2212" s="486"/>
      <c r="S2212" s="486"/>
    </row>
    <row r="2213" spans="1:19" ht="15.75" customHeight="1" x14ac:dyDescent="0.25">
      <c r="A2213" s="438">
        <v>2210</v>
      </c>
      <c r="B2213" s="479" t="s">
        <v>17</v>
      </c>
      <c r="C2213" s="471" t="s">
        <v>18</v>
      </c>
      <c r="D2213" s="480" t="s">
        <v>2301</v>
      </c>
      <c r="E2213" s="448" t="s">
        <v>4083</v>
      </c>
      <c r="F2213" s="448" t="s">
        <v>2988</v>
      </c>
      <c r="G2213" s="452" t="s">
        <v>4011</v>
      </c>
      <c r="H2213" s="441" t="s">
        <v>1503</v>
      </c>
      <c r="I2213" s="474" t="s">
        <v>3457</v>
      </c>
      <c r="J2213" s="474" t="s">
        <v>3464</v>
      </c>
      <c r="K2213" s="443" t="s">
        <v>1504</v>
      </c>
      <c r="L2213" s="471">
        <v>1</v>
      </c>
      <c r="M2213" s="452" t="s">
        <v>3281</v>
      </c>
      <c r="N2213" s="463">
        <v>43000</v>
      </c>
      <c r="O2213" s="487">
        <f t="shared" si="8"/>
        <v>43000</v>
      </c>
      <c r="P2213" s="479"/>
      <c r="Q2213" s="477">
        <v>46023</v>
      </c>
      <c r="R2213" s="486"/>
      <c r="S2213" s="486"/>
    </row>
    <row r="2214" spans="1:19" ht="15.75" customHeight="1" x14ac:dyDescent="0.25">
      <c r="A2214" s="438">
        <v>2211</v>
      </c>
      <c r="B2214" s="479" t="s">
        <v>17</v>
      </c>
      <c r="C2214" s="471" t="s">
        <v>18</v>
      </c>
      <c r="D2214" s="480" t="s">
        <v>2301</v>
      </c>
      <c r="E2214" s="448" t="s">
        <v>4083</v>
      </c>
      <c r="F2214" s="448" t="s">
        <v>2988</v>
      </c>
      <c r="G2214" s="452" t="s">
        <v>4011</v>
      </c>
      <c r="H2214" s="441" t="s">
        <v>1503</v>
      </c>
      <c r="I2214" s="474" t="s">
        <v>3457</v>
      </c>
      <c r="J2214" s="474" t="s">
        <v>3464</v>
      </c>
      <c r="K2214" s="443" t="s">
        <v>1504</v>
      </c>
      <c r="L2214" s="471">
        <v>1</v>
      </c>
      <c r="M2214" s="452" t="s">
        <v>3283</v>
      </c>
      <c r="N2214" s="463">
        <v>43000</v>
      </c>
      <c r="O2214" s="487">
        <f t="shared" si="8"/>
        <v>43000</v>
      </c>
      <c r="P2214" s="479"/>
      <c r="Q2214" s="477">
        <v>46023</v>
      </c>
      <c r="R2214" s="486"/>
      <c r="S2214" s="486"/>
    </row>
    <row r="2215" spans="1:19" ht="15.75" customHeight="1" x14ac:dyDescent="0.25">
      <c r="A2215" s="438">
        <v>2212</v>
      </c>
      <c r="B2215" s="479" t="s">
        <v>17</v>
      </c>
      <c r="C2215" s="471" t="s">
        <v>18</v>
      </c>
      <c r="D2215" s="480" t="s">
        <v>2301</v>
      </c>
      <c r="E2215" s="448" t="s">
        <v>4083</v>
      </c>
      <c r="F2215" s="448" t="s">
        <v>2988</v>
      </c>
      <c r="G2215" s="452" t="s">
        <v>4011</v>
      </c>
      <c r="H2215" s="441" t="s">
        <v>1503</v>
      </c>
      <c r="I2215" s="474" t="s">
        <v>3457</v>
      </c>
      <c r="J2215" s="474" t="s">
        <v>3464</v>
      </c>
      <c r="K2215" s="443" t="s">
        <v>1504</v>
      </c>
      <c r="L2215" s="471">
        <v>1</v>
      </c>
      <c r="M2215" s="452" t="s">
        <v>3349</v>
      </c>
      <c r="N2215" s="463">
        <v>39000</v>
      </c>
      <c r="O2215" s="487">
        <f t="shared" si="8"/>
        <v>39000</v>
      </c>
      <c r="P2215" s="479"/>
      <c r="Q2215" s="477">
        <v>46023</v>
      </c>
      <c r="R2215" s="486"/>
      <c r="S2215" s="486"/>
    </row>
    <row r="2216" spans="1:19" ht="15.75" customHeight="1" x14ac:dyDescent="0.25">
      <c r="A2216" s="438">
        <v>2213</v>
      </c>
      <c r="B2216" s="479" t="s">
        <v>17</v>
      </c>
      <c r="C2216" s="471" t="s">
        <v>18</v>
      </c>
      <c r="D2216" s="480" t="s">
        <v>2301</v>
      </c>
      <c r="E2216" s="448" t="s">
        <v>4088</v>
      </c>
      <c r="F2216" s="448" t="s">
        <v>3049</v>
      </c>
      <c r="G2216" s="452" t="s">
        <v>4011</v>
      </c>
      <c r="H2216" s="441" t="s">
        <v>1503</v>
      </c>
      <c r="I2216" s="474" t="s">
        <v>3457</v>
      </c>
      <c r="J2216" s="474" t="s">
        <v>3464</v>
      </c>
      <c r="K2216" s="443" t="s">
        <v>1504</v>
      </c>
      <c r="L2216" s="471">
        <v>1</v>
      </c>
      <c r="M2216" s="452" t="s">
        <v>3750</v>
      </c>
      <c r="N2216" s="463">
        <v>32100</v>
      </c>
      <c r="O2216" s="487">
        <f t="shared" si="8"/>
        <v>32100</v>
      </c>
      <c r="P2216" s="479"/>
      <c r="Q2216" s="477">
        <v>46023</v>
      </c>
      <c r="R2216" s="486"/>
      <c r="S2216" s="486"/>
    </row>
    <row r="2217" spans="1:19" ht="15.75" customHeight="1" x14ac:dyDescent="0.25">
      <c r="A2217" s="438">
        <v>2214</v>
      </c>
      <c r="B2217" s="479" t="s">
        <v>17</v>
      </c>
      <c r="C2217" s="471" t="s">
        <v>18</v>
      </c>
      <c r="D2217" s="480" t="s">
        <v>2301</v>
      </c>
      <c r="E2217" s="448" t="s">
        <v>4088</v>
      </c>
      <c r="F2217" s="448" t="s">
        <v>4106</v>
      </c>
      <c r="G2217" s="452" t="s">
        <v>4011</v>
      </c>
      <c r="H2217" s="441" t="s">
        <v>1503</v>
      </c>
      <c r="I2217" s="474" t="s">
        <v>3457</v>
      </c>
      <c r="J2217" s="474" t="s">
        <v>3464</v>
      </c>
      <c r="K2217" s="443" t="s">
        <v>1504</v>
      </c>
      <c r="L2217" s="471">
        <v>1</v>
      </c>
      <c r="M2217" s="452" t="s">
        <v>3751</v>
      </c>
      <c r="N2217" s="463">
        <v>32100</v>
      </c>
      <c r="O2217" s="487">
        <f t="shared" si="8"/>
        <v>32100</v>
      </c>
      <c r="P2217" s="479"/>
      <c r="Q2217" s="477">
        <v>46023</v>
      </c>
      <c r="R2217" s="486"/>
      <c r="S2217" s="486"/>
    </row>
    <row r="2218" spans="1:19" ht="15.75" customHeight="1" x14ac:dyDescent="0.25">
      <c r="A2218" s="438">
        <v>2215</v>
      </c>
      <c r="B2218" s="479" t="s">
        <v>17</v>
      </c>
      <c r="C2218" s="471" t="s">
        <v>18</v>
      </c>
      <c r="D2218" s="480" t="s">
        <v>2301</v>
      </c>
      <c r="E2218" s="448" t="s">
        <v>4083</v>
      </c>
      <c r="F2218" s="448" t="s">
        <v>2988</v>
      </c>
      <c r="G2218" s="452" t="s">
        <v>3060</v>
      </c>
      <c r="H2218" s="441" t="s">
        <v>3414</v>
      </c>
      <c r="I2218" s="474" t="s">
        <v>3457</v>
      </c>
      <c r="J2218" s="474" t="s">
        <v>3463</v>
      </c>
      <c r="K2218" s="443" t="s">
        <v>1539</v>
      </c>
      <c r="L2218" s="471">
        <v>1</v>
      </c>
      <c r="M2218" s="452" t="s">
        <v>3752</v>
      </c>
      <c r="N2218" s="463">
        <v>7100</v>
      </c>
      <c r="O2218" s="487">
        <f t="shared" si="8"/>
        <v>7100</v>
      </c>
      <c r="P2218" s="479"/>
      <c r="Q2218" s="477">
        <v>46023</v>
      </c>
      <c r="R2218" s="486"/>
      <c r="S2218" s="486"/>
    </row>
    <row r="2219" spans="1:19" ht="15.75" customHeight="1" x14ac:dyDescent="0.25">
      <c r="A2219" s="438">
        <v>2216</v>
      </c>
      <c r="B2219" s="479" t="s">
        <v>17</v>
      </c>
      <c r="C2219" s="471" t="s">
        <v>18</v>
      </c>
      <c r="D2219" s="480" t="s">
        <v>2301</v>
      </c>
      <c r="E2219" s="448" t="s">
        <v>4083</v>
      </c>
      <c r="F2219" s="448" t="s">
        <v>2988</v>
      </c>
      <c r="G2219" s="452" t="s">
        <v>3060</v>
      </c>
      <c r="H2219" s="441" t="s">
        <v>3414</v>
      </c>
      <c r="I2219" s="474" t="s">
        <v>3457</v>
      </c>
      <c r="J2219" s="474" t="s">
        <v>3463</v>
      </c>
      <c r="K2219" s="443" t="s">
        <v>1539</v>
      </c>
      <c r="L2219" s="471">
        <v>1</v>
      </c>
      <c r="M2219" s="452" t="s">
        <v>3018</v>
      </c>
      <c r="N2219" s="463">
        <v>7100</v>
      </c>
      <c r="O2219" s="487">
        <f t="shared" si="8"/>
        <v>7100</v>
      </c>
      <c r="P2219" s="479"/>
      <c r="Q2219" s="477">
        <v>46023</v>
      </c>
      <c r="R2219" s="486"/>
      <c r="S2219" s="486"/>
    </row>
    <row r="2220" spans="1:19" ht="15.75" customHeight="1" x14ac:dyDescent="0.25">
      <c r="A2220" s="438">
        <v>2217</v>
      </c>
      <c r="B2220" s="479" t="s">
        <v>17</v>
      </c>
      <c r="C2220" s="471" t="s">
        <v>18</v>
      </c>
      <c r="D2220" s="480" t="s">
        <v>2301</v>
      </c>
      <c r="E2220" s="448" t="s">
        <v>4083</v>
      </c>
      <c r="F2220" s="448" t="s">
        <v>2988</v>
      </c>
      <c r="G2220" s="452" t="s">
        <v>3060</v>
      </c>
      <c r="H2220" s="441" t="s">
        <v>3414</v>
      </c>
      <c r="I2220" s="474" t="s">
        <v>3457</v>
      </c>
      <c r="J2220" s="474" t="s">
        <v>3463</v>
      </c>
      <c r="K2220" s="443" t="s">
        <v>1539</v>
      </c>
      <c r="L2220" s="471">
        <v>1</v>
      </c>
      <c r="M2220" s="452" t="s">
        <v>3254</v>
      </c>
      <c r="N2220" s="463">
        <v>7100</v>
      </c>
      <c r="O2220" s="487">
        <f t="shared" si="8"/>
        <v>7100</v>
      </c>
      <c r="P2220" s="479"/>
      <c r="Q2220" s="477">
        <v>46023</v>
      </c>
      <c r="R2220" s="486"/>
      <c r="S2220" s="486"/>
    </row>
    <row r="2221" spans="1:19" ht="15.75" customHeight="1" x14ac:dyDescent="0.25">
      <c r="A2221" s="438">
        <v>2218</v>
      </c>
      <c r="B2221" s="479" t="s">
        <v>17</v>
      </c>
      <c r="C2221" s="471" t="s">
        <v>18</v>
      </c>
      <c r="D2221" s="480" t="s">
        <v>2301</v>
      </c>
      <c r="E2221" s="448" t="s">
        <v>4083</v>
      </c>
      <c r="F2221" s="448" t="s">
        <v>2988</v>
      </c>
      <c r="G2221" s="452" t="s">
        <v>3060</v>
      </c>
      <c r="H2221" s="441" t="s">
        <v>3414</v>
      </c>
      <c r="I2221" s="474" t="s">
        <v>3457</v>
      </c>
      <c r="J2221" s="474" t="s">
        <v>3463</v>
      </c>
      <c r="K2221" s="443" t="s">
        <v>1539</v>
      </c>
      <c r="L2221" s="471">
        <v>1</v>
      </c>
      <c r="M2221" s="452" t="s">
        <v>3019</v>
      </c>
      <c r="N2221" s="463">
        <v>7100</v>
      </c>
      <c r="O2221" s="487">
        <f t="shared" si="8"/>
        <v>7100</v>
      </c>
      <c r="P2221" s="479"/>
      <c r="Q2221" s="477">
        <v>46023</v>
      </c>
      <c r="R2221" s="486"/>
      <c r="S2221" s="486"/>
    </row>
    <row r="2222" spans="1:19" ht="15.75" customHeight="1" x14ac:dyDescent="0.25">
      <c r="A2222" s="438">
        <v>2219</v>
      </c>
      <c r="B2222" s="479" t="s">
        <v>17</v>
      </c>
      <c r="C2222" s="471" t="s">
        <v>18</v>
      </c>
      <c r="D2222" s="480" t="s">
        <v>2301</v>
      </c>
      <c r="E2222" s="448" t="s">
        <v>4083</v>
      </c>
      <c r="F2222" s="448" t="s">
        <v>2988</v>
      </c>
      <c r="G2222" s="452" t="s">
        <v>3060</v>
      </c>
      <c r="H2222" s="441" t="s">
        <v>3414</v>
      </c>
      <c r="I2222" s="474" t="s">
        <v>3457</v>
      </c>
      <c r="J2222" s="474" t="s">
        <v>3463</v>
      </c>
      <c r="K2222" s="443" t="s">
        <v>1539</v>
      </c>
      <c r="L2222" s="471">
        <v>1</v>
      </c>
      <c r="M2222" s="452" t="s">
        <v>3251</v>
      </c>
      <c r="N2222" s="463">
        <v>7100</v>
      </c>
      <c r="O2222" s="487">
        <f t="shared" si="8"/>
        <v>7100</v>
      </c>
      <c r="P2222" s="479"/>
      <c r="Q2222" s="477">
        <v>46023</v>
      </c>
      <c r="R2222" s="486"/>
      <c r="S2222" s="486"/>
    </row>
    <row r="2223" spans="1:19" ht="15.75" customHeight="1" x14ac:dyDescent="0.25">
      <c r="A2223" s="438">
        <v>2220</v>
      </c>
      <c r="B2223" s="479" t="s">
        <v>17</v>
      </c>
      <c r="C2223" s="471" t="s">
        <v>18</v>
      </c>
      <c r="D2223" s="480" t="s">
        <v>2301</v>
      </c>
      <c r="E2223" s="448" t="s">
        <v>4091</v>
      </c>
      <c r="F2223" s="448" t="s">
        <v>3024</v>
      </c>
      <c r="G2223" s="452" t="s">
        <v>2803</v>
      </c>
      <c r="H2223" s="441" t="s">
        <v>302</v>
      </c>
      <c r="I2223" s="474" t="s">
        <v>3460</v>
      </c>
      <c r="J2223" s="474" t="s">
        <v>3464</v>
      </c>
      <c r="K2223" s="443" t="s">
        <v>279</v>
      </c>
      <c r="L2223" s="471">
        <v>1</v>
      </c>
      <c r="M2223" s="452" t="s">
        <v>3753</v>
      </c>
      <c r="N2223" s="463">
        <v>60000</v>
      </c>
      <c r="O2223" s="487">
        <f t="shared" si="8"/>
        <v>60000</v>
      </c>
      <c r="P2223" s="479"/>
      <c r="Q2223" s="477">
        <v>46023</v>
      </c>
      <c r="R2223" s="486"/>
      <c r="S2223" s="486"/>
    </row>
    <row r="2224" spans="1:19" ht="15.75" customHeight="1" x14ac:dyDescent="0.25">
      <c r="A2224" s="438">
        <v>2221</v>
      </c>
      <c r="B2224" s="479" t="s">
        <v>17</v>
      </c>
      <c r="C2224" s="471" t="s">
        <v>18</v>
      </c>
      <c r="D2224" s="480" t="s">
        <v>2301</v>
      </c>
      <c r="E2224" s="448" t="s">
        <v>4083</v>
      </c>
      <c r="F2224" s="448" t="s">
        <v>2988</v>
      </c>
      <c r="G2224" s="452" t="s">
        <v>4010</v>
      </c>
      <c r="H2224" s="441" t="s">
        <v>3420</v>
      </c>
      <c r="I2224" s="474" t="s">
        <v>3457</v>
      </c>
      <c r="J2224" s="474" t="s">
        <v>3464</v>
      </c>
      <c r="K2224" s="443" t="s">
        <v>1496</v>
      </c>
      <c r="L2224" s="471">
        <v>1</v>
      </c>
      <c r="M2224" s="452" t="s">
        <v>3059</v>
      </c>
      <c r="N2224" s="463">
        <v>40000</v>
      </c>
      <c r="O2224" s="487">
        <f t="shared" si="8"/>
        <v>40000</v>
      </c>
      <c r="P2224" s="479"/>
      <c r="Q2224" s="477">
        <v>46023</v>
      </c>
      <c r="R2224" s="486"/>
      <c r="S2224" s="486"/>
    </row>
    <row r="2225" spans="1:19" ht="15.75" customHeight="1" x14ac:dyDescent="0.25">
      <c r="A2225" s="438">
        <v>2222</v>
      </c>
      <c r="B2225" s="479" t="s">
        <v>17</v>
      </c>
      <c r="C2225" s="471" t="s">
        <v>18</v>
      </c>
      <c r="D2225" s="480" t="s">
        <v>2301</v>
      </c>
      <c r="E2225" s="448" t="s">
        <v>4088</v>
      </c>
      <c r="F2225" s="448" t="s">
        <v>4106</v>
      </c>
      <c r="G2225" s="452" t="s">
        <v>4010</v>
      </c>
      <c r="H2225" s="441" t="s">
        <v>3420</v>
      </c>
      <c r="I2225" s="474" t="s">
        <v>3457</v>
      </c>
      <c r="J2225" s="474" t="s">
        <v>3464</v>
      </c>
      <c r="K2225" s="443" t="s">
        <v>1496</v>
      </c>
      <c r="L2225" s="471">
        <v>1</v>
      </c>
      <c r="M2225" s="452" t="s">
        <v>3754</v>
      </c>
      <c r="N2225" s="463">
        <v>49000</v>
      </c>
      <c r="O2225" s="487">
        <f t="shared" si="8"/>
        <v>49000</v>
      </c>
      <c r="P2225" s="479"/>
      <c r="Q2225" s="477">
        <v>46023</v>
      </c>
      <c r="R2225" s="486"/>
      <c r="S2225" s="486"/>
    </row>
    <row r="2226" spans="1:19" ht="15.75" customHeight="1" x14ac:dyDescent="0.25">
      <c r="A2226" s="438">
        <v>2223</v>
      </c>
      <c r="B2226" s="479" t="s">
        <v>17</v>
      </c>
      <c r="C2226" s="471" t="s">
        <v>18</v>
      </c>
      <c r="D2226" s="480" t="s">
        <v>2301</v>
      </c>
      <c r="E2226" s="448" t="s">
        <v>4088</v>
      </c>
      <c r="F2226" s="448" t="s">
        <v>4106</v>
      </c>
      <c r="G2226" s="452" t="s">
        <v>3942</v>
      </c>
      <c r="H2226" s="441" t="s">
        <v>2089</v>
      </c>
      <c r="I2226" s="474" t="s">
        <v>3457</v>
      </c>
      <c r="J2226" s="474" t="s">
        <v>3463</v>
      </c>
      <c r="K2226" s="443" t="s">
        <v>687</v>
      </c>
      <c r="L2226" s="471">
        <v>1</v>
      </c>
      <c r="M2226" s="452" t="s">
        <v>3755</v>
      </c>
      <c r="N2226" s="463">
        <v>16870</v>
      </c>
      <c r="O2226" s="487">
        <f t="shared" si="8"/>
        <v>16870</v>
      </c>
      <c r="P2226" s="479"/>
      <c r="Q2226" s="477">
        <v>46023</v>
      </c>
      <c r="R2226" s="486"/>
      <c r="S2226" s="486"/>
    </row>
    <row r="2227" spans="1:19" ht="15.75" customHeight="1" x14ac:dyDescent="0.25">
      <c r="A2227" s="438">
        <v>2224</v>
      </c>
      <c r="B2227" s="479" t="s">
        <v>17</v>
      </c>
      <c r="C2227" s="471" t="s">
        <v>18</v>
      </c>
      <c r="D2227" s="480" t="s">
        <v>2301</v>
      </c>
      <c r="E2227" s="448" t="s">
        <v>4083</v>
      </c>
      <c r="F2227" s="448" t="s">
        <v>2988</v>
      </c>
      <c r="G2227" s="452" t="s">
        <v>3942</v>
      </c>
      <c r="H2227" s="441" t="s">
        <v>2089</v>
      </c>
      <c r="I2227" s="474" t="s">
        <v>3457</v>
      </c>
      <c r="J2227" s="474" t="s">
        <v>3463</v>
      </c>
      <c r="K2227" s="443" t="s">
        <v>687</v>
      </c>
      <c r="L2227" s="471">
        <v>1</v>
      </c>
      <c r="M2227" s="452" t="s">
        <v>2742</v>
      </c>
      <c r="N2227" s="463">
        <v>19500</v>
      </c>
      <c r="O2227" s="487">
        <f t="shared" si="8"/>
        <v>19500</v>
      </c>
      <c r="P2227" s="479"/>
      <c r="Q2227" s="477">
        <v>46023</v>
      </c>
      <c r="R2227" s="486"/>
      <c r="S2227" s="486"/>
    </row>
    <row r="2228" spans="1:19" ht="15.75" customHeight="1" x14ac:dyDescent="0.25">
      <c r="A2228" s="438">
        <v>2225</v>
      </c>
      <c r="B2228" s="479" t="s">
        <v>17</v>
      </c>
      <c r="C2228" s="471" t="s">
        <v>18</v>
      </c>
      <c r="D2228" s="480" t="s">
        <v>2301</v>
      </c>
      <c r="E2228" s="448" t="s">
        <v>4083</v>
      </c>
      <c r="F2228" s="448" t="s">
        <v>2988</v>
      </c>
      <c r="G2228" s="452" t="s">
        <v>3942</v>
      </c>
      <c r="H2228" s="441" t="s">
        <v>2089</v>
      </c>
      <c r="I2228" s="474" t="s">
        <v>3457</v>
      </c>
      <c r="J2228" s="474" t="s">
        <v>3463</v>
      </c>
      <c r="K2228" s="443" t="s">
        <v>687</v>
      </c>
      <c r="L2228" s="471">
        <v>1</v>
      </c>
      <c r="M2228" s="452" t="s">
        <v>3337</v>
      </c>
      <c r="N2228" s="463">
        <v>18500</v>
      </c>
      <c r="O2228" s="487">
        <f t="shared" si="8"/>
        <v>18500</v>
      </c>
      <c r="P2228" s="479"/>
      <c r="Q2228" s="477">
        <v>46023</v>
      </c>
      <c r="R2228" s="486"/>
      <c r="S2228" s="486"/>
    </row>
    <row r="2229" spans="1:19" ht="15.75" customHeight="1" x14ac:dyDescent="0.25">
      <c r="A2229" s="438">
        <v>2226</v>
      </c>
      <c r="B2229" s="479" t="s">
        <v>17</v>
      </c>
      <c r="C2229" s="471" t="s">
        <v>18</v>
      </c>
      <c r="D2229" s="480" t="s">
        <v>2301</v>
      </c>
      <c r="E2229" s="448" t="s">
        <v>4083</v>
      </c>
      <c r="F2229" s="448" t="s">
        <v>2988</v>
      </c>
      <c r="G2229" s="452" t="s">
        <v>3942</v>
      </c>
      <c r="H2229" s="441" t="s">
        <v>2089</v>
      </c>
      <c r="I2229" s="474" t="s">
        <v>3457</v>
      </c>
      <c r="J2229" s="474" t="s">
        <v>3463</v>
      </c>
      <c r="K2229" s="443" t="s">
        <v>687</v>
      </c>
      <c r="L2229" s="471">
        <v>1</v>
      </c>
      <c r="M2229" s="452" t="s">
        <v>2884</v>
      </c>
      <c r="N2229" s="463">
        <v>23950</v>
      </c>
      <c r="O2229" s="487">
        <f t="shared" si="8"/>
        <v>23950</v>
      </c>
      <c r="P2229" s="479"/>
      <c r="Q2229" s="477">
        <v>46023</v>
      </c>
      <c r="R2229" s="486"/>
      <c r="S2229" s="486"/>
    </row>
    <row r="2230" spans="1:19" ht="15.75" customHeight="1" x14ac:dyDescent="0.25">
      <c r="A2230" s="438">
        <v>2227</v>
      </c>
      <c r="B2230" s="479" t="s">
        <v>17</v>
      </c>
      <c r="C2230" s="471" t="s">
        <v>18</v>
      </c>
      <c r="D2230" s="480" t="s">
        <v>2301</v>
      </c>
      <c r="E2230" s="448" t="s">
        <v>4088</v>
      </c>
      <c r="F2230" s="448" t="s">
        <v>3049</v>
      </c>
      <c r="G2230" s="452" t="s">
        <v>3942</v>
      </c>
      <c r="H2230" s="441" t="s">
        <v>2089</v>
      </c>
      <c r="I2230" s="474" t="s">
        <v>3457</v>
      </c>
      <c r="J2230" s="474" t="s">
        <v>3463</v>
      </c>
      <c r="K2230" s="443" t="s">
        <v>687</v>
      </c>
      <c r="L2230" s="471">
        <v>1</v>
      </c>
      <c r="M2230" s="452" t="s">
        <v>3756</v>
      </c>
      <c r="N2230" s="463">
        <v>19266</v>
      </c>
      <c r="O2230" s="487">
        <f t="shared" si="8"/>
        <v>19266</v>
      </c>
      <c r="P2230" s="479"/>
      <c r="Q2230" s="477">
        <v>46023</v>
      </c>
      <c r="R2230" s="486"/>
      <c r="S2230" s="486"/>
    </row>
    <row r="2231" spans="1:19" ht="15.75" customHeight="1" x14ac:dyDescent="0.25">
      <c r="A2231" s="438">
        <v>2228</v>
      </c>
      <c r="B2231" s="479" t="s">
        <v>17</v>
      </c>
      <c r="C2231" s="471" t="s">
        <v>18</v>
      </c>
      <c r="D2231" s="480" t="s">
        <v>2301</v>
      </c>
      <c r="E2231" s="448" t="s">
        <v>4088</v>
      </c>
      <c r="F2231" s="448" t="s">
        <v>3049</v>
      </c>
      <c r="G2231" s="452" t="s">
        <v>3942</v>
      </c>
      <c r="H2231" s="441" t="s">
        <v>2089</v>
      </c>
      <c r="I2231" s="474" t="s">
        <v>3457</v>
      </c>
      <c r="J2231" s="474" t="s">
        <v>3463</v>
      </c>
      <c r="K2231" s="443" t="s">
        <v>687</v>
      </c>
      <c r="L2231" s="471">
        <v>1</v>
      </c>
      <c r="M2231" s="452" t="s">
        <v>3757</v>
      </c>
      <c r="N2231" s="463">
        <v>19266</v>
      </c>
      <c r="O2231" s="487">
        <f t="shared" si="8"/>
        <v>19266</v>
      </c>
      <c r="P2231" s="479"/>
      <c r="Q2231" s="477">
        <v>46023</v>
      </c>
      <c r="R2231" s="486"/>
      <c r="S2231" s="486"/>
    </row>
    <row r="2232" spans="1:19" ht="15.75" customHeight="1" x14ac:dyDescent="0.25">
      <c r="A2232" s="438">
        <v>2229</v>
      </c>
      <c r="B2232" s="479" t="s">
        <v>17</v>
      </c>
      <c r="C2232" s="471" t="s">
        <v>18</v>
      </c>
      <c r="D2232" s="480" t="s">
        <v>2301</v>
      </c>
      <c r="E2232" s="448" t="s">
        <v>4088</v>
      </c>
      <c r="F2232" s="448" t="s">
        <v>3049</v>
      </c>
      <c r="G2232" s="452" t="s">
        <v>3942</v>
      </c>
      <c r="H2232" s="441" t="s">
        <v>2089</v>
      </c>
      <c r="I2232" s="474" t="s">
        <v>3457</v>
      </c>
      <c r="J2232" s="474" t="s">
        <v>3463</v>
      </c>
      <c r="K2232" s="443" t="s">
        <v>687</v>
      </c>
      <c r="L2232" s="471">
        <v>1</v>
      </c>
      <c r="M2232" s="452" t="s">
        <v>3758</v>
      </c>
      <c r="N2232" s="463">
        <v>19266</v>
      </c>
      <c r="O2232" s="487">
        <f t="shared" si="8"/>
        <v>19266</v>
      </c>
      <c r="P2232" s="479"/>
      <c r="Q2232" s="477">
        <v>46023</v>
      </c>
      <c r="R2232" s="486"/>
      <c r="S2232" s="486"/>
    </row>
    <row r="2233" spans="1:19" ht="15.75" customHeight="1" x14ac:dyDescent="0.25">
      <c r="A2233" s="438">
        <v>2230</v>
      </c>
      <c r="B2233" s="479" t="s">
        <v>17</v>
      </c>
      <c r="C2233" s="471" t="s">
        <v>18</v>
      </c>
      <c r="D2233" s="480" t="s">
        <v>2301</v>
      </c>
      <c r="E2233" s="448" t="s">
        <v>4088</v>
      </c>
      <c r="F2233" s="448" t="s">
        <v>3049</v>
      </c>
      <c r="G2233" s="452" t="s">
        <v>3942</v>
      </c>
      <c r="H2233" s="441" t="s">
        <v>2089</v>
      </c>
      <c r="I2233" s="474" t="s">
        <v>3457</v>
      </c>
      <c r="J2233" s="474" t="s">
        <v>3463</v>
      </c>
      <c r="K2233" s="443" t="s">
        <v>687</v>
      </c>
      <c r="L2233" s="471">
        <v>1</v>
      </c>
      <c r="M2233" s="452" t="s">
        <v>3178</v>
      </c>
      <c r="N2233" s="463">
        <v>19266</v>
      </c>
      <c r="O2233" s="487">
        <f t="shared" si="8"/>
        <v>19266</v>
      </c>
      <c r="P2233" s="479"/>
      <c r="Q2233" s="477">
        <v>46023</v>
      </c>
      <c r="R2233" s="486"/>
      <c r="S2233" s="486"/>
    </row>
    <row r="2234" spans="1:19" ht="15.75" customHeight="1" x14ac:dyDescent="0.25">
      <c r="A2234" s="438">
        <v>2231</v>
      </c>
      <c r="B2234" s="479" t="s">
        <v>17</v>
      </c>
      <c r="C2234" s="471" t="s">
        <v>18</v>
      </c>
      <c r="D2234" s="480" t="s">
        <v>2301</v>
      </c>
      <c r="E2234" s="448" t="s">
        <v>4088</v>
      </c>
      <c r="F2234" s="448" t="s">
        <v>3049</v>
      </c>
      <c r="G2234" s="452" t="s">
        <v>3942</v>
      </c>
      <c r="H2234" s="441" t="s">
        <v>2089</v>
      </c>
      <c r="I2234" s="474" t="s">
        <v>3457</v>
      </c>
      <c r="J2234" s="474" t="s">
        <v>3463</v>
      </c>
      <c r="K2234" s="443" t="s">
        <v>687</v>
      </c>
      <c r="L2234" s="471">
        <v>1</v>
      </c>
      <c r="M2234" s="452" t="s">
        <v>3759</v>
      </c>
      <c r="N2234" s="463">
        <v>19266</v>
      </c>
      <c r="O2234" s="487">
        <f t="shared" si="8"/>
        <v>19266</v>
      </c>
      <c r="P2234" s="479"/>
      <c r="Q2234" s="477">
        <v>46023</v>
      </c>
      <c r="R2234" s="486"/>
      <c r="S2234" s="486"/>
    </row>
    <row r="2235" spans="1:19" ht="15.75" customHeight="1" x14ac:dyDescent="0.25">
      <c r="A2235" s="438">
        <v>2232</v>
      </c>
      <c r="B2235" s="479" t="s">
        <v>17</v>
      </c>
      <c r="C2235" s="471" t="s">
        <v>18</v>
      </c>
      <c r="D2235" s="480" t="s">
        <v>2301</v>
      </c>
      <c r="E2235" s="448" t="s">
        <v>4088</v>
      </c>
      <c r="F2235" s="448" t="s">
        <v>3049</v>
      </c>
      <c r="G2235" s="452" t="s">
        <v>3942</v>
      </c>
      <c r="H2235" s="441" t="s">
        <v>2089</v>
      </c>
      <c r="I2235" s="474" t="s">
        <v>3457</v>
      </c>
      <c r="J2235" s="474" t="s">
        <v>3463</v>
      </c>
      <c r="K2235" s="443" t="s">
        <v>687</v>
      </c>
      <c r="L2235" s="471">
        <v>1</v>
      </c>
      <c r="M2235" s="452" t="s">
        <v>3760</v>
      </c>
      <c r="N2235" s="463">
        <v>19266</v>
      </c>
      <c r="O2235" s="487">
        <f t="shared" si="8"/>
        <v>19266</v>
      </c>
      <c r="P2235" s="479"/>
      <c r="Q2235" s="477">
        <v>46023</v>
      </c>
      <c r="R2235" s="486"/>
      <c r="S2235" s="486"/>
    </row>
    <row r="2236" spans="1:19" ht="15.75" customHeight="1" x14ac:dyDescent="0.25">
      <c r="A2236" s="438">
        <v>2233</v>
      </c>
      <c r="B2236" s="479" t="s">
        <v>17</v>
      </c>
      <c r="C2236" s="471" t="s">
        <v>18</v>
      </c>
      <c r="D2236" s="480" t="s">
        <v>2301</v>
      </c>
      <c r="E2236" s="448" t="s">
        <v>4088</v>
      </c>
      <c r="F2236" s="448" t="s">
        <v>4106</v>
      </c>
      <c r="G2236" s="452" t="s">
        <v>3942</v>
      </c>
      <c r="H2236" s="441" t="s">
        <v>2089</v>
      </c>
      <c r="I2236" s="474" t="s">
        <v>3457</v>
      </c>
      <c r="J2236" s="474" t="s">
        <v>3463</v>
      </c>
      <c r="K2236" s="443" t="s">
        <v>687</v>
      </c>
      <c r="L2236" s="471">
        <v>1</v>
      </c>
      <c r="M2236" s="452" t="s">
        <v>3761</v>
      </c>
      <c r="N2236" s="463">
        <v>19266</v>
      </c>
      <c r="O2236" s="487">
        <f t="shared" si="8"/>
        <v>19266</v>
      </c>
      <c r="P2236" s="479"/>
      <c r="Q2236" s="477">
        <v>46023</v>
      </c>
      <c r="R2236" s="486"/>
      <c r="S2236" s="486"/>
    </row>
    <row r="2237" spans="1:19" ht="15.75" customHeight="1" x14ac:dyDescent="0.25">
      <c r="A2237" s="438">
        <v>2234</v>
      </c>
      <c r="B2237" s="479" t="s">
        <v>17</v>
      </c>
      <c r="C2237" s="471" t="s">
        <v>18</v>
      </c>
      <c r="D2237" s="480" t="s">
        <v>2301</v>
      </c>
      <c r="E2237" s="448" t="s">
        <v>4088</v>
      </c>
      <c r="F2237" s="448" t="s">
        <v>3049</v>
      </c>
      <c r="G2237" s="452" t="s">
        <v>3942</v>
      </c>
      <c r="H2237" s="441" t="s">
        <v>2089</v>
      </c>
      <c r="I2237" s="474" t="s">
        <v>3457</v>
      </c>
      <c r="J2237" s="474" t="s">
        <v>3463</v>
      </c>
      <c r="K2237" s="443" t="s">
        <v>687</v>
      </c>
      <c r="L2237" s="471">
        <v>1</v>
      </c>
      <c r="M2237" s="452" t="s">
        <v>3401</v>
      </c>
      <c r="N2237" s="463">
        <v>19266</v>
      </c>
      <c r="O2237" s="487">
        <f t="shared" si="8"/>
        <v>19266</v>
      </c>
      <c r="P2237" s="479"/>
      <c r="Q2237" s="477">
        <v>46023</v>
      </c>
      <c r="R2237" s="486"/>
      <c r="S2237" s="486"/>
    </row>
    <row r="2238" spans="1:19" ht="15.75" customHeight="1" x14ac:dyDescent="0.25">
      <c r="A2238" s="438">
        <v>2235</v>
      </c>
      <c r="B2238" s="479" t="s">
        <v>17</v>
      </c>
      <c r="C2238" s="471" t="s">
        <v>18</v>
      </c>
      <c r="D2238" s="480" t="s">
        <v>2301</v>
      </c>
      <c r="E2238" s="448" t="s">
        <v>4088</v>
      </c>
      <c r="F2238" s="448" t="s">
        <v>3049</v>
      </c>
      <c r="G2238" s="452" t="s">
        <v>3942</v>
      </c>
      <c r="H2238" s="441" t="s">
        <v>2089</v>
      </c>
      <c r="I2238" s="474" t="s">
        <v>3457</v>
      </c>
      <c r="J2238" s="474" t="s">
        <v>3463</v>
      </c>
      <c r="K2238" s="443" t="s">
        <v>687</v>
      </c>
      <c r="L2238" s="471">
        <v>1</v>
      </c>
      <c r="M2238" s="452" t="s">
        <v>3762</v>
      </c>
      <c r="N2238" s="463">
        <v>19266</v>
      </c>
      <c r="O2238" s="487">
        <f t="shared" si="8"/>
        <v>19266</v>
      </c>
      <c r="P2238" s="479"/>
      <c r="Q2238" s="477">
        <v>46023</v>
      </c>
      <c r="R2238" s="486"/>
      <c r="S2238" s="486"/>
    </row>
    <row r="2239" spans="1:19" ht="15.75" customHeight="1" x14ac:dyDescent="0.25">
      <c r="A2239" s="438">
        <v>2236</v>
      </c>
      <c r="B2239" s="479" t="s">
        <v>17</v>
      </c>
      <c r="C2239" s="471" t="s">
        <v>18</v>
      </c>
      <c r="D2239" s="480" t="s">
        <v>2301</v>
      </c>
      <c r="E2239" s="448" t="s">
        <v>4088</v>
      </c>
      <c r="F2239" s="448" t="s">
        <v>3049</v>
      </c>
      <c r="G2239" s="452" t="s">
        <v>3942</v>
      </c>
      <c r="H2239" s="441" t="s">
        <v>2089</v>
      </c>
      <c r="I2239" s="474" t="s">
        <v>3457</v>
      </c>
      <c r="J2239" s="474" t="s">
        <v>3463</v>
      </c>
      <c r="K2239" s="443" t="s">
        <v>687</v>
      </c>
      <c r="L2239" s="471">
        <v>1</v>
      </c>
      <c r="M2239" s="452" t="s">
        <v>3763</v>
      </c>
      <c r="N2239" s="463">
        <v>19266</v>
      </c>
      <c r="O2239" s="487">
        <f t="shared" si="8"/>
        <v>19266</v>
      </c>
      <c r="P2239" s="479"/>
      <c r="Q2239" s="477">
        <v>46023</v>
      </c>
      <c r="R2239" s="486"/>
      <c r="S2239" s="486"/>
    </row>
    <row r="2240" spans="1:19" ht="15.75" customHeight="1" x14ac:dyDescent="0.25">
      <c r="A2240" s="438">
        <v>2237</v>
      </c>
      <c r="B2240" s="479" t="s">
        <v>17</v>
      </c>
      <c r="C2240" s="471" t="s">
        <v>18</v>
      </c>
      <c r="D2240" s="480" t="s">
        <v>2301</v>
      </c>
      <c r="E2240" s="448" t="s">
        <v>4088</v>
      </c>
      <c r="F2240" s="448" t="s">
        <v>3049</v>
      </c>
      <c r="G2240" s="452" t="s">
        <v>3942</v>
      </c>
      <c r="H2240" s="441" t="s">
        <v>2089</v>
      </c>
      <c r="I2240" s="474" t="s">
        <v>3457</v>
      </c>
      <c r="J2240" s="474" t="s">
        <v>3463</v>
      </c>
      <c r="K2240" s="443" t="s">
        <v>687</v>
      </c>
      <c r="L2240" s="471">
        <v>1</v>
      </c>
      <c r="M2240" s="452" t="s">
        <v>3168</v>
      </c>
      <c r="N2240" s="463">
        <v>19266</v>
      </c>
      <c r="O2240" s="487">
        <f t="shared" si="8"/>
        <v>19266</v>
      </c>
      <c r="P2240" s="479"/>
      <c r="Q2240" s="477">
        <v>46023</v>
      </c>
      <c r="R2240" s="486"/>
      <c r="S2240" s="486"/>
    </row>
    <row r="2241" spans="1:19" ht="15.75" customHeight="1" x14ac:dyDescent="0.25">
      <c r="A2241" s="438">
        <v>2238</v>
      </c>
      <c r="B2241" s="479" t="s">
        <v>17</v>
      </c>
      <c r="C2241" s="471" t="s">
        <v>18</v>
      </c>
      <c r="D2241" s="480" t="s">
        <v>2301</v>
      </c>
      <c r="E2241" s="448" t="s">
        <v>4088</v>
      </c>
      <c r="F2241" s="448" t="s">
        <v>4106</v>
      </c>
      <c r="G2241" s="452" t="s">
        <v>3942</v>
      </c>
      <c r="H2241" s="441" t="s">
        <v>2089</v>
      </c>
      <c r="I2241" s="474" t="s">
        <v>3457</v>
      </c>
      <c r="J2241" s="474" t="s">
        <v>3463</v>
      </c>
      <c r="K2241" s="443" t="s">
        <v>687</v>
      </c>
      <c r="L2241" s="471">
        <v>1</v>
      </c>
      <c r="M2241" s="452" t="s">
        <v>3764</v>
      </c>
      <c r="N2241" s="463">
        <v>19266</v>
      </c>
      <c r="O2241" s="487">
        <f t="shared" si="8"/>
        <v>19266</v>
      </c>
      <c r="P2241" s="479"/>
      <c r="Q2241" s="477">
        <v>46023</v>
      </c>
      <c r="R2241" s="486"/>
      <c r="S2241" s="486"/>
    </row>
    <row r="2242" spans="1:19" ht="15.75" customHeight="1" x14ac:dyDescent="0.25">
      <c r="A2242" s="438">
        <v>2239</v>
      </c>
      <c r="B2242" s="479" t="s">
        <v>17</v>
      </c>
      <c r="C2242" s="471" t="s">
        <v>18</v>
      </c>
      <c r="D2242" s="480" t="s">
        <v>2301</v>
      </c>
      <c r="E2242" s="448" t="s">
        <v>4085</v>
      </c>
      <c r="F2242" s="448" t="s">
        <v>2982</v>
      </c>
      <c r="G2242" s="452" t="s">
        <v>4030</v>
      </c>
      <c r="H2242" s="441" t="s">
        <v>2064</v>
      </c>
      <c r="I2242" s="474" t="s">
        <v>3457</v>
      </c>
      <c r="J2242" s="474" t="s">
        <v>3464</v>
      </c>
      <c r="K2242" s="443" t="s">
        <v>2065</v>
      </c>
      <c r="L2242" s="471">
        <v>1</v>
      </c>
      <c r="M2242" s="452" t="s">
        <v>3765</v>
      </c>
      <c r="N2242" s="463">
        <v>7980</v>
      </c>
      <c r="O2242" s="487">
        <f t="shared" si="8"/>
        <v>7980</v>
      </c>
      <c r="P2242" s="479"/>
      <c r="Q2242" s="477">
        <v>46023</v>
      </c>
      <c r="R2242" s="486"/>
      <c r="S2242" s="486"/>
    </row>
    <row r="2243" spans="1:19" ht="15.75" customHeight="1" x14ac:dyDescent="0.25">
      <c r="A2243" s="438">
        <v>2240</v>
      </c>
      <c r="B2243" s="479" t="s">
        <v>17</v>
      </c>
      <c r="C2243" s="471" t="s">
        <v>18</v>
      </c>
      <c r="D2243" s="480" t="s">
        <v>2301</v>
      </c>
      <c r="E2243" s="448" t="s">
        <v>4085</v>
      </c>
      <c r="F2243" s="448" t="s">
        <v>2982</v>
      </c>
      <c r="G2243" s="452" t="s">
        <v>4030</v>
      </c>
      <c r="H2243" s="441" t="s">
        <v>2064</v>
      </c>
      <c r="I2243" s="474" t="s">
        <v>3457</v>
      </c>
      <c r="J2243" s="474" t="s">
        <v>3464</v>
      </c>
      <c r="K2243" s="443" t="s">
        <v>2065</v>
      </c>
      <c r="L2243" s="471">
        <v>1</v>
      </c>
      <c r="M2243" s="452" t="s">
        <v>3766</v>
      </c>
      <c r="N2243" s="463">
        <v>7980</v>
      </c>
      <c r="O2243" s="487">
        <f t="shared" si="8"/>
        <v>7980</v>
      </c>
      <c r="P2243" s="479"/>
      <c r="Q2243" s="477">
        <v>46023</v>
      </c>
      <c r="R2243" s="486"/>
      <c r="S2243" s="486"/>
    </row>
    <row r="2244" spans="1:19" ht="15.75" customHeight="1" x14ac:dyDescent="0.25">
      <c r="A2244" s="438">
        <v>2241</v>
      </c>
      <c r="B2244" s="479" t="s">
        <v>17</v>
      </c>
      <c r="C2244" s="471" t="s">
        <v>18</v>
      </c>
      <c r="D2244" s="480" t="s">
        <v>2301</v>
      </c>
      <c r="E2244" s="448" t="s">
        <v>4085</v>
      </c>
      <c r="F2244" s="448" t="s">
        <v>2982</v>
      </c>
      <c r="G2244" s="452" t="s">
        <v>4030</v>
      </c>
      <c r="H2244" s="441" t="s">
        <v>2064</v>
      </c>
      <c r="I2244" s="474" t="s">
        <v>3457</v>
      </c>
      <c r="J2244" s="474" t="s">
        <v>3464</v>
      </c>
      <c r="K2244" s="443" t="s">
        <v>2065</v>
      </c>
      <c r="L2244" s="471">
        <v>1</v>
      </c>
      <c r="M2244" s="452" t="s">
        <v>3767</v>
      </c>
      <c r="N2244" s="463">
        <v>7980</v>
      </c>
      <c r="O2244" s="487">
        <f t="shared" si="8"/>
        <v>7980</v>
      </c>
      <c r="P2244" s="479"/>
      <c r="Q2244" s="477">
        <v>46023</v>
      </c>
      <c r="R2244" s="486"/>
      <c r="S2244" s="486"/>
    </row>
    <row r="2245" spans="1:19" ht="15" customHeight="1" x14ac:dyDescent="0.25">
      <c r="A2245" s="438">
        <v>2242</v>
      </c>
      <c r="B2245" s="479" t="s">
        <v>17</v>
      </c>
      <c r="C2245" s="471" t="s">
        <v>18</v>
      </c>
      <c r="D2245" s="480" t="s">
        <v>2301</v>
      </c>
      <c r="E2245" s="448" t="s">
        <v>4085</v>
      </c>
      <c r="F2245" s="448" t="s">
        <v>2982</v>
      </c>
      <c r="G2245" s="452" t="s">
        <v>4030</v>
      </c>
      <c r="H2245" s="441" t="s">
        <v>2064</v>
      </c>
      <c r="I2245" s="474" t="s">
        <v>3457</v>
      </c>
      <c r="J2245" s="474" t="s">
        <v>3464</v>
      </c>
      <c r="K2245" s="443" t="s">
        <v>2065</v>
      </c>
      <c r="L2245" s="471">
        <v>1</v>
      </c>
      <c r="M2245" s="452" t="s">
        <v>3768</v>
      </c>
      <c r="N2245" s="463">
        <v>7980</v>
      </c>
      <c r="O2245" s="487">
        <f t="shared" si="8"/>
        <v>7980</v>
      </c>
      <c r="P2245" s="435"/>
      <c r="Q2245" s="477">
        <v>46023</v>
      </c>
      <c r="R2245" s="435"/>
      <c r="S2245" s="435"/>
    </row>
    <row r="2246" spans="1:19" ht="15" customHeight="1" x14ac:dyDescent="0.25">
      <c r="A2246" s="438">
        <v>2243</v>
      </c>
      <c r="B2246" s="479" t="s">
        <v>17</v>
      </c>
      <c r="C2246" s="471" t="s">
        <v>18</v>
      </c>
      <c r="D2246" s="480" t="s">
        <v>2301</v>
      </c>
      <c r="E2246" s="448" t="s">
        <v>4085</v>
      </c>
      <c r="F2246" s="448" t="s">
        <v>2982</v>
      </c>
      <c r="G2246" s="452" t="s">
        <v>4030</v>
      </c>
      <c r="H2246" s="441" t="s">
        <v>2064</v>
      </c>
      <c r="I2246" s="474" t="s">
        <v>3457</v>
      </c>
      <c r="J2246" s="474" t="s">
        <v>3464</v>
      </c>
      <c r="K2246" s="443" t="s">
        <v>2065</v>
      </c>
      <c r="L2246" s="471">
        <v>1</v>
      </c>
      <c r="M2246" s="452" t="s">
        <v>3769</v>
      </c>
      <c r="N2246" s="463">
        <v>7980</v>
      </c>
      <c r="O2246" s="487">
        <f t="shared" ref="O2246:O2309" si="9">N2246*L2246</f>
        <v>7980</v>
      </c>
      <c r="P2246" s="435"/>
      <c r="Q2246" s="477">
        <v>46023</v>
      </c>
      <c r="R2246" s="435"/>
      <c r="S2246" s="435"/>
    </row>
    <row r="2247" spans="1:19" ht="15" customHeight="1" x14ac:dyDescent="0.25">
      <c r="A2247" s="438">
        <v>2244</v>
      </c>
      <c r="B2247" s="479" t="s">
        <v>17</v>
      </c>
      <c r="C2247" s="471" t="s">
        <v>18</v>
      </c>
      <c r="D2247" s="480" t="s">
        <v>2301</v>
      </c>
      <c r="E2247" s="448" t="s">
        <v>4085</v>
      </c>
      <c r="F2247" s="448" t="s">
        <v>2982</v>
      </c>
      <c r="G2247" s="452" t="s">
        <v>4030</v>
      </c>
      <c r="H2247" s="441" t="s">
        <v>2064</v>
      </c>
      <c r="I2247" s="474" t="s">
        <v>3457</v>
      </c>
      <c r="J2247" s="474" t="s">
        <v>3464</v>
      </c>
      <c r="K2247" s="443" t="s">
        <v>2065</v>
      </c>
      <c r="L2247" s="471">
        <v>1</v>
      </c>
      <c r="M2247" s="452" t="s">
        <v>3770</v>
      </c>
      <c r="N2247" s="463">
        <v>7980</v>
      </c>
      <c r="O2247" s="487">
        <f t="shared" si="9"/>
        <v>7980</v>
      </c>
      <c r="P2247" s="435"/>
      <c r="Q2247" s="477">
        <v>46023</v>
      </c>
      <c r="R2247" s="435"/>
      <c r="S2247" s="435"/>
    </row>
    <row r="2248" spans="1:19" ht="15" customHeight="1" x14ac:dyDescent="0.25">
      <c r="A2248" s="438">
        <v>2245</v>
      </c>
      <c r="B2248" s="479" t="s">
        <v>17</v>
      </c>
      <c r="C2248" s="471" t="s">
        <v>18</v>
      </c>
      <c r="D2248" s="480" t="s">
        <v>2301</v>
      </c>
      <c r="E2248" s="448" t="s">
        <v>4080</v>
      </c>
      <c r="F2248" s="448" t="s">
        <v>4080</v>
      </c>
      <c r="G2248" s="452" t="s">
        <v>4030</v>
      </c>
      <c r="H2248" s="441" t="s">
        <v>2064</v>
      </c>
      <c r="I2248" s="474" t="s">
        <v>3457</v>
      </c>
      <c r="J2248" s="474" t="s">
        <v>3464</v>
      </c>
      <c r="K2248" s="443" t="s">
        <v>2065</v>
      </c>
      <c r="L2248" s="471">
        <v>1</v>
      </c>
      <c r="M2248" s="452" t="s">
        <v>3771</v>
      </c>
      <c r="N2248" s="463">
        <v>7980</v>
      </c>
      <c r="O2248" s="487">
        <f t="shared" si="9"/>
        <v>7980</v>
      </c>
      <c r="P2248" s="435"/>
      <c r="Q2248" s="477">
        <v>46023</v>
      </c>
      <c r="R2248" s="435"/>
      <c r="S2248" s="435"/>
    </row>
    <row r="2249" spans="1:19" ht="15" customHeight="1" x14ac:dyDescent="0.25">
      <c r="A2249" s="438">
        <v>2246</v>
      </c>
      <c r="B2249" s="479" t="s">
        <v>17</v>
      </c>
      <c r="C2249" s="471" t="s">
        <v>18</v>
      </c>
      <c r="D2249" s="480" t="s">
        <v>2301</v>
      </c>
      <c r="E2249" s="448" t="s">
        <v>4080</v>
      </c>
      <c r="F2249" s="448" t="s">
        <v>4080</v>
      </c>
      <c r="G2249" s="452" t="s">
        <v>4030</v>
      </c>
      <c r="H2249" s="441" t="s">
        <v>2064</v>
      </c>
      <c r="I2249" s="474" t="s">
        <v>3457</v>
      </c>
      <c r="J2249" s="474" t="s">
        <v>3464</v>
      </c>
      <c r="K2249" s="443" t="s">
        <v>2065</v>
      </c>
      <c r="L2249" s="471">
        <v>1</v>
      </c>
      <c r="M2249" s="452" t="s">
        <v>3772</v>
      </c>
      <c r="N2249" s="463">
        <v>7980</v>
      </c>
      <c r="O2249" s="487">
        <f t="shared" si="9"/>
        <v>7980</v>
      </c>
      <c r="P2249" s="435"/>
      <c r="Q2249" s="477">
        <v>46023</v>
      </c>
      <c r="R2249" s="435"/>
      <c r="S2249" s="435"/>
    </row>
    <row r="2250" spans="1:19" ht="15" customHeight="1" x14ac:dyDescent="0.25">
      <c r="A2250" s="438">
        <v>2247</v>
      </c>
      <c r="B2250" s="479" t="s">
        <v>17</v>
      </c>
      <c r="C2250" s="471" t="s">
        <v>18</v>
      </c>
      <c r="D2250" s="480" t="s">
        <v>2301</v>
      </c>
      <c r="E2250" s="448" t="s">
        <v>4086</v>
      </c>
      <c r="F2250" s="448" t="s">
        <v>4111</v>
      </c>
      <c r="G2250" s="452" t="s">
        <v>4030</v>
      </c>
      <c r="H2250" s="441" t="s">
        <v>2064</v>
      </c>
      <c r="I2250" s="474" t="s">
        <v>3457</v>
      </c>
      <c r="J2250" s="474" t="s">
        <v>3464</v>
      </c>
      <c r="K2250" s="443" t="s">
        <v>2065</v>
      </c>
      <c r="L2250" s="471">
        <v>1</v>
      </c>
      <c r="M2250" s="452" t="s">
        <v>3773</v>
      </c>
      <c r="N2250" s="463">
        <v>4300</v>
      </c>
      <c r="O2250" s="487">
        <f t="shared" si="9"/>
        <v>4300</v>
      </c>
      <c r="P2250" s="435"/>
      <c r="Q2250" s="477">
        <v>46023</v>
      </c>
      <c r="R2250" s="435"/>
      <c r="S2250" s="435"/>
    </row>
    <row r="2251" spans="1:19" ht="15" customHeight="1" x14ac:dyDescent="0.25">
      <c r="A2251" s="438">
        <v>2248</v>
      </c>
      <c r="B2251" s="479" t="s">
        <v>17</v>
      </c>
      <c r="C2251" s="471" t="s">
        <v>18</v>
      </c>
      <c r="D2251" s="480" t="s">
        <v>2301</v>
      </c>
      <c r="E2251" s="448" t="s">
        <v>4086</v>
      </c>
      <c r="F2251" s="448" t="s">
        <v>4111</v>
      </c>
      <c r="G2251" s="452" t="s">
        <v>4030</v>
      </c>
      <c r="H2251" s="441" t="s">
        <v>2064</v>
      </c>
      <c r="I2251" s="474" t="s">
        <v>3457</v>
      </c>
      <c r="J2251" s="474" t="s">
        <v>3464</v>
      </c>
      <c r="K2251" s="443" t="s">
        <v>2065</v>
      </c>
      <c r="L2251" s="471">
        <v>1</v>
      </c>
      <c r="M2251" s="452" t="s">
        <v>3774</v>
      </c>
      <c r="N2251" s="463">
        <v>4300</v>
      </c>
      <c r="O2251" s="487">
        <f t="shared" si="9"/>
        <v>4300</v>
      </c>
      <c r="P2251" s="435"/>
      <c r="Q2251" s="477">
        <v>46023</v>
      </c>
      <c r="R2251" s="435"/>
      <c r="S2251" s="435"/>
    </row>
    <row r="2252" spans="1:19" ht="15" customHeight="1" x14ac:dyDescent="0.25">
      <c r="A2252" s="438">
        <v>2249</v>
      </c>
      <c r="B2252" s="479" t="s">
        <v>17</v>
      </c>
      <c r="C2252" s="471" t="s">
        <v>18</v>
      </c>
      <c r="D2252" s="480" t="s">
        <v>2301</v>
      </c>
      <c r="E2252" s="448" t="s">
        <v>4093</v>
      </c>
      <c r="F2252" s="448" t="s">
        <v>4093</v>
      </c>
      <c r="G2252" s="452" t="s">
        <v>4030</v>
      </c>
      <c r="H2252" s="441" t="s">
        <v>2064</v>
      </c>
      <c r="I2252" s="474" t="s">
        <v>3457</v>
      </c>
      <c r="J2252" s="474" t="s">
        <v>3464</v>
      </c>
      <c r="K2252" s="443" t="s">
        <v>2065</v>
      </c>
      <c r="L2252" s="471">
        <v>1</v>
      </c>
      <c r="M2252" s="452" t="s">
        <v>3775</v>
      </c>
      <c r="N2252" s="463">
        <v>4300</v>
      </c>
      <c r="O2252" s="487">
        <f t="shared" si="9"/>
        <v>4300</v>
      </c>
      <c r="P2252" s="435"/>
      <c r="Q2252" s="477">
        <v>46023</v>
      </c>
      <c r="R2252" s="435"/>
      <c r="S2252" s="435"/>
    </row>
    <row r="2253" spans="1:19" ht="15" customHeight="1" x14ac:dyDescent="0.25">
      <c r="A2253" s="438">
        <v>2250</v>
      </c>
      <c r="B2253" s="479" t="s">
        <v>17</v>
      </c>
      <c r="C2253" s="471" t="s">
        <v>18</v>
      </c>
      <c r="D2253" s="480" t="s">
        <v>2301</v>
      </c>
      <c r="E2253" s="448" t="s">
        <v>4093</v>
      </c>
      <c r="F2253" s="448" t="s">
        <v>4093</v>
      </c>
      <c r="G2253" s="452" t="s">
        <v>4030</v>
      </c>
      <c r="H2253" s="441" t="s">
        <v>2064</v>
      </c>
      <c r="I2253" s="474" t="s">
        <v>3457</v>
      </c>
      <c r="J2253" s="474" t="s">
        <v>3464</v>
      </c>
      <c r="K2253" s="443" t="s">
        <v>2065</v>
      </c>
      <c r="L2253" s="471">
        <v>1</v>
      </c>
      <c r="M2253" s="452" t="s">
        <v>3776</v>
      </c>
      <c r="N2253" s="463">
        <v>4300</v>
      </c>
      <c r="O2253" s="487">
        <f t="shared" si="9"/>
        <v>4300</v>
      </c>
      <c r="P2253" s="435"/>
      <c r="Q2253" s="477">
        <v>46023</v>
      </c>
      <c r="R2253" s="435"/>
      <c r="S2253" s="435"/>
    </row>
    <row r="2254" spans="1:19" ht="15" customHeight="1" x14ac:dyDescent="0.25">
      <c r="A2254" s="438">
        <v>2251</v>
      </c>
      <c r="B2254" s="479" t="s">
        <v>17</v>
      </c>
      <c r="C2254" s="471" t="s">
        <v>18</v>
      </c>
      <c r="D2254" s="480" t="s">
        <v>2301</v>
      </c>
      <c r="E2254" s="448" t="s">
        <v>4093</v>
      </c>
      <c r="F2254" s="448" t="s">
        <v>4093</v>
      </c>
      <c r="G2254" s="452" t="s">
        <v>4030</v>
      </c>
      <c r="H2254" s="441" t="s">
        <v>2064</v>
      </c>
      <c r="I2254" s="474" t="s">
        <v>3457</v>
      </c>
      <c r="J2254" s="474" t="s">
        <v>3464</v>
      </c>
      <c r="K2254" s="443" t="s">
        <v>2065</v>
      </c>
      <c r="L2254" s="471">
        <v>1</v>
      </c>
      <c r="M2254" s="452" t="s">
        <v>3777</v>
      </c>
      <c r="N2254" s="463">
        <v>4300</v>
      </c>
      <c r="O2254" s="487">
        <f t="shared" si="9"/>
        <v>4300</v>
      </c>
      <c r="P2254" s="435"/>
      <c r="Q2254" s="477">
        <v>46023</v>
      </c>
      <c r="R2254" s="435"/>
      <c r="S2254" s="435"/>
    </row>
    <row r="2255" spans="1:19" ht="15" customHeight="1" x14ac:dyDescent="0.25">
      <c r="A2255" s="438">
        <v>2252</v>
      </c>
      <c r="B2255" s="479" t="s">
        <v>17</v>
      </c>
      <c r="C2255" s="471" t="s">
        <v>18</v>
      </c>
      <c r="D2255" s="480" t="s">
        <v>2301</v>
      </c>
      <c r="E2255" s="448" t="s">
        <v>4093</v>
      </c>
      <c r="F2255" s="448" t="s">
        <v>4093</v>
      </c>
      <c r="G2255" s="452" t="s">
        <v>4030</v>
      </c>
      <c r="H2255" s="441" t="s">
        <v>2064</v>
      </c>
      <c r="I2255" s="474" t="s">
        <v>3457</v>
      </c>
      <c r="J2255" s="474" t="s">
        <v>3464</v>
      </c>
      <c r="K2255" s="443" t="s">
        <v>2065</v>
      </c>
      <c r="L2255" s="471">
        <v>1</v>
      </c>
      <c r="M2255" s="452" t="s">
        <v>3778</v>
      </c>
      <c r="N2255" s="463">
        <v>4300</v>
      </c>
      <c r="O2255" s="487">
        <f t="shared" si="9"/>
        <v>4300</v>
      </c>
      <c r="P2255" s="435"/>
      <c r="Q2255" s="477">
        <v>46023</v>
      </c>
      <c r="R2255" s="435"/>
      <c r="S2255" s="435"/>
    </row>
    <row r="2256" spans="1:19" ht="15" customHeight="1" x14ac:dyDescent="0.25">
      <c r="A2256" s="438">
        <v>2253</v>
      </c>
      <c r="B2256" s="479" t="s">
        <v>17</v>
      </c>
      <c r="C2256" s="471" t="s">
        <v>18</v>
      </c>
      <c r="D2256" s="480" t="s">
        <v>2301</v>
      </c>
      <c r="E2256" s="448" t="s">
        <v>4093</v>
      </c>
      <c r="F2256" s="448" t="s">
        <v>4093</v>
      </c>
      <c r="G2256" s="452" t="s">
        <v>4030</v>
      </c>
      <c r="H2256" s="441" t="s">
        <v>2064</v>
      </c>
      <c r="I2256" s="474" t="s">
        <v>3457</v>
      </c>
      <c r="J2256" s="474" t="s">
        <v>3464</v>
      </c>
      <c r="K2256" s="443" t="s">
        <v>2065</v>
      </c>
      <c r="L2256" s="471">
        <v>1</v>
      </c>
      <c r="M2256" s="452" t="s">
        <v>3779</v>
      </c>
      <c r="N2256" s="463">
        <v>4300</v>
      </c>
      <c r="O2256" s="487">
        <f t="shared" si="9"/>
        <v>4300</v>
      </c>
      <c r="P2256" s="435"/>
      <c r="Q2256" s="477">
        <v>46023</v>
      </c>
      <c r="R2256" s="435"/>
      <c r="S2256" s="435"/>
    </row>
    <row r="2257" spans="1:19" ht="15" customHeight="1" x14ac:dyDescent="0.25">
      <c r="A2257" s="438">
        <v>2254</v>
      </c>
      <c r="B2257" s="479" t="s">
        <v>17</v>
      </c>
      <c r="C2257" s="471" t="s">
        <v>18</v>
      </c>
      <c r="D2257" s="480" t="s">
        <v>2301</v>
      </c>
      <c r="E2257" s="448" t="s">
        <v>4080</v>
      </c>
      <c r="F2257" s="448" t="s">
        <v>4080</v>
      </c>
      <c r="G2257" s="452" t="s">
        <v>2790</v>
      </c>
      <c r="H2257" s="441" t="s">
        <v>1254</v>
      </c>
      <c r="I2257" s="474" t="s">
        <v>3457</v>
      </c>
      <c r="J2257" s="474" t="s">
        <v>3463</v>
      </c>
      <c r="K2257" s="443" t="s">
        <v>1255</v>
      </c>
      <c r="L2257" s="471">
        <v>1</v>
      </c>
      <c r="M2257" s="452" t="s">
        <v>3780</v>
      </c>
      <c r="N2257" s="463">
        <v>950</v>
      </c>
      <c r="O2257" s="487">
        <f t="shared" si="9"/>
        <v>950</v>
      </c>
      <c r="P2257" s="435"/>
      <c r="Q2257" s="477">
        <v>46023</v>
      </c>
      <c r="R2257" s="435"/>
      <c r="S2257" s="435"/>
    </row>
    <row r="2258" spans="1:19" ht="15" customHeight="1" x14ac:dyDescent="0.25">
      <c r="A2258" s="438">
        <v>2255</v>
      </c>
      <c r="B2258" s="479" t="s">
        <v>17</v>
      </c>
      <c r="C2258" s="471" t="s">
        <v>18</v>
      </c>
      <c r="D2258" s="480" t="s">
        <v>2301</v>
      </c>
      <c r="E2258" s="448" t="s">
        <v>4080</v>
      </c>
      <c r="F2258" s="448" t="s">
        <v>4080</v>
      </c>
      <c r="G2258" s="452" t="s">
        <v>2790</v>
      </c>
      <c r="H2258" s="441" t="s">
        <v>1254</v>
      </c>
      <c r="I2258" s="474" t="s">
        <v>3457</v>
      </c>
      <c r="J2258" s="474" t="s">
        <v>3463</v>
      </c>
      <c r="K2258" s="443" t="s">
        <v>1255</v>
      </c>
      <c r="L2258" s="471">
        <v>1</v>
      </c>
      <c r="M2258" s="452" t="s">
        <v>3781</v>
      </c>
      <c r="N2258" s="463">
        <v>950</v>
      </c>
      <c r="O2258" s="487">
        <f t="shared" si="9"/>
        <v>950</v>
      </c>
      <c r="P2258" s="435"/>
      <c r="Q2258" s="477">
        <v>46023</v>
      </c>
      <c r="R2258" s="435"/>
      <c r="S2258" s="435"/>
    </row>
    <row r="2259" spans="1:19" ht="15" customHeight="1" x14ac:dyDescent="0.25">
      <c r="A2259" s="438">
        <v>2256</v>
      </c>
      <c r="B2259" s="479" t="s">
        <v>17</v>
      </c>
      <c r="C2259" s="471" t="s">
        <v>18</v>
      </c>
      <c r="D2259" s="480" t="s">
        <v>2301</v>
      </c>
      <c r="E2259" s="448" t="s">
        <v>4085</v>
      </c>
      <c r="F2259" s="448" t="s">
        <v>2982</v>
      </c>
      <c r="G2259" s="452" t="s">
        <v>2790</v>
      </c>
      <c r="H2259" s="441" t="s">
        <v>1254</v>
      </c>
      <c r="I2259" s="474" t="s">
        <v>3457</v>
      </c>
      <c r="J2259" s="474" t="s">
        <v>3463</v>
      </c>
      <c r="K2259" s="443" t="s">
        <v>1255</v>
      </c>
      <c r="L2259" s="471">
        <v>1</v>
      </c>
      <c r="M2259" s="452" t="s">
        <v>2869</v>
      </c>
      <c r="N2259" s="463">
        <v>950</v>
      </c>
      <c r="O2259" s="487">
        <f t="shared" si="9"/>
        <v>950</v>
      </c>
      <c r="P2259" s="435"/>
      <c r="Q2259" s="477">
        <v>46023</v>
      </c>
      <c r="R2259" s="435"/>
      <c r="S2259" s="435"/>
    </row>
    <row r="2260" spans="1:19" ht="15" customHeight="1" x14ac:dyDescent="0.25">
      <c r="A2260" s="438">
        <v>2257</v>
      </c>
      <c r="B2260" s="479" t="s">
        <v>17</v>
      </c>
      <c r="C2260" s="471" t="s">
        <v>18</v>
      </c>
      <c r="D2260" s="480" t="s">
        <v>2301</v>
      </c>
      <c r="E2260" s="448" t="s">
        <v>4085</v>
      </c>
      <c r="F2260" s="448" t="s">
        <v>2982</v>
      </c>
      <c r="G2260" s="452" t="s">
        <v>2790</v>
      </c>
      <c r="H2260" s="441" t="s">
        <v>1254</v>
      </c>
      <c r="I2260" s="474" t="s">
        <v>3457</v>
      </c>
      <c r="J2260" s="474" t="s">
        <v>3463</v>
      </c>
      <c r="K2260" s="443" t="s">
        <v>1255</v>
      </c>
      <c r="L2260" s="471">
        <v>1</v>
      </c>
      <c r="M2260" s="452" t="s">
        <v>2870</v>
      </c>
      <c r="N2260" s="463">
        <v>950</v>
      </c>
      <c r="O2260" s="487">
        <f t="shared" si="9"/>
        <v>950</v>
      </c>
      <c r="P2260" s="435"/>
      <c r="Q2260" s="477">
        <v>46023</v>
      </c>
      <c r="R2260" s="435"/>
      <c r="S2260" s="435"/>
    </row>
    <row r="2261" spans="1:19" ht="15" customHeight="1" x14ac:dyDescent="0.25">
      <c r="A2261" s="438">
        <v>2258</v>
      </c>
      <c r="B2261" s="479" t="s">
        <v>17</v>
      </c>
      <c r="C2261" s="471" t="s">
        <v>18</v>
      </c>
      <c r="D2261" s="480" t="s">
        <v>2301</v>
      </c>
      <c r="E2261" s="448" t="s">
        <v>4085</v>
      </c>
      <c r="F2261" s="448" t="s">
        <v>2982</v>
      </c>
      <c r="G2261" s="452" t="s">
        <v>2790</v>
      </c>
      <c r="H2261" s="441" t="s">
        <v>1254</v>
      </c>
      <c r="I2261" s="474" t="s">
        <v>3457</v>
      </c>
      <c r="J2261" s="474" t="s">
        <v>3463</v>
      </c>
      <c r="K2261" s="443" t="s">
        <v>1255</v>
      </c>
      <c r="L2261" s="471">
        <v>1</v>
      </c>
      <c r="M2261" s="452" t="s">
        <v>2871</v>
      </c>
      <c r="N2261" s="463">
        <v>950</v>
      </c>
      <c r="O2261" s="487">
        <f t="shared" si="9"/>
        <v>950</v>
      </c>
      <c r="P2261" s="435"/>
      <c r="Q2261" s="477">
        <v>46023</v>
      </c>
      <c r="R2261" s="435"/>
      <c r="S2261" s="435"/>
    </row>
    <row r="2262" spans="1:19" ht="15" customHeight="1" x14ac:dyDescent="0.25">
      <c r="A2262" s="438">
        <v>2259</v>
      </c>
      <c r="B2262" s="479" t="s">
        <v>17</v>
      </c>
      <c r="C2262" s="471" t="s">
        <v>18</v>
      </c>
      <c r="D2262" s="480" t="s">
        <v>2301</v>
      </c>
      <c r="E2262" s="448" t="s">
        <v>4085</v>
      </c>
      <c r="F2262" s="448" t="s">
        <v>2982</v>
      </c>
      <c r="G2262" s="452" t="s">
        <v>2790</v>
      </c>
      <c r="H2262" s="441" t="s">
        <v>1254</v>
      </c>
      <c r="I2262" s="474" t="s">
        <v>3457</v>
      </c>
      <c r="J2262" s="474" t="s">
        <v>3463</v>
      </c>
      <c r="K2262" s="443" t="s">
        <v>1255</v>
      </c>
      <c r="L2262" s="471">
        <v>1</v>
      </c>
      <c r="M2262" s="452" t="s">
        <v>3782</v>
      </c>
      <c r="N2262" s="463">
        <v>510</v>
      </c>
      <c r="O2262" s="487">
        <f t="shared" si="9"/>
        <v>510</v>
      </c>
      <c r="P2262" s="435"/>
      <c r="Q2262" s="477">
        <v>46023</v>
      </c>
      <c r="R2262" s="435"/>
      <c r="S2262" s="435"/>
    </row>
    <row r="2263" spans="1:19" ht="15" customHeight="1" x14ac:dyDescent="0.25">
      <c r="A2263" s="438">
        <v>2260</v>
      </c>
      <c r="B2263" s="479" t="s">
        <v>17</v>
      </c>
      <c r="C2263" s="471" t="s">
        <v>18</v>
      </c>
      <c r="D2263" s="480" t="s">
        <v>2301</v>
      </c>
      <c r="E2263" s="448" t="s">
        <v>4085</v>
      </c>
      <c r="F2263" s="448" t="s">
        <v>2982</v>
      </c>
      <c r="G2263" s="452" t="s">
        <v>2790</v>
      </c>
      <c r="H2263" s="441" t="s">
        <v>1254</v>
      </c>
      <c r="I2263" s="474" t="s">
        <v>3457</v>
      </c>
      <c r="J2263" s="474" t="s">
        <v>3463</v>
      </c>
      <c r="K2263" s="443" t="s">
        <v>1255</v>
      </c>
      <c r="L2263" s="471">
        <v>1</v>
      </c>
      <c r="M2263" s="452" t="s">
        <v>3783</v>
      </c>
      <c r="N2263" s="463">
        <v>51</v>
      </c>
      <c r="O2263" s="487">
        <f t="shared" si="9"/>
        <v>51</v>
      </c>
      <c r="P2263" s="435"/>
      <c r="Q2263" s="477">
        <v>46023</v>
      </c>
      <c r="R2263" s="435"/>
      <c r="S2263" s="435"/>
    </row>
    <row r="2264" spans="1:19" ht="15" customHeight="1" x14ac:dyDescent="0.25">
      <c r="A2264" s="438">
        <v>2261</v>
      </c>
      <c r="B2264" s="479" t="s">
        <v>17</v>
      </c>
      <c r="C2264" s="471" t="s">
        <v>18</v>
      </c>
      <c r="D2264" s="480" t="s">
        <v>2301</v>
      </c>
      <c r="E2264" s="448" t="s">
        <v>4088</v>
      </c>
      <c r="F2264" s="448" t="s">
        <v>4105</v>
      </c>
      <c r="G2264" s="452" t="s">
        <v>3955</v>
      </c>
      <c r="H2264" s="441" t="s">
        <v>2411</v>
      </c>
      <c r="I2264" s="474" t="s">
        <v>3459</v>
      </c>
      <c r="J2264" s="474" t="s">
        <v>3463</v>
      </c>
      <c r="K2264" s="443" t="s">
        <v>940</v>
      </c>
      <c r="L2264" s="471">
        <v>1</v>
      </c>
      <c r="M2264" s="452" t="s">
        <v>2895</v>
      </c>
      <c r="N2264" s="463">
        <v>950</v>
      </c>
      <c r="O2264" s="487">
        <f t="shared" si="9"/>
        <v>950</v>
      </c>
      <c r="P2264" s="435"/>
      <c r="Q2264" s="477">
        <v>46023</v>
      </c>
      <c r="R2264" s="435"/>
      <c r="S2264" s="435"/>
    </row>
    <row r="2265" spans="1:19" ht="15" customHeight="1" x14ac:dyDescent="0.25">
      <c r="A2265" s="438">
        <v>2262</v>
      </c>
      <c r="B2265" s="479" t="s">
        <v>17</v>
      </c>
      <c r="C2265" s="471" t="s">
        <v>18</v>
      </c>
      <c r="D2265" s="480" t="s">
        <v>2301</v>
      </c>
      <c r="E2265" s="448" t="s">
        <v>4088</v>
      </c>
      <c r="F2265" s="448" t="s">
        <v>4105</v>
      </c>
      <c r="G2265" s="452" t="s">
        <v>3955</v>
      </c>
      <c r="H2265" s="441" t="s">
        <v>2411</v>
      </c>
      <c r="I2265" s="474" t="s">
        <v>3459</v>
      </c>
      <c r="J2265" s="474" t="s">
        <v>3463</v>
      </c>
      <c r="K2265" s="443" t="s">
        <v>940</v>
      </c>
      <c r="L2265" s="471">
        <v>1</v>
      </c>
      <c r="M2265" s="452" t="s">
        <v>2893</v>
      </c>
      <c r="N2265" s="463">
        <v>950</v>
      </c>
      <c r="O2265" s="487">
        <f t="shared" si="9"/>
        <v>950</v>
      </c>
      <c r="P2265" s="435"/>
      <c r="Q2265" s="477">
        <v>46023</v>
      </c>
      <c r="R2265" s="435"/>
      <c r="S2265" s="435"/>
    </row>
    <row r="2266" spans="1:19" ht="15" customHeight="1" x14ac:dyDescent="0.25">
      <c r="A2266" s="438">
        <v>2263</v>
      </c>
      <c r="B2266" s="479" t="s">
        <v>17</v>
      </c>
      <c r="C2266" s="471" t="s">
        <v>18</v>
      </c>
      <c r="D2266" s="480" t="s">
        <v>2301</v>
      </c>
      <c r="E2266" s="448" t="s">
        <v>4088</v>
      </c>
      <c r="F2266" s="448" t="s">
        <v>4105</v>
      </c>
      <c r="G2266" s="452" t="s">
        <v>3955</v>
      </c>
      <c r="H2266" s="441" t="s">
        <v>2411</v>
      </c>
      <c r="I2266" s="474" t="s">
        <v>3459</v>
      </c>
      <c r="J2266" s="474" t="s">
        <v>3463</v>
      </c>
      <c r="K2266" s="443" t="s">
        <v>940</v>
      </c>
      <c r="L2266" s="471">
        <v>1</v>
      </c>
      <c r="M2266" s="452" t="s">
        <v>2896</v>
      </c>
      <c r="N2266" s="463">
        <v>950</v>
      </c>
      <c r="O2266" s="487">
        <f t="shared" si="9"/>
        <v>950</v>
      </c>
      <c r="P2266" s="435"/>
      <c r="Q2266" s="477">
        <v>46023</v>
      </c>
      <c r="R2266" s="435"/>
      <c r="S2266" s="435"/>
    </row>
    <row r="2267" spans="1:19" ht="15" customHeight="1" x14ac:dyDescent="0.25">
      <c r="A2267" s="438">
        <v>2264</v>
      </c>
      <c r="B2267" s="479" t="s">
        <v>17</v>
      </c>
      <c r="C2267" s="471" t="s">
        <v>18</v>
      </c>
      <c r="D2267" s="480" t="s">
        <v>2301</v>
      </c>
      <c r="E2267" s="448" t="s">
        <v>4088</v>
      </c>
      <c r="F2267" s="448" t="s">
        <v>4105</v>
      </c>
      <c r="G2267" s="452" t="s">
        <v>3955</v>
      </c>
      <c r="H2267" s="441" t="s">
        <v>2411</v>
      </c>
      <c r="I2267" s="474" t="s">
        <v>3459</v>
      </c>
      <c r="J2267" s="474" t="s">
        <v>3463</v>
      </c>
      <c r="K2267" s="443" t="s">
        <v>940</v>
      </c>
      <c r="L2267" s="471">
        <v>1</v>
      </c>
      <c r="M2267" s="452" t="s">
        <v>2894</v>
      </c>
      <c r="N2267" s="463">
        <v>950</v>
      </c>
      <c r="O2267" s="487">
        <f t="shared" si="9"/>
        <v>950</v>
      </c>
      <c r="P2267" s="435"/>
      <c r="Q2267" s="477">
        <v>46023</v>
      </c>
      <c r="R2267" s="435"/>
      <c r="S2267" s="435"/>
    </row>
    <row r="2268" spans="1:19" ht="15" customHeight="1" x14ac:dyDescent="0.25">
      <c r="A2268" s="438">
        <v>2265</v>
      </c>
      <c r="B2268" s="479" t="s">
        <v>17</v>
      </c>
      <c r="C2268" s="471" t="s">
        <v>18</v>
      </c>
      <c r="D2268" s="480" t="s">
        <v>2301</v>
      </c>
      <c r="E2268" s="448" t="s">
        <v>4080</v>
      </c>
      <c r="F2268" s="448" t="s">
        <v>4080</v>
      </c>
      <c r="G2268" s="452" t="s">
        <v>3946</v>
      </c>
      <c r="H2268" s="441" t="s">
        <v>950</v>
      </c>
      <c r="I2268" s="474" t="s">
        <v>3459</v>
      </c>
      <c r="J2268" s="474" t="s">
        <v>3464</v>
      </c>
      <c r="K2268" s="443" t="s">
        <v>902</v>
      </c>
      <c r="L2268" s="471">
        <v>1</v>
      </c>
      <c r="M2268" s="452" t="s">
        <v>2925</v>
      </c>
      <c r="N2268" s="463">
        <v>900</v>
      </c>
      <c r="O2268" s="487">
        <f t="shared" si="9"/>
        <v>900</v>
      </c>
      <c r="P2268" s="435"/>
      <c r="Q2268" s="477">
        <v>46023</v>
      </c>
      <c r="R2268" s="435"/>
      <c r="S2268" s="435"/>
    </row>
    <row r="2269" spans="1:19" ht="15" customHeight="1" x14ac:dyDescent="0.25">
      <c r="A2269" s="438">
        <v>2266</v>
      </c>
      <c r="B2269" s="479" t="s">
        <v>17</v>
      </c>
      <c r="C2269" s="471" t="s">
        <v>18</v>
      </c>
      <c r="D2269" s="480" t="s">
        <v>2301</v>
      </c>
      <c r="E2269" s="448" t="s">
        <v>4086</v>
      </c>
      <c r="F2269" s="448" t="s">
        <v>4133</v>
      </c>
      <c r="G2269" s="452" t="s">
        <v>4012</v>
      </c>
      <c r="H2269" s="441" t="s">
        <v>3421</v>
      </c>
      <c r="I2269" s="474" t="s">
        <v>3457</v>
      </c>
      <c r="J2269" s="474" t="s">
        <v>3464</v>
      </c>
      <c r="K2269" s="443" t="s">
        <v>1542</v>
      </c>
      <c r="L2269" s="471">
        <v>1</v>
      </c>
      <c r="M2269" s="452" t="s">
        <v>3784</v>
      </c>
      <c r="N2269" s="463">
        <v>16500</v>
      </c>
      <c r="O2269" s="487">
        <f t="shared" si="9"/>
        <v>16500</v>
      </c>
      <c r="P2269" s="435"/>
      <c r="Q2269" s="477">
        <v>46023</v>
      </c>
      <c r="R2269" s="435"/>
      <c r="S2269" s="435"/>
    </row>
    <row r="2270" spans="1:19" ht="15" customHeight="1" x14ac:dyDescent="0.25">
      <c r="A2270" s="438">
        <v>2267</v>
      </c>
      <c r="B2270" s="479" t="s">
        <v>17</v>
      </c>
      <c r="C2270" s="471" t="s">
        <v>18</v>
      </c>
      <c r="D2270" s="480" t="s">
        <v>2301</v>
      </c>
      <c r="E2270" s="448" t="s">
        <v>4088</v>
      </c>
      <c r="F2270" s="448" t="s">
        <v>4106</v>
      </c>
      <c r="G2270" s="452" t="s">
        <v>3404</v>
      </c>
      <c r="H2270" s="441" t="s">
        <v>2452</v>
      </c>
      <c r="I2270" s="474" t="s">
        <v>3459</v>
      </c>
      <c r="J2270" s="474" t="s">
        <v>3464</v>
      </c>
      <c r="K2270" s="443" t="s">
        <v>225</v>
      </c>
      <c r="L2270" s="471">
        <v>1</v>
      </c>
      <c r="M2270" s="452" t="s">
        <v>2914</v>
      </c>
      <c r="N2270" s="463">
        <v>15000</v>
      </c>
      <c r="O2270" s="487">
        <f t="shared" si="9"/>
        <v>15000</v>
      </c>
      <c r="P2270" s="435"/>
      <c r="Q2270" s="477">
        <v>46023</v>
      </c>
      <c r="R2270" s="435"/>
      <c r="S2270" s="435"/>
    </row>
    <row r="2271" spans="1:19" ht="15" customHeight="1" x14ac:dyDescent="0.25">
      <c r="A2271" s="438">
        <v>2268</v>
      </c>
      <c r="B2271" s="479" t="s">
        <v>17</v>
      </c>
      <c r="C2271" s="471" t="s">
        <v>18</v>
      </c>
      <c r="D2271" s="480" t="s">
        <v>2301</v>
      </c>
      <c r="E2271" s="448" t="s">
        <v>4088</v>
      </c>
      <c r="F2271" s="448" t="s">
        <v>3025</v>
      </c>
      <c r="G2271" s="452" t="s">
        <v>3404</v>
      </c>
      <c r="H2271" s="441" t="s">
        <v>2452</v>
      </c>
      <c r="I2271" s="474" t="s">
        <v>3459</v>
      </c>
      <c r="J2271" s="474" t="s">
        <v>3464</v>
      </c>
      <c r="K2271" s="443" t="s">
        <v>225</v>
      </c>
      <c r="L2271" s="471">
        <v>1</v>
      </c>
      <c r="M2271" s="452" t="s">
        <v>2919</v>
      </c>
      <c r="N2271" s="463">
        <v>18000</v>
      </c>
      <c r="O2271" s="487">
        <f t="shared" si="9"/>
        <v>18000</v>
      </c>
      <c r="P2271" s="435"/>
      <c r="Q2271" s="477">
        <v>46023</v>
      </c>
      <c r="R2271" s="435"/>
      <c r="S2271" s="435"/>
    </row>
    <row r="2272" spans="1:19" ht="15" customHeight="1" x14ac:dyDescent="0.25">
      <c r="A2272" s="438">
        <v>2269</v>
      </c>
      <c r="B2272" s="479" t="s">
        <v>17</v>
      </c>
      <c r="C2272" s="471" t="s">
        <v>18</v>
      </c>
      <c r="D2272" s="480" t="s">
        <v>2301</v>
      </c>
      <c r="E2272" s="448" t="s">
        <v>4088</v>
      </c>
      <c r="F2272" s="448" t="s">
        <v>4104</v>
      </c>
      <c r="G2272" s="452" t="s">
        <v>3404</v>
      </c>
      <c r="H2272" s="441" t="s">
        <v>2452</v>
      </c>
      <c r="I2272" s="474" t="s">
        <v>3459</v>
      </c>
      <c r="J2272" s="474" t="s">
        <v>3464</v>
      </c>
      <c r="K2272" s="443" t="s">
        <v>225</v>
      </c>
      <c r="L2272" s="471">
        <v>1</v>
      </c>
      <c r="M2272" s="452" t="s">
        <v>2745</v>
      </c>
      <c r="N2272" s="463">
        <v>18000</v>
      </c>
      <c r="O2272" s="487">
        <f t="shared" si="9"/>
        <v>18000</v>
      </c>
      <c r="P2272" s="435"/>
      <c r="Q2272" s="477">
        <v>46023</v>
      </c>
      <c r="R2272" s="435"/>
      <c r="S2272" s="435"/>
    </row>
    <row r="2273" spans="1:19" ht="15" customHeight="1" x14ac:dyDescent="0.25">
      <c r="A2273" s="438">
        <v>2270</v>
      </c>
      <c r="B2273" s="479" t="s">
        <v>17</v>
      </c>
      <c r="C2273" s="471" t="s">
        <v>18</v>
      </c>
      <c r="D2273" s="480" t="s">
        <v>2301</v>
      </c>
      <c r="E2273" s="448" t="s">
        <v>4088</v>
      </c>
      <c r="F2273" s="448" t="s">
        <v>4104</v>
      </c>
      <c r="G2273" s="452" t="s">
        <v>3404</v>
      </c>
      <c r="H2273" s="441" t="s">
        <v>2452</v>
      </c>
      <c r="I2273" s="474" t="s">
        <v>3459</v>
      </c>
      <c r="J2273" s="474" t="s">
        <v>3464</v>
      </c>
      <c r="K2273" s="443" t="s">
        <v>225</v>
      </c>
      <c r="L2273" s="471">
        <v>1</v>
      </c>
      <c r="M2273" s="452" t="s">
        <v>3785</v>
      </c>
      <c r="N2273" s="463">
        <v>20500</v>
      </c>
      <c r="O2273" s="487">
        <f t="shared" si="9"/>
        <v>20500</v>
      </c>
      <c r="P2273" s="435"/>
      <c r="Q2273" s="477">
        <v>46023</v>
      </c>
      <c r="R2273" s="435"/>
      <c r="S2273" s="435"/>
    </row>
    <row r="2274" spans="1:19" ht="15" customHeight="1" x14ac:dyDescent="0.25">
      <c r="A2274" s="438">
        <v>2271</v>
      </c>
      <c r="B2274" s="479" t="s">
        <v>17</v>
      </c>
      <c r="C2274" s="471" t="s">
        <v>18</v>
      </c>
      <c r="D2274" s="480" t="s">
        <v>2301</v>
      </c>
      <c r="E2274" s="448" t="s">
        <v>4088</v>
      </c>
      <c r="F2274" s="448" t="s">
        <v>4104</v>
      </c>
      <c r="G2274" s="452" t="s">
        <v>3404</v>
      </c>
      <c r="H2274" s="441" t="s">
        <v>2452</v>
      </c>
      <c r="I2274" s="474" t="s">
        <v>3459</v>
      </c>
      <c r="J2274" s="474" t="s">
        <v>3464</v>
      </c>
      <c r="K2274" s="443" t="s">
        <v>225</v>
      </c>
      <c r="L2274" s="471">
        <v>1</v>
      </c>
      <c r="M2274" s="452" t="s">
        <v>3786</v>
      </c>
      <c r="N2274" s="463">
        <v>20500</v>
      </c>
      <c r="O2274" s="487">
        <f t="shared" si="9"/>
        <v>20500</v>
      </c>
      <c r="P2274" s="435"/>
      <c r="Q2274" s="477">
        <v>46023</v>
      </c>
      <c r="R2274" s="435"/>
      <c r="S2274" s="435"/>
    </row>
    <row r="2275" spans="1:19" ht="15" customHeight="1" x14ac:dyDescent="0.25">
      <c r="A2275" s="438">
        <v>2272</v>
      </c>
      <c r="B2275" s="479" t="s">
        <v>17</v>
      </c>
      <c r="C2275" s="471" t="s">
        <v>18</v>
      </c>
      <c r="D2275" s="480" t="s">
        <v>2301</v>
      </c>
      <c r="E2275" s="448" t="s">
        <v>4088</v>
      </c>
      <c r="F2275" s="448" t="s">
        <v>4104</v>
      </c>
      <c r="G2275" s="452" t="s">
        <v>3404</v>
      </c>
      <c r="H2275" s="441" t="s">
        <v>2452</v>
      </c>
      <c r="I2275" s="474" t="s">
        <v>3459</v>
      </c>
      <c r="J2275" s="474" t="s">
        <v>3464</v>
      </c>
      <c r="K2275" s="443" t="s">
        <v>225</v>
      </c>
      <c r="L2275" s="471">
        <v>1</v>
      </c>
      <c r="M2275" s="452" t="s">
        <v>3787</v>
      </c>
      <c r="N2275" s="463">
        <v>20500</v>
      </c>
      <c r="O2275" s="487">
        <f t="shared" si="9"/>
        <v>20500</v>
      </c>
      <c r="P2275" s="435"/>
      <c r="Q2275" s="477">
        <v>46023</v>
      </c>
      <c r="R2275" s="435"/>
      <c r="S2275" s="435"/>
    </row>
    <row r="2276" spans="1:19" ht="15" customHeight="1" x14ac:dyDescent="0.25">
      <c r="A2276" s="438">
        <v>2273</v>
      </c>
      <c r="B2276" s="479" t="s">
        <v>17</v>
      </c>
      <c r="C2276" s="471" t="s">
        <v>18</v>
      </c>
      <c r="D2276" s="480" t="s">
        <v>2301</v>
      </c>
      <c r="E2276" s="448" t="s">
        <v>4088</v>
      </c>
      <c r="F2276" s="448" t="s">
        <v>4104</v>
      </c>
      <c r="G2276" s="452" t="s">
        <v>3404</v>
      </c>
      <c r="H2276" s="441" t="s">
        <v>2452</v>
      </c>
      <c r="I2276" s="474" t="s">
        <v>3459</v>
      </c>
      <c r="J2276" s="474" t="s">
        <v>3464</v>
      </c>
      <c r="K2276" s="443" t="s">
        <v>225</v>
      </c>
      <c r="L2276" s="471">
        <v>1</v>
      </c>
      <c r="M2276" s="452" t="s">
        <v>3788</v>
      </c>
      <c r="N2276" s="463">
        <v>20500</v>
      </c>
      <c r="O2276" s="487">
        <f t="shared" si="9"/>
        <v>20500</v>
      </c>
      <c r="P2276" s="435"/>
      <c r="Q2276" s="477">
        <v>46023</v>
      </c>
      <c r="R2276" s="435"/>
      <c r="S2276" s="435"/>
    </row>
    <row r="2277" spans="1:19" ht="15" customHeight="1" x14ac:dyDescent="0.25">
      <c r="A2277" s="438">
        <v>2274</v>
      </c>
      <c r="B2277" s="479" t="s">
        <v>17</v>
      </c>
      <c r="C2277" s="471" t="s">
        <v>18</v>
      </c>
      <c r="D2277" s="480" t="s">
        <v>2301</v>
      </c>
      <c r="E2277" s="448" t="s">
        <v>4088</v>
      </c>
      <c r="F2277" s="448" t="s">
        <v>4104</v>
      </c>
      <c r="G2277" s="452" t="s">
        <v>3404</v>
      </c>
      <c r="H2277" s="441" t="s">
        <v>2452</v>
      </c>
      <c r="I2277" s="474" t="s">
        <v>3459</v>
      </c>
      <c r="J2277" s="474" t="s">
        <v>3464</v>
      </c>
      <c r="K2277" s="443" t="s">
        <v>225</v>
      </c>
      <c r="L2277" s="471">
        <v>1</v>
      </c>
      <c r="M2277" s="452" t="s">
        <v>3789</v>
      </c>
      <c r="N2277" s="463">
        <v>20500</v>
      </c>
      <c r="O2277" s="487">
        <f t="shared" si="9"/>
        <v>20500</v>
      </c>
      <c r="P2277" s="435"/>
      <c r="Q2277" s="477">
        <v>46023</v>
      </c>
      <c r="R2277" s="435"/>
      <c r="S2277" s="435"/>
    </row>
    <row r="2278" spans="1:19" ht="15" customHeight="1" x14ac:dyDescent="0.25">
      <c r="A2278" s="438">
        <v>2275</v>
      </c>
      <c r="B2278" s="479" t="s">
        <v>17</v>
      </c>
      <c r="C2278" s="471" t="s">
        <v>18</v>
      </c>
      <c r="D2278" s="480" t="s">
        <v>2301</v>
      </c>
      <c r="E2278" s="448" t="s">
        <v>4088</v>
      </c>
      <c r="F2278" s="448" t="s">
        <v>4104</v>
      </c>
      <c r="G2278" s="452" t="s">
        <v>3404</v>
      </c>
      <c r="H2278" s="441" t="s">
        <v>2452</v>
      </c>
      <c r="I2278" s="474" t="s">
        <v>3459</v>
      </c>
      <c r="J2278" s="474" t="s">
        <v>3464</v>
      </c>
      <c r="K2278" s="443" t="s">
        <v>225</v>
      </c>
      <c r="L2278" s="471">
        <v>1</v>
      </c>
      <c r="M2278" s="452" t="s">
        <v>3790</v>
      </c>
      <c r="N2278" s="463">
        <v>20500</v>
      </c>
      <c r="O2278" s="487">
        <f t="shared" si="9"/>
        <v>20500</v>
      </c>
      <c r="P2278" s="435"/>
      <c r="Q2278" s="477">
        <v>46023</v>
      </c>
      <c r="R2278" s="435"/>
      <c r="S2278" s="435"/>
    </row>
    <row r="2279" spans="1:19" ht="15" customHeight="1" x14ac:dyDescent="0.25">
      <c r="A2279" s="438">
        <v>2276</v>
      </c>
      <c r="B2279" s="479" t="s">
        <v>17</v>
      </c>
      <c r="C2279" s="471" t="s">
        <v>18</v>
      </c>
      <c r="D2279" s="480" t="s">
        <v>2301</v>
      </c>
      <c r="E2279" s="448" t="s">
        <v>4088</v>
      </c>
      <c r="F2279" s="448" t="s">
        <v>3025</v>
      </c>
      <c r="G2279" s="452" t="s">
        <v>3404</v>
      </c>
      <c r="H2279" s="441" t="s">
        <v>2452</v>
      </c>
      <c r="I2279" s="474" t="s">
        <v>3459</v>
      </c>
      <c r="J2279" s="474" t="s">
        <v>3464</v>
      </c>
      <c r="K2279" s="443" t="s">
        <v>225</v>
      </c>
      <c r="L2279" s="471">
        <v>1</v>
      </c>
      <c r="M2279" s="452" t="s">
        <v>3791</v>
      </c>
      <c r="N2279" s="463">
        <v>20500</v>
      </c>
      <c r="O2279" s="487">
        <f t="shared" si="9"/>
        <v>20500</v>
      </c>
      <c r="P2279" s="435"/>
      <c r="Q2279" s="477">
        <v>46023</v>
      </c>
      <c r="R2279" s="435"/>
      <c r="S2279" s="435"/>
    </row>
    <row r="2280" spans="1:19" ht="15" customHeight="1" x14ac:dyDescent="0.25">
      <c r="A2280" s="438">
        <v>2277</v>
      </c>
      <c r="B2280" s="479" t="s">
        <v>17</v>
      </c>
      <c r="C2280" s="471" t="s">
        <v>18</v>
      </c>
      <c r="D2280" s="480" t="s">
        <v>2301</v>
      </c>
      <c r="E2280" s="448" t="s">
        <v>4088</v>
      </c>
      <c r="F2280" s="448" t="s">
        <v>3025</v>
      </c>
      <c r="G2280" s="452" t="s">
        <v>3404</v>
      </c>
      <c r="H2280" s="441" t="s">
        <v>2452</v>
      </c>
      <c r="I2280" s="474" t="s">
        <v>3459</v>
      </c>
      <c r="J2280" s="474" t="s">
        <v>3464</v>
      </c>
      <c r="K2280" s="443" t="s">
        <v>225</v>
      </c>
      <c r="L2280" s="471">
        <v>1</v>
      </c>
      <c r="M2280" s="452" t="s">
        <v>3792</v>
      </c>
      <c r="N2280" s="463">
        <v>20500</v>
      </c>
      <c r="O2280" s="487">
        <f t="shared" si="9"/>
        <v>20500</v>
      </c>
      <c r="P2280" s="435"/>
      <c r="Q2280" s="477">
        <v>46023</v>
      </c>
      <c r="R2280" s="435"/>
      <c r="S2280" s="435"/>
    </row>
    <row r="2281" spans="1:19" ht="15" customHeight="1" x14ac:dyDescent="0.25">
      <c r="A2281" s="438">
        <v>2278</v>
      </c>
      <c r="B2281" s="479" t="s">
        <v>17</v>
      </c>
      <c r="C2281" s="471" t="s">
        <v>18</v>
      </c>
      <c r="D2281" s="480" t="s">
        <v>2301</v>
      </c>
      <c r="E2281" s="448" t="s">
        <v>4088</v>
      </c>
      <c r="F2281" s="448" t="s">
        <v>3049</v>
      </c>
      <c r="G2281" s="452" t="s">
        <v>3404</v>
      </c>
      <c r="H2281" s="441" t="s">
        <v>2452</v>
      </c>
      <c r="I2281" s="474" t="s">
        <v>3459</v>
      </c>
      <c r="J2281" s="474" t="s">
        <v>3464</v>
      </c>
      <c r="K2281" s="443" t="s">
        <v>225</v>
      </c>
      <c r="L2281" s="471">
        <v>1</v>
      </c>
      <c r="M2281" s="452" t="s">
        <v>3793</v>
      </c>
      <c r="N2281" s="463">
        <v>13000</v>
      </c>
      <c r="O2281" s="487">
        <f t="shared" si="9"/>
        <v>13000</v>
      </c>
      <c r="P2281" s="435"/>
      <c r="Q2281" s="477">
        <v>46023</v>
      </c>
      <c r="R2281" s="435"/>
      <c r="S2281" s="435"/>
    </row>
    <row r="2282" spans="1:19" ht="15" customHeight="1" x14ac:dyDescent="0.25">
      <c r="A2282" s="438">
        <v>2279</v>
      </c>
      <c r="B2282" s="479" t="s">
        <v>17</v>
      </c>
      <c r="C2282" s="471" t="s">
        <v>18</v>
      </c>
      <c r="D2282" s="480" t="s">
        <v>2301</v>
      </c>
      <c r="E2282" s="448" t="s">
        <v>4088</v>
      </c>
      <c r="F2282" s="448" t="s">
        <v>3049</v>
      </c>
      <c r="G2282" s="452" t="s">
        <v>3404</v>
      </c>
      <c r="H2282" s="441" t="s">
        <v>2452</v>
      </c>
      <c r="I2282" s="474" t="s">
        <v>3459</v>
      </c>
      <c r="J2282" s="474" t="s">
        <v>3464</v>
      </c>
      <c r="K2282" s="443" t="s">
        <v>225</v>
      </c>
      <c r="L2282" s="471">
        <v>1</v>
      </c>
      <c r="M2282" s="452" t="s">
        <v>3794</v>
      </c>
      <c r="N2282" s="463">
        <v>13000</v>
      </c>
      <c r="O2282" s="487">
        <f t="shared" si="9"/>
        <v>13000</v>
      </c>
      <c r="P2282" s="435"/>
      <c r="Q2282" s="477">
        <v>46023</v>
      </c>
      <c r="R2282" s="435"/>
      <c r="S2282" s="435"/>
    </row>
    <row r="2283" spans="1:19" ht="15" customHeight="1" x14ac:dyDescent="0.25">
      <c r="A2283" s="438">
        <v>2280</v>
      </c>
      <c r="B2283" s="479" t="s">
        <v>17</v>
      </c>
      <c r="C2283" s="471" t="s">
        <v>18</v>
      </c>
      <c r="D2283" s="480" t="s">
        <v>2301</v>
      </c>
      <c r="E2283" s="448" t="s">
        <v>4088</v>
      </c>
      <c r="F2283" s="448" t="s">
        <v>4106</v>
      </c>
      <c r="G2283" s="452" t="s">
        <v>3404</v>
      </c>
      <c r="H2283" s="441" t="s">
        <v>2452</v>
      </c>
      <c r="I2283" s="474" t="s">
        <v>3459</v>
      </c>
      <c r="J2283" s="474" t="s">
        <v>3464</v>
      </c>
      <c r="K2283" s="443" t="s">
        <v>225</v>
      </c>
      <c r="L2283" s="471">
        <v>1</v>
      </c>
      <c r="M2283" s="452" t="s">
        <v>3132</v>
      </c>
      <c r="N2283" s="463">
        <v>13000</v>
      </c>
      <c r="O2283" s="487">
        <f t="shared" si="9"/>
        <v>13000</v>
      </c>
      <c r="P2283" s="435"/>
      <c r="Q2283" s="477">
        <v>46023</v>
      </c>
      <c r="R2283" s="435"/>
      <c r="S2283" s="435"/>
    </row>
    <row r="2284" spans="1:19" ht="15" customHeight="1" x14ac:dyDescent="0.25">
      <c r="A2284" s="438">
        <v>2281</v>
      </c>
      <c r="B2284" s="479" t="s">
        <v>17</v>
      </c>
      <c r="C2284" s="471" t="s">
        <v>18</v>
      </c>
      <c r="D2284" s="480" t="s">
        <v>2301</v>
      </c>
      <c r="E2284" s="448" t="s">
        <v>4088</v>
      </c>
      <c r="F2284" s="448" t="s">
        <v>4106</v>
      </c>
      <c r="G2284" s="452" t="s">
        <v>3404</v>
      </c>
      <c r="H2284" s="441" t="s">
        <v>2452</v>
      </c>
      <c r="I2284" s="474" t="s">
        <v>3459</v>
      </c>
      <c r="J2284" s="474" t="s">
        <v>3464</v>
      </c>
      <c r="K2284" s="443" t="s">
        <v>225</v>
      </c>
      <c r="L2284" s="471">
        <v>1</v>
      </c>
      <c r="M2284" s="452" t="s">
        <v>3139</v>
      </c>
      <c r="N2284" s="463">
        <v>13000</v>
      </c>
      <c r="O2284" s="487">
        <f t="shared" si="9"/>
        <v>13000</v>
      </c>
      <c r="P2284" s="435"/>
      <c r="Q2284" s="477">
        <v>46023</v>
      </c>
      <c r="R2284" s="435"/>
      <c r="S2284" s="435"/>
    </row>
    <row r="2285" spans="1:19" ht="15" customHeight="1" x14ac:dyDescent="0.25">
      <c r="A2285" s="438">
        <v>2282</v>
      </c>
      <c r="B2285" s="479" t="s">
        <v>17</v>
      </c>
      <c r="C2285" s="471" t="s">
        <v>18</v>
      </c>
      <c r="D2285" s="480" t="s">
        <v>2301</v>
      </c>
      <c r="E2285" s="448" t="s">
        <v>4087</v>
      </c>
      <c r="F2285" s="448" t="s">
        <v>4098</v>
      </c>
      <c r="G2285" s="452" t="s">
        <v>3045</v>
      </c>
      <c r="H2285" s="441" t="s">
        <v>1998</v>
      </c>
      <c r="I2285" s="474" t="s">
        <v>3457</v>
      </c>
      <c r="J2285" s="474" t="s">
        <v>3464</v>
      </c>
      <c r="K2285" s="443" t="s">
        <v>1592</v>
      </c>
      <c r="L2285" s="471">
        <v>1</v>
      </c>
      <c r="M2285" s="452" t="s">
        <v>3795</v>
      </c>
      <c r="N2285" s="463">
        <v>3800</v>
      </c>
      <c r="O2285" s="487">
        <f t="shared" si="9"/>
        <v>3800</v>
      </c>
      <c r="P2285" s="435"/>
      <c r="Q2285" s="477">
        <v>46023</v>
      </c>
      <c r="R2285" s="435"/>
      <c r="S2285" s="435"/>
    </row>
    <row r="2286" spans="1:19" ht="15" customHeight="1" x14ac:dyDescent="0.25">
      <c r="A2286" s="438">
        <v>2283</v>
      </c>
      <c r="B2286" s="479" t="s">
        <v>17</v>
      </c>
      <c r="C2286" s="471" t="s">
        <v>18</v>
      </c>
      <c r="D2286" s="480" t="s">
        <v>2301</v>
      </c>
      <c r="E2286" s="448" t="s">
        <v>4086</v>
      </c>
      <c r="F2286" s="448" t="s">
        <v>4112</v>
      </c>
      <c r="G2286" s="452" t="s">
        <v>3045</v>
      </c>
      <c r="H2286" s="441" t="s">
        <v>1998</v>
      </c>
      <c r="I2286" s="474" t="s">
        <v>3457</v>
      </c>
      <c r="J2286" s="474" t="s">
        <v>3464</v>
      </c>
      <c r="K2286" s="443" t="s">
        <v>1592</v>
      </c>
      <c r="L2286" s="471">
        <v>1</v>
      </c>
      <c r="M2286" s="452" t="s">
        <v>3796</v>
      </c>
      <c r="N2286" s="463">
        <v>3800</v>
      </c>
      <c r="O2286" s="487">
        <f t="shared" si="9"/>
        <v>3800</v>
      </c>
      <c r="P2286" s="435"/>
      <c r="Q2286" s="477">
        <v>46023</v>
      </c>
      <c r="R2286" s="435"/>
      <c r="S2286" s="435"/>
    </row>
    <row r="2287" spans="1:19" ht="15" customHeight="1" x14ac:dyDescent="0.25">
      <c r="A2287" s="438">
        <v>2284</v>
      </c>
      <c r="B2287" s="479" t="s">
        <v>17</v>
      </c>
      <c r="C2287" s="471" t="s">
        <v>18</v>
      </c>
      <c r="D2287" s="480" t="s">
        <v>2301</v>
      </c>
      <c r="E2287" s="448" t="s">
        <v>4086</v>
      </c>
      <c r="F2287" s="448" t="s">
        <v>4112</v>
      </c>
      <c r="G2287" s="452" t="s">
        <v>3045</v>
      </c>
      <c r="H2287" s="441" t="s">
        <v>1998</v>
      </c>
      <c r="I2287" s="474" t="s">
        <v>3457</v>
      </c>
      <c r="J2287" s="474" t="s">
        <v>3464</v>
      </c>
      <c r="K2287" s="443" t="s">
        <v>1592</v>
      </c>
      <c r="L2287" s="471">
        <v>1</v>
      </c>
      <c r="M2287" s="452" t="s">
        <v>3797</v>
      </c>
      <c r="N2287" s="463">
        <v>3800</v>
      </c>
      <c r="O2287" s="487">
        <f t="shared" si="9"/>
        <v>3800</v>
      </c>
      <c r="P2287" s="435"/>
      <c r="Q2287" s="477">
        <v>46023</v>
      </c>
      <c r="R2287" s="435"/>
      <c r="S2287" s="435"/>
    </row>
    <row r="2288" spans="1:19" ht="15" customHeight="1" x14ac:dyDescent="0.25">
      <c r="A2288" s="438">
        <v>2285</v>
      </c>
      <c r="B2288" s="479" t="s">
        <v>17</v>
      </c>
      <c r="C2288" s="471" t="s">
        <v>18</v>
      </c>
      <c r="D2288" s="480" t="s">
        <v>2301</v>
      </c>
      <c r="E2288" s="448" t="s">
        <v>4091</v>
      </c>
      <c r="F2288" s="448" t="s">
        <v>4115</v>
      </c>
      <c r="G2288" s="452" t="s">
        <v>3045</v>
      </c>
      <c r="H2288" s="441" t="s">
        <v>1998</v>
      </c>
      <c r="I2288" s="474" t="s">
        <v>3457</v>
      </c>
      <c r="J2288" s="474" t="s">
        <v>3464</v>
      </c>
      <c r="K2288" s="443" t="s">
        <v>1592</v>
      </c>
      <c r="L2288" s="471">
        <v>1</v>
      </c>
      <c r="M2288" s="452" t="s">
        <v>3798</v>
      </c>
      <c r="N2288" s="463">
        <v>3800</v>
      </c>
      <c r="O2288" s="487">
        <f t="shared" si="9"/>
        <v>3800</v>
      </c>
      <c r="P2288" s="435"/>
      <c r="Q2288" s="477">
        <v>46023</v>
      </c>
      <c r="R2288" s="435"/>
      <c r="S2288" s="435"/>
    </row>
    <row r="2289" spans="1:19" ht="15" customHeight="1" x14ac:dyDescent="0.25">
      <c r="A2289" s="438">
        <v>2286</v>
      </c>
      <c r="B2289" s="479" t="s">
        <v>17</v>
      </c>
      <c r="C2289" s="471" t="s">
        <v>18</v>
      </c>
      <c r="D2289" s="480" t="s">
        <v>2301</v>
      </c>
      <c r="E2289" s="448" t="s">
        <v>4091</v>
      </c>
      <c r="F2289" s="448" t="s">
        <v>4110</v>
      </c>
      <c r="G2289" s="452" t="s">
        <v>3045</v>
      </c>
      <c r="H2289" s="441" t="s">
        <v>1998</v>
      </c>
      <c r="I2289" s="474" t="s">
        <v>3457</v>
      </c>
      <c r="J2289" s="474" t="s">
        <v>3464</v>
      </c>
      <c r="K2289" s="443" t="s">
        <v>1592</v>
      </c>
      <c r="L2289" s="471">
        <v>1</v>
      </c>
      <c r="M2289" s="452" t="s">
        <v>3799</v>
      </c>
      <c r="N2289" s="463">
        <v>3800</v>
      </c>
      <c r="O2289" s="487">
        <f t="shared" si="9"/>
        <v>3800</v>
      </c>
      <c r="P2289" s="435"/>
      <c r="Q2289" s="477">
        <v>46023</v>
      </c>
      <c r="R2289" s="435"/>
      <c r="S2289" s="435"/>
    </row>
    <row r="2290" spans="1:19" ht="15" customHeight="1" x14ac:dyDescent="0.25">
      <c r="A2290" s="438">
        <v>2287</v>
      </c>
      <c r="B2290" s="479" t="s">
        <v>17</v>
      </c>
      <c r="C2290" s="471" t="s">
        <v>18</v>
      </c>
      <c r="D2290" s="480" t="s">
        <v>2301</v>
      </c>
      <c r="E2290" s="448" t="s">
        <v>4085</v>
      </c>
      <c r="F2290" s="448" t="s">
        <v>2985</v>
      </c>
      <c r="G2290" s="452" t="s">
        <v>4043</v>
      </c>
      <c r="H2290" s="441" t="s">
        <v>3422</v>
      </c>
      <c r="I2290" s="474" t="s">
        <v>3457</v>
      </c>
      <c r="J2290" s="474" t="s">
        <v>3464</v>
      </c>
      <c r="K2290" s="443" t="s">
        <v>2220</v>
      </c>
      <c r="L2290" s="471">
        <v>1</v>
      </c>
      <c r="M2290" s="452" t="s">
        <v>3800</v>
      </c>
      <c r="N2290" s="463">
        <v>117000</v>
      </c>
      <c r="O2290" s="487">
        <f t="shared" si="9"/>
        <v>117000</v>
      </c>
      <c r="P2290" s="435"/>
      <c r="Q2290" s="477">
        <v>46023</v>
      </c>
      <c r="R2290" s="435"/>
      <c r="S2290" s="435"/>
    </row>
    <row r="2291" spans="1:19" ht="15" customHeight="1" x14ac:dyDescent="0.25">
      <c r="A2291" s="438">
        <v>2288</v>
      </c>
      <c r="B2291" s="479" t="s">
        <v>17</v>
      </c>
      <c r="C2291" s="471" t="s">
        <v>18</v>
      </c>
      <c r="D2291" s="480" t="s">
        <v>2301</v>
      </c>
      <c r="E2291" s="448" t="s">
        <v>4086</v>
      </c>
      <c r="F2291" s="448" t="s">
        <v>4125</v>
      </c>
      <c r="G2291" s="452" t="s">
        <v>4025</v>
      </c>
      <c r="H2291" s="441" t="s">
        <v>3423</v>
      </c>
      <c r="I2291" s="474" t="s">
        <v>3457</v>
      </c>
      <c r="J2291" s="474" t="s">
        <v>3464</v>
      </c>
      <c r="K2291" s="443" t="s">
        <v>2036</v>
      </c>
      <c r="L2291" s="471">
        <v>1</v>
      </c>
      <c r="M2291" s="452" t="s">
        <v>3801</v>
      </c>
      <c r="N2291" s="463">
        <v>3650</v>
      </c>
      <c r="O2291" s="487">
        <f t="shared" si="9"/>
        <v>3650</v>
      </c>
      <c r="P2291" s="435"/>
      <c r="Q2291" s="477">
        <v>46023</v>
      </c>
      <c r="R2291" s="435"/>
      <c r="S2291" s="435"/>
    </row>
    <row r="2292" spans="1:19" ht="15" customHeight="1" x14ac:dyDescent="0.25">
      <c r="A2292" s="438">
        <v>2289</v>
      </c>
      <c r="B2292" s="479" t="s">
        <v>17</v>
      </c>
      <c r="C2292" s="471" t="s">
        <v>18</v>
      </c>
      <c r="D2292" s="480" t="s">
        <v>2301</v>
      </c>
      <c r="E2292" s="448" t="s">
        <v>4086</v>
      </c>
      <c r="F2292" s="448" t="s">
        <v>4125</v>
      </c>
      <c r="G2292" s="452" t="s">
        <v>4025</v>
      </c>
      <c r="H2292" s="441" t="s">
        <v>3423</v>
      </c>
      <c r="I2292" s="474" t="s">
        <v>3457</v>
      </c>
      <c r="J2292" s="474" t="s">
        <v>3464</v>
      </c>
      <c r="K2292" s="443" t="s">
        <v>2036</v>
      </c>
      <c r="L2292" s="471">
        <v>1</v>
      </c>
      <c r="M2292" s="452" t="s">
        <v>3801</v>
      </c>
      <c r="N2292" s="463">
        <v>3650</v>
      </c>
      <c r="O2292" s="487">
        <f t="shared" si="9"/>
        <v>3650</v>
      </c>
      <c r="P2292" s="435"/>
      <c r="Q2292" s="477">
        <v>46023</v>
      </c>
      <c r="R2292" s="435"/>
      <c r="S2292" s="435"/>
    </row>
    <row r="2293" spans="1:19" ht="15" customHeight="1" x14ac:dyDescent="0.25">
      <c r="A2293" s="438">
        <v>2290</v>
      </c>
      <c r="B2293" s="479" t="s">
        <v>17</v>
      </c>
      <c r="C2293" s="471" t="s">
        <v>18</v>
      </c>
      <c r="D2293" s="480" t="s">
        <v>2301</v>
      </c>
      <c r="E2293" s="448" t="s">
        <v>4080</v>
      </c>
      <c r="F2293" s="448" t="s">
        <v>4080</v>
      </c>
      <c r="G2293" s="452" t="s">
        <v>4007</v>
      </c>
      <c r="H2293" s="441" t="s">
        <v>3417</v>
      </c>
      <c r="I2293" s="474" t="s">
        <v>3457</v>
      </c>
      <c r="J2293" s="474" t="s">
        <v>3464</v>
      </c>
      <c r="K2293" s="443" t="s">
        <v>3475</v>
      </c>
      <c r="L2293" s="471">
        <v>1</v>
      </c>
      <c r="M2293" s="452" t="s">
        <v>3802</v>
      </c>
      <c r="N2293" s="463">
        <v>59800</v>
      </c>
      <c r="O2293" s="487">
        <f t="shared" si="9"/>
        <v>59800</v>
      </c>
      <c r="P2293" s="435"/>
      <c r="Q2293" s="477">
        <v>46023</v>
      </c>
      <c r="R2293" s="435"/>
      <c r="S2293" s="435"/>
    </row>
    <row r="2294" spans="1:19" ht="15" customHeight="1" x14ac:dyDescent="0.25">
      <c r="A2294" s="438">
        <v>2291</v>
      </c>
      <c r="B2294" s="479" t="s">
        <v>17</v>
      </c>
      <c r="C2294" s="471" t="s">
        <v>18</v>
      </c>
      <c r="D2294" s="480" t="s">
        <v>2301</v>
      </c>
      <c r="E2294" s="448" t="s">
        <v>4084</v>
      </c>
      <c r="F2294" s="448" t="s">
        <v>4096</v>
      </c>
      <c r="G2294" s="452" t="s">
        <v>4056</v>
      </c>
      <c r="H2294" s="441" t="s">
        <v>3424</v>
      </c>
      <c r="I2294" s="474" t="s">
        <v>3459</v>
      </c>
      <c r="J2294" s="474" t="s">
        <v>3463</v>
      </c>
      <c r="K2294" s="443" t="s">
        <v>532</v>
      </c>
      <c r="L2294" s="471">
        <v>1</v>
      </c>
      <c r="M2294" s="452" t="s">
        <v>3803</v>
      </c>
      <c r="N2294" s="463">
        <v>49990</v>
      </c>
      <c r="O2294" s="487">
        <f t="shared" si="9"/>
        <v>49990</v>
      </c>
      <c r="P2294" s="435"/>
      <c r="Q2294" s="477">
        <v>46023</v>
      </c>
      <c r="R2294" s="435"/>
      <c r="S2294" s="435"/>
    </row>
    <row r="2295" spans="1:19" ht="15" customHeight="1" x14ac:dyDescent="0.25">
      <c r="A2295" s="438">
        <v>2292</v>
      </c>
      <c r="B2295" s="479" t="s">
        <v>17</v>
      </c>
      <c r="C2295" s="471" t="s">
        <v>18</v>
      </c>
      <c r="D2295" s="480" t="s">
        <v>2301</v>
      </c>
      <c r="E2295" s="448" t="s">
        <v>4085</v>
      </c>
      <c r="F2295" s="448" t="s">
        <v>2982</v>
      </c>
      <c r="G2295" s="452" t="s">
        <v>2803</v>
      </c>
      <c r="H2295" s="441" t="s">
        <v>302</v>
      </c>
      <c r="I2295" s="474" t="s">
        <v>3460</v>
      </c>
      <c r="J2295" s="474" t="s">
        <v>3464</v>
      </c>
      <c r="K2295" s="443" t="s">
        <v>279</v>
      </c>
      <c r="L2295" s="471">
        <v>1</v>
      </c>
      <c r="M2295" s="452" t="s">
        <v>3804</v>
      </c>
      <c r="N2295" s="463">
        <v>150000</v>
      </c>
      <c r="O2295" s="487">
        <f t="shared" si="9"/>
        <v>150000</v>
      </c>
      <c r="P2295" s="435"/>
      <c r="Q2295" s="477">
        <v>46023</v>
      </c>
      <c r="R2295" s="435"/>
      <c r="S2295" s="435"/>
    </row>
    <row r="2296" spans="1:19" ht="15" customHeight="1" x14ac:dyDescent="0.25">
      <c r="A2296" s="438">
        <v>2293</v>
      </c>
      <c r="B2296" s="479" t="s">
        <v>17</v>
      </c>
      <c r="C2296" s="471" t="s">
        <v>18</v>
      </c>
      <c r="D2296" s="480" t="s">
        <v>2301</v>
      </c>
      <c r="E2296" s="448" t="s">
        <v>4086</v>
      </c>
      <c r="F2296" s="448" t="s">
        <v>4103</v>
      </c>
      <c r="G2296" s="452" t="s">
        <v>3045</v>
      </c>
      <c r="H2296" s="441" t="s">
        <v>1591</v>
      </c>
      <c r="I2296" s="474" t="s">
        <v>3457</v>
      </c>
      <c r="J2296" s="474" t="s">
        <v>3464</v>
      </c>
      <c r="K2296" s="443" t="s">
        <v>1592</v>
      </c>
      <c r="L2296" s="471">
        <v>1</v>
      </c>
      <c r="M2296" s="452" t="s">
        <v>3805</v>
      </c>
      <c r="N2296" s="463">
        <v>2800</v>
      </c>
      <c r="O2296" s="487">
        <f t="shared" si="9"/>
        <v>2800</v>
      </c>
      <c r="P2296" s="435"/>
      <c r="Q2296" s="477">
        <v>46023</v>
      </c>
      <c r="R2296" s="435"/>
      <c r="S2296" s="435"/>
    </row>
    <row r="2297" spans="1:19" ht="15" customHeight="1" x14ac:dyDescent="0.25">
      <c r="A2297" s="438">
        <v>2294</v>
      </c>
      <c r="B2297" s="479" t="s">
        <v>17</v>
      </c>
      <c r="C2297" s="471" t="s">
        <v>18</v>
      </c>
      <c r="D2297" s="480" t="s">
        <v>2301</v>
      </c>
      <c r="E2297" s="448" t="s">
        <v>4086</v>
      </c>
      <c r="F2297" s="448" t="s">
        <v>4103</v>
      </c>
      <c r="G2297" s="452" t="s">
        <v>3045</v>
      </c>
      <c r="H2297" s="441" t="s">
        <v>1591</v>
      </c>
      <c r="I2297" s="474" t="s">
        <v>3457</v>
      </c>
      <c r="J2297" s="474" t="s">
        <v>3464</v>
      </c>
      <c r="K2297" s="443" t="s">
        <v>1592</v>
      </c>
      <c r="L2297" s="471">
        <v>1</v>
      </c>
      <c r="M2297" s="452" t="s">
        <v>3806</v>
      </c>
      <c r="N2297" s="463">
        <v>2800</v>
      </c>
      <c r="O2297" s="487">
        <f t="shared" si="9"/>
        <v>2800</v>
      </c>
      <c r="P2297" s="435"/>
      <c r="Q2297" s="477">
        <v>46023</v>
      </c>
      <c r="R2297" s="435"/>
      <c r="S2297" s="435"/>
    </row>
    <row r="2298" spans="1:19" ht="15" customHeight="1" x14ac:dyDescent="0.25">
      <c r="A2298" s="438">
        <v>2295</v>
      </c>
      <c r="B2298" s="479" t="s">
        <v>17</v>
      </c>
      <c r="C2298" s="471" t="s">
        <v>18</v>
      </c>
      <c r="D2298" s="480" t="s">
        <v>2301</v>
      </c>
      <c r="E2298" s="448" t="s">
        <v>4091</v>
      </c>
      <c r="F2298" s="448" t="s">
        <v>4114</v>
      </c>
      <c r="G2298" s="452" t="s">
        <v>3045</v>
      </c>
      <c r="H2298" s="441" t="s">
        <v>1591</v>
      </c>
      <c r="I2298" s="474" t="s">
        <v>3457</v>
      </c>
      <c r="J2298" s="474" t="s">
        <v>3464</v>
      </c>
      <c r="K2298" s="443" t="s">
        <v>1592</v>
      </c>
      <c r="L2298" s="471">
        <v>1</v>
      </c>
      <c r="M2298" s="452" t="s">
        <v>3807</v>
      </c>
      <c r="N2298" s="463">
        <v>2800</v>
      </c>
      <c r="O2298" s="487">
        <f t="shared" si="9"/>
        <v>2800</v>
      </c>
      <c r="P2298" s="435"/>
      <c r="Q2298" s="477">
        <v>46023</v>
      </c>
      <c r="R2298" s="435"/>
      <c r="S2298" s="435"/>
    </row>
    <row r="2299" spans="1:19" ht="15" customHeight="1" x14ac:dyDescent="0.25">
      <c r="A2299" s="438">
        <v>2296</v>
      </c>
      <c r="B2299" s="479" t="s">
        <v>17</v>
      </c>
      <c r="C2299" s="471" t="s">
        <v>18</v>
      </c>
      <c r="D2299" s="480" t="s">
        <v>2301</v>
      </c>
      <c r="E2299" s="448" t="s">
        <v>4091</v>
      </c>
      <c r="F2299" s="448" t="s">
        <v>4114</v>
      </c>
      <c r="G2299" s="452" t="s">
        <v>3045</v>
      </c>
      <c r="H2299" s="441" t="s">
        <v>1591</v>
      </c>
      <c r="I2299" s="474" t="s">
        <v>3457</v>
      </c>
      <c r="J2299" s="474" t="s">
        <v>3464</v>
      </c>
      <c r="K2299" s="443" t="s">
        <v>1592</v>
      </c>
      <c r="L2299" s="471">
        <v>1</v>
      </c>
      <c r="M2299" s="452" t="s">
        <v>2908</v>
      </c>
      <c r="N2299" s="463">
        <v>2800</v>
      </c>
      <c r="O2299" s="487">
        <f t="shared" si="9"/>
        <v>2800</v>
      </c>
      <c r="P2299" s="435"/>
      <c r="Q2299" s="477">
        <v>46023</v>
      </c>
      <c r="R2299" s="435"/>
      <c r="S2299" s="435"/>
    </row>
    <row r="2300" spans="1:19" ht="15" customHeight="1" x14ac:dyDescent="0.25">
      <c r="A2300" s="438">
        <v>2297</v>
      </c>
      <c r="B2300" s="479" t="s">
        <v>17</v>
      </c>
      <c r="C2300" s="471" t="s">
        <v>18</v>
      </c>
      <c r="D2300" s="480" t="s">
        <v>2301</v>
      </c>
      <c r="E2300" s="448" t="s">
        <v>4086</v>
      </c>
      <c r="F2300" s="448" t="s">
        <v>4125</v>
      </c>
      <c r="G2300" s="452" t="s">
        <v>3045</v>
      </c>
      <c r="H2300" s="441" t="s">
        <v>1591</v>
      </c>
      <c r="I2300" s="474" t="s">
        <v>3457</v>
      </c>
      <c r="J2300" s="474" t="s">
        <v>3464</v>
      </c>
      <c r="K2300" s="443" t="s">
        <v>1592</v>
      </c>
      <c r="L2300" s="471">
        <v>1</v>
      </c>
      <c r="M2300" s="452" t="s">
        <v>3095</v>
      </c>
      <c r="N2300" s="463">
        <v>2800</v>
      </c>
      <c r="O2300" s="487">
        <f t="shared" si="9"/>
        <v>2800</v>
      </c>
      <c r="P2300" s="435"/>
      <c r="Q2300" s="477">
        <v>46023</v>
      </c>
      <c r="R2300" s="435"/>
      <c r="S2300" s="435"/>
    </row>
    <row r="2301" spans="1:19" ht="15" customHeight="1" x14ac:dyDescent="0.25">
      <c r="A2301" s="438">
        <v>2298</v>
      </c>
      <c r="B2301" s="479" t="s">
        <v>17</v>
      </c>
      <c r="C2301" s="471" t="s">
        <v>18</v>
      </c>
      <c r="D2301" s="480" t="s">
        <v>2301</v>
      </c>
      <c r="E2301" s="448" t="s">
        <v>4083</v>
      </c>
      <c r="F2301" s="448" t="s">
        <v>4100</v>
      </c>
      <c r="G2301" s="452" t="s">
        <v>3058</v>
      </c>
      <c r="H2301" s="441" t="s">
        <v>896</v>
      </c>
      <c r="I2301" s="474" t="s">
        <v>3459</v>
      </c>
      <c r="J2301" s="474" t="s">
        <v>3464</v>
      </c>
      <c r="K2301" s="443" t="s">
        <v>729</v>
      </c>
      <c r="L2301" s="471">
        <v>1</v>
      </c>
      <c r="M2301" s="452" t="s">
        <v>3808</v>
      </c>
      <c r="N2301" s="463">
        <v>8500</v>
      </c>
      <c r="O2301" s="487">
        <f t="shared" si="9"/>
        <v>8500</v>
      </c>
      <c r="P2301" s="435"/>
      <c r="Q2301" s="477">
        <v>46023</v>
      </c>
      <c r="R2301" s="435"/>
      <c r="S2301" s="435"/>
    </row>
    <row r="2302" spans="1:19" ht="15" customHeight="1" x14ac:dyDescent="0.25">
      <c r="A2302" s="438">
        <v>2299</v>
      </c>
      <c r="B2302" s="479" t="s">
        <v>17</v>
      </c>
      <c r="C2302" s="471" t="s">
        <v>18</v>
      </c>
      <c r="D2302" s="480" t="s">
        <v>2301</v>
      </c>
      <c r="E2302" s="448" t="s">
        <v>4083</v>
      </c>
      <c r="F2302" s="448" t="s">
        <v>4100</v>
      </c>
      <c r="G2302" s="452" t="s">
        <v>3058</v>
      </c>
      <c r="H2302" s="441" t="s">
        <v>896</v>
      </c>
      <c r="I2302" s="474" t="s">
        <v>3459</v>
      </c>
      <c r="J2302" s="474" t="s">
        <v>3464</v>
      </c>
      <c r="K2302" s="443" t="s">
        <v>729</v>
      </c>
      <c r="L2302" s="471">
        <v>1</v>
      </c>
      <c r="M2302" s="452" t="s">
        <v>3809</v>
      </c>
      <c r="N2302" s="463">
        <v>8500</v>
      </c>
      <c r="O2302" s="487">
        <f t="shared" si="9"/>
        <v>8500</v>
      </c>
      <c r="P2302" s="435"/>
      <c r="Q2302" s="477">
        <v>46023</v>
      </c>
      <c r="R2302" s="435"/>
      <c r="S2302" s="435"/>
    </row>
    <row r="2303" spans="1:19" ht="15" customHeight="1" x14ac:dyDescent="0.25">
      <c r="A2303" s="438">
        <v>2300</v>
      </c>
      <c r="B2303" s="479" t="s">
        <v>17</v>
      </c>
      <c r="C2303" s="471" t="s">
        <v>18</v>
      </c>
      <c r="D2303" s="480" t="s">
        <v>2301</v>
      </c>
      <c r="E2303" s="448" t="s">
        <v>4083</v>
      </c>
      <c r="F2303" s="448" t="s">
        <v>4100</v>
      </c>
      <c r="G2303" s="452" t="s">
        <v>3058</v>
      </c>
      <c r="H2303" s="441" t="s">
        <v>896</v>
      </c>
      <c r="I2303" s="474" t="s">
        <v>3459</v>
      </c>
      <c r="J2303" s="474" t="s">
        <v>3464</v>
      </c>
      <c r="K2303" s="443" t="s">
        <v>729</v>
      </c>
      <c r="L2303" s="471">
        <v>1</v>
      </c>
      <c r="M2303" s="452" t="s">
        <v>3810</v>
      </c>
      <c r="N2303" s="463">
        <v>8500</v>
      </c>
      <c r="O2303" s="487">
        <f t="shared" si="9"/>
        <v>8500</v>
      </c>
      <c r="P2303" s="435"/>
      <c r="Q2303" s="477">
        <v>46023</v>
      </c>
      <c r="R2303" s="435"/>
      <c r="S2303" s="435"/>
    </row>
    <row r="2304" spans="1:19" ht="15" customHeight="1" x14ac:dyDescent="0.25">
      <c r="A2304" s="438">
        <v>2301</v>
      </c>
      <c r="B2304" s="479" t="s">
        <v>17</v>
      </c>
      <c r="C2304" s="471" t="s">
        <v>18</v>
      </c>
      <c r="D2304" s="480" t="s">
        <v>2301</v>
      </c>
      <c r="E2304" s="448" t="s">
        <v>4083</v>
      </c>
      <c r="F2304" s="448" t="s">
        <v>4100</v>
      </c>
      <c r="G2304" s="452" t="s">
        <v>3058</v>
      </c>
      <c r="H2304" s="441" t="s">
        <v>896</v>
      </c>
      <c r="I2304" s="474" t="s">
        <v>3459</v>
      </c>
      <c r="J2304" s="474" t="s">
        <v>3464</v>
      </c>
      <c r="K2304" s="443" t="s">
        <v>729</v>
      </c>
      <c r="L2304" s="471">
        <v>1</v>
      </c>
      <c r="M2304" s="452" t="s">
        <v>3811</v>
      </c>
      <c r="N2304" s="463">
        <v>8500</v>
      </c>
      <c r="O2304" s="487">
        <f t="shared" si="9"/>
        <v>8500</v>
      </c>
      <c r="P2304" s="435"/>
      <c r="Q2304" s="477">
        <v>46023</v>
      </c>
      <c r="R2304" s="435"/>
      <c r="S2304" s="435"/>
    </row>
    <row r="2305" spans="1:19" ht="15" customHeight="1" x14ac:dyDescent="0.25">
      <c r="A2305" s="438">
        <v>2302</v>
      </c>
      <c r="B2305" s="479" t="s">
        <v>17</v>
      </c>
      <c r="C2305" s="471" t="s">
        <v>18</v>
      </c>
      <c r="D2305" s="480" t="s">
        <v>2301</v>
      </c>
      <c r="E2305" s="448" t="s">
        <v>4089</v>
      </c>
      <c r="F2305" s="448" t="s">
        <v>4108</v>
      </c>
      <c r="G2305" s="452" t="s">
        <v>2286</v>
      </c>
      <c r="H2305" s="441" t="s">
        <v>523</v>
      </c>
      <c r="I2305" s="474" t="s">
        <v>3459</v>
      </c>
      <c r="J2305" s="474" t="s">
        <v>3464</v>
      </c>
      <c r="K2305" s="443" t="s">
        <v>500</v>
      </c>
      <c r="L2305" s="471">
        <v>1</v>
      </c>
      <c r="M2305" s="452" t="s">
        <v>3100</v>
      </c>
      <c r="N2305" s="463">
        <v>38500</v>
      </c>
      <c r="O2305" s="487">
        <f t="shared" si="9"/>
        <v>38500</v>
      </c>
      <c r="P2305" s="435"/>
      <c r="Q2305" s="477">
        <v>46023</v>
      </c>
      <c r="R2305" s="435"/>
      <c r="S2305" s="435"/>
    </row>
    <row r="2306" spans="1:19" ht="15" customHeight="1" x14ac:dyDescent="0.25">
      <c r="A2306" s="438">
        <v>2303</v>
      </c>
      <c r="B2306" s="479" t="s">
        <v>17</v>
      </c>
      <c r="C2306" s="471" t="s">
        <v>18</v>
      </c>
      <c r="D2306" s="480" t="s">
        <v>2301</v>
      </c>
      <c r="E2306" s="448" t="s">
        <v>4089</v>
      </c>
      <c r="F2306" s="448" t="s">
        <v>4108</v>
      </c>
      <c r="G2306" s="452" t="s">
        <v>3932</v>
      </c>
      <c r="H2306" s="441" t="s">
        <v>3425</v>
      </c>
      <c r="I2306" s="474" t="s">
        <v>3459</v>
      </c>
      <c r="J2306" s="474" t="s">
        <v>3464</v>
      </c>
      <c r="K2306" s="443" t="s">
        <v>518</v>
      </c>
      <c r="L2306" s="471">
        <v>1</v>
      </c>
      <c r="M2306" s="452" t="s">
        <v>3385</v>
      </c>
      <c r="N2306" s="463">
        <v>49990</v>
      </c>
      <c r="O2306" s="487">
        <f t="shared" si="9"/>
        <v>49990</v>
      </c>
      <c r="P2306" s="435"/>
      <c r="Q2306" s="477">
        <v>46023</v>
      </c>
      <c r="R2306" s="435"/>
      <c r="S2306" s="435"/>
    </row>
    <row r="2307" spans="1:19" ht="15" customHeight="1" x14ac:dyDescent="0.25">
      <c r="A2307" s="438">
        <v>2304</v>
      </c>
      <c r="B2307" s="479" t="s">
        <v>17</v>
      </c>
      <c r="C2307" s="471" t="s">
        <v>18</v>
      </c>
      <c r="D2307" s="480" t="s">
        <v>2301</v>
      </c>
      <c r="E2307" s="448" t="s">
        <v>4088</v>
      </c>
      <c r="F2307" s="448" t="s">
        <v>3025</v>
      </c>
      <c r="G2307" s="452" t="s">
        <v>3917</v>
      </c>
      <c r="H2307" s="441" t="s">
        <v>302</v>
      </c>
      <c r="I2307" s="474" t="s">
        <v>3460</v>
      </c>
      <c r="J2307" s="474" t="s">
        <v>3464</v>
      </c>
      <c r="K2307" s="443" t="s">
        <v>276</v>
      </c>
      <c r="L2307" s="471">
        <v>1</v>
      </c>
      <c r="M2307" s="452" t="s">
        <v>3812</v>
      </c>
      <c r="N2307" s="463">
        <v>49000</v>
      </c>
      <c r="O2307" s="487">
        <f t="shared" si="9"/>
        <v>49000</v>
      </c>
      <c r="P2307" s="435"/>
      <c r="Q2307" s="477">
        <v>46023</v>
      </c>
      <c r="R2307" s="435"/>
      <c r="S2307" s="435"/>
    </row>
    <row r="2308" spans="1:19" ht="15" customHeight="1" x14ac:dyDescent="0.25">
      <c r="A2308" s="438">
        <v>2305</v>
      </c>
      <c r="B2308" s="479" t="s">
        <v>17</v>
      </c>
      <c r="C2308" s="471" t="s">
        <v>18</v>
      </c>
      <c r="D2308" s="480" t="s">
        <v>2301</v>
      </c>
      <c r="E2308" s="448" t="s">
        <v>3249</v>
      </c>
      <c r="F2308" s="448" t="s">
        <v>3249</v>
      </c>
      <c r="G2308" s="452" t="s">
        <v>4001</v>
      </c>
      <c r="H2308" s="441" t="s">
        <v>3426</v>
      </c>
      <c r="I2308" s="474" t="s">
        <v>3457</v>
      </c>
      <c r="J2308" s="474" t="s">
        <v>3464</v>
      </c>
      <c r="K2308" s="443" t="s">
        <v>1362</v>
      </c>
      <c r="L2308" s="471">
        <v>1</v>
      </c>
      <c r="M2308" s="452" t="s">
        <v>3813</v>
      </c>
      <c r="N2308" s="463">
        <v>5200</v>
      </c>
      <c r="O2308" s="487">
        <f t="shared" si="9"/>
        <v>5200</v>
      </c>
      <c r="P2308" s="435"/>
      <c r="Q2308" s="477">
        <v>46023</v>
      </c>
      <c r="R2308" s="435"/>
      <c r="S2308" s="435"/>
    </row>
    <row r="2309" spans="1:19" ht="15" customHeight="1" x14ac:dyDescent="0.25">
      <c r="A2309" s="438">
        <v>2306</v>
      </c>
      <c r="B2309" s="479" t="s">
        <v>17</v>
      </c>
      <c r="C2309" s="471" t="s">
        <v>18</v>
      </c>
      <c r="D2309" s="480" t="s">
        <v>2301</v>
      </c>
      <c r="E2309" s="448" t="s">
        <v>4086</v>
      </c>
      <c r="F2309" s="448" t="s">
        <v>4125</v>
      </c>
      <c r="G2309" s="452" t="s">
        <v>3045</v>
      </c>
      <c r="H2309" s="441" t="s">
        <v>1591</v>
      </c>
      <c r="I2309" s="474" t="s">
        <v>3457</v>
      </c>
      <c r="J2309" s="474" t="s">
        <v>3464</v>
      </c>
      <c r="K2309" s="443" t="s">
        <v>1592</v>
      </c>
      <c r="L2309" s="471">
        <v>1</v>
      </c>
      <c r="M2309" s="452" t="s">
        <v>3098</v>
      </c>
      <c r="N2309" s="463">
        <v>3900</v>
      </c>
      <c r="O2309" s="487">
        <f t="shared" si="9"/>
        <v>3900</v>
      </c>
      <c r="P2309" s="435"/>
      <c r="Q2309" s="477">
        <v>46023</v>
      </c>
      <c r="R2309" s="435"/>
      <c r="S2309" s="435"/>
    </row>
    <row r="2310" spans="1:19" ht="15" customHeight="1" x14ac:dyDescent="0.25">
      <c r="A2310" s="438">
        <v>2307</v>
      </c>
      <c r="B2310" s="479" t="s">
        <v>17</v>
      </c>
      <c r="C2310" s="471" t="s">
        <v>18</v>
      </c>
      <c r="D2310" s="480" t="s">
        <v>2301</v>
      </c>
      <c r="E2310" s="448" t="s">
        <v>4087</v>
      </c>
      <c r="F2310" s="448" t="s">
        <v>4103</v>
      </c>
      <c r="G2310" s="452" t="s">
        <v>3045</v>
      </c>
      <c r="H2310" s="441" t="s">
        <v>1591</v>
      </c>
      <c r="I2310" s="474" t="s">
        <v>3457</v>
      </c>
      <c r="J2310" s="474" t="s">
        <v>3464</v>
      </c>
      <c r="K2310" s="443" t="s">
        <v>1592</v>
      </c>
      <c r="L2310" s="471">
        <v>1</v>
      </c>
      <c r="M2310" s="452" t="s">
        <v>3814</v>
      </c>
      <c r="N2310" s="463">
        <v>3900</v>
      </c>
      <c r="O2310" s="487">
        <f t="shared" ref="O2310:O2373" si="10">N2310*L2310</f>
        <v>3900</v>
      </c>
      <c r="P2310" s="435"/>
      <c r="Q2310" s="477">
        <v>46023</v>
      </c>
      <c r="R2310" s="435"/>
      <c r="S2310" s="435"/>
    </row>
    <row r="2311" spans="1:19" ht="15" customHeight="1" x14ac:dyDescent="0.25">
      <c r="A2311" s="438">
        <v>2308</v>
      </c>
      <c r="B2311" s="479" t="s">
        <v>17</v>
      </c>
      <c r="C2311" s="471" t="s">
        <v>18</v>
      </c>
      <c r="D2311" s="480" t="s">
        <v>2301</v>
      </c>
      <c r="E2311" s="448" t="s">
        <v>4086</v>
      </c>
      <c r="F2311" s="448" t="s">
        <v>4114</v>
      </c>
      <c r="G2311" s="452" t="s">
        <v>3045</v>
      </c>
      <c r="H2311" s="441" t="s">
        <v>1591</v>
      </c>
      <c r="I2311" s="474" t="s">
        <v>3457</v>
      </c>
      <c r="J2311" s="474" t="s">
        <v>3464</v>
      </c>
      <c r="K2311" s="443" t="s">
        <v>1592</v>
      </c>
      <c r="L2311" s="471">
        <v>1</v>
      </c>
      <c r="M2311" s="452" t="s">
        <v>3815</v>
      </c>
      <c r="N2311" s="463">
        <v>3900</v>
      </c>
      <c r="O2311" s="487">
        <f t="shared" si="10"/>
        <v>3900</v>
      </c>
      <c r="P2311" s="435"/>
      <c r="Q2311" s="477">
        <v>46023</v>
      </c>
      <c r="R2311" s="435"/>
      <c r="S2311" s="435"/>
    </row>
    <row r="2312" spans="1:19" ht="15" customHeight="1" x14ac:dyDescent="0.25">
      <c r="A2312" s="438">
        <v>2309</v>
      </c>
      <c r="B2312" s="479" t="s">
        <v>17</v>
      </c>
      <c r="C2312" s="471" t="s">
        <v>18</v>
      </c>
      <c r="D2312" s="480" t="s">
        <v>2301</v>
      </c>
      <c r="E2312" s="448" t="s">
        <v>4085</v>
      </c>
      <c r="F2312" s="448" t="s">
        <v>3026</v>
      </c>
      <c r="G2312" s="452" t="s">
        <v>3045</v>
      </c>
      <c r="H2312" s="441" t="s">
        <v>1591</v>
      </c>
      <c r="I2312" s="474" t="s">
        <v>3457</v>
      </c>
      <c r="J2312" s="474" t="s">
        <v>3464</v>
      </c>
      <c r="K2312" s="443" t="s">
        <v>1592</v>
      </c>
      <c r="L2312" s="471">
        <v>1</v>
      </c>
      <c r="M2312" s="452" t="s">
        <v>3314</v>
      </c>
      <c r="N2312" s="463">
        <v>3900</v>
      </c>
      <c r="O2312" s="487">
        <f t="shared" si="10"/>
        <v>3900</v>
      </c>
      <c r="P2312" s="435"/>
      <c r="Q2312" s="477">
        <v>46023</v>
      </c>
      <c r="R2312" s="435"/>
      <c r="S2312" s="435"/>
    </row>
    <row r="2313" spans="1:19" ht="15" customHeight="1" x14ac:dyDescent="0.25">
      <c r="A2313" s="438">
        <v>2310</v>
      </c>
      <c r="B2313" s="479" t="s">
        <v>17</v>
      </c>
      <c r="C2313" s="471" t="s">
        <v>18</v>
      </c>
      <c r="D2313" s="480" t="s">
        <v>2301</v>
      </c>
      <c r="E2313" s="448" t="s">
        <v>4085</v>
      </c>
      <c r="F2313" s="448" t="s">
        <v>2982</v>
      </c>
      <c r="G2313" s="452" t="s">
        <v>3045</v>
      </c>
      <c r="H2313" s="441" t="s">
        <v>1591</v>
      </c>
      <c r="I2313" s="474" t="s">
        <v>3457</v>
      </c>
      <c r="J2313" s="474" t="s">
        <v>3464</v>
      </c>
      <c r="K2313" s="443" t="s">
        <v>1592</v>
      </c>
      <c r="L2313" s="471">
        <v>1</v>
      </c>
      <c r="M2313" s="452" t="s">
        <v>2898</v>
      </c>
      <c r="N2313" s="463">
        <v>3900</v>
      </c>
      <c r="O2313" s="487">
        <f t="shared" si="10"/>
        <v>3900</v>
      </c>
      <c r="P2313" s="435"/>
      <c r="Q2313" s="477">
        <v>46023</v>
      </c>
      <c r="R2313" s="435"/>
      <c r="S2313" s="435"/>
    </row>
    <row r="2314" spans="1:19" ht="15" customHeight="1" x14ac:dyDescent="0.25">
      <c r="A2314" s="438">
        <v>2311</v>
      </c>
      <c r="B2314" s="479" t="s">
        <v>17</v>
      </c>
      <c r="C2314" s="471" t="s">
        <v>18</v>
      </c>
      <c r="D2314" s="480" t="s">
        <v>2301</v>
      </c>
      <c r="E2314" s="448" t="s">
        <v>4088</v>
      </c>
      <c r="F2314" s="448" t="s">
        <v>3049</v>
      </c>
      <c r="G2314" s="452" t="s">
        <v>3955</v>
      </c>
      <c r="H2314" s="441" t="s">
        <v>3029</v>
      </c>
      <c r="I2314" s="474" t="s">
        <v>3459</v>
      </c>
      <c r="J2314" s="474" t="s">
        <v>3463</v>
      </c>
      <c r="K2314" s="443" t="s">
        <v>940</v>
      </c>
      <c r="L2314" s="471">
        <v>1</v>
      </c>
      <c r="M2314" s="452" t="s">
        <v>3816</v>
      </c>
      <c r="N2314" s="463">
        <v>1700</v>
      </c>
      <c r="O2314" s="487">
        <f t="shared" si="10"/>
        <v>1700</v>
      </c>
      <c r="P2314" s="435"/>
      <c r="Q2314" s="477">
        <v>46023</v>
      </c>
      <c r="R2314" s="435"/>
      <c r="S2314" s="435"/>
    </row>
    <row r="2315" spans="1:19" ht="15" customHeight="1" x14ac:dyDescent="0.25">
      <c r="A2315" s="438">
        <v>2312</v>
      </c>
      <c r="B2315" s="479" t="s">
        <v>17</v>
      </c>
      <c r="C2315" s="471" t="s">
        <v>18</v>
      </c>
      <c r="D2315" s="480" t="s">
        <v>2301</v>
      </c>
      <c r="E2315" s="448" t="s">
        <v>4088</v>
      </c>
      <c r="F2315" s="448" t="s">
        <v>4104</v>
      </c>
      <c r="G2315" s="452" t="s">
        <v>3955</v>
      </c>
      <c r="H2315" s="441" t="s">
        <v>3029</v>
      </c>
      <c r="I2315" s="474" t="s">
        <v>3459</v>
      </c>
      <c r="J2315" s="474" t="s">
        <v>3463</v>
      </c>
      <c r="K2315" s="443" t="s">
        <v>940</v>
      </c>
      <c r="L2315" s="471">
        <v>1</v>
      </c>
      <c r="M2315" s="452" t="s">
        <v>3817</v>
      </c>
      <c r="N2315" s="463">
        <v>1700</v>
      </c>
      <c r="O2315" s="487">
        <f t="shared" si="10"/>
        <v>1700</v>
      </c>
      <c r="P2315" s="435"/>
      <c r="Q2315" s="477">
        <v>46023</v>
      </c>
      <c r="R2315" s="435"/>
      <c r="S2315" s="435"/>
    </row>
    <row r="2316" spans="1:19" ht="15" customHeight="1" x14ac:dyDescent="0.25">
      <c r="A2316" s="438">
        <v>2313</v>
      </c>
      <c r="B2316" s="479" t="s">
        <v>17</v>
      </c>
      <c r="C2316" s="471" t="s">
        <v>18</v>
      </c>
      <c r="D2316" s="480" t="s">
        <v>2301</v>
      </c>
      <c r="E2316" s="448" t="s">
        <v>4088</v>
      </c>
      <c r="F2316" s="448" t="s">
        <v>4106</v>
      </c>
      <c r="G2316" s="452" t="s">
        <v>3955</v>
      </c>
      <c r="H2316" s="441" t="s">
        <v>3029</v>
      </c>
      <c r="I2316" s="474" t="s">
        <v>3459</v>
      </c>
      <c r="J2316" s="474" t="s">
        <v>3463</v>
      </c>
      <c r="K2316" s="443" t="s">
        <v>940</v>
      </c>
      <c r="L2316" s="471">
        <v>1</v>
      </c>
      <c r="M2316" s="452" t="s">
        <v>3818</v>
      </c>
      <c r="N2316" s="463">
        <v>1700</v>
      </c>
      <c r="O2316" s="487">
        <f t="shared" si="10"/>
        <v>1700</v>
      </c>
      <c r="P2316" s="435"/>
      <c r="Q2316" s="477">
        <v>46023</v>
      </c>
      <c r="R2316" s="435"/>
      <c r="S2316" s="435"/>
    </row>
    <row r="2317" spans="1:19" ht="15" customHeight="1" x14ac:dyDescent="0.25">
      <c r="A2317" s="438">
        <v>2314</v>
      </c>
      <c r="B2317" s="479" t="s">
        <v>17</v>
      </c>
      <c r="C2317" s="471" t="s">
        <v>18</v>
      </c>
      <c r="D2317" s="480" t="s">
        <v>2301</v>
      </c>
      <c r="E2317" s="448" t="s">
        <v>4088</v>
      </c>
      <c r="F2317" s="448" t="s">
        <v>3025</v>
      </c>
      <c r="G2317" s="452" t="s">
        <v>3955</v>
      </c>
      <c r="H2317" s="441" t="s">
        <v>3029</v>
      </c>
      <c r="I2317" s="474" t="s">
        <v>3459</v>
      </c>
      <c r="J2317" s="474" t="s">
        <v>3463</v>
      </c>
      <c r="K2317" s="443" t="s">
        <v>940</v>
      </c>
      <c r="L2317" s="471">
        <v>1</v>
      </c>
      <c r="M2317" s="452" t="s">
        <v>3819</v>
      </c>
      <c r="N2317" s="463">
        <v>1700</v>
      </c>
      <c r="O2317" s="487">
        <f t="shared" si="10"/>
        <v>1700</v>
      </c>
      <c r="P2317" s="435"/>
      <c r="Q2317" s="477">
        <v>46023</v>
      </c>
      <c r="R2317" s="435"/>
      <c r="S2317" s="435"/>
    </row>
    <row r="2318" spans="1:19" ht="15" customHeight="1" x14ac:dyDescent="0.25">
      <c r="A2318" s="438">
        <v>2315</v>
      </c>
      <c r="B2318" s="479" t="s">
        <v>17</v>
      </c>
      <c r="C2318" s="471" t="s">
        <v>18</v>
      </c>
      <c r="D2318" s="480" t="s">
        <v>2301</v>
      </c>
      <c r="E2318" s="448" t="s">
        <v>4088</v>
      </c>
      <c r="F2318" s="448" t="s">
        <v>3025</v>
      </c>
      <c r="G2318" s="452" t="s">
        <v>3955</v>
      </c>
      <c r="H2318" s="441" t="s">
        <v>3029</v>
      </c>
      <c r="I2318" s="474" t="s">
        <v>3459</v>
      </c>
      <c r="J2318" s="474" t="s">
        <v>3463</v>
      </c>
      <c r="K2318" s="443" t="s">
        <v>940</v>
      </c>
      <c r="L2318" s="471">
        <v>1</v>
      </c>
      <c r="M2318" s="452" t="s">
        <v>3820</v>
      </c>
      <c r="N2318" s="463">
        <v>1700</v>
      </c>
      <c r="O2318" s="487">
        <f t="shared" si="10"/>
        <v>1700</v>
      </c>
      <c r="P2318" s="435"/>
      <c r="Q2318" s="477">
        <v>46023</v>
      </c>
      <c r="R2318" s="435"/>
      <c r="S2318" s="435"/>
    </row>
    <row r="2319" spans="1:19" ht="15" customHeight="1" x14ac:dyDescent="0.25">
      <c r="A2319" s="438">
        <v>2316</v>
      </c>
      <c r="B2319" s="479" t="s">
        <v>17</v>
      </c>
      <c r="C2319" s="471" t="s">
        <v>18</v>
      </c>
      <c r="D2319" s="480" t="s">
        <v>2301</v>
      </c>
      <c r="E2319" s="448" t="s">
        <v>4088</v>
      </c>
      <c r="F2319" s="448" t="s">
        <v>2985</v>
      </c>
      <c r="G2319" s="452" t="s">
        <v>3955</v>
      </c>
      <c r="H2319" s="441" t="s">
        <v>3029</v>
      </c>
      <c r="I2319" s="474" t="s">
        <v>3459</v>
      </c>
      <c r="J2319" s="474" t="s">
        <v>3463</v>
      </c>
      <c r="K2319" s="443" t="s">
        <v>940</v>
      </c>
      <c r="L2319" s="471">
        <v>1</v>
      </c>
      <c r="M2319" s="452" t="s">
        <v>3042</v>
      </c>
      <c r="N2319" s="463">
        <v>1700</v>
      </c>
      <c r="O2319" s="487">
        <f t="shared" si="10"/>
        <v>1700</v>
      </c>
      <c r="P2319" s="435"/>
      <c r="Q2319" s="477">
        <v>46023</v>
      </c>
      <c r="R2319" s="435"/>
      <c r="S2319" s="435"/>
    </row>
    <row r="2320" spans="1:19" ht="15" customHeight="1" x14ac:dyDescent="0.25">
      <c r="A2320" s="438">
        <v>2317</v>
      </c>
      <c r="B2320" s="479" t="s">
        <v>17</v>
      </c>
      <c r="C2320" s="471" t="s">
        <v>18</v>
      </c>
      <c r="D2320" s="480" t="s">
        <v>2301</v>
      </c>
      <c r="E2320" s="448" t="s">
        <v>4088</v>
      </c>
      <c r="F2320" s="448" t="s">
        <v>3049</v>
      </c>
      <c r="G2320" s="452" t="s">
        <v>3955</v>
      </c>
      <c r="H2320" s="441" t="s">
        <v>3029</v>
      </c>
      <c r="I2320" s="474" t="s">
        <v>3459</v>
      </c>
      <c r="J2320" s="474" t="s">
        <v>3463</v>
      </c>
      <c r="K2320" s="443" t="s">
        <v>940</v>
      </c>
      <c r="L2320" s="471">
        <v>1</v>
      </c>
      <c r="M2320" s="452" t="s">
        <v>3821</v>
      </c>
      <c r="N2320" s="463">
        <v>1700</v>
      </c>
      <c r="O2320" s="487">
        <f t="shared" si="10"/>
        <v>1700</v>
      </c>
      <c r="P2320" s="435"/>
      <c r="Q2320" s="477">
        <v>46023</v>
      </c>
      <c r="R2320" s="435"/>
      <c r="S2320" s="435"/>
    </row>
    <row r="2321" spans="1:19" ht="15" customHeight="1" x14ac:dyDescent="0.25">
      <c r="A2321" s="438">
        <v>2318</v>
      </c>
      <c r="B2321" s="479" t="s">
        <v>17</v>
      </c>
      <c r="C2321" s="471" t="s">
        <v>18</v>
      </c>
      <c r="D2321" s="480" t="s">
        <v>2301</v>
      </c>
      <c r="E2321" s="448" t="s">
        <v>4088</v>
      </c>
      <c r="F2321" s="448" t="s">
        <v>4105</v>
      </c>
      <c r="G2321" s="452" t="s">
        <v>3955</v>
      </c>
      <c r="H2321" s="441" t="s">
        <v>3029</v>
      </c>
      <c r="I2321" s="474" t="s">
        <v>3459</v>
      </c>
      <c r="J2321" s="474" t="s">
        <v>3463</v>
      </c>
      <c r="K2321" s="443" t="s">
        <v>940</v>
      </c>
      <c r="L2321" s="471">
        <v>1</v>
      </c>
      <c r="M2321" s="452" t="s">
        <v>3028</v>
      </c>
      <c r="N2321" s="463">
        <v>1700</v>
      </c>
      <c r="O2321" s="487">
        <f t="shared" si="10"/>
        <v>1700</v>
      </c>
      <c r="P2321" s="435"/>
      <c r="Q2321" s="477">
        <v>46023</v>
      </c>
      <c r="R2321" s="435"/>
      <c r="S2321" s="435"/>
    </row>
    <row r="2322" spans="1:19" ht="15" customHeight="1" x14ac:dyDescent="0.25">
      <c r="A2322" s="438">
        <v>2319</v>
      </c>
      <c r="B2322" s="479" t="s">
        <v>17</v>
      </c>
      <c r="C2322" s="471" t="s">
        <v>18</v>
      </c>
      <c r="D2322" s="480" t="s">
        <v>2301</v>
      </c>
      <c r="E2322" s="448" t="s">
        <v>4088</v>
      </c>
      <c r="F2322" s="448" t="s">
        <v>4106</v>
      </c>
      <c r="G2322" s="452" t="s">
        <v>3955</v>
      </c>
      <c r="H2322" s="441" t="s">
        <v>3029</v>
      </c>
      <c r="I2322" s="474" t="s">
        <v>3459</v>
      </c>
      <c r="J2322" s="474" t="s">
        <v>3463</v>
      </c>
      <c r="K2322" s="443" t="s">
        <v>940</v>
      </c>
      <c r="L2322" s="471">
        <v>1</v>
      </c>
      <c r="M2322" s="452" t="s">
        <v>3822</v>
      </c>
      <c r="N2322" s="463">
        <v>1700</v>
      </c>
      <c r="O2322" s="487">
        <f t="shared" si="10"/>
        <v>1700</v>
      </c>
      <c r="P2322" s="435"/>
      <c r="Q2322" s="477">
        <v>46023</v>
      </c>
      <c r="R2322" s="435"/>
      <c r="S2322" s="435"/>
    </row>
    <row r="2323" spans="1:19" ht="15" customHeight="1" x14ac:dyDescent="0.25">
      <c r="A2323" s="438">
        <v>2320</v>
      </c>
      <c r="B2323" s="479" t="s">
        <v>17</v>
      </c>
      <c r="C2323" s="471" t="s">
        <v>18</v>
      </c>
      <c r="D2323" s="480" t="s">
        <v>2301</v>
      </c>
      <c r="E2323" s="448" t="s">
        <v>4088</v>
      </c>
      <c r="F2323" s="448" t="s">
        <v>3025</v>
      </c>
      <c r="G2323" s="452" t="s">
        <v>3955</v>
      </c>
      <c r="H2323" s="441" t="s">
        <v>3029</v>
      </c>
      <c r="I2323" s="474" t="s">
        <v>3459</v>
      </c>
      <c r="J2323" s="474" t="s">
        <v>3463</v>
      </c>
      <c r="K2323" s="443" t="s">
        <v>940</v>
      </c>
      <c r="L2323" s="471">
        <v>1</v>
      </c>
      <c r="M2323" s="452" t="s">
        <v>3823</v>
      </c>
      <c r="N2323" s="463">
        <v>1700</v>
      </c>
      <c r="O2323" s="487">
        <f t="shared" si="10"/>
        <v>1700</v>
      </c>
      <c r="P2323" s="435"/>
      <c r="Q2323" s="477">
        <v>46023</v>
      </c>
      <c r="R2323" s="435"/>
      <c r="S2323" s="435"/>
    </row>
    <row r="2324" spans="1:19" ht="15" customHeight="1" x14ac:dyDescent="0.25">
      <c r="A2324" s="438">
        <v>2321</v>
      </c>
      <c r="B2324" s="479" t="s">
        <v>17</v>
      </c>
      <c r="C2324" s="471" t="s">
        <v>18</v>
      </c>
      <c r="D2324" s="480" t="s">
        <v>2301</v>
      </c>
      <c r="E2324" s="448" t="s">
        <v>4085</v>
      </c>
      <c r="F2324" s="448" t="s">
        <v>2985</v>
      </c>
      <c r="G2324" s="452" t="s">
        <v>4043</v>
      </c>
      <c r="H2324" s="441" t="s">
        <v>3427</v>
      </c>
      <c r="I2324" s="474" t="s">
        <v>3457</v>
      </c>
      <c r="J2324" s="474" t="s">
        <v>3464</v>
      </c>
      <c r="K2324" s="443" t="s">
        <v>2220</v>
      </c>
      <c r="L2324" s="471">
        <v>1</v>
      </c>
      <c r="M2324" s="452" t="s">
        <v>3824</v>
      </c>
      <c r="N2324" s="463">
        <v>198250.34</v>
      </c>
      <c r="O2324" s="487">
        <f t="shared" si="10"/>
        <v>198250.34</v>
      </c>
      <c r="P2324" s="435"/>
      <c r="Q2324" s="477">
        <v>46023</v>
      </c>
      <c r="R2324" s="435"/>
      <c r="S2324" s="435"/>
    </row>
    <row r="2325" spans="1:19" ht="15" customHeight="1" x14ac:dyDescent="0.25">
      <c r="A2325" s="438">
        <v>2322</v>
      </c>
      <c r="B2325" s="479" t="s">
        <v>17</v>
      </c>
      <c r="C2325" s="471" t="s">
        <v>18</v>
      </c>
      <c r="D2325" s="480" t="s">
        <v>2301</v>
      </c>
      <c r="E2325" s="448" t="s">
        <v>4089</v>
      </c>
      <c r="F2325" s="448" t="s">
        <v>4108</v>
      </c>
      <c r="G2325" s="452" t="s">
        <v>4027</v>
      </c>
      <c r="H2325" s="441" t="s">
        <v>3428</v>
      </c>
      <c r="I2325" s="474" t="s">
        <v>3457</v>
      </c>
      <c r="J2325" s="474" t="s">
        <v>3465</v>
      </c>
      <c r="K2325" s="443" t="s">
        <v>2050</v>
      </c>
      <c r="L2325" s="471">
        <v>1</v>
      </c>
      <c r="M2325" s="452" t="s">
        <v>3825</v>
      </c>
      <c r="N2325" s="463">
        <v>125347</v>
      </c>
      <c r="O2325" s="487">
        <f t="shared" si="10"/>
        <v>125347</v>
      </c>
      <c r="P2325" s="435"/>
      <c r="Q2325" s="477">
        <v>46023</v>
      </c>
      <c r="R2325" s="435"/>
      <c r="S2325" s="435"/>
    </row>
    <row r="2326" spans="1:19" ht="15" customHeight="1" x14ac:dyDescent="0.25">
      <c r="A2326" s="438">
        <v>2323</v>
      </c>
      <c r="B2326" s="479" t="s">
        <v>17</v>
      </c>
      <c r="C2326" s="471" t="s">
        <v>18</v>
      </c>
      <c r="D2326" s="480" t="s">
        <v>2301</v>
      </c>
      <c r="E2326" s="448" t="s">
        <v>4083</v>
      </c>
      <c r="F2326" s="448" t="s">
        <v>4100</v>
      </c>
      <c r="G2326" s="452" t="s">
        <v>4030</v>
      </c>
      <c r="H2326" s="441" t="s">
        <v>2064</v>
      </c>
      <c r="I2326" s="474" t="s">
        <v>3457</v>
      </c>
      <c r="J2326" s="474" t="s">
        <v>3464</v>
      </c>
      <c r="K2326" s="443" t="s">
        <v>2065</v>
      </c>
      <c r="L2326" s="471">
        <v>1</v>
      </c>
      <c r="M2326" s="452" t="s">
        <v>3826</v>
      </c>
      <c r="N2326" s="463">
        <v>21000</v>
      </c>
      <c r="O2326" s="487">
        <f t="shared" si="10"/>
        <v>21000</v>
      </c>
      <c r="P2326" s="435"/>
      <c r="Q2326" s="477">
        <v>46023</v>
      </c>
      <c r="R2326" s="435"/>
      <c r="S2326" s="435"/>
    </row>
    <row r="2327" spans="1:19" ht="15" customHeight="1" x14ac:dyDescent="0.25">
      <c r="A2327" s="438">
        <v>2324</v>
      </c>
      <c r="B2327" s="479" t="s">
        <v>17</v>
      </c>
      <c r="C2327" s="471" t="s">
        <v>18</v>
      </c>
      <c r="D2327" s="480" t="s">
        <v>2301</v>
      </c>
      <c r="E2327" s="448" t="s">
        <v>4083</v>
      </c>
      <c r="F2327" s="448" t="s">
        <v>4100</v>
      </c>
      <c r="G2327" s="452" t="s">
        <v>4030</v>
      </c>
      <c r="H2327" s="441" t="s">
        <v>2064</v>
      </c>
      <c r="I2327" s="474" t="s">
        <v>3457</v>
      </c>
      <c r="J2327" s="474" t="s">
        <v>3464</v>
      </c>
      <c r="K2327" s="443" t="s">
        <v>2065</v>
      </c>
      <c r="L2327" s="471">
        <v>1</v>
      </c>
      <c r="M2327" s="452" t="s">
        <v>3827</v>
      </c>
      <c r="N2327" s="463">
        <v>21000</v>
      </c>
      <c r="O2327" s="487">
        <f t="shared" si="10"/>
        <v>21000</v>
      </c>
      <c r="P2327" s="435"/>
      <c r="Q2327" s="477">
        <v>46023</v>
      </c>
      <c r="R2327" s="435"/>
      <c r="S2327" s="435"/>
    </row>
    <row r="2328" spans="1:19" ht="15" customHeight="1" x14ac:dyDescent="0.25">
      <c r="A2328" s="438">
        <v>2325</v>
      </c>
      <c r="B2328" s="479" t="s">
        <v>17</v>
      </c>
      <c r="C2328" s="471" t="s">
        <v>18</v>
      </c>
      <c r="D2328" s="480" t="s">
        <v>2301</v>
      </c>
      <c r="E2328" s="448" t="s">
        <v>4083</v>
      </c>
      <c r="F2328" s="448" t="s">
        <v>2988</v>
      </c>
      <c r="G2328" s="452" t="s">
        <v>3066</v>
      </c>
      <c r="H2328" s="441" t="s">
        <v>3429</v>
      </c>
      <c r="I2328" s="474" t="s">
        <v>3457</v>
      </c>
      <c r="J2328" s="474" t="s">
        <v>3464</v>
      </c>
      <c r="K2328" s="443" t="s">
        <v>1524</v>
      </c>
      <c r="L2328" s="471">
        <v>1</v>
      </c>
      <c r="M2328" s="452" t="s">
        <v>2885</v>
      </c>
      <c r="N2328" s="463">
        <v>58000</v>
      </c>
      <c r="O2328" s="487">
        <f t="shared" si="10"/>
        <v>58000</v>
      </c>
      <c r="P2328" s="435"/>
      <c r="Q2328" s="477">
        <v>46023</v>
      </c>
      <c r="R2328" s="435"/>
      <c r="S2328" s="435"/>
    </row>
    <row r="2329" spans="1:19" ht="15" customHeight="1" x14ac:dyDescent="0.25">
      <c r="A2329" s="438">
        <v>2326</v>
      </c>
      <c r="B2329" s="479" t="s">
        <v>17</v>
      </c>
      <c r="C2329" s="471" t="s">
        <v>18</v>
      </c>
      <c r="D2329" s="480" t="s">
        <v>2301</v>
      </c>
      <c r="E2329" s="448" t="s">
        <v>4086</v>
      </c>
      <c r="F2329" s="448" t="s">
        <v>4125</v>
      </c>
      <c r="G2329" s="452" t="s">
        <v>3957</v>
      </c>
      <c r="H2329" s="441" t="s">
        <v>950</v>
      </c>
      <c r="I2329" s="474" t="s">
        <v>3459</v>
      </c>
      <c r="J2329" s="474" t="s">
        <v>3463</v>
      </c>
      <c r="K2329" s="443" t="s">
        <v>951</v>
      </c>
      <c r="L2329" s="471">
        <v>1</v>
      </c>
      <c r="M2329" s="452" t="s">
        <v>3828</v>
      </c>
      <c r="N2329" s="463">
        <v>1250</v>
      </c>
      <c r="O2329" s="487">
        <f t="shared" si="10"/>
        <v>1250</v>
      </c>
      <c r="P2329" s="435"/>
      <c r="Q2329" s="477">
        <v>46023</v>
      </c>
      <c r="R2329" s="435"/>
      <c r="S2329" s="435"/>
    </row>
    <row r="2330" spans="1:19" ht="15" customHeight="1" x14ac:dyDescent="0.25">
      <c r="A2330" s="438">
        <v>2327</v>
      </c>
      <c r="B2330" s="479" t="s">
        <v>17</v>
      </c>
      <c r="C2330" s="471" t="s">
        <v>18</v>
      </c>
      <c r="D2330" s="480" t="s">
        <v>2301</v>
      </c>
      <c r="E2330" s="448" t="s">
        <v>4088</v>
      </c>
      <c r="F2330" s="448" t="s">
        <v>4104</v>
      </c>
      <c r="G2330" s="452" t="s">
        <v>4012</v>
      </c>
      <c r="H2330" s="441" t="s">
        <v>3430</v>
      </c>
      <c r="I2330" s="474" t="s">
        <v>3457</v>
      </c>
      <c r="J2330" s="474" t="s">
        <v>3464</v>
      </c>
      <c r="K2330" s="443" t="s">
        <v>1542</v>
      </c>
      <c r="L2330" s="471">
        <v>1</v>
      </c>
      <c r="M2330" s="452" t="s">
        <v>3829</v>
      </c>
      <c r="N2330" s="463">
        <v>24000</v>
      </c>
      <c r="O2330" s="487">
        <f t="shared" si="10"/>
        <v>24000</v>
      </c>
      <c r="P2330" s="435"/>
      <c r="Q2330" s="477">
        <v>46023</v>
      </c>
      <c r="R2330" s="435"/>
      <c r="S2330" s="435"/>
    </row>
    <row r="2331" spans="1:19" ht="15" customHeight="1" x14ac:dyDescent="0.25">
      <c r="A2331" s="438">
        <v>2328</v>
      </c>
      <c r="B2331" s="479" t="s">
        <v>17</v>
      </c>
      <c r="C2331" s="471" t="s">
        <v>18</v>
      </c>
      <c r="D2331" s="480" t="s">
        <v>2301</v>
      </c>
      <c r="E2331" s="448" t="s">
        <v>4080</v>
      </c>
      <c r="F2331" s="448" t="s">
        <v>4080</v>
      </c>
      <c r="G2331" s="452" t="s">
        <v>4014</v>
      </c>
      <c r="H2331" s="441" t="s">
        <v>1570</v>
      </c>
      <c r="I2331" s="474" t="s">
        <v>3457</v>
      </c>
      <c r="J2331" s="474" t="s">
        <v>3464</v>
      </c>
      <c r="K2331" s="443" t="s">
        <v>1574</v>
      </c>
      <c r="L2331" s="471">
        <v>1</v>
      </c>
      <c r="M2331" s="452" t="s">
        <v>3830</v>
      </c>
      <c r="N2331" s="463">
        <v>18600</v>
      </c>
      <c r="O2331" s="487">
        <f t="shared" si="10"/>
        <v>18600</v>
      </c>
      <c r="P2331" s="435"/>
      <c r="Q2331" s="477">
        <v>46023</v>
      </c>
      <c r="R2331" s="435"/>
      <c r="S2331" s="435"/>
    </row>
    <row r="2332" spans="1:19" ht="15" customHeight="1" x14ac:dyDescent="0.25">
      <c r="A2332" s="438">
        <v>2329</v>
      </c>
      <c r="B2332" s="479" t="s">
        <v>17</v>
      </c>
      <c r="C2332" s="471" t="s">
        <v>18</v>
      </c>
      <c r="D2332" s="480" t="s">
        <v>2301</v>
      </c>
      <c r="E2332" s="448" t="s">
        <v>4088</v>
      </c>
      <c r="F2332" s="448" t="s">
        <v>3025</v>
      </c>
      <c r="G2332" s="452" t="s">
        <v>3065</v>
      </c>
      <c r="H2332" s="441" t="s">
        <v>2349</v>
      </c>
      <c r="I2332" s="474" t="s">
        <v>3459</v>
      </c>
      <c r="J2332" s="474" t="s">
        <v>3464</v>
      </c>
      <c r="K2332" s="443" t="s">
        <v>349</v>
      </c>
      <c r="L2332" s="471">
        <v>1</v>
      </c>
      <c r="M2332" s="452" t="s">
        <v>3831</v>
      </c>
      <c r="N2332" s="463">
        <v>4850</v>
      </c>
      <c r="O2332" s="487">
        <f t="shared" si="10"/>
        <v>4850</v>
      </c>
      <c r="P2332" s="435"/>
      <c r="Q2332" s="477">
        <v>46023</v>
      </c>
      <c r="R2332" s="435"/>
      <c r="S2332" s="435"/>
    </row>
    <row r="2333" spans="1:19" ht="15" customHeight="1" x14ac:dyDescent="0.25">
      <c r="A2333" s="438">
        <v>2330</v>
      </c>
      <c r="B2333" s="479" t="s">
        <v>17</v>
      </c>
      <c r="C2333" s="471" t="s">
        <v>18</v>
      </c>
      <c r="D2333" s="480" t="s">
        <v>2301</v>
      </c>
      <c r="E2333" s="448" t="s">
        <v>4088</v>
      </c>
      <c r="F2333" s="448" t="s">
        <v>3025</v>
      </c>
      <c r="G2333" s="452" t="s">
        <v>3065</v>
      </c>
      <c r="H2333" s="441" t="s">
        <v>2349</v>
      </c>
      <c r="I2333" s="474" t="s">
        <v>3459</v>
      </c>
      <c r="J2333" s="474" t="s">
        <v>3464</v>
      </c>
      <c r="K2333" s="443" t="s">
        <v>349</v>
      </c>
      <c r="L2333" s="471">
        <v>1</v>
      </c>
      <c r="M2333" s="452" t="s">
        <v>3832</v>
      </c>
      <c r="N2333" s="463">
        <v>4850</v>
      </c>
      <c r="O2333" s="487">
        <f t="shared" si="10"/>
        <v>4850</v>
      </c>
      <c r="P2333" s="435"/>
      <c r="Q2333" s="477">
        <v>46023</v>
      </c>
      <c r="R2333" s="435"/>
      <c r="S2333" s="435"/>
    </row>
    <row r="2334" spans="1:19" ht="15" customHeight="1" x14ac:dyDescent="0.25">
      <c r="A2334" s="438">
        <v>2331</v>
      </c>
      <c r="B2334" s="479" t="s">
        <v>17</v>
      </c>
      <c r="C2334" s="471" t="s">
        <v>18</v>
      </c>
      <c r="D2334" s="480" t="s">
        <v>2301</v>
      </c>
      <c r="E2334" s="448" t="s">
        <v>4088</v>
      </c>
      <c r="F2334" s="448" t="s">
        <v>3025</v>
      </c>
      <c r="G2334" s="452" t="s">
        <v>3065</v>
      </c>
      <c r="H2334" s="441" t="s">
        <v>2349</v>
      </c>
      <c r="I2334" s="474" t="s">
        <v>3459</v>
      </c>
      <c r="J2334" s="474" t="s">
        <v>3464</v>
      </c>
      <c r="K2334" s="443" t="s">
        <v>349</v>
      </c>
      <c r="L2334" s="471">
        <v>1</v>
      </c>
      <c r="M2334" s="452" t="s">
        <v>3833</v>
      </c>
      <c r="N2334" s="463">
        <v>4850</v>
      </c>
      <c r="O2334" s="487">
        <f t="shared" si="10"/>
        <v>4850</v>
      </c>
      <c r="P2334" s="435"/>
      <c r="Q2334" s="477">
        <v>46023</v>
      </c>
      <c r="R2334" s="435"/>
      <c r="S2334" s="435"/>
    </row>
    <row r="2335" spans="1:19" ht="15" customHeight="1" x14ac:dyDescent="0.25">
      <c r="A2335" s="438">
        <v>2332</v>
      </c>
      <c r="B2335" s="479" t="s">
        <v>17</v>
      </c>
      <c r="C2335" s="471" t="s">
        <v>18</v>
      </c>
      <c r="D2335" s="480" t="s">
        <v>2301</v>
      </c>
      <c r="E2335" s="448" t="s">
        <v>4088</v>
      </c>
      <c r="F2335" s="448" t="s">
        <v>3025</v>
      </c>
      <c r="G2335" s="452" t="s">
        <v>3065</v>
      </c>
      <c r="H2335" s="441" t="s">
        <v>2349</v>
      </c>
      <c r="I2335" s="474" t="s">
        <v>3459</v>
      </c>
      <c r="J2335" s="474" t="s">
        <v>3464</v>
      </c>
      <c r="K2335" s="443" t="s">
        <v>349</v>
      </c>
      <c r="L2335" s="471">
        <v>1</v>
      </c>
      <c r="M2335" s="452" t="s">
        <v>3834</v>
      </c>
      <c r="N2335" s="463">
        <v>4850</v>
      </c>
      <c r="O2335" s="487">
        <f t="shared" si="10"/>
        <v>4850</v>
      </c>
      <c r="P2335" s="435"/>
      <c r="Q2335" s="477">
        <v>46023</v>
      </c>
      <c r="R2335" s="435"/>
      <c r="S2335" s="435"/>
    </row>
    <row r="2336" spans="1:19" ht="15" customHeight="1" x14ac:dyDescent="0.25">
      <c r="A2336" s="438">
        <v>2333</v>
      </c>
      <c r="B2336" s="479" t="s">
        <v>17</v>
      </c>
      <c r="C2336" s="471" t="s">
        <v>18</v>
      </c>
      <c r="D2336" s="480" t="s">
        <v>2301</v>
      </c>
      <c r="E2336" s="448" t="s">
        <v>4088</v>
      </c>
      <c r="F2336" s="448" t="s">
        <v>3025</v>
      </c>
      <c r="G2336" s="452" t="s">
        <v>3065</v>
      </c>
      <c r="H2336" s="441" t="s">
        <v>2349</v>
      </c>
      <c r="I2336" s="474" t="s">
        <v>3459</v>
      </c>
      <c r="J2336" s="474" t="s">
        <v>3464</v>
      </c>
      <c r="K2336" s="443" t="s">
        <v>349</v>
      </c>
      <c r="L2336" s="471">
        <v>1</v>
      </c>
      <c r="M2336" s="452" t="s">
        <v>3835</v>
      </c>
      <c r="N2336" s="463">
        <v>4850</v>
      </c>
      <c r="O2336" s="487">
        <f t="shared" si="10"/>
        <v>4850</v>
      </c>
      <c r="P2336" s="435"/>
      <c r="Q2336" s="477">
        <v>46023</v>
      </c>
      <c r="R2336" s="435"/>
      <c r="S2336" s="435"/>
    </row>
    <row r="2337" spans="1:19" ht="15" customHeight="1" x14ac:dyDescent="0.25">
      <c r="A2337" s="438">
        <v>2334</v>
      </c>
      <c r="B2337" s="479" t="s">
        <v>17</v>
      </c>
      <c r="C2337" s="471" t="s">
        <v>18</v>
      </c>
      <c r="D2337" s="480" t="s">
        <v>2301</v>
      </c>
      <c r="E2337" s="448" t="s">
        <v>4088</v>
      </c>
      <c r="F2337" s="448" t="s">
        <v>3025</v>
      </c>
      <c r="G2337" s="452" t="s">
        <v>3065</v>
      </c>
      <c r="H2337" s="441" t="s">
        <v>2349</v>
      </c>
      <c r="I2337" s="474" t="s">
        <v>3459</v>
      </c>
      <c r="J2337" s="474" t="s">
        <v>3464</v>
      </c>
      <c r="K2337" s="443" t="s">
        <v>349</v>
      </c>
      <c r="L2337" s="471">
        <v>1</v>
      </c>
      <c r="M2337" s="452" t="s">
        <v>3129</v>
      </c>
      <c r="N2337" s="463">
        <v>4850</v>
      </c>
      <c r="O2337" s="487">
        <f t="shared" si="10"/>
        <v>4850</v>
      </c>
      <c r="P2337" s="435"/>
      <c r="Q2337" s="477">
        <v>46023</v>
      </c>
      <c r="R2337" s="435"/>
      <c r="S2337" s="435"/>
    </row>
    <row r="2338" spans="1:19" ht="15" customHeight="1" x14ac:dyDescent="0.25">
      <c r="A2338" s="438">
        <v>2335</v>
      </c>
      <c r="B2338" s="479" t="s">
        <v>17</v>
      </c>
      <c r="C2338" s="471" t="s">
        <v>18</v>
      </c>
      <c r="D2338" s="480" t="s">
        <v>2301</v>
      </c>
      <c r="E2338" s="448" t="s">
        <v>4088</v>
      </c>
      <c r="F2338" s="448" t="s">
        <v>3025</v>
      </c>
      <c r="G2338" s="452" t="s">
        <v>3065</v>
      </c>
      <c r="H2338" s="441" t="s">
        <v>2349</v>
      </c>
      <c r="I2338" s="474" t="s">
        <v>3459</v>
      </c>
      <c r="J2338" s="474" t="s">
        <v>3464</v>
      </c>
      <c r="K2338" s="443" t="s">
        <v>349</v>
      </c>
      <c r="L2338" s="471">
        <v>1</v>
      </c>
      <c r="M2338" s="452" t="s">
        <v>3836</v>
      </c>
      <c r="N2338" s="463">
        <v>4850</v>
      </c>
      <c r="O2338" s="487">
        <f t="shared" si="10"/>
        <v>4850</v>
      </c>
      <c r="P2338" s="435"/>
      <c r="Q2338" s="477">
        <v>46023</v>
      </c>
      <c r="R2338" s="435"/>
      <c r="S2338" s="435"/>
    </row>
    <row r="2339" spans="1:19" ht="15" customHeight="1" x14ac:dyDescent="0.25">
      <c r="A2339" s="438">
        <v>2336</v>
      </c>
      <c r="B2339" s="479" t="s">
        <v>17</v>
      </c>
      <c r="C2339" s="471" t="s">
        <v>18</v>
      </c>
      <c r="D2339" s="480" t="s">
        <v>2301</v>
      </c>
      <c r="E2339" s="448" t="s">
        <v>4088</v>
      </c>
      <c r="F2339" s="448" t="s">
        <v>3025</v>
      </c>
      <c r="G2339" s="452" t="s">
        <v>3065</v>
      </c>
      <c r="H2339" s="441" t="s">
        <v>2349</v>
      </c>
      <c r="I2339" s="474" t="s">
        <v>3459</v>
      </c>
      <c r="J2339" s="474" t="s">
        <v>3464</v>
      </c>
      <c r="K2339" s="443" t="s">
        <v>349</v>
      </c>
      <c r="L2339" s="471">
        <v>1</v>
      </c>
      <c r="M2339" s="452" t="s">
        <v>3837</v>
      </c>
      <c r="N2339" s="463">
        <v>4850</v>
      </c>
      <c r="O2339" s="487">
        <f t="shared" si="10"/>
        <v>4850</v>
      </c>
      <c r="P2339" s="435"/>
      <c r="Q2339" s="477">
        <v>46023</v>
      </c>
      <c r="R2339" s="435"/>
      <c r="S2339" s="435"/>
    </row>
    <row r="2340" spans="1:19" ht="15" customHeight="1" x14ac:dyDescent="0.25">
      <c r="A2340" s="438">
        <v>2337</v>
      </c>
      <c r="B2340" s="479" t="s">
        <v>17</v>
      </c>
      <c r="C2340" s="471" t="s">
        <v>18</v>
      </c>
      <c r="D2340" s="480" t="s">
        <v>2301</v>
      </c>
      <c r="E2340" s="448" t="s">
        <v>4080</v>
      </c>
      <c r="F2340" s="448" t="s">
        <v>4080</v>
      </c>
      <c r="G2340" s="452" t="s">
        <v>4008</v>
      </c>
      <c r="H2340" s="441" t="s">
        <v>1471</v>
      </c>
      <c r="I2340" s="474" t="s">
        <v>3457</v>
      </c>
      <c r="J2340" s="474" t="s">
        <v>3464</v>
      </c>
      <c r="K2340" s="443" t="s">
        <v>1449</v>
      </c>
      <c r="L2340" s="471">
        <v>1</v>
      </c>
      <c r="M2340" s="452" t="s">
        <v>3838</v>
      </c>
      <c r="N2340" s="463">
        <v>72000</v>
      </c>
      <c r="O2340" s="487">
        <f t="shared" si="10"/>
        <v>72000</v>
      </c>
      <c r="P2340" s="435"/>
      <c r="Q2340" s="477">
        <v>46023</v>
      </c>
      <c r="R2340" s="435"/>
      <c r="S2340" s="435"/>
    </row>
    <row r="2341" spans="1:19" ht="15" customHeight="1" x14ac:dyDescent="0.25">
      <c r="A2341" s="438">
        <v>2338</v>
      </c>
      <c r="B2341" s="479" t="s">
        <v>17</v>
      </c>
      <c r="C2341" s="471" t="s">
        <v>18</v>
      </c>
      <c r="D2341" s="480" t="s">
        <v>2301</v>
      </c>
      <c r="E2341" s="448" t="s">
        <v>4084</v>
      </c>
      <c r="F2341" s="448" t="s">
        <v>4096</v>
      </c>
      <c r="G2341" s="452" t="s">
        <v>3946</v>
      </c>
      <c r="H2341" s="441" t="s">
        <v>3431</v>
      </c>
      <c r="I2341" s="474" t="s">
        <v>3459</v>
      </c>
      <c r="J2341" s="474" t="s">
        <v>3464</v>
      </c>
      <c r="K2341" s="443" t="s">
        <v>902</v>
      </c>
      <c r="L2341" s="471">
        <v>1</v>
      </c>
      <c r="M2341" s="452" t="s">
        <v>3839</v>
      </c>
      <c r="N2341" s="463">
        <v>125999.34</v>
      </c>
      <c r="O2341" s="487">
        <f t="shared" si="10"/>
        <v>125999.34</v>
      </c>
      <c r="P2341" s="435"/>
      <c r="Q2341" s="477">
        <v>46023</v>
      </c>
      <c r="R2341" s="435"/>
      <c r="S2341" s="435"/>
    </row>
    <row r="2342" spans="1:19" ht="15" customHeight="1" x14ac:dyDescent="0.25">
      <c r="A2342" s="438">
        <v>2339</v>
      </c>
      <c r="B2342" s="479" t="s">
        <v>17</v>
      </c>
      <c r="C2342" s="471" t="s">
        <v>18</v>
      </c>
      <c r="D2342" s="480" t="s">
        <v>2301</v>
      </c>
      <c r="E2342" s="448" t="s">
        <v>2990</v>
      </c>
      <c r="F2342" s="448" t="s">
        <v>2990</v>
      </c>
      <c r="G2342" s="452" t="s">
        <v>3928</v>
      </c>
      <c r="H2342" s="441" t="s">
        <v>3432</v>
      </c>
      <c r="I2342" s="474" t="s">
        <v>3459</v>
      </c>
      <c r="J2342" s="474" t="s">
        <v>3464</v>
      </c>
      <c r="K2342" s="443" t="s">
        <v>462</v>
      </c>
      <c r="L2342" s="471">
        <v>1</v>
      </c>
      <c r="M2342" s="452" t="s">
        <v>3840</v>
      </c>
      <c r="N2342" s="463">
        <v>1200</v>
      </c>
      <c r="O2342" s="487">
        <f t="shared" si="10"/>
        <v>1200</v>
      </c>
      <c r="P2342" s="435"/>
      <c r="Q2342" s="477">
        <v>46023</v>
      </c>
      <c r="R2342" s="435"/>
      <c r="S2342" s="435"/>
    </row>
    <row r="2343" spans="1:19" ht="15" customHeight="1" x14ac:dyDescent="0.25">
      <c r="A2343" s="438">
        <v>2340</v>
      </c>
      <c r="B2343" s="479" t="s">
        <v>17</v>
      </c>
      <c r="C2343" s="471" t="s">
        <v>18</v>
      </c>
      <c r="D2343" s="480" t="s">
        <v>2301</v>
      </c>
      <c r="E2343" s="448" t="s">
        <v>4088</v>
      </c>
      <c r="F2343" s="448" t="s">
        <v>4105</v>
      </c>
      <c r="G2343" s="452" t="s">
        <v>3065</v>
      </c>
      <c r="H2343" s="441" t="s">
        <v>2349</v>
      </c>
      <c r="I2343" s="474" t="s">
        <v>3459</v>
      </c>
      <c r="J2343" s="474" t="s">
        <v>3464</v>
      </c>
      <c r="K2343" s="443" t="s">
        <v>349</v>
      </c>
      <c r="L2343" s="471">
        <v>1</v>
      </c>
      <c r="M2343" s="452" t="s">
        <v>3841</v>
      </c>
      <c r="N2343" s="463">
        <v>4850</v>
      </c>
      <c r="O2343" s="487">
        <f t="shared" si="10"/>
        <v>4850</v>
      </c>
      <c r="P2343" s="435"/>
      <c r="Q2343" s="477">
        <v>46023</v>
      </c>
      <c r="R2343" s="435"/>
      <c r="S2343" s="435"/>
    </row>
    <row r="2344" spans="1:19" ht="15" customHeight="1" x14ac:dyDescent="0.25">
      <c r="A2344" s="438">
        <v>2341</v>
      </c>
      <c r="B2344" s="479" t="s">
        <v>17</v>
      </c>
      <c r="C2344" s="471" t="s">
        <v>18</v>
      </c>
      <c r="D2344" s="480" t="s">
        <v>2301</v>
      </c>
      <c r="E2344" s="448" t="s">
        <v>4088</v>
      </c>
      <c r="F2344" s="448" t="s">
        <v>4105</v>
      </c>
      <c r="G2344" s="452" t="s">
        <v>3917</v>
      </c>
      <c r="H2344" s="441" t="s">
        <v>302</v>
      </c>
      <c r="I2344" s="474" t="s">
        <v>3460</v>
      </c>
      <c r="J2344" s="474" t="s">
        <v>3464</v>
      </c>
      <c r="K2344" s="443" t="s">
        <v>276</v>
      </c>
      <c r="L2344" s="471">
        <v>1</v>
      </c>
      <c r="M2344" s="452" t="s">
        <v>3842</v>
      </c>
      <c r="N2344" s="463">
        <v>149800</v>
      </c>
      <c r="O2344" s="487">
        <f t="shared" si="10"/>
        <v>149800</v>
      </c>
      <c r="P2344" s="435"/>
      <c r="Q2344" s="477">
        <v>46023</v>
      </c>
      <c r="R2344" s="435"/>
      <c r="S2344" s="435"/>
    </row>
    <row r="2345" spans="1:19" ht="15" customHeight="1" x14ac:dyDescent="0.25">
      <c r="A2345" s="438">
        <v>2342</v>
      </c>
      <c r="B2345" s="479" t="s">
        <v>17</v>
      </c>
      <c r="C2345" s="471" t="s">
        <v>18</v>
      </c>
      <c r="D2345" s="480" t="s">
        <v>2301</v>
      </c>
      <c r="E2345" s="448" t="s">
        <v>4088</v>
      </c>
      <c r="F2345" s="448" t="s">
        <v>4105</v>
      </c>
      <c r="G2345" s="452" t="s">
        <v>3917</v>
      </c>
      <c r="H2345" s="441" t="s">
        <v>302</v>
      </c>
      <c r="I2345" s="474" t="s">
        <v>3460</v>
      </c>
      <c r="J2345" s="474" t="s">
        <v>3464</v>
      </c>
      <c r="K2345" s="443" t="s">
        <v>276</v>
      </c>
      <c r="L2345" s="471">
        <v>1</v>
      </c>
      <c r="M2345" s="452" t="s">
        <v>3110</v>
      </c>
      <c r="N2345" s="463">
        <v>97500</v>
      </c>
      <c r="O2345" s="487">
        <f t="shared" si="10"/>
        <v>97500</v>
      </c>
      <c r="P2345" s="435"/>
      <c r="Q2345" s="477">
        <v>46023</v>
      </c>
      <c r="R2345" s="435"/>
      <c r="S2345" s="435"/>
    </row>
    <row r="2346" spans="1:19" ht="15" customHeight="1" x14ac:dyDescent="0.25">
      <c r="A2346" s="438">
        <v>2343</v>
      </c>
      <c r="B2346" s="479" t="s">
        <v>17</v>
      </c>
      <c r="C2346" s="471" t="s">
        <v>18</v>
      </c>
      <c r="D2346" s="480" t="s">
        <v>2301</v>
      </c>
      <c r="E2346" s="448" t="s">
        <v>4088</v>
      </c>
      <c r="F2346" s="448" t="s">
        <v>4104</v>
      </c>
      <c r="G2346" s="452" t="s">
        <v>3917</v>
      </c>
      <c r="H2346" s="441" t="s">
        <v>302</v>
      </c>
      <c r="I2346" s="474" t="s">
        <v>3460</v>
      </c>
      <c r="J2346" s="474" t="s">
        <v>3464</v>
      </c>
      <c r="K2346" s="443" t="s">
        <v>276</v>
      </c>
      <c r="L2346" s="471">
        <v>1</v>
      </c>
      <c r="M2346" s="452" t="s">
        <v>3843</v>
      </c>
      <c r="N2346" s="463">
        <v>97500</v>
      </c>
      <c r="O2346" s="487">
        <f t="shared" si="10"/>
        <v>97500</v>
      </c>
      <c r="P2346" s="435"/>
      <c r="Q2346" s="477">
        <v>46023</v>
      </c>
      <c r="R2346" s="435"/>
      <c r="S2346" s="435"/>
    </row>
    <row r="2347" spans="1:19" ht="15" customHeight="1" x14ac:dyDescent="0.25">
      <c r="A2347" s="438">
        <v>2344</v>
      </c>
      <c r="B2347" s="479" t="s">
        <v>17</v>
      </c>
      <c r="C2347" s="471" t="s">
        <v>18</v>
      </c>
      <c r="D2347" s="480" t="s">
        <v>2301</v>
      </c>
      <c r="E2347" s="448" t="s">
        <v>4085</v>
      </c>
      <c r="F2347" s="448" t="s">
        <v>2985</v>
      </c>
      <c r="G2347" s="452" t="s">
        <v>3057</v>
      </c>
      <c r="H2347" s="441" t="s">
        <v>3433</v>
      </c>
      <c r="I2347" s="474" t="s">
        <v>3460</v>
      </c>
      <c r="J2347" s="474" t="s">
        <v>3464</v>
      </c>
      <c r="K2347" s="443" t="s">
        <v>1162</v>
      </c>
      <c r="L2347" s="471">
        <v>1</v>
      </c>
      <c r="M2347" s="452" t="s">
        <v>3844</v>
      </c>
      <c r="N2347" s="463">
        <v>332177.94</v>
      </c>
      <c r="O2347" s="487">
        <f t="shared" si="10"/>
        <v>332177.94</v>
      </c>
      <c r="P2347" s="435"/>
      <c r="Q2347" s="477">
        <v>46023</v>
      </c>
      <c r="R2347" s="435"/>
      <c r="S2347" s="435"/>
    </row>
    <row r="2348" spans="1:19" ht="15" customHeight="1" x14ac:dyDescent="0.25">
      <c r="A2348" s="438">
        <v>2345</v>
      </c>
      <c r="B2348" s="479" t="s">
        <v>17</v>
      </c>
      <c r="C2348" s="471" t="s">
        <v>18</v>
      </c>
      <c r="D2348" s="480" t="s">
        <v>2301</v>
      </c>
      <c r="E2348" s="448" t="s">
        <v>4095</v>
      </c>
      <c r="F2348" s="448" t="s">
        <v>4095</v>
      </c>
      <c r="G2348" s="452" t="s">
        <v>3964</v>
      </c>
      <c r="H2348" s="441" t="s">
        <v>3434</v>
      </c>
      <c r="I2348" s="474" t="s">
        <v>3458</v>
      </c>
      <c r="J2348" s="474" t="s">
        <v>3463</v>
      </c>
      <c r="K2348" s="443" t="s">
        <v>1027</v>
      </c>
      <c r="L2348" s="471">
        <v>1</v>
      </c>
      <c r="M2348" s="452" t="s">
        <v>3845</v>
      </c>
      <c r="N2348" s="463">
        <v>29460</v>
      </c>
      <c r="O2348" s="487">
        <f t="shared" si="10"/>
        <v>29460</v>
      </c>
      <c r="P2348" s="435"/>
      <c r="Q2348" s="477">
        <v>46023</v>
      </c>
      <c r="R2348" s="435"/>
      <c r="S2348" s="435"/>
    </row>
    <row r="2349" spans="1:19" ht="15" customHeight="1" x14ac:dyDescent="0.25">
      <c r="A2349" s="438">
        <v>2346</v>
      </c>
      <c r="B2349" s="479" t="s">
        <v>17</v>
      </c>
      <c r="C2349" s="471" t="s">
        <v>18</v>
      </c>
      <c r="D2349" s="480" t="s">
        <v>2301</v>
      </c>
      <c r="E2349" s="448" t="s">
        <v>4088</v>
      </c>
      <c r="F2349" s="448" t="s">
        <v>3025</v>
      </c>
      <c r="G2349" s="452" t="s">
        <v>3977</v>
      </c>
      <c r="H2349" s="441" t="s">
        <v>3435</v>
      </c>
      <c r="I2349" s="474" t="s">
        <v>3459</v>
      </c>
      <c r="J2349" s="474" t="s">
        <v>3463</v>
      </c>
      <c r="K2349" s="443" t="s">
        <v>1101</v>
      </c>
      <c r="L2349" s="471">
        <v>1</v>
      </c>
      <c r="M2349" s="452" t="s">
        <v>3846</v>
      </c>
      <c r="N2349" s="463">
        <v>860</v>
      </c>
      <c r="O2349" s="487">
        <f t="shared" si="10"/>
        <v>860</v>
      </c>
      <c r="P2349" s="435"/>
      <c r="Q2349" s="477">
        <v>46023</v>
      </c>
      <c r="R2349" s="435"/>
      <c r="S2349" s="435"/>
    </row>
    <row r="2350" spans="1:19" ht="15" customHeight="1" x14ac:dyDescent="0.25">
      <c r="A2350" s="438">
        <v>2347</v>
      </c>
      <c r="B2350" s="479" t="s">
        <v>17</v>
      </c>
      <c r="C2350" s="471" t="s">
        <v>18</v>
      </c>
      <c r="D2350" s="480" t="s">
        <v>2301</v>
      </c>
      <c r="E2350" s="448" t="s">
        <v>4088</v>
      </c>
      <c r="F2350" s="448" t="s">
        <v>3025</v>
      </c>
      <c r="G2350" s="452" t="s">
        <v>3977</v>
      </c>
      <c r="H2350" s="441" t="s">
        <v>3435</v>
      </c>
      <c r="I2350" s="474" t="s">
        <v>3459</v>
      </c>
      <c r="J2350" s="474" t="s">
        <v>3463</v>
      </c>
      <c r="K2350" s="443" t="s">
        <v>1101</v>
      </c>
      <c r="L2350" s="471">
        <v>1</v>
      </c>
      <c r="M2350" s="452" t="s">
        <v>3847</v>
      </c>
      <c r="N2350" s="463">
        <v>860</v>
      </c>
      <c r="O2350" s="487">
        <f t="shared" si="10"/>
        <v>860</v>
      </c>
      <c r="P2350" s="435"/>
      <c r="Q2350" s="477">
        <v>46023</v>
      </c>
      <c r="R2350" s="435"/>
      <c r="S2350" s="435"/>
    </row>
    <row r="2351" spans="1:19" ht="15" customHeight="1" x14ac:dyDescent="0.25">
      <c r="A2351" s="438">
        <v>2348</v>
      </c>
      <c r="B2351" s="479" t="s">
        <v>17</v>
      </c>
      <c r="C2351" s="471" t="s">
        <v>18</v>
      </c>
      <c r="D2351" s="480" t="s">
        <v>2301</v>
      </c>
      <c r="E2351" s="448" t="s">
        <v>4088</v>
      </c>
      <c r="F2351" s="448" t="s">
        <v>3025</v>
      </c>
      <c r="G2351" s="452" t="s">
        <v>3977</v>
      </c>
      <c r="H2351" s="441" t="s">
        <v>3435</v>
      </c>
      <c r="I2351" s="474" t="s">
        <v>3459</v>
      </c>
      <c r="J2351" s="474" t="s">
        <v>3463</v>
      </c>
      <c r="K2351" s="443" t="s">
        <v>1101</v>
      </c>
      <c r="L2351" s="471">
        <v>1</v>
      </c>
      <c r="M2351" s="452" t="s">
        <v>3848</v>
      </c>
      <c r="N2351" s="463">
        <v>860</v>
      </c>
      <c r="O2351" s="487">
        <f t="shared" si="10"/>
        <v>860</v>
      </c>
      <c r="P2351" s="435"/>
      <c r="Q2351" s="477">
        <v>46023</v>
      </c>
      <c r="R2351" s="435"/>
      <c r="S2351" s="435"/>
    </row>
    <row r="2352" spans="1:19" ht="15" customHeight="1" x14ac:dyDescent="0.25">
      <c r="A2352" s="438">
        <v>2349</v>
      </c>
      <c r="B2352" s="479" t="s">
        <v>17</v>
      </c>
      <c r="C2352" s="471" t="s">
        <v>18</v>
      </c>
      <c r="D2352" s="480" t="s">
        <v>2301</v>
      </c>
      <c r="E2352" s="448" t="s">
        <v>4088</v>
      </c>
      <c r="F2352" s="448" t="s">
        <v>3025</v>
      </c>
      <c r="G2352" s="452" t="s">
        <v>3977</v>
      </c>
      <c r="H2352" s="441" t="s">
        <v>3435</v>
      </c>
      <c r="I2352" s="474" t="s">
        <v>3459</v>
      </c>
      <c r="J2352" s="474" t="s">
        <v>3463</v>
      </c>
      <c r="K2352" s="443" t="s">
        <v>1101</v>
      </c>
      <c r="L2352" s="471">
        <v>1</v>
      </c>
      <c r="M2352" s="452" t="s">
        <v>3849</v>
      </c>
      <c r="N2352" s="463">
        <v>860</v>
      </c>
      <c r="O2352" s="487">
        <f t="shared" si="10"/>
        <v>860</v>
      </c>
      <c r="P2352" s="435"/>
      <c r="Q2352" s="477">
        <v>46023</v>
      </c>
      <c r="R2352" s="435"/>
      <c r="S2352" s="435"/>
    </row>
    <row r="2353" spans="1:19" ht="15" customHeight="1" x14ac:dyDescent="0.25">
      <c r="A2353" s="438">
        <v>2350</v>
      </c>
      <c r="B2353" s="479" t="s">
        <v>17</v>
      </c>
      <c r="C2353" s="471" t="s">
        <v>18</v>
      </c>
      <c r="D2353" s="480" t="s">
        <v>2301</v>
      </c>
      <c r="E2353" s="448" t="s">
        <v>4088</v>
      </c>
      <c r="F2353" s="448" t="s">
        <v>3025</v>
      </c>
      <c r="G2353" s="452" t="s">
        <v>3977</v>
      </c>
      <c r="H2353" s="441" t="s">
        <v>3435</v>
      </c>
      <c r="I2353" s="474" t="s">
        <v>3459</v>
      </c>
      <c r="J2353" s="474" t="s">
        <v>3463</v>
      </c>
      <c r="K2353" s="443" t="s">
        <v>1101</v>
      </c>
      <c r="L2353" s="471">
        <v>1</v>
      </c>
      <c r="M2353" s="452" t="s">
        <v>3850</v>
      </c>
      <c r="N2353" s="463">
        <v>860</v>
      </c>
      <c r="O2353" s="487">
        <f t="shared" si="10"/>
        <v>860</v>
      </c>
      <c r="P2353" s="435"/>
      <c r="Q2353" s="477">
        <v>46023</v>
      </c>
      <c r="R2353" s="435"/>
      <c r="S2353" s="435"/>
    </row>
    <row r="2354" spans="1:19" ht="15" customHeight="1" x14ac:dyDescent="0.25">
      <c r="A2354" s="438">
        <v>2351</v>
      </c>
      <c r="B2354" s="479" t="s">
        <v>17</v>
      </c>
      <c r="C2354" s="471" t="s">
        <v>18</v>
      </c>
      <c r="D2354" s="480" t="s">
        <v>2301</v>
      </c>
      <c r="E2354" s="448" t="s">
        <v>4088</v>
      </c>
      <c r="F2354" s="448" t="s">
        <v>3025</v>
      </c>
      <c r="G2354" s="452" t="s">
        <v>3977</v>
      </c>
      <c r="H2354" s="441" t="s">
        <v>3435</v>
      </c>
      <c r="I2354" s="474" t="s">
        <v>3459</v>
      </c>
      <c r="J2354" s="474" t="s">
        <v>3463</v>
      </c>
      <c r="K2354" s="443" t="s">
        <v>1101</v>
      </c>
      <c r="L2354" s="471">
        <v>1</v>
      </c>
      <c r="M2354" s="452" t="s">
        <v>3851</v>
      </c>
      <c r="N2354" s="463">
        <v>860</v>
      </c>
      <c r="O2354" s="487">
        <f t="shared" si="10"/>
        <v>860</v>
      </c>
      <c r="P2354" s="435"/>
      <c r="Q2354" s="477">
        <v>46023</v>
      </c>
      <c r="R2354" s="435"/>
      <c r="S2354" s="435"/>
    </row>
    <row r="2355" spans="1:19" ht="15" customHeight="1" x14ac:dyDescent="0.25">
      <c r="A2355" s="438">
        <v>2352</v>
      </c>
      <c r="B2355" s="479" t="s">
        <v>17</v>
      </c>
      <c r="C2355" s="471" t="s">
        <v>18</v>
      </c>
      <c r="D2355" s="480" t="s">
        <v>2301</v>
      </c>
      <c r="E2355" s="448" t="s">
        <v>4088</v>
      </c>
      <c r="F2355" s="448" t="s">
        <v>3025</v>
      </c>
      <c r="G2355" s="452" t="s">
        <v>3977</v>
      </c>
      <c r="H2355" s="441" t="s">
        <v>3435</v>
      </c>
      <c r="I2355" s="474" t="s">
        <v>3459</v>
      </c>
      <c r="J2355" s="474" t="s">
        <v>3463</v>
      </c>
      <c r="K2355" s="443" t="s">
        <v>1101</v>
      </c>
      <c r="L2355" s="471">
        <v>1</v>
      </c>
      <c r="M2355" s="452" t="s">
        <v>3852</v>
      </c>
      <c r="N2355" s="463">
        <v>860</v>
      </c>
      <c r="O2355" s="487">
        <f t="shared" si="10"/>
        <v>860</v>
      </c>
      <c r="P2355" s="435"/>
      <c r="Q2355" s="477">
        <v>46023</v>
      </c>
      <c r="R2355" s="435"/>
      <c r="S2355" s="435"/>
    </row>
    <row r="2356" spans="1:19" ht="15" customHeight="1" x14ac:dyDescent="0.25">
      <c r="A2356" s="438">
        <v>2353</v>
      </c>
      <c r="B2356" s="479" t="s">
        <v>17</v>
      </c>
      <c r="C2356" s="471" t="s">
        <v>18</v>
      </c>
      <c r="D2356" s="480" t="s">
        <v>2301</v>
      </c>
      <c r="E2356" s="448" t="s">
        <v>4088</v>
      </c>
      <c r="F2356" s="448" t="s">
        <v>3025</v>
      </c>
      <c r="G2356" s="452" t="s">
        <v>3977</v>
      </c>
      <c r="H2356" s="441" t="s">
        <v>3435</v>
      </c>
      <c r="I2356" s="474" t="s">
        <v>3459</v>
      </c>
      <c r="J2356" s="474" t="s">
        <v>3463</v>
      </c>
      <c r="K2356" s="443" t="s">
        <v>1101</v>
      </c>
      <c r="L2356" s="471">
        <v>1</v>
      </c>
      <c r="M2356" s="452" t="s">
        <v>3853</v>
      </c>
      <c r="N2356" s="463">
        <v>860</v>
      </c>
      <c r="O2356" s="487">
        <f t="shared" si="10"/>
        <v>860</v>
      </c>
      <c r="P2356" s="435"/>
      <c r="Q2356" s="477">
        <v>46023</v>
      </c>
      <c r="R2356" s="435"/>
      <c r="S2356" s="435"/>
    </row>
    <row r="2357" spans="1:19" ht="15" customHeight="1" x14ac:dyDescent="0.25">
      <c r="A2357" s="438">
        <v>2354</v>
      </c>
      <c r="B2357" s="479" t="s">
        <v>17</v>
      </c>
      <c r="C2357" s="471" t="s">
        <v>18</v>
      </c>
      <c r="D2357" s="480" t="s">
        <v>2301</v>
      </c>
      <c r="E2357" s="448" t="s">
        <v>4080</v>
      </c>
      <c r="F2357" s="448" t="s">
        <v>4080</v>
      </c>
      <c r="G2357" s="452" t="s">
        <v>4025</v>
      </c>
      <c r="H2357" s="441" t="s">
        <v>3423</v>
      </c>
      <c r="I2357" s="474" t="s">
        <v>3457</v>
      </c>
      <c r="J2357" s="474" t="s">
        <v>3464</v>
      </c>
      <c r="K2357" s="443" t="s">
        <v>2036</v>
      </c>
      <c r="L2357" s="471">
        <v>1</v>
      </c>
      <c r="M2357" s="452" t="s">
        <v>2874</v>
      </c>
      <c r="N2357" s="463">
        <v>4199</v>
      </c>
      <c r="O2357" s="487">
        <f t="shared" si="10"/>
        <v>4199</v>
      </c>
      <c r="P2357" s="435"/>
      <c r="Q2357" s="477">
        <v>46023</v>
      </c>
      <c r="R2357" s="435"/>
      <c r="S2357" s="435"/>
    </row>
    <row r="2358" spans="1:19" ht="15" customHeight="1" x14ac:dyDescent="0.25">
      <c r="A2358" s="438">
        <v>2355</v>
      </c>
      <c r="B2358" s="479" t="s">
        <v>17</v>
      </c>
      <c r="C2358" s="471" t="s">
        <v>18</v>
      </c>
      <c r="D2358" s="480" t="s">
        <v>2301</v>
      </c>
      <c r="E2358" s="448" t="s">
        <v>4080</v>
      </c>
      <c r="F2358" s="448" t="s">
        <v>4080</v>
      </c>
      <c r="G2358" s="452" t="s">
        <v>4025</v>
      </c>
      <c r="H2358" s="441" t="s">
        <v>3423</v>
      </c>
      <c r="I2358" s="474" t="s">
        <v>3457</v>
      </c>
      <c r="J2358" s="474" t="s">
        <v>3464</v>
      </c>
      <c r="K2358" s="443" t="s">
        <v>2036</v>
      </c>
      <c r="L2358" s="471">
        <v>1</v>
      </c>
      <c r="M2358" s="452" t="s">
        <v>3854</v>
      </c>
      <c r="N2358" s="463">
        <v>4199</v>
      </c>
      <c r="O2358" s="487">
        <f t="shared" si="10"/>
        <v>4199</v>
      </c>
      <c r="P2358" s="435"/>
      <c r="Q2358" s="477">
        <v>46023</v>
      </c>
      <c r="R2358" s="435"/>
      <c r="S2358" s="435"/>
    </row>
    <row r="2359" spans="1:19" ht="15" customHeight="1" x14ac:dyDescent="0.25">
      <c r="A2359" s="438">
        <v>2356</v>
      </c>
      <c r="B2359" s="479" t="s">
        <v>17</v>
      </c>
      <c r="C2359" s="471" t="s">
        <v>18</v>
      </c>
      <c r="D2359" s="480" t="s">
        <v>2301</v>
      </c>
      <c r="E2359" s="448" t="s">
        <v>4080</v>
      </c>
      <c r="F2359" s="448" t="s">
        <v>4080</v>
      </c>
      <c r="G2359" s="452" t="s">
        <v>4025</v>
      </c>
      <c r="H2359" s="441" t="s">
        <v>3423</v>
      </c>
      <c r="I2359" s="474" t="s">
        <v>3457</v>
      </c>
      <c r="J2359" s="474" t="s">
        <v>3464</v>
      </c>
      <c r="K2359" s="443" t="s">
        <v>2036</v>
      </c>
      <c r="L2359" s="471">
        <v>1</v>
      </c>
      <c r="M2359" s="452" t="s">
        <v>2873</v>
      </c>
      <c r="N2359" s="463">
        <v>4199</v>
      </c>
      <c r="O2359" s="487">
        <f t="shared" si="10"/>
        <v>4199</v>
      </c>
      <c r="P2359" s="435"/>
      <c r="Q2359" s="477">
        <v>46023</v>
      </c>
      <c r="R2359" s="435"/>
      <c r="S2359" s="435"/>
    </row>
    <row r="2360" spans="1:19" ht="15" customHeight="1" x14ac:dyDescent="0.25">
      <c r="A2360" s="438">
        <v>2357</v>
      </c>
      <c r="B2360" s="479" t="s">
        <v>17</v>
      </c>
      <c r="C2360" s="471" t="s">
        <v>18</v>
      </c>
      <c r="D2360" s="480" t="s">
        <v>2301</v>
      </c>
      <c r="E2360" s="448" t="s">
        <v>4080</v>
      </c>
      <c r="F2360" s="448" t="s">
        <v>4080</v>
      </c>
      <c r="G2360" s="452" t="s">
        <v>4025</v>
      </c>
      <c r="H2360" s="441" t="s">
        <v>3423</v>
      </c>
      <c r="I2360" s="474" t="s">
        <v>3457</v>
      </c>
      <c r="J2360" s="474" t="s">
        <v>3464</v>
      </c>
      <c r="K2360" s="443" t="s">
        <v>2036</v>
      </c>
      <c r="L2360" s="471">
        <v>1</v>
      </c>
      <c r="M2360" s="452" t="s">
        <v>3855</v>
      </c>
      <c r="N2360" s="463">
        <v>4199</v>
      </c>
      <c r="O2360" s="487">
        <f t="shared" si="10"/>
        <v>4199</v>
      </c>
      <c r="P2360" s="435"/>
      <c r="Q2360" s="477">
        <v>46023</v>
      </c>
      <c r="R2360" s="435"/>
      <c r="S2360" s="435"/>
    </row>
    <row r="2361" spans="1:19" ht="15" customHeight="1" x14ac:dyDescent="0.25">
      <c r="A2361" s="438">
        <v>2358</v>
      </c>
      <c r="B2361" s="479" t="s">
        <v>17</v>
      </c>
      <c r="C2361" s="471" t="s">
        <v>18</v>
      </c>
      <c r="D2361" s="480" t="s">
        <v>2301</v>
      </c>
      <c r="E2361" s="448" t="s">
        <v>4080</v>
      </c>
      <c r="F2361" s="448" t="s">
        <v>4080</v>
      </c>
      <c r="G2361" s="452" t="s">
        <v>4025</v>
      </c>
      <c r="H2361" s="441" t="s">
        <v>3423</v>
      </c>
      <c r="I2361" s="474" t="s">
        <v>3457</v>
      </c>
      <c r="J2361" s="474" t="s">
        <v>3464</v>
      </c>
      <c r="K2361" s="443" t="s">
        <v>2036</v>
      </c>
      <c r="L2361" s="471">
        <v>1</v>
      </c>
      <c r="M2361" s="452" t="s">
        <v>2872</v>
      </c>
      <c r="N2361" s="463">
        <v>4199</v>
      </c>
      <c r="O2361" s="487">
        <f t="shared" si="10"/>
        <v>4199</v>
      </c>
      <c r="P2361" s="435"/>
      <c r="Q2361" s="477">
        <v>46023</v>
      </c>
      <c r="R2361" s="435"/>
      <c r="S2361" s="435"/>
    </row>
    <row r="2362" spans="1:19" ht="15" customHeight="1" x14ac:dyDescent="0.25">
      <c r="A2362" s="438">
        <v>2359</v>
      </c>
      <c r="B2362" s="479" t="s">
        <v>17</v>
      </c>
      <c r="C2362" s="471" t="s">
        <v>18</v>
      </c>
      <c r="D2362" s="480" t="s">
        <v>2301</v>
      </c>
      <c r="E2362" s="448" t="s">
        <v>4086</v>
      </c>
      <c r="F2362" s="448" t="s">
        <v>4112</v>
      </c>
      <c r="G2362" s="452" t="s">
        <v>3058</v>
      </c>
      <c r="H2362" s="441" t="s">
        <v>896</v>
      </c>
      <c r="I2362" s="474" t="s">
        <v>3459</v>
      </c>
      <c r="J2362" s="474" t="s">
        <v>3464</v>
      </c>
      <c r="K2362" s="443" t="s">
        <v>729</v>
      </c>
      <c r="L2362" s="471">
        <v>1</v>
      </c>
      <c r="M2362" s="452" t="s">
        <v>3856</v>
      </c>
      <c r="N2362" s="463">
        <v>11000</v>
      </c>
      <c r="O2362" s="487">
        <f t="shared" si="10"/>
        <v>11000</v>
      </c>
      <c r="P2362" s="435"/>
      <c r="Q2362" s="477">
        <v>46023</v>
      </c>
      <c r="R2362" s="435"/>
      <c r="S2362" s="435"/>
    </row>
    <row r="2363" spans="1:19" ht="15" customHeight="1" x14ac:dyDescent="0.25">
      <c r="A2363" s="438">
        <v>2360</v>
      </c>
      <c r="B2363" s="479" t="s">
        <v>17</v>
      </c>
      <c r="C2363" s="471" t="s">
        <v>18</v>
      </c>
      <c r="D2363" s="480" t="s">
        <v>2301</v>
      </c>
      <c r="E2363" s="448" t="s">
        <v>4086</v>
      </c>
      <c r="F2363" s="448" t="s">
        <v>4120</v>
      </c>
      <c r="G2363" s="452" t="s">
        <v>3058</v>
      </c>
      <c r="H2363" s="441" t="s">
        <v>896</v>
      </c>
      <c r="I2363" s="474" t="s">
        <v>3459</v>
      </c>
      <c r="J2363" s="474" t="s">
        <v>3464</v>
      </c>
      <c r="K2363" s="443" t="s">
        <v>729</v>
      </c>
      <c r="L2363" s="471">
        <v>1</v>
      </c>
      <c r="M2363" s="452" t="s">
        <v>3857</v>
      </c>
      <c r="N2363" s="463">
        <v>11000</v>
      </c>
      <c r="O2363" s="487">
        <f t="shared" si="10"/>
        <v>11000</v>
      </c>
      <c r="P2363" s="435"/>
      <c r="Q2363" s="477">
        <v>46023</v>
      </c>
      <c r="R2363" s="435"/>
      <c r="S2363" s="435"/>
    </row>
    <row r="2364" spans="1:19" ht="15" customHeight="1" x14ac:dyDescent="0.25">
      <c r="A2364" s="438">
        <v>2361</v>
      </c>
      <c r="B2364" s="479" t="s">
        <v>17</v>
      </c>
      <c r="C2364" s="471" t="s">
        <v>18</v>
      </c>
      <c r="D2364" s="480" t="s">
        <v>2301</v>
      </c>
      <c r="E2364" s="448" t="s">
        <v>4086</v>
      </c>
      <c r="F2364" s="448" t="s">
        <v>4097</v>
      </c>
      <c r="G2364" s="452" t="s">
        <v>3947</v>
      </c>
      <c r="H2364" s="441" t="s">
        <v>3436</v>
      </c>
      <c r="I2364" s="474" t="s">
        <v>3459</v>
      </c>
      <c r="J2364" s="474" t="s">
        <v>3464</v>
      </c>
      <c r="K2364" s="443" t="s">
        <v>905</v>
      </c>
      <c r="L2364" s="471">
        <v>1</v>
      </c>
      <c r="M2364" s="452" t="s">
        <v>3858</v>
      </c>
      <c r="N2364" s="463">
        <v>93380</v>
      </c>
      <c r="O2364" s="487">
        <f t="shared" si="10"/>
        <v>93380</v>
      </c>
      <c r="P2364" s="435"/>
      <c r="Q2364" s="477">
        <v>46023</v>
      </c>
      <c r="R2364" s="435"/>
      <c r="S2364" s="435"/>
    </row>
    <row r="2365" spans="1:19" ht="15" customHeight="1" x14ac:dyDescent="0.25">
      <c r="A2365" s="438">
        <v>2362</v>
      </c>
      <c r="B2365" s="479" t="s">
        <v>17</v>
      </c>
      <c r="C2365" s="471" t="s">
        <v>18</v>
      </c>
      <c r="D2365" s="480" t="s">
        <v>2301</v>
      </c>
      <c r="E2365" s="448" t="s">
        <v>4081</v>
      </c>
      <c r="F2365" s="448" t="s">
        <v>2989</v>
      </c>
      <c r="G2365" s="452" t="s">
        <v>3913</v>
      </c>
      <c r="H2365" s="441" t="s">
        <v>241</v>
      </c>
      <c r="I2365" s="474" t="s">
        <v>3457</v>
      </c>
      <c r="J2365" s="474" t="s">
        <v>3464</v>
      </c>
      <c r="K2365" s="443" t="s">
        <v>242</v>
      </c>
      <c r="L2365" s="471">
        <v>1</v>
      </c>
      <c r="M2365" s="452" t="s">
        <v>3859</v>
      </c>
      <c r="N2365" s="463">
        <v>8600</v>
      </c>
      <c r="O2365" s="487">
        <f t="shared" si="10"/>
        <v>8600</v>
      </c>
      <c r="P2365" s="435"/>
      <c r="Q2365" s="477">
        <v>46023</v>
      </c>
      <c r="R2365" s="435"/>
      <c r="S2365" s="435"/>
    </row>
    <row r="2366" spans="1:19" ht="15" customHeight="1" x14ac:dyDescent="0.25">
      <c r="A2366" s="438">
        <v>2363</v>
      </c>
      <c r="B2366" s="479" t="s">
        <v>17</v>
      </c>
      <c r="C2366" s="471" t="s">
        <v>18</v>
      </c>
      <c r="D2366" s="480" t="s">
        <v>2301</v>
      </c>
      <c r="E2366" s="448" t="s">
        <v>4088</v>
      </c>
      <c r="F2366" s="448" t="s">
        <v>4106</v>
      </c>
      <c r="G2366" s="452" t="s">
        <v>3955</v>
      </c>
      <c r="H2366" s="441" t="s">
        <v>3029</v>
      </c>
      <c r="I2366" s="474" t="s">
        <v>3459</v>
      </c>
      <c r="J2366" s="474" t="s">
        <v>3463</v>
      </c>
      <c r="K2366" s="443" t="s">
        <v>940</v>
      </c>
      <c r="L2366" s="471">
        <v>1</v>
      </c>
      <c r="M2366" s="452" t="s">
        <v>2412</v>
      </c>
      <c r="N2366" s="463">
        <v>850</v>
      </c>
      <c r="O2366" s="487">
        <f t="shared" si="10"/>
        <v>850</v>
      </c>
      <c r="P2366" s="435"/>
      <c r="Q2366" s="477">
        <v>46023</v>
      </c>
      <c r="R2366" s="435"/>
      <c r="S2366" s="435"/>
    </row>
    <row r="2367" spans="1:19" ht="15" customHeight="1" x14ac:dyDescent="0.25">
      <c r="A2367" s="438">
        <v>2364</v>
      </c>
      <c r="B2367" s="479" t="s">
        <v>17</v>
      </c>
      <c r="C2367" s="471" t="s">
        <v>18</v>
      </c>
      <c r="D2367" s="480" t="s">
        <v>2301</v>
      </c>
      <c r="E2367" s="448" t="s">
        <v>4081</v>
      </c>
      <c r="F2367" s="448" t="s">
        <v>2989</v>
      </c>
      <c r="G2367" s="452" t="s">
        <v>3901</v>
      </c>
      <c r="H2367" s="441" t="s">
        <v>108</v>
      </c>
      <c r="I2367" s="474" t="s">
        <v>3457</v>
      </c>
      <c r="J2367" s="474" t="s">
        <v>3464</v>
      </c>
      <c r="K2367" s="443" t="s">
        <v>109</v>
      </c>
      <c r="L2367" s="471">
        <v>1</v>
      </c>
      <c r="M2367" s="452" t="s">
        <v>2413</v>
      </c>
      <c r="N2367" s="463">
        <v>680</v>
      </c>
      <c r="O2367" s="487">
        <f t="shared" si="10"/>
        <v>680</v>
      </c>
      <c r="P2367" s="435"/>
      <c r="Q2367" s="477">
        <v>46023</v>
      </c>
      <c r="R2367" s="435"/>
      <c r="S2367" s="435"/>
    </row>
    <row r="2368" spans="1:19" ht="15" customHeight="1" x14ac:dyDescent="0.25">
      <c r="A2368" s="438">
        <v>2365</v>
      </c>
      <c r="B2368" s="479" t="s">
        <v>17</v>
      </c>
      <c r="C2368" s="471" t="s">
        <v>18</v>
      </c>
      <c r="D2368" s="480" t="s">
        <v>2301</v>
      </c>
      <c r="E2368" s="448" t="s">
        <v>4081</v>
      </c>
      <c r="F2368" s="448" t="s">
        <v>2989</v>
      </c>
      <c r="G2368" s="452" t="s">
        <v>3901</v>
      </c>
      <c r="H2368" s="441" t="s">
        <v>108</v>
      </c>
      <c r="I2368" s="474" t="s">
        <v>3457</v>
      </c>
      <c r="J2368" s="474" t="s">
        <v>3464</v>
      </c>
      <c r="K2368" s="443" t="s">
        <v>109</v>
      </c>
      <c r="L2368" s="471">
        <v>1</v>
      </c>
      <c r="M2368" s="452" t="s">
        <v>2414</v>
      </c>
      <c r="N2368" s="463">
        <v>1800</v>
      </c>
      <c r="O2368" s="487">
        <f t="shared" si="10"/>
        <v>1800</v>
      </c>
      <c r="P2368" s="435"/>
      <c r="Q2368" s="477">
        <v>46023</v>
      </c>
      <c r="R2368" s="435"/>
      <c r="S2368" s="435"/>
    </row>
    <row r="2369" spans="1:19" ht="15" customHeight="1" x14ac:dyDescent="0.25">
      <c r="A2369" s="438">
        <v>2366</v>
      </c>
      <c r="B2369" s="479" t="s">
        <v>17</v>
      </c>
      <c r="C2369" s="471" t="s">
        <v>18</v>
      </c>
      <c r="D2369" s="480" t="s">
        <v>2301</v>
      </c>
      <c r="E2369" s="448" t="s">
        <v>4086</v>
      </c>
      <c r="F2369" s="448" t="s">
        <v>4102</v>
      </c>
      <c r="G2369" s="452" t="s">
        <v>4001</v>
      </c>
      <c r="H2369" s="441" t="s">
        <v>1425</v>
      </c>
      <c r="I2369" s="474" t="s">
        <v>3457</v>
      </c>
      <c r="J2369" s="474" t="s">
        <v>3464</v>
      </c>
      <c r="K2369" s="443" t="s">
        <v>1362</v>
      </c>
      <c r="L2369" s="471">
        <v>1</v>
      </c>
      <c r="M2369" s="452" t="s">
        <v>3860</v>
      </c>
      <c r="N2369" s="463">
        <v>25000</v>
      </c>
      <c r="O2369" s="487">
        <f t="shared" si="10"/>
        <v>25000</v>
      </c>
      <c r="P2369" s="435"/>
      <c r="Q2369" s="477">
        <v>46023</v>
      </c>
      <c r="R2369" s="435"/>
      <c r="S2369" s="435"/>
    </row>
    <row r="2370" spans="1:19" ht="15" customHeight="1" x14ac:dyDescent="0.25">
      <c r="A2370" s="438">
        <v>2367</v>
      </c>
      <c r="B2370" s="479" t="s">
        <v>17</v>
      </c>
      <c r="C2370" s="471" t="s">
        <v>18</v>
      </c>
      <c r="D2370" s="480" t="s">
        <v>2301</v>
      </c>
      <c r="E2370" s="448" t="s">
        <v>4080</v>
      </c>
      <c r="F2370" s="448" t="s">
        <v>4080</v>
      </c>
      <c r="G2370" s="452" t="s">
        <v>4012</v>
      </c>
      <c r="H2370" s="441" t="s">
        <v>3437</v>
      </c>
      <c r="I2370" s="474" t="s">
        <v>3457</v>
      </c>
      <c r="J2370" s="474" t="s">
        <v>3464</v>
      </c>
      <c r="K2370" s="443" t="s">
        <v>1542</v>
      </c>
      <c r="L2370" s="471">
        <v>1</v>
      </c>
      <c r="M2370" s="452" t="s">
        <v>3861</v>
      </c>
      <c r="N2370" s="463">
        <v>8300</v>
      </c>
      <c r="O2370" s="487">
        <f t="shared" si="10"/>
        <v>8300</v>
      </c>
      <c r="P2370" s="435"/>
      <c r="Q2370" s="477">
        <v>46023</v>
      </c>
      <c r="R2370" s="435"/>
      <c r="S2370" s="435"/>
    </row>
    <row r="2371" spans="1:19" ht="15" customHeight="1" x14ac:dyDescent="0.25">
      <c r="A2371" s="438">
        <v>2368</v>
      </c>
      <c r="B2371" s="479" t="s">
        <v>17</v>
      </c>
      <c r="C2371" s="471" t="s">
        <v>18</v>
      </c>
      <c r="D2371" s="480" t="s">
        <v>2301</v>
      </c>
      <c r="E2371" s="448" t="s">
        <v>4086</v>
      </c>
      <c r="F2371" s="448" t="s">
        <v>4103</v>
      </c>
      <c r="G2371" s="452" t="s">
        <v>3058</v>
      </c>
      <c r="H2371" s="441" t="s">
        <v>896</v>
      </c>
      <c r="I2371" s="474" t="s">
        <v>3459</v>
      </c>
      <c r="J2371" s="474" t="s">
        <v>3464</v>
      </c>
      <c r="K2371" s="443" t="s">
        <v>729</v>
      </c>
      <c r="L2371" s="471">
        <v>1</v>
      </c>
      <c r="M2371" s="452" t="s">
        <v>3070</v>
      </c>
      <c r="N2371" s="463">
        <v>22500</v>
      </c>
      <c r="O2371" s="487">
        <f t="shared" si="10"/>
        <v>22500</v>
      </c>
      <c r="P2371" s="435"/>
      <c r="Q2371" s="477">
        <v>46023</v>
      </c>
      <c r="R2371" s="435"/>
      <c r="S2371" s="435"/>
    </row>
    <row r="2372" spans="1:19" ht="15" customHeight="1" x14ac:dyDescent="0.25">
      <c r="A2372" s="438">
        <v>2369</v>
      </c>
      <c r="B2372" s="479" t="s">
        <v>17</v>
      </c>
      <c r="C2372" s="471" t="s">
        <v>18</v>
      </c>
      <c r="D2372" s="480" t="s">
        <v>2301</v>
      </c>
      <c r="E2372" s="448" t="s">
        <v>4086</v>
      </c>
      <c r="F2372" s="448" t="s">
        <v>4114</v>
      </c>
      <c r="G2372" s="452" t="s">
        <v>3058</v>
      </c>
      <c r="H2372" s="441" t="s">
        <v>896</v>
      </c>
      <c r="I2372" s="474" t="s">
        <v>3459</v>
      </c>
      <c r="J2372" s="474" t="s">
        <v>3464</v>
      </c>
      <c r="K2372" s="443" t="s">
        <v>729</v>
      </c>
      <c r="L2372" s="471">
        <v>1</v>
      </c>
      <c r="M2372" s="452" t="s">
        <v>3862</v>
      </c>
      <c r="N2372" s="463">
        <v>8700</v>
      </c>
      <c r="O2372" s="487">
        <f t="shared" si="10"/>
        <v>8700</v>
      </c>
      <c r="P2372" s="435"/>
      <c r="Q2372" s="477">
        <v>46023</v>
      </c>
      <c r="R2372" s="435"/>
      <c r="S2372" s="435"/>
    </row>
    <row r="2373" spans="1:19" ht="15" customHeight="1" x14ac:dyDescent="0.25">
      <c r="A2373" s="438">
        <v>2370</v>
      </c>
      <c r="B2373" s="479" t="s">
        <v>17</v>
      </c>
      <c r="C2373" s="471" t="s">
        <v>18</v>
      </c>
      <c r="D2373" s="480" t="s">
        <v>2301</v>
      </c>
      <c r="E2373" s="448" t="s">
        <v>4091</v>
      </c>
      <c r="F2373" s="448" t="s">
        <v>4114</v>
      </c>
      <c r="G2373" s="452" t="s">
        <v>3058</v>
      </c>
      <c r="H2373" s="441" t="s">
        <v>896</v>
      </c>
      <c r="I2373" s="474" t="s">
        <v>3459</v>
      </c>
      <c r="J2373" s="474" t="s">
        <v>3464</v>
      </c>
      <c r="K2373" s="443" t="s">
        <v>729</v>
      </c>
      <c r="L2373" s="471">
        <v>1</v>
      </c>
      <c r="M2373" s="452" t="s">
        <v>3863</v>
      </c>
      <c r="N2373" s="463">
        <v>8700</v>
      </c>
      <c r="O2373" s="487">
        <f t="shared" si="10"/>
        <v>8700</v>
      </c>
      <c r="P2373" s="435"/>
      <c r="Q2373" s="477">
        <v>46023</v>
      </c>
      <c r="R2373" s="435"/>
      <c r="S2373" s="435"/>
    </row>
    <row r="2374" spans="1:19" ht="15" customHeight="1" x14ac:dyDescent="0.25">
      <c r="A2374" s="438">
        <v>2371</v>
      </c>
      <c r="B2374" s="479" t="s">
        <v>17</v>
      </c>
      <c r="C2374" s="471" t="s">
        <v>18</v>
      </c>
      <c r="D2374" s="480" t="s">
        <v>2301</v>
      </c>
      <c r="E2374" s="448" t="s">
        <v>4080</v>
      </c>
      <c r="F2374" s="448" t="s">
        <v>4080</v>
      </c>
      <c r="G2374" s="452" t="s">
        <v>3058</v>
      </c>
      <c r="H2374" s="441" t="s">
        <v>896</v>
      </c>
      <c r="I2374" s="474" t="s">
        <v>3459</v>
      </c>
      <c r="J2374" s="474" t="s">
        <v>3464</v>
      </c>
      <c r="K2374" s="443" t="s">
        <v>729</v>
      </c>
      <c r="L2374" s="471">
        <v>1</v>
      </c>
      <c r="M2374" s="452" t="s">
        <v>3864</v>
      </c>
      <c r="N2374" s="463">
        <v>22500</v>
      </c>
      <c r="O2374" s="487">
        <f t="shared" ref="O2374:O2420" si="11">N2374*L2374</f>
        <v>22500</v>
      </c>
      <c r="P2374" s="435"/>
      <c r="Q2374" s="477">
        <v>46023</v>
      </c>
      <c r="R2374" s="435"/>
      <c r="S2374" s="435"/>
    </row>
    <row r="2375" spans="1:19" ht="15" customHeight="1" x14ac:dyDescent="0.25">
      <c r="A2375" s="438">
        <v>2372</v>
      </c>
      <c r="B2375" s="479" t="s">
        <v>17</v>
      </c>
      <c r="C2375" s="471" t="s">
        <v>18</v>
      </c>
      <c r="D2375" s="480" t="s">
        <v>2301</v>
      </c>
      <c r="E2375" s="448" t="s">
        <v>4088</v>
      </c>
      <c r="F2375" s="448" t="s">
        <v>4104</v>
      </c>
      <c r="G2375" s="452" t="s">
        <v>3223</v>
      </c>
      <c r="H2375" s="441" t="s">
        <v>466</v>
      </c>
      <c r="I2375" s="474" t="s">
        <v>3459</v>
      </c>
      <c r="J2375" s="474" t="s">
        <v>3464</v>
      </c>
      <c r="K2375" s="443" t="s">
        <v>404</v>
      </c>
      <c r="L2375" s="471">
        <v>1</v>
      </c>
      <c r="M2375" s="452" t="s">
        <v>3865</v>
      </c>
      <c r="N2375" s="463">
        <v>3600</v>
      </c>
      <c r="O2375" s="487">
        <f t="shared" si="11"/>
        <v>3600</v>
      </c>
      <c r="P2375" s="435"/>
      <c r="Q2375" s="477">
        <v>46023</v>
      </c>
      <c r="R2375" s="435"/>
      <c r="S2375" s="435"/>
    </row>
    <row r="2376" spans="1:19" ht="15" customHeight="1" x14ac:dyDescent="0.25">
      <c r="A2376" s="438">
        <v>2373</v>
      </c>
      <c r="B2376" s="479" t="s">
        <v>17</v>
      </c>
      <c r="C2376" s="471" t="s">
        <v>18</v>
      </c>
      <c r="D2376" s="480" t="s">
        <v>2301</v>
      </c>
      <c r="E2376" s="448" t="s">
        <v>4085</v>
      </c>
      <c r="F2376" s="448" t="s">
        <v>3026</v>
      </c>
      <c r="G2376" s="452" t="s">
        <v>4007</v>
      </c>
      <c r="H2376" s="441" t="s">
        <v>3417</v>
      </c>
      <c r="I2376" s="474" t="s">
        <v>3457</v>
      </c>
      <c r="J2376" s="474" t="s">
        <v>3464</v>
      </c>
      <c r="K2376" s="443" t="s">
        <v>3475</v>
      </c>
      <c r="L2376" s="471">
        <v>1</v>
      </c>
      <c r="M2376" s="452" t="s">
        <v>3017</v>
      </c>
      <c r="N2376" s="463">
        <v>50000</v>
      </c>
      <c r="O2376" s="487">
        <f t="shared" si="11"/>
        <v>50000</v>
      </c>
      <c r="P2376" s="435"/>
      <c r="Q2376" s="477">
        <v>46023</v>
      </c>
      <c r="R2376" s="435"/>
      <c r="S2376" s="435"/>
    </row>
    <row r="2377" spans="1:19" ht="15" customHeight="1" x14ac:dyDescent="0.25">
      <c r="A2377" s="438">
        <v>2374</v>
      </c>
      <c r="B2377" s="479" t="s">
        <v>17</v>
      </c>
      <c r="C2377" s="471" t="s">
        <v>18</v>
      </c>
      <c r="D2377" s="480" t="s">
        <v>2301</v>
      </c>
      <c r="E2377" s="448" t="s">
        <v>4085</v>
      </c>
      <c r="F2377" s="448" t="s">
        <v>2985</v>
      </c>
      <c r="G2377" s="452" t="s">
        <v>3058</v>
      </c>
      <c r="H2377" s="441" t="s">
        <v>896</v>
      </c>
      <c r="I2377" s="474" t="s">
        <v>3459</v>
      </c>
      <c r="J2377" s="474" t="s">
        <v>3464</v>
      </c>
      <c r="K2377" s="443" t="s">
        <v>729</v>
      </c>
      <c r="L2377" s="471">
        <v>1</v>
      </c>
      <c r="M2377" s="452" t="s">
        <v>3866</v>
      </c>
      <c r="N2377" s="463">
        <v>19200</v>
      </c>
      <c r="O2377" s="487">
        <f t="shared" si="11"/>
        <v>19200</v>
      </c>
      <c r="P2377" s="435"/>
      <c r="Q2377" s="477">
        <v>46023</v>
      </c>
      <c r="R2377" s="435"/>
      <c r="S2377" s="435"/>
    </row>
    <row r="2378" spans="1:19" ht="15" customHeight="1" x14ac:dyDescent="0.25">
      <c r="A2378" s="438">
        <v>2375</v>
      </c>
      <c r="B2378" s="479" t="s">
        <v>17</v>
      </c>
      <c r="C2378" s="471" t="s">
        <v>18</v>
      </c>
      <c r="D2378" s="480" t="s">
        <v>2301</v>
      </c>
      <c r="E2378" s="448" t="s">
        <v>4085</v>
      </c>
      <c r="F2378" s="448" t="s">
        <v>2985</v>
      </c>
      <c r="G2378" s="452" t="s">
        <v>3058</v>
      </c>
      <c r="H2378" s="441" t="s">
        <v>896</v>
      </c>
      <c r="I2378" s="474" t="s">
        <v>3459</v>
      </c>
      <c r="J2378" s="474" t="s">
        <v>3464</v>
      </c>
      <c r="K2378" s="443" t="s">
        <v>729</v>
      </c>
      <c r="L2378" s="471">
        <v>1</v>
      </c>
      <c r="M2378" s="452" t="s">
        <v>3867</v>
      </c>
      <c r="N2378" s="463">
        <v>19200</v>
      </c>
      <c r="O2378" s="487">
        <f t="shared" si="11"/>
        <v>19200</v>
      </c>
      <c r="P2378" s="435"/>
      <c r="Q2378" s="477">
        <v>46023</v>
      </c>
      <c r="R2378" s="435"/>
      <c r="S2378" s="435"/>
    </row>
    <row r="2379" spans="1:19" ht="15" customHeight="1" x14ac:dyDescent="0.25">
      <c r="A2379" s="438">
        <v>2376</v>
      </c>
      <c r="B2379" s="479" t="s">
        <v>17</v>
      </c>
      <c r="C2379" s="471" t="s">
        <v>18</v>
      </c>
      <c r="D2379" s="480" t="s">
        <v>2301</v>
      </c>
      <c r="E2379" s="448" t="s">
        <v>4085</v>
      </c>
      <c r="F2379" s="448" t="s">
        <v>2985</v>
      </c>
      <c r="G2379" s="452" t="s">
        <v>3058</v>
      </c>
      <c r="H2379" s="441" t="s">
        <v>896</v>
      </c>
      <c r="I2379" s="474" t="s">
        <v>3459</v>
      </c>
      <c r="J2379" s="474" t="s">
        <v>3464</v>
      </c>
      <c r="K2379" s="443" t="s">
        <v>729</v>
      </c>
      <c r="L2379" s="471">
        <v>1</v>
      </c>
      <c r="M2379" s="452" t="s">
        <v>3868</v>
      </c>
      <c r="N2379" s="463">
        <v>19200</v>
      </c>
      <c r="O2379" s="487">
        <f t="shared" si="11"/>
        <v>19200</v>
      </c>
      <c r="P2379" s="435"/>
      <c r="Q2379" s="477">
        <v>46023</v>
      </c>
      <c r="R2379" s="435"/>
      <c r="S2379" s="435"/>
    </row>
    <row r="2380" spans="1:19" ht="15" customHeight="1" x14ac:dyDescent="0.25">
      <c r="A2380" s="438">
        <v>2377</v>
      </c>
      <c r="B2380" s="479" t="s">
        <v>17</v>
      </c>
      <c r="C2380" s="471" t="s">
        <v>18</v>
      </c>
      <c r="D2380" s="480" t="s">
        <v>2301</v>
      </c>
      <c r="E2380" s="448" t="s">
        <v>4091</v>
      </c>
      <c r="F2380" s="448" t="s">
        <v>4115</v>
      </c>
      <c r="G2380" s="452" t="s">
        <v>4012</v>
      </c>
      <c r="H2380" s="441" t="s">
        <v>3430</v>
      </c>
      <c r="I2380" s="474" t="s">
        <v>3457</v>
      </c>
      <c r="J2380" s="474" t="s">
        <v>3464</v>
      </c>
      <c r="K2380" s="443" t="s">
        <v>1542</v>
      </c>
      <c r="L2380" s="471">
        <v>1</v>
      </c>
      <c r="M2380" s="452" t="s">
        <v>3869</v>
      </c>
      <c r="N2380" s="463">
        <v>27500</v>
      </c>
      <c r="O2380" s="487">
        <f t="shared" si="11"/>
        <v>27500</v>
      </c>
      <c r="P2380" s="435"/>
      <c r="Q2380" s="477">
        <v>46023</v>
      </c>
      <c r="R2380" s="435"/>
      <c r="S2380" s="435"/>
    </row>
    <row r="2381" spans="1:19" ht="15" customHeight="1" x14ac:dyDescent="0.25">
      <c r="A2381" s="438">
        <v>2378</v>
      </c>
      <c r="B2381" s="479" t="s">
        <v>17</v>
      </c>
      <c r="C2381" s="471" t="s">
        <v>18</v>
      </c>
      <c r="D2381" s="480" t="s">
        <v>2301</v>
      </c>
      <c r="E2381" s="448" t="s">
        <v>4085</v>
      </c>
      <c r="F2381" s="448" t="s">
        <v>2982</v>
      </c>
      <c r="G2381" s="452" t="s">
        <v>4012</v>
      </c>
      <c r="H2381" s="441" t="s">
        <v>3430</v>
      </c>
      <c r="I2381" s="474" t="s">
        <v>3457</v>
      </c>
      <c r="J2381" s="474" t="s">
        <v>3464</v>
      </c>
      <c r="K2381" s="443" t="s">
        <v>1542</v>
      </c>
      <c r="L2381" s="471">
        <v>1</v>
      </c>
      <c r="M2381" s="452" t="s">
        <v>3870</v>
      </c>
      <c r="N2381" s="463">
        <v>27500</v>
      </c>
      <c r="O2381" s="487">
        <f t="shared" si="11"/>
        <v>27500</v>
      </c>
      <c r="P2381" s="435"/>
      <c r="Q2381" s="477">
        <v>46023</v>
      </c>
      <c r="R2381" s="435"/>
      <c r="S2381" s="435"/>
    </row>
    <row r="2382" spans="1:19" ht="15" customHeight="1" x14ac:dyDescent="0.25">
      <c r="A2382" s="438">
        <v>2379</v>
      </c>
      <c r="B2382" s="479" t="s">
        <v>17</v>
      </c>
      <c r="C2382" s="471" t="s">
        <v>18</v>
      </c>
      <c r="D2382" s="480" t="s">
        <v>2301</v>
      </c>
      <c r="E2382" s="448" t="s">
        <v>4083</v>
      </c>
      <c r="F2382" s="448" t="s">
        <v>2988</v>
      </c>
      <c r="G2382" s="452" t="s">
        <v>3980</v>
      </c>
      <c r="H2382" s="441" t="s">
        <v>1153</v>
      </c>
      <c r="I2382" s="474" t="s">
        <v>3459</v>
      </c>
      <c r="J2382" s="474" t="s">
        <v>3464</v>
      </c>
      <c r="K2382" s="443" t="s">
        <v>1136</v>
      </c>
      <c r="L2382" s="471">
        <v>1</v>
      </c>
      <c r="M2382" s="452" t="s">
        <v>3871</v>
      </c>
      <c r="N2382" s="463">
        <v>9900</v>
      </c>
      <c r="O2382" s="487">
        <f t="shared" si="11"/>
        <v>9900</v>
      </c>
      <c r="P2382" s="435"/>
      <c r="Q2382" s="477">
        <v>46023</v>
      </c>
      <c r="R2382" s="435"/>
      <c r="S2382" s="435"/>
    </row>
    <row r="2383" spans="1:19" ht="15" customHeight="1" x14ac:dyDescent="0.25">
      <c r="A2383" s="438">
        <v>2380</v>
      </c>
      <c r="B2383" s="479" t="s">
        <v>17</v>
      </c>
      <c r="C2383" s="471" t="s">
        <v>18</v>
      </c>
      <c r="D2383" s="480" t="s">
        <v>2301</v>
      </c>
      <c r="E2383" s="448" t="s">
        <v>4083</v>
      </c>
      <c r="F2383" s="448" t="s">
        <v>2988</v>
      </c>
      <c r="G2383" s="452" t="s">
        <v>3980</v>
      </c>
      <c r="H2383" s="441" t="s">
        <v>1153</v>
      </c>
      <c r="I2383" s="474" t="s">
        <v>3459</v>
      </c>
      <c r="J2383" s="474" t="s">
        <v>3464</v>
      </c>
      <c r="K2383" s="443" t="s">
        <v>1136</v>
      </c>
      <c r="L2383" s="471">
        <v>1</v>
      </c>
      <c r="M2383" s="452" t="s">
        <v>3872</v>
      </c>
      <c r="N2383" s="463">
        <v>9900</v>
      </c>
      <c r="O2383" s="487">
        <f t="shared" si="11"/>
        <v>9900</v>
      </c>
      <c r="P2383" s="435"/>
      <c r="Q2383" s="477">
        <v>46023</v>
      </c>
      <c r="R2383" s="435"/>
      <c r="S2383" s="435"/>
    </row>
    <row r="2384" spans="1:19" ht="15" customHeight="1" x14ac:dyDescent="0.25">
      <c r="A2384" s="438">
        <v>2381</v>
      </c>
      <c r="B2384" s="479" t="s">
        <v>17</v>
      </c>
      <c r="C2384" s="471" t="s">
        <v>18</v>
      </c>
      <c r="D2384" s="480" t="s">
        <v>2301</v>
      </c>
      <c r="E2384" s="448" t="s">
        <v>3047</v>
      </c>
      <c r="F2384" s="448" t="s">
        <v>3047</v>
      </c>
      <c r="G2384" s="452" t="s">
        <v>3065</v>
      </c>
      <c r="H2384" s="441" t="s">
        <v>2349</v>
      </c>
      <c r="I2384" s="474" t="s">
        <v>3459</v>
      </c>
      <c r="J2384" s="474" t="s">
        <v>3464</v>
      </c>
      <c r="K2384" s="443" t="s">
        <v>349</v>
      </c>
      <c r="L2384" s="471">
        <v>1</v>
      </c>
      <c r="M2384" s="452" t="s">
        <v>3873</v>
      </c>
      <c r="N2384" s="463">
        <v>11000</v>
      </c>
      <c r="O2384" s="487">
        <f t="shared" si="11"/>
        <v>11000</v>
      </c>
      <c r="P2384" s="435"/>
      <c r="Q2384" s="477">
        <v>46023</v>
      </c>
      <c r="R2384" s="435"/>
      <c r="S2384" s="435"/>
    </row>
    <row r="2385" spans="1:19" ht="15" customHeight="1" x14ac:dyDescent="0.25">
      <c r="A2385" s="438">
        <v>2382</v>
      </c>
      <c r="B2385" s="479" t="s">
        <v>17</v>
      </c>
      <c r="C2385" s="471" t="s">
        <v>18</v>
      </c>
      <c r="D2385" s="480" t="s">
        <v>2301</v>
      </c>
      <c r="E2385" s="448" t="s">
        <v>4084</v>
      </c>
      <c r="F2385" s="448" t="s">
        <v>4096</v>
      </c>
      <c r="G2385" s="452" t="s">
        <v>3923</v>
      </c>
      <c r="H2385" s="441" t="s">
        <v>3438</v>
      </c>
      <c r="I2385" s="474" t="s">
        <v>3461</v>
      </c>
      <c r="J2385" s="474" t="s">
        <v>3464</v>
      </c>
      <c r="K2385" s="443" t="s">
        <v>340</v>
      </c>
      <c r="L2385" s="471">
        <v>1</v>
      </c>
      <c r="M2385" s="452" t="s">
        <v>3874</v>
      </c>
      <c r="N2385" s="463">
        <v>17000</v>
      </c>
      <c r="O2385" s="487">
        <f t="shared" si="11"/>
        <v>17000</v>
      </c>
      <c r="P2385" s="435"/>
      <c r="Q2385" s="477">
        <v>46023</v>
      </c>
      <c r="R2385" s="435"/>
      <c r="S2385" s="435"/>
    </row>
    <row r="2386" spans="1:19" ht="15" customHeight="1" x14ac:dyDescent="0.25">
      <c r="A2386" s="438">
        <v>2383</v>
      </c>
      <c r="B2386" s="479" t="s">
        <v>17</v>
      </c>
      <c r="C2386" s="471" t="s">
        <v>18</v>
      </c>
      <c r="D2386" s="480" t="s">
        <v>2301</v>
      </c>
      <c r="E2386" s="448" t="s">
        <v>3249</v>
      </c>
      <c r="F2386" s="448" t="s">
        <v>4119</v>
      </c>
      <c r="G2386" s="452" t="s">
        <v>2298</v>
      </c>
      <c r="H2386" s="441" t="s">
        <v>3439</v>
      </c>
      <c r="I2386" s="474" t="s">
        <v>3457</v>
      </c>
      <c r="J2386" s="474" t="s">
        <v>3463</v>
      </c>
      <c r="K2386" s="443" t="s">
        <v>1292</v>
      </c>
      <c r="L2386" s="471">
        <v>1</v>
      </c>
      <c r="M2386" s="452" t="s">
        <v>3875</v>
      </c>
      <c r="N2386" s="463">
        <v>7600</v>
      </c>
      <c r="O2386" s="487">
        <f t="shared" si="11"/>
        <v>7600</v>
      </c>
      <c r="P2386" s="435"/>
      <c r="Q2386" s="477">
        <v>46023</v>
      </c>
      <c r="R2386" s="435"/>
      <c r="S2386" s="435"/>
    </row>
    <row r="2387" spans="1:19" ht="15" customHeight="1" x14ac:dyDescent="0.25">
      <c r="A2387" s="438">
        <v>2384</v>
      </c>
      <c r="B2387" s="479" t="s">
        <v>17</v>
      </c>
      <c r="C2387" s="471" t="s">
        <v>18</v>
      </c>
      <c r="D2387" s="480" t="s">
        <v>2301</v>
      </c>
      <c r="E2387" s="448" t="s">
        <v>4088</v>
      </c>
      <c r="F2387" s="448" t="s">
        <v>3025</v>
      </c>
      <c r="G2387" s="452" t="s">
        <v>3065</v>
      </c>
      <c r="H2387" s="441" t="s">
        <v>2349</v>
      </c>
      <c r="I2387" s="474" t="s">
        <v>3459</v>
      </c>
      <c r="J2387" s="474" t="s">
        <v>3464</v>
      </c>
      <c r="K2387" s="443" t="s">
        <v>349</v>
      </c>
      <c r="L2387" s="471">
        <v>1</v>
      </c>
      <c r="M2387" s="452" t="s">
        <v>3876</v>
      </c>
      <c r="N2387" s="463">
        <v>1190</v>
      </c>
      <c r="O2387" s="487">
        <f t="shared" si="11"/>
        <v>1190</v>
      </c>
      <c r="P2387" s="435"/>
      <c r="Q2387" s="477">
        <v>46023</v>
      </c>
      <c r="R2387" s="435"/>
      <c r="S2387" s="435"/>
    </row>
    <row r="2388" spans="1:19" ht="15" customHeight="1" x14ac:dyDescent="0.25">
      <c r="A2388" s="438">
        <v>2385</v>
      </c>
      <c r="B2388" s="479" t="s">
        <v>17</v>
      </c>
      <c r="C2388" s="471" t="s">
        <v>18</v>
      </c>
      <c r="D2388" s="480" t="s">
        <v>2301</v>
      </c>
      <c r="E2388" s="448" t="s">
        <v>4088</v>
      </c>
      <c r="F2388" s="448" t="s">
        <v>3025</v>
      </c>
      <c r="G2388" s="452" t="s">
        <v>3065</v>
      </c>
      <c r="H2388" s="441" t="s">
        <v>2349</v>
      </c>
      <c r="I2388" s="474" t="s">
        <v>3459</v>
      </c>
      <c r="J2388" s="474" t="s">
        <v>3464</v>
      </c>
      <c r="K2388" s="443" t="s">
        <v>349</v>
      </c>
      <c r="L2388" s="471">
        <v>1</v>
      </c>
      <c r="M2388" s="452" t="s">
        <v>3877</v>
      </c>
      <c r="N2388" s="463">
        <v>1190</v>
      </c>
      <c r="O2388" s="487">
        <f t="shared" si="11"/>
        <v>1190</v>
      </c>
      <c r="P2388" s="435"/>
      <c r="Q2388" s="477">
        <v>46023</v>
      </c>
      <c r="R2388" s="435"/>
      <c r="S2388" s="435"/>
    </row>
    <row r="2389" spans="1:19" ht="15" customHeight="1" x14ac:dyDescent="0.25">
      <c r="A2389" s="438">
        <v>2386</v>
      </c>
      <c r="B2389" s="479" t="s">
        <v>17</v>
      </c>
      <c r="C2389" s="471" t="s">
        <v>18</v>
      </c>
      <c r="D2389" s="480" t="s">
        <v>2301</v>
      </c>
      <c r="E2389" s="448" t="s">
        <v>4091</v>
      </c>
      <c r="F2389" s="448" t="s">
        <v>4110</v>
      </c>
      <c r="G2389" s="452" t="s">
        <v>3065</v>
      </c>
      <c r="H2389" s="441" t="s">
        <v>2349</v>
      </c>
      <c r="I2389" s="474" t="s">
        <v>3459</v>
      </c>
      <c r="J2389" s="474" t="s">
        <v>3464</v>
      </c>
      <c r="K2389" s="443" t="s">
        <v>349</v>
      </c>
      <c r="L2389" s="471">
        <v>1</v>
      </c>
      <c r="M2389" s="452" t="s">
        <v>3878</v>
      </c>
      <c r="N2389" s="463">
        <v>1190</v>
      </c>
      <c r="O2389" s="487">
        <f t="shared" si="11"/>
        <v>1190</v>
      </c>
      <c r="P2389" s="435"/>
      <c r="Q2389" s="477">
        <v>46023</v>
      </c>
      <c r="R2389" s="435"/>
      <c r="S2389" s="435"/>
    </row>
    <row r="2390" spans="1:19" ht="15" customHeight="1" x14ac:dyDescent="0.25">
      <c r="A2390" s="438">
        <v>2387</v>
      </c>
      <c r="B2390" s="479" t="s">
        <v>17</v>
      </c>
      <c r="C2390" s="471" t="s">
        <v>18</v>
      </c>
      <c r="D2390" s="480" t="s">
        <v>2301</v>
      </c>
      <c r="E2390" s="448" t="s">
        <v>4087</v>
      </c>
      <c r="F2390" s="448" t="s">
        <v>4098</v>
      </c>
      <c r="G2390" s="452" t="s">
        <v>3065</v>
      </c>
      <c r="H2390" s="441" t="s">
        <v>2349</v>
      </c>
      <c r="I2390" s="474" t="s">
        <v>3459</v>
      </c>
      <c r="J2390" s="474" t="s">
        <v>3464</v>
      </c>
      <c r="K2390" s="443" t="s">
        <v>349</v>
      </c>
      <c r="L2390" s="471">
        <v>1</v>
      </c>
      <c r="M2390" s="452" t="s">
        <v>3879</v>
      </c>
      <c r="N2390" s="463">
        <v>1190</v>
      </c>
      <c r="O2390" s="487">
        <f t="shared" si="11"/>
        <v>1190</v>
      </c>
      <c r="P2390" s="435"/>
      <c r="Q2390" s="477">
        <v>46023</v>
      </c>
      <c r="R2390" s="435"/>
      <c r="S2390" s="435"/>
    </row>
    <row r="2391" spans="1:19" ht="15" customHeight="1" x14ac:dyDescent="0.25">
      <c r="A2391" s="438">
        <v>2388</v>
      </c>
      <c r="B2391" s="479" t="s">
        <v>17</v>
      </c>
      <c r="C2391" s="471" t="s">
        <v>18</v>
      </c>
      <c r="D2391" s="480" t="s">
        <v>2301</v>
      </c>
      <c r="E2391" s="448" t="s">
        <v>4080</v>
      </c>
      <c r="F2391" s="448" t="s">
        <v>4080</v>
      </c>
      <c r="G2391" s="452" t="s">
        <v>3065</v>
      </c>
      <c r="H2391" s="441" t="s">
        <v>2349</v>
      </c>
      <c r="I2391" s="474" t="s">
        <v>3459</v>
      </c>
      <c r="J2391" s="474" t="s">
        <v>3464</v>
      </c>
      <c r="K2391" s="443" t="s">
        <v>349</v>
      </c>
      <c r="L2391" s="471">
        <v>1</v>
      </c>
      <c r="M2391" s="452" t="s">
        <v>3880</v>
      </c>
      <c r="N2391" s="463">
        <v>1190</v>
      </c>
      <c r="O2391" s="487">
        <f t="shared" si="11"/>
        <v>1190</v>
      </c>
      <c r="P2391" s="435"/>
      <c r="Q2391" s="477">
        <v>46023</v>
      </c>
      <c r="R2391" s="435"/>
      <c r="S2391" s="435"/>
    </row>
    <row r="2392" spans="1:19" ht="15" customHeight="1" x14ac:dyDescent="0.25">
      <c r="A2392" s="438">
        <v>2389</v>
      </c>
      <c r="B2392" s="479" t="s">
        <v>17</v>
      </c>
      <c r="C2392" s="471" t="s">
        <v>18</v>
      </c>
      <c r="D2392" s="480" t="s">
        <v>2301</v>
      </c>
      <c r="E2392" s="448" t="s">
        <v>3249</v>
      </c>
      <c r="F2392" s="448" t="s">
        <v>4119</v>
      </c>
      <c r="G2392" s="452" t="s">
        <v>2298</v>
      </c>
      <c r="H2392" s="441" t="s">
        <v>3440</v>
      </c>
      <c r="I2392" s="474" t="s">
        <v>3457</v>
      </c>
      <c r="J2392" s="474" t="s">
        <v>3463</v>
      </c>
      <c r="K2392" s="443" t="s">
        <v>1292</v>
      </c>
      <c r="L2392" s="471">
        <v>1</v>
      </c>
      <c r="M2392" s="452" t="s">
        <v>3881</v>
      </c>
      <c r="N2392" s="463">
        <v>1600</v>
      </c>
      <c r="O2392" s="487">
        <f t="shared" si="11"/>
        <v>1600</v>
      </c>
      <c r="P2392" s="435"/>
      <c r="Q2392" s="477">
        <v>46023</v>
      </c>
      <c r="R2392" s="435"/>
      <c r="S2392" s="435"/>
    </row>
    <row r="2393" spans="1:19" ht="15" customHeight="1" x14ac:dyDescent="0.25">
      <c r="A2393" s="438">
        <v>2390</v>
      </c>
      <c r="B2393" s="479" t="s">
        <v>17</v>
      </c>
      <c r="C2393" s="471" t="s">
        <v>18</v>
      </c>
      <c r="D2393" s="480" t="s">
        <v>2301</v>
      </c>
      <c r="E2393" s="448" t="s">
        <v>4089</v>
      </c>
      <c r="F2393" s="448" t="s">
        <v>4108</v>
      </c>
      <c r="G2393" s="452" t="s">
        <v>2289</v>
      </c>
      <c r="H2393" s="441" t="s">
        <v>3441</v>
      </c>
      <c r="I2393" s="474" t="s">
        <v>3457</v>
      </c>
      <c r="J2393" s="474" t="s">
        <v>3463</v>
      </c>
      <c r="K2393" s="443" t="s">
        <v>1356</v>
      </c>
      <c r="L2393" s="471">
        <v>1</v>
      </c>
      <c r="M2393" s="452" t="s">
        <v>3882</v>
      </c>
      <c r="N2393" s="463">
        <v>471485.56</v>
      </c>
      <c r="O2393" s="487">
        <f t="shared" si="11"/>
        <v>471485.56</v>
      </c>
      <c r="P2393" s="435"/>
      <c r="Q2393" s="477">
        <v>46023</v>
      </c>
      <c r="R2393" s="435"/>
      <c r="S2393" s="435"/>
    </row>
    <row r="2394" spans="1:19" ht="15" customHeight="1" x14ac:dyDescent="0.25">
      <c r="A2394" s="438">
        <v>2391</v>
      </c>
      <c r="B2394" s="479" t="s">
        <v>17</v>
      </c>
      <c r="C2394" s="471" t="s">
        <v>18</v>
      </c>
      <c r="D2394" s="480" t="s">
        <v>2301</v>
      </c>
      <c r="E2394" s="448" t="s">
        <v>4089</v>
      </c>
      <c r="F2394" s="448" t="s">
        <v>4108</v>
      </c>
      <c r="G2394" s="452" t="s">
        <v>3935</v>
      </c>
      <c r="H2394" s="441" t="s">
        <v>3442</v>
      </c>
      <c r="I2394" s="474" t="s">
        <v>3459</v>
      </c>
      <c r="J2394" s="474" t="s">
        <v>3464</v>
      </c>
      <c r="K2394" s="443" t="s">
        <v>642</v>
      </c>
      <c r="L2394" s="471">
        <v>1</v>
      </c>
      <c r="M2394" s="452" t="s">
        <v>3883</v>
      </c>
      <c r="N2394" s="463">
        <v>10000</v>
      </c>
      <c r="O2394" s="487">
        <f t="shared" si="11"/>
        <v>10000</v>
      </c>
      <c r="P2394" s="435"/>
      <c r="Q2394" s="477">
        <v>46023</v>
      </c>
      <c r="R2394" s="435"/>
      <c r="S2394" s="435"/>
    </row>
    <row r="2395" spans="1:19" ht="15" customHeight="1" x14ac:dyDescent="0.25">
      <c r="A2395" s="438">
        <v>2392</v>
      </c>
      <c r="B2395" s="479" t="s">
        <v>17</v>
      </c>
      <c r="C2395" s="471" t="s">
        <v>18</v>
      </c>
      <c r="D2395" s="480" t="s">
        <v>2301</v>
      </c>
      <c r="E2395" s="448" t="s">
        <v>4084</v>
      </c>
      <c r="F2395" s="448" t="s">
        <v>4096</v>
      </c>
      <c r="G2395" s="452" t="s">
        <v>3923</v>
      </c>
      <c r="H2395" s="441" t="s">
        <v>3443</v>
      </c>
      <c r="I2395" s="474" t="s">
        <v>3461</v>
      </c>
      <c r="J2395" s="474" t="s">
        <v>3464</v>
      </c>
      <c r="K2395" s="443" t="s">
        <v>340</v>
      </c>
      <c r="L2395" s="471">
        <v>1</v>
      </c>
      <c r="M2395" s="452" t="s">
        <v>3884</v>
      </c>
      <c r="N2395" s="463">
        <v>19900</v>
      </c>
      <c r="O2395" s="487">
        <f t="shared" si="11"/>
        <v>19900</v>
      </c>
      <c r="P2395" s="435"/>
      <c r="Q2395" s="477">
        <v>46023</v>
      </c>
      <c r="R2395" s="435"/>
      <c r="S2395" s="435"/>
    </row>
    <row r="2396" spans="1:19" ht="15" customHeight="1" x14ac:dyDescent="0.25">
      <c r="A2396" s="438">
        <v>2393</v>
      </c>
      <c r="B2396" s="479" t="s">
        <v>17</v>
      </c>
      <c r="C2396" s="471" t="s">
        <v>18</v>
      </c>
      <c r="D2396" s="480" t="s">
        <v>2301</v>
      </c>
      <c r="E2396" s="448" t="s">
        <v>4084</v>
      </c>
      <c r="F2396" s="448" t="s">
        <v>4096</v>
      </c>
      <c r="G2396" s="452" t="s">
        <v>3923</v>
      </c>
      <c r="H2396" s="441" t="s">
        <v>3443</v>
      </c>
      <c r="I2396" s="474" t="s">
        <v>3461</v>
      </c>
      <c r="J2396" s="474" t="s">
        <v>3464</v>
      </c>
      <c r="K2396" s="443" t="s">
        <v>340</v>
      </c>
      <c r="L2396" s="471">
        <v>1</v>
      </c>
      <c r="M2396" s="452" t="s">
        <v>3885</v>
      </c>
      <c r="N2396" s="463">
        <v>19900</v>
      </c>
      <c r="O2396" s="487">
        <f t="shared" si="11"/>
        <v>19900</v>
      </c>
      <c r="P2396" s="435"/>
      <c r="Q2396" s="477">
        <v>46023</v>
      </c>
      <c r="R2396" s="435"/>
      <c r="S2396" s="435"/>
    </row>
    <row r="2397" spans="1:19" ht="15" customHeight="1" x14ac:dyDescent="0.25">
      <c r="A2397" s="438">
        <v>2394</v>
      </c>
      <c r="B2397" s="479" t="s">
        <v>17</v>
      </c>
      <c r="C2397" s="471" t="s">
        <v>18</v>
      </c>
      <c r="D2397" s="480" t="s">
        <v>2301</v>
      </c>
      <c r="E2397" s="448" t="s">
        <v>4084</v>
      </c>
      <c r="F2397" s="448" t="s">
        <v>4096</v>
      </c>
      <c r="G2397" s="452" t="s">
        <v>4057</v>
      </c>
      <c r="H2397" s="441" t="s">
        <v>3444</v>
      </c>
      <c r="I2397" s="474" t="s">
        <v>3459</v>
      </c>
      <c r="J2397" s="474" t="s">
        <v>3464</v>
      </c>
      <c r="K2397" s="443" t="s">
        <v>2237</v>
      </c>
      <c r="L2397" s="471">
        <v>1</v>
      </c>
      <c r="M2397" s="452" t="s">
        <v>3886</v>
      </c>
      <c r="N2397" s="463">
        <v>49999</v>
      </c>
      <c r="O2397" s="487">
        <f t="shared" si="11"/>
        <v>49999</v>
      </c>
      <c r="P2397" s="435"/>
      <c r="Q2397" s="477">
        <v>46023</v>
      </c>
      <c r="R2397" s="435"/>
      <c r="S2397" s="435"/>
    </row>
    <row r="2398" spans="1:19" ht="15" customHeight="1" x14ac:dyDescent="0.25">
      <c r="A2398" s="438">
        <v>2395</v>
      </c>
      <c r="B2398" s="479" t="s">
        <v>17</v>
      </c>
      <c r="C2398" s="471" t="s">
        <v>18</v>
      </c>
      <c r="D2398" s="480" t="s">
        <v>2301</v>
      </c>
      <c r="E2398" s="448" t="s">
        <v>4081</v>
      </c>
      <c r="F2398" s="448" t="s">
        <v>2989</v>
      </c>
      <c r="G2398" s="452" t="s">
        <v>3901</v>
      </c>
      <c r="H2398" s="441" t="s">
        <v>108</v>
      </c>
      <c r="I2398" s="474" t="s">
        <v>3457</v>
      </c>
      <c r="J2398" s="474" t="s">
        <v>3464</v>
      </c>
      <c r="K2398" s="443" t="s">
        <v>109</v>
      </c>
      <c r="L2398" s="471">
        <v>1</v>
      </c>
      <c r="M2398" s="452" t="s">
        <v>3887</v>
      </c>
      <c r="N2398" s="463">
        <v>2500</v>
      </c>
      <c r="O2398" s="487">
        <f t="shared" si="11"/>
        <v>2500</v>
      </c>
      <c r="P2398" s="435"/>
      <c r="Q2398" s="477">
        <v>46023</v>
      </c>
      <c r="R2398" s="435"/>
      <c r="S2398" s="435"/>
    </row>
    <row r="2399" spans="1:19" ht="15" customHeight="1" x14ac:dyDescent="0.25">
      <c r="A2399" s="438">
        <v>2396</v>
      </c>
      <c r="B2399" s="479" t="s">
        <v>17</v>
      </c>
      <c r="C2399" s="471" t="s">
        <v>18</v>
      </c>
      <c r="D2399" s="480" t="s">
        <v>2301</v>
      </c>
      <c r="E2399" s="448" t="s">
        <v>2990</v>
      </c>
      <c r="F2399" s="448" t="s">
        <v>2990</v>
      </c>
      <c r="G2399" s="452" t="s">
        <v>3910</v>
      </c>
      <c r="H2399" s="441" t="s">
        <v>164</v>
      </c>
      <c r="I2399" s="474" t="s">
        <v>3459</v>
      </c>
      <c r="J2399" s="474" t="s">
        <v>3463</v>
      </c>
      <c r="K2399" s="443" t="s">
        <v>165</v>
      </c>
      <c r="L2399" s="471">
        <v>1</v>
      </c>
      <c r="M2399" s="452" t="s">
        <v>3888</v>
      </c>
      <c r="N2399" s="463">
        <v>3580</v>
      </c>
      <c r="O2399" s="487">
        <f t="shared" si="11"/>
        <v>3580</v>
      </c>
      <c r="P2399" s="435"/>
      <c r="Q2399" s="477">
        <v>46023</v>
      </c>
      <c r="R2399" s="435"/>
      <c r="S2399" s="435"/>
    </row>
    <row r="2400" spans="1:19" ht="15" customHeight="1" x14ac:dyDescent="0.25">
      <c r="A2400" s="438">
        <v>2397</v>
      </c>
      <c r="B2400" s="479" t="s">
        <v>17</v>
      </c>
      <c r="C2400" s="471" t="s">
        <v>18</v>
      </c>
      <c r="D2400" s="480" t="s">
        <v>2301</v>
      </c>
      <c r="E2400" s="448" t="s">
        <v>4088</v>
      </c>
      <c r="F2400" s="448" t="s">
        <v>4104</v>
      </c>
      <c r="G2400" s="452" t="s">
        <v>3058</v>
      </c>
      <c r="H2400" s="441" t="s">
        <v>896</v>
      </c>
      <c r="I2400" s="474" t="s">
        <v>3459</v>
      </c>
      <c r="J2400" s="474" t="s">
        <v>3464</v>
      </c>
      <c r="K2400" s="443" t="s">
        <v>729</v>
      </c>
      <c r="L2400" s="471">
        <v>1</v>
      </c>
      <c r="M2400" s="452" t="s">
        <v>2410</v>
      </c>
      <c r="N2400" s="463">
        <v>7300</v>
      </c>
      <c r="O2400" s="487">
        <f t="shared" si="11"/>
        <v>7300</v>
      </c>
      <c r="P2400" s="435"/>
      <c r="Q2400" s="477">
        <v>46023</v>
      </c>
      <c r="R2400" s="435"/>
      <c r="S2400" s="435"/>
    </row>
    <row r="2401" spans="1:19" ht="15" customHeight="1" x14ac:dyDescent="0.25">
      <c r="A2401" s="438">
        <v>2398</v>
      </c>
      <c r="B2401" s="479" t="s">
        <v>17</v>
      </c>
      <c r="C2401" s="471" t="s">
        <v>18</v>
      </c>
      <c r="D2401" s="480" t="s">
        <v>2301</v>
      </c>
      <c r="E2401" s="448" t="s">
        <v>4090</v>
      </c>
      <c r="F2401" s="448" t="s">
        <v>2264</v>
      </c>
      <c r="G2401" s="452" t="s">
        <v>4058</v>
      </c>
      <c r="H2401" s="441" t="s">
        <v>3445</v>
      </c>
      <c r="I2401" s="474" t="s">
        <v>3460</v>
      </c>
      <c r="J2401" s="474" t="s">
        <v>3466</v>
      </c>
      <c r="K2401" s="443" t="s">
        <v>2265</v>
      </c>
      <c r="L2401" s="471">
        <v>1</v>
      </c>
      <c r="M2401" s="452" t="s">
        <v>2266</v>
      </c>
      <c r="N2401" s="463">
        <v>1011000</v>
      </c>
      <c r="O2401" s="487">
        <f t="shared" si="11"/>
        <v>1011000</v>
      </c>
      <c r="P2401" s="435"/>
      <c r="Q2401" s="477">
        <v>46023</v>
      </c>
      <c r="R2401" s="435"/>
      <c r="S2401" s="435"/>
    </row>
    <row r="2402" spans="1:19" ht="15" customHeight="1" x14ac:dyDescent="0.25">
      <c r="A2402" s="438">
        <v>2399</v>
      </c>
      <c r="B2402" s="479" t="s">
        <v>17</v>
      </c>
      <c r="C2402" s="471" t="s">
        <v>18</v>
      </c>
      <c r="D2402" s="480" t="s">
        <v>2301</v>
      </c>
      <c r="E2402" s="448" t="s">
        <v>4090</v>
      </c>
      <c r="F2402" s="448" t="s">
        <v>2264</v>
      </c>
      <c r="G2402" s="452" t="s">
        <v>4059</v>
      </c>
      <c r="H2402" s="441" t="s">
        <v>3061</v>
      </c>
      <c r="I2402" s="474" t="s">
        <v>3462</v>
      </c>
      <c r="J2402" s="474" t="s">
        <v>3466</v>
      </c>
      <c r="K2402" s="443" t="s">
        <v>2267</v>
      </c>
      <c r="L2402" s="471">
        <v>1</v>
      </c>
      <c r="M2402" s="452" t="s">
        <v>2268</v>
      </c>
      <c r="N2402" s="463">
        <v>990000</v>
      </c>
      <c r="O2402" s="487">
        <f t="shared" si="11"/>
        <v>990000</v>
      </c>
      <c r="P2402" s="435"/>
      <c r="Q2402" s="477">
        <v>46023</v>
      </c>
      <c r="R2402" s="435"/>
      <c r="S2402" s="435"/>
    </row>
    <row r="2403" spans="1:19" ht="15" customHeight="1" x14ac:dyDescent="0.25">
      <c r="A2403" s="438">
        <v>2400</v>
      </c>
      <c r="B2403" s="479" t="s">
        <v>17</v>
      </c>
      <c r="C2403" s="471" t="s">
        <v>18</v>
      </c>
      <c r="D2403" s="480" t="s">
        <v>2301</v>
      </c>
      <c r="E2403" s="448" t="s">
        <v>4090</v>
      </c>
      <c r="F2403" s="448" t="s">
        <v>2264</v>
      </c>
      <c r="G2403" s="452" t="s">
        <v>4060</v>
      </c>
      <c r="H2403" s="441" t="s">
        <v>3446</v>
      </c>
      <c r="I2403" s="474" t="s">
        <v>3462</v>
      </c>
      <c r="J2403" s="474" t="s">
        <v>3466</v>
      </c>
      <c r="K2403" s="443" t="s">
        <v>2270</v>
      </c>
      <c r="L2403" s="471">
        <v>1</v>
      </c>
      <c r="M2403" s="452" t="s">
        <v>2271</v>
      </c>
      <c r="N2403" s="463">
        <v>2100000</v>
      </c>
      <c r="O2403" s="487">
        <f t="shared" si="11"/>
        <v>2100000</v>
      </c>
      <c r="P2403" s="435"/>
      <c r="Q2403" s="477">
        <v>46023</v>
      </c>
      <c r="R2403" s="435"/>
      <c r="S2403" s="435"/>
    </row>
    <row r="2404" spans="1:19" ht="15" customHeight="1" x14ac:dyDescent="0.25">
      <c r="A2404" s="438">
        <v>2401</v>
      </c>
      <c r="B2404" s="479" t="s">
        <v>17</v>
      </c>
      <c r="C2404" s="471" t="s">
        <v>18</v>
      </c>
      <c r="D2404" s="480" t="s">
        <v>2301</v>
      </c>
      <c r="E2404" s="448" t="s">
        <v>4090</v>
      </c>
      <c r="F2404" s="448" t="s">
        <v>2264</v>
      </c>
      <c r="G2404" s="452" t="s">
        <v>4061</v>
      </c>
      <c r="H2404" s="441" t="s">
        <v>3447</v>
      </c>
      <c r="I2404" s="474" t="s">
        <v>3462</v>
      </c>
      <c r="J2404" s="474" t="s">
        <v>3466</v>
      </c>
      <c r="K2404" s="443" t="s">
        <v>269</v>
      </c>
      <c r="L2404" s="471">
        <v>1</v>
      </c>
      <c r="M2404" s="452" t="s">
        <v>2273</v>
      </c>
      <c r="N2404" s="463">
        <v>219000</v>
      </c>
      <c r="O2404" s="487">
        <f t="shared" si="11"/>
        <v>219000</v>
      </c>
      <c r="P2404" s="435"/>
      <c r="Q2404" s="477">
        <v>46023</v>
      </c>
      <c r="R2404" s="435"/>
      <c r="S2404" s="435"/>
    </row>
    <row r="2405" spans="1:19" ht="15" customHeight="1" x14ac:dyDescent="0.25">
      <c r="A2405" s="438">
        <v>2402</v>
      </c>
      <c r="B2405" s="479" t="s">
        <v>17</v>
      </c>
      <c r="C2405" s="471" t="s">
        <v>18</v>
      </c>
      <c r="D2405" s="480" t="s">
        <v>2301</v>
      </c>
      <c r="E2405" s="448" t="s">
        <v>4082</v>
      </c>
      <c r="F2405" s="448" t="s">
        <v>4082</v>
      </c>
      <c r="G2405" s="452" t="s">
        <v>4062</v>
      </c>
      <c r="H2405" s="441" t="s">
        <v>3448</v>
      </c>
      <c r="I2405" s="474" t="s">
        <v>3458</v>
      </c>
      <c r="J2405" s="474" t="s">
        <v>3466</v>
      </c>
      <c r="K2405" s="443" t="s">
        <v>2274</v>
      </c>
      <c r="L2405" s="471">
        <v>1</v>
      </c>
      <c r="M2405" s="452" t="s">
        <v>2275</v>
      </c>
      <c r="N2405" s="463">
        <v>125000</v>
      </c>
      <c r="O2405" s="487">
        <f t="shared" si="11"/>
        <v>125000</v>
      </c>
      <c r="P2405" s="435"/>
      <c r="Q2405" s="477">
        <v>46023</v>
      </c>
      <c r="R2405" s="435"/>
      <c r="S2405" s="435"/>
    </row>
    <row r="2406" spans="1:19" ht="15" customHeight="1" x14ac:dyDescent="0.25">
      <c r="A2406" s="438">
        <v>2403</v>
      </c>
      <c r="B2406" s="479" t="s">
        <v>17</v>
      </c>
      <c r="C2406" s="471" t="s">
        <v>18</v>
      </c>
      <c r="D2406" s="480" t="s">
        <v>2301</v>
      </c>
      <c r="E2406" s="448" t="s">
        <v>4082</v>
      </c>
      <c r="F2406" s="448" t="s">
        <v>4082</v>
      </c>
      <c r="G2406" s="452" t="s">
        <v>4063</v>
      </c>
      <c r="H2406" s="441" t="s">
        <v>3449</v>
      </c>
      <c r="I2406" s="474" t="s">
        <v>3458</v>
      </c>
      <c r="J2406" s="474" t="s">
        <v>3466</v>
      </c>
      <c r="K2406" s="443" t="s">
        <v>55</v>
      </c>
      <c r="L2406" s="471">
        <v>1</v>
      </c>
      <c r="M2406" s="452" t="s">
        <v>2277</v>
      </c>
      <c r="N2406" s="463">
        <v>90000</v>
      </c>
      <c r="O2406" s="487">
        <f t="shared" si="11"/>
        <v>90000</v>
      </c>
      <c r="P2406" s="435"/>
      <c r="Q2406" s="477">
        <v>46023</v>
      </c>
      <c r="R2406" s="435"/>
      <c r="S2406" s="435"/>
    </row>
    <row r="2407" spans="1:19" ht="15" customHeight="1" x14ac:dyDescent="0.25">
      <c r="A2407" s="438">
        <v>2404</v>
      </c>
      <c r="B2407" s="479" t="s">
        <v>17</v>
      </c>
      <c r="C2407" s="471" t="s">
        <v>18</v>
      </c>
      <c r="D2407" s="480" t="s">
        <v>2301</v>
      </c>
      <c r="E2407" s="448" t="s">
        <v>4081</v>
      </c>
      <c r="F2407" s="448" t="s">
        <v>2989</v>
      </c>
      <c r="G2407" s="452" t="s">
        <v>4064</v>
      </c>
      <c r="H2407" s="441" t="s">
        <v>3450</v>
      </c>
      <c r="I2407" s="474" t="s">
        <v>3458</v>
      </c>
      <c r="J2407" s="474" t="s">
        <v>3466</v>
      </c>
      <c r="K2407" s="443" t="s">
        <v>323</v>
      </c>
      <c r="L2407" s="471">
        <v>1</v>
      </c>
      <c r="M2407" s="452" t="s">
        <v>2279</v>
      </c>
      <c r="N2407" s="463">
        <v>20000</v>
      </c>
      <c r="O2407" s="487">
        <f t="shared" si="11"/>
        <v>20000</v>
      </c>
      <c r="P2407" s="435"/>
      <c r="Q2407" s="477">
        <v>46023</v>
      </c>
      <c r="R2407" s="435"/>
      <c r="S2407" s="435"/>
    </row>
    <row r="2408" spans="1:19" ht="15" customHeight="1" x14ac:dyDescent="0.25">
      <c r="A2408" s="438">
        <v>2405</v>
      </c>
      <c r="B2408" s="479" t="s">
        <v>17</v>
      </c>
      <c r="C2408" s="471" t="s">
        <v>18</v>
      </c>
      <c r="D2408" s="480" t="s">
        <v>2301</v>
      </c>
      <c r="E2408" s="448" t="s">
        <v>4081</v>
      </c>
      <c r="F2408" s="448" t="s">
        <v>2989</v>
      </c>
      <c r="G2408" s="452" t="s">
        <v>4065</v>
      </c>
      <c r="H2408" s="441" t="s">
        <v>3450</v>
      </c>
      <c r="I2408" s="474" t="s">
        <v>3458</v>
      </c>
      <c r="J2408" s="474" t="s">
        <v>3466</v>
      </c>
      <c r="K2408" s="443" t="s">
        <v>323</v>
      </c>
      <c r="L2408" s="471">
        <v>1</v>
      </c>
      <c r="M2408" s="452" t="s">
        <v>2280</v>
      </c>
      <c r="N2408" s="463">
        <v>20000</v>
      </c>
      <c r="O2408" s="487">
        <f t="shared" si="11"/>
        <v>20000</v>
      </c>
      <c r="P2408" s="435"/>
      <c r="Q2408" s="477">
        <v>46023</v>
      </c>
      <c r="R2408" s="435"/>
      <c r="S2408" s="435"/>
    </row>
    <row r="2409" spans="1:19" ht="15" customHeight="1" x14ac:dyDescent="0.25">
      <c r="A2409" s="438">
        <v>2406</v>
      </c>
      <c r="B2409" s="479" t="s">
        <v>17</v>
      </c>
      <c r="C2409" s="471" t="s">
        <v>18</v>
      </c>
      <c r="D2409" s="480" t="s">
        <v>2301</v>
      </c>
      <c r="E2409" s="448" t="s">
        <v>4081</v>
      </c>
      <c r="F2409" s="448" t="s">
        <v>2989</v>
      </c>
      <c r="G2409" s="452" t="s">
        <v>4066</v>
      </c>
      <c r="H2409" s="441" t="s">
        <v>3450</v>
      </c>
      <c r="I2409" s="474" t="s">
        <v>3458</v>
      </c>
      <c r="J2409" s="474" t="s">
        <v>3466</v>
      </c>
      <c r="K2409" s="443" t="s">
        <v>323</v>
      </c>
      <c r="L2409" s="471">
        <v>1</v>
      </c>
      <c r="M2409" s="452" t="s">
        <v>2281</v>
      </c>
      <c r="N2409" s="463">
        <v>20000</v>
      </c>
      <c r="O2409" s="487">
        <f t="shared" si="11"/>
        <v>20000</v>
      </c>
      <c r="P2409" s="435"/>
      <c r="Q2409" s="477">
        <v>46023</v>
      </c>
      <c r="R2409" s="435"/>
      <c r="S2409" s="435"/>
    </row>
    <row r="2410" spans="1:19" ht="15" customHeight="1" x14ac:dyDescent="0.25">
      <c r="A2410" s="438">
        <v>2407</v>
      </c>
      <c r="B2410" s="479" t="s">
        <v>17</v>
      </c>
      <c r="C2410" s="471" t="s">
        <v>18</v>
      </c>
      <c r="D2410" s="480" t="s">
        <v>2301</v>
      </c>
      <c r="E2410" s="448" t="s">
        <v>4089</v>
      </c>
      <c r="F2410" s="448" t="s">
        <v>4108</v>
      </c>
      <c r="G2410" s="452" t="s">
        <v>4067</v>
      </c>
      <c r="H2410" s="441" t="s">
        <v>3451</v>
      </c>
      <c r="I2410" s="474" t="s">
        <v>3457</v>
      </c>
      <c r="J2410" s="474" t="s">
        <v>3466</v>
      </c>
      <c r="K2410" s="443" t="s">
        <v>2282</v>
      </c>
      <c r="L2410" s="471">
        <v>1</v>
      </c>
      <c r="M2410" s="452" t="s">
        <v>2283</v>
      </c>
      <c r="N2410" s="463">
        <v>123500</v>
      </c>
      <c r="O2410" s="487">
        <f t="shared" si="11"/>
        <v>123500</v>
      </c>
      <c r="P2410" s="435"/>
      <c r="Q2410" s="477">
        <v>46023</v>
      </c>
      <c r="R2410" s="435"/>
      <c r="S2410" s="435"/>
    </row>
    <row r="2411" spans="1:19" ht="15" customHeight="1" x14ac:dyDescent="0.25">
      <c r="A2411" s="438">
        <v>2408</v>
      </c>
      <c r="B2411" s="479" t="s">
        <v>17</v>
      </c>
      <c r="C2411" s="471" t="s">
        <v>18</v>
      </c>
      <c r="D2411" s="480" t="s">
        <v>2301</v>
      </c>
      <c r="E2411" s="448" t="s">
        <v>4089</v>
      </c>
      <c r="F2411" s="448" t="s">
        <v>4108</v>
      </c>
      <c r="G2411" s="452" t="s">
        <v>4068</v>
      </c>
      <c r="H2411" s="441" t="s">
        <v>3213</v>
      </c>
      <c r="I2411" s="474" t="s">
        <v>3459</v>
      </c>
      <c r="J2411" s="474" t="s">
        <v>3466</v>
      </c>
      <c r="K2411" s="443" t="s">
        <v>2284</v>
      </c>
      <c r="L2411" s="471">
        <v>1</v>
      </c>
      <c r="M2411" s="452" t="s">
        <v>2285</v>
      </c>
      <c r="N2411" s="463">
        <v>99000</v>
      </c>
      <c r="O2411" s="487">
        <f t="shared" si="11"/>
        <v>99000</v>
      </c>
      <c r="P2411" s="435"/>
      <c r="Q2411" s="477">
        <v>46023</v>
      </c>
      <c r="R2411" s="435"/>
      <c r="S2411" s="435"/>
    </row>
    <row r="2412" spans="1:19" ht="15" customHeight="1" x14ac:dyDescent="0.25">
      <c r="A2412" s="438">
        <v>2409</v>
      </c>
      <c r="B2412" s="479" t="s">
        <v>17</v>
      </c>
      <c r="C2412" s="471" t="s">
        <v>18</v>
      </c>
      <c r="D2412" s="480" t="s">
        <v>2301</v>
      </c>
      <c r="E2412" s="448" t="s">
        <v>4089</v>
      </c>
      <c r="F2412" s="448" t="s">
        <v>4108</v>
      </c>
      <c r="G2412" s="452" t="s">
        <v>4069</v>
      </c>
      <c r="H2412" s="441" t="s">
        <v>3452</v>
      </c>
      <c r="I2412" s="474" t="s">
        <v>3459</v>
      </c>
      <c r="J2412" s="474" t="s">
        <v>3466</v>
      </c>
      <c r="K2412" s="443" t="s">
        <v>500</v>
      </c>
      <c r="L2412" s="471">
        <v>1</v>
      </c>
      <c r="M2412" s="452" t="s">
        <v>2287</v>
      </c>
      <c r="N2412" s="463">
        <v>693600</v>
      </c>
      <c r="O2412" s="487">
        <f t="shared" si="11"/>
        <v>693600</v>
      </c>
      <c r="P2412" s="435"/>
      <c r="Q2412" s="477">
        <v>46023</v>
      </c>
      <c r="R2412" s="435"/>
      <c r="S2412" s="435"/>
    </row>
    <row r="2413" spans="1:19" ht="15" customHeight="1" x14ac:dyDescent="0.25">
      <c r="A2413" s="438">
        <v>2410</v>
      </c>
      <c r="B2413" s="479" t="s">
        <v>17</v>
      </c>
      <c r="C2413" s="471" t="s">
        <v>18</v>
      </c>
      <c r="D2413" s="480" t="s">
        <v>2301</v>
      </c>
      <c r="E2413" s="448" t="s">
        <v>4089</v>
      </c>
      <c r="F2413" s="448" t="s">
        <v>4108</v>
      </c>
      <c r="G2413" s="452" t="s">
        <v>4070</v>
      </c>
      <c r="H2413" s="441" t="s">
        <v>3452</v>
      </c>
      <c r="I2413" s="474" t="s">
        <v>3459</v>
      </c>
      <c r="J2413" s="474" t="s">
        <v>3466</v>
      </c>
      <c r="K2413" s="443" t="s">
        <v>500</v>
      </c>
      <c r="L2413" s="471">
        <v>1</v>
      </c>
      <c r="M2413" s="452" t="s">
        <v>2288</v>
      </c>
      <c r="N2413" s="463">
        <v>49999</v>
      </c>
      <c r="O2413" s="487">
        <f t="shared" si="11"/>
        <v>49999</v>
      </c>
      <c r="P2413" s="435"/>
      <c r="Q2413" s="477">
        <v>46023</v>
      </c>
      <c r="R2413" s="435"/>
      <c r="S2413" s="435"/>
    </row>
    <row r="2414" spans="1:19" ht="15" customHeight="1" x14ac:dyDescent="0.25">
      <c r="A2414" s="438">
        <v>2411</v>
      </c>
      <c r="B2414" s="479" t="s">
        <v>17</v>
      </c>
      <c r="C2414" s="471" t="s">
        <v>18</v>
      </c>
      <c r="D2414" s="480" t="s">
        <v>2301</v>
      </c>
      <c r="E2414" s="448" t="s">
        <v>4089</v>
      </c>
      <c r="F2414" s="448" t="s">
        <v>4108</v>
      </c>
      <c r="G2414" s="452" t="s">
        <v>4071</v>
      </c>
      <c r="H2414" s="441" t="s">
        <v>3453</v>
      </c>
      <c r="I2414" s="474" t="s">
        <v>3462</v>
      </c>
      <c r="J2414" s="474" t="s">
        <v>3466</v>
      </c>
      <c r="K2414" s="443" t="s">
        <v>1356</v>
      </c>
      <c r="L2414" s="471">
        <v>1</v>
      </c>
      <c r="M2414" s="452" t="s">
        <v>2290</v>
      </c>
      <c r="N2414" s="463">
        <v>539600</v>
      </c>
      <c r="O2414" s="487">
        <f t="shared" si="11"/>
        <v>539600</v>
      </c>
      <c r="P2414" s="435"/>
      <c r="Q2414" s="477">
        <v>46023</v>
      </c>
      <c r="R2414" s="435"/>
      <c r="S2414" s="435"/>
    </row>
    <row r="2415" spans="1:19" ht="15" customHeight="1" x14ac:dyDescent="0.25">
      <c r="A2415" s="438">
        <v>2412</v>
      </c>
      <c r="B2415" s="479" t="s">
        <v>17</v>
      </c>
      <c r="C2415" s="471" t="s">
        <v>18</v>
      </c>
      <c r="D2415" s="480" t="s">
        <v>2301</v>
      </c>
      <c r="E2415" s="448" t="s">
        <v>4089</v>
      </c>
      <c r="F2415" s="448" t="s">
        <v>4108</v>
      </c>
      <c r="G2415" s="452" t="s">
        <v>4072</v>
      </c>
      <c r="H2415" s="441" t="s">
        <v>647</v>
      </c>
      <c r="I2415" s="474" t="s">
        <v>3459</v>
      </c>
      <c r="J2415" s="474" t="s">
        <v>3466</v>
      </c>
      <c r="K2415" s="443" t="s">
        <v>2291</v>
      </c>
      <c r="L2415" s="471">
        <v>1</v>
      </c>
      <c r="M2415" s="452" t="s">
        <v>2292</v>
      </c>
      <c r="N2415" s="463">
        <v>45000</v>
      </c>
      <c r="O2415" s="487">
        <f t="shared" si="11"/>
        <v>45000</v>
      </c>
      <c r="P2415" s="435"/>
      <c r="Q2415" s="477">
        <v>46023</v>
      </c>
      <c r="R2415" s="435"/>
      <c r="S2415" s="435"/>
    </row>
    <row r="2416" spans="1:19" ht="15" customHeight="1" x14ac:dyDescent="0.25">
      <c r="A2416" s="438">
        <v>2413</v>
      </c>
      <c r="B2416" s="479" t="s">
        <v>17</v>
      </c>
      <c r="C2416" s="471" t="s">
        <v>18</v>
      </c>
      <c r="D2416" s="480" t="s">
        <v>2301</v>
      </c>
      <c r="E2416" s="448" t="s">
        <v>4085</v>
      </c>
      <c r="F2416" s="448" t="s">
        <v>2985</v>
      </c>
      <c r="G2416" s="452" t="s">
        <v>4073</v>
      </c>
      <c r="H2416" s="441" t="s">
        <v>3454</v>
      </c>
      <c r="I2416" s="474" t="s">
        <v>3459</v>
      </c>
      <c r="J2416" s="474" t="s">
        <v>3466</v>
      </c>
      <c r="K2416" s="443" t="s">
        <v>2293</v>
      </c>
      <c r="L2416" s="471">
        <v>1</v>
      </c>
      <c r="M2416" s="452" t="s">
        <v>2294</v>
      </c>
      <c r="N2416" s="463">
        <v>141560</v>
      </c>
      <c r="O2416" s="487">
        <f t="shared" si="11"/>
        <v>141560</v>
      </c>
      <c r="P2416" s="435"/>
      <c r="Q2416" s="477">
        <v>46023</v>
      </c>
      <c r="R2416" s="435"/>
      <c r="S2416" s="435"/>
    </row>
    <row r="2417" spans="1:19" ht="15" customHeight="1" x14ac:dyDescent="0.25">
      <c r="A2417" s="438">
        <v>2414</v>
      </c>
      <c r="B2417" s="479" t="s">
        <v>17</v>
      </c>
      <c r="C2417" s="471" t="s">
        <v>18</v>
      </c>
      <c r="D2417" s="480" t="s">
        <v>2301</v>
      </c>
      <c r="E2417" s="448" t="s">
        <v>4085</v>
      </c>
      <c r="F2417" s="448" t="s">
        <v>2985</v>
      </c>
      <c r="G2417" s="452" t="s">
        <v>4074</v>
      </c>
      <c r="H2417" s="441" t="s">
        <v>3454</v>
      </c>
      <c r="I2417" s="474" t="s">
        <v>3459</v>
      </c>
      <c r="J2417" s="474" t="s">
        <v>3466</v>
      </c>
      <c r="K2417" s="443" t="s">
        <v>2293</v>
      </c>
      <c r="L2417" s="471">
        <v>1</v>
      </c>
      <c r="M2417" s="452" t="s">
        <v>2295</v>
      </c>
      <c r="N2417" s="463">
        <v>141560</v>
      </c>
      <c r="O2417" s="487">
        <f t="shared" si="11"/>
        <v>141560</v>
      </c>
      <c r="P2417" s="435"/>
      <c r="Q2417" s="477">
        <v>46023</v>
      </c>
      <c r="R2417" s="435"/>
      <c r="S2417" s="435"/>
    </row>
    <row r="2418" spans="1:19" ht="15" customHeight="1" x14ac:dyDescent="0.25">
      <c r="A2418" s="438">
        <v>2415</v>
      </c>
      <c r="B2418" s="479" t="s">
        <v>17</v>
      </c>
      <c r="C2418" s="471" t="s">
        <v>18</v>
      </c>
      <c r="D2418" s="480" t="s">
        <v>2301</v>
      </c>
      <c r="E2418" s="448" t="s">
        <v>3249</v>
      </c>
      <c r="F2418" s="448" t="s">
        <v>4134</v>
      </c>
      <c r="G2418" s="452" t="s">
        <v>4075</v>
      </c>
      <c r="H2418" s="441" t="s">
        <v>3455</v>
      </c>
      <c r="I2418" s="474" t="s">
        <v>3457</v>
      </c>
      <c r="J2418" s="474" t="s">
        <v>3466</v>
      </c>
      <c r="K2418" s="443" t="s">
        <v>2296</v>
      </c>
      <c r="L2418" s="471">
        <v>1</v>
      </c>
      <c r="M2418" s="452" t="s">
        <v>2297</v>
      </c>
      <c r="N2418" s="463">
        <v>358020</v>
      </c>
      <c r="O2418" s="487">
        <f t="shared" si="11"/>
        <v>358020</v>
      </c>
      <c r="P2418" s="435"/>
      <c r="Q2418" s="477">
        <v>46023</v>
      </c>
      <c r="R2418" s="435"/>
      <c r="S2418" s="435"/>
    </row>
    <row r="2419" spans="1:19" ht="15" customHeight="1" x14ac:dyDescent="0.25">
      <c r="A2419" s="438">
        <v>2416</v>
      </c>
      <c r="B2419" s="479" t="s">
        <v>17</v>
      </c>
      <c r="C2419" s="471" t="s">
        <v>18</v>
      </c>
      <c r="D2419" s="480" t="s">
        <v>2301</v>
      </c>
      <c r="E2419" s="448" t="s">
        <v>3249</v>
      </c>
      <c r="F2419" s="448" t="s">
        <v>4134</v>
      </c>
      <c r="G2419" s="452" t="s">
        <v>4076</v>
      </c>
      <c r="H2419" s="441" t="s">
        <v>3456</v>
      </c>
      <c r="I2419" s="474" t="s">
        <v>3457</v>
      </c>
      <c r="J2419" s="474" t="s">
        <v>3466</v>
      </c>
      <c r="K2419" s="443" t="s">
        <v>1292</v>
      </c>
      <c r="L2419" s="471">
        <v>1</v>
      </c>
      <c r="M2419" s="452" t="s">
        <v>2299</v>
      </c>
      <c r="N2419" s="463">
        <v>113944</v>
      </c>
      <c r="O2419" s="487">
        <f t="shared" si="11"/>
        <v>113944</v>
      </c>
      <c r="P2419" s="435"/>
      <c r="Q2419" s="477">
        <v>46023</v>
      </c>
      <c r="R2419" s="435"/>
      <c r="S2419" s="435"/>
    </row>
    <row r="2420" spans="1:19" ht="15" customHeight="1" x14ac:dyDescent="0.25">
      <c r="A2420" s="438">
        <v>2417</v>
      </c>
      <c r="B2420" s="479" t="s">
        <v>17</v>
      </c>
      <c r="C2420" s="471" t="s">
        <v>18</v>
      </c>
      <c r="D2420" s="480" t="s">
        <v>2301</v>
      </c>
      <c r="E2420" s="448" t="s">
        <v>3249</v>
      </c>
      <c r="F2420" s="448" t="s">
        <v>4134</v>
      </c>
      <c r="G2420" s="452" t="s">
        <v>4077</v>
      </c>
      <c r="H2420" s="441" t="s">
        <v>3456</v>
      </c>
      <c r="I2420" s="474" t="s">
        <v>3457</v>
      </c>
      <c r="J2420" s="474" t="s">
        <v>3466</v>
      </c>
      <c r="K2420" s="443" t="s">
        <v>1292</v>
      </c>
      <c r="L2420" s="471">
        <v>1</v>
      </c>
      <c r="M2420" s="452" t="s">
        <v>2300</v>
      </c>
      <c r="N2420" s="463">
        <v>113944</v>
      </c>
      <c r="O2420" s="487">
        <f t="shared" si="11"/>
        <v>113944</v>
      </c>
      <c r="P2420" s="435"/>
      <c r="Q2420" s="477">
        <v>46023</v>
      </c>
      <c r="R2420" s="435"/>
      <c r="S2420" s="435"/>
    </row>
  </sheetData>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00"/>
  <sheetViews>
    <sheetView zoomScaleNormal="100" workbookViewId="0">
      <pane ySplit="3" topLeftCell="A30" activePane="bottomLeft" state="frozen"/>
      <selection pane="bottomLeft" activeCell="D39" sqref="D39"/>
    </sheetView>
  </sheetViews>
  <sheetFormatPr defaultColWidth="14.42578125" defaultRowHeight="15" customHeight="1" x14ac:dyDescent="0.25"/>
  <cols>
    <col min="1" max="1" width="22" customWidth="1"/>
    <col min="2" max="2" width="5.28515625" customWidth="1"/>
    <col min="3" max="3" width="12.28515625" customWidth="1"/>
    <col min="4" max="4" width="20.5703125" customWidth="1"/>
    <col min="5" max="7" width="13.140625" customWidth="1"/>
  </cols>
  <sheetData>
    <row r="1" spans="1:7" x14ac:dyDescent="0.25">
      <c r="A1" s="2"/>
    </row>
    <row r="2" spans="1:7" x14ac:dyDescent="0.25">
      <c r="A2" s="2"/>
      <c r="E2" t="s">
        <v>2453</v>
      </c>
      <c r="F2" s="3" t="s">
        <v>2454</v>
      </c>
      <c r="G2" t="s">
        <v>2455</v>
      </c>
    </row>
    <row r="3" spans="1:7" x14ac:dyDescent="0.25">
      <c r="A3" s="4" t="s">
        <v>2456</v>
      </c>
      <c r="B3" s="5" t="s">
        <v>2457</v>
      </c>
      <c r="C3" s="5" t="s">
        <v>2458</v>
      </c>
      <c r="D3" s="5" t="s">
        <v>2459</v>
      </c>
      <c r="E3" s="6" t="s">
        <v>2460</v>
      </c>
      <c r="F3" s="6" t="s">
        <v>2460</v>
      </c>
      <c r="G3" s="6" t="s">
        <v>2461</v>
      </c>
    </row>
    <row r="4" spans="1:7" x14ac:dyDescent="0.25">
      <c r="A4" s="7"/>
      <c r="B4" s="8"/>
      <c r="C4" s="8"/>
      <c r="D4" s="8"/>
      <c r="E4" s="9" t="s">
        <v>2462</v>
      </c>
      <c r="F4" s="9" t="s">
        <v>2463</v>
      </c>
      <c r="G4" s="9" t="s">
        <v>2464</v>
      </c>
    </row>
    <row r="5" spans="1:7" x14ac:dyDescent="0.25">
      <c r="A5" s="539" t="s">
        <v>2465</v>
      </c>
      <c r="B5" s="540"/>
      <c r="C5" s="540"/>
      <c r="D5" s="540"/>
      <c r="E5" s="540"/>
      <c r="F5" s="540"/>
      <c r="G5" s="541"/>
    </row>
    <row r="6" spans="1:7" x14ac:dyDescent="0.25">
      <c r="A6" s="7" t="s">
        <v>2466</v>
      </c>
      <c r="B6" s="9" t="s">
        <v>2467</v>
      </c>
      <c r="C6" s="9">
        <v>12</v>
      </c>
      <c r="D6" s="9">
        <v>6</v>
      </c>
      <c r="E6" s="10">
        <v>0.96</v>
      </c>
      <c r="F6" s="10">
        <v>0.92</v>
      </c>
      <c r="G6" s="10">
        <v>0.85</v>
      </c>
    </row>
    <row r="7" spans="1:7" ht="22.5" x14ac:dyDescent="0.25">
      <c r="A7" s="7" t="s">
        <v>2468</v>
      </c>
      <c r="B7" s="9" t="s">
        <v>2469</v>
      </c>
      <c r="C7" s="9">
        <v>24</v>
      </c>
      <c r="D7" s="9">
        <v>7</v>
      </c>
      <c r="E7" s="10">
        <v>0.99</v>
      </c>
      <c r="F7" s="10">
        <v>0.95</v>
      </c>
      <c r="G7" s="10">
        <v>0.88</v>
      </c>
    </row>
    <row r="8" spans="1:7" x14ac:dyDescent="0.25">
      <c r="A8" s="7" t="s">
        <v>2470</v>
      </c>
      <c r="B8" s="9" t="s">
        <v>2469</v>
      </c>
      <c r="C8" s="9">
        <v>24</v>
      </c>
      <c r="D8" s="9">
        <v>7</v>
      </c>
      <c r="E8" s="10">
        <v>0.99</v>
      </c>
      <c r="F8" s="10">
        <v>0.95</v>
      </c>
      <c r="G8" s="10">
        <v>0.88</v>
      </c>
    </row>
    <row r="9" spans="1:7" x14ac:dyDescent="0.25">
      <c r="A9" s="7" t="s">
        <v>2471</v>
      </c>
      <c r="B9" s="9" t="s">
        <v>2469</v>
      </c>
      <c r="C9" s="9">
        <v>24</v>
      </c>
      <c r="D9" s="9">
        <v>7</v>
      </c>
      <c r="E9" s="10">
        <v>0.99</v>
      </c>
      <c r="F9" s="10">
        <v>0.95</v>
      </c>
      <c r="G9" s="10">
        <v>0.88</v>
      </c>
    </row>
    <row r="10" spans="1:7" x14ac:dyDescent="0.25">
      <c r="A10" s="7" t="s">
        <v>2472</v>
      </c>
      <c r="B10" s="9" t="s">
        <v>2469</v>
      </c>
      <c r="C10" s="9">
        <v>24</v>
      </c>
      <c r="D10" s="9">
        <v>7</v>
      </c>
      <c r="E10" s="10">
        <v>0.99</v>
      </c>
      <c r="F10" s="10">
        <v>0.95</v>
      </c>
      <c r="G10" s="10">
        <v>0.88</v>
      </c>
    </row>
    <row r="11" spans="1:7" x14ac:dyDescent="0.25">
      <c r="A11" s="7" t="s">
        <v>2473</v>
      </c>
      <c r="B11" s="9" t="s">
        <v>2467</v>
      </c>
      <c r="C11" s="9">
        <v>24</v>
      </c>
      <c r="D11" s="9">
        <v>7</v>
      </c>
      <c r="E11" s="10">
        <v>0.96</v>
      </c>
      <c r="F11" s="10">
        <v>0.92</v>
      </c>
      <c r="G11" s="10">
        <v>0.85</v>
      </c>
    </row>
    <row r="12" spans="1:7" ht="15" customHeight="1" x14ac:dyDescent="0.25">
      <c r="A12" s="7" t="s">
        <v>2474</v>
      </c>
      <c r="B12" s="9" t="s">
        <v>2469</v>
      </c>
      <c r="C12" s="9">
        <v>24</v>
      </c>
      <c r="D12" s="9">
        <v>7</v>
      </c>
      <c r="E12" s="10">
        <v>0.99</v>
      </c>
      <c r="F12" s="10">
        <v>0.95</v>
      </c>
      <c r="G12" s="10">
        <v>0.88</v>
      </c>
    </row>
    <row r="13" spans="1:7" x14ac:dyDescent="0.25">
      <c r="A13" s="7" t="s">
        <v>2475</v>
      </c>
      <c r="B13" s="9" t="s">
        <v>2469</v>
      </c>
      <c r="C13" s="9">
        <v>24</v>
      </c>
      <c r="D13" s="9">
        <v>7</v>
      </c>
      <c r="E13" s="10">
        <v>0.99</v>
      </c>
      <c r="F13" s="10">
        <v>0.95</v>
      </c>
      <c r="G13" s="10">
        <v>0.88</v>
      </c>
    </row>
    <row r="14" spans="1:7" x14ac:dyDescent="0.25">
      <c r="A14" s="7" t="s">
        <v>2476</v>
      </c>
      <c r="B14" s="9" t="s">
        <v>2469</v>
      </c>
      <c r="C14" s="9">
        <v>24</v>
      </c>
      <c r="D14" s="9">
        <v>7</v>
      </c>
      <c r="E14" s="10">
        <v>0.99</v>
      </c>
      <c r="F14" s="10">
        <v>0.95</v>
      </c>
      <c r="G14" s="10">
        <v>0.88</v>
      </c>
    </row>
    <row r="15" spans="1:7" x14ac:dyDescent="0.25">
      <c r="A15" s="7" t="s">
        <v>2477</v>
      </c>
      <c r="B15" s="9" t="s">
        <v>2469</v>
      </c>
      <c r="C15" s="9">
        <v>24</v>
      </c>
      <c r="D15" s="9">
        <v>7</v>
      </c>
      <c r="E15" s="10">
        <v>0.99</v>
      </c>
      <c r="F15" s="10">
        <v>0.95</v>
      </c>
      <c r="G15" s="10">
        <v>0.88</v>
      </c>
    </row>
    <row r="16" spans="1:7" x14ac:dyDescent="0.25">
      <c r="A16" s="7" t="s">
        <v>2478</v>
      </c>
      <c r="B16" s="9" t="s">
        <v>2469</v>
      </c>
      <c r="C16" s="9">
        <v>24</v>
      </c>
      <c r="D16" s="9">
        <v>7</v>
      </c>
      <c r="E16" s="10">
        <v>0.99</v>
      </c>
      <c r="F16" s="10">
        <v>0.95</v>
      </c>
      <c r="G16" s="10">
        <v>0.88</v>
      </c>
    </row>
    <row r="17" spans="1:7" x14ac:dyDescent="0.25">
      <c r="A17" s="7" t="s">
        <v>2479</v>
      </c>
      <c r="B17" s="9" t="s">
        <v>2469</v>
      </c>
      <c r="C17" s="9">
        <v>24</v>
      </c>
      <c r="D17" s="9">
        <v>7</v>
      </c>
      <c r="E17" s="10">
        <v>0.99</v>
      </c>
      <c r="F17" s="10">
        <v>0.95</v>
      </c>
      <c r="G17" s="10">
        <v>0.88</v>
      </c>
    </row>
    <row r="18" spans="1:7" x14ac:dyDescent="0.25">
      <c r="A18" s="7" t="s">
        <v>2480</v>
      </c>
      <c r="B18" s="9" t="s">
        <v>2469</v>
      </c>
      <c r="C18" s="9">
        <v>24</v>
      </c>
      <c r="D18" s="9">
        <v>7</v>
      </c>
      <c r="E18" s="10">
        <v>0.99</v>
      </c>
      <c r="F18" s="10">
        <v>0.95</v>
      </c>
      <c r="G18" s="10">
        <v>0.88</v>
      </c>
    </row>
    <row r="19" spans="1:7" x14ac:dyDescent="0.25">
      <c r="A19" s="7" t="s">
        <v>2481</v>
      </c>
      <c r="B19" s="9" t="s">
        <v>2469</v>
      </c>
      <c r="C19" s="9">
        <v>24</v>
      </c>
      <c r="D19" s="9">
        <v>7</v>
      </c>
      <c r="E19" s="10">
        <v>0.99</v>
      </c>
      <c r="F19" s="10">
        <v>0.95</v>
      </c>
      <c r="G19" s="10">
        <v>0.88</v>
      </c>
    </row>
    <row r="20" spans="1:7" x14ac:dyDescent="0.25">
      <c r="A20" s="7" t="s">
        <v>2482</v>
      </c>
      <c r="B20" s="9" t="s">
        <v>2469</v>
      </c>
      <c r="C20" s="9">
        <v>12</v>
      </c>
      <c r="D20" s="9">
        <v>6</v>
      </c>
      <c r="E20" s="10">
        <v>0.99</v>
      </c>
      <c r="F20" s="10">
        <v>0.95</v>
      </c>
      <c r="G20" s="10">
        <v>0.88</v>
      </c>
    </row>
    <row r="21" spans="1:7" ht="15.75" customHeight="1" x14ac:dyDescent="0.25">
      <c r="A21" s="7" t="s">
        <v>2483</v>
      </c>
      <c r="B21" s="9" t="s">
        <v>2469</v>
      </c>
      <c r="C21" s="9">
        <v>24</v>
      </c>
      <c r="D21" s="9">
        <v>7</v>
      </c>
      <c r="E21" s="10">
        <v>0.99</v>
      </c>
      <c r="F21" s="10">
        <v>0.95</v>
      </c>
      <c r="G21" s="10">
        <v>0.88</v>
      </c>
    </row>
    <row r="22" spans="1:7" ht="15.75" customHeight="1" x14ac:dyDescent="0.25">
      <c r="A22" s="7" t="s">
        <v>2484</v>
      </c>
      <c r="B22" s="9" t="s">
        <v>2469</v>
      </c>
      <c r="C22" s="9">
        <v>24</v>
      </c>
      <c r="D22" s="9">
        <v>7</v>
      </c>
      <c r="E22" s="10">
        <v>0.99</v>
      </c>
      <c r="F22" s="10">
        <v>0.95</v>
      </c>
      <c r="G22" s="10">
        <v>0.88</v>
      </c>
    </row>
    <row r="23" spans="1:7" ht="15.75" customHeight="1" x14ac:dyDescent="0.25">
      <c r="A23" s="7" t="s">
        <v>2485</v>
      </c>
      <c r="B23" s="9" t="s">
        <v>2469</v>
      </c>
      <c r="C23" s="9">
        <v>24</v>
      </c>
      <c r="D23" s="9">
        <v>7</v>
      </c>
      <c r="E23" s="10">
        <v>0.99</v>
      </c>
      <c r="F23" s="10">
        <v>0.95</v>
      </c>
      <c r="G23" s="10">
        <v>0.88</v>
      </c>
    </row>
    <row r="24" spans="1:7" ht="15.75" customHeight="1" x14ac:dyDescent="0.25">
      <c r="A24" s="7" t="s">
        <v>2486</v>
      </c>
      <c r="B24" s="9" t="s">
        <v>2467</v>
      </c>
      <c r="C24" s="9">
        <v>24</v>
      </c>
      <c r="D24" s="9">
        <v>7</v>
      </c>
      <c r="E24" s="10">
        <v>0.96</v>
      </c>
      <c r="F24" s="10">
        <v>0.92</v>
      </c>
      <c r="G24" s="10">
        <v>0.85</v>
      </c>
    </row>
    <row r="25" spans="1:7" ht="15.75" customHeight="1" x14ac:dyDescent="0.25">
      <c r="A25" s="7" t="s">
        <v>2487</v>
      </c>
      <c r="B25" s="9" t="s">
        <v>2469</v>
      </c>
      <c r="C25" s="9">
        <v>24</v>
      </c>
      <c r="D25" s="9">
        <v>7</v>
      </c>
      <c r="E25" s="10">
        <v>0.99</v>
      </c>
      <c r="F25" s="10">
        <v>0.95</v>
      </c>
      <c r="G25" s="10">
        <v>0.88</v>
      </c>
    </row>
    <row r="26" spans="1:7" ht="15.75" customHeight="1" x14ac:dyDescent="0.25">
      <c r="A26" s="7" t="s">
        <v>2488</v>
      </c>
      <c r="B26" s="9" t="s">
        <v>2467</v>
      </c>
      <c r="C26" s="9">
        <v>12</v>
      </c>
      <c r="D26" s="9">
        <v>6</v>
      </c>
      <c r="E26" s="10">
        <v>0.96</v>
      </c>
      <c r="F26" s="10">
        <v>0.92</v>
      </c>
      <c r="G26" s="10">
        <v>0.85</v>
      </c>
    </row>
    <row r="27" spans="1:7" ht="15.75" customHeight="1" x14ac:dyDescent="0.25">
      <c r="A27" s="7" t="s">
        <v>2489</v>
      </c>
      <c r="B27" s="9" t="s">
        <v>2469</v>
      </c>
      <c r="C27" s="9">
        <v>24</v>
      </c>
      <c r="D27" s="9">
        <v>7</v>
      </c>
      <c r="E27" s="10">
        <v>0.99</v>
      </c>
      <c r="F27" s="10">
        <v>0.95</v>
      </c>
      <c r="G27" s="10">
        <v>0.88</v>
      </c>
    </row>
    <row r="28" spans="1:7" ht="15.75" customHeight="1" x14ac:dyDescent="0.25">
      <c r="A28" s="7" t="s">
        <v>2490</v>
      </c>
      <c r="B28" s="9" t="s">
        <v>2467</v>
      </c>
      <c r="C28" s="9">
        <v>12</v>
      </c>
      <c r="D28" s="9">
        <v>6</v>
      </c>
      <c r="E28" s="10">
        <v>0.96</v>
      </c>
      <c r="F28" s="10">
        <v>0.92</v>
      </c>
      <c r="G28" s="10">
        <v>0.85</v>
      </c>
    </row>
    <row r="29" spans="1:7" ht="15.75" customHeight="1" x14ac:dyDescent="0.25">
      <c r="A29" s="7" t="s">
        <v>2491</v>
      </c>
      <c r="B29" s="9" t="s">
        <v>2469</v>
      </c>
      <c r="C29" s="9">
        <v>24</v>
      </c>
      <c r="D29" s="9">
        <v>7</v>
      </c>
      <c r="E29" s="10">
        <v>0.99</v>
      </c>
      <c r="F29" s="10">
        <v>0.95</v>
      </c>
      <c r="G29" s="10">
        <v>0.88</v>
      </c>
    </row>
    <row r="30" spans="1:7" ht="15.75" customHeight="1" x14ac:dyDescent="0.25">
      <c r="A30" s="7" t="s">
        <v>2492</v>
      </c>
      <c r="B30" s="9" t="s">
        <v>2469</v>
      </c>
      <c r="C30" s="9">
        <v>24</v>
      </c>
      <c r="D30" s="9">
        <v>7</v>
      </c>
      <c r="E30" s="10">
        <v>0.99</v>
      </c>
      <c r="F30" s="10">
        <v>0.95</v>
      </c>
      <c r="G30" s="10">
        <v>0.88</v>
      </c>
    </row>
    <row r="31" spans="1:7" ht="15.75" customHeight="1" x14ac:dyDescent="0.25">
      <c r="A31" s="7" t="s">
        <v>2493</v>
      </c>
      <c r="B31" s="9" t="s">
        <v>2467</v>
      </c>
      <c r="C31" s="9">
        <v>12</v>
      </c>
      <c r="D31" s="9">
        <v>6</v>
      </c>
      <c r="E31" s="10">
        <v>0.96</v>
      </c>
      <c r="F31" s="10">
        <v>0.92</v>
      </c>
      <c r="G31" s="10">
        <v>0.85</v>
      </c>
    </row>
    <row r="32" spans="1:7" ht="15.75" customHeight="1" x14ac:dyDescent="0.25">
      <c r="A32" s="7" t="s">
        <v>2494</v>
      </c>
      <c r="B32" s="9" t="s">
        <v>2467</v>
      </c>
      <c r="C32" s="9">
        <v>12</v>
      </c>
      <c r="D32" s="9">
        <v>7</v>
      </c>
      <c r="E32" s="10">
        <v>0.96</v>
      </c>
      <c r="F32" s="10">
        <v>0.92</v>
      </c>
      <c r="G32" s="10">
        <v>0.85</v>
      </c>
    </row>
    <row r="33" spans="1:7" ht="15.75" customHeight="1" x14ac:dyDescent="0.25">
      <c r="A33" s="7" t="s">
        <v>2495</v>
      </c>
      <c r="B33" s="9" t="s">
        <v>2467</v>
      </c>
      <c r="C33" s="9">
        <v>12</v>
      </c>
      <c r="D33" s="9">
        <v>6</v>
      </c>
      <c r="E33" s="10">
        <v>0.96</v>
      </c>
      <c r="F33" s="10">
        <v>0.92</v>
      </c>
      <c r="G33" s="10">
        <v>0.85</v>
      </c>
    </row>
    <row r="34" spans="1:7" ht="15.75" customHeight="1" x14ac:dyDescent="0.25">
      <c r="A34" s="7" t="s">
        <v>2496</v>
      </c>
      <c r="B34" s="9" t="s">
        <v>2469</v>
      </c>
      <c r="C34" s="9">
        <v>24</v>
      </c>
      <c r="D34" s="9">
        <v>7</v>
      </c>
      <c r="E34" s="10">
        <v>0.99</v>
      </c>
      <c r="F34" s="10">
        <v>0.95</v>
      </c>
      <c r="G34" s="10">
        <v>0.88</v>
      </c>
    </row>
    <row r="35" spans="1:7" ht="15.75" customHeight="1" x14ac:dyDescent="0.25">
      <c r="A35" s="7" t="s">
        <v>2497</v>
      </c>
      <c r="B35" s="9" t="s">
        <v>2467</v>
      </c>
      <c r="C35" s="9">
        <v>24</v>
      </c>
      <c r="D35" s="9">
        <v>7</v>
      </c>
      <c r="E35" s="10">
        <v>0.96</v>
      </c>
      <c r="F35" s="10">
        <v>0.92</v>
      </c>
      <c r="G35" s="10">
        <v>0.85</v>
      </c>
    </row>
    <row r="36" spans="1:7" ht="15.75" customHeight="1" x14ac:dyDescent="0.25">
      <c r="A36" s="7" t="s">
        <v>2498</v>
      </c>
      <c r="B36" s="9" t="s">
        <v>2469</v>
      </c>
      <c r="C36" s="9">
        <v>24</v>
      </c>
      <c r="D36" s="9">
        <v>7</v>
      </c>
      <c r="E36" s="10">
        <v>0.99</v>
      </c>
      <c r="F36" s="10">
        <v>0.95</v>
      </c>
      <c r="G36" s="10">
        <v>0.88</v>
      </c>
    </row>
    <row r="37" spans="1:7" ht="15.75" customHeight="1" x14ac:dyDescent="0.25">
      <c r="A37" s="7" t="s">
        <v>2499</v>
      </c>
      <c r="B37" s="9" t="s">
        <v>2469</v>
      </c>
      <c r="C37" s="9">
        <v>12</v>
      </c>
      <c r="D37" s="9">
        <v>6</v>
      </c>
      <c r="E37" s="10">
        <v>0.96</v>
      </c>
      <c r="F37" s="10">
        <v>0.92</v>
      </c>
      <c r="G37" s="10">
        <v>0.88</v>
      </c>
    </row>
    <row r="38" spans="1:7" ht="15.75" customHeight="1" x14ac:dyDescent="0.25">
      <c r="A38" s="7" t="s">
        <v>2500</v>
      </c>
      <c r="B38" s="9" t="s">
        <v>2469</v>
      </c>
      <c r="C38" s="9">
        <v>24</v>
      </c>
      <c r="D38" s="9">
        <v>7</v>
      </c>
      <c r="E38" s="10">
        <v>0.99</v>
      </c>
      <c r="F38" s="10">
        <v>0.95</v>
      </c>
      <c r="G38" s="10">
        <v>0.88</v>
      </c>
    </row>
    <row r="39" spans="1:7" ht="15.75" customHeight="1" x14ac:dyDescent="0.25">
      <c r="A39" s="7" t="s">
        <v>2501</v>
      </c>
      <c r="B39" s="9" t="s">
        <v>2467</v>
      </c>
      <c r="C39" s="9">
        <v>24</v>
      </c>
      <c r="D39" s="9">
        <v>7</v>
      </c>
      <c r="E39" s="10">
        <v>0.96</v>
      </c>
      <c r="F39" s="10">
        <v>0.92</v>
      </c>
      <c r="G39" s="10">
        <v>0.85</v>
      </c>
    </row>
    <row r="40" spans="1:7" ht="15.75" customHeight="1" x14ac:dyDescent="0.25">
      <c r="A40" s="7" t="s">
        <v>2502</v>
      </c>
      <c r="B40" s="9" t="s">
        <v>2469</v>
      </c>
      <c r="C40" s="9">
        <v>24</v>
      </c>
      <c r="D40" s="9">
        <v>7</v>
      </c>
      <c r="E40" s="10">
        <v>0.99</v>
      </c>
      <c r="F40" s="10">
        <v>0.95</v>
      </c>
      <c r="G40" s="10">
        <v>0.88</v>
      </c>
    </row>
    <row r="41" spans="1:7" ht="15.75" customHeight="1" x14ac:dyDescent="0.25">
      <c r="A41" s="7" t="s">
        <v>2503</v>
      </c>
      <c r="B41" s="9" t="s">
        <v>2467</v>
      </c>
      <c r="C41" s="9">
        <v>12</v>
      </c>
      <c r="D41" s="9">
        <v>6</v>
      </c>
      <c r="E41" s="10">
        <v>0.96</v>
      </c>
      <c r="F41" s="10">
        <v>0.92</v>
      </c>
      <c r="G41" s="10">
        <v>0.85</v>
      </c>
    </row>
    <row r="42" spans="1:7" ht="15.75" customHeight="1" x14ac:dyDescent="0.25">
      <c r="A42" s="7" t="s">
        <v>2504</v>
      </c>
      <c r="B42" s="9" t="s">
        <v>2467</v>
      </c>
      <c r="C42" s="9">
        <v>12</v>
      </c>
      <c r="D42" s="9">
        <v>6</v>
      </c>
      <c r="E42" s="10">
        <v>0.96</v>
      </c>
      <c r="F42" s="10">
        <v>0.92</v>
      </c>
      <c r="G42" s="10">
        <v>0.85</v>
      </c>
    </row>
    <row r="43" spans="1:7" ht="15.75" customHeight="1" x14ac:dyDescent="0.25">
      <c r="A43" s="7" t="s">
        <v>2505</v>
      </c>
      <c r="B43" s="9" t="s">
        <v>2467</v>
      </c>
      <c r="C43" s="9">
        <v>12</v>
      </c>
      <c r="D43" s="9">
        <v>6</v>
      </c>
      <c r="E43" s="10">
        <v>0.96</v>
      </c>
      <c r="F43" s="10">
        <v>0.92</v>
      </c>
      <c r="G43" s="10">
        <v>0.85</v>
      </c>
    </row>
    <row r="44" spans="1:7" ht="15.75" customHeight="1" x14ac:dyDescent="0.25">
      <c r="A44" s="7" t="s">
        <v>2506</v>
      </c>
      <c r="B44" s="9" t="s">
        <v>2467</v>
      </c>
      <c r="C44" s="9">
        <v>12</v>
      </c>
      <c r="D44" s="9">
        <v>6</v>
      </c>
      <c r="E44" s="10">
        <v>0.96</v>
      </c>
      <c r="F44" s="10">
        <v>0.92</v>
      </c>
      <c r="G44" s="10">
        <v>0.85</v>
      </c>
    </row>
    <row r="45" spans="1:7" ht="15.75" customHeight="1" x14ac:dyDescent="0.25">
      <c r="A45" s="7" t="s">
        <v>2507</v>
      </c>
      <c r="B45" s="9" t="s">
        <v>2469</v>
      </c>
      <c r="C45" s="9">
        <v>24</v>
      </c>
      <c r="D45" s="9">
        <v>7</v>
      </c>
      <c r="E45" s="10">
        <v>0.96</v>
      </c>
      <c r="F45" s="10">
        <v>0.92</v>
      </c>
      <c r="G45" s="10">
        <v>0.88</v>
      </c>
    </row>
    <row r="46" spans="1:7" ht="15.75" customHeight="1" x14ac:dyDescent="0.25">
      <c r="A46" s="7" t="s">
        <v>2508</v>
      </c>
      <c r="B46" s="9" t="s">
        <v>2467</v>
      </c>
      <c r="C46" s="9">
        <v>12</v>
      </c>
      <c r="D46" s="9">
        <v>6</v>
      </c>
      <c r="E46" s="10">
        <v>0.96</v>
      </c>
      <c r="F46" s="10">
        <v>0.92</v>
      </c>
      <c r="G46" s="10">
        <v>0.85</v>
      </c>
    </row>
    <row r="47" spans="1:7" ht="15.75" customHeight="1" x14ac:dyDescent="0.25">
      <c r="A47" s="7" t="s">
        <v>2509</v>
      </c>
      <c r="B47" s="9" t="s">
        <v>2469</v>
      </c>
      <c r="C47" s="9">
        <v>24</v>
      </c>
      <c r="D47" s="9">
        <v>7</v>
      </c>
      <c r="E47" s="10">
        <v>0.99</v>
      </c>
      <c r="F47" s="10">
        <v>0.95</v>
      </c>
      <c r="G47" s="10">
        <v>0.88</v>
      </c>
    </row>
    <row r="48" spans="1:7" ht="15.75" customHeight="1" x14ac:dyDescent="0.25">
      <c r="A48" s="7" t="s">
        <v>2510</v>
      </c>
      <c r="B48" s="9" t="s">
        <v>2467</v>
      </c>
      <c r="C48" s="9">
        <v>24</v>
      </c>
      <c r="D48" s="9">
        <v>7</v>
      </c>
      <c r="E48" s="10">
        <v>0.96</v>
      </c>
      <c r="F48" s="10">
        <v>0.92</v>
      </c>
      <c r="G48" s="10">
        <v>0.85</v>
      </c>
    </row>
    <row r="49" spans="1:7" ht="15.75" customHeight="1" x14ac:dyDescent="0.25">
      <c r="A49" s="7" t="s">
        <v>2511</v>
      </c>
      <c r="B49" s="9" t="s">
        <v>2469</v>
      </c>
      <c r="C49" s="9">
        <v>24</v>
      </c>
      <c r="D49" s="9">
        <v>7</v>
      </c>
      <c r="E49" s="10">
        <v>0.99</v>
      </c>
      <c r="F49" s="10">
        <v>0.95</v>
      </c>
      <c r="G49" s="10">
        <v>0.88</v>
      </c>
    </row>
    <row r="50" spans="1:7" ht="15.75" customHeight="1" x14ac:dyDescent="0.25">
      <c r="A50" s="7" t="s">
        <v>2512</v>
      </c>
      <c r="B50" s="9" t="s">
        <v>2469</v>
      </c>
      <c r="C50" s="9">
        <v>24</v>
      </c>
      <c r="D50" s="9">
        <v>7</v>
      </c>
      <c r="E50" s="10">
        <v>0.99</v>
      </c>
      <c r="F50" s="10">
        <v>0.95</v>
      </c>
      <c r="G50" s="10">
        <v>0.88</v>
      </c>
    </row>
    <row r="51" spans="1:7" ht="15.75" customHeight="1" x14ac:dyDescent="0.25">
      <c r="A51" s="7" t="s">
        <v>2513</v>
      </c>
      <c r="B51" s="9" t="s">
        <v>2467</v>
      </c>
      <c r="C51" s="9">
        <v>12</v>
      </c>
      <c r="D51" s="9">
        <v>6</v>
      </c>
      <c r="E51" s="10">
        <v>0.96</v>
      </c>
      <c r="F51" s="10">
        <v>0.92</v>
      </c>
      <c r="G51" s="10">
        <v>0.85</v>
      </c>
    </row>
    <row r="52" spans="1:7" ht="15.75" customHeight="1" x14ac:dyDescent="0.25">
      <c r="A52" s="7" t="s">
        <v>2514</v>
      </c>
      <c r="B52" s="9" t="s">
        <v>2469</v>
      </c>
      <c r="C52" s="9">
        <v>24</v>
      </c>
      <c r="D52" s="9">
        <v>7</v>
      </c>
      <c r="E52" s="10">
        <v>0.99</v>
      </c>
      <c r="F52" s="10">
        <v>0.95</v>
      </c>
      <c r="G52" s="10">
        <v>0.88</v>
      </c>
    </row>
    <row r="53" spans="1:7" ht="15.75" customHeight="1" x14ac:dyDescent="0.25">
      <c r="A53" s="7" t="s">
        <v>2515</v>
      </c>
      <c r="B53" s="9" t="s">
        <v>2467</v>
      </c>
      <c r="C53" s="9">
        <v>12</v>
      </c>
      <c r="D53" s="9">
        <v>6</v>
      </c>
      <c r="E53" s="10">
        <v>0.99</v>
      </c>
      <c r="F53" s="10">
        <v>0.92</v>
      </c>
      <c r="G53" s="10">
        <v>0.85</v>
      </c>
    </row>
    <row r="54" spans="1:7" ht="15.75" customHeight="1" x14ac:dyDescent="0.25">
      <c r="A54" s="7" t="s">
        <v>2516</v>
      </c>
      <c r="B54" s="9" t="s">
        <v>2469</v>
      </c>
      <c r="C54" s="9">
        <v>12</v>
      </c>
      <c r="D54" s="9">
        <v>6</v>
      </c>
      <c r="E54" s="10">
        <v>0.99</v>
      </c>
      <c r="F54" s="10">
        <v>0.95</v>
      </c>
      <c r="G54" s="10">
        <v>0.88</v>
      </c>
    </row>
    <row r="55" spans="1:7" ht="15.75" customHeight="1" x14ac:dyDescent="0.25">
      <c r="A55" s="7" t="s">
        <v>2517</v>
      </c>
      <c r="B55" s="9" t="s">
        <v>2469</v>
      </c>
      <c r="C55" s="9">
        <v>24</v>
      </c>
      <c r="D55" s="9">
        <v>7</v>
      </c>
      <c r="E55" s="10">
        <v>0.99</v>
      </c>
      <c r="F55" s="10">
        <v>0.95</v>
      </c>
      <c r="G55" s="10">
        <v>0.88</v>
      </c>
    </row>
    <row r="56" spans="1:7" ht="15.75" customHeight="1" x14ac:dyDescent="0.25">
      <c r="A56" s="7" t="s">
        <v>2518</v>
      </c>
      <c r="B56" s="9" t="s">
        <v>2469</v>
      </c>
      <c r="C56" s="9">
        <v>24</v>
      </c>
      <c r="D56" s="9">
        <v>7</v>
      </c>
      <c r="E56" s="10">
        <v>0.99</v>
      </c>
      <c r="F56" s="10">
        <v>0.95</v>
      </c>
      <c r="G56" s="10">
        <v>0.88</v>
      </c>
    </row>
    <row r="57" spans="1:7" ht="15.75" customHeight="1" x14ac:dyDescent="0.25">
      <c r="A57" s="7" t="s">
        <v>2519</v>
      </c>
      <c r="B57" s="9" t="s">
        <v>2467</v>
      </c>
      <c r="C57" s="9">
        <v>12</v>
      </c>
      <c r="D57" s="9">
        <v>6</v>
      </c>
      <c r="E57" s="10">
        <v>0.96</v>
      </c>
      <c r="F57" s="10">
        <v>0.92</v>
      </c>
      <c r="G57" s="10">
        <v>0.85</v>
      </c>
    </row>
    <row r="58" spans="1:7" ht="15.75" customHeight="1" x14ac:dyDescent="0.25">
      <c r="A58" s="7" t="s">
        <v>2520</v>
      </c>
      <c r="B58" s="9" t="s">
        <v>2467</v>
      </c>
      <c r="C58" s="9">
        <v>12</v>
      </c>
      <c r="D58" s="9">
        <v>6</v>
      </c>
      <c r="E58" s="10">
        <v>0.96</v>
      </c>
      <c r="F58" s="10">
        <v>0.92</v>
      </c>
      <c r="G58" s="10">
        <v>0.85</v>
      </c>
    </row>
    <row r="59" spans="1:7" ht="15.75" customHeight="1" x14ac:dyDescent="0.25">
      <c r="A59" s="7" t="s">
        <v>2521</v>
      </c>
      <c r="B59" s="9" t="s">
        <v>2467</v>
      </c>
      <c r="C59" s="9">
        <v>12</v>
      </c>
      <c r="D59" s="9">
        <v>6</v>
      </c>
      <c r="E59" s="10">
        <v>0.96</v>
      </c>
      <c r="F59" s="10">
        <v>0.92</v>
      </c>
      <c r="G59" s="10">
        <v>0.85</v>
      </c>
    </row>
    <row r="60" spans="1:7" ht="15.75" customHeight="1" x14ac:dyDescent="0.25">
      <c r="A60" s="7" t="s">
        <v>2522</v>
      </c>
      <c r="B60" s="9"/>
      <c r="C60" s="9"/>
      <c r="D60" s="9"/>
      <c r="E60" s="9"/>
      <c r="F60" s="9"/>
      <c r="G60" s="9"/>
    </row>
    <row r="61" spans="1:7" ht="15.75" customHeight="1" x14ac:dyDescent="0.25">
      <c r="A61" s="7" t="s">
        <v>2523</v>
      </c>
      <c r="B61" s="9" t="s">
        <v>2467</v>
      </c>
      <c r="C61" s="9">
        <v>12</v>
      </c>
      <c r="D61" s="9">
        <v>6</v>
      </c>
      <c r="E61" s="10">
        <v>0.96</v>
      </c>
      <c r="F61" s="10">
        <v>0.92</v>
      </c>
      <c r="G61" s="10">
        <v>0.85</v>
      </c>
    </row>
    <row r="62" spans="1:7" ht="15.75" customHeight="1" x14ac:dyDescent="0.25">
      <c r="A62" s="7" t="s">
        <v>2524</v>
      </c>
      <c r="B62" s="9" t="s">
        <v>2467</v>
      </c>
      <c r="C62" s="9">
        <v>12</v>
      </c>
      <c r="D62" s="9">
        <v>6</v>
      </c>
      <c r="E62" s="10">
        <v>0.96</v>
      </c>
      <c r="F62" s="10">
        <v>0.92</v>
      </c>
      <c r="G62" s="10">
        <v>0.85</v>
      </c>
    </row>
    <row r="63" spans="1:7" ht="15.75" customHeight="1" x14ac:dyDescent="0.25">
      <c r="A63" s="7" t="s">
        <v>2525</v>
      </c>
      <c r="B63" s="9" t="s">
        <v>2467</v>
      </c>
      <c r="C63" s="9">
        <v>12</v>
      </c>
      <c r="D63" s="9">
        <v>6</v>
      </c>
      <c r="E63" s="10">
        <v>0.96</v>
      </c>
      <c r="F63" s="10">
        <v>0.92</v>
      </c>
      <c r="G63" s="10">
        <v>0.85</v>
      </c>
    </row>
    <row r="64" spans="1:7" ht="15.75" customHeight="1" x14ac:dyDescent="0.25">
      <c r="A64" s="7" t="s">
        <v>2526</v>
      </c>
      <c r="B64" s="9" t="s">
        <v>2467</v>
      </c>
      <c r="C64" s="9">
        <v>12</v>
      </c>
      <c r="D64" s="9">
        <v>6</v>
      </c>
      <c r="E64" s="10">
        <v>0.96</v>
      </c>
      <c r="F64" s="10">
        <v>0.92</v>
      </c>
      <c r="G64" s="10">
        <v>0.85</v>
      </c>
    </row>
    <row r="65" spans="1:7" ht="15.75" customHeight="1" x14ac:dyDescent="0.25">
      <c r="A65" s="7" t="s">
        <v>2527</v>
      </c>
      <c r="B65" s="9" t="s">
        <v>2467</v>
      </c>
      <c r="C65" s="9">
        <v>12</v>
      </c>
      <c r="D65" s="9">
        <v>6</v>
      </c>
      <c r="E65" s="10">
        <v>0.96</v>
      </c>
      <c r="F65" s="10">
        <v>0.92</v>
      </c>
      <c r="G65" s="10">
        <v>0.85</v>
      </c>
    </row>
    <row r="66" spans="1:7" ht="15.75" customHeight="1" x14ac:dyDescent="0.25">
      <c r="A66" s="7" t="s">
        <v>2528</v>
      </c>
      <c r="B66" s="9" t="s">
        <v>2467</v>
      </c>
      <c r="C66" s="9">
        <v>12</v>
      </c>
      <c r="D66" s="9">
        <v>6</v>
      </c>
      <c r="E66" s="10">
        <v>0.96</v>
      </c>
      <c r="F66" s="10">
        <v>0.92</v>
      </c>
      <c r="G66" s="10">
        <v>0.85</v>
      </c>
    </row>
    <row r="67" spans="1:7" ht="15.75" customHeight="1" x14ac:dyDescent="0.25">
      <c r="A67" s="7" t="s">
        <v>2529</v>
      </c>
      <c r="B67" s="9" t="s">
        <v>2467</v>
      </c>
      <c r="C67" s="9">
        <v>12</v>
      </c>
      <c r="D67" s="9">
        <v>6</v>
      </c>
      <c r="E67" s="10">
        <v>0.96</v>
      </c>
      <c r="F67" s="10">
        <v>0.92</v>
      </c>
      <c r="G67" s="10">
        <v>0.85</v>
      </c>
    </row>
    <row r="68" spans="1:7" ht="15.75" customHeight="1" x14ac:dyDescent="0.25">
      <c r="A68" s="7" t="s">
        <v>2530</v>
      </c>
      <c r="B68" s="9" t="s">
        <v>2467</v>
      </c>
      <c r="C68" s="9">
        <v>12</v>
      </c>
      <c r="D68" s="9">
        <v>6</v>
      </c>
      <c r="E68" s="10">
        <v>0.96</v>
      </c>
      <c r="F68" s="10">
        <v>0.92</v>
      </c>
      <c r="G68" s="10">
        <v>0.85</v>
      </c>
    </row>
    <row r="69" spans="1:7" ht="15.75" customHeight="1" x14ac:dyDescent="0.25">
      <c r="A69" s="7" t="s">
        <v>2531</v>
      </c>
      <c r="B69" s="9" t="s">
        <v>2467</v>
      </c>
      <c r="C69" s="9">
        <v>12</v>
      </c>
      <c r="D69" s="9">
        <v>6</v>
      </c>
      <c r="E69" s="10">
        <v>0.96</v>
      </c>
      <c r="F69" s="10">
        <v>0.92</v>
      </c>
      <c r="G69" s="10">
        <v>0.85</v>
      </c>
    </row>
    <row r="70" spans="1:7" ht="15.75" customHeight="1" x14ac:dyDescent="0.25">
      <c r="A70" s="7" t="s">
        <v>2532</v>
      </c>
      <c r="B70" s="9" t="s">
        <v>2467</v>
      </c>
      <c r="C70" s="9">
        <v>12</v>
      </c>
      <c r="D70" s="9">
        <v>6</v>
      </c>
      <c r="E70" s="10">
        <v>0.96</v>
      </c>
      <c r="F70" s="10">
        <v>0.92</v>
      </c>
      <c r="G70" s="10">
        <v>0.85</v>
      </c>
    </row>
    <row r="71" spans="1:7" ht="15.75" customHeight="1" x14ac:dyDescent="0.25">
      <c r="A71" s="7" t="s">
        <v>2533</v>
      </c>
      <c r="B71" s="9" t="s">
        <v>2467</v>
      </c>
      <c r="C71" s="9">
        <v>12</v>
      </c>
      <c r="D71" s="9">
        <v>6</v>
      </c>
      <c r="E71" s="10">
        <v>0.96</v>
      </c>
      <c r="F71" s="10">
        <v>0.92</v>
      </c>
      <c r="G71" s="10">
        <v>0.85</v>
      </c>
    </row>
    <row r="72" spans="1:7" ht="15.75" customHeight="1" x14ac:dyDescent="0.25">
      <c r="A72" s="7" t="s">
        <v>2534</v>
      </c>
      <c r="B72" s="9" t="s">
        <v>2467</v>
      </c>
      <c r="C72" s="9">
        <v>12</v>
      </c>
      <c r="D72" s="9">
        <v>6</v>
      </c>
      <c r="E72" s="10">
        <v>0.96</v>
      </c>
      <c r="F72" s="10">
        <v>0.92</v>
      </c>
      <c r="G72" s="10">
        <v>0.85</v>
      </c>
    </row>
    <row r="73" spans="1:7" ht="15.75" customHeight="1" x14ac:dyDescent="0.25">
      <c r="A73" s="7" t="s">
        <v>2535</v>
      </c>
      <c r="B73" s="9" t="s">
        <v>2467</v>
      </c>
      <c r="C73" s="9">
        <v>12</v>
      </c>
      <c r="D73" s="9">
        <v>6</v>
      </c>
      <c r="E73" s="10">
        <v>0.96</v>
      </c>
      <c r="F73" s="10">
        <v>0.92</v>
      </c>
      <c r="G73" s="10">
        <v>0.85</v>
      </c>
    </row>
    <row r="74" spans="1:7" ht="15.75" customHeight="1" x14ac:dyDescent="0.25">
      <c r="A74" s="7" t="s">
        <v>2536</v>
      </c>
      <c r="B74" s="9" t="s">
        <v>2467</v>
      </c>
      <c r="C74" s="9">
        <v>12</v>
      </c>
      <c r="D74" s="9">
        <v>6</v>
      </c>
      <c r="E74" s="10">
        <v>0.96</v>
      </c>
      <c r="F74" s="10">
        <v>0.92</v>
      </c>
      <c r="G74" s="10">
        <v>0.85</v>
      </c>
    </row>
    <row r="75" spans="1:7" ht="15.75" customHeight="1" x14ac:dyDescent="0.25">
      <c r="A75" s="7" t="s">
        <v>2537</v>
      </c>
      <c r="B75" s="9" t="s">
        <v>2467</v>
      </c>
      <c r="C75" s="9">
        <v>12</v>
      </c>
      <c r="D75" s="9">
        <v>6</v>
      </c>
      <c r="E75" s="10">
        <v>0.96</v>
      </c>
      <c r="F75" s="10">
        <v>0.92</v>
      </c>
      <c r="G75" s="10">
        <v>0.85</v>
      </c>
    </row>
    <row r="76" spans="1:7" ht="15.75" customHeight="1" x14ac:dyDescent="0.25">
      <c r="A76" s="7" t="s">
        <v>2538</v>
      </c>
      <c r="B76" s="9" t="s">
        <v>2467</v>
      </c>
      <c r="C76" s="9">
        <v>12</v>
      </c>
      <c r="D76" s="9">
        <v>6</v>
      </c>
      <c r="E76" s="10">
        <v>0.96</v>
      </c>
      <c r="F76" s="10">
        <v>0.92</v>
      </c>
      <c r="G76" s="10">
        <v>0.85</v>
      </c>
    </row>
    <row r="77" spans="1:7" ht="15.75" customHeight="1" x14ac:dyDescent="0.25">
      <c r="A77" s="7" t="s">
        <v>2539</v>
      </c>
      <c r="B77" s="9" t="s">
        <v>2467</v>
      </c>
      <c r="C77" s="9">
        <v>12</v>
      </c>
      <c r="D77" s="9">
        <v>6</v>
      </c>
      <c r="E77" s="10">
        <v>0.96</v>
      </c>
      <c r="F77" s="10">
        <v>0.92</v>
      </c>
      <c r="G77" s="10">
        <v>0.85</v>
      </c>
    </row>
    <row r="78" spans="1:7" ht="15.75" customHeight="1" x14ac:dyDescent="0.25">
      <c r="A78" s="7" t="s">
        <v>2540</v>
      </c>
      <c r="B78" s="9" t="s">
        <v>2467</v>
      </c>
      <c r="C78" s="9">
        <v>12</v>
      </c>
      <c r="D78" s="9">
        <v>6</v>
      </c>
      <c r="E78" s="10">
        <v>0.96</v>
      </c>
      <c r="F78" s="10">
        <v>0.92</v>
      </c>
      <c r="G78" s="10">
        <v>0.85</v>
      </c>
    </row>
    <row r="79" spans="1:7" ht="15.75" customHeight="1" x14ac:dyDescent="0.25">
      <c r="A79" s="7" t="s">
        <v>2541</v>
      </c>
      <c r="B79" s="9" t="s">
        <v>2467</v>
      </c>
      <c r="C79" s="9">
        <v>12</v>
      </c>
      <c r="D79" s="9">
        <v>6</v>
      </c>
      <c r="E79" s="10">
        <v>0.96</v>
      </c>
      <c r="F79" s="10">
        <v>0.92</v>
      </c>
      <c r="G79" s="10">
        <v>0.85</v>
      </c>
    </row>
    <row r="80" spans="1:7" ht="15.75" customHeight="1" x14ac:dyDescent="0.25">
      <c r="A80" s="7" t="s">
        <v>2542</v>
      </c>
      <c r="B80" s="9" t="s">
        <v>2467</v>
      </c>
      <c r="C80" s="9">
        <v>12</v>
      </c>
      <c r="D80" s="9">
        <v>6</v>
      </c>
      <c r="E80" s="10">
        <v>0.96</v>
      </c>
      <c r="F80" s="10">
        <v>0.92</v>
      </c>
      <c r="G80" s="10">
        <v>0.85</v>
      </c>
    </row>
    <row r="81" spans="1:7" ht="15.75" customHeight="1" x14ac:dyDescent="0.25">
      <c r="A81" s="7" t="s">
        <v>2543</v>
      </c>
      <c r="B81" s="9" t="s">
        <v>2467</v>
      </c>
      <c r="C81" s="9">
        <v>12</v>
      </c>
      <c r="D81" s="9">
        <v>6</v>
      </c>
      <c r="E81" s="10">
        <v>0.96</v>
      </c>
      <c r="F81" s="10">
        <v>0.92</v>
      </c>
      <c r="G81" s="10">
        <v>0.85</v>
      </c>
    </row>
    <row r="82" spans="1:7" ht="15.75" customHeight="1" x14ac:dyDescent="0.25">
      <c r="A82" s="7" t="s">
        <v>2544</v>
      </c>
      <c r="B82" s="9" t="s">
        <v>2467</v>
      </c>
      <c r="C82" s="9">
        <v>12</v>
      </c>
      <c r="D82" s="9">
        <v>6</v>
      </c>
      <c r="E82" s="10">
        <v>0.96</v>
      </c>
      <c r="F82" s="10">
        <v>0.92</v>
      </c>
      <c r="G82" s="10">
        <v>0.85</v>
      </c>
    </row>
    <row r="83" spans="1:7" ht="15.75" customHeight="1" x14ac:dyDescent="0.25">
      <c r="A83" s="7" t="s">
        <v>2545</v>
      </c>
      <c r="B83" s="9" t="s">
        <v>2467</v>
      </c>
      <c r="C83" s="9">
        <v>12</v>
      </c>
      <c r="D83" s="9">
        <v>6</v>
      </c>
      <c r="E83" s="10">
        <v>0.96</v>
      </c>
      <c r="F83" s="10">
        <v>0.92</v>
      </c>
      <c r="G83" s="10">
        <v>0.85</v>
      </c>
    </row>
    <row r="84" spans="1:7" ht="15.75" customHeight="1" x14ac:dyDescent="0.25">
      <c r="A84" s="7" t="s">
        <v>2546</v>
      </c>
      <c r="B84" s="9" t="s">
        <v>2467</v>
      </c>
      <c r="C84" s="9">
        <v>12</v>
      </c>
      <c r="D84" s="9">
        <v>6</v>
      </c>
      <c r="E84" s="10">
        <v>0.96</v>
      </c>
      <c r="F84" s="10">
        <v>0.92</v>
      </c>
      <c r="G84" s="10">
        <v>0.85</v>
      </c>
    </row>
    <row r="85" spans="1:7" ht="15.75" customHeight="1" x14ac:dyDescent="0.25">
      <c r="A85" s="2"/>
    </row>
    <row r="86" spans="1:7" ht="15.75" customHeight="1" x14ac:dyDescent="0.25">
      <c r="A86" s="2"/>
    </row>
    <row r="87" spans="1:7" ht="15.75" customHeight="1" x14ac:dyDescent="0.25">
      <c r="A87" s="2"/>
    </row>
    <row r="88" spans="1:7" ht="15.75" customHeight="1" x14ac:dyDescent="0.25">
      <c r="A88" s="2"/>
    </row>
    <row r="89" spans="1:7" ht="15.75" customHeight="1" x14ac:dyDescent="0.25">
      <c r="A89" s="2"/>
    </row>
    <row r="90" spans="1:7" ht="15.75" customHeight="1" x14ac:dyDescent="0.25">
      <c r="A90" s="2"/>
    </row>
    <row r="91" spans="1:7" ht="15.75" customHeight="1" x14ac:dyDescent="0.25">
      <c r="A91" s="2"/>
    </row>
    <row r="92" spans="1:7" ht="15.75" customHeight="1" x14ac:dyDescent="0.25">
      <c r="A92" s="2"/>
    </row>
    <row r="93" spans="1:7" ht="15.75" customHeight="1" x14ac:dyDescent="0.25">
      <c r="A93" s="2"/>
    </row>
    <row r="94" spans="1:7" ht="15.75" customHeight="1" x14ac:dyDescent="0.25">
      <c r="A94" s="2"/>
    </row>
    <row r="95" spans="1:7" ht="15.75" customHeight="1" x14ac:dyDescent="0.25">
      <c r="A95" s="2"/>
    </row>
    <row r="96" spans="1:7" ht="15.75" customHeight="1" x14ac:dyDescent="0.25">
      <c r="A96" s="2"/>
    </row>
    <row r="97" spans="1:1" ht="15.75" customHeight="1" x14ac:dyDescent="0.25">
      <c r="A97" s="2"/>
    </row>
    <row r="98" spans="1:1" ht="15.75" customHeight="1" x14ac:dyDescent="0.25">
      <c r="A98" s="2"/>
    </row>
    <row r="99" spans="1:1" ht="15.75" customHeight="1" x14ac:dyDescent="0.25">
      <c r="A99" s="2"/>
    </row>
    <row r="100" spans="1:1" ht="15.75" customHeight="1" x14ac:dyDescent="0.25">
      <c r="A100" s="2"/>
    </row>
  </sheetData>
  <autoFilter ref="A3:G84" xr:uid="{00000000-0009-0000-0000-000001000000}"/>
  <mergeCells count="1">
    <mergeCell ref="A5:G5"/>
  </mergeCells>
  <pageMargins left="0.7" right="0.7" top="0.75" bottom="0.75" header="0" footer="0"/>
  <pageSetup paperSize="9" scale="8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K100"/>
  <sheetViews>
    <sheetView workbookViewId="0">
      <selection activeCell="A47" sqref="A47"/>
    </sheetView>
  </sheetViews>
  <sheetFormatPr defaultColWidth="14.42578125" defaultRowHeight="15" customHeight="1" x14ac:dyDescent="0.25"/>
  <cols>
    <col min="1" max="1" width="17.5703125" customWidth="1"/>
    <col min="2" max="2" width="8.7109375" customWidth="1"/>
    <col min="3" max="3" width="51" customWidth="1"/>
    <col min="4" max="11" width="9.5703125" customWidth="1"/>
  </cols>
  <sheetData>
    <row r="1" spans="1:11" ht="12.75" customHeight="1" x14ac:dyDescent="0.25">
      <c r="A1" s="11" t="s">
        <v>2547</v>
      </c>
      <c r="B1" s="12" t="s">
        <v>2548</v>
      </c>
      <c r="C1" s="12" t="s">
        <v>2549</v>
      </c>
      <c r="D1" s="13"/>
      <c r="E1" s="13"/>
      <c r="F1" s="13"/>
      <c r="G1" s="13"/>
      <c r="H1" s="13"/>
      <c r="I1" s="13"/>
      <c r="J1" s="13"/>
      <c r="K1" s="13"/>
    </row>
    <row r="2" spans="1:11" ht="12.75" customHeight="1" x14ac:dyDescent="0.25">
      <c r="A2" s="14">
        <v>46023</v>
      </c>
      <c r="B2" s="15" t="s">
        <v>2553</v>
      </c>
      <c r="C2" s="16" t="s">
        <v>2551</v>
      </c>
      <c r="D2" s="13"/>
      <c r="E2" s="13"/>
      <c r="F2" s="17"/>
      <c r="G2" s="18"/>
      <c r="H2" s="19"/>
      <c r="I2" s="13"/>
      <c r="J2" s="13"/>
      <c r="K2" s="13"/>
    </row>
    <row r="3" spans="1:11" ht="15.75" customHeight="1" x14ac:dyDescent="0.25">
      <c r="A3" s="14">
        <v>46054</v>
      </c>
      <c r="B3" s="15" t="s">
        <v>2568</v>
      </c>
      <c r="C3" s="16" t="s">
        <v>2556</v>
      </c>
      <c r="D3" s="13"/>
      <c r="E3" s="13"/>
      <c r="F3" s="17"/>
      <c r="G3" s="18"/>
      <c r="H3" s="19"/>
      <c r="I3" s="13"/>
      <c r="J3" s="13"/>
      <c r="K3" s="13"/>
    </row>
    <row r="4" spans="1:11" ht="15.75" customHeight="1" x14ac:dyDescent="0.25">
      <c r="A4" s="14">
        <v>46070</v>
      </c>
      <c r="B4" s="15" t="s">
        <v>2555</v>
      </c>
      <c r="C4" s="16" t="s">
        <v>2552</v>
      </c>
      <c r="D4" s="13"/>
      <c r="E4" s="13"/>
      <c r="F4" s="17"/>
      <c r="G4" s="18"/>
      <c r="H4" s="19"/>
      <c r="I4" s="13"/>
      <c r="J4" s="13"/>
      <c r="K4" s="13"/>
    </row>
    <row r="5" spans="1:11" ht="15.75" customHeight="1" x14ac:dyDescent="0.25">
      <c r="A5" s="14">
        <v>46071</v>
      </c>
      <c r="B5" s="15" t="s">
        <v>2550</v>
      </c>
      <c r="C5" s="16" t="s">
        <v>2554</v>
      </c>
      <c r="D5" s="13"/>
      <c r="E5" s="13"/>
      <c r="F5" s="17"/>
      <c r="G5" s="18"/>
      <c r="H5" s="19"/>
      <c r="I5" s="13"/>
      <c r="J5" s="13"/>
      <c r="K5" s="13"/>
    </row>
    <row r="6" spans="1:11" ht="15.75" customHeight="1" x14ac:dyDescent="0.25">
      <c r="A6" s="14">
        <v>46088</v>
      </c>
      <c r="B6" s="15" t="s">
        <v>2564</v>
      </c>
      <c r="C6" s="16" t="s">
        <v>2557</v>
      </c>
      <c r="D6" s="13"/>
      <c r="E6" s="13"/>
      <c r="F6" s="17"/>
      <c r="G6" s="18"/>
      <c r="H6" s="19"/>
      <c r="I6" s="13"/>
      <c r="J6" s="13"/>
      <c r="K6" s="13"/>
    </row>
    <row r="7" spans="1:11" ht="15.75" customHeight="1" x14ac:dyDescent="0.25">
      <c r="A7" s="14">
        <v>46102</v>
      </c>
      <c r="B7" s="15" t="s">
        <v>2564</v>
      </c>
      <c r="C7" s="16" t="s">
        <v>2559</v>
      </c>
      <c r="D7" s="13"/>
      <c r="E7" s="13"/>
      <c r="F7" s="17"/>
      <c r="G7" s="18"/>
      <c r="H7" s="19"/>
      <c r="I7" s="13"/>
      <c r="J7" s="13"/>
      <c r="K7" s="13"/>
    </row>
    <row r="8" spans="1:11" ht="15.75" customHeight="1" x14ac:dyDescent="0.25">
      <c r="A8" s="14">
        <v>46103</v>
      </c>
      <c r="B8" s="15" t="s">
        <v>2568</v>
      </c>
      <c r="C8" s="16" t="s">
        <v>2560</v>
      </c>
      <c r="D8" s="13"/>
      <c r="E8" s="13"/>
      <c r="F8" s="17"/>
      <c r="G8" s="18"/>
      <c r="H8" s="19"/>
      <c r="I8" s="13"/>
      <c r="J8" s="13"/>
      <c r="K8" s="13"/>
    </row>
    <row r="9" spans="1:11" ht="15.75" customHeight="1" x14ac:dyDescent="0.25">
      <c r="A9" s="14">
        <v>46143</v>
      </c>
      <c r="B9" s="15" t="s">
        <v>2566</v>
      </c>
      <c r="C9" s="16" t="s">
        <v>2561</v>
      </c>
      <c r="D9" s="13"/>
      <c r="E9" s="13"/>
      <c r="F9" s="17"/>
      <c r="G9" s="18"/>
      <c r="H9" s="19"/>
      <c r="I9" s="13"/>
      <c r="J9" s="13"/>
      <c r="K9" s="13"/>
    </row>
    <row r="10" spans="1:11" ht="15.75" customHeight="1" x14ac:dyDescent="0.25">
      <c r="A10" s="14">
        <v>46169</v>
      </c>
      <c r="B10" s="15" t="s">
        <v>2550</v>
      </c>
      <c r="C10" s="16" t="s">
        <v>2565</v>
      </c>
      <c r="D10" s="13"/>
      <c r="E10" s="13"/>
      <c r="F10" s="17"/>
      <c r="G10" s="18"/>
      <c r="H10" s="19"/>
      <c r="I10" s="13"/>
      <c r="J10" s="13"/>
      <c r="K10" s="13"/>
    </row>
    <row r="11" spans="1:11" ht="15.75" customHeight="1" x14ac:dyDescent="0.25">
      <c r="A11" s="14">
        <v>46173</v>
      </c>
      <c r="B11" s="15" t="s">
        <v>2568</v>
      </c>
      <c r="C11" s="16" t="s">
        <v>2562</v>
      </c>
      <c r="D11" s="13"/>
      <c r="E11" s="13"/>
      <c r="F11" s="17"/>
      <c r="G11" s="18"/>
      <c r="H11" s="19"/>
      <c r="I11" s="13"/>
      <c r="J11" s="13"/>
      <c r="K11" s="13"/>
    </row>
    <row r="12" spans="1:11" ht="15.75" customHeight="1" x14ac:dyDescent="0.25">
      <c r="A12" s="14">
        <v>46174</v>
      </c>
      <c r="B12" s="15" t="s">
        <v>2558</v>
      </c>
      <c r="C12" s="16" t="s">
        <v>2563</v>
      </c>
      <c r="D12" s="13"/>
      <c r="E12" s="13"/>
      <c r="F12" s="17"/>
      <c r="G12" s="18"/>
      <c r="H12" s="19"/>
      <c r="I12" s="13"/>
      <c r="J12" s="13"/>
      <c r="K12" s="13"/>
    </row>
    <row r="13" spans="1:11" ht="15.75" customHeight="1" x14ac:dyDescent="0.25">
      <c r="A13" s="14">
        <v>46190</v>
      </c>
      <c r="B13" s="15" t="s">
        <v>2550</v>
      </c>
      <c r="C13" s="16" t="s">
        <v>2567</v>
      </c>
      <c r="D13" s="13"/>
      <c r="E13" s="13"/>
      <c r="F13" s="17"/>
      <c r="G13" s="18"/>
      <c r="H13" s="19"/>
      <c r="I13" s="13"/>
      <c r="J13" s="13"/>
      <c r="K13" s="13"/>
    </row>
    <row r="14" spans="1:11" ht="15.75" customHeight="1" x14ac:dyDescent="0.25">
      <c r="A14" s="14">
        <v>46259</v>
      </c>
      <c r="B14" s="15" t="s">
        <v>2555</v>
      </c>
      <c r="C14" s="16" t="s">
        <v>2570</v>
      </c>
      <c r="D14" s="13"/>
      <c r="E14" s="13"/>
      <c r="F14" s="17"/>
      <c r="G14" s="18"/>
      <c r="H14" s="19"/>
      <c r="I14" s="13"/>
      <c r="J14" s="13"/>
      <c r="K14" s="13"/>
    </row>
    <row r="15" spans="1:11" ht="15.75" customHeight="1" x14ac:dyDescent="0.25">
      <c r="A15" s="14">
        <v>46265</v>
      </c>
      <c r="B15" s="15" t="s">
        <v>2558</v>
      </c>
      <c r="C15" s="16" t="s">
        <v>2569</v>
      </c>
      <c r="D15" s="13"/>
      <c r="E15" s="13"/>
      <c r="F15" s="17"/>
      <c r="G15" s="18"/>
      <c r="H15" s="19"/>
      <c r="I15" s="13"/>
      <c r="J15" s="13"/>
      <c r="K15" s="13"/>
    </row>
    <row r="16" spans="1:11" ht="15.75" customHeight="1" x14ac:dyDescent="0.25">
      <c r="A16" s="14">
        <v>46281</v>
      </c>
      <c r="B16" s="15" t="s">
        <v>2550</v>
      </c>
      <c r="C16" s="16" t="s">
        <v>2571</v>
      </c>
      <c r="D16" s="13"/>
      <c r="E16" s="13"/>
      <c r="F16" s="17"/>
      <c r="G16" s="18"/>
      <c r="H16" s="19"/>
      <c r="I16" s="13"/>
      <c r="J16" s="13"/>
      <c r="K16" s="13"/>
    </row>
    <row r="17" spans="1:11" ht="15.75" customHeight="1" thickBot="1" x14ac:dyDescent="0.3">
      <c r="A17" s="14">
        <v>46334</v>
      </c>
      <c r="B17" s="15" t="s">
        <v>2568</v>
      </c>
      <c r="C17" s="16" t="s">
        <v>2572</v>
      </c>
      <c r="D17" s="13"/>
      <c r="E17" s="13"/>
      <c r="F17" s="17"/>
      <c r="G17" s="18"/>
      <c r="H17" s="19"/>
      <c r="I17" s="13"/>
      <c r="J17" s="13"/>
      <c r="K17" s="13"/>
    </row>
    <row r="18" spans="1:11" ht="15.75" customHeight="1" thickBot="1" x14ac:dyDescent="0.3">
      <c r="A18" s="14">
        <v>46335</v>
      </c>
      <c r="B18" s="15" t="s">
        <v>2558</v>
      </c>
      <c r="C18" s="16" t="s">
        <v>2575</v>
      </c>
      <c r="D18" s="13"/>
      <c r="E18" s="13"/>
      <c r="F18" s="17"/>
      <c r="G18" s="18"/>
      <c r="H18" s="19"/>
      <c r="I18" s="13"/>
      <c r="J18" s="13"/>
      <c r="K18" s="13"/>
    </row>
    <row r="19" spans="1:11" ht="15.75" customHeight="1" thickBot="1" x14ac:dyDescent="0.3">
      <c r="A19" s="14">
        <v>46002</v>
      </c>
      <c r="B19" s="15" t="s">
        <v>2566</v>
      </c>
      <c r="C19" s="16" t="s">
        <v>2573</v>
      </c>
      <c r="D19" s="13"/>
      <c r="E19" s="13"/>
      <c r="F19" s="17"/>
      <c r="G19" s="18"/>
      <c r="H19" s="19"/>
      <c r="I19" s="13"/>
      <c r="J19" s="13"/>
      <c r="K19" s="13"/>
    </row>
    <row r="20" spans="1:11" ht="15.75" customHeight="1" x14ac:dyDescent="0.25">
      <c r="A20" s="14">
        <v>46381</v>
      </c>
      <c r="B20" s="15" t="s">
        <v>2566</v>
      </c>
      <c r="C20" s="16" t="s">
        <v>2574</v>
      </c>
      <c r="D20" s="13"/>
      <c r="E20" s="13"/>
      <c r="F20" s="17"/>
      <c r="G20" s="18"/>
      <c r="H20" s="19"/>
      <c r="I20" s="13"/>
      <c r="J20" s="13"/>
      <c r="K20" s="13"/>
    </row>
    <row r="21" spans="1:11" ht="15.75" hidden="1" customHeight="1" x14ac:dyDescent="0.25">
      <c r="A21" s="14">
        <v>46023</v>
      </c>
      <c r="B21" s="15" t="s">
        <v>2553</v>
      </c>
      <c r="C21" s="20" t="s">
        <v>2551</v>
      </c>
      <c r="D21" s="13"/>
      <c r="E21" s="13"/>
      <c r="F21" s="13"/>
      <c r="G21" s="13"/>
      <c r="H21" s="13"/>
      <c r="I21" s="13"/>
      <c r="J21" s="13"/>
      <c r="K21" s="13"/>
    </row>
    <row r="22" spans="1:11" ht="15.75" hidden="1" customHeight="1" x14ac:dyDescent="0.25">
      <c r="A22" s="14">
        <v>45242</v>
      </c>
      <c r="B22" s="15" t="s">
        <v>2568</v>
      </c>
      <c r="C22" s="20" t="s">
        <v>2572</v>
      </c>
      <c r="D22" s="13"/>
      <c r="E22" s="13"/>
      <c r="F22" s="13"/>
      <c r="G22" s="13"/>
      <c r="H22" s="13"/>
      <c r="I22" s="13"/>
      <c r="J22" s="13"/>
      <c r="K22" s="13"/>
    </row>
    <row r="23" spans="1:11" ht="15.75" hidden="1" customHeight="1" x14ac:dyDescent="0.25">
      <c r="A23" s="14">
        <v>45243</v>
      </c>
      <c r="B23" s="15" t="s">
        <v>2558</v>
      </c>
      <c r="C23" s="20" t="s">
        <v>2575</v>
      </c>
      <c r="D23" s="13"/>
      <c r="E23" s="13"/>
      <c r="F23" s="13"/>
      <c r="G23" s="13"/>
      <c r="H23" s="13"/>
      <c r="I23" s="13"/>
      <c r="J23" s="13"/>
      <c r="K23" s="13"/>
    </row>
    <row r="24" spans="1:11" ht="15.75" hidden="1" customHeight="1" x14ac:dyDescent="0.25">
      <c r="A24" s="14">
        <v>45271</v>
      </c>
      <c r="B24" s="15" t="s">
        <v>2558</v>
      </c>
      <c r="C24" s="20" t="s">
        <v>2573</v>
      </c>
      <c r="D24" s="13"/>
      <c r="E24" s="13"/>
      <c r="F24" s="13"/>
      <c r="G24" s="13"/>
      <c r="H24" s="13"/>
      <c r="I24" s="13"/>
      <c r="J24" s="13"/>
      <c r="K24" s="13"/>
    </row>
    <row r="25" spans="1:11" ht="15.75" hidden="1" customHeight="1" x14ac:dyDescent="0.25">
      <c r="A25" s="14">
        <v>45285</v>
      </c>
      <c r="B25" s="15" t="s">
        <v>2558</v>
      </c>
      <c r="C25" s="20" t="s">
        <v>2574</v>
      </c>
      <c r="D25" s="13"/>
      <c r="E25" s="13"/>
      <c r="F25" s="13"/>
      <c r="G25" s="13"/>
      <c r="H25" s="13"/>
      <c r="I25" s="13"/>
      <c r="J25" s="13"/>
      <c r="K25" s="13"/>
    </row>
    <row r="26" spans="1:11" ht="18.75" hidden="1" customHeight="1" x14ac:dyDescent="0.25">
      <c r="A26" s="14">
        <v>45292</v>
      </c>
      <c r="B26" s="15" t="s">
        <v>2558</v>
      </c>
      <c r="C26" s="13" t="s">
        <v>2576</v>
      </c>
      <c r="D26" s="13"/>
      <c r="E26" s="13"/>
      <c r="F26" s="13"/>
      <c r="G26" s="13"/>
      <c r="H26" s="13"/>
      <c r="I26" s="13"/>
      <c r="J26" s="13"/>
      <c r="K26" s="13"/>
    </row>
    <row r="27" spans="1:11" ht="12.75" hidden="1" customHeight="1" x14ac:dyDescent="0.25">
      <c r="A27" s="21">
        <v>45658</v>
      </c>
      <c r="B27" s="22" t="s">
        <v>2558</v>
      </c>
      <c r="C27" s="23" t="s">
        <v>2551</v>
      </c>
      <c r="D27" s="13"/>
      <c r="E27" s="13"/>
      <c r="F27" s="13"/>
      <c r="G27" s="13"/>
      <c r="H27" s="13"/>
      <c r="I27" s="13"/>
      <c r="J27" s="13"/>
      <c r="K27" s="13"/>
    </row>
    <row r="28" spans="1:11" ht="12.75" hidden="1" customHeight="1" x14ac:dyDescent="0.25">
      <c r="A28" s="21">
        <v>45316</v>
      </c>
      <c r="B28" s="22" t="s">
        <v>2553</v>
      </c>
      <c r="C28" s="23" t="s">
        <v>2556</v>
      </c>
      <c r="D28" s="13"/>
      <c r="E28" s="13"/>
      <c r="F28" s="13"/>
      <c r="G28" s="13"/>
      <c r="H28" s="13"/>
      <c r="I28" s="13"/>
      <c r="J28" s="13"/>
      <c r="K28" s="13"/>
    </row>
    <row r="29" spans="1:11" ht="12.75" hidden="1" customHeight="1" x14ac:dyDescent="0.25">
      <c r="A29" s="21">
        <v>45332</v>
      </c>
      <c r="B29" s="22" t="s">
        <v>2564</v>
      </c>
      <c r="C29" s="23" t="s">
        <v>2552</v>
      </c>
      <c r="D29" s="13"/>
      <c r="E29" s="13"/>
      <c r="F29" s="13"/>
      <c r="G29" s="13"/>
      <c r="H29" s="13"/>
      <c r="I29" s="13"/>
      <c r="J29" s="13"/>
      <c r="K29" s="13"/>
    </row>
    <row r="30" spans="1:11" ht="12.75" hidden="1" customHeight="1" x14ac:dyDescent="0.25">
      <c r="A30" s="21">
        <v>45333</v>
      </c>
      <c r="B30" s="22" t="s">
        <v>2568</v>
      </c>
      <c r="C30" s="23" t="s">
        <v>2554</v>
      </c>
      <c r="D30" s="13"/>
      <c r="E30" s="13"/>
      <c r="F30" s="13"/>
      <c r="G30" s="13"/>
      <c r="H30" s="13"/>
      <c r="I30" s="13"/>
      <c r="J30" s="13"/>
      <c r="K30" s="13"/>
    </row>
    <row r="31" spans="1:11" ht="12.75" hidden="1" customHeight="1" x14ac:dyDescent="0.25">
      <c r="A31" s="21">
        <v>45334</v>
      </c>
      <c r="B31" s="22" t="s">
        <v>2558</v>
      </c>
      <c r="C31" s="23" t="s">
        <v>2554</v>
      </c>
      <c r="D31" s="13"/>
      <c r="E31" s="13"/>
      <c r="F31" s="13"/>
      <c r="G31" s="13"/>
      <c r="H31" s="13"/>
      <c r="I31" s="13"/>
      <c r="J31" s="13"/>
      <c r="K31" s="13"/>
    </row>
    <row r="32" spans="1:11" ht="12.75" hidden="1" customHeight="1" x14ac:dyDescent="0.25">
      <c r="A32" s="21">
        <v>45379</v>
      </c>
      <c r="B32" s="22" t="s">
        <v>2553</v>
      </c>
      <c r="C32" s="23" t="s">
        <v>2557</v>
      </c>
      <c r="D32" s="13"/>
      <c r="E32" s="13"/>
      <c r="F32" s="13"/>
      <c r="G32" s="13"/>
      <c r="H32" s="13"/>
      <c r="I32" s="13"/>
      <c r="J32" s="13"/>
      <c r="K32" s="13"/>
    </row>
    <row r="33" spans="1:11" ht="12.75" hidden="1" customHeight="1" x14ac:dyDescent="0.25">
      <c r="A33" s="21">
        <v>45392</v>
      </c>
      <c r="B33" s="22" t="s">
        <v>2550</v>
      </c>
      <c r="C33" s="23" t="s">
        <v>2559</v>
      </c>
      <c r="D33" s="13"/>
      <c r="E33" s="13"/>
      <c r="F33" s="13"/>
      <c r="G33" s="13"/>
      <c r="H33" s="13"/>
      <c r="I33" s="13"/>
      <c r="J33" s="13"/>
      <c r="K33" s="13"/>
    </row>
    <row r="34" spans="1:11" ht="12.75" hidden="1" customHeight="1" x14ac:dyDescent="0.25">
      <c r="A34" s="21">
        <v>45393</v>
      </c>
      <c r="B34" s="22" t="s">
        <v>2553</v>
      </c>
      <c r="C34" s="23" t="s">
        <v>2560</v>
      </c>
      <c r="D34" s="13"/>
      <c r="E34" s="13"/>
      <c r="F34" s="13"/>
      <c r="G34" s="13"/>
      <c r="H34" s="13"/>
      <c r="I34" s="13"/>
      <c r="J34" s="13"/>
      <c r="K34" s="13"/>
    </row>
    <row r="35" spans="1:11" ht="12.75" hidden="1" customHeight="1" x14ac:dyDescent="0.25">
      <c r="A35" s="21">
        <v>45413</v>
      </c>
      <c r="B35" s="22" t="s">
        <v>2550</v>
      </c>
      <c r="C35" s="23" t="s">
        <v>2561</v>
      </c>
      <c r="D35" s="13"/>
      <c r="E35" s="13"/>
      <c r="F35" s="13"/>
      <c r="G35" s="13"/>
      <c r="H35" s="13"/>
      <c r="I35" s="13"/>
      <c r="J35" s="13"/>
      <c r="K35" s="13"/>
    </row>
    <row r="36" spans="1:11" ht="12.75" hidden="1" customHeight="1" x14ac:dyDescent="0.25">
      <c r="A36" s="21">
        <v>45434</v>
      </c>
      <c r="B36" s="22" t="s">
        <v>2550</v>
      </c>
      <c r="C36" s="23" t="s">
        <v>2562</v>
      </c>
      <c r="D36" s="13"/>
      <c r="E36" s="13"/>
      <c r="F36" s="13"/>
      <c r="G36" s="13"/>
      <c r="H36" s="13"/>
      <c r="I36" s="13"/>
      <c r="J36" s="13"/>
      <c r="K36" s="13"/>
    </row>
    <row r="37" spans="1:11" ht="12.75" hidden="1" customHeight="1" x14ac:dyDescent="0.25">
      <c r="A37" s="21">
        <v>45446</v>
      </c>
      <c r="B37" s="22" t="s">
        <v>2558</v>
      </c>
      <c r="C37" s="23" t="s">
        <v>2563</v>
      </c>
      <c r="D37" s="13"/>
      <c r="E37" s="13"/>
      <c r="F37" s="13"/>
      <c r="G37" s="13"/>
      <c r="H37" s="13"/>
      <c r="I37" s="13"/>
      <c r="J37" s="13"/>
      <c r="K37" s="13"/>
    </row>
    <row r="38" spans="1:11" ht="12.75" hidden="1" customHeight="1" x14ac:dyDescent="0.25">
      <c r="A38" s="21">
        <v>45460</v>
      </c>
      <c r="B38" s="22" t="s">
        <v>2558</v>
      </c>
      <c r="C38" s="23" t="s">
        <v>2565</v>
      </c>
      <c r="D38" s="13"/>
      <c r="E38" s="13"/>
      <c r="F38" s="13"/>
      <c r="G38" s="13"/>
      <c r="H38" s="13"/>
      <c r="I38" s="13"/>
      <c r="J38" s="13"/>
      <c r="K38" s="13"/>
    </row>
    <row r="39" spans="1:11" ht="12.75" hidden="1" customHeight="1" x14ac:dyDescent="0.25">
      <c r="A39" s="21">
        <v>45480</v>
      </c>
      <c r="B39" s="22" t="s">
        <v>2568</v>
      </c>
      <c r="C39" s="23" t="s">
        <v>2567</v>
      </c>
      <c r="D39" s="13"/>
      <c r="E39" s="13"/>
      <c r="F39" s="13"/>
      <c r="G39" s="13"/>
      <c r="H39" s="13"/>
      <c r="I39" s="13"/>
      <c r="J39" s="13"/>
      <c r="K39" s="13"/>
    </row>
    <row r="40" spans="1:11" ht="12.75" hidden="1" customHeight="1" x14ac:dyDescent="0.25">
      <c r="A40" s="21">
        <v>45481</v>
      </c>
      <c r="B40" s="22" t="s">
        <v>2558</v>
      </c>
      <c r="C40" s="23" t="s">
        <v>2577</v>
      </c>
      <c r="D40" s="13"/>
      <c r="E40" s="13"/>
      <c r="F40" s="13"/>
      <c r="G40" s="13"/>
      <c r="H40" s="13"/>
      <c r="I40" s="13"/>
      <c r="J40" s="13"/>
      <c r="K40" s="13"/>
    </row>
    <row r="41" spans="1:11" ht="12.75" hidden="1" customHeight="1" x14ac:dyDescent="0.25">
      <c r="A41" s="21">
        <v>45535</v>
      </c>
      <c r="B41" s="22" t="s">
        <v>2564</v>
      </c>
      <c r="C41" s="23" t="s">
        <v>2569</v>
      </c>
      <c r="D41" s="13"/>
      <c r="E41" s="13"/>
      <c r="F41" s="13"/>
      <c r="G41" s="13"/>
      <c r="H41" s="13"/>
      <c r="I41" s="13"/>
      <c r="J41" s="13"/>
      <c r="K41" s="13"/>
    </row>
    <row r="42" spans="1:11" ht="12.75" hidden="1" customHeight="1" x14ac:dyDescent="0.25">
      <c r="A42" s="21">
        <v>45551</v>
      </c>
      <c r="B42" s="22" t="s">
        <v>2558</v>
      </c>
      <c r="C42" s="23" t="s">
        <v>2570</v>
      </c>
      <c r="D42" s="13"/>
      <c r="E42" s="13"/>
      <c r="F42" s="13"/>
      <c r="G42" s="13"/>
      <c r="H42" s="13"/>
      <c r="I42" s="13"/>
      <c r="J42" s="13"/>
      <c r="K42" s="13"/>
    </row>
    <row r="43" spans="1:11" ht="12.75" hidden="1" customHeight="1" x14ac:dyDescent="0.25">
      <c r="A43" s="21">
        <v>45551</v>
      </c>
      <c r="B43" s="22" t="s">
        <v>2558</v>
      </c>
      <c r="C43" s="23" t="s">
        <v>2571</v>
      </c>
      <c r="D43" s="13"/>
      <c r="E43" s="13"/>
      <c r="F43" s="13"/>
      <c r="G43" s="13"/>
      <c r="H43" s="13"/>
      <c r="I43" s="13"/>
      <c r="J43" s="13"/>
      <c r="K43" s="13"/>
    </row>
    <row r="44" spans="1:11" ht="12.75" hidden="1" customHeight="1" x14ac:dyDescent="0.25">
      <c r="A44" s="21">
        <v>45596</v>
      </c>
      <c r="B44" s="22" t="s">
        <v>2553</v>
      </c>
      <c r="C44" s="23" t="s">
        <v>2572</v>
      </c>
      <c r="D44" s="13"/>
      <c r="E44" s="13"/>
      <c r="F44" s="13"/>
      <c r="G44" s="13"/>
      <c r="H44" s="13"/>
      <c r="I44" s="13"/>
      <c r="J44" s="13"/>
      <c r="K44" s="13"/>
    </row>
    <row r="45" spans="1:11" ht="12.75" hidden="1" customHeight="1" x14ac:dyDescent="0.25">
      <c r="A45" s="21">
        <v>45637</v>
      </c>
      <c r="B45" s="22" t="s">
        <v>2550</v>
      </c>
      <c r="C45" s="23" t="s">
        <v>2573</v>
      </c>
      <c r="D45" s="13"/>
      <c r="E45" s="13"/>
      <c r="F45" s="13"/>
      <c r="G45" s="13"/>
      <c r="H45" s="13"/>
      <c r="I45" s="13"/>
      <c r="J45" s="13"/>
      <c r="K45" s="13"/>
    </row>
    <row r="46" spans="1:11" ht="12.75" hidden="1" customHeight="1" x14ac:dyDescent="0.25">
      <c r="A46" s="21">
        <v>45651</v>
      </c>
      <c r="B46" s="22" t="s">
        <v>2550</v>
      </c>
      <c r="C46" s="23" t="s">
        <v>2574</v>
      </c>
      <c r="D46" s="13"/>
      <c r="E46" s="13"/>
      <c r="F46" s="13"/>
      <c r="G46" s="13"/>
      <c r="H46" s="13"/>
      <c r="I46" s="13"/>
      <c r="J46" s="13"/>
      <c r="K46" s="13"/>
    </row>
    <row r="47" spans="1:11" ht="12.75" customHeight="1" x14ac:dyDescent="0.25">
      <c r="A47" s="24"/>
      <c r="B47" s="13"/>
      <c r="C47" s="13"/>
      <c r="D47" s="13"/>
      <c r="E47" s="13"/>
      <c r="F47" s="13"/>
      <c r="G47" s="13"/>
      <c r="H47" s="13"/>
      <c r="I47" s="13"/>
      <c r="J47" s="13"/>
      <c r="K47" s="13"/>
    </row>
    <row r="48" spans="1:11" ht="12.75" customHeight="1" x14ac:dyDescent="0.25">
      <c r="A48" s="24"/>
      <c r="B48" s="13"/>
      <c r="C48" s="13"/>
      <c r="D48" s="13"/>
      <c r="E48" s="13"/>
      <c r="F48" s="13"/>
      <c r="G48" s="13"/>
      <c r="H48" s="13"/>
      <c r="I48" s="13"/>
      <c r="J48" s="13"/>
      <c r="K48" s="13"/>
    </row>
    <row r="49" spans="1:11" ht="12.75" customHeight="1" x14ac:dyDescent="0.25">
      <c r="A49" s="24"/>
      <c r="B49" s="13"/>
      <c r="C49" s="13"/>
      <c r="D49" s="13"/>
      <c r="E49" s="13"/>
      <c r="F49" s="13"/>
      <c r="G49" s="13"/>
      <c r="H49" s="13"/>
      <c r="I49" s="13"/>
      <c r="J49" s="13"/>
      <c r="K49" s="13"/>
    </row>
    <row r="50" spans="1:11" ht="12.75" customHeight="1" x14ac:dyDescent="0.25">
      <c r="A50" s="24"/>
      <c r="B50" s="13"/>
      <c r="C50" s="13"/>
      <c r="D50" s="13"/>
      <c r="E50" s="13"/>
      <c r="F50" s="13"/>
      <c r="G50" s="13"/>
      <c r="H50" s="13"/>
      <c r="I50" s="13"/>
      <c r="J50" s="13"/>
      <c r="K50" s="13"/>
    </row>
    <row r="51" spans="1:11" ht="12.75" customHeight="1" x14ac:dyDescent="0.25">
      <c r="A51" s="24"/>
      <c r="B51" s="13"/>
      <c r="C51" s="13"/>
      <c r="D51" s="13"/>
      <c r="E51" s="13"/>
      <c r="F51" s="13"/>
      <c r="G51" s="13"/>
      <c r="H51" s="13"/>
      <c r="I51" s="13"/>
      <c r="J51" s="13"/>
      <c r="K51" s="13"/>
    </row>
    <row r="52" spans="1:11" ht="12.75" customHeight="1" x14ac:dyDescent="0.25">
      <c r="A52" s="24"/>
      <c r="B52" s="13"/>
      <c r="C52" s="13"/>
      <c r="D52" s="13"/>
      <c r="E52" s="13"/>
      <c r="F52" s="13"/>
      <c r="G52" s="13"/>
      <c r="H52" s="13"/>
      <c r="I52" s="13"/>
      <c r="J52" s="13"/>
      <c r="K52" s="13"/>
    </row>
    <row r="53" spans="1:11" ht="12.75" customHeight="1" x14ac:dyDescent="0.25">
      <c r="A53" s="24"/>
      <c r="B53" s="13"/>
      <c r="C53" s="13"/>
      <c r="D53" s="13"/>
      <c r="E53" s="13"/>
      <c r="F53" s="13"/>
      <c r="G53" s="13"/>
      <c r="H53" s="13"/>
      <c r="I53" s="13"/>
      <c r="J53" s="13"/>
      <c r="K53" s="13"/>
    </row>
    <row r="54" spans="1:11" ht="12.75" customHeight="1" x14ac:dyDescent="0.25">
      <c r="A54" s="24"/>
      <c r="B54" s="13"/>
      <c r="C54" s="13"/>
      <c r="D54" s="13"/>
      <c r="E54" s="13"/>
      <c r="F54" s="13"/>
      <c r="G54" s="13"/>
      <c r="H54" s="13"/>
      <c r="I54" s="13"/>
      <c r="J54" s="13"/>
      <c r="K54" s="13"/>
    </row>
    <row r="55" spans="1:11" ht="12.75" customHeight="1" x14ac:dyDescent="0.25">
      <c r="A55" s="24"/>
      <c r="B55" s="13"/>
      <c r="C55" s="13"/>
      <c r="D55" s="13"/>
      <c r="E55" s="13"/>
      <c r="F55" s="13"/>
      <c r="G55" s="13"/>
      <c r="H55" s="13"/>
      <c r="I55" s="13"/>
      <c r="J55" s="13"/>
      <c r="K55" s="13"/>
    </row>
    <row r="56" spans="1:11" ht="12.75" customHeight="1" x14ac:dyDescent="0.25">
      <c r="A56" s="24"/>
      <c r="B56" s="13"/>
      <c r="C56" s="13"/>
      <c r="D56" s="13"/>
      <c r="E56" s="13"/>
      <c r="F56" s="13"/>
      <c r="G56" s="13"/>
      <c r="H56" s="13"/>
      <c r="I56" s="13"/>
      <c r="J56" s="13"/>
      <c r="K56" s="13"/>
    </row>
    <row r="57" spans="1:11" ht="12.75" customHeight="1" x14ac:dyDescent="0.25">
      <c r="A57" s="24"/>
      <c r="B57" s="13"/>
      <c r="C57" s="13"/>
      <c r="D57" s="13"/>
      <c r="E57" s="13"/>
      <c r="F57" s="13"/>
      <c r="G57" s="13"/>
      <c r="H57" s="13"/>
      <c r="I57" s="13"/>
      <c r="J57" s="13"/>
      <c r="K57" s="13"/>
    </row>
    <row r="58" spans="1:11" ht="12.75" customHeight="1" x14ac:dyDescent="0.25">
      <c r="A58" s="24"/>
      <c r="B58" s="13"/>
      <c r="C58" s="13"/>
      <c r="D58" s="13"/>
      <c r="E58" s="13"/>
      <c r="F58" s="13"/>
      <c r="G58" s="13"/>
      <c r="H58" s="13"/>
      <c r="I58" s="13"/>
      <c r="J58" s="13"/>
      <c r="K58" s="13"/>
    </row>
    <row r="59" spans="1:11" ht="12.75" customHeight="1" x14ac:dyDescent="0.25">
      <c r="A59" s="24"/>
      <c r="B59" s="13"/>
      <c r="C59" s="13"/>
      <c r="D59" s="13"/>
      <c r="E59" s="13"/>
      <c r="F59" s="13"/>
      <c r="G59" s="13"/>
      <c r="H59" s="13"/>
      <c r="I59" s="13"/>
      <c r="J59" s="13"/>
      <c r="K59" s="13"/>
    </row>
    <row r="60" spans="1:11" ht="12.75" customHeight="1" x14ac:dyDescent="0.25">
      <c r="A60" s="24"/>
      <c r="B60" s="13"/>
      <c r="C60" s="13"/>
      <c r="D60" s="13"/>
      <c r="E60" s="13"/>
      <c r="F60" s="13"/>
      <c r="G60" s="13"/>
      <c r="H60" s="13"/>
      <c r="I60" s="13"/>
      <c r="J60" s="13"/>
      <c r="K60" s="13"/>
    </row>
    <row r="61" spans="1:11" ht="12.75" customHeight="1" x14ac:dyDescent="0.25">
      <c r="A61" s="24"/>
      <c r="B61" s="13"/>
      <c r="C61" s="13"/>
      <c r="D61" s="13"/>
      <c r="E61" s="13"/>
      <c r="F61" s="13"/>
      <c r="G61" s="13"/>
      <c r="H61" s="13"/>
      <c r="I61" s="13"/>
      <c r="J61" s="13"/>
      <c r="K61" s="13"/>
    </row>
    <row r="62" spans="1:11" ht="12.75" customHeight="1" x14ac:dyDescent="0.25">
      <c r="A62" s="24"/>
      <c r="B62" s="13"/>
      <c r="C62" s="13"/>
      <c r="D62" s="13"/>
      <c r="E62" s="13"/>
      <c r="F62" s="13"/>
      <c r="G62" s="13"/>
      <c r="H62" s="13"/>
      <c r="I62" s="13"/>
      <c r="J62" s="13"/>
      <c r="K62" s="13"/>
    </row>
    <row r="63" spans="1:11" ht="12.75" customHeight="1" x14ac:dyDescent="0.25">
      <c r="A63" s="24"/>
      <c r="B63" s="13"/>
      <c r="C63" s="13"/>
      <c r="D63" s="13"/>
      <c r="E63" s="13"/>
      <c r="F63" s="13"/>
      <c r="G63" s="13"/>
      <c r="H63" s="13"/>
      <c r="I63" s="13"/>
      <c r="J63" s="13"/>
      <c r="K63" s="13"/>
    </row>
    <row r="64" spans="1:11" ht="12.75" customHeight="1" x14ac:dyDescent="0.25">
      <c r="A64" s="24"/>
      <c r="B64" s="13"/>
      <c r="C64" s="13"/>
      <c r="D64" s="13"/>
      <c r="E64" s="13"/>
      <c r="F64" s="13"/>
      <c r="G64" s="13"/>
      <c r="H64" s="13"/>
      <c r="I64" s="13"/>
      <c r="J64" s="13"/>
      <c r="K64" s="13"/>
    </row>
    <row r="65" spans="1:11" ht="12.75" customHeight="1" x14ac:dyDescent="0.25">
      <c r="A65" s="24"/>
      <c r="B65" s="13"/>
      <c r="C65" s="13"/>
      <c r="D65" s="13"/>
      <c r="E65" s="13"/>
      <c r="F65" s="13"/>
      <c r="G65" s="13"/>
      <c r="H65" s="13"/>
      <c r="I65" s="13"/>
      <c r="J65" s="13"/>
      <c r="K65" s="13"/>
    </row>
    <row r="66" spans="1:11" ht="12.75" customHeight="1" x14ac:dyDescent="0.25">
      <c r="A66" s="24"/>
      <c r="B66" s="13"/>
      <c r="C66" s="13"/>
      <c r="D66" s="13"/>
      <c r="E66" s="13"/>
      <c r="F66" s="13"/>
      <c r="G66" s="13"/>
      <c r="H66" s="13"/>
      <c r="I66" s="13"/>
      <c r="J66" s="13"/>
      <c r="K66" s="13"/>
    </row>
    <row r="67" spans="1:11" ht="12.75" customHeight="1" x14ac:dyDescent="0.25">
      <c r="A67" s="24"/>
      <c r="B67" s="13"/>
      <c r="C67" s="13"/>
      <c r="D67" s="13"/>
      <c r="E67" s="13"/>
      <c r="F67" s="13"/>
      <c r="G67" s="13"/>
      <c r="H67" s="13"/>
      <c r="I67" s="13"/>
      <c r="J67" s="13"/>
      <c r="K67" s="13"/>
    </row>
    <row r="68" spans="1:11" ht="12.75" customHeight="1" x14ac:dyDescent="0.25">
      <c r="A68" s="24"/>
      <c r="B68" s="13"/>
      <c r="C68" s="13"/>
      <c r="D68" s="13"/>
      <c r="E68" s="13"/>
      <c r="F68" s="13"/>
      <c r="G68" s="13"/>
      <c r="H68" s="13"/>
      <c r="I68" s="13"/>
      <c r="J68" s="13"/>
      <c r="K68" s="13"/>
    </row>
    <row r="69" spans="1:11" ht="12.75" customHeight="1" x14ac:dyDescent="0.25">
      <c r="A69" s="24"/>
      <c r="B69" s="13"/>
      <c r="C69" s="13"/>
      <c r="D69" s="13"/>
      <c r="E69" s="13"/>
      <c r="F69" s="13"/>
      <c r="G69" s="13"/>
      <c r="H69" s="13"/>
      <c r="I69" s="13"/>
      <c r="J69" s="13"/>
      <c r="K69" s="13"/>
    </row>
    <row r="70" spans="1:11" ht="12.75" customHeight="1" x14ac:dyDescent="0.25">
      <c r="A70" s="24"/>
      <c r="B70" s="13"/>
      <c r="C70" s="13"/>
      <c r="D70" s="13"/>
      <c r="E70" s="13"/>
      <c r="F70" s="13"/>
      <c r="G70" s="13"/>
      <c r="H70" s="13"/>
      <c r="I70" s="13"/>
      <c r="J70" s="13"/>
      <c r="K70" s="13"/>
    </row>
    <row r="71" spans="1:11" ht="12.75" customHeight="1" x14ac:dyDescent="0.25">
      <c r="A71" s="24"/>
      <c r="B71" s="13"/>
      <c r="C71" s="13"/>
      <c r="D71" s="13"/>
      <c r="E71" s="13"/>
      <c r="F71" s="13"/>
      <c r="G71" s="13"/>
      <c r="H71" s="13"/>
      <c r="I71" s="13"/>
      <c r="J71" s="13"/>
      <c r="K71" s="13"/>
    </row>
    <row r="72" spans="1:11" ht="12.75" customHeight="1" x14ac:dyDescent="0.25">
      <c r="A72" s="24"/>
      <c r="B72" s="13"/>
      <c r="C72" s="13"/>
      <c r="D72" s="13"/>
      <c r="E72" s="13"/>
      <c r="F72" s="13"/>
      <c r="G72" s="13"/>
      <c r="H72" s="13"/>
      <c r="I72" s="13"/>
      <c r="J72" s="13"/>
      <c r="K72" s="13"/>
    </row>
    <row r="73" spans="1:11" ht="12.75" customHeight="1" x14ac:dyDescent="0.25">
      <c r="A73" s="24"/>
      <c r="B73" s="13"/>
      <c r="C73" s="13"/>
      <c r="D73" s="13"/>
      <c r="E73" s="13"/>
      <c r="F73" s="13"/>
      <c r="G73" s="13"/>
      <c r="H73" s="13"/>
      <c r="I73" s="13"/>
      <c r="J73" s="13"/>
      <c r="K73" s="13"/>
    </row>
    <row r="74" spans="1:11" ht="12.75" customHeight="1" x14ac:dyDescent="0.25">
      <c r="A74" s="24"/>
      <c r="B74" s="13"/>
      <c r="C74" s="13"/>
      <c r="D74" s="13"/>
      <c r="E74" s="13"/>
      <c r="F74" s="13"/>
      <c r="G74" s="13"/>
      <c r="H74" s="13"/>
      <c r="I74" s="13"/>
      <c r="J74" s="13"/>
      <c r="K74" s="13"/>
    </row>
    <row r="75" spans="1:11" ht="12.75" customHeight="1" x14ac:dyDescent="0.25">
      <c r="A75" s="24"/>
      <c r="B75" s="13"/>
      <c r="C75" s="13"/>
      <c r="D75" s="13"/>
      <c r="E75" s="13"/>
      <c r="F75" s="13"/>
      <c r="G75" s="13"/>
      <c r="H75" s="13"/>
      <c r="I75" s="13"/>
      <c r="J75" s="13"/>
      <c r="K75" s="13"/>
    </row>
    <row r="76" spans="1:11" ht="12.75" customHeight="1" x14ac:dyDescent="0.25">
      <c r="A76" s="24"/>
      <c r="B76" s="13"/>
      <c r="C76" s="13"/>
      <c r="D76" s="13"/>
      <c r="E76" s="13"/>
      <c r="F76" s="13"/>
      <c r="G76" s="13"/>
      <c r="H76" s="13"/>
      <c r="I76" s="13"/>
      <c r="J76" s="13"/>
      <c r="K76" s="13"/>
    </row>
    <row r="77" spans="1:11" ht="12.75" customHeight="1" x14ac:dyDescent="0.25">
      <c r="A77" s="24"/>
      <c r="B77" s="13"/>
      <c r="C77" s="13"/>
      <c r="D77" s="13"/>
      <c r="E77" s="13"/>
      <c r="F77" s="13"/>
      <c r="G77" s="13"/>
      <c r="H77" s="13"/>
      <c r="I77" s="13"/>
      <c r="J77" s="13"/>
      <c r="K77" s="13"/>
    </row>
    <row r="78" spans="1:11" ht="12.75" customHeight="1" x14ac:dyDescent="0.25">
      <c r="A78" s="24"/>
      <c r="B78" s="13"/>
      <c r="C78" s="13"/>
      <c r="D78" s="13"/>
      <c r="E78" s="13"/>
      <c r="F78" s="13"/>
      <c r="G78" s="13"/>
      <c r="H78" s="13"/>
      <c r="I78" s="13"/>
      <c r="J78" s="13"/>
      <c r="K78" s="13"/>
    </row>
    <row r="79" spans="1:11" ht="12.75" customHeight="1" x14ac:dyDescent="0.25">
      <c r="A79" s="24"/>
      <c r="B79" s="13"/>
      <c r="C79" s="13"/>
      <c r="D79" s="13"/>
      <c r="E79" s="13"/>
      <c r="F79" s="13"/>
      <c r="G79" s="13"/>
      <c r="H79" s="13"/>
      <c r="I79" s="13"/>
      <c r="J79" s="13"/>
      <c r="K79" s="13"/>
    </row>
    <row r="80" spans="1:11" ht="12.75" customHeight="1" x14ac:dyDescent="0.25">
      <c r="A80" s="24"/>
      <c r="B80" s="13"/>
      <c r="C80" s="13"/>
      <c r="D80" s="13"/>
      <c r="E80" s="13"/>
      <c r="F80" s="13"/>
      <c r="G80" s="13"/>
      <c r="H80" s="13"/>
      <c r="I80" s="13"/>
      <c r="J80" s="13"/>
      <c r="K80" s="13"/>
    </row>
    <row r="81" spans="1:11" ht="12.75" customHeight="1" x14ac:dyDescent="0.25">
      <c r="A81" s="24"/>
      <c r="B81" s="13"/>
      <c r="C81" s="13"/>
      <c r="D81" s="13"/>
      <c r="E81" s="13"/>
      <c r="F81" s="13"/>
      <c r="G81" s="13"/>
      <c r="H81" s="13"/>
      <c r="I81" s="13"/>
      <c r="J81" s="13"/>
      <c r="K81" s="13"/>
    </row>
    <row r="82" spans="1:11" ht="12.75" customHeight="1" x14ac:dyDescent="0.25">
      <c r="A82" s="24"/>
      <c r="B82" s="13"/>
      <c r="C82" s="13"/>
      <c r="D82" s="13"/>
      <c r="E82" s="13"/>
      <c r="F82" s="13"/>
      <c r="G82" s="13"/>
      <c r="H82" s="13"/>
      <c r="I82" s="13"/>
      <c r="J82" s="13"/>
      <c r="K82" s="13"/>
    </row>
    <row r="83" spans="1:11" ht="12.75" customHeight="1" x14ac:dyDescent="0.25">
      <c r="A83" s="24"/>
      <c r="B83" s="13"/>
      <c r="C83" s="13"/>
      <c r="D83" s="13"/>
      <c r="E83" s="13"/>
      <c r="F83" s="13"/>
      <c r="G83" s="13"/>
      <c r="H83" s="13"/>
      <c r="I83" s="13"/>
      <c r="J83" s="13"/>
      <c r="K83" s="13"/>
    </row>
    <row r="84" spans="1:11" ht="12.75" customHeight="1" x14ac:dyDescent="0.25">
      <c r="A84" s="24"/>
      <c r="B84" s="13"/>
      <c r="C84" s="13"/>
      <c r="D84" s="13"/>
      <c r="E84" s="13"/>
      <c r="F84" s="13"/>
      <c r="G84" s="13"/>
      <c r="H84" s="13"/>
      <c r="I84" s="13"/>
      <c r="J84" s="13"/>
      <c r="K84" s="13"/>
    </row>
    <row r="85" spans="1:11" ht="12.75" customHeight="1" x14ac:dyDescent="0.25">
      <c r="A85" s="24"/>
      <c r="B85" s="13"/>
      <c r="C85" s="13"/>
      <c r="D85" s="13"/>
      <c r="E85" s="13"/>
      <c r="F85" s="13"/>
      <c r="G85" s="13"/>
      <c r="H85" s="13"/>
      <c r="I85" s="13"/>
      <c r="J85" s="13"/>
      <c r="K85" s="13"/>
    </row>
    <row r="86" spans="1:11" ht="12.75" customHeight="1" x14ac:dyDescent="0.25">
      <c r="A86" s="24"/>
      <c r="B86" s="13"/>
      <c r="C86" s="13"/>
      <c r="D86" s="13"/>
      <c r="E86" s="13"/>
      <c r="F86" s="13"/>
      <c r="G86" s="13"/>
      <c r="H86" s="13"/>
      <c r="I86" s="13"/>
      <c r="J86" s="13"/>
      <c r="K86" s="13"/>
    </row>
    <row r="87" spans="1:11" ht="12.75" customHeight="1" x14ac:dyDescent="0.25">
      <c r="A87" s="24"/>
      <c r="B87" s="13"/>
      <c r="C87" s="13"/>
      <c r="D87" s="13"/>
      <c r="E87" s="13"/>
      <c r="F87" s="13"/>
      <c r="G87" s="13"/>
      <c r="H87" s="13"/>
      <c r="I87" s="13"/>
      <c r="J87" s="13"/>
      <c r="K87" s="13"/>
    </row>
    <row r="88" spans="1:11" ht="12.75" customHeight="1" x14ac:dyDescent="0.25">
      <c r="A88" s="24"/>
      <c r="B88" s="13"/>
      <c r="C88" s="13"/>
      <c r="D88" s="13"/>
      <c r="E88" s="13"/>
      <c r="F88" s="13"/>
      <c r="G88" s="13"/>
      <c r="H88" s="13"/>
      <c r="I88" s="13"/>
      <c r="J88" s="13"/>
      <c r="K88" s="13"/>
    </row>
    <row r="89" spans="1:11" ht="12.75" customHeight="1" x14ac:dyDescent="0.25">
      <c r="A89" s="24"/>
      <c r="B89" s="13"/>
      <c r="C89" s="13"/>
      <c r="D89" s="13"/>
      <c r="E89" s="13"/>
      <c r="F89" s="13"/>
      <c r="G89" s="13"/>
      <c r="H89" s="13"/>
      <c r="I89" s="13"/>
      <c r="J89" s="13"/>
      <c r="K89" s="13"/>
    </row>
    <row r="90" spans="1:11" ht="12.75" customHeight="1" x14ac:dyDescent="0.25">
      <c r="A90" s="24"/>
      <c r="B90" s="13"/>
      <c r="C90" s="13"/>
      <c r="D90" s="13"/>
      <c r="E90" s="13"/>
      <c r="F90" s="13"/>
      <c r="G90" s="13"/>
      <c r="H90" s="13"/>
      <c r="I90" s="13"/>
      <c r="J90" s="13"/>
      <c r="K90" s="13"/>
    </row>
    <row r="91" spans="1:11" ht="12.75" customHeight="1" x14ac:dyDescent="0.25">
      <c r="A91" s="24"/>
      <c r="B91" s="13"/>
      <c r="C91" s="13"/>
      <c r="D91" s="13"/>
      <c r="E91" s="13"/>
      <c r="F91" s="13"/>
      <c r="G91" s="13"/>
      <c r="H91" s="13"/>
      <c r="I91" s="13"/>
      <c r="J91" s="13"/>
      <c r="K91" s="13"/>
    </row>
    <row r="92" spans="1:11" ht="12.75" customHeight="1" x14ac:dyDescent="0.25">
      <c r="A92" s="24"/>
      <c r="B92" s="13"/>
      <c r="C92" s="13"/>
      <c r="D92" s="13"/>
      <c r="E92" s="13"/>
      <c r="F92" s="13"/>
      <c r="G92" s="13"/>
      <c r="H92" s="13"/>
      <c r="I92" s="13"/>
      <c r="J92" s="13"/>
      <c r="K92" s="13"/>
    </row>
    <row r="93" spans="1:11" ht="12.75" customHeight="1" x14ac:dyDescent="0.25">
      <c r="A93" s="24"/>
      <c r="B93" s="13"/>
      <c r="C93" s="13"/>
      <c r="D93" s="13"/>
      <c r="E93" s="13"/>
      <c r="F93" s="13"/>
      <c r="G93" s="13"/>
      <c r="H93" s="13"/>
      <c r="I93" s="13"/>
      <c r="J93" s="13"/>
      <c r="K93" s="13"/>
    </row>
    <row r="94" spans="1:11" ht="12.75" customHeight="1" x14ac:dyDescent="0.25">
      <c r="A94" s="24"/>
      <c r="B94" s="13"/>
      <c r="C94" s="13"/>
      <c r="D94" s="13"/>
      <c r="E94" s="13"/>
      <c r="F94" s="13"/>
      <c r="G94" s="13"/>
      <c r="H94" s="13"/>
      <c r="I94" s="13"/>
      <c r="J94" s="13"/>
      <c r="K94" s="13"/>
    </row>
    <row r="95" spans="1:11" ht="12.75" customHeight="1" x14ac:dyDescent="0.25">
      <c r="A95" s="24"/>
      <c r="B95" s="13"/>
      <c r="C95" s="13"/>
      <c r="D95" s="13"/>
      <c r="E95" s="13"/>
      <c r="F95" s="13"/>
      <c r="G95" s="13"/>
      <c r="H95" s="13"/>
      <c r="I95" s="13"/>
      <c r="J95" s="13"/>
      <c r="K95" s="13"/>
    </row>
    <row r="96" spans="1:11" ht="12.75" customHeight="1" x14ac:dyDescent="0.25">
      <c r="A96" s="24"/>
      <c r="B96" s="13"/>
      <c r="C96" s="13"/>
      <c r="D96" s="13"/>
      <c r="E96" s="13"/>
      <c r="F96" s="13"/>
      <c r="G96" s="13"/>
      <c r="H96" s="13"/>
      <c r="I96" s="13"/>
      <c r="J96" s="13"/>
      <c r="K96" s="13"/>
    </row>
    <row r="97" spans="1:11" ht="12.75" customHeight="1" x14ac:dyDescent="0.25">
      <c r="A97" s="24"/>
      <c r="B97" s="13"/>
      <c r="C97" s="13"/>
      <c r="D97" s="13"/>
      <c r="E97" s="13"/>
      <c r="F97" s="13"/>
      <c r="G97" s="13"/>
      <c r="H97" s="13"/>
      <c r="I97" s="13"/>
      <c r="J97" s="13"/>
      <c r="K97" s="13"/>
    </row>
    <row r="98" spans="1:11" ht="12.75" customHeight="1" x14ac:dyDescent="0.25">
      <c r="A98" s="24"/>
      <c r="B98" s="13"/>
      <c r="C98" s="13"/>
      <c r="D98" s="13"/>
      <c r="E98" s="13"/>
      <c r="F98" s="13"/>
      <c r="G98" s="13"/>
      <c r="H98" s="13"/>
      <c r="I98" s="13"/>
      <c r="J98" s="13"/>
      <c r="K98" s="13"/>
    </row>
    <row r="99" spans="1:11" ht="12.75" customHeight="1" x14ac:dyDescent="0.25">
      <c r="A99" s="24"/>
      <c r="B99" s="13"/>
      <c r="C99" s="13"/>
      <c r="D99" s="13"/>
      <c r="E99" s="13"/>
      <c r="F99" s="13"/>
      <c r="G99" s="13"/>
      <c r="H99" s="13"/>
      <c r="I99" s="13"/>
      <c r="J99" s="13"/>
      <c r="K99" s="13"/>
    </row>
    <row r="100" spans="1:11" ht="15.75" customHeight="1" x14ac:dyDescent="0.25"/>
  </sheetData>
  <hyperlinks>
    <hyperlink ref="C21" r:id="rId1" xr:uid="{00000000-0004-0000-0200-000000000000}"/>
    <hyperlink ref="C22" r:id="rId2" xr:uid="{00000000-0004-0000-0200-000001000000}"/>
    <hyperlink ref="C23" r:id="rId3" xr:uid="{00000000-0004-0000-0200-000002000000}"/>
    <hyperlink ref="C24" r:id="rId4" xr:uid="{00000000-0004-0000-0200-000003000000}"/>
    <hyperlink ref="C25" r:id="rId5" xr:uid="{00000000-0004-0000-0200-000004000000}"/>
    <hyperlink ref="C27" r:id="rId6" xr:uid="{00000000-0004-0000-0200-000005000000}"/>
    <hyperlink ref="C28" r:id="rId7" xr:uid="{00000000-0004-0000-0200-000006000000}"/>
    <hyperlink ref="C29" r:id="rId8" xr:uid="{00000000-0004-0000-0200-000007000000}"/>
    <hyperlink ref="C30" r:id="rId9" xr:uid="{00000000-0004-0000-0200-000008000000}"/>
    <hyperlink ref="C31" r:id="rId10" xr:uid="{00000000-0004-0000-0200-000009000000}"/>
    <hyperlink ref="C32" r:id="rId11" xr:uid="{00000000-0004-0000-0200-00000A000000}"/>
    <hyperlink ref="C33" r:id="rId12" xr:uid="{00000000-0004-0000-0200-00000B000000}"/>
    <hyperlink ref="C34" r:id="rId13" xr:uid="{00000000-0004-0000-0200-00000C000000}"/>
    <hyperlink ref="C35" r:id="rId14" xr:uid="{00000000-0004-0000-0200-00000D000000}"/>
    <hyperlink ref="C36" r:id="rId15" xr:uid="{00000000-0004-0000-0200-00000E000000}"/>
    <hyperlink ref="C37" r:id="rId16" xr:uid="{00000000-0004-0000-0200-00000F000000}"/>
    <hyperlink ref="C38" r:id="rId17" xr:uid="{00000000-0004-0000-0200-000010000000}"/>
    <hyperlink ref="C39" r:id="rId18" xr:uid="{00000000-0004-0000-0200-000011000000}"/>
    <hyperlink ref="C40" r:id="rId19" xr:uid="{00000000-0004-0000-0200-000012000000}"/>
    <hyperlink ref="C41" r:id="rId20" xr:uid="{00000000-0004-0000-0200-000013000000}"/>
    <hyperlink ref="C42" r:id="rId21" xr:uid="{00000000-0004-0000-0200-000014000000}"/>
    <hyperlink ref="C43" r:id="rId22" xr:uid="{00000000-0004-0000-0200-000015000000}"/>
    <hyperlink ref="C44" r:id="rId23" xr:uid="{00000000-0004-0000-0200-000016000000}"/>
    <hyperlink ref="C45" r:id="rId24" xr:uid="{00000000-0004-0000-0200-000017000000}"/>
    <hyperlink ref="C46" r:id="rId25" xr:uid="{00000000-0004-0000-0200-000018000000}"/>
  </hyperlinks>
  <pageMargins left="0.7" right="0.7" top="0.75" bottom="0.75" header="0" footer="0"/>
  <pageSetup paperSize="9" orientation="portrait" r:id="rId2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O100"/>
  <sheetViews>
    <sheetView workbookViewId="0"/>
  </sheetViews>
  <sheetFormatPr defaultColWidth="14.42578125" defaultRowHeight="15" customHeight="1" x14ac:dyDescent="0.25"/>
  <cols>
    <col min="1" max="1" width="15.5703125" customWidth="1"/>
    <col min="2" max="2" width="21.28515625" customWidth="1"/>
    <col min="3" max="3" width="23" customWidth="1"/>
    <col min="4" max="4" width="3" customWidth="1"/>
    <col min="5" max="5" width="15.85546875" customWidth="1"/>
    <col min="6" max="6" width="17.140625" customWidth="1"/>
    <col min="7" max="7" width="17.5703125" customWidth="1"/>
    <col min="8" max="8" width="13" customWidth="1"/>
    <col min="9" max="9" width="12.5703125" customWidth="1"/>
    <col min="10" max="10" width="15.85546875" customWidth="1"/>
    <col min="11" max="14" width="20" customWidth="1"/>
    <col min="15" max="15" width="9.140625" customWidth="1"/>
  </cols>
  <sheetData>
    <row r="1" spans="1:15" ht="31.5" customHeight="1" x14ac:dyDescent="0.25">
      <c r="A1" s="564" t="s">
        <v>2578</v>
      </c>
      <c r="B1" s="566" t="s">
        <v>2579</v>
      </c>
      <c r="C1" s="567"/>
      <c r="D1" s="568"/>
      <c r="E1" s="562" t="s">
        <v>2580</v>
      </c>
      <c r="F1" s="579" t="s">
        <v>2581</v>
      </c>
      <c r="G1" s="578"/>
      <c r="H1" s="566" t="s">
        <v>2582</v>
      </c>
      <c r="I1" s="568"/>
      <c r="J1" s="562" t="s">
        <v>2583</v>
      </c>
      <c r="K1" s="25"/>
      <c r="L1" s="25"/>
      <c r="M1" s="25"/>
      <c r="N1" s="25"/>
      <c r="O1" s="25"/>
    </row>
    <row r="2" spans="1:15" ht="26.25" customHeight="1" x14ac:dyDescent="0.25">
      <c r="A2" s="565"/>
      <c r="B2" s="569"/>
      <c r="C2" s="570"/>
      <c r="D2" s="571"/>
      <c r="E2" s="563"/>
      <c r="F2" s="26" t="s">
        <v>2584</v>
      </c>
      <c r="G2" s="26" t="s">
        <v>2585</v>
      </c>
      <c r="H2" s="575"/>
      <c r="I2" s="576"/>
      <c r="J2" s="563"/>
      <c r="K2" s="25"/>
      <c r="L2" s="25"/>
      <c r="M2" s="25"/>
      <c r="N2" s="25"/>
      <c r="O2" s="25"/>
    </row>
    <row r="3" spans="1:15" ht="14.25" customHeight="1" x14ac:dyDescent="0.25">
      <c r="A3" s="27" t="s">
        <v>2586</v>
      </c>
      <c r="B3" s="560" t="s">
        <v>2587</v>
      </c>
      <c r="C3" s="540"/>
      <c r="D3" s="561"/>
      <c r="E3" s="28" t="s">
        <v>2588</v>
      </c>
      <c r="F3" s="28" t="s">
        <v>2589</v>
      </c>
      <c r="G3" s="28" t="s">
        <v>2590</v>
      </c>
      <c r="H3" s="580" t="s">
        <v>2591</v>
      </c>
      <c r="I3" s="561"/>
      <c r="J3" s="28">
        <v>1</v>
      </c>
      <c r="K3" s="29"/>
      <c r="L3" s="29"/>
      <c r="M3" s="29"/>
      <c r="N3" s="29"/>
      <c r="O3" s="29"/>
    </row>
    <row r="4" spans="1:15" ht="14.25" customHeight="1" x14ac:dyDescent="0.25">
      <c r="A4" s="30" t="s">
        <v>2592</v>
      </c>
      <c r="B4" s="560" t="s">
        <v>2593</v>
      </c>
      <c r="C4" s="540"/>
      <c r="D4" s="561"/>
      <c r="E4" s="28" t="s">
        <v>2594</v>
      </c>
      <c r="F4" s="31" t="s">
        <v>2589</v>
      </c>
      <c r="G4" s="31" t="s">
        <v>2590</v>
      </c>
      <c r="H4" s="581" t="s">
        <v>2591</v>
      </c>
      <c r="I4" s="556"/>
      <c r="J4" s="28" t="s">
        <v>2595</v>
      </c>
      <c r="K4" s="29"/>
      <c r="L4" s="29"/>
      <c r="M4" s="29"/>
      <c r="N4" s="29"/>
      <c r="O4" s="29"/>
    </row>
    <row r="5" spans="1:15" ht="14.25" customHeight="1" x14ac:dyDescent="0.25">
      <c r="A5" s="573" t="s">
        <v>2596</v>
      </c>
      <c r="B5" s="572" t="s">
        <v>2597</v>
      </c>
      <c r="C5" s="567"/>
      <c r="D5" s="568"/>
      <c r="E5" s="548" t="s">
        <v>2588</v>
      </c>
      <c r="F5" s="33" t="s">
        <v>2598</v>
      </c>
      <c r="G5" s="33" t="s">
        <v>2599</v>
      </c>
      <c r="H5" s="577" t="s">
        <v>2591</v>
      </c>
      <c r="I5" s="578"/>
      <c r="J5" s="548">
        <v>1</v>
      </c>
      <c r="K5" s="29"/>
      <c r="L5" s="29"/>
      <c r="M5" s="29"/>
      <c r="N5" s="29"/>
      <c r="O5" s="29"/>
    </row>
    <row r="6" spans="1:15" ht="35.25" customHeight="1" x14ac:dyDescent="0.25">
      <c r="A6" s="574"/>
      <c r="B6" s="554"/>
      <c r="C6" s="555"/>
      <c r="D6" s="556"/>
      <c r="E6" s="543"/>
      <c r="F6" s="549" t="s">
        <v>2600</v>
      </c>
      <c r="G6" s="553"/>
      <c r="H6" s="553"/>
      <c r="I6" s="550"/>
      <c r="J6" s="543"/>
      <c r="K6" s="29"/>
      <c r="L6" s="29"/>
      <c r="M6" s="29"/>
      <c r="N6" s="29"/>
      <c r="O6" s="29"/>
    </row>
    <row r="7" spans="1:15" ht="14.25" customHeight="1" x14ac:dyDescent="0.25">
      <c r="A7" s="551" t="s">
        <v>2601</v>
      </c>
      <c r="B7" s="552" t="s">
        <v>2602</v>
      </c>
      <c r="C7" s="553"/>
      <c r="D7" s="550"/>
      <c r="E7" s="542" t="s">
        <v>2588</v>
      </c>
      <c r="F7" s="34"/>
      <c r="G7" s="35"/>
      <c r="H7" s="36" t="s">
        <v>2603</v>
      </c>
      <c r="I7" s="37" t="s">
        <v>2604</v>
      </c>
      <c r="J7" s="542">
        <v>2</v>
      </c>
      <c r="K7" s="29"/>
      <c r="L7" s="29"/>
      <c r="M7" s="29"/>
      <c r="N7" s="29"/>
      <c r="O7" s="29"/>
    </row>
    <row r="8" spans="1:15" ht="144.75" customHeight="1" x14ac:dyDescent="0.25">
      <c r="A8" s="547"/>
      <c r="B8" s="554"/>
      <c r="C8" s="555"/>
      <c r="D8" s="556"/>
      <c r="E8" s="547"/>
      <c r="F8" s="32" t="s">
        <v>2598</v>
      </c>
      <c r="G8" s="38" t="s">
        <v>2599</v>
      </c>
      <c r="H8" s="31" t="s">
        <v>2591</v>
      </c>
      <c r="I8" s="31" t="s">
        <v>2605</v>
      </c>
      <c r="J8" s="547"/>
      <c r="K8" s="39"/>
      <c r="L8" s="39"/>
      <c r="M8" s="39"/>
      <c r="N8" s="39"/>
      <c r="O8" s="40"/>
    </row>
    <row r="9" spans="1:15" ht="55.5" customHeight="1" x14ac:dyDescent="0.25">
      <c r="A9" s="543"/>
      <c r="B9" s="557"/>
      <c r="C9" s="558"/>
      <c r="D9" s="559"/>
      <c r="E9" s="543"/>
      <c r="F9" s="544" t="s">
        <v>2606</v>
      </c>
      <c r="G9" s="545"/>
      <c r="H9" s="545"/>
      <c r="I9" s="546"/>
      <c r="J9" s="543"/>
      <c r="K9" s="29"/>
      <c r="L9" s="29"/>
      <c r="M9" s="29"/>
      <c r="N9" s="29"/>
      <c r="O9" s="29"/>
    </row>
    <row r="10" spans="1:15" ht="14.25" customHeight="1" x14ac:dyDescent="0.25">
      <c r="A10" s="551" t="s">
        <v>2607</v>
      </c>
      <c r="B10" s="552" t="s">
        <v>2608</v>
      </c>
      <c r="C10" s="553"/>
      <c r="D10" s="550"/>
      <c r="E10" s="542" t="s">
        <v>2588</v>
      </c>
      <c r="F10" s="34" t="s">
        <v>2598</v>
      </c>
      <c r="G10" s="41" t="s">
        <v>2599</v>
      </c>
      <c r="H10" s="549" t="s">
        <v>2591</v>
      </c>
      <c r="I10" s="550"/>
      <c r="J10" s="542">
        <v>1</v>
      </c>
      <c r="K10" s="29"/>
      <c r="L10" s="29"/>
      <c r="M10" s="29"/>
      <c r="N10" s="29"/>
      <c r="O10" s="29"/>
    </row>
    <row r="11" spans="1:15" ht="36.75" customHeight="1" x14ac:dyDescent="0.25">
      <c r="A11" s="543"/>
      <c r="B11" s="557"/>
      <c r="C11" s="558"/>
      <c r="D11" s="559"/>
      <c r="E11" s="543"/>
      <c r="F11" s="544" t="s">
        <v>2600</v>
      </c>
      <c r="G11" s="545"/>
      <c r="H11" s="545"/>
      <c r="I11" s="546"/>
      <c r="J11" s="543"/>
      <c r="K11" s="29"/>
      <c r="L11" s="29"/>
      <c r="M11" s="29"/>
      <c r="N11" s="29"/>
      <c r="O11" s="29"/>
    </row>
    <row r="12" spans="1:15" ht="14.25" customHeight="1" x14ac:dyDescent="0.25">
      <c r="A12" s="29"/>
      <c r="B12" s="29"/>
      <c r="C12" s="29"/>
      <c r="D12" s="29"/>
      <c r="E12" s="29"/>
      <c r="F12" s="29"/>
      <c r="G12" s="29"/>
      <c r="H12" s="29"/>
      <c r="I12" s="29"/>
      <c r="J12" s="29"/>
      <c r="K12" s="29"/>
      <c r="L12" s="29"/>
      <c r="M12" s="29"/>
      <c r="N12" s="29"/>
      <c r="O12" s="29"/>
    </row>
    <row r="13" spans="1:15" ht="14.25" customHeight="1" x14ac:dyDescent="0.25">
      <c r="A13" s="29"/>
      <c r="B13" s="29"/>
      <c r="C13" s="29"/>
      <c r="D13" s="29"/>
      <c r="E13" s="29"/>
      <c r="F13" s="29"/>
      <c r="G13" s="29"/>
      <c r="H13" s="29"/>
      <c r="I13" s="29"/>
      <c r="J13" s="29"/>
      <c r="K13" s="29"/>
      <c r="L13" s="29"/>
      <c r="M13" s="29"/>
      <c r="N13" s="29"/>
      <c r="O13" s="29"/>
    </row>
    <row r="14" spans="1:15" ht="14.25" customHeight="1" x14ac:dyDescent="0.25">
      <c r="A14" s="29"/>
      <c r="B14" s="29"/>
      <c r="C14" s="29"/>
      <c r="D14" s="29"/>
      <c r="E14" s="29"/>
      <c r="F14" s="29"/>
      <c r="G14" s="29"/>
      <c r="H14" s="29"/>
      <c r="I14" s="29"/>
      <c r="J14" s="29"/>
      <c r="K14" s="29"/>
      <c r="L14" s="29"/>
      <c r="M14" s="29"/>
      <c r="N14" s="29"/>
      <c r="O14" s="29"/>
    </row>
    <row r="15" spans="1:15" ht="14.25" customHeight="1" x14ac:dyDescent="0.25">
      <c r="A15" s="29"/>
      <c r="B15" s="29"/>
      <c r="C15" s="29"/>
      <c r="D15" s="29"/>
      <c r="E15" s="29"/>
      <c r="F15" s="29"/>
      <c r="G15" s="29"/>
      <c r="H15" s="29"/>
      <c r="I15" s="29"/>
      <c r="J15" s="29"/>
      <c r="K15" s="29"/>
      <c r="L15" s="29"/>
      <c r="M15" s="29"/>
      <c r="N15" s="29"/>
      <c r="O15" s="29"/>
    </row>
    <row r="16" spans="1:15" ht="14.25" customHeight="1" x14ac:dyDescent="0.25">
      <c r="A16" s="29"/>
      <c r="B16" s="29"/>
      <c r="C16" s="29"/>
      <c r="D16" s="29"/>
      <c r="E16" s="29"/>
      <c r="F16" s="29"/>
      <c r="G16" s="29"/>
      <c r="H16" s="29"/>
      <c r="I16" s="29"/>
      <c r="J16" s="29"/>
      <c r="K16" s="29"/>
      <c r="L16" s="29"/>
      <c r="M16" s="29"/>
      <c r="N16" s="29"/>
      <c r="O16" s="29"/>
    </row>
    <row r="17" spans="1:15" ht="14.25" customHeight="1" x14ac:dyDescent="0.25">
      <c r="A17" s="29"/>
      <c r="B17" s="29"/>
      <c r="C17" s="29"/>
      <c r="D17" s="29"/>
      <c r="E17" s="29"/>
      <c r="F17" s="29"/>
      <c r="G17" s="29"/>
      <c r="H17" s="29"/>
      <c r="I17" s="29"/>
      <c r="J17" s="29"/>
      <c r="K17" s="29"/>
      <c r="L17" s="29"/>
      <c r="M17" s="29"/>
      <c r="N17" s="29"/>
      <c r="O17" s="29"/>
    </row>
    <row r="18" spans="1:15" ht="14.25" customHeight="1" x14ac:dyDescent="0.25">
      <c r="A18" s="29"/>
      <c r="B18" s="29"/>
      <c r="C18" s="29"/>
      <c r="D18" s="29"/>
      <c r="E18" s="29"/>
      <c r="F18" s="29"/>
      <c r="G18" s="29"/>
      <c r="H18" s="29"/>
      <c r="I18" s="29"/>
      <c r="J18" s="29"/>
      <c r="K18" s="29"/>
      <c r="L18" s="29"/>
      <c r="M18" s="29"/>
      <c r="N18" s="29"/>
      <c r="O18" s="29"/>
    </row>
    <row r="19" spans="1:15" ht="14.25" customHeight="1" x14ac:dyDescent="0.25">
      <c r="A19" s="29"/>
      <c r="B19" s="29"/>
      <c r="C19" s="29"/>
      <c r="D19" s="29"/>
      <c r="E19" s="29"/>
      <c r="F19" s="29"/>
      <c r="G19" s="29"/>
      <c r="H19" s="29"/>
      <c r="I19" s="29"/>
      <c r="J19" s="29"/>
      <c r="K19" s="29"/>
      <c r="L19" s="29"/>
      <c r="M19" s="29"/>
      <c r="N19" s="29"/>
      <c r="O19" s="29"/>
    </row>
    <row r="20" spans="1:15" ht="14.25" customHeight="1" x14ac:dyDescent="0.25">
      <c r="A20" s="29"/>
      <c r="B20" s="29"/>
      <c r="C20" s="29"/>
      <c r="D20" s="29"/>
      <c r="E20" s="29"/>
      <c r="F20" s="29"/>
      <c r="G20" s="29"/>
      <c r="H20" s="29"/>
      <c r="I20" s="29"/>
      <c r="J20" s="29"/>
      <c r="K20" s="29"/>
      <c r="L20" s="29"/>
      <c r="M20" s="29"/>
      <c r="N20" s="29"/>
      <c r="O20" s="29"/>
    </row>
    <row r="21" spans="1:15" ht="14.25" customHeight="1" x14ac:dyDescent="0.25">
      <c r="A21" s="29"/>
      <c r="B21" s="29"/>
      <c r="C21" s="29"/>
      <c r="D21" s="29"/>
      <c r="E21" s="29"/>
      <c r="F21" s="29"/>
      <c r="G21" s="29"/>
      <c r="H21" s="29"/>
      <c r="I21" s="29"/>
      <c r="J21" s="29"/>
      <c r="K21" s="29"/>
      <c r="L21" s="29"/>
      <c r="M21" s="29"/>
      <c r="N21" s="29"/>
      <c r="O21" s="29"/>
    </row>
    <row r="22" spans="1:15" ht="14.25" customHeight="1" x14ac:dyDescent="0.25">
      <c r="A22" s="29"/>
      <c r="B22" s="29"/>
      <c r="C22" s="29"/>
      <c r="D22" s="29"/>
      <c r="E22" s="29"/>
      <c r="F22" s="29"/>
      <c r="G22" s="29"/>
      <c r="H22" s="29"/>
      <c r="I22" s="29"/>
      <c r="J22" s="29"/>
      <c r="K22" s="29"/>
      <c r="L22" s="29"/>
      <c r="M22" s="29"/>
      <c r="N22" s="29"/>
      <c r="O22" s="29"/>
    </row>
    <row r="23" spans="1:15" ht="14.25" customHeight="1" x14ac:dyDescent="0.25">
      <c r="A23" s="29"/>
      <c r="B23" s="29"/>
      <c r="C23" s="29"/>
      <c r="D23" s="29"/>
      <c r="E23" s="29"/>
      <c r="F23" s="29"/>
      <c r="G23" s="29"/>
      <c r="H23" s="29"/>
      <c r="I23" s="29"/>
      <c r="J23" s="29"/>
      <c r="K23" s="29"/>
      <c r="L23" s="29"/>
      <c r="M23" s="29"/>
      <c r="N23" s="29"/>
      <c r="O23" s="29"/>
    </row>
    <row r="24" spans="1:15" ht="14.25" customHeight="1" x14ac:dyDescent="0.25">
      <c r="A24" s="29"/>
      <c r="B24" s="29"/>
      <c r="C24" s="29"/>
      <c r="D24" s="29"/>
      <c r="E24" s="29"/>
      <c r="F24" s="29"/>
      <c r="G24" s="29"/>
      <c r="H24" s="29"/>
      <c r="I24" s="29"/>
      <c r="J24" s="29"/>
      <c r="K24" s="29"/>
      <c r="L24" s="29"/>
      <c r="M24" s="29"/>
      <c r="N24" s="29"/>
      <c r="O24" s="29"/>
    </row>
    <row r="25" spans="1:15" ht="14.25" customHeight="1" x14ac:dyDescent="0.25">
      <c r="A25" s="29"/>
      <c r="B25" s="29"/>
      <c r="C25" s="29"/>
      <c r="D25" s="29"/>
      <c r="E25" s="29"/>
      <c r="F25" s="29"/>
      <c r="G25" s="29"/>
      <c r="H25" s="29"/>
      <c r="I25" s="29"/>
      <c r="J25" s="29"/>
      <c r="K25" s="29"/>
      <c r="L25" s="29"/>
      <c r="M25" s="29"/>
      <c r="N25" s="29"/>
      <c r="O25" s="29"/>
    </row>
    <row r="26" spans="1:15" ht="14.25" customHeight="1" x14ac:dyDescent="0.25">
      <c r="A26" s="29"/>
      <c r="B26" s="29"/>
      <c r="C26" s="29"/>
      <c r="D26" s="29"/>
      <c r="E26" s="29"/>
      <c r="F26" s="29"/>
      <c r="G26" s="29"/>
      <c r="H26" s="29"/>
      <c r="I26" s="29"/>
      <c r="J26" s="29"/>
      <c r="K26" s="29"/>
      <c r="L26" s="29"/>
      <c r="M26" s="29"/>
      <c r="N26" s="29"/>
      <c r="O26" s="29"/>
    </row>
    <row r="27" spans="1:15" ht="14.25" customHeight="1" x14ac:dyDescent="0.25">
      <c r="A27" s="29"/>
      <c r="B27" s="29"/>
      <c r="C27" s="29"/>
      <c r="D27" s="29"/>
      <c r="E27" s="29"/>
      <c r="F27" s="29"/>
      <c r="G27" s="29"/>
      <c r="H27" s="29"/>
      <c r="I27" s="29"/>
      <c r="J27" s="29"/>
      <c r="K27" s="29"/>
      <c r="L27" s="29"/>
      <c r="M27" s="29"/>
      <c r="N27" s="29"/>
      <c r="O27" s="29"/>
    </row>
    <row r="28" spans="1:15" ht="14.25" customHeight="1" x14ac:dyDescent="0.25">
      <c r="A28" s="29"/>
      <c r="B28" s="29"/>
      <c r="C28" s="29"/>
      <c r="D28" s="29"/>
      <c r="E28" s="29"/>
      <c r="F28" s="29"/>
      <c r="G28" s="29"/>
      <c r="H28" s="29"/>
      <c r="I28" s="29"/>
      <c r="J28" s="29"/>
      <c r="K28" s="29"/>
      <c r="L28" s="29"/>
      <c r="M28" s="29"/>
      <c r="N28" s="29"/>
      <c r="O28" s="29"/>
    </row>
    <row r="29" spans="1:15" ht="14.25" customHeight="1" x14ac:dyDescent="0.25">
      <c r="A29" s="29"/>
      <c r="B29" s="29"/>
      <c r="C29" s="29"/>
      <c r="D29" s="29"/>
      <c r="E29" s="29"/>
      <c r="F29" s="29"/>
      <c r="G29" s="29"/>
      <c r="H29" s="29"/>
      <c r="I29" s="29"/>
      <c r="J29" s="29"/>
      <c r="K29" s="29"/>
      <c r="L29" s="29"/>
      <c r="M29" s="29"/>
      <c r="N29" s="29"/>
      <c r="O29" s="29"/>
    </row>
    <row r="30" spans="1:15" ht="14.25" customHeight="1" x14ac:dyDescent="0.25">
      <c r="A30" s="29"/>
      <c r="B30" s="29"/>
      <c r="C30" s="29"/>
      <c r="D30" s="29"/>
      <c r="E30" s="29"/>
      <c r="F30" s="29"/>
      <c r="G30" s="29"/>
      <c r="H30" s="29"/>
      <c r="I30" s="29"/>
      <c r="J30" s="29"/>
      <c r="K30" s="29"/>
      <c r="L30" s="29"/>
      <c r="M30" s="29"/>
      <c r="N30" s="29"/>
      <c r="O30" s="29"/>
    </row>
    <row r="31" spans="1:15" ht="14.25" customHeight="1" x14ac:dyDescent="0.25">
      <c r="A31" s="29"/>
      <c r="B31" s="29"/>
      <c r="C31" s="29"/>
      <c r="D31" s="29"/>
      <c r="E31" s="29"/>
      <c r="F31" s="29"/>
      <c r="G31" s="29"/>
      <c r="H31" s="29"/>
      <c r="I31" s="29"/>
      <c r="J31" s="29"/>
      <c r="K31" s="29"/>
      <c r="L31" s="29"/>
      <c r="M31" s="29"/>
      <c r="N31" s="29"/>
      <c r="O31" s="29"/>
    </row>
    <row r="32" spans="1:15" ht="14.25" customHeight="1" x14ac:dyDescent="0.25">
      <c r="A32" s="29"/>
      <c r="B32" s="29"/>
      <c r="C32" s="29"/>
      <c r="D32" s="29"/>
      <c r="E32" s="29"/>
      <c r="F32" s="29"/>
      <c r="G32" s="29"/>
      <c r="H32" s="29"/>
      <c r="I32" s="29"/>
      <c r="J32" s="29"/>
      <c r="K32" s="29"/>
      <c r="L32" s="29"/>
      <c r="M32" s="29"/>
      <c r="N32" s="29"/>
      <c r="O32" s="29"/>
    </row>
    <row r="33" spans="1:15" ht="14.25" customHeight="1" x14ac:dyDescent="0.25">
      <c r="A33" s="29"/>
      <c r="B33" s="29"/>
      <c r="C33" s="29"/>
      <c r="D33" s="29"/>
      <c r="E33" s="29"/>
      <c r="F33" s="29"/>
      <c r="G33" s="29"/>
      <c r="H33" s="29"/>
      <c r="I33" s="29"/>
      <c r="J33" s="29"/>
      <c r="K33" s="29"/>
      <c r="L33" s="29"/>
      <c r="M33" s="29"/>
      <c r="N33" s="29"/>
      <c r="O33" s="29"/>
    </row>
    <row r="34" spans="1:15" ht="14.25" customHeight="1" x14ac:dyDescent="0.25">
      <c r="A34" s="29"/>
      <c r="B34" s="29"/>
      <c r="C34" s="29"/>
      <c r="D34" s="29"/>
      <c r="E34" s="29"/>
      <c r="F34" s="29"/>
      <c r="G34" s="29"/>
      <c r="H34" s="29"/>
      <c r="I34" s="29"/>
      <c r="J34" s="29"/>
      <c r="K34" s="29"/>
      <c r="L34" s="29"/>
      <c r="M34" s="29"/>
      <c r="N34" s="29"/>
      <c r="O34" s="29"/>
    </row>
    <row r="35" spans="1:15" ht="14.25" customHeight="1" x14ac:dyDescent="0.25">
      <c r="A35" s="29"/>
      <c r="B35" s="29"/>
      <c r="C35" s="29"/>
      <c r="D35" s="29"/>
      <c r="E35" s="29"/>
      <c r="F35" s="29"/>
      <c r="G35" s="29"/>
      <c r="H35" s="29"/>
      <c r="I35" s="29"/>
      <c r="J35" s="29"/>
      <c r="K35" s="29"/>
      <c r="L35" s="29"/>
      <c r="M35" s="29"/>
      <c r="N35" s="29"/>
      <c r="O35" s="29"/>
    </row>
    <row r="36" spans="1:15" ht="14.25" customHeight="1" x14ac:dyDescent="0.25">
      <c r="A36" s="29"/>
      <c r="B36" s="29"/>
      <c r="C36" s="29"/>
      <c r="D36" s="29"/>
      <c r="E36" s="29"/>
      <c r="F36" s="29"/>
      <c r="G36" s="29"/>
      <c r="H36" s="29"/>
      <c r="I36" s="29"/>
      <c r="J36" s="29"/>
      <c r="K36" s="29"/>
      <c r="L36" s="29"/>
      <c r="M36" s="29"/>
      <c r="N36" s="29"/>
      <c r="O36" s="29"/>
    </row>
    <row r="37" spans="1:15" ht="14.25" customHeight="1" x14ac:dyDescent="0.25">
      <c r="A37" s="29"/>
      <c r="B37" s="29"/>
      <c r="C37" s="29"/>
      <c r="D37" s="29"/>
      <c r="E37" s="29"/>
      <c r="F37" s="29"/>
      <c r="G37" s="29"/>
      <c r="H37" s="29"/>
      <c r="I37" s="29"/>
      <c r="J37" s="29"/>
      <c r="K37" s="29"/>
      <c r="L37" s="29"/>
      <c r="M37" s="29"/>
      <c r="N37" s="29"/>
      <c r="O37" s="29"/>
    </row>
    <row r="38" spans="1:15" ht="14.25" customHeight="1" x14ac:dyDescent="0.25">
      <c r="A38" s="29"/>
      <c r="B38" s="29"/>
      <c r="C38" s="29"/>
      <c r="D38" s="29"/>
      <c r="E38" s="29"/>
      <c r="F38" s="29"/>
      <c r="G38" s="29"/>
      <c r="H38" s="29"/>
      <c r="I38" s="29"/>
      <c r="J38" s="29"/>
      <c r="K38" s="29"/>
      <c r="L38" s="29"/>
      <c r="M38" s="29"/>
      <c r="N38" s="29"/>
      <c r="O38" s="29"/>
    </row>
    <row r="39" spans="1:15" ht="14.25" customHeight="1" x14ac:dyDescent="0.25">
      <c r="A39" s="29"/>
      <c r="B39" s="29"/>
      <c r="C39" s="29"/>
      <c r="D39" s="29"/>
      <c r="E39" s="29"/>
      <c r="F39" s="29"/>
      <c r="G39" s="29"/>
      <c r="H39" s="29"/>
      <c r="I39" s="29"/>
      <c r="J39" s="29"/>
      <c r="K39" s="29"/>
      <c r="L39" s="29"/>
      <c r="M39" s="29"/>
      <c r="N39" s="29"/>
      <c r="O39" s="29"/>
    </row>
    <row r="40" spans="1:15" ht="14.25" customHeight="1" x14ac:dyDescent="0.25">
      <c r="A40" s="29"/>
      <c r="B40" s="29"/>
      <c r="C40" s="29"/>
      <c r="D40" s="29"/>
      <c r="E40" s="29"/>
      <c r="F40" s="29"/>
      <c r="G40" s="29"/>
      <c r="H40" s="29"/>
      <c r="I40" s="29"/>
      <c r="J40" s="29"/>
      <c r="K40" s="29"/>
      <c r="L40" s="29"/>
      <c r="M40" s="29"/>
      <c r="N40" s="29"/>
      <c r="O40" s="29"/>
    </row>
    <row r="41" spans="1:15" ht="14.25" customHeight="1" x14ac:dyDescent="0.25">
      <c r="A41" s="29"/>
      <c r="B41" s="29"/>
      <c r="C41" s="29"/>
      <c r="D41" s="29"/>
      <c r="E41" s="29"/>
      <c r="F41" s="29"/>
      <c r="G41" s="29"/>
      <c r="H41" s="29"/>
      <c r="I41" s="29"/>
      <c r="J41" s="29"/>
      <c r="K41" s="29"/>
      <c r="L41" s="29"/>
      <c r="M41" s="29"/>
      <c r="N41" s="29"/>
      <c r="O41" s="29"/>
    </row>
    <row r="42" spans="1:15" ht="14.25" customHeight="1" x14ac:dyDescent="0.25">
      <c r="A42" s="29"/>
      <c r="B42" s="29"/>
      <c r="C42" s="29"/>
      <c r="D42" s="29"/>
      <c r="E42" s="29"/>
      <c r="F42" s="29"/>
      <c r="G42" s="29"/>
      <c r="H42" s="29"/>
      <c r="I42" s="29"/>
      <c r="J42" s="29"/>
      <c r="K42" s="29"/>
      <c r="L42" s="29"/>
      <c r="M42" s="29"/>
      <c r="N42" s="29"/>
      <c r="O42" s="29"/>
    </row>
    <row r="43" spans="1:15" ht="14.25" customHeight="1" x14ac:dyDescent="0.25">
      <c r="A43" s="29"/>
      <c r="B43" s="29"/>
      <c r="C43" s="29"/>
      <c r="D43" s="29"/>
      <c r="E43" s="29"/>
      <c r="F43" s="29"/>
      <c r="G43" s="29"/>
      <c r="H43" s="29"/>
      <c r="I43" s="29"/>
      <c r="J43" s="29"/>
      <c r="K43" s="29"/>
      <c r="L43" s="29"/>
      <c r="M43" s="29"/>
      <c r="N43" s="29"/>
      <c r="O43" s="29"/>
    </row>
    <row r="44" spans="1:15" ht="14.25" customHeight="1" x14ac:dyDescent="0.25">
      <c r="A44" s="29"/>
      <c r="B44" s="29"/>
      <c r="C44" s="29"/>
      <c r="D44" s="29"/>
      <c r="E44" s="29"/>
      <c r="F44" s="29"/>
      <c r="G44" s="29"/>
      <c r="H44" s="29"/>
      <c r="I44" s="29"/>
      <c r="J44" s="29"/>
      <c r="K44" s="29"/>
      <c r="L44" s="29"/>
      <c r="M44" s="29"/>
      <c r="N44" s="29"/>
      <c r="O44" s="29"/>
    </row>
    <row r="45" spans="1:15" ht="14.25" customHeight="1" x14ac:dyDescent="0.25">
      <c r="A45" s="29"/>
      <c r="B45" s="29"/>
      <c r="C45" s="29"/>
      <c r="D45" s="29"/>
      <c r="E45" s="29"/>
      <c r="F45" s="29"/>
      <c r="G45" s="29"/>
      <c r="H45" s="29"/>
      <c r="I45" s="29"/>
      <c r="J45" s="29"/>
      <c r="K45" s="29"/>
      <c r="L45" s="29"/>
      <c r="M45" s="29"/>
      <c r="N45" s="29"/>
      <c r="O45" s="29"/>
    </row>
    <row r="46" spans="1:15" ht="14.25" customHeight="1" x14ac:dyDescent="0.25">
      <c r="A46" s="29"/>
      <c r="B46" s="29"/>
      <c r="C46" s="29"/>
      <c r="D46" s="29"/>
      <c r="E46" s="29"/>
      <c r="F46" s="29"/>
      <c r="G46" s="29"/>
      <c r="H46" s="29"/>
      <c r="I46" s="29"/>
      <c r="J46" s="29"/>
      <c r="K46" s="29"/>
      <c r="L46" s="29"/>
      <c r="M46" s="29"/>
      <c r="N46" s="29"/>
      <c r="O46" s="29"/>
    </row>
    <row r="47" spans="1:15" ht="14.25" customHeight="1" x14ac:dyDescent="0.25">
      <c r="A47" s="29"/>
      <c r="B47" s="29"/>
      <c r="C47" s="29"/>
      <c r="D47" s="29"/>
      <c r="E47" s="29"/>
      <c r="F47" s="29"/>
      <c r="G47" s="29"/>
      <c r="H47" s="29"/>
      <c r="I47" s="29"/>
      <c r="J47" s="29"/>
      <c r="K47" s="29"/>
      <c r="L47" s="29"/>
      <c r="M47" s="29"/>
      <c r="N47" s="29"/>
      <c r="O47" s="29"/>
    </row>
    <row r="48" spans="1:15" ht="14.25" customHeight="1" x14ac:dyDescent="0.25">
      <c r="A48" s="29"/>
      <c r="B48" s="29"/>
      <c r="C48" s="29"/>
      <c r="D48" s="29"/>
      <c r="E48" s="29"/>
      <c r="F48" s="29"/>
      <c r="G48" s="29"/>
      <c r="H48" s="29"/>
      <c r="I48" s="29"/>
      <c r="J48" s="29"/>
      <c r="K48" s="29"/>
      <c r="L48" s="29"/>
      <c r="M48" s="29"/>
      <c r="N48" s="29"/>
      <c r="O48" s="29"/>
    </row>
    <row r="49" spans="1:15" ht="14.25" customHeight="1" x14ac:dyDescent="0.25">
      <c r="A49" s="29"/>
      <c r="B49" s="29"/>
      <c r="C49" s="29"/>
      <c r="D49" s="29"/>
      <c r="E49" s="29"/>
      <c r="F49" s="29"/>
      <c r="G49" s="29"/>
      <c r="H49" s="29"/>
      <c r="I49" s="29"/>
      <c r="J49" s="29"/>
      <c r="K49" s="29"/>
      <c r="L49" s="29"/>
      <c r="M49" s="29"/>
      <c r="N49" s="29"/>
      <c r="O49" s="29"/>
    </row>
    <row r="50" spans="1:15" ht="14.25" customHeight="1" x14ac:dyDescent="0.25">
      <c r="A50" s="29"/>
      <c r="B50" s="29"/>
      <c r="C50" s="29"/>
      <c r="D50" s="29"/>
      <c r="E50" s="29"/>
      <c r="F50" s="29"/>
      <c r="G50" s="29"/>
      <c r="H50" s="29"/>
      <c r="I50" s="29"/>
      <c r="J50" s="29"/>
      <c r="K50" s="29"/>
      <c r="L50" s="29"/>
      <c r="M50" s="29"/>
      <c r="N50" s="29"/>
      <c r="O50" s="29"/>
    </row>
    <row r="51" spans="1:15" ht="14.25" customHeight="1" x14ac:dyDescent="0.25">
      <c r="A51" s="29"/>
      <c r="B51" s="29"/>
      <c r="C51" s="29"/>
      <c r="D51" s="29"/>
      <c r="E51" s="29"/>
      <c r="F51" s="29"/>
      <c r="G51" s="29"/>
      <c r="H51" s="29"/>
      <c r="I51" s="29"/>
      <c r="J51" s="29"/>
      <c r="K51" s="29"/>
      <c r="L51" s="29"/>
      <c r="M51" s="29"/>
      <c r="N51" s="29"/>
      <c r="O51" s="29"/>
    </row>
    <row r="52" spans="1:15" ht="14.25" customHeight="1" x14ac:dyDescent="0.25">
      <c r="A52" s="29"/>
      <c r="B52" s="29"/>
      <c r="C52" s="29"/>
      <c r="D52" s="29"/>
      <c r="E52" s="29"/>
      <c r="F52" s="29"/>
      <c r="G52" s="29"/>
      <c r="H52" s="29"/>
      <c r="I52" s="29"/>
      <c r="J52" s="29"/>
      <c r="K52" s="29"/>
      <c r="L52" s="29"/>
      <c r="M52" s="29"/>
      <c r="N52" s="29"/>
      <c r="O52" s="29"/>
    </row>
    <row r="53" spans="1:15" ht="14.25" customHeight="1" x14ac:dyDescent="0.25">
      <c r="A53" s="29"/>
      <c r="B53" s="29"/>
      <c r="C53" s="29"/>
      <c r="D53" s="29"/>
      <c r="E53" s="29"/>
      <c r="F53" s="29"/>
      <c r="G53" s="29"/>
      <c r="H53" s="29"/>
      <c r="I53" s="29"/>
      <c r="J53" s="29"/>
      <c r="K53" s="29"/>
      <c r="L53" s="29"/>
      <c r="M53" s="29"/>
      <c r="N53" s="29"/>
      <c r="O53" s="29"/>
    </row>
    <row r="54" spans="1:15" ht="14.25" customHeight="1" x14ac:dyDescent="0.25">
      <c r="A54" s="29"/>
      <c r="B54" s="29"/>
      <c r="C54" s="29"/>
      <c r="D54" s="29"/>
      <c r="E54" s="29"/>
      <c r="F54" s="29"/>
      <c r="G54" s="29"/>
      <c r="H54" s="29"/>
      <c r="I54" s="29"/>
      <c r="J54" s="29"/>
      <c r="K54" s="29"/>
      <c r="L54" s="29"/>
      <c r="M54" s="29"/>
      <c r="N54" s="29"/>
      <c r="O54" s="29"/>
    </row>
    <row r="55" spans="1:15" ht="14.25" customHeight="1" x14ac:dyDescent="0.25">
      <c r="A55" s="29"/>
      <c r="B55" s="29"/>
      <c r="C55" s="29"/>
      <c r="D55" s="29"/>
      <c r="E55" s="29"/>
      <c r="F55" s="29"/>
      <c r="G55" s="29"/>
      <c r="H55" s="29"/>
      <c r="I55" s="29"/>
      <c r="J55" s="29"/>
      <c r="K55" s="29"/>
      <c r="L55" s="29"/>
      <c r="M55" s="29"/>
      <c r="N55" s="29"/>
      <c r="O55" s="29"/>
    </row>
    <row r="56" spans="1:15" ht="14.25" customHeight="1" x14ac:dyDescent="0.25">
      <c r="A56" s="29"/>
      <c r="B56" s="29"/>
      <c r="C56" s="29"/>
      <c r="D56" s="29"/>
      <c r="E56" s="29"/>
      <c r="F56" s="29"/>
      <c r="G56" s="29"/>
      <c r="H56" s="29"/>
      <c r="I56" s="29"/>
      <c r="J56" s="29"/>
      <c r="K56" s="29"/>
      <c r="L56" s="29"/>
      <c r="M56" s="29"/>
      <c r="N56" s="29"/>
      <c r="O56" s="29"/>
    </row>
    <row r="57" spans="1:15" ht="14.25" customHeight="1" x14ac:dyDescent="0.25">
      <c r="A57" s="29"/>
      <c r="B57" s="29"/>
      <c r="C57" s="29"/>
      <c r="D57" s="29"/>
      <c r="E57" s="29"/>
      <c r="F57" s="29"/>
      <c r="G57" s="29"/>
      <c r="H57" s="29"/>
      <c r="I57" s="29"/>
      <c r="J57" s="29"/>
      <c r="K57" s="29"/>
      <c r="L57" s="29"/>
      <c r="M57" s="29"/>
      <c r="N57" s="29"/>
      <c r="O57" s="29"/>
    </row>
    <row r="58" spans="1:15" ht="14.25" customHeight="1" x14ac:dyDescent="0.25">
      <c r="A58" s="29"/>
      <c r="B58" s="29"/>
      <c r="C58" s="29"/>
      <c r="D58" s="29"/>
      <c r="E58" s="29"/>
      <c r="F58" s="29"/>
      <c r="G58" s="29"/>
      <c r="H58" s="29"/>
      <c r="I58" s="29"/>
      <c r="J58" s="29"/>
      <c r="K58" s="29"/>
      <c r="L58" s="29"/>
      <c r="M58" s="29"/>
      <c r="N58" s="29"/>
      <c r="O58" s="29"/>
    </row>
    <row r="59" spans="1:15" ht="14.25" customHeight="1" x14ac:dyDescent="0.25">
      <c r="A59" s="29"/>
      <c r="B59" s="29"/>
      <c r="C59" s="29"/>
      <c r="D59" s="29"/>
      <c r="E59" s="29"/>
      <c r="F59" s="29"/>
      <c r="G59" s="29"/>
      <c r="H59" s="29"/>
      <c r="I59" s="29"/>
      <c r="J59" s="29"/>
      <c r="K59" s="29"/>
      <c r="L59" s="29"/>
      <c r="M59" s="29"/>
      <c r="N59" s="29"/>
      <c r="O59" s="29"/>
    </row>
    <row r="60" spans="1:15" ht="14.25" customHeight="1" x14ac:dyDescent="0.25">
      <c r="A60" s="29"/>
      <c r="B60" s="29"/>
      <c r="C60" s="29"/>
      <c r="D60" s="29"/>
      <c r="E60" s="29"/>
      <c r="F60" s="29"/>
      <c r="G60" s="29"/>
      <c r="H60" s="29"/>
      <c r="I60" s="29"/>
      <c r="J60" s="29"/>
      <c r="K60" s="29"/>
      <c r="L60" s="29"/>
      <c r="M60" s="29"/>
      <c r="N60" s="29"/>
      <c r="O60" s="29"/>
    </row>
    <row r="61" spans="1:15" ht="14.25" customHeight="1" x14ac:dyDescent="0.25">
      <c r="A61" s="29"/>
      <c r="B61" s="29"/>
      <c r="C61" s="29"/>
      <c r="D61" s="29"/>
      <c r="E61" s="29"/>
      <c r="F61" s="29"/>
      <c r="G61" s="29"/>
      <c r="H61" s="29"/>
      <c r="I61" s="29"/>
      <c r="J61" s="29"/>
      <c r="K61" s="29"/>
      <c r="L61" s="29"/>
      <c r="M61" s="29"/>
      <c r="N61" s="29"/>
      <c r="O61" s="29"/>
    </row>
    <row r="62" spans="1:15" ht="14.25" customHeight="1" x14ac:dyDescent="0.25">
      <c r="A62" s="29"/>
      <c r="B62" s="29"/>
      <c r="C62" s="29"/>
      <c r="D62" s="29"/>
      <c r="E62" s="29"/>
      <c r="F62" s="29"/>
      <c r="G62" s="29"/>
      <c r="H62" s="29"/>
      <c r="I62" s="29"/>
      <c r="J62" s="29"/>
      <c r="K62" s="29"/>
      <c r="L62" s="29"/>
      <c r="M62" s="29"/>
      <c r="N62" s="29"/>
      <c r="O62" s="29"/>
    </row>
    <row r="63" spans="1:15" ht="14.25" customHeight="1" x14ac:dyDescent="0.25">
      <c r="A63" s="29"/>
      <c r="B63" s="29"/>
      <c r="C63" s="29"/>
      <c r="D63" s="29"/>
      <c r="E63" s="29"/>
      <c r="F63" s="29"/>
      <c r="G63" s="29"/>
      <c r="H63" s="29"/>
      <c r="I63" s="29"/>
      <c r="J63" s="29"/>
      <c r="K63" s="29"/>
      <c r="L63" s="29"/>
      <c r="M63" s="29"/>
      <c r="N63" s="29"/>
      <c r="O63" s="29"/>
    </row>
    <row r="64" spans="1:15" ht="14.25" customHeight="1" x14ac:dyDescent="0.25">
      <c r="A64" s="29"/>
      <c r="B64" s="29"/>
      <c r="C64" s="29"/>
      <c r="D64" s="29"/>
      <c r="E64" s="29"/>
      <c r="F64" s="29"/>
      <c r="G64" s="29"/>
      <c r="H64" s="29"/>
      <c r="I64" s="29"/>
      <c r="J64" s="29"/>
      <c r="K64" s="29"/>
      <c r="L64" s="29"/>
      <c r="M64" s="29"/>
      <c r="N64" s="29"/>
      <c r="O64" s="29"/>
    </row>
    <row r="65" spans="1:15" ht="14.25" customHeight="1" x14ac:dyDescent="0.25">
      <c r="A65" s="29"/>
      <c r="B65" s="29"/>
      <c r="C65" s="29"/>
      <c r="D65" s="29"/>
      <c r="E65" s="29"/>
      <c r="F65" s="29"/>
      <c r="G65" s="29"/>
      <c r="H65" s="29"/>
      <c r="I65" s="29"/>
      <c r="J65" s="29"/>
      <c r="K65" s="29"/>
      <c r="L65" s="29"/>
      <c r="M65" s="29"/>
      <c r="N65" s="29"/>
      <c r="O65" s="29"/>
    </row>
    <row r="66" spans="1:15" ht="14.25" customHeight="1" x14ac:dyDescent="0.25">
      <c r="A66" s="29"/>
      <c r="B66" s="29"/>
      <c r="C66" s="29"/>
      <c r="D66" s="29"/>
      <c r="E66" s="29"/>
      <c r="F66" s="29"/>
      <c r="G66" s="29"/>
      <c r="H66" s="29"/>
      <c r="I66" s="29"/>
      <c r="J66" s="29"/>
      <c r="K66" s="29"/>
      <c r="L66" s="29"/>
      <c r="M66" s="29"/>
      <c r="N66" s="29"/>
      <c r="O66" s="29"/>
    </row>
    <row r="67" spans="1:15" ht="14.25" customHeight="1" x14ac:dyDescent="0.25">
      <c r="A67" s="29"/>
      <c r="B67" s="29"/>
      <c r="C67" s="29"/>
      <c r="D67" s="29"/>
      <c r="E67" s="29"/>
      <c r="F67" s="29"/>
      <c r="G67" s="29"/>
      <c r="H67" s="29"/>
      <c r="I67" s="29"/>
      <c r="J67" s="29"/>
      <c r="K67" s="29"/>
      <c r="L67" s="29"/>
      <c r="M67" s="29"/>
      <c r="N67" s="29"/>
      <c r="O67" s="29"/>
    </row>
    <row r="68" spans="1:15" ht="14.25" customHeight="1" x14ac:dyDescent="0.25">
      <c r="A68" s="29"/>
      <c r="B68" s="29"/>
      <c r="C68" s="29"/>
      <c r="D68" s="29"/>
      <c r="E68" s="29"/>
      <c r="F68" s="29"/>
      <c r="G68" s="29"/>
      <c r="H68" s="29"/>
      <c r="I68" s="29"/>
      <c r="J68" s="29"/>
      <c r="K68" s="29"/>
      <c r="L68" s="29"/>
      <c r="M68" s="29"/>
      <c r="N68" s="29"/>
      <c r="O68" s="29"/>
    </row>
    <row r="69" spans="1:15" ht="14.25" customHeight="1" x14ac:dyDescent="0.25">
      <c r="A69" s="29"/>
      <c r="B69" s="29"/>
      <c r="C69" s="29"/>
      <c r="D69" s="29"/>
      <c r="E69" s="29"/>
      <c r="F69" s="29"/>
      <c r="G69" s="29"/>
      <c r="H69" s="29"/>
      <c r="I69" s="29"/>
      <c r="J69" s="29"/>
      <c r="K69" s="29"/>
      <c r="L69" s="29"/>
      <c r="M69" s="29"/>
      <c r="N69" s="29"/>
      <c r="O69" s="29"/>
    </row>
    <row r="70" spans="1:15" ht="14.25" customHeight="1" x14ac:dyDescent="0.25">
      <c r="A70" s="29"/>
      <c r="B70" s="29"/>
      <c r="C70" s="29"/>
      <c r="D70" s="29"/>
      <c r="E70" s="29"/>
      <c r="F70" s="29"/>
      <c r="G70" s="29"/>
      <c r="H70" s="29"/>
      <c r="I70" s="29"/>
      <c r="J70" s="29"/>
      <c r="K70" s="29"/>
      <c r="L70" s="29"/>
      <c r="M70" s="29"/>
      <c r="N70" s="29"/>
      <c r="O70" s="29"/>
    </row>
    <row r="71" spans="1:15" ht="14.25" customHeight="1" x14ac:dyDescent="0.25">
      <c r="A71" s="29"/>
      <c r="B71" s="29"/>
      <c r="C71" s="29"/>
      <c r="D71" s="29"/>
      <c r="E71" s="29"/>
      <c r="F71" s="29"/>
      <c r="G71" s="29"/>
      <c r="H71" s="29"/>
      <c r="I71" s="29"/>
      <c r="J71" s="29"/>
      <c r="K71" s="29"/>
      <c r="L71" s="29"/>
      <c r="M71" s="29"/>
      <c r="N71" s="29"/>
      <c r="O71" s="29"/>
    </row>
    <row r="72" spans="1:15" ht="14.25" customHeight="1" x14ac:dyDescent="0.25">
      <c r="A72" s="29"/>
      <c r="B72" s="29"/>
      <c r="C72" s="29"/>
      <c r="D72" s="29"/>
      <c r="E72" s="29"/>
      <c r="F72" s="29"/>
      <c r="G72" s="29"/>
      <c r="H72" s="29"/>
      <c r="I72" s="29"/>
      <c r="J72" s="29"/>
      <c r="K72" s="29"/>
      <c r="L72" s="29"/>
      <c r="M72" s="29"/>
      <c r="N72" s="29"/>
      <c r="O72" s="29"/>
    </row>
    <row r="73" spans="1:15" ht="14.25" customHeight="1" x14ac:dyDescent="0.25">
      <c r="A73" s="29"/>
      <c r="B73" s="29"/>
      <c r="C73" s="29"/>
      <c r="D73" s="29"/>
      <c r="E73" s="29"/>
      <c r="F73" s="29"/>
      <c r="G73" s="29"/>
      <c r="H73" s="29"/>
      <c r="I73" s="29"/>
      <c r="J73" s="29"/>
      <c r="K73" s="29"/>
      <c r="L73" s="29"/>
      <c r="M73" s="29"/>
      <c r="N73" s="29"/>
      <c r="O73" s="29"/>
    </row>
    <row r="74" spans="1:15" ht="14.25" customHeight="1" x14ac:dyDescent="0.25">
      <c r="A74" s="29"/>
      <c r="B74" s="29"/>
      <c r="C74" s="29"/>
      <c r="D74" s="29"/>
      <c r="E74" s="29"/>
      <c r="F74" s="29"/>
      <c r="G74" s="29"/>
      <c r="H74" s="29"/>
      <c r="I74" s="29"/>
      <c r="J74" s="29"/>
      <c r="K74" s="29"/>
      <c r="L74" s="29"/>
      <c r="M74" s="29"/>
      <c r="N74" s="29"/>
      <c r="O74" s="29"/>
    </row>
    <row r="75" spans="1:15" ht="14.25" customHeight="1" x14ac:dyDescent="0.25">
      <c r="A75" s="29"/>
      <c r="B75" s="29"/>
      <c r="C75" s="29"/>
      <c r="D75" s="29"/>
      <c r="E75" s="29"/>
      <c r="F75" s="29"/>
      <c r="G75" s="29"/>
      <c r="H75" s="29"/>
      <c r="I75" s="29"/>
      <c r="J75" s="29"/>
      <c r="K75" s="29"/>
      <c r="L75" s="29"/>
      <c r="M75" s="29"/>
      <c r="N75" s="29"/>
      <c r="O75" s="29"/>
    </row>
    <row r="76" spans="1:15" ht="14.25" customHeight="1" x14ac:dyDescent="0.25">
      <c r="A76" s="29"/>
      <c r="B76" s="29"/>
      <c r="C76" s="29"/>
      <c r="D76" s="29"/>
      <c r="E76" s="29"/>
      <c r="F76" s="29"/>
      <c r="G76" s="29"/>
      <c r="H76" s="29"/>
      <c r="I76" s="29"/>
      <c r="J76" s="29"/>
      <c r="K76" s="29"/>
      <c r="L76" s="29"/>
      <c r="M76" s="29"/>
      <c r="N76" s="29"/>
      <c r="O76" s="29"/>
    </row>
    <row r="77" spans="1:15" ht="14.25" customHeight="1" x14ac:dyDescent="0.25">
      <c r="A77" s="29"/>
      <c r="B77" s="29"/>
      <c r="C77" s="29"/>
      <c r="D77" s="29"/>
      <c r="E77" s="29"/>
      <c r="F77" s="29"/>
      <c r="G77" s="29"/>
      <c r="H77" s="29"/>
      <c r="I77" s="29"/>
      <c r="J77" s="29"/>
      <c r="K77" s="29"/>
      <c r="L77" s="29"/>
      <c r="M77" s="29"/>
      <c r="N77" s="29"/>
      <c r="O77" s="29"/>
    </row>
    <row r="78" spans="1:15" ht="14.25" customHeight="1" x14ac:dyDescent="0.25">
      <c r="A78" s="29"/>
      <c r="B78" s="29"/>
      <c r="C78" s="29"/>
      <c r="D78" s="29"/>
      <c r="E78" s="29"/>
      <c r="F78" s="29"/>
      <c r="G78" s="29"/>
      <c r="H78" s="29"/>
      <c r="I78" s="29"/>
      <c r="J78" s="29"/>
      <c r="K78" s="29"/>
      <c r="L78" s="29"/>
      <c r="M78" s="29"/>
      <c r="N78" s="29"/>
      <c r="O78" s="29"/>
    </row>
    <row r="79" spans="1:15" ht="14.25" customHeight="1" x14ac:dyDescent="0.25">
      <c r="A79" s="29"/>
      <c r="B79" s="29"/>
      <c r="C79" s="29"/>
      <c r="D79" s="29"/>
      <c r="E79" s="29"/>
      <c r="F79" s="29"/>
      <c r="G79" s="29"/>
      <c r="H79" s="29"/>
      <c r="I79" s="29"/>
      <c r="J79" s="29"/>
      <c r="K79" s="29"/>
      <c r="L79" s="29"/>
      <c r="M79" s="29"/>
      <c r="N79" s="29"/>
      <c r="O79" s="29"/>
    </row>
    <row r="80" spans="1:15" ht="14.25" customHeight="1" x14ac:dyDescent="0.25">
      <c r="A80" s="29"/>
      <c r="B80" s="29"/>
      <c r="C80" s="29"/>
      <c r="D80" s="29"/>
      <c r="E80" s="29"/>
      <c r="F80" s="29"/>
      <c r="G80" s="29"/>
      <c r="H80" s="29"/>
      <c r="I80" s="29"/>
      <c r="J80" s="29"/>
      <c r="K80" s="29"/>
      <c r="L80" s="29"/>
      <c r="M80" s="29"/>
      <c r="N80" s="29"/>
      <c r="O80" s="29"/>
    </row>
    <row r="81" spans="1:15" ht="14.25" customHeight="1" x14ac:dyDescent="0.25">
      <c r="A81" s="29"/>
      <c r="B81" s="29"/>
      <c r="C81" s="29"/>
      <c r="D81" s="29"/>
      <c r="E81" s="29"/>
      <c r="F81" s="29"/>
      <c r="G81" s="29"/>
      <c r="H81" s="29"/>
      <c r="I81" s="29"/>
      <c r="J81" s="29"/>
      <c r="K81" s="29"/>
      <c r="L81" s="29"/>
      <c r="M81" s="29"/>
      <c r="N81" s="29"/>
      <c r="O81" s="29"/>
    </row>
    <row r="82" spans="1:15" ht="14.25" customHeight="1" x14ac:dyDescent="0.25">
      <c r="A82" s="29"/>
      <c r="B82" s="29"/>
      <c r="C82" s="29"/>
      <c r="D82" s="29"/>
      <c r="E82" s="29"/>
      <c r="F82" s="29"/>
      <c r="G82" s="29"/>
      <c r="H82" s="29"/>
      <c r="I82" s="29"/>
      <c r="J82" s="29"/>
      <c r="K82" s="29"/>
      <c r="L82" s="29"/>
      <c r="M82" s="29"/>
      <c r="N82" s="29"/>
      <c r="O82" s="29"/>
    </row>
    <row r="83" spans="1:15" ht="14.25" customHeight="1" x14ac:dyDescent="0.25">
      <c r="A83" s="29"/>
      <c r="B83" s="29"/>
      <c r="C83" s="29"/>
      <c r="D83" s="29"/>
      <c r="E83" s="29"/>
      <c r="F83" s="29"/>
      <c r="G83" s="29"/>
      <c r="H83" s="29"/>
      <c r="I83" s="29"/>
      <c r="J83" s="29"/>
      <c r="K83" s="29"/>
      <c r="L83" s="29"/>
      <c r="M83" s="29"/>
      <c r="N83" s="29"/>
      <c r="O83" s="29"/>
    </row>
    <row r="84" spans="1:15" ht="14.25" customHeight="1" x14ac:dyDescent="0.25">
      <c r="A84" s="29"/>
      <c r="B84" s="29"/>
      <c r="C84" s="29"/>
      <c r="D84" s="29"/>
      <c r="E84" s="29"/>
      <c r="F84" s="29"/>
      <c r="G84" s="29"/>
      <c r="H84" s="29"/>
      <c r="I84" s="29"/>
      <c r="J84" s="29"/>
      <c r="K84" s="29"/>
      <c r="L84" s="29"/>
      <c r="M84" s="29"/>
      <c r="N84" s="29"/>
      <c r="O84" s="29"/>
    </row>
    <row r="85" spans="1:15" ht="14.25" customHeight="1" x14ac:dyDescent="0.25">
      <c r="A85" s="29"/>
      <c r="B85" s="29"/>
      <c r="C85" s="29"/>
      <c r="D85" s="29"/>
      <c r="E85" s="29"/>
      <c r="F85" s="29"/>
      <c r="G85" s="29"/>
      <c r="H85" s="29"/>
      <c r="I85" s="29"/>
      <c r="J85" s="29"/>
      <c r="K85" s="29"/>
      <c r="L85" s="29"/>
      <c r="M85" s="29"/>
      <c r="N85" s="29"/>
      <c r="O85" s="29"/>
    </row>
    <row r="86" spans="1:15" ht="14.25" customHeight="1" x14ac:dyDescent="0.25">
      <c r="A86" s="29"/>
      <c r="B86" s="29"/>
      <c r="C86" s="29"/>
      <c r="D86" s="29"/>
      <c r="E86" s="29"/>
      <c r="F86" s="29"/>
      <c r="G86" s="29"/>
      <c r="H86" s="29"/>
      <c r="I86" s="29"/>
      <c r="J86" s="29"/>
      <c r="K86" s="29"/>
      <c r="L86" s="29"/>
      <c r="M86" s="29"/>
      <c r="N86" s="29"/>
      <c r="O86" s="29"/>
    </row>
    <row r="87" spans="1:15" ht="14.25" customHeight="1" x14ac:dyDescent="0.25">
      <c r="A87" s="29"/>
      <c r="B87" s="29"/>
      <c r="C87" s="29"/>
      <c r="D87" s="29"/>
      <c r="E87" s="29"/>
      <c r="F87" s="29"/>
      <c r="G87" s="29"/>
      <c r="H87" s="29"/>
      <c r="I87" s="29"/>
      <c r="J87" s="29"/>
      <c r="K87" s="29"/>
      <c r="L87" s="29"/>
      <c r="M87" s="29"/>
      <c r="N87" s="29"/>
      <c r="O87" s="29"/>
    </row>
    <row r="88" spans="1:15" ht="14.25" customHeight="1" x14ac:dyDescent="0.25">
      <c r="A88" s="29"/>
      <c r="B88" s="29"/>
      <c r="C88" s="29"/>
      <c r="D88" s="29"/>
      <c r="E88" s="29"/>
      <c r="F88" s="29"/>
      <c r="G88" s="29"/>
      <c r="H88" s="29"/>
      <c r="I88" s="29"/>
      <c r="J88" s="29"/>
      <c r="K88" s="29"/>
      <c r="L88" s="29"/>
      <c r="M88" s="29"/>
      <c r="N88" s="29"/>
      <c r="O88" s="29"/>
    </row>
    <row r="89" spans="1:15" ht="14.25" customHeight="1" x14ac:dyDescent="0.25">
      <c r="A89" s="29"/>
      <c r="B89" s="29"/>
      <c r="C89" s="29"/>
      <c r="D89" s="29"/>
      <c r="E89" s="29"/>
      <c r="F89" s="29"/>
      <c r="G89" s="29"/>
      <c r="H89" s="29"/>
      <c r="I89" s="29"/>
      <c r="J89" s="29"/>
      <c r="K89" s="29"/>
      <c r="L89" s="29"/>
      <c r="M89" s="29"/>
      <c r="N89" s="29"/>
      <c r="O89" s="29"/>
    </row>
    <row r="90" spans="1:15" ht="14.25" customHeight="1" x14ac:dyDescent="0.25">
      <c r="A90" s="29"/>
      <c r="B90" s="29"/>
      <c r="C90" s="29"/>
      <c r="D90" s="29"/>
      <c r="E90" s="29"/>
      <c r="F90" s="29"/>
      <c r="G90" s="29"/>
      <c r="H90" s="29"/>
      <c r="I90" s="29"/>
      <c r="J90" s="29"/>
      <c r="K90" s="29"/>
      <c r="L90" s="29"/>
      <c r="M90" s="29"/>
      <c r="N90" s="29"/>
      <c r="O90" s="29"/>
    </row>
    <row r="91" spans="1:15" ht="14.25" customHeight="1" x14ac:dyDescent="0.25">
      <c r="A91" s="29"/>
      <c r="B91" s="29"/>
      <c r="C91" s="29"/>
      <c r="D91" s="29"/>
      <c r="E91" s="29"/>
      <c r="F91" s="29"/>
      <c r="G91" s="29"/>
      <c r="H91" s="29"/>
      <c r="I91" s="29"/>
      <c r="J91" s="29"/>
      <c r="K91" s="29"/>
      <c r="L91" s="29"/>
      <c r="M91" s="29"/>
      <c r="N91" s="29"/>
      <c r="O91" s="29"/>
    </row>
    <row r="92" spans="1:15" ht="14.25" customHeight="1" x14ac:dyDescent="0.25">
      <c r="A92" s="29"/>
      <c r="B92" s="29"/>
      <c r="C92" s="29"/>
      <c r="D92" s="29"/>
      <c r="E92" s="29"/>
      <c r="F92" s="29"/>
      <c r="G92" s="29"/>
      <c r="H92" s="29"/>
      <c r="I92" s="29"/>
      <c r="J92" s="29"/>
      <c r="K92" s="29"/>
      <c r="L92" s="29"/>
      <c r="M92" s="29"/>
      <c r="N92" s="29"/>
      <c r="O92" s="29"/>
    </row>
    <row r="93" spans="1:15" ht="14.25" customHeight="1" x14ac:dyDescent="0.25">
      <c r="A93" s="29"/>
      <c r="B93" s="29"/>
      <c r="C93" s="29"/>
      <c r="D93" s="29"/>
      <c r="E93" s="29"/>
      <c r="F93" s="29"/>
      <c r="G93" s="29"/>
      <c r="H93" s="29"/>
      <c r="I93" s="29"/>
      <c r="J93" s="29"/>
      <c r="K93" s="29"/>
      <c r="L93" s="29"/>
      <c r="M93" s="29"/>
      <c r="N93" s="29"/>
      <c r="O93" s="29"/>
    </row>
    <row r="94" spans="1:15" ht="14.25" customHeight="1" x14ac:dyDescent="0.25">
      <c r="A94" s="29"/>
      <c r="B94" s="29"/>
      <c r="C94" s="29"/>
      <c r="D94" s="29"/>
      <c r="E94" s="29"/>
      <c r="F94" s="29"/>
      <c r="G94" s="29"/>
      <c r="H94" s="29"/>
      <c r="I94" s="29"/>
      <c r="J94" s="29"/>
      <c r="K94" s="29"/>
      <c r="L94" s="29"/>
      <c r="M94" s="29"/>
      <c r="N94" s="29"/>
      <c r="O94" s="29"/>
    </row>
    <row r="95" spans="1:15" ht="14.25" customHeight="1" x14ac:dyDescent="0.25">
      <c r="A95" s="29"/>
      <c r="B95" s="29"/>
      <c r="C95" s="29"/>
      <c r="D95" s="29"/>
      <c r="E95" s="29"/>
      <c r="F95" s="29"/>
      <c r="G95" s="29"/>
      <c r="H95" s="29"/>
      <c r="I95" s="29"/>
      <c r="J95" s="29"/>
      <c r="K95" s="29"/>
      <c r="L95" s="29"/>
      <c r="M95" s="29"/>
      <c r="N95" s="29"/>
      <c r="O95" s="29"/>
    </row>
    <row r="96" spans="1:15" ht="14.25" customHeight="1" x14ac:dyDescent="0.25">
      <c r="A96" s="29"/>
      <c r="B96" s="29"/>
      <c r="C96" s="29"/>
      <c r="D96" s="29"/>
      <c r="E96" s="29"/>
      <c r="F96" s="29"/>
      <c r="G96" s="29"/>
      <c r="H96" s="29"/>
      <c r="I96" s="29"/>
      <c r="J96" s="29"/>
      <c r="K96" s="29"/>
      <c r="L96" s="29"/>
      <c r="M96" s="29"/>
      <c r="N96" s="29"/>
      <c r="O96" s="29"/>
    </row>
    <row r="97" spans="1:15" ht="14.25" customHeight="1" x14ac:dyDescent="0.25">
      <c r="A97" s="29"/>
      <c r="B97" s="29"/>
      <c r="C97" s="29"/>
      <c r="D97" s="29"/>
      <c r="E97" s="29"/>
      <c r="F97" s="29"/>
      <c r="G97" s="29"/>
      <c r="H97" s="29"/>
      <c r="I97" s="29"/>
      <c r="J97" s="29"/>
      <c r="K97" s="29"/>
      <c r="L97" s="29"/>
      <c r="M97" s="29"/>
      <c r="N97" s="29"/>
      <c r="O97" s="29"/>
    </row>
    <row r="98" spans="1:15" ht="14.25" customHeight="1" x14ac:dyDescent="0.25">
      <c r="A98" s="29"/>
      <c r="B98" s="29"/>
      <c r="C98" s="29"/>
      <c r="D98" s="29"/>
      <c r="E98" s="29"/>
      <c r="F98" s="29"/>
      <c r="G98" s="29"/>
      <c r="H98" s="29"/>
      <c r="I98" s="29"/>
      <c r="J98" s="29"/>
      <c r="K98" s="29"/>
      <c r="L98" s="29"/>
      <c r="M98" s="29"/>
      <c r="N98" s="29"/>
      <c r="O98" s="29"/>
    </row>
    <row r="99" spans="1:15" ht="14.25" customHeight="1" x14ac:dyDescent="0.25">
      <c r="A99" s="29"/>
      <c r="B99" s="29"/>
      <c r="C99" s="29"/>
      <c r="D99" s="29"/>
      <c r="E99" s="29"/>
      <c r="F99" s="29"/>
      <c r="G99" s="29"/>
      <c r="H99" s="29"/>
      <c r="I99" s="29"/>
      <c r="J99" s="29"/>
      <c r="K99" s="29"/>
      <c r="L99" s="29"/>
      <c r="M99" s="29"/>
      <c r="N99" s="29"/>
      <c r="O99" s="29"/>
    </row>
    <row r="100" spans="1:15" ht="14.25" customHeight="1" x14ac:dyDescent="0.25">
      <c r="A100" s="29"/>
      <c r="B100" s="29"/>
      <c r="C100" s="29"/>
      <c r="D100" s="29"/>
      <c r="E100" s="29"/>
      <c r="F100" s="29"/>
      <c r="G100" s="29"/>
      <c r="H100" s="29"/>
      <c r="I100" s="29"/>
      <c r="J100" s="29"/>
      <c r="K100" s="29"/>
      <c r="L100" s="29"/>
      <c r="M100" s="29"/>
      <c r="N100" s="29"/>
      <c r="O100" s="29"/>
    </row>
  </sheetData>
  <mergeCells count="27">
    <mergeCell ref="H1:I2"/>
    <mergeCell ref="J5:J6"/>
    <mergeCell ref="F6:I6"/>
    <mergeCell ref="H5:I5"/>
    <mergeCell ref="F1:G1"/>
    <mergeCell ref="J1:J2"/>
    <mergeCell ref="H3:I3"/>
    <mergeCell ref="H4:I4"/>
    <mergeCell ref="A7:A9"/>
    <mergeCell ref="B7:D9"/>
    <mergeCell ref="E10:E11"/>
    <mergeCell ref="B3:D3"/>
    <mergeCell ref="E1:E2"/>
    <mergeCell ref="A1:A2"/>
    <mergeCell ref="B1:D2"/>
    <mergeCell ref="B4:D4"/>
    <mergeCell ref="B5:D6"/>
    <mergeCell ref="A5:A6"/>
    <mergeCell ref="B10:D11"/>
    <mergeCell ref="A10:A11"/>
    <mergeCell ref="J10:J11"/>
    <mergeCell ref="F11:I11"/>
    <mergeCell ref="J7:J9"/>
    <mergeCell ref="E7:E9"/>
    <mergeCell ref="E5:E6"/>
    <mergeCell ref="H10:I10"/>
    <mergeCell ref="F9:I9"/>
  </mergeCells>
  <pageMargins left="0.59055118110236227" right="0.39370078740157483" top="0.86614173228346458" bottom="0.27559055118110237" header="0" footer="0"/>
  <pageSetup paperSize="9" scale="5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O100"/>
  <sheetViews>
    <sheetView zoomScale="85" zoomScaleNormal="85" workbookViewId="0">
      <selection activeCell="J4" sqref="J4"/>
    </sheetView>
  </sheetViews>
  <sheetFormatPr defaultColWidth="14.42578125" defaultRowHeight="15" customHeight="1" x14ac:dyDescent="0.25"/>
  <cols>
    <col min="1" max="1" width="15.5703125" customWidth="1"/>
    <col min="2" max="2" width="21.28515625" customWidth="1"/>
    <col min="3" max="3" width="23" customWidth="1"/>
    <col min="4" max="4" width="3" customWidth="1"/>
    <col min="5" max="5" width="15.85546875" customWidth="1"/>
    <col min="6" max="6" width="17.140625" customWidth="1"/>
    <col min="7" max="7" width="17.5703125" customWidth="1"/>
    <col min="8" max="8" width="13" customWidth="1"/>
    <col min="9" max="9" width="12.5703125" customWidth="1"/>
    <col min="10" max="10" width="15.85546875" customWidth="1"/>
    <col min="11" max="14" width="20" customWidth="1"/>
    <col min="15" max="15" width="9.140625" customWidth="1"/>
  </cols>
  <sheetData>
    <row r="1" spans="1:15" ht="31.5" customHeight="1" x14ac:dyDescent="0.25">
      <c r="A1" s="564" t="s">
        <v>2578</v>
      </c>
      <c r="B1" s="566" t="s">
        <v>2579</v>
      </c>
      <c r="C1" s="567"/>
      <c r="D1" s="568"/>
      <c r="E1" s="562" t="s">
        <v>2580</v>
      </c>
      <c r="F1" s="579" t="s">
        <v>2581</v>
      </c>
      <c r="G1" s="578"/>
      <c r="H1" s="566" t="s">
        <v>2582</v>
      </c>
      <c r="I1" s="568"/>
      <c r="J1" s="562" t="s">
        <v>2583</v>
      </c>
      <c r="K1" s="25"/>
      <c r="L1" s="25"/>
      <c r="M1" s="25"/>
      <c r="N1" s="25"/>
      <c r="O1" s="25"/>
    </row>
    <row r="2" spans="1:15" ht="26.25" customHeight="1" x14ac:dyDescent="0.25">
      <c r="A2" s="565"/>
      <c r="B2" s="569"/>
      <c r="C2" s="570"/>
      <c r="D2" s="571"/>
      <c r="E2" s="563"/>
      <c r="F2" s="26" t="s">
        <v>2584</v>
      </c>
      <c r="G2" s="26" t="s">
        <v>2585</v>
      </c>
      <c r="H2" s="575"/>
      <c r="I2" s="576"/>
      <c r="J2" s="563"/>
      <c r="K2" s="25"/>
      <c r="L2" s="25"/>
      <c r="M2" s="25"/>
      <c r="N2" s="25"/>
      <c r="O2" s="25"/>
    </row>
    <row r="3" spans="1:15" ht="14.25" customHeight="1" x14ac:dyDescent="0.25">
      <c r="A3" s="27" t="s">
        <v>2586</v>
      </c>
      <c r="B3" s="560" t="s">
        <v>2587</v>
      </c>
      <c r="C3" s="540"/>
      <c r="D3" s="561"/>
      <c r="E3" s="28" t="s">
        <v>2588</v>
      </c>
      <c r="F3" s="28" t="s">
        <v>2589</v>
      </c>
      <c r="G3" s="28" t="s">
        <v>2590</v>
      </c>
      <c r="H3" s="580" t="s">
        <v>2591</v>
      </c>
      <c r="I3" s="561"/>
      <c r="J3" s="28">
        <v>1</v>
      </c>
      <c r="K3" s="29"/>
      <c r="L3" s="29"/>
      <c r="M3" s="29"/>
      <c r="N3" s="29"/>
      <c r="O3" s="29"/>
    </row>
    <row r="4" spans="1:15" ht="14.25" customHeight="1" x14ac:dyDescent="0.25">
      <c r="A4" s="30" t="s">
        <v>2592</v>
      </c>
      <c r="B4" s="560" t="s">
        <v>2593</v>
      </c>
      <c r="C4" s="540"/>
      <c r="D4" s="561"/>
      <c r="E4" s="28" t="s">
        <v>2594</v>
      </c>
      <c r="F4" s="31" t="s">
        <v>2589</v>
      </c>
      <c r="G4" s="31" t="s">
        <v>2590</v>
      </c>
      <c r="H4" s="581" t="s">
        <v>2591</v>
      </c>
      <c r="I4" s="556"/>
      <c r="J4" s="28" t="s">
        <v>2595</v>
      </c>
      <c r="K4" s="29"/>
      <c r="L4" s="29"/>
      <c r="M4" s="29"/>
      <c r="N4" s="29"/>
      <c r="O4" s="29"/>
    </row>
    <row r="5" spans="1:15" ht="14.25" customHeight="1" x14ac:dyDescent="0.25">
      <c r="A5" s="573" t="s">
        <v>2596</v>
      </c>
      <c r="B5" s="572" t="s">
        <v>2597</v>
      </c>
      <c r="C5" s="567"/>
      <c r="D5" s="568"/>
      <c r="E5" s="548" t="s">
        <v>2588</v>
      </c>
      <c r="F5" s="33" t="s">
        <v>2598</v>
      </c>
      <c r="G5" s="33" t="s">
        <v>2599</v>
      </c>
      <c r="H5" s="577" t="s">
        <v>2591</v>
      </c>
      <c r="I5" s="578"/>
      <c r="J5" s="548">
        <v>1</v>
      </c>
      <c r="K5" s="29"/>
      <c r="L5" s="29"/>
      <c r="M5" s="29"/>
      <c r="N5" s="29"/>
      <c r="O5" s="29"/>
    </row>
    <row r="6" spans="1:15" ht="35.25" customHeight="1" x14ac:dyDescent="0.25">
      <c r="A6" s="574"/>
      <c r="B6" s="554"/>
      <c r="C6" s="555"/>
      <c r="D6" s="556"/>
      <c r="E6" s="543"/>
      <c r="F6" s="549" t="s">
        <v>2600</v>
      </c>
      <c r="G6" s="553"/>
      <c r="H6" s="553"/>
      <c r="I6" s="550"/>
      <c r="J6" s="543"/>
      <c r="K6" s="29"/>
      <c r="L6" s="29"/>
      <c r="M6" s="29"/>
      <c r="N6" s="29"/>
      <c r="O6" s="29"/>
    </row>
    <row r="7" spans="1:15" ht="14.25" customHeight="1" x14ac:dyDescent="0.25">
      <c r="A7" s="551" t="s">
        <v>2601</v>
      </c>
      <c r="B7" s="552" t="s">
        <v>2602</v>
      </c>
      <c r="C7" s="553"/>
      <c r="D7" s="550"/>
      <c r="E7" s="542" t="s">
        <v>2588</v>
      </c>
      <c r="F7" s="34"/>
      <c r="G7" s="35"/>
      <c r="H7" s="36" t="s">
        <v>2609</v>
      </c>
      <c r="I7" s="37" t="s">
        <v>2610</v>
      </c>
      <c r="J7" s="542">
        <v>2</v>
      </c>
      <c r="K7" s="29"/>
      <c r="L7" s="29"/>
      <c r="M7" s="29"/>
      <c r="N7" s="29"/>
      <c r="O7" s="29"/>
    </row>
    <row r="8" spans="1:15" ht="144.75" customHeight="1" x14ac:dyDescent="0.25">
      <c r="A8" s="547"/>
      <c r="B8" s="554"/>
      <c r="C8" s="555"/>
      <c r="D8" s="556"/>
      <c r="E8" s="547"/>
      <c r="F8" s="32" t="s">
        <v>2598</v>
      </c>
      <c r="G8" s="38" t="s">
        <v>2599</v>
      </c>
      <c r="H8" s="31" t="s">
        <v>2591</v>
      </c>
      <c r="I8" s="31" t="s">
        <v>2605</v>
      </c>
      <c r="J8" s="547"/>
      <c r="K8" s="39"/>
      <c r="L8" s="39"/>
      <c r="M8" s="39"/>
      <c r="N8" s="39"/>
      <c r="O8" s="40"/>
    </row>
    <row r="9" spans="1:15" ht="55.5" customHeight="1" x14ac:dyDescent="0.25">
      <c r="A9" s="543"/>
      <c r="B9" s="557"/>
      <c r="C9" s="558"/>
      <c r="D9" s="559"/>
      <c r="E9" s="543"/>
      <c r="F9" s="544" t="s">
        <v>2606</v>
      </c>
      <c r="G9" s="545"/>
      <c r="H9" s="545"/>
      <c r="I9" s="546"/>
      <c r="J9" s="543"/>
      <c r="K9" s="29"/>
      <c r="L9" s="29"/>
      <c r="M9" s="29"/>
      <c r="N9" s="29"/>
      <c r="O9" s="29"/>
    </row>
    <row r="10" spans="1:15" ht="14.25" customHeight="1" x14ac:dyDescent="0.25">
      <c r="A10" s="551" t="s">
        <v>2607</v>
      </c>
      <c r="B10" s="552" t="s">
        <v>2608</v>
      </c>
      <c r="C10" s="553"/>
      <c r="D10" s="550"/>
      <c r="E10" s="542" t="s">
        <v>2588</v>
      </c>
      <c r="F10" s="34" t="s">
        <v>2598</v>
      </c>
      <c r="G10" s="41" t="s">
        <v>2599</v>
      </c>
      <c r="H10" s="549" t="s">
        <v>2591</v>
      </c>
      <c r="I10" s="550"/>
      <c r="J10" s="542">
        <v>1</v>
      </c>
      <c r="K10" s="29"/>
      <c r="L10" s="29"/>
      <c r="M10" s="29"/>
      <c r="N10" s="29"/>
      <c r="O10" s="29"/>
    </row>
    <row r="11" spans="1:15" ht="36.75" customHeight="1" x14ac:dyDescent="0.25">
      <c r="A11" s="543"/>
      <c r="B11" s="557"/>
      <c r="C11" s="558"/>
      <c r="D11" s="559"/>
      <c r="E11" s="543"/>
      <c r="F11" s="544" t="s">
        <v>2600</v>
      </c>
      <c r="G11" s="545"/>
      <c r="H11" s="545"/>
      <c r="I11" s="546"/>
      <c r="J11" s="543"/>
      <c r="K11" s="29"/>
      <c r="L11" s="29"/>
      <c r="M11" s="29"/>
      <c r="N11" s="29"/>
      <c r="O11" s="29"/>
    </row>
    <row r="12" spans="1:15" ht="14.25" customHeight="1" x14ac:dyDescent="0.25">
      <c r="A12" s="29"/>
      <c r="B12" s="29"/>
      <c r="C12" s="29"/>
      <c r="D12" s="29"/>
      <c r="E12" s="29"/>
      <c r="F12" s="29"/>
      <c r="G12" s="29"/>
      <c r="H12" s="29"/>
      <c r="I12" s="29"/>
      <c r="J12" s="29"/>
      <c r="K12" s="29"/>
      <c r="L12" s="29"/>
      <c r="M12" s="29"/>
      <c r="N12" s="29"/>
      <c r="O12" s="29"/>
    </row>
    <row r="13" spans="1:15" ht="14.25" customHeight="1" x14ac:dyDescent="0.25">
      <c r="A13" s="29"/>
      <c r="B13" s="29"/>
      <c r="C13" s="29"/>
      <c r="D13" s="29"/>
      <c r="E13" s="29"/>
      <c r="F13" s="29"/>
      <c r="G13" s="29"/>
      <c r="H13" s="29"/>
      <c r="I13" s="29"/>
      <c r="J13" s="29"/>
      <c r="K13" s="29"/>
      <c r="L13" s="29"/>
      <c r="M13" s="29"/>
      <c r="N13" s="29"/>
      <c r="O13" s="29"/>
    </row>
    <row r="14" spans="1:15" ht="14.25" customHeight="1" x14ac:dyDescent="0.25">
      <c r="A14" s="29"/>
      <c r="B14" s="29"/>
      <c r="C14" s="29"/>
      <c r="D14" s="29"/>
      <c r="E14" s="29"/>
      <c r="F14" s="29"/>
      <c r="G14" s="29"/>
      <c r="H14" s="29"/>
      <c r="I14" s="29"/>
      <c r="J14" s="29"/>
      <c r="K14" s="29"/>
      <c r="L14" s="29"/>
      <c r="M14" s="29"/>
      <c r="N14" s="29"/>
      <c r="O14" s="29"/>
    </row>
    <row r="15" spans="1:15" ht="14.25" customHeight="1" x14ac:dyDescent="0.25">
      <c r="A15" s="29"/>
      <c r="B15" s="29"/>
      <c r="C15" s="29"/>
      <c r="D15" s="29"/>
      <c r="E15" s="29"/>
      <c r="F15" s="29"/>
      <c r="G15" s="29"/>
      <c r="H15" s="29"/>
      <c r="I15" s="29"/>
      <c r="J15" s="29"/>
      <c r="K15" s="29"/>
      <c r="L15" s="29"/>
      <c r="M15" s="29"/>
      <c r="N15" s="29"/>
      <c r="O15" s="29"/>
    </row>
    <row r="16" spans="1:15" ht="14.25" customHeight="1" x14ac:dyDescent="0.25">
      <c r="A16" s="29"/>
      <c r="B16" s="29"/>
      <c r="C16" s="29"/>
      <c r="D16" s="29"/>
      <c r="E16" s="29"/>
      <c r="F16" s="29"/>
      <c r="G16" s="29"/>
      <c r="H16" s="29"/>
      <c r="I16" s="29"/>
      <c r="J16" s="29"/>
      <c r="K16" s="29"/>
      <c r="L16" s="29"/>
      <c r="M16" s="29"/>
      <c r="N16" s="29"/>
      <c r="O16" s="29"/>
    </row>
    <row r="17" spans="1:15" ht="14.25" customHeight="1" x14ac:dyDescent="0.25">
      <c r="A17" s="29"/>
      <c r="B17" s="29"/>
      <c r="C17" s="29"/>
      <c r="D17" s="29"/>
      <c r="E17" s="29"/>
      <c r="F17" s="29"/>
      <c r="G17" s="29"/>
      <c r="H17" s="29"/>
      <c r="I17" s="29"/>
      <c r="J17" s="29"/>
      <c r="K17" s="29"/>
      <c r="L17" s="29"/>
      <c r="M17" s="29"/>
      <c r="N17" s="29"/>
      <c r="O17" s="29"/>
    </row>
    <row r="18" spans="1:15" ht="14.25" customHeight="1" x14ac:dyDescent="0.25">
      <c r="A18" s="29"/>
      <c r="B18" s="29"/>
      <c r="C18" s="29"/>
      <c r="D18" s="29"/>
      <c r="E18" s="29"/>
      <c r="F18" s="29"/>
      <c r="G18" s="29"/>
      <c r="H18" s="29"/>
      <c r="I18" s="29"/>
      <c r="J18" s="29"/>
      <c r="K18" s="29"/>
      <c r="L18" s="29"/>
      <c r="M18" s="29"/>
      <c r="N18" s="29"/>
      <c r="O18" s="29"/>
    </row>
    <row r="19" spans="1:15" ht="14.25" customHeight="1" x14ac:dyDescent="0.25">
      <c r="A19" s="29"/>
      <c r="B19" s="29"/>
      <c r="C19" s="29"/>
      <c r="D19" s="29"/>
      <c r="E19" s="29"/>
      <c r="F19" s="29"/>
      <c r="G19" s="29"/>
      <c r="H19" s="29"/>
      <c r="I19" s="29"/>
      <c r="J19" s="29"/>
      <c r="K19" s="29"/>
      <c r="L19" s="29"/>
      <c r="M19" s="29"/>
      <c r="N19" s="29"/>
      <c r="O19" s="29"/>
    </row>
    <row r="20" spans="1:15" ht="14.25" customHeight="1" x14ac:dyDescent="0.25">
      <c r="A20" s="29"/>
      <c r="B20" s="29"/>
      <c r="C20" s="29"/>
      <c r="D20" s="29"/>
      <c r="E20" s="29"/>
      <c r="F20" s="29"/>
      <c r="G20" s="29"/>
      <c r="H20" s="29"/>
      <c r="I20" s="29"/>
      <c r="J20" s="29"/>
      <c r="K20" s="29"/>
      <c r="L20" s="29"/>
      <c r="M20" s="29"/>
      <c r="N20" s="29"/>
      <c r="O20" s="29"/>
    </row>
    <row r="21" spans="1:15" ht="14.25" customHeight="1" x14ac:dyDescent="0.25">
      <c r="A21" s="29"/>
      <c r="B21" s="29"/>
      <c r="C21" s="29"/>
      <c r="D21" s="29"/>
      <c r="E21" s="29"/>
      <c r="F21" s="29"/>
      <c r="G21" s="29"/>
      <c r="H21" s="29"/>
      <c r="I21" s="29"/>
      <c r="J21" s="29"/>
      <c r="K21" s="29"/>
      <c r="L21" s="29"/>
      <c r="M21" s="29"/>
      <c r="N21" s="29"/>
      <c r="O21" s="29"/>
    </row>
    <row r="22" spans="1:15" ht="14.25" customHeight="1" x14ac:dyDescent="0.25">
      <c r="A22" s="29"/>
      <c r="B22" s="29"/>
      <c r="C22" s="29"/>
      <c r="D22" s="29"/>
      <c r="E22" s="29"/>
      <c r="F22" s="29"/>
      <c r="G22" s="29"/>
      <c r="H22" s="29"/>
      <c r="I22" s="29"/>
      <c r="J22" s="29"/>
      <c r="K22" s="29"/>
      <c r="L22" s="29"/>
      <c r="M22" s="29"/>
      <c r="N22" s="29"/>
      <c r="O22" s="29"/>
    </row>
    <row r="23" spans="1:15" ht="14.25" customHeight="1" x14ac:dyDescent="0.25">
      <c r="A23" s="29"/>
      <c r="B23" s="29"/>
      <c r="C23" s="29"/>
      <c r="D23" s="29"/>
      <c r="E23" s="29"/>
      <c r="F23" s="29"/>
      <c r="G23" s="29"/>
      <c r="H23" s="29"/>
      <c r="I23" s="29"/>
      <c r="J23" s="29"/>
      <c r="K23" s="29"/>
      <c r="L23" s="29"/>
      <c r="M23" s="29"/>
      <c r="N23" s="29"/>
      <c r="O23" s="29"/>
    </row>
    <row r="24" spans="1:15" ht="14.25" customHeight="1" x14ac:dyDescent="0.25">
      <c r="A24" s="29"/>
      <c r="B24" s="29"/>
      <c r="C24" s="29"/>
      <c r="D24" s="29"/>
      <c r="E24" s="29"/>
      <c r="F24" s="29"/>
      <c r="G24" s="29"/>
      <c r="H24" s="29"/>
      <c r="I24" s="29"/>
      <c r="J24" s="29"/>
      <c r="K24" s="29"/>
      <c r="L24" s="29"/>
      <c r="M24" s="29"/>
      <c r="N24" s="29"/>
      <c r="O24" s="29"/>
    </row>
    <row r="25" spans="1:15" ht="14.25" customHeight="1" x14ac:dyDescent="0.25">
      <c r="A25" s="29"/>
      <c r="B25" s="29"/>
      <c r="C25" s="29"/>
      <c r="D25" s="29"/>
      <c r="E25" s="29"/>
      <c r="F25" s="29"/>
      <c r="G25" s="29"/>
      <c r="H25" s="29"/>
      <c r="I25" s="29"/>
      <c r="J25" s="29"/>
      <c r="K25" s="29"/>
      <c r="L25" s="29"/>
      <c r="M25" s="29"/>
      <c r="N25" s="29"/>
      <c r="O25" s="29"/>
    </row>
    <row r="26" spans="1:15" ht="14.25" customHeight="1" x14ac:dyDescent="0.25">
      <c r="A26" s="29"/>
      <c r="B26" s="29"/>
      <c r="C26" s="29"/>
      <c r="D26" s="29"/>
      <c r="E26" s="29"/>
      <c r="F26" s="29"/>
      <c r="G26" s="29"/>
      <c r="H26" s="29"/>
      <c r="I26" s="29"/>
      <c r="J26" s="29"/>
      <c r="K26" s="29"/>
      <c r="L26" s="29"/>
      <c r="M26" s="29"/>
      <c r="N26" s="29"/>
      <c r="O26" s="29"/>
    </row>
    <row r="27" spans="1:15" ht="14.25" customHeight="1" x14ac:dyDescent="0.25">
      <c r="A27" s="29"/>
      <c r="B27" s="29"/>
      <c r="C27" s="29"/>
      <c r="D27" s="29"/>
      <c r="E27" s="29"/>
      <c r="F27" s="29"/>
      <c r="G27" s="29"/>
      <c r="H27" s="29"/>
      <c r="I27" s="29"/>
      <c r="J27" s="29"/>
      <c r="K27" s="29"/>
      <c r="L27" s="29"/>
      <c r="M27" s="29"/>
      <c r="N27" s="29"/>
      <c r="O27" s="29"/>
    </row>
    <row r="28" spans="1:15" ht="14.25" customHeight="1" x14ac:dyDescent="0.25">
      <c r="A28" s="29"/>
      <c r="B28" s="29"/>
      <c r="C28" s="29"/>
      <c r="D28" s="29"/>
      <c r="E28" s="29"/>
      <c r="F28" s="29"/>
      <c r="G28" s="29"/>
      <c r="H28" s="29"/>
      <c r="I28" s="29"/>
      <c r="J28" s="29"/>
      <c r="K28" s="29"/>
      <c r="L28" s="29"/>
      <c r="M28" s="29"/>
      <c r="N28" s="29"/>
      <c r="O28" s="29"/>
    </row>
    <row r="29" spans="1:15" ht="14.25" customHeight="1" x14ac:dyDescent="0.25">
      <c r="A29" s="29"/>
      <c r="B29" s="29"/>
      <c r="C29" s="29"/>
      <c r="D29" s="29"/>
      <c r="E29" s="29"/>
      <c r="F29" s="29"/>
      <c r="G29" s="29"/>
      <c r="H29" s="29"/>
      <c r="I29" s="29"/>
      <c r="J29" s="29"/>
      <c r="K29" s="29"/>
      <c r="L29" s="29"/>
      <c r="M29" s="29"/>
      <c r="N29" s="29"/>
      <c r="O29" s="29"/>
    </row>
    <row r="30" spans="1:15" ht="14.25" customHeight="1" x14ac:dyDescent="0.25">
      <c r="A30" s="29"/>
      <c r="B30" s="29"/>
      <c r="C30" s="29"/>
      <c r="D30" s="29"/>
      <c r="E30" s="29"/>
      <c r="F30" s="29"/>
      <c r="G30" s="29"/>
      <c r="H30" s="29"/>
      <c r="I30" s="29"/>
      <c r="J30" s="29"/>
      <c r="K30" s="29"/>
      <c r="L30" s="29"/>
      <c r="M30" s="29"/>
      <c r="N30" s="29"/>
      <c r="O30" s="29"/>
    </row>
    <row r="31" spans="1:15" ht="14.25" customHeight="1" x14ac:dyDescent="0.25">
      <c r="A31" s="29"/>
      <c r="B31" s="29"/>
      <c r="C31" s="29"/>
      <c r="D31" s="29"/>
      <c r="E31" s="29"/>
      <c r="F31" s="29"/>
      <c r="G31" s="29"/>
      <c r="H31" s="29"/>
      <c r="I31" s="29"/>
      <c r="J31" s="29"/>
      <c r="K31" s="29"/>
      <c r="L31" s="29"/>
      <c r="M31" s="29"/>
      <c r="N31" s="29"/>
      <c r="O31" s="29"/>
    </row>
    <row r="32" spans="1:15" ht="14.25" customHeight="1" x14ac:dyDescent="0.25">
      <c r="A32" s="29"/>
      <c r="B32" s="29"/>
      <c r="C32" s="29"/>
      <c r="D32" s="29"/>
      <c r="E32" s="29"/>
      <c r="F32" s="29"/>
      <c r="G32" s="29"/>
      <c r="H32" s="29"/>
      <c r="I32" s="29"/>
      <c r="J32" s="29"/>
      <c r="K32" s="29"/>
      <c r="L32" s="29"/>
      <c r="M32" s="29"/>
      <c r="N32" s="29"/>
      <c r="O32" s="29"/>
    </row>
    <row r="33" spans="1:15" ht="14.25" customHeight="1" x14ac:dyDescent="0.25">
      <c r="A33" s="29"/>
      <c r="B33" s="29"/>
      <c r="C33" s="29"/>
      <c r="D33" s="29"/>
      <c r="E33" s="29"/>
      <c r="F33" s="29"/>
      <c r="G33" s="29"/>
      <c r="H33" s="29"/>
      <c r="I33" s="29"/>
      <c r="J33" s="29"/>
      <c r="K33" s="29"/>
      <c r="L33" s="29"/>
      <c r="M33" s="29"/>
      <c r="N33" s="29"/>
      <c r="O33" s="29"/>
    </row>
    <row r="34" spans="1:15" ht="14.25" customHeight="1" x14ac:dyDescent="0.25">
      <c r="A34" s="29"/>
      <c r="B34" s="29"/>
      <c r="C34" s="29"/>
      <c r="D34" s="29"/>
      <c r="E34" s="29"/>
      <c r="F34" s="29"/>
      <c r="G34" s="29"/>
      <c r="H34" s="29"/>
      <c r="I34" s="29"/>
      <c r="J34" s="29"/>
      <c r="K34" s="29"/>
      <c r="L34" s="29"/>
      <c r="M34" s="29"/>
      <c r="N34" s="29"/>
      <c r="O34" s="29"/>
    </row>
    <row r="35" spans="1:15" ht="14.25" customHeight="1" x14ac:dyDescent="0.25">
      <c r="A35" s="29"/>
      <c r="B35" s="29"/>
      <c r="C35" s="29"/>
      <c r="D35" s="29"/>
      <c r="E35" s="29"/>
      <c r="F35" s="29"/>
      <c r="G35" s="29"/>
      <c r="H35" s="29"/>
      <c r="I35" s="29"/>
      <c r="J35" s="29"/>
      <c r="K35" s="29"/>
      <c r="L35" s="29"/>
      <c r="M35" s="29"/>
      <c r="N35" s="29"/>
      <c r="O35" s="29"/>
    </row>
    <row r="36" spans="1:15" ht="14.25" customHeight="1" x14ac:dyDescent="0.25">
      <c r="A36" s="29"/>
      <c r="B36" s="29"/>
      <c r="C36" s="29"/>
      <c r="D36" s="29"/>
      <c r="E36" s="29"/>
      <c r="F36" s="29"/>
      <c r="G36" s="29"/>
      <c r="H36" s="29"/>
      <c r="I36" s="29"/>
      <c r="J36" s="29"/>
      <c r="K36" s="29"/>
      <c r="L36" s="29"/>
      <c r="M36" s="29"/>
      <c r="N36" s="29"/>
      <c r="O36" s="29"/>
    </row>
    <row r="37" spans="1:15" ht="14.25" customHeight="1" x14ac:dyDescent="0.25">
      <c r="A37" s="29"/>
      <c r="B37" s="29"/>
      <c r="C37" s="29"/>
      <c r="D37" s="29"/>
      <c r="E37" s="29"/>
      <c r="F37" s="29"/>
      <c r="G37" s="29"/>
      <c r="H37" s="29"/>
      <c r="I37" s="29"/>
      <c r="J37" s="29"/>
      <c r="K37" s="29"/>
      <c r="L37" s="29"/>
      <c r="M37" s="29"/>
      <c r="N37" s="29"/>
      <c r="O37" s="29"/>
    </row>
    <row r="38" spans="1:15" ht="14.25" customHeight="1" x14ac:dyDescent="0.25">
      <c r="A38" s="29"/>
      <c r="B38" s="29"/>
      <c r="C38" s="29"/>
      <c r="D38" s="29"/>
      <c r="E38" s="29"/>
      <c r="F38" s="29"/>
      <c r="G38" s="29"/>
      <c r="H38" s="29"/>
      <c r="I38" s="29"/>
      <c r="J38" s="29"/>
      <c r="K38" s="29"/>
      <c r="L38" s="29"/>
      <c r="M38" s="29"/>
      <c r="N38" s="29"/>
      <c r="O38" s="29"/>
    </row>
    <row r="39" spans="1:15" ht="14.25" customHeight="1" x14ac:dyDescent="0.25">
      <c r="A39" s="29"/>
      <c r="B39" s="29"/>
      <c r="C39" s="29"/>
      <c r="D39" s="29"/>
      <c r="E39" s="29"/>
      <c r="F39" s="29"/>
      <c r="G39" s="29"/>
      <c r="H39" s="29"/>
      <c r="I39" s="29"/>
      <c r="J39" s="29"/>
      <c r="K39" s="29"/>
      <c r="L39" s="29"/>
      <c r="M39" s="29"/>
      <c r="N39" s="29"/>
      <c r="O39" s="29"/>
    </row>
    <row r="40" spans="1:15" ht="14.25" customHeight="1" x14ac:dyDescent="0.25">
      <c r="A40" s="29"/>
      <c r="B40" s="29"/>
      <c r="C40" s="29"/>
      <c r="D40" s="29"/>
      <c r="E40" s="29"/>
      <c r="F40" s="29"/>
      <c r="G40" s="29"/>
      <c r="H40" s="29"/>
      <c r="I40" s="29"/>
      <c r="J40" s="29"/>
      <c r="K40" s="29"/>
      <c r="L40" s="29"/>
      <c r="M40" s="29"/>
      <c r="N40" s="29"/>
      <c r="O40" s="29"/>
    </row>
    <row r="41" spans="1:15" ht="14.25" customHeight="1" x14ac:dyDescent="0.25">
      <c r="A41" s="29"/>
      <c r="B41" s="29"/>
      <c r="C41" s="29"/>
      <c r="D41" s="29"/>
      <c r="E41" s="29"/>
      <c r="F41" s="29"/>
      <c r="G41" s="29"/>
      <c r="H41" s="29"/>
      <c r="I41" s="29"/>
      <c r="J41" s="29"/>
      <c r="K41" s="29"/>
      <c r="L41" s="29"/>
      <c r="M41" s="29"/>
      <c r="N41" s="29"/>
      <c r="O41" s="29"/>
    </row>
    <row r="42" spans="1:15" ht="14.25" customHeight="1" x14ac:dyDescent="0.25">
      <c r="A42" s="29"/>
      <c r="B42" s="29"/>
      <c r="C42" s="29"/>
      <c r="D42" s="29"/>
      <c r="E42" s="29"/>
      <c r="F42" s="29"/>
      <c r="G42" s="29"/>
      <c r="H42" s="29"/>
      <c r="I42" s="29"/>
      <c r="J42" s="29"/>
      <c r="K42" s="29"/>
      <c r="L42" s="29"/>
      <c r="M42" s="29"/>
      <c r="N42" s="29"/>
      <c r="O42" s="29"/>
    </row>
    <row r="43" spans="1:15" ht="14.25" customHeight="1" x14ac:dyDescent="0.25">
      <c r="A43" s="29"/>
      <c r="B43" s="29"/>
      <c r="C43" s="29"/>
      <c r="D43" s="29"/>
      <c r="E43" s="29"/>
      <c r="F43" s="29"/>
      <c r="G43" s="29"/>
      <c r="H43" s="29"/>
      <c r="I43" s="29"/>
      <c r="J43" s="29"/>
      <c r="K43" s="29"/>
      <c r="L43" s="29"/>
      <c r="M43" s="29"/>
      <c r="N43" s="29"/>
      <c r="O43" s="29"/>
    </row>
    <row r="44" spans="1:15" ht="14.25" customHeight="1" x14ac:dyDescent="0.25">
      <c r="A44" s="29"/>
      <c r="B44" s="29"/>
      <c r="C44" s="29"/>
      <c r="D44" s="29"/>
      <c r="E44" s="29"/>
      <c r="F44" s="29"/>
      <c r="G44" s="29"/>
      <c r="H44" s="29"/>
      <c r="I44" s="29"/>
      <c r="J44" s="29"/>
      <c r="K44" s="29"/>
      <c r="L44" s="29"/>
      <c r="M44" s="29"/>
      <c r="N44" s="29"/>
      <c r="O44" s="29"/>
    </row>
    <row r="45" spans="1:15" ht="14.25" customHeight="1" x14ac:dyDescent="0.25">
      <c r="A45" s="29"/>
      <c r="B45" s="29"/>
      <c r="C45" s="29"/>
      <c r="D45" s="29"/>
      <c r="E45" s="29"/>
      <c r="F45" s="29"/>
      <c r="G45" s="29"/>
      <c r="H45" s="29"/>
      <c r="I45" s="29"/>
      <c r="J45" s="29"/>
      <c r="K45" s="29"/>
      <c r="L45" s="29"/>
      <c r="M45" s="29"/>
      <c r="N45" s="29"/>
      <c r="O45" s="29"/>
    </row>
    <row r="46" spans="1:15" ht="14.25" customHeight="1" x14ac:dyDescent="0.25">
      <c r="A46" s="29"/>
      <c r="B46" s="29"/>
      <c r="C46" s="29"/>
      <c r="D46" s="29"/>
      <c r="E46" s="29"/>
      <c r="F46" s="29"/>
      <c r="G46" s="29"/>
      <c r="H46" s="29"/>
      <c r="I46" s="29"/>
      <c r="J46" s="29"/>
      <c r="K46" s="29"/>
      <c r="L46" s="29"/>
      <c r="M46" s="29"/>
      <c r="N46" s="29"/>
      <c r="O46" s="29"/>
    </row>
    <row r="47" spans="1:15" ht="14.25" customHeight="1" x14ac:dyDescent="0.25">
      <c r="A47" s="29"/>
      <c r="B47" s="29"/>
      <c r="C47" s="29"/>
      <c r="D47" s="29"/>
      <c r="E47" s="29"/>
      <c r="F47" s="29"/>
      <c r="G47" s="29"/>
      <c r="H47" s="29"/>
      <c r="I47" s="29"/>
      <c r="J47" s="29"/>
      <c r="K47" s="29"/>
      <c r="L47" s="29"/>
      <c r="M47" s="29"/>
      <c r="N47" s="29"/>
      <c r="O47" s="29"/>
    </row>
    <row r="48" spans="1:15" ht="14.25" customHeight="1" x14ac:dyDescent="0.25">
      <c r="A48" s="29"/>
      <c r="B48" s="29"/>
      <c r="C48" s="29"/>
      <c r="D48" s="29"/>
      <c r="E48" s="29"/>
      <c r="F48" s="29"/>
      <c r="G48" s="29"/>
      <c r="H48" s="29"/>
      <c r="I48" s="29"/>
      <c r="J48" s="29"/>
      <c r="K48" s="29"/>
      <c r="L48" s="29"/>
      <c r="M48" s="29"/>
      <c r="N48" s="29"/>
      <c r="O48" s="29"/>
    </row>
    <row r="49" spans="1:15" ht="14.25" customHeight="1" x14ac:dyDescent="0.25">
      <c r="A49" s="29"/>
      <c r="B49" s="29"/>
      <c r="C49" s="29"/>
      <c r="D49" s="29"/>
      <c r="E49" s="29"/>
      <c r="F49" s="29"/>
      <c r="G49" s="29"/>
      <c r="H49" s="29"/>
      <c r="I49" s="29"/>
      <c r="J49" s="29"/>
      <c r="K49" s="29"/>
      <c r="L49" s="29"/>
      <c r="M49" s="29"/>
      <c r="N49" s="29"/>
      <c r="O49" s="29"/>
    </row>
    <row r="50" spans="1:15" ht="14.25" customHeight="1" x14ac:dyDescent="0.25">
      <c r="A50" s="29"/>
      <c r="B50" s="29"/>
      <c r="C50" s="29"/>
      <c r="D50" s="29"/>
      <c r="E50" s="29"/>
      <c r="F50" s="29"/>
      <c r="G50" s="29"/>
      <c r="H50" s="29"/>
      <c r="I50" s="29"/>
      <c r="J50" s="29"/>
      <c r="K50" s="29"/>
      <c r="L50" s="29"/>
      <c r="M50" s="29"/>
      <c r="N50" s="29"/>
      <c r="O50" s="29"/>
    </row>
    <row r="51" spans="1:15" ht="14.25" customHeight="1" x14ac:dyDescent="0.25">
      <c r="A51" s="29"/>
      <c r="B51" s="29"/>
      <c r="C51" s="29"/>
      <c r="D51" s="29"/>
      <c r="E51" s="29"/>
      <c r="F51" s="29"/>
      <c r="G51" s="29"/>
      <c r="H51" s="29"/>
      <c r="I51" s="29"/>
      <c r="J51" s="29"/>
      <c r="K51" s="29"/>
      <c r="L51" s="29"/>
      <c r="M51" s="29"/>
      <c r="N51" s="29"/>
      <c r="O51" s="29"/>
    </row>
    <row r="52" spans="1:15" ht="14.25" customHeight="1" x14ac:dyDescent="0.25">
      <c r="A52" s="29"/>
      <c r="B52" s="29"/>
      <c r="C52" s="29"/>
      <c r="D52" s="29"/>
      <c r="E52" s="29"/>
      <c r="F52" s="29"/>
      <c r="G52" s="29"/>
      <c r="H52" s="29"/>
      <c r="I52" s="29"/>
      <c r="J52" s="29"/>
      <c r="K52" s="29"/>
      <c r="L52" s="29"/>
      <c r="M52" s="29"/>
      <c r="N52" s="29"/>
      <c r="O52" s="29"/>
    </row>
    <row r="53" spans="1:15" ht="14.25" customHeight="1" x14ac:dyDescent="0.25">
      <c r="A53" s="29"/>
      <c r="B53" s="29"/>
      <c r="C53" s="29"/>
      <c r="D53" s="29"/>
      <c r="E53" s="29"/>
      <c r="F53" s="29"/>
      <c r="G53" s="29"/>
      <c r="H53" s="29"/>
      <c r="I53" s="29"/>
      <c r="J53" s="29"/>
      <c r="K53" s="29"/>
      <c r="L53" s="29"/>
      <c r="M53" s="29"/>
      <c r="N53" s="29"/>
      <c r="O53" s="29"/>
    </row>
    <row r="54" spans="1:15" ht="14.25" customHeight="1" x14ac:dyDescent="0.25">
      <c r="A54" s="29"/>
      <c r="B54" s="29"/>
      <c r="C54" s="29"/>
      <c r="D54" s="29"/>
      <c r="E54" s="29"/>
      <c r="F54" s="29"/>
      <c r="G54" s="29"/>
      <c r="H54" s="29"/>
      <c r="I54" s="29"/>
      <c r="J54" s="29"/>
      <c r="K54" s="29"/>
      <c r="L54" s="29"/>
      <c r="M54" s="29"/>
      <c r="N54" s="29"/>
      <c r="O54" s="29"/>
    </row>
    <row r="55" spans="1:15" ht="14.25" customHeight="1" x14ac:dyDescent="0.25">
      <c r="A55" s="29"/>
      <c r="B55" s="29"/>
      <c r="C55" s="29"/>
      <c r="D55" s="29"/>
      <c r="E55" s="29"/>
      <c r="F55" s="29"/>
      <c r="G55" s="29"/>
      <c r="H55" s="29"/>
      <c r="I55" s="29"/>
      <c r="J55" s="29"/>
      <c r="K55" s="29"/>
      <c r="L55" s="29"/>
      <c r="M55" s="29"/>
      <c r="N55" s="29"/>
      <c r="O55" s="29"/>
    </row>
    <row r="56" spans="1:15" ht="14.25" customHeight="1" x14ac:dyDescent="0.25">
      <c r="A56" s="29"/>
      <c r="B56" s="29"/>
      <c r="C56" s="29"/>
      <c r="D56" s="29"/>
      <c r="E56" s="29"/>
      <c r="F56" s="29"/>
      <c r="G56" s="29"/>
      <c r="H56" s="29"/>
      <c r="I56" s="29"/>
      <c r="J56" s="29"/>
      <c r="K56" s="29"/>
      <c r="L56" s="29"/>
      <c r="M56" s="29"/>
      <c r="N56" s="29"/>
      <c r="O56" s="29"/>
    </row>
    <row r="57" spans="1:15" ht="14.25" customHeight="1" x14ac:dyDescent="0.25">
      <c r="A57" s="29"/>
      <c r="B57" s="29"/>
      <c r="C57" s="29"/>
      <c r="D57" s="29"/>
      <c r="E57" s="29"/>
      <c r="F57" s="29"/>
      <c r="G57" s="29"/>
      <c r="H57" s="29"/>
      <c r="I57" s="29"/>
      <c r="J57" s="29"/>
      <c r="K57" s="29"/>
      <c r="L57" s="29"/>
      <c r="M57" s="29"/>
      <c r="N57" s="29"/>
      <c r="O57" s="29"/>
    </row>
    <row r="58" spans="1:15" ht="14.25" customHeight="1" x14ac:dyDescent="0.25">
      <c r="A58" s="29"/>
      <c r="B58" s="29"/>
      <c r="C58" s="29"/>
      <c r="D58" s="29"/>
      <c r="E58" s="29"/>
      <c r="F58" s="29"/>
      <c r="G58" s="29"/>
      <c r="H58" s="29"/>
      <c r="I58" s="29"/>
      <c r="J58" s="29"/>
      <c r="K58" s="29"/>
      <c r="L58" s="29"/>
      <c r="M58" s="29"/>
      <c r="N58" s="29"/>
      <c r="O58" s="29"/>
    </row>
    <row r="59" spans="1:15" ht="14.25" customHeight="1" x14ac:dyDescent="0.25">
      <c r="A59" s="29"/>
      <c r="B59" s="29"/>
      <c r="C59" s="29"/>
      <c r="D59" s="29"/>
      <c r="E59" s="29"/>
      <c r="F59" s="29"/>
      <c r="G59" s="29"/>
      <c r="H59" s="29"/>
      <c r="I59" s="29"/>
      <c r="J59" s="29"/>
      <c r="K59" s="29"/>
      <c r="L59" s="29"/>
      <c r="M59" s="29"/>
      <c r="N59" s="29"/>
      <c r="O59" s="29"/>
    </row>
    <row r="60" spans="1:15" ht="14.25" customHeight="1" x14ac:dyDescent="0.25">
      <c r="A60" s="29"/>
      <c r="B60" s="29"/>
      <c r="C60" s="29"/>
      <c r="D60" s="29"/>
      <c r="E60" s="29"/>
      <c r="F60" s="29"/>
      <c r="G60" s="29"/>
      <c r="H60" s="29"/>
      <c r="I60" s="29"/>
      <c r="J60" s="29"/>
      <c r="K60" s="29"/>
      <c r="L60" s="29"/>
      <c r="M60" s="29"/>
      <c r="N60" s="29"/>
      <c r="O60" s="29"/>
    </row>
    <row r="61" spans="1:15" ht="14.25" customHeight="1" x14ac:dyDescent="0.25">
      <c r="A61" s="29"/>
      <c r="B61" s="29"/>
      <c r="C61" s="29"/>
      <c r="D61" s="29"/>
      <c r="E61" s="29"/>
      <c r="F61" s="29"/>
      <c r="G61" s="29"/>
      <c r="H61" s="29"/>
      <c r="I61" s="29"/>
      <c r="J61" s="29"/>
      <c r="K61" s="29"/>
      <c r="L61" s="29"/>
      <c r="M61" s="29"/>
      <c r="N61" s="29"/>
      <c r="O61" s="29"/>
    </row>
    <row r="62" spans="1:15" ht="14.25" customHeight="1" x14ac:dyDescent="0.25">
      <c r="A62" s="29"/>
      <c r="B62" s="29"/>
      <c r="C62" s="29"/>
      <c r="D62" s="29"/>
      <c r="E62" s="29"/>
      <c r="F62" s="29"/>
      <c r="G62" s="29"/>
      <c r="H62" s="29"/>
      <c r="I62" s="29"/>
      <c r="J62" s="29"/>
      <c r="K62" s="29"/>
      <c r="L62" s="29"/>
      <c r="M62" s="29"/>
      <c r="N62" s="29"/>
      <c r="O62" s="29"/>
    </row>
    <row r="63" spans="1:15" ht="14.25" customHeight="1" x14ac:dyDescent="0.25">
      <c r="A63" s="29"/>
      <c r="B63" s="29"/>
      <c r="C63" s="29"/>
      <c r="D63" s="29"/>
      <c r="E63" s="29"/>
      <c r="F63" s="29"/>
      <c r="G63" s="29"/>
      <c r="H63" s="29"/>
      <c r="I63" s="29"/>
      <c r="J63" s="29"/>
      <c r="K63" s="29"/>
      <c r="L63" s="29"/>
      <c r="M63" s="29"/>
      <c r="N63" s="29"/>
      <c r="O63" s="29"/>
    </row>
    <row r="64" spans="1:15" ht="14.25" customHeight="1" x14ac:dyDescent="0.25">
      <c r="A64" s="29"/>
      <c r="B64" s="29"/>
      <c r="C64" s="29"/>
      <c r="D64" s="29"/>
      <c r="E64" s="29"/>
      <c r="F64" s="29"/>
      <c r="G64" s="29"/>
      <c r="H64" s="29"/>
      <c r="I64" s="29"/>
      <c r="J64" s="29"/>
      <c r="K64" s="29"/>
      <c r="L64" s="29"/>
      <c r="M64" s="29"/>
      <c r="N64" s="29"/>
      <c r="O64" s="29"/>
    </row>
    <row r="65" spans="1:15" ht="14.25" customHeight="1" x14ac:dyDescent="0.25">
      <c r="A65" s="29"/>
      <c r="B65" s="29"/>
      <c r="C65" s="29"/>
      <c r="D65" s="29"/>
      <c r="E65" s="29"/>
      <c r="F65" s="29"/>
      <c r="G65" s="29"/>
      <c r="H65" s="29"/>
      <c r="I65" s="29"/>
      <c r="J65" s="29"/>
      <c r="K65" s="29"/>
      <c r="L65" s="29"/>
      <c r="M65" s="29"/>
      <c r="N65" s="29"/>
      <c r="O65" s="29"/>
    </row>
    <row r="66" spans="1:15" ht="14.25" customHeight="1" x14ac:dyDescent="0.25">
      <c r="A66" s="29"/>
      <c r="B66" s="29"/>
      <c r="C66" s="29"/>
      <c r="D66" s="29"/>
      <c r="E66" s="29"/>
      <c r="F66" s="29"/>
      <c r="G66" s="29"/>
      <c r="H66" s="29"/>
      <c r="I66" s="29"/>
      <c r="J66" s="29"/>
      <c r="K66" s="29"/>
      <c r="L66" s="29"/>
      <c r="M66" s="29"/>
      <c r="N66" s="29"/>
      <c r="O66" s="29"/>
    </row>
    <row r="67" spans="1:15" ht="14.25" customHeight="1" x14ac:dyDescent="0.25">
      <c r="A67" s="29"/>
      <c r="B67" s="29"/>
      <c r="C67" s="29"/>
      <c r="D67" s="29"/>
      <c r="E67" s="29"/>
      <c r="F67" s="29"/>
      <c r="G67" s="29"/>
      <c r="H67" s="29"/>
      <c r="I67" s="29"/>
      <c r="J67" s="29"/>
      <c r="K67" s="29"/>
      <c r="L67" s="29"/>
      <c r="M67" s="29"/>
      <c r="N67" s="29"/>
      <c r="O67" s="29"/>
    </row>
    <row r="68" spans="1:15" ht="14.25" customHeight="1" x14ac:dyDescent="0.25">
      <c r="A68" s="29"/>
      <c r="B68" s="29"/>
      <c r="C68" s="29"/>
      <c r="D68" s="29"/>
      <c r="E68" s="29"/>
      <c r="F68" s="29"/>
      <c r="G68" s="29"/>
      <c r="H68" s="29"/>
      <c r="I68" s="29"/>
      <c r="J68" s="29"/>
      <c r="K68" s="29"/>
      <c r="L68" s="29"/>
      <c r="M68" s="29"/>
      <c r="N68" s="29"/>
      <c r="O68" s="29"/>
    </row>
    <row r="69" spans="1:15" ht="14.25" customHeight="1" x14ac:dyDescent="0.25">
      <c r="A69" s="29"/>
      <c r="B69" s="29"/>
      <c r="C69" s="29"/>
      <c r="D69" s="29"/>
      <c r="E69" s="29"/>
      <c r="F69" s="29"/>
      <c r="G69" s="29"/>
      <c r="H69" s="29"/>
      <c r="I69" s="29"/>
      <c r="J69" s="29"/>
      <c r="K69" s="29"/>
      <c r="L69" s="29"/>
      <c r="M69" s="29"/>
      <c r="N69" s="29"/>
      <c r="O69" s="29"/>
    </row>
    <row r="70" spans="1:15" ht="14.25" customHeight="1" x14ac:dyDescent="0.25">
      <c r="A70" s="29"/>
      <c r="B70" s="29"/>
      <c r="C70" s="29"/>
      <c r="D70" s="29"/>
      <c r="E70" s="29"/>
      <c r="F70" s="29"/>
      <c r="G70" s="29"/>
      <c r="H70" s="29"/>
      <c r="I70" s="29"/>
      <c r="J70" s="29"/>
      <c r="K70" s="29"/>
      <c r="L70" s="29"/>
      <c r="M70" s="29"/>
      <c r="N70" s="29"/>
      <c r="O70" s="29"/>
    </row>
    <row r="71" spans="1:15" ht="14.25" customHeight="1" x14ac:dyDescent="0.25">
      <c r="A71" s="29"/>
      <c r="B71" s="29"/>
      <c r="C71" s="29"/>
      <c r="D71" s="29"/>
      <c r="E71" s="29"/>
      <c r="F71" s="29"/>
      <c r="G71" s="29"/>
      <c r="H71" s="29"/>
      <c r="I71" s="29"/>
      <c r="J71" s="29"/>
      <c r="K71" s="29"/>
      <c r="L71" s="29"/>
      <c r="M71" s="29"/>
      <c r="N71" s="29"/>
      <c r="O71" s="29"/>
    </row>
    <row r="72" spans="1:15" ht="14.25" customHeight="1" x14ac:dyDescent="0.25">
      <c r="A72" s="29"/>
      <c r="B72" s="29"/>
      <c r="C72" s="29"/>
      <c r="D72" s="29"/>
      <c r="E72" s="29"/>
      <c r="F72" s="29"/>
      <c r="G72" s="29"/>
      <c r="H72" s="29"/>
      <c r="I72" s="29"/>
      <c r="J72" s="29"/>
      <c r="K72" s="29"/>
      <c r="L72" s="29"/>
      <c r="M72" s="29"/>
      <c r="N72" s="29"/>
      <c r="O72" s="29"/>
    </row>
    <row r="73" spans="1:15" ht="14.25" customHeight="1" x14ac:dyDescent="0.25">
      <c r="A73" s="29"/>
      <c r="B73" s="29"/>
      <c r="C73" s="29"/>
      <c r="D73" s="29"/>
      <c r="E73" s="29"/>
      <c r="F73" s="29"/>
      <c r="G73" s="29"/>
      <c r="H73" s="29"/>
      <c r="I73" s="29"/>
      <c r="J73" s="29"/>
      <c r="K73" s="29"/>
      <c r="L73" s="29"/>
      <c r="M73" s="29"/>
      <c r="N73" s="29"/>
      <c r="O73" s="29"/>
    </row>
    <row r="74" spans="1:15" ht="14.25" customHeight="1" x14ac:dyDescent="0.25">
      <c r="A74" s="29"/>
      <c r="B74" s="29"/>
      <c r="C74" s="29"/>
      <c r="D74" s="29"/>
      <c r="E74" s="29"/>
      <c r="F74" s="29"/>
      <c r="G74" s="29"/>
      <c r="H74" s="29"/>
      <c r="I74" s="29"/>
      <c r="J74" s="29"/>
      <c r="K74" s="29"/>
      <c r="L74" s="29"/>
      <c r="M74" s="29"/>
      <c r="N74" s="29"/>
      <c r="O74" s="29"/>
    </row>
    <row r="75" spans="1:15" ht="14.25" customHeight="1" x14ac:dyDescent="0.25">
      <c r="A75" s="29"/>
      <c r="B75" s="29"/>
      <c r="C75" s="29"/>
      <c r="D75" s="29"/>
      <c r="E75" s="29"/>
      <c r="F75" s="29"/>
      <c r="G75" s="29"/>
      <c r="H75" s="29"/>
      <c r="I75" s="29"/>
      <c r="J75" s="29"/>
      <c r="K75" s="29"/>
      <c r="L75" s="29"/>
      <c r="M75" s="29"/>
      <c r="N75" s="29"/>
      <c r="O75" s="29"/>
    </row>
    <row r="76" spans="1:15" ht="14.25" customHeight="1" x14ac:dyDescent="0.25">
      <c r="A76" s="29"/>
      <c r="B76" s="29"/>
      <c r="C76" s="29"/>
      <c r="D76" s="29"/>
      <c r="E76" s="29"/>
      <c r="F76" s="29"/>
      <c r="G76" s="29"/>
      <c r="H76" s="29"/>
      <c r="I76" s="29"/>
      <c r="J76" s="29"/>
      <c r="K76" s="29"/>
      <c r="L76" s="29"/>
      <c r="M76" s="29"/>
      <c r="N76" s="29"/>
      <c r="O76" s="29"/>
    </row>
    <row r="77" spans="1:15" ht="14.25" customHeight="1" x14ac:dyDescent="0.25">
      <c r="A77" s="29"/>
      <c r="B77" s="29"/>
      <c r="C77" s="29"/>
      <c r="D77" s="29"/>
      <c r="E77" s="29"/>
      <c r="F77" s="29"/>
      <c r="G77" s="29"/>
      <c r="H77" s="29"/>
      <c r="I77" s="29"/>
      <c r="J77" s="29"/>
      <c r="K77" s="29"/>
      <c r="L77" s="29"/>
      <c r="M77" s="29"/>
      <c r="N77" s="29"/>
      <c r="O77" s="29"/>
    </row>
    <row r="78" spans="1:15" ht="14.25" customHeight="1" x14ac:dyDescent="0.25">
      <c r="A78" s="29"/>
      <c r="B78" s="29"/>
      <c r="C78" s="29"/>
      <c r="D78" s="29"/>
      <c r="E78" s="29"/>
      <c r="F78" s="29"/>
      <c r="G78" s="29"/>
      <c r="H78" s="29"/>
      <c r="I78" s="29"/>
      <c r="J78" s="29"/>
      <c r="K78" s="29"/>
      <c r="L78" s="29"/>
      <c r="M78" s="29"/>
      <c r="N78" s="29"/>
      <c r="O78" s="29"/>
    </row>
    <row r="79" spans="1:15" ht="14.25" customHeight="1" x14ac:dyDescent="0.25">
      <c r="A79" s="29"/>
      <c r="B79" s="29"/>
      <c r="C79" s="29"/>
      <c r="D79" s="29"/>
      <c r="E79" s="29"/>
      <c r="F79" s="29"/>
      <c r="G79" s="29"/>
      <c r="H79" s="29"/>
      <c r="I79" s="29"/>
      <c r="J79" s="29"/>
      <c r="K79" s="29"/>
      <c r="L79" s="29"/>
      <c r="M79" s="29"/>
      <c r="N79" s="29"/>
      <c r="O79" s="29"/>
    </row>
    <row r="80" spans="1:15" ht="14.25" customHeight="1" x14ac:dyDescent="0.25">
      <c r="A80" s="29"/>
      <c r="B80" s="29"/>
      <c r="C80" s="29"/>
      <c r="D80" s="29"/>
      <c r="E80" s="29"/>
      <c r="F80" s="29"/>
      <c r="G80" s="29"/>
      <c r="H80" s="29"/>
      <c r="I80" s="29"/>
      <c r="J80" s="29"/>
      <c r="K80" s="29"/>
      <c r="L80" s="29"/>
      <c r="M80" s="29"/>
      <c r="N80" s="29"/>
      <c r="O80" s="29"/>
    </row>
    <row r="81" spans="1:15" ht="14.25" customHeight="1" x14ac:dyDescent="0.25">
      <c r="A81" s="29"/>
      <c r="B81" s="29"/>
      <c r="C81" s="29"/>
      <c r="D81" s="29"/>
      <c r="E81" s="29"/>
      <c r="F81" s="29"/>
      <c r="G81" s="29"/>
      <c r="H81" s="29"/>
      <c r="I81" s="29"/>
      <c r="J81" s="29"/>
      <c r="K81" s="29"/>
      <c r="L81" s="29"/>
      <c r="M81" s="29"/>
      <c r="N81" s="29"/>
      <c r="O81" s="29"/>
    </row>
    <row r="82" spans="1:15" ht="14.25" customHeight="1" x14ac:dyDescent="0.25">
      <c r="A82" s="29"/>
      <c r="B82" s="29"/>
      <c r="C82" s="29"/>
      <c r="D82" s="29"/>
      <c r="E82" s="29"/>
      <c r="F82" s="29"/>
      <c r="G82" s="29"/>
      <c r="H82" s="29"/>
      <c r="I82" s="29"/>
      <c r="J82" s="29"/>
      <c r="K82" s="29"/>
      <c r="L82" s="29"/>
      <c r="M82" s="29"/>
      <c r="N82" s="29"/>
      <c r="O82" s="29"/>
    </row>
    <row r="83" spans="1:15" ht="14.25" customHeight="1" x14ac:dyDescent="0.25">
      <c r="A83" s="29"/>
      <c r="B83" s="29"/>
      <c r="C83" s="29"/>
      <c r="D83" s="29"/>
      <c r="E83" s="29"/>
      <c r="F83" s="29"/>
      <c r="G83" s="29"/>
      <c r="H83" s="29"/>
      <c r="I83" s="29"/>
      <c r="J83" s="29"/>
      <c r="K83" s="29"/>
      <c r="L83" s="29"/>
      <c r="M83" s="29"/>
      <c r="N83" s="29"/>
      <c r="O83" s="29"/>
    </row>
    <row r="84" spans="1:15" ht="14.25" customHeight="1" x14ac:dyDescent="0.25">
      <c r="A84" s="29"/>
      <c r="B84" s="29"/>
      <c r="C84" s="29"/>
      <c r="D84" s="29"/>
      <c r="E84" s="29"/>
      <c r="F84" s="29"/>
      <c r="G84" s="29"/>
      <c r="H84" s="29"/>
      <c r="I84" s="29"/>
      <c r="J84" s="29"/>
      <c r="K84" s="29"/>
      <c r="L84" s="29"/>
      <c r="M84" s="29"/>
      <c r="N84" s="29"/>
      <c r="O84" s="29"/>
    </row>
    <row r="85" spans="1:15" ht="14.25" customHeight="1" x14ac:dyDescent="0.25">
      <c r="A85" s="29"/>
      <c r="B85" s="29"/>
      <c r="C85" s="29"/>
      <c r="D85" s="29"/>
      <c r="E85" s="29"/>
      <c r="F85" s="29"/>
      <c r="G85" s="29"/>
      <c r="H85" s="29"/>
      <c r="I85" s="29"/>
      <c r="J85" s="29"/>
      <c r="K85" s="29"/>
      <c r="L85" s="29"/>
      <c r="M85" s="29"/>
      <c r="N85" s="29"/>
      <c r="O85" s="29"/>
    </row>
    <row r="86" spans="1:15" ht="14.25" customHeight="1" x14ac:dyDescent="0.25">
      <c r="A86" s="29"/>
      <c r="B86" s="29"/>
      <c r="C86" s="29"/>
      <c r="D86" s="29"/>
      <c r="E86" s="29"/>
      <c r="F86" s="29"/>
      <c r="G86" s="29"/>
      <c r="H86" s="29"/>
      <c r="I86" s="29"/>
      <c r="J86" s="29"/>
      <c r="K86" s="29"/>
      <c r="L86" s="29"/>
      <c r="M86" s="29"/>
      <c r="N86" s="29"/>
      <c r="O86" s="29"/>
    </row>
    <row r="87" spans="1:15" ht="14.25" customHeight="1" x14ac:dyDescent="0.25">
      <c r="A87" s="29"/>
      <c r="B87" s="29"/>
      <c r="C87" s="29"/>
      <c r="D87" s="29"/>
      <c r="E87" s="29"/>
      <c r="F87" s="29"/>
      <c r="G87" s="29"/>
      <c r="H87" s="29"/>
      <c r="I87" s="29"/>
      <c r="J87" s="29"/>
      <c r="K87" s="29"/>
      <c r="L87" s="29"/>
      <c r="M87" s="29"/>
      <c r="N87" s="29"/>
      <c r="O87" s="29"/>
    </row>
    <row r="88" spans="1:15" ht="14.25" customHeight="1" x14ac:dyDescent="0.25">
      <c r="A88" s="29"/>
      <c r="B88" s="29"/>
      <c r="C88" s="29"/>
      <c r="D88" s="29"/>
      <c r="E88" s="29"/>
      <c r="F88" s="29"/>
      <c r="G88" s="29"/>
      <c r="H88" s="29"/>
      <c r="I88" s="29"/>
      <c r="J88" s="29"/>
      <c r="K88" s="29"/>
      <c r="L88" s="29"/>
      <c r="M88" s="29"/>
      <c r="N88" s="29"/>
      <c r="O88" s="29"/>
    </row>
    <row r="89" spans="1:15" ht="14.25" customHeight="1" x14ac:dyDescent="0.25">
      <c r="A89" s="29"/>
      <c r="B89" s="29"/>
      <c r="C89" s="29"/>
      <c r="D89" s="29"/>
      <c r="E89" s="29"/>
      <c r="F89" s="29"/>
      <c r="G89" s="29"/>
      <c r="H89" s="29"/>
      <c r="I89" s="29"/>
      <c r="J89" s="29"/>
      <c r="K89" s="29"/>
      <c r="L89" s="29"/>
      <c r="M89" s="29"/>
      <c r="N89" s="29"/>
      <c r="O89" s="29"/>
    </row>
    <row r="90" spans="1:15" ht="14.25" customHeight="1" x14ac:dyDescent="0.25">
      <c r="A90" s="29"/>
      <c r="B90" s="29"/>
      <c r="C90" s="29"/>
      <c r="D90" s="29"/>
      <c r="E90" s="29"/>
      <c r="F90" s="29"/>
      <c r="G90" s="29"/>
      <c r="H90" s="29"/>
      <c r="I90" s="29"/>
      <c r="J90" s="29"/>
      <c r="K90" s="29"/>
      <c r="L90" s="29"/>
      <c r="M90" s="29"/>
      <c r="N90" s="29"/>
      <c r="O90" s="29"/>
    </row>
    <row r="91" spans="1:15" ht="14.25" customHeight="1" x14ac:dyDescent="0.25">
      <c r="A91" s="29"/>
      <c r="B91" s="29"/>
      <c r="C91" s="29"/>
      <c r="D91" s="29"/>
      <c r="E91" s="29"/>
      <c r="F91" s="29"/>
      <c r="G91" s="29"/>
      <c r="H91" s="29"/>
      <c r="I91" s="29"/>
      <c r="J91" s="29"/>
      <c r="K91" s="29"/>
      <c r="L91" s="29"/>
      <c r="M91" s="29"/>
      <c r="N91" s="29"/>
      <c r="O91" s="29"/>
    </row>
    <row r="92" spans="1:15" ht="14.25" customHeight="1" x14ac:dyDescent="0.25">
      <c r="A92" s="29"/>
      <c r="B92" s="29"/>
      <c r="C92" s="29"/>
      <c r="D92" s="29"/>
      <c r="E92" s="29"/>
      <c r="F92" s="29"/>
      <c r="G92" s="29"/>
      <c r="H92" s="29"/>
      <c r="I92" s="29"/>
      <c r="J92" s="29"/>
      <c r="K92" s="29"/>
      <c r="L92" s="29"/>
      <c r="M92" s="29"/>
      <c r="N92" s="29"/>
      <c r="O92" s="29"/>
    </row>
    <row r="93" spans="1:15" ht="14.25" customHeight="1" x14ac:dyDescent="0.25">
      <c r="A93" s="29"/>
      <c r="B93" s="29"/>
      <c r="C93" s="29"/>
      <c r="D93" s="29"/>
      <c r="E93" s="29"/>
      <c r="F93" s="29"/>
      <c r="G93" s="29"/>
      <c r="H93" s="29"/>
      <c r="I93" s="29"/>
      <c r="J93" s="29"/>
      <c r="K93" s="29"/>
      <c r="L93" s="29"/>
      <c r="M93" s="29"/>
      <c r="N93" s="29"/>
      <c r="O93" s="29"/>
    </row>
    <row r="94" spans="1:15" ht="14.25" customHeight="1" x14ac:dyDescent="0.25">
      <c r="A94" s="29"/>
      <c r="B94" s="29"/>
      <c r="C94" s="29"/>
      <c r="D94" s="29"/>
      <c r="E94" s="29"/>
      <c r="F94" s="29"/>
      <c r="G94" s="29"/>
      <c r="H94" s="29"/>
      <c r="I94" s="29"/>
      <c r="J94" s="29"/>
      <c r="K94" s="29"/>
      <c r="L94" s="29"/>
      <c r="M94" s="29"/>
      <c r="N94" s="29"/>
      <c r="O94" s="29"/>
    </row>
    <row r="95" spans="1:15" ht="14.25" customHeight="1" x14ac:dyDescent="0.25">
      <c r="A95" s="29"/>
      <c r="B95" s="29"/>
      <c r="C95" s="29"/>
      <c r="D95" s="29"/>
      <c r="E95" s="29"/>
      <c r="F95" s="29"/>
      <c r="G95" s="29"/>
      <c r="H95" s="29"/>
      <c r="I95" s="29"/>
      <c r="J95" s="29"/>
      <c r="K95" s="29"/>
      <c r="L95" s="29"/>
      <c r="M95" s="29"/>
      <c r="N95" s="29"/>
      <c r="O95" s="29"/>
    </row>
    <row r="96" spans="1:15" ht="14.25" customHeight="1" x14ac:dyDescent="0.25">
      <c r="A96" s="29"/>
      <c r="B96" s="29"/>
      <c r="C96" s="29"/>
      <c r="D96" s="29"/>
      <c r="E96" s="29"/>
      <c r="F96" s="29"/>
      <c r="G96" s="29"/>
      <c r="H96" s="29"/>
      <c r="I96" s="29"/>
      <c r="J96" s="29"/>
      <c r="K96" s="29"/>
      <c r="L96" s="29"/>
      <c r="M96" s="29"/>
      <c r="N96" s="29"/>
      <c r="O96" s="29"/>
    </row>
    <row r="97" spans="1:15" ht="14.25" customHeight="1" x14ac:dyDescent="0.25">
      <c r="A97" s="29"/>
      <c r="B97" s="29"/>
      <c r="C97" s="29"/>
      <c r="D97" s="29"/>
      <c r="E97" s="29"/>
      <c r="F97" s="29"/>
      <c r="G97" s="29"/>
      <c r="H97" s="29"/>
      <c r="I97" s="29"/>
      <c r="J97" s="29"/>
      <c r="K97" s="29"/>
      <c r="L97" s="29"/>
      <c r="M97" s="29"/>
      <c r="N97" s="29"/>
      <c r="O97" s="29"/>
    </row>
    <row r="98" spans="1:15" ht="14.25" customHeight="1" x14ac:dyDescent="0.25">
      <c r="A98" s="29"/>
      <c r="B98" s="29"/>
      <c r="C98" s="29"/>
      <c r="D98" s="29"/>
      <c r="E98" s="29"/>
      <c r="F98" s="29"/>
      <c r="G98" s="29"/>
      <c r="H98" s="29"/>
      <c r="I98" s="29"/>
      <c r="J98" s="29"/>
      <c r="K98" s="29"/>
      <c r="L98" s="29"/>
      <c r="M98" s="29"/>
      <c r="N98" s="29"/>
      <c r="O98" s="29"/>
    </row>
    <row r="99" spans="1:15" ht="14.25" customHeight="1" x14ac:dyDescent="0.25">
      <c r="A99" s="29"/>
      <c r="B99" s="29"/>
      <c r="C99" s="29"/>
      <c r="D99" s="29"/>
      <c r="E99" s="29"/>
      <c r="F99" s="29"/>
      <c r="G99" s="29"/>
      <c r="H99" s="29"/>
      <c r="I99" s="29"/>
      <c r="J99" s="29"/>
      <c r="K99" s="29"/>
      <c r="L99" s="29"/>
      <c r="M99" s="29"/>
      <c r="N99" s="29"/>
      <c r="O99" s="29"/>
    </row>
    <row r="100" spans="1:15" ht="14.25" customHeight="1" x14ac:dyDescent="0.25">
      <c r="A100" s="29"/>
      <c r="B100" s="29"/>
      <c r="C100" s="29"/>
      <c r="D100" s="29"/>
      <c r="E100" s="29"/>
      <c r="F100" s="29"/>
      <c r="G100" s="29"/>
      <c r="H100" s="29"/>
      <c r="I100" s="29"/>
      <c r="J100" s="29"/>
      <c r="K100" s="29"/>
      <c r="L100" s="29"/>
      <c r="M100" s="29"/>
      <c r="N100" s="29"/>
      <c r="O100" s="29"/>
    </row>
  </sheetData>
  <mergeCells count="27">
    <mergeCell ref="H1:I2"/>
    <mergeCell ref="J5:J6"/>
    <mergeCell ref="F6:I6"/>
    <mergeCell ref="H5:I5"/>
    <mergeCell ref="F1:G1"/>
    <mergeCell ref="J1:J2"/>
    <mergeCell ref="H3:I3"/>
    <mergeCell ref="H4:I4"/>
    <mergeCell ref="A7:A9"/>
    <mergeCell ref="B7:D9"/>
    <mergeCell ref="E10:E11"/>
    <mergeCell ref="B3:D3"/>
    <mergeCell ref="E1:E2"/>
    <mergeCell ref="A1:A2"/>
    <mergeCell ref="B1:D2"/>
    <mergeCell ref="B4:D4"/>
    <mergeCell ref="B5:D6"/>
    <mergeCell ref="A5:A6"/>
    <mergeCell ref="B10:D11"/>
    <mergeCell ref="A10:A11"/>
    <mergeCell ref="J10:J11"/>
    <mergeCell ref="F11:I11"/>
    <mergeCell ref="J7:J9"/>
    <mergeCell ref="E7:E9"/>
    <mergeCell ref="E5:E6"/>
    <mergeCell ref="H10:I10"/>
    <mergeCell ref="F9:I9"/>
  </mergeCells>
  <pageMargins left="0.59055118110236227" right="0.39370078740157483" top="0.86614173228346458" bottom="0.27559055118110237" header="0" footer="0"/>
  <pageSetup paperSize="9" scale="5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V100"/>
  <sheetViews>
    <sheetView tabSelected="1" topLeftCell="A5" zoomScale="90" zoomScaleNormal="90" workbookViewId="0">
      <selection activeCell="H35" sqref="H35"/>
    </sheetView>
  </sheetViews>
  <sheetFormatPr defaultColWidth="14.42578125" defaultRowHeight="15" customHeight="1" x14ac:dyDescent="0.25"/>
  <cols>
    <col min="1" max="1" width="5.42578125" customWidth="1"/>
    <col min="2" max="2" width="3.28515625" customWidth="1"/>
    <col min="3" max="3" width="12.85546875" customWidth="1"/>
    <col min="4" max="4" width="16.7109375" customWidth="1"/>
    <col min="5" max="5" width="23.28515625" customWidth="1"/>
    <col min="6" max="6" width="13.140625" customWidth="1"/>
    <col min="7" max="7" width="15.5703125" customWidth="1"/>
    <col min="8" max="8" width="14.140625" customWidth="1"/>
    <col min="9" max="11" width="5.85546875" customWidth="1"/>
    <col min="12" max="13" width="10.85546875" customWidth="1"/>
    <col min="14" max="14" width="12.85546875" customWidth="1"/>
    <col min="15" max="15" width="13.42578125" customWidth="1"/>
    <col min="16" max="22" width="9.140625" customWidth="1"/>
  </cols>
  <sheetData>
    <row r="1" spans="1:22" ht="55.5" customHeight="1" x14ac:dyDescent="0.25">
      <c r="A1" s="595" t="s">
        <v>2611</v>
      </c>
      <c r="B1" s="555"/>
      <c r="C1" s="555"/>
      <c r="D1" s="555"/>
      <c r="E1" s="555"/>
      <c r="F1" s="555"/>
      <c r="G1" s="555"/>
      <c r="H1" s="555"/>
      <c r="I1" s="555"/>
      <c r="J1" s="555"/>
      <c r="K1" s="555"/>
      <c r="L1" s="555"/>
      <c r="M1" s="555"/>
      <c r="N1" s="555"/>
      <c r="O1" s="555"/>
      <c r="P1" s="43"/>
      <c r="Q1" s="43"/>
      <c r="R1" s="43"/>
      <c r="S1" s="43"/>
      <c r="T1" s="43"/>
      <c r="U1" s="43"/>
      <c r="V1" s="43"/>
    </row>
    <row r="2" spans="1:22" ht="38.25" customHeight="1" x14ac:dyDescent="0.25">
      <c r="A2" s="591" t="s">
        <v>2612</v>
      </c>
      <c r="B2" s="555"/>
      <c r="C2" s="555"/>
      <c r="D2" s="555"/>
      <c r="E2" s="555"/>
      <c r="F2" s="555"/>
      <c r="G2" s="555"/>
      <c r="H2" s="555"/>
      <c r="I2" s="555"/>
      <c r="J2" s="555"/>
      <c r="K2" s="555"/>
      <c r="L2" s="555"/>
      <c r="M2" s="555"/>
      <c r="N2" s="555"/>
      <c r="O2" s="555"/>
      <c r="P2" s="44"/>
      <c r="Q2" s="44"/>
      <c r="R2" s="44"/>
      <c r="S2" s="44"/>
      <c r="T2" s="44"/>
      <c r="U2" s="44"/>
      <c r="V2" s="44"/>
    </row>
    <row r="3" spans="1:22" ht="11.25" customHeight="1" x14ac:dyDescent="0.25">
      <c r="A3" s="595"/>
      <c r="B3" s="555"/>
      <c r="C3" s="555"/>
      <c r="D3" s="555"/>
      <c r="E3" s="555"/>
      <c r="F3" s="555"/>
      <c r="G3" s="555"/>
      <c r="H3" s="555"/>
      <c r="I3" s="555"/>
      <c r="J3" s="555"/>
      <c r="K3" s="555"/>
      <c r="L3" s="555"/>
      <c r="M3" s="555"/>
      <c r="N3" s="555"/>
      <c r="O3" s="555"/>
      <c r="P3" s="43"/>
      <c r="Q3" s="43"/>
      <c r="R3" s="43"/>
      <c r="S3" s="43"/>
      <c r="T3" s="43"/>
      <c r="U3" s="43"/>
      <c r="V3" s="43"/>
    </row>
    <row r="4" spans="1:22" ht="10.5" customHeight="1" x14ac:dyDescent="0.25">
      <c r="A4" s="45"/>
      <c r="B4" s="42"/>
      <c r="C4" s="42"/>
      <c r="D4" s="42"/>
      <c r="E4" s="46"/>
      <c r="F4" s="46"/>
      <c r="G4" s="42"/>
      <c r="H4" s="42"/>
      <c r="I4" s="42"/>
      <c r="J4" s="42"/>
      <c r="K4" s="42"/>
      <c r="L4" s="42"/>
      <c r="M4" s="42"/>
      <c r="N4" s="42"/>
      <c r="O4" s="42"/>
      <c r="P4" s="42"/>
      <c r="Q4" s="42"/>
      <c r="R4" s="42"/>
      <c r="S4" s="42"/>
      <c r="T4" s="42"/>
      <c r="U4" s="42"/>
      <c r="V4" s="42"/>
    </row>
    <row r="5" spans="1:22" ht="12.75" customHeight="1" x14ac:dyDescent="0.25">
      <c r="A5" s="47"/>
      <c r="B5" s="48"/>
      <c r="C5" s="48"/>
      <c r="D5" s="48" t="s">
        <v>2613</v>
      </c>
      <c r="E5" s="596" t="s">
        <v>2614</v>
      </c>
      <c r="F5" s="546"/>
      <c r="G5" s="49"/>
      <c r="H5" s="48"/>
      <c r="I5" s="48" t="s">
        <v>2615</v>
      </c>
      <c r="J5" s="596" t="s">
        <v>2616</v>
      </c>
      <c r="K5" s="545"/>
      <c r="L5" s="545"/>
      <c r="M5" s="546"/>
      <c r="N5" s="49"/>
      <c r="O5" s="50"/>
      <c r="P5" s="51"/>
      <c r="Q5" s="47"/>
      <c r="R5" s="47"/>
      <c r="S5" s="47"/>
      <c r="T5" s="47"/>
      <c r="U5" s="47"/>
      <c r="V5" s="52"/>
    </row>
    <row r="6" spans="1:22" ht="7.5" customHeight="1" x14ac:dyDescent="0.25">
      <c r="A6" s="47"/>
      <c r="B6" s="48"/>
      <c r="C6" s="48"/>
      <c r="D6" s="48"/>
      <c r="E6" s="48"/>
      <c r="F6" s="48"/>
      <c r="G6" s="53"/>
      <c r="H6" s="47"/>
      <c r="I6" s="48"/>
      <c r="J6" s="48"/>
      <c r="K6" s="48"/>
      <c r="L6" s="48"/>
      <c r="M6" s="48"/>
      <c r="N6" s="54"/>
      <c r="O6" s="54"/>
      <c r="P6" s="55"/>
      <c r="Q6" s="47"/>
      <c r="R6" s="47"/>
      <c r="S6" s="47"/>
      <c r="T6" s="47"/>
      <c r="U6" s="47"/>
      <c r="V6" s="52"/>
    </row>
    <row r="7" spans="1:22" ht="12.75" customHeight="1" x14ac:dyDescent="0.25">
      <c r="A7" s="47"/>
      <c r="B7" s="48"/>
      <c r="C7" s="48"/>
      <c r="D7" s="48" t="s">
        <v>2617</v>
      </c>
      <c r="E7" s="597">
        <v>46082</v>
      </c>
      <c r="F7" s="546"/>
      <c r="G7" s="49"/>
      <c r="H7" s="47"/>
      <c r="I7" s="48" t="s">
        <v>2618</v>
      </c>
      <c r="J7" s="596" t="s">
        <v>2619</v>
      </c>
      <c r="K7" s="545"/>
      <c r="L7" s="545"/>
      <c r="M7" s="546"/>
      <c r="N7" s="49"/>
      <c r="O7" s="56"/>
      <c r="P7" s="51"/>
      <c r="Q7" s="47"/>
      <c r="R7" s="47"/>
      <c r="S7" s="47"/>
      <c r="T7" s="47"/>
      <c r="U7" s="47"/>
      <c r="V7" s="52"/>
    </row>
    <row r="8" spans="1:22" ht="7.5" customHeight="1" x14ac:dyDescent="0.25">
      <c r="A8" s="47"/>
      <c r="B8" s="48"/>
      <c r="C8" s="48"/>
      <c r="D8" s="48"/>
      <c r="E8" s="48"/>
      <c r="F8" s="48"/>
      <c r="G8" s="53"/>
      <c r="H8" s="47"/>
      <c r="I8" s="48"/>
      <c r="J8" s="48"/>
      <c r="K8" s="48"/>
      <c r="L8" s="48"/>
      <c r="M8" s="48"/>
      <c r="N8" s="57"/>
      <c r="O8" s="57"/>
      <c r="P8" s="57"/>
      <c r="Q8" s="47"/>
      <c r="R8" s="47"/>
      <c r="S8" s="47"/>
      <c r="T8" s="47"/>
      <c r="U8" s="47"/>
      <c r="V8" s="52"/>
    </row>
    <row r="9" spans="1:22" ht="12.75" customHeight="1" x14ac:dyDescent="0.25">
      <c r="A9" s="47"/>
      <c r="B9" s="48"/>
      <c r="C9" s="48"/>
      <c r="D9" s="48" t="s">
        <v>2620</v>
      </c>
      <c r="E9" s="592">
        <v>361632.64</v>
      </c>
      <c r="F9" s="593"/>
      <c r="G9" s="49"/>
      <c r="H9" s="47"/>
      <c r="I9" s="48"/>
      <c r="J9" s="50"/>
      <c r="K9" s="50"/>
      <c r="L9" s="50"/>
      <c r="M9" s="50"/>
      <c r="N9" s="57"/>
      <c r="O9" s="57"/>
      <c r="P9" s="57"/>
      <c r="Q9" s="47"/>
      <c r="R9" s="47"/>
      <c r="S9" s="47"/>
      <c r="T9" s="47"/>
      <c r="U9" s="47"/>
      <c r="V9" s="52"/>
    </row>
    <row r="10" spans="1:22" ht="7.5" customHeight="1" x14ac:dyDescent="0.25">
      <c r="A10" s="47"/>
      <c r="B10" s="48"/>
      <c r="C10" s="48"/>
      <c r="D10" s="48"/>
      <c r="E10" s="48"/>
      <c r="F10" s="48"/>
      <c r="G10" s="53"/>
      <c r="H10" s="47"/>
      <c r="I10" s="48"/>
      <c r="J10" s="48"/>
      <c r="K10" s="48"/>
      <c r="L10" s="48"/>
      <c r="M10" s="48"/>
      <c r="N10" s="57"/>
      <c r="O10" s="57"/>
      <c r="P10" s="57"/>
      <c r="Q10" s="47"/>
      <c r="R10" s="47"/>
      <c r="S10" s="47"/>
      <c r="T10" s="47"/>
      <c r="U10" s="47"/>
      <c r="V10" s="52"/>
    </row>
    <row r="11" spans="1:22" ht="12.75" customHeight="1" x14ac:dyDescent="0.25">
      <c r="A11" s="47"/>
      <c r="B11" s="48"/>
      <c r="C11" s="48"/>
      <c r="D11" s="48" t="s">
        <v>2621</v>
      </c>
      <c r="E11" s="584">
        <f>E9*0.975</f>
        <v>352591.82400000002</v>
      </c>
      <c r="F11" s="546"/>
      <c r="G11" s="58"/>
      <c r="H11" s="47"/>
      <c r="I11" s="48"/>
      <c r="J11" s="50"/>
      <c r="K11" s="50"/>
      <c r="L11" s="50"/>
      <c r="M11" s="50"/>
      <c r="N11" s="57"/>
      <c r="O11" s="57"/>
      <c r="P11" s="57"/>
      <c r="Q11" s="47"/>
      <c r="R11" s="47"/>
      <c r="S11" s="47"/>
      <c r="T11" s="47"/>
      <c r="U11" s="47"/>
      <c r="V11" s="52"/>
    </row>
    <row r="12" spans="1:22" ht="7.5" customHeight="1" x14ac:dyDescent="0.25">
      <c r="A12" s="47"/>
      <c r="B12" s="48"/>
      <c r="C12" s="59"/>
      <c r="D12" s="60"/>
      <c r="E12" s="61"/>
      <c r="F12" s="61"/>
      <c r="G12" s="62"/>
      <c r="H12" s="63"/>
      <c r="I12" s="63"/>
      <c r="J12" s="63"/>
      <c r="K12" s="63"/>
      <c r="L12" s="64"/>
      <c r="M12" s="57"/>
      <c r="N12" s="57"/>
      <c r="O12" s="57"/>
      <c r="P12" s="57"/>
      <c r="Q12" s="47"/>
      <c r="R12" s="47"/>
      <c r="S12" s="47"/>
      <c r="T12" s="47"/>
      <c r="U12" s="47"/>
      <c r="V12" s="52"/>
    </row>
    <row r="13" spans="1:22" ht="12.75" customHeight="1" x14ac:dyDescent="0.25">
      <c r="A13" s="47"/>
      <c r="B13" s="48"/>
      <c r="C13" s="48"/>
      <c r="D13" s="48" t="s">
        <v>2622</v>
      </c>
      <c r="E13" s="584">
        <f>E9-E11</f>
        <v>9040.8159999999916</v>
      </c>
      <c r="F13" s="546"/>
      <c r="G13" s="49"/>
      <c r="H13" s="47"/>
      <c r="I13" s="48"/>
      <c r="J13" s="50"/>
      <c r="K13" s="50"/>
      <c r="L13" s="50"/>
      <c r="M13" s="50"/>
      <c r="N13" s="57"/>
      <c r="O13" s="57"/>
      <c r="P13" s="57"/>
      <c r="Q13" s="47"/>
      <c r="R13" s="47"/>
      <c r="S13" s="47"/>
      <c r="T13" s="47"/>
      <c r="U13" s="47"/>
      <c r="V13" s="52"/>
    </row>
    <row r="14" spans="1:22" ht="7.5" customHeight="1" x14ac:dyDescent="0.25">
      <c r="A14" s="47"/>
      <c r="B14" s="48"/>
      <c r="C14" s="48"/>
      <c r="D14" s="48"/>
      <c r="E14" s="48"/>
      <c r="F14" s="48"/>
      <c r="G14" s="53"/>
      <c r="H14" s="47"/>
      <c r="I14" s="48"/>
      <c r="J14" s="48"/>
      <c r="K14" s="48"/>
      <c r="L14" s="48"/>
      <c r="M14" s="48"/>
      <c r="N14" s="57"/>
      <c r="O14" s="57"/>
      <c r="P14" s="57"/>
      <c r="Q14" s="47"/>
      <c r="R14" s="47"/>
      <c r="S14" s="47"/>
      <c r="T14" s="47"/>
      <c r="U14" s="47"/>
      <c r="V14" s="52"/>
    </row>
    <row r="15" spans="1:22" ht="12.75" customHeight="1" x14ac:dyDescent="0.25">
      <c r="A15" s="65"/>
      <c r="B15" s="65"/>
      <c r="C15" s="65"/>
      <c r="D15" s="65"/>
      <c r="E15" s="66"/>
      <c r="F15" s="66"/>
      <c r="G15" s="67"/>
      <c r="H15" s="68"/>
      <c r="I15" s="69"/>
      <c r="J15" s="69"/>
      <c r="K15" s="69"/>
      <c r="L15" s="69"/>
      <c r="M15" s="69"/>
      <c r="N15" s="69"/>
      <c r="O15" s="69"/>
      <c r="P15" s="13"/>
      <c r="Q15" s="13"/>
      <c r="R15" s="13"/>
      <c r="S15" s="13"/>
      <c r="T15" s="13"/>
      <c r="U15" s="13"/>
      <c r="V15" s="13"/>
    </row>
    <row r="16" spans="1:22" ht="12.75" customHeight="1" x14ac:dyDescent="0.25">
      <c r="A16" s="65"/>
      <c r="B16" s="65"/>
      <c r="C16" s="65"/>
      <c r="D16" s="65"/>
      <c r="E16" s="66"/>
      <c r="F16" s="66"/>
      <c r="G16" s="67"/>
      <c r="H16" s="68"/>
      <c r="I16" s="69"/>
      <c r="J16" s="69"/>
      <c r="K16" s="69"/>
      <c r="L16" s="69"/>
      <c r="M16" s="69"/>
      <c r="N16" s="69"/>
      <c r="O16" s="69"/>
      <c r="P16" s="13"/>
      <c r="Q16" s="13"/>
      <c r="R16" s="13"/>
      <c r="S16" s="13"/>
      <c r="T16" s="13"/>
      <c r="U16" s="13"/>
      <c r="V16" s="13"/>
    </row>
    <row r="17" spans="1:22" ht="25.5" customHeight="1" x14ac:dyDescent="0.25">
      <c r="A17" s="585" t="s">
        <v>2623</v>
      </c>
      <c r="B17" s="583" t="s">
        <v>2624</v>
      </c>
      <c r="C17" s="553"/>
      <c r="D17" s="553"/>
      <c r="E17" s="553"/>
      <c r="F17" s="553"/>
      <c r="G17" s="553"/>
      <c r="H17" s="550"/>
      <c r="I17" s="583" t="s">
        <v>2625</v>
      </c>
      <c r="J17" s="553"/>
      <c r="K17" s="550"/>
      <c r="L17" s="583" t="s">
        <v>2626</v>
      </c>
      <c r="M17" s="550"/>
      <c r="N17" s="588" t="s">
        <v>2627</v>
      </c>
      <c r="O17" s="585" t="s">
        <v>2628</v>
      </c>
      <c r="P17" s="13"/>
      <c r="Q17" s="13"/>
      <c r="R17" s="13"/>
      <c r="S17" s="13"/>
      <c r="T17" s="13"/>
      <c r="U17" s="13"/>
      <c r="V17" s="13"/>
    </row>
    <row r="18" spans="1:22" ht="12" customHeight="1" x14ac:dyDescent="0.25">
      <c r="A18" s="543"/>
      <c r="B18" s="557"/>
      <c r="C18" s="558"/>
      <c r="D18" s="558"/>
      <c r="E18" s="558"/>
      <c r="F18" s="558"/>
      <c r="G18" s="558"/>
      <c r="H18" s="559"/>
      <c r="I18" s="557"/>
      <c r="J18" s="558"/>
      <c r="K18" s="559"/>
      <c r="L18" s="557"/>
      <c r="M18" s="559"/>
      <c r="N18" s="543"/>
      <c r="O18" s="543"/>
      <c r="P18" s="13"/>
      <c r="Q18" s="13"/>
      <c r="R18" s="13"/>
      <c r="S18" s="13"/>
      <c r="T18" s="13"/>
      <c r="U18" s="13"/>
      <c r="V18" s="13"/>
    </row>
    <row r="19" spans="1:22" ht="35.25" customHeight="1" x14ac:dyDescent="0.25">
      <c r="A19" s="70" t="s">
        <v>2586</v>
      </c>
      <c r="B19" s="594" t="s">
        <v>2629</v>
      </c>
      <c r="C19" s="545"/>
      <c r="D19" s="545"/>
      <c r="E19" s="545"/>
      <c r="F19" s="545"/>
      <c r="G19" s="545"/>
      <c r="H19" s="546"/>
      <c r="I19" s="586" t="s">
        <v>2588</v>
      </c>
      <c r="J19" s="545"/>
      <c r="K19" s="546"/>
      <c r="L19" s="587">
        <f>'B1-RESPONSE &amp; B2-REPAIR'!N230</f>
        <v>0</v>
      </c>
      <c r="M19" s="546"/>
      <c r="N19" s="71">
        <f t="shared" ref="N19:N23" si="0">L19/$E$11%</f>
        <v>0</v>
      </c>
      <c r="O19" s="71">
        <f t="shared" ref="O19:O24" si="1">100-N19</f>
        <v>100</v>
      </c>
      <c r="P19" s="13"/>
      <c r="Q19" s="13"/>
      <c r="R19" s="13"/>
      <c r="S19" s="13"/>
      <c r="T19" s="13"/>
      <c r="U19" s="13"/>
      <c r="V19" s="13"/>
    </row>
    <row r="20" spans="1:22" ht="35.25" customHeight="1" x14ac:dyDescent="0.25">
      <c r="A20" s="72" t="s">
        <v>2592</v>
      </c>
      <c r="B20" s="589" t="s">
        <v>2630</v>
      </c>
      <c r="C20" s="545"/>
      <c r="D20" s="545"/>
      <c r="E20" s="545"/>
      <c r="F20" s="545"/>
      <c r="G20" s="545"/>
      <c r="H20" s="546"/>
      <c r="I20" s="586" t="s">
        <v>2594</v>
      </c>
      <c r="J20" s="545"/>
      <c r="K20" s="546"/>
      <c r="L20" s="587">
        <f>'B1-RESPONSE &amp; B2-REPAIR'!T230</f>
        <v>8670</v>
      </c>
      <c r="M20" s="546"/>
      <c r="N20" s="71">
        <f t="shared" si="0"/>
        <v>2.4589339314912757</v>
      </c>
      <c r="O20" s="71">
        <f t="shared" si="1"/>
        <v>97.541066068508727</v>
      </c>
      <c r="P20" s="13"/>
      <c r="Q20" s="13"/>
      <c r="R20" s="13"/>
      <c r="S20" s="13"/>
      <c r="T20" s="13"/>
      <c r="U20" s="13"/>
      <c r="V20" s="13"/>
    </row>
    <row r="21" spans="1:22" ht="35.25" customHeight="1" x14ac:dyDescent="0.25">
      <c r="A21" s="70" t="s">
        <v>2596</v>
      </c>
      <c r="B21" s="589" t="s">
        <v>2631</v>
      </c>
      <c r="C21" s="545"/>
      <c r="D21" s="545"/>
      <c r="E21" s="545"/>
      <c r="F21" s="545"/>
      <c r="G21" s="545"/>
      <c r="H21" s="546"/>
      <c r="I21" s="586" t="s">
        <v>2588</v>
      </c>
      <c r="J21" s="545"/>
      <c r="K21" s="546"/>
      <c r="L21" s="587">
        <f>'B3-SCHEDULED'!M503</f>
        <v>0</v>
      </c>
      <c r="M21" s="546"/>
      <c r="N21" s="71">
        <f t="shared" si="0"/>
        <v>0</v>
      </c>
      <c r="O21" s="71">
        <f t="shared" si="1"/>
        <v>100</v>
      </c>
      <c r="P21" s="13"/>
      <c r="Q21" s="13"/>
      <c r="R21" s="13"/>
      <c r="S21" s="13"/>
      <c r="T21" s="13"/>
      <c r="U21" s="13"/>
      <c r="V21" s="13"/>
    </row>
    <row r="22" spans="1:22" ht="35.25" customHeight="1" x14ac:dyDescent="0.25">
      <c r="A22" s="70" t="s">
        <v>2601</v>
      </c>
      <c r="B22" s="589" t="s">
        <v>2632</v>
      </c>
      <c r="C22" s="545"/>
      <c r="D22" s="545"/>
      <c r="E22" s="545"/>
      <c r="F22" s="545"/>
      <c r="G22" s="545"/>
      <c r="H22" s="546"/>
      <c r="I22" s="586" t="s">
        <v>2588</v>
      </c>
      <c r="J22" s="545"/>
      <c r="K22" s="546"/>
      <c r="L22" s="587">
        <f>'B4-UPTIME'!Z94</f>
        <v>830</v>
      </c>
      <c r="M22" s="546"/>
      <c r="N22" s="71">
        <f t="shared" si="0"/>
        <v>0.23539967279558924</v>
      </c>
      <c r="O22" s="71">
        <f t="shared" si="1"/>
        <v>99.764600327204406</v>
      </c>
      <c r="P22" s="13"/>
      <c r="Q22" s="13"/>
      <c r="R22" s="13"/>
      <c r="S22" s="13"/>
      <c r="T22" s="13"/>
      <c r="U22" s="13"/>
      <c r="V22" s="13"/>
    </row>
    <row r="23" spans="1:22" ht="35.25" customHeight="1" x14ac:dyDescent="0.25">
      <c r="A23" s="70" t="s">
        <v>2607</v>
      </c>
      <c r="B23" s="589" t="s">
        <v>2633</v>
      </c>
      <c r="C23" s="545"/>
      <c r="D23" s="545"/>
      <c r="E23" s="545"/>
      <c r="F23" s="545"/>
      <c r="G23" s="545"/>
      <c r="H23" s="546"/>
      <c r="I23" s="586" t="s">
        <v>2588</v>
      </c>
      <c r="J23" s="545"/>
      <c r="K23" s="546"/>
      <c r="L23" s="587">
        <f>SUM('B5-T&amp;C'!O23)</f>
        <v>0</v>
      </c>
      <c r="M23" s="546"/>
      <c r="N23" s="71">
        <f t="shared" si="0"/>
        <v>0</v>
      </c>
      <c r="O23" s="71">
        <f t="shared" si="1"/>
        <v>100</v>
      </c>
      <c r="P23" s="13"/>
      <c r="Q23" s="13"/>
      <c r="R23" s="13"/>
      <c r="S23" s="13"/>
      <c r="T23" s="13"/>
      <c r="U23" s="13"/>
      <c r="V23" s="13"/>
    </row>
    <row r="24" spans="1:22" ht="35.25" customHeight="1" x14ac:dyDescent="0.25">
      <c r="A24" s="590" t="s">
        <v>2634</v>
      </c>
      <c r="B24" s="545"/>
      <c r="C24" s="545"/>
      <c r="D24" s="545"/>
      <c r="E24" s="545"/>
      <c r="F24" s="545"/>
      <c r="G24" s="545"/>
      <c r="H24" s="545"/>
      <c r="I24" s="545"/>
      <c r="J24" s="545"/>
      <c r="K24" s="546"/>
      <c r="L24" s="582">
        <f>SUM(L19:M23)</f>
        <v>9500</v>
      </c>
      <c r="M24" s="546"/>
      <c r="N24" s="71">
        <f>L24/$E$9%</f>
        <v>2.6269752641796935</v>
      </c>
      <c r="O24" s="71">
        <f t="shared" si="1"/>
        <v>97.373024735820309</v>
      </c>
      <c r="P24" s="13"/>
      <c r="Q24" s="13"/>
      <c r="R24" s="13"/>
      <c r="S24" s="13"/>
      <c r="T24" s="13"/>
      <c r="U24" s="13"/>
      <c r="V24" s="13"/>
    </row>
    <row r="25" spans="1:22" ht="12.75" customHeight="1" x14ac:dyDescent="0.25">
      <c r="A25" s="13"/>
      <c r="B25" s="13"/>
      <c r="C25" s="13"/>
      <c r="D25" s="13"/>
      <c r="E25" s="13"/>
      <c r="F25" s="13"/>
      <c r="G25" s="13"/>
      <c r="H25" s="13"/>
      <c r="I25" s="13"/>
      <c r="J25" s="13"/>
      <c r="K25" s="13"/>
      <c r="L25" s="13"/>
      <c r="M25" s="13"/>
      <c r="N25" s="13"/>
      <c r="O25" s="13"/>
      <c r="P25" s="13"/>
      <c r="Q25" s="13"/>
      <c r="R25" s="13"/>
      <c r="S25" s="13"/>
      <c r="T25" s="13"/>
      <c r="U25" s="13"/>
      <c r="V25" s="13"/>
    </row>
    <row r="26" spans="1:22" ht="12.75" customHeight="1" x14ac:dyDescent="0.25">
      <c r="A26" s="13"/>
      <c r="B26" s="13"/>
      <c r="C26" s="13"/>
      <c r="D26" s="13"/>
      <c r="E26" s="13"/>
      <c r="F26" s="13"/>
      <c r="G26" s="13"/>
      <c r="H26" s="13"/>
      <c r="I26" s="13"/>
      <c r="J26" s="13"/>
      <c r="K26" s="13"/>
      <c r="L26" s="13"/>
      <c r="M26" s="13"/>
      <c r="N26" s="13"/>
      <c r="O26" s="13"/>
      <c r="P26" s="13"/>
      <c r="Q26" s="13"/>
      <c r="R26" s="13"/>
      <c r="S26" s="13"/>
      <c r="T26" s="13"/>
      <c r="U26" s="13"/>
      <c r="V26" s="13"/>
    </row>
    <row r="27" spans="1:22" ht="12.75" customHeight="1" x14ac:dyDescent="0.25">
      <c r="A27" s="73"/>
      <c r="B27" s="73"/>
      <c r="C27" s="73" t="s">
        <v>2635</v>
      </c>
      <c r="D27" s="73"/>
      <c r="E27" s="73"/>
      <c r="F27" s="73"/>
      <c r="G27" s="73"/>
      <c r="H27" s="73"/>
      <c r="I27" s="73" t="s">
        <v>2636</v>
      </c>
      <c r="J27" s="73"/>
      <c r="K27" s="73"/>
      <c r="L27" s="73"/>
      <c r="M27" s="73"/>
      <c r="N27" s="73"/>
      <c r="O27" s="73"/>
      <c r="P27" s="73"/>
      <c r="Q27" s="73"/>
      <c r="R27" s="73"/>
      <c r="S27" s="73"/>
      <c r="T27" s="73"/>
      <c r="U27" s="73"/>
      <c r="V27" s="73"/>
    </row>
    <row r="28" spans="1:22" ht="12.75" customHeight="1" x14ac:dyDescent="0.25">
      <c r="A28" s="73"/>
      <c r="B28" s="73"/>
      <c r="C28" s="73"/>
      <c r="D28" s="73"/>
      <c r="E28" s="73"/>
      <c r="F28" s="73"/>
      <c r="G28" s="73"/>
      <c r="H28" s="73"/>
      <c r="I28" s="73"/>
      <c r="J28" s="73"/>
      <c r="K28" s="73"/>
      <c r="L28" s="73"/>
      <c r="M28" s="73"/>
      <c r="N28" s="73"/>
      <c r="O28" s="73"/>
      <c r="P28" s="73"/>
      <c r="Q28" s="73"/>
      <c r="R28" s="73"/>
      <c r="S28" s="73"/>
      <c r="T28" s="73"/>
      <c r="U28" s="73"/>
      <c r="V28" s="73"/>
    </row>
    <row r="29" spans="1:22" ht="12.75" customHeight="1" x14ac:dyDescent="0.25">
      <c r="A29" s="73"/>
      <c r="B29" s="73"/>
      <c r="C29" s="73"/>
      <c r="D29" s="73"/>
      <c r="E29" s="73"/>
      <c r="F29" s="73"/>
      <c r="G29" s="73"/>
      <c r="H29" s="73"/>
      <c r="I29" s="73"/>
      <c r="J29" s="73"/>
      <c r="K29" s="73"/>
      <c r="L29" s="73"/>
      <c r="M29" s="73"/>
      <c r="N29" s="73"/>
      <c r="O29" s="73"/>
      <c r="P29" s="73"/>
      <c r="Q29" s="73"/>
      <c r="R29" s="73"/>
      <c r="S29" s="73"/>
      <c r="T29" s="73"/>
      <c r="U29" s="73"/>
      <c r="V29" s="73"/>
    </row>
    <row r="30" spans="1:22" ht="12.75" customHeight="1" x14ac:dyDescent="0.25">
      <c r="A30" s="73"/>
      <c r="B30" s="73"/>
      <c r="C30" s="74"/>
      <c r="D30" s="74"/>
      <c r="E30" s="73"/>
      <c r="F30" s="73"/>
      <c r="G30" s="73"/>
      <c r="H30" s="73"/>
      <c r="I30" s="74"/>
      <c r="J30" s="74"/>
      <c r="K30" s="74"/>
      <c r="L30" s="74"/>
      <c r="M30" s="73"/>
      <c r="N30" s="73"/>
      <c r="O30" s="73"/>
      <c r="P30" s="73"/>
      <c r="Q30" s="73"/>
      <c r="R30" s="73"/>
      <c r="S30" s="73"/>
      <c r="T30" s="73"/>
      <c r="U30" s="73"/>
      <c r="V30" s="73"/>
    </row>
    <row r="31" spans="1:22" ht="17.25" customHeight="1" x14ac:dyDescent="0.25">
      <c r="A31" s="73"/>
      <c r="B31" s="73"/>
      <c r="C31" s="75" t="s">
        <v>2637</v>
      </c>
      <c r="D31" s="73"/>
      <c r="E31" s="73"/>
      <c r="F31" s="73"/>
      <c r="G31" s="73"/>
      <c r="H31" s="73"/>
      <c r="I31" s="75" t="s">
        <v>2638</v>
      </c>
      <c r="J31" s="73"/>
      <c r="K31" s="73"/>
      <c r="L31" s="73"/>
      <c r="M31" s="73"/>
      <c r="N31" s="73"/>
      <c r="O31" s="73"/>
      <c r="P31" s="73"/>
      <c r="Q31" s="73"/>
      <c r="R31" s="73"/>
      <c r="S31" s="73"/>
      <c r="T31" s="73"/>
      <c r="U31" s="73"/>
      <c r="V31" s="73"/>
    </row>
    <row r="32" spans="1:22" ht="17.25" customHeight="1" x14ac:dyDescent="0.25">
      <c r="A32" s="73"/>
      <c r="B32" s="73"/>
      <c r="C32" s="73" t="s">
        <v>2639</v>
      </c>
      <c r="D32" s="73"/>
      <c r="E32" s="73"/>
      <c r="F32" s="73"/>
      <c r="G32" s="73"/>
      <c r="H32" s="73"/>
      <c r="I32" s="73" t="s">
        <v>2640</v>
      </c>
      <c r="J32" s="73"/>
      <c r="K32" s="73"/>
      <c r="L32" s="73"/>
      <c r="M32" s="73"/>
      <c r="N32" s="73"/>
      <c r="O32" s="73"/>
      <c r="P32" s="73"/>
      <c r="Q32" s="73"/>
      <c r="R32" s="73"/>
      <c r="S32" s="73"/>
      <c r="T32" s="73"/>
      <c r="U32" s="73"/>
      <c r="V32" s="73"/>
    </row>
    <row r="33" spans="1:22" ht="16.5" customHeight="1" x14ac:dyDescent="0.25">
      <c r="A33" s="73"/>
      <c r="B33" s="73"/>
      <c r="C33" s="73" t="s">
        <v>2641</v>
      </c>
      <c r="D33" s="73"/>
      <c r="E33" s="73"/>
      <c r="F33" s="73"/>
      <c r="G33" s="73"/>
      <c r="H33" s="73"/>
      <c r="I33" s="73" t="s">
        <v>2641</v>
      </c>
      <c r="J33" s="73"/>
      <c r="K33" s="73"/>
      <c r="L33" s="73"/>
      <c r="M33" s="73"/>
      <c r="N33" s="73"/>
      <c r="O33" s="73"/>
      <c r="P33" s="73"/>
      <c r="Q33" s="73"/>
      <c r="R33" s="73"/>
      <c r="S33" s="73"/>
      <c r="T33" s="73"/>
      <c r="U33" s="73"/>
      <c r="V33" s="73"/>
    </row>
    <row r="34" spans="1:22" ht="19.5" customHeight="1" x14ac:dyDescent="0.25">
      <c r="A34" s="73"/>
      <c r="B34" s="73"/>
      <c r="C34" s="73" t="s">
        <v>2642</v>
      </c>
      <c r="D34" s="73"/>
      <c r="E34" s="73"/>
      <c r="F34" s="73"/>
      <c r="G34" s="73"/>
      <c r="H34" s="73"/>
      <c r="I34" s="73" t="s">
        <v>2643</v>
      </c>
      <c r="J34" s="73"/>
      <c r="K34" s="73"/>
      <c r="L34" s="73"/>
      <c r="M34" s="73"/>
      <c r="N34" s="73"/>
      <c r="O34" s="73"/>
      <c r="P34" s="73"/>
      <c r="Q34" s="73"/>
      <c r="R34" s="73"/>
      <c r="S34" s="73"/>
      <c r="T34" s="73"/>
      <c r="U34" s="73"/>
      <c r="V34" s="73"/>
    </row>
    <row r="35" spans="1:22" ht="12.75" customHeight="1" x14ac:dyDescent="0.25">
      <c r="A35" s="13"/>
      <c r="B35" s="13"/>
      <c r="C35" s="13"/>
      <c r="D35" s="13"/>
      <c r="E35" s="13"/>
      <c r="F35" s="13"/>
      <c r="G35" s="13"/>
      <c r="H35" s="13"/>
      <c r="I35" s="13"/>
      <c r="J35" s="13"/>
      <c r="K35" s="13"/>
      <c r="L35" s="13"/>
      <c r="M35" s="13"/>
      <c r="N35" s="13"/>
      <c r="O35" s="13"/>
      <c r="P35" s="13"/>
      <c r="Q35" s="13"/>
      <c r="R35" s="13"/>
      <c r="S35" s="13"/>
      <c r="T35" s="13"/>
      <c r="U35" s="13"/>
      <c r="V35" s="13"/>
    </row>
    <row r="36" spans="1:22"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row>
    <row r="37" spans="1:22"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row>
    <row r="38" spans="1:22"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row>
    <row r="39" spans="1:22"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row>
    <row r="40" spans="1:22"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row>
    <row r="41" spans="1:22" ht="12.75" customHeight="1" x14ac:dyDescent="0.25">
      <c r="A41" s="13"/>
      <c r="B41" s="13"/>
      <c r="C41" s="13"/>
      <c r="D41" s="13"/>
      <c r="E41" s="13"/>
      <c r="F41" s="13"/>
      <c r="G41" s="13"/>
      <c r="H41" s="13"/>
      <c r="I41" s="13"/>
      <c r="J41" s="13"/>
      <c r="K41" s="13"/>
      <c r="L41" s="13"/>
      <c r="M41" s="13"/>
      <c r="N41" s="13"/>
      <c r="O41" s="13"/>
      <c r="P41" s="13"/>
      <c r="Q41" s="13"/>
      <c r="R41" s="13"/>
      <c r="S41" s="13"/>
      <c r="T41" s="13"/>
      <c r="U41" s="13"/>
      <c r="V41" s="13"/>
    </row>
    <row r="42" spans="1:22" ht="12.75" customHeight="1" x14ac:dyDescent="0.25">
      <c r="A42" s="13"/>
      <c r="B42" s="13"/>
      <c r="C42" s="13"/>
      <c r="D42" s="13"/>
      <c r="E42" s="13"/>
      <c r="F42" s="13"/>
      <c r="G42" s="13"/>
      <c r="H42" s="13"/>
      <c r="I42" s="13"/>
      <c r="J42" s="13"/>
      <c r="K42" s="13"/>
      <c r="L42" s="13"/>
      <c r="M42" s="13"/>
      <c r="N42" s="13"/>
      <c r="O42" s="13"/>
      <c r="P42" s="13"/>
      <c r="Q42" s="13"/>
      <c r="R42" s="13"/>
      <c r="S42" s="13"/>
      <c r="T42" s="13"/>
      <c r="U42" s="13"/>
      <c r="V42" s="13"/>
    </row>
    <row r="43" spans="1:22" ht="12.75" customHeight="1" x14ac:dyDescent="0.25">
      <c r="A43" s="13"/>
      <c r="B43" s="13"/>
      <c r="C43" s="13"/>
      <c r="D43" s="13"/>
      <c r="E43" s="13"/>
      <c r="F43" s="13"/>
      <c r="G43" s="13"/>
      <c r="H43" s="13"/>
      <c r="I43" s="13"/>
      <c r="J43" s="13"/>
      <c r="K43" s="13"/>
      <c r="L43" s="13"/>
      <c r="M43" s="13"/>
      <c r="N43" s="13"/>
      <c r="O43" s="13"/>
      <c r="P43" s="13"/>
      <c r="Q43" s="13"/>
      <c r="R43" s="13"/>
      <c r="S43" s="13"/>
      <c r="T43" s="13"/>
      <c r="U43" s="13"/>
      <c r="V43" s="13"/>
    </row>
    <row r="44" spans="1:22" ht="12.75" customHeight="1" x14ac:dyDescent="0.25">
      <c r="A44" s="13"/>
      <c r="B44" s="13"/>
      <c r="C44" s="13"/>
      <c r="D44" s="13"/>
      <c r="E44" s="13"/>
      <c r="F44" s="13"/>
      <c r="G44" s="13"/>
      <c r="H44" s="13"/>
      <c r="I44" s="13"/>
      <c r="J44" s="13"/>
      <c r="K44" s="13"/>
      <c r="L44" s="13"/>
      <c r="M44" s="13"/>
      <c r="N44" s="13"/>
      <c r="O44" s="13"/>
      <c r="P44" s="13"/>
      <c r="Q44" s="13"/>
      <c r="R44" s="13"/>
      <c r="S44" s="13"/>
      <c r="T44" s="13"/>
      <c r="U44" s="13"/>
      <c r="V44" s="13"/>
    </row>
    <row r="45" spans="1:22" ht="12.75" customHeight="1" x14ac:dyDescent="0.25">
      <c r="A45" s="13"/>
      <c r="B45" s="13"/>
      <c r="C45" s="13"/>
      <c r="D45" s="13"/>
      <c r="E45" s="13"/>
      <c r="F45" s="13"/>
      <c r="G45" s="13"/>
      <c r="H45" s="13"/>
      <c r="I45" s="13"/>
      <c r="J45" s="13"/>
      <c r="K45" s="13"/>
      <c r="L45" s="13"/>
      <c r="M45" s="13"/>
      <c r="N45" s="13"/>
      <c r="O45" s="13"/>
      <c r="P45" s="13"/>
      <c r="Q45" s="13"/>
      <c r="R45" s="13"/>
      <c r="S45" s="13"/>
      <c r="T45" s="13"/>
      <c r="U45" s="13"/>
      <c r="V45" s="13"/>
    </row>
    <row r="46" spans="1:22"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row>
    <row r="47" spans="1:22"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row>
    <row r="48" spans="1:22"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row>
    <row r="49" spans="1:22"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row>
    <row r="50" spans="1:22"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row>
    <row r="51" spans="1:22"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row>
    <row r="52" spans="1:22"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row>
    <row r="53" spans="1:22" ht="12.75" customHeight="1" x14ac:dyDescent="0.25">
      <c r="A53" s="13"/>
      <c r="B53" s="13"/>
      <c r="C53" s="13"/>
      <c r="D53" s="13"/>
      <c r="E53" s="13"/>
      <c r="F53" s="13"/>
      <c r="G53" s="13"/>
      <c r="H53" s="13"/>
      <c r="I53" s="13"/>
      <c r="J53" s="13"/>
      <c r="K53" s="13"/>
      <c r="L53" s="13"/>
      <c r="M53" s="13"/>
      <c r="N53" s="13"/>
      <c r="O53" s="13"/>
      <c r="P53" s="13"/>
      <c r="Q53" s="13"/>
      <c r="R53" s="13"/>
      <c r="S53" s="13"/>
      <c r="T53" s="13"/>
      <c r="U53" s="13"/>
      <c r="V53" s="13"/>
    </row>
    <row r="54" spans="1:22" ht="12.75" customHeight="1" x14ac:dyDescent="0.25">
      <c r="A54" s="13"/>
      <c r="B54" s="13"/>
      <c r="C54" s="13"/>
      <c r="D54" s="13"/>
      <c r="E54" s="13"/>
      <c r="F54" s="13"/>
      <c r="G54" s="13"/>
      <c r="H54" s="13"/>
      <c r="I54" s="13"/>
      <c r="J54" s="13"/>
      <c r="K54" s="13"/>
      <c r="L54" s="13"/>
      <c r="M54" s="13"/>
      <c r="N54" s="13"/>
      <c r="O54" s="13"/>
      <c r="P54" s="13"/>
      <c r="Q54" s="13"/>
      <c r="R54" s="13"/>
      <c r="S54" s="13"/>
      <c r="T54" s="13"/>
      <c r="U54" s="13"/>
      <c r="V54" s="13"/>
    </row>
    <row r="55" spans="1:22" ht="12.75" customHeight="1" x14ac:dyDescent="0.25">
      <c r="A55" s="13"/>
      <c r="B55" s="13"/>
      <c r="C55" s="13"/>
      <c r="D55" s="13"/>
      <c r="E55" s="13"/>
      <c r="F55" s="13"/>
      <c r="G55" s="13"/>
      <c r="H55" s="13"/>
      <c r="I55" s="13"/>
      <c r="J55" s="13"/>
      <c r="K55" s="13"/>
      <c r="L55" s="13"/>
      <c r="M55" s="13"/>
      <c r="N55" s="13"/>
      <c r="O55" s="13"/>
      <c r="P55" s="13"/>
      <c r="Q55" s="13"/>
      <c r="R55" s="13"/>
      <c r="S55" s="13"/>
      <c r="T55" s="13"/>
      <c r="U55" s="13"/>
      <c r="V55" s="13"/>
    </row>
    <row r="56" spans="1:22" ht="12.75" customHeight="1" x14ac:dyDescent="0.25">
      <c r="A56" s="13"/>
      <c r="B56" s="13"/>
      <c r="C56" s="13"/>
      <c r="D56" s="13"/>
      <c r="E56" s="13"/>
      <c r="F56" s="13"/>
      <c r="G56" s="13"/>
      <c r="H56" s="13"/>
      <c r="I56" s="13"/>
      <c r="J56" s="13"/>
      <c r="K56" s="13"/>
      <c r="L56" s="13"/>
      <c r="M56" s="13"/>
      <c r="N56" s="13"/>
      <c r="O56" s="13"/>
      <c r="P56" s="13"/>
      <c r="Q56" s="13"/>
      <c r="R56" s="13"/>
      <c r="S56" s="13"/>
      <c r="T56" s="13"/>
      <c r="U56" s="13"/>
      <c r="V56" s="13"/>
    </row>
    <row r="57" spans="1:22" ht="12.75" customHeight="1" x14ac:dyDescent="0.25">
      <c r="A57" s="13"/>
      <c r="B57" s="13"/>
      <c r="C57" s="13"/>
      <c r="D57" s="13"/>
      <c r="E57" s="13"/>
      <c r="F57" s="13"/>
      <c r="G57" s="13"/>
      <c r="H57" s="13"/>
      <c r="I57" s="13"/>
      <c r="J57" s="13"/>
      <c r="K57" s="13"/>
      <c r="L57" s="13"/>
      <c r="M57" s="13"/>
      <c r="N57" s="13"/>
      <c r="O57" s="13"/>
      <c r="P57" s="13"/>
      <c r="Q57" s="13"/>
      <c r="R57" s="13"/>
      <c r="S57" s="13"/>
      <c r="T57" s="13"/>
      <c r="U57" s="13"/>
      <c r="V57" s="13"/>
    </row>
    <row r="58" spans="1:22" ht="12.75" customHeight="1" x14ac:dyDescent="0.25">
      <c r="A58" s="13"/>
      <c r="B58" s="13"/>
      <c r="C58" s="13"/>
      <c r="D58" s="13"/>
      <c r="E58" s="13"/>
      <c r="F58" s="13"/>
      <c r="G58" s="13"/>
      <c r="H58" s="13"/>
      <c r="I58" s="13"/>
      <c r="J58" s="13"/>
      <c r="K58" s="13"/>
      <c r="L58" s="13"/>
      <c r="M58" s="13"/>
      <c r="N58" s="13"/>
      <c r="O58" s="13"/>
      <c r="P58" s="13"/>
      <c r="Q58" s="13"/>
      <c r="R58" s="13"/>
      <c r="S58" s="13"/>
      <c r="T58" s="13"/>
      <c r="U58" s="13"/>
      <c r="V58" s="13"/>
    </row>
    <row r="59" spans="1:22" ht="12.75" customHeight="1" x14ac:dyDescent="0.25">
      <c r="A59" s="13"/>
      <c r="B59" s="13"/>
      <c r="C59" s="13"/>
      <c r="D59" s="13"/>
      <c r="E59" s="13"/>
      <c r="F59" s="13"/>
      <c r="G59" s="13"/>
      <c r="H59" s="13"/>
      <c r="I59" s="13"/>
      <c r="J59" s="13"/>
      <c r="K59" s="13"/>
      <c r="L59" s="13"/>
      <c r="M59" s="13"/>
      <c r="N59" s="13"/>
      <c r="O59" s="13"/>
      <c r="P59" s="13"/>
      <c r="Q59" s="13"/>
      <c r="R59" s="13"/>
      <c r="S59" s="13"/>
      <c r="T59" s="13"/>
      <c r="U59" s="13"/>
      <c r="V59" s="13"/>
    </row>
    <row r="60" spans="1:22" ht="12.75" customHeight="1" x14ac:dyDescent="0.25">
      <c r="A60" s="13"/>
      <c r="B60" s="13"/>
      <c r="C60" s="13"/>
      <c r="D60" s="13"/>
      <c r="E60" s="13"/>
      <c r="F60" s="13"/>
      <c r="G60" s="13"/>
      <c r="H60" s="13"/>
      <c r="I60" s="13"/>
      <c r="J60" s="13"/>
      <c r="K60" s="13"/>
      <c r="L60" s="13"/>
      <c r="M60" s="13"/>
      <c r="N60" s="13"/>
      <c r="O60" s="13"/>
      <c r="P60" s="13"/>
      <c r="Q60" s="13"/>
      <c r="R60" s="13"/>
      <c r="S60" s="13"/>
      <c r="T60" s="13"/>
      <c r="U60" s="13"/>
      <c r="V60" s="13"/>
    </row>
    <row r="61" spans="1:22" ht="12.75" customHeight="1" x14ac:dyDescent="0.25">
      <c r="A61" s="13"/>
      <c r="B61" s="13"/>
      <c r="C61" s="13"/>
      <c r="D61" s="13"/>
      <c r="E61" s="13"/>
      <c r="F61" s="13"/>
      <c r="G61" s="13"/>
      <c r="H61" s="13"/>
      <c r="I61" s="13"/>
      <c r="J61" s="13"/>
      <c r="K61" s="13"/>
      <c r="L61" s="13"/>
      <c r="M61" s="13"/>
      <c r="N61" s="13"/>
      <c r="O61" s="13"/>
      <c r="P61" s="13"/>
      <c r="Q61" s="13"/>
      <c r="R61" s="13"/>
      <c r="S61" s="13"/>
      <c r="T61" s="13"/>
      <c r="U61" s="13"/>
      <c r="V61" s="13"/>
    </row>
    <row r="62" spans="1:22" ht="12.75" customHeight="1" x14ac:dyDescent="0.25">
      <c r="A62" s="13"/>
      <c r="B62" s="13"/>
      <c r="C62" s="13"/>
      <c r="D62" s="13"/>
      <c r="E62" s="13"/>
      <c r="F62" s="13"/>
      <c r="G62" s="13"/>
      <c r="H62" s="13"/>
      <c r="I62" s="13"/>
      <c r="J62" s="13"/>
      <c r="K62" s="13"/>
      <c r="L62" s="13"/>
      <c r="M62" s="13"/>
      <c r="N62" s="13"/>
      <c r="O62" s="13"/>
      <c r="P62" s="13"/>
      <c r="Q62" s="13"/>
      <c r="R62" s="13"/>
      <c r="S62" s="13"/>
      <c r="T62" s="13"/>
      <c r="U62" s="13"/>
      <c r="V62" s="13"/>
    </row>
    <row r="63" spans="1:22" ht="12.75" customHeight="1" x14ac:dyDescent="0.25">
      <c r="A63" s="13"/>
      <c r="B63" s="13"/>
      <c r="C63" s="13"/>
      <c r="D63" s="13"/>
      <c r="E63" s="13"/>
      <c r="F63" s="13"/>
      <c r="G63" s="13"/>
      <c r="H63" s="13"/>
      <c r="I63" s="13"/>
      <c r="J63" s="13"/>
      <c r="K63" s="13"/>
      <c r="L63" s="13"/>
      <c r="M63" s="13"/>
      <c r="N63" s="13"/>
      <c r="O63" s="13"/>
      <c r="P63" s="13"/>
      <c r="Q63" s="13"/>
      <c r="R63" s="13"/>
      <c r="S63" s="13"/>
      <c r="T63" s="13"/>
      <c r="U63" s="13"/>
      <c r="V63" s="13"/>
    </row>
    <row r="64" spans="1:22" ht="12.75" customHeight="1" x14ac:dyDescent="0.25">
      <c r="A64" s="13"/>
      <c r="B64" s="13"/>
      <c r="C64" s="13"/>
      <c r="D64" s="13"/>
      <c r="E64" s="13"/>
      <c r="F64" s="13"/>
      <c r="G64" s="13"/>
      <c r="H64" s="13"/>
      <c r="I64" s="13"/>
      <c r="J64" s="13"/>
      <c r="K64" s="13"/>
      <c r="L64" s="13"/>
      <c r="M64" s="13"/>
      <c r="N64" s="13"/>
      <c r="O64" s="13"/>
      <c r="P64" s="13"/>
      <c r="Q64" s="13"/>
      <c r="R64" s="13"/>
      <c r="S64" s="13"/>
      <c r="T64" s="13"/>
      <c r="U64" s="13"/>
      <c r="V64" s="13"/>
    </row>
    <row r="65" spans="1:22"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row>
    <row r="66" spans="1:22"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row>
    <row r="67" spans="1:22"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row>
    <row r="68" spans="1:22"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row>
    <row r="69" spans="1:22"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row>
    <row r="70" spans="1:22"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row>
    <row r="71" spans="1:22"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row>
    <row r="72" spans="1:22"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row>
    <row r="73" spans="1:22"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row>
    <row r="74" spans="1:22"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row>
    <row r="75" spans="1:22"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row>
    <row r="76" spans="1:22"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row>
    <row r="77" spans="1:22"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row>
    <row r="78" spans="1:22"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row>
    <row r="79" spans="1:22"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row>
    <row r="80" spans="1:22"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row>
    <row r="81" spans="1:22"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row>
    <row r="82" spans="1:22"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row>
    <row r="83" spans="1:22"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row>
    <row r="84" spans="1:22"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row>
    <row r="85" spans="1:22"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row>
    <row r="86" spans="1:22"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row>
    <row r="87" spans="1:22"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row>
    <row r="88" spans="1:22"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row>
    <row r="89" spans="1:22"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row>
    <row r="90" spans="1:22"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row>
    <row r="91" spans="1:22"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row>
    <row r="92" spans="1:22"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row>
    <row r="93" spans="1:22"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row>
    <row r="94" spans="1:22"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row>
    <row r="95" spans="1:22"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row>
    <row r="96" spans="1:22"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row>
    <row r="97" spans="1:22"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row>
    <row r="98" spans="1:22"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row>
    <row r="99" spans="1:22"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row>
    <row r="100" spans="1:22"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row>
  </sheetData>
  <mergeCells count="33">
    <mergeCell ref="A1:O1"/>
    <mergeCell ref="J5:M5"/>
    <mergeCell ref="J7:M7"/>
    <mergeCell ref="E5:F5"/>
    <mergeCell ref="E7:F7"/>
    <mergeCell ref="A3:O3"/>
    <mergeCell ref="I22:K22"/>
    <mergeCell ref="L22:M22"/>
    <mergeCell ref="I23:K23"/>
    <mergeCell ref="L23:M23"/>
    <mergeCell ref="A2:O2"/>
    <mergeCell ref="E9:F9"/>
    <mergeCell ref="E11:F11"/>
    <mergeCell ref="B21:H21"/>
    <mergeCell ref="B19:H19"/>
    <mergeCell ref="B20:H20"/>
    <mergeCell ref="B17:H18"/>
    <mergeCell ref="L24:M24"/>
    <mergeCell ref="I17:K18"/>
    <mergeCell ref="L17:M18"/>
    <mergeCell ref="E13:F13"/>
    <mergeCell ref="O17:O18"/>
    <mergeCell ref="I19:K19"/>
    <mergeCell ref="L19:M19"/>
    <mergeCell ref="I20:K20"/>
    <mergeCell ref="L20:M20"/>
    <mergeCell ref="N17:N18"/>
    <mergeCell ref="B22:H22"/>
    <mergeCell ref="B23:H23"/>
    <mergeCell ref="A24:K24"/>
    <mergeCell ref="A17:A18"/>
    <mergeCell ref="I21:K21"/>
    <mergeCell ref="L21:M21"/>
  </mergeCells>
  <printOptions horizontalCentered="1"/>
  <pageMargins left="0.70866141732283472" right="0.31496062992125984" top="0.70866141732283472" bottom="0.55118110236220474" header="0" footer="0"/>
  <pageSetup paperSize="9" scale="8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fitToPage="1"/>
  </sheetPr>
  <dimension ref="A1:V247"/>
  <sheetViews>
    <sheetView topLeftCell="A121" zoomScale="50" zoomScaleNormal="50" workbookViewId="0">
      <selection activeCell="S208" sqref="S208"/>
    </sheetView>
  </sheetViews>
  <sheetFormatPr defaultColWidth="14.42578125" defaultRowHeight="15" customHeight="1" x14ac:dyDescent="0.25"/>
  <cols>
    <col min="1" max="1" width="6.5703125" style="263" customWidth="1"/>
    <col min="2" max="2" width="27.28515625" style="263" customWidth="1"/>
    <col min="3" max="3" width="33.7109375" style="264" customWidth="1"/>
    <col min="4" max="4" width="26" style="263" customWidth="1"/>
    <col min="5" max="5" width="31.85546875" style="263" customWidth="1"/>
    <col min="6" max="6" width="28.5703125" style="264" customWidth="1"/>
    <col min="7" max="7" width="43.5703125" style="333" customWidth="1"/>
    <col min="8" max="8" width="18.85546875" style="263" customWidth="1"/>
    <col min="9" max="9" width="28.28515625" style="263" customWidth="1"/>
    <col min="10" max="10" width="19.5703125" style="263" customWidth="1"/>
    <col min="11" max="11" width="17.7109375" style="263" customWidth="1"/>
    <col min="12" max="12" width="18.140625" style="263" customWidth="1"/>
    <col min="13" max="13" width="20.85546875" style="263" customWidth="1"/>
    <col min="14" max="14" width="15.5703125" style="263" customWidth="1"/>
    <col min="15" max="15" width="14.7109375" style="263" customWidth="1"/>
    <col min="16" max="16" width="15.28515625" style="263" customWidth="1"/>
    <col min="17" max="17" width="16.140625" style="263" customWidth="1"/>
    <col min="18" max="18" width="16.42578125" style="263" customWidth="1"/>
    <col min="19" max="19" width="15.7109375" style="263" customWidth="1"/>
    <col min="20" max="20" width="22.7109375" style="263" customWidth="1"/>
    <col min="21" max="21" width="45.28515625" style="333" customWidth="1"/>
    <col min="22" max="16384" width="14.42578125" style="263"/>
  </cols>
  <sheetData>
    <row r="1" spans="1:21" ht="18" x14ac:dyDescent="0.25">
      <c r="A1" s="283"/>
      <c r="B1" s="600" t="s">
        <v>2611</v>
      </c>
      <c r="C1" s="601"/>
      <c r="D1" s="601"/>
      <c r="E1" s="601"/>
      <c r="F1" s="601"/>
      <c r="G1" s="601"/>
      <c r="H1" s="601"/>
      <c r="I1" s="601"/>
      <c r="J1" s="601"/>
      <c r="K1" s="601"/>
      <c r="L1" s="601"/>
      <c r="M1" s="601"/>
      <c r="N1" s="601"/>
      <c r="O1" s="601"/>
      <c r="P1" s="601"/>
      <c r="Q1" s="601"/>
      <c r="R1" s="601"/>
      <c r="S1" s="601"/>
      <c r="T1" s="601"/>
      <c r="U1" s="602"/>
    </row>
    <row r="2" spans="1:21" ht="54" customHeight="1" x14ac:dyDescent="0.25">
      <c r="A2" s="284"/>
      <c r="B2" s="600" t="s">
        <v>3062</v>
      </c>
      <c r="C2" s="601"/>
      <c r="D2" s="601"/>
      <c r="E2" s="601"/>
      <c r="F2" s="601"/>
      <c r="G2" s="601"/>
      <c r="H2" s="601"/>
      <c r="I2" s="601"/>
      <c r="J2" s="601"/>
      <c r="K2" s="601"/>
      <c r="L2" s="601"/>
      <c r="M2" s="601"/>
      <c r="N2" s="601"/>
      <c r="O2" s="601"/>
      <c r="P2" s="601"/>
      <c r="Q2" s="601"/>
      <c r="R2" s="601"/>
      <c r="S2" s="601"/>
      <c r="T2" s="601"/>
      <c r="U2" s="601"/>
    </row>
    <row r="3" spans="1:21" ht="18" x14ac:dyDescent="0.25">
      <c r="A3" s="284"/>
      <c r="B3" s="600" t="s">
        <v>2644</v>
      </c>
      <c r="C3" s="601"/>
      <c r="D3" s="601"/>
      <c r="E3" s="601"/>
      <c r="F3" s="601"/>
      <c r="G3" s="601"/>
      <c r="H3" s="601"/>
      <c r="I3" s="601"/>
      <c r="J3" s="601"/>
      <c r="K3" s="601"/>
      <c r="L3" s="601"/>
      <c r="M3" s="601"/>
      <c r="N3" s="601"/>
      <c r="O3" s="601"/>
      <c r="P3" s="601"/>
      <c r="Q3" s="601"/>
      <c r="R3" s="601"/>
      <c r="S3" s="601"/>
      <c r="T3" s="601"/>
      <c r="U3" s="601"/>
    </row>
    <row r="4" spans="1:21" ht="24.95" customHeight="1" x14ac:dyDescent="0.25">
      <c r="A4" s="284"/>
      <c r="B4" s="283"/>
      <c r="C4" s="283"/>
      <c r="D4" s="283"/>
      <c r="E4" s="283"/>
      <c r="F4" s="283"/>
      <c r="G4" s="369"/>
      <c r="H4" s="283"/>
      <c r="I4" s="283"/>
      <c r="J4" s="285"/>
      <c r="K4" s="285"/>
      <c r="L4" s="286"/>
      <c r="M4" s="286"/>
      <c r="N4" s="283"/>
      <c r="O4" s="283"/>
      <c r="P4" s="283"/>
      <c r="Q4" s="283"/>
      <c r="R4" s="283"/>
      <c r="S4" s="283"/>
      <c r="T4" s="287"/>
      <c r="U4" s="288"/>
    </row>
    <row r="5" spans="1:21" ht="24.95" customHeight="1" x14ac:dyDescent="0.25">
      <c r="A5" s="290"/>
      <c r="B5" s="284" t="s">
        <v>2613</v>
      </c>
      <c r="C5" s="615" t="s">
        <v>2614</v>
      </c>
      <c r="D5" s="612"/>
      <c r="E5" s="612"/>
      <c r="F5" s="612"/>
      <c r="G5" s="612"/>
      <c r="H5" s="613"/>
      <c r="I5" s="284"/>
      <c r="J5" s="289"/>
      <c r="K5" s="289"/>
      <c r="L5" s="627" t="s">
        <v>2645</v>
      </c>
      <c r="M5" s="628"/>
      <c r="N5" s="611">
        <f>BEMSdar!E7</f>
        <v>46082</v>
      </c>
      <c r="O5" s="612"/>
      <c r="P5" s="612"/>
      <c r="Q5" s="612"/>
      <c r="R5" s="613"/>
      <c r="S5" s="290"/>
      <c r="T5" s="323"/>
      <c r="U5" s="324"/>
    </row>
    <row r="6" spans="1:21" ht="24.95" customHeight="1" x14ac:dyDescent="0.25">
      <c r="A6" s="290"/>
      <c r="B6" s="284"/>
      <c r="C6" s="284"/>
      <c r="D6" s="284"/>
      <c r="E6" s="290"/>
      <c r="F6" s="284"/>
      <c r="G6" s="370"/>
      <c r="H6" s="284"/>
      <c r="I6" s="284"/>
      <c r="J6" s="289"/>
      <c r="K6" s="289"/>
      <c r="L6" s="377"/>
      <c r="M6" s="376"/>
      <c r="N6" s="292"/>
      <c r="O6" s="292"/>
      <c r="P6" s="292"/>
      <c r="Q6" s="292"/>
      <c r="R6" s="325"/>
      <c r="S6" s="290"/>
      <c r="T6" s="323"/>
      <c r="U6" s="324"/>
    </row>
    <row r="7" spans="1:21" ht="24.95" customHeight="1" x14ac:dyDescent="0.25">
      <c r="A7" s="290"/>
      <c r="B7" s="284" t="s">
        <v>2646</v>
      </c>
      <c r="C7" s="614" t="s">
        <v>2616</v>
      </c>
      <c r="D7" s="612"/>
      <c r="E7" s="612"/>
      <c r="F7" s="612"/>
      <c r="G7" s="612"/>
      <c r="H7" s="613"/>
      <c r="I7" s="284"/>
      <c r="J7" s="289"/>
      <c r="K7" s="289"/>
      <c r="L7" s="627" t="s">
        <v>2647</v>
      </c>
      <c r="M7" s="602"/>
      <c r="N7" s="611">
        <v>46112</v>
      </c>
      <c r="O7" s="612"/>
      <c r="P7" s="612"/>
      <c r="Q7" s="612"/>
      <c r="R7" s="613"/>
      <c r="S7" s="290"/>
      <c r="T7" s="323"/>
      <c r="U7" s="324"/>
    </row>
    <row r="8" spans="1:21" ht="24.95" customHeight="1" x14ac:dyDescent="0.25">
      <c r="A8" s="290"/>
      <c r="B8" s="284"/>
      <c r="C8" s="284"/>
      <c r="D8" s="284"/>
      <c r="E8" s="290"/>
      <c r="F8" s="284"/>
      <c r="G8" s="370"/>
      <c r="H8" s="284"/>
      <c r="I8" s="284"/>
      <c r="J8" s="289"/>
      <c r="K8" s="289"/>
      <c r="L8" s="291"/>
      <c r="M8" s="294"/>
      <c r="N8" s="292"/>
      <c r="O8" s="292"/>
      <c r="P8" s="292"/>
      <c r="Q8" s="292"/>
      <c r="R8" s="292"/>
      <c r="S8" s="290"/>
      <c r="T8" s="323"/>
      <c r="U8" s="324"/>
    </row>
    <row r="9" spans="1:21" ht="43.5" customHeight="1" x14ac:dyDescent="0.25">
      <c r="A9" s="290"/>
      <c r="B9" s="284" t="s">
        <v>2648</v>
      </c>
      <c r="C9" s="615" t="s">
        <v>2649</v>
      </c>
      <c r="D9" s="612"/>
      <c r="E9" s="612"/>
      <c r="F9" s="612"/>
      <c r="G9" s="612"/>
      <c r="H9" s="613"/>
      <c r="I9" s="326"/>
      <c r="J9" s="293"/>
      <c r="K9" s="293"/>
      <c r="L9" s="616" t="s">
        <v>2650</v>
      </c>
      <c r="M9" s="617"/>
      <c r="N9" s="629">
        <f>BEMSdar!E11</f>
        <v>352591.82400000002</v>
      </c>
      <c r="O9" s="630"/>
      <c r="P9" s="630"/>
      <c r="Q9" s="630"/>
      <c r="R9" s="631"/>
      <c r="S9" s="290"/>
      <c r="T9" s="323"/>
      <c r="U9" s="324"/>
    </row>
    <row r="10" spans="1:21" ht="24.95" customHeight="1" x14ac:dyDescent="0.25">
      <c r="A10" s="290"/>
      <c r="B10" s="284"/>
      <c r="C10" s="284"/>
      <c r="D10" s="284"/>
      <c r="E10" s="290"/>
      <c r="F10" s="284"/>
      <c r="G10" s="370"/>
      <c r="H10" s="284"/>
      <c r="I10" s="284"/>
      <c r="J10" s="289"/>
      <c r="K10" s="289"/>
      <c r="L10" s="282"/>
      <c r="M10" s="356"/>
      <c r="N10" s="357"/>
      <c r="O10" s="357"/>
      <c r="P10" s="358"/>
      <c r="Q10" s="359"/>
      <c r="R10" s="358"/>
      <c r="S10" s="290"/>
      <c r="T10" s="323"/>
      <c r="U10" s="324"/>
    </row>
    <row r="11" spans="1:21" ht="24.95" customHeight="1" x14ac:dyDescent="0.25">
      <c r="A11" s="290"/>
      <c r="B11" s="284" t="s">
        <v>2617</v>
      </c>
      <c r="C11" s="626">
        <f>BEMSdar!E7</f>
        <v>46082</v>
      </c>
      <c r="D11" s="612"/>
      <c r="E11" s="612"/>
      <c r="F11" s="612"/>
      <c r="G11" s="612"/>
      <c r="H11" s="613"/>
      <c r="I11" s="326"/>
      <c r="J11" s="293"/>
      <c r="K11" s="293"/>
      <c r="L11" s="606" t="s">
        <v>2651</v>
      </c>
      <c r="M11" s="607"/>
      <c r="N11" s="629">
        <f>BEMSdar!E13</f>
        <v>9040.8159999999916</v>
      </c>
      <c r="O11" s="630"/>
      <c r="P11" s="630"/>
      <c r="Q11" s="630"/>
      <c r="R11" s="631"/>
      <c r="S11" s="290"/>
      <c r="T11" s="323"/>
      <c r="U11" s="324"/>
    </row>
    <row r="12" spans="1:21" ht="24.95" customHeight="1" x14ac:dyDescent="0.25">
      <c r="A12" s="290"/>
      <c r="B12" s="284"/>
      <c r="C12" s="284"/>
      <c r="D12" s="284"/>
      <c r="E12" s="290"/>
      <c r="F12" s="284"/>
      <c r="G12" s="370"/>
      <c r="H12" s="284"/>
      <c r="I12" s="284"/>
      <c r="J12" s="289"/>
      <c r="K12" s="289"/>
      <c r="L12" s="291"/>
      <c r="M12" s="294"/>
      <c r="N12" s="290"/>
      <c r="O12" s="290"/>
      <c r="P12" s="290"/>
      <c r="Q12" s="284"/>
      <c r="R12" s="290"/>
      <c r="S12" s="290"/>
      <c r="T12" s="323"/>
      <c r="U12" s="324"/>
    </row>
    <row r="13" spans="1:21" ht="24.95" customHeight="1" x14ac:dyDescent="0.25">
      <c r="A13" s="538" t="s">
        <v>2652</v>
      </c>
      <c r="B13" s="284"/>
      <c r="C13" s="284"/>
      <c r="D13" s="284"/>
      <c r="E13" s="290"/>
      <c r="F13" s="284"/>
      <c r="G13" s="370"/>
      <c r="H13" s="284"/>
      <c r="I13" s="284"/>
      <c r="J13" s="289"/>
      <c r="K13" s="289"/>
      <c r="L13" s="291"/>
      <c r="M13" s="294"/>
      <c r="N13" s="290"/>
      <c r="O13" s="290"/>
      <c r="P13" s="290"/>
      <c r="Q13" s="284"/>
      <c r="R13" s="290"/>
      <c r="S13" s="290"/>
      <c r="T13" s="323"/>
      <c r="U13" s="324"/>
    </row>
    <row r="14" spans="1:21" ht="24.95" customHeight="1" x14ac:dyDescent="0.25">
      <c r="A14" s="538" t="s">
        <v>2653</v>
      </c>
      <c r="B14" s="284"/>
      <c r="C14" s="284"/>
      <c r="D14" s="284"/>
      <c r="E14" s="290"/>
      <c r="F14" s="284"/>
      <c r="G14" s="370"/>
      <c r="H14" s="284"/>
      <c r="I14" s="284"/>
      <c r="J14" s="289"/>
      <c r="K14" s="289"/>
      <c r="L14" s="291"/>
      <c r="M14" s="294"/>
      <c r="N14" s="290"/>
      <c r="O14" s="290"/>
      <c r="P14" s="290"/>
      <c r="Q14" s="284"/>
      <c r="R14" s="290"/>
      <c r="S14" s="290"/>
      <c r="T14" s="323"/>
      <c r="U14" s="324"/>
    </row>
    <row r="15" spans="1:21" ht="24.95" customHeight="1" x14ac:dyDescent="0.25">
      <c r="A15" s="538" t="s">
        <v>2654</v>
      </c>
      <c r="B15" s="284"/>
      <c r="C15" s="284"/>
      <c r="D15" s="284"/>
      <c r="E15" s="290"/>
      <c r="F15" s="284"/>
      <c r="G15" s="370"/>
      <c r="H15" s="284"/>
      <c r="I15" s="284"/>
      <c r="J15" s="289"/>
      <c r="K15" s="289"/>
      <c r="L15" s="291"/>
      <c r="M15" s="294"/>
      <c r="N15" s="290"/>
      <c r="O15" s="290"/>
      <c r="P15" s="290"/>
      <c r="Q15" s="284"/>
      <c r="R15" s="290"/>
      <c r="S15" s="290"/>
      <c r="T15" s="323"/>
      <c r="U15" s="324"/>
    </row>
    <row r="16" spans="1:21" ht="18" x14ac:dyDescent="0.25">
      <c r="A16" s="538" t="s">
        <v>2655</v>
      </c>
      <c r="B16" s="284"/>
      <c r="C16" s="284"/>
      <c r="D16" s="284"/>
      <c r="E16" s="290"/>
      <c r="F16" s="284"/>
      <c r="G16" s="370"/>
      <c r="H16" s="284"/>
      <c r="I16" s="284"/>
      <c r="J16" s="289"/>
      <c r="K16" s="289"/>
      <c r="L16" s="291"/>
      <c r="M16" s="294"/>
      <c r="N16" s="290"/>
      <c r="O16" s="290"/>
      <c r="P16" s="290"/>
      <c r="Q16" s="284"/>
      <c r="R16" s="290"/>
      <c r="S16" s="290"/>
      <c r="T16" s="323"/>
      <c r="U16" s="324"/>
    </row>
    <row r="17" spans="1:21" ht="18" x14ac:dyDescent="0.25">
      <c r="A17" s="538" t="s">
        <v>2656</v>
      </c>
      <c r="B17" s="284"/>
      <c r="C17" s="284"/>
      <c r="D17" s="284"/>
      <c r="E17" s="290"/>
      <c r="F17" s="284"/>
      <c r="G17" s="370"/>
      <c r="H17" s="284"/>
      <c r="I17" s="284"/>
      <c r="J17" s="289"/>
      <c r="K17" s="289"/>
      <c r="L17" s="291"/>
      <c r="M17" s="294"/>
      <c r="N17" s="290"/>
      <c r="O17" s="290"/>
      <c r="P17" s="290"/>
      <c r="Q17" s="284"/>
      <c r="R17" s="290"/>
      <c r="S17" s="290"/>
      <c r="T17" s="323"/>
      <c r="U17" s="324"/>
    </row>
    <row r="18" spans="1:21" ht="18" x14ac:dyDescent="0.25">
      <c r="A18" s="538" t="s">
        <v>2657</v>
      </c>
      <c r="B18" s="284"/>
      <c r="C18" s="284"/>
      <c r="D18" s="284"/>
      <c r="E18" s="290"/>
      <c r="F18" s="284"/>
      <c r="G18" s="370"/>
      <c r="H18" s="284"/>
      <c r="I18" s="284"/>
      <c r="J18" s="289"/>
      <c r="K18" s="289"/>
      <c r="L18" s="291"/>
      <c r="M18" s="294"/>
      <c r="N18" s="290"/>
      <c r="O18" s="290"/>
      <c r="P18" s="290"/>
      <c r="Q18" s="284"/>
      <c r="R18" s="290"/>
      <c r="S18" s="290"/>
      <c r="T18" s="323"/>
      <c r="U18" s="324"/>
    </row>
    <row r="19" spans="1:21" ht="18" x14ac:dyDescent="0.25">
      <c r="A19" s="290"/>
      <c r="B19" s="284"/>
      <c r="C19" s="284"/>
      <c r="D19" s="284"/>
      <c r="E19" s="295"/>
      <c r="F19" s="394"/>
      <c r="G19" s="371"/>
      <c r="H19" s="296"/>
      <c r="I19" s="296"/>
      <c r="J19" s="297"/>
      <c r="K19" s="297"/>
      <c r="L19" s="286"/>
      <c r="M19" s="286"/>
      <c r="N19" s="290"/>
      <c r="O19" s="290"/>
      <c r="P19" s="290"/>
      <c r="Q19" s="284"/>
      <c r="R19" s="290"/>
      <c r="S19" s="290"/>
      <c r="T19" s="323"/>
      <c r="U19" s="332"/>
    </row>
    <row r="20" spans="1:21" ht="72" x14ac:dyDescent="0.25">
      <c r="A20" s="298" t="s">
        <v>2658</v>
      </c>
      <c r="B20" s="299" t="s">
        <v>2659</v>
      </c>
      <c r="C20" s="298" t="s">
        <v>6</v>
      </c>
      <c r="D20" s="298" t="s">
        <v>2660</v>
      </c>
      <c r="E20" s="299" t="s">
        <v>2661</v>
      </c>
      <c r="F20" s="298" t="s">
        <v>2662</v>
      </c>
      <c r="G20" s="372" t="s">
        <v>2663</v>
      </c>
      <c r="H20" s="300" t="s">
        <v>2664</v>
      </c>
      <c r="I20" s="301" t="s">
        <v>2665</v>
      </c>
      <c r="J20" s="302" t="s">
        <v>2666</v>
      </c>
      <c r="K20" s="302" t="s">
        <v>2667</v>
      </c>
      <c r="L20" s="303" t="s">
        <v>2668</v>
      </c>
      <c r="M20" s="618" t="s">
        <v>2669</v>
      </c>
      <c r="N20" s="612"/>
      <c r="O20" s="613"/>
      <c r="P20" s="618" t="s">
        <v>2670</v>
      </c>
      <c r="Q20" s="612"/>
      <c r="R20" s="612"/>
      <c r="S20" s="612"/>
      <c r="T20" s="612"/>
      <c r="U20" s="619"/>
    </row>
    <row r="21" spans="1:21" ht="72" x14ac:dyDescent="0.25">
      <c r="A21" s="304"/>
      <c r="B21" s="305"/>
      <c r="C21" s="304"/>
      <c r="D21" s="304"/>
      <c r="E21" s="305"/>
      <c r="F21" s="304"/>
      <c r="G21" s="373"/>
      <c r="H21" s="306"/>
      <c r="I21" s="307"/>
      <c r="J21" s="308"/>
      <c r="K21" s="308"/>
      <c r="L21" s="309"/>
      <c r="M21" s="310" t="s">
        <v>2671</v>
      </c>
      <c r="N21" s="310" t="s">
        <v>2672</v>
      </c>
      <c r="O21" s="310" t="s">
        <v>2673</v>
      </c>
      <c r="P21" s="310" t="s">
        <v>2671</v>
      </c>
      <c r="Q21" s="310" t="s">
        <v>2674</v>
      </c>
      <c r="R21" s="311" t="s">
        <v>2675</v>
      </c>
      <c r="S21" s="312" t="s">
        <v>2676</v>
      </c>
      <c r="T21" s="313" t="s">
        <v>2672</v>
      </c>
      <c r="U21" s="310" t="s">
        <v>2673</v>
      </c>
    </row>
    <row r="22" spans="1:21" ht="18" x14ac:dyDescent="0.25">
      <c r="A22" s="608" t="s">
        <v>3073</v>
      </c>
      <c r="B22" s="609"/>
      <c r="C22" s="609"/>
      <c r="D22" s="609"/>
      <c r="E22" s="609"/>
      <c r="F22" s="609"/>
      <c r="G22" s="609"/>
      <c r="H22" s="609"/>
      <c r="I22" s="609"/>
      <c r="J22" s="609"/>
      <c r="K22" s="609"/>
      <c r="L22" s="609"/>
      <c r="M22" s="609"/>
      <c r="N22" s="609"/>
      <c r="O22" s="609"/>
      <c r="P22" s="609"/>
      <c r="Q22" s="609"/>
      <c r="R22" s="609"/>
      <c r="S22" s="609"/>
      <c r="T22" s="609"/>
      <c r="U22" s="610"/>
    </row>
    <row r="23" spans="1:21" ht="72" x14ac:dyDescent="0.25">
      <c r="A23" s="396">
        <v>1</v>
      </c>
      <c r="B23" s="268" t="s">
        <v>35</v>
      </c>
      <c r="C23" s="268" t="s">
        <v>29</v>
      </c>
      <c r="D23" s="269">
        <v>69000</v>
      </c>
      <c r="E23" s="268" t="s">
        <v>4145</v>
      </c>
      <c r="F23" s="268" t="s">
        <v>2989</v>
      </c>
      <c r="G23" s="268" t="s">
        <v>4258</v>
      </c>
      <c r="H23" s="268" t="s">
        <v>4816</v>
      </c>
      <c r="I23" s="397" t="s">
        <v>3010</v>
      </c>
      <c r="J23" s="278">
        <v>46083.457638888889</v>
      </c>
      <c r="K23" s="392">
        <v>46083</v>
      </c>
      <c r="L23" s="351">
        <f t="shared" ref="L23:L54" si="0">IF(D23&gt;44999.99,100,ROUNDUP((D23/4999.99)*10,-1))</f>
        <v>100</v>
      </c>
      <c r="M23" s="266" t="s">
        <v>2678</v>
      </c>
      <c r="N23" s="340">
        <f t="shared" ref="N23:N54" si="1">IF(M23="Y",L23,0)</f>
        <v>0</v>
      </c>
      <c r="O23" s="266"/>
      <c r="P23" s="266" t="s">
        <v>2678</v>
      </c>
      <c r="Q23" s="341">
        <f t="shared" ref="Q23:Q54" si="2">K23-J23+1</f>
        <v>0.54236111111094942</v>
      </c>
      <c r="R23" s="342">
        <f>WORKDAY(J23,7,'Public Holiday'!$A$2:$A$46)</f>
        <v>46092</v>
      </c>
      <c r="S23" s="343">
        <v>0</v>
      </c>
      <c r="T23" s="273">
        <f t="shared" ref="T23:T54" si="3">L23*S23</f>
        <v>0</v>
      </c>
      <c r="U23" s="330" t="s">
        <v>2679</v>
      </c>
    </row>
    <row r="24" spans="1:21" ht="72" x14ac:dyDescent="0.25">
      <c r="A24" s="396">
        <v>2</v>
      </c>
      <c r="B24" s="268" t="s">
        <v>1531</v>
      </c>
      <c r="C24" s="268" t="s">
        <v>1523</v>
      </c>
      <c r="D24" s="268">
        <v>53000</v>
      </c>
      <c r="E24" s="268" t="s">
        <v>4146</v>
      </c>
      <c r="F24" s="268" t="s">
        <v>2988</v>
      </c>
      <c r="G24" s="268" t="s">
        <v>4259</v>
      </c>
      <c r="H24" s="268" t="s">
        <v>4816</v>
      </c>
      <c r="I24" s="397" t="s">
        <v>3043</v>
      </c>
      <c r="J24" s="278">
        <v>46083.503472222219</v>
      </c>
      <c r="K24" s="392">
        <v>46083</v>
      </c>
      <c r="L24" s="351">
        <f t="shared" si="0"/>
        <v>100</v>
      </c>
      <c r="M24" s="266" t="s">
        <v>2678</v>
      </c>
      <c r="N24" s="340">
        <f t="shared" si="1"/>
        <v>0</v>
      </c>
      <c r="O24" s="266"/>
      <c r="P24" s="266" t="s">
        <v>2678</v>
      </c>
      <c r="Q24" s="341">
        <f t="shared" si="2"/>
        <v>0.49652777778101154</v>
      </c>
      <c r="R24" s="342">
        <f>WORKDAY(J24,7,'Public Holiday'!$A$2:$A$46)</f>
        <v>46092</v>
      </c>
      <c r="S24" s="343">
        <v>0</v>
      </c>
      <c r="T24" s="273">
        <f t="shared" si="3"/>
        <v>0</v>
      </c>
      <c r="U24" s="280" t="s">
        <v>2679</v>
      </c>
    </row>
    <row r="25" spans="1:21" ht="72" x14ac:dyDescent="0.25">
      <c r="A25" s="396">
        <v>3</v>
      </c>
      <c r="B25" s="268" t="s">
        <v>467</v>
      </c>
      <c r="C25" s="268" t="s">
        <v>466</v>
      </c>
      <c r="D25" s="268">
        <v>12000</v>
      </c>
      <c r="E25" s="268" t="s">
        <v>4147</v>
      </c>
      <c r="F25" s="268" t="s">
        <v>2707</v>
      </c>
      <c r="G25" s="268" t="s">
        <v>4260</v>
      </c>
      <c r="H25" s="268" t="s">
        <v>4816</v>
      </c>
      <c r="I25" s="397" t="s">
        <v>3012</v>
      </c>
      <c r="J25" s="278">
        <v>46083.522916666669</v>
      </c>
      <c r="K25" s="392">
        <v>46083</v>
      </c>
      <c r="L25" s="351">
        <f t="shared" si="0"/>
        <v>30</v>
      </c>
      <c r="M25" s="266" t="s">
        <v>2678</v>
      </c>
      <c r="N25" s="340">
        <f t="shared" si="1"/>
        <v>0</v>
      </c>
      <c r="O25" s="266"/>
      <c r="P25" s="266" t="s">
        <v>2678</v>
      </c>
      <c r="Q25" s="341">
        <f t="shared" si="2"/>
        <v>0.47708333333139308</v>
      </c>
      <c r="R25" s="342">
        <f>WORKDAY(J25,7,'Public Holiday'!$A$2:$A$46)</f>
        <v>46092</v>
      </c>
      <c r="S25" s="343">
        <v>0</v>
      </c>
      <c r="T25" s="273">
        <f t="shared" si="3"/>
        <v>0</v>
      </c>
      <c r="U25" s="280" t="s">
        <v>2679</v>
      </c>
    </row>
    <row r="26" spans="1:21" ht="72" x14ac:dyDescent="0.25">
      <c r="A26" s="396">
        <v>4</v>
      </c>
      <c r="B26" s="268" t="s">
        <v>1115</v>
      </c>
      <c r="C26" s="268" t="s">
        <v>1100</v>
      </c>
      <c r="D26" s="268">
        <v>1500</v>
      </c>
      <c r="E26" s="268" t="s">
        <v>4148</v>
      </c>
      <c r="F26" s="268" t="s">
        <v>3027</v>
      </c>
      <c r="G26" s="268" t="s">
        <v>4261</v>
      </c>
      <c r="H26" s="268" t="s">
        <v>4816</v>
      </c>
      <c r="I26" s="397" t="s">
        <v>4781</v>
      </c>
      <c r="J26" s="278">
        <v>46084.299305555556</v>
      </c>
      <c r="K26" s="392">
        <v>46095</v>
      </c>
      <c r="L26" s="351">
        <f t="shared" si="0"/>
        <v>10</v>
      </c>
      <c r="M26" s="266" t="s">
        <v>2678</v>
      </c>
      <c r="N26" s="340">
        <f t="shared" si="1"/>
        <v>0</v>
      </c>
      <c r="O26" s="266"/>
      <c r="P26" s="266" t="s">
        <v>2678</v>
      </c>
      <c r="Q26" s="341">
        <f t="shared" si="2"/>
        <v>11.700694444443798</v>
      </c>
      <c r="R26" s="342">
        <f>WORKDAY(J26,7,'Public Holiday'!$A$2:$A$46)</f>
        <v>46093</v>
      </c>
      <c r="S26" s="343">
        <v>0</v>
      </c>
      <c r="T26" s="273">
        <f t="shared" si="3"/>
        <v>0</v>
      </c>
      <c r="U26" s="280" t="s">
        <v>2679</v>
      </c>
    </row>
    <row r="27" spans="1:21" ht="90" x14ac:dyDescent="0.25">
      <c r="A27" s="396">
        <v>5</v>
      </c>
      <c r="B27" s="268" t="s">
        <v>3869</v>
      </c>
      <c r="C27" s="268" t="s">
        <v>1570</v>
      </c>
      <c r="D27" s="268">
        <v>27500</v>
      </c>
      <c r="E27" s="268" t="s">
        <v>4149</v>
      </c>
      <c r="F27" s="268" t="s">
        <v>4115</v>
      </c>
      <c r="G27" s="268" t="s">
        <v>4262</v>
      </c>
      <c r="H27" s="268" t="s">
        <v>4816</v>
      </c>
      <c r="I27" s="397" t="s">
        <v>2995</v>
      </c>
      <c r="J27" s="278">
        <v>46084.337500000001</v>
      </c>
      <c r="K27" s="392">
        <v>46084</v>
      </c>
      <c r="L27" s="351">
        <f t="shared" si="0"/>
        <v>60</v>
      </c>
      <c r="M27" s="266" t="s">
        <v>2678</v>
      </c>
      <c r="N27" s="340">
        <f t="shared" si="1"/>
        <v>0</v>
      </c>
      <c r="O27" s="266"/>
      <c r="P27" s="266" t="s">
        <v>2678</v>
      </c>
      <c r="Q27" s="341">
        <f t="shared" si="2"/>
        <v>0.66249999999854481</v>
      </c>
      <c r="R27" s="342">
        <f>WORKDAY(J27,7,'Public Holiday'!$A$2:$A$46)</f>
        <v>46093</v>
      </c>
      <c r="S27" s="343">
        <v>0</v>
      </c>
      <c r="T27" s="273">
        <f t="shared" si="3"/>
        <v>0</v>
      </c>
      <c r="U27" s="330" t="s">
        <v>2679</v>
      </c>
    </row>
    <row r="28" spans="1:21" ht="54" x14ac:dyDescent="0.25">
      <c r="A28" s="396">
        <v>6</v>
      </c>
      <c r="B28" s="268" t="s">
        <v>4817</v>
      </c>
      <c r="C28" s="268" t="s">
        <v>2399</v>
      </c>
      <c r="D28" s="268">
        <v>4200</v>
      </c>
      <c r="E28" s="268" t="s">
        <v>4151</v>
      </c>
      <c r="F28" s="268" t="s">
        <v>2982</v>
      </c>
      <c r="G28" s="268" t="s">
        <v>4264</v>
      </c>
      <c r="H28" s="268" t="s">
        <v>4816</v>
      </c>
      <c r="I28" s="397" t="s">
        <v>4772</v>
      </c>
      <c r="J28" s="278">
        <v>46084.679166666669</v>
      </c>
      <c r="K28" s="392">
        <v>46084</v>
      </c>
      <c r="L28" s="351">
        <f t="shared" si="0"/>
        <v>10</v>
      </c>
      <c r="M28" s="266" t="s">
        <v>2678</v>
      </c>
      <c r="N28" s="340">
        <f t="shared" si="1"/>
        <v>0</v>
      </c>
      <c r="O28" s="266"/>
      <c r="P28" s="266" t="s">
        <v>2678</v>
      </c>
      <c r="Q28" s="341">
        <f t="shared" si="2"/>
        <v>0.32083333333139308</v>
      </c>
      <c r="R28" s="342">
        <f>WORKDAY(J28,7,'Public Holiday'!$A$2:$A$46)</f>
        <v>46093</v>
      </c>
      <c r="S28" s="343">
        <v>0</v>
      </c>
      <c r="T28" s="273">
        <f t="shared" si="3"/>
        <v>0</v>
      </c>
      <c r="U28" s="280" t="s">
        <v>2679</v>
      </c>
    </row>
    <row r="29" spans="1:21" ht="54" x14ac:dyDescent="0.25">
      <c r="A29" s="396">
        <v>7</v>
      </c>
      <c r="B29" s="268" t="s">
        <v>1535</v>
      </c>
      <c r="C29" s="268" t="s">
        <v>1534</v>
      </c>
      <c r="D29" s="268">
        <v>64000</v>
      </c>
      <c r="E29" s="268" t="s">
        <v>4152</v>
      </c>
      <c r="F29" s="268" t="s">
        <v>2988</v>
      </c>
      <c r="G29" s="268" t="s">
        <v>4265</v>
      </c>
      <c r="H29" s="268" t="s">
        <v>4816</v>
      </c>
      <c r="I29" s="397" t="s">
        <v>3043</v>
      </c>
      <c r="J29" s="278">
        <v>46085.370138888888</v>
      </c>
      <c r="K29" s="392">
        <v>46085</v>
      </c>
      <c r="L29" s="351">
        <f t="shared" si="0"/>
        <v>100</v>
      </c>
      <c r="M29" s="266" t="s">
        <v>2678</v>
      </c>
      <c r="N29" s="340">
        <f t="shared" si="1"/>
        <v>0</v>
      </c>
      <c r="O29" s="266"/>
      <c r="P29" s="266" t="s">
        <v>2678</v>
      </c>
      <c r="Q29" s="341">
        <f t="shared" si="2"/>
        <v>0.62986111111240461</v>
      </c>
      <c r="R29" s="342">
        <f>WORKDAY(J29,7,'Public Holiday'!$A$2:$A$46)</f>
        <v>46094</v>
      </c>
      <c r="S29" s="343">
        <v>0</v>
      </c>
      <c r="T29" s="273">
        <f t="shared" si="3"/>
        <v>0</v>
      </c>
      <c r="U29" s="280" t="s">
        <v>2679</v>
      </c>
    </row>
    <row r="30" spans="1:21" ht="54" x14ac:dyDescent="0.25">
      <c r="A30" s="396">
        <v>8</v>
      </c>
      <c r="B30" s="268" t="s">
        <v>3844</v>
      </c>
      <c r="C30" s="268" t="s">
        <v>4136</v>
      </c>
      <c r="D30" s="268">
        <v>332177.94</v>
      </c>
      <c r="E30" s="268" t="s">
        <v>4153</v>
      </c>
      <c r="F30" s="268" t="s">
        <v>2985</v>
      </c>
      <c r="G30" s="268" t="s">
        <v>4266</v>
      </c>
      <c r="H30" s="268" t="s">
        <v>4816</v>
      </c>
      <c r="I30" s="397" t="s">
        <v>3012</v>
      </c>
      <c r="J30" s="278">
        <v>46085.495138888888</v>
      </c>
      <c r="K30" s="392">
        <v>46085</v>
      </c>
      <c r="L30" s="351">
        <f t="shared" si="0"/>
        <v>100</v>
      </c>
      <c r="M30" s="266" t="s">
        <v>2678</v>
      </c>
      <c r="N30" s="340">
        <f t="shared" si="1"/>
        <v>0</v>
      </c>
      <c r="O30" s="266"/>
      <c r="P30" s="266" t="s">
        <v>2678</v>
      </c>
      <c r="Q30" s="341">
        <f t="shared" si="2"/>
        <v>0.50486111111240461</v>
      </c>
      <c r="R30" s="342">
        <f>WORKDAY(J30,7,'Public Holiday'!$A$2:$A$46)</f>
        <v>46094</v>
      </c>
      <c r="S30" s="343">
        <v>0</v>
      </c>
      <c r="T30" s="273">
        <f t="shared" si="3"/>
        <v>0</v>
      </c>
      <c r="U30" s="280" t="s">
        <v>2679</v>
      </c>
    </row>
    <row r="31" spans="1:21" ht="54" x14ac:dyDescent="0.25">
      <c r="A31" s="396">
        <v>9</v>
      </c>
      <c r="B31" s="268" t="s">
        <v>733</v>
      </c>
      <c r="C31" s="268" t="s">
        <v>4833</v>
      </c>
      <c r="D31" s="268">
        <v>9000</v>
      </c>
      <c r="E31" s="268" t="s">
        <v>4154</v>
      </c>
      <c r="F31" s="268" t="s">
        <v>2707</v>
      </c>
      <c r="G31" s="268" t="s">
        <v>4267</v>
      </c>
      <c r="H31" s="268" t="s">
        <v>4816</v>
      </c>
      <c r="I31" s="397" t="s">
        <v>4772</v>
      </c>
      <c r="J31" s="278">
        <v>46085.618055555555</v>
      </c>
      <c r="K31" s="392">
        <v>46085</v>
      </c>
      <c r="L31" s="351">
        <f t="shared" si="0"/>
        <v>20</v>
      </c>
      <c r="M31" s="266" t="s">
        <v>2678</v>
      </c>
      <c r="N31" s="340">
        <f t="shared" si="1"/>
        <v>0</v>
      </c>
      <c r="O31" s="266"/>
      <c r="P31" s="266" t="s">
        <v>2678</v>
      </c>
      <c r="Q31" s="341">
        <f t="shared" si="2"/>
        <v>0.38194444444525288</v>
      </c>
      <c r="R31" s="342">
        <f>WORKDAY(J31,7,'Public Holiday'!$A$2:$A$46)</f>
        <v>46094</v>
      </c>
      <c r="S31" s="343">
        <v>0</v>
      </c>
      <c r="T31" s="273">
        <f t="shared" si="3"/>
        <v>0</v>
      </c>
      <c r="U31" s="280" t="s">
        <v>2679</v>
      </c>
    </row>
    <row r="32" spans="1:21" ht="90" x14ac:dyDescent="0.25">
      <c r="A32" s="396">
        <v>10</v>
      </c>
      <c r="B32" s="268" t="s">
        <v>2391</v>
      </c>
      <c r="C32" s="268" t="s">
        <v>2349</v>
      </c>
      <c r="D32" s="268">
        <v>6500</v>
      </c>
      <c r="E32" s="268" t="s">
        <v>4155</v>
      </c>
      <c r="F32" s="268" t="s">
        <v>4829</v>
      </c>
      <c r="G32" s="268" t="s">
        <v>4268</v>
      </c>
      <c r="H32" s="268" t="s">
        <v>4816</v>
      </c>
      <c r="I32" s="397" t="s">
        <v>3002</v>
      </c>
      <c r="J32" s="278">
        <v>46085.713194444441</v>
      </c>
      <c r="K32" s="392">
        <v>46085</v>
      </c>
      <c r="L32" s="351">
        <f t="shared" si="0"/>
        <v>20</v>
      </c>
      <c r="M32" s="266" t="s">
        <v>2678</v>
      </c>
      <c r="N32" s="340">
        <f t="shared" si="1"/>
        <v>0</v>
      </c>
      <c r="O32" s="266"/>
      <c r="P32" s="266" t="s">
        <v>2678</v>
      </c>
      <c r="Q32" s="341">
        <f t="shared" si="2"/>
        <v>0.28680555555911269</v>
      </c>
      <c r="R32" s="342">
        <f>WORKDAY(J32,7,'Public Holiday'!$A$2:$A$46)</f>
        <v>46094</v>
      </c>
      <c r="S32" s="343">
        <v>0</v>
      </c>
      <c r="T32" s="273">
        <f t="shared" si="3"/>
        <v>0</v>
      </c>
      <c r="U32" s="280" t="s">
        <v>2679</v>
      </c>
    </row>
    <row r="33" spans="1:21" ht="90" x14ac:dyDescent="0.25">
      <c r="A33" s="396">
        <v>11</v>
      </c>
      <c r="B33" s="268" t="s">
        <v>2052</v>
      </c>
      <c r="C33" s="268" t="s">
        <v>2049</v>
      </c>
      <c r="D33" s="268">
        <v>125347</v>
      </c>
      <c r="E33" s="268" t="s">
        <v>4156</v>
      </c>
      <c r="F33" s="268" t="s">
        <v>3226</v>
      </c>
      <c r="G33" s="268" t="s">
        <v>4269</v>
      </c>
      <c r="H33" s="268" t="s">
        <v>4816</v>
      </c>
      <c r="I33" s="397" t="s">
        <v>3007</v>
      </c>
      <c r="J33" s="278">
        <v>46086.672222222223</v>
      </c>
      <c r="K33" s="392">
        <v>46086</v>
      </c>
      <c r="L33" s="351">
        <f t="shared" si="0"/>
        <v>100</v>
      </c>
      <c r="M33" s="266" t="s">
        <v>2678</v>
      </c>
      <c r="N33" s="340">
        <f t="shared" si="1"/>
        <v>0</v>
      </c>
      <c r="O33" s="266"/>
      <c r="P33" s="266" t="s">
        <v>2678</v>
      </c>
      <c r="Q33" s="341">
        <f t="shared" si="2"/>
        <v>0.32777777777664596</v>
      </c>
      <c r="R33" s="342">
        <f>WORKDAY(J33,7,'Public Holiday'!$A$2:$A$46)</f>
        <v>46097</v>
      </c>
      <c r="S33" s="343">
        <v>0</v>
      </c>
      <c r="T33" s="273">
        <f t="shared" si="3"/>
        <v>0</v>
      </c>
      <c r="U33" s="280" t="s">
        <v>2679</v>
      </c>
    </row>
    <row r="34" spans="1:21" ht="54" x14ac:dyDescent="0.25">
      <c r="A34" s="396">
        <v>12</v>
      </c>
      <c r="B34" s="268" t="s">
        <v>3843</v>
      </c>
      <c r="C34" s="268" t="s">
        <v>302</v>
      </c>
      <c r="D34" s="268">
        <v>97500</v>
      </c>
      <c r="E34" s="268" t="s">
        <v>4157</v>
      </c>
      <c r="F34" s="268" t="s">
        <v>3244</v>
      </c>
      <c r="G34" s="268" t="s">
        <v>4270</v>
      </c>
      <c r="H34" s="268" t="s">
        <v>4816</v>
      </c>
      <c r="I34" s="397" t="s">
        <v>3117</v>
      </c>
      <c r="J34" s="278">
        <v>46086.851388888892</v>
      </c>
      <c r="K34" s="392">
        <v>46086</v>
      </c>
      <c r="L34" s="351">
        <f t="shared" si="0"/>
        <v>100</v>
      </c>
      <c r="M34" s="266" t="s">
        <v>2678</v>
      </c>
      <c r="N34" s="340">
        <f t="shared" si="1"/>
        <v>0</v>
      </c>
      <c r="O34" s="266"/>
      <c r="P34" s="266" t="s">
        <v>2678</v>
      </c>
      <c r="Q34" s="341">
        <f t="shared" si="2"/>
        <v>0.14861111110803904</v>
      </c>
      <c r="R34" s="342">
        <f>WORKDAY(J34,7,'Public Holiday'!$A$2:$A$46)</f>
        <v>46097</v>
      </c>
      <c r="S34" s="343">
        <v>0</v>
      </c>
      <c r="T34" s="273">
        <f t="shared" si="3"/>
        <v>0</v>
      </c>
      <c r="U34" s="330" t="s">
        <v>2679</v>
      </c>
    </row>
    <row r="35" spans="1:21" ht="54" x14ac:dyDescent="0.25">
      <c r="A35" s="396">
        <v>13</v>
      </c>
      <c r="B35" s="268" t="s">
        <v>1108</v>
      </c>
      <c r="C35" s="268" t="s">
        <v>1100</v>
      </c>
      <c r="D35" s="268">
        <v>1500</v>
      </c>
      <c r="E35" s="268" t="s">
        <v>4244</v>
      </c>
      <c r="F35" s="268" t="s">
        <v>2988</v>
      </c>
      <c r="G35" s="268" t="s">
        <v>4271</v>
      </c>
      <c r="H35" s="268" t="s">
        <v>4816</v>
      </c>
      <c r="I35" s="397" t="s">
        <v>4789</v>
      </c>
      <c r="J35" s="278">
        <v>46087.125694444447</v>
      </c>
      <c r="K35" s="392">
        <v>46087</v>
      </c>
      <c r="L35" s="351">
        <f t="shared" si="0"/>
        <v>10</v>
      </c>
      <c r="M35" s="266" t="s">
        <v>2678</v>
      </c>
      <c r="N35" s="340">
        <f t="shared" si="1"/>
        <v>0</v>
      </c>
      <c r="O35" s="266"/>
      <c r="P35" s="266" t="s">
        <v>2678</v>
      </c>
      <c r="Q35" s="341">
        <f t="shared" si="2"/>
        <v>0.87430555555329192</v>
      </c>
      <c r="R35" s="342">
        <f>WORKDAY(J35,7,'Public Holiday'!$A$2:$A$46)</f>
        <v>46098</v>
      </c>
      <c r="S35" s="343">
        <v>0</v>
      </c>
      <c r="T35" s="273">
        <f t="shared" si="3"/>
        <v>0</v>
      </c>
      <c r="U35" s="330" t="s">
        <v>2679</v>
      </c>
    </row>
    <row r="36" spans="1:21" ht="72" x14ac:dyDescent="0.25">
      <c r="A36" s="396">
        <v>14</v>
      </c>
      <c r="B36" s="268" t="s">
        <v>805</v>
      </c>
      <c r="C36" s="268" t="s">
        <v>4834</v>
      </c>
      <c r="D36" s="268">
        <v>32900</v>
      </c>
      <c r="E36" s="268" t="s">
        <v>4158</v>
      </c>
      <c r="F36" s="268" t="s">
        <v>2707</v>
      </c>
      <c r="G36" s="268" t="s">
        <v>4272</v>
      </c>
      <c r="H36" s="268" t="s">
        <v>4816</v>
      </c>
      <c r="I36" s="397" t="s">
        <v>3007</v>
      </c>
      <c r="J36" s="278">
        <v>46087.665277777778</v>
      </c>
      <c r="K36" s="392">
        <v>46087</v>
      </c>
      <c r="L36" s="351">
        <f t="shared" si="0"/>
        <v>70</v>
      </c>
      <c r="M36" s="266" t="s">
        <v>2678</v>
      </c>
      <c r="N36" s="340">
        <f t="shared" si="1"/>
        <v>0</v>
      </c>
      <c r="O36" s="266"/>
      <c r="P36" s="266" t="s">
        <v>2678</v>
      </c>
      <c r="Q36" s="341">
        <f t="shared" si="2"/>
        <v>0.33472222222189885</v>
      </c>
      <c r="R36" s="342">
        <f>WORKDAY(J36,7,'Public Holiday'!$A$2:$A$46)</f>
        <v>46098</v>
      </c>
      <c r="S36" s="343">
        <v>0</v>
      </c>
      <c r="T36" s="273">
        <f t="shared" si="3"/>
        <v>0</v>
      </c>
      <c r="U36" s="280" t="s">
        <v>2679</v>
      </c>
    </row>
    <row r="37" spans="1:21" ht="36" x14ac:dyDescent="0.25">
      <c r="A37" s="396">
        <v>15</v>
      </c>
      <c r="B37" s="268" t="s">
        <v>2401</v>
      </c>
      <c r="C37" s="268" t="s">
        <v>2399</v>
      </c>
      <c r="D37" s="268">
        <v>12000</v>
      </c>
      <c r="E37" s="268" t="s">
        <v>4159</v>
      </c>
      <c r="F37" s="268" t="s">
        <v>2707</v>
      </c>
      <c r="G37" s="268" t="s">
        <v>4273</v>
      </c>
      <c r="H37" s="268" t="s">
        <v>4816</v>
      </c>
      <c r="I37" s="397" t="s">
        <v>4808</v>
      </c>
      <c r="J37" s="278">
        <v>46087.668749999997</v>
      </c>
      <c r="K37" s="392">
        <v>46087</v>
      </c>
      <c r="L37" s="351">
        <f t="shared" si="0"/>
        <v>30</v>
      </c>
      <c r="M37" s="266" t="s">
        <v>2678</v>
      </c>
      <c r="N37" s="340">
        <f t="shared" si="1"/>
        <v>0</v>
      </c>
      <c r="O37" s="266"/>
      <c r="P37" s="266" t="s">
        <v>2678</v>
      </c>
      <c r="Q37" s="341">
        <f t="shared" si="2"/>
        <v>0.33125000000291038</v>
      </c>
      <c r="R37" s="342">
        <f>WORKDAY(J37,7,'Public Holiday'!$A$2:$A$46)</f>
        <v>46098</v>
      </c>
      <c r="S37" s="343">
        <v>0</v>
      </c>
      <c r="T37" s="273">
        <f t="shared" si="3"/>
        <v>0</v>
      </c>
      <c r="U37" s="280" t="s">
        <v>2679</v>
      </c>
    </row>
    <row r="38" spans="1:21" ht="54" x14ac:dyDescent="0.25">
      <c r="A38" s="396">
        <v>16</v>
      </c>
      <c r="B38" s="268" t="s">
        <v>4818</v>
      </c>
      <c r="C38" s="268" t="s">
        <v>2685</v>
      </c>
      <c r="D38" s="268">
        <v>55000</v>
      </c>
      <c r="E38" s="268" t="s">
        <v>4160</v>
      </c>
      <c r="F38" s="268" t="s">
        <v>2988</v>
      </c>
      <c r="G38" s="268" t="s">
        <v>4274</v>
      </c>
      <c r="H38" s="268" t="s">
        <v>4816</v>
      </c>
      <c r="I38" s="397" t="s">
        <v>4800</v>
      </c>
      <c r="J38" s="278">
        <v>46087.711805555555</v>
      </c>
      <c r="K38" s="392">
        <v>46087</v>
      </c>
      <c r="L38" s="351">
        <f t="shared" si="0"/>
        <v>100</v>
      </c>
      <c r="M38" s="266" t="s">
        <v>2678</v>
      </c>
      <c r="N38" s="340">
        <f t="shared" si="1"/>
        <v>0</v>
      </c>
      <c r="O38" s="266"/>
      <c r="P38" s="266" t="s">
        <v>2678</v>
      </c>
      <c r="Q38" s="341">
        <f t="shared" si="2"/>
        <v>0.28819444444525288</v>
      </c>
      <c r="R38" s="342">
        <f>WORKDAY(J38,7,'Public Holiday'!$A$2:$A$46)</f>
        <v>46098</v>
      </c>
      <c r="S38" s="343">
        <v>0</v>
      </c>
      <c r="T38" s="273">
        <f t="shared" si="3"/>
        <v>0</v>
      </c>
      <c r="U38" s="280" t="s">
        <v>2679</v>
      </c>
    </row>
    <row r="39" spans="1:21" ht="54" x14ac:dyDescent="0.25">
      <c r="A39" s="396">
        <v>17</v>
      </c>
      <c r="B39" s="268" t="s">
        <v>2689</v>
      </c>
      <c r="C39" s="268" t="s">
        <v>3128</v>
      </c>
      <c r="D39" s="268">
        <v>2100000</v>
      </c>
      <c r="E39" s="268" t="s">
        <v>4161</v>
      </c>
      <c r="F39" s="268" t="s">
        <v>4826</v>
      </c>
      <c r="G39" s="268" t="s">
        <v>4275</v>
      </c>
      <c r="H39" s="268" t="s">
        <v>4816</v>
      </c>
      <c r="I39" s="397" t="s">
        <v>3002</v>
      </c>
      <c r="J39" s="278">
        <v>46087.810416666667</v>
      </c>
      <c r="K39" s="392">
        <v>46087</v>
      </c>
      <c r="L39" s="351">
        <f t="shared" si="0"/>
        <v>100</v>
      </c>
      <c r="M39" s="266" t="s">
        <v>2678</v>
      </c>
      <c r="N39" s="340">
        <f t="shared" si="1"/>
        <v>0</v>
      </c>
      <c r="O39" s="266"/>
      <c r="P39" s="266" t="s">
        <v>2678</v>
      </c>
      <c r="Q39" s="341">
        <f t="shared" si="2"/>
        <v>0.18958333333284827</v>
      </c>
      <c r="R39" s="342">
        <f>WORKDAY(J39,7,'Public Holiday'!$A$2:$A$46)</f>
        <v>46098</v>
      </c>
      <c r="S39" s="343">
        <v>0</v>
      </c>
      <c r="T39" s="273">
        <f t="shared" si="3"/>
        <v>0</v>
      </c>
      <c r="U39" s="280" t="s">
        <v>2679</v>
      </c>
    </row>
    <row r="40" spans="1:21" ht="54" x14ac:dyDescent="0.25">
      <c r="A40" s="396">
        <v>18</v>
      </c>
      <c r="B40" s="268" t="s">
        <v>763</v>
      </c>
      <c r="C40" s="268" t="s">
        <v>4833</v>
      </c>
      <c r="D40" s="268">
        <v>9000</v>
      </c>
      <c r="E40" s="268" t="s">
        <v>4162</v>
      </c>
      <c r="F40" s="268" t="s">
        <v>4830</v>
      </c>
      <c r="G40" s="268" t="s">
        <v>4276</v>
      </c>
      <c r="H40" s="268" t="s">
        <v>4816</v>
      </c>
      <c r="I40" s="397" t="s">
        <v>4807</v>
      </c>
      <c r="J40" s="278">
        <v>46088.561111111114</v>
      </c>
      <c r="K40" s="392">
        <v>46088</v>
      </c>
      <c r="L40" s="351">
        <f t="shared" si="0"/>
        <v>20</v>
      </c>
      <c r="M40" s="266" t="s">
        <v>2678</v>
      </c>
      <c r="N40" s="340">
        <f t="shared" si="1"/>
        <v>0</v>
      </c>
      <c r="O40" s="266"/>
      <c r="P40" s="266" t="s">
        <v>2678</v>
      </c>
      <c r="Q40" s="341">
        <f t="shared" si="2"/>
        <v>0.43888888888614019</v>
      </c>
      <c r="R40" s="342">
        <f>WORKDAY(J40,7,'Public Holiday'!$A$2:$A$46)</f>
        <v>46098</v>
      </c>
      <c r="S40" s="343">
        <v>0</v>
      </c>
      <c r="T40" s="273">
        <f t="shared" si="3"/>
        <v>0</v>
      </c>
      <c r="U40" s="280" t="s">
        <v>2679</v>
      </c>
    </row>
    <row r="41" spans="1:21" ht="108" x14ac:dyDescent="0.25">
      <c r="A41" s="396">
        <v>19</v>
      </c>
      <c r="B41" s="268" t="s">
        <v>1611</v>
      </c>
      <c r="C41" s="268" t="s">
        <v>1608</v>
      </c>
      <c r="D41" s="268">
        <v>4300</v>
      </c>
      <c r="E41" s="268" t="s">
        <v>4163</v>
      </c>
      <c r="F41" s="268" t="s">
        <v>2707</v>
      </c>
      <c r="G41" s="268" t="s">
        <v>4277</v>
      </c>
      <c r="H41" s="268" t="s">
        <v>4816</v>
      </c>
      <c r="I41" s="397" t="s">
        <v>4806</v>
      </c>
      <c r="J41" s="278">
        <v>46088.563194444447</v>
      </c>
      <c r="K41" s="392">
        <v>46088</v>
      </c>
      <c r="L41" s="351">
        <f t="shared" si="0"/>
        <v>10</v>
      </c>
      <c r="M41" s="266" t="s">
        <v>2678</v>
      </c>
      <c r="N41" s="340">
        <f t="shared" si="1"/>
        <v>0</v>
      </c>
      <c r="O41" s="266"/>
      <c r="P41" s="266" t="s">
        <v>2678</v>
      </c>
      <c r="Q41" s="341">
        <f t="shared" si="2"/>
        <v>0.43680555555329192</v>
      </c>
      <c r="R41" s="342">
        <f>WORKDAY(J41,7,'Public Holiday'!$A$2:$A$46)</f>
        <v>46098</v>
      </c>
      <c r="S41" s="343">
        <v>0</v>
      </c>
      <c r="T41" s="273">
        <f t="shared" si="3"/>
        <v>0</v>
      </c>
      <c r="U41" s="280" t="s">
        <v>2679</v>
      </c>
    </row>
    <row r="42" spans="1:21" ht="108" x14ac:dyDescent="0.25">
      <c r="A42" s="396">
        <v>20</v>
      </c>
      <c r="B42" s="268" t="s">
        <v>1612</v>
      </c>
      <c r="C42" s="268" t="s">
        <v>1608</v>
      </c>
      <c r="D42" s="268">
        <v>4300</v>
      </c>
      <c r="E42" s="268" t="s">
        <v>4164</v>
      </c>
      <c r="F42" s="268" t="s">
        <v>2707</v>
      </c>
      <c r="G42" s="268" t="s">
        <v>4278</v>
      </c>
      <c r="H42" s="268" t="s">
        <v>4816</v>
      </c>
      <c r="I42" s="397" t="s">
        <v>4805</v>
      </c>
      <c r="J42" s="278">
        <v>46088.563888888886</v>
      </c>
      <c r="K42" s="392">
        <v>46088</v>
      </c>
      <c r="L42" s="351">
        <f t="shared" si="0"/>
        <v>10</v>
      </c>
      <c r="M42" s="266" t="s">
        <v>2678</v>
      </c>
      <c r="N42" s="340">
        <f t="shared" si="1"/>
        <v>0</v>
      </c>
      <c r="O42" s="266"/>
      <c r="P42" s="266" t="s">
        <v>2678</v>
      </c>
      <c r="Q42" s="341">
        <f t="shared" si="2"/>
        <v>0.43611111111385981</v>
      </c>
      <c r="R42" s="342">
        <f>WORKDAY(J42,7,'Public Holiday'!$A$2:$A$46)</f>
        <v>46098</v>
      </c>
      <c r="S42" s="343">
        <v>0</v>
      </c>
      <c r="T42" s="273">
        <f t="shared" si="3"/>
        <v>0</v>
      </c>
      <c r="U42" s="280" t="s">
        <v>2679</v>
      </c>
    </row>
    <row r="43" spans="1:21" ht="54" x14ac:dyDescent="0.25">
      <c r="A43" s="396">
        <v>21</v>
      </c>
      <c r="B43" s="268" t="s">
        <v>767</v>
      </c>
      <c r="C43" s="268" t="s">
        <v>4833</v>
      </c>
      <c r="D43" s="268">
        <v>9000</v>
      </c>
      <c r="E43" s="268" t="s">
        <v>4165</v>
      </c>
      <c r="F43" s="268" t="s">
        <v>3027</v>
      </c>
      <c r="G43" s="268" t="s">
        <v>4279</v>
      </c>
      <c r="H43" s="268" t="s">
        <v>4816</v>
      </c>
      <c r="I43" s="397" t="s">
        <v>3010</v>
      </c>
      <c r="J43" s="278">
        <v>46089.384722222225</v>
      </c>
      <c r="K43" s="392">
        <v>46089</v>
      </c>
      <c r="L43" s="351">
        <f t="shared" si="0"/>
        <v>20</v>
      </c>
      <c r="M43" s="266" t="s">
        <v>2678</v>
      </c>
      <c r="N43" s="340">
        <f t="shared" si="1"/>
        <v>0</v>
      </c>
      <c r="O43" s="266"/>
      <c r="P43" s="266" t="s">
        <v>2678</v>
      </c>
      <c r="Q43" s="341">
        <f t="shared" si="2"/>
        <v>0.61527777777519077</v>
      </c>
      <c r="R43" s="342">
        <f>WORKDAY(J43,7,'Public Holiday'!$A$2:$A$46)</f>
        <v>46098</v>
      </c>
      <c r="S43" s="343">
        <v>0</v>
      </c>
      <c r="T43" s="273">
        <f t="shared" si="3"/>
        <v>0</v>
      </c>
      <c r="U43" s="280" t="s">
        <v>2679</v>
      </c>
    </row>
    <row r="44" spans="1:21" ht="54" x14ac:dyDescent="0.25">
      <c r="A44" s="396">
        <v>22</v>
      </c>
      <c r="B44" s="268" t="s">
        <v>4803</v>
      </c>
      <c r="C44" s="268" t="s">
        <v>3065</v>
      </c>
      <c r="D44" s="268">
        <v>6500</v>
      </c>
      <c r="E44" s="268" t="s">
        <v>4166</v>
      </c>
      <c r="F44" s="268" t="s">
        <v>3049</v>
      </c>
      <c r="G44" s="268" t="s">
        <v>4280</v>
      </c>
      <c r="H44" s="268" t="s">
        <v>4816</v>
      </c>
      <c r="I44" s="397" t="s">
        <v>4804</v>
      </c>
      <c r="J44" s="278">
        <v>46089.386111111111</v>
      </c>
      <c r="K44" s="392">
        <v>46089</v>
      </c>
      <c r="L44" s="351">
        <f t="shared" si="0"/>
        <v>20</v>
      </c>
      <c r="M44" s="266" t="s">
        <v>2678</v>
      </c>
      <c r="N44" s="340">
        <f t="shared" si="1"/>
        <v>0</v>
      </c>
      <c r="O44" s="266"/>
      <c r="P44" s="266" t="s">
        <v>2678</v>
      </c>
      <c r="Q44" s="341">
        <f t="shared" si="2"/>
        <v>0.61388888888905058</v>
      </c>
      <c r="R44" s="342">
        <f>WORKDAY(J44,7,'Public Holiday'!$A$2:$A$46)</f>
        <v>46098</v>
      </c>
      <c r="S44" s="343">
        <v>0</v>
      </c>
      <c r="T44" s="273">
        <f t="shared" si="3"/>
        <v>0</v>
      </c>
      <c r="U44" s="330" t="s">
        <v>2679</v>
      </c>
    </row>
    <row r="45" spans="1:21" ht="54" x14ac:dyDescent="0.25">
      <c r="A45" s="396">
        <v>23</v>
      </c>
      <c r="B45" s="268" t="s">
        <v>764</v>
      </c>
      <c r="C45" s="268" t="s">
        <v>4833</v>
      </c>
      <c r="D45" s="268">
        <v>9000</v>
      </c>
      <c r="E45" s="268" t="s">
        <v>4167</v>
      </c>
      <c r="F45" s="268" t="s">
        <v>4830</v>
      </c>
      <c r="G45" s="268" t="s">
        <v>4281</v>
      </c>
      <c r="H45" s="268" t="s">
        <v>4816</v>
      </c>
      <c r="I45" s="397" t="s">
        <v>4801</v>
      </c>
      <c r="J45" s="278">
        <v>46089.419444444444</v>
      </c>
      <c r="K45" s="392">
        <v>46089</v>
      </c>
      <c r="L45" s="351">
        <f t="shared" si="0"/>
        <v>20</v>
      </c>
      <c r="M45" s="266" t="s">
        <v>2678</v>
      </c>
      <c r="N45" s="340">
        <f t="shared" si="1"/>
        <v>0</v>
      </c>
      <c r="O45" s="266"/>
      <c r="P45" s="266" t="s">
        <v>2678</v>
      </c>
      <c r="Q45" s="341">
        <f t="shared" si="2"/>
        <v>0.58055555555620231</v>
      </c>
      <c r="R45" s="342">
        <f>WORKDAY(J45,7,'Public Holiday'!$A$2:$A$46)</f>
        <v>46098</v>
      </c>
      <c r="S45" s="343">
        <v>0</v>
      </c>
      <c r="T45" s="273">
        <f t="shared" si="3"/>
        <v>0</v>
      </c>
      <c r="U45" s="280" t="s">
        <v>2679</v>
      </c>
    </row>
    <row r="46" spans="1:21" ht="72" x14ac:dyDescent="0.25">
      <c r="A46" s="396">
        <v>24</v>
      </c>
      <c r="B46" s="268" t="s">
        <v>3501</v>
      </c>
      <c r="C46" s="268" t="s">
        <v>4834</v>
      </c>
      <c r="D46" s="268">
        <v>32900</v>
      </c>
      <c r="E46" s="268" t="s">
        <v>4168</v>
      </c>
      <c r="F46" s="268" t="s">
        <v>2985</v>
      </c>
      <c r="G46" s="268" t="s">
        <v>4282</v>
      </c>
      <c r="H46" s="268" t="s">
        <v>4816</v>
      </c>
      <c r="I46" s="397" t="s">
        <v>4796</v>
      </c>
      <c r="J46" s="278">
        <v>46089.572916666664</v>
      </c>
      <c r="K46" s="392">
        <v>46089</v>
      </c>
      <c r="L46" s="351">
        <f t="shared" si="0"/>
        <v>70</v>
      </c>
      <c r="M46" s="266" t="s">
        <v>2678</v>
      </c>
      <c r="N46" s="340">
        <f t="shared" si="1"/>
        <v>0</v>
      </c>
      <c r="O46" s="266"/>
      <c r="P46" s="266" t="s">
        <v>2678</v>
      </c>
      <c r="Q46" s="341">
        <f t="shared" si="2"/>
        <v>0.42708333333575865</v>
      </c>
      <c r="R46" s="342">
        <f>WORKDAY(J46,7,'Public Holiday'!$A$2:$A$46)</f>
        <v>46098</v>
      </c>
      <c r="S46" s="343">
        <v>0</v>
      </c>
      <c r="T46" s="273">
        <f t="shared" si="3"/>
        <v>0</v>
      </c>
      <c r="U46" s="280" t="s">
        <v>2679</v>
      </c>
    </row>
    <row r="47" spans="1:21" ht="54" x14ac:dyDescent="0.25">
      <c r="A47" s="396">
        <v>25</v>
      </c>
      <c r="B47" s="268" t="s">
        <v>3762</v>
      </c>
      <c r="C47" s="268" t="s">
        <v>2386</v>
      </c>
      <c r="D47" s="268">
        <v>19266</v>
      </c>
      <c r="E47" s="268" t="s">
        <v>4170</v>
      </c>
      <c r="F47" s="268" t="s">
        <v>3049</v>
      </c>
      <c r="G47" s="268" t="s">
        <v>4284</v>
      </c>
      <c r="H47" s="268" t="s">
        <v>4816</v>
      </c>
      <c r="I47" s="397" t="s">
        <v>4785</v>
      </c>
      <c r="J47" s="278">
        <v>46090.28402777778</v>
      </c>
      <c r="K47" s="392">
        <v>46107</v>
      </c>
      <c r="L47" s="351">
        <f t="shared" si="0"/>
        <v>40</v>
      </c>
      <c r="M47" s="266" t="s">
        <v>2678</v>
      </c>
      <c r="N47" s="340">
        <f t="shared" si="1"/>
        <v>0</v>
      </c>
      <c r="O47" s="266"/>
      <c r="P47" s="266" t="s">
        <v>2678</v>
      </c>
      <c r="Q47" s="341">
        <f t="shared" si="2"/>
        <v>17.715972222220444</v>
      </c>
      <c r="R47" s="342">
        <f>WORKDAY(J47,7,'Public Holiday'!$A$2:$A$46)</f>
        <v>46099</v>
      </c>
      <c r="S47" s="343">
        <v>0</v>
      </c>
      <c r="T47" s="273">
        <f t="shared" si="3"/>
        <v>0</v>
      </c>
      <c r="U47" s="280" t="s">
        <v>2679</v>
      </c>
    </row>
    <row r="48" spans="1:21" ht="54" x14ac:dyDescent="0.25">
      <c r="A48" s="396">
        <v>26</v>
      </c>
      <c r="B48" s="268" t="s">
        <v>3819</v>
      </c>
      <c r="C48" s="268" t="s">
        <v>3029</v>
      </c>
      <c r="D48" s="268">
        <v>1700</v>
      </c>
      <c r="E48" s="268" t="s">
        <v>4171</v>
      </c>
      <c r="F48" s="268" t="s">
        <v>4101</v>
      </c>
      <c r="G48" s="268" t="s">
        <v>4285</v>
      </c>
      <c r="H48" s="268" t="s">
        <v>4816</v>
      </c>
      <c r="I48" s="397" t="s">
        <v>4784</v>
      </c>
      <c r="J48" s="278">
        <v>46090.367361111108</v>
      </c>
      <c r="K48" s="392">
        <v>46090</v>
      </c>
      <c r="L48" s="351">
        <f t="shared" si="0"/>
        <v>10</v>
      </c>
      <c r="M48" s="266" t="s">
        <v>2678</v>
      </c>
      <c r="N48" s="340">
        <f t="shared" si="1"/>
        <v>0</v>
      </c>
      <c r="O48" s="266"/>
      <c r="P48" s="266" t="s">
        <v>2678</v>
      </c>
      <c r="Q48" s="341">
        <f t="shared" si="2"/>
        <v>0.63263888889196096</v>
      </c>
      <c r="R48" s="342">
        <f>WORKDAY(J48,7,'Public Holiday'!$A$2:$A$46)</f>
        <v>46099</v>
      </c>
      <c r="S48" s="343">
        <v>0</v>
      </c>
      <c r="T48" s="273">
        <f t="shared" si="3"/>
        <v>0</v>
      </c>
      <c r="U48" s="280" t="s">
        <v>2679</v>
      </c>
    </row>
    <row r="49" spans="1:21" ht="54" x14ac:dyDescent="0.25">
      <c r="A49" s="396">
        <v>27</v>
      </c>
      <c r="B49" s="268" t="s">
        <v>1979</v>
      </c>
      <c r="C49" s="268" t="s">
        <v>1967</v>
      </c>
      <c r="D49" s="268">
        <v>6560</v>
      </c>
      <c r="E49" s="268" t="s">
        <v>4172</v>
      </c>
      <c r="F49" s="268" t="s">
        <v>2985</v>
      </c>
      <c r="G49" s="268" t="s">
        <v>4286</v>
      </c>
      <c r="H49" s="268" t="s">
        <v>4816</v>
      </c>
      <c r="I49" s="397" t="s">
        <v>3113</v>
      </c>
      <c r="J49" s="278">
        <v>46090.371527777781</v>
      </c>
      <c r="K49" s="392">
        <v>46090</v>
      </c>
      <c r="L49" s="351">
        <f t="shared" si="0"/>
        <v>20</v>
      </c>
      <c r="M49" s="266" t="s">
        <v>2678</v>
      </c>
      <c r="N49" s="340">
        <f t="shared" si="1"/>
        <v>0</v>
      </c>
      <c r="O49" s="266"/>
      <c r="P49" s="266" t="s">
        <v>2678</v>
      </c>
      <c r="Q49" s="341">
        <f t="shared" si="2"/>
        <v>0.62847222221898846</v>
      </c>
      <c r="R49" s="342">
        <f>WORKDAY(J49,7,'Public Holiday'!$A$2:$A$46)</f>
        <v>46099</v>
      </c>
      <c r="S49" s="343">
        <v>0</v>
      </c>
      <c r="T49" s="273">
        <f t="shared" si="3"/>
        <v>0</v>
      </c>
      <c r="U49" s="280" t="s">
        <v>2679</v>
      </c>
    </row>
    <row r="50" spans="1:21" ht="54" x14ac:dyDescent="0.25">
      <c r="A50" s="396">
        <v>28</v>
      </c>
      <c r="B50" s="268" t="s">
        <v>1174</v>
      </c>
      <c r="C50" s="268" t="s">
        <v>1173</v>
      </c>
      <c r="D50" s="268">
        <v>554438.30000000005</v>
      </c>
      <c r="E50" s="268" t="s">
        <v>4175</v>
      </c>
      <c r="F50" s="268" t="s">
        <v>4826</v>
      </c>
      <c r="G50" s="268" t="s">
        <v>4289</v>
      </c>
      <c r="H50" s="268" t="s">
        <v>4816</v>
      </c>
      <c r="I50" s="397" t="s">
        <v>4777</v>
      </c>
      <c r="J50" s="278">
        <v>46090.51458333333</v>
      </c>
      <c r="K50" s="392">
        <v>46090</v>
      </c>
      <c r="L50" s="351">
        <f t="shared" si="0"/>
        <v>100</v>
      </c>
      <c r="M50" s="266" t="s">
        <v>2678</v>
      </c>
      <c r="N50" s="340">
        <f t="shared" si="1"/>
        <v>0</v>
      </c>
      <c r="O50" s="266"/>
      <c r="P50" s="266" t="s">
        <v>2678</v>
      </c>
      <c r="Q50" s="341">
        <f t="shared" si="2"/>
        <v>0.48541666667006211</v>
      </c>
      <c r="R50" s="342">
        <f>WORKDAY(J50,7,'Public Holiday'!$A$2:$A$46)</f>
        <v>46099</v>
      </c>
      <c r="S50" s="343">
        <v>0</v>
      </c>
      <c r="T50" s="273">
        <f t="shared" si="3"/>
        <v>0</v>
      </c>
      <c r="U50" s="280" t="s">
        <v>2679</v>
      </c>
    </row>
    <row r="51" spans="1:21" ht="54" x14ac:dyDescent="0.25">
      <c r="A51" s="396">
        <v>29</v>
      </c>
      <c r="B51" s="268" t="s">
        <v>775</v>
      </c>
      <c r="C51" s="268" t="s">
        <v>4833</v>
      </c>
      <c r="D51" s="268">
        <v>9000</v>
      </c>
      <c r="E51" s="268" t="s">
        <v>4176</v>
      </c>
      <c r="F51" s="268" t="s">
        <v>3064</v>
      </c>
      <c r="G51" s="268" t="s">
        <v>4290</v>
      </c>
      <c r="H51" s="268" t="s">
        <v>4816</v>
      </c>
      <c r="I51" s="397" t="s">
        <v>4769</v>
      </c>
      <c r="J51" s="278">
        <v>46090.538888888892</v>
      </c>
      <c r="K51" s="392">
        <v>46090</v>
      </c>
      <c r="L51" s="351">
        <f t="shared" si="0"/>
        <v>20</v>
      </c>
      <c r="M51" s="266" t="s">
        <v>2678</v>
      </c>
      <c r="N51" s="340">
        <f t="shared" si="1"/>
        <v>0</v>
      </c>
      <c r="O51" s="266"/>
      <c r="P51" s="266" t="s">
        <v>2678</v>
      </c>
      <c r="Q51" s="341">
        <f t="shared" si="2"/>
        <v>0.46111111110803904</v>
      </c>
      <c r="R51" s="342">
        <f>WORKDAY(J51,7,'Public Holiday'!$A$2:$A$46)</f>
        <v>46099</v>
      </c>
      <c r="S51" s="343">
        <v>0</v>
      </c>
      <c r="T51" s="273">
        <f t="shared" si="3"/>
        <v>0</v>
      </c>
      <c r="U51" s="330" t="s">
        <v>2679</v>
      </c>
    </row>
    <row r="52" spans="1:21" ht="36" x14ac:dyDescent="0.25">
      <c r="A52" s="396">
        <v>30</v>
      </c>
      <c r="B52" s="268" t="s">
        <v>2415</v>
      </c>
      <c r="C52" s="268" t="s">
        <v>1471</v>
      </c>
      <c r="D52" s="268">
        <v>63000</v>
      </c>
      <c r="E52" s="268" t="s">
        <v>4177</v>
      </c>
      <c r="F52" s="268" t="s">
        <v>2982</v>
      </c>
      <c r="G52" s="268" t="s">
        <v>4291</v>
      </c>
      <c r="H52" s="268" t="s">
        <v>4816</v>
      </c>
      <c r="I52" s="397" t="s">
        <v>2992</v>
      </c>
      <c r="J52" s="278">
        <v>46090.675000000003</v>
      </c>
      <c r="K52" s="392">
        <v>46090</v>
      </c>
      <c r="L52" s="351">
        <f t="shared" si="0"/>
        <v>100</v>
      </c>
      <c r="M52" s="266" t="s">
        <v>2678</v>
      </c>
      <c r="N52" s="340">
        <f t="shared" si="1"/>
        <v>0</v>
      </c>
      <c r="O52" s="266"/>
      <c r="P52" s="266" t="s">
        <v>2678</v>
      </c>
      <c r="Q52" s="341">
        <f t="shared" si="2"/>
        <v>0.32499999999708962</v>
      </c>
      <c r="R52" s="342">
        <f>WORKDAY(J52,7,'Public Holiday'!$A$2:$A$46)</f>
        <v>46099</v>
      </c>
      <c r="S52" s="343">
        <v>0</v>
      </c>
      <c r="T52" s="273">
        <f t="shared" si="3"/>
        <v>0</v>
      </c>
      <c r="U52" s="280" t="s">
        <v>2679</v>
      </c>
    </row>
    <row r="53" spans="1:21" ht="36" x14ac:dyDescent="0.25">
      <c r="A53" s="396">
        <v>31</v>
      </c>
      <c r="B53" s="268" t="s">
        <v>1168</v>
      </c>
      <c r="C53" s="268" t="s">
        <v>1167</v>
      </c>
      <c r="D53" s="268">
        <v>210000</v>
      </c>
      <c r="E53" s="268" t="s">
        <v>4178</v>
      </c>
      <c r="F53" s="268" t="s">
        <v>2985</v>
      </c>
      <c r="G53" s="268" t="s">
        <v>4292</v>
      </c>
      <c r="H53" s="268" t="s">
        <v>4816</v>
      </c>
      <c r="I53" s="397" t="s">
        <v>3011</v>
      </c>
      <c r="J53" s="278">
        <v>46091.038194444445</v>
      </c>
      <c r="K53" s="392">
        <v>46091</v>
      </c>
      <c r="L53" s="351">
        <f t="shared" si="0"/>
        <v>100</v>
      </c>
      <c r="M53" s="266" t="s">
        <v>2678</v>
      </c>
      <c r="N53" s="340">
        <f t="shared" si="1"/>
        <v>0</v>
      </c>
      <c r="O53" s="266"/>
      <c r="P53" s="266" t="s">
        <v>2678</v>
      </c>
      <c r="Q53" s="341">
        <f t="shared" si="2"/>
        <v>0.96180555555474712</v>
      </c>
      <c r="R53" s="342">
        <f>WORKDAY(J53,7,'Public Holiday'!$A$2:$A$46)</f>
        <v>46100</v>
      </c>
      <c r="S53" s="343">
        <v>0</v>
      </c>
      <c r="T53" s="273">
        <f t="shared" si="3"/>
        <v>0</v>
      </c>
      <c r="U53" s="280" t="s">
        <v>2679</v>
      </c>
    </row>
    <row r="54" spans="1:21" ht="72" x14ac:dyDescent="0.25">
      <c r="A54" s="396">
        <v>32</v>
      </c>
      <c r="B54" s="268" t="s">
        <v>282</v>
      </c>
      <c r="C54" s="268" t="s">
        <v>281</v>
      </c>
      <c r="D54" s="268">
        <v>182500</v>
      </c>
      <c r="E54" s="268" t="s">
        <v>4180</v>
      </c>
      <c r="F54" s="268" t="s">
        <v>4091</v>
      </c>
      <c r="G54" s="268" t="s">
        <v>4294</v>
      </c>
      <c r="H54" s="268" t="s">
        <v>4816</v>
      </c>
      <c r="I54" s="397" t="s">
        <v>3113</v>
      </c>
      <c r="J54" s="278">
        <v>46091.368055555555</v>
      </c>
      <c r="K54" s="392">
        <v>46091</v>
      </c>
      <c r="L54" s="351">
        <f t="shared" si="0"/>
        <v>100</v>
      </c>
      <c r="M54" s="266" t="s">
        <v>2678</v>
      </c>
      <c r="N54" s="340">
        <f t="shared" si="1"/>
        <v>0</v>
      </c>
      <c r="O54" s="266"/>
      <c r="P54" s="266" t="s">
        <v>2678</v>
      </c>
      <c r="Q54" s="341">
        <f t="shared" si="2"/>
        <v>0.63194444444525288</v>
      </c>
      <c r="R54" s="342">
        <f>WORKDAY(J54,7,'Public Holiday'!$A$2:$A$46)</f>
        <v>46100</v>
      </c>
      <c r="S54" s="343">
        <v>0</v>
      </c>
      <c r="T54" s="273">
        <f t="shared" si="3"/>
        <v>0</v>
      </c>
      <c r="U54" s="280" t="s">
        <v>2679</v>
      </c>
    </row>
    <row r="55" spans="1:21" ht="72" x14ac:dyDescent="0.25">
      <c r="A55" s="396">
        <v>33</v>
      </c>
      <c r="B55" s="268" t="s">
        <v>273</v>
      </c>
      <c r="C55" s="268" t="s">
        <v>271</v>
      </c>
      <c r="D55" s="268">
        <v>125000</v>
      </c>
      <c r="E55" s="268" t="s">
        <v>4183</v>
      </c>
      <c r="F55" s="268" t="s">
        <v>4826</v>
      </c>
      <c r="G55" s="268" t="s">
        <v>4297</v>
      </c>
      <c r="H55" s="268" t="s">
        <v>4816</v>
      </c>
      <c r="I55" s="397" t="s">
        <v>3011</v>
      </c>
      <c r="J55" s="278">
        <v>46092.4375</v>
      </c>
      <c r="K55" s="392">
        <v>46099</v>
      </c>
      <c r="L55" s="351">
        <f t="shared" ref="L55:L86" si="4">IF(D55&gt;44999.99,100,ROUNDUP((D55/4999.99)*10,-1))</f>
        <v>100</v>
      </c>
      <c r="M55" s="266" t="s">
        <v>2678</v>
      </c>
      <c r="N55" s="340">
        <f t="shared" ref="N55:N86" si="5">IF(M55="Y",L55,0)</f>
        <v>0</v>
      </c>
      <c r="O55" s="266"/>
      <c r="P55" s="266" t="s">
        <v>2678</v>
      </c>
      <c r="Q55" s="341">
        <f t="shared" ref="Q55:Q86" si="6">K55-J55+1</f>
        <v>7.5625</v>
      </c>
      <c r="R55" s="342">
        <f>WORKDAY(J55,7,'Public Holiday'!$A$2:$A$46)</f>
        <v>46101</v>
      </c>
      <c r="S55" s="343">
        <v>0</v>
      </c>
      <c r="T55" s="273">
        <f t="shared" ref="T55:T86" si="7">L55*S55</f>
        <v>0</v>
      </c>
      <c r="U55" s="280" t="s">
        <v>2679</v>
      </c>
    </row>
    <row r="56" spans="1:21" ht="54" x14ac:dyDescent="0.25">
      <c r="A56" s="396">
        <v>34</v>
      </c>
      <c r="B56" s="268" t="s">
        <v>1168</v>
      </c>
      <c r="C56" s="268" t="s">
        <v>1167</v>
      </c>
      <c r="D56" s="268">
        <v>210000</v>
      </c>
      <c r="E56" s="268" t="s">
        <v>4184</v>
      </c>
      <c r="F56" s="268" t="s">
        <v>2985</v>
      </c>
      <c r="G56" s="268" t="s">
        <v>4298</v>
      </c>
      <c r="H56" s="268" t="s">
        <v>4816</v>
      </c>
      <c r="I56" s="397" t="s">
        <v>4811</v>
      </c>
      <c r="J56" s="278">
        <v>46095</v>
      </c>
      <c r="K56" s="392">
        <v>46095</v>
      </c>
      <c r="L56" s="351">
        <f t="shared" si="4"/>
        <v>100</v>
      </c>
      <c r="M56" s="266" t="s">
        <v>2678</v>
      </c>
      <c r="N56" s="340">
        <f t="shared" si="5"/>
        <v>0</v>
      </c>
      <c r="O56" s="266"/>
      <c r="P56" s="266" t="s">
        <v>2678</v>
      </c>
      <c r="Q56" s="341">
        <f t="shared" si="6"/>
        <v>1</v>
      </c>
      <c r="R56" s="342">
        <f>WORKDAY(J56,7,'Public Holiday'!$A$2:$A$46)</f>
        <v>46105</v>
      </c>
      <c r="S56" s="343">
        <v>0</v>
      </c>
      <c r="T56" s="273">
        <f t="shared" si="7"/>
        <v>0</v>
      </c>
      <c r="U56" s="280" t="s">
        <v>2679</v>
      </c>
    </row>
    <row r="57" spans="1:21" ht="54" x14ac:dyDescent="0.25">
      <c r="A57" s="396">
        <v>35</v>
      </c>
      <c r="B57" s="268" t="s">
        <v>3754</v>
      </c>
      <c r="C57" s="268" t="s">
        <v>2323</v>
      </c>
      <c r="D57" s="268">
        <v>49000</v>
      </c>
      <c r="E57" s="268" t="s">
        <v>4185</v>
      </c>
      <c r="F57" s="268" t="s">
        <v>2709</v>
      </c>
      <c r="G57" s="268" t="s">
        <v>4299</v>
      </c>
      <c r="H57" s="268" t="s">
        <v>4816</v>
      </c>
      <c r="I57" s="397" t="s">
        <v>3113</v>
      </c>
      <c r="J57" s="278">
        <v>46092.736111111109</v>
      </c>
      <c r="K57" s="392">
        <v>46112</v>
      </c>
      <c r="L57" s="351">
        <f t="shared" si="4"/>
        <v>100</v>
      </c>
      <c r="M57" s="266" t="s">
        <v>2678</v>
      </c>
      <c r="N57" s="340">
        <f t="shared" si="5"/>
        <v>0</v>
      </c>
      <c r="O57" s="266"/>
      <c r="P57" s="266" t="s">
        <v>2678</v>
      </c>
      <c r="Q57" s="341">
        <f t="shared" si="6"/>
        <v>20.263888888890506</v>
      </c>
      <c r="R57" s="342">
        <f>WORKDAY(J57,7,'Public Holiday'!$A$2:$A$46)</f>
        <v>46101</v>
      </c>
      <c r="S57" s="343">
        <v>0</v>
      </c>
      <c r="T57" s="273">
        <f t="shared" si="7"/>
        <v>0</v>
      </c>
      <c r="U57" s="280" t="s">
        <v>2679</v>
      </c>
    </row>
    <row r="58" spans="1:21" ht="54" x14ac:dyDescent="0.25">
      <c r="A58" s="396">
        <v>36</v>
      </c>
      <c r="B58" s="268" t="s">
        <v>1186</v>
      </c>
      <c r="C58" s="268" t="s">
        <v>1181</v>
      </c>
      <c r="D58" s="268">
        <v>48000</v>
      </c>
      <c r="E58" s="268" t="s">
        <v>4186</v>
      </c>
      <c r="F58" s="268" t="s">
        <v>3030</v>
      </c>
      <c r="G58" s="268" t="s">
        <v>4300</v>
      </c>
      <c r="H58" s="268" t="s">
        <v>4816</v>
      </c>
      <c r="I58" s="397" t="s">
        <v>4764</v>
      </c>
      <c r="J58" s="278">
        <v>46093.368750000001</v>
      </c>
      <c r="K58" s="392">
        <v>46112</v>
      </c>
      <c r="L58" s="351">
        <f t="shared" si="4"/>
        <v>100</v>
      </c>
      <c r="M58" s="266" t="s">
        <v>2678</v>
      </c>
      <c r="N58" s="340">
        <f t="shared" si="5"/>
        <v>0</v>
      </c>
      <c r="O58" s="266"/>
      <c r="P58" s="266" t="s">
        <v>2678</v>
      </c>
      <c r="Q58" s="341">
        <f t="shared" si="6"/>
        <v>19.631249999998545</v>
      </c>
      <c r="R58" s="342">
        <f>WORKDAY(J58,7,'Public Holiday'!$A$2:$A$46)</f>
        <v>46104</v>
      </c>
      <c r="S58" s="343">
        <v>0</v>
      </c>
      <c r="T58" s="273">
        <f t="shared" si="7"/>
        <v>0</v>
      </c>
      <c r="U58" s="280" t="s">
        <v>2679</v>
      </c>
    </row>
    <row r="59" spans="1:21" ht="72" x14ac:dyDescent="0.25">
      <c r="A59" s="396">
        <v>37</v>
      </c>
      <c r="B59" s="268" t="s">
        <v>273</v>
      </c>
      <c r="C59" s="268" t="s">
        <v>271</v>
      </c>
      <c r="D59" s="268">
        <v>125000</v>
      </c>
      <c r="E59" s="268" t="s">
        <v>4187</v>
      </c>
      <c r="F59" s="268" t="s">
        <v>4826</v>
      </c>
      <c r="G59" s="268" t="s">
        <v>4297</v>
      </c>
      <c r="H59" s="268" t="s">
        <v>4816</v>
      </c>
      <c r="I59" s="397" t="s">
        <v>3007</v>
      </c>
      <c r="J59" s="278">
        <v>46093.623611111114</v>
      </c>
      <c r="K59" s="392">
        <v>46099</v>
      </c>
      <c r="L59" s="351">
        <f t="shared" si="4"/>
        <v>100</v>
      </c>
      <c r="M59" s="266" t="s">
        <v>2678</v>
      </c>
      <c r="N59" s="340">
        <f t="shared" si="5"/>
        <v>0</v>
      </c>
      <c r="O59" s="266"/>
      <c r="P59" s="266" t="s">
        <v>2678</v>
      </c>
      <c r="Q59" s="341">
        <f t="shared" si="6"/>
        <v>6.3763888888861402</v>
      </c>
      <c r="R59" s="342">
        <f>WORKDAY(J59,7,'Public Holiday'!$A$2:$A$46)</f>
        <v>46104</v>
      </c>
      <c r="S59" s="343">
        <v>0</v>
      </c>
      <c r="T59" s="273">
        <f t="shared" si="7"/>
        <v>0</v>
      </c>
      <c r="U59" s="280" t="s">
        <v>2679</v>
      </c>
    </row>
    <row r="60" spans="1:21" ht="54" x14ac:dyDescent="0.25">
      <c r="A60" s="396">
        <v>38</v>
      </c>
      <c r="B60" s="268" t="s">
        <v>3677</v>
      </c>
      <c r="C60" s="268" t="s">
        <v>1471</v>
      </c>
      <c r="D60" s="268">
        <v>100000</v>
      </c>
      <c r="E60" s="268" t="s">
        <v>4188</v>
      </c>
      <c r="F60" s="268" t="s">
        <v>2982</v>
      </c>
      <c r="G60" s="268" t="s">
        <v>4301</v>
      </c>
      <c r="H60" s="268" t="s">
        <v>4816</v>
      </c>
      <c r="I60" s="397" t="s">
        <v>3044</v>
      </c>
      <c r="J60" s="278">
        <v>46093.725694444445</v>
      </c>
      <c r="K60" s="392">
        <v>46093</v>
      </c>
      <c r="L60" s="351">
        <f t="shared" si="4"/>
        <v>100</v>
      </c>
      <c r="M60" s="266" t="s">
        <v>2678</v>
      </c>
      <c r="N60" s="340">
        <f t="shared" si="5"/>
        <v>0</v>
      </c>
      <c r="O60" s="266"/>
      <c r="P60" s="266" t="s">
        <v>2678</v>
      </c>
      <c r="Q60" s="341">
        <f t="shared" si="6"/>
        <v>0.27430555555474712</v>
      </c>
      <c r="R60" s="342">
        <f>WORKDAY(J60,7,'Public Holiday'!$A$2:$A$46)</f>
        <v>46104</v>
      </c>
      <c r="S60" s="343">
        <v>0</v>
      </c>
      <c r="T60" s="273">
        <f t="shared" si="7"/>
        <v>0</v>
      </c>
      <c r="U60" s="280" t="s">
        <v>2679</v>
      </c>
    </row>
    <row r="61" spans="1:21" ht="72" x14ac:dyDescent="0.25">
      <c r="A61" s="396">
        <v>39</v>
      </c>
      <c r="B61" s="268" t="s">
        <v>3501</v>
      </c>
      <c r="C61" s="268" t="s">
        <v>4834</v>
      </c>
      <c r="D61" s="268">
        <v>32900</v>
      </c>
      <c r="E61" s="268" t="s">
        <v>4189</v>
      </c>
      <c r="F61" s="268" t="s">
        <v>2985</v>
      </c>
      <c r="G61" s="268" t="s">
        <v>4302</v>
      </c>
      <c r="H61" s="268" t="s">
        <v>4816</v>
      </c>
      <c r="I61" s="397" t="s">
        <v>4776</v>
      </c>
      <c r="J61" s="278">
        <v>46094.320833333331</v>
      </c>
      <c r="K61" s="392">
        <v>46094</v>
      </c>
      <c r="L61" s="351">
        <f t="shared" si="4"/>
        <v>70</v>
      </c>
      <c r="M61" s="266" t="s">
        <v>2678</v>
      </c>
      <c r="N61" s="340">
        <f t="shared" si="5"/>
        <v>0</v>
      </c>
      <c r="O61" s="266"/>
      <c r="P61" s="266" t="s">
        <v>2678</v>
      </c>
      <c r="Q61" s="341">
        <f t="shared" si="6"/>
        <v>0.67916666666860692</v>
      </c>
      <c r="R61" s="342">
        <f>WORKDAY(J61,7,'Public Holiday'!$A$2:$A$46)</f>
        <v>46105</v>
      </c>
      <c r="S61" s="343">
        <v>0</v>
      </c>
      <c r="T61" s="273">
        <f t="shared" si="7"/>
        <v>0</v>
      </c>
      <c r="U61" s="280" t="s">
        <v>2679</v>
      </c>
    </row>
    <row r="62" spans="1:21" ht="90" x14ac:dyDescent="0.25">
      <c r="A62" s="396">
        <v>40</v>
      </c>
      <c r="B62" s="268" t="s">
        <v>4138</v>
      </c>
      <c r="C62" s="268" t="s">
        <v>4139</v>
      </c>
      <c r="D62" s="268">
        <v>24365.25</v>
      </c>
      <c r="E62" s="268" t="s">
        <v>4191</v>
      </c>
      <c r="F62" s="268" t="s">
        <v>2707</v>
      </c>
      <c r="G62" s="268" t="s">
        <v>4304</v>
      </c>
      <c r="H62" s="268" t="s">
        <v>4816</v>
      </c>
      <c r="I62" s="397" t="s">
        <v>3003</v>
      </c>
      <c r="J62" s="278">
        <v>46094.979166666664</v>
      </c>
      <c r="K62" s="392">
        <v>46094</v>
      </c>
      <c r="L62" s="351">
        <f t="shared" si="4"/>
        <v>50</v>
      </c>
      <c r="M62" s="266" t="s">
        <v>2678</v>
      </c>
      <c r="N62" s="340">
        <f t="shared" si="5"/>
        <v>0</v>
      </c>
      <c r="O62" s="266"/>
      <c r="P62" s="266" t="s">
        <v>2678</v>
      </c>
      <c r="Q62" s="341">
        <f t="shared" si="6"/>
        <v>2.0833333335758653E-2</v>
      </c>
      <c r="R62" s="342">
        <f>WORKDAY(J62,7,'Public Holiday'!$A$2:$A$46)</f>
        <v>46105</v>
      </c>
      <c r="S62" s="343">
        <v>0</v>
      </c>
      <c r="T62" s="273">
        <f t="shared" si="7"/>
        <v>0</v>
      </c>
      <c r="U62" s="280" t="s">
        <v>2679</v>
      </c>
    </row>
    <row r="63" spans="1:21" ht="72" x14ac:dyDescent="0.25">
      <c r="A63" s="396">
        <v>41</v>
      </c>
      <c r="B63" s="268" t="s">
        <v>1551</v>
      </c>
      <c r="C63" s="268" t="s">
        <v>1541</v>
      </c>
      <c r="D63" s="268">
        <v>14250</v>
      </c>
      <c r="E63" s="268" t="s">
        <v>4192</v>
      </c>
      <c r="F63" s="268" t="s">
        <v>4831</v>
      </c>
      <c r="G63" s="268" t="s">
        <v>4305</v>
      </c>
      <c r="H63" s="268" t="s">
        <v>4816</v>
      </c>
      <c r="I63" s="397" t="s">
        <v>3051</v>
      </c>
      <c r="J63" s="278">
        <v>46096.343055555553</v>
      </c>
      <c r="K63" s="392">
        <v>46096</v>
      </c>
      <c r="L63" s="351">
        <f t="shared" si="4"/>
        <v>30</v>
      </c>
      <c r="M63" s="266" t="s">
        <v>2678</v>
      </c>
      <c r="N63" s="340">
        <f t="shared" si="5"/>
        <v>0</v>
      </c>
      <c r="O63" s="266"/>
      <c r="P63" s="266" t="s">
        <v>2678</v>
      </c>
      <c r="Q63" s="341">
        <f t="shared" si="6"/>
        <v>0.65694444444670808</v>
      </c>
      <c r="R63" s="342">
        <f>WORKDAY(J63,7,'Public Holiday'!$A$2:$A$46)</f>
        <v>46105</v>
      </c>
      <c r="S63" s="343">
        <v>0</v>
      </c>
      <c r="T63" s="273">
        <f t="shared" si="7"/>
        <v>0</v>
      </c>
      <c r="U63" s="280" t="s">
        <v>2679</v>
      </c>
    </row>
    <row r="64" spans="1:21" ht="90" x14ac:dyDescent="0.25">
      <c r="A64" s="396">
        <v>42</v>
      </c>
      <c r="B64" s="268" t="s">
        <v>1521</v>
      </c>
      <c r="C64" s="268" t="s">
        <v>1503</v>
      </c>
      <c r="D64" s="268">
        <v>24000</v>
      </c>
      <c r="E64" s="268" t="s">
        <v>4193</v>
      </c>
      <c r="F64" s="268" t="s">
        <v>2988</v>
      </c>
      <c r="G64" s="268" t="s">
        <v>4306</v>
      </c>
      <c r="H64" s="268" t="s">
        <v>4816</v>
      </c>
      <c r="I64" s="397" t="s">
        <v>3011</v>
      </c>
      <c r="J64" s="278">
        <v>46096.489583333336</v>
      </c>
      <c r="K64" s="392">
        <v>46096</v>
      </c>
      <c r="L64" s="351">
        <f t="shared" si="4"/>
        <v>50</v>
      </c>
      <c r="M64" s="266" t="s">
        <v>2678</v>
      </c>
      <c r="N64" s="340">
        <f t="shared" si="5"/>
        <v>0</v>
      </c>
      <c r="O64" s="266"/>
      <c r="P64" s="266" t="s">
        <v>2678</v>
      </c>
      <c r="Q64" s="341">
        <f t="shared" si="6"/>
        <v>0.51041666666424135</v>
      </c>
      <c r="R64" s="342">
        <f>WORKDAY(J64,7,'Public Holiday'!$A$2:$A$46)</f>
        <v>46105</v>
      </c>
      <c r="S64" s="343">
        <v>0</v>
      </c>
      <c r="T64" s="273">
        <f t="shared" si="7"/>
        <v>0</v>
      </c>
      <c r="U64" s="280" t="s">
        <v>2679</v>
      </c>
    </row>
    <row r="65" spans="1:21" ht="54" x14ac:dyDescent="0.25">
      <c r="A65" s="396">
        <v>43</v>
      </c>
      <c r="B65" s="268" t="s">
        <v>2037</v>
      </c>
      <c r="C65" s="268" t="s">
        <v>2035</v>
      </c>
      <c r="D65" s="268">
        <v>5580</v>
      </c>
      <c r="E65" s="268" t="s">
        <v>4194</v>
      </c>
      <c r="F65" s="268" t="s">
        <v>2988</v>
      </c>
      <c r="G65" s="268" t="s">
        <v>4307</v>
      </c>
      <c r="H65" s="268" t="s">
        <v>4816</v>
      </c>
      <c r="I65" s="397" t="s">
        <v>2992</v>
      </c>
      <c r="J65" s="278">
        <v>46096.622916666667</v>
      </c>
      <c r="K65" s="392">
        <v>46098</v>
      </c>
      <c r="L65" s="351">
        <f t="shared" si="4"/>
        <v>20</v>
      </c>
      <c r="M65" s="266" t="s">
        <v>2678</v>
      </c>
      <c r="N65" s="340">
        <f t="shared" si="5"/>
        <v>0</v>
      </c>
      <c r="O65" s="266"/>
      <c r="P65" s="266" t="s">
        <v>2678</v>
      </c>
      <c r="Q65" s="341">
        <f t="shared" si="6"/>
        <v>2.3770833333328483</v>
      </c>
      <c r="R65" s="342">
        <f>WORKDAY(J65,7,'Public Holiday'!$A$2:$A$46)</f>
        <v>46105</v>
      </c>
      <c r="S65" s="343">
        <v>0</v>
      </c>
      <c r="T65" s="273">
        <f t="shared" si="7"/>
        <v>0</v>
      </c>
      <c r="U65" s="280" t="s">
        <v>2679</v>
      </c>
    </row>
    <row r="66" spans="1:21" ht="90" x14ac:dyDescent="0.25">
      <c r="A66" s="396">
        <v>44</v>
      </c>
      <c r="B66" s="268" t="s">
        <v>3867</v>
      </c>
      <c r="C66" s="268" t="s">
        <v>2405</v>
      </c>
      <c r="D66" s="268">
        <v>19200</v>
      </c>
      <c r="E66" s="268" t="s">
        <v>4196</v>
      </c>
      <c r="F66" s="268" t="s">
        <v>4085</v>
      </c>
      <c r="G66" s="268" t="s">
        <v>4309</v>
      </c>
      <c r="H66" s="268" t="s">
        <v>4816</v>
      </c>
      <c r="I66" s="397" t="s">
        <v>3011</v>
      </c>
      <c r="J66" s="278">
        <v>46097.385416666664</v>
      </c>
      <c r="K66" s="392">
        <v>46097</v>
      </c>
      <c r="L66" s="351">
        <f t="shared" si="4"/>
        <v>40</v>
      </c>
      <c r="M66" s="266" t="s">
        <v>2678</v>
      </c>
      <c r="N66" s="340">
        <f t="shared" si="5"/>
        <v>0</v>
      </c>
      <c r="O66" s="266"/>
      <c r="P66" s="266" t="s">
        <v>2678</v>
      </c>
      <c r="Q66" s="341">
        <f t="shared" si="6"/>
        <v>0.61458333333575865</v>
      </c>
      <c r="R66" s="342">
        <f>WORKDAY(J66,7,'Public Holiday'!$A$2:$A$46)</f>
        <v>46106</v>
      </c>
      <c r="S66" s="343">
        <v>0</v>
      </c>
      <c r="T66" s="273">
        <f t="shared" si="7"/>
        <v>0</v>
      </c>
      <c r="U66" s="280" t="s">
        <v>2679</v>
      </c>
    </row>
    <row r="67" spans="1:21" ht="72" x14ac:dyDescent="0.25">
      <c r="A67" s="396">
        <v>45</v>
      </c>
      <c r="B67" s="268" t="s">
        <v>1103</v>
      </c>
      <c r="C67" s="268" t="s">
        <v>1100</v>
      </c>
      <c r="D67" s="268">
        <v>1500</v>
      </c>
      <c r="E67" s="268" t="s">
        <v>4198</v>
      </c>
      <c r="F67" s="268" t="s">
        <v>3025</v>
      </c>
      <c r="G67" s="268" t="s">
        <v>4311</v>
      </c>
      <c r="H67" s="268" t="s">
        <v>4816</v>
      </c>
      <c r="I67" s="397" t="s">
        <v>4788</v>
      </c>
      <c r="J67" s="278">
        <v>46097.441666666666</v>
      </c>
      <c r="K67" s="392">
        <v>46097</v>
      </c>
      <c r="L67" s="351">
        <f t="shared" si="4"/>
        <v>10</v>
      </c>
      <c r="M67" s="266" t="s">
        <v>2678</v>
      </c>
      <c r="N67" s="340">
        <f t="shared" si="5"/>
        <v>0</v>
      </c>
      <c r="O67" s="266"/>
      <c r="P67" s="266" t="s">
        <v>2678</v>
      </c>
      <c r="Q67" s="341">
        <f t="shared" si="6"/>
        <v>0.55833333333430346</v>
      </c>
      <c r="R67" s="342">
        <f>WORKDAY(J67,7,'Public Holiday'!$A$2:$A$46)</f>
        <v>46106</v>
      </c>
      <c r="S67" s="343">
        <v>0</v>
      </c>
      <c r="T67" s="273">
        <f t="shared" si="7"/>
        <v>0</v>
      </c>
      <c r="U67" s="280" t="s">
        <v>2679</v>
      </c>
    </row>
    <row r="68" spans="1:21" ht="72" x14ac:dyDescent="0.25">
      <c r="A68" s="396">
        <v>46</v>
      </c>
      <c r="B68" s="268" t="s">
        <v>1116</v>
      </c>
      <c r="C68" s="268" t="s">
        <v>1100</v>
      </c>
      <c r="D68" s="268">
        <v>1500</v>
      </c>
      <c r="E68" s="268" t="s">
        <v>4200</v>
      </c>
      <c r="F68" s="268" t="s">
        <v>2709</v>
      </c>
      <c r="G68" s="268" t="s">
        <v>4313</v>
      </c>
      <c r="H68" s="268" t="s">
        <v>4816</v>
      </c>
      <c r="I68" s="397" t="s">
        <v>4791</v>
      </c>
      <c r="J68" s="278">
        <v>46097.45416666667</v>
      </c>
      <c r="K68" s="392">
        <v>46097</v>
      </c>
      <c r="L68" s="351">
        <f t="shared" si="4"/>
        <v>10</v>
      </c>
      <c r="M68" s="266" t="s">
        <v>2678</v>
      </c>
      <c r="N68" s="340">
        <f t="shared" si="5"/>
        <v>0</v>
      </c>
      <c r="O68" s="266"/>
      <c r="P68" s="266" t="s">
        <v>2678</v>
      </c>
      <c r="Q68" s="341">
        <f t="shared" si="6"/>
        <v>0.54583333332993789</v>
      </c>
      <c r="R68" s="342">
        <f>WORKDAY(J68,7,'Public Holiday'!$A$2:$A$46)</f>
        <v>46106</v>
      </c>
      <c r="S68" s="343">
        <v>0</v>
      </c>
      <c r="T68" s="273">
        <f t="shared" si="7"/>
        <v>0</v>
      </c>
      <c r="U68" s="280" t="s">
        <v>2679</v>
      </c>
    </row>
    <row r="69" spans="1:21" ht="54" x14ac:dyDescent="0.25">
      <c r="A69" s="396">
        <v>47</v>
      </c>
      <c r="B69" s="268" t="s">
        <v>1166</v>
      </c>
      <c r="C69" s="268" t="s">
        <v>1161</v>
      </c>
      <c r="D69" s="268">
        <v>105500</v>
      </c>
      <c r="E69" s="268" t="s">
        <v>4201</v>
      </c>
      <c r="F69" s="268" t="s">
        <v>4826</v>
      </c>
      <c r="G69" s="268" t="s">
        <v>4314</v>
      </c>
      <c r="H69" s="268" t="s">
        <v>4816</v>
      </c>
      <c r="I69" s="397" t="s">
        <v>3007</v>
      </c>
      <c r="J69" s="278">
        <v>46097.665277777778</v>
      </c>
      <c r="K69" s="392">
        <v>46097</v>
      </c>
      <c r="L69" s="351">
        <f t="shared" si="4"/>
        <v>100</v>
      </c>
      <c r="M69" s="266" t="s">
        <v>2678</v>
      </c>
      <c r="N69" s="340">
        <f t="shared" si="5"/>
        <v>0</v>
      </c>
      <c r="O69" s="266"/>
      <c r="P69" s="266" t="s">
        <v>2678</v>
      </c>
      <c r="Q69" s="341">
        <f t="shared" si="6"/>
        <v>0.33472222222189885</v>
      </c>
      <c r="R69" s="342">
        <f>WORKDAY(J69,7,'Public Holiday'!$A$2:$A$46)</f>
        <v>46106</v>
      </c>
      <c r="S69" s="343">
        <v>0</v>
      </c>
      <c r="T69" s="273">
        <f t="shared" si="7"/>
        <v>0</v>
      </c>
      <c r="U69" s="280" t="s">
        <v>2679</v>
      </c>
    </row>
    <row r="70" spans="1:21" ht="90" x14ac:dyDescent="0.25">
      <c r="A70" s="396">
        <v>48</v>
      </c>
      <c r="B70" s="268" t="s">
        <v>878</v>
      </c>
      <c r="C70" s="268" t="s">
        <v>877</v>
      </c>
      <c r="D70" s="268">
        <v>73700</v>
      </c>
      <c r="E70" s="268" t="s">
        <v>4202</v>
      </c>
      <c r="F70" s="268" t="s">
        <v>3024</v>
      </c>
      <c r="G70" s="268" t="s">
        <v>4315</v>
      </c>
      <c r="H70" s="268" t="s">
        <v>4816</v>
      </c>
      <c r="I70" s="397" t="s">
        <v>3000</v>
      </c>
      <c r="J70" s="278">
        <v>46097.927777777775</v>
      </c>
      <c r="K70" s="392">
        <v>46097</v>
      </c>
      <c r="L70" s="351">
        <f t="shared" si="4"/>
        <v>100</v>
      </c>
      <c r="M70" s="266" t="s">
        <v>2678</v>
      </c>
      <c r="N70" s="340">
        <f t="shared" si="5"/>
        <v>0</v>
      </c>
      <c r="O70" s="266"/>
      <c r="P70" s="266" t="s">
        <v>2678</v>
      </c>
      <c r="Q70" s="341">
        <f t="shared" si="6"/>
        <v>7.2222222224809229E-2</v>
      </c>
      <c r="R70" s="342">
        <f>WORKDAY(J70,7,'Public Holiday'!$A$2:$A$46)</f>
        <v>46106</v>
      </c>
      <c r="S70" s="343">
        <v>0</v>
      </c>
      <c r="T70" s="273">
        <f t="shared" si="7"/>
        <v>0</v>
      </c>
      <c r="U70" s="280" t="s">
        <v>2679</v>
      </c>
    </row>
    <row r="71" spans="1:21" ht="90" x14ac:dyDescent="0.25">
      <c r="A71" s="396">
        <v>49</v>
      </c>
      <c r="B71" s="268" t="s">
        <v>858</v>
      </c>
      <c r="C71" s="268" t="s">
        <v>4835</v>
      </c>
      <c r="D71" s="268">
        <v>31000</v>
      </c>
      <c r="E71" s="268" t="s">
        <v>4203</v>
      </c>
      <c r="F71" s="268" t="s">
        <v>3024</v>
      </c>
      <c r="G71" s="268" t="s">
        <v>4316</v>
      </c>
      <c r="H71" s="268" t="s">
        <v>4816</v>
      </c>
      <c r="I71" s="397" t="s">
        <v>3008</v>
      </c>
      <c r="J71" s="278">
        <v>46097.994444444441</v>
      </c>
      <c r="K71" s="392">
        <v>46097</v>
      </c>
      <c r="L71" s="351">
        <f t="shared" si="4"/>
        <v>70</v>
      </c>
      <c r="M71" s="266" t="s">
        <v>2678</v>
      </c>
      <c r="N71" s="340">
        <f t="shared" si="5"/>
        <v>0</v>
      </c>
      <c r="O71" s="266"/>
      <c r="P71" s="266" t="s">
        <v>2678</v>
      </c>
      <c r="Q71" s="341">
        <f t="shared" si="6"/>
        <v>5.5555555591126904E-3</v>
      </c>
      <c r="R71" s="342">
        <f>WORKDAY(J71,7,'Public Holiday'!$A$2:$A$46)</f>
        <v>46106</v>
      </c>
      <c r="S71" s="343">
        <v>0</v>
      </c>
      <c r="T71" s="273">
        <f t="shared" si="7"/>
        <v>0</v>
      </c>
      <c r="U71" s="280" t="s">
        <v>2679</v>
      </c>
    </row>
    <row r="72" spans="1:21" ht="90" x14ac:dyDescent="0.25">
      <c r="A72" s="396">
        <v>50</v>
      </c>
      <c r="B72" s="268" t="s">
        <v>807</v>
      </c>
      <c r="C72" s="268" t="s">
        <v>4834</v>
      </c>
      <c r="D72" s="268">
        <v>32900</v>
      </c>
      <c r="E72" s="268" t="s">
        <v>4204</v>
      </c>
      <c r="F72" s="268" t="s">
        <v>2707</v>
      </c>
      <c r="G72" s="268" t="s">
        <v>4317</v>
      </c>
      <c r="H72" s="268" t="s">
        <v>4816</v>
      </c>
      <c r="I72" s="397" t="s">
        <v>3012</v>
      </c>
      <c r="J72" s="278">
        <v>46098.390972222223</v>
      </c>
      <c r="K72" s="392">
        <v>46098</v>
      </c>
      <c r="L72" s="351">
        <f t="shared" si="4"/>
        <v>70</v>
      </c>
      <c r="M72" s="266" t="s">
        <v>2678</v>
      </c>
      <c r="N72" s="340">
        <f t="shared" si="5"/>
        <v>0</v>
      </c>
      <c r="O72" s="266"/>
      <c r="P72" s="266" t="s">
        <v>2678</v>
      </c>
      <c r="Q72" s="341">
        <f t="shared" si="6"/>
        <v>0.60902777777664596</v>
      </c>
      <c r="R72" s="342">
        <f>WORKDAY(J72,7,'Public Holiday'!$A$2:$A$46)</f>
        <v>46107</v>
      </c>
      <c r="S72" s="343">
        <v>0</v>
      </c>
      <c r="T72" s="273">
        <f t="shared" si="7"/>
        <v>0</v>
      </c>
      <c r="U72" s="280" t="s">
        <v>2679</v>
      </c>
    </row>
    <row r="73" spans="1:21" ht="90" x14ac:dyDescent="0.25">
      <c r="A73" s="396">
        <v>51</v>
      </c>
      <c r="B73" s="268" t="s">
        <v>741</v>
      </c>
      <c r="C73" s="268" t="s">
        <v>4833</v>
      </c>
      <c r="D73" s="268">
        <v>9000</v>
      </c>
      <c r="E73" s="268" t="s">
        <v>4206</v>
      </c>
      <c r="F73" s="268" t="s">
        <v>2707</v>
      </c>
      <c r="G73" s="268" t="s">
        <v>4319</v>
      </c>
      <c r="H73" s="268" t="s">
        <v>4816</v>
      </c>
      <c r="I73" s="397" t="s">
        <v>3003</v>
      </c>
      <c r="J73" s="278">
        <v>46098.729166666664</v>
      </c>
      <c r="K73" s="392">
        <v>46098</v>
      </c>
      <c r="L73" s="351">
        <f t="shared" si="4"/>
        <v>20</v>
      </c>
      <c r="M73" s="266" t="s">
        <v>2678</v>
      </c>
      <c r="N73" s="340">
        <f t="shared" si="5"/>
        <v>0</v>
      </c>
      <c r="O73" s="266"/>
      <c r="P73" s="266" t="s">
        <v>2678</v>
      </c>
      <c r="Q73" s="341">
        <f t="shared" si="6"/>
        <v>0.27083333333575865</v>
      </c>
      <c r="R73" s="342">
        <f>WORKDAY(J73,7,'Public Holiday'!$A$2:$A$46)</f>
        <v>46107</v>
      </c>
      <c r="S73" s="343">
        <v>0</v>
      </c>
      <c r="T73" s="273">
        <f t="shared" si="7"/>
        <v>0</v>
      </c>
      <c r="U73" s="280" t="s">
        <v>2679</v>
      </c>
    </row>
    <row r="74" spans="1:21" ht="72" x14ac:dyDescent="0.25">
      <c r="A74" s="396">
        <v>52</v>
      </c>
      <c r="B74" s="268" t="s">
        <v>753</v>
      </c>
      <c r="C74" s="268" t="s">
        <v>4833</v>
      </c>
      <c r="D74" s="268">
        <v>9000</v>
      </c>
      <c r="E74" s="268" t="s">
        <v>4207</v>
      </c>
      <c r="F74" s="268" t="s">
        <v>3032</v>
      </c>
      <c r="G74" s="268" t="s">
        <v>4320</v>
      </c>
      <c r="H74" s="268" t="s">
        <v>4816</v>
      </c>
      <c r="I74" s="397" t="s">
        <v>3012</v>
      </c>
      <c r="J74" s="278">
        <v>46098.731249999997</v>
      </c>
      <c r="K74" s="392">
        <v>46098</v>
      </c>
      <c r="L74" s="351">
        <f t="shared" si="4"/>
        <v>20</v>
      </c>
      <c r="M74" s="266" t="s">
        <v>2678</v>
      </c>
      <c r="N74" s="340">
        <f t="shared" si="5"/>
        <v>0</v>
      </c>
      <c r="O74" s="266"/>
      <c r="P74" s="266" t="s">
        <v>2678</v>
      </c>
      <c r="Q74" s="341">
        <f t="shared" si="6"/>
        <v>0.26875000000291038</v>
      </c>
      <c r="R74" s="342">
        <f>WORKDAY(J74,7,'Public Holiday'!$A$2:$A$46)</f>
        <v>46107</v>
      </c>
      <c r="S74" s="343">
        <v>0</v>
      </c>
      <c r="T74" s="273">
        <f t="shared" si="7"/>
        <v>0</v>
      </c>
      <c r="U74" s="280" t="s">
        <v>2679</v>
      </c>
    </row>
    <row r="75" spans="1:21" ht="54" x14ac:dyDescent="0.25">
      <c r="A75" s="396">
        <v>53</v>
      </c>
      <c r="B75" s="268" t="s">
        <v>3822</v>
      </c>
      <c r="C75" s="268" t="s">
        <v>3029</v>
      </c>
      <c r="D75" s="268">
        <v>1700</v>
      </c>
      <c r="E75" s="268" t="s">
        <v>4211</v>
      </c>
      <c r="F75" s="268" t="s">
        <v>2709</v>
      </c>
      <c r="G75" s="268" t="s">
        <v>4324</v>
      </c>
      <c r="H75" s="268" t="s">
        <v>4816</v>
      </c>
      <c r="I75" s="397" t="s">
        <v>4786</v>
      </c>
      <c r="J75" s="278">
        <v>46099.51666666667</v>
      </c>
      <c r="K75" s="392">
        <v>46107</v>
      </c>
      <c r="L75" s="351">
        <f t="shared" si="4"/>
        <v>10</v>
      </c>
      <c r="M75" s="266" t="s">
        <v>2678</v>
      </c>
      <c r="N75" s="340">
        <f t="shared" si="5"/>
        <v>0</v>
      </c>
      <c r="O75" s="266"/>
      <c r="P75" s="266" t="s">
        <v>2678</v>
      </c>
      <c r="Q75" s="341">
        <f t="shared" si="6"/>
        <v>8.4833333333299379</v>
      </c>
      <c r="R75" s="342">
        <f>WORKDAY(J75,7,'Public Holiday'!$A$2:$A$46)</f>
        <v>46108</v>
      </c>
      <c r="S75" s="343">
        <v>0</v>
      </c>
      <c r="T75" s="273">
        <f t="shared" si="7"/>
        <v>0</v>
      </c>
      <c r="U75" s="280" t="s">
        <v>2679</v>
      </c>
    </row>
    <row r="76" spans="1:21" ht="36" x14ac:dyDescent="0.25">
      <c r="A76" s="396">
        <v>54</v>
      </c>
      <c r="B76" s="268" t="s">
        <v>1526</v>
      </c>
      <c r="C76" s="268" t="s">
        <v>1523</v>
      </c>
      <c r="D76" s="268">
        <v>53000</v>
      </c>
      <c r="E76" s="268" t="s">
        <v>4213</v>
      </c>
      <c r="F76" s="268" t="s">
        <v>2988</v>
      </c>
      <c r="G76" s="268" t="s">
        <v>4326</v>
      </c>
      <c r="H76" s="268" t="s">
        <v>4816</v>
      </c>
      <c r="I76" s="397" t="s">
        <v>3124</v>
      </c>
      <c r="J76" s="278">
        <v>46099.671527777777</v>
      </c>
      <c r="K76" s="392">
        <v>46099</v>
      </c>
      <c r="L76" s="351">
        <f t="shared" si="4"/>
        <v>100</v>
      </c>
      <c r="M76" s="266" t="s">
        <v>2678</v>
      </c>
      <c r="N76" s="340">
        <f t="shared" si="5"/>
        <v>0</v>
      </c>
      <c r="O76" s="266"/>
      <c r="P76" s="266" t="s">
        <v>2678</v>
      </c>
      <c r="Q76" s="341">
        <f t="shared" si="6"/>
        <v>0.32847222222335404</v>
      </c>
      <c r="R76" s="342">
        <f>WORKDAY(J76,7,'Public Holiday'!$A$2:$A$46)</f>
        <v>46108</v>
      </c>
      <c r="S76" s="343">
        <v>0</v>
      </c>
      <c r="T76" s="273">
        <f t="shared" si="7"/>
        <v>0</v>
      </c>
      <c r="U76" s="280" t="s">
        <v>2679</v>
      </c>
    </row>
    <row r="77" spans="1:21" ht="54" x14ac:dyDescent="0.25">
      <c r="A77" s="396">
        <v>55</v>
      </c>
      <c r="B77" s="268" t="s">
        <v>1763</v>
      </c>
      <c r="C77" s="268" t="s">
        <v>1608</v>
      </c>
      <c r="D77" s="268">
        <v>4300</v>
      </c>
      <c r="E77" s="268" t="s">
        <v>4214</v>
      </c>
      <c r="F77" s="268" t="s">
        <v>2988</v>
      </c>
      <c r="G77" s="268" t="s">
        <v>4327</v>
      </c>
      <c r="H77" s="268" t="s">
        <v>4816</v>
      </c>
      <c r="I77" s="397" t="s">
        <v>4765</v>
      </c>
      <c r="J77" s="278">
        <v>46099.695833333331</v>
      </c>
      <c r="K77" s="392">
        <v>46099</v>
      </c>
      <c r="L77" s="351">
        <f t="shared" si="4"/>
        <v>10</v>
      </c>
      <c r="M77" s="266" t="s">
        <v>2678</v>
      </c>
      <c r="N77" s="340">
        <f t="shared" si="5"/>
        <v>0</v>
      </c>
      <c r="O77" s="266"/>
      <c r="P77" s="266" t="s">
        <v>2678</v>
      </c>
      <c r="Q77" s="341">
        <f t="shared" si="6"/>
        <v>0.30416666666860692</v>
      </c>
      <c r="R77" s="342">
        <f>WORKDAY(J77,7,'Public Holiday'!$A$2:$A$46)</f>
        <v>46108</v>
      </c>
      <c r="S77" s="343">
        <v>0</v>
      </c>
      <c r="T77" s="273">
        <f t="shared" si="7"/>
        <v>0</v>
      </c>
      <c r="U77" s="280" t="s">
        <v>2679</v>
      </c>
    </row>
    <row r="78" spans="1:21" ht="54" x14ac:dyDescent="0.25">
      <c r="A78" s="396">
        <v>56</v>
      </c>
      <c r="B78" s="268" t="s">
        <v>1753</v>
      </c>
      <c r="C78" s="268" t="s">
        <v>1608</v>
      </c>
      <c r="D78" s="268">
        <v>4300</v>
      </c>
      <c r="E78" s="268" t="s">
        <v>4215</v>
      </c>
      <c r="F78" s="268" t="s">
        <v>2988</v>
      </c>
      <c r="G78" s="268" t="s">
        <v>4328</v>
      </c>
      <c r="H78" s="268" t="s">
        <v>4816</v>
      </c>
      <c r="I78" s="397" t="s">
        <v>4767</v>
      </c>
      <c r="J78" s="278">
        <v>46099.697916666664</v>
      </c>
      <c r="K78" s="392">
        <v>46099</v>
      </c>
      <c r="L78" s="351">
        <f t="shared" si="4"/>
        <v>10</v>
      </c>
      <c r="M78" s="266" t="s">
        <v>2678</v>
      </c>
      <c r="N78" s="340">
        <f t="shared" si="5"/>
        <v>0</v>
      </c>
      <c r="O78" s="266"/>
      <c r="P78" s="266" t="s">
        <v>2678</v>
      </c>
      <c r="Q78" s="341">
        <f t="shared" si="6"/>
        <v>0.30208333333575865</v>
      </c>
      <c r="R78" s="342">
        <f>WORKDAY(J78,7,'Public Holiday'!$A$2:$A$46)</f>
        <v>46108</v>
      </c>
      <c r="S78" s="343">
        <v>0</v>
      </c>
      <c r="T78" s="273">
        <f t="shared" si="7"/>
        <v>0</v>
      </c>
      <c r="U78" s="280" t="s">
        <v>2679</v>
      </c>
    </row>
    <row r="79" spans="1:21" ht="90" x14ac:dyDescent="0.25">
      <c r="A79" s="396">
        <v>57</v>
      </c>
      <c r="B79" s="268" t="s">
        <v>859</v>
      </c>
      <c r="C79" s="268" t="s">
        <v>4835</v>
      </c>
      <c r="D79" s="268">
        <v>31000</v>
      </c>
      <c r="E79" s="268" t="s">
        <v>4216</v>
      </c>
      <c r="F79" s="268" t="s">
        <v>3024</v>
      </c>
      <c r="G79" s="268" t="s">
        <v>4329</v>
      </c>
      <c r="H79" s="268" t="s">
        <v>4816</v>
      </c>
      <c r="I79" s="397" t="s">
        <v>4781</v>
      </c>
      <c r="J79" s="278">
        <v>46099.722916666666</v>
      </c>
      <c r="K79" s="392">
        <v>46099</v>
      </c>
      <c r="L79" s="351">
        <f t="shared" si="4"/>
        <v>70</v>
      </c>
      <c r="M79" s="266" t="s">
        <v>2678</v>
      </c>
      <c r="N79" s="340">
        <f t="shared" si="5"/>
        <v>0</v>
      </c>
      <c r="O79" s="266"/>
      <c r="P79" s="266" t="s">
        <v>2678</v>
      </c>
      <c r="Q79" s="341">
        <f t="shared" si="6"/>
        <v>0.27708333333430346</v>
      </c>
      <c r="R79" s="342">
        <f>WORKDAY(J79,7,'Public Holiday'!$A$2:$A$46)</f>
        <v>46108</v>
      </c>
      <c r="S79" s="343">
        <v>0</v>
      </c>
      <c r="T79" s="273">
        <f t="shared" si="7"/>
        <v>0</v>
      </c>
      <c r="U79" s="280" t="s">
        <v>2679</v>
      </c>
    </row>
    <row r="80" spans="1:21" ht="54" x14ac:dyDescent="0.25">
      <c r="A80" s="396">
        <v>58</v>
      </c>
      <c r="B80" s="268" t="s">
        <v>2889</v>
      </c>
      <c r="C80" s="268" t="s">
        <v>1471</v>
      </c>
      <c r="D80" s="268">
        <v>26000</v>
      </c>
      <c r="E80" s="268" t="s">
        <v>4217</v>
      </c>
      <c r="F80" s="268" t="s">
        <v>2996</v>
      </c>
      <c r="G80" s="268" t="s">
        <v>4330</v>
      </c>
      <c r="H80" s="268" t="s">
        <v>4816</v>
      </c>
      <c r="I80" s="397" t="s">
        <v>2997</v>
      </c>
      <c r="J80" s="278">
        <v>46100.399305555555</v>
      </c>
      <c r="K80" s="392">
        <v>46105</v>
      </c>
      <c r="L80" s="351">
        <f t="shared" si="4"/>
        <v>60</v>
      </c>
      <c r="M80" s="266" t="s">
        <v>2678</v>
      </c>
      <c r="N80" s="340">
        <f t="shared" si="5"/>
        <v>0</v>
      </c>
      <c r="O80" s="266"/>
      <c r="P80" s="266" t="s">
        <v>2678</v>
      </c>
      <c r="Q80" s="341">
        <f t="shared" si="6"/>
        <v>5.6006944444452529</v>
      </c>
      <c r="R80" s="342">
        <f>WORKDAY(J80,7,'Public Holiday'!$A$2:$A$46)</f>
        <v>46111</v>
      </c>
      <c r="S80" s="343">
        <v>0</v>
      </c>
      <c r="T80" s="273">
        <f t="shared" si="7"/>
        <v>0</v>
      </c>
      <c r="U80" s="330" t="s">
        <v>2679</v>
      </c>
    </row>
    <row r="81" spans="1:21" ht="54" x14ac:dyDescent="0.25">
      <c r="A81" s="396">
        <v>59</v>
      </c>
      <c r="B81" s="268" t="s">
        <v>2388</v>
      </c>
      <c r="C81" s="268" t="s">
        <v>4142</v>
      </c>
      <c r="D81" s="268">
        <v>5500</v>
      </c>
      <c r="E81" s="268" t="s">
        <v>4219</v>
      </c>
      <c r="F81" s="268" t="s">
        <v>3023</v>
      </c>
      <c r="G81" s="268" t="s">
        <v>4332</v>
      </c>
      <c r="H81" s="268" t="s">
        <v>4816</v>
      </c>
      <c r="I81" s="397" t="s">
        <v>4792</v>
      </c>
      <c r="J81" s="278">
        <v>46100.513888888891</v>
      </c>
      <c r="K81" s="392">
        <v>46107</v>
      </c>
      <c r="L81" s="351">
        <f t="shared" si="4"/>
        <v>20</v>
      </c>
      <c r="M81" s="266" t="s">
        <v>2678</v>
      </c>
      <c r="N81" s="340">
        <f t="shared" si="5"/>
        <v>0</v>
      </c>
      <c r="O81" s="266"/>
      <c r="P81" s="266" t="s">
        <v>2678</v>
      </c>
      <c r="Q81" s="341">
        <f t="shared" si="6"/>
        <v>7.4861111111094942</v>
      </c>
      <c r="R81" s="342">
        <f>WORKDAY(J81,7,'Public Holiday'!$A$2:$A$46)</f>
        <v>46111</v>
      </c>
      <c r="S81" s="343">
        <v>0</v>
      </c>
      <c r="T81" s="273">
        <f t="shared" si="7"/>
        <v>0</v>
      </c>
      <c r="U81" s="280" t="s">
        <v>2679</v>
      </c>
    </row>
    <row r="82" spans="1:21" ht="36" x14ac:dyDescent="0.25">
      <c r="A82" s="396">
        <v>60</v>
      </c>
      <c r="B82" s="268" t="s">
        <v>3844</v>
      </c>
      <c r="C82" s="268" t="s">
        <v>4136</v>
      </c>
      <c r="D82" s="268">
        <v>332177.94</v>
      </c>
      <c r="E82" s="268" t="s">
        <v>4220</v>
      </c>
      <c r="F82" s="268" t="s">
        <v>2985</v>
      </c>
      <c r="G82" s="268" t="s">
        <v>4333</v>
      </c>
      <c r="H82" s="268" t="s">
        <v>4816</v>
      </c>
      <c r="I82" s="397" t="s">
        <v>3012</v>
      </c>
      <c r="J82" s="278">
        <v>46100.540277777778</v>
      </c>
      <c r="K82" s="392">
        <v>46100</v>
      </c>
      <c r="L82" s="351">
        <f t="shared" si="4"/>
        <v>100</v>
      </c>
      <c r="M82" s="266" t="s">
        <v>2678</v>
      </c>
      <c r="N82" s="340">
        <f t="shared" si="5"/>
        <v>0</v>
      </c>
      <c r="O82" s="266"/>
      <c r="P82" s="266" t="s">
        <v>2678</v>
      </c>
      <c r="Q82" s="341">
        <f t="shared" si="6"/>
        <v>0.45972222222189885</v>
      </c>
      <c r="R82" s="342">
        <f>WORKDAY(J82,7,'Public Holiday'!$A$2:$A$46)</f>
        <v>46111</v>
      </c>
      <c r="S82" s="343">
        <v>0</v>
      </c>
      <c r="T82" s="273">
        <f t="shared" si="7"/>
        <v>0</v>
      </c>
      <c r="U82" s="280" t="s">
        <v>2679</v>
      </c>
    </row>
    <row r="83" spans="1:21" ht="54" x14ac:dyDescent="0.25">
      <c r="A83" s="396">
        <v>61</v>
      </c>
      <c r="B83" s="268" t="s">
        <v>1172</v>
      </c>
      <c r="C83" s="268" t="s">
        <v>1169</v>
      </c>
      <c r="D83" s="268">
        <v>416000</v>
      </c>
      <c r="E83" s="268" t="s">
        <v>4221</v>
      </c>
      <c r="F83" s="268" t="s">
        <v>4826</v>
      </c>
      <c r="G83" s="268" t="s">
        <v>4334</v>
      </c>
      <c r="H83" s="268" t="s">
        <v>4816</v>
      </c>
      <c r="I83" s="397" t="s">
        <v>4796</v>
      </c>
      <c r="J83" s="278">
        <v>46100.5625</v>
      </c>
      <c r="K83" s="392">
        <v>46100</v>
      </c>
      <c r="L83" s="351">
        <f t="shared" si="4"/>
        <v>100</v>
      </c>
      <c r="M83" s="266" t="s">
        <v>2678</v>
      </c>
      <c r="N83" s="340">
        <f t="shared" si="5"/>
        <v>0</v>
      </c>
      <c r="O83" s="266"/>
      <c r="P83" s="266" t="s">
        <v>2678</v>
      </c>
      <c r="Q83" s="341">
        <f t="shared" si="6"/>
        <v>0.4375</v>
      </c>
      <c r="R83" s="342">
        <f>WORKDAY(J83,7,'Public Holiday'!$A$2:$A$46)</f>
        <v>46111</v>
      </c>
      <c r="S83" s="343">
        <v>0</v>
      </c>
      <c r="T83" s="273">
        <f t="shared" si="7"/>
        <v>0</v>
      </c>
      <c r="U83" s="280" t="s">
        <v>2679</v>
      </c>
    </row>
    <row r="84" spans="1:21" ht="36" x14ac:dyDescent="0.25">
      <c r="A84" s="396">
        <v>62</v>
      </c>
      <c r="B84" s="268" t="s">
        <v>1174</v>
      </c>
      <c r="C84" s="268" t="s">
        <v>1173</v>
      </c>
      <c r="D84" s="268">
        <v>554438.30000000005</v>
      </c>
      <c r="E84" s="268" t="s">
        <v>4222</v>
      </c>
      <c r="F84" s="268" t="s">
        <v>4826</v>
      </c>
      <c r="G84" s="268" t="s">
        <v>4335</v>
      </c>
      <c r="H84" s="268" t="s">
        <v>4816</v>
      </c>
      <c r="I84" s="397" t="s">
        <v>2999</v>
      </c>
      <c r="J84" s="278">
        <v>46100.714583333334</v>
      </c>
      <c r="K84" s="392">
        <v>46100</v>
      </c>
      <c r="L84" s="351">
        <f t="shared" si="4"/>
        <v>100</v>
      </c>
      <c r="M84" s="266" t="s">
        <v>2678</v>
      </c>
      <c r="N84" s="340">
        <f t="shared" si="5"/>
        <v>0</v>
      </c>
      <c r="O84" s="266"/>
      <c r="P84" s="266" t="s">
        <v>2678</v>
      </c>
      <c r="Q84" s="341">
        <f t="shared" si="6"/>
        <v>0.28541666666569654</v>
      </c>
      <c r="R84" s="342">
        <f>WORKDAY(J84,7,'Public Holiday'!$A$2:$A$46)</f>
        <v>46111</v>
      </c>
      <c r="S84" s="343">
        <v>0</v>
      </c>
      <c r="T84" s="273">
        <f t="shared" si="7"/>
        <v>0</v>
      </c>
      <c r="U84" s="280" t="s">
        <v>2679</v>
      </c>
    </row>
    <row r="85" spans="1:21" ht="54" x14ac:dyDescent="0.25">
      <c r="A85" s="396">
        <v>63</v>
      </c>
      <c r="B85" s="268" t="s">
        <v>1172</v>
      </c>
      <c r="C85" s="268" t="s">
        <v>1169</v>
      </c>
      <c r="D85" s="268">
        <v>416000</v>
      </c>
      <c r="E85" s="268" t="s">
        <v>4223</v>
      </c>
      <c r="F85" s="268" t="s">
        <v>4826</v>
      </c>
      <c r="G85" s="268" t="s">
        <v>4336</v>
      </c>
      <c r="H85" s="268" t="s">
        <v>4816</v>
      </c>
      <c r="I85" s="397" t="s">
        <v>3001</v>
      </c>
      <c r="J85" s="278">
        <v>46100.715277777781</v>
      </c>
      <c r="K85" s="392">
        <v>46100</v>
      </c>
      <c r="L85" s="351">
        <f t="shared" si="4"/>
        <v>100</v>
      </c>
      <c r="M85" s="266" t="s">
        <v>2678</v>
      </c>
      <c r="N85" s="340">
        <f t="shared" si="5"/>
        <v>0</v>
      </c>
      <c r="O85" s="266"/>
      <c r="P85" s="266" t="s">
        <v>2678</v>
      </c>
      <c r="Q85" s="341">
        <f t="shared" si="6"/>
        <v>0.28472222221898846</v>
      </c>
      <c r="R85" s="342">
        <f>WORKDAY(J85,7,'Public Holiday'!$A$2:$A$46)</f>
        <v>46111</v>
      </c>
      <c r="S85" s="343">
        <v>0</v>
      </c>
      <c r="T85" s="273">
        <f t="shared" si="7"/>
        <v>0</v>
      </c>
      <c r="U85" s="280" t="s">
        <v>2679</v>
      </c>
    </row>
    <row r="86" spans="1:21" ht="72" x14ac:dyDescent="0.25">
      <c r="A86" s="396">
        <v>64</v>
      </c>
      <c r="B86" s="268" t="s">
        <v>2984</v>
      </c>
      <c r="C86" s="268" t="s">
        <v>803</v>
      </c>
      <c r="D86" s="268">
        <v>148645</v>
      </c>
      <c r="E86" s="268" t="s">
        <v>4226</v>
      </c>
      <c r="F86" s="268" t="s">
        <v>2985</v>
      </c>
      <c r="G86" s="268" t="s">
        <v>4339</v>
      </c>
      <c r="H86" s="268" t="s">
        <v>4816</v>
      </c>
      <c r="I86" s="397" t="s">
        <v>3197</v>
      </c>
      <c r="J86" s="278">
        <v>46103.578472222223</v>
      </c>
      <c r="K86" s="392">
        <v>46103</v>
      </c>
      <c r="L86" s="351">
        <f t="shared" si="4"/>
        <v>100</v>
      </c>
      <c r="M86" s="266" t="s">
        <v>2678</v>
      </c>
      <c r="N86" s="340">
        <f t="shared" si="5"/>
        <v>0</v>
      </c>
      <c r="O86" s="266"/>
      <c r="P86" s="266" t="s">
        <v>2678</v>
      </c>
      <c r="Q86" s="341">
        <f t="shared" si="6"/>
        <v>0.42152777777664596</v>
      </c>
      <c r="R86" s="342">
        <f>WORKDAY(J86,7,'Public Holiday'!$A$2:$A$46)</f>
        <v>46112</v>
      </c>
      <c r="S86" s="343">
        <v>0</v>
      </c>
      <c r="T86" s="273">
        <f t="shared" si="7"/>
        <v>0</v>
      </c>
      <c r="U86" s="280" t="s">
        <v>2679</v>
      </c>
    </row>
    <row r="87" spans="1:21" ht="72" x14ac:dyDescent="0.25">
      <c r="A87" s="396">
        <v>65</v>
      </c>
      <c r="B87" s="268" t="s">
        <v>1478</v>
      </c>
      <c r="C87" s="268" t="s">
        <v>1473</v>
      </c>
      <c r="D87" s="268">
        <v>36300</v>
      </c>
      <c r="E87" s="268" t="s">
        <v>4227</v>
      </c>
      <c r="F87" s="268" t="s">
        <v>3030</v>
      </c>
      <c r="G87" s="268" t="s">
        <v>4340</v>
      </c>
      <c r="H87" s="268" t="s">
        <v>4816</v>
      </c>
      <c r="I87" s="397" t="s">
        <v>4766</v>
      </c>
      <c r="J87" s="278">
        <v>46105.34375</v>
      </c>
      <c r="K87" s="392">
        <v>46105</v>
      </c>
      <c r="L87" s="351">
        <f t="shared" ref="L87:L103" si="8">IF(D87&gt;44999.99,100,ROUNDUP((D87/4999.99)*10,-1))</f>
        <v>80</v>
      </c>
      <c r="M87" s="266" t="s">
        <v>2678</v>
      </c>
      <c r="N87" s="340">
        <f t="shared" ref="N87:N103" si="9">IF(M87="Y",L87,0)</f>
        <v>0</v>
      </c>
      <c r="O87" s="266"/>
      <c r="P87" s="266" t="s">
        <v>2678</v>
      </c>
      <c r="Q87" s="341">
        <f t="shared" ref="Q87:Q110" si="10">K87-J87+1</f>
        <v>0.65625</v>
      </c>
      <c r="R87" s="342">
        <f>WORKDAY(J87,7,'Public Holiday'!$A$2:$A$46)</f>
        <v>46114</v>
      </c>
      <c r="S87" s="343">
        <v>0</v>
      </c>
      <c r="T87" s="273">
        <f t="shared" ref="T87:T103" si="11">L87*S87</f>
        <v>0</v>
      </c>
      <c r="U87" s="280" t="s">
        <v>2679</v>
      </c>
    </row>
    <row r="88" spans="1:21" ht="54" x14ac:dyDescent="0.25">
      <c r="A88" s="396">
        <v>66</v>
      </c>
      <c r="B88" s="268" t="s">
        <v>1171</v>
      </c>
      <c r="C88" s="268" t="s">
        <v>1169</v>
      </c>
      <c r="D88" s="268">
        <v>416000</v>
      </c>
      <c r="E88" s="268" t="s">
        <v>4229</v>
      </c>
      <c r="F88" s="268" t="s">
        <v>4826</v>
      </c>
      <c r="G88" s="268" t="s">
        <v>4342</v>
      </c>
      <c r="H88" s="268" t="s">
        <v>4816</v>
      </c>
      <c r="I88" s="397" t="s">
        <v>3001</v>
      </c>
      <c r="J88" s="278">
        <v>46105.701388888891</v>
      </c>
      <c r="K88" s="392">
        <v>46105</v>
      </c>
      <c r="L88" s="351">
        <f t="shared" si="8"/>
        <v>100</v>
      </c>
      <c r="M88" s="266" t="s">
        <v>2678</v>
      </c>
      <c r="N88" s="340">
        <f t="shared" si="9"/>
        <v>0</v>
      </c>
      <c r="O88" s="266"/>
      <c r="P88" s="266" t="s">
        <v>2678</v>
      </c>
      <c r="Q88" s="341">
        <f t="shared" si="10"/>
        <v>0.29861111110949423</v>
      </c>
      <c r="R88" s="342">
        <f>WORKDAY(J88,7,'Public Holiday'!$A$2:$A$46)</f>
        <v>46114</v>
      </c>
      <c r="S88" s="343">
        <v>0</v>
      </c>
      <c r="T88" s="273">
        <f t="shared" si="11"/>
        <v>0</v>
      </c>
      <c r="U88" s="280" t="s">
        <v>2679</v>
      </c>
    </row>
    <row r="89" spans="1:21" ht="72" x14ac:dyDescent="0.25">
      <c r="A89" s="396">
        <v>67</v>
      </c>
      <c r="B89" s="268" t="s">
        <v>1484</v>
      </c>
      <c r="C89" s="268" t="s">
        <v>1473</v>
      </c>
      <c r="D89" s="268">
        <v>36300</v>
      </c>
      <c r="E89" s="268" t="s">
        <v>4230</v>
      </c>
      <c r="F89" s="268" t="s">
        <v>3030</v>
      </c>
      <c r="G89" s="268" t="s">
        <v>4343</v>
      </c>
      <c r="H89" s="268" t="s">
        <v>4816</v>
      </c>
      <c r="I89" s="397" t="s">
        <v>4793</v>
      </c>
      <c r="J89" s="278">
        <v>46105.706944444442</v>
      </c>
      <c r="K89" s="392">
        <v>46105</v>
      </c>
      <c r="L89" s="351">
        <f t="shared" si="8"/>
        <v>80</v>
      </c>
      <c r="M89" s="266" t="s">
        <v>2678</v>
      </c>
      <c r="N89" s="340">
        <f t="shared" si="9"/>
        <v>0</v>
      </c>
      <c r="O89" s="266"/>
      <c r="P89" s="266" t="s">
        <v>2678</v>
      </c>
      <c r="Q89" s="341">
        <f t="shared" si="10"/>
        <v>0.2930555555576575</v>
      </c>
      <c r="R89" s="342">
        <f>WORKDAY(J89,7,'Public Holiday'!$A$2:$A$46)</f>
        <v>46114</v>
      </c>
      <c r="S89" s="343">
        <v>0</v>
      </c>
      <c r="T89" s="273">
        <f t="shared" si="11"/>
        <v>0</v>
      </c>
      <c r="U89" s="280" t="s">
        <v>2679</v>
      </c>
    </row>
    <row r="90" spans="1:21" ht="72" x14ac:dyDescent="0.25">
      <c r="A90" s="396">
        <v>68</v>
      </c>
      <c r="B90" s="268" t="s">
        <v>1478</v>
      </c>
      <c r="C90" s="268" t="s">
        <v>1473</v>
      </c>
      <c r="D90" s="268">
        <v>36300</v>
      </c>
      <c r="E90" s="268" t="s">
        <v>4231</v>
      </c>
      <c r="F90" s="268" t="s">
        <v>3030</v>
      </c>
      <c r="G90" s="268" t="s">
        <v>4344</v>
      </c>
      <c r="H90" s="268" t="s">
        <v>4816</v>
      </c>
      <c r="I90" s="397" t="s">
        <v>4794</v>
      </c>
      <c r="J90" s="278">
        <v>46105.710416666669</v>
      </c>
      <c r="K90" s="392">
        <v>46105</v>
      </c>
      <c r="L90" s="351">
        <f t="shared" si="8"/>
        <v>80</v>
      </c>
      <c r="M90" s="266" t="s">
        <v>2678</v>
      </c>
      <c r="N90" s="340">
        <f t="shared" si="9"/>
        <v>0</v>
      </c>
      <c r="O90" s="266"/>
      <c r="P90" s="266" t="s">
        <v>2678</v>
      </c>
      <c r="Q90" s="341">
        <f t="shared" si="10"/>
        <v>0.28958333333139308</v>
      </c>
      <c r="R90" s="342">
        <f>WORKDAY(J90,7,'Public Holiday'!$A$2:$A$46)</f>
        <v>46114</v>
      </c>
      <c r="S90" s="343">
        <v>0</v>
      </c>
      <c r="T90" s="273">
        <f t="shared" si="11"/>
        <v>0</v>
      </c>
      <c r="U90" s="280" t="s">
        <v>2679</v>
      </c>
    </row>
    <row r="91" spans="1:21" ht="72" x14ac:dyDescent="0.25">
      <c r="A91" s="396">
        <v>69</v>
      </c>
      <c r="B91" s="268" t="s">
        <v>233</v>
      </c>
      <c r="C91" s="268" t="s">
        <v>231</v>
      </c>
      <c r="D91" s="268">
        <v>10200</v>
      </c>
      <c r="E91" s="268" t="s">
        <v>4232</v>
      </c>
      <c r="F91" s="268" t="s">
        <v>3025</v>
      </c>
      <c r="G91" s="268" t="s">
        <v>4345</v>
      </c>
      <c r="H91" s="268" t="s">
        <v>4816</v>
      </c>
      <c r="I91" s="397" t="s">
        <v>4785</v>
      </c>
      <c r="J91" s="278">
        <v>46106.67291666667</v>
      </c>
      <c r="K91" s="392">
        <v>46110</v>
      </c>
      <c r="L91" s="351">
        <f t="shared" si="8"/>
        <v>30</v>
      </c>
      <c r="M91" s="266" t="s">
        <v>2678</v>
      </c>
      <c r="N91" s="340">
        <f t="shared" si="9"/>
        <v>0</v>
      </c>
      <c r="O91" s="266"/>
      <c r="P91" s="266" t="s">
        <v>2678</v>
      </c>
      <c r="Q91" s="341">
        <f t="shared" si="10"/>
        <v>4.3270833333299379</v>
      </c>
      <c r="R91" s="342">
        <f>WORKDAY(J91,7,'Public Holiday'!$A$2:$A$46)</f>
        <v>46115</v>
      </c>
      <c r="S91" s="343">
        <v>0</v>
      </c>
      <c r="T91" s="273">
        <f t="shared" si="11"/>
        <v>0</v>
      </c>
      <c r="U91" s="280" t="s">
        <v>2679</v>
      </c>
    </row>
    <row r="92" spans="1:21" ht="54" x14ac:dyDescent="0.25">
      <c r="A92" s="396">
        <v>70</v>
      </c>
      <c r="B92" s="268" t="s">
        <v>1108</v>
      </c>
      <c r="C92" s="268" t="s">
        <v>1100</v>
      </c>
      <c r="D92" s="268">
        <v>1500</v>
      </c>
      <c r="E92" s="268" t="s">
        <v>4235</v>
      </c>
      <c r="F92" s="268" t="s">
        <v>2988</v>
      </c>
      <c r="G92" s="268" t="s">
        <v>4348</v>
      </c>
      <c r="H92" s="268" t="s">
        <v>4816</v>
      </c>
      <c r="I92" s="397" t="s">
        <v>4785</v>
      </c>
      <c r="J92" s="278">
        <v>46106.957638888889</v>
      </c>
      <c r="K92" s="392">
        <v>46106</v>
      </c>
      <c r="L92" s="351">
        <f t="shared" si="8"/>
        <v>10</v>
      </c>
      <c r="M92" s="266" t="s">
        <v>2678</v>
      </c>
      <c r="N92" s="340">
        <f t="shared" si="9"/>
        <v>0</v>
      </c>
      <c r="O92" s="266"/>
      <c r="P92" s="266" t="s">
        <v>2678</v>
      </c>
      <c r="Q92" s="341">
        <f t="shared" si="10"/>
        <v>4.2361111110949423E-2</v>
      </c>
      <c r="R92" s="342">
        <f>WORKDAY(J92,7,'Public Holiday'!$A$2:$A$46)</f>
        <v>46115</v>
      </c>
      <c r="S92" s="343">
        <v>0</v>
      </c>
      <c r="T92" s="273">
        <f t="shared" si="11"/>
        <v>0</v>
      </c>
      <c r="U92" s="280" t="s">
        <v>2679</v>
      </c>
    </row>
    <row r="93" spans="1:21" ht="54" x14ac:dyDescent="0.25">
      <c r="A93" s="396">
        <v>71</v>
      </c>
      <c r="B93" s="268" t="s">
        <v>36</v>
      </c>
      <c r="C93" s="268" t="s">
        <v>29</v>
      </c>
      <c r="D93" s="268">
        <v>69000</v>
      </c>
      <c r="E93" s="268" t="s">
        <v>4236</v>
      </c>
      <c r="F93" s="268" t="s">
        <v>2989</v>
      </c>
      <c r="G93" s="268" t="s">
        <v>4349</v>
      </c>
      <c r="H93" s="268" t="s">
        <v>4816</v>
      </c>
      <c r="I93" s="397" t="s">
        <v>3001</v>
      </c>
      <c r="J93" s="278">
        <v>46107.461805555555</v>
      </c>
      <c r="K93" s="392">
        <v>46107</v>
      </c>
      <c r="L93" s="351">
        <f t="shared" si="8"/>
        <v>100</v>
      </c>
      <c r="M93" s="266" t="s">
        <v>2678</v>
      </c>
      <c r="N93" s="340">
        <f t="shared" si="9"/>
        <v>0</v>
      </c>
      <c r="O93" s="266"/>
      <c r="P93" s="266" t="s">
        <v>2678</v>
      </c>
      <c r="Q93" s="341">
        <f t="shared" si="10"/>
        <v>0.53819444444525288</v>
      </c>
      <c r="R93" s="342">
        <f>WORKDAY(J93,7,'Public Holiday'!$A$2:$A$46)</f>
        <v>46118</v>
      </c>
      <c r="S93" s="343">
        <v>0</v>
      </c>
      <c r="T93" s="273">
        <f t="shared" si="11"/>
        <v>0</v>
      </c>
      <c r="U93" s="280" t="s">
        <v>2679</v>
      </c>
    </row>
    <row r="94" spans="1:21" ht="90" x14ac:dyDescent="0.25">
      <c r="A94" s="396">
        <v>72</v>
      </c>
      <c r="B94" s="268" t="s">
        <v>472</v>
      </c>
      <c r="C94" s="268" t="s">
        <v>470</v>
      </c>
      <c r="D94" s="268">
        <v>30000</v>
      </c>
      <c r="E94" s="268" t="s">
        <v>4237</v>
      </c>
      <c r="F94" s="268" t="s">
        <v>3022</v>
      </c>
      <c r="G94" s="268" t="s">
        <v>4350</v>
      </c>
      <c r="H94" s="268" t="s">
        <v>4816</v>
      </c>
      <c r="I94" s="397" t="s">
        <v>4764</v>
      </c>
      <c r="J94" s="278">
        <v>46107.493750000001</v>
      </c>
      <c r="K94" s="392">
        <v>46107</v>
      </c>
      <c r="L94" s="351">
        <f t="shared" si="8"/>
        <v>70</v>
      </c>
      <c r="M94" s="266" t="s">
        <v>2678</v>
      </c>
      <c r="N94" s="340">
        <f t="shared" si="9"/>
        <v>0</v>
      </c>
      <c r="O94" s="266"/>
      <c r="P94" s="266" t="s">
        <v>2678</v>
      </c>
      <c r="Q94" s="341">
        <f t="shared" si="10"/>
        <v>0.50624999999854481</v>
      </c>
      <c r="R94" s="342">
        <f>WORKDAY(J94,7,'Public Holiday'!$A$2:$A$46)</f>
        <v>46118</v>
      </c>
      <c r="S94" s="343">
        <v>0</v>
      </c>
      <c r="T94" s="273">
        <f t="shared" si="11"/>
        <v>0</v>
      </c>
      <c r="U94" s="280" t="s">
        <v>2679</v>
      </c>
    </row>
    <row r="95" spans="1:21" ht="90" x14ac:dyDescent="0.25">
      <c r="A95" s="396">
        <v>73</v>
      </c>
      <c r="B95" s="268" t="s">
        <v>804</v>
      </c>
      <c r="C95" s="268" t="s">
        <v>4834</v>
      </c>
      <c r="D95" s="268">
        <v>32900</v>
      </c>
      <c r="E95" s="268" t="s">
        <v>4241</v>
      </c>
      <c r="F95" s="268" t="s">
        <v>2707</v>
      </c>
      <c r="G95" s="268" t="s">
        <v>4354</v>
      </c>
      <c r="H95" s="268" t="s">
        <v>4816</v>
      </c>
      <c r="I95" s="397" t="s">
        <v>2995</v>
      </c>
      <c r="J95" s="278">
        <v>46107.775000000001</v>
      </c>
      <c r="K95" s="392">
        <v>46107</v>
      </c>
      <c r="L95" s="351">
        <f t="shared" si="8"/>
        <v>70</v>
      </c>
      <c r="M95" s="266" t="s">
        <v>2678</v>
      </c>
      <c r="N95" s="340">
        <f t="shared" si="9"/>
        <v>0</v>
      </c>
      <c r="O95" s="266"/>
      <c r="P95" s="266" t="s">
        <v>2678</v>
      </c>
      <c r="Q95" s="341">
        <f t="shared" si="10"/>
        <v>0.22499999999854481</v>
      </c>
      <c r="R95" s="342">
        <f>WORKDAY(J95,7,'Public Holiday'!$A$2:$A$46)</f>
        <v>46118</v>
      </c>
      <c r="S95" s="343">
        <v>0</v>
      </c>
      <c r="T95" s="273">
        <f t="shared" si="11"/>
        <v>0</v>
      </c>
      <c r="U95" s="280" t="s">
        <v>2679</v>
      </c>
    </row>
    <row r="96" spans="1:21" ht="90" x14ac:dyDescent="0.25">
      <c r="A96" s="396">
        <v>74</v>
      </c>
      <c r="B96" s="268" t="s">
        <v>806</v>
      </c>
      <c r="C96" s="268" t="s">
        <v>4834</v>
      </c>
      <c r="D96" s="268">
        <v>32900</v>
      </c>
      <c r="E96" s="268" t="s">
        <v>4242</v>
      </c>
      <c r="F96" s="268" t="s">
        <v>2707</v>
      </c>
      <c r="G96" s="268" t="s">
        <v>4355</v>
      </c>
      <c r="H96" s="268" t="s">
        <v>4816</v>
      </c>
      <c r="I96" s="397" t="s">
        <v>4802</v>
      </c>
      <c r="J96" s="278">
        <v>46107.775694444441</v>
      </c>
      <c r="K96" s="392">
        <v>46107</v>
      </c>
      <c r="L96" s="351">
        <f t="shared" si="8"/>
        <v>70</v>
      </c>
      <c r="M96" s="266" t="s">
        <v>2678</v>
      </c>
      <c r="N96" s="340">
        <f t="shared" si="9"/>
        <v>0</v>
      </c>
      <c r="O96" s="266"/>
      <c r="P96" s="266" t="s">
        <v>2678</v>
      </c>
      <c r="Q96" s="341">
        <f t="shared" si="10"/>
        <v>0.22430555555911269</v>
      </c>
      <c r="R96" s="342">
        <f>WORKDAY(J96,7,'Public Holiday'!$A$2:$A$46)</f>
        <v>46118</v>
      </c>
      <c r="S96" s="343">
        <v>0</v>
      </c>
      <c r="T96" s="273">
        <f t="shared" si="11"/>
        <v>0</v>
      </c>
      <c r="U96" s="280" t="s">
        <v>2679</v>
      </c>
    </row>
    <row r="97" spans="1:21" ht="54" x14ac:dyDescent="0.25">
      <c r="A97" s="396">
        <v>75</v>
      </c>
      <c r="B97" s="268" t="s">
        <v>1171</v>
      </c>
      <c r="C97" s="268" t="s">
        <v>1169</v>
      </c>
      <c r="D97" s="268">
        <v>416000</v>
      </c>
      <c r="E97" s="268" t="s">
        <v>4245</v>
      </c>
      <c r="F97" s="268" t="s">
        <v>4826</v>
      </c>
      <c r="G97" s="268" t="s">
        <v>4358</v>
      </c>
      <c r="H97" s="268" t="s">
        <v>4816</v>
      </c>
      <c r="I97" s="397" t="s">
        <v>3007</v>
      </c>
      <c r="J97" s="278">
        <v>46111.415277777778</v>
      </c>
      <c r="K97" s="392">
        <v>46111</v>
      </c>
      <c r="L97" s="351">
        <f t="shared" si="8"/>
        <v>100</v>
      </c>
      <c r="M97" s="266" t="s">
        <v>2678</v>
      </c>
      <c r="N97" s="340">
        <f t="shared" si="9"/>
        <v>0</v>
      </c>
      <c r="O97" s="266"/>
      <c r="P97" s="266" t="s">
        <v>2678</v>
      </c>
      <c r="Q97" s="341">
        <f t="shared" si="10"/>
        <v>0.58472222222189885</v>
      </c>
      <c r="R97" s="342">
        <f>WORKDAY(J97,7,'Public Holiday'!$A$2:$A$46)</f>
        <v>46120</v>
      </c>
      <c r="S97" s="343">
        <v>0</v>
      </c>
      <c r="T97" s="273">
        <f t="shared" si="11"/>
        <v>0</v>
      </c>
      <c r="U97" s="280" t="s">
        <v>2679</v>
      </c>
    </row>
    <row r="98" spans="1:21" ht="36" x14ac:dyDescent="0.25">
      <c r="A98" s="396">
        <v>76</v>
      </c>
      <c r="B98" s="268" t="s">
        <v>3832</v>
      </c>
      <c r="C98" s="268" t="s">
        <v>2349</v>
      </c>
      <c r="D98" s="268">
        <v>4850</v>
      </c>
      <c r="E98" s="268" t="s">
        <v>4247</v>
      </c>
      <c r="F98" s="268" t="s">
        <v>3025</v>
      </c>
      <c r="G98" s="268" t="s">
        <v>4360</v>
      </c>
      <c r="H98" s="268" t="s">
        <v>4816</v>
      </c>
      <c r="I98" s="397" t="s">
        <v>4788</v>
      </c>
      <c r="J98" s="278">
        <v>46111.646527777775</v>
      </c>
      <c r="K98" s="392">
        <v>46111</v>
      </c>
      <c r="L98" s="351">
        <f t="shared" si="8"/>
        <v>10</v>
      </c>
      <c r="M98" s="266" t="s">
        <v>2678</v>
      </c>
      <c r="N98" s="340">
        <f t="shared" si="9"/>
        <v>0</v>
      </c>
      <c r="O98" s="266"/>
      <c r="P98" s="266" t="s">
        <v>2678</v>
      </c>
      <c r="Q98" s="341">
        <f t="shared" si="10"/>
        <v>0.35347222222480923</v>
      </c>
      <c r="R98" s="342">
        <f>WORKDAY(J98,7,'Public Holiday'!$A$2:$A$46)</f>
        <v>46120</v>
      </c>
      <c r="S98" s="343">
        <v>0</v>
      </c>
      <c r="T98" s="273">
        <f t="shared" si="11"/>
        <v>0</v>
      </c>
      <c r="U98" s="280" t="s">
        <v>2679</v>
      </c>
    </row>
    <row r="99" spans="1:21" ht="72" x14ac:dyDescent="0.25">
      <c r="A99" s="396">
        <v>77</v>
      </c>
      <c r="B99" s="268" t="s">
        <v>2401</v>
      </c>
      <c r="C99" s="268" t="s">
        <v>2399</v>
      </c>
      <c r="D99" s="268">
        <v>12000</v>
      </c>
      <c r="E99" s="268" t="s">
        <v>4249</v>
      </c>
      <c r="F99" s="268" t="s">
        <v>2707</v>
      </c>
      <c r="G99" s="268" t="s">
        <v>4362</v>
      </c>
      <c r="H99" s="268" t="s">
        <v>4816</v>
      </c>
      <c r="I99" s="397" t="s">
        <v>4799</v>
      </c>
      <c r="J99" s="278">
        <v>46111.703472222223</v>
      </c>
      <c r="K99" s="392">
        <v>46111</v>
      </c>
      <c r="L99" s="351">
        <f t="shared" si="8"/>
        <v>30</v>
      </c>
      <c r="M99" s="266" t="s">
        <v>2678</v>
      </c>
      <c r="N99" s="340">
        <f t="shared" si="9"/>
        <v>0</v>
      </c>
      <c r="O99" s="266"/>
      <c r="P99" s="266" t="s">
        <v>2678</v>
      </c>
      <c r="Q99" s="341">
        <f t="shared" si="10"/>
        <v>0.29652777777664596</v>
      </c>
      <c r="R99" s="342">
        <f>WORKDAY(J99,7,'Public Holiday'!$A$2:$A$46)</f>
        <v>46120</v>
      </c>
      <c r="S99" s="343">
        <v>0</v>
      </c>
      <c r="T99" s="273">
        <f t="shared" si="11"/>
        <v>0</v>
      </c>
      <c r="U99" s="280" t="s">
        <v>2679</v>
      </c>
    </row>
    <row r="100" spans="1:21" ht="90" x14ac:dyDescent="0.25">
      <c r="A100" s="396">
        <v>78</v>
      </c>
      <c r="B100" s="268" t="s">
        <v>2741</v>
      </c>
      <c r="C100" s="268" t="s">
        <v>2405</v>
      </c>
      <c r="D100" s="268">
        <v>16000</v>
      </c>
      <c r="E100" s="268" t="s">
        <v>4250</v>
      </c>
      <c r="F100" s="268" t="s">
        <v>3032</v>
      </c>
      <c r="G100" s="268" t="s">
        <v>4363</v>
      </c>
      <c r="H100" s="268" t="s">
        <v>4816</v>
      </c>
      <c r="I100" s="397" t="s">
        <v>2999</v>
      </c>
      <c r="J100" s="278">
        <v>46111.763194444444</v>
      </c>
      <c r="K100" s="392">
        <v>46111</v>
      </c>
      <c r="L100" s="351">
        <f t="shared" si="8"/>
        <v>40</v>
      </c>
      <c r="M100" s="266" t="s">
        <v>2678</v>
      </c>
      <c r="N100" s="340">
        <f t="shared" si="9"/>
        <v>0</v>
      </c>
      <c r="O100" s="266"/>
      <c r="P100" s="266" t="s">
        <v>2678</v>
      </c>
      <c r="Q100" s="341">
        <f t="shared" si="10"/>
        <v>0.23680555555620231</v>
      </c>
      <c r="R100" s="342">
        <f>WORKDAY(J100,7,'Public Holiday'!$A$2:$A$46)</f>
        <v>46120</v>
      </c>
      <c r="S100" s="343">
        <v>0</v>
      </c>
      <c r="T100" s="273">
        <f t="shared" si="11"/>
        <v>0</v>
      </c>
      <c r="U100" s="280" t="s">
        <v>2679</v>
      </c>
    </row>
    <row r="101" spans="1:21" ht="54" x14ac:dyDescent="0.25">
      <c r="A101" s="396">
        <v>79</v>
      </c>
      <c r="B101" s="268" t="s">
        <v>504</v>
      </c>
      <c r="C101" s="268" t="s">
        <v>499</v>
      </c>
      <c r="D101" s="268">
        <v>26000</v>
      </c>
      <c r="E101" s="268" t="s">
        <v>4251</v>
      </c>
      <c r="F101" s="268" t="s">
        <v>3226</v>
      </c>
      <c r="G101" s="268" t="s">
        <v>4364</v>
      </c>
      <c r="H101" s="268" t="s">
        <v>4816</v>
      </c>
      <c r="I101" s="397" t="s">
        <v>4778</v>
      </c>
      <c r="J101" s="278">
        <v>46112.436805555553</v>
      </c>
      <c r="K101" s="392">
        <v>46112</v>
      </c>
      <c r="L101" s="351">
        <f t="shared" si="8"/>
        <v>60</v>
      </c>
      <c r="M101" s="266" t="s">
        <v>2678</v>
      </c>
      <c r="N101" s="340">
        <f t="shared" si="9"/>
        <v>0</v>
      </c>
      <c r="O101" s="266"/>
      <c r="P101" s="266" t="s">
        <v>2678</v>
      </c>
      <c r="Q101" s="341">
        <f t="shared" si="10"/>
        <v>0.56319444444670808</v>
      </c>
      <c r="R101" s="342">
        <f>WORKDAY(J101,7,'Public Holiday'!$A$2:$A$46)</f>
        <v>46121</v>
      </c>
      <c r="S101" s="343">
        <v>0</v>
      </c>
      <c r="T101" s="273">
        <f t="shared" si="11"/>
        <v>0</v>
      </c>
      <c r="U101" s="280" t="s">
        <v>2679</v>
      </c>
    </row>
    <row r="102" spans="1:21" ht="54" x14ac:dyDescent="0.25">
      <c r="A102" s="396">
        <v>80</v>
      </c>
      <c r="B102" s="268" t="s">
        <v>2913</v>
      </c>
      <c r="C102" s="268" t="s">
        <v>2405</v>
      </c>
      <c r="D102" s="268">
        <v>16000</v>
      </c>
      <c r="E102" s="268" t="s">
        <v>4254</v>
      </c>
      <c r="F102" s="268" t="s">
        <v>4832</v>
      </c>
      <c r="G102" s="268" t="s">
        <v>4367</v>
      </c>
      <c r="H102" s="268" t="s">
        <v>4816</v>
      </c>
      <c r="I102" s="397" t="s">
        <v>3001</v>
      </c>
      <c r="J102" s="278">
        <v>46112.753472222219</v>
      </c>
      <c r="K102" s="392">
        <v>46112</v>
      </c>
      <c r="L102" s="351">
        <f t="shared" si="8"/>
        <v>40</v>
      </c>
      <c r="M102" s="266" t="s">
        <v>2678</v>
      </c>
      <c r="N102" s="340">
        <f t="shared" si="9"/>
        <v>0</v>
      </c>
      <c r="O102" s="266"/>
      <c r="P102" s="266" t="s">
        <v>2678</v>
      </c>
      <c r="Q102" s="341">
        <f t="shared" si="10"/>
        <v>0.24652777778101154</v>
      </c>
      <c r="R102" s="342">
        <f>WORKDAY(J102,7,'Public Holiday'!$A$2:$A$46)</f>
        <v>46121</v>
      </c>
      <c r="S102" s="343">
        <v>0</v>
      </c>
      <c r="T102" s="273">
        <f t="shared" si="11"/>
        <v>0</v>
      </c>
      <c r="U102" s="280" t="s">
        <v>2679</v>
      </c>
    </row>
    <row r="103" spans="1:21" ht="54" x14ac:dyDescent="0.25">
      <c r="A103" s="396">
        <v>81</v>
      </c>
      <c r="B103" s="268" t="s">
        <v>3115</v>
      </c>
      <c r="C103" s="490" t="s">
        <v>4137</v>
      </c>
      <c r="D103" s="268">
        <v>210000</v>
      </c>
      <c r="E103" s="268" t="s">
        <v>4255</v>
      </c>
      <c r="F103" s="268" t="s">
        <v>2985</v>
      </c>
      <c r="G103" s="268" t="s">
        <v>4368</v>
      </c>
      <c r="H103" s="268" t="s">
        <v>4816</v>
      </c>
      <c r="I103" s="397" t="s">
        <v>4798</v>
      </c>
      <c r="J103" s="278">
        <v>46112.792361111111</v>
      </c>
      <c r="K103" s="392">
        <v>46112</v>
      </c>
      <c r="L103" s="351">
        <f t="shared" si="8"/>
        <v>100</v>
      </c>
      <c r="M103" s="266" t="s">
        <v>2678</v>
      </c>
      <c r="N103" s="340">
        <f t="shared" si="9"/>
        <v>0</v>
      </c>
      <c r="O103" s="266"/>
      <c r="P103" s="266" t="s">
        <v>2678</v>
      </c>
      <c r="Q103" s="341">
        <f t="shared" si="10"/>
        <v>0.20763888888905058</v>
      </c>
      <c r="R103" s="342">
        <f>WORKDAY(J103,7,'Public Holiday'!$A$2:$A$46)</f>
        <v>46121</v>
      </c>
      <c r="S103" s="343">
        <v>0</v>
      </c>
      <c r="T103" s="273">
        <f t="shared" si="11"/>
        <v>0</v>
      </c>
      <c r="U103" s="280" t="s">
        <v>2679</v>
      </c>
    </row>
    <row r="104" spans="1:21" ht="36" x14ac:dyDescent="0.25">
      <c r="A104" s="396">
        <v>82</v>
      </c>
      <c r="B104" s="268" t="s">
        <v>1526</v>
      </c>
      <c r="C104" s="268" t="s">
        <v>1523</v>
      </c>
      <c r="D104" s="268">
        <v>53000</v>
      </c>
      <c r="E104" s="268" t="s">
        <v>4256</v>
      </c>
      <c r="F104" s="268" t="s">
        <v>2988</v>
      </c>
      <c r="G104" s="268" t="s">
        <v>4369</v>
      </c>
      <c r="H104" s="268" t="s">
        <v>4816</v>
      </c>
      <c r="I104" s="397" t="s">
        <v>4770</v>
      </c>
      <c r="J104" s="278">
        <v>46086.502083333333</v>
      </c>
      <c r="K104" s="392">
        <v>46086</v>
      </c>
      <c r="L104" s="351">
        <f t="shared" ref="L104" si="12">IF(D104&gt;44999.99,100,ROUNDUP((D104/4999.99)*10,-1))</f>
        <v>100</v>
      </c>
      <c r="M104" s="266" t="s">
        <v>2678</v>
      </c>
      <c r="N104" s="340">
        <f t="shared" ref="N104" si="13">IF(M104="Y",L104,0)</f>
        <v>0</v>
      </c>
      <c r="O104" s="266"/>
      <c r="P104" s="266" t="s">
        <v>2678</v>
      </c>
      <c r="Q104" s="341">
        <f t="shared" ref="Q104" si="14">K104-J104+1</f>
        <v>0.49791666666715173</v>
      </c>
      <c r="R104" s="342">
        <f>WORKDAY(J104,7,'Public Holiday'!$A$2:$A$46)</f>
        <v>46097</v>
      </c>
      <c r="S104" s="343">
        <v>0</v>
      </c>
      <c r="T104" s="273">
        <f t="shared" ref="T104" si="15">L104*S104</f>
        <v>0</v>
      </c>
      <c r="U104" s="280" t="s">
        <v>2679</v>
      </c>
    </row>
    <row r="105" spans="1:21" ht="108" x14ac:dyDescent="0.25">
      <c r="A105" s="396">
        <v>83</v>
      </c>
      <c r="B105" s="268" t="s">
        <v>1531</v>
      </c>
      <c r="C105" s="268" t="s">
        <v>1523</v>
      </c>
      <c r="D105" s="268">
        <v>53000</v>
      </c>
      <c r="E105" s="268" t="s">
        <v>4713</v>
      </c>
      <c r="F105" s="268" t="s">
        <v>2988</v>
      </c>
      <c r="G105" s="268" t="s">
        <v>4738</v>
      </c>
      <c r="H105" s="268" t="s">
        <v>4816</v>
      </c>
      <c r="I105" s="397" t="s">
        <v>4810</v>
      </c>
      <c r="J105" s="278">
        <v>46082.673611111109</v>
      </c>
      <c r="K105" s="392">
        <v>46082</v>
      </c>
      <c r="L105" s="351">
        <f t="shared" ref="L105:L110" si="16">IF(D105&gt;44999.99,100,ROUNDUP((D105/4999.99)*10,-1))</f>
        <v>100</v>
      </c>
      <c r="M105" s="266" t="s">
        <v>2678</v>
      </c>
      <c r="N105" s="340">
        <f t="shared" ref="N105:N110" si="17">IF(M105="Y",L105,0)</f>
        <v>0</v>
      </c>
      <c r="O105" s="266"/>
      <c r="P105" s="266" t="s">
        <v>2678</v>
      </c>
      <c r="Q105" s="341">
        <f t="shared" si="10"/>
        <v>0.32638888889050577</v>
      </c>
      <c r="R105" s="342">
        <f>WORKDAY(J105,7,'Public Holiday'!$A$2:$A$46)</f>
        <v>46091</v>
      </c>
      <c r="S105" s="343">
        <v>0</v>
      </c>
      <c r="T105" s="273">
        <f t="shared" ref="T105:T110" si="18">L105*S105</f>
        <v>0</v>
      </c>
      <c r="U105" s="280" t="s">
        <v>2679</v>
      </c>
    </row>
    <row r="106" spans="1:21" ht="108" x14ac:dyDescent="0.25">
      <c r="A106" s="396">
        <v>84</v>
      </c>
      <c r="B106" s="268" t="s">
        <v>1526</v>
      </c>
      <c r="C106" s="268" t="s">
        <v>1523</v>
      </c>
      <c r="D106" s="268">
        <v>53000</v>
      </c>
      <c r="E106" s="268" t="s">
        <v>4714</v>
      </c>
      <c r="F106" s="268" t="s">
        <v>2988</v>
      </c>
      <c r="G106" s="268" t="s">
        <v>4739</v>
      </c>
      <c r="H106" s="268" t="s">
        <v>4816</v>
      </c>
      <c r="I106" s="397" t="s">
        <v>4809</v>
      </c>
      <c r="J106" s="278">
        <v>46082.675000000003</v>
      </c>
      <c r="K106" s="392">
        <v>46082</v>
      </c>
      <c r="L106" s="351">
        <f t="shared" si="16"/>
        <v>100</v>
      </c>
      <c r="M106" s="266" t="s">
        <v>2678</v>
      </c>
      <c r="N106" s="340">
        <f t="shared" si="17"/>
        <v>0</v>
      </c>
      <c r="O106" s="266"/>
      <c r="P106" s="266" t="s">
        <v>2678</v>
      </c>
      <c r="Q106" s="341">
        <f t="shared" si="10"/>
        <v>0.32499999999708962</v>
      </c>
      <c r="R106" s="342">
        <f>WORKDAY(J106,7,'Public Holiday'!$A$2:$A$46)</f>
        <v>46091</v>
      </c>
      <c r="S106" s="343">
        <v>0</v>
      </c>
      <c r="T106" s="273">
        <f t="shared" si="18"/>
        <v>0</v>
      </c>
      <c r="U106" s="280" t="s">
        <v>2679</v>
      </c>
    </row>
    <row r="107" spans="1:21" ht="108" x14ac:dyDescent="0.25">
      <c r="A107" s="396">
        <v>85</v>
      </c>
      <c r="B107" s="268" t="s">
        <v>1532</v>
      </c>
      <c r="C107" s="268" t="s">
        <v>1523</v>
      </c>
      <c r="D107" s="268">
        <v>53000</v>
      </c>
      <c r="E107" s="268" t="s">
        <v>4715</v>
      </c>
      <c r="F107" s="268" t="s">
        <v>2988</v>
      </c>
      <c r="G107" s="268" t="s">
        <v>4740</v>
      </c>
      <c r="H107" s="268" t="s">
        <v>4816</v>
      </c>
      <c r="I107" s="397" t="s">
        <v>4766</v>
      </c>
      <c r="J107" s="278">
        <v>46082.677083333336</v>
      </c>
      <c r="K107" s="392">
        <v>46082</v>
      </c>
      <c r="L107" s="351">
        <f t="shared" si="16"/>
        <v>100</v>
      </c>
      <c r="M107" s="266" t="s">
        <v>2678</v>
      </c>
      <c r="N107" s="340">
        <f t="shared" si="17"/>
        <v>0</v>
      </c>
      <c r="O107" s="266"/>
      <c r="P107" s="266" t="s">
        <v>2678</v>
      </c>
      <c r="Q107" s="341">
        <f t="shared" si="10"/>
        <v>0.32291666666424135</v>
      </c>
      <c r="R107" s="342">
        <f>WORKDAY(J107,7,'Public Holiday'!$A$2:$A$46)</f>
        <v>46091</v>
      </c>
      <c r="S107" s="343">
        <v>0</v>
      </c>
      <c r="T107" s="273">
        <f t="shared" si="18"/>
        <v>0</v>
      </c>
      <c r="U107" s="280" t="s">
        <v>2679</v>
      </c>
    </row>
    <row r="108" spans="1:21" ht="108" x14ac:dyDescent="0.25">
      <c r="A108" s="396">
        <v>86</v>
      </c>
      <c r="B108" s="268" t="s">
        <v>1528</v>
      </c>
      <c r="C108" s="268" t="s">
        <v>1523</v>
      </c>
      <c r="D108" s="268">
        <v>53000</v>
      </c>
      <c r="E108" s="268" t="s">
        <v>4716</v>
      </c>
      <c r="F108" s="268" t="s">
        <v>2988</v>
      </c>
      <c r="G108" s="268" t="s">
        <v>4741</v>
      </c>
      <c r="H108" s="268" t="s">
        <v>4816</v>
      </c>
      <c r="I108" s="397" t="s">
        <v>2991</v>
      </c>
      <c r="J108" s="278">
        <v>46082.677777777775</v>
      </c>
      <c r="K108" s="392">
        <v>46082</v>
      </c>
      <c r="L108" s="351">
        <f t="shared" si="16"/>
        <v>100</v>
      </c>
      <c r="M108" s="266" t="s">
        <v>2678</v>
      </c>
      <c r="N108" s="340">
        <f t="shared" si="17"/>
        <v>0</v>
      </c>
      <c r="O108" s="266"/>
      <c r="P108" s="266" t="s">
        <v>2678</v>
      </c>
      <c r="Q108" s="341">
        <f t="shared" si="10"/>
        <v>0.32222222222480923</v>
      </c>
      <c r="R108" s="342">
        <f>WORKDAY(J108,7,'Public Holiday'!$A$2:$A$46)</f>
        <v>46091</v>
      </c>
      <c r="S108" s="343">
        <v>0</v>
      </c>
      <c r="T108" s="273">
        <f t="shared" si="18"/>
        <v>0</v>
      </c>
      <c r="U108" s="280" t="s">
        <v>2679</v>
      </c>
    </row>
    <row r="109" spans="1:21" ht="72" x14ac:dyDescent="0.25">
      <c r="A109" s="396">
        <v>87</v>
      </c>
      <c r="B109" s="268" t="s">
        <v>405</v>
      </c>
      <c r="C109" s="268" t="s">
        <v>4836</v>
      </c>
      <c r="D109" s="268">
        <v>2750</v>
      </c>
      <c r="E109" s="268" t="s">
        <v>4717</v>
      </c>
      <c r="F109" s="268" t="s">
        <v>2707</v>
      </c>
      <c r="G109" s="268" t="s">
        <v>4742</v>
      </c>
      <c r="H109" s="268" t="s">
        <v>4816</v>
      </c>
      <c r="I109" s="397" t="s">
        <v>3051</v>
      </c>
      <c r="J109" s="278">
        <v>46083.707638888889</v>
      </c>
      <c r="K109" s="392">
        <v>46083</v>
      </c>
      <c r="L109" s="351">
        <f t="shared" si="16"/>
        <v>10</v>
      </c>
      <c r="M109" s="266" t="s">
        <v>2678</v>
      </c>
      <c r="N109" s="340">
        <f t="shared" si="17"/>
        <v>0</v>
      </c>
      <c r="O109" s="266"/>
      <c r="P109" s="266" t="s">
        <v>2678</v>
      </c>
      <c r="Q109" s="341">
        <f t="shared" si="10"/>
        <v>0.29236111111094942</v>
      </c>
      <c r="R109" s="342">
        <f>WORKDAY(J109,7,'Public Holiday'!$A$2:$A$46)</f>
        <v>46092</v>
      </c>
      <c r="S109" s="343">
        <v>0</v>
      </c>
      <c r="T109" s="273">
        <f t="shared" si="18"/>
        <v>0</v>
      </c>
      <c r="U109" s="280" t="s">
        <v>2679</v>
      </c>
    </row>
    <row r="110" spans="1:21" ht="54" x14ac:dyDescent="0.25">
      <c r="A110" s="396">
        <v>88</v>
      </c>
      <c r="B110" s="268" t="s">
        <v>738</v>
      </c>
      <c r="C110" s="268" t="s">
        <v>4833</v>
      </c>
      <c r="D110" s="268">
        <v>9000</v>
      </c>
      <c r="E110" s="268" t="s">
        <v>4718</v>
      </c>
      <c r="F110" s="268" t="s">
        <v>2707</v>
      </c>
      <c r="G110" s="268" t="s">
        <v>4743</v>
      </c>
      <c r="H110" s="268" t="s">
        <v>4816</v>
      </c>
      <c r="I110" s="397" t="s">
        <v>2992</v>
      </c>
      <c r="J110" s="278">
        <v>46084.723611111112</v>
      </c>
      <c r="K110" s="392">
        <v>46084</v>
      </c>
      <c r="L110" s="351">
        <f t="shared" si="16"/>
        <v>20</v>
      </c>
      <c r="M110" s="266" t="s">
        <v>2678</v>
      </c>
      <c r="N110" s="340">
        <f t="shared" si="17"/>
        <v>0</v>
      </c>
      <c r="O110" s="266"/>
      <c r="P110" s="266" t="s">
        <v>2678</v>
      </c>
      <c r="Q110" s="341">
        <f t="shared" si="10"/>
        <v>0.27638888888759539</v>
      </c>
      <c r="R110" s="342">
        <f>WORKDAY(J110,7,'Public Holiday'!$A$2:$A$46)</f>
        <v>46093</v>
      </c>
      <c r="S110" s="343">
        <v>0</v>
      </c>
      <c r="T110" s="273">
        <f t="shared" si="18"/>
        <v>0</v>
      </c>
      <c r="U110" s="280" t="s">
        <v>2679</v>
      </c>
    </row>
    <row r="111" spans="1:21" ht="72" x14ac:dyDescent="0.25">
      <c r="A111" s="396">
        <v>89</v>
      </c>
      <c r="B111" s="268" t="s">
        <v>775</v>
      </c>
      <c r="C111" s="268" t="s">
        <v>4833</v>
      </c>
      <c r="D111" s="268">
        <v>9000</v>
      </c>
      <c r="E111" s="268" t="s">
        <v>4720</v>
      </c>
      <c r="F111" s="268" t="s">
        <v>3064</v>
      </c>
      <c r="G111" s="268" t="s">
        <v>4745</v>
      </c>
      <c r="H111" s="268" t="s">
        <v>4816</v>
      </c>
      <c r="I111" s="397" t="s">
        <v>4770</v>
      </c>
      <c r="J111" s="278">
        <v>46085.717361111114</v>
      </c>
      <c r="K111" s="392">
        <v>46085</v>
      </c>
      <c r="L111" s="351">
        <f t="shared" ref="L111:L129" si="19">IF(D111&gt;44999.99,100,ROUNDUP((D111/4999.99)*10,-1))</f>
        <v>20</v>
      </c>
      <c r="M111" s="266" t="s">
        <v>2678</v>
      </c>
      <c r="N111" s="340">
        <f t="shared" ref="N111:N129" si="20">IF(M111="Y",L111,0)</f>
        <v>0</v>
      </c>
      <c r="O111" s="266"/>
      <c r="P111" s="266" t="s">
        <v>2678</v>
      </c>
      <c r="Q111" s="341">
        <f t="shared" ref="Q111:Q129" si="21">K111-J111+1</f>
        <v>0.28263888888614019</v>
      </c>
      <c r="R111" s="342">
        <f>WORKDAY(J111,7,'Public Holiday'!$A$2:$A$46)</f>
        <v>46094</v>
      </c>
      <c r="S111" s="343">
        <v>0</v>
      </c>
      <c r="T111" s="273">
        <f t="shared" ref="T111:T129" si="22">L111*S111</f>
        <v>0</v>
      </c>
      <c r="U111" s="280" t="s">
        <v>2679</v>
      </c>
    </row>
    <row r="112" spans="1:21" ht="72" x14ac:dyDescent="0.25">
      <c r="A112" s="396">
        <v>90</v>
      </c>
      <c r="B112" s="268" t="s">
        <v>2350</v>
      </c>
      <c r="C112" s="268" t="s">
        <v>2349</v>
      </c>
      <c r="D112" s="268">
        <v>5500</v>
      </c>
      <c r="E112" s="268" t="s">
        <v>4721</v>
      </c>
      <c r="F112" s="268" t="s">
        <v>3249</v>
      </c>
      <c r="G112" s="268" t="s">
        <v>4746</v>
      </c>
      <c r="H112" s="268" t="s">
        <v>4816</v>
      </c>
      <c r="I112" s="397" t="s">
        <v>4771</v>
      </c>
      <c r="J112" s="278">
        <v>46085.71875</v>
      </c>
      <c r="K112" s="392">
        <v>46085</v>
      </c>
      <c r="L112" s="351">
        <f t="shared" si="19"/>
        <v>20</v>
      </c>
      <c r="M112" s="266" t="s">
        <v>2678</v>
      </c>
      <c r="N112" s="340">
        <f t="shared" si="20"/>
        <v>0</v>
      </c>
      <c r="O112" s="266"/>
      <c r="P112" s="266" t="s">
        <v>2678</v>
      </c>
      <c r="Q112" s="341">
        <f t="shared" si="21"/>
        <v>0.28125</v>
      </c>
      <c r="R112" s="342">
        <f>WORKDAY(J112,7,'Public Holiday'!$A$2:$A$46)</f>
        <v>46094</v>
      </c>
      <c r="S112" s="343">
        <v>0</v>
      </c>
      <c r="T112" s="273">
        <f t="shared" si="22"/>
        <v>0</v>
      </c>
      <c r="U112" s="280" t="s">
        <v>2679</v>
      </c>
    </row>
    <row r="113" spans="1:21" ht="72" x14ac:dyDescent="0.25">
      <c r="A113" s="396">
        <v>91</v>
      </c>
      <c r="B113" s="268" t="s">
        <v>519</v>
      </c>
      <c r="C113" s="268" t="s">
        <v>517</v>
      </c>
      <c r="D113" s="268">
        <v>76700</v>
      </c>
      <c r="E113" s="268" t="s">
        <v>4722</v>
      </c>
      <c r="F113" s="268" t="s">
        <v>3226</v>
      </c>
      <c r="G113" s="268" t="s">
        <v>4747</v>
      </c>
      <c r="H113" s="268" t="s">
        <v>4816</v>
      </c>
      <c r="I113" s="397" t="s">
        <v>3113</v>
      </c>
      <c r="J113" s="278">
        <v>46086.45208333333</v>
      </c>
      <c r="K113" s="392">
        <v>46086</v>
      </c>
      <c r="L113" s="351">
        <f t="shared" si="19"/>
        <v>100</v>
      </c>
      <c r="M113" s="266" t="s">
        <v>2678</v>
      </c>
      <c r="N113" s="340">
        <f t="shared" si="20"/>
        <v>0</v>
      </c>
      <c r="O113" s="266"/>
      <c r="P113" s="266" t="s">
        <v>2678</v>
      </c>
      <c r="Q113" s="341">
        <f t="shared" si="21"/>
        <v>0.54791666667006211</v>
      </c>
      <c r="R113" s="342">
        <f>WORKDAY(J113,7,'Public Holiday'!$A$2:$A$46)</f>
        <v>46097</v>
      </c>
      <c r="S113" s="343">
        <v>0</v>
      </c>
      <c r="T113" s="273">
        <f t="shared" si="22"/>
        <v>0</v>
      </c>
      <c r="U113" s="280" t="s">
        <v>2679</v>
      </c>
    </row>
    <row r="114" spans="1:21" ht="72" x14ac:dyDescent="0.25">
      <c r="A114" s="396">
        <v>92</v>
      </c>
      <c r="B114" s="268" t="s">
        <v>2350</v>
      </c>
      <c r="C114" s="268" t="s">
        <v>2349</v>
      </c>
      <c r="D114" s="268">
        <v>5500</v>
      </c>
      <c r="E114" s="268" t="s">
        <v>4723</v>
      </c>
      <c r="F114" s="268" t="s">
        <v>3249</v>
      </c>
      <c r="G114" s="268" t="s">
        <v>4748</v>
      </c>
      <c r="H114" s="268" t="s">
        <v>4816</v>
      </c>
      <c r="I114" s="397" t="s">
        <v>2995</v>
      </c>
      <c r="J114" s="278">
        <v>46090.410416666666</v>
      </c>
      <c r="K114" s="392">
        <v>46090</v>
      </c>
      <c r="L114" s="351">
        <f t="shared" si="19"/>
        <v>20</v>
      </c>
      <c r="M114" s="266" t="s">
        <v>2678</v>
      </c>
      <c r="N114" s="340">
        <f t="shared" si="20"/>
        <v>0</v>
      </c>
      <c r="O114" s="266"/>
      <c r="P114" s="266" t="s">
        <v>2678</v>
      </c>
      <c r="Q114" s="341">
        <f t="shared" si="21"/>
        <v>0.58958333333430346</v>
      </c>
      <c r="R114" s="342">
        <f>WORKDAY(J114,7,'Public Holiday'!$A$2:$A$46)</f>
        <v>46099</v>
      </c>
      <c r="S114" s="343">
        <v>0</v>
      </c>
      <c r="T114" s="273">
        <f t="shared" si="22"/>
        <v>0</v>
      </c>
      <c r="U114" s="280" t="s">
        <v>2679</v>
      </c>
    </row>
    <row r="115" spans="1:21" ht="54" x14ac:dyDescent="0.25">
      <c r="A115" s="396">
        <v>93</v>
      </c>
      <c r="B115" s="268" t="s">
        <v>754</v>
      </c>
      <c r="C115" s="268" t="s">
        <v>4833</v>
      </c>
      <c r="D115" s="268">
        <v>9000</v>
      </c>
      <c r="E115" s="268" t="s">
        <v>4724</v>
      </c>
      <c r="F115" s="268" t="s">
        <v>3032</v>
      </c>
      <c r="G115" s="268" t="s">
        <v>4749</v>
      </c>
      <c r="H115" s="268" t="s">
        <v>4816</v>
      </c>
      <c r="I115" s="397" t="s">
        <v>2997</v>
      </c>
      <c r="J115" s="278">
        <v>46094.357638888891</v>
      </c>
      <c r="K115" s="392">
        <v>46094</v>
      </c>
      <c r="L115" s="351">
        <f t="shared" si="19"/>
        <v>20</v>
      </c>
      <c r="M115" s="266" t="s">
        <v>2678</v>
      </c>
      <c r="N115" s="340">
        <f t="shared" si="20"/>
        <v>0</v>
      </c>
      <c r="O115" s="266"/>
      <c r="P115" s="266" t="s">
        <v>2678</v>
      </c>
      <c r="Q115" s="341">
        <f t="shared" si="21"/>
        <v>0.64236111110949423</v>
      </c>
      <c r="R115" s="342">
        <f>WORKDAY(J115,7,'Public Holiday'!$A$2:$A$46)</f>
        <v>46105</v>
      </c>
      <c r="S115" s="343">
        <v>0</v>
      </c>
      <c r="T115" s="273">
        <f t="shared" si="22"/>
        <v>0</v>
      </c>
      <c r="U115" s="330" t="s">
        <v>4839</v>
      </c>
    </row>
    <row r="116" spans="1:21" ht="36" x14ac:dyDescent="0.25">
      <c r="A116" s="396">
        <v>94</v>
      </c>
      <c r="B116" s="268" t="s">
        <v>847</v>
      </c>
      <c r="C116" s="268" t="s">
        <v>832</v>
      </c>
      <c r="D116" s="268">
        <v>5900</v>
      </c>
      <c r="E116" s="268" t="s">
        <v>4725</v>
      </c>
      <c r="F116" s="268" t="s">
        <v>2985</v>
      </c>
      <c r="G116" s="268" t="s">
        <v>4750</v>
      </c>
      <c r="H116" s="268" t="s">
        <v>4816</v>
      </c>
      <c r="I116" s="397" t="s">
        <v>4778</v>
      </c>
      <c r="J116" s="278">
        <v>46094.381249999999</v>
      </c>
      <c r="K116" s="392">
        <v>46094</v>
      </c>
      <c r="L116" s="351">
        <f t="shared" si="19"/>
        <v>20</v>
      </c>
      <c r="M116" s="266" t="s">
        <v>2678</v>
      </c>
      <c r="N116" s="340">
        <f t="shared" si="20"/>
        <v>0</v>
      </c>
      <c r="O116" s="266"/>
      <c r="P116" s="266" t="s">
        <v>2678</v>
      </c>
      <c r="Q116" s="341">
        <f t="shared" si="21"/>
        <v>0.61875000000145519</v>
      </c>
      <c r="R116" s="342">
        <f>WORKDAY(J116,7,'Public Holiday'!$A$2:$A$46)</f>
        <v>46105</v>
      </c>
      <c r="S116" s="343">
        <v>0</v>
      </c>
      <c r="T116" s="273">
        <f t="shared" si="22"/>
        <v>0</v>
      </c>
      <c r="U116" s="330" t="s">
        <v>4839</v>
      </c>
    </row>
    <row r="117" spans="1:21" ht="90" x14ac:dyDescent="0.25">
      <c r="A117" s="396">
        <v>95</v>
      </c>
      <c r="B117" s="268" t="s">
        <v>824</v>
      </c>
      <c r="C117" s="268" t="s">
        <v>4837</v>
      </c>
      <c r="D117" s="268">
        <v>19200</v>
      </c>
      <c r="E117" s="268" t="s">
        <v>4726</v>
      </c>
      <c r="F117" s="268" t="s">
        <v>2985</v>
      </c>
      <c r="G117" s="268" t="s">
        <v>4751</v>
      </c>
      <c r="H117" s="268" t="s">
        <v>4816</v>
      </c>
      <c r="I117" s="397" t="s">
        <v>4795</v>
      </c>
      <c r="J117" s="278">
        <v>46098.354861111111</v>
      </c>
      <c r="K117" s="392">
        <v>46098</v>
      </c>
      <c r="L117" s="351">
        <f t="shared" si="19"/>
        <v>40</v>
      </c>
      <c r="M117" s="266" t="s">
        <v>2678</v>
      </c>
      <c r="N117" s="340">
        <f t="shared" si="20"/>
        <v>0</v>
      </c>
      <c r="O117" s="266"/>
      <c r="P117" s="266" t="s">
        <v>2678</v>
      </c>
      <c r="Q117" s="341">
        <f t="shared" si="21"/>
        <v>0.64513888888905058</v>
      </c>
      <c r="R117" s="342">
        <f>WORKDAY(J117,7,'Public Holiday'!$A$2:$A$46)</f>
        <v>46107</v>
      </c>
      <c r="S117" s="343">
        <v>0</v>
      </c>
      <c r="T117" s="273">
        <f t="shared" si="22"/>
        <v>0</v>
      </c>
      <c r="U117" s="330" t="s">
        <v>4839</v>
      </c>
    </row>
    <row r="118" spans="1:21" ht="36" x14ac:dyDescent="0.25">
      <c r="A118" s="396">
        <v>96</v>
      </c>
      <c r="B118" s="268" t="s">
        <v>1526</v>
      </c>
      <c r="C118" s="268" t="s">
        <v>1523</v>
      </c>
      <c r="D118" s="268">
        <v>53000</v>
      </c>
      <c r="E118" s="268" t="s">
        <v>4727</v>
      </c>
      <c r="F118" s="268" t="s">
        <v>2988</v>
      </c>
      <c r="G118" s="268" t="s">
        <v>4752</v>
      </c>
      <c r="H118" s="268" t="s">
        <v>4816</v>
      </c>
      <c r="I118" s="397" t="s">
        <v>4776</v>
      </c>
      <c r="J118" s="278">
        <v>46099.675000000003</v>
      </c>
      <c r="K118" s="392">
        <v>46099</v>
      </c>
      <c r="L118" s="351">
        <f t="shared" si="19"/>
        <v>100</v>
      </c>
      <c r="M118" s="266" t="s">
        <v>2678</v>
      </c>
      <c r="N118" s="340">
        <f t="shared" si="20"/>
        <v>0</v>
      </c>
      <c r="O118" s="266"/>
      <c r="P118" s="266" t="s">
        <v>2678</v>
      </c>
      <c r="Q118" s="341">
        <f t="shared" si="21"/>
        <v>0.32499999999708962</v>
      </c>
      <c r="R118" s="342">
        <f>WORKDAY(J118,7,'Public Holiday'!$A$2:$A$46)</f>
        <v>46108</v>
      </c>
      <c r="S118" s="343">
        <v>0</v>
      </c>
      <c r="T118" s="273">
        <f t="shared" si="22"/>
        <v>0</v>
      </c>
      <c r="U118" s="330" t="s">
        <v>4839</v>
      </c>
    </row>
    <row r="119" spans="1:21" ht="36" x14ac:dyDescent="0.25">
      <c r="A119" s="396">
        <v>97</v>
      </c>
      <c r="B119" s="268" t="s">
        <v>1531</v>
      </c>
      <c r="C119" s="268" t="s">
        <v>1523</v>
      </c>
      <c r="D119" s="268">
        <v>53000</v>
      </c>
      <c r="E119" s="268" t="s">
        <v>4728</v>
      </c>
      <c r="F119" s="268" t="s">
        <v>2988</v>
      </c>
      <c r="G119" s="268" t="s">
        <v>4753</v>
      </c>
      <c r="H119" s="268" t="s">
        <v>4816</v>
      </c>
      <c r="I119" s="397" t="s">
        <v>4775</v>
      </c>
      <c r="J119" s="278">
        <v>46099.676388888889</v>
      </c>
      <c r="K119" s="392">
        <v>46099</v>
      </c>
      <c r="L119" s="351">
        <f t="shared" si="19"/>
        <v>100</v>
      </c>
      <c r="M119" s="266" t="s">
        <v>2678</v>
      </c>
      <c r="N119" s="340">
        <f t="shared" si="20"/>
        <v>0</v>
      </c>
      <c r="O119" s="266"/>
      <c r="P119" s="266" t="s">
        <v>2678</v>
      </c>
      <c r="Q119" s="341">
        <f t="shared" si="21"/>
        <v>0.32361111111094942</v>
      </c>
      <c r="R119" s="342">
        <f>WORKDAY(J119,7,'Public Holiday'!$A$2:$A$46)</f>
        <v>46108</v>
      </c>
      <c r="S119" s="343">
        <v>0</v>
      </c>
      <c r="T119" s="273">
        <f t="shared" si="22"/>
        <v>0</v>
      </c>
      <c r="U119" s="330" t="s">
        <v>4839</v>
      </c>
    </row>
    <row r="120" spans="1:21" ht="90" x14ac:dyDescent="0.25">
      <c r="A120" s="396">
        <v>98</v>
      </c>
      <c r="B120" s="268" t="s">
        <v>858</v>
      </c>
      <c r="C120" s="268" t="s">
        <v>4835</v>
      </c>
      <c r="D120" s="268">
        <v>31000</v>
      </c>
      <c r="E120" s="268" t="s">
        <v>4729</v>
      </c>
      <c r="F120" s="268" t="s">
        <v>3024</v>
      </c>
      <c r="G120" s="268" t="s">
        <v>4754</v>
      </c>
      <c r="H120" s="268" t="s">
        <v>4816</v>
      </c>
      <c r="I120" s="397" t="s">
        <v>4774</v>
      </c>
      <c r="J120" s="278">
        <v>46099.677777777775</v>
      </c>
      <c r="K120" s="392">
        <v>46099</v>
      </c>
      <c r="L120" s="351">
        <f t="shared" si="19"/>
        <v>70</v>
      </c>
      <c r="M120" s="266" t="s">
        <v>2678</v>
      </c>
      <c r="N120" s="340">
        <f t="shared" si="20"/>
        <v>0</v>
      </c>
      <c r="O120" s="266"/>
      <c r="P120" s="266" t="s">
        <v>2678</v>
      </c>
      <c r="Q120" s="341">
        <f t="shared" si="21"/>
        <v>0.32222222222480923</v>
      </c>
      <c r="R120" s="342">
        <f>WORKDAY(J120,7,'Public Holiday'!$A$2:$A$46)</f>
        <v>46108</v>
      </c>
      <c r="S120" s="343">
        <v>0</v>
      </c>
      <c r="T120" s="273">
        <f t="shared" si="22"/>
        <v>0</v>
      </c>
      <c r="U120" s="330" t="s">
        <v>4839</v>
      </c>
    </row>
    <row r="121" spans="1:21" ht="36" x14ac:dyDescent="0.25">
      <c r="A121" s="396">
        <v>99</v>
      </c>
      <c r="B121" s="268" t="s">
        <v>1537</v>
      </c>
      <c r="C121" s="268" t="s">
        <v>1534</v>
      </c>
      <c r="D121" s="268">
        <v>64000</v>
      </c>
      <c r="E121" s="268" t="s">
        <v>4730</v>
      </c>
      <c r="F121" s="268" t="s">
        <v>2988</v>
      </c>
      <c r="G121" s="268" t="s">
        <v>4755</v>
      </c>
      <c r="H121" s="268" t="s">
        <v>4816</v>
      </c>
      <c r="I121" s="397" t="s">
        <v>4773</v>
      </c>
      <c r="J121" s="278">
        <v>46099.679166666669</v>
      </c>
      <c r="K121" s="392">
        <v>46099</v>
      </c>
      <c r="L121" s="351">
        <f t="shared" si="19"/>
        <v>100</v>
      </c>
      <c r="M121" s="266" t="s">
        <v>2678</v>
      </c>
      <c r="N121" s="340">
        <f t="shared" si="20"/>
        <v>0</v>
      </c>
      <c r="O121" s="266"/>
      <c r="P121" s="266" t="s">
        <v>2678</v>
      </c>
      <c r="Q121" s="341">
        <f t="shared" si="21"/>
        <v>0.32083333333139308</v>
      </c>
      <c r="R121" s="342">
        <f>WORKDAY(J121,7,'Public Holiday'!$A$2:$A$46)</f>
        <v>46108</v>
      </c>
      <c r="S121" s="343">
        <v>0</v>
      </c>
      <c r="T121" s="273">
        <f t="shared" si="22"/>
        <v>0</v>
      </c>
      <c r="U121" s="330" t="s">
        <v>4839</v>
      </c>
    </row>
    <row r="122" spans="1:21" ht="54" x14ac:dyDescent="0.25">
      <c r="A122" s="396">
        <v>100</v>
      </c>
      <c r="B122" s="268" t="s">
        <v>865</v>
      </c>
      <c r="C122" s="268" t="s">
        <v>4838</v>
      </c>
      <c r="D122" s="268">
        <v>15500</v>
      </c>
      <c r="E122" s="268" t="s">
        <v>4731</v>
      </c>
      <c r="F122" s="268" t="s">
        <v>3024</v>
      </c>
      <c r="G122" s="268" t="s">
        <v>4756</v>
      </c>
      <c r="H122" s="268" t="s">
        <v>4816</v>
      </c>
      <c r="I122" s="397" t="s">
        <v>2999</v>
      </c>
      <c r="J122" s="278">
        <v>46101.78402777778</v>
      </c>
      <c r="K122" s="392">
        <v>46101</v>
      </c>
      <c r="L122" s="351">
        <f t="shared" si="19"/>
        <v>40</v>
      </c>
      <c r="M122" s="266" t="s">
        <v>2678</v>
      </c>
      <c r="N122" s="340">
        <f t="shared" si="20"/>
        <v>0</v>
      </c>
      <c r="O122" s="266"/>
      <c r="P122" s="266" t="s">
        <v>2678</v>
      </c>
      <c r="Q122" s="341">
        <f t="shared" si="21"/>
        <v>0.21597222222044365</v>
      </c>
      <c r="R122" s="342">
        <f>WORKDAY(J122,7,'Public Holiday'!$A$2:$A$46)</f>
        <v>46112</v>
      </c>
      <c r="S122" s="343">
        <v>0</v>
      </c>
      <c r="T122" s="273">
        <f t="shared" si="22"/>
        <v>0</v>
      </c>
      <c r="U122" s="330" t="s">
        <v>2681</v>
      </c>
    </row>
    <row r="123" spans="1:21" ht="90" x14ac:dyDescent="0.25">
      <c r="A123" s="396">
        <v>101</v>
      </c>
      <c r="B123" s="268" t="s">
        <v>859</v>
      </c>
      <c r="C123" s="268" t="s">
        <v>4835</v>
      </c>
      <c r="D123" s="268">
        <v>31000</v>
      </c>
      <c r="E123" s="268" t="s">
        <v>4732</v>
      </c>
      <c r="F123" s="268" t="s">
        <v>3024</v>
      </c>
      <c r="G123" s="268" t="s">
        <v>4757</v>
      </c>
      <c r="H123" s="268" t="s">
        <v>4816</v>
      </c>
      <c r="I123" s="397" t="s">
        <v>2995</v>
      </c>
      <c r="J123" s="278">
        <v>46101.80972222222</v>
      </c>
      <c r="K123" s="392">
        <v>46101</v>
      </c>
      <c r="L123" s="351">
        <f t="shared" si="19"/>
        <v>70</v>
      </c>
      <c r="M123" s="266" t="s">
        <v>2678</v>
      </c>
      <c r="N123" s="340">
        <f t="shared" si="20"/>
        <v>0</v>
      </c>
      <c r="O123" s="266"/>
      <c r="P123" s="266" t="s">
        <v>2678</v>
      </c>
      <c r="Q123" s="341">
        <f t="shared" si="21"/>
        <v>0.19027777777955635</v>
      </c>
      <c r="R123" s="342">
        <f>WORKDAY(J123,7,'Public Holiday'!$A$2:$A$46)</f>
        <v>46112</v>
      </c>
      <c r="S123" s="343">
        <v>0</v>
      </c>
      <c r="T123" s="273">
        <f t="shared" si="22"/>
        <v>0</v>
      </c>
      <c r="U123" s="330" t="s">
        <v>2681</v>
      </c>
    </row>
    <row r="124" spans="1:21" ht="54" x14ac:dyDescent="0.25">
      <c r="A124" s="396">
        <v>102</v>
      </c>
      <c r="B124" s="268" t="s">
        <v>865</v>
      </c>
      <c r="C124" s="268" t="s">
        <v>4838</v>
      </c>
      <c r="D124" s="268">
        <v>15500</v>
      </c>
      <c r="E124" s="268" t="s">
        <v>4733</v>
      </c>
      <c r="F124" s="268" t="s">
        <v>3024</v>
      </c>
      <c r="G124" s="268" t="s">
        <v>4758</v>
      </c>
      <c r="H124" s="268" t="s">
        <v>4816</v>
      </c>
      <c r="I124" s="397" t="s">
        <v>4766</v>
      </c>
      <c r="J124" s="278">
        <v>46101.810416666667</v>
      </c>
      <c r="K124" s="392">
        <v>46101</v>
      </c>
      <c r="L124" s="351">
        <f t="shared" si="19"/>
        <v>40</v>
      </c>
      <c r="M124" s="266" t="s">
        <v>2678</v>
      </c>
      <c r="N124" s="340">
        <f t="shared" si="20"/>
        <v>0</v>
      </c>
      <c r="O124" s="266"/>
      <c r="P124" s="266" t="s">
        <v>2678</v>
      </c>
      <c r="Q124" s="341">
        <f t="shared" si="21"/>
        <v>0.18958333333284827</v>
      </c>
      <c r="R124" s="342">
        <f>WORKDAY(J124,7,'Public Holiday'!$A$2:$A$46)</f>
        <v>46112</v>
      </c>
      <c r="S124" s="343">
        <v>0</v>
      </c>
      <c r="T124" s="273">
        <f t="shared" si="22"/>
        <v>0</v>
      </c>
      <c r="U124" s="330" t="s">
        <v>2681</v>
      </c>
    </row>
    <row r="125" spans="1:21" ht="90" x14ac:dyDescent="0.25">
      <c r="A125" s="396">
        <v>103</v>
      </c>
      <c r="B125" s="268" t="s">
        <v>860</v>
      </c>
      <c r="C125" s="268" t="s">
        <v>4835</v>
      </c>
      <c r="D125" s="268">
        <v>31000</v>
      </c>
      <c r="E125" s="268" t="s">
        <v>4734</v>
      </c>
      <c r="F125" s="268" t="s">
        <v>3024</v>
      </c>
      <c r="G125" s="268" t="s">
        <v>4759</v>
      </c>
      <c r="H125" s="268" t="s">
        <v>4816</v>
      </c>
      <c r="I125" s="397" t="s">
        <v>4768</v>
      </c>
      <c r="J125" s="278">
        <v>46101</v>
      </c>
      <c r="K125" s="392">
        <v>46101</v>
      </c>
      <c r="L125" s="351">
        <f t="shared" si="19"/>
        <v>70</v>
      </c>
      <c r="M125" s="266" t="s">
        <v>2678</v>
      </c>
      <c r="N125" s="340">
        <f t="shared" si="20"/>
        <v>0</v>
      </c>
      <c r="O125" s="266"/>
      <c r="P125" s="266" t="s">
        <v>2678</v>
      </c>
      <c r="Q125" s="341">
        <f t="shared" si="21"/>
        <v>1</v>
      </c>
      <c r="R125" s="342">
        <f>WORKDAY(J125,7,'Public Holiday'!$A$2:$A$46)</f>
        <v>46112</v>
      </c>
      <c r="S125" s="343">
        <v>0</v>
      </c>
      <c r="T125" s="273">
        <f t="shared" si="22"/>
        <v>0</v>
      </c>
      <c r="U125" s="330" t="s">
        <v>2681</v>
      </c>
    </row>
    <row r="126" spans="1:21" ht="72" x14ac:dyDescent="0.25">
      <c r="A126" s="396">
        <v>104</v>
      </c>
      <c r="B126" s="268" t="s">
        <v>3565</v>
      </c>
      <c r="C126" s="268" t="s">
        <v>803</v>
      </c>
      <c r="D126" s="268">
        <v>32900</v>
      </c>
      <c r="E126" s="268" t="s">
        <v>4735</v>
      </c>
      <c r="F126" s="268" t="s">
        <v>2985</v>
      </c>
      <c r="G126" s="268" t="s">
        <v>4760</v>
      </c>
      <c r="H126" s="268" t="s">
        <v>4816</v>
      </c>
      <c r="I126" s="397" t="s">
        <v>3012</v>
      </c>
      <c r="J126" s="278">
        <v>46108</v>
      </c>
      <c r="K126" s="392">
        <v>46108</v>
      </c>
      <c r="L126" s="351">
        <f t="shared" si="19"/>
        <v>70</v>
      </c>
      <c r="M126" s="266" t="s">
        <v>2678</v>
      </c>
      <c r="N126" s="340">
        <f t="shared" si="20"/>
        <v>0</v>
      </c>
      <c r="O126" s="266"/>
      <c r="P126" s="266" t="s">
        <v>2678</v>
      </c>
      <c r="Q126" s="341">
        <f t="shared" si="21"/>
        <v>1</v>
      </c>
      <c r="R126" s="342">
        <f>WORKDAY(J126,7,'Public Holiday'!$A$2:$A$46)</f>
        <v>46119</v>
      </c>
      <c r="S126" s="343">
        <v>0</v>
      </c>
      <c r="T126" s="273">
        <f t="shared" si="22"/>
        <v>0</v>
      </c>
      <c r="U126" s="330" t="s">
        <v>2681</v>
      </c>
    </row>
    <row r="127" spans="1:21" ht="54" x14ac:dyDescent="0.25">
      <c r="A127" s="396">
        <v>105</v>
      </c>
      <c r="B127" s="268" t="s">
        <v>1108</v>
      </c>
      <c r="C127" s="268" t="s">
        <v>1100</v>
      </c>
      <c r="D127" s="268">
        <v>1500</v>
      </c>
      <c r="E127" s="268" t="s">
        <v>4244</v>
      </c>
      <c r="F127" s="268" t="s">
        <v>2988</v>
      </c>
      <c r="G127" s="268" t="s">
        <v>4357</v>
      </c>
      <c r="H127" s="268" t="s">
        <v>4816</v>
      </c>
      <c r="I127" s="397" t="s">
        <v>4820</v>
      </c>
      <c r="J127" s="278">
        <v>46110.910416666666</v>
      </c>
      <c r="K127" s="392">
        <v>46110</v>
      </c>
      <c r="L127" s="273">
        <f>IF(D127&gt;44999.99,100,ROUNDUP((D127/4999.99)*10,-1))</f>
        <v>10</v>
      </c>
      <c r="M127" s="266" t="s">
        <v>2678</v>
      </c>
      <c r="N127" s="340">
        <f>IF(M127="Y",L127,0)</f>
        <v>0</v>
      </c>
      <c r="O127" s="266"/>
      <c r="P127" s="266" t="s">
        <v>2678</v>
      </c>
      <c r="Q127" s="341">
        <f>K127-J127+1</f>
        <v>8.9583333334303461E-2</v>
      </c>
      <c r="R127" s="342">
        <f>WORKDAY(J127,7,'Public Holiday'!$A$2:$A$46)</f>
        <v>46119</v>
      </c>
      <c r="S127" s="343">
        <v>0</v>
      </c>
      <c r="T127" s="273">
        <f>L127*S127</f>
        <v>0</v>
      </c>
      <c r="U127" s="330" t="s">
        <v>4839</v>
      </c>
    </row>
    <row r="128" spans="1:21" ht="54" x14ac:dyDescent="0.25">
      <c r="A128" s="396">
        <v>106</v>
      </c>
      <c r="B128" s="268" t="s">
        <v>739</v>
      </c>
      <c r="C128" s="268" t="s">
        <v>4833</v>
      </c>
      <c r="D128" s="268">
        <v>9000</v>
      </c>
      <c r="E128" s="268" t="s">
        <v>4736</v>
      </c>
      <c r="F128" s="268" t="s">
        <v>2707</v>
      </c>
      <c r="G128" s="268" t="s">
        <v>4761</v>
      </c>
      <c r="H128" s="268" t="s">
        <v>4816</v>
      </c>
      <c r="I128" s="397" t="s">
        <v>4787</v>
      </c>
      <c r="J128" s="278">
        <v>46109</v>
      </c>
      <c r="K128" s="392">
        <v>46109</v>
      </c>
      <c r="L128" s="351">
        <f t="shared" si="19"/>
        <v>20</v>
      </c>
      <c r="M128" s="266" t="s">
        <v>2678</v>
      </c>
      <c r="N128" s="340">
        <f t="shared" si="20"/>
        <v>0</v>
      </c>
      <c r="O128" s="266"/>
      <c r="P128" s="266" t="s">
        <v>2678</v>
      </c>
      <c r="Q128" s="341">
        <f t="shared" si="21"/>
        <v>1</v>
      </c>
      <c r="R128" s="342">
        <f>WORKDAY(J128,7,'Public Holiday'!$A$2:$A$46)</f>
        <v>46119</v>
      </c>
      <c r="S128" s="343">
        <v>0</v>
      </c>
      <c r="T128" s="273">
        <f t="shared" si="22"/>
        <v>0</v>
      </c>
      <c r="U128" s="330" t="s">
        <v>4839</v>
      </c>
    </row>
    <row r="129" spans="1:22" ht="108" x14ac:dyDescent="0.25">
      <c r="A129" s="396">
        <v>107</v>
      </c>
      <c r="B129" s="268" t="s">
        <v>4819</v>
      </c>
      <c r="C129" s="268" t="s">
        <v>3443</v>
      </c>
      <c r="D129" s="268">
        <v>19900</v>
      </c>
      <c r="E129" s="268" t="s">
        <v>4737</v>
      </c>
      <c r="F129" s="268" t="s">
        <v>4096</v>
      </c>
      <c r="G129" s="268" t="s">
        <v>4762</v>
      </c>
      <c r="H129" s="268" t="s">
        <v>4816</v>
      </c>
      <c r="I129" s="397" t="s">
        <v>4764</v>
      </c>
      <c r="J129" s="278">
        <v>46112</v>
      </c>
      <c r="K129" s="392">
        <v>46112</v>
      </c>
      <c r="L129" s="351">
        <f t="shared" si="19"/>
        <v>40</v>
      </c>
      <c r="M129" s="266" t="s">
        <v>2678</v>
      </c>
      <c r="N129" s="340">
        <f t="shared" si="20"/>
        <v>0</v>
      </c>
      <c r="O129" s="266"/>
      <c r="P129" s="266" t="s">
        <v>2678</v>
      </c>
      <c r="Q129" s="341">
        <f t="shared" si="21"/>
        <v>1</v>
      </c>
      <c r="R129" s="342">
        <f>WORKDAY(J129,7,'Public Holiday'!$A$2:$A$46)</f>
        <v>46121</v>
      </c>
      <c r="S129" s="343">
        <v>0</v>
      </c>
      <c r="T129" s="273">
        <f t="shared" si="22"/>
        <v>0</v>
      </c>
      <c r="U129" s="330" t="s">
        <v>4763</v>
      </c>
    </row>
    <row r="130" spans="1:22" ht="18" x14ac:dyDescent="0.25">
      <c r="A130" s="620" t="s">
        <v>3074</v>
      </c>
      <c r="B130" s="621"/>
      <c r="C130" s="621"/>
      <c r="D130" s="621"/>
      <c r="E130" s="621"/>
      <c r="F130" s="621"/>
      <c r="G130" s="621"/>
      <c r="H130" s="621"/>
      <c r="I130" s="621"/>
      <c r="J130" s="621"/>
      <c r="K130" s="621"/>
      <c r="L130" s="621"/>
      <c r="M130" s="621"/>
      <c r="N130" s="621"/>
      <c r="O130" s="621"/>
      <c r="P130" s="621"/>
      <c r="Q130" s="621"/>
      <c r="R130" s="621"/>
      <c r="S130" s="621"/>
      <c r="T130" s="621"/>
      <c r="U130" s="622"/>
    </row>
    <row r="131" spans="1:22" ht="36" x14ac:dyDescent="0.25">
      <c r="A131" s="396">
        <v>1</v>
      </c>
      <c r="B131" s="268" t="s">
        <v>1198</v>
      </c>
      <c r="C131" s="268" t="s">
        <v>2089</v>
      </c>
      <c r="D131" s="269">
        <v>24000</v>
      </c>
      <c r="E131" s="268" t="s">
        <v>4144</v>
      </c>
      <c r="F131" s="268" t="s">
        <v>4101</v>
      </c>
      <c r="G131" s="268" t="s">
        <v>4257</v>
      </c>
      <c r="H131" s="268" t="s">
        <v>4816</v>
      </c>
      <c r="I131" s="397" t="s">
        <v>3000</v>
      </c>
      <c r="J131" s="278">
        <v>46083.32916666667</v>
      </c>
      <c r="K131" s="491">
        <v>46112</v>
      </c>
      <c r="L131" s="273">
        <f t="shared" ref="L131:L161" si="23">IF(D131&gt;44999.99,100,ROUNDUP((D131/4999.99)*10,-1))</f>
        <v>50</v>
      </c>
      <c r="M131" s="266" t="s">
        <v>2678</v>
      </c>
      <c r="N131" s="340">
        <f t="shared" ref="N131:N161" si="24">IF(M131="Y",L131,0)</f>
        <v>0</v>
      </c>
      <c r="O131" s="266"/>
      <c r="P131" s="266" t="s">
        <v>2678</v>
      </c>
      <c r="Q131" s="341">
        <f t="shared" ref="Q131:Q132" si="25">K131-J131+1</f>
        <v>29.670833333329938</v>
      </c>
      <c r="R131" s="342">
        <f>WORKDAY(J131,7,'Public Holiday'!$A$2:$A$46)</f>
        <v>46092</v>
      </c>
      <c r="S131" s="343">
        <v>0</v>
      </c>
      <c r="T131" s="273">
        <f t="shared" ref="T131:T161" si="26">L131*S131</f>
        <v>0</v>
      </c>
      <c r="U131" s="330" t="s">
        <v>4860</v>
      </c>
    </row>
    <row r="132" spans="1:22" ht="54" x14ac:dyDescent="0.25">
      <c r="A132" s="396">
        <v>2</v>
      </c>
      <c r="B132" s="268" t="s">
        <v>3812</v>
      </c>
      <c r="C132" s="268" t="s">
        <v>302</v>
      </c>
      <c r="D132" s="268">
        <v>49000</v>
      </c>
      <c r="E132" s="268" t="s">
        <v>4150</v>
      </c>
      <c r="F132" s="268" t="s">
        <v>3025</v>
      </c>
      <c r="G132" s="268" t="s">
        <v>4263</v>
      </c>
      <c r="H132" s="268" t="s">
        <v>4816</v>
      </c>
      <c r="I132" s="397" t="s">
        <v>4821</v>
      </c>
      <c r="J132" s="278">
        <v>46084.540972222225</v>
      </c>
      <c r="K132" s="491">
        <v>46112</v>
      </c>
      <c r="L132" s="273">
        <f t="shared" si="23"/>
        <v>100</v>
      </c>
      <c r="M132" s="266" t="s">
        <v>2678</v>
      </c>
      <c r="N132" s="340">
        <f t="shared" si="24"/>
        <v>0</v>
      </c>
      <c r="O132" s="266"/>
      <c r="P132" s="266" t="s">
        <v>2678</v>
      </c>
      <c r="Q132" s="341">
        <f t="shared" si="25"/>
        <v>28.459027777775191</v>
      </c>
      <c r="R132" s="342">
        <f>WORKDAY(J132,7,'Public Holiday'!$A$2:$A$46)</f>
        <v>46093</v>
      </c>
      <c r="S132" s="343">
        <v>0</v>
      </c>
      <c r="T132" s="273">
        <f t="shared" si="26"/>
        <v>0</v>
      </c>
      <c r="U132" s="330" t="s">
        <v>4897</v>
      </c>
    </row>
    <row r="133" spans="1:22" ht="90" x14ac:dyDescent="0.25">
      <c r="A133" s="396">
        <v>3</v>
      </c>
      <c r="B133" s="268" t="s">
        <v>3863</v>
      </c>
      <c r="C133" s="268" t="s">
        <v>2405</v>
      </c>
      <c r="D133" s="268">
        <v>8700</v>
      </c>
      <c r="E133" s="268" t="s">
        <v>4169</v>
      </c>
      <c r="F133" s="268" t="s">
        <v>4823</v>
      </c>
      <c r="G133" s="268" t="s">
        <v>4283</v>
      </c>
      <c r="H133" s="268" t="s">
        <v>4816</v>
      </c>
      <c r="I133" s="397" t="s">
        <v>4811</v>
      </c>
      <c r="J133" s="278">
        <v>46089.945833333331</v>
      </c>
      <c r="K133" s="491">
        <v>46112</v>
      </c>
      <c r="L133" s="273">
        <f t="shared" si="23"/>
        <v>20</v>
      </c>
      <c r="M133" s="266" t="s">
        <v>2678</v>
      </c>
      <c r="N133" s="340">
        <f t="shared" si="24"/>
        <v>0</v>
      </c>
      <c r="O133" s="266"/>
      <c r="P133" s="266" t="s">
        <v>2678</v>
      </c>
      <c r="Q133" s="341">
        <f t="shared" ref="Q133:Q160" si="27">K133-J133+1</f>
        <v>23.054166666668607</v>
      </c>
      <c r="R133" s="342">
        <f>WORKDAY(J133,7,'Public Holiday'!$A$2:$A$46)</f>
        <v>46098</v>
      </c>
      <c r="S133" s="343">
        <v>0</v>
      </c>
      <c r="T133" s="273">
        <f>L133*S133</f>
        <v>0</v>
      </c>
      <c r="U133" s="330" t="s">
        <v>4898</v>
      </c>
    </row>
    <row r="134" spans="1:22" ht="54" x14ac:dyDescent="0.25">
      <c r="A134" s="396">
        <v>4</v>
      </c>
      <c r="B134" s="268" t="s">
        <v>1508</v>
      </c>
      <c r="C134" s="268" t="s">
        <v>2323</v>
      </c>
      <c r="D134" s="268">
        <v>24000</v>
      </c>
      <c r="E134" s="268" t="s">
        <v>4173</v>
      </c>
      <c r="F134" s="268" t="s">
        <v>2988</v>
      </c>
      <c r="G134" s="268" t="s">
        <v>4287</v>
      </c>
      <c r="H134" s="268" t="s">
        <v>4816</v>
      </c>
      <c r="I134" s="397" t="s">
        <v>4795</v>
      </c>
      <c r="J134" s="278">
        <v>46090.438194444447</v>
      </c>
      <c r="K134" s="491">
        <v>46112</v>
      </c>
      <c r="L134" s="273">
        <f t="shared" si="23"/>
        <v>50</v>
      </c>
      <c r="M134" s="266" t="s">
        <v>2678</v>
      </c>
      <c r="N134" s="340">
        <f t="shared" si="24"/>
        <v>0</v>
      </c>
      <c r="O134" s="266"/>
      <c r="P134" s="266" t="s">
        <v>2678</v>
      </c>
      <c r="Q134" s="341">
        <f t="shared" si="27"/>
        <v>22.561805555553292</v>
      </c>
      <c r="R134" s="342">
        <f>WORKDAY(J134,7,'Public Holiday'!$A$2:$A$46)</f>
        <v>46099</v>
      </c>
      <c r="S134" s="343">
        <v>0</v>
      </c>
      <c r="T134" s="273">
        <f t="shared" si="26"/>
        <v>0</v>
      </c>
      <c r="U134" s="330" t="s">
        <v>4861</v>
      </c>
    </row>
    <row r="135" spans="1:22" ht="54" x14ac:dyDescent="0.25">
      <c r="A135" s="396">
        <v>5</v>
      </c>
      <c r="B135" s="268" t="s">
        <v>1513</v>
      </c>
      <c r="C135" s="268" t="s">
        <v>2323</v>
      </c>
      <c r="D135" s="268">
        <v>24000</v>
      </c>
      <c r="E135" s="268" t="s">
        <v>4174</v>
      </c>
      <c r="F135" s="268" t="s">
        <v>2988</v>
      </c>
      <c r="G135" s="268" t="s">
        <v>4288</v>
      </c>
      <c r="H135" s="268" t="s">
        <v>4816</v>
      </c>
      <c r="I135" s="397" t="s">
        <v>3003</v>
      </c>
      <c r="J135" s="278">
        <v>46090.44027777778</v>
      </c>
      <c r="K135" s="491">
        <v>46112</v>
      </c>
      <c r="L135" s="273">
        <f t="shared" si="23"/>
        <v>50</v>
      </c>
      <c r="M135" s="266" t="s">
        <v>2678</v>
      </c>
      <c r="N135" s="340">
        <f t="shared" si="24"/>
        <v>0</v>
      </c>
      <c r="O135" s="266"/>
      <c r="P135" s="266" t="s">
        <v>2678</v>
      </c>
      <c r="Q135" s="341">
        <f t="shared" si="27"/>
        <v>22.559722222220444</v>
      </c>
      <c r="R135" s="342">
        <f>WORKDAY(J135,7,'Public Holiday'!$A$2:$A$46)</f>
        <v>46099</v>
      </c>
      <c r="S135" s="343">
        <v>1</v>
      </c>
      <c r="T135" s="273">
        <f t="shared" si="26"/>
        <v>50</v>
      </c>
      <c r="U135" s="330" t="s">
        <v>4899</v>
      </c>
    </row>
    <row r="136" spans="1:22" ht="36" x14ac:dyDescent="0.25">
      <c r="A136" s="396">
        <v>6</v>
      </c>
      <c r="B136" s="268" t="s">
        <v>1982</v>
      </c>
      <c r="C136" s="268" t="s">
        <v>1989</v>
      </c>
      <c r="D136" s="268">
        <v>6560</v>
      </c>
      <c r="E136" s="268" t="s">
        <v>4179</v>
      </c>
      <c r="F136" s="268" t="s">
        <v>2985</v>
      </c>
      <c r="G136" s="268" t="s">
        <v>4293</v>
      </c>
      <c r="H136" s="268" t="s">
        <v>4816</v>
      </c>
      <c r="I136" s="397" t="s">
        <v>4827</v>
      </c>
      <c r="J136" s="278">
        <v>46091.35</v>
      </c>
      <c r="K136" s="491">
        <v>46112</v>
      </c>
      <c r="L136" s="273">
        <f t="shared" si="23"/>
        <v>20</v>
      </c>
      <c r="M136" s="266" t="s">
        <v>2678</v>
      </c>
      <c r="N136" s="340">
        <f t="shared" si="24"/>
        <v>0</v>
      </c>
      <c r="O136" s="266"/>
      <c r="P136" s="266" t="s">
        <v>2678</v>
      </c>
      <c r="Q136" s="341">
        <f t="shared" si="27"/>
        <v>21.650000000001455</v>
      </c>
      <c r="R136" s="342">
        <f>WORKDAY(J136,7,'Public Holiday'!$A$2:$A$46)</f>
        <v>46100</v>
      </c>
      <c r="S136" s="343">
        <v>0</v>
      </c>
      <c r="T136" s="273">
        <f t="shared" si="26"/>
        <v>0</v>
      </c>
      <c r="U136" s="330" t="s">
        <v>4862</v>
      </c>
    </row>
    <row r="137" spans="1:22" ht="90" x14ac:dyDescent="0.25">
      <c r="A137" s="396">
        <v>7</v>
      </c>
      <c r="B137" s="268" t="s">
        <v>306</v>
      </c>
      <c r="C137" s="268" t="s">
        <v>302</v>
      </c>
      <c r="D137" s="268">
        <v>198800</v>
      </c>
      <c r="E137" s="268" t="s">
        <v>4181</v>
      </c>
      <c r="F137" s="268" t="s">
        <v>2707</v>
      </c>
      <c r="G137" s="268" t="s">
        <v>4295</v>
      </c>
      <c r="H137" s="268" t="s">
        <v>4816</v>
      </c>
      <c r="I137" s="397" t="s">
        <v>4772</v>
      </c>
      <c r="J137" s="278">
        <v>46091.388194444444</v>
      </c>
      <c r="K137" s="491">
        <v>46112</v>
      </c>
      <c r="L137" s="273">
        <f t="shared" si="23"/>
        <v>100</v>
      </c>
      <c r="M137" s="266" t="s">
        <v>2678</v>
      </c>
      <c r="N137" s="340">
        <f t="shared" si="24"/>
        <v>0</v>
      </c>
      <c r="O137" s="266"/>
      <c r="P137" s="266" t="s">
        <v>2678</v>
      </c>
      <c r="Q137" s="341">
        <f t="shared" si="27"/>
        <v>21.611805555556202</v>
      </c>
      <c r="R137" s="342">
        <f>WORKDAY(J137,7,'Public Holiday'!$A$2:$A$46)</f>
        <v>46100</v>
      </c>
      <c r="S137" s="343">
        <v>0</v>
      </c>
      <c r="T137" s="273">
        <f t="shared" si="26"/>
        <v>0</v>
      </c>
      <c r="U137" s="330" t="s">
        <v>4863</v>
      </c>
    </row>
    <row r="138" spans="1:22" ht="90" x14ac:dyDescent="0.25">
      <c r="A138" s="396">
        <v>8</v>
      </c>
      <c r="B138" s="268" t="s">
        <v>1451</v>
      </c>
      <c r="C138" s="268" t="s">
        <v>1471</v>
      </c>
      <c r="D138" s="268">
        <v>31000</v>
      </c>
      <c r="E138" s="268" t="s">
        <v>4182</v>
      </c>
      <c r="F138" s="268" t="s">
        <v>2707</v>
      </c>
      <c r="G138" s="268" t="s">
        <v>4296</v>
      </c>
      <c r="H138" s="268" t="s">
        <v>4816</v>
      </c>
      <c r="I138" s="397" t="s">
        <v>4795</v>
      </c>
      <c r="J138" s="278">
        <v>46091.417361111111</v>
      </c>
      <c r="K138" s="491">
        <v>46112</v>
      </c>
      <c r="L138" s="273">
        <f t="shared" si="23"/>
        <v>70</v>
      </c>
      <c r="M138" s="266" t="s">
        <v>2678</v>
      </c>
      <c r="N138" s="340">
        <f t="shared" si="24"/>
        <v>0</v>
      </c>
      <c r="O138" s="266"/>
      <c r="P138" s="266" t="s">
        <v>2678</v>
      </c>
      <c r="Q138" s="341">
        <f t="shared" si="27"/>
        <v>21.582638888889051</v>
      </c>
      <c r="R138" s="342">
        <f>WORKDAY(J138,7,'Public Holiday'!$A$2:$A$46)</f>
        <v>46100</v>
      </c>
      <c r="S138" s="343">
        <v>7</v>
      </c>
      <c r="T138" s="273">
        <f t="shared" si="26"/>
        <v>490</v>
      </c>
      <c r="U138" s="330" t="s">
        <v>4864</v>
      </c>
    </row>
    <row r="139" spans="1:22" ht="54" x14ac:dyDescent="0.25">
      <c r="A139" s="396">
        <v>9</v>
      </c>
      <c r="B139" s="268" t="s">
        <v>301</v>
      </c>
      <c r="C139" s="268" t="s">
        <v>302</v>
      </c>
      <c r="D139" s="268">
        <v>160000</v>
      </c>
      <c r="E139" s="268" t="s">
        <v>4190</v>
      </c>
      <c r="F139" s="268" t="s">
        <v>2985</v>
      </c>
      <c r="G139" s="268" t="s">
        <v>4303</v>
      </c>
      <c r="H139" s="268" t="s">
        <v>4816</v>
      </c>
      <c r="I139" s="397" t="s">
        <v>3003</v>
      </c>
      <c r="J139" s="278">
        <v>46094.349305555559</v>
      </c>
      <c r="K139" s="491">
        <v>46112</v>
      </c>
      <c r="L139" s="273">
        <f t="shared" si="23"/>
        <v>100</v>
      </c>
      <c r="M139" s="266" t="s">
        <v>2678</v>
      </c>
      <c r="N139" s="340">
        <f t="shared" si="24"/>
        <v>0</v>
      </c>
      <c r="O139" s="266"/>
      <c r="P139" s="266" t="s">
        <v>2678</v>
      </c>
      <c r="Q139" s="341">
        <f t="shared" si="27"/>
        <v>18.650694444440887</v>
      </c>
      <c r="R139" s="342">
        <f>WORKDAY(J139,7,'Public Holiday'!$A$2:$A$46)</f>
        <v>46105</v>
      </c>
      <c r="S139" s="343">
        <v>4</v>
      </c>
      <c r="T139" s="273">
        <f t="shared" si="26"/>
        <v>400</v>
      </c>
      <c r="U139" s="330" t="s">
        <v>4865</v>
      </c>
    </row>
    <row r="140" spans="1:22" ht="54" x14ac:dyDescent="0.25">
      <c r="A140" s="396">
        <v>10</v>
      </c>
      <c r="B140" s="268" t="s">
        <v>3510</v>
      </c>
      <c r="C140" s="268" t="s">
        <v>1570</v>
      </c>
      <c r="D140" s="268">
        <v>65000</v>
      </c>
      <c r="E140" s="268" t="s">
        <v>4195</v>
      </c>
      <c r="F140" s="268" t="s">
        <v>4824</v>
      </c>
      <c r="G140" s="268" t="s">
        <v>4308</v>
      </c>
      <c r="H140" s="268" t="s">
        <v>4816</v>
      </c>
      <c r="I140" s="397" t="s">
        <v>3003</v>
      </c>
      <c r="J140" s="278">
        <v>46097.379861111112</v>
      </c>
      <c r="K140" s="491">
        <v>46112</v>
      </c>
      <c r="L140" s="273">
        <f t="shared" si="23"/>
        <v>100</v>
      </c>
      <c r="M140" s="266" t="s">
        <v>2678</v>
      </c>
      <c r="N140" s="340">
        <f t="shared" si="24"/>
        <v>0</v>
      </c>
      <c r="O140" s="266"/>
      <c r="P140" s="266" t="s">
        <v>2678</v>
      </c>
      <c r="Q140" s="341">
        <f t="shared" si="27"/>
        <v>15.620138888887595</v>
      </c>
      <c r="R140" s="342">
        <f>WORKDAY(J140,7,'Public Holiday'!$A$2:$A$46)</f>
        <v>46106</v>
      </c>
      <c r="S140" s="343">
        <v>0</v>
      </c>
      <c r="T140" s="273">
        <f t="shared" si="26"/>
        <v>0</v>
      </c>
      <c r="U140" s="330" t="s">
        <v>4866</v>
      </c>
    </row>
    <row r="141" spans="1:22" ht="54" x14ac:dyDescent="0.25">
      <c r="A141" s="396">
        <v>11</v>
      </c>
      <c r="B141" s="268" t="s">
        <v>4822</v>
      </c>
      <c r="C141" s="268" t="s">
        <v>4140</v>
      </c>
      <c r="D141" s="268">
        <v>0</v>
      </c>
      <c r="E141" s="268" t="s">
        <v>4197</v>
      </c>
      <c r="F141" s="268" t="s">
        <v>4825</v>
      </c>
      <c r="G141" s="268" t="s">
        <v>4310</v>
      </c>
      <c r="H141" s="268" t="s">
        <v>4816</v>
      </c>
      <c r="I141" s="397" t="s">
        <v>3008</v>
      </c>
      <c r="J141" s="278">
        <v>46097.397222222222</v>
      </c>
      <c r="K141" s="491">
        <v>46112</v>
      </c>
      <c r="L141" s="273">
        <f t="shared" si="23"/>
        <v>0</v>
      </c>
      <c r="M141" s="266" t="s">
        <v>2678</v>
      </c>
      <c r="N141" s="340">
        <f t="shared" si="24"/>
        <v>0</v>
      </c>
      <c r="O141" s="266"/>
      <c r="P141" s="266" t="s">
        <v>2678</v>
      </c>
      <c r="Q141" s="341">
        <f t="shared" si="27"/>
        <v>15.602777777778101</v>
      </c>
      <c r="R141" s="342">
        <f>WORKDAY(J141,7,'Public Holiday'!$A$2:$A$46)</f>
        <v>46106</v>
      </c>
      <c r="S141" s="343">
        <v>0</v>
      </c>
      <c r="T141" s="273">
        <f t="shared" si="26"/>
        <v>0</v>
      </c>
      <c r="U141" s="330" t="s">
        <v>4867</v>
      </c>
    </row>
    <row r="142" spans="1:22" ht="72" x14ac:dyDescent="0.25">
      <c r="A142" s="396">
        <v>12</v>
      </c>
      <c r="B142" s="268" t="s">
        <v>3739</v>
      </c>
      <c r="C142" s="268" t="s">
        <v>4140</v>
      </c>
      <c r="D142" s="268">
        <v>117707.5</v>
      </c>
      <c r="E142" s="268" t="s">
        <v>4199</v>
      </c>
      <c r="F142" s="268" t="s">
        <v>2982</v>
      </c>
      <c r="G142" s="268" t="s">
        <v>4312</v>
      </c>
      <c r="H142" s="268" t="s">
        <v>4816</v>
      </c>
      <c r="I142" s="397" t="s">
        <v>4764</v>
      </c>
      <c r="J142" s="278">
        <v>46097.447916666664</v>
      </c>
      <c r="K142" s="491">
        <v>46112</v>
      </c>
      <c r="L142" s="273">
        <f t="shared" si="23"/>
        <v>100</v>
      </c>
      <c r="M142" s="266" t="s">
        <v>2678</v>
      </c>
      <c r="N142" s="340">
        <f t="shared" si="24"/>
        <v>0</v>
      </c>
      <c r="O142" s="266"/>
      <c r="P142" s="266" t="s">
        <v>2678</v>
      </c>
      <c r="Q142" s="341">
        <f t="shared" si="27"/>
        <v>15.552083333335759</v>
      </c>
      <c r="R142" s="342">
        <f>WORKDAY(J142,7,'Public Holiday'!$A$2:$A$46)</f>
        <v>46106</v>
      </c>
      <c r="S142" s="343">
        <v>0</v>
      </c>
      <c r="T142" s="273">
        <f t="shared" si="26"/>
        <v>0</v>
      </c>
      <c r="U142" s="330" t="s">
        <v>4868</v>
      </c>
    </row>
    <row r="143" spans="1:22" ht="54" x14ac:dyDescent="0.25">
      <c r="A143" s="396">
        <v>13</v>
      </c>
      <c r="B143" s="268" t="s">
        <v>2401</v>
      </c>
      <c r="C143" s="268" t="s">
        <v>2399</v>
      </c>
      <c r="D143" s="268">
        <v>12000</v>
      </c>
      <c r="E143" s="268" t="s">
        <v>4205</v>
      </c>
      <c r="F143" s="268" t="s">
        <v>2707</v>
      </c>
      <c r="G143" s="268" t="s">
        <v>4318</v>
      </c>
      <c r="H143" s="268" t="s">
        <v>4816</v>
      </c>
      <c r="I143" s="397" t="s">
        <v>3002</v>
      </c>
      <c r="J143" s="278">
        <v>46098.706250000003</v>
      </c>
      <c r="K143" s="491">
        <v>46112</v>
      </c>
      <c r="L143" s="273">
        <f t="shared" si="23"/>
        <v>30</v>
      </c>
      <c r="M143" s="266" t="s">
        <v>2678</v>
      </c>
      <c r="N143" s="340">
        <f t="shared" si="24"/>
        <v>0</v>
      </c>
      <c r="O143" s="266"/>
      <c r="P143" s="266" t="s">
        <v>2678</v>
      </c>
      <c r="Q143" s="341">
        <f t="shared" si="27"/>
        <v>14.29374999999709</v>
      </c>
      <c r="R143" s="342">
        <f>WORKDAY(J143,7,'Public Holiday'!$A$2:$A$46)</f>
        <v>46107</v>
      </c>
      <c r="S143" s="343">
        <v>2</v>
      </c>
      <c r="T143" s="273">
        <f t="shared" si="26"/>
        <v>60</v>
      </c>
      <c r="U143" s="330" t="s">
        <v>4869</v>
      </c>
    </row>
    <row r="144" spans="1:22" ht="72" x14ac:dyDescent="0.25">
      <c r="A144" s="396">
        <v>14</v>
      </c>
      <c r="B144" s="268" t="s">
        <v>419</v>
      </c>
      <c r="C144" s="268" t="s">
        <v>3101</v>
      </c>
      <c r="D144" s="268">
        <v>10000</v>
      </c>
      <c r="E144" s="268" t="s">
        <v>4208</v>
      </c>
      <c r="F144" s="268" t="s">
        <v>3024</v>
      </c>
      <c r="G144" s="268" t="s">
        <v>4321</v>
      </c>
      <c r="H144" s="268" t="s">
        <v>4816</v>
      </c>
      <c r="I144" s="397" t="s">
        <v>3003</v>
      </c>
      <c r="J144" s="278">
        <v>46098.815972222219</v>
      </c>
      <c r="K144" s="491">
        <v>46112</v>
      </c>
      <c r="L144" s="273">
        <f t="shared" si="23"/>
        <v>30</v>
      </c>
      <c r="M144" s="266" t="s">
        <v>2678</v>
      </c>
      <c r="N144" s="340">
        <f t="shared" si="24"/>
        <v>0</v>
      </c>
      <c r="O144" s="266"/>
      <c r="P144" s="266" t="s">
        <v>2678</v>
      </c>
      <c r="Q144" s="341">
        <f t="shared" si="27"/>
        <v>14.184027777781012</v>
      </c>
      <c r="R144" s="342">
        <f>WORKDAY(J144,7,'Public Holiday'!$A$2:$A$46)</f>
        <v>46107</v>
      </c>
      <c r="S144" s="343">
        <v>2</v>
      </c>
      <c r="T144" s="273">
        <f t="shared" si="26"/>
        <v>60</v>
      </c>
      <c r="U144" s="330" t="s">
        <v>2679</v>
      </c>
      <c r="V144" s="263" t="s">
        <v>4874</v>
      </c>
    </row>
    <row r="145" spans="1:22" ht="54" x14ac:dyDescent="0.25">
      <c r="A145" s="396">
        <v>15</v>
      </c>
      <c r="B145" s="268" t="s">
        <v>3131</v>
      </c>
      <c r="C145" s="268" t="s">
        <v>302</v>
      </c>
      <c r="D145" s="268">
        <v>150000</v>
      </c>
      <c r="E145" s="268" t="s">
        <v>4209</v>
      </c>
      <c r="F145" s="268" t="s">
        <v>4826</v>
      </c>
      <c r="G145" s="268" t="s">
        <v>4322</v>
      </c>
      <c r="H145" s="268" t="s">
        <v>4816</v>
      </c>
      <c r="I145" s="397" t="s">
        <v>3011</v>
      </c>
      <c r="J145" s="278">
        <v>46099.366666666669</v>
      </c>
      <c r="K145" s="491">
        <v>46112</v>
      </c>
      <c r="L145" s="273">
        <f t="shared" si="23"/>
        <v>100</v>
      </c>
      <c r="M145" s="266" t="s">
        <v>2678</v>
      </c>
      <c r="N145" s="340">
        <f t="shared" si="24"/>
        <v>0</v>
      </c>
      <c r="O145" s="266"/>
      <c r="P145" s="266" t="s">
        <v>2678</v>
      </c>
      <c r="Q145" s="341">
        <f t="shared" si="27"/>
        <v>13.633333333331393</v>
      </c>
      <c r="R145" s="342">
        <f>WORKDAY(J145,7,'Public Holiday'!$A$2:$A$46)</f>
        <v>46108</v>
      </c>
      <c r="S145" s="343">
        <v>1</v>
      </c>
      <c r="T145" s="273">
        <f t="shared" si="26"/>
        <v>100</v>
      </c>
      <c r="U145" s="330" t="s">
        <v>2679</v>
      </c>
    </row>
    <row r="146" spans="1:22" ht="54" x14ac:dyDescent="0.25">
      <c r="A146" s="396">
        <v>16</v>
      </c>
      <c r="B146" s="268" t="s">
        <v>3046</v>
      </c>
      <c r="C146" s="268" t="s">
        <v>2231</v>
      </c>
      <c r="D146" s="268">
        <v>43000</v>
      </c>
      <c r="E146" s="268" t="s">
        <v>4210</v>
      </c>
      <c r="F146" s="268" t="s">
        <v>3030</v>
      </c>
      <c r="G146" s="268" t="s">
        <v>4323</v>
      </c>
      <c r="H146" s="268" t="s">
        <v>4816</v>
      </c>
      <c r="I146" s="397" t="s">
        <v>4813</v>
      </c>
      <c r="J146" s="278">
        <v>46099.458333333336</v>
      </c>
      <c r="K146" s="491">
        <v>46112</v>
      </c>
      <c r="L146" s="273">
        <f t="shared" si="23"/>
        <v>90</v>
      </c>
      <c r="M146" s="266" t="s">
        <v>2678</v>
      </c>
      <c r="N146" s="340">
        <f t="shared" si="24"/>
        <v>0</v>
      </c>
      <c r="O146" s="266"/>
      <c r="P146" s="266" t="s">
        <v>2678</v>
      </c>
      <c r="Q146" s="341">
        <f t="shared" si="27"/>
        <v>13.541666666664241</v>
      </c>
      <c r="R146" s="342">
        <f>WORKDAY(J146,7,'Public Holiday'!$A$2:$A$46)</f>
        <v>46108</v>
      </c>
      <c r="S146" s="343">
        <v>0</v>
      </c>
      <c r="T146" s="273">
        <f t="shared" si="26"/>
        <v>0</v>
      </c>
      <c r="U146" s="330" t="s">
        <v>4870</v>
      </c>
    </row>
    <row r="147" spans="1:22" ht="54" x14ac:dyDescent="0.25">
      <c r="A147" s="396">
        <v>17</v>
      </c>
      <c r="B147" s="268" t="s">
        <v>3486</v>
      </c>
      <c r="C147" s="268" t="s">
        <v>4141</v>
      </c>
      <c r="D147" s="268">
        <v>92000</v>
      </c>
      <c r="E147" s="268" t="s">
        <v>4212</v>
      </c>
      <c r="F147" s="268" t="s">
        <v>4097</v>
      </c>
      <c r="G147" s="268" t="s">
        <v>4325</v>
      </c>
      <c r="H147" s="268" t="s">
        <v>4816</v>
      </c>
      <c r="I147" s="397" t="s">
        <v>2997</v>
      </c>
      <c r="J147" s="278">
        <v>46099.650694444441</v>
      </c>
      <c r="K147" s="491">
        <v>46112</v>
      </c>
      <c r="L147" s="273">
        <f t="shared" si="23"/>
        <v>100</v>
      </c>
      <c r="M147" s="266" t="s">
        <v>2678</v>
      </c>
      <c r="N147" s="340">
        <f t="shared" si="24"/>
        <v>0</v>
      </c>
      <c r="O147" s="266"/>
      <c r="P147" s="266" t="s">
        <v>2678</v>
      </c>
      <c r="Q147" s="341">
        <f t="shared" si="27"/>
        <v>13.349305555559113</v>
      </c>
      <c r="R147" s="342">
        <f>WORKDAY(J147,7,'Public Holiday'!$A$2:$A$46)</f>
        <v>46108</v>
      </c>
      <c r="S147" s="343">
        <v>0</v>
      </c>
      <c r="T147" s="273">
        <f t="shared" si="26"/>
        <v>0</v>
      </c>
      <c r="U147" s="330" t="s">
        <v>4871</v>
      </c>
    </row>
    <row r="148" spans="1:22" ht="54" x14ac:dyDescent="0.25">
      <c r="A148" s="396">
        <v>18</v>
      </c>
      <c r="B148" s="268" t="s">
        <v>3708</v>
      </c>
      <c r="C148" s="268" t="s">
        <v>1995</v>
      </c>
      <c r="D148" s="268">
        <v>2800</v>
      </c>
      <c r="E148" s="268" t="s">
        <v>4218</v>
      </c>
      <c r="F148" s="268" t="s">
        <v>2982</v>
      </c>
      <c r="G148" s="268" t="s">
        <v>4331</v>
      </c>
      <c r="H148" s="268" t="s">
        <v>4816</v>
      </c>
      <c r="I148" s="397" t="s">
        <v>3011</v>
      </c>
      <c r="J148" s="278">
        <v>46100.498611111114</v>
      </c>
      <c r="K148" s="491">
        <v>46112</v>
      </c>
      <c r="L148" s="273">
        <f t="shared" si="23"/>
        <v>10</v>
      </c>
      <c r="M148" s="266" t="s">
        <v>2678</v>
      </c>
      <c r="N148" s="340">
        <f t="shared" si="24"/>
        <v>0</v>
      </c>
      <c r="O148" s="266"/>
      <c r="P148" s="266" t="s">
        <v>2678</v>
      </c>
      <c r="Q148" s="341">
        <f t="shared" si="27"/>
        <v>12.50138888888614</v>
      </c>
      <c r="R148" s="342">
        <f>WORKDAY(J148,7,'Public Holiday'!$A$2:$A$46)</f>
        <v>46111</v>
      </c>
      <c r="S148" s="343">
        <v>0</v>
      </c>
      <c r="T148" s="273">
        <f t="shared" si="26"/>
        <v>0</v>
      </c>
      <c r="U148" s="330" t="s">
        <v>2679</v>
      </c>
      <c r="V148" s="263" t="s">
        <v>4840</v>
      </c>
    </row>
    <row r="149" spans="1:22" ht="36" x14ac:dyDescent="0.25">
      <c r="A149" s="396">
        <v>19</v>
      </c>
      <c r="B149" s="268" t="s">
        <v>1965</v>
      </c>
      <c r="C149" s="268" t="s">
        <v>1963</v>
      </c>
      <c r="D149" s="268">
        <v>9900</v>
      </c>
      <c r="E149" s="268" t="s">
        <v>4224</v>
      </c>
      <c r="F149" s="268" t="s">
        <v>3024</v>
      </c>
      <c r="G149" s="268" t="s">
        <v>4337</v>
      </c>
      <c r="H149" s="268" t="s">
        <v>4816</v>
      </c>
      <c r="I149" s="397" t="s">
        <v>3011</v>
      </c>
      <c r="J149" s="278">
        <v>46102.605555555558</v>
      </c>
      <c r="K149" s="491">
        <v>46112</v>
      </c>
      <c r="L149" s="273">
        <f t="shared" si="23"/>
        <v>20</v>
      </c>
      <c r="M149" s="266" t="s">
        <v>2678</v>
      </c>
      <c r="N149" s="340">
        <f t="shared" si="24"/>
        <v>0</v>
      </c>
      <c r="O149" s="266"/>
      <c r="P149" s="266" t="s">
        <v>2678</v>
      </c>
      <c r="Q149" s="341">
        <f t="shared" si="27"/>
        <v>10.394444444442343</v>
      </c>
      <c r="R149" s="342">
        <f>WORKDAY(J149,7,'Public Holiday'!$A$2:$A$46)</f>
        <v>46112</v>
      </c>
      <c r="S149" s="343">
        <v>0</v>
      </c>
      <c r="T149" s="273">
        <f t="shared" si="26"/>
        <v>0</v>
      </c>
      <c r="U149" s="330" t="s">
        <v>2679</v>
      </c>
      <c r="V149" s="263" t="s">
        <v>4840</v>
      </c>
    </row>
    <row r="150" spans="1:22" ht="54" x14ac:dyDescent="0.25">
      <c r="A150" s="396">
        <v>20</v>
      </c>
      <c r="B150" s="268" t="s">
        <v>1966</v>
      </c>
      <c r="C150" s="268" t="s">
        <v>3421</v>
      </c>
      <c r="D150" s="268">
        <v>9900</v>
      </c>
      <c r="E150" s="268" t="s">
        <v>4225</v>
      </c>
      <c r="F150" s="268" t="s">
        <v>3024</v>
      </c>
      <c r="G150" s="268" t="s">
        <v>4338</v>
      </c>
      <c r="H150" s="268" t="s">
        <v>4816</v>
      </c>
      <c r="I150" s="397" t="s">
        <v>3001</v>
      </c>
      <c r="J150" s="278">
        <v>46102.606249999997</v>
      </c>
      <c r="K150" s="491">
        <v>46112</v>
      </c>
      <c r="L150" s="273">
        <f t="shared" si="23"/>
        <v>20</v>
      </c>
      <c r="M150" s="266" t="s">
        <v>2678</v>
      </c>
      <c r="N150" s="340">
        <f t="shared" si="24"/>
        <v>0</v>
      </c>
      <c r="O150" s="266"/>
      <c r="P150" s="266" t="s">
        <v>2678</v>
      </c>
      <c r="Q150" s="341">
        <f t="shared" si="27"/>
        <v>10.39375000000291</v>
      </c>
      <c r="R150" s="342">
        <f>WORKDAY(J150,7,'Public Holiday'!$A$2:$A$46)</f>
        <v>46112</v>
      </c>
      <c r="S150" s="343">
        <v>0</v>
      </c>
      <c r="T150" s="273">
        <f t="shared" si="26"/>
        <v>0</v>
      </c>
      <c r="U150" s="330" t="s">
        <v>2679</v>
      </c>
      <c r="V150" s="263" t="s">
        <v>4840</v>
      </c>
    </row>
    <row r="151" spans="1:22" ht="54" x14ac:dyDescent="0.25">
      <c r="A151" s="396">
        <v>21</v>
      </c>
      <c r="B151" s="268" t="s">
        <v>4143</v>
      </c>
      <c r="C151" s="268" t="s">
        <v>3122</v>
      </c>
      <c r="D151" s="268">
        <v>69000</v>
      </c>
      <c r="E151" s="268" t="s">
        <v>4228</v>
      </c>
      <c r="F151" s="268" t="s">
        <v>2989</v>
      </c>
      <c r="G151" s="268" t="s">
        <v>4341</v>
      </c>
      <c r="H151" s="268" t="s">
        <v>4816</v>
      </c>
      <c r="I151" s="397" t="s">
        <v>2997</v>
      </c>
      <c r="J151" s="278">
        <v>46105.397222222222</v>
      </c>
      <c r="K151" s="491">
        <v>46112</v>
      </c>
      <c r="L151" s="273">
        <f t="shared" si="23"/>
        <v>100</v>
      </c>
      <c r="M151" s="266" t="s">
        <v>2678</v>
      </c>
      <c r="N151" s="340">
        <f t="shared" si="24"/>
        <v>0</v>
      </c>
      <c r="O151" s="266"/>
      <c r="P151" s="266" t="s">
        <v>2678</v>
      </c>
      <c r="Q151" s="341">
        <f t="shared" si="27"/>
        <v>7.6027777777781012</v>
      </c>
      <c r="R151" s="342">
        <f>WORKDAY(J151,7,'Public Holiday'!$A$2:$A$46)</f>
        <v>46114</v>
      </c>
      <c r="S151" s="343">
        <v>0</v>
      </c>
      <c r="T151" s="273">
        <f t="shared" si="26"/>
        <v>0</v>
      </c>
      <c r="U151" s="330" t="s">
        <v>4901</v>
      </c>
      <c r="V151" s="263" t="s">
        <v>4814</v>
      </c>
    </row>
    <row r="152" spans="1:22" ht="72" x14ac:dyDescent="0.25">
      <c r="A152" s="396">
        <v>22</v>
      </c>
      <c r="B152" s="268" t="s">
        <v>1731</v>
      </c>
      <c r="C152" s="268" t="s">
        <v>1995</v>
      </c>
      <c r="D152" s="268">
        <v>4300</v>
      </c>
      <c r="E152" s="268" t="s">
        <v>4233</v>
      </c>
      <c r="F152" s="268" t="s">
        <v>2988</v>
      </c>
      <c r="G152" s="268" t="s">
        <v>4346</v>
      </c>
      <c r="H152" s="268" t="s">
        <v>4816</v>
      </c>
      <c r="I152" s="397" t="s">
        <v>3001</v>
      </c>
      <c r="J152" s="278">
        <v>46106.743055555555</v>
      </c>
      <c r="K152" s="491">
        <v>46112</v>
      </c>
      <c r="L152" s="273">
        <f t="shared" si="23"/>
        <v>10</v>
      </c>
      <c r="M152" s="266" t="s">
        <v>2678</v>
      </c>
      <c r="N152" s="340">
        <f t="shared" si="24"/>
        <v>0</v>
      </c>
      <c r="O152" s="266"/>
      <c r="P152" s="266" t="s">
        <v>2678</v>
      </c>
      <c r="Q152" s="341">
        <f t="shared" si="27"/>
        <v>6.2569444444452529</v>
      </c>
      <c r="R152" s="342">
        <f>WORKDAY(J152,7,'Public Holiday'!$A$2:$A$46)</f>
        <v>46115</v>
      </c>
      <c r="S152" s="343">
        <v>0</v>
      </c>
      <c r="T152" s="273">
        <f t="shared" si="26"/>
        <v>0</v>
      </c>
      <c r="U152" s="330" t="s">
        <v>4872</v>
      </c>
      <c r="V152" s="263" t="s">
        <v>4875</v>
      </c>
    </row>
    <row r="153" spans="1:22" ht="72" x14ac:dyDescent="0.25">
      <c r="A153" s="396">
        <v>23</v>
      </c>
      <c r="B153" s="268" t="s">
        <v>1900</v>
      </c>
      <c r="C153" s="268" t="s">
        <v>1995</v>
      </c>
      <c r="D153" s="268">
        <v>2700</v>
      </c>
      <c r="E153" s="268" t="s">
        <v>4234</v>
      </c>
      <c r="F153" s="268" t="s">
        <v>3027</v>
      </c>
      <c r="G153" s="268" t="s">
        <v>4347</v>
      </c>
      <c r="H153" s="268" t="s">
        <v>4816</v>
      </c>
      <c r="I153" s="397" t="s">
        <v>2997</v>
      </c>
      <c r="J153" s="278">
        <v>46106.746527777781</v>
      </c>
      <c r="K153" s="491">
        <v>46112</v>
      </c>
      <c r="L153" s="273">
        <f t="shared" si="23"/>
        <v>10</v>
      </c>
      <c r="M153" s="266" t="s">
        <v>2678</v>
      </c>
      <c r="N153" s="340">
        <f t="shared" si="24"/>
        <v>0</v>
      </c>
      <c r="O153" s="266"/>
      <c r="P153" s="266" t="s">
        <v>2678</v>
      </c>
      <c r="Q153" s="341">
        <f t="shared" si="27"/>
        <v>6.2534722222189885</v>
      </c>
      <c r="R153" s="342">
        <f>WORKDAY(J153,7,'Public Holiday'!$A$2:$A$46)</f>
        <v>46115</v>
      </c>
      <c r="S153" s="343">
        <v>0</v>
      </c>
      <c r="T153" s="273">
        <f t="shared" si="26"/>
        <v>0</v>
      </c>
      <c r="U153" s="330" t="s">
        <v>4872</v>
      </c>
      <c r="V153" s="263" t="s">
        <v>4876</v>
      </c>
    </row>
    <row r="154" spans="1:22" ht="54" x14ac:dyDescent="0.25">
      <c r="A154" s="396">
        <v>24</v>
      </c>
      <c r="B154" s="268" t="s">
        <v>1197</v>
      </c>
      <c r="C154" s="268" t="s">
        <v>1189</v>
      </c>
      <c r="D154" s="268">
        <v>24000</v>
      </c>
      <c r="E154" s="268" t="s">
        <v>4238</v>
      </c>
      <c r="F154" s="268" t="s">
        <v>4101</v>
      </c>
      <c r="G154" s="268" t="s">
        <v>4351</v>
      </c>
      <c r="H154" s="268" t="s">
        <v>4816</v>
      </c>
      <c r="I154" s="397" t="s">
        <v>4815</v>
      </c>
      <c r="J154" s="278">
        <v>46107.536111111112</v>
      </c>
      <c r="K154" s="491">
        <v>46112</v>
      </c>
      <c r="L154" s="273">
        <f t="shared" si="23"/>
        <v>50</v>
      </c>
      <c r="M154" s="266" t="s">
        <v>2678</v>
      </c>
      <c r="N154" s="340">
        <f t="shared" si="24"/>
        <v>0</v>
      </c>
      <c r="O154" s="266"/>
      <c r="P154" s="266" t="s">
        <v>2678</v>
      </c>
      <c r="Q154" s="341">
        <f t="shared" si="27"/>
        <v>5.4638888888875954</v>
      </c>
      <c r="R154" s="342">
        <f>WORKDAY(J154,7,'Public Holiday'!$A$2:$A$46)</f>
        <v>46118</v>
      </c>
      <c r="S154" s="343">
        <v>0</v>
      </c>
      <c r="T154" s="273">
        <f t="shared" si="26"/>
        <v>0</v>
      </c>
      <c r="U154" s="330" t="s">
        <v>4873</v>
      </c>
      <c r="V154" s="263" t="s">
        <v>4877</v>
      </c>
    </row>
    <row r="155" spans="1:22" ht="54" x14ac:dyDescent="0.25">
      <c r="A155" s="396">
        <v>25</v>
      </c>
      <c r="B155" s="268" t="s">
        <v>2131</v>
      </c>
      <c r="C155" s="268" t="s">
        <v>1998</v>
      </c>
      <c r="D155" s="268">
        <v>7245</v>
      </c>
      <c r="E155" s="268" t="s">
        <v>4239</v>
      </c>
      <c r="F155" s="268" t="s">
        <v>3024</v>
      </c>
      <c r="G155" s="268" t="s">
        <v>4352</v>
      </c>
      <c r="H155" s="268" t="s">
        <v>4816</v>
      </c>
      <c r="I155" s="397" t="s">
        <v>2997</v>
      </c>
      <c r="J155" s="278">
        <v>46107.578472222223</v>
      </c>
      <c r="K155" s="491">
        <v>46112</v>
      </c>
      <c r="L155" s="273">
        <f t="shared" si="23"/>
        <v>20</v>
      </c>
      <c r="M155" s="266" t="s">
        <v>2678</v>
      </c>
      <c r="N155" s="340">
        <f t="shared" si="24"/>
        <v>0</v>
      </c>
      <c r="O155" s="266"/>
      <c r="P155" s="266" t="s">
        <v>2678</v>
      </c>
      <c r="Q155" s="341">
        <f t="shared" si="27"/>
        <v>5.421527777776646</v>
      </c>
      <c r="R155" s="342">
        <f>WORKDAY(J155,7,'Public Holiday'!$A$2:$A$46)</f>
        <v>46118</v>
      </c>
      <c r="S155" s="343">
        <v>0</v>
      </c>
      <c r="T155" s="273">
        <f t="shared" si="26"/>
        <v>0</v>
      </c>
      <c r="U155" s="330" t="s">
        <v>2679</v>
      </c>
    </row>
    <row r="156" spans="1:22" ht="54" x14ac:dyDescent="0.25">
      <c r="A156" s="396">
        <v>26</v>
      </c>
      <c r="B156" s="268" t="s">
        <v>3668</v>
      </c>
      <c r="C156" s="268" t="s">
        <v>1471</v>
      </c>
      <c r="D156" s="268">
        <v>105000</v>
      </c>
      <c r="E156" s="268" t="s">
        <v>4240</v>
      </c>
      <c r="F156" s="268" t="s">
        <v>2982</v>
      </c>
      <c r="G156" s="268" t="s">
        <v>4353</v>
      </c>
      <c r="H156" s="268" t="s">
        <v>4816</v>
      </c>
      <c r="I156" s="397" t="s">
        <v>4828</v>
      </c>
      <c r="J156" s="278">
        <v>46107.664583333331</v>
      </c>
      <c r="K156" s="491">
        <v>46112</v>
      </c>
      <c r="L156" s="273">
        <f t="shared" si="23"/>
        <v>100</v>
      </c>
      <c r="M156" s="266" t="s">
        <v>2678</v>
      </c>
      <c r="N156" s="340">
        <f t="shared" si="24"/>
        <v>0</v>
      </c>
      <c r="O156" s="266"/>
      <c r="P156" s="266" t="s">
        <v>2678</v>
      </c>
      <c r="Q156" s="341">
        <f t="shared" si="27"/>
        <v>5.3354166666686069</v>
      </c>
      <c r="R156" s="342">
        <f>WORKDAY(J156,7,'Public Holiday'!$A$2:$A$46)</f>
        <v>46118</v>
      </c>
      <c r="S156" s="343">
        <v>0</v>
      </c>
      <c r="T156" s="273">
        <f t="shared" si="26"/>
        <v>0</v>
      </c>
      <c r="U156" s="330" t="s">
        <v>2679</v>
      </c>
    </row>
    <row r="157" spans="1:22" ht="72" x14ac:dyDescent="0.25">
      <c r="A157" s="396">
        <v>27</v>
      </c>
      <c r="B157" s="268" t="s">
        <v>3842</v>
      </c>
      <c r="C157" s="268" t="s">
        <v>302</v>
      </c>
      <c r="D157" s="268">
        <v>149800</v>
      </c>
      <c r="E157" s="268" t="s">
        <v>4243</v>
      </c>
      <c r="F157" s="268" t="s">
        <v>3023</v>
      </c>
      <c r="G157" s="268" t="s">
        <v>4356</v>
      </c>
      <c r="H157" s="268" t="s">
        <v>4816</v>
      </c>
      <c r="I157" s="397" t="s">
        <v>3011</v>
      </c>
      <c r="J157" s="278">
        <v>46108.863194444442</v>
      </c>
      <c r="K157" s="491">
        <v>46112</v>
      </c>
      <c r="L157" s="273">
        <f t="shared" si="23"/>
        <v>100</v>
      </c>
      <c r="M157" s="266" t="s">
        <v>2678</v>
      </c>
      <c r="N157" s="340">
        <f t="shared" si="24"/>
        <v>0</v>
      </c>
      <c r="O157" s="266"/>
      <c r="P157" s="266" t="s">
        <v>2678</v>
      </c>
      <c r="Q157" s="341">
        <f t="shared" si="27"/>
        <v>4.1368055555576575</v>
      </c>
      <c r="R157" s="342">
        <f>WORKDAY(J157,7,'Public Holiday'!$A$2:$A$46)</f>
        <v>46119</v>
      </c>
      <c r="S157" s="343">
        <v>0</v>
      </c>
      <c r="T157" s="273">
        <f t="shared" si="26"/>
        <v>0</v>
      </c>
      <c r="U157" s="330" t="s">
        <v>2679</v>
      </c>
    </row>
    <row r="158" spans="1:22" ht="54" x14ac:dyDescent="0.25">
      <c r="A158" s="396">
        <v>28</v>
      </c>
      <c r="B158" s="268" t="s">
        <v>1194</v>
      </c>
      <c r="C158" s="268" t="s">
        <v>2089</v>
      </c>
      <c r="D158" s="268">
        <v>24000</v>
      </c>
      <c r="E158" s="268" t="s">
        <v>4246</v>
      </c>
      <c r="F158" s="268" t="s">
        <v>3025</v>
      </c>
      <c r="G158" s="268" t="s">
        <v>4359</v>
      </c>
      <c r="H158" s="268" t="s">
        <v>4816</v>
      </c>
      <c r="I158" s="397" t="s">
        <v>4792</v>
      </c>
      <c r="J158" s="278">
        <v>46111.569444444445</v>
      </c>
      <c r="K158" s="491">
        <v>46112</v>
      </c>
      <c r="L158" s="273">
        <f t="shared" si="23"/>
        <v>50</v>
      </c>
      <c r="M158" s="266" t="s">
        <v>2678</v>
      </c>
      <c r="N158" s="340">
        <f t="shared" si="24"/>
        <v>0</v>
      </c>
      <c r="O158" s="266"/>
      <c r="P158" s="266" t="s">
        <v>2678</v>
      </c>
      <c r="Q158" s="341">
        <f t="shared" si="27"/>
        <v>1.4305555555547471</v>
      </c>
      <c r="R158" s="342">
        <f>WORKDAY(J158,7,'Public Holiday'!$A$2:$A$46)</f>
        <v>46120</v>
      </c>
      <c r="S158" s="343">
        <v>0</v>
      </c>
      <c r="T158" s="273">
        <f t="shared" si="26"/>
        <v>0</v>
      </c>
      <c r="U158" s="330" t="s">
        <v>2679</v>
      </c>
    </row>
    <row r="159" spans="1:22" ht="54" x14ac:dyDescent="0.25">
      <c r="A159" s="396">
        <v>29</v>
      </c>
      <c r="B159" s="268" t="s">
        <v>1513</v>
      </c>
      <c r="C159" s="268" t="s">
        <v>2323</v>
      </c>
      <c r="D159" s="268">
        <v>24000</v>
      </c>
      <c r="E159" s="268" t="s">
        <v>4248</v>
      </c>
      <c r="F159" s="268" t="s">
        <v>2988</v>
      </c>
      <c r="G159" s="268" t="s">
        <v>4361</v>
      </c>
      <c r="H159" s="268" t="s">
        <v>4816</v>
      </c>
      <c r="I159" s="397" t="s">
        <v>2997</v>
      </c>
      <c r="J159" s="278">
        <v>46111.649305555555</v>
      </c>
      <c r="K159" s="491">
        <v>46112</v>
      </c>
      <c r="L159" s="273">
        <f t="shared" si="23"/>
        <v>50</v>
      </c>
      <c r="M159" s="266" t="s">
        <v>2678</v>
      </c>
      <c r="N159" s="340">
        <f t="shared" si="24"/>
        <v>0</v>
      </c>
      <c r="O159" s="266"/>
      <c r="P159" s="266" t="s">
        <v>2678</v>
      </c>
      <c r="Q159" s="341">
        <f t="shared" si="27"/>
        <v>1.3506944444452529</v>
      </c>
      <c r="R159" s="342">
        <f>WORKDAY(J159,7,'Public Holiday'!$A$2:$A$46)</f>
        <v>46120</v>
      </c>
      <c r="S159" s="343">
        <v>0</v>
      </c>
      <c r="T159" s="273">
        <f t="shared" si="26"/>
        <v>0</v>
      </c>
      <c r="U159" s="330" t="s">
        <v>2679</v>
      </c>
    </row>
    <row r="160" spans="1:22" ht="54" x14ac:dyDescent="0.25">
      <c r="A160" s="396">
        <v>30</v>
      </c>
      <c r="B160" s="268" t="s">
        <v>1531</v>
      </c>
      <c r="C160" s="268" t="s">
        <v>2685</v>
      </c>
      <c r="D160" s="268">
        <v>53000</v>
      </c>
      <c r="E160" s="268" t="s">
        <v>4252</v>
      </c>
      <c r="F160" s="268" t="s">
        <v>2988</v>
      </c>
      <c r="G160" s="268" t="s">
        <v>4365</v>
      </c>
      <c r="H160" s="268" t="s">
        <v>4816</v>
      </c>
      <c r="I160" s="397" t="s">
        <v>3002</v>
      </c>
      <c r="J160" s="278">
        <v>46112.664583333331</v>
      </c>
      <c r="K160" s="491">
        <v>46112</v>
      </c>
      <c r="L160" s="273">
        <f t="shared" si="23"/>
        <v>100</v>
      </c>
      <c r="M160" s="266" t="s">
        <v>2678</v>
      </c>
      <c r="N160" s="340">
        <f t="shared" si="24"/>
        <v>0</v>
      </c>
      <c r="O160" s="266"/>
      <c r="P160" s="266" t="s">
        <v>2678</v>
      </c>
      <c r="Q160" s="341">
        <f t="shared" si="27"/>
        <v>0.33541666666860692</v>
      </c>
      <c r="R160" s="342">
        <f>WORKDAY(J160,7,'Public Holiday'!$A$2:$A$46)</f>
        <v>46121</v>
      </c>
      <c r="S160" s="343">
        <v>0</v>
      </c>
      <c r="T160" s="273">
        <f t="shared" si="26"/>
        <v>0</v>
      </c>
      <c r="U160" s="330" t="s">
        <v>2679</v>
      </c>
    </row>
    <row r="161" spans="1:21" ht="72" x14ac:dyDescent="0.25">
      <c r="A161" s="396">
        <v>31</v>
      </c>
      <c r="B161" s="268" t="s">
        <v>1547</v>
      </c>
      <c r="C161" s="268" t="s">
        <v>1541</v>
      </c>
      <c r="D161" s="268">
        <v>14250</v>
      </c>
      <c r="E161" s="268" t="s">
        <v>4253</v>
      </c>
      <c r="F161" s="268" t="s">
        <v>2707</v>
      </c>
      <c r="G161" s="268" t="s">
        <v>4366</v>
      </c>
      <c r="H161" s="268" t="s">
        <v>4816</v>
      </c>
      <c r="I161" s="397" t="s">
        <v>3003</v>
      </c>
      <c r="J161" s="278">
        <v>46112.665972222225</v>
      </c>
      <c r="K161" s="491">
        <v>46112</v>
      </c>
      <c r="L161" s="273">
        <f t="shared" si="23"/>
        <v>30</v>
      </c>
      <c r="M161" s="266" t="s">
        <v>2678</v>
      </c>
      <c r="N161" s="340">
        <f t="shared" si="24"/>
        <v>0</v>
      </c>
      <c r="O161" s="266"/>
      <c r="P161" s="266" t="s">
        <v>2678</v>
      </c>
      <c r="Q161" s="341">
        <f>K161-J161+1</f>
        <v>0.33402777777519077</v>
      </c>
      <c r="R161" s="342">
        <f>WORKDAY(J161,7,'Public Holiday'!$A$2:$A$46)</f>
        <v>46121</v>
      </c>
      <c r="S161" s="343">
        <v>0</v>
      </c>
      <c r="T161" s="273">
        <f t="shared" si="26"/>
        <v>0</v>
      </c>
      <c r="U161" s="330" t="s">
        <v>2679</v>
      </c>
    </row>
    <row r="162" spans="1:21" ht="72" x14ac:dyDescent="0.25">
      <c r="A162" s="396">
        <v>32</v>
      </c>
      <c r="B162" s="268" t="s">
        <v>2887</v>
      </c>
      <c r="C162" s="268" t="s">
        <v>3066</v>
      </c>
      <c r="D162" s="268">
        <v>26000</v>
      </c>
      <c r="E162" s="268" t="s">
        <v>4719</v>
      </c>
      <c r="F162" s="268" t="s">
        <v>4100</v>
      </c>
      <c r="G162" s="268" t="s">
        <v>4744</v>
      </c>
      <c r="H162" s="268" t="s">
        <v>4816</v>
      </c>
      <c r="I162" s="397" t="s">
        <v>4812</v>
      </c>
      <c r="J162" s="278">
        <v>46085.714583333334</v>
      </c>
      <c r="K162" s="491">
        <v>46112</v>
      </c>
      <c r="L162" s="273">
        <f t="shared" ref="L162" si="28">IF(D162&gt;44999.99,100,ROUNDUP((D162/4999.99)*10,-1))</f>
        <v>60</v>
      </c>
      <c r="M162" s="266" t="s">
        <v>2678</v>
      </c>
      <c r="N162" s="340">
        <f t="shared" ref="N162" si="29">IF(M162="Y",L162,0)</f>
        <v>0</v>
      </c>
      <c r="O162" s="266"/>
      <c r="P162" s="266" t="s">
        <v>2678</v>
      </c>
      <c r="Q162" s="341">
        <f>K162-J162+1</f>
        <v>27.285416666665697</v>
      </c>
      <c r="R162" s="342">
        <f>WORKDAY(J162,7,'Public Holiday'!$A$2:$A$46)</f>
        <v>46094</v>
      </c>
      <c r="S162" s="343">
        <v>0</v>
      </c>
      <c r="T162" s="273">
        <f t="shared" ref="T162" si="30">L162*S162</f>
        <v>0</v>
      </c>
      <c r="U162" s="330" t="s">
        <v>4878</v>
      </c>
    </row>
    <row r="163" spans="1:21" ht="18" x14ac:dyDescent="0.25">
      <c r="A163" s="623" t="s">
        <v>2683</v>
      </c>
      <c r="B163" s="624"/>
      <c r="C163" s="624"/>
      <c r="D163" s="624"/>
      <c r="E163" s="624"/>
      <c r="F163" s="624"/>
      <c r="G163" s="624"/>
      <c r="H163" s="624"/>
      <c r="I163" s="624"/>
      <c r="J163" s="624"/>
      <c r="K163" s="624"/>
      <c r="L163" s="624"/>
      <c r="M163" s="624"/>
      <c r="N163" s="624"/>
      <c r="O163" s="624"/>
      <c r="P163" s="624"/>
      <c r="Q163" s="624"/>
      <c r="R163" s="624"/>
      <c r="S163" s="624"/>
      <c r="T163" s="624"/>
      <c r="U163" s="625"/>
    </row>
    <row r="164" spans="1:21" ht="72" x14ac:dyDescent="0.25">
      <c r="A164" s="266">
        <v>1</v>
      </c>
      <c r="B164" s="268" t="s">
        <v>2371</v>
      </c>
      <c r="C164" s="268" t="s">
        <v>1998</v>
      </c>
      <c r="D164" s="268">
        <v>3150</v>
      </c>
      <c r="E164" s="267" t="s">
        <v>2952</v>
      </c>
      <c r="F164" s="268" t="s">
        <v>2996</v>
      </c>
      <c r="G164" s="267" t="s">
        <v>2957</v>
      </c>
      <c r="H164" s="267" t="s">
        <v>2677</v>
      </c>
      <c r="I164" s="339" t="s">
        <v>3008</v>
      </c>
      <c r="J164" s="265">
        <v>46031</v>
      </c>
      <c r="K164" s="493">
        <v>46112</v>
      </c>
      <c r="L164" s="273">
        <f t="shared" ref="L164:L177" si="31">IF(D164&gt;44999.99,100,ROUNDUP((D164/4999.99)*10,-1))</f>
        <v>10</v>
      </c>
      <c r="M164" s="337" t="s">
        <v>2678</v>
      </c>
      <c r="N164" s="340">
        <f t="shared" ref="N164:N177" si="32">IF(M164="Y",L164,0)</f>
        <v>0</v>
      </c>
      <c r="O164" s="266"/>
      <c r="P164" s="337" t="s">
        <v>2678</v>
      </c>
      <c r="Q164" s="344">
        <f t="shared" ref="Q164:Q177" si="33">K164-J164+1</f>
        <v>82</v>
      </c>
      <c r="R164" s="345">
        <f>WORKDAY(J164,6,'Public Holiday'!$A$2:$A$46)</f>
        <v>46041</v>
      </c>
      <c r="S164" s="346">
        <v>0</v>
      </c>
      <c r="T164" s="273">
        <f t="shared" ref="T164:T177" si="34">L164*S164</f>
        <v>0</v>
      </c>
      <c r="U164" s="330" t="s">
        <v>3400</v>
      </c>
    </row>
    <row r="165" spans="1:21" ht="54" x14ac:dyDescent="0.25">
      <c r="A165" s="266">
        <v>2</v>
      </c>
      <c r="B165" s="268" t="str">
        <f>VLOOKUP(E:E,[1]CM!B:M,12,FALSE)</f>
        <v>KKM/JKN/HSA/10-05-01/H/23/54</v>
      </c>
      <c r="C165" s="268" t="s">
        <v>3053</v>
      </c>
      <c r="D165" s="268">
        <f>VLOOKUP(B:B,'[2]BEMS EQUIPMENT '!$E:$Q,13,FALSE)</f>
        <v>19266</v>
      </c>
      <c r="E165" s="267" t="s">
        <v>3034</v>
      </c>
      <c r="F165" s="268" t="s">
        <v>3027</v>
      </c>
      <c r="G165" s="267" t="s">
        <v>3035</v>
      </c>
      <c r="H165" s="267" t="s">
        <v>2677</v>
      </c>
      <c r="I165" s="489" t="s">
        <v>4790</v>
      </c>
      <c r="J165" s="347">
        <v>46037</v>
      </c>
      <c r="K165" s="493">
        <v>46112</v>
      </c>
      <c r="L165" s="348">
        <f t="shared" si="31"/>
        <v>40</v>
      </c>
      <c r="M165" s="337" t="s">
        <v>2678</v>
      </c>
      <c r="N165" s="349">
        <f t="shared" si="32"/>
        <v>0</v>
      </c>
      <c r="O165" s="266"/>
      <c r="P165" s="266" t="s">
        <v>2678</v>
      </c>
      <c r="Q165" s="360">
        <f t="shared" si="33"/>
        <v>76</v>
      </c>
      <c r="R165" s="361">
        <f>WORKDAY(J165,7,'Public Holiday'!$A$2:$A$46)</f>
        <v>46048</v>
      </c>
      <c r="S165" s="343">
        <v>0</v>
      </c>
      <c r="T165" s="348">
        <f t="shared" si="34"/>
        <v>0</v>
      </c>
      <c r="U165" s="330" t="s">
        <v>3400</v>
      </c>
    </row>
    <row r="166" spans="1:21" ht="54" x14ac:dyDescent="0.25">
      <c r="A166" s="266">
        <v>3</v>
      </c>
      <c r="B166" s="268" t="s">
        <v>3070</v>
      </c>
      <c r="C166" s="268" t="s">
        <v>896</v>
      </c>
      <c r="D166" s="268">
        <v>22500</v>
      </c>
      <c r="E166" s="267" t="s">
        <v>2935</v>
      </c>
      <c r="F166" s="268" t="s">
        <v>3064</v>
      </c>
      <c r="G166" s="267" t="s">
        <v>2974</v>
      </c>
      <c r="H166" s="267" t="s">
        <v>2677</v>
      </c>
      <c r="I166" s="350" t="s">
        <v>2992</v>
      </c>
      <c r="J166" s="265">
        <v>46048</v>
      </c>
      <c r="K166" s="493">
        <v>46084</v>
      </c>
      <c r="L166" s="273">
        <f t="shared" si="31"/>
        <v>50</v>
      </c>
      <c r="M166" s="337" t="s">
        <v>2678</v>
      </c>
      <c r="N166" s="340">
        <f t="shared" si="32"/>
        <v>0</v>
      </c>
      <c r="O166" s="266"/>
      <c r="P166" s="266" t="s">
        <v>2678</v>
      </c>
      <c r="Q166" s="344">
        <f t="shared" si="33"/>
        <v>37</v>
      </c>
      <c r="R166" s="345">
        <f>WORKDAY(J166,6,'Public Holiday'!$A$2:$A$46)</f>
        <v>46056</v>
      </c>
      <c r="S166" s="346">
        <v>0</v>
      </c>
      <c r="T166" s="273">
        <f t="shared" si="34"/>
        <v>0</v>
      </c>
      <c r="U166" s="330" t="s">
        <v>3400</v>
      </c>
    </row>
    <row r="167" spans="1:21" ht="72" x14ac:dyDescent="0.25">
      <c r="A167" s="266">
        <v>4</v>
      </c>
      <c r="B167" s="268" t="s">
        <v>3028</v>
      </c>
      <c r="C167" s="268" t="s">
        <v>3029</v>
      </c>
      <c r="D167" s="268">
        <v>1700</v>
      </c>
      <c r="E167" s="267" t="s">
        <v>2937</v>
      </c>
      <c r="F167" s="268" t="s">
        <v>3023</v>
      </c>
      <c r="G167" s="267" t="s">
        <v>2972</v>
      </c>
      <c r="H167" s="267" t="s">
        <v>2677</v>
      </c>
      <c r="I167" s="339" t="s">
        <v>3000</v>
      </c>
      <c r="J167" s="265">
        <v>46048</v>
      </c>
      <c r="K167" s="493">
        <v>46085</v>
      </c>
      <c r="L167" s="273">
        <f t="shared" si="31"/>
        <v>10</v>
      </c>
      <c r="M167" s="337" t="s">
        <v>2678</v>
      </c>
      <c r="N167" s="340">
        <f t="shared" si="32"/>
        <v>0</v>
      </c>
      <c r="O167" s="266"/>
      <c r="P167" s="337" t="s">
        <v>2678</v>
      </c>
      <c r="Q167" s="344">
        <f t="shared" si="33"/>
        <v>38</v>
      </c>
      <c r="R167" s="345">
        <f>WORKDAY(J167,6,'Public Holiday'!$A$2:$A$46)</f>
        <v>46056</v>
      </c>
      <c r="S167" s="346">
        <v>0</v>
      </c>
      <c r="T167" s="273">
        <f t="shared" si="34"/>
        <v>0</v>
      </c>
      <c r="U167" s="330" t="s">
        <v>3400</v>
      </c>
    </row>
    <row r="168" spans="1:21" ht="54" x14ac:dyDescent="0.25">
      <c r="A168" s="266">
        <v>5</v>
      </c>
      <c r="B168" s="268" t="s">
        <v>1899</v>
      </c>
      <c r="C168" s="268" t="s">
        <v>1995</v>
      </c>
      <c r="D168" s="268">
        <v>2700</v>
      </c>
      <c r="E168" s="267" t="s">
        <v>2936</v>
      </c>
      <c r="F168" s="268" t="s">
        <v>3027</v>
      </c>
      <c r="G168" s="267" t="s">
        <v>2973</v>
      </c>
      <c r="H168" s="267" t="s">
        <v>2677</v>
      </c>
      <c r="I168" s="339" t="s">
        <v>3043</v>
      </c>
      <c r="J168" s="265">
        <v>46048</v>
      </c>
      <c r="K168" s="493">
        <v>46111</v>
      </c>
      <c r="L168" s="273">
        <f t="shared" si="31"/>
        <v>10</v>
      </c>
      <c r="M168" s="337" t="s">
        <v>2678</v>
      </c>
      <c r="N168" s="340">
        <f t="shared" si="32"/>
        <v>0</v>
      </c>
      <c r="O168" s="266"/>
      <c r="P168" s="266" t="s">
        <v>2678</v>
      </c>
      <c r="Q168" s="344">
        <f t="shared" si="33"/>
        <v>64</v>
      </c>
      <c r="R168" s="345">
        <f>WORKDAY(J168,6,'Public Holiday'!$A$2:$A$46)</f>
        <v>46056</v>
      </c>
      <c r="S168" s="346">
        <v>0</v>
      </c>
      <c r="T168" s="273">
        <f t="shared" si="34"/>
        <v>0</v>
      </c>
      <c r="U168" s="330" t="s">
        <v>3400</v>
      </c>
    </row>
    <row r="169" spans="1:21" ht="90" x14ac:dyDescent="0.25">
      <c r="A169" s="266">
        <v>6</v>
      </c>
      <c r="B169" s="268" t="str">
        <f>VLOOKUP(E:E,[1]CM!B:M,12,FALSE)</f>
        <v>KKM/JKN/HSA/10-05-01/H/15/1634</v>
      </c>
      <c r="C169" s="268" t="str">
        <f>VLOOKUP(B:B,'[3]SCHEDULE PPM 2026'!$D:$E,2,FALSE)</f>
        <v>MESIN HEMODIALYSIS</v>
      </c>
      <c r="D169" s="268">
        <f>VLOOKUP(B:B,'[2]BEMS EQUIPMENT '!$E:$Q,13,FALSE)</f>
        <v>36300</v>
      </c>
      <c r="E169" s="267" t="s">
        <v>3038</v>
      </c>
      <c r="F169" s="268" t="str">
        <f>VLOOKUP(B:B,'[3]SCHEDULE PPM 2026'!$D:$O,12,FALSE)</f>
        <v>Unit Hemodialisis (HDU)</v>
      </c>
      <c r="G169" s="267" t="s">
        <v>3039</v>
      </c>
      <c r="H169" s="267" t="s">
        <v>2677</v>
      </c>
      <c r="I169" s="350" t="s">
        <v>2993</v>
      </c>
      <c r="J169" s="347">
        <v>46049</v>
      </c>
      <c r="K169" s="493">
        <v>46105</v>
      </c>
      <c r="L169" s="273">
        <f t="shared" si="31"/>
        <v>80</v>
      </c>
      <c r="M169" s="337" t="s">
        <v>2678</v>
      </c>
      <c r="N169" s="340">
        <f t="shared" si="32"/>
        <v>0</v>
      </c>
      <c r="O169" s="266"/>
      <c r="P169" s="266" t="s">
        <v>2678</v>
      </c>
      <c r="Q169" s="341">
        <f t="shared" si="33"/>
        <v>57</v>
      </c>
      <c r="R169" s="342">
        <f>WORKDAY(J169,7,'Public Holiday'!$A$2:$A$46)</f>
        <v>46058</v>
      </c>
      <c r="S169" s="343">
        <v>0</v>
      </c>
      <c r="T169" s="273">
        <f t="shared" si="34"/>
        <v>0</v>
      </c>
      <c r="U169" s="330" t="s">
        <v>3400</v>
      </c>
    </row>
    <row r="170" spans="1:21" ht="90" x14ac:dyDescent="0.25">
      <c r="A170" s="266">
        <v>7</v>
      </c>
      <c r="B170" s="268" t="s">
        <v>4783</v>
      </c>
      <c r="C170" s="329" t="s">
        <v>3048</v>
      </c>
      <c r="D170" s="268">
        <v>125000</v>
      </c>
      <c r="E170" s="267" t="s">
        <v>2928</v>
      </c>
      <c r="F170" s="337" t="s">
        <v>3047</v>
      </c>
      <c r="G170" s="267" t="s">
        <v>2981</v>
      </c>
      <c r="H170" s="267" t="s">
        <v>2677</v>
      </c>
      <c r="I170" s="350" t="s">
        <v>3054</v>
      </c>
      <c r="J170" s="265">
        <v>46052</v>
      </c>
      <c r="K170" s="493">
        <v>46100</v>
      </c>
      <c r="L170" s="351">
        <f t="shared" si="31"/>
        <v>100</v>
      </c>
      <c r="M170" s="337" t="s">
        <v>2678</v>
      </c>
      <c r="N170" s="352">
        <f t="shared" si="32"/>
        <v>0</v>
      </c>
      <c r="O170" s="337"/>
      <c r="P170" s="337" t="s">
        <v>2678</v>
      </c>
      <c r="Q170" s="353">
        <f t="shared" si="33"/>
        <v>49</v>
      </c>
      <c r="R170" s="354">
        <f>WORKDAY(J170,7,'Public Holiday'!$A$2:$A$46)</f>
        <v>46063</v>
      </c>
      <c r="S170" s="355">
        <v>0</v>
      </c>
      <c r="T170" s="351">
        <f t="shared" si="34"/>
        <v>0</v>
      </c>
      <c r="U170" s="330" t="s">
        <v>3400</v>
      </c>
    </row>
    <row r="171" spans="1:21" ht="72" x14ac:dyDescent="0.25">
      <c r="A171" s="266">
        <v>8</v>
      </c>
      <c r="B171" s="268" t="s">
        <v>233</v>
      </c>
      <c r="C171" s="268" t="s">
        <v>231</v>
      </c>
      <c r="D171" s="268">
        <v>10200</v>
      </c>
      <c r="E171" s="267" t="s">
        <v>2931</v>
      </c>
      <c r="F171" s="268" t="s">
        <v>3025</v>
      </c>
      <c r="G171" s="267" t="s">
        <v>2978</v>
      </c>
      <c r="H171" s="267" t="s">
        <v>2677</v>
      </c>
      <c r="I171" s="339" t="s">
        <v>3055</v>
      </c>
      <c r="J171" s="265">
        <v>46052</v>
      </c>
      <c r="K171" s="493">
        <v>46111</v>
      </c>
      <c r="L171" s="273">
        <f t="shared" si="31"/>
        <v>30</v>
      </c>
      <c r="M171" s="337" t="s">
        <v>2678</v>
      </c>
      <c r="N171" s="340">
        <f t="shared" si="32"/>
        <v>0</v>
      </c>
      <c r="O171" s="266"/>
      <c r="P171" s="266" t="s">
        <v>2678</v>
      </c>
      <c r="Q171" s="344">
        <f t="shared" si="33"/>
        <v>60</v>
      </c>
      <c r="R171" s="345">
        <f>WORKDAY(J171,6,'Public Holiday'!$A$2:$A$46)</f>
        <v>46062</v>
      </c>
      <c r="S171" s="346">
        <v>0</v>
      </c>
      <c r="T171" s="273">
        <f t="shared" si="34"/>
        <v>0</v>
      </c>
      <c r="U171" s="330" t="s">
        <v>3400</v>
      </c>
    </row>
    <row r="172" spans="1:21" ht="72" x14ac:dyDescent="0.25">
      <c r="A172" s="266">
        <v>9</v>
      </c>
      <c r="B172" s="268" t="s">
        <v>1188</v>
      </c>
      <c r="C172" s="268" t="s">
        <v>3146</v>
      </c>
      <c r="D172" s="268">
        <v>48000</v>
      </c>
      <c r="E172" s="268" t="s">
        <v>3147</v>
      </c>
      <c r="F172" s="268" t="s">
        <v>3109</v>
      </c>
      <c r="G172" s="268" t="s">
        <v>3148</v>
      </c>
      <c r="H172" s="268" t="s">
        <v>2677</v>
      </c>
      <c r="I172" s="397" t="s">
        <v>3010</v>
      </c>
      <c r="J172" s="278">
        <v>46057</v>
      </c>
      <c r="K172" s="492">
        <v>46112</v>
      </c>
      <c r="L172" s="273">
        <f t="shared" si="31"/>
        <v>100</v>
      </c>
      <c r="M172" s="266" t="s">
        <v>2678</v>
      </c>
      <c r="N172" s="340">
        <f t="shared" si="32"/>
        <v>0</v>
      </c>
      <c r="O172" s="266"/>
      <c r="P172" s="266" t="s">
        <v>2678</v>
      </c>
      <c r="Q172" s="341">
        <f t="shared" si="33"/>
        <v>56</v>
      </c>
      <c r="R172" s="342">
        <f>WORKDAY(J172,7,'Public Holiday'!$A$2:$A$46)</f>
        <v>46066</v>
      </c>
      <c r="S172" s="343">
        <v>0</v>
      </c>
      <c r="T172" s="273">
        <f t="shared" si="34"/>
        <v>0</v>
      </c>
      <c r="U172" s="330" t="s">
        <v>3400</v>
      </c>
    </row>
    <row r="173" spans="1:21" ht="54" x14ac:dyDescent="0.25">
      <c r="A173" s="266">
        <v>10</v>
      </c>
      <c r="B173" s="268" t="s">
        <v>2285</v>
      </c>
      <c r="C173" s="268" t="s">
        <v>3213</v>
      </c>
      <c r="D173" s="268">
        <v>99000</v>
      </c>
      <c r="E173" s="268" t="s">
        <v>3214</v>
      </c>
      <c r="F173" s="268" t="s">
        <v>3116</v>
      </c>
      <c r="G173" s="268" t="s">
        <v>3215</v>
      </c>
      <c r="H173" s="268" t="s">
        <v>2677</v>
      </c>
      <c r="I173" s="397" t="s">
        <v>4780</v>
      </c>
      <c r="J173" s="278">
        <v>46058</v>
      </c>
      <c r="K173" s="492">
        <v>46083</v>
      </c>
      <c r="L173" s="273">
        <f t="shared" si="31"/>
        <v>100</v>
      </c>
      <c r="M173" s="266" t="s">
        <v>2678</v>
      </c>
      <c r="N173" s="340">
        <f t="shared" si="32"/>
        <v>0</v>
      </c>
      <c r="O173" s="266"/>
      <c r="P173" s="266" t="s">
        <v>2678</v>
      </c>
      <c r="Q173" s="341">
        <f t="shared" si="33"/>
        <v>26</v>
      </c>
      <c r="R173" s="342">
        <f>WORKDAY(J173,7,'Public Holiday'!$A$2:$A$46)</f>
        <v>46069</v>
      </c>
      <c r="S173" s="343">
        <v>0</v>
      </c>
      <c r="T173" s="273">
        <f t="shared" si="34"/>
        <v>0</v>
      </c>
      <c r="U173" s="330" t="s">
        <v>3400</v>
      </c>
    </row>
    <row r="174" spans="1:21" ht="90" x14ac:dyDescent="0.25">
      <c r="A174" s="266">
        <v>11</v>
      </c>
      <c r="B174" s="268" t="s">
        <v>1472</v>
      </c>
      <c r="C174" s="268" t="s">
        <v>2336</v>
      </c>
      <c r="D174" s="268">
        <v>9000</v>
      </c>
      <c r="E174" s="268" t="s">
        <v>3216</v>
      </c>
      <c r="F174" s="268" t="s">
        <v>2385</v>
      </c>
      <c r="G174" s="268" t="s">
        <v>3217</v>
      </c>
      <c r="H174" s="268" t="s">
        <v>2677</v>
      </c>
      <c r="I174" s="397" t="s">
        <v>3011</v>
      </c>
      <c r="J174" s="278">
        <v>46058</v>
      </c>
      <c r="K174" s="492">
        <v>46086</v>
      </c>
      <c r="L174" s="273">
        <f t="shared" si="31"/>
        <v>20</v>
      </c>
      <c r="M174" s="266" t="s">
        <v>2678</v>
      </c>
      <c r="N174" s="340">
        <f t="shared" si="32"/>
        <v>0</v>
      </c>
      <c r="O174" s="266"/>
      <c r="P174" s="266" t="s">
        <v>2678</v>
      </c>
      <c r="Q174" s="341">
        <f t="shared" si="33"/>
        <v>29</v>
      </c>
      <c r="R174" s="342">
        <f>WORKDAY(J174,7,'Public Holiday'!$A$2:$A$46)</f>
        <v>46069</v>
      </c>
      <c r="S174" s="343">
        <v>0</v>
      </c>
      <c r="T174" s="273">
        <f t="shared" si="34"/>
        <v>0</v>
      </c>
      <c r="U174" s="330" t="s">
        <v>3400</v>
      </c>
    </row>
    <row r="175" spans="1:21" ht="72" x14ac:dyDescent="0.25">
      <c r="A175" s="266">
        <v>12</v>
      </c>
      <c r="B175" s="268" t="s">
        <v>2688</v>
      </c>
      <c r="C175" s="268" t="s">
        <v>2685</v>
      </c>
      <c r="D175" s="268">
        <v>130000</v>
      </c>
      <c r="E175" s="268" t="s">
        <v>3158</v>
      </c>
      <c r="F175" s="268" t="s">
        <v>3112</v>
      </c>
      <c r="G175" s="268" t="s">
        <v>3159</v>
      </c>
      <c r="H175" s="268" t="s">
        <v>2677</v>
      </c>
      <c r="I175" s="397" t="s">
        <v>3117</v>
      </c>
      <c r="J175" s="278">
        <v>46059</v>
      </c>
      <c r="K175" s="492">
        <v>46096</v>
      </c>
      <c r="L175" s="273">
        <f t="shared" si="31"/>
        <v>100</v>
      </c>
      <c r="M175" s="266" t="s">
        <v>2678</v>
      </c>
      <c r="N175" s="340">
        <f t="shared" si="32"/>
        <v>0</v>
      </c>
      <c r="O175" s="266"/>
      <c r="P175" s="266" t="s">
        <v>2678</v>
      </c>
      <c r="Q175" s="341">
        <f t="shared" si="33"/>
        <v>38</v>
      </c>
      <c r="R175" s="342">
        <f>WORKDAY(J175,7,'Public Holiday'!$A$2:$A$46)</f>
        <v>46072</v>
      </c>
      <c r="S175" s="343">
        <v>0</v>
      </c>
      <c r="T175" s="273">
        <f t="shared" si="34"/>
        <v>0</v>
      </c>
      <c r="U175" s="501" t="s">
        <v>3400</v>
      </c>
    </row>
    <row r="176" spans="1:21" ht="54" x14ac:dyDescent="0.25">
      <c r="A176" s="266">
        <v>13</v>
      </c>
      <c r="B176" s="268" t="s">
        <v>860</v>
      </c>
      <c r="C176" s="268" t="s">
        <v>3223</v>
      </c>
      <c r="D176" s="268">
        <v>10000</v>
      </c>
      <c r="E176" s="268" t="s">
        <v>3176</v>
      </c>
      <c r="F176" s="268" t="s">
        <v>3127</v>
      </c>
      <c r="G176" s="268" t="s">
        <v>3177</v>
      </c>
      <c r="H176" s="268" t="s">
        <v>2677</v>
      </c>
      <c r="I176" s="397" t="s">
        <v>4782</v>
      </c>
      <c r="J176" s="278">
        <v>46065</v>
      </c>
      <c r="K176" s="492">
        <v>46083</v>
      </c>
      <c r="L176" s="273">
        <f t="shared" si="31"/>
        <v>30</v>
      </c>
      <c r="M176" s="266" t="s">
        <v>2678</v>
      </c>
      <c r="N176" s="340">
        <f t="shared" si="32"/>
        <v>0</v>
      </c>
      <c r="O176" s="266"/>
      <c r="P176" s="266" t="s">
        <v>2678</v>
      </c>
      <c r="Q176" s="341">
        <f t="shared" si="33"/>
        <v>19</v>
      </c>
      <c r="R176" s="342">
        <f>WORKDAY(J176,7,'Public Holiday'!$A$2:$A$46)</f>
        <v>46078</v>
      </c>
      <c r="S176" s="343">
        <v>0</v>
      </c>
      <c r="T176" s="273">
        <f t="shared" si="34"/>
        <v>0</v>
      </c>
      <c r="U176" s="330" t="s">
        <v>3400</v>
      </c>
    </row>
    <row r="177" spans="1:21" ht="54" x14ac:dyDescent="0.25">
      <c r="A177" s="266">
        <v>14</v>
      </c>
      <c r="B177" s="268" t="s">
        <v>1022</v>
      </c>
      <c r="C177" s="268" t="s">
        <v>1020</v>
      </c>
      <c r="D177" s="268">
        <v>159800</v>
      </c>
      <c r="E177" s="268" t="s">
        <v>3181</v>
      </c>
      <c r="F177" s="268" t="s">
        <v>2451</v>
      </c>
      <c r="G177" s="268" t="s">
        <v>3182</v>
      </c>
      <c r="H177" s="268" t="s">
        <v>2677</v>
      </c>
      <c r="I177" s="397" t="s">
        <v>4779</v>
      </c>
      <c r="J177" s="278">
        <v>46066</v>
      </c>
      <c r="K177" s="492">
        <v>46093</v>
      </c>
      <c r="L177" s="273">
        <f t="shared" si="31"/>
        <v>100</v>
      </c>
      <c r="M177" s="266" t="s">
        <v>2678</v>
      </c>
      <c r="N177" s="340">
        <f t="shared" si="32"/>
        <v>0</v>
      </c>
      <c r="O177" s="266"/>
      <c r="P177" s="266" t="s">
        <v>2678</v>
      </c>
      <c r="Q177" s="341">
        <f t="shared" si="33"/>
        <v>28</v>
      </c>
      <c r="R177" s="342">
        <f>WORKDAY(J177,7,'Public Holiday'!$A$2:$A$46)</f>
        <v>46079</v>
      </c>
      <c r="S177" s="343">
        <v>0</v>
      </c>
      <c r="T177" s="273">
        <f t="shared" si="34"/>
        <v>0</v>
      </c>
      <c r="U177" s="494" t="s">
        <v>3400</v>
      </c>
    </row>
    <row r="178" spans="1:21" ht="54" x14ac:dyDescent="0.25">
      <c r="A178" s="266">
        <v>15</v>
      </c>
      <c r="B178" s="268" t="s">
        <v>1660</v>
      </c>
      <c r="C178" s="268" t="s">
        <v>1995</v>
      </c>
      <c r="D178" s="268">
        <v>4300</v>
      </c>
      <c r="E178" s="268" t="s">
        <v>3200</v>
      </c>
      <c r="F178" s="268" t="s">
        <v>3193</v>
      </c>
      <c r="G178" s="268" t="s">
        <v>3201</v>
      </c>
      <c r="H178" s="268" t="s">
        <v>2677</v>
      </c>
      <c r="I178" s="397" t="s">
        <v>3043</v>
      </c>
      <c r="J178" s="278">
        <v>46076</v>
      </c>
      <c r="K178" s="488">
        <v>46084</v>
      </c>
      <c r="L178" s="273">
        <f t="shared" ref="L178:L189" si="35">IF(D178&gt;44999.99,100,ROUNDUP((D178/4999.99)*10,-1))</f>
        <v>10</v>
      </c>
      <c r="M178" s="266" t="s">
        <v>2678</v>
      </c>
      <c r="N178" s="340">
        <f t="shared" ref="N178:N189" si="36">IF(M178="Y",L178,0)</f>
        <v>0</v>
      </c>
      <c r="O178" s="266"/>
      <c r="P178" s="266" t="s">
        <v>2678</v>
      </c>
      <c r="Q178" s="341">
        <f t="shared" ref="Q178:Q189" si="37">K178-J178+1</f>
        <v>9</v>
      </c>
      <c r="R178" s="342">
        <f>WORKDAY(J178,7,'Public Holiday'!$A$2:$A$46)</f>
        <v>46085</v>
      </c>
      <c r="S178" s="343">
        <v>0</v>
      </c>
      <c r="T178" s="273">
        <f t="shared" ref="T178:T189" si="38">L178*S178</f>
        <v>0</v>
      </c>
      <c r="U178" s="330" t="s">
        <v>3400</v>
      </c>
    </row>
    <row r="179" spans="1:21" ht="36" x14ac:dyDescent="0.25">
      <c r="A179" s="266">
        <v>16</v>
      </c>
      <c r="B179" s="268" t="s">
        <v>1694</v>
      </c>
      <c r="C179" s="268" t="s">
        <v>1995</v>
      </c>
      <c r="D179" s="268">
        <v>4300</v>
      </c>
      <c r="E179" s="268" t="s">
        <v>3202</v>
      </c>
      <c r="F179" s="268" t="s">
        <v>3118</v>
      </c>
      <c r="G179" s="268" t="s">
        <v>3203</v>
      </c>
      <c r="H179" s="268" t="s">
        <v>2677</v>
      </c>
      <c r="I179" s="397" t="s">
        <v>3000</v>
      </c>
      <c r="J179" s="278">
        <v>46076</v>
      </c>
      <c r="K179" s="488">
        <v>46084</v>
      </c>
      <c r="L179" s="273">
        <f t="shared" si="35"/>
        <v>10</v>
      </c>
      <c r="M179" s="266" t="s">
        <v>2678</v>
      </c>
      <c r="N179" s="340">
        <f t="shared" si="36"/>
        <v>0</v>
      </c>
      <c r="O179" s="266"/>
      <c r="P179" s="266" t="s">
        <v>2678</v>
      </c>
      <c r="Q179" s="341">
        <f t="shared" si="37"/>
        <v>9</v>
      </c>
      <c r="R179" s="342">
        <f>WORKDAY(J179,7,'Public Holiday'!$A$2:$A$46)</f>
        <v>46085</v>
      </c>
      <c r="S179" s="343">
        <v>0</v>
      </c>
      <c r="T179" s="273">
        <f t="shared" si="38"/>
        <v>0</v>
      </c>
      <c r="U179" s="330" t="s">
        <v>3400</v>
      </c>
    </row>
    <row r="180" spans="1:21" ht="108" x14ac:dyDescent="0.25">
      <c r="A180" s="266">
        <v>17</v>
      </c>
      <c r="B180" s="268" t="s">
        <v>2256</v>
      </c>
      <c r="C180" s="268" t="s">
        <v>2399</v>
      </c>
      <c r="D180" s="268">
        <v>13000</v>
      </c>
      <c r="E180" s="268" t="s">
        <v>3220</v>
      </c>
      <c r="F180" s="268" t="s">
        <v>3134</v>
      </c>
      <c r="G180" s="268" t="s">
        <v>3221</v>
      </c>
      <c r="H180" s="268" t="s">
        <v>2677</v>
      </c>
      <c r="I180" s="397" t="s">
        <v>3004</v>
      </c>
      <c r="J180" s="278">
        <v>46080</v>
      </c>
      <c r="K180" s="488">
        <v>46096</v>
      </c>
      <c r="L180" s="273">
        <f t="shared" si="35"/>
        <v>30</v>
      </c>
      <c r="M180" s="266" t="s">
        <v>2678</v>
      </c>
      <c r="N180" s="340">
        <f t="shared" si="36"/>
        <v>0</v>
      </c>
      <c r="O180" s="266"/>
      <c r="P180" s="266" t="s">
        <v>2678</v>
      </c>
      <c r="Q180" s="341">
        <f t="shared" si="37"/>
        <v>17</v>
      </c>
      <c r="R180" s="342">
        <f>WORKDAY(J180,7,'Public Holiday'!$A$2:$A$46)</f>
        <v>46091</v>
      </c>
      <c r="S180" s="343">
        <v>0</v>
      </c>
      <c r="T180" s="273">
        <f t="shared" si="38"/>
        <v>0</v>
      </c>
      <c r="U180" s="330" t="s">
        <v>3400</v>
      </c>
    </row>
    <row r="181" spans="1:21" ht="54" x14ac:dyDescent="0.25">
      <c r="A181" s="266">
        <v>18</v>
      </c>
      <c r="B181" s="268" t="s">
        <v>3018</v>
      </c>
      <c r="C181" s="335" t="s">
        <v>3060</v>
      </c>
      <c r="D181" s="268">
        <v>7100</v>
      </c>
      <c r="E181" s="267" t="s">
        <v>2950</v>
      </c>
      <c r="F181" s="268" t="s">
        <v>2988</v>
      </c>
      <c r="G181" s="267" t="s">
        <v>2959</v>
      </c>
      <c r="H181" s="267" t="s">
        <v>2677</v>
      </c>
      <c r="I181" s="339" t="s">
        <v>3050</v>
      </c>
      <c r="J181" s="265">
        <v>46034</v>
      </c>
      <c r="K181" s="493">
        <v>46082</v>
      </c>
      <c r="L181" s="273">
        <f>IF(D181&gt;44999.99,100,ROUNDUP((D181/4999.99)*10,-1))</f>
        <v>20</v>
      </c>
      <c r="M181" s="337" t="s">
        <v>2678</v>
      </c>
      <c r="N181" s="340">
        <f>IF(M181="Y",L181,0)</f>
        <v>0</v>
      </c>
      <c r="O181" s="266"/>
      <c r="P181" s="337" t="s">
        <v>2678</v>
      </c>
      <c r="Q181" s="344">
        <f>K181-J181+1</f>
        <v>49</v>
      </c>
      <c r="R181" s="345">
        <f>WORKDAY(J181,7,'Public Holiday'!$A$2:$A$46)</f>
        <v>46043</v>
      </c>
      <c r="S181" s="346">
        <v>0</v>
      </c>
      <c r="T181" s="273">
        <f>L181*S181</f>
        <v>0</v>
      </c>
      <c r="U181" s="330" t="s">
        <v>3400</v>
      </c>
    </row>
    <row r="182" spans="1:21" ht="72" x14ac:dyDescent="0.25">
      <c r="A182" s="266">
        <v>19</v>
      </c>
      <c r="B182" s="268" t="s">
        <v>49</v>
      </c>
      <c r="C182" s="268" t="s">
        <v>3021</v>
      </c>
      <c r="D182" s="268">
        <v>67000</v>
      </c>
      <c r="E182" s="267" t="s">
        <v>2948</v>
      </c>
      <c r="F182" s="268" t="s">
        <v>3022</v>
      </c>
      <c r="G182" s="267" t="s">
        <v>2961</v>
      </c>
      <c r="H182" s="267" t="s">
        <v>2677</v>
      </c>
      <c r="I182" s="350" t="s">
        <v>2991</v>
      </c>
      <c r="J182" s="265">
        <v>46036</v>
      </c>
      <c r="K182" s="393">
        <v>46108</v>
      </c>
      <c r="L182" s="273">
        <f t="shared" si="35"/>
        <v>100</v>
      </c>
      <c r="M182" s="337" t="s">
        <v>2678</v>
      </c>
      <c r="N182" s="340">
        <f t="shared" si="36"/>
        <v>0</v>
      </c>
      <c r="O182" s="266"/>
      <c r="P182" s="337" t="s">
        <v>2678</v>
      </c>
      <c r="Q182" s="344">
        <f t="shared" si="37"/>
        <v>73</v>
      </c>
      <c r="R182" s="345">
        <f>WORKDAY(J182,6,'Public Holiday'!$A$2:$A$46)</f>
        <v>46044</v>
      </c>
      <c r="S182" s="346">
        <v>0</v>
      </c>
      <c r="T182" s="273">
        <f t="shared" si="38"/>
        <v>0</v>
      </c>
      <c r="U182" s="330" t="s">
        <v>3400</v>
      </c>
    </row>
    <row r="183" spans="1:21" ht="54" x14ac:dyDescent="0.25">
      <c r="A183" s="266">
        <v>20</v>
      </c>
      <c r="B183" s="268" t="s">
        <v>2705</v>
      </c>
      <c r="C183" s="268" t="s">
        <v>2706</v>
      </c>
      <c r="D183" s="268">
        <v>137000</v>
      </c>
      <c r="E183" s="267" t="s">
        <v>2947</v>
      </c>
      <c r="F183" s="268" t="s">
        <v>2988</v>
      </c>
      <c r="G183" s="267" t="s">
        <v>2962</v>
      </c>
      <c r="H183" s="267" t="s">
        <v>2677</v>
      </c>
      <c r="I183" s="339" t="s">
        <v>3011</v>
      </c>
      <c r="J183" s="265">
        <v>46037</v>
      </c>
      <c r="K183" s="393">
        <v>46097</v>
      </c>
      <c r="L183" s="273">
        <f t="shared" si="35"/>
        <v>100</v>
      </c>
      <c r="M183" s="337" t="s">
        <v>2678</v>
      </c>
      <c r="N183" s="340">
        <f t="shared" si="36"/>
        <v>0</v>
      </c>
      <c r="O183" s="266"/>
      <c r="P183" s="337" t="s">
        <v>2687</v>
      </c>
      <c r="Q183" s="344">
        <f t="shared" si="37"/>
        <v>61</v>
      </c>
      <c r="R183" s="345">
        <f>WORKDAY(J183,6,'Public Holiday'!$A$2:$A$46)</f>
        <v>46045</v>
      </c>
      <c r="S183" s="346">
        <v>0</v>
      </c>
      <c r="T183" s="273">
        <f t="shared" si="38"/>
        <v>0</v>
      </c>
      <c r="U183" s="330" t="s">
        <v>3400</v>
      </c>
    </row>
    <row r="184" spans="1:21" ht="54" x14ac:dyDescent="0.25">
      <c r="A184" s="266">
        <v>21</v>
      </c>
      <c r="B184" s="268" t="s">
        <v>1720</v>
      </c>
      <c r="C184" s="268" t="s">
        <v>1995</v>
      </c>
      <c r="D184" s="268">
        <v>4300</v>
      </c>
      <c r="E184" s="267" t="s">
        <v>2946</v>
      </c>
      <c r="F184" s="268" t="s">
        <v>2988</v>
      </c>
      <c r="G184" s="267" t="s">
        <v>2963</v>
      </c>
      <c r="H184" s="267" t="s">
        <v>2677</v>
      </c>
      <c r="I184" s="339" t="s">
        <v>3052</v>
      </c>
      <c r="J184" s="265">
        <v>46040</v>
      </c>
      <c r="K184" s="393">
        <v>46098</v>
      </c>
      <c r="L184" s="273">
        <f t="shared" si="35"/>
        <v>10</v>
      </c>
      <c r="M184" s="337" t="s">
        <v>2678</v>
      </c>
      <c r="N184" s="340">
        <f t="shared" si="36"/>
        <v>0</v>
      </c>
      <c r="O184" s="266"/>
      <c r="P184" s="337" t="s">
        <v>2687</v>
      </c>
      <c r="Q184" s="344">
        <f t="shared" si="37"/>
        <v>59</v>
      </c>
      <c r="R184" s="345">
        <f>WORKDAY(J184,6,'Public Holiday'!$A$2:$A$46)</f>
        <v>46048</v>
      </c>
      <c r="S184" s="346">
        <v>0</v>
      </c>
      <c r="T184" s="273">
        <f t="shared" si="38"/>
        <v>0</v>
      </c>
      <c r="U184" s="330" t="s">
        <v>3400</v>
      </c>
    </row>
    <row r="185" spans="1:21" ht="54" x14ac:dyDescent="0.25">
      <c r="A185" s="266">
        <v>22</v>
      </c>
      <c r="B185" s="334" t="s">
        <v>1900</v>
      </c>
      <c r="C185" s="268" t="s">
        <v>3045</v>
      </c>
      <c r="D185" s="268">
        <v>2700</v>
      </c>
      <c r="E185" s="267" t="s">
        <v>2942</v>
      </c>
      <c r="F185" s="266" t="s">
        <v>3049</v>
      </c>
      <c r="G185" s="267" t="s">
        <v>2967</v>
      </c>
      <c r="H185" s="267" t="s">
        <v>2677</v>
      </c>
      <c r="I185" s="339" t="s">
        <v>3011</v>
      </c>
      <c r="J185" s="265">
        <v>46041</v>
      </c>
      <c r="K185" s="493">
        <v>46111</v>
      </c>
      <c r="L185" s="273">
        <f>IF(D185&gt;44999.99,100,ROUNDUP((D185/4999.99)*10,-1))</f>
        <v>10</v>
      </c>
      <c r="M185" s="337" t="s">
        <v>2678</v>
      </c>
      <c r="N185" s="340">
        <f>IF(M185="Y",L185,0)</f>
        <v>0</v>
      </c>
      <c r="O185" s="266"/>
      <c r="P185" s="337" t="s">
        <v>2687</v>
      </c>
      <c r="Q185" s="344">
        <f>K185-J185+1</f>
        <v>71</v>
      </c>
      <c r="R185" s="345">
        <f>WORKDAY(J185,6,'Public Holiday'!$A$2:$A$46)</f>
        <v>46049</v>
      </c>
      <c r="S185" s="346">
        <v>0</v>
      </c>
      <c r="T185" s="273">
        <f>L185*S185</f>
        <v>0</v>
      </c>
      <c r="U185" s="330" t="s">
        <v>3400</v>
      </c>
    </row>
    <row r="186" spans="1:21" ht="126" x14ac:dyDescent="0.25">
      <c r="A186" s="266">
        <v>23</v>
      </c>
      <c r="B186" s="268" t="s">
        <v>2686</v>
      </c>
      <c r="C186" s="268" t="s">
        <v>2222</v>
      </c>
      <c r="D186" s="268">
        <v>80900</v>
      </c>
      <c r="E186" s="267" t="s">
        <v>2945</v>
      </c>
      <c r="F186" s="268" t="s">
        <v>2985</v>
      </c>
      <c r="G186" s="267" t="s">
        <v>2964</v>
      </c>
      <c r="H186" s="267" t="s">
        <v>2677</v>
      </c>
      <c r="I186" s="339" t="s">
        <v>3012</v>
      </c>
      <c r="J186" s="265">
        <v>46041</v>
      </c>
      <c r="K186" s="393">
        <v>46097</v>
      </c>
      <c r="L186" s="273">
        <f t="shared" si="35"/>
        <v>100</v>
      </c>
      <c r="M186" s="337" t="s">
        <v>2678</v>
      </c>
      <c r="N186" s="340">
        <f t="shared" si="36"/>
        <v>0</v>
      </c>
      <c r="O186" s="266"/>
      <c r="P186" s="337" t="s">
        <v>2687</v>
      </c>
      <c r="Q186" s="344">
        <f t="shared" si="37"/>
        <v>57</v>
      </c>
      <c r="R186" s="345">
        <f>WORKDAY(J186,6,'Public Holiday'!$A$2:$A$46)</f>
        <v>46049</v>
      </c>
      <c r="S186" s="346">
        <v>0</v>
      </c>
      <c r="T186" s="273">
        <f t="shared" si="38"/>
        <v>0</v>
      </c>
      <c r="U186" s="330" t="s">
        <v>3400</v>
      </c>
    </row>
    <row r="187" spans="1:21" ht="108" x14ac:dyDescent="0.25">
      <c r="A187" s="266">
        <v>24</v>
      </c>
      <c r="B187" s="268" t="str">
        <f>VLOOKUP(E:E,[1]CM!B:M,12,FALSE)</f>
        <v>KKM/JKN/HSA/10-05-01/H/15/5043</v>
      </c>
      <c r="C187" s="268" t="str">
        <f>VLOOKUP(B:B,'[3]SCHEDULE PPM 2026'!$D:$E,2,FALSE)</f>
        <v>ECG (EKG) MACHINE</v>
      </c>
      <c r="D187" s="268">
        <f>VLOOKUP(B:B,'[2]BEMS EQUIPMENT '!$E:$Q,13,FALSE)</f>
        <v>2750</v>
      </c>
      <c r="E187" s="267" t="s">
        <v>3040</v>
      </c>
      <c r="F187" s="268" t="str">
        <f>VLOOKUP(B:B,'[3]SCHEDULE PPM 2026'!$D:$O,12,FALSE)</f>
        <v>LEVEL 6 (Wad Multidisiplin Perempuan)</v>
      </c>
      <c r="G187" s="267" t="s">
        <v>3041</v>
      </c>
      <c r="H187" s="267" t="s">
        <v>2677</v>
      </c>
      <c r="I187" s="339" t="s">
        <v>3001</v>
      </c>
      <c r="J187" s="347">
        <v>46052</v>
      </c>
      <c r="K187" s="393">
        <v>46085</v>
      </c>
      <c r="L187" s="273">
        <f t="shared" si="35"/>
        <v>10</v>
      </c>
      <c r="M187" s="337" t="s">
        <v>2678</v>
      </c>
      <c r="N187" s="340">
        <f t="shared" si="36"/>
        <v>0</v>
      </c>
      <c r="O187" s="266"/>
      <c r="P187" s="266" t="s">
        <v>2678</v>
      </c>
      <c r="Q187" s="341">
        <f t="shared" si="37"/>
        <v>34</v>
      </c>
      <c r="R187" s="342">
        <f>WORKDAY(J187,7,'Public Holiday'!$A$2:$A$46)</f>
        <v>46063</v>
      </c>
      <c r="S187" s="343">
        <v>0</v>
      </c>
      <c r="T187" s="273">
        <f t="shared" si="38"/>
        <v>0</v>
      </c>
      <c r="U187" s="330" t="s">
        <v>3400</v>
      </c>
    </row>
    <row r="188" spans="1:21" s="505" customFormat="1" ht="90" x14ac:dyDescent="0.25">
      <c r="A188" s="266">
        <v>25</v>
      </c>
      <c r="B188" s="401" t="s">
        <v>1488</v>
      </c>
      <c r="C188" s="401" t="s">
        <v>2310</v>
      </c>
      <c r="D188" s="401">
        <v>36300</v>
      </c>
      <c r="E188" s="500" t="s">
        <v>2934</v>
      </c>
      <c r="F188" s="401" t="s">
        <v>3030</v>
      </c>
      <c r="G188" s="500" t="s">
        <v>2975</v>
      </c>
      <c r="H188" s="500" t="s">
        <v>2677</v>
      </c>
      <c r="I188" s="506" t="s">
        <v>3009</v>
      </c>
      <c r="J188" s="502">
        <v>46048</v>
      </c>
      <c r="K188" s="491">
        <v>46105</v>
      </c>
      <c r="L188" s="507">
        <f>IF(D188&gt;44999.99,100,ROUNDUP((D188/4999.99)*10,-1))</f>
        <v>80</v>
      </c>
      <c r="M188" s="490" t="s">
        <v>2678</v>
      </c>
      <c r="N188" s="503">
        <f>IF(M188="Y",L188,0)</f>
        <v>0</v>
      </c>
      <c r="O188" s="499"/>
      <c r="P188" s="499" t="s">
        <v>2678</v>
      </c>
      <c r="Q188" s="508">
        <f>K188-J188+1</f>
        <v>58</v>
      </c>
      <c r="R188" s="509">
        <f>WORKDAY(J188,6,'Public Holiday'!$A$2:$A$46)</f>
        <v>46056</v>
      </c>
      <c r="S188" s="504">
        <v>0</v>
      </c>
      <c r="T188" s="507">
        <f>L188*S188</f>
        <v>0</v>
      </c>
      <c r="U188" s="494" t="s">
        <v>3400</v>
      </c>
    </row>
    <row r="189" spans="1:21" ht="54" x14ac:dyDescent="0.25">
      <c r="A189" s="266">
        <v>26</v>
      </c>
      <c r="B189" s="268" t="s">
        <v>2256</v>
      </c>
      <c r="C189" s="268" t="s">
        <v>466</v>
      </c>
      <c r="D189" s="268">
        <v>6000</v>
      </c>
      <c r="E189" s="268" t="s">
        <v>3174</v>
      </c>
      <c r="F189" s="268" t="s">
        <v>3134</v>
      </c>
      <c r="G189" s="268" t="s">
        <v>3175</v>
      </c>
      <c r="H189" s="268" t="s">
        <v>2677</v>
      </c>
      <c r="I189" s="397" t="s">
        <v>4797</v>
      </c>
      <c r="J189" s="278">
        <v>46065</v>
      </c>
      <c r="K189" s="492">
        <v>46093</v>
      </c>
      <c r="L189" s="273">
        <f t="shared" si="35"/>
        <v>20</v>
      </c>
      <c r="M189" s="266" t="s">
        <v>2678</v>
      </c>
      <c r="N189" s="340">
        <f t="shared" si="36"/>
        <v>0</v>
      </c>
      <c r="O189" s="266"/>
      <c r="P189" s="266" t="s">
        <v>2678</v>
      </c>
      <c r="Q189" s="341">
        <f t="shared" si="37"/>
        <v>29</v>
      </c>
      <c r="R189" s="342">
        <f>WORKDAY(J189,7,'Public Holiday'!$A$2:$A$46)</f>
        <v>46078</v>
      </c>
      <c r="S189" s="343">
        <v>0</v>
      </c>
      <c r="T189" s="273">
        <f t="shared" si="38"/>
        <v>0</v>
      </c>
      <c r="U189" s="330" t="s">
        <v>3400</v>
      </c>
    </row>
    <row r="190" spans="1:21" ht="18" x14ac:dyDescent="0.25">
      <c r="A190" s="620" t="s">
        <v>3225</v>
      </c>
      <c r="B190" s="621"/>
      <c r="C190" s="621"/>
      <c r="D190" s="621"/>
      <c r="E190" s="621"/>
      <c r="F190" s="621"/>
      <c r="G190" s="621"/>
      <c r="H190" s="621"/>
      <c r="I190" s="621"/>
      <c r="J190" s="621"/>
      <c r="K190" s="621"/>
      <c r="L190" s="621"/>
      <c r="M190" s="621"/>
      <c r="N190" s="621"/>
      <c r="O190" s="621"/>
      <c r="P190" s="621"/>
      <c r="Q190" s="621"/>
      <c r="R190" s="621"/>
      <c r="S190" s="621"/>
      <c r="T190" s="621"/>
      <c r="U190" s="621"/>
    </row>
    <row r="191" spans="1:21" ht="54" x14ac:dyDescent="0.25">
      <c r="A191" s="337">
        <v>1</v>
      </c>
      <c r="B191" s="268" t="s">
        <v>3141</v>
      </c>
      <c r="C191" s="268" t="s">
        <v>3142</v>
      </c>
      <c r="D191" s="268">
        <v>94900.44</v>
      </c>
      <c r="E191" s="268" t="s">
        <v>3143</v>
      </c>
      <c r="F191" s="268" t="s">
        <v>3144</v>
      </c>
      <c r="G191" s="268" t="s">
        <v>3145</v>
      </c>
      <c r="H191" s="268" t="s">
        <v>2677</v>
      </c>
      <c r="I191" s="397" t="s">
        <v>3013</v>
      </c>
      <c r="J191" s="278">
        <v>46056</v>
      </c>
      <c r="K191" s="398">
        <v>46112</v>
      </c>
      <c r="L191" s="273">
        <f t="shared" ref="L191:L212" si="39">IF(D191&gt;44999.99,100,ROUNDUP((D191/4999.99)*10,-1))</f>
        <v>100</v>
      </c>
      <c r="M191" s="266" t="s">
        <v>2678</v>
      </c>
      <c r="N191" s="340">
        <f t="shared" ref="N191:N212" si="40">IF(M191="Y",L191,0)</f>
        <v>0</v>
      </c>
      <c r="O191" s="266"/>
      <c r="P191" s="266" t="s">
        <v>2678</v>
      </c>
      <c r="Q191" s="341">
        <f t="shared" ref="Q191:Q212" si="41">K191-J191+1</f>
        <v>57</v>
      </c>
      <c r="R191" s="342">
        <f>WORKDAY(J191,7,'Public Holiday'!$A$2:$A$46)</f>
        <v>46065</v>
      </c>
      <c r="S191" s="343">
        <v>0</v>
      </c>
      <c r="T191" s="273">
        <f t="shared" ref="T191" si="42">L191*S191</f>
        <v>0</v>
      </c>
      <c r="U191" s="330" t="s">
        <v>4902</v>
      </c>
    </row>
    <row r="192" spans="1:21" ht="72" x14ac:dyDescent="0.25">
      <c r="A192" s="337">
        <v>2</v>
      </c>
      <c r="B192" s="268" t="s">
        <v>3222</v>
      </c>
      <c r="C192" s="395" t="s">
        <v>3224</v>
      </c>
      <c r="D192" s="268">
        <v>24700</v>
      </c>
      <c r="E192" s="268" t="s">
        <v>3149</v>
      </c>
      <c r="F192" s="268" t="s">
        <v>3114</v>
      </c>
      <c r="G192" s="268" t="s">
        <v>3150</v>
      </c>
      <c r="H192" s="268" t="s">
        <v>2677</v>
      </c>
      <c r="I192" s="397" t="s">
        <v>2999</v>
      </c>
      <c r="J192" s="278">
        <v>46057</v>
      </c>
      <c r="K192" s="398">
        <v>46112</v>
      </c>
      <c r="L192" s="273">
        <f t="shared" si="39"/>
        <v>50</v>
      </c>
      <c r="M192" s="266" t="s">
        <v>2678</v>
      </c>
      <c r="N192" s="340">
        <f t="shared" si="40"/>
        <v>0</v>
      </c>
      <c r="O192" s="266"/>
      <c r="P192" s="266" t="s">
        <v>2678</v>
      </c>
      <c r="Q192" s="341">
        <f t="shared" si="41"/>
        <v>56</v>
      </c>
      <c r="R192" s="342">
        <f>WORKDAY(J192,7,'Public Holiday'!$A$2:$A$46)</f>
        <v>46066</v>
      </c>
      <c r="S192" s="343">
        <v>13</v>
      </c>
      <c r="T192" s="273">
        <f>L192*S192</f>
        <v>650</v>
      </c>
      <c r="U192" s="330" t="s">
        <v>4879</v>
      </c>
    </row>
    <row r="193" spans="1:21" ht="72" x14ac:dyDescent="0.25">
      <c r="A193" s="337">
        <v>3</v>
      </c>
      <c r="B193" s="268" t="s">
        <v>2744</v>
      </c>
      <c r="C193" s="268" t="s">
        <v>3104</v>
      </c>
      <c r="D193" s="268">
        <v>2400</v>
      </c>
      <c r="E193" s="268" t="s">
        <v>3151</v>
      </c>
      <c r="F193" s="268" t="s">
        <v>3152</v>
      </c>
      <c r="G193" s="268" t="s">
        <v>3153</v>
      </c>
      <c r="H193" s="268" t="s">
        <v>2677</v>
      </c>
      <c r="I193" s="397" t="s">
        <v>3007</v>
      </c>
      <c r="J193" s="278">
        <v>46057</v>
      </c>
      <c r="K193" s="398">
        <v>46112</v>
      </c>
      <c r="L193" s="273">
        <f t="shared" si="39"/>
        <v>10</v>
      </c>
      <c r="M193" s="266" t="s">
        <v>2678</v>
      </c>
      <c r="N193" s="340">
        <f t="shared" si="40"/>
        <v>0</v>
      </c>
      <c r="O193" s="266"/>
      <c r="P193" s="266" t="s">
        <v>2678</v>
      </c>
      <c r="Q193" s="341">
        <f t="shared" si="41"/>
        <v>56</v>
      </c>
      <c r="R193" s="342">
        <f>WORKDAY(J193,7,'Public Holiday'!$A$2:$A$46)</f>
        <v>46066</v>
      </c>
      <c r="S193" s="343">
        <v>0</v>
      </c>
      <c r="T193" s="273">
        <f t="shared" ref="T193:T212" si="43">L193*S193</f>
        <v>0</v>
      </c>
      <c r="U193" s="330" t="s">
        <v>4904</v>
      </c>
    </row>
    <row r="194" spans="1:21" ht="54" x14ac:dyDescent="0.25">
      <c r="A194" s="337">
        <v>4</v>
      </c>
      <c r="B194" s="268" t="s">
        <v>2128</v>
      </c>
      <c r="C194" s="268" t="s">
        <v>1998</v>
      </c>
      <c r="D194" s="268">
        <v>7245</v>
      </c>
      <c r="E194" s="268" t="s">
        <v>3154</v>
      </c>
      <c r="F194" s="268" t="s">
        <v>3127</v>
      </c>
      <c r="G194" s="268" t="s">
        <v>3155</v>
      </c>
      <c r="H194" s="268" t="s">
        <v>2677</v>
      </c>
      <c r="I194" s="397" t="s">
        <v>3124</v>
      </c>
      <c r="J194" s="278">
        <v>46059</v>
      </c>
      <c r="K194" s="398">
        <v>46112</v>
      </c>
      <c r="L194" s="273">
        <f t="shared" si="39"/>
        <v>20</v>
      </c>
      <c r="M194" s="266" t="s">
        <v>2678</v>
      </c>
      <c r="N194" s="340">
        <f t="shared" si="40"/>
        <v>0</v>
      </c>
      <c r="O194" s="266"/>
      <c r="P194" s="266" t="s">
        <v>2678</v>
      </c>
      <c r="Q194" s="341">
        <f t="shared" si="41"/>
        <v>54</v>
      </c>
      <c r="R194" s="342">
        <f>WORKDAY(J194,7,'Public Holiday'!$A$2:$A$46)</f>
        <v>46072</v>
      </c>
      <c r="S194" s="343">
        <v>0</v>
      </c>
      <c r="T194" s="273">
        <f t="shared" si="43"/>
        <v>0</v>
      </c>
      <c r="U194" s="330" t="s">
        <v>4903</v>
      </c>
    </row>
    <row r="195" spans="1:21" ht="54" x14ac:dyDescent="0.25">
      <c r="A195" s="337">
        <v>5</v>
      </c>
      <c r="B195" s="268" t="s">
        <v>2327</v>
      </c>
      <c r="C195" s="268" t="s">
        <v>2039</v>
      </c>
      <c r="D195" s="268">
        <v>6500</v>
      </c>
      <c r="E195" s="268" t="s">
        <v>3156</v>
      </c>
      <c r="F195" s="268" t="s">
        <v>3112</v>
      </c>
      <c r="G195" s="268" t="s">
        <v>3157</v>
      </c>
      <c r="H195" s="268" t="s">
        <v>2677</v>
      </c>
      <c r="I195" s="397" t="s">
        <v>3000</v>
      </c>
      <c r="J195" s="278">
        <v>46059</v>
      </c>
      <c r="K195" s="398">
        <v>46112</v>
      </c>
      <c r="L195" s="273">
        <f t="shared" si="39"/>
        <v>20</v>
      </c>
      <c r="M195" s="266" t="s">
        <v>2678</v>
      </c>
      <c r="N195" s="340">
        <f t="shared" si="40"/>
        <v>0</v>
      </c>
      <c r="O195" s="266"/>
      <c r="P195" s="266" t="s">
        <v>2678</v>
      </c>
      <c r="Q195" s="341">
        <f t="shared" si="41"/>
        <v>54</v>
      </c>
      <c r="R195" s="342">
        <f>WORKDAY(J195,7,'Public Holiday'!$A$2:$A$46)</f>
        <v>46072</v>
      </c>
      <c r="S195" s="343">
        <v>13</v>
      </c>
      <c r="T195" s="273">
        <f t="shared" si="43"/>
        <v>260</v>
      </c>
      <c r="U195" s="330" t="s">
        <v>4880</v>
      </c>
    </row>
    <row r="196" spans="1:21" ht="36" x14ac:dyDescent="0.25">
      <c r="A196" s="337">
        <v>6</v>
      </c>
      <c r="B196" s="268" t="s">
        <v>177</v>
      </c>
      <c r="C196" s="268" t="s">
        <v>3406</v>
      </c>
      <c r="D196" s="268">
        <v>82550</v>
      </c>
      <c r="E196" s="268" t="s">
        <v>3160</v>
      </c>
      <c r="F196" s="268" t="s">
        <v>3114</v>
      </c>
      <c r="G196" s="268" t="s">
        <v>3161</v>
      </c>
      <c r="H196" s="268" t="s">
        <v>2677</v>
      </c>
      <c r="I196" s="397" t="s">
        <v>3000</v>
      </c>
      <c r="J196" s="278">
        <v>46060</v>
      </c>
      <c r="K196" s="398">
        <v>46112</v>
      </c>
      <c r="L196" s="273">
        <f t="shared" si="39"/>
        <v>100</v>
      </c>
      <c r="M196" s="266" t="s">
        <v>2678</v>
      </c>
      <c r="N196" s="340">
        <f t="shared" si="40"/>
        <v>0</v>
      </c>
      <c r="O196" s="266"/>
      <c r="P196" s="266" t="s">
        <v>2678</v>
      </c>
      <c r="Q196" s="341">
        <f t="shared" si="41"/>
        <v>53</v>
      </c>
      <c r="R196" s="342">
        <f>WORKDAY(J196,7,'Public Holiday'!$A$2:$A$46)</f>
        <v>46072</v>
      </c>
      <c r="S196" s="343">
        <v>0</v>
      </c>
      <c r="T196" s="273">
        <f t="shared" si="43"/>
        <v>0</v>
      </c>
      <c r="U196" s="330" t="s">
        <v>4135</v>
      </c>
    </row>
    <row r="197" spans="1:21" ht="72" x14ac:dyDescent="0.25">
      <c r="A197" s="337">
        <v>7</v>
      </c>
      <c r="B197" s="268" t="s">
        <v>3162</v>
      </c>
      <c r="C197" s="268" t="s">
        <v>2228</v>
      </c>
      <c r="D197" s="268">
        <v>11396</v>
      </c>
      <c r="E197" s="268" t="s">
        <v>3163</v>
      </c>
      <c r="F197" s="268" t="s">
        <v>3114</v>
      </c>
      <c r="G197" s="268" t="s">
        <v>3164</v>
      </c>
      <c r="H197" s="268" t="s">
        <v>2677</v>
      </c>
      <c r="I197" s="397" t="s">
        <v>2997</v>
      </c>
      <c r="J197" s="278">
        <v>46060</v>
      </c>
      <c r="K197" s="398">
        <v>46112</v>
      </c>
      <c r="L197" s="273">
        <f t="shared" si="39"/>
        <v>30</v>
      </c>
      <c r="M197" s="266" t="s">
        <v>2678</v>
      </c>
      <c r="N197" s="340">
        <f t="shared" si="40"/>
        <v>0</v>
      </c>
      <c r="O197" s="266"/>
      <c r="P197" s="266" t="s">
        <v>2678</v>
      </c>
      <c r="Q197" s="341">
        <f t="shared" si="41"/>
        <v>53</v>
      </c>
      <c r="R197" s="342">
        <f>WORKDAY(J197,7,'Public Holiday'!$A$2:$A$46)</f>
        <v>46072</v>
      </c>
      <c r="S197" s="343">
        <v>0</v>
      </c>
      <c r="T197" s="273">
        <f t="shared" si="43"/>
        <v>0</v>
      </c>
      <c r="U197" s="330" t="s">
        <v>4905</v>
      </c>
    </row>
    <row r="198" spans="1:21" ht="54" x14ac:dyDescent="0.25">
      <c r="A198" s="337">
        <v>8</v>
      </c>
      <c r="B198" s="268" t="s">
        <v>3165</v>
      </c>
      <c r="C198" s="268" t="s">
        <v>1244</v>
      </c>
      <c r="D198" s="268">
        <v>2975</v>
      </c>
      <c r="E198" s="268" t="s">
        <v>3166</v>
      </c>
      <c r="F198" s="268" t="s">
        <v>3118</v>
      </c>
      <c r="G198" s="268" t="s">
        <v>3167</v>
      </c>
      <c r="H198" s="268" t="s">
        <v>2677</v>
      </c>
      <c r="I198" s="397" t="s">
        <v>3003</v>
      </c>
      <c r="J198" s="278">
        <v>46061</v>
      </c>
      <c r="K198" s="398">
        <v>46112</v>
      </c>
      <c r="L198" s="273">
        <f t="shared" si="39"/>
        <v>10</v>
      </c>
      <c r="M198" s="266" t="s">
        <v>2678</v>
      </c>
      <c r="N198" s="340">
        <f t="shared" si="40"/>
        <v>0</v>
      </c>
      <c r="O198" s="266"/>
      <c r="P198" s="266" t="s">
        <v>2678</v>
      </c>
      <c r="Q198" s="341">
        <f t="shared" si="41"/>
        <v>52</v>
      </c>
      <c r="R198" s="342">
        <f>WORKDAY(J198,7,'Public Holiday'!$A$2:$A$46)</f>
        <v>46072</v>
      </c>
      <c r="S198" s="343">
        <v>0</v>
      </c>
      <c r="T198" s="273">
        <f t="shared" si="43"/>
        <v>0</v>
      </c>
      <c r="U198" s="330" t="s">
        <v>4881</v>
      </c>
    </row>
    <row r="199" spans="1:21" ht="54" x14ac:dyDescent="0.25">
      <c r="A199" s="337">
        <v>9</v>
      </c>
      <c r="B199" s="268" t="s">
        <v>3168</v>
      </c>
      <c r="C199" s="268" t="s">
        <v>2386</v>
      </c>
      <c r="D199" s="268">
        <v>19266</v>
      </c>
      <c r="E199" s="268" t="s">
        <v>3169</v>
      </c>
      <c r="F199" s="268" t="s">
        <v>3133</v>
      </c>
      <c r="G199" s="268" t="s">
        <v>3170</v>
      </c>
      <c r="H199" s="268" t="s">
        <v>2677</v>
      </c>
      <c r="I199" s="397" t="s">
        <v>3000</v>
      </c>
      <c r="J199" s="278">
        <v>46062</v>
      </c>
      <c r="K199" s="398">
        <v>46112</v>
      </c>
      <c r="L199" s="273">
        <f t="shared" si="39"/>
        <v>40</v>
      </c>
      <c r="M199" s="266" t="s">
        <v>2678</v>
      </c>
      <c r="N199" s="340">
        <f t="shared" si="40"/>
        <v>0</v>
      </c>
      <c r="O199" s="266"/>
      <c r="P199" s="266" t="s">
        <v>2678</v>
      </c>
      <c r="Q199" s="341">
        <f t="shared" si="41"/>
        <v>51</v>
      </c>
      <c r="R199" s="342">
        <f>WORKDAY(J199,7,'Public Holiday'!$A$2:$A$46)</f>
        <v>46073</v>
      </c>
      <c r="S199" s="343">
        <v>0</v>
      </c>
      <c r="T199" s="273">
        <f t="shared" si="43"/>
        <v>0</v>
      </c>
      <c r="U199" s="330" t="s">
        <v>4882</v>
      </c>
    </row>
    <row r="200" spans="1:21" ht="54" x14ac:dyDescent="0.25">
      <c r="A200" s="337">
        <v>10</v>
      </c>
      <c r="B200" s="268" t="s">
        <v>3171</v>
      </c>
      <c r="C200" s="268" t="s">
        <v>302</v>
      </c>
      <c r="D200" s="268">
        <v>92700</v>
      </c>
      <c r="E200" s="268" t="s">
        <v>3172</v>
      </c>
      <c r="F200" s="268" t="s">
        <v>3112</v>
      </c>
      <c r="G200" s="268" t="s">
        <v>3173</v>
      </c>
      <c r="H200" s="268" t="s">
        <v>2677</v>
      </c>
      <c r="I200" s="397" t="s">
        <v>3011</v>
      </c>
      <c r="J200" s="278">
        <v>46064</v>
      </c>
      <c r="K200" s="398">
        <v>46112</v>
      </c>
      <c r="L200" s="273">
        <f t="shared" si="39"/>
        <v>100</v>
      </c>
      <c r="M200" s="266" t="s">
        <v>2678</v>
      </c>
      <c r="N200" s="340">
        <f t="shared" si="40"/>
        <v>0</v>
      </c>
      <c r="O200" s="266"/>
      <c r="P200" s="266" t="s">
        <v>2678</v>
      </c>
      <c r="Q200" s="341">
        <f t="shared" si="41"/>
        <v>49</v>
      </c>
      <c r="R200" s="342">
        <f>WORKDAY(J200,7,'Public Holiday'!$A$2:$A$46)</f>
        <v>46077</v>
      </c>
      <c r="S200" s="343">
        <v>0</v>
      </c>
      <c r="T200" s="273">
        <f t="shared" si="43"/>
        <v>0</v>
      </c>
      <c r="U200" s="330" t="s">
        <v>4883</v>
      </c>
    </row>
    <row r="201" spans="1:21" ht="54" x14ac:dyDescent="0.25">
      <c r="A201" s="337">
        <v>11</v>
      </c>
      <c r="B201" s="268" t="s">
        <v>3178</v>
      </c>
      <c r="C201" s="268" t="s">
        <v>2386</v>
      </c>
      <c r="D201" s="268">
        <v>19266</v>
      </c>
      <c r="E201" s="268" t="s">
        <v>3179</v>
      </c>
      <c r="F201" s="268" t="s">
        <v>3126</v>
      </c>
      <c r="G201" s="268" t="s">
        <v>3180</v>
      </c>
      <c r="H201" s="268" t="s">
        <v>2677</v>
      </c>
      <c r="I201" s="397" t="s">
        <v>3003</v>
      </c>
      <c r="J201" s="278">
        <v>46065</v>
      </c>
      <c r="K201" s="398">
        <v>46112</v>
      </c>
      <c r="L201" s="273">
        <f t="shared" si="39"/>
        <v>40</v>
      </c>
      <c r="M201" s="266" t="s">
        <v>2678</v>
      </c>
      <c r="N201" s="340">
        <f t="shared" si="40"/>
        <v>0</v>
      </c>
      <c r="O201" s="266"/>
      <c r="P201" s="266" t="s">
        <v>2678</v>
      </c>
      <c r="Q201" s="341">
        <f t="shared" si="41"/>
        <v>48</v>
      </c>
      <c r="R201" s="342">
        <f>WORKDAY(J201,7,'Public Holiday'!$A$2:$A$46)</f>
        <v>46078</v>
      </c>
      <c r="S201" s="343">
        <v>0</v>
      </c>
      <c r="T201" s="273">
        <f t="shared" si="43"/>
        <v>0</v>
      </c>
      <c r="U201" s="330" t="s">
        <v>4882</v>
      </c>
    </row>
    <row r="202" spans="1:21" ht="72" x14ac:dyDescent="0.25">
      <c r="A202" s="337">
        <v>12</v>
      </c>
      <c r="B202" s="268" t="s">
        <v>1483</v>
      </c>
      <c r="C202" s="268" t="s">
        <v>2310</v>
      </c>
      <c r="D202" s="268">
        <v>36300</v>
      </c>
      <c r="E202" s="268" t="s">
        <v>3183</v>
      </c>
      <c r="F202" s="268" t="s">
        <v>3109</v>
      </c>
      <c r="G202" s="268" t="s">
        <v>3184</v>
      </c>
      <c r="H202" s="268" t="s">
        <v>2677</v>
      </c>
      <c r="I202" s="397" t="s">
        <v>2995</v>
      </c>
      <c r="J202" s="278">
        <v>46066</v>
      </c>
      <c r="K202" s="398">
        <v>46112</v>
      </c>
      <c r="L202" s="273">
        <f t="shared" si="39"/>
        <v>80</v>
      </c>
      <c r="M202" s="266" t="s">
        <v>2678</v>
      </c>
      <c r="N202" s="340">
        <f t="shared" si="40"/>
        <v>0</v>
      </c>
      <c r="O202" s="266"/>
      <c r="P202" s="266" t="s">
        <v>2678</v>
      </c>
      <c r="Q202" s="341">
        <f t="shared" si="41"/>
        <v>47</v>
      </c>
      <c r="R202" s="342">
        <f>WORKDAY(J202,7,'Public Holiday'!$A$2:$A$46)</f>
        <v>46079</v>
      </c>
      <c r="S202" s="343">
        <v>13</v>
      </c>
      <c r="T202" s="273">
        <f t="shared" si="43"/>
        <v>1040</v>
      </c>
      <c r="U202" s="330"/>
    </row>
    <row r="203" spans="1:21" ht="54" x14ac:dyDescent="0.25">
      <c r="A203" s="337">
        <v>13</v>
      </c>
      <c r="B203" s="268" t="s">
        <v>743</v>
      </c>
      <c r="C203" s="268" t="s">
        <v>2336</v>
      </c>
      <c r="D203" s="268">
        <v>9000</v>
      </c>
      <c r="E203" s="268" t="s">
        <v>3185</v>
      </c>
      <c r="F203" s="268" t="s">
        <v>2385</v>
      </c>
      <c r="G203" s="268" t="s">
        <v>3186</v>
      </c>
      <c r="H203" s="268" t="s">
        <v>2677</v>
      </c>
      <c r="I203" s="397" t="s">
        <v>3011</v>
      </c>
      <c r="J203" s="278">
        <v>46068</v>
      </c>
      <c r="K203" s="398">
        <v>46112</v>
      </c>
      <c r="L203" s="273">
        <f t="shared" si="39"/>
        <v>20</v>
      </c>
      <c r="M203" s="266" t="s">
        <v>2678</v>
      </c>
      <c r="N203" s="340">
        <f t="shared" si="40"/>
        <v>0</v>
      </c>
      <c r="O203" s="266"/>
      <c r="P203" s="266" t="s">
        <v>2678</v>
      </c>
      <c r="Q203" s="341">
        <f t="shared" si="41"/>
        <v>45</v>
      </c>
      <c r="R203" s="342">
        <f>WORKDAY(J203,7,'Public Holiday'!$A$2:$A$46)</f>
        <v>46079</v>
      </c>
      <c r="S203" s="343">
        <v>0</v>
      </c>
      <c r="T203" s="273">
        <f t="shared" si="43"/>
        <v>0</v>
      </c>
      <c r="U203" s="330" t="s">
        <v>4907</v>
      </c>
    </row>
    <row r="204" spans="1:21" ht="54" x14ac:dyDescent="0.25">
      <c r="A204" s="337">
        <v>14</v>
      </c>
      <c r="B204" s="268" t="s">
        <v>3187</v>
      </c>
      <c r="C204" s="268" t="s">
        <v>1471</v>
      </c>
      <c r="D204" s="268">
        <v>105000</v>
      </c>
      <c r="E204" s="268" t="s">
        <v>3188</v>
      </c>
      <c r="F204" s="268" t="s">
        <v>3118</v>
      </c>
      <c r="G204" s="268" t="s">
        <v>3189</v>
      </c>
      <c r="H204" s="268" t="s">
        <v>2677</v>
      </c>
      <c r="I204" s="397" t="s">
        <v>3044</v>
      </c>
      <c r="J204" s="278">
        <v>46069</v>
      </c>
      <c r="K204" s="398">
        <v>46112</v>
      </c>
      <c r="L204" s="273">
        <f t="shared" si="39"/>
        <v>100</v>
      </c>
      <c r="M204" s="266" t="s">
        <v>2678</v>
      </c>
      <c r="N204" s="340">
        <f t="shared" si="40"/>
        <v>0</v>
      </c>
      <c r="O204" s="266"/>
      <c r="P204" s="266" t="s">
        <v>2678</v>
      </c>
      <c r="Q204" s="341">
        <f t="shared" si="41"/>
        <v>44</v>
      </c>
      <c r="R204" s="342">
        <f>WORKDAY(J204,7,'Public Holiday'!$A$2:$A$46)</f>
        <v>46080</v>
      </c>
      <c r="S204" s="343">
        <v>13</v>
      </c>
      <c r="T204" s="273">
        <f t="shared" si="43"/>
        <v>1300</v>
      </c>
      <c r="U204" s="330" t="s">
        <v>4884</v>
      </c>
    </row>
    <row r="205" spans="1:21" ht="54" x14ac:dyDescent="0.25">
      <c r="A205" s="337">
        <v>15</v>
      </c>
      <c r="B205" s="268" t="s">
        <v>1845</v>
      </c>
      <c r="C205" s="268" t="s">
        <v>1998</v>
      </c>
      <c r="D205" s="268">
        <v>7245</v>
      </c>
      <c r="E205" s="268" t="s">
        <v>3190</v>
      </c>
      <c r="F205" s="268" t="s">
        <v>3126</v>
      </c>
      <c r="G205" s="268" t="s">
        <v>3191</v>
      </c>
      <c r="H205" s="268" t="s">
        <v>2677</v>
      </c>
      <c r="I205" s="397" t="s">
        <v>3007</v>
      </c>
      <c r="J205" s="278">
        <v>46072</v>
      </c>
      <c r="K205" s="398">
        <v>46112</v>
      </c>
      <c r="L205" s="273">
        <f t="shared" si="39"/>
        <v>20</v>
      </c>
      <c r="M205" s="266" t="s">
        <v>2678</v>
      </c>
      <c r="N205" s="340">
        <f t="shared" si="40"/>
        <v>0</v>
      </c>
      <c r="O205" s="266"/>
      <c r="P205" s="266" t="s">
        <v>2678</v>
      </c>
      <c r="Q205" s="341">
        <f t="shared" si="41"/>
        <v>41</v>
      </c>
      <c r="R205" s="342">
        <f>WORKDAY(J205,7,'Public Holiday'!$A$2:$A$46)</f>
        <v>46083</v>
      </c>
      <c r="S205" s="343">
        <v>13</v>
      </c>
      <c r="T205" s="273">
        <f t="shared" si="43"/>
        <v>260</v>
      </c>
      <c r="U205" s="330"/>
    </row>
    <row r="206" spans="1:21" ht="54" x14ac:dyDescent="0.25">
      <c r="A206" s="337">
        <v>16</v>
      </c>
      <c r="B206" s="268" t="s">
        <v>1445</v>
      </c>
      <c r="C206" s="268" t="s">
        <v>1471</v>
      </c>
      <c r="D206" s="268">
        <v>50000</v>
      </c>
      <c r="E206" s="268" t="s">
        <v>3192</v>
      </c>
      <c r="F206" s="268" t="s">
        <v>3193</v>
      </c>
      <c r="G206" s="268" t="s">
        <v>3194</v>
      </c>
      <c r="H206" s="268" t="s">
        <v>2677</v>
      </c>
      <c r="I206" s="397" t="s">
        <v>2991</v>
      </c>
      <c r="J206" s="278">
        <v>46072</v>
      </c>
      <c r="K206" s="398">
        <v>46112</v>
      </c>
      <c r="L206" s="273">
        <f t="shared" si="39"/>
        <v>100</v>
      </c>
      <c r="M206" s="266" t="s">
        <v>2678</v>
      </c>
      <c r="N206" s="340">
        <f t="shared" si="40"/>
        <v>0</v>
      </c>
      <c r="O206" s="266"/>
      <c r="P206" s="266" t="s">
        <v>2678</v>
      </c>
      <c r="Q206" s="341">
        <f t="shared" si="41"/>
        <v>41</v>
      </c>
      <c r="R206" s="342">
        <f>WORKDAY(J206,7,'Public Holiday'!$A$2:$A$46)</f>
        <v>46083</v>
      </c>
      <c r="S206" s="343">
        <v>13</v>
      </c>
      <c r="T206" s="273">
        <f t="shared" si="43"/>
        <v>1300</v>
      </c>
      <c r="U206" s="330" t="s">
        <v>4885</v>
      </c>
    </row>
    <row r="207" spans="1:21" ht="54" x14ac:dyDescent="0.25">
      <c r="A207" s="337">
        <v>17</v>
      </c>
      <c r="B207" s="268" t="s">
        <v>1462</v>
      </c>
      <c r="C207" s="268" t="s">
        <v>1471</v>
      </c>
      <c r="D207" s="268">
        <v>50000</v>
      </c>
      <c r="E207" s="268" t="s">
        <v>3195</v>
      </c>
      <c r="F207" s="268" t="s">
        <v>3118</v>
      </c>
      <c r="G207" s="268" t="s">
        <v>3196</v>
      </c>
      <c r="H207" s="268" t="s">
        <v>2677</v>
      </c>
      <c r="I207" s="397" t="s">
        <v>3197</v>
      </c>
      <c r="J207" s="278">
        <v>46074</v>
      </c>
      <c r="K207" s="398">
        <v>46112</v>
      </c>
      <c r="L207" s="273">
        <f t="shared" si="39"/>
        <v>100</v>
      </c>
      <c r="M207" s="266" t="s">
        <v>2678</v>
      </c>
      <c r="N207" s="340">
        <f t="shared" si="40"/>
        <v>0</v>
      </c>
      <c r="O207" s="266"/>
      <c r="P207" s="266" t="s">
        <v>2678</v>
      </c>
      <c r="Q207" s="341">
        <f t="shared" si="41"/>
        <v>39</v>
      </c>
      <c r="R207" s="342">
        <f>WORKDAY(J207,7,'Public Holiday'!$A$2:$A$46)</f>
        <v>46084</v>
      </c>
      <c r="S207" s="343">
        <v>0</v>
      </c>
      <c r="T207" s="273">
        <f t="shared" si="43"/>
        <v>0</v>
      </c>
      <c r="U207" s="330" t="s">
        <v>4886</v>
      </c>
    </row>
    <row r="208" spans="1:21" ht="54" x14ac:dyDescent="0.25">
      <c r="A208" s="337">
        <v>18</v>
      </c>
      <c r="B208" s="268" t="s">
        <v>1465</v>
      </c>
      <c r="C208" s="268" t="s">
        <v>1471</v>
      </c>
      <c r="D208" s="268">
        <v>50000</v>
      </c>
      <c r="E208" s="268" t="s">
        <v>3198</v>
      </c>
      <c r="F208" s="268" t="s">
        <v>3118</v>
      </c>
      <c r="G208" s="268" t="s">
        <v>3199</v>
      </c>
      <c r="H208" s="268" t="s">
        <v>2677</v>
      </c>
      <c r="I208" s="397" t="s">
        <v>3130</v>
      </c>
      <c r="J208" s="278">
        <v>46074</v>
      </c>
      <c r="K208" s="398">
        <v>46112</v>
      </c>
      <c r="L208" s="273">
        <f t="shared" si="39"/>
        <v>100</v>
      </c>
      <c r="M208" s="266" t="s">
        <v>2678</v>
      </c>
      <c r="N208" s="340">
        <f t="shared" si="40"/>
        <v>0</v>
      </c>
      <c r="O208" s="266"/>
      <c r="P208" s="266" t="s">
        <v>2678</v>
      </c>
      <c r="Q208" s="341">
        <f t="shared" si="41"/>
        <v>39</v>
      </c>
      <c r="R208" s="342">
        <f>WORKDAY(J208,7,'Public Holiday'!$A$2:$A$46)</f>
        <v>46084</v>
      </c>
      <c r="S208" s="343">
        <v>0</v>
      </c>
      <c r="T208" s="273">
        <f t="shared" si="43"/>
        <v>0</v>
      </c>
      <c r="U208" s="330" t="s">
        <v>4887</v>
      </c>
    </row>
    <row r="209" spans="1:22" ht="54" x14ac:dyDescent="0.25">
      <c r="A209" s="337">
        <v>19</v>
      </c>
      <c r="B209" s="268" t="s">
        <v>1491</v>
      </c>
      <c r="C209" s="268" t="s">
        <v>3204</v>
      </c>
      <c r="D209" s="268">
        <v>36300</v>
      </c>
      <c r="E209" s="268" t="s">
        <v>3205</v>
      </c>
      <c r="F209" s="268" t="s">
        <v>3109</v>
      </c>
      <c r="G209" s="268" t="s">
        <v>3206</v>
      </c>
      <c r="H209" s="268" t="s">
        <v>2677</v>
      </c>
      <c r="I209" s="397" t="s">
        <v>2995</v>
      </c>
      <c r="J209" s="278">
        <v>46077</v>
      </c>
      <c r="K209" s="398">
        <v>46112</v>
      </c>
      <c r="L209" s="273">
        <f t="shared" si="39"/>
        <v>80</v>
      </c>
      <c r="M209" s="266" t="s">
        <v>2678</v>
      </c>
      <c r="N209" s="340">
        <f t="shared" si="40"/>
        <v>0</v>
      </c>
      <c r="O209" s="266"/>
      <c r="P209" s="266" t="s">
        <v>2678</v>
      </c>
      <c r="Q209" s="341">
        <f t="shared" si="41"/>
        <v>36</v>
      </c>
      <c r="R209" s="342">
        <f>WORKDAY(J209,7,'Public Holiday'!$A$2:$A$46)</f>
        <v>46086</v>
      </c>
      <c r="S209" s="343">
        <v>13</v>
      </c>
      <c r="T209" s="273">
        <f t="shared" si="43"/>
        <v>1040</v>
      </c>
      <c r="U209" s="330"/>
    </row>
    <row r="210" spans="1:22" ht="54" x14ac:dyDescent="0.25">
      <c r="A210" s="337">
        <v>20</v>
      </c>
      <c r="B210" s="268" t="s">
        <v>2021</v>
      </c>
      <c r="C210" s="268" t="s">
        <v>2039</v>
      </c>
      <c r="D210" s="268">
        <v>6000</v>
      </c>
      <c r="E210" s="268" t="s">
        <v>3207</v>
      </c>
      <c r="F210" s="268" t="s">
        <v>3126</v>
      </c>
      <c r="G210" s="268" t="s">
        <v>3208</v>
      </c>
      <c r="H210" s="268" t="s">
        <v>2677</v>
      </c>
      <c r="I210" s="397" t="s">
        <v>2993</v>
      </c>
      <c r="J210" s="278">
        <v>46077</v>
      </c>
      <c r="K210" s="398">
        <v>46112</v>
      </c>
      <c r="L210" s="273">
        <f t="shared" si="39"/>
        <v>20</v>
      </c>
      <c r="M210" s="266" t="s">
        <v>2678</v>
      </c>
      <c r="N210" s="340">
        <f t="shared" si="40"/>
        <v>0</v>
      </c>
      <c r="O210" s="266"/>
      <c r="P210" s="266" t="s">
        <v>2678</v>
      </c>
      <c r="Q210" s="341">
        <f t="shared" si="41"/>
        <v>36</v>
      </c>
      <c r="R210" s="342">
        <f>WORKDAY(J210,7,'Public Holiday'!$A$2:$A$46)</f>
        <v>46086</v>
      </c>
      <c r="S210" s="343">
        <v>0</v>
      </c>
      <c r="T210" s="273">
        <f t="shared" si="43"/>
        <v>0</v>
      </c>
      <c r="U210" s="494" t="s">
        <v>4888</v>
      </c>
    </row>
    <row r="211" spans="1:22" ht="90" x14ac:dyDescent="0.25">
      <c r="A211" s="337">
        <v>21</v>
      </c>
      <c r="B211" s="268" t="s">
        <v>465</v>
      </c>
      <c r="C211" s="268" t="s">
        <v>3209</v>
      </c>
      <c r="D211" s="268">
        <v>9500</v>
      </c>
      <c r="E211" s="268" t="s">
        <v>3210</v>
      </c>
      <c r="F211" s="268" t="s">
        <v>2385</v>
      </c>
      <c r="G211" s="268" t="s">
        <v>3211</v>
      </c>
      <c r="H211" s="268" t="s">
        <v>2677</v>
      </c>
      <c r="I211" s="397" t="s">
        <v>3212</v>
      </c>
      <c r="J211" s="278">
        <v>46079</v>
      </c>
      <c r="K211" s="398">
        <v>46112</v>
      </c>
      <c r="L211" s="273">
        <f t="shared" si="39"/>
        <v>20</v>
      </c>
      <c r="M211" s="266" t="s">
        <v>2678</v>
      </c>
      <c r="N211" s="340">
        <f t="shared" si="40"/>
        <v>0</v>
      </c>
      <c r="O211" s="266"/>
      <c r="P211" s="266" t="s">
        <v>2678</v>
      </c>
      <c r="Q211" s="341">
        <f t="shared" si="41"/>
        <v>34</v>
      </c>
      <c r="R211" s="342">
        <f>WORKDAY(J211,7,'Public Holiday'!$A$2:$A$46)</f>
        <v>46090</v>
      </c>
      <c r="S211" s="343">
        <v>0</v>
      </c>
      <c r="T211" s="273">
        <f t="shared" si="43"/>
        <v>0</v>
      </c>
      <c r="U211" s="330" t="s">
        <v>4889</v>
      </c>
    </row>
    <row r="212" spans="1:22" ht="108" x14ac:dyDescent="0.25">
      <c r="A212" s="337">
        <v>22</v>
      </c>
      <c r="B212" s="268" t="s">
        <v>1517</v>
      </c>
      <c r="C212" s="268" t="s">
        <v>3101</v>
      </c>
      <c r="D212" s="268">
        <v>24000</v>
      </c>
      <c r="E212" s="268" t="s">
        <v>3218</v>
      </c>
      <c r="F212" s="268" t="s">
        <v>2988</v>
      </c>
      <c r="G212" s="268" t="s">
        <v>3219</v>
      </c>
      <c r="H212" s="268" t="s">
        <v>2677</v>
      </c>
      <c r="I212" s="397" t="s">
        <v>2991</v>
      </c>
      <c r="J212" s="278">
        <v>46077</v>
      </c>
      <c r="K212" s="398">
        <v>46112</v>
      </c>
      <c r="L212" s="273">
        <f t="shared" si="39"/>
        <v>50</v>
      </c>
      <c r="M212" s="266" t="s">
        <v>2678</v>
      </c>
      <c r="N212" s="340">
        <f t="shared" si="40"/>
        <v>0</v>
      </c>
      <c r="O212" s="266"/>
      <c r="P212" s="266" t="s">
        <v>2678</v>
      </c>
      <c r="Q212" s="341">
        <f t="shared" si="41"/>
        <v>36</v>
      </c>
      <c r="R212" s="342">
        <f>WORKDAY(J212,7,'Public Holiday'!$A$2:$A$46)</f>
        <v>46086</v>
      </c>
      <c r="S212" s="343">
        <v>0</v>
      </c>
      <c r="T212" s="273">
        <f t="shared" si="43"/>
        <v>0</v>
      </c>
      <c r="U212" s="330" t="s">
        <v>4890</v>
      </c>
    </row>
    <row r="213" spans="1:22" ht="54" x14ac:dyDescent="0.25">
      <c r="A213" s="337">
        <v>23</v>
      </c>
      <c r="B213" s="268" t="s">
        <v>342</v>
      </c>
      <c r="C213" s="268" t="s">
        <v>3014</v>
      </c>
      <c r="D213" s="268">
        <v>43690</v>
      </c>
      <c r="E213" s="267" t="s">
        <v>2954</v>
      </c>
      <c r="F213" s="268" t="s">
        <v>3015</v>
      </c>
      <c r="G213" s="374" t="s">
        <v>2955</v>
      </c>
      <c r="H213" s="267" t="s">
        <v>2677</v>
      </c>
      <c r="I213" s="339" t="s">
        <v>3051</v>
      </c>
      <c r="J213" s="265">
        <v>46028</v>
      </c>
      <c r="K213" s="398">
        <v>46112</v>
      </c>
      <c r="L213" s="273">
        <f t="shared" ref="L213:L226" si="44">IF(D213&gt;44999.99,100,ROUNDUP((D213/4999.99)*10,-1))</f>
        <v>90</v>
      </c>
      <c r="M213" s="337" t="s">
        <v>2678</v>
      </c>
      <c r="N213" s="340">
        <f t="shared" ref="N213:N226" si="45">IF(M213="Y",L213,0)</f>
        <v>0</v>
      </c>
      <c r="O213" s="266"/>
      <c r="P213" s="337" t="s">
        <v>2687</v>
      </c>
      <c r="Q213" s="344">
        <f>K213-J213+1</f>
        <v>85</v>
      </c>
      <c r="R213" s="345">
        <f>WORKDAY(J213,7,'Public Holiday'!$A$2:$A$46)</f>
        <v>46037</v>
      </c>
      <c r="S213" s="346">
        <v>0</v>
      </c>
      <c r="T213" s="273">
        <f t="shared" ref="T213:T226" si="46">L213*S213</f>
        <v>0</v>
      </c>
      <c r="U213" s="330" t="s">
        <v>4891</v>
      </c>
    </row>
    <row r="214" spans="1:22" ht="54" x14ac:dyDescent="0.25">
      <c r="A214" s="337">
        <v>24</v>
      </c>
      <c r="B214" s="268" t="s">
        <v>3016</v>
      </c>
      <c r="C214" s="328" t="s">
        <v>3061</v>
      </c>
      <c r="D214" s="268">
        <v>990000</v>
      </c>
      <c r="E214" s="267" t="s">
        <v>2953</v>
      </c>
      <c r="F214" s="327" t="s">
        <v>2264</v>
      </c>
      <c r="G214" s="374" t="s">
        <v>2956</v>
      </c>
      <c r="H214" s="267" t="s">
        <v>2677</v>
      </c>
      <c r="I214" s="339" t="s">
        <v>3003</v>
      </c>
      <c r="J214" s="265">
        <v>46031</v>
      </c>
      <c r="K214" s="398">
        <v>46112</v>
      </c>
      <c r="L214" s="273">
        <f t="shared" si="44"/>
        <v>100</v>
      </c>
      <c r="M214" s="337" t="s">
        <v>2678</v>
      </c>
      <c r="N214" s="340">
        <f t="shared" si="45"/>
        <v>0</v>
      </c>
      <c r="O214" s="266"/>
      <c r="P214" s="337" t="s">
        <v>2678</v>
      </c>
      <c r="Q214" s="344">
        <f t="shared" ref="Q214:Q226" si="47">K214-J214+1</f>
        <v>82</v>
      </c>
      <c r="R214" s="345">
        <f>WORKDAY(J214,6,'Public Holiday'!$A$2:$A$46)</f>
        <v>46041</v>
      </c>
      <c r="S214" s="346">
        <v>0</v>
      </c>
      <c r="T214" s="273">
        <f t="shared" si="46"/>
        <v>0</v>
      </c>
      <c r="U214" s="330" t="s">
        <v>4892</v>
      </c>
    </row>
    <row r="215" spans="1:22" ht="54" x14ac:dyDescent="0.25">
      <c r="A215" s="337">
        <v>25</v>
      </c>
      <c r="B215" s="268" t="s">
        <v>3017</v>
      </c>
      <c r="C215" s="337" t="s">
        <v>3066</v>
      </c>
      <c r="D215" s="268">
        <v>50000</v>
      </c>
      <c r="E215" s="267" t="s">
        <v>2951</v>
      </c>
      <c r="F215" s="268" t="s">
        <v>3118</v>
      </c>
      <c r="G215" s="374" t="s">
        <v>2958</v>
      </c>
      <c r="H215" s="267" t="s">
        <v>2677</v>
      </c>
      <c r="I215" s="339" t="s">
        <v>3002</v>
      </c>
      <c r="J215" s="265">
        <v>46032</v>
      </c>
      <c r="K215" s="398">
        <v>46112</v>
      </c>
      <c r="L215" s="273">
        <f t="shared" si="44"/>
        <v>100</v>
      </c>
      <c r="M215" s="337" t="s">
        <v>2678</v>
      </c>
      <c r="N215" s="340">
        <f t="shared" si="45"/>
        <v>0</v>
      </c>
      <c r="O215" s="266"/>
      <c r="P215" s="337" t="s">
        <v>2678</v>
      </c>
      <c r="Q215" s="344">
        <f t="shared" si="47"/>
        <v>81</v>
      </c>
      <c r="R215" s="345">
        <f>WORKDAY(J215,7,'Public Holiday'!$A$2:$A$46)</f>
        <v>46042</v>
      </c>
      <c r="S215" s="346">
        <v>0</v>
      </c>
      <c r="T215" s="273">
        <f t="shared" si="46"/>
        <v>0</v>
      </c>
      <c r="U215" s="330" t="s">
        <v>4908</v>
      </c>
    </row>
    <row r="216" spans="1:22" ht="54" x14ac:dyDescent="0.25">
      <c r="A216" s="337">
        <v>26</v>
      </c>
      <c r="B216" s="268" t="s">
        <v>3019</v>
      </c>
      <c r="C216" s="268" t="s">
        <v>3020</v>
      </c>
      <c r="D216" s="268">
        <v>7100</v>
      </c>
      <c r="E216" s="267" t="s">
        <v>2949</v>
      </c>
      <c r="F216" s="268" t="s">
        <v>2988</v>
      </c>
      <c r="G216" s="374" t="s">
        <v>2960</v>
      </c>
      <c r="H216" s="267" t="s">
        <v>2677</v>
      </c>
      <c r="I216" s="339" t="s">
        <v>2992</v>
      </c>
      <c r="J216" s="265">
        <v>46034</v>
      </c>
      <c r="K216" s="398">
        <v>46112</v>
      </c>
      <c r="L216" s="273">
        <f t="shared" si="44"/>
        <v>20</v>
      </c>
      <c r="M216" s="337" t="s">
        <v>2678</v>
      </c>
      <c r="N216" s="340">
        <f t="shared" si="45"/>
        <v>0</v>
      </c>
      <c r="O216" s="266"/>
      <c r="P216" s="337" t="s">
        <v>2678</v>
      </c>
      <c r="Q216" s="344">
        <f t="shared" si="47"/>
        <v>79</v>
      </c>
      <c r="R216" s="345">
        <f>WORKDAY(J216,6,'Public Holiday'!$A$2:$A$46)</f>
        <v>46042</v>
      </c>
      <c r="S216" s="346">
        <v>0</v>
      </c>
      <c r="T216" s="273">
        <f t="shared" si="46"/>
        <v>0</v>
      </c>
      <c r="U216" s="330" t="s">
        <v>4909</v>
      </c>
    </row>
    <row r="217" spans="1:22" ht="36" x14ac:dyDescent="0.25">
      <c r="A217" s="337">
        <v>27</v>
      </c>
      <c r="B217" s="268" t="s">
        <v>1440</v>
      </c>
      <c r="C217" s="268" t="s">
        <v>1471</v>
      </c>
      <c r="D217" s="268">
        <v>50000</v>
      </c>
      <c r="E217" s="267" t="s">
        <v>2944</v>
      </c>
      <c r="F217" s="268" t="s">
        <v>3024</v>
      </c>
      <c r="G217" s="374" t="s">
        <v>2965</v>
      </c>
      <c r="H217" s="267" t="s">
        <v>2677</v>
      </c>
      <c r="I217" s="339" t="s">
        <v>2998</v>
      </c>
      <c r="J217" s="265">
        <v>46041</v>
      </c>
      <c r="K217" s="398">
        <v>46112</v>
      </c>
      <c r="L217" s="273">
        <f t="shared" ref="L217:L222" si="48">IF(D217&gt;44999.99,100,ROUNDUP((D217/4999.99)*10,-1))</f>
        <v>100</v>
      </c>
      <c r="M217" s="337" t="s">
        <v>2678</v>
      </c>
      <c r="N217" s="340">
        <f t="shared" ref="N217:N222" si="49">IF(M217="Y",L217,0)</f>
        <v>0</v>
      </c>
      <c r="O217" s="266"/>
      <c r="P217" s="337" t="s">
        <v>2687</v>
      </c>
      <c r="Q217" s="344">
        <f t="shared" ref="Q217:Q222" si="50">K217-J217+1</f>
        <v>72</v>
      </c>
      <c r="R217" s="345">
        <f>WORKDAY(J217,6,'Public Holiday'!$A$2:$A$46)</f>
        <v>46049</v>
      </c>
      <c r="S217" s="346">
        <v>0</v>
      </c>
      <c r="T217" s="273">
        <f t="shared" ref="T217:T222" si="51">L217*S217</f>
        <v>0</v>
      </c>
      <c r="U217" s="330" t="s">
        <v>4910</v>
      </c>
    </row>
    <row r="218" spans="1:22" ht="54" x14ac:dyDescent="0.25">
      <c r="A218" s="337">
        <v>28</v>
      </c>
      <c r="B218" s="268" t="s">
        <v>2294</v>
      </c>
      <c r="C218" s="268" t="s">
        <v>251</v>
      </c>
      <c r="D218" s="268">
        <v>20328</v>
      </c>
      <c r="E218" s="267" t="s">
        <v>2943</v>
      </c>
      <c r="F218" s="268" t="s">
        <v>2985</v>
      </c>
      <c r="G218" s="374" t="s">
        <v>2966</v>
      </c>
      <c r="H218" s="267" t="s">
        <v>2677</v>
      </c>
      <c r="I218" s="350" t="s">
        <v>3003</v>
      </c>
      <c r="J218" s="265">
        <v>46041</v>
      </c>
      <c r="K218" s="398">
        <v>46112</v>
      </c>
      <c r="L218" s="273">
        <f t="shared" si="48"/>
        <v>50</v>
      </c>
      <c r="M218" s="337" t="s">
        <v>2678</v>
      </c>
      <c r="N218" s="340">
        <f t="shared" si="49"/>
        <v>0</v>
      </c>
      <c r="O218" s="266"/>
      <c r="P218" s="337" t="s">
        <v>2687</v>
      </c>
      <c r="Q218" s="344">
        <f t="shared" si="50"/>
        <v>72</v>
      </c>
      <c r="R218" s="345">
        <f>WORKDAY(J218,6,'Public Holiday'!$A$2:$A$46)</f>
        <v>46049</v>
      </c>
      <c r="S218" s="346">
        <v>0</v>
      </c>
      <c r="T218" s="273">
        <f t="shared" si="51"/>
        <v>0</v>
      </c>
      <c r="U218" s="330" t="s">
        <v>4911</v>
      </c>
    </row>
    <row r="219" spans="1:22" ht="36" x14ac:dyDescent="0.25">
      <c r="A219" s="337">
        <v>29</v>
      </c>
      <c r="B219" s="268" t="s">
        <v>2087</v>
      </c>
      <c r="C219" s="268" t="s">
        <v>1153</v>
      </c>
      <c r="D219" s="268">
        <v>5450</v>
      </c>
      <c r="E219" s="267" t="s">
        <v>2941</v>
      </c>
      <c r="F219" s="268" t="s">
        <v>2988</v>
      </c>
      <c r="G219" s="374" t="s">
        <v>2968</v>
      </c>
      <c r="H219" s="267" t="s">
        <v>2677</v>
      </c>
      <c r="I219" s="339" t="s">
        <v>3043</v>
      </c>
      <c r="J219" s="265">
        <v>46042</v>
      </c>
      <c r="K219" s="398">
        <v>46112</v>
      </c>
      <c r="L219" s="273">
        <f t="shared" si="48"/>
        <v>20</v>
      </c>
      <c r="M219" s="337" t="s">
        <v>2678</v>
      </c>
      <c r="N219" s="340">
        <f t="shared" si="49"/>
        <v>0</v>
      </c>
      <c r="O219" s="266"/>
      <c r="P219" s="337" t="s">
        <v>2687</v>
      </c>
      <c r="Q219" s="344">
        <f t="shared" si="50"/>
        <v>71</v>
      </c>
      <c r="R219" s="345">
        <f>WORKDAY(J219,6,'Public Holiday'!$A$2:$A$46)</f>
        <v>46050</v>
      </c>
      <c r="S219" s="346">
        <v>0</v>
      </c>
      <c r="T219" s="273">
        <f t="shared" si="51"/>
        <v>0</v>
      </c>
      <c r="U219" s="330" t="s">
        <v>4893</v>
      </c>
    </row>
    <row r="220" spans="1:22" ht="36" x14ac:dyDescent="0.25">
      <c r="A220" s="337">
        <v>30</v>
      </c>
      <c r="B220" s="268" t="s">
        <v>1155</v>
      </c>
      <c r="C220" s="268" t="s">
        <v>1153</v>
      </c>
      <c r="D220" s="268">
        <v>7400</v>
      </c>
      <c r="E220" s="267" t="s">
        <v>2940</v>
      </c>
      <c r="F220" s="268" t="s">
        <v>3025</v>
      </c>
      <c r="G220" s="374" t="s">
        <v>2969</v>
      </c>
      <c r="H220" s="267" t="s">
        <v>2677</v>
      </c>
      <c r="I220" s="339" t="s">
        <v>3006</v>
      </c>
      <c r="J220" s="265">
        <v>46043</v>
      </c>
      <c r="K220" s="398">
        <v>46112</v>
      </c>
      <c r="L220" s="273">
        <f t="shared" si="48"/>
        <v>20</v>
      </c>
      <c r="M220" s="337" t="s">
        <v>2678</v>
      </c>
      <c r="N220" s="340">
        <f t="shared" si="49"/>
        <v>0</v>
      </c>
      <c r="O220" s="266"/>
      <c r="P220" s="337" t="s">
        <v>2687</v>
      </c>
      <c r="Q220" s="344">
        <f t="shared" si="50"/>
        <v>70</v>
      </c>
      <c r="R220" s="345">
        <f>WORKDAY(J220,6,'Public Holiday'!$A$2:$A$46)</f>
        <v>46051</v>
      </c>
      <c r="S220" s="346">
        <v>0</v>
      </c>
      <c r="T220" s="273">
        <f t="shared" si="51"/>
        <v>0</v>
      </c>
      <c r="U220" s="330" t="s">
        <v>4894</v>
      </c>
    </row>
    <row r="221" spans="1:22" ht="54" x14ac:dyDescent="0.25">
      <c r="A221" s="337">
        <v>31</v>
      </c>
      <c r="B221" s="268" t="s">
        <v>1443</v>
      </c>
      <c r="C221" s="268" t="s">
        <v>1471</v>
      </c>
      <c r="D221" s="268">
        <v>50000</v>
      </c>
      <c r="E221" s="267" t="s">
        <v>2939</v>
      </c>
      <c r="F221" s="268" t="s">
        <v>3026</v>
      </c>
      <c r="G221" s="374" t="s">
        <v>2970</v>
      </c>
      <c r="H221" s="267" t="s">
        <v>2677</v>
      </c>
      <c r="I221" s="339" t="s">
        <v>3005</v>
      </c>
      <c r="J221" s="265">
        <v>46044</v>
      </c>
      <c r="K221" s="398">
        <v>46112</v>
      </c>
      <c r="L221" s="273">
        <f t="shared" si="48"/>
        <v>100</v>
      </c>
      <c r="M221" s="337" t="s">
        <v>2678</v>
      </c>
      <c r="N221" s="340">
        <f t="shared" si="49"/>
        <v>0</v>
      </c>
      <c r="O221" s="266"/>
      <c r="P221" s="337" t="s">
        <v>2687</v>
      </c>
      <c r="Q221" s="344">
        <f t="shared" si="50"/>
        <v>69</v>
      </c>
      <c r="R221" s="345">
        <f>WORKDAY(J221,6,'Public Holiday'!$A$2:$A$46)</f>
        <v>46052</v>
      </c>
      <c r="S221" s="346">
        <v>3</v>
      </c>
      <c r="T221" s="273">
        <f t="shared" si="51"/>
        <v>300</v>
      </c>
      <c r="U221" s="330" t="s">
        <v>4895</v>
      </c>
    </row>
    <row r="222" spans="1:22" ht="72" x14ac:dyDescent="0.25">
      <c r="A222" s="337">
        <v>32</v>
      </c>
      <c r="B222" s="268" t="s">
        <v>2043</v>
      </c>
      <c r="C222" s="268" t="s">
        <v>2039</v>
      </c>
      <c r="D222" s="268">
        <v>7100</v>
      </c>
      <c r="E222" s="267" t="s">
        <v>2938</v>
      </c>
      <c r="F222" s="268" t="s">
        <v>2988</v>
      </c>
      <c r="G222" s="374" t="s">
        <v>2971</v>
      </c>
      <c r="H222" s="267" t="s">
        <v>2677</v>
      </c>
      <c r="I222" s="339" t="s">
        <v>3043</v>
      </c>
      <c r="J222" s="265">
        <v>46044</v>
      </c>
      <c r="K222" s="398">
        <v>46112</v>
      </c>
      <c r="L222" s="273">
        <f t="shared" si="48"/>
        <v>20</v>
      </c>
      <c r="M222" s="337" t="s">
        <v>2678</v>
      </c>
      <c r="N222" s="340">
        <f t="shared" si="49"/>
        <v>0</v>
      </c>
      <c r="O222" s="266"/>
      <c r="P222" s="337" t="s">
        <v>2687</v>
      </c>
      <c r="Q222" s="344">
        <f t="shared" si="50"/>
        <v>69</v>
      </c>
      <c r="R222" s="345">
        <f>WORKDAY(J222,6,'Public Holiday'!$A$2:$A$46)</f>
        <v>46052</v>
      </c>
      <c r="S222" s="346">
        <v>3</v>
      </c>
      <c r="T222" s="273">
        <f t="shared" si="51"/>
        <v>60</v>
      </c>
      <c r="U222" s="330" t="s">
        <v>3402</v>
      </c>
      <c r="V222" s="330"/>
    </row>
    <row r="223" spans="1:22" ht="90" x14ac:dyDescent="0.25">
      <c r="A223" s="337">
        <v>33</v>
      </c>
      <c r="B223" s="268" t="s">
        <v>1195</v>
      </c>
      <c r="C223" s="268" t="s">
        <v>2089</v>
      </c>
      <c r="D223" s="268">
        <v>24000</v>
      </c>
      <c r="E223" s="267" t="s">
        <v>2933</v>
      </c>
      <c r="F223" s="268" t="s">
        <v>3025</v>
      </c>
      <c r="G223" s="374" t="s">
        <v>2976</v>
      </c>
      <c r="H223" s="267" t="s">
        <v>2677</v>
      </c>
      <c r="I223" s="339" t="s">
        <v>3000</v>
      </c>
      <c r="J223" s="265">
        <v>46049</v>
      </c>
      <c r="K223" s="398">
        <v>46112</v>
      </c>
      <c r="L223" s="273">
        <f t="shared" si="44"/>
        <v>50</v>
      </c>
      <c r="M223" s="337" t="s">
        <v>2678</v>
      </c>
      <c r="N223" s="340">
        <f t="shared" si="45"/>
        <v>0</v>
      </c>
      <c r="O223" s="266"/>
      <c r="P223" s="266" t="s">
        <v>2678</v>
      </c>
      <c r="Q223" s="344">
        <f t="shared" si="47"/>
        <v>64</v>
      </c>
      <c r="R223" s="345">
        <f>WORKDAY(J223,6,'Public Holiday'!$A$2:$A$46)</f>
        <v>46057</v>
      </c>
      <c r="S223" s="346">
        <v>0</v>
      </c>
      <c r="T223" s="273">
        <f t="shared" si="46"/>
        <v>0</v>
      </c>
      <c r="U223" s="330" t="s">
        <v>4912</v>
      </c>
    </row>
    <row r="224" spans="1:22" ht="54" x14ac:dyDescent="0.25">
      <c r="A224" s="337">
        <v>34</v>
      </c>
      <c r="B224" s="334" t="s">
        <v>375</v>
      </c>
      <c r="C224" s="335" t="s">
        <v>3065</v>
      </c>
      <c r="D224" s="268">
        <v>1855</v>
      </c>
      <c r="E224" s="267" t="s">
        <v>2932</v>
      </c>
      <c r="F224" s="268" t="s">
        <v>4113</v>
      </c>
      <c r="G224" s="374" t="s">
        <v>2977</v>
      </c>
      <c r="H224" s="267" t="s">
        <v>2677</v>
      </c>
      <c r="I224" s="339" t="s">
        <v>3001</v>
      </c>
      <c r="J224" s="265">
        <v>46051</v>
      </c>
      <c r="K224" s="398">
        <v>46112</v>
      </c>
      <c r="L224" s="273">
        <f t="shared" ref="L224" si="52">IF(D224&gt;44999.99,100,ROUNDUP((D224/4999.99)*10,-1))</f>
        <v>10</v>
      </c>
      <c r="M224" s="337" t="s">
        <v>2678</v>
      </c>
      <c r="N224" s="340">
        <f t="shared" ref="N224" si="53">IF(M224="Y",L224,0)</f>
        <v>0</v>
      </c>
      <c r="O224" s="266"/>
      <c r="P224" s="266" t="s">
        <v>2678</v>
      </c>
      <c r="Q224" s="344">
        <f t="shared" ref="Q224" si="54">K224-J224+1</f>
        <v>62</v>
      </c>
      <c r="R224" s="345">
        <f>WORKDAY(J224,6,'Public Holiday'!$A$2:$A$46)</f>
        <v>46059</v>
      </c>
      <c r="S224" s="346">
        <v>0</v>
      </c>
      <c r="T224" s="273">
        <f t="shared" ref="T224" si="55">L224*S224</f>
        <v>0</v>
      </c>
      <c r="U224" s="330" t="s">
        <v>4900</v>
      </c>
      <c r="V224" s="330"/>
    </row>
    <row r="225" spans="1:21" ht="90" x14ac:dyDescent="0.25">
      <c r="A225" s="337">
        <v>35</v>
      </c>
      <c r="B225" s="337" t="s">
        <v>2095</v>
      </c>
      <c r="C225" s="266" t="s">
        <v>3053</v>
      </c>
      <c r="D225" s="268">
        <v>35000</v>
      </c>
      <c r="E225" s="267" t="s">
        <v>2930</v>
      </c>
      <c r="F225" s="268" t="str">
        <f>VLOOKUP(B:B,'[3]SCHEDULE PPM 2026'!$D:$O,12,FALSE)</f>
        <v>Unit Rawatan Rapi Neonatal (NICU)</v>
      </c>
      <c r="G225" s="374" t="s">
        <v>2979</v>
      </c>
      <c r="H225" s="267" t="s">
        <v>2677</v>
      </c>
      <c r="I225" s="339" t="s">
        <v>3010</v>
      </c>
      <c r="J225" s="265">
        <v>46052</v>
      </c>
      <c r="K225" s="398">
        <v>46112</v>
      </c>
      <c r="L225" s="273">
        <f t="shared" si="44"/>
        <v>80</v>
      </c>
      <c r="M225" s="337" t="s">
        <v>2678</v>
      </c>
      <c r="N225" s="340">
        <f t="shared" si="45"/>
        <v>0</v>
      </c>
      <c r="O225" s="266"/>
      <c r="P225" s="266" t="s">
        <v>2678</v>
      </c>
      <c r="Q225" s="344">
        <f t="shared" si="47"/>
        <v>61</v>
      </c>
      <c r="R225" s="345">
        <f>WORKDAY(J225,6,'Public Holiday'!$A$2:$A$46)</f>
        <v>46062</v>
      </c>
      <c r="S225" s="346">
        <v>0</v>
      </c>
      <c r="T225" s="273">
        <f t="shared" si="46"/>
        <v>0</v>
      </c>
      <c r="U225" s="494" t="s">
        <v>4896</v>
      </c>
    </row>
    <row r="226" spans="1:21" ht="72" x14ac:dyDescent="0.25">
      <c r="A226" s="337">
        <v>36</v>
      </c>
      <c r="B226" s="268" t="s">
        <v>2867</v>
      </c>
      <c r="C226" s="268" t="s">
        <v>1471</v>
      </c>
      <c r="D226" s="268">
        <v>105000</v>
      </c>
      <c r="E226" s="267" t="s">
        <v>2929</v>
      </c>
      <c r="F226" s="268" t="s">
        <v>2982</v>
      </c>
      <c r="G226" s="374" t="s">
        <v>2980</v>
      </c>
      <c r="H226" s="267" t="s">
        <v>2677</v>
      </c>
      <c r="I226" s="339" t="s">
        <v>3001</v>
      </c>
      <c r="J226" s="265">
        <v>46052</v>
      </c>
      <c r="K226" s="398">
        <v>46112</v>
      </c>
      <c r="L226" s="273">
        <f t="shared" si="44"/>
        <v>100</v>
      </c>
      <c r="M226" s="337" t="s">
        <v>2678</v>
      </c>
      <c r="N226" s="340">
        <f t="shared" si="45"/>
        <v>0</v>
      </c>
      <c r="O226" s="266"/>
      <c r="P226" s="266" t="s">
        <v>2678</v>
      </c>
      <c r="Q226" s="344">
        <f t="shared" si="47"/>
        <v>61</v>
      </c>
      <c r="R226" s="345">
        <f>WORKDAY(J226,7,'Public Holiday'!$A$2:$A$46)</f>
        <v>46063</v>
      </c>
      <c r="S226" s="346">
        <v>13</v>
      </c>
      <c r="T226" s="273">
        <f t="shared" si="46"/>
        <v>1300</v>
      </c>
      <c r="U226" s="330" t="s">
        <v>4913</v>
      </c>
    </row>
    <row r="227" spans="1:21" ht="90" x14ac:dyDescent="0.25">
      <c r="A227" s="337">
        <v>37</v>
      </c>
      <c r="B227" s="268" t="s">
        <v>286</v>
      </c>
      <c r="C227" s="268" t="str">
        <f>VLOOKUP(B:B,'[3]SCHEDULE PPM 2026'!$D:$E,2,FALSE)</f>
        <v>ULTRASOUND SCANNER</v>
      </c>
      <c r="D227" s="268">
        <f>VLOOKUP(B:B,'[2]BEMS EQUIPMENT '!$E:$Q,13,FALSE)</f>
        <v>42000</v>
      </c>
      <c r="E227" s="267" t="s">
        <v>3036</v>
      </c>
      <c r="F227" s="268" t="str">
        <f>VLOOKUP(B:B,'[3]SCHEDULE PPM 2026'!$D:$O,12,FALSE)</f>
        <v>Klinik Obstetrik Ginekologi (O&amp;G CLINIC)</v>
      </c>
      <c r="G227" s="374" t="s">
        <v>3037</v>
      </c>
      <c r="H227" s="267" t="s">
        <v>2677</v>
      </c>
      <c r="I227" s="339" t="s">
        <v>3033</v>
      </c>
      <c r="J227" s="347">
        <v>46043</v>
      </c>
      <c r="K227" s="398">
        <v>46112</v>
      </c>
      <c r="L227" s="273">
        <f t="shared" ref="L227" si="56">IF(D227&gt;44999.99,100,ROUNDUP((D227/4999.99)*10,-1))</f>
        <v>90</v>
      </c>
      <c r="M227" s="337" t="s">
        <v>2678</v>
      </c>
      <c r="N227" s="340">
        <f t="shared" ref="N227" si="57">IF(M227="Y",L227,0)</f>
        <v>0</v>
      </c>
      <c r="O227" s="266"/>
      <c r="P227" s="266" t="s">
        <v>2678</v>
      </c>
      <c r="Q227" s="341">
        <f t="shared" ref="Q227" si="58">K227-J227+1</f>
        <v>70</v>
      </c>
      <c r="R227" s="342">
        <f>WORKDAY(J227,7,'Public Holiday'!$A$2:$A$46)</f>
        <v>46052</v>
      </c>
      <c r="S227" s="343">
        <v>0</v>
      </c>
      <c r="T227" s="273">
        <f t="shared" ref="T227" si="59">L227*S227</f>
        <v>0</v>
      </c>
      <c r="U227" s="333" t="s">
        <v>4906</v>
      </c>
    </row>
    <row r="228" spans="1:21" ht="18" x14ac:dyDescent="0.25">
      <c r="A228" s="260"/>
      <c r="B228" s="260"/>
      <c r="C228" s="260"/>
      <c r="D228" s="319"/>
      <c r="E228" s="318"/>
      <c r="F228" s="260"/>
      <c r="G228" s="375"/>
      <c r="H228" s="260"/>
      <c r="I228" s="320"/>
      <c r="J228" s="314"/>
      <c r="K228" s="314"/>
      <c r="L228" s="261"/>
      <c r="M228" s="260"/>
      <c r="N228" s="262"/>
      <c r="O228" s="260"/>
      <c r="P228" s="260"/>
      <c r="Q228" s="315"/>
      <c r="R228" s="316"/>
      <c r="S228" s="317"/>
      <c r="T228" s="261"/>
      <c r="U228" s="375"/>
    </row>
    <row r="229" spans="1:21" ht="18" x14ac:dyDescent="0.25">
      <c r="A229" s="260"/>
      <c r="B229" s="260"/>
      <c r="C229" s="260"/>
      <c r="D229" s="319"/>
      <c r="E229" s="318"/>
      <c r="F229" s="260"/>
      <c r="G229" s="375"/>
      <c r="H229" s="260"/>
      <c r="I229" s="320"/>
      <c r="J229" s="314"/>
      <c r="K229" s="314"/>
      <c r="L229" s="261"/>
      <c r="M229" s="260"/>
      <c r="N229" s="262"/>
      <c r="O229" s="260"/>
      <c r="P229" s="260"/>
      <c r="Q229" s="315"/>
      <c r="R229" s="316"/>
      <c r="S229" s="317"/>
      <c r="T229" s="261"/>
      <c r="U229" s="375"/>
    </row>
    <row r="230" spans="1:21" ht="18" x14ac:dyDescent="0.25">
      <c r="A230" s="598" t="s">
        <v>2691</v>
      </c>
      <c r="B230" s="598"/>
      <c r="C230" s="598"/>
      <c r="D230" s="598"/>
      <c r="E230" s="598"/>
      <c r="F230" s="598"/>
      <c r="G230" s="598"/>
      <c r="H230" s="598"/>
      <c r="I230" s="598"/>
      <c r="J230" s="598"/>
      <c r="K230" s="598"/>
      <c r="L230" s="598"/>
      <c r="M230" s="599"/>
      <c r="N230" s="319">
        <f>SUM(N130:N227)</f>
        <v>0</v>
      </c>
      <c r="O230" s="603" t="s">
        <v>2692</v>
      </c>
      <c r="P230" s="604"/>
      <c r="Q230" s="604"/>
      <c r="R230" s="604"/>
      <c r="S230" s="605"/>
      <c r="T230" s="321">
        <f>SUM(T130:T229)</f>
        <v>8670</v>
      </c>
      <c r="U230" s="331"/>
    </row>
    <row r="231" spans="1:21" ht="18" x14ac:dyDescent="0.25">
      <c r="A231" s="290"/>
      <c r="B231" s="284"/>
      <c r="C231" s="284"/>
      <c r="D231" s="284"/>
      <c r="E231" s="290"/>
      <c r="F231" s="284"/>
      <c r="G231" s="370"/>
      <c r="H231" s="284"/>
      <c r="I231" s="284"/>
      <c r="J231" s="289"/>
      <c r="K231" s="289"/>
      <c r="L231" s="291"/>
      <c r="M231" s="294"/>
      <c r="N231" s="290"/>
      <c r="O231" s="290"/>
      <c r="P231" s="290"/>
      <c r="Q231" s="284"/>
      <c r="R231" s="322"/>
      <c r="S231" s="290"/>
      <c r="T231" s="323"/>
      <c r="U231" s="332"/>
    </row>
    <row r="232" spans="1:21" ht="18" x14ac:dyDescent="0.25"/>
    <row r="233" spans="1:21" ht="18" x14ac:dyDescent="0.25"/>
    <row r="234" spans="1:21" ht="18" x14ac:dyDescent="0.25"/>
    <row r="235" spans="1:21" ht="18" x14ac:dyDescent="0.25"/>
    <row r="236" spans="1:21" ht="18" x14ac:dyDescent="0.25"/>
    <row r="237" spans="1:21" ht="18" x14ac:dyDescent="0.25"/>
    <row r="238" spans="1:21" ht="18" x14ac:dyDescent="0.25"/>
    <row r="239" spans="1:21" ht="18" x14ac:dyDescent="0.25"/>
    <row r="240" spans="1:21" ht="18" x14ac:dyDescent="0.25"/>
    <row r="241" ht="18" x14ac:dyDescent="0.25"/>
    <row r="242" ht="18" x14ac:dyDescent="0.25"/>
    <row r="243" ht="18" x14ac:dyDescent="0.25"/>
    <row r="244" ht="18" x14ac:dyDescent="0.25"/>
    <row r="245" ht="18" x14ac:dyDescent="0.25"/>
    <row r="246" ht="18" x14ac:dyDescent="0.25"/>
    <row r="247" ht="18" x14ac:dyDescent="0.25"/>
  </sheetData>
  <autoFilter ref="A23:V227" xr:uid="{00000000-0001-0000-0600-000000000000}">
    <filterColumn colId="19">
      <filters>
        <filter val="140.00"/>
        <filter val="20.00"/>
        <filter val="200.00"/>
        <filter val="40.00"/>
        <filter val="60.00"/>
      </filters>
    </filterColumn>
  </autoFilter>
  <mergeCells count="23">
    <mergeCell ref="A163:U163"/>
    <mergeCell ref="A190:U190"/>
    <mergeCell ref="C11:H11"/>
    <mergeCell ref="L5:M5"/>
    <mergeCell ref="L7:M7"/>
    <mergeCell ref="N9:R9"/>
    <mergeCell ref="N11:R11"/>
    <mergeCell ref="A230:M230"/>
    <mergeCell ref="B1:U1"/>
    <mergeCell ref="B2:U2"/>
    <mergeCell ref="B3:U3"/>
    <mergeCell ref="O230:S230"/>
    <mergeCell ref="L11:M11"/>
    <mergeCell ref="A22:U22"/>
    <mergeCell ref="N7:R7"/>
    <mergeCell ref="C7:H7"/>
    <mergeCell ref="C9:H9"/>
    <mergeCell ref="C5:H5"/>
    <mergeCell ref="L9:M9"/>
    <mergeCell ref="N5:R5"/>
    <mergeCell ref="P20:U20"/>
    <mergeCell ref="M20:O20"/>
    <mergeCell ref="A130:U130"/>
  </mergeCells>
  <phoneticPr fontId="60" type="noConversion"/>
  <printOptions horizontalCentered="1"/>
  <pageMargins left="0.23622047244094491" right="0.19685039370078741" top="0.74803149606299213" bottom="0.31496062992125984" header="0" footer="0"/>
  <pageSetup scale="26" fitToHeight="0" orientation="landscape" r:id="rId1"/>
  <headerFooter>
    <oddFooter>&amp;RPage &amp;P of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503"/>
  <sheetViews>
    <sheetView zoomScale="55" zoomScaleNormal="55" workbookViewId="0">
      <pane ySplit="20" topLeftCell="A21" activePane="bottomLeft" state="frozen"/>
      <selection pane="bottomLeft" activeCell="F111" sqref="F111"/>
    </sheetView>
  </sheetViews>
  <sheetFormatPr defaultColWidth="14.42578125" defaultRowHeight="50.1" customHeight="1" x14ac:dyDescent="0.25"/>
  <cols>
    <col min="1" max="1" width="7.5703125" customWidth="1"/>
    <col min="2" max="2" width="26.28515625" style="388" customWidth="1"/>
    <col min="3" max="3" width="30.28515625" style="498" customWidth="1"/>
    <col min="4" max="4" width="19.140625" customWidth="1"/>
    <col min="5" max="5" width="28.7109375" customWidth="1"/>
    <col min="6" max="6" width="27.140625" customWidth="1"/>
    <col min="7" max="8" width="18.42578125" customWidth="1"/>
    <col min="9" max="10" width="19.42578125" customWidth="1"/>
    <col min="11" max="11" width="15.85546875" customWidth="1"/>
    <col min="12" max="12" width="13.7109375" customWidth="1"/>
    <col min="13" max="13" width="14.85546875" customWidth="1"/>
    <col min="14" max="14" width="31.42578125" customWidth="1"/>
    <col min="15" max="15" width="31.5703125" customWidth="1"/>
  </cols>
  <sheetData>
    <row r="1" spans="1:15" ht="24.6" customHeight="1" x14ac:dyDescent="0.25">
      <c r="A1" s="43"/>
      <c r="B1" s="595"/>
      <c r="C1" s="555"/>
      <c r="D1" s="555"/>
      <c r="E1" s="555"/>
      <c r="F1" s="555"/>
      <c r="G1" s="555"/>
      <c r="H1" s="555"/>
      <c r="I1" s="555"/>
      <c r="J1" s="555"/>
      <c r="K1" s="555"/>
      <c r="L1" s="555"/>
      <c r="M1" s="555"/>
      <c r="N1" s="555"/>
      <c r="O1" s="80"/>
    </row>
    <row r="2" spans="1:15" ht="50.1" hidden="1" customHeight="1" x14ac:dyDescent="0.25">
      <c r="A2" s="43"/>
      <c r="B2" s="42"/>
      <c r="C2" s="42"/>
      <c r="D2" s="88"/>
      <c r="E2" s="89"/>
      <c r="F2" s="42"/>
      <c r="G2" s="90"/>
      <c r="H2" s="42"/>
      <c r="I2" s="77"/>
      <c r="J2" s="77"/>
      <c r="K2" s="77"/>
      <c r="L2" s="42"/>
      <c r="M2" s="91"/>
      <c r="N2" s="42"/>
      <c r="O2" s="80"/>
    </row>
    <row r="3" spans="1:15" ht="50.1" hidden="1" customHeight="1" x14ac:dyDescent="0.25">
      <c r="A3" s="595" t="s">
        <v>2611</v>
      </c>
      <c r="B3" s="555"/>
      <c r="C3" s="555"/>
      <c r="D3" s="555"/>
      <c r="E3" s="555"/>
      <c r="F3" s="555"/>
      <c r="G3" s="555"/>
      <c r="H3" s="555"/>
      <c r="I3" s="555"/>
      <c r="J3" s="555"/>
      <c r="K3" s="555"/>
      <c r="L3" s="555"/>
      <c r="M3" s="555"/>
      <c r="N3" s="555"/>
      <c r="O3" s="80"/>
    </row>
    <row r="4" spans="1:15" ht="50.1" hidden="1" customHeight="1" x14ac:dyDescent="0.25">
      <c r="A4" s="595" t="s">
        <v>2693</v>
      </c>
      <c r="B4" s="555"/>
      <c r="C4" s="555"/>
      <c r="D4" s="555"/>
      <c r="E4" s="555"/>
      <c r="F4" s="555"/>
      <c r="G4" s="555"/>
      <c r="H4" s="555"/>
      <c r="I4" s="555"/>
      <c r="J4" s="555"/>
      <c r="K4" s="555"/>
      <c r="L4" s="555"/>
      <c r="M4" s="555"/>
      <c r="N4" s="555"/>
      <c r="O4" s="80"/>
    </row>
    <row r="5" spans="1:15" ht="50.1" hidden="1" customHeight="1" x14ac:dyDescent="0.25">
      <c r="A5" s="92"/>
      <c r="B5" s="595" t="s">
        <v>2694</v>
      </c>
      <c r="C5" s="555"/>
      <c r="D5" s="555"/>
      <c r="E5" s="555"/>
      <c r="F5" s="555"/>
      <c r="G5" s="555"/>
      <c r="H5" s="555"/>
      <c r="I5" s="555"/>
      <c r="J5" s="555"/>
      <c r="K5" s="555"/>
      <c r="L5" s="555"/>
      <c r="M5" s="555"/>
      <c r="N5" s="555"/>
      <c r="O5" s="80"/>
    </row>
    <row r="6" spans="1:15" ht="50.1" hidden="1" customHeight="1" x14ac:dyDescent="0.25">
      <c r="A6" s="92"/>
      <c r="B6" s="42"/>
      <c r="C6" s="42"/>
      <c r="D6" s="88"/>
      <c r="E6" s="89"/>
      <c r="F6" s="42"/>
      <c r="G6" s="90"/>
      <c r="H6" s="42"/>
      <c r="I6" s="77"/>
      <c r="J6" s="77"/>
      <c r="K6" s="77"/>
      <c r="L6" s="42"/>
      <c r="M6" s="91"/>
      <c r="N6" s="42"/>
      <c r="O6" s="80"/>
    </row>
    <row r="7" spans="1:15" ht="50.1" hidden="1" customHeight="1" x14ac:dyDescent="0.25">
      <c r="A7" s="80"/>
      <c r="B7" s="79" t="s">
        <v>2613</v>
      </c>
      <c r="C7" s="636" t="s">
        <v>2614</v>
      </c>
      <c r="D7" s="545"/>
      <c r="E7" s="546"/>
      <c r="F7" s="93"/>
      <c r="G7" s="94"/>
      <c r="H7" s="606" t="s">
        <v>2617</v>
      </c>
      <c r="I7" s="556"/>
      <c r="J7" s="650">
        <f>BEMSdar!E7</f>
        <v>46082</v>
      </c>
      <c r="K7" s="545"/>
      <c r="L7" s="545"/>
      <c r="M7" s="545"/>
      <c r="N7" s="546"/>
      <c r="O7" s="80"/>
    </row>
    <row r="8" spans="1:15" ht="50.1" hidden="1" customHeight="1" x14ac:dyDescent="0.25">
      <c r="A8" s="80"/>
      <c r="B8" s="79"/>
      <c r="C8" s="83"/>
      <c r="D8" s="95"/>
      <c r="E8" s="96"/>
      <c r="F8" s="97"/>
      <c r="G8" s="98"/>
      <c r="H8" s="99"/>
      <c r="I8" s="84"/>
      <c r="J8" s="100"/>
      <c r="K8" s="97"/>
      <c r="L8" s="100"/>
      <c r="M8" s="100"/>
      <c r="N8" s="80"/>
      <c r="O8" s="80"/>
    </row>
    <row r="9" spans="1:15" ht="50.1" hidden="1" customHeight="1" x14ac:dyDescent="0.25">
      <c r="A9" s="80"/>
      <c r="B9" s="79" t="s">
        <v>2646</v>
      </c>
      <c r="C9" s="636" t="s">
        <v>2616</v>
      </c>
      <c r="D9" s="545"/>
      <c r="E9" s="546"/>
      <c r="F9" s="93"/>
      <c r="G9" s="94"/>
      <c r="H9" s="649" t="s">
        <v>3106</v>
      </c>
      <c r="I9" s="556"/>
      <c r="J9" s="651">
        <f>BEMSdar!E11</f>
        <v>352591.82400000002</v>
      </c>
      <c r="K9" s="545"/>
      <c r="L9" s="545"/>
      <c r="M9" s="545"/>
      <c r="N9" s="546"/>
      <c r="O9" s="80"/>
    </row>
    <row r="10" spans="1:15" ht="50.1" hidden="1" customHeight="1" x14ac:dyDescent="0.25">
      <c r="A10" s="80"/>
      <c r="B10" s="79"/>
      <c r="C10" s="83"/>
      <c r="D10" s="95"/>
      <c r="E10" s="96"/>
      <c r="F10" s="97"/>
      <c r="G10" s="98"/>
      <c r="H10" s="101"/>
      <c r="I10" s="102"/>
      <c r="J10" s="103"/>
      <c r="K10" s="100"/>
      <c r="L10" s="97"/>
      <c r="M10" s="100"/>
      <c r="N10" s="80"/>
      <c r="O10" s="80"/>
    </row>
    <row r="11" spans="1:15" ht="50.1" hidden="1" customHeight="1" x14ac:dyDescent="0.25">
      <c r="A11" s="80"/>
      <c r="B11" s="79" t="s">
        <v>2648</v>
      </c>
      <c r="C11" s="636" t="s">
        <v>2649</v>
      </c>
      <c r="D11" s="545"/>
      <c r="E11" s="546"/>
      <c r="F11" s="93"/>
      <c r="G11" s="94"/>
      <c r="H11" s="649" t="s">
        <v>2651</v>
      </c>
      <c r="I11" s="556"/>
      <c r="J11" s="651">
        <f>BEMSdar!E13</f>
        <v>9040.8159999999916</v>
      </c>
      <c r="K11" s="545"/>
      <c r="L11" s="545"/>
      <c r="M11" s="545"/>
      <c r="N11" s="546"/>
      <c r="O11" s="80"/>
    </row>
    <row r="12" spans="1:15" ht="50.1" hidden="1" customHeight="1" x14ac:dyDescent="0.25">
      <c r="A12" s="104"/>
      <c r="B12" s="104"/>
      <c r="C12" s="497"/>
      <c r="D12" s="95"/>
      <c r="E12" s="96"/>
      <c r="F12" s="97"/>
      <c r="G12" s="98"/>
      <c r="H12" s="100"/>
      <c r="I12" s="105"/>
      <c r="J12" s="106"/>
      <c r="K12" s="107"/>
      <c r="L12" s="104"/>
      <c r="M12" s="83"/>
      <c r="N12" s="104"/>
      <c r="O12" s="104"/>
    </row>
    <row r="13" spans="1:15" ht="50.1" hidden="1" customHeight="1" x14ac:dyDescent="0.25">
      <c r="A13" s="78" t="s">
        <v>2652</v>
      </c>
      <c r="B13" s="80"/>
      <c r="C13" s="83"/>
      <c r="D13" s="108"/>
      <c r="E13" s="109"/>
      <c r="F13" s="82"/>
      <c r="G13" s="110"/>
      <c r="H13" s="80"/>
      <c r="I13" s="85"/>
      <c r="J13" s="111"/>
      <c r="K13" s="85"/>
      <c r="L13" s="78"/>
      <c r="M13" s="82"/>
      <c r="N13" s="78"/>
      <c r="O13" s="78"/>
    </row>
    <row r="14" spans="1:15" ht="50.1" hidden="1" customHeight="1" x14ac:dyDescent="0.25">
      <c r="A14" s="78" t="s">
        <v>2653</v>
      </c>
      <c r="B14" s="80"/>
      <c r="C14" s="83"/>
      <c r="D14" s="108"/>
      <c r="E14" s="109"/>
      <c r="F14" s="82"/>
      <c r="G14" s="110"/>
      <c r="H14" s="80"/>
      <c r="I14" s="85"/>
      <c r="J14" s="111"/>
      <c r="K14" s="85"/>
      <c r="L14" s="78"/>
      <c r="M14" s="82"/>
      <c r="N14" s="78"/>
      <c r="O14" s="78"/>
    </row>
    <row r="15" spans="1:15" ht="50.1" hidden="1" customHeight="1" x14ac:dyDescent="0.25">
      <c r="A15" s="78" t="s">
        <v>2696</v>
      </c>
      <c r="B15" s="80"/>
      <c r="C15" s="83"/>
      <c r="D15" s="108"/>
      <c r="E15" s="109"/>
      <c r="F15" s="82"/>
      <c r="G15" s="110"/>
      <c r="H15" s="80"/>
      <c r="I15" s="85"/>
      <c r="J15" s="111"/>
      <c r="K15" s="85"/>
      <c r="L15" s="78"/>
      <c r="M15" s="82"/>
      <c r="N15" s="78"/>
      <c r="O15" s="78"/>
    </row>
    <row r="16" spans="1:15" ht="50.1" hidden="1" customHeight="1" x14ac:dyDescent="0.25">
      <c r="A16" s="78" t="s">
        <v>2697</v>
      </c>
      <c r="B16" s="80"/>
      <c r="C16" s="83"/>
      <c r="D16" s="108"/>
      <c r="E16" s="109"/>
      <c r="F16" s="82"/>
      <c r="G16" s="110"/>
      <c r="H16" s="80"/>
      <c r="I16" s="85"/>
      <c r="J16" s="111"/>
      <c r="K16" s="85"/>
      <c r="L16" s="78"/>
      <c r="M16" s="82"/>
      <c r="N16" s="78"/>
      <c r="O16" s="78"/>
    </row>
    <row r="17" spans="1:15" ht="50.1" hidden="1" customHeight="1" x14ac:dyDescent="0.25">
      <c r="A17" s="78" t="s">
        <v>2698</v>
      </c>
      <c r="B17" s="80"/>
      <c r="C17" s="83"/>
      <c r="D17" s="108"/>
      <c r="E17" s="109"/>
      <c r="F17" s="82"/>
      <c r="G17" s="110"/>
      <c r="H17" s="80"/>
      <c r="I17" s="85"/>
      <c r="J17" s="111"/>
      <c r="K17" s="85"/>
      <c r="L17" s="78"/>
      <c r="M17" s="82"/>
      <c r="N17" s="78"/>
      <c r="O17" s="78"/>
    </row>
    <row r="18" spans="1:15" ht="22.5" customHeight="1" x14ac:dyDescent="0.25">
      <c r="A18" s="80"/>
      <c r="B18" s="80"/>
      <c r="C18" s="83"/>
      <c r="D18" s="108"/>
      <c r="E18" s="109"/>
      <c r="F18" s="112"/>
      <c r="G18" s="113"/>
      <c r="H18" s="86"/>
      <c r="I18" s="87"/>
      <c r="J18" s="87"/>
      <c r="K18" s="87"/>
      <c r="L18" s="80"/>
      <c r="M18" s="83"/>
      <c r="N18" s="80"/>
      <c r="O18" s="80"/>
    </row>
    <row r="19" spans="1:15" ht="50.1" customHeight="1" x14ac:dyDescent="0.25">
      <c r="A19" s="641" t="s">
        <v>2658</v>
      </c>
      <c r="B19" s="642" t="s">
        <v>2659</v>
      </c>
      <c r="C19" s="641" t="s">
        <v>6</v>
      </c>
      <c r="D19" s="646" t="s">
        <v>2660</v>
      </c>
      <c r="E19" s="642" t="s">
        <v>2661</v>
      </c>
      <c r="F19" s="641" t="s">
        <v>2662</v>
      </c>
      <c r="G19" s="637" t="s">
        <v>2699</v>
      </c>
      <c r="H19" s="648" t="s">
        <v>2700</v>
      </c>
      <c r="I19" s="648" t="s">
        <v>2701</v>
      </c>
      <c r="J19" s="644" t="s">
        <v>2702</v>
      </c>
      <c r="K19" s="641" t="s">
        <v>2671</v>
      </c>
      <c r="L19" s="645" t="s">
        <v>2668</v>
      </c>
      <c r="M19" s="635" t="s">
        <v>2703</v>
      </c>
      <c r="N19" s="546"/>
      <c r="O19" s="114"/>
    </row>
    <row r="20" spans="1:15" ht="50.1" customHeight="1" x14ac:dyDescent="0.25">
      <c r="A20" s="543"/>
      <c r="B20" s="643"/>
      <c r="C20" s="647"/>
      <c r="D20" s="543"/>
      <c r="E20" s="543"/>
      <c r="F20" s="543"/>
      <c r="G20" s="543"/>
      <c r="H20" s="543"/>
      <c r="I20" s="543"/>
      <c r="J20" s="543"/>
      <c r="K20" s="543"/>
      <c r="L20" s="543"/>
      <c r="M20" s="115" t="s">
        <v>2672</v>
      </c>
      <c r="N20" s="115" t="s">
        <v>2673</v>
      </c>
      <c r="O20" s="114"/>
    </row>
    <row r="21" spans="1:15" ht="50.1" customHeight="1" x14ac:dyDescent="0.25">
      <c r="A21" s="652" t="s">
        <v>2704</v>
      </c>
      <c r="B21" s="653"/>
      <c r="C21" s="653"/>
      <c r="D21" s="653"/>
      <c r="E21" s="653"/>
      <c r="F21" s="653"/>
      <c r="G21" s="653"/>
      <c r="H21" s="653"/>
      <c r="I21" s="653"/>
      <c r="J21" s="653"/>
      <c r="K21" s="653"/>
      <c r="L21" s="653"/>
      <c r="M21" s="653"/>
      <c r="N21" s="654"/>
      <c r="O21" s="114"/>
    </row>
    <row r="22" spans="1:15" ht="48.95" customHeight="1" x14ac:dyDescent="0.25">
      <c r="A22" s="490">
        <v>1</v>
      </c>
      <c r="B22" s="268" t="s">
        <v>375</v>
      </c>
      <c r="C22" s="268" t="s">
        <v>4653</v>
      </c>
      <c r="D22" s="337">
        <v>1855</v>
      </c>
      <c r="E22" s="337" t="s">
        <v>4370</v>
      </c>
      <c r="F22" s="337" t="s">
        <v>4847</v>
      </c>
      <c r="G22" s="389">
        <v>46083</v>
      </c>
      <c r="H22" s="389">
        <v>46084</v>
      </c>
      <c r="I22" s="337"/>
      <c r="J22" s="389">
        <v>46084</v>
      </c>
      <c r="K22" s="337" t="s">
        <v>2678</v>
      </c>
      <c r="L22" s="273">
        <f t="shared" ref="L22:L24" si="0">ROUNDUP((D22/4999.99)*10,-1)</f>
        <v>10</v>
      </c>
      <c r="M22" s="273">
        <f t="shared" ref="M22:M24" si="1">IF(K22="N",0,L22)</f>
        <v>0</v>
      </c>
      <c r="N22" s="337" t="s">
        <v>3069</v>
      </c>
      <c r="O22" s="114"/>
    </row>
    <row r="23" spans="1:15" ht="50.1" customHeight="1" x14ac:dyDescent="0.25">
      <c r="A23" s="490">
        <v>5</v>
      </c>
      <c r="B23" s="268" t="s">
        <v>1380</v>
      </c>
      <c r="C23" s="268" t="s">
        <v>4658</v>
      </c>
      <c r="D23" s="337">
        <v>1950</v>
      </c>
      <c r="E23" s="337" t="s">
        <v>4374</v>
      </c>
      <c r="F23" s="337" t="s">
        <v>4847</v>
      </c>
      <c r="G23" s="389">
        <v>46084</v>
      </c>
      <c r="H23" s="389">
        <v>46085</v>
      </c>
      <c r="I23" s="337"/>
      <c r="J23" s="389">
        <v>46084</v>
      </c>
      <c r="K23" s="337" t="s">
        <v>2678</v>
      </c>
      <c r="L23" s="273">
        <f t="shared" si="0"/>
        <v>10</v>
      </c>
      <c r="M23" s="273">
        <f t="shared" si="1"/>
        <v>0</v>
      </c>
      <c r="N23" s="337" t="s">
        <v>3069</v>
      </c>
      <c r="O23" s="114"/>
    </row>
    <row r="24" spans="1:15" ht="50.1" customHeight="1" x14ac:dyDescent="0.25">
      <c r="A24" s="490">
        <v>6</v>
      </c>
      <c r="B24" s="268" t="s">
        <v>426</v>
      </c>
      <c r="C24" s="268" t="s">
        <v>3101</v>
      </c>
      <c r="D24" s="337">
        <v>10000</v>
      </c>
      <c r="E24" s="337" t="s">
        <v>4375</v>
      </c>
      <c r="F24" s="337" t="s">
        <v>2996</v>
      </c>
      <c r="G24" s="389">
        <v>46084</v>
      </c>
      <c r="H24" s="389">
        <v>46085</v>
      </c>
      <c r="I24" s="337"/>
      <c r="J24" s="389">
        <v>46085</v>
      </c>
      <c r="K24" s="337" t="s">
        <v>2678</v>
      </c>
      <c r="L24" s="273">
        <f t="shared" si="0"/>
        <v>30</v>
      </c>
      <c r="M24" s="273">
        <f t="shared" si="1"/>
        <v>0</v>
      </c>
      <c r="N24" s="337" t="s">
        <v>3069</v>
      </c>
      <c r="O24" s="114"/>
    </row>
    <row r="25" spans="1:15" ht="50.1" customHeight="1" x14ac:dyDescent="0.25">
      <c r="A25" s="490">
        <v>7</v>
      </c>
      <c r="B25" s="401" t="s">
        <v>3606</v>
      </c>
      <c r="C25" s="268" t="s">
        <v>4659</v>
      </c>
      <c r="D25" s="337">
        <v>3499</v>
      </c>
      <c r="E25" s="337" t="s">
        <v>4376</v>
      </c>
      <c r="F25" s="337" t="s">
        <v>3024</v>
      </c>
      <c r="G25" s="389">
        <v>46084</v>
      </c>
      <c r="H25" s="389">
        <v>46085</v>
      </c>
      <c r="I25" s="337"/>
      <c r="J25" s="389">
        <v>46084</v>
      </c>
      <c r="K25" s="337" t="s">
        <v>2678</v>
      </c>
      <c r="L25" s="273">
        <f t="shared" ref="L25:L29" si="2">ROUNDUP((D25/4999.99)*10,-1)</f>
        <v>10</v>
      </c>
      <c r="M25" s="273">
        <f t="shared" ref="M25:M29" si="3">IF(K25="N",0,L25)</f>
        <v>0</v>
      </c>
      <c r="N25" s="337" t="s">
        <v>3069</v>
      </c>
      <c r="O25" s="114"/>
    </row>
    <row r="26" spans="1:15" ht="50.1" customHeight="1" x14ac:dyDescent="0.25">
      <c r="A26" s="490">
        <v>8</v>
      </c>
      <c r="B26" s="495" t="s">
        <v>4660</v>
      </c>
      <c r="C26" s="268" t="s">
        <v>4659</v>
      </c>
      <c r="D26" s="337">
        <v>3499</v>
      </c>
      <c r="E26" s="337" t="s">
        <v>4377</v>
      </c>
      <c r="F26" s="337" t="s">
        <v>3024</v>
      </c>
      <c r="G26" s="389">
        <v>46084</v>
      </c>
      <c r="H26" s="389">
        <v>46085</v>
      </c>
      <c r="I26" s="337"/>
      <c r="J26" s="389">
        <v>46084</v>
      </c>
      <c r="K26" s="337" t="s">
        <v>2678</v>
      </c>
      <c r="L26" s="273">
        <f t="shared" si="2"/>
        <v>10</v>
      </c>
      <c r="M26" s="273">
        <f t="shared" si="3"/>
        <v>0</v>
      </c>
      <c r="N26" s="337" t="s">
        <v>3069</v>
      </c>
      <c r="O26" s="114"/>
    </row>
    <row r="27" spans="1:15" ht="50.1" customHeight="1" x14ac:dyDescent="0.25">
      <c r="A27" s="490">
        <v>10</v>
      </c>
      <c r="B27" s="268" t="s">
        <v>2117</v>
      </c>
      <c r="C27" s="268" t="s">
        <v>1987</v>
      </c>
      <c r="D27" s="337">
        <v>3386.5</v>
      </c>
      <c r="E27" s="337" t="s">
        <v>4379</v>
      </c>
      <c r="F27" s="337" t="s">
        <v>4847</v>
      </c>
      <c r="G27" s="389">
        <v>46084</v>
      </c>
      <c r="H27" s="389">
        <v>46085</v>
      </c>
      <c r="I27" s="337"/>
      <c r="J27" s="389">
        <v>46084</v>
      </c>
      <c r="K27" s="337" t="s">
        <v>2678</v>
      </c>
      <c r="L27" s="273">
        <f t="shared" si="2"/>
        <v>10</v>
      </c>
      <c r="M27" s="273">
        <f t="shared" si="3"/>
        <v>0</v>
      </c>
      <c r="N27" s="337" t="s">
        <v>3069</v>
      </c>
      <c r="O27" s="114"/>
    </row>
    <row r="28" spans="1:15" ht="50.1" customHeight="1" x14ac:dyDescent="0.25">
      <c r="A28" s="490">
        <v>11</v>
      </c>
      <c r="B28" s="268" t="s">
        <v>1377</v>
      </c>
      <c r="C28" s="268" t="s">
        <v>4658</v>
      </c>
      <c r="D28" s="337">
        <v>1950</v>
      </c>
      <c r="E28" s="337" t="s">
        <v>4380</v>
      </c>
      <c r="F28" s="337" t="s">
        <v>4847</v>
      </c>
      <c r="G28" s="389">
        <v>46084</v>
      </c>
      <c r="H28" s="389">
        <v>46085</v>
      </c>
      <c r="I28" s="337"/>
      <c r="J28" s="389">
        <v>46084</v>
      </c>
      <c r="K28" s="337" t="s">
        <v>2678</v>
      </c>
      <c r="L28" s="273">
        <f t="shared" si="2"/>
        <v>10</v>
      </c>
      <c r="M28" s="273">
        <f t="shared" si="3"/>
        <v>0</v>
      </c>
      <c r="N28" s="337" t="s">
        <v>3069</v>
      </c>
      <c r="O28" s="114"/>
    </row>
    <row r="29" spans="1:15" ht="50.1" customHeight="1" x14ac:dyDescent="0.25">
      <c r="A29" s="490">
        <v>12</v>
      </c>
      <c r="B29" s="268" t="s">
        <v>1378</v>
      </c>
      <c r="C29" s="268" t="s">
        <v>4658</v>
      </c>
      <c r="D29" s="337">
        <v>1950</v>
      </c>
      <c r="E29" s="337" t="s">
        <v>4381</v>
      </c>
      <c r="F29" s="337" t="s">
        <v>4847</v>
      </c>
      <c r="G29" s="389">
        <v>46084</v>
      </c>
      <c r="H29" s="389">
        <v>46085</v>
      </c>
      <c r="I29" s="337"/>
      <c r="J29" s="389">
        <v>46084</v>
      </c>
      <c r="K29" s="337" t="s">
        <v>2678</v>
      </c>
      <c r="L29" s="273">
        <f t="shared" si="2"/>
        <v>10</v>
      </c>
      <c r="M29" s="273">
        <f t="shared" si="3"/>
        <v>0</v>
      </c>
      <c r="N29" s="337" t="s">
        <v>3069</v>
      </c>
      <c r="O29" s="114"/>
    </row>
    <row r="30" spans="1:15" ht="50.1" customHeight="1" x14ac:dyDescent="0.25">
      <c r="A30" s="490">
        <v>13</v>
      </c>
      <c r="B30" s="268" t="s">
        <v>1379</v>
      </c>
      <c r="C30" s="268" t="s">
        <v>4658</v>
      </c>
      <c r="D30" s="337">
        <v>1950</v>
      </c>
      <c r="E30" s="337" t="s">
        <v>4382</v>
      </c>
      <c r="F30" s="337" t="s">
        <v>4847</v>
      </c>
      <c r="G30" s="389">
        <v>46084</v>
      </c>
      <c r="H30" s="389">
        <v>46085</v>
      </c>
      <c r="I30" s="337"/>
      <c r="J30" s="389">
        <v>46084</v>
      </c>
      <c r="K30" s="337" t="s">
        <v>2678</v>
      </c>
      <c r="L30" s="273">
        <f t="shared" ref="L30:L69" si="4">ROUNDUP((D30/4999.99)*10,-1)</f>
        <v>10</v>
      </c>
      <c r="M30" s="273">
        <f t="shared" ref="M30:M69" si="5">IF(K30="N",0,L30)</f>
        <v>0</v>
      </c>
      <c r="N30" s="337" t="s">
        <v>3069</v>
      </c>
      <c r="O30" s="114"/>
    </row>
    <row r="31" spans="1:15" ht="50.1" customHeight="1" x14ac:dyDescent="0.25">
      <c r="A31" s="490">
        <v>14</v>
      </c>
      <c r="B31" s="268" t="s">
        <v>1839</v>
      </c>
      <c r="C31" s="268" t="s">
        <v>1998</v>
      </c>
      <c r="D31" s="337">
        <v>7245</v>
      </c>
      <c r="E31" s="337" t="s">
        <v>4383</v>
      </c>
      <c r="F31" s="337" t="s">
        <v>4831</v>
      </c>
      <c r="G31" s="389">
        <v>46084</v>
      </c>
      <c r="H31" s="389">
        <v>46085</v>
      </c>
      <c r="I31" s="337"/>
      <c r="J31" s="389">
        <v>46084</v>
      </c>
      <c r="K31" s="337" t="s">
        <v>2678</v>
      </c>
      <c r="L31" s="273">
        <f t="shared" si="4"/>
        <v>20</v>
      </c>
      <c r="M31" s="273">
        <f t="shared" si="5"/>
        <v>0</v>
      </c>
      <c r="N31" s="337" t="s">
        <v>3069</v>
      </c>
      <c r="O31" s="114"/>
    </row>
    <row r="32" spans="1:15" ht="50.1" customHeight="1" x14ac:dyDescent="0.25">
      <c r="A32" s="490">
        <v>15</v>
      </c>
      <c r="B32" s="268" t="s">
        <v>1840</v>
      </c>
      <c r="C32" s="268" t="s">
        <v>1998</v>
      </c>
      <c r="D32" s="337">
        <v>7245</v>
      </c>
      <c r="E32" s="337" t="s">
        <v>4384</v>
      </c>
      <c r="F32" s="337" t="s">
        <v>4831</v>
      </c>
      <c r="G32" s="389">
        <v>46084</v>
      </c>
      <c r="H32" s="389">
        <v>46085</v>
      </c>
      <c r="I32" s="337"/>
      <c r="J32" s="389">
        <v>46084</v>
      </c>
      <c r="K32" s="337" t="s">
        <v>2678</v>
      </c>
      <c r="L32" s="273">
        <f t="shared" si="4"/>
        <v>20</v>
      </c>
      <c r="M32" s="273">
        <f t="shared" si="5"/>
        <v>0</v>
      </c>
      <c r="N32" s="337" t="s">
        <v>3069</v>
      </c>
      <c r="O32" s="114"/>
    </row>
    <row r="33" spans="1:15" ht="50.1" customHeight="1" x14ac:dyDescent="0.25">
      <c r="A33" s="490">
        <v>16</v>
      </c>
      <c r="B33" s="268" t="s">
        <v>1841</v>
      </c>
      <c r="C33" s="268" t="s">
        <v>1998</v>
      </c>
      <c r="D33" s="337">
        <v>7245</v>
      </c>
      <c r="E33" s="337" t="s">
        <v>4385</v>
      </c>
      <c r="F33" s="337" t="s">
        <v>4831</v>
      </c>
      <c r="G33" s="389">
        <v>46084</v>
      </c>
      <c r="H33" s="389">
        <v>46085</v>
      </c>
      <c r="I33" s="337"/>
      <c r="J33" s="389">
        <v>46084</v>
      </c>
      <c r="K33" s="337" t="s">
        <v>2678</v>
      </c>
      <c r="L33" s="273">
        <f t="shared" si="4"/>
        <v>20</v>
      </c>
      <c r="M33" s="273">
        <f t="shared" si="5"/>
        <v>0</v>
      </c>
      <c r="N33" s="337" t="s">
        <v>3069</v>
      </c>
      <c r="O33" s="114"/>
    </row>
    <row r="34" spans="1:15" ht="50.1" customHeight="1" x14ac:dyDescent="0.25">
      <c r="A34" s="490">
        <v>17</v>
      </c>
      <c r="B34" s="268" t="s">
        <v>1842</v>
      </c>
      <c r="C34" s="268" t="s">
        <v>1998</v>
      </c>
      <c r="D34" s="337">
        <v>7245</v>
      </c>
      <c r="E34" s="337" t="s">
        <v>4386</v>
      </c>
      <c r="F34" s="337" t="s">
        <v>4831</v>
      </c>
      <c r="G34" s="389">
        <v>46084</v>
      </c>
      <c r="H34" s="389">
        <v>46085</v>
      </c>
      <c r="I34" s="337"/>
      <c r="J34" s="389">
        <v>46084</v>
      </c>
      <c r="K34" s="337" t="s">
        <v>2678</v>
      </c>
      <c r="L34" s="273">
        <f t="shared" si="4"/>
        <v>20</v>
      </c>
      <c r="M34" s="273">
        <f t="shared" si="5"/>
        <v>0</v>
      </c>
      <c r="N34" s="337" t="s">
        <v>3069</v>
      </c>
      <c r="O34" s="114"/>
    </row>
    <row r="35" spans="1:15" ht="50.1" customHeight="1" x14ac:dyDescent="0.25">
      <c r="A35" s="490">
        <v>18</v>
      </c>
      <c r="B35" s="268" t="s">
        <v>1843</v>
      </c>
      <c r="C35" s="268" t="s">
        <v>1998</v>
      </c>
      <c r="D35" s="337">
        <v>7245</v>
      </c>
      <c r="E35" s="337" t="s">
        <v>4387</v>
      </c>
      <c r="F35" s="337" t="s">
        <v>4831</v>
      </c>
      <c r="G35" s="389">
        <v>46084</v>
      </c>
      <c r="H35" s="389">
        <v>46085</v>
      </c>
      <c r="I35" s="337"/>
      <c r="J35" s="389">
        <v>46084</v>
      </c>
      <c r="K35" s="337" t="s">
        <v>2678</v>
      </c>
      <c r="L35" s="273">
        <f t="shared" si="4"/>
        <v>20</v>
      </c>
      <c r="M35" s="273">
        <f t="shared" si="5"/>
        <v>0</v>
      </c>
      <c r="N35" s="337" t="s">
        <v>3069</v>
      </c>
      <c r="O35" s="114"/>
    </row>
    <row r="36" spans="1:15" ht="50.1" customHeight="1" x14ac:dyDescent="0.25">
      <c r="A36" s="490">
        <v>19</v>
      </c>
      <c r="B36" s="268" t="s">
        <v>1375</v>
      </c>
      <c r="C36" s="268" t="s">
        <v>4658</v>
      </c>
      <c r="D36" s="337">
        <v>1950</v>
      </c>
      <c r="E36" s="337" t="s">
        <v>4388</v>
      </c>
      <c r="F36" s="337" t="s">
        <v>3023</v>
      </c>
      <c r="G36" s="389">
        <v>46084</v>
      </c>
      <c r="H36" s="389">
        <v>46085</v>
      </c>
      <c r="I36" s="337"/>
      <c r="J36" s="389">
        <v>46084</v>
      </c>
      <c r="K36" s="337" t="s">
        <v>2678</v>
      </c>
      <c r="L36" s="273">
        <f t="shared" si="4"/>
        <v>10</v>
      </c>
      <c r="M36" s="273">
        <f t="shared" si="5"/>
        <v>0</v>
      </c>
      <c r="N36" s="337" t="s">
        <v>3069</v>
      </c>
      <c r="O36" s="114"/>
    </row>
    <row r="37" spans="1:15" ht="50.1" customHeight="1" x14ac:dyDescent="0.25">
      <c r="A37" s="490">
        <v>22</v>
      </c>
      <c r="B37" s="268" t="s">
        <v>1381</v>
      </c>
      <c r="C37" s="268" t="s">
        <v>4658</v>
      </c>
      <c r="D37" s="337">
        <v>1950</v>
      </c>
      <c r="E37" s="337" t="s">
        <v>4391</v>
      </c>
      <c r="F37" s="337" t="s">
        <v>2996</v>
      </c>
      <c r="G37" s="389">
        <v>46084</v>
      </c>
      <c r="H37" s="389">
        <v>46085</v>
      </c>
      <c r="I37" s="337"/>
      <c r="J37" s="389">
        <v>46085</v>
      </c>
      <c r="K37" s="337" t="s">
        <v>2678</v>
      </c>
      <c r="L37" s="273">
        <f t="shared" si="4"/>
        <v>10</v>
      </c>
      <c r="M37" s="273">
        <f t="shared" si="5"/>
        <v>0</v>
      </c>
      <c r="N37" s="337" t="s">
        <v>3069</v>
      </c>
      <c r="O37" s="114"/>
    </row>
    <row r="38" spans="1:15" ht="50.1" customHeight="1" x14ac:dyDescent="0.25">
      <c r="A38" s="490">
        <v>23</v>
      </c>
      <c r="B38" s="268" t="s">
        <v>2158</v>
      </c>
      <c r="C38" s="268" t="s">
        <v>1995</v>
      </c>
      <c r="D38" s="337">
        <v>4300</v>
      </c>
      <c r="E38" s="337" t="s">
        <v>4392</v>
      </c>
      <c r="F38" s="337" t="s">
        <v>3024</v>
      </c>
      <c r="G38" s="389">
        <v>46085</v>
      </c>
      <c r="H38" s="389">
        <v>46086</v>
      </c>
      <c r="I38" s="337"/>
      <c r="J38" s="389">
        <v>46085</v>
      </c>
      <c r="K38" s="337" t="s">
        <v>2678</v>
      </c>
      <c r="L38" s="273">
        <f t="shared" si="4"/>
        <v>10</v>
      </c>
      <c r="M38" s="273">
        <f t="shared" si="5"/>
        <v>0</v>
      </c>
      <c r="N38" s="337" t="s">
        <v>3069</v>
      </c>
      <c r="O38" s="114"/>
    </row>
    <row r="39" spans="1:15" ht="50.1" customHeight="1" x14ac:dyDescent="0.25">
      <c r="A39" s="490">
        <v>24</v>
      </c>
      <c r="B39" s="268" t="s">
        <v>2159</v>
      </c>
      <c r="C39" s="268" t="s">
        <v>1995</v>
      </c>
      <c r="D39" s="337">
        <v>4300</v>
      </c>
      <c r="E39" s="337" t="s">
        <v>4393</v>
      </c>
      <c r="F39" s="337" t="s">
        <v>3024</v>
      </c>
      <c r="G39" s="389">
        <v>46085</v>
      </c>
      <c r="H39" s="389">
        <v>46086</v>
      </c>
      <c r="I39" s="337"/>
      <c r="J39" s="389">
        <v>46085</v>
      </c>
      <c r="K39" s="337" t="s">
        <v>2678</v>
      </c>
      <c r="L39" s="273">
        <f t="shared" si="4"/>
        <v>10</v>
      </c>
      <c r="M39" s="273">
        <f t="shared" si="5"/>
        <v>0</v>
      </c>
      <c r="N39" s="337" t="s">
        <v>3069</v>
      </c>
      <c r="O39" s="114"/>
    </row>
    <row r="40" spans="1:15" ht="50.1" customHeight="1" x14ac:dyDescent="0.25">
      <c r="A40" s="490">
        <v>25</v>
      </c>
      <c r="B40" s="268" t="s">
        <v>2160</v>
      </c>
      <c r="C40" s="268" t="s">
        <v>1995</v>
      </c>
      <c r="D40" s="337">
        <v>4300</v>
      </c>
      <c r="E40" s="337" t="s">
        <v>4394</v>
      </c>
      <c r="F40" s="337" t="s">
        <v>3024</v>
      </c>
      <c r="G40" s="389">
        <v>46085</v>
      </c>
      <c r="H40" s="389">
        <v>46086</v>
      </c>
      <c r="I40" s="337"/>
      <c r="J40" s="389">
        <v>46085</v>
      </c>
      <c r="K40" s="337" t="s">
        <v>2678</v>
      </c>
      <c r="L40" s="273">
        <f t="shared" si="4"/>
        <v>10</v>
      </c>
      <c r="M40" s="273">
        <f t="shared" si="5"/>
        <v>0</v>
      </c>
      <c r="N40" s="337" t="s">
        <v>3069</v>
      </c>
      <c r="O40" s="114"/>
    </row>
    <row r="41" spans="1:15" ht="50.1" customHeight="1" x14ac:dyDescent="0.25">
      <c r="A41" s="490">
        <v>26</v>
      </c>
      <c r="B41" s="268" t="s">
        <v>2161</v>
      </c>
      <c r="C41" s="268" t="s">
        <v>1995</v>
      </c>
      <c r="D41" s="337">
        <v>4300</v>
      </c>
      <c r="E41" s="337" t="s">
        <v>4395</v>
      </c>
      <c r="F41" s="337" t="s">
        <v>3024</v>
      </c>
      <c r="G41" s="389">
        <v>46085</v>
      </c>
      <c r="H41" s="389">
        <v>46086</v>
      </c>
      <c r="I41" s="337"/>
      <c r="J41" s="389">
        <v>46085</v>
      </c>
      <c r="K41" s="337" t="s">
        <v>2678</v>
      </c>
      <c r="L41" s="273">
        <f t="shared" si="4"/>
        <v>10</v>
      </c>
      <c r="M41" s="273">
        <f t="shared" si="5"/>
        <v>0</v>
      </c>
      <c r="N41" s="337" t="s">
        <v>3069</v>
      </c>
      <c r="O41" s="114"/>
    </row>
    <row r="42" spans="1:15" ht="50.1" customHeight="1" x14ac:dyDescent="0.25">
      <c r="A42" s="490">
        <v>29</v>
      </c>
      <c r="B42" s="268" t="s">
        <v>1893</v>
      </c>
      <c r="C42" s="268" t="s">
        <v>1995</v>
      </c>
      <c r="D42" s="337">
        <v>2700</v>
      </c>
      <c r="E42" s="337" t="s">
        <v>4398</v>
      </c>
      <c r="F42" s="337" t="s">
        <v>4831</v>
      </c>
      <c r="G42" s="389">
        <v>46085</v>
      </c>
      <c r="H42" s="389">
        <v>46086</v>
      </c>
      <c r="I42" s="337"/>
      <c r="J42" s="389">
        <v>46106</v>
      </c>
      <c r="K42" s="337" t="s">
        <v>2678</v>
      </c>
      <c r="L42" s="273">
        <f t="shared" si="4"/>
        <v>10</v>
      </c>
      <c r="M42" s="273">
        <f t="shared" si="5"/>
        <v>0</v>
      </c>
      <c r="N42" s="337" t="s">
        <v>3069</v>
      </c>
      <c r="O42" s="114"/>
    </row>
    <row r="43" spans="1:15" ht="50.1" customHeight="1" x14ac:dyDescent="0.25">
      <c r="A43" s="490">
        <v>30</v>
      </c>
      <c r="B43" s="268" t="s">
        <v>1894</v>
      </c>
      <c r="C43" s="268" t="s">
        <v>1995</v>
      </c>
      <c r="D43" s="337">
        <v>2700</v>
      </c>
      <c r="E43" s="337" t="s">
        <v>4399</v>
      </c>
      <c r="F43" s="337" t="s">
        <v>4831</v>
      </c>
      <c r="G43" s="389">
        <v>46085</v>
      </c>
      <c r="H43" s="389">
        <v>46086</v>
      </c>
      <c r="I43" s="337"/>
      <c r="J43" s="389">
        <v>46086</v>
      </c>
      <c r="K43" s="337" t="s">
        <v>2678</v>
      </c>
      <c r="L43" s="273">
        <f t="shared" si="4"/>
        <v>10</v>
      </c>
      <c r="M43" s="273">
        <f t="shared" si="5"/>
        <v>0</v>
      </c>
      <c r="N43" s="337" t="s">
        <v>3069</v>
      </c>
      <c r="O43" s="114"/>
    </row>
    <row r="44" spans="1:15" ht="50.1" customHeight="1" x14ac:dyDescent="0.25">
      <c r="A44" s="490">
        <v>31</v>
      </c>
      <c r="B44" s="268" t="s">
        <v>1895</v>
      </c>
      <c r="C44" s="268" t="s">
        <v>1995</v>
      </c>
      <c r="D44" s="337">
        <v>2700</v>
      </c>
      <c r="E44" s="337" t="s">
        <v>4400</v>
      </c>
      <c r="F44" s="337" t="s">
        <v>4831</v>
      </c>
      <c r="G44" s="389">
        <v>46085</v>
      </c>
      <c r="H44" s="389">
        <v>46086</v>
      </c>
      <c r="I44" s="337"/>
      <c r="J44" s="389">
        <v>46086</v>
      </c>
      <c r="K44" s="337" t="s">
        <v>2678</v>
      </c>
      <c r="L44" s="273">
        <f t="shared" si="4"/>
        <v>10</v>
      </c>
      <c r="M44" s="273">
        <f t="shared" si="5"/>
        <v>0</v>
      </c>
      <c r="N44" s="337" t="s">
        <v>3069</v>
      </c>
      <c r="O44" s="114"/>
    </row>
    <row r="45" spans="1:15" ht="50.1" customHeight="1" x14ac:dyDescent="0.25">
      <c r="A45" s="490">
        <v>32</v>
      </c>
      <c r="B45" s="268" t="s">
        <v>1896</v>
      </c>
      <c r="C45" s="268" t="s">
        <v>1995</v>
      </c>
      <c r="D45" s="337">
        <v>2700</v>
      </c>
      <c r="E45" s="337" t="s">
        <v>4401</v>
      </c>
      <c r="F45" s="337" t="s">
        <v>4831</v>
      </c>
      <c r="G45" s="389">
        <v>46085</v>
      </c>
      <c r="H45" s="389">
        <v>46086</v>
      </c>
      <c r="I45" s="337"/>
      <c r="J45" s="389">
        <v>46085</v>
      </c>
      <c r="K45" s="337" t="s">
        <v>2678</v>
      </c>
      <c r="L45" s="273">
        <f t="shared" si="4"/>
        <v>10</v>
      </c>
      <c r="M45" s="273">
        <f t="shared" si="5"/>
        <v>0</v>
      </c>
      <c r="N45" s="337" t="s">
        <v>3069</v>
      </c>
      <c r="O45" s="114"/>
    </row>
    <row r="46" spans="1:15" ht="50.1" customHeight="1" x14ac:dyDescent="0.25">
      <c r="A46" s="490">
        <v>38</v>
      </c>
      <c r="B46" s="268" t="s">
        <v>1930</v>
      </c>
      <c r="C46" s="268" t="s">
        <v>1987</v>
      </c>
      <c r="D46" s="337">
        <v>3386.5</v>
      </c>
      <c r="E46" s="337" t="s">
        <v>4407</v>
      </c>
      <c r="F46" s="337" t="s">
        <v>4831</v>
      </c>
      <c r="G46" s="389">
        <v>46086</v>
      </c>
      <c r="H46" s="389">
        <v>46087</v>
      </c>
      <c r="I46" s="337"/>
      <c r="J46" s="389">
        <v>46086</v>
      </c>
      <c r="K46" s="337" t="s">
        <v>2678</v>
      </c>
      <c r="L46" s="273">
        <f t="shared" si="4"/>
        <v>10</v>
      </c>
      <c r="M46" s="273">
        <f t="shared" si="5"/>
        <v>0</v>
      </c>
      <c r="N46" s="337" t="s">
        <v>3069</v>
      </c>
      <c r="O46" s="114"/>
    </row>
    <row r="47" spans="1:15" ht="50.1" customHeight="1" x14ac:dyDescent="0.25">
      <c r="A47" s="490">
        <v>39</v>
      </c>
      <c r="B47" s="268" t="s">
        <v>2182</v>
      </c>
      <c r="C47" s="268" t="s">
        <v>1987</v>
      </c>
      <c r="D47" s="337">
        <v>5900</v>
      </c>
      <c r="E47" s="337" t="s">
        <v>4408</v>
      </c>
      <c r="F47" s="337" t="s">
        <v>2707</v>
      </c>
      <c r="G47" s="389">
        <v>46086</v>
      </c>
      <c r="H47" s="389">
        <v>46087</v>
      </c>
      <c r="I47" s="337"/>
      <c r="J47" s="389">
        <v>46107</v>
      </c>
      <c r="K47" s="337" t="s">
        <v>2678</v>
      </c>
      <c r="L47" s="273">
        <f t="shared" si="4"/>
        <v>20</v>
      </c>
      <c r="M47" s="273">
        <f t="shared" si="5"/>
        <v>0</v>
      </c>
      <c r="N47" s="337" t="s">
        <v>3107</v>
      </c>
      <c r="O47" s="114"/>
    </row>
    <row r="48" spans="1:15" ht="50.1" customHeight="1" x14ac:dyDescent="0.25">
      <c r="A48" s="490">
        <v>42</v>
      </c>
      <c r="B48" s="268" t="s">
        <v>608</v>
      </c>
      <c r="C48" s="268" t="s">
        <v>564</v>
      </c>
      <c r="D48" s="337">
        <v>1820</v>
      </c>
      <c r="E48" s="337" t="s">
        <v>4411</v>
      </c>
      <c r="F48" s="337" t="s">
        <v>2707</v>
      </c>
      <c r="G48" s="389">
        <v>46086</v>
      </c>
      <c r="H48" s="389">
        <v>46087</v>
      </c>
      <c r="I48" s="337"/>
      <c r="J48" s="389">
        <v>46086</v>
      </c>
      <c r="K48" s="337" t="s">
        <v>2678</v>
      </c>
      <c r="L48" s="273">
        <f t="shared" si="4"/>
        <v>10</v>
      </c>
      <c r="M48" s="273">
        <f t="shared" si="5"/>
        <v>0</v>
      </c>
      <c r="N48" s="337" t="s">
        <v>3069</v>
      </c>
      <c r="O48" s="114"/>
    </row>
    <row r="49" spans="1:15" ht="50.1" customHeight="1" x14ac:dyDescent="0.25">
      <c r="A49" s="490">
        <v>43</v>
      </c>
      <c r="B49" s="268" t="s">
        <v>609</v>
      </c>
      <c r="C49" s="268" t="s">
        <v>564</v>
      </c>
      <c r="D49" s="337">
        <v>1820</v>
      </c>
      <c r="E49" s="337" t="s">
        <v>4412</v>
      </c>
      <c r="F49" s="337" t="s">
        <v>2707</v>
      </c>
      <c r="G49" s="389">
        <v>46086</v>
      </c>
      <c r="H49" s="389">
        <v>46087</v>
      </c>
      <c r="I49" s="337"/>
      <c r="J49" s="389">
        <v>46086</v>
      </c>
      <c r="K49" s="337" t="s">
        <v>2678</v>
      </c>
      <c r="L49" s="273">
        <f t="shared" si="4"/>
        <v>10</v>
      </c>
      <c r="M49" s="273">
        <f t="shared" si="5"/>
        <v>0</v>
      </c>
      <c r="N49" s="337" t="s">
        <v>3069</v>
      </c>
      <c r="O49" s="114"/>
    </row>
    <row r="50" spans="1:15" ht="50.1" customHeight="1" x14ac:dyDescent="0.25">
      <c r="A50" s="490">
        <v>44</v>
      </c>
      <c r="B50" s="268" t="s">
        <v>611</v>
      </c>
      <c r="C50" s="268" t="s">
        <v>564</v>
      </c>
      <c r="D50" s="337">
        <v>1820</v>
      </c>
      <c r="E50" s="337" t="s">
        <v>4413</v>
      </c>
      <c r="F50" s="337" t="s">
        <v>2707</v>
      </c>
      <c r="G50" s="389">
        <v>46086</v>
      </c>
      <c r="H50" s="389">
        <v>46087</v>
      </c>
      <c r="I50" s="337"/>
      <c r="J50" s="389">
        <v>46086</v>
      </c>
      <c r="K50" s="337" t="s">
        <v>2678</v>
      </c>
      <c r="L50" s="273">
        <f t="shared" si="4"/>
        <v>10</v>
      </c>
      <c r="M50" s="273">
        <f t="shared" si="5"/>
        <v>0</v>
      </c>
      <c r="N50" s="337" t="s">
        <v>3069</v>
      </c>
      <c r="O50" s="114"/>
    </row>
    <row r="51" spans="1:15" ht="50.1" customHeight="1" x14ac:dyDescent="0.25">
      <c r="A51" s="490">
        <v>45</v>
      </c>
      <c r="B51" s="268" t="s">
        <v>612</v>
      </c>
      <c r="C51" s="268" t="s">
        <v>564</v>
      </c>
      <c r="D51" s="337">
        <v>1820</v>
      </c>
      <c r="E51" s="337" t="s">
        <v>4414</v>
      </c>
      <c r="F51" s="337" t="s">
        <v>2707</v>
      </c>
      <c r="G51" s="389">
        <v>46086</v>
      </c>
      <c r="H51" s="389">
        <v>46087</v>
      </c>
      <c r="I51" s="337"/>
      <c r="J51" s="389">
        <v>46086</v>
      </c>
      <c r="K51" s="337" t="s">
        <v>2678</v>
      </c>
      <c r="L51" s="273">
        <f t="shared" si="4"/>
        <v>10</v>
      </c>
      <c r="M51" s="273">
        <f t="shared" si="5"/>
        <v>0</v>
      </c>
      <c r="N51" s="337" t="s">
        <v>3069</v>
      </c>
      <c r="O51" s="114"/>
    </row>
    <row r="52" spans="1:15" ht="50.1" customHeight="1" x14ac:dyDescent="0.25">
      <c r="A52" s="490">
        <v>47</v>
      </c>
      <c r="B52" s="268" t="s">
        <v>2354</v>
      </c>
      <c r="C52" s="268" t="s">
        <v>1153</v>
      </c>
      <c r="D52" s="337">
        <v>7400</v>
      </c>
      <c r="E52" s="337" t="s">
        <v>4416</v>
      </c>
      <c r="F52" s="337" t="s">
        <v>3025</v>
      </c>
      <c r="G52" s="389">
        <v>46087</v>
      </c>
      <c r="H52" s="389">
        <v>46088</v>
      </c>
      <c r="I52" s="337"/>
      <c r="J52" s="389">
        <v>46087</v>
      </c>
      <c r="K52" s="337" t="s">
        <v>2678</v>
      </c>
      <c r="L52" s="273">
        <f t="shared" si="4"/>
        <v>20</v>
      </c>
      <c r="M52" s="273">
        <f t="shared" si="5"/>
        <v>0</v>
      </c>
      <c r="N52" s="337" t="s">
        <v>3069</v>
      </c>
      <c r="O52" s="114"/>
    </row>
    <row r="53" spans="1:15" ht="50.1" customHeight="1" x14ac:dyDescent="0.25">
      <c r="A53" s="490">
        <v>48</v>
      </c>
      <c r="B53" s="268" t="s">
        <v>2355</v>
      </c>
      <c r="C53" s="268" t="s">
        <v>1153</v>
      </c>
      <c r="D53" s="337">
        <v>7400</v>
      </c>
      <c r="E53" s="337" t="s">
        <v>4417</v>
      </c>
      <c r="F53" s="337" t="s">
        <v>3025</v>
      </c>
      <c r="G53" s="389">
        <v>46087</v>
      </c>
      <c r="H53" s="389">
        <v>46088</v>
      </c>
      <c r="I53" s="337"/>
      <c r="J53" s="389">
        <v>46087</v>
      </c>
      <c r="K53" s="337" t="s">
        <v>2678</v>
      </c>
      <c r="L53" s="273">
        <f t="shared" si="4"/>
        <v>20</v>
      </c>
      <c r="M53" s="273">
        <f t="shared" si="5"/>
        <v>0</v>
      </c>
      <c r="N53" s="337" t="s">
        <v>3069</v>
      </c>
      <c r="O53" s="114"/>
    </row>
    <row r="54" spans="1:15" ht="50.1" customHeight="1" x14ac:dyDescent="0.25">
      <c r="A54" s="490">
        <v>50</v>
      </c>
      <c r="B54" s="268" t="s">
        <v>1279</v>
      </c>
      <c r="C54" s="268" t="s">
        <v>4661</v>
      </c>
      <c r="D54" s="337">
        <v>8880</v>
      </c>
      <c r="E54" s="337" t="s">
        <v>4419</v>
      </c>
      <c r="F54" s="337" t="s">
        <v>3249</v>
      </c>
      <c r="G54" s="389">
        <v>46087</v>
      </c>
      <c r="H54" s="389">
        <v>46088</v>
      </c>
      <c r="I54" s="337"/>
      <c r="J54" s="389">
        <v>46093</v>
      </c>
      <c r="K54" s="337" t="s">
        <v>2678</v>
      </c>
      <c r="L54" s="273">
        <f t="shared" si="4"/>
        <v>20</v>
      </c>
      <c r="M54" s="273">
        <f t="shared" si="5"/>
        <v>0</v>
      </c>
      <c r="N54" s="337" t="s">
        <v>3069</v>
      </c>
      <c r="O54" s="114"/>
    </row>
    <row r="55" spans="1:15" ht="50.1" customHeight="1" x14ac:dyDescent="0.25">
      <c r="A55" s="490">
        <v>55</v>
      </c>
      <c r="B55" s="268" t="s">
        <v>1648</v>
      </c>
      <c r="C55" s="268" t="s">
        <v>1995</v>
      </c>
      <c r="D55" s="337">
        <v>4300</v>
      </c>
      <c r="E55" s="337" t="s">
        <v>4424</v>
      </c>
      <c r="F55" s="337" t="s">
        <v>3026</v>
      </c>
      <c r="G55" s="389">
        <v>46087</v>
      </c>
      <c r="H55" s="389">
        <v>46088</v>
      </c>
      <c r="I55" s="337"/>
      <c r="J55" s="389">
        <v>46087</v>
      </c>
      <c r="K55" s="337" t="s">
        <v>2678</v>
      </c>
      <c r="L55" s="273">
        <f t="shared" si="4"/>
        <v>10</v>
      </c>
      <c r="M55" s="273">
        <f t="shared" si="5"/>
        <v>0</v>
      </c>
      <c r="N55" s="337" t="s">
        <v>3069</v>
      </c>
      <c r="O55" s="114"/>
    </row>
    <row r="56" spans="1:15" ht="50.1" customHeight="1" x14ac:dyDescent="0.25">
      <c r="A56" s="490">
        <v>56</v>
      </c>
      <c r="B56" s="268" t="s">
        <v>1649</v>
      </c>
      <c r="C56" s="268" t="s">
        <v>1995</v>
      </c>
      <c r="D56" s="337">
        <v>4300</v>
      </c>
      <c r="E56" s="337" t="s">
        <v>4425</v>
      </c>
      <c r="F56" s="337" t="s">
        <v>3026</v>
      </c>
      <c r="G56" s="389">
        <v>46087</v>
      </c>
      <c r="H56" s="389">
        <v>46088</v>
      </c>
      <c r="I56" s="337"/>
      <c r="J56" s="389">
        <v>46087</v>
      </c>
      <c r="K56" s="337" t="s">
        <v>2678</v>
      </c>
      <c r="L56" s="273">
        <f t="shared" si="4"/>
        <v>10</v>
      </c>
      <c r="M56" s="273">
        <f t="shared" si="5"/>
        <v>0</v>
      </c>
      <c r="N56" s="337" t="s">
        <v>3069</v>
      </c>
      <c r="O56" s="114"/>
    </row>
    <row r="57" spans="1:15" ht="50.1" customHeight="1" x14ac:dyDescent="0.25">
      <c r="A57" s="490">
        <v>58</v>
      </c>
      <c r="B57" s="268" t="s">
        <v>1651</v>
      </c>
      <c r="C57" s="268" t="s">
        <v>1995</v>
      </c>
      <c r="D57" s="337">
        <v>4300</v>
      </c>
      <c r="E57" s="337" t="s">
        <v>4427</v>
      </c>
      <c r="F57" s="337" t="s">
        <v>3026</v>
      </c>
      <c r="G57" s="389">
        <v>46087</v>
      </c>
      <c r="H57" s="389">
        <v>46088</v>
      </c>
      <c r="I57" s="337"/>
      <c r="J57" s="389">
        <v>46087</v>
      </c>
      <c r="K57" s="337" t="s">
        <v>2678</v>
      </c>
      <c r="L57" s="273">
        <f t="shared" si="4"/>
        <v>10</v>
      </c>
      <c r="M57" s="273">
        <f t="shared" si="5"/>
        <v>0</v>
      </c>
      <c r="N57" s="337" t="s">
        <v>3069</v>
      </c>
      <c r="O57" s="114"/>
    </row>
    <row r="58" spans="1:15" ht="50.1" customHeight="1" x14ac:dyDescent="0.25">
      <c r="A58" s="490">
        <v>59</v>
      </c>
      <c r="B58" s="268" t="s">
        <v>1897</v>
      </c>
      <c r="C58" s="268" t="s">
        <v>1995</v>
      </c>
      <c r="D58" s="337">
        <v>2700</v>
      </c>
      <c r="E58" s="337" t="s">
        <v>4428</v>
      </c>
      <c r="F58" s="337" t="s">
        <v>4831</v>
      </c>
      <c r="G58" s="389">
        <v>46087</v>
      </c>
      <c r="H58" s="389">
        <v>46088</v>
      </c>
      <c r="I58" s="337"/>
      <c r="J58" s="389">
        <v>46087</v>
      </c>
      <c r="K58" s="337" t="s">
        <v>2678</v>
      </c>
      <c r="L58" s="273">
        <f t="shared" si="4"/>
        <v>10</v>
      </c>
      <c r="M58" s="273">
        <f t="shared" si="5"/>
        <v>0</v>
      </c>
      <c r="N58" s="337" t="s">
        <v>3069</v>
      </c>
      <c r="O58" s="114"/>
    </row>
    <row r="59" spans="1:15" ht="50.1" customHeight="1" x14ac:dyDescent="0.25">
      <c r="A59" s="490">
        <v>60</v>
      </c>
      <c r="B59" s="268" t="s">
        <v>485</v>
      </c>
      <c r="C59" s="268" t="s">
        <v>497</v>
      </c>
      <c r="D59" s="337">
        <v>5600</v>
      </c>
      <c r="E59" s="337" t="s">
        <v>4429</v>
      </c>
      <c r="F59" s="337" t="s">
        <v>3022</v>
      </c>
      <c r="G59" s="389">
        <v>46087</v>
      </c>
      <c r="H59" s="389">
        <v>46088</v>
      </c>
      <c r="I59" s="337"/>
      <c r="J59" s="389">
        <v>46093</v>
      </c>
      <c r="K59" s="337" t="s">
        <v>2678</v>
      </c>
      <c r="L59" s="273">
        <f t="shared" si="4"/>
        <v>20</v>
      </c>
      <c r="M59" s="273">
        <f t="shared" si="5"/>
        <v>0</v>
      </c>
      <c r="N59" s="337" t="s">
        <v>3069</v>
      </c>
      <c r="O59" s="114"/>
    </row>
    <row r="60" spans="1:15" ht="50.1" customHeight="1" x14ac:dyDescent="0.25">
      <c r="A60" s="490">
        <v>61</v>
      </c>
      <c r="B60" s="268" t="s">
        <v>486</v>
      </c>
      <c r="C60" s="268" t="s">
        <v>497</v>
      </c>
      <c r="D60" s="337">
        <v>5600</v>
      </c>
      <c r="E60" s="337" t="s">
        <v>4430</v>
      </c>
      <c r="F60" s="337" t="s">
        <v>3022</v>
      </c>
      <c r="G60" s="389">
        <v>46087</v>
      </c>
      <c r="H60" s="389">
        <v>46088</v>
      </c>
      <c r="I60" s="337"/>
      <c r="J60" s="389">
        <v>46093</v>
      </c>
      <c r="K60" s="337" t="s">
        <v>2678</v>
      </c>
      <c r="L60" s="273">
        <f t="shared" si="4"/>
        <v>20</v>
      </c>
      <c r="M60" s="273">
        <f t="shared" si="5"/>
        <v>0</v>
      </c>
      <c r="N60" s="337" t="s">
        <v>3069</v>
      </c>
      <c r="O60" s="114"/>
    </row>
    <row r="61" spans="1:15" ht="50.1" customHeight="1" x14ac:dyDescent="0.25">
      <c r="A61" s="490">
        <v>62</v>
      </c>
      <c r="B61" s="268" t="s">
        <v>1056</v>
      </c>
      <c r="C61" s="268" t="s">
        <v>4664</v>
      </c>
      <c r="D61" s="337">
        <v>68750</v>
      </c>
      <c r="E61" s="337" t="s">
        <v>4431</v>
      </c>
      <c r="F61" s="337" t="s">
        <v>3022</v>
      </c>
      <c r="G61" s="389">
        <v>46087</v>
      </c>
      <c r="H61" s="389">
        <v>46088</v>
      </c>
      <c r="I61" s="337"/>
      <c r="J61" s="389">
        <v>46099</v>
      </c>
      <c r="K61" s="337" t="s">
        <v>2678</v>
      </c>
      <c r="L61" s="273">
        <f t="shared" si="4"/>
        <v>140</v>
      </c>
      <c r="M61" s="273">
        <f t="shared" si="5"/>
        <v>0</v>
      </c>
      <c r="N61" s="337" t="s">
        <v>3069</v>
      </c>
      <c r="O61" s="114"/>
    </row>
    <row r="62" spans="1:15" ht="50.1" customHeight="1" x14ac:dyDescent="0.25">
      <c r="A62" s="490">
        <v>63</v>
      </c>
      <c r="B62" s="268" t="s">
        <v>1310</v>
      </c>
      <c r="C62" s="268" t="s">
        <v>4665</v>
      </c>
      <c r="D62" s="337">
        <v>2900</v>
      </c>
      <c r="E62" s="337" t="s">
        <v>4432</v>
      </c>
      <c r="F62" s="337" t="s">
        <v>3022</v>
      </c>
      <c r="G62" s="389">
        <v>46087</v>
      </c>
      <c r="H62" s="389">
        <v>46088</v>
      </c>
      <c r="I62" s="337"/>
      <c r="J62" s="389">
        <v>46093</v>
      </c>
      <c r="K62" s="337" t="s">
        <v>2678</v>
      </c>
      <c r="L62" s="273">
        <f t="shared" si="4"/>
        <v>10</v>
      </c>
      <c r="M62" s="273">
        <f t="shared" si="5"/>
        <v>0</v>
      </c>
      <c r="N62" s="337" t="s">
        <v>3069</v>
      </c>
      <c r="O62" s="114"/>
    </row>
    <row r="63" spans="1:15" ht="50.1" customHeight="1" x14ac:dyDescent="0.25">
      <c r="A63" s="490">
        <v>65</v>
      </c>
      <c r="B63" s="268" t="s">
        <v>2358</v>
      </c>
      <c r="C63" s="268" t="s">
        <v>1153</v>
      </c>
      <c r="D63" s="337">
        <v>7400</v>
      </c>
      <c r="E63" s="337" t="s">
        <v>4434</v>
      </c>
      <c r="F63" s="337" t="s">
        <v>2985</v>
      </c>
      <c r="G63" s="389">
        <v>46087</v>
      </c>
      <c r="H63" s="389">
        <v>46088</v>
      </c>
      <c r="I63" s="337"/>
      <c r="J63" s="389">
        <v>46087</v>
      </c>
      <c r="K63" s="337" t="s">
        <v>2678</v>
      </c>
      <c r="L63" s="273">
        <f t="shared" si="4"/>
        <v>20</v>
      </c>
      <c r="M63" s="273">
        <f t="shared" si="5"/>
        <v>0</v>
      </c>
      <c r="N63" s="337" t="s">
        <v>3069</v>
      </c>
      <c r="O63" s="114"/>
    </row>
    <row r="64" spans="1:15" ht="50.1" customHeight="1" x14ac:dyDescent="0.25">
      <c r="A64" s="490">
        <v>66</v>
      </c>
      <c r="B64" s="268" t="s">
        <v>2352</v>
      </c>
      <c r="C64" s="268" t="s">
        <v>4666</v>
      </c>
      <c r="D64" s="337">
        <v>5500</v>
      </c>
      <c r="E64" s="337" t="s">
        <v>4435</v>
      </c>
      <c r="F64" s="337" t="s">
        <v>4829</v>
      </c>
      <c r="G64" s="389">
        <v>46087</v>
      </c>
      <c r="H64" s="389">
        <v>46088</v>
      </c>
      <c r="I64" s="337"/>
      <c r="J64" s="389">
        <v>46087</v>
      </c>
      <c r="K64" s="337" t="s">
        <v>2678</v>
      </c>
      <c r="L64" s="273">
        <f t="shared" si="4"/>
        <v>20</v>
      </c>
      <c r="M64" s="273">
        <f t="shared" si="5"/>
        <v>0</v>
      </c>
      <c r="N64" s="337" t="s">
        <v>3069</v>
      </c>
      <c r="O64" s="114"/>
    </row>
    <row r="65" spans="1:15" ht="50.1" customHeight="1" x14ac:dyDescent="0.25">
      <c r="A65" s="490">
        <v>67</v>
      </c>
      <c r="B65" s="268" t="s">
        <v>2353</v>
      </c>
      <c r="C65" s="268" t="s">
        <v>4666</v>
      </c>
      <c r="D65" s="337">
        <v>5500</v>
      </c>
      <c r="E65" s="337" t="s">
        <v>4436</v>
      </c>
      <c r="F65" s="337" t="s">
        <v>3064</v>
      </c>
      <c r="G65" s="389">
        <v>46087</v>
      </c>
      <c r="H65" s="389">
        <v>46088</v>
      </c>
      <c r="I65" s="337"/>
      <c r="J65" s="389">
        <v>46087</v>
      </c>
      <c r="K65" s="337" t="s">
        <v>2678</v>
      </c>
      <c r="L65" s="273">
        <f t="shared" si="4"/>
        <v>20</v>
      </c>
      <c r="M65" s="273">
        <f t="shared" si="5"/>
        <v>0</v>
      </c>
      <c r="N65" s="337" t="s">
        <v>3069</v>
      </c>
      <c r="O65" s="114"/>
    </row>
    <row r="66" spans="1:15" ht="50.1" customHeight="1" x14ac:dyDescent="0.25">
      <c r="A66" s="490">
        <v>68</v>
      </c>
      <c r="B66" s="268" t="s">
        <v>2356</v>
      </c>
      <c r="C66" s="268" t="s">
        <v>1153</v>
      </c>
      <c r="D66" s="337">
        <v>7400</v>
      </c>
      <c r="E66" s="337" t="s">
        <v>4437</v>
      </c>
      <c r="F66" s="337" t="s">
        <v>3025</v>
      </c>
      <c r="G66" s="389">
        <v>46087</v>
      </c>
      <c r="H66" s="389">
        <v>46088</v>
      </c>
      <c r="I66" s="337"/>
      <c r="J66" s="389">
        <v>46087</v>
      </c>
      <c r="K66" s="337" t="s">
        <v>2678</v>
      </c>
      <c r="L66" s="273">
        <f t="shared" si="4"/>
        <v>20</v>
      </c>
      <c r="M66" s="273">
        <f t="shared" si="5"/>
        <v>0</v>
      </c>
      <c r="N66" s="337" t="s">
        <v>3069</v>
      </c>
      <c r="O66" s="114"/>
    </row>
    <row r="67" spans="1:15" ht="50.1" customHeight="1" x14ac:dyDescent="0.25">
      <c r="A67" s="490">
        <v>69</v>
      </c>
      <c r="B67" s="268" t="s">
        <v>2363</v>
      </c>
      <c r="C67" s="268" t="s">
        <v>1995</v>
      </c>
      <c r="D67" s="337">
        <v>3150</v>
      </c>
      <c r="E67" s="337" t="s">
        <v>4438</v>
      </c>
      <c r="F67" s="337" t="s">
        <v>3064</v>
      </c>
      <c r="G67" s="389">
        <v>46087</v>
      </c>
      <c r="H67" s="389">
        <v>46088</v>
      </c>
      <c r="I67" s="337"/>
      <c r="J67" s="389">
        <v>46087</v>
      </c>
      <c r="K67" s="337" t="s">
        <v>2678</v>
      </c>
      <c r="L67" s="273">
        <f t="shared" si="4"/>
        <v>10</v>
      </c>
      <c r="M67" s="273">
        <f t="shared" si="5"/>
        <v>0</v>
      </c>
      <c r="N67" s="337" t="s">
        <v>3069</v>
      </c>
      <c r="O67" s="114"/>
    </row>
    <row r="68" spans="1:15" ht="50.1" customHeight="1" x14ac:dyDescent="0.25">
      <c r="A68" s="490">
        <v>70</v>
      </c>
      <c r="B68" s="268" t="s">
        <v>2364</v>
      </c>
      <c r="C68" s="268" t="s">
        <v>1995</v>
      </c>
      <c r="D68" s="337">
        <v>3150</v>
      </c>
      <c r="E68" s="337" t="s">
        <v>4439</v>
      </c>
      <c r="F68" s="337" t="s">
        <v>3064</v>
      </c>
      <c r="G68" s="389">
        <v>46087</v>
      </c>
      <c r="H68" s="389">
        <v>46088</v>
      </c>
      <c r="I68" s="337"/>
      <c r="J68" s="389">
        <v>46087</v>
      </c>
      <c r="K68" s="337" t="s">
        <v>2678</v>
      </c>
      <c r="L68" s="273">
        <f t="shared" si="4"/>
        <v>10</v>
      </c>
      <c r="M68" s="273">
        <f t="shared" si="5"/>
        <v>0</v>
      </c>
      <c r="N68" s="337" t="s">
        <v>3069</v>
      </c>
      <c r="O68" s="114"/>
    </row>
    <row r="69" spans="1:15" ht="50.1" customHeight="1" x14ac:dyDescent="0.25">
      <c r="A69" s="490">
        <v>71</v>
      </c>
      <c r="B69" s="268" t="s">
        <v>2365</v>
      </c>
      <c r="C69" s="268" t="s">
        <v>2349</v>
      </c>
      <c r="D69" s="337">
        <v>6500</v>
      </c>
      <c r="E69" s="337" t="s">
        <v>4440</v>
      </c>
      <c r="F69" s="337" t="s">
        <v>3064</v>
      </c>
      <c r="G69" s="389">
        <v>46087</v>
      </c>
      <c r="H69" s="389">
        <v>46088</v>
      </c>
      <c r="I69" s="337"/>
      <c r="J69" s="389">
        <v>46087</v>
      </c>
      <c r="K69" s="337" t="s">
        <v>2678</v>
      </c>
      <c r="L69" s="273">
        <f t="shared" si="4"/>
        <v>20</v>
      </c>
      <c r="M69" s="273">
        <f t="shared" si="5"/>
        <v>0</v>
      </c>
      <c r="N69" s="337" t="s">
        <v>3069</v>
      </c>
      <c r="O69" s="114"/>
    </row>
    <row r="70" spans="1:15" ht="50.1" customHeight="1" x14ac:dyDescent="0.25">
      <c r="A70" s="490">
        <v>77</v>
      </c>
      <c r="B70" s="268" t="s">
        <v>3748</v>
      </c>
      <c r="C70" s="268" t="s">
        <v>4668</v>
      </c>
      <c r="D70" s="337">
        <v>21000</v>
      </c>
      <c r="E70" s="337" t="s">
        <v>4446</v>
      </c>
      <c r="F70" s="337" t="s">
        <v>2982</v>
      </c>
      <c r="G70" s="389">
        <v>46090</v>
      </c>
      <c r="H70" s="389">
        <v>46091</v>
      </c>
      <c r="I70" s="337"/>
      <c r="J70" s="389">
        <v>46090</v>
      </c>
      <c r="K70" s="337" t="s">
        <v>2678</v>
      </c>
      <c r="L70" s="273">
        <f t="shared" ref="L70:L109" si="6">ROUNDUP((D70/4999.99)*10,-1)</f>
        <v>50</v>
      </c>
      <c r="M70" s="273">
        <f t="shared" ref="M70:M109" si="7">IF(K70="N",0,L70)</f>
        <v>0</v>
      </c>
      <c r="N70" s="337" t="s">
        <v>3069</v>
      </c>
      <c r="O70" s="114"/>
    </row>
    <row r="71" spans="1:15" ht="50.1" customHeight="1" x14ac:dyDescent="0.25">
      <c r="A71" s="490">
        <v>78</v>
      </c>
      <c r="B71" s="268" t="s">
        <v>3655</v>
      </c>
      <c r="C71" s="268" t="s">
        <v>3104</v>
      </c>
      <c r="D71" s="337">
        <v>2400</v>
      </c>
      <c r="E71" s="337" t="s">
        <v>4447</v>
      </c>
      <c r="F71" s="337" t="s">
        <v>3024</v>
      </c>
      <c r="G71" s="389">
        <v>46090</v>
      </c>
      <c r="H71" s="389">
        <v>46091</v>
      </c>
      <c r="I71" s="337"/>
      <c r="J71" s="389">
        <v>46090</v>
      </c>
      <c r="K71" s="337" t="s">
        <v>2678</v>
      </c>
      <c r="L71" s="273">
        <f t="shared" si="6"/>
        <v>10</v>
      </c>
      <c r="M71" s="273">
        <f t="shared" si="7"/>
        <v>0</v>
      </c>
      <c r="N71" s="337" t="s">
        <v>3069</v>
      </c>
      <c r="O71" s="114" t="s">
        <v>4712</v>
      </c>
    </row>
    <row r="72" spans="1:15" ht="50.1" customHeight="1" x14ac:dyDescent="0.25">
      <c r="A72" s="490">
        <v>79</v>
      </c>
      <c r="B72" s="268" t="s">
        <v>3656</v>
      </c>
      <c r="C72" s="268" t="s">
        <v>3104</v>
      </c>
      <c r="D72" s="337">
        <v>2400</v>
      </c>
      <c r="E72" s="337" t="s">
        <v>4448</v>
      </c>
      <c r="F72" s="337" t="s">
        <v>3024</v>
      </c>
      <c r="G72" s="389">
        <v>46090</v>
      </c>
      <c r="H72" s="389">
        <v>46091</v>
      </c>
      <c r="I72" s="337"/>
      <c r="J72" s="389">
        <v>46090</v>
      </c>
      <c r="K72" s="337" t="s">
        <v>2678</v>
      </c>
      <c r="L72" s="273">
        <f t="shared" si="6"/>
        <v>10</v>
      </c>
      <c r="M72" s="273">
        <f t="shared" si="7"/>
        <v>0</v>
      </c>
      <c r="N72" s="337" t="s">
        <v>3069</v>
      </c>
      <c r="O72" s="114"/>
    </row>
    <row r="73" spans="1:15" ht="50.1" customHeight="1" x14ac:dyDescent="0.25">
      <c r="A73" s="490">
        <v>80</v>
      </c>
      <c r="B73" s="268" t="s">
        <v>3657</v>
      </c>
      <c r="C73" s="268" t="s">
        <v>3104</v>
      </c>
      <c r="D73" s="337">
        <v>2400</v>
      </c>
      <c r="E73" s="337" t="s">
        <v>4449</v>
      </c>
      <c r="F73" s="337" t="s">
        <v>3024</v>
      </c>
      <c r="G73" s="389">
        <v>46090</v>
      </c>
      <c r="H73" s="389">
        <v>46091</v>
      </c>
      <c r="I73" s="337"/>
      <c r="J73" s="389">
        <v>46090</v>
      </c>
      <c r="K73" s="337" t="s">
        <v>2678</v>
      </c>
      <c r="L73" s="273">
        <f t="shared" si="6"/>
        <v>10</v>
      </c>
      <c r="M73" s="273">
        <f t="shared" si="7"/>
        <v>0</v>
      </c>
      <c r="N73" s="337" t="s">
        <v>3069</v>
      </c>
      <c r="O73" s="114" t="s">
        <v>4711</v>
      </c>
    </row>
    <row r="74" spans="1:15" ht="50.1" customHeight="1" x14ac:dyDescent="0.25">
      <c r="A74" s="490">
        <v>81</v>
      </c>
      <c r="B74" s="268" t="s">
        <v>3658</v>
      </c>
      <c r="C74" s="268" t="s">
        <v>3104</v>
      </c>
      <c r="D74" s="337">
        <v>2400</v>
      </c>
      <c r="E74" s="337" t="s">
        <v>4450</v>
      </c>
      <c r="F74" s="337" t="s">
        <v>3024</v>
      </c>
      <c r="G74" s="389">
        <v>46090</v>
      </c>
      <c r="H74" s="389">
        <v>46091</v>
      </c>
      <c r="I74" s="337"/>
      <c r="J74" s="389">
        <v>46090</v>
      </c>
      <c r="K74" s="337" t="s">
        <v>2678</v>
      </c>
      <c r="L74" s="273">
        <f t="shared" si="6"/>
        <v>10</v>
      </c>
      <c r="M74" s="273">
        <f t="shared" si="7"/>
        <v>0</v>
      </c>
      <c r="N74" s="337" t="s">
        <v>3069</v>
      </c>
      <c r="O74" s="114"/>
    </row>
    <row r="75" spans="1:15" ht="50.1" customHeight="1" x14ac:dyDescent="0.25">
      <c r="A75" s="490">
        <v>83</v>
      </c>
      <c r="B75" s="268" t="s">
        <v>996</v>
      </c>
      <c r="C75" s="268" t="s">
        <v>3294</v>
      </c>
      <c r="D75" s="337">
        <v>452.81</v>
      </c>
      <c r="E75" s="337" t="s">
        <v>4452</v>
      </c>
      <c r="F75" s="337" t="s">
        <v>3025</v>
      </c>
      <c r="G75" s="389">
        <v>46091</v>
      </c>
      <c r="H75" s="389">
        <v>46092</v>
      </c>
      <c r="I75" s="337"/>
      <c r="J75" s="389">
        <v>46091</v>
      </c>
      <c r="K75" s="337" t="s">
        <v>2678</v>
      </c>
      <c r="L75" s="273">
        <f t="shared" si="6"/>
        <v>10</v>
      </c>
      <c r="M75" s="273">
        <f t="shared" si="7"/>
        <v>0</v>
      </c>
      <c r="N75" s="337" t="s">
        <v>3069</v>
      </c>
      <c r="O75" s="114"/>
    </row>
    <row r="76" spans="1:15" ht="50.1" customHeight="1" x14ac:dyDescent="0.25">
      <c r="A76" s="490">
        <v>92</v>
      </c>
      <c r="B76" s="268" t="s">
        <v>1316</v>
      </c>
      <c r="C76" s="268" t="s">
        <v>4669</v>
      </c>
      <c r="D76" s="337">
        <v>14279</v>
      </c>
      <c r="E76" s="337" t="s">
        <v>4461</v>
      </c>
      <c r="F76" s="337" t="s">
        <v>3022</v>
      </c>
      <c r="G76" s="389">
        <v>46092</v>
      </c>
      <c r="H76" s="389">
        <v>46093</v>
      </c>
      <c r="I76" s="337"/>
      <c r="J76" s="389">
        <v>46093</v>
      </c>
      <c r="K76" s="337" t="s">
        <v>2678</v>
      </c>
      <c r="L76" s="273">
        <f t="shared" si="6"/>
        <v>30</v>
      </c>
      <c r="M76" s="273">
        <f t="shared" si="7"/>
        <v>0</v>
      </c>
      <c r="N76" s="337" t="s">
        <v>3069</v>
      </c>
      <c r="O76" s="114"/>
    </row>
    <row r="77" spans="1:15" ht="50.1" customHeight="1" x14ac:dyDescent="0.25">
      <c r="A77" s="490">
        <v>93</v>
      </c>
      <c r="B77" s="268" t="s">
        <v>2162</v>
      </c>
      <c r="C77" s="268" t="s">
        <v>1995</v>
      </c>
      <c r="D77" s="337">
        <v>4300</v>
      </c>
      <c r="E77" s="337" t="s">
        <v>4462</v>
      </c>
      <c r="F77" s="337" t="s">
        <v>3024</v>
      </c>
      <c r="G77" s="389">
        <v>46092</v>
      </c>
      <c r="H77" s="389">
        <v>46093</v>
      </c>
      <c r="I77" s="337"/>
      <c r="J77" s="389">
        <v>46092</v>
      </c>
      <c r="K77" s="337" t="s">
        <v>2678</v>
      </c>
      <c r="L77" s="273">
        <f t="shared" si="6"/>
        <v>10</v>
      </c>
      <c r="M77" s="273">
        <f t="shared" si="7"/>
        <v>0</v>
      </c>
      <c r="N77" s="337" t="s">
        <v>3069</v>
      </c>
      <c r="O77" s="114"/>
    </row>
    <row r="78" spans="1:15" ht="50.1" customHeight="1" x14ac:dyDescent="0.25">
      <c r="A78" s="490">
        <v>94</v>
      </c>
      <c r="B78" s="268" t="s">
        <v>2163</v>
      </c>
      <c r="C78" s="268" t="s">
        <v>1995</v>
      </c>
      <c r="D78" s="337">
        <v>4300</v>
      </c>
      <c r="E78" s="337" t="s">
        <v>4463</v>
      </c>
      <c r="F78" s="337" t="s">
        <v>3024</v>
      </c>
      <c r="G78" s="389">
        <v>46092</v>
      </c>
      <c r="H78" s="389">
        <v>46093</v>
      </c>
      <c r="I78" s="337"/>
      <c r="J78" s="389">
        <v>46092</v>
      </c>
      <c r="K78" s="337" t="s">
        <v>2678</v>
      </c>
      <c r="L78" s="273">
        <f t="shared" si="6"/>
        <v>10</v>
      </c>
      <c r="M78" s="273">
        <f t="shared" si="7"/>
        <v>0</v>
      </c>
      <c r="N78" s="337" t="s">
        <v>3069</v>
      </c>
      <c r="O78" s="114"/>
    </row>
    <row r="79" spans="1:15" ht="50.1" customHeight="1" x14ac:dyDescent="0.25">
      <c r="A79" s="490">
        <v>95</v>
      </c>
      <c r="B79" s="268" t="s">
        <v>2164</v>
      </c>
      <c r="C79" s="268" t="s">
        <v>1995</v>
      </c>
      <c r="D79" s="337">
        <v>4300</v>
      </c>
      <c r="E79" s="337" t="s">
        <v>4464</v>
      </c>
      <c r="F79" s="337" t="s">
        <v>3024</v>
      </c>
      <c r="G79" s="389">
        <v>46092</v>
      </c>
      <c r="H79" s="389">
        <v>46093</v>
      </c>
      <c r="I79" s="337"/>
      <c r="J79" s="389">
        <v>46092</v>
      </c>
      <c r="K79" s="337" t="s">
        <v>2678</v>
      </c>
      <c r="L79" s="273">
        <f t="shared" si="6"/>
        <v>10</v>
      </c>
      <c r="M79" s="273">
        <f t="shared" si="7"/>
        <v>0</v>
      </c>
      <c r="N79" s="337" t="s">
        <v>3069</v>
      </c>
      <c r="O79" s="114"/>
    </row>
    <row r="80" spans="1:15" ht="50.1" customHeight="1" x14ac:dyDescent="0.25">
      <c r="A80" s="490">
        <v>96</v>
      </c>
      <c r="B80" s="268" t="s">
        <v>2165</v>
      </c>
      <c r="C80" s="268" t="s">
        <v>1995</v>
      </c>
      <c r="D80" s="337">
        <v>4300</v>
      </c>
      <c r="E80" s="337" t="s">
        <v>4465</v>
      </c>
      <c r="F80" s="337" t="s">
        <v>3024</v>
      </c>
      <c r="G80" s="389">
        <v>46092</v>
      </c>
      <c r="H80" s="389">
        <v>46093</v>
      </c>
      <c r="I80" s="337"/>
      <c r="J80" s="389">
        <v>46092</v>
      </c>
      <c r="K80" s="337" t="s">
        <v>2678</v>
      </c>
      <c r="L80" s="273">
        <f t="shared" si="6"/>
        <v>10</v>
      </c>
      <c r="M80" s="273">
        <f t="shared" si="7"/>
        <v>0</v>
      </c>
      <c r="N80" s="337" t="s">
        <v>3069</v>
      </c>
      <c r="O80" s="114"/>
    </row>
    <row r="81" spans="1:15" ht="50.1" customHeight="1" x14ac:dyDescent="0.25">
      <c r="A81" s="490">
        <v>97</v>
      </c>
      <c r="B81" s="268" t="s">
        <v>2166</v>
      </c>
      <c r="C81" s="268" t="s">
        <v>1995</v>
      </c>
      <c r="D81" s="337">
        <v>4300</v>
      </c>
      <c r="E81" s="337" t="s">
        <v>4466</v>
      </c>
      <c r="F81" s="337" t="s">
        <v>3024</v>
      </c>
      <c r="G81" s="389">
        <v>46092</v>
      </c>
      <c r="H81" s="389">
        <v>46093</v>
      </c>
      <c r="I81" s="337"/>
      <c r="J81" s="389">
        <v>46092</v>
      </c>
      <c r="K81" s="337" t="s">
        <v>2678</v>
      </c>
      <c r="L81" s="273">
        <f t="shared" si="6"/>
        <v>10</v>
      </c>
      <c r="M81" s="273">
        <f t="shared" si="7"/>
        <v>0</v>
      </c>
      <c r="N81" s="337" t="s">
        <v>3069</v>
      </c>
      <c r="O81" s="114"/>
    </row>
    <row r="82" spans="1:15" ht="50.1" customHeight="1" x14ac:dyDescent="0.25">
      <c r="A82" s="490">
        <v>105</v>
      </c>
      <c r="B82" s="268" t="s">
        <v>1367</v>
      </c>
      <c r="C82" s="268" t="s">
        <v>4671</v>
      </c>
      <c r="D82" s="337">
        <v>949</v>
      </c>
      <c r="E82" s="337" t="s">
        <v>4474</v>
      </c>
      <c r="F82" s="337" t="s">
        <v>3249</v>
      </c>
      <c r="G82" s="389">
        <v>46092</v>
      </c>
      <c r="H82" s="389">
        <v>46093</v>
      </c>
      <c r="I82" s="337"/>
      <c r="J82" s="389">
        <v>46093</v>
      </c>
      <c r="K82" s="337" t="s">
        <v>2678</v>
      </c>
      <c r="L82" s="273">
        <f t="shared" si="6"/>
        <v>10</v>
      </c>
      <c r="M82" s="273">
        <f t="shared" si="7"/>
        <v>0</v>
      </c>
      <c r="N82" s="337" t="s">
        <v>3069</v>
      </c>
      <c r="O82" s="114"/>
    </row>
    <row r="83" spans="1:15" ht="50.1" customHeight="1" x14ac:dyDescent="0.25">
      <c r="A83" s="490">
        <v>106</v>
      </c>
      <c r="B83" s="268" t="s">
        <v>1383</v>
      </c>
      <c r="C83" s="268" t="s">
        <v>4658</v>
      </c>
      <c r="D83" s="337">
        <v>1950</v>
      </c>
      <c r="E83" s="337" t="s">
        <v>4475</v>
      </c>
      <c r="F83" s="337" t="s">
        <v>4829</v>
      </c>
      <c r="G83" s="389">
        <v>46092</v>
      </c>
      <c r="H83" s="389">
        <v>46093</v>
      </c>
      <c r="I83" s="337"/>
      <c r="J83" s="389">
        <v>46092</v>
      </c>
      <c r="K83" s="337" t="s">
        <v>2678</v>
      </c>
      <c r="L83" s="273">
        <f t="shared" si="6"/>
        <v>10</v>
      </c>
      <c r="M83" s="273">
        <f t="shared" si="7"/>
        <v>0</v>
      </c>
      <c r="N83" s="337" t="s">
        <v>3069</v>
      </c>
      <c r="O83" s="114"/>
    </row>
    <row r="84" spans="1:15" ht="50.1" customHeight="1" x14ac:dyDescent="0.25">
      <c r="A84" s="490">
        <v>107</v>
      </c>
      <c r="B84" s="268" t="s">
        <v>1384</v>
      </c>
      <c r="C84" s="268" t="s">
        <v>4658</v>
      </c>
      <c r="D84" s="337">
        <v>1950</v>
      </c>
      <c r="E84" s="337" t="s">
        <v>4476</v>
      </c>
      <c r="F84" s="337" t="s">
        <v>4829</v>
      </c>
      <c r="G84" s="389">
        <v>46092</v>
      </c>
      <c r="H84" s="389">
        <v>46093</v>
      </c>
      <c r="I84" s="337"/>
      <c r="J84" s="389">
        <v>46092</v>
      </c>
      <c r="K84" s="337" t="s">
        <v>2678</v>
      </c>
      <c r="L84" s="273">
        <f t="shared" si="6"/>
        <v>10</v>
      </c>
      <c r="M84" s="273">
        <f t="shared" si="7"/>
        <v>0</v>
      </c>
      <c r="N84" s="337" t="s">
        <v>3069</v>
      </c>
      <c r="O84" s="114"/>
    </row>
    <row r="85" spans="1:15" ht="50.1" customHeight="1" x14ac:dyDescent="0.25">
      <c r="A85" s="490">
        <v>108</v>
      </c>
      <c r="B85" s="268" t="s">
        <v>1385</v>
      </c>
      <c r="C85" s="268" t="s">
        <v>4658</v>
      </c>
      <c r="D85" s="337">
        <v>1950</v>
      </c>
      <c r="E85" s="337" t="s">
        <v>4477</v>
      </c>
      <c r="F85" s="337" t="s">
        <v>4829</v>
      </c>
      <c r="G85" s="389">
        <v>46092</v>
      </c>
      <c r="H85" s="389">
        <v>46093</v>
      </c>
      <c r="I85" s="337"/>
      <c r="J85" s="389">
        <v>46092</v>
      </c>
      <c r="K85" s="337" t="s">
        <v>2678</v>
      </c>
      <c r="L85" s="273">
        <f t="shared" si="6"/>
        <v>10</v>
      </c>
      <c r="M85" s="273">
        <f t="shared" si="7"/>
        <v>0</v>
      </c>
      <c r="N85" s="337" t="s">
        <v>3069</v>
      </c>
      <c r="O85" s="114"/>
    </row>
    <row r="86" spans="1:15" ht="50.1" customHeight="1" x14ac:dyDescent="0.25">
      <c r="A86" s="490">
        <v>109</v>
      </c>
      <c r="B86" s="268" t="s">
        <v>1386</v>
      </c>
      <c r="C86" s="268" t="s">
        <v>4658</v>
      </c>
      <c r="D86" s="337">
        <v>1950</v>
      </c>
      <c r="E86" s="337" t="s">
        <v>4478</v>
      </c>
      <c r="F86" s="337" t="s">
        <v>4829</v>
      </c>
      <c r="G86" s="389">
        <v>46092</v>
      </c>
      <c r="H86" s="389">
        <v>46093</v>
      </c>
      <c r="I86" s="337"/>
      <c r="J86" s="389">
        <v>46094</v>
      </c>
      <c r="K86" s="337" t="s">
        <v>2678</v>
      </c>
      <c r="L86" s="273">
        <f t="shared" si="6"/>
        <v>10</v>
      </c>
      <c r="M86" s="273">
        <f t="shared" si="7"/>
        <v>0</v>
      </c>
      <c r="N86" s="337" t="s">
        <v>3069</v>
      </c>
      <c r="O86" s="114"/>
    </row>
    <row r="87" spans="1:15" ht="50.1" customHeight="1" x14ac:dyDescent="0.25">
      <c r="A87" s="490">
        <v>110</v>
      </c>
      <c r="B87" s="268" t="s">
        <v>1387</v>
      </c>
      <c r="C87" s="268" t="s">
        <v>4658</v>
      </c>
      <c r="D87" s="337">
        <v>1950</v>
      </c>
      <c r="E87" s="337" t="s">
        <v>4479</v>
      </c>
      <c r="F87" s="337" t="s">
        <v>3064</v>
      </c>
      <c r="G87" s="389">
        <v>46092</v>
      </c>
      <c r="H87" s="389">
        <v>46093</v>
      </c>
      <c r="I87" s="337"/>
      <c r="J87" s="389">
        <v>46092</v>
      </c>
      <c r="K87" s="337" t="s">
        <v>2678</v>
      </c>
      <c r="L87" s="273">
        <f t="shared" si="6"/>
        <v>10</v>
      </c>
      <c r="M87" s="273">
        <f t="shared" si="7"/>
        <v>0</v>
      </c>
      <c r="N87" s="337" t="s">
        <v>3069</v>
      </c>
      <c r="O87" s="114"/>
    </row>
    <row r="88" spans="1:15" ht="50.1" customHeight="1" x14ac:dyDescent="0.25">
      <c r="A88" s="490">
        <v>111</v>
      </c>
      <c r="B88" s="268" t="s">
        <v>1388</v>
      </c>
      <c r="C88" s="268" t="s">
        <v>4658</v>
      </c>
      <c r="D88" s="337">
        <v>1950</v>
      </c>
      <c r="E88" s="337" t="s">
        <v>4480</v>
      </c>
      <c r="F88" s="337" t="s">
        <v>3064</v>
      </c>
      <c r="G88" s="389">
        <v>46092</v>
      </c>
      <c r="H88" s="389">
        <v>46093</v>
      </c>
      <c r="I88" s="337"/>
      <c r="J88" s="389">
        <v>46092</v>
      </c>
      <c r="K88" s="337" t="s">
        <v>2678</v>
      </c>
      <c r="L88" s="273">
        <f t="shared" si="6"/>
        <v>10</v>
      </c>
      <c r="M88" s="273">
        <f t="shared" si="7"/>
        <v>0</v>
      </c>
      <c r="N88" s="337" t="s">
        <v>3069</v>
      </c>
      <c r="O88" s="114"/>
    </row>
    <row r="89" spans="1:15" ht="50.1" customHeight="1" x14ac:dyDescent="0.25">
      <c r="A89" s="490">
        <v>112</v>
      </c>
      <c r="B89" s="268" t="s">
        <v>1389</v>
      </c>
      <c r="C89" s="268" t="s">
        <v>4658</v>
      </c>
      <c r="D89" s="337">
        <v>1950</v>
      </c>
      <c r="E89" s="337" t="s">
        <v>4481</v>
      </c>
      <c r="F89" s="337" t="s">
        <v>3064</v>
      </c>
      <c r="G89" s="389">
        <v>46092</v>
      </c>
      <c r="H89" s="389">
        <v>46093</v>
      </c>
      <c r="I89" s="337"/>
      <c r="J89" s="389">
        <v>46092</v>
      </c>
      <c r="K89" s="337" t="s">
        <v>2678</v>
      </c>
      <c r="L89" s="273">
        <f t="shared" si="6"/>
        <v>10</v>
      </c>
      <c r="M89" s="273">
        <f t="shared" si="7"/>
        <v>0</v>
      </c>
      <c r="N89" s="337" t="s">
        <v>3069</v>
      </c>
      <c r="O89" s="114"/>
    </row>
    <row r="90" spans="1:15" ht="50.1" customHeight="1" x14ac:dyDescent="0.25">
      <c r="A90" s="490">
        <v>113</v>
      </c>
      <c r="B90" s="268" t="s">
        <v>1390</v>
      </c>
      <c r="C90" s="268" t="s">
        <v>4658</v>
      </c>
      <c r="D90" s="337">
        <v>1950</v>
      </c>
      <c r="E90" s="337" t="s">
        <v>4482</v>
      </c>
      <c r="F90" s="337" t="s">
        <v>3064</v>
      </c>
      <c r="G90" s="389">
        <v>46092</v>
      </c>
      <c r="H90" s="389">
        <v>46093</v>
      </c>
      <c r="I90" s="337"/>
      <c r="J90" s="389">
        <v>46092</v>
      </c>
      <c r="K90" s="337" t="s">
        <v>2678</v>
      </c>
      <c r="L90" s="273">
        <f t="shared" si="6"/>
        <v>10</v>
      </c>
      <c r="M90" s="273">
        <f t="shared" si="7"/>
        <v>0</v>
      </c>
      <c r="N90" s="337" t="s">
        <v>3069</v>
      </c>
      <c r="O90" s="114"/>
    </row>
    <row r="91" spans="1:15" ht="50.1" customHeight="1" x14ac:dyDescent="0.25">
      <c r="A91" s="490">
        <v>115</v>
      </c>
      <c r="B91" s="268" t="s">
        <v>2372</v>
      </c>
      <c r="C91" s="268" t="s">
        <v>1998</v>
      </c>
      <c r="D91" s="337">
        <v>3150</v>
      </c>
      <c r="E91" s="337" t="s">
        <v>4484</v>
      </c>
      <c r="F91" s="337" t="s">
        <v>2996</v>
      </c>
      <c r="G91" s="389">
        <v>46092</v>
      </c>
      <c r="H91" s="389">
        <v>46093</v>
      </c>
      <c r="I91" s="337"/>
      <c r="J91" s="389">
        <v>46093</v>
      </c>
      <c r="K91" s="337" t="s">
        <v>2678</v>
      </c>
      <c r="L91" s="273">
        <f t="shared" si="6"/>
        <v>10</v>
      </c>
      <c r="M91" s="273">
        <f t="shared" si="7"/>
        <v>0</v>
      </c>
      <c r="N91" s="337" t="s">
        <v>3069</v>
      </c>
      <c r="O91" s="114"/>
    </row>
    <row r="92" spans="1:15" ht="50.1" customHeight="1" x14ac:dyDescent="0.25">
      <c r="A92" s="490">
        <v>116</v>
      </c>
      <c r="B92" s="268" t="s">
        <v>2373</v>
      </c>
      <c r="C92" s="268" t="s">
        <v>1998</v>
      </c>
      <c r="D92" s="337">
        <v>3150</v>
      </c>
      <c r="E92" s="337" t="s">
        <v>4485</v>
      </c>
      <c r="F92" s="337" t="s">
        <v>2996</v>
      </c>
      <c r="G92" s="389">
        <v>46092</v>
      </c>
      <c r="H92" s="389">
        <v>46093</v>
      </c>
      <c r="I92" s="337"/>
      <c r="J92" s="389">
        <v>46093</v>
      </c>
      <c r="K92" s="337" t="s">
        <v>2678</v>
      </c>
      <c r="L92" s="273">
        <f t="shared" si="6"/>
        <v>10</v>
      </c>
      <c r="M92" s="273">
        <f t="shared" si="7"/>
        <v>0</v>
      </c>
      <c r="N92" s="337" t="s">
        <v>3069</v>
      </c>
      <c r="O92" s="114"/>
    </row>
    <row r="93" spans="1:15" ht="50.1" customHeight="1" x14ac:dyDescent="0.25">
      <c r="A93" s="490">
        <v>117</v>
      </c>
      <c r="B93" s="268" t="s">
        <v>2374</v>
      </c>
      <c r="C93" s="268" t="s">
        <v>1998</v>
      </c>
      <c r="D93" s="337">
        <v>3150</v>
      </c>
      <c r="E93" s="337" t="s">
        <v>4486</v>
      </c>
      <c r="F93" s="337" t="s">
        <v>2996</v>
      </c>
      <c r="G93" s="389">
        <v>46092</v>
      </c>
      <c r="H93" s="389">
        <v>46093</v>
      </c>
      <c r="I93" s="337"/>
      <c r="J93" s="389">
        <v>46093</v>
      </c>
      <c r="K93" s="337" t="s">
        <v>2678</v>
      </c>
      <c r="L93" s="273">
        <f t="shared" si="6"/>
        <v>10</v>
      </c>
      <c r="M93" s="273">
        <f t="shared" si="7"/>
        <v>0</v>
      </c>
      <c r="N93" s="337" t="s">
        <v>3069</v>
      </c>
      <c r="O93" s="114"/>
    </row>
    <row r="94" spans="1:15" ht="50.1" customHeight="1" x14ac:dyDescent="0.25">
      <c r="A94" s="490">
        <v>118</v>
      </c>
      <c r="B94" s="268" t="s">
        <v>2375</v>
      </c>
      <c r="C94" s="268" t="s">
        <v>1995</v>
      </c>
      <c r="D94" s="337">
        <v>3000</v>
      </c>
      <c r="E94" s="337" t="s">
        <v>4487</v>
      </c>
      <c r="F94" s="337" t="s">
        <v>2996</v>
      </c>
      <c r="G94" s="389">
        <v>46092</v>
      </c>
      <c r="H94" s="389">
        <v>46093</v>
      </c>
      <c r="I94" s="337"/>
      <c r="J94" s="389">
        <v>46093</v>
      </c>
      <c r="K94" s="337" t="s">
        <v>2678</v>
      </c>
      <c r="L94" s="273">
        <f t="shared" si="6"/>
        <v>10</v>
      </c>
      <c r="M94" s="273">
        <f t="shared" si="7"/>
        <v>0</v>
      </c>
      <c r="N94" s="337" t="s">
        <v>3069</v>
      </c>
      <c r="O94" s="114"/>
    </row>
    <row r="95" spans="1:15" ht="50.1" customHeight="1" x14ac:dyDescent="0.25">
      <c r="A95" s="490">
        <v>119</v>
      </c>
      <c r="B95" s="268" t="s">
        <v>2376</v>
      </c>
      <c r="C95" s="268" t="s">
        <v>2349</v>
      </c>
      <c r="D95" s="337">
        <v>3983</v>
      </c>
      <c r="E95" s="337" t="s">
        <v>4488</v>
      </c>
      <c r="F95" s="337" t="s">
        <v>2996</v>
      </c>
      <c r="G95" s="389">
        <v>46092</v>
      </c>
      <c r="H95" s="389">
        <v>46093</v>
      </c>
      <c r="I95" s="337"/>
      <c r="J95" s="389">
        <v>46093</v>
      </c>
      <c r="K95" s="337" t="s">
        <v>2678</v>
      </c>
      <c r="L95" s="273">
        <f t="shared" si="6"/>
        <v>10</v>
      </c>
      <c r="M95" s="273">
        <f t="shared" si="7"/>
        <v>0</v>
      </c>
      <c r="N95" s="337" t="s">
        <v>3069</v>
      </c>
      <c r="O95" s="114"/>
    </row>
    <row r="96" spans="1:15" ht="50.1" customHeight="1" x14ac:dyDescent="0.25">
      <c r="A96" s="490">
        <v>120</v>
      </c>
      <c r="B96" s="268" t="s">
        <v>2377</v>
      </c>
      <c r="C96" s="268" t="s">
        <v>4672</v>
      </c>
      <c r="D96" s="337">
        <v>10000</v>
      </c>
      <c r="E96" s="337" t="s">
        <v>4489</v>
      </c>
      <c r="F96" s="337" t="s">
        <v>2996</v>
      </c>
      <c r="G96" s="389">
        <v>46092</v>
      </c>
      <c r="H96" s="389">
        <v>46093</v>
      </c>
      <c r="I96" s="337"/>
      <c r="J96" s="389">
        <v>46093</v>
      </c>
      <c r="K96" s="337" t="s">
        <v>2678</v>
      </c>
      <c r="L96" s="273">
        <f t="shared" si="6"/>
        <v>30</v>
      </c>
      <c r="M96" s="273">
        <f t="shared" si="7"/>
        <v>0</v>
      </c>
      <c r="N96" s="337" t="s">
        <v>3069</v>
      </c>
      <c r="O96" s="114"/>
    </row>
    <row r="97" spans="1:15" ht="50.1" customHeight="1" x14ac:dyDescent="0.25">
      <c r="A97" s="490">
        <v>123</v>
      </c>
      <c r="B97" s="268" t="s">
        <v>1676</v>
      </c>
      <c r="C97" s="268" t="s">
        <v>1995</v>
      </c>
      <c r="D97" s="337">
        <v>4300</v>
      </c>
      <c r="E97" s="337" t="s">
        <v>4492</v>
      </c>
      <c r="F97" s="337" t="s">
        <v>2982</v>
      </c>
      <c r="G97" s="389">
        <v>46093</v>
      </c>
      <c r="H97" s="389">
        <v>46094</v>
      </c>
      <c r="I97" s="337"/>
      <c r="J97" s="389">
        <v>46093</v>
      </c>
      <c r="K97" s="337" t="s">
        <v>2678</v>
      </c>
      <c r="L97" s="273">
        <f t="shared" si="6"/>
        <v>10</v>
      </c>
      <c r="M97" s="273">
        <f t="shared" si="7"/>
        <v>0</v>
      </c>
      <c r="N97" s="337" t="s">
        <v>3069</v>
      </c>
      <c r="O97" s="114"/>
    </row>
    <row r="98" spans="1:15" ht="50.1" customHeight="1" x14ac:dyDescent="0.25">
      <c r="A98" s="490">
        <v>124</v>
      </c>
      <c r="B98" s="268" t="s">
        <v>1677</v>
      </c>
      <c r="C98" s="268" t="s">
        <v>1995</v>
      </c>
      <c r="D98" s="337">
        <v>4300</v>
      </c>
      <c r="E98" s="337" t="s">
        <v>4493</v>
      </c>
      <c r="F98" s="337" t="s">
        <v>2982</v>
      </c>
      <c r="G98" s="389">
        <v>46093</v>
      </c>
      <c r="H98" s="389">
        <v>46094</v>
      </c>
      <c r="I98" s="337"/>
      <c r="J98" s="389">
        <v>46093</v>
      </c>
      <c r="K98" s="337" t="s">
        <v>2678</v>
      </c>
      <c r="L98" s="273">
        <f t="shared" si="6"/>
        <v>10</v>
      </c>
      <c r="M98" s="273">
        <f t="shared" si="7"/>
        <v>0</v>
      </c>
      <c r="N98" s="337" t="s">
        <v>3069</v>
      </c>
      <c r="O98" s="114"/>
    </row>
    <row r="99" spans="1:15" ht="50.1" customHeight="1" x14ac:dyDescent="0.25">
      <c r="A99" s="490">
        <v>125</v>
      </c>
      <c r="B99" s="268" t="s">
        <v>1066</v>
      </c>
      <c r="C99" s="268" t="s">
        <v>4674</v>
      </c>
      <c r="D99" s="337">
        <v>814</v>
      </c>
      <c r="E99" s="337" t="s">
        <v>4494</v>
      </c>
      <c r="F99" s="337" t="s">
        <v>3022</v>
      </c>
      <c r="G99" s="389">
        <v>46093</v>
      </c>
      <c r="H99" s="389">
        <v>46094</v>
      </c>
      <c r="I99" s="337"/>
      <c r="J99" s="389">
        <v>46093</v>
      </c>
      <c r="K99" s="337" t="s">
        <v>2678</v>
      </c>
      <c r="L99" s="273">
        <f t="shared" si="6"/>
        <v>10</v>
      </c>
      <c r="M99" s="273">
        <f t="shared" si="7"/>
        <v>0</v>
      </c>
      <c r="N99" s="337" t="s">
        <v>3069</v>
      </c>
      <c r="O99" s="114"/>
    </row>
    <row r="100" spans="1:15" ht="50.1" customHeight="1" x14ac:dyDescent="0.25">
      <c r="A100" s="490">
        <v>130</v>
      </c>
      <c r="B100" s="268" t="s">
        <v>3842</v>
      </c>
      <c r="C100" s="268" t="s">
        <v>302</v>
      </c>
      <c r="D100" s="337">
        <v>149800</v>
      </c>
      <c r="E100" s="337" t="s">
        <v>4499</v>
      </c>
      <c r="F100" s="337" t="s">
        <v>3023</v>
      </c>
      <c r="G100" s="389">
        <v>46093</v>
      </c>
      <c r="H100" s="389">
        <v>46094</v>
      </c>
      <c r="I100" s="337"/>
      <c r="J100" s="389">
        <v>46097</v>
      </c>
      <c r="K100" s="337" t="s">
        <v>2678</v>
      </c>
      <c r="L100" s="273">
        <f t="shared" si="6"/>
        <v>300</v>
      </c>
      <c r="M100" s="273">
        <f t="shared" si="7"/>
        <v>0</v>
      </c>
      <c r="N100" s="337" t="s">
        <v>3069</v>
      </c>
      <c r="O100" s="114"/>
    </row>
    <row r="101" spans="1:15" ht="50.1" customHeight="1" x14ac:dyDescent="0.25">
      <c r="A101" s="490">
        <v>131</v>
      </c>
      <c r="B101" s="268" t="s">
        <v>1543</v>
      </c>
      <c r="C101" s="268" t="s">
        <v>1570</v>
      </c>
      <c r="D101" s="337">
        <v>18250</v>
      </c>
      <c r="E101" s="337" t="s">
        <v>4500</v>
      </c>
      <c r="F101" s="337" t="s">
        <v>2707</v>
      </c>
      <c r="G101" s="389">
        <v>46094</v>
      </c>
      <c r="H101" s="389">
        <v>46095</v>
      </c>
      <c r="I101" s="337"/>
      <c r="J101" s="389">
        <v>46094</v>
      </c>
      <c r="K101" s="337" t="s">
        <v>2678</v>
      </c>
      <c r="L101" s="273">
        <f t="shared" si="6"/>
        <v>40</v>
      </c>
      <c r="M101" s="273">
        <f t="shared" si="7"/>
        <v>0</v>
      </c>
      <c r="N101" s="337" t="s">
        <v>3069</v>
      </c>
      <c r="O101" s="114"/>
    </row>
    <row r="102" spans="1:15" ht="50.1" customHeight="1" x14ac:dyDescent="0.25">
      <c r="A102" s="490">
        <v>133</v>
      </c>
      <c r="B102" s="268" t="s">
        <v>1081</v>
      </c>
      <c r="C102" s="268" t="s">
        <v>2092</v>
      </c>
      <c r="D102" s="337">
        <v>2760</v>
      </c>
      <c r="E102" s="337" t="s">
        <v>4502</v>
      </c>
      <c r="F102" s="337" t="s">
        <v>3022</v>
      </c>
      <c r="G102" s="389">
        <v>46094</v>
      </c>
      <c r="H102" s="389">
        <v>46095</v>
      </c>
      <c r="I102" s="337"/>
      <c r="J102" s="389">
        <v>46094</v>
      </c>
      <c r="K102" s="337" t="s">
        <v>2678</v>
      </c>
      <c r="L102" s="273">
        <f t="shared" si="6"/>
        <v>10</v>
      </c>
      <c r="M102" s="273">
        <f t="shared" si="7"/>
        <v>0</v>
      </c>
      <c r="N102" s="337" t="s">
        <v>3069</v>
      </c>
      <c r="O102" s="114"/>
    </row>
    <row r="103" spans="1:15" ht="50.1" customHeight="1" x14ac:dyDescent="0.25">
      <c r="A103" s="490">
        <v>134</v>
      </c>
      <c r="B103" s="268" t="s">
        <v>1071</v>
      </c>
      <c r="C103" s="268" t="s">
        <v>4676</v>
      </c>
      <c r="D103" s="337">
        <v>2440</v>
      </c>
      <c r="E103" s="337" t="s">
        <v>4503</v>
      </c>
      <c r="F103" s="337" t="s">
        <v>3022</v>
      </c>
      <c r="G103" s="389">
        <v>46094</v>
      </c>
      <c r="H103" s="389">
        <v>46095</v>
      </c>
      <c r="I103" s="337"/>
      <c r="J103" s="389">
        <v>46094</v>
      </c>
      <c r="K103" s="337" t="s">
        <v>2678</v>
      </c>
      <c r="L103" s="273">
        <f t="shared" si="6"/>
        <v>10</v>
      </c>
      <c r="M103" s="273">
        <f t="shared" si="7"/>
        <v>0</v>
      </c>
      <c r="N103" s="337" t="s">
        <v>3069</v>
      </c>
      <c r="O103" s="114"/>
    </row>
    <row r="104" spans="1:15" ht="50.1" customHeight="1" x14ac:dyDescent="0.25">
      <c r="A104" s="490">
        <v>135</v>
      </c>
      <c r="B104" s="268" t="s">
        <v>1077</v>
      </c>
      <c r="C104" s="268" t="s">
        <v>2092</v>
      </c>
      <c r="D104" s="337">
        <v>1240</v>
      </c>
      <c r="E104" s="337" t="s">
        <v>4504</v>
      </c>
      <c r="F104" s="337" t="s">
        <v>4851</v>
      </c>
      <c r="G104" s="389">
        <v>46094</v>
      </c>
      <c r="H104" s="389">
        <v>46095</v>
      </c>
      <c r="I104" s="337"/>
      <c r="J104" s="389">
        <v>46094</v>
      </c>
      <c r="K104" s="337" t="s">
        <v>2678</v>
      </c>
      <c r="L104" s="273">
        <f t="shared" si="6"/>
        <v>10</v>
      </c>
      <c r="M104" s="273">
        <f t="shared" si="7"/>
        <v>0</v>
      </c>
      <c r="N104" s="337" t="s">
        <v>3069</v>
      </c>
      <c r="O104" s="114"/>
    </row>
    <row r="105" spans="1:15" ht="50.1" customHeight="1" x14ac:dyDescent="0.25">
      <c r="A105" s="490">
        <v>136</v>
      </c>
      <c r="B105" s="268" t="s">
        <v>4677</v>
      </c>
      <c r="C105" s="268" t="s">
        <v>3105</v>
      </c>
      <c r="D105" s="337">
        <v>30000</v>
      </c>
      <c r="E105" s="337" t="s">
        <v>4505</v>
      </c>
      <c r="F105" s="337" t="s">
        <v>3030</v>
      </c>
      <c r="G105" s="389">
        <v>46094</v>
      </c>
      <c r="H105" s="389">
        <v>46095</v>
      </c>
      <c r="I105" s="337"/>
      <c r="J105" s="389">
        <v>46094</v>
      </c>
      <c r="K105" s="337" t="s">
        <v>2678</v>
      </c>
      <c r="L105" s="273">
        <f t="shared" si="6"/>
        <v>70</v>
      </c>
      <c r="M105" s="273">
        <f t="shared" si="7"/>
        <v>0</v>
      </c>
      <c r="N105" s="337" t="s">
        <v>3069</v>
      </c>
      <c r="O105" s="114"/>
    </row>
    <row r="106" spans="1:15" ht="50.1" customHeight="1" x14ac:dyDescent="0.25">
      <c r="A106" s="490">
        <v>137</v>
      </c>
      <c r="B106" s="268" t="s">
        <v>1652</v>
      </c>
      <c r="C106" s="268" t="s">
        <v>1995</v>
      </c>
      <c r="D106" s="337">
        <v>4300</v>
      </c>
      <c r="E106" s="337" t="s">
        <v>4506</v>
      </c>
      <c r="F106" s="337" t="s">
        <v>3026</v>
      </c>
      <c r="G106" s="389">
        <v>46094</v>
      </c>
      <c r="H106" s="389">
        <v>46095</v>
      </c>
      <c r="I106" s="337"/>
      <c r="J106" s="389">
        <v>46094</v>
      </c>
      <c r="K106" s="337" t="s">
        <v>2678</v>
      </c>
      <c r="L106" s="273">
        <f t="shared" si="6"/>
        <v>10</v>
      </c>
      <c r="M106" s="273">
        <f t="shared" si="7"/>
        <v>0</v>
      </c>
      <c r="N106" s="337" t="s">
        <v>3069</v>
      </c>
      <c r="O106" s="114"/>
    </row>
    <row r="107" spans="1:15" ht="50.1" customHeight="1" x14ac:dyDescent="0.25">
      <c r="A107" s="490">
        <v>138</v>
      </c>
      <c r="B107" s="268" t="s">
        <v>1653</v>
      </c>
      <c r="C107" s="268" t="s">
        <v>1995</v>
      </c>
      <c r="D107" s="337">
        <v>4300</v>
      </c>
      <c r="E107" s="337" t="s">
        <v>4507</v>
      </c>
      <c r="F107" s="337" t="s">
        <v>3026</v>
      </c>
      <c r="G107" s="389">
        <v>46094</v>
      </c>
      <c r="H107" s="389">
        <v>46095</v>
      </c>
      <c r="I107" s="337"/>
      <c r="J107" s="389">
        <v>46094</v>
      </c>
      <c r="K107" s="337" t="s">
        <v>2678</v>
      </c>
      <c r="L107" s="273">
        <f t="shared" si="6"/>
        <v>10</v>
      </c>
      <c r="M107" s="273">
        <f t="shared" si="7"/>
        <v>0</v>
      </c>
      <c r="N107" s="337" t="s">
        <v>3069</v>
      </c>
      <c r="O107" s="114"/>
    </row>
    <row r="108" spans="1:15" ht="50.1" customHeight="1" x14ac:dyDescent="0.25">
      <c r="A108" s="490">
        <v>139</v>
      </c>
      <c r="B108" s="268" t="s">
        <v>1654</v>
      </c>
      <c r="C108" s="268" t="s">
        <v>1995</v>
      </c>
      <c r="D108" s="337">
        <v>4300</v>
      </c>
      <c r="E108" s="337" t="s">
        <v>4508</v>
      </c>
      <c r="F108" s="337" t="s">
        <v>3026</v>
      </c>
      <c r="G108" s="389">
        <v>46094</v>
      </c>
      <c r="H108" s="389">
        <v>46095</v>
      </c>
      <c r="I108" s="337"/>
      <c r="J108" s="389">
        <v>46094</v>
      </c>
      <c r="K108" s="337" t="s">
        <v>2678</v>
      </c>
      <c r="L108" s="273">
        <f t="shared" si="6"/>
        <v>10</v>
      </c>
      <c r="M108" s="273">
        <f t="shared" si="7"/>
        <v>0</v>
      </c>
      <c r="N108" s="337" t="s">
        <v>3069</v>
      </c>
      <c r="O108" s="114"/>
    </row>
    <row r="109" spans="1:15" ht="50.1" customHeight="1" x14ac:dyDescent="0.25">
      <c r="A109" s="490">
        <v>140</v>
      </c>
      <c r="B109" s="268" t="s">
        <v>1655</v>
      </c>
      <c r="C109" s="268" t="s">
        <v>1995</v>
      </c>
      <c r="D109" s="337">
        <v>4300</v>
      </c>
      <c r="E109" s="337" t="s">
        <v>4509</v>
      </c>
      <c r="F109" s="337" t="s">
        <v>3026</v>
      </c>
      <c r="G109" s="389">
        <v>46094</v>
      </c>
      <c r="H109" s="389">
        <v>46095</v>
      </c>
      <c r="I109" s="337"/>
      <c r="J109" s="389">
        <v>46094</v>
      </c>
      <c r="K109" s="337" t="s">
        <v>2678</v>
      </c>
      <c r="L109" s="273">
        <f t="shared" si="6"/>
        <v>10</v>
      </c>
      <c r="M109" s="273">
        <f t="shared" si="7"/>
        <v>0</v>
      </c>
      <c r="N109" s="337" t="s">
        <v>3069</v>
      </c>
      <c r="O109" s="114"/>
    </row>
    <row r="110" spans="1:15" ht="50.1" customHeight="1" x14ac:dyDescent="0.25">
      <c r="A110" s="490">
        <v>141</v>
      </c>
      <c r="B110" s="268" t="s">
        <v>1656</v>
      </c>
      <c r="C110" s="268" t="s">
        <v>1995</v>
      </c>
      <c r="D110" s="337">
        <v>4300</v>
      </c>
      <c r="E110" s="337" t="s">
        <v>4510</v>
      </c>
      <c r="F110" s="337" t="s">
        <v>3026</v>
      </c>
      <c r="G110" s="389">
        <v>46094</v>
      </c>
      <c r="H110" s="389">
        <v>46095</v>
      </c>
      <c r="I110" s="337"/>
      <c r="J110" s="389">
        <v>46094</v>
      </c>
      <c r="K110" s="337" t="s">
        <v>2678</v>
      </c>
      <c r="L110" s="273">
        <f t="shared" ref="L110:L121" si="8">ROUNDUP((D110/4999.99)*10,-1)</f>
        <v>10</v>
      </c>
      <c r="M110" s="273">
        <f t="shared" ref="M110:M121" si="9">IF(K110="N",0,L110)</f>
        <v>0</v>
      </c>
      <c r="N110" s="337" t="s">
        <v>3069</v>
      </c>
      <c r="O110" s="114"/>
    </row>
    <row r="111" spans="1:15" ht="50.1" customHeight="1" x14ac:dyDescent="0.25">
      <c r="A111" s="490">
        <v>142</v>
      </c>
      <c r="B111" s="268" t="s">
        <v>4678</v>
      </c>
      <c r="C111" s="268" t="s">
        <v>4679</v>
      </c>
      <c r="D111" s="337">
        <v>14000</v>
      </c>
      <c r="E111" s="337" t="s">
        <v>4511</v>
      </c>
      <c r="F111" s="337" t="s">
        <v>4080</v>
      </c>
      <c r="G111" s="389">
        <v>46094</v>
      </c>
      <c r="H111" s="389">
        <v>46095</v>
      </c>
      <c r="I111" s="337"/>
      <c r="J111" s="389">
        <v>46094</v>
      </c>
      <c r="K111" s="337" t="s">
        <v>2678</v>
      </c>
      <c r="L111" s="273">
        <f t="shared" si="8"/>
        <v>30</v>
      </c>
      <c r="M111" s="273">
        <f t="shared" si="9"/>
        <v>0</v>
      </c>
      <c r="N111" s="337" t="s">
        <v>3069</v>
      </c>
      <c r="O111" s="114"/>
    </row>
    <row r="112" spans="1:15" ht="50.1" customHeight="1" x14ac:dyDescent="0.25">
      <c r="A112" s="490">
        <v>143</v>
      </c>
      <c r="B112" s="268" t="s">
        <v>401</v>
      </c>
      <c r="C112" s="268" t="s">
        <v>2349</v>
      </c>
      <c r="D112" s="337">
        <v>4355</v>
      </c>
      <c r="E112" s="337" t="s">
        <v>4512</v>
      </c>
      <c r="F112" s="337" t="s">
        <v>2709</v>
      </c>
      <c r="G112" s="389">
        <v>46097</v>
      </c>
      <c r="H112" s="389">
        <v>46098</v>
      </c>
      <c r="I112" s="337"/>
      <c r="J112" s="389">
        <v>46097</v>
      </c>
      <c r="K112" s="337" t="s">
        <v>2678</v>
      </c>
      <c r="L112" s="273">
        <f t="shared" si="8"/>
        <v>10</v>
      </c>
      <c r="M112" s="273">
        <f t="shared" si="9"/>
        <v>0</v>
      </c>
      <c r="N112" s="337" t="s">
        <v>4710</v>
      </c>
      <c r="O112" s="114"/>
    </row>
    <row r="113" spans="1:15" ht="50.1" customHeight="1" x14ac:dyDescent="0.25">
      <c r="A113" s="490">
        <v>144</v>
      </c>
      <c r="B113" s="268" t="s">
        <v>402</v>
      </c>
      <c r="C113" s="268" t="s">
        <v>2349</v>
      </c>
      <c r="D113" s="337">
        <v>4355</v>
      </c>
      <c r="E113" s="337" t="s">
        <v>4513</v>
      </c>
      <c r="F113" s="337" t="s">
        <v>2709</v>
      </c>
      <c r="G113" s="389">
        <v>46097</v>
      </c>
      <c r="H113" s="389">
        <v>46098</v>
      </c>
      <c r="I113" s="337"/>
      <c r="J113" s="389">
        <v>46097</v>
      </c>
      <c r="K113" s="337" t="s">
        <v>2678</v>
      </c>
      <c r="L113" s="273">
        <f t="shared" si="8"/>
        <v>10</v>
      </c>
      <c r="M113" s="273">
        <f t="shared" si="9"/>
        <v>0</v>
      </c>
      <c r="N113" s="337" t="s">
        <v>3069</v>
      </c>
      <c r="O113" s="114"/>
    </row>
    <row r="114" spans="1:15" ht="50.1" customHeight="1" x14ac:dyDescent="0.25">
      <c r="A114" s="490">
        <v>146</v>
      </c>
      <c r="B114" s="268" t="s">
        <v>3743</v>
      </c>
      <c r="C114" s="268" t="s">
        <v>4680</v>
      </c>
      <c r="D114" s="337">
        <v>4200</v>
      </c>
      <c r="E114" s="337" t="s">
        <v>4515</v>
      </c>
      <c r="F114" s="337" t="s">
        <v>2982</v>
      </c>
      <c r="G114" s="389">
        <v>46097</v>
      </c>
      <c r="H114" s="389">
        <v>46098</v>
      </c>
      <c r="I114" s="337"/>
      <c r="J114" s="389">
        <v>46097</v>
      </c>
      <c r="K114" s="337" t="s">
        <v>2678</v>
      </c>
      <c r="L114" s="273">
        <f t="shared" si="8"/>
        <v>10</v>
      </c>
      <c r="M114" s="273">
        <f t="shared" si="9"/>
        <v>0</v>
      </c>
      <c r="N114" s="337" t="s">
        <v>3069</v>
      </c>
      <c r="O114" s="114"/>
    </row>
    <row r="115" spans="1:15" ht="50.1" customHeight="1" x14ac:dyDescent="0.25">
      <c r="A115" s="490">
        <v>147</v>
      </c>
      <c r="B115" s="268" t="s">
        <v>3744</v>
      </c>
      <c r="C115" s="268" t="s">
        <v>4680</v>
      </c>
      <c r="D115" s="337">
        <v>4200</v>
      </c>
      <c r="E115" s="337" t="s">
        <v>4516</v>
      </c>
      <c r="F115" s="337" t="s">
        <v>2982</v>
      </c>
      <c r="G115" s="389">
        <v>46097</v>
      </c>
      <c r="H115" s="389">
        <v>46098</v>
      </c>
      <c r="I115" s="337"/>
      <c r="J115" s="389">
        <v>46097</v>
      </c>
      <c r="K115" s="337" t="s">
        <v>2678</v>
      </c>
      <c r="L115" s="273">
        <f t="shared" si="8"/>
        <v>10</v>
      </c>
      <c r="M115" s="273">
        <f t="shared" si="9"/>
        <v>0</v>
      </c>
      <c r="N115" s="337" t="s">
        <v>3069</v>
      </c>
      <c r="O115" s="114"/>
    </row>
    <row r="116" spans="1:15" ht="50.1" customHeight="1" x14ac:dyDescent="0.25">
      <c r="A116" s="490">
        <v>150</v>
      </c>
      <c r="B116" s="268" t="s">
        <v>3747</v>
      </c>
      <c r="C116" s="268" t="s">
        <v>4680</v>
      </c>
      <c r="D116" s="337">
        <v>4200</v>
      </c>
      <c r="E116" s="337" t="s">
        <v>4519</v>
      </c>
      <c r="F116" s="337" t="s">
        <v>2982</v>
      </c>
      <c r="G116" s="389">
        <v>46097</v>
      </c>
      <c r="H116" s="389">
        <v>46098</v>
      </c>
      <c r="I116" s="337"/>
      <c r="J116" s="389">
        <v>46097</v>
      </c>
      <c r="K116" s="337" t="s">
        <v>2678</v>
      </c>
      <c r="L116" s="273">
        <f t="shared" si="8"/>
        <v>10</v>
      </c>
      <c r="M116" s="273">
        <f t="shared" si="9"/>
        <v>0</v>
      </c>
      <c r="N116" s="337" t="s">
        <v>3069</v>
      </c>
      <c r="O116" s="114"/>
    </row>
    <row r="117" spans="1:15" ht="50.1" customHeight="1" x14ac:dyDescent="0.25">
      <c r="A117" s="490">
        <v>155</v>
      </c>
      <c r="B117" s="268" t="s">
        <v>1070</v>
      </c>
      <c r="C117" s="268" t="s">
        <v>3308</v>
      </c>
      <c r="D117" s="337">
        <v>2440</v>
      </c>
      <c r="E117" s="337" t="s">
        <v>4524</v>
      </c>
      <c r="F117" s="337" t="s">
        <v>4852</v>
      </c>
      <c r="G117" s="389">
        <v>46098</v>
      </c>
      <c r="H117" s="389">
        <v>46099</v>
      </c>
      <c r="I117" s="337"/>
      <c r="J117" s="389">
        <v>46098</v>
      </c>
      <c r="K117" s="337" t="s">
        <v>2678</v>
      </c>
      <c r="L117" s="273">
        <f t="shared" si="8"/>
        <v>10</v>
      </c>
      <c r="M117" s="273">
        <f t="shared" si="9"/>
        <v>0</v>
      </c>
      <c r="N117" s="337" t="s">
        <v>3069</v>
      </c>
      <c r="O117" s="114"/>
    </row>
    <row r="118" spans="1:15" ht="50.1" customHeight="1" x14ac:dyDescent="0.25">
      <c r="A118" s="490">
        <v>156</v>
      </c>
      <c r="B118" s="268" t="s">
        <v>1681</v>
      </c>
      <c r="C118" s="268" t="s">
        <v>1995</v>
      </c>
      <c r="D118" s="337">
        <v>4300</v>
      </c>
      <c r="E118" s="337" t="s">
        <v>4525</v>
      </c>
      <c r="F118" s="337" t="s">
        <v>2982</v>
      </c>
      <c r="G118" s="389">
        <v>46098</v>
      </c>
      <c r="H118" s="389">
        <v>46099</v>
      </c>
      <c r="I118" s="337"/>
      <c r="J118" s="389">
        <v>46098</v>
      </c>
      <c r="K118" s="337" t="s">
        <v>2678</v>
      </c>
      <c r="L118" s="273">
        <f t="shared" si="8"/>
        <v>10</v>
      </c>
      <c r="M118" s="273">
        <f t="shared" si="9"/>
        <v>0</v>
      </c>
      <c r="N118" s="337" t="s">
        <v>3069</v>
      </c>
      <c r="O118" s="114"/>
    </row>
    <row r="119" spans="1:15" ht="50.1" customHeight="1" x14ac:dyDescent="0.25">
      <c r="A119" s="490">
        <v>157</v>
      </c>
      <c r="B119" s="268" t="s">
        <v>1682</v>
      </c>
      <c r="C119" s="268" t="s">
        <v>1995</v>
      </c>
      <c r="D119" s="337">
        <v>4300</v>
      </c>
      <c r="E119" s="337" t="s">
        <v>4526</v>
      </c>
      <c r="F119" s="337" t="s">
        <v>2982</v>
      </c>
      <c r="G119" s="389">
        <v>46098</v>
      </c>
      <c r="H119" s="389">
        <v>46099</v>
      </c>
      <c r="I119" s="337"/>
      <c r="J119" s="389">
        <v>46098</v>
      </c>
      <c r="K119" s="337" t="s">
        <v>2678</v>
      </c>
      <c r="L119" s="273">
        <f t="shared" si="8"/>
        <v>10</v>
      </c>
      <c r="M119" s="273">
        <f t="shared" si="9"/>
        <v>0</v>
      </c>
      <c r="N119" s="337" t="s">
        <v>3069</v>
      </c>
      <c r="O119" s="114"/>
    </row>
    <row r="120" spans="1:15" ht="50.1" customHeight="1" x14ac:dyDescent="0.25">
      <c r="A120" s="490">
        <v>159</v>
      </c>
      <c r="B120" s="268" t="s">
        <v>1684</v>
      </c>
      <c r="C120" s="268" t="s">
        <v>1995</v>
      </c>
      <c r="D120" s="337">
        <v>4300</v>
      </c>
      <c r="E120" s="337" t="s">
        <v>4528</v>
      </c>
      <c r="F120" s="337" t="s">
        <v>2982</v>
      </c>
      <c r="G120" s="389">
        <v>46098</v>
      </c>
      <c r="H120" s="389">
        <v>46099</v>
      </c>
      <c r="I120" s="337"/>
      <c r="J120" s="389">
        <v>46098</v>
      </c>
      <c r="K120" s="337" t="s">
        <v>2678</v>
      </c>
      <c r="L120" s="273">
        <f t="shared" si="8"/>
        <v>10</v>
      </c>
      <c r="M120" s="273">
        <f t="shared" si="9"/>
        <v>0</v>
      </c>
      <c r="N120" s="337" t="s">
        <v>3069</v>
      </c>
      <c r="O120" s="114"/>
    </row>
    <row r="121" spans="1:15" ht="50.1" customHeight="1" x14ac:dyDescent="0.25">
      <c r="A121" s="490">
        <v>160</v>
      </c>
      <c r="B121" s="268" t="s">
        <v>1075</v>
      </c>
      <c r="C121" s="268" t="s">
        <v>3308</v>
      </c>
      <c r="D121" s="337">
        <v>1240</v>
      </c>
      <c r="E121" s="337" t="s">
        <v>4529</v>
      </c>
      <c r="F121" s="337" t="s">
        <v>4852</v>
      </c>
      <c r="G121" s="389">
        <v>46098</v>
      </c>
      <c r="H121" s="389">
        <v>46099</v>
      </c>
      <c r="I121" s="337"/>
      <c r="J121" s="389">
        <v>46098</v>
      </c>
      <c r="K121" s="337" t="s">
        <v>2678</v>
      </c>
      <c r="L121" s="273">
        <f t="shared" si="8"/>
        <v>10</v>
      </c>
      <c r="M121" s="273">
        <f t="shared" si="9"/>
        <v>0</v>
      </c>
      <c r="N121" s="337" t="s">
        <v>3069</v>
      </c>
      <c r="O121" s="114"/>
    </row>
    <row r="122" spans="1:15" ht="50.1" customHeight="1" x14ac:dyDescent="0.25">
      <c r="A122" s="490">
        <v>170</v>
      </c>
      <c r="B122" s="268" t="s">
        <v>1080</v>
      </c>
      <c r="C122" s="268" t="s">
        <v>4682</v>
      </c>
      <c r="D122" s="269">
        <v>2760</v>
      </c>
      <c r="E122" s="268" t="s">
        <v>4539</v>
      </c>
      <c r="F122" s="268" t="s">
        <v>4852</v>
      </c>
      <c r="G122" s="278">
        <v>46098</v>
      </c>
      <c r="H122" s="278">
        <v>46099</v>
      </c>
      <c r="I122" s="389"/>
      <c r="J122" s="389">
        <v>46098</v>
      </c>
      <c r="K122" s="337" t="s">
        <v>2678</v>
      </c>
      <c r="L122" s="273">
        <f t="shared" ref="L122:L138" si="10">ROUNDUP((D122/4999.99)*10,-1)</f>
        <v>10</v>
      </c>
      <c r="M122" s="273">
        <f t="shared" ref="M122:M161" si="11">IF(K122="N",0,L122)</f>
        <v>0</v>
      </c>
      <c r="N122" s="337" t="s">
        <v>3069</v>
      </c>
      <c r="O122" s="114"/>
    </row>
    <row r="123" spans="1:15" ht="50.1" customHeight="1" x14ac:dyDescent="0.25">
      <c r="A123" s="490">
        <v>173</v>
      </c>
      <c r="B123" s="268" t="s">
        <v>2167</v>
      </c>
      <c r="C123" s="268" t="s">
        <v>1995</v>
      </c>
      <c r="D123" s="269">
        <v>4300</v>
      </c>
      <c r="E123" s="268" t="s">
        <v>4542</v>
      </c>
      <c r="F123" s="268" t="s">
        <v>3024</v>
      </c>
      <c r="G123" s="278">
        <v>46099</v>
      </c>
      <c r="H123" s="278">
        <v>46100</v>
      </c>
      <c r="I123" s="389"/>
      <c r="J123" s="389">
        <v>46099</v>
      </c>
      <c r="K123" s="337" t="s">
        <v>2678</v>
      </c>
      <c r="L123" s="273">
        <f t="shared" si="10"/>
        <v>10</v>
      </c>
      <c r="M123" s="273">
        <f t="shared" si="11"/>
        <v>0</v>
      </c>
      <c r="N123" s="337" t="s">
        <v>3069</v>
      </c>
      <c r="O123" s="114"/>
    </row>
    <row r="124" spans="1:15" ht="50.1" customHeight="1" x14ac:dyDescent="0.25">
      <c r="A124" s="490">
        <v>174</v>
      </c>
      <c r="B124" s="268" t="s">
        <v>2168</v>
      </c>
      <c r="C124" s="268" t="s">
        <v>1995</v>
      </c>
      <c r="D124" s="269">
        <v>4300</v>
      </c>
      <c r="E124" s="268" t="s">
        <v>4543</v>
      </c>
      <c r="F124" s="268" t="s">
        <v>3024</v>
      </c>
      <c r="G124" s="278">
        <v>46099</v>
      </c>
      <c r="H124" s="278">
        <v>46100</v>
      </c>
      <c r="I124" s="389"/>
      <c r="J124" s="389">
        <v>46099</v>
      </c>
      <c r="K124" s="337" t="s">
        <v>2678</v>
      </c>
      <c r="L124" s="273">
        <f t="shared" si="10"/>
        <v>10</v>
      </c>
      <c r="M124" s="273">
        <f t="shared" si="11"/>
        <v>0</v>
      </c>
      <c r="N124" s="337" t="s">
        <v>3069</v>
      </c>
      <c r="O124" s="114"/>
    </row>
    <row r="125" spans="1:15" ht="50.1" customHeight="1" x14ac:dyDescent="0.25">
      <c r="A125" s="490">
        <v>175</v>
      </c>
      <c r="B125" s="268" t="s">
        <v>2169</v>
      </c>
      <c r="C125" s="268" t="s">
        <v>1995</v>
      </c>
      <c r="D125" s="269">
        <v>4300</v>
      </c>
      <c r="E125" s="268" t="s">
        <v>4544</v>
      </c>
      <c r="F125" s="268" t="s">
        <v>3024</v>
      </c>
      <c r="G125" s="278">
        <v>46099</v>
      </c>
      <c r="H125" s="278">
        <v>46100</v>
      </c>
      <c r="I125" s="389"/>
      <c r="J125" s="389">
        <v>46099</v>
      </c>
      <c r="K125" s="337" t="s">
        <v>2678</v>
      </c>
      <c r="L125" s="273">
        <f t="shared" si="10"/>
        <v>10</v>
      </c>
      <c r="M125" s="273">
        <f t="shared" si="11"/>
        <v>0</v>
      </c>
      <c r="N125" s="337" t="s">
        <v>3069</v>
      </c>
      <c r="O125" s="114"/>
    </row>
    <row r="126" spans="1:15" ht="50.1" customHeight="1" x14ac:dyDescent="0.25">
      <c r="A126" s="490">
        <v>176</v>
      </c>
      <c r="B126" s="268" t="s">
        <v>2170</v>
      </c>
      <c r="C126" s="268" t="s">
        <v>1995</v>
      </c>
      <c r="D126" s="269">
        <v>4300</v>
      </c>
      <c r="E126" s="268" t="s">
        <v>4545</v>
      </c>
      <c r="F126" s="268" t="s">
        <v>3024</v>
      </c>
      <c r="G126" s="278">
        <v>46099</v>
      </c>
      <c r="H126" s="278">
        <v>46100</v>
      </c>
      <c r="I126" s="389"/>
      <c r="J126" s="389">
        <v>46099</v>
      </c>
      <c r="K126" s="337" t="s">
        <v>2678</v>
      </c>
      <c r="L126" s="273">
        <f t="shared" si="10"/>
        <v>10</v>
      </c>
      <c r="M126" s="273">
        <f t="shared" si="11"/>
        <v>0</v>
      </c>
      <c r="N126" s="337" t="s">
        <v>3069</v>
      </c>
      <c r="O126" s="114"/>
    </row>
    <row r="127" spans="1:15" ht="50.1" customHeight="1" x14ac:dyDescent="0.25">
      <c r="A127" s="490">
        <v>177</v>
      </c>
      <c r="B127" s="268" t="s">
        <v>2171</v>
      </c>
      <c r="C127" s="268" t="s">
        <v>1995</v>
      </c>
      <c r="D127" s="269">
        <v>4300</v>
      </c>
      <c r="E127" s="268" t="s">
        <v>4546</v>
      </c>
      <c r="F127" s="268" t="s">
        <v>3024</v>
      </c>
      <c r="G127" s="278">
        <v>46099</v>
      </c>
      <c r="H127" s="278">
        <v>46100</v>
      </c>
      <c r="I127" s="389"/>
      <c r="J127" s="389">
        <v>46099</v>
      </c>
      <c r="K127" s="337" t="s">
        <v>2678</v>
      </c>
      <c r="L127" s="273">
        <f t="shared" si="10"/>
        <v>10</v>
      </c>
      <c r="M127" s="273">
        <f t="shared" si="11"/>
        <v>0</v>
      </c>
      <c r="N127" s="337" t="s">
        <v>3069</v>
      </c>
      <c r="O127" s="114"/>
    </row>
    <row r="128" spans="1:15" ht="50.1" customHeight="1" x14ac:dyDescent="0.25">
      <c r="A128" s="490">
        <v>178</v>
      </c>
      <c r="B128" s="268" t="s">
        <v>1395</v>
      </c>
      <c r="C128" s="268" t="s">
        <v>4658</v>
      </c>
      <c r="D128" s="269">
        <v>1950</v>
      </c>
      <c r="E128" s="268" t="s">
        <v>4547</v>
      </c>
      <c r="F128" s="268" t="s">
        <v>3024</v>
      </c>
      <c r="G128" s="278">
        <v>46099</v>
      </c>
      <c r="H128" s="278">
        <v>46100</v>
      </c>
      <c r="I128" s="389"/>
      <c r="J128" s="389">
        <v>46099</v>
      </c>
      <c r="K128" s="337" t="s">
        <v>2678</v>
      </c>
      <c r="L128" s="273">
        <f t="shared" si="10"/>
        <v>10</v>
      </c>
      <c r="M128" s="273">
        <f t="shared" si="11"/>
        <v>0</v>
      </c>
      <c r="N128" s="337" t="s">
        <v>3069</v>
      </c>
      <c r="O128" s="114"/>
    </row>
    <row r="129" spans="1:15" ht="50.1" customHeight="1" x14ac:dyDescent="0.25">
      <c r="A129" s="490">
        <v>179</v>
      </c>
      <c r="B129" s="268" t="s">
        <v>1396</v>
      </c>
      <c r="C129" s="268" t="s">
        <v>4658</v>
      </c>
      <c r="D129" s="269">
        <v>1950</v>
      </c>
      <c r="E129" s="268" t="s">
        <v>4548</v>
      </c>
      <c r="F129" s="268" t="s">
        <v>3024</v>
      </c>
      <c r="G129" s="278">
        <v>46099</v>
      </c>
      <c r="H129" s="278">
        <v>46100</v>
      </c>
      <c r="I129" s="389"/>
      <c r="J129" s="389">
        <v>46099</v>
      </c>
      <c r="K129" s="337" t="s">
        <v>2678</v>
      </c>
      <c r="L129" s="273">
        <f t="shared" si="10"/>
        <v>10</v>
      </c>
      <c r="M129" s="273">
        <f t="shared" si="11"/>
        <v>0</v>
      </c>
      <c r="N129" s="337" t="s">
        <v>3069</v>
      </c>
      <c r="O129" s="114"/>
    </row>
    <row r="130" spans="1:15" ht="50.1" customHeight="1" x14ac:dyDescent="0.25">
      <c r="A130" s="490">
        <v>180</v>
      </c>
      <c r="B130" s="268" t="s">
        <v>1397</v>
      </c>
      <c r="C130" s="268" t="s">
        <v>4658</v>
      </c>
      <c r="D130" s="269">
        <v>1950</v>
      </c>
      <c r="E130" s="268" t="s">
        <v>4549</v>
      </c>
      <c r="F130" s="268" t="s">
        <v>3024</v>
      </c>
      <c r="G130" s="278">
        <v>46099</v>
      </c>
      <c r="H130" s="278">
        <v>46100</v>
      </c>
      <c r="I130" s="389"/>
      <c r="J130" s="389">
        <v>46099</v>
      </c>
      <c r="K130" s="337" t="s">
        <v>2678</v>
      </c>
      <c r="L130" s="273">
        <f t="shared" si="10"/>
        <v>10</v>
      </c>
      <c r="M130" s="273">
        <f t="shared" si="11"/>
        <v>0</v>
      </c>
      <c r="N130" s="337" t="s">
        <v>3069</v>
      </c>
      <c r="O130" s="114"/>
    </row>
    <row r="131" spans="1:15" ht="50.1" customHeight="1" x14ac:dyDescent="0.25">
      <c r="A131" s="490">
        <v>181</v>
      </c>
      <c r="B131" s="268" t="s">
        <v>1392</v>
      </c>
      <c r="C131" s="268" t="s">
        <v>4658</v>
      </c>
      <c r="D131" s="269">
        <v>1950</v>
      </c>
      <c r="E131" s="268" t="s">
        <v>4550</v>
      </c>
      <c r="F131" s="268" t="s">
        <v>4853</v>
      </c>
      <c r="G131" s="278">
        <v>46099</v>
      </c>
      <c r="H131" s="278">
        <v>46100</v>
      </c>
      <c r="I131" s="389"/>
      <c r="J131" s="389">
        <v>46099</v>
      </c>
      <c r="K131" s="337" t="s">
        <v>2678</v>
      </c>
      <c r="L131" s="273">
        <f t="shared" si="10"/>
        <v>10</v>
      </c>
      <c r="M131" s="273">
        <f t="shared" si="11"/>
        <v>0</v>
      </c>
      <c r="N131" s="337" t="s">
        <v>3069</v>
      </c>
      <c r="O131" s="114"/>
    </row>
    <row r="132" spans="1:15" ht="50.1" customHeight="1" x14ac:dyDescent="0.25">
      <c r="A132" s="490">
        <v>182</v>
      </c>
      <c r="B132" s="268" t="s">
        <v>1393</v>
      </c>
      <c r="C132" s="268" t="s">
        <v>4658</v>
      </c>
      <c r="D132" s="269">
        <v>1950</v>
      </c>
      <c r="E132" s="268" t="s">
        <v>4551</v>
      </c>
      <c r="F132" s="268" t="s">
        <v>2982</v>
      </c>
      <c r="G132" s="278">
        <v>46099</v>
      </c>
      <c r="H132" s="278">
        <v>46100</v>
      </c>
      <c r="I132" s="389"/>
      <c r="J132" s="389">
        <v>46099</v>
      </c>
      <c r="K132" s="337" t="s">
        <v>2678</v>
      </c>
      <c r="L132" s="273">
        <f t="shared" si="10"/>
        <v>10</v>
      </c>
      <c r="M132" s="273">
        <f t="shared" si="11"/>
        <v>0</v>
      </c>
      <c r="N132" s="337" t="s">
        <v>3069</v>
      </c>
      <c r="O132" s="114"/>
    </row>
    <row r="133" spans="1:15" ht="50.1" customHeight="1" x14ac:dyDescent="0.25">
      <c r="A133" s="490">
        <v>183</v>
      </c>
      <c r="B133" s="268" t="s">
        <v>1394</v>
      </c>
      <c r="C133" s="268" t="s">
        <v>4658</v>
      </c>
      <c r="D133" s="269">
        <v>1950</v>
      </c>
      <c r="E133" s="268" t="s">
        <v>4552</v>
      </c>
      <c r="F133" s="268" t="s">
        <v>2982</v>
      </c>
      <c r="G133" s="278">
        <v>46099</v>
      </c>
      <c r="H133" s="278">
        <v>46100</v>
      </c>
      <c r="I133" s="389"/>
      <c r="J133" s="389">
        <v>46099</v>
      </c>
      <c r="K133" s="337" t="s">
        <v>2678</v>
      </c>
      <c r="L133" s="273">
        <f t="shared" si="10"/>
        <v>10</v>
      </c>
      <c r="M133" s="273">
        <f t="shared" si="11"/>
        <v>0</v>
      </c>
      <c r="N133" s="337" t="s">
        <v>3069</v>
      </c>
      <c r="O133" s="114"/>
    </row>
    <row r="134" spans="1:15" ht="50.1" customHeight="1" x14ac:dyDescent="0.25">
      <c r="A134" s="490">
        <v>184</v>
      </c>
      <c r="B134" s="268" t="s">
        <v>1398</v>
      </c>
      <c r="C134" s="268" t="s">
        <v>4658</v>
      </c>
      <c r="D134" s="269">
        <v>1950</v>
      </c>
      <c r="E134" s="268" t="s">
        <v>4553</v>
      </c>
      <c r="F134" s="268" t="s">
        <v>3140</v>
      </c>
      <c r="G134" s="278">
        <v>46099</v>
      </c>
      <c r="H134" s="278">
        <v>46100</v>
      </c>
      <c r="I134" s="389"/>
      <c r="J134" s="389">
        <v>46099</v>
      </c>
      <c r="K134" s="337" t="s">
        <v>2678</v>
      </c>
      <c r="L134" s="273">
        <f t="shared" si="10"/>
        <v>10</v>
      </c>
      <c r="M134" s="273">
        <f t="shared" si="11"/>
        <v>0</v>
      </c>
      <c r="N134" s="337" t="s">
        <v>3069</v>
      </c>
      <c r="O134" s="114"/>
    </row>
    <row r="135" spans="1:15" ht="50.1" customHeight="1" x14ac:dyDescent="0.25">
      <c r="A135" s="490">
        <v>186</v>
      </c>
      <c r="B135" s="268" t="s">
        <v>3829</v>
      </c>
      <c r="C135" s="268" t="s">
        <v>1570</v>
      </c>
      <c r="D135" s="269">
        <v>24000</v>
      </c>
      <c r="E135" s="268" t="s">
        <v>4555</v>
      </c>
      <c r="F135" s="268" t="s">
        <v>3244</v>
      </c>
      <c r="G135" s="278">
        <v>46099</v>
      </c>
      <c r="H135" s="278">
        <v>46100</v>
      </c>
      <c r="I135" s="389"/>
      <c r="J135" s="389">
        <v>46099</v>
      </c>
      <c r="K135" s="337" t="s">
        <v>2678</v>
      </c>
      <c r="L135" s="273">
        <f t="shared" si="10"/>
        <v>50</v>
      </c>
      <c r="M135" s="273">
        <f t="shared" si="11"/>
        <v>0</v>
      </c>
      <c r="N135" s="337" t="s">
        <v>3069</v>
      </c>
      <c r="O135" s="114"/>
    </row>
    <row r="136" spans="1:15" ht="50.1" customHeight="1" x14ac:dyDescent="0.25">
      <c r="A136" s="490">
        <v>192</v>
      </c>
      <c r="B136" s="268" t="s">
        <v>858</v>
      </c>
      <c r="C136" s="268" t="s">
        <v>2336</v>
      </c>
      <c r="D136" s="269">
        <v>31000</v>
      </c>
      <c r="E136" s="268" t="s">
        <v>4561</v>
      </c>
      <c r="F136" s="268" t="s">
        <v>3024</v>
      </c>
      <c r="G136" s="278">
        <v>46100</v>
      </c>
      <c r="H136" s="278">
        <v>46101</v>
      </c>
      <c r="I136" s="389"/>
      <c r="J136" s="389">
        <v>46100</v>
      </c>
      <c r="K136" s="337" t="s">
        <v>2678</v>
      </c>
      <c r="L136" s="273">
        <f t="shared" si="10"/>
        <v>70</v>
      </c>
      <c r="M136" s="273">
        <f t="shared" si="11"/>
        <v>0</v>
      </c>
      <c r="N136" s="337" t="s">
        <v>3069</v>
      </c>
      <c r="O136" s="114"/>
    </row>
    <row r="137" spans="1:15" ht="50.1" customHeight="1" x14ac:dyDescent="0.25">
      <c r="A137" s="490">
        <v>193</v>
      </c>
      <c r="B137" s="268" t="s">
        <v>859</v>
      </c>
      <c r="C137" s="268" t="s">
        <v>2336</v>
      </c>
      <c r="D137" s="269">
        <v>31000</v>
      </c>
      <c r="E137" s="268" t="s">
        <v>4562</v>
      </c>
      <c r="F137" s="268" t="s">
        <v>3024</v>
      </c>
      <c r="G137" s="278">
        <v>46100</v>
      </c>
      <c r="H137" s="278">
        <v>46101</v>
      </c>
      <c r="I137" s="389"/>
      <c r="J137" s="389">
        <v>46100</v>
      </c>
      <c r="K137" s="337" t="s">
        <v>2678</v>
      </c>
      <c r="L137" s="273">
        <f t="shared" si="10"/>
        <v>70</v>
      </c>
      <c r="M137" s="273">
        <f t="shared" si="11"/>
        <v>0</v>
      </c>
      <c r="N137" s="337" t="s">
        <v>3069</v>
      </c>
      <c r="O137" s="114"/>
    </row>
    <row r="138" spans="1:15" ht="50.1" customHeight="1" x14ac:dyDescent="0.25">
      <c r="A138" s="490">
        <v>194</v>
      </c>
      <c r="B138" s="268" t="s">
        <v>245</v>
      </c>
      <c r="C138" s="268" t="s">
        <v>4686</v>
      </c>
      <c r="D138" s="269">
        <v>45800</v>
      </c>
      <c r="E138" s="268" t="s">
        <v>4563</v>
      </c>
      <c r="F138" s="268" t="s">
        <v>2989</v>
      </c>
      <c r="G138" s="278">
        <v>46100</v>
      </c>
      <c r="H138" s="278">
        <v>46101</v>
      </c>
      <c r="I138" s="389"/>
      <c r="J138" s="389">
        <v>46106</v>
      </c>
      <c r="K138" s="337" t="s">
        <v>2678</v>
      </c>
      <c r="L138" s="273">
        <f t="shared" si="10"/>
        <v>100</v>
      </c>
      <c r="M138" s="273">
        <f t="shared" si="11"/>
        <v>0</v>
      </c>
      <c r="N138" s="337" t="s">
        <v>3069</v>
      </c>
      <c r="O138" s="114"/>
    </row>
    <row r="139" spans="1:15" ht="50.1" customHeight="1" x14ac:dyDescent="0.25">
      <c r="A139" s="490">
        <v>196</v>
      </c>
      <c r="B139" s="268" t="s">
        <v>613</v>
      </c>
      <c r="C139" s="268" t="s">
        <v>564</v>
      </c>
      <c r="D139" s="269">
        <v>1820</v>
      </c>
      <c r="E139" s="268" t="s">
        <v>4565</v>
      </c>
      <c r="F139" s="268" t="s">
        <v>4830</v>
      </c>
      <c r="G139" s="278">
        <v>46100</v>
      </c>
      <c r="H139" s="278">
        <v>46101</v>
      </c>
      <c r="I139" s="389"/>
      <c r="J139" s="389">
        <v>46100</v>
      </c>
      <c r="K139" s="337" t="s">
        <v>2678</v>
      </c>
      <c r="L139" s="273">
        <f t="shared" ref="L139:L161" si="12">ROUNDUP((D139/4999.99)*10,-1)</f>
        <v>10</v>
      </c>
      <c r="M139" s="273">
        <f t="shared" si="11"/>
        <v>0</v>
      </c>
      <c r="N139" s="337" t="s">
        <v>3069</v>
      </c>
      <c r="O139" s="114"/>
    </row>
    <row r="140" spans="1:15" ht="50.1" customHeight="1" x14ac:dyDescent="0.25">
      <c r="A140" s="490">
        <v>199</v>
      </c>
      <c r="B140" s="268" t="s">
        <v>4688</v>
      </c>
      <c r="C140" s="268" t="s">
        <v>4685</v>
      </c>
      <c r="D140" s="269">
        <v>106531</v>
      </c>
      <c r="E140" s="268" t="s">
        <v>4568</v>
      </c>
      <c r="F140" s="268" t="s">
        <v>2985</v>
      </c>
      <c r="G140" s="278">
        <v>46101</v>
      </c>
      <c r="H140" s="278">
        <v>46102</v>
      </c>
      <c r="I140" s="389"/>
      <c r="J140" s="389">
        <v>46101</v>
      </c>
      <c r="K140" s="337" t="s">
        <v>2678</v>
      </c>
      <c r="L140" s="273">
        <f t="shared" si="12"/>
        <v>220</v>
      </c>
      <c r="M140" s="273">
        <f t="shared" si="11"/>
        <v>0</v>
      </c>
      <c r="N140" s="337" t="s">
        <v>3069</v>
      </c>
      <c r="O140" s="337"/>
    </row>
    <row r="141" spans="1:15" ht="50.1" customHeight="1" x14ac:dyDescent="0.25">
      <c r="A141" s="490">
        <v>200</v>
      </c>
      <c r="B141" s="268" t="s">
        <v>4689</v>
      </c>
      <c r="C141" s="268" t="s">
        <v>4685</v>
      </c>
      <c r="D141" s="269">
        <v>124595</v>
      </c>
      <c r="E141" s="268" t="s">
        <v>4569</v>
      </c>
      <c r="F141" s="268" t="s">
        <v>2985</v>
      </c>
      <c r="G141" s="278">
        <v>46101</v>
      </c>
      <c r="H141" s="278">
        <v>46102</v>
      </c>
      <c r="I141" s="389"/>
      <c r="J141" s="389">
        <v>46101</v>
      </c>
      <c r="K141" s="337" t="s">
        <v>2678</v>
      </c>
      <c r="L141" s="273">
        <f t="shared" si="12"/>
        <v>250</v>
      </c>
      <c r="M141" s="273">
        <f t="shared" si="11"/>
        <v>0</v>
      </c>
      <c r="N141" s="337" t="s">
        <v>3069</v>
      </c>
      <c r="O141" s="337"/>
    </row>
    <row r="142" spans="1:15" ht="50.1" customHeight="1" x14ac:dyDescent="0.25">
      <c r="A142" s="490">
        <v>201</v>
      </c>
      <c r="B142" s="268" t="s">
        <v>4690</v>
      </c>
      <c r="C142" s="268" t="s">
        <v>4685</v>
      </c>
      <c r="D142" s="269">
        <v>124595</v>
      </c>
      <c r="E142" s="268" t="s">
        <v>4570</v>
      </c>
      <c r="F142" s="268" t="s">
        <v>2985</v>
      </c>
      <c r="G142" s="278">
        <v>46101</v>
      </c>
      <c r="H142" s="278">
        <v>46102</v>
      </c>
      <c r="I142" s="389"/>
      <c r="J142" s="389">
        <v>46101</v>
      </c>
      <c r="K142" s="337" t="s">
        <v>2678</v>
      </c>
      <c r="L142" s="273">
        <f t="shared" si="12"/>
        <v>250</v>
      </c>
      <c r="M142" s="273">
        <f t="shared" si="11"/>
        <v>0</v>
      </c>
      <c r="N142" s="337" t="s">
        <v>4709</v>
      </c>
      <c r="O142" s="337"/>
    </row>
    <row r="143" spans="1:15" ht="50.1" customHeight="1" x14ac:dyDescent="0.25">
      <c r="A143" s="490">
        <v>202</v>
      </c>
      <c r="B143" s="268" t="s">
        <v>4691</v>
      </c>
      <c r="C143" s="268" t="s">
        <v>4685</v>
      </c>
      <c r="D143" s="269">
        <v>124595</v>
      </c>
      <c r="E143" s="268" t="s">
        <v>4571</v>
      </c>
      <c r="F143" s="268" t="s">
        <v>2985</v>
      </c>
      <c r="G143" s="278">
        <v>46101</v>
      </c>
      <c r="H143" s="278">
        <v>46102</v>
      </c>
      <c r="I143" s="389"/>
      <c r="J143" s="389">
        <v>46101</v>
      </c>
      <c r="K143" s="337" t="s">
        <v>2678</v>
      </c>
      <c r="L143" s="273">
        <f t="shared" si="12"/>
        <v>250</v>
      </c>
      <c r="M143" s="273">
        <f t="shared" si="11"/>
        <v>0</v>
      </c>
      <c r="N143" s="337" t="s">
        <v>3069</v>
      </c>
      <c r="O143" s="337"/>
    </row>
    <row r="144" spans="1:15" ht="50.1" customHeight="1" x14ac:dyDescent="0.25">
      <c r="A144" s="490">
        <v>203</v>
      </c>
      <c r="B144" s="268" t="s">
        <v>4692</v>
      </c>
      <c r="C144" s="268" t="s">
        <v>4685</v>
      </c>
      <c r="D144" s="269">
        <v>124595</v>
      </c>
      <c r="E144" s="268" t="s">
        <v>4572</v>
      </c>
      <c r="F144" s="268" t="s">
        <v>2985</v>
      </c>
      <c r="G144" s="278">
        <v>46101</v>
      </c>
      <c r="H144" s="278">
        <v>46102</v>
      </c>
      <c r="I144" s="389"/>
      <c r="J144" s="389">
        <v>46101</v>
      </c>
      <c r="K144" s="337" t="s">
        <v>2678</v>
      </c>
      <c r="L144" s="273">
        <f t="shared" si="12"/>
        <v>250</v>
      </c>
      <c r="M144" s="273">
        <f t="shared" si="11"/>
        <v>0</v>
      </c>
      <c r="N144" s="337" t="s">
        <v>3069</v>
      </c>
      <c r="O144" s="337"/>
    </row>
    <row r="145" spans="1:15" ht="50.1" customHeight="1" x14ac:dyDescent="0.25">
      <c r="A145" s="490">
        <v>204</v>
      </c>
      <c r="B145" s="268" t="s">
        <v>4693</v>
      </c>
      <c r="C145" s="268" t="s">
        <v>4685</v>
      </c>
      <c r="D145" s="269">
        <v>110545</v>
      </c>
      <c r="E145" s="268" t="s">
        <v>4573</v>
      </c>
      <c r="F145" s="268" t="s">
        <v>2985</v>
      </c>
      <c r="G145" s="278">
        <v>46101</v>
      </c>
      <c r="H145" s="278">
        <v>46102</v>
      </c>
      <c r="I145" s="389"/>
      <c r="J145" s="389">
        <v>46101</v>
      </c>
      <c r="K145" s="337" t="s">
        <v>2678</v>
      </c>
      <c r="L145" s="273">
        <f t="shared" si="12"/>
        <v>230</v>
      </c>
      <c r="M145" s="273">
        <f t="shared" si="11"/>
        <v>0</v>
      </c>
      <c r="N145" s="337" t="s">
        <v>3069</v>
      </c>
      <c r="O145" s="337"/>
    </row>
    <row r="146" spans="1:15" ht="50.1" customHeight="1" x14ac:dyDescent="0.25">
      <c r="A146" s="490">
        <v>205</v>
      </c>
      <c r="B146" s="268" t="s">
        <v>1657</v>
      </c>
      <c r="C146" s="268" t="s">
        <v>1995</v>
      </c>
      <c r="D146" s="269">
        <v>4300</v>
      </c>
      <c r="E146" s="268" t="s">
        <v>4574</v>
      </c>
      <c r="F146" s="268" t="s">
        <v>3026</v>
      </c>
      <c r="G146" s="278">
        <v>46101</v>
      </c>
      <c r="H146" s="278">
        <v>46102</v>
      </c>
      <c r="I146" s="389"/>
      <c r="J146" s="389">
        <v>46105</v>
      </c>
      <c r="K146" s="337" t="s">
        <v>2678</v>
      </c>
      <c r="L146" s="273">
        <f t="shared" si="12"/>
        <v>10</v>
      </c>
      <c r="M146" s="273">
        <f t="shared" si="11"/>
        <v>0</v>
      </c>
      <c r="N146" s="337" t="s">
        <v>3069</v>
      </c>
      <c r="O146" s="337"/>
    </row>
    <row r="147" spans="1:15" ht="50.1" customHeight="1" x14ac:dyDescent="0.25">
      <c r="A147" s="490">
        <v>206</v>
      </c>
      <c r="B147" s="268" t="s">
        <v>1658</v>
      </c>
      <c r="C147" s="268" t="s">
        <v>1995</v>
      </c>
      <c r="D147" s="269">
        <v>4300</v>
      </c>
      <c r="E147" s="268" t="s">
        <v>4575</v>
      </c>
      <c r="F147" s="268" t="s">
        <v>3026</v>
      </c>
      <c r="G147" s="278">
        <v>46101</v>
      </c>
      <c r="H147" s="278">
        <v>46102</v>
      </c>
      <c r="I147" s="389"/>
      <c r="J147" s="389">
        <v>46105</v>
      </c>
      <c r="K147" s="337" t="s">
        <v>2678</v>
      </c>
      <c r="L147" s="273">
        <f t="shared" si="12"/>
        <v>10</v>
      </c>
      <c r="M147" s="273">
        <f t="shared" si="11"/>
        <v>0</v>
      </c>
      <c r="N147" s="337" t="s">
        <v>3069</v>
      </c>
      <c r="O147" s="337"/>
    </row>
    <row r="148" spans="1:15" ht="50.1" customHeight="1" x14ac:dyDescent="0.25">
      <c r="A148" s="490">
        <v>207</v>
      </c>
      <c r="B148" s="268" t="s">
        <v>1659</v>
      </c>
      <c r="C148" s="268" t="s">
        <v>1995</v>
      </c>
      <c r="D148" s="269">
        <v>4300</v>
      </c>
      <c r="E148" s="268" t="s">
        <v>4576</v>
      </c>
      <c r="F148" s="268" t="s">
        <v>3026</v>
      </c>
      <c r="G148" s="278">
        <v>46101</v>
      </c>
      <c r="H148" s="278">
        <v>46102</v>
      </c>
      <c r="I148" s="389"/>
      <c r="J148" s="389">
        <v>46112</v>
      </c>
      <c r="K148" s="337" t="s">
        <v>2678</v>
      </c>
      <c r="L148" s="273">
        <f t="shared" si="12"/>
        <v>10</v>
      </c>
      <c r="M148" s="273">
        <f t="shared" si="11"/>
        <v>0</v>
      </c>
      <c r="N148" s="337" t="s">
        <v>3069</v>
      </c>
      <c r="O148" s="337"/>
    </row>
    <row r="149" spans="1:15" ht="50.1" customHeight="1" x14ac:dyDescent="0.25">
      <c r="A149" s="490">
        <v>208</v>
      </c>
      <c r="B149" s="268" t="s">
        <v>1660</v>
      </c>
      <c r="C149" s="268" t="s">
        <v>1995</v>
      </c>
      <c r="D149" s="269">
        <v>4300</v>
      </c>
      <c r="E149" s="268" t="s">
        <v>4577</v>
      </c>
      <c r="F149" s="268" t="s">
        <v>3026</v>
      </c>
      <c r="G149" s="278">
        <v>46101</v>
      </c>
      <c r="H149" s="278">
        <v>46102</v>
      </c>
      <c r="I149" s="389"/>
      <c r="J149" s="389">
        <v>46105</v>
      </c>
      <c r="K149" s="337" t="s">
        <v>2678</v>
      </c>
      <c r="L149" s="273">
        <f t="shared" si="12"/>
        <v>10</v>
      </c>
      <c r="M149" s="273">
        <f t="shared" si="11"/>
        <v>0</v>
      </c>
      <c r="N149" s="337" t="s">
        <v>3069</v>
      </c>
      <c r="O149" s="337"/>
    </row>
    <row r="150" spans="1:15" ht="50.1" customHeight="1" x14ac:dyDescent="0.25">
      <c r="A150" s="490">
        <v>211</v>
      </c>
      <c r="B150" s="268" t="s">
        <v>178</v>
      </c>
      <c r="C150" s="268" t="s">
        <v>3105</v>
      </c>
      <c r="D150" s="269">
        <v>82550</v>
      </c>
      <c r="E150" s="268" t="s">
        <v>4580</v>
      </c>
      <c r="F150" s="268" t="s">
        <v>2985</v>
      </c>
      <c r="G150" s="278">
        <v>46101</v>
      </c>
      <c r="H150" s="278">
        <v>46102</v>
      </c>
      <c r="I150" s="389"/>
      <c r="J150" s="389">
        <v>46101</v>
      </c>
      <c r="K150" s="337" t="s">
        <v>2678</v>
      </c>
      <c r="L150" s="273">
        <f t="shared" si="12"/>
        <v>170</v>
      </c>
      <c r="M150" s="273">
        <f t="shared" si="11"/>
        <v>0</v>
      </c>
      <c r="N150" s="337" t="s">
        <v>3069</v>
      </c>
      <c r="O150" s="337"/>
    </row>
    <row r="151" spans="1:15" ht="50.1" customHeight="1" x14ac:dyDescent="0.25">
      <c r="A151" s="490">
        <v>212</v>
      </c>
      <c r="B151" s="268" t="s">
        <v>179</v>
      </c>
      <c r="C151" s="268" t="s">
        <v>3105</v>
      </c>
      <c r="D151" s="269">
        <v>82550</v>
      </c>
      <c r="E151" s="268" t="s">
        <v>4581</v>
      </c>
      <c r="F151" s="268" t="s">
        <v>2985</v>
      </c>
      <c r="G151" s="278">
        <v>46101</v>
      </c>
      <c r="H151" s="278">
        <v>46102</v>
      </c>
      <c r="I151" s="337"/>
      <c r="J151" s="389">
        <v>46101</v>
      </c>
      <c r="K151" s="337" t="s">
        <v>2678</v>
      </c>
      <c r="L151" s="273">
        <f t="shared" si="12"/>
        <v>170</v>
      </c>
      <c r="M151" s="273">
        <f t="shared" si="11"/>
        <v>0</v>
      </c>
      <c r="N151" s="337" t="s">
        <v>3069</v>
      </c>
      <c r="O151" s="337"/>
    </row>
    <row r="152" spans="1:15" ht="50.1" customHeight="1" x14ac:dyDescent="0.25">
      <c r="A152" s="490">
        <v>213</v>
      </c>
      <c r="B152" s="268" t="s">
        <v>180</v>
      </c>
      <c r="C152" s="268" t="s">
        <v>3105</v>
      </c>
      <c r="D152" s="269">
        <v>82550</v>
      </c>
      <c r="E152" s="268" t="s">
        <v>4582</v>
      </c>
      <c r="F152" s="268" t="s">
        <v>2985</v>
      </c>
      <c r="G152" s="278">
        <v>46101</v>
      </c>
      <c r="H152" s="278">
        <v>46102</v>
      </c>
      <c r="I152" s="389"/>
      <c r="J152" s="389">
        <v>46101</v>
      </c>
      <c r="K152" s="337" t="s">
        <v>2678</v>
      </c>
      <c r="L152" s="273">
        <f t="shared" si="12"/>
        <v>170</v>
      </c>
      <c r="M152" s="273">
        <f t="shared" si="11"/>
        <v>0</v>
      </c>
      <c r="N152" s="337" t="s">
        <v>3069</v>
      </c>
      <c r="O152" s="337"/>
    </row>
    <row r="153" spans="1:15" ht="50.1" customHeight="1" x14ac:dyDescent="0.25">
      <c r="A153" s="490">
        <v>214</v>
      </c>
      <c r="B153" s="268" t="s">
        <v>181</v>
      </c>
      <c r="C153" s="268" t="s">
        <v>3105</v>
      </c>
      <c r="D153" s="269">
        <v>82550</v>
      </c>
      <c r="E153" s="268" t="s">
        <v>4583</v>
      </c>
      <c r="F153" s="268" t="s">
        <v>2985</v>
      </c>
      <c r="G153" s="278">
        <v>46101</v>
      </c>
      <c r="H153" s="278">
        <v>46102</v>
      </c>
      <c r="I153" s="389"/>
      <c r="J153" s="389">
        <v>46101</v>
      </c>
      <c r="K153" s="337" t="s">
        <v>2678</v>
      </c>
      <c r="L153" s="273">
        <f t="shared" si="12"/>
        <v>170</v>
      </c>
      <c r="M153" s="273">
        <f t="shared" si="11"/>
        <v>0</v>
      </c>
      <c r="N153" s="337" t="s">
        <v>3069</v>
      </c>
      <c r="O153" s="337"/>
    </row>
    <row r="154" spans="1:15" ht="50.1" customHeight="1" x14ac:dyDescent="0.25">
      <c r="A154" s="490">
        <v>215</v>
      </c>
      <c r="B154" s="268" t="s">
        <v>182</v>
      </c>
      <c r="C154" s="268" t="s">
        <v>3105</v>
      </c>
      <c r="D154" s="269">
        <v>82550</v>
      </c>
      <c r="E154" s="268" t="s">
        <v>4584</v>
      </c>
      <c r="F154" s="268" t="s">
        <v>2985</v>
      </c>
      <c r="G154" s="278">
        <v>46101</v>
      </c>
      <c r="H154" s="278">
        <v>46102</v>
      </c>
      <c r="I154" s="389"/>
      <c r="J154" s="389">
        <v>46101</v>
      </c>
      <c r="K154" s="337" t="s">
        <v>2678</v>
      </c>
      <c r="L154" s="273">
        <f t="shared" si="12"/>
        <v>170</v>
      </c>
      <c r="M154" s="273">
        <f t="shared" si="11"/>
        <v>0</v>
      </c>
      <c r="N154" s="337" t="s">
        <v>3069</v>
      </c>
      <c r="O154" s="337"/>
    </row>
    <row r="155" spans="1:15" ht="50.1" customHeight="1" x14ac:dyDescent="0.25">
      <c r="A155" s="490">
        <v>218</v>
      </c>
      <c r="B155" s="268" t="s">
        <v>1405</v>
      </c>
      <c r="C155" s="268" t="s">
        <v>4658</v>
      </c>
      <c r="D155" s="269">
        <v>1950</v>
      </c>
      <c r="E155" s="268" t="s">
        <v>4587</v>
      </c>
      <c r="F155" s="268" t="s">
        <v>4831</v>
      </c>
      <c r="G155" s="278">
        <v>46104</v>
      </c>
      <c r="H155" s="278">
        <v>46105</v>
      </c>
      <c r="I155" s="389"/>
      <c r="J155" s="389">
        <v>46104</v>
      </c>
      <c r="K155" s="337" t="s">
        <v>2678</v>
      </c>
      <c r="L155" s="273">
        <f t="shared" si="12"/>
        <v>10</v>
      </c>
      <c r="M155" s="273">
        <f t="shared" si="11"/>
        <v>0</v>
      </c>
      <c r="N155" s="337" t="s">
        <v>3069</v>
      </c>
      <c r="O155" s="337"/>
    </row>
    <row r="156" spans="1:15" ht="50.1" customHeight="1" x14ac:dyDescent="0.25">
      <c r="A156" s="490">
        <v>219</v>
      </c>
      <c r="B156" s="268" t="s">
        <v>1406</v>
      </c>
      <c r="C156" s="268" t="s">
        <v>4658</v>
      </c>
      <c r="D156" s="269">
        <v>1950</v>
      </c>
      <c r="E156" s="268" t="s">
        <v>4588</v>
      </c>
      <c r="F156" s="268" t="s">
        <v>4831</v>
      </c>
      <c r="G156" s="278">
        <v>46104</v>
      </c>
      <c r="H156" s="278">
        <v>46105</v>
      </c>
      <c r="I156" s="389"/>
      <c r="J156" s="389">
        <v>46104</v>
      </c>
      <c r="K156" s="337" t="s">
        <v>2678</v>
      </c>
      <c r="L156" s="273">
        <f t="shared" si="12"/>
        <v>10</v>
      </c>
      <c r="M156" s="273">
        <f t="shared" si="11"/>
        <v>0</v>
      </c>
      <c r="N156" s="337" t="s">
        <v>3069</v>
      </c>
      <c r="O156" s="337"/>
    </row>
    <row r="157" spans="1:15" ht="50.1" customHeight="1" x14ac:dyDescent="0.25">
      <c r="A157" s="490">
        <v>220</v>
      </c>
      <c r="B157" s="268" t="s">
        <v>26</v>
      </c>
      <c r="C157" s="268" t="s">
        <v>4696</v>
      </c>
      <c r="D157" s="269">
        <v>78000</v>
      </c>
      <c r="E157" s="268" t="s">
        <v>4589</v>
      </c>
      <c r="F157" s="268" t="s">
        <v>2989</v>
      </c>
      <c r="G157" s="278">
        <v>46104</v>
      </c>
      <c r="H157" s="278">
        <v>46105</v>
      </c>
      <c r="I157" s="389"/>
      <c r="J157" s="389">
        <v>46106</v>
      </c>
      <c r="K157" s="337" t="s">
        <v>2678</v>
      </c>
      <c r="L157" s="273">
        <f t="shared" si="12"/>
        <v>160</v>
      </c>
      <c r="M157" s="273">
        <f t="shared" si="11"/>
        <v>0</v>
      </c>
      <c r="N157" s="337" t="s">
        <v>3069</v>
      </c>
      <c r="O157" s="337"/>
    </row>
    <row r="158" spans="1:15" ht="50.1" customHeight="1" x14ac:dyDescent="0.25">
      <c r="A158" s="490">
        <v>223</v>
      </c>
      <c r="B158" s="268" t="s">
        <v>3665</v>
      </c>
      <c r="C158" s="268" t="s">
        <v>1471</v>
      </c>
      <c r="D158" s="269">
        <v>138000</v>
      </c>
      <c r="E158" s="268" t="s">
        <v>4592</v>
      </c>
      <c r="F158" s="268" t="s">
        <v>2982</v>
      </c>
      <c r="G158" s="278">
        <v>46104</v>
      </c>
      <c r="H158" s="278">
        <v>46105</v>
      </c>
      <c r="I158" s="337"/>
      <c r="J158" s="389">
        <v>46104</v>
      </c>
      <c r="K158" s="337" t="s">
        <v>2678</v>
      </c>
      <c r="L158" s="273">
        <f t="shared" si="12"/>
        <v>280</v>
      </c>
      <c r="M158" s="273">
        <f t="shared" si="11"/>
        <v>0</v>
      </c>
      <c r="N158" s="337" t="s">
        <v>3069</v>
      </c>
      <c r="O158" s="337"/>
    </row>
    <row r="159" spans="1:15" ht="50.1" customHeight="1" x14ac:dyDescent="0.25">
      <c r="A159" s="490">
        <v>224</v>
      </c>
      <c r="B159" s="268" t="s">
        <v>3125</v>
      </c>
      <c r="C159" s="268" t="s">
        <v>1471</v>
      </c>
      <c r="D159" s="269">
        <v>138000</v>
      </c>
      <c r="E159" s="268" t="s">
        <v>4593</v>
      </c>
      <c r="F159" s="268" t="s">
        <v>2982</v>
      </c>
      <c r="G159" s="278">
        <v>46104</v>
      </c>
      <c r="H159" s="278">
        <v>46105</v>
      </c>
      <c r="I159" s="337"/>
      <c r="J159" s="389">
        <v>46104</v>
      </c>
      <c r="K159" s="337" t="s">
        <v>2678</v>
      </c>
      <c r="L159" s="273">
        <f t="shared" si="12"/>
        <v>280</v>
      </c>
      <c r="M159" s="273">
        <f t="shared" si="11"/>
        <v>0</v>
      </c>
      <c r="N159" s="337" t="s">
        <v>3069</v>
      </c>
      <c r="O159" s="337"/>
    </row>
    <row r="160" spans="1:15" ht="50.1" customHeight="1" x14ac:dyDescent="0.25">
      <c r="A160" s="490">
        <v>225</v>
      </c>
      <c r="B160" s="268" t="s">
        <v>1685</v>
      </c>
      <c r="C160" s="268" t="s">
        <v>1995</v>
      </c>
      <c r="D160" s="269">
        <v>4300</v>
      </c>
      <c r="E160" s="268" t="s">
        <v>4594</v>
      </c>
      <c r="F160" s="268" t="s">
        <v>2982</v>
      </c>
      <c r="G160" s="278">
        <v>46105</v>
      </c>
      <c r="H160" s="278">
        <v>46106</v>
      </c>
      <c r="I160" s="337"/>
      <c r="J160" s="389">
        <v>46105</v>
      </c>
      <c r="K160" s="337" t="s">
        <v>2678</v>
      </c>
      <c r="L160" s="273">
        <f t="shared" si="12"/>
        <v>10</v>
      </c>
      <c r="M160" s="273">
        <f t="shared" si="11"/>
        <v>0</v>
      </c>
      <c r="N160" s="337" t="s">
        <v>3069</v>
      </c>
      <c r="O160" s="337"/>
    </row>
    <row r="161" spans="1:15" ht="50.1" customHeight="1" x14ac:dyDescent="0.25">
      <c r="A161" s="490">
        <v>226</v>
      </c>
      <c r="B161" s="268" t="s">
        <v>1661</v>
      </c>
      <c r="C161" s="268" t="s">
        <v>1995</v>
      </c>
      <c r="D161" s="269">
        <v>4300</v>
      </c>
      <c r="E161" s="268" t="s">
        <v>4595</v>
      </c>
      <c r="F161" s="268" t="s">
        <v>2982</v>
      </c>
      <c r="G161" s="278">
        <v>46105</v>
      </c>
      <c r="H161" s="278">
        <v>46106</v>
      </c>
      <c r="I161" s="337"/>
      <c r="J161" s="389">
        <v>46105</v>
      </c>
      <c r="K161" s="337" t="s">
        <v>2678</v>
      </c>
      <c r="L161" s="273">
        <f t="shared" si="12"/>
        <v>10</v>
      </c>
      <c r="M161" s="273">
        <f t="shared" si="11"/>
        <v>0</v>
      </c>
      <c r="N161" s="337" t="s">
        <v>3069</v>
      </c>
      <c r="O161" s="337"/>
    </row>
    <row r="162" spans="1:15" ht="50.1" customHeight="1" x14ac:dyDescent="0.25">
      <c r="A162" s="490">
        <v>227</v>
      </c>
      <c r="B162" s="268" t="s">
        <v>1696</v>
      </c>
      <c r="C162" s="268" t="s">
        <v>1995</v>
      </c>
      <c r="D162" s="269">
        <v>4300</v>
      </c>
      <c r="E162" s="268" t="s">
        <v>4596</v>
      </c>
      <c r="F162" s="268" t="s">
        <v>2982</v>
      </c>
      <c r="G162" s="278">
        <v>46105</v>
      </c>
      <c r="H162" s="278">
        <v>46106</v>
      </c>
      <c r="I162" s="337"/>
      <c r="J162" s="389">
        <v>46105</v>
      </c>
      <c r="K162" s="337" t="s">
        <v>2678</v>
      </c>
      <c r="L162" s="273">
        <f t="shared" ref="L162:L176" si="13">ROUNDUP((D162/4999.99)*10,-1)</f>
        <v>10</v>
      </c>
      <c r="M162" s="273">
        <f t="shared" ref="M162:M189" si="14">IF(K162="N",0,L162)</f>
        <v>0</v>
      </c>
      <c r="N162" s="337" t="s">
        <v>3069</v>
      </c>
      <c r="O162" s="337"/>
    </row>
    <row r="163" spans="1:15" ht="50.1" customHeight="1" x14ac:dyDescent="0.25">
      <c r="A163" s="490">
        <v>228</v>
      </c>
      <c r="B163" s="268" t="s">
        <v>1697</v>
      </c>
      <c r="C163" s="268" t="s">
        <v>1995</v>
      </c>
      <c r="D163" s="269">
        <v>4300</v>
      </c>
      <c r="E163" s="268" t="s">
        <v>4597</v>
      </c>
      <c r="F163" s="268" t="s">
        <v>2982</v>
      </c>
      <c r="G163" s="278">
        <v>46105</v>
      </c>
      <c r="H163" s="278">
        <v>46106</v>
      </c>
      <c r="I163" s="337"/>
      <c r="J163" s="389">
        <v>46105</v>
      </c>
      <c r="K163" s="337" t="s">
        <v>2678</v>
      </c>
      <c r="L163" s="273">
        <f t="shared" si="13"/>
        <v>10</v>
      </c>
      <c r="M163" s="273">
        <f t="shared" si="14"/>
        <v>0</v>
      </c>
      <c r="N163" s="337" t="s">
        <v>3069</v>
      </c>
      <c r="O163" s="337"/>
    </row>
    <row r="164" spans="1:15" ht="50.1" customHeight="1" x14ac:dyDescent="0.25">
      <c r="A164" s="490">
        <v>229</v>
      </c>
      <c r="B164" s="268" t="s">
        <v>3580</v>
      </c>
      <c r="C164" s="268" t="s">
        <v>187</v>
      </c>
      <c r="D164" s="269">
        <v>30000</v>
      </c>
      <c r="E164" s="268" t="s">
        <v>4598</v>
      </c>
      <c r="F164" s="268" t="s">
        <v>3226</v>
      </c>
      <c r="G164" s="278">
        <v>46105</v>
      </c>
      <c r="H164" s="278">
        <v>46106</v>
      </c>
      <c r="I164" s="389"/>
      <c r="J164" s="389">
        <v>46105</v>
      </c>
      <c r="K164" s="337" t="s">
        <v>2678</v>
      </c>
      <c r="L164" s="273">
        <f t="shared" si="13"/>
        <v>70</v>
      </c>
      <c r="M164" s="273">
        <f t="shared" si="14"/>
        <v>0</v>
      </c>
      <c r="N164" s="337" t="s">
        <v>3069</v>
      </c>
      <c r="O164" s="337"/>
    </row>
    <row r="165" spans="1:15" ht="50.1" customHeight="1" x14ac:dyDescent="0.25">
      <c r="A165" s="490">
        <v>230</v>
      </c>
      <c r="B165" s="268" t="s">
        <v>3110</v>
      </c>
      <c r="C165" s="268" t="s">
        <v>302</v>
      </c>
      <c r="D165" s="269">
        <v>97500</v>
      </c>
      <c r="E165" s="268" t="s">
        <v>4599</v>
      </c>
      <c r="F165" s="268" t="s">
        <v>3023</v>
      </c>
      <c r="G165" s="278">
        <v>46105</v>
      </c>
      <c r="H165" s="278">
        <v>46106</v>
      </c>
      <c r="I165" s="337"/>
      <c r="J165" s="389">
        <v>46085</v>
      </c>
      <c r="K165" s="337" t="s">
        <v>2678</v>
      </c>
      <c r="L165" s="273">
        <f t="shared" si="13"/>
        <v>200</v>
      </c>
      <c r="M165" s="273">
        <f t="shared" si="14"/>
        <v>0</v>
      </c>
      <c r="N165" s="337" t="s">
        <v>3069</v>
      </c>
      <c r="O165" s="337"/>
    </row>
    <row r="166" spans="1:15" ht="50.1" customHeight="1" x14ac:dyDescent="0.25">
      <c r="A166" s="490">
        <v>231</v>
      </c>
      <c r="B166" s="268" t="s">
        <v>3843</v>
      </c>
      <c r="C166" s="268" t="s">
        <v>302</v>
      </c>
      <c r="D166" s="269">
        <v>97500</v>
      </c>
      <c r="E166" s="268" t="s">
        <v>4600</v>
      </c>
      <c r="F166" s="268" t="s">
        <v>3244</v>
      </c>
      <c r="G166" s="278">
        <v>46105</v>
      </c>
      <c r="H166" s="278">
        <v>46106</v>
      </c>
      <c r="I166" s="337"/>
      <c r="J166" s="389">
        <v>46085</v>
      </c>
      <c r="K166" s="337" t="s">
        <v>2678</v>
      </c>
      <c r="L166" s="273">
        <f t="shared" si="13"/>
        <v>200</v>
      </c>
      <c r="M166" s="273">
        <f t="shared" si="14"/>
        <v>0</v>
      </c>
      <c r="N166" s="337" t="s">
        <v>3069</v>
      </c>
      <c r="O166" s="337"/>
    </row>
    <row r="167" spans="1:15" ht="50.1" customHeight="1" x14ac:dyDescent="0.25">
      <c r="A167" s="490">
        <v>233</v>
      </c>
      <c r="B167" s="268" t="s">
        <v>177</v>
      </c>
      <c r="C167" s="268" t="s">
        <v>3105</v>
      </c>
      <c r="D167" s="269">
        <v>82550</v>
      </c>
      <c r="E167" s="268" t="s">
        <v>4602</v>
      </c>
      <c r="F167" s="268" t="s">
        <v>2985</v>
      </c>
      <c r="G167" s="278">
        <v>46106</v>
      </c>
      <c r="H167" s="278">
        <v>46107</v>
      </c>
      <c r="I167" s="389"/>
      <c r="J167" s="389">
        <v>46106</v>
      </c>
      <c r="K167" s="337" t="s">
        <v>2678</v>
      </c>
      <c r="L167" s="273">
        <f t="shared" si="13"/>
        <v>170</v>
      </c>
      <c r="M167" s="273">
        <f t="shared" si="14"/>
        <v>0</v>
      </c>
      <c r="N167" s="337" t="s">
        <v>3069</v>
      </c>
      <c r="O167" s="337"/>
    </row>
    <row r="168" spans="1:15" ht="50.1" customHeight="1" x14ac:dyDescent="0.25">
      <c r="A168" s="490">
        <v>234</v>
      </c>
      <c r="B168" s="268" t="s">
        <v>4698</v>
      </c>
      <c r="C168" s="268" t="s">
        <v>4685</v>
      </c>
      <c r="D168" s="269">
        <v>33294</v>
      </c>
      <c r="E168" s="268" t="s">
        <v>4603</v>
      </c>
      <c r="F168" s="268" t="s">
        <v>2985</v>
      </c>
      <c r="G168" s="278">
        <v>46106</v>
      </c>
      <c r="H168" s="278">
        <v>46107</v>
      </c>
      <c r="I168" s="389"/>
      <c r="J168" s="389">
        <v>46106</v>
      </c>
      <c r="K168" s="337" t="s">
        <v>2678</v>
      </c>
      <c r="L168" s="273">
        <f t="shared" si="13"/>
        <v>70</v>
      </c>
      <c r="M168" s="273">
        <f t="shared" si="14"/>
        <v>0</v>
      </c>
      <c r="N168" s="337" t="s">
        <v>3069</v>
      </c>
      <c r="O168" s="337"/>
    </row>
    <row r="169" spans="1:15" ht="50.1" customHeight="1" x14ac:dyDescent="0.25">
      <c r="A169" s="490">
        <v>235</v>
      </c>
      <c r="B169" s="268" t="s">
        <v>4699</v>
      </c>
      <c r="C169" s="268" t="s">
        <v>4685</v>
      </c>
      <c r="D169" s="269">
        <v>141381</v>
      </c>
      <c r="E169" s="268" t="s">
        <v>4604</v>
      </c>
      <c r="F169" s="268" t="s">
        <v>2985</v>
      </c>
      <c r="G169" s="278">
        <v>46106</v>
      </c>
      <c r="H169" s="278">
        <v>46107</v>
      </c>
      <c r="I169" s="389"/>
      <c r="J169" s="389">
        <v>46106</v>
      </c>
      <c r="K169" s="337" t="s">
        <v>2678</v>
      </c>
      <c r="L169" s="273">
        <f t="shared" si="13"/>
        <v>290</v>
      </c>
      <c r="M169" s="273">
        <f t="shared" si="14"/>
        <v>0</v>
      </c>
      <c r="N169" s="337" t="s">
        <v>3069</v>
      </c>
      <c r="O169" s="337"/>
    </row>
    <row r="170" spans="1:15" ht="50.1" customHeight="1" x14ac:dyDescent="0.25">
      <c r="A170" s="490">
        <v>236</v>
      </c>
      <c r="B170" s="268" t="s">
        <v>2172</v>
      </c>
      <c r="C170" s="268" t="s">
        <v>1995</v>
      </c>
      <c r="D170" s="269">
        <v>4300</v>
      </c>
      <c r="E170" s="268" t="s">
        <v>4605</v>
      </c>
      <c r="F170" s="268" t="s">
        <v>3024</v>
      </c>
      <c r="G170" s="278">
        <v>46106</v>
      </c>
      <c r="H170" s="278">
        <v>46107</v>
      </c>
      <c r="I170" s="389"/>
      <c r="J170" s="389">
        <v>46106</v>
      </c>
      <c r="K170" s="337" t="s">
        <v>2678</v>
      </c>
      <c r="L170" s="273">
        <f t="shared" si="13"/>
        <v>10</v>
      </c>
      <c r="M170" s="273">
        <f t="shared" si="14"/>
        <v>0</v>
      </c>
      <c r="N170" s="337" t="s">
        <v>3069</v>
      </c>
      <c r="O170" s="337"/>
    </row>
    <row r="171" spans="1:15" ht="50.1" customHeight="1" x14ac:dyDescent="0.25">
      <c r="A171" s="490">
        <v>237</v>
      </c>
      <c r="B171" s="268" t="s">
        <v>2173</v>
      </c>
      <c r="C171" s="268" t="s">
        <v>1995</v>
      </c>
      <c r="D171" s="269">
        <v>4300</v>
      </c>
      <c r="E171" s="268" t="s">
        <v>4606</v>
      </c>
      <c r="F171" s="268" t="s">
        <v>3024</v>
      </c>
      <c r="G171" s="278">
        <v>46106</v>
      </c>
      <c r="H171" s="278">
        <v>46107</v>
      </c>
      <c r="I171" s="389"/>
      <c r="J171" s="389">
        <v>46106</v>
      </c>
      <c r="K171" s="337" t="s">
        <v>2678</v>
      </c>
      <c r="L171" s="273">
        <f t="shared" si="13"/>
        <v>10</v>
      </c>
      <c r="M171" s="273">
        <f t="shared" si="14"/>
        <v>0</v>
      </c>
      <c r="N171" s="337" t="s">
        <v>3069</v>
      </c>
      <c r="O171" s="337"/>
    </row>
    <row r="172" spans="1:15" ht="50.1" customHeight="1" x14ac:dyDescent="0.25">
      <c r="A172" s="490">
        <v>238</v>
      </c>
      <c r="B172" s="268" t="s">
        <v>2174</v>
      </c>
      <c r="C172" s="268" t="s">
        <v>1995</v>
      </c>
      <c r="D172" s="269">
        <v>4300</v>
      </c>
      <c r="E172" s="268" t="s">
        <v>4607</v>
      </c>
      <c r="F172" s="268" t="s">
        <v>3024</v>
      </c>
      <c r="G172" s="278">
        <v>46106</v>
      </c>
      <c r="H172" s="278">
        <v>46107</v>
      </c>
      <c r="I172" s="389"/>
      <c r="J172" s="389">
        <v>46106</v>
      </c>
      <c r="K172" s="337" t="s">
        <v>2678</v>
      </c>
      <c r="L172" s="273">
        <f t="shared" si="13"/>
        <v>10</v>
      </c>
      <c r="M172" s="273">
        <f t="shared" si="14"/>
        <v>0</v>
      </c>
      <c r="N172" s="337" t="s">
        <v>3069</v>
      </c>
      <c r="O172" s="337"/>
    </row>
    <row r="173" spans="1:15" ht="50.1" customHeight="1" x14ac:dyDescent="0.25">
      <c r="A173" s="490">
        <v>239</v>
      </c>
      <c r="B173" s="268" t="s">
        <v>2175</v>
      </c>
      <c r="C173" s="268" t="s">
        <v>1995</v>
      </c>
      <c r="D173" s="269">
        <v>4300</v>
      </c>
      <c r="E173" s="268" t="s">
        <v>4608</v>
      </c>
      <c r="F173" s="268" t="s">
        <v>3024</v>
      </c>
      <c r="G173" s="278">
        <v>46106</v>
      </c>
      <c r="H173" s="278">
        <v>46107</v>
      </c>
      <c r="I173" s="389"/>
      <c r="J173" s="389">
        <v>46106</v>
      </c>
      <c r="K173" s="337" t="s">
        <v>2678</v>
      </c>
      <c r="L173" s="273">
        <f t="shared" si="13"/>
        <v>10</v>
      </c>
      <c r="M173" s="273">
        <f t="shared" si="14"/>
        <v>0</v>
      </c>
      <c r="N173" s="337" t="s">
        <v>3069</v>
      </c>
      <c r="O173" s="337"/>
    </row>
    <row r="174" spans="1:15" ht="50.1" customHeight="1" x14ac:dyDescent="0.25">
      <c r="A174" s="490">
        <v>240</v>
      </c>
      <c r="B174" s="268" t="s">
        <v>2176</v>
      </c>
      <c r="C174" s="268" t="s">
        <v>1995</v>
      </c>
      <c r="D174" s="269">
        <v>4300</v>
      </c>
      <c r="E174" s="268" t="s">
        <v>4609</v>
      </c>
      <c r="F174" s="268" t="s">
        <v>3024</v>
      </c>
      <c r="G174" s="278">
        <v>46106</v>
      </c>
      <c r="H174" s="278">
        <v>46107</v>
      </c>
      <c r="I174" s="389"/>
      <c r="J174" s="389">
        <v>46106</v>
      </c>
      <c r="K174" s="337" t="s">
        <v>2678</v>
      </c>
      <c r="L174" s="273">
        <f t="shared" si="13"/>
        <v>10</v>
      </c>
      <c r="M174" s="273">
        <f t="shared" si="14"/>
        <v>0</v>
      </c>
      <c r="N174" s="337" t="s">
        <v>3069</v>
      </c>
      <c r="O174" s="337"/>
    </row>
    <row r="175" spans="1:15" ht="50.1" customHeight="1" x14ac:dyDescent="0.25">
      <c r="A175" s="490">
        <v>249</v>
      </c>
      <c r="B175" s="268" t="s">
        <v>522</v>
      </c>
      <c r="C175" s="268" t="s">
        <v>520</v>
      </c>
      <c r="D175" s="269">
        <v>4782</v>
      </c>
      <c r="E175" s="268" t="s">
        <v>4618</v>
      </c>
      <c r="F175" s="268" t="s">
        <v>3226</v>
      </c>
      <c r="G175" s="278">
        <v>46107</v>
      </c>
      <c r="H175" s="278">
        <v>46108</v>
      </c>
      <c r="I175" s="389"/>
      <c r="J175" s="389">
        <v>46107</v>
      </c>
      <c r="K175" s="337" t="s">
        <v>2678</v>
      </c>
      <c r="L175" s="273">
        <f t="shared" si="13"/>
        <v>10</v>
      </c>
      <c r="M175" s="273">
        <f t="shared" si="14"/>
        <v>0</v>
      </c>
      <c r="N175" s="337" t="s">
        <v>3069</v>
      </c>
      <c r="O175" s="337"/>
    </row>
    <row r="176" spans="1:15" ht="50.1" customHeight="1" x14ac:dyDescent="0.25">
      <c r="A176" s="490">
        <v>250</v>
      </c>
      <c r="B176" s="268" t="s">
        <v>990</v>
      </c>
      <c r="C176" s="268" t="s">
        <v>3294</v>
      </c>
      <c r="D176" s="269">
        <v>452.81</v>
      </c>
      <c r="E176" s="268" t="s">
        <v>4619</v>
      </c>
      <c r="F176" s="268" t="s">
        <v>3025</v>
      </c>
      <c r="G176" s="278">
        <v>46107</v>
      </c>
      <c r="H176" s="278">
        <v>46108</v>
      </c>
      <c r="I176" s="389"/>
      <c r="J176" s="389">
        <v>46107</v>
      </c>
      <c r="K176" s="337" t="s">
        <v>2678</v>
      </c>
      <c r="L176" s="273">
        <f t="shared" si="13"/>
        <v>10</v>
      </c>
      <c r="M176" s="273">
        <f t="shared" si="14"/>
        <v>0</v>
      </c>
      <c r="N176" s="337" t="s">
        <v>4710</v>
      </c>
      <c r="O176" s="337"/>
    </row>
    <row r="177" spans="1:15" ht="50.1" customHeight="1" x14ac:dyDescent="0.25">
      <c r="A177" s="490">
        <v>269</v>
      </c>
      <c r="B177" s="268" t="s">
        <v>192</v>
      </c>
      <c r="C177" s="268" t="s">
        <v>4685</v>
      </c>
      <c r="D177" s="269">
        <v>61557</v>
      </c>
      <c r="E177" s="268" t="s">
        <v>4638</v>
      </c>
      <c r="F177" s="268" t="s">
        <v>4848</v>
      </c>
      <c r="G177" s="278">
        <v>46108</v>
      </c>
      <c r="H177" s="278">
        <v>46109</v>
      </c>
      <c r="I177" s="389"/>
      <c r="J177" s="389">
        <v>46108</v>
      </c>
      <c r="K177" s="337" t="s">
        <v>2678</v>
      </c>
      <c r="L177" s="273">
        <f t="shared" ref="L177:L189" si="15">ROUNDUP((D177/4999.99)*10,-1)</f>
        <v>130</v>
      </c>
      <c r="M177" s="273">
        <f t="shared" si="14"/>
        <v>0</v>
      </c>
      <c r="N177" s="337" t="s">
        <v>3069</v>
      </c>
      <c r="O177" s="337"/>
    </row>
    <row r="178" spans="1:15" ht="50.1" customHeight="1" x14ac:dyDescent="0.25">
      <c r="A178" s="490">
        <v>270</v>
      </c>
      <c r="B178" s="268" t="s">
        <v>193</v>
      </c>
      <c r="C178" s="268" t="s">
        <v>4685</v>
      </c>
      <c r="D178" s="269">
        <v>61557</v>
      </c>
      <c r="E178" s="268" t="s">
        <v>4639</v>
      </c>
      <c r="F178" s="268" t="s">
        <v>4848</v>
      </c>
      <c r="G178" s="278">
        <v>46108</v>
      </c>
      <c r="H178" s="278">
        <v>46109</v>
      </c>
      <c r="I178" s="389"/>
      <c r="J178" s="389">
        <v>46108</v>
      </c>
      <c r="K178" s="337" t="s">
        <v>2678</v>
      </c>
      <c r="L178" s="273">
        <f t="shared" si="15"/>
        <v>130</v>
      </c>
      <c r="M178" s="273">
        <f t="shared" si="14"/>
        <v>0</v>
      </c>
      <c r="N178" s="337" t="s">
        <v>3069</v>
      </c>
      <c r="O178" s="337"/>
    </row>
    <row r="179" spans="1:15" ht="50.1" customHeight="1" x14ac:dyDescent="0.25">
      <c r="A179" s="490">
        <v>272</v>
      </c>
      <c r="B179" s="268" t="s">
        <v>2147</v>
      </c>
      <c r="C179" s="268" t="s">
        <v>1995</v>
      </c>
      <c r="D179" s="269">
        <v>4300</v>
      </c>
      <c r="E179" s="268" t="s">
        <v>4641</v>
      </c>
      <c r="F179" s="268" t="s">
        <v>3024</v>
      </c>
      <c r="G179" s="278">
        <v>46108</v>
      </c>
      <c r="H179" s="278">
        <v>46109</v>
      </c>
      <c r="I179" s="389"/>
      <c r="J179" s="389">
        <v>46108</v>
      </c>
      <c r="K179" s="337" t="s">
        <v>2678</v>
      </c>
      <c r="L179" s="273">
        <f t="shared" ref="L179:L186" si="16">ROUNDUP((D179/4999.99)*10,-1)</f>
        <v>10</v>
      </c>
      <c r="M179" s="273">
        <f t="shared" ref="M179:M186" si="17">IF(K179="N",0,L179)</f>
        <v>0</v>
      </c>
      <c r="N179" s="337" t="s">
        <v>3069</v>
      </c>
      <c r="O179" s="337"/>
    </row>
    <row r="180" spans="1:15" ht="50.1" customHeight="1" x14ac:dyDescent="0.25">
      <c r="A180" s="490">
        <v>273</v>
      </c>
      <c r="B180" s="268" t="s">
        <v>1686</v>
      </c>
      <c r="C180" s="268" t="s">
        <v>1995</v>
      </c>
      <c r="D180" s="269">
        <v>4300</v>
      </c>
      <c r="E180" s="268" t="s">
        <v>4642</v>
      </c>
      <c r="F180" s="268" t="s">
        <v>2982</v>
      </c>
      <c r="G180" s="278">
        <v>46108</v>
      </c>
      <c r="H180" s="278">
        <v>46109</v>
      </c>
      <c r="I180" s="389"/>
      <c r="J180" s="389">
        <v>46108</v>
      </c>
      <c r="K180" s="337" t="s">
        <v>2678</v>
      </c>
      <c r="L180" s="273">
        <f t="shared" si="16"/>
        <v>10</v>
      </c>
      <c r="M180" s="273">
        <f t="shared" si="17"/>
        <v>0</v>
      </c>
      <c r="N180" s="337" t="s">
        <v>3069</v>
      </c>
      <c r="O180" s="337"/>
    </row>
    <row r="181" spans="1:15" ht="50.1" customHeight="1" x14ac:dyDescent="0.25">
      <c r="A181" s="490">
        <v>274</v>
      </c>
      <c r="B181" s="268" t="s">
        <v>1687</v>
      </c>
      <c r="C181" s="268" t="s">
        <v>1995</v>
      </c>
      <c r="D181" s="269">
        <v>4300</v>
      </c>
      <c r="E181" s="268" t="s">
        <v>4643</v>
      </c>
      <c r="F181" s="268" t="s">
        <v>2982</v>
      </c>
      <c r="G181" s="278">
        <v>46108</v>
      </c>
      <c r="H181" s="278">
        <v>46109</v>
      </c>
      <c r="I181" s="389"/>
      <c r="J181" s="389">
        <v>46108</v>
      </c>
      <c r="K181" s="337" t="s">
        <v>2678</v>
      </c>
      <c r="L181" s="273">
        <f t="shared" si="16"/>
        <v>10</v>
      </c>
      <c r="M181" s="273">
        <f t="shared" si="17"/>
        <v>0</v>
      </c>
      <c r="N181" s="337" t="s">
        <v>3069</v>
      </c>
      <c r="O181" s="337"/>
    </row>
    <row r="182" spans="1:15" ht="50.1" customHeight="1" x14ac:dyDescent="0.25">
      <c r="A182" s="490">
        <v>275</v>
      </c>
      <c r="B182" s="268" t="s">
        <v>1688</v>
      </c>
      <c r="C182" s="268" t="s">
        <v>1995</v>
      </c>
      <c r="D182" s="269">
        <v>4300</v>
      </c>
      <c r="E182" s="268" t="s">
        <v>4644</v>
      </c>
      <c r="F182" s="268" t="s">
        <v>2982</v>
      </c>
      <c r="G182" s="278">
        <v>46108</v>
      </c>
      <c r="H182" s="278">
        <v>46109</v>
      </c>
      <c r="I182" s="389"/>
      <c r="J182" s="390">
        <v>46108</v>
      </c>
      <c r="K182" s="337" t="s">
        <v>2678</v>
      </c>
      <c r="L182" s="273">
        <f t="shared" si="16"/>
        <v>10</v>
      </c>
      <c r="M182" s="273">
        <f t="shared" si="17"/>
        <v>0</v>
      </c>
      <c r="N182" s="337" t="s">
        <v>3069</v>
      </c>
      <c r="O182" s="337"/>
    </row>
    <row r="183" spans="1:15" ht="50.1" customHeight="1" x14ac:dyDescent="0.25">
      <c r="A183" s="490">
        <v>276</v>
      </c>
      <c r="B183" s="268" t="s">
        <v>1689</v>
      </c>
      <c r="C183" s="268" t="s">
        <v>1995</v>
      </c>
      <c r="D183" s="269">
        <v>4300</v>
      </c>
      <c r="E183" s="268" t="s">
        <v>4645</v>
      </c>
      <c r="F183" s="268" t="s">
        <v>2982</v>
      </c>
      <c r="G183" s="278">
        <v>46108</v>
      </c>
      <c r="H183" s="278">
        <v>46109</v>
      </c>
      <c r="I183" s="389"/>
      <c r="J183" s="390">
        <v>46108</v>
      </c>
      <c r="K183" s="337" t="s">
        <v>2678</v>
      </c>
      <c r="L183" s="273">
        <f t="shared" si="16"/>
        <v>10</v>
      </c>
      <c r="M183" s="273">
        <f t="shared" si="17"/>
        <v>0</v>
      </c>
      <c r="N183" s="337" t="s">
        <v>3069</v>
      </c>
      <c r="O183" s="337"/>
    </row>
    <row r="184" spans="1:15" ht="50.1" customHeight="1" x14ac:dyDescent="0.25">
      <c r="A184" s="490">
        <v>277</v>
      </c>
      <c r="B184" s="268" t="s">
        <v>1690</v>
      </c>
      <c r="C184" s="268" t="s">
        <v>1995</v>
      </c>
      <c r="D184" s="269">
        <v>4300</v>
      </c>
      <c r="E184" s="268" t="s">
        <v>4646</v>
      </c>
      <c r="F184" s="268" t="s">
        <v>2982</v>
      </c>
      <c r="G184" s="278">
        <v>46108</v>
      </c>
      <c r="H184" s="278">
        <v>46109</v>
      </c>
      <c r="I184" s="389"/>
      <c r="J184" s="390">
        <v>46108</v>
      </c>
      <c r="K184" s="337" t="s">
        <v>2678</v>
      </c>
      <c r="L184" s="273">
        <f t="shared" si="16"/>
        <v>10</v>
      </c>
      <c r="M184" s="273">
        <f t="shared" si="17"/>
        <v>0</v>
      </c>
      <c r="N184" s="337" t="s">
        <v>3069</v>
      </c>
      <c r="O184" s="337"/>
    </row>
    <row r="185" spans="1:15" ht="50.1" customHeight="1" x14ac:dyDescent="0.25">
      <c r="A185" s="490">
        <v>278</v>
      </c>
      <c r="B185" s="268" t="s">
        <v>1933</v>
      </c>
      <c r="C185" s="268" t="s">
        <v>1987</v>
      </c>
      <c r="D185" s="269">
        <v>3386.5</v>
      </c>
      <c r="E185" s="268" t="s">
        <v>4647</v>
      </c>
      <c r="F185" s="268" t="s">
        <v>3027</v>
      </c>
      <c r="G185" s="278">
        <v>46108</v>
      </c>
      <c r="H185" s="278">
        <v>46109</v>
      </c>
      <c r="I185" s="389"/>
      <c r="J185" s="389">
        <v>46108</v>
      </c>
      <c r="K185" s="337" t="s">
        <v>2678</v>
      </c>
      <c r="L185" s="273">
        <f t="shared" si="16"/>
        <v>10</v>
      </c>
      <c r="M185" s="273">
        <f t="shared" si="17"/>
        <v>0</v>
      </c>
      <c r="N185" s="337" t="s">
        <v>3069</v>
      </c>
      <c r="O185" s="337"/>
    </row>
    <row r="186" spans="1:15" ht="50.1" customHeight="1" x14ac:dyDescent="0.25">
      <c r="A186" s="490">
        <v>279</v>
      </c>
      <c r="B186" s="268" t="s">
        <v>4704</v>
      </c>
      <c r="C186" s="268" t="s">
        <v>4705</v>
      </c>
      <c r="D186" s="269">
        <v>22800</v>
      </c>
      <c r="E186" s="268" t="s">
        <v>4648</v>
      </c>
      <c r="F186" s="268" t="s">
        <v>3022</v>
      </c>
      <c r="G186" s="278">
        <v>46108</v>
      </c>
      <c r="H186" s="278">
        <v>46109</v>
      </c>
      <c r="I186" s="389"/>
      <c r="J186" s="389">
        <v>46108</v>
      </c>
      <c r="K186" s="337" t="s">
        <v>2678</v>
      </c>
      <c r="L186" s="273">
        <f t="shared" si="16"/>
        <v>50</v>
      </c>
      <c r="M186" s="273">
        <f t="shared" si="17"/>
        <v>0</v>
      </c>
      <c r="N186" s="337" t="s">
        <v>4710</v>
      </c>
      <c r="O186" s="337"/>
    </row>
    <row r="187" spans="1:15" ht="50.1" customHeight="1" x14ac:dyDescent="0.25">
      <c r="A187" s="490">
        <v>281</v>
      </c>
      <c r="B187" s="268" t="s">
        <v>1046</v>
      </c>
      <c r="C187" s="268" t="s">
        <v>4706</v>
      </c>
      <c r="D187" s="269">
        <v>5500</v>
      </c>
      <c r="E187" s="268" t="s">
        <v>4650</v>
      </c>
      <c r="F187" s="268" t="s">
        <v>3022</v>
      </c>
      <c r="G187" s="278">
        <v>46111</v>
      </c>
      <c r="H187" s="278">
        <v>46112</v>
      </c>
      <c r="I187" s="389"/>
      <c r="J187" s="389">
        <v>46111</v>
      </c>
      <c r="K187" s="337" t="s">
        <v>2678</v>
      </c>
      <c r="L187" s="273">
        <f t="shared" si="15"/>
        <v>20</v>
      </c>
      <c r="M187" s="273">
        <f t="shared" si="14"/>
        <v>0</v>
      </c>
      <c r="N187" s="337" t="s">
        <v>3069</v>
      </c>
      <c r="O187" s="337"/>
    </row>
    <row r="188" spans="1:15" ht="50.1" customHeight="1" x14ac:dyDescent="0.25">
      <c r="A188" s="490">
        <v>282</v>
      </c>
      <c r="B188" s="268" t="s">
        <v>4707</v>
      </c>
      <c r="C188" s="268" t="s">
        <v>4706</v>
      </c>
      <c r="D188" s="269">
        <v>5500</v>
      </c>
      <c r="E188" s="268" t="s">
        <v>4651</v>
      </c>
      <c r="F188" s="268" t="s">
        <v>3022</v>
      </c>
      <c r="G188" s="278">
        <v>46111</v>
      </c>
      <c r="H188" s="278">
        <v>46112</v>
      </c>
      <c r="I188" s="389"/>
      <c r="J188" s="389">
        <v>46111</v>
      </c>
      <c r="K188" s="337" t="s">
        <v>2678</v>
      </c>
      <c r="L188" s="273">
        <f t="shared" si="15"/>
        <v>20</v>
      </c>
      <c r="M188" s="273">
        <f t="shared" si="14"/>
        <v>0</v>
      </c>
      <c r="N188" s="337" t="s">
        <v>4710</v>
      </c>
      <c r="O188" s="337"/>
    </row>
    <row r="189" spans="1:15" ht="50.1" customHeight="1" x14ac:dyDescent="0.25">
      <c r="A189" s="490">
        <v>283</v>
      </c>
      <c r="B189" s="268" t="s">
        <v>3784</v>
      </c>
      <c r="C189" s="268" t="s">
        <v>4673</v>
      </c>
      <c r="D189" s="269">
        <v>16500</v>
      </c>
      <c r="E189" s="268" t="s">
        <v>4652</v>
      </c>
      <c r="F189" s="268" t="s">
        <v>4850</v>
      </c>
      <c r="G189" s="278">
        <v>46092</v>
      </c>
      <c r="H189" s="278">
        <v>46093</v>
      </c>
      <c r="I189" s="389"/>
      <c r="J189" s="389">
        <v>46092</v>
      </c>
      <c r="K189" s="337" t="s">
        <v>2678</v>
      </c>
      <c r="L189" s="273">
        <f t="shared" si="15"/>
        <v>40</v>
      </c>
      <c r="M189" s="273">
        <f t="shared" si="14"/>
        <v>0</v>
      </c>
      <c r="N189" s="337" t="s">
        <v>3069</v>
      </c>
      <c r="O189" s="337"/>
    </row>
    <row r="190" spans="1:15" ht="50.1" customHeight="1" x14ac:dyDescent="0.25">
      <c r="A190" s="638" t="s">
        <v>3056</v>
      </c>
      <c r="B190" s="639"/>
      <c r="C190" s="639"/>
      <c r="D190" s="639"/>
      <c r="E190" s="639"/>
      <c r="F190" s="639"/>
      <c r="G190" s="639"/>
      <c r="H190" s="639"/>
      <c r="I190" s="639"/>
      <c r="J190" s="639"/>
      <c r="K190" s="639"/>
      <c r="L190" s="639"/>
      <c r="M190" s="639"/>
      <c r="N190" s="640"/>
      <c r="O190" s="86"/>
    </row>
    <row r="191" spans="1:15" ht="50.1" customHeight="1" x14ac:dyDescent="0.25">
      <c r="A191" s="490">
        <v>1</v>
      </c>
      <c r="B191" s="268" t="s">
        <v>1166</v>
      </c>
      <c r="C191" s="268" t="s">
        <v>4654</v>
      </c>
      <c r="D191" s="337">
        <v>105500</v>
      </c>
      <c r="E191" s="337" t="s">
        <v>4371</v>
      </c>
      <c r="F191" s="337" t="s">
        <v>4826</v>
      </c>
      <c r="G191" s="389">
        <v>46083</v>
      </c>
      <c r="H191" s="389">
        <v>46084</v>
      </c>
      <c r="I191" s="337"/>
      <c r="J191" s="337"/>
      <c r="K191" s="337" t="s">
        <v>2678</v>
      </c>
      <c r="L191" s="273">
        <f t="shared" ref="L191:L222" si="18">ROUNDUP((D191/4999.99)*10,-1)</f>
        <v>220</v>
      </c>
      <c r="M191" s="273">
        <f t="shared" ref="M191:M222" si="19">IF(K191="N",0,L191)</f>
        <v>0</v>
      </c>
      <c r="N191" s="337" t="s">
        <v>3068</v>
      </c>
      <c r="O191" s="114"/>
    </row>
    <row r="192" spans="1:15" ht="50.1" customHeight="1" x14ac:dyDescent="0.25">
      <c r="A192" s="490">
        <v>2</v>
      </c>
      <c r="B192" s="268" t="s">
        <v>4655</v>
      </c>
      <c r="C192" s="268" t="s">
        <v>4656</v>
      </c>
      <c r="D192" s="337">
        <v>105500</v>
      </c>
      <c r="E192" s="337" t="s">
        <v>4372</v>
      </c>
      <c r="F192" s="337" t="s">
        <v>4826</v>
      </c>
      <c r="G192" s="389">
        <v>46084</v>
      </c>
      <c r="H192" s="389">
        <v>46085</v>
      </c>
      <c r="I192" s="337"/>
      <c r="J192" s="337"/>
      <c r="K192" s="337" t="s">
        <v>2678</v>
      </c>
      <c r="L192" s="273">
        <f t="shared" si="18"/>
        <v>220</v>
      </c>
      <c r="M192" s="273">
        <f t="shared" si="19"/>
        <v>0</v>
      </c>
      <c r="N192" s="337" t="s">
        <v>3068</v>
      </c>
      <c r="O192" s="114"/>
    </row>
    <row r="193" spans="1:15" ht="50.1" customHeight="1" x14ac:dyDescent="0.25">
      <c r="A193" s="490">
        <v>3</v>
      </c>
      <c r="B193" s="268" t="s">
        <v>4657</v>
      </c>
      <c r="C193" s="268" t="s">
        <v>4656</v>
      </c>
      <c r="D193" s="337">
        <v>105500</v>
      </c>
      <c r="E193" s="337" t="s">
        <v>4373</v>
      </c>
      <c r="F193" s="337" t="s">
        <v>2988</v>
      </c>
      <c r="G193" s="389">
        <v>46084</v>
      </c>
      <c r="H193" s="389">
        <v>46085</v>
      </c>
      <c r="I193" s="337"/>
      <c r="J193" s="337"/>
      <c r="K193" s="337" t="s">
        <v>2678</v>
      </c>
      <c r="L193" s="273">
        <f t="shared" si="18"/>
        <v>220</v>
      </c>
      <c r="M193" s="273">
        <f t="shared" si="19"/>
        <v>0</v>
      </c>
      <c r="N193" s="337" t="s">
        <v>3068</v>
      </c>
      <c r="O193" s="114"/>
    </row>
    <row r="194" spans="1:15" ht="50.1" customHeight="1" x14ac:dyDescent="0.25">
      <c r="A194" s="490">
        <v>4</v>
      </c>
      <c r="B194" s="268" t="s">
        <v>233</v>
      </c>
      <c r="C194" s="268" t="s">
        <v>3103</v>
      </c>
      <c r="D194" s="337">
        <v>10200</v>
      </c>
      <c r="E194" s="337" t="s">
        <v>4378</v>
      </c>
      <c r="F194" s="337" t="s">
        <v>3025</v>
      </c>
      <c r="G194" s="389">
        <v>46084</v>
      </c>
      <c r="H194" s="389">
        <v>46085</v>
      </c>
      <c r="I194" s="337"/>
      <c r="J194" s="337"/>
      <c r="K194" s="337" t="s">
        <v>2678</v>
      </c>
      <c r="L194" s="273">
        <f t="shared" si="18"/>
        <v>30</v>
      </c>
      <c r="M194" s="273">
        <f t="shared" si="19"/>
        <v>0</v>
      </c>
      <c r="N194" s="337" t="s">
        <v>3068</v>
      </c>
      <c r="O194" s="114"/>
    </row>
    <row r="195" spans="1:15" ht="50.1" customHeight="1" x14ac:dyDescent="0.25">
      <c r="A195" s="490">
        <v>5</v>
      </c>
      <c r="B195" s="268" t="s">
        <v>1382</v>
      </c>
      <c r="C195" s="268" t="s">
        <v>4658</v>
      </c>
      <c r="D195" s="337">
        <v>1950</v>
      </c>
      <c r="E195" s="337" t="s">
        <v>4389</v>
      </c>
      <c r="F195" s="337" t="s">
        <v>3064</v>
      </c>
      <c r="G195" s="389">
        <v>46084</v>
      </c>
      <c r="H195" s="389">
        <v>46085</v>
      </c>
      <c r="I195" s="337"/>
      <c r="J195" s="337"/>
      <c r="K195" s="337" t="s">
        <v>2678</v>
      </c>
      <c r="L195" s="273">
        <f t="shared" si="18"/>
        <v>10</v>
      </c>
      <c r="M195" s="273">
        <f t="shared" si="19"/>
        <v>0</v>
      </c>
      <c r="N195" s="337" t="s">
        <v>3068</v>
      </c>
      <c r="O195" s="114"/>
    </row>
    <row r="196" spans="1:15" ht="50.1" customHeight="1" x14ac:dyDescent="0.25">
      <c r="A196" s="490">
        <v>6</v>
      </c>
      <c r="B196" s="268" t="s">
        <v>1376</v>
      </c>
      <c r="C196" s="268" t="s">
        <v>4658</v>
      </c>
      <c r="D196" s="337">
        <v>1950</v>
      </c>
      <c r="E196" s="337" t="s">
        <v>4390</v>
      </c>
      <c r="F196" s="337" t="s">
        <v>4848</v>
      </c>
      <c r="G196" s="389">
        <v>46084</v>
      </c>
      <c r="H196" s="389">
        <v>46085</v>
      </c>
      <c r="I196" s="337"/>
      <c r="J196" s="337"/>
      <c r="K196" s="337" t="s">
        <v>2678</v>
      </c>
      <c r="L196" s="273">
        <f t="shared" si="18"/>
        <v>10</v>
      </c>
      <c r="M196" s="273">
        <f t="shared" si="19"/>
        <v>0</v>
      </c>
      <c r="N196" s="337" t="s">
        <v>3068</v>
      </c>
      <c r="O196" s="114"/>
    </row>
    <row r="197" spans="1:15" ht="50.1" customHeight="1" x14ac:dyDescent="0.25">
      <c r="A197" s="490">
        <v>7</v>
      </c>
      <c r="B197" s="268" t="s">
        <v>1740</v>
      </c>
      <c r="C197" s="268" t="s">
        <v>1995</v>
      </c>
      <c r="D197" s="337">
        <v>4300</v>
      </c>
      <c r="E197" s="337" t="s">
        <v>4396</v>
      </c>
      <c r="F197" s="337" t="s">
        <v>2988</v>
      </c>
      <c r="G197" s="389">
        <v>46085</v>
      </c>
      <c r="H197" s="389">
        <v>46086</v>
      </c>
      <c r="I197" s="337"/>
      <c r="J197" s="337"/>
      <c r="K197" s="337" t="s">
        <v>2678</v>
      </c>
      <c r="L197" s="273">
        <f t="shared" si="18"/>
        <v>10</v>
      </c>
      <c r="M197" s="273">
        <f t="shared" si="19"/>
        <v>0</v>
      </c>
      <c r="N197" s="337" t="s">
        <v>3068</v>
      </c>
      <c r="O197" s="114"/>
    </row>
    <row r="198" spans="1:15" ht="50.1" customHeight="1" x14ac:dyDescent="0.25">
      <c r="A198" s="490">
        <v>8</v>
      </c>
      <c r="B198" s="268" t="s">
        <v>1741</v>
      </c>
      <c r="C198" s="268" t="s">
        <v>1995</v>
      </c>
      <c r="D198" s="337">
        <v>4300</v>
      </c>
      <c r="E198" s="337" t="s">
        <v>4397</v>
      </c>
      <c r="F198" s="337" t="s">
        <v>2988</v>
      </c>
      <c r="G198" s="389">
        <v>46085</v>
      </c>
      <c r="H198" s="389">
        <v>46086</v>
      </c>
      <c r="I198" s="337"/>
      <c r="J198" s="337"/>
      <c r="K198" s="337" t="s">
        <v>2678</v>
      </c>
      <c r="L198" s="273">
        <f t="shared" si="18"/>
        <v>10</v>
      </c>
      <c r="M198" s="273">
        <f t="shared" si="19"/>
        <v>0</v>
      </c>
      <c r="N198" s="337" t="s">
        <v>3068</v>
      </c>
      <c r="O198" s="114"/>
    </row>
    <row r="199" spans="1:15" ht="50.1" customHeight="1" x14ac:dyDescent="0.25">
      <c r="A199" s="490">
        <v>9</v>
      </c>
      <c r="B199" s="268" t="s">
        <v>264</v>
      </c>
      <c r="C199" s="268" t="s">
        <v>251</v>
      </c>
      <c r="D199" s="337">
        <v>33286.5</v>
      </c>
      <c r="E199" s="337" t="s">
        <v>4402</v>
      </c>
      <c r="F199" s="337" t="s">
        <v>4101</v>
      </c>
      <c r="G199" s="389">
        <v>46086</v>
      </c>
      <c r="H199" s="389">
        <v>46087</v>
      </c>
      <c r="I199" s="337"/>
      <c r="J199" s="337"/>
      <c r="K199" s="337" t="s">
        <v>2678</v>
      </c>
      <c r="L199" s="273">
        <f t="shared" si="18"/>
        <v>70</v>
      </c>
      <c r="M199" s="273">
        <f t="shared" si="19"/>
        <v>0</v>
      </c>
      <c r="N199" s="337" t="s">
        <v>3068</v>
      </c>
      <c r="O199" s="114"/>
    </row>
    <row r="200" spans="1:15" ht="50.1" customHeight="1" x14ac:dyDescent="0.25">
      <c r="A200" s="490">
        <v>10</v>
      </c>
      <c r="B200" s="268" t="s">
        <v>1736</v>
      </c>
      <c r="C200" s="268" t="s">
        <v>1995</v>
      </c>
      <c r="D200" s="337">
        <v>4300</v>
      </c>
      <c r="E200" s="337" t="s">
        <v>4403</v>
      </c>
      <c r="F200" s="337" t="s">
        <v>2988</v>
      </c>
      <c r="G200" s="389">
        <v>46086</v>
      </c>
      <c r="H200" s="389">
        <v>46087</v>
      </c>
      <c r="I200" s="337"/>
      <c r="J200" s="337"/>
      <c r="K200" s="337" t="s">
        <v>2678</v>
      </c>
      <c r="L200" s="273">
        <f t="shared" si="18"/>
        <v>10</v>
      </c>
      <c r="M200" s="273">
        <f t="shared" si="19"/>
        <v>0</v>
      </c>
      <c r="N200" s="337" t="s">
        <v>3068</v>
      </c>
      <c r="O200" s="114"/>
    </row>
    <row r="201" spans="1:15" ht="50.1" customHeight="1" x14ac:dyDescent="0.25">
      <c r="A201" s="490">
        <v>11</v>
      </c>
      <c r="B201" s="268" t="s">
        <v>1737</v>
      </c>
      <c r="C201" s="268" t="s">
        <v>1995</v>
      </c>
      <c r="D201" s="337">
        <v>4300</v>
      </c>
      <c r="E201" s="337" t="s">
        <v>4404</v>
      </c>
      <c r="F201" s="337" t="s">
        <v>2988</v>
      </c>
      <c r="G201" s="389">
        <v>46086</v>
      </c>
      <c r="H201" s="389">
        <v>46087</v>
      </c>
      <c r="I201" s="337"/>
      <c r="J201" s="337"/>
      <c r="K201" s="337" t="s">
        <v>2678</v>
      </c>
      <c r="L201" s="273">
        <f t="shared" si="18"/>
        <v>10</v>
      </c>
      <c r="M201" s="273">
        <f t="shared" si="19"/>
        <v>0</v>
      </c>
      <c r="N201" s="337" t="s">
        <v>3068</v>
      </c>
      <c r="O201" s="114"/>
    </row>
    <row r="202" spans="1:15" ht="50.1" customHeight="1" x14ac:dyDescent="0.25">
      <c r="A202" s="490">
        <v>12</v>
      </c>
      <c r="B202" s="268" t="s">
        <v>1738</v>
      </c>
      <c r="C202" s="268" t="s">
        <v>1995</v>
      </c>
      <c r="D202" s="337">
        <v>4300</v>
      </c>
      <c r="E202" s="337" t="s">
        <v>4405</v>
      </c>
      <c r="F202" s="337" t="s">
        <v>2988</v>
      </c>
      <c r="G202" s="389">
        <v>46086</v>
      </c>
      <c r="H202" s="389">
        <v>46087</v>
      </c>
      <c r="I202" s="337"/>
      <c r="J202" s="337"/>
      <c r="K202" s="337" t="s">
        <v>2678</v>
      </c>
      <c r="L202" s="273">
        <f t="shared" si="18"/>
        <v>10</v>
      </c>
      <c r="M202" s="273">
        <f t="shared" si="19"/>
        <v>0</v>
      </c>
      <c r="N202" s="337" t="s">
        <v>3068</v>
      </c>
      <c r="O202" s="114"/>
    </row>
    <row r="203" spans="1:15" ht="50.1" customHeight="1" x14ac:dyDescent="0.25">
      <c r="A203" s="490">
        <v>13</v>
      </c>
      <c r="B203" s="268" t="s">
        <v>1739</v>
      </c>
      <c r="C203" s="268" t="s">
        <v>1995</v>
      </c>
      <c r="D203" s="337">
        <v>4300</v>
      </c>
      <c r="E203" s="337" t="s">
        <v>4406</v>
      </c>
      <c r="F203" s="337" t="s">
        <v>2988</v>
      </c>
      <c r="G203" s="389">
        <v>46086</v>
      </c>
      <c r="H203" s="389">
        <v>46087</v>
      </c>
      <c r="I203" s="337"/>
      <c r="J203" s="337"/>
      <c r="K203" s="337" t="s">
        <v>2678</v>
      </c>
      <c r="L203" s="273">
        <f t="shared" si="18"/>
        <v>10</v>
      </c>
      <c r="M203" s="273">
        <f t="shared" si="19"/>
        <v>0</v>
      </c>
      <c r="N203" s="337" t="s">
        <v>3068</v>
      </c>
      <c r="O203" s="114"/>
    </row>
    <row r="204" spans="1:15" ht="50.1" customHeight="1" x14ac:dyDescent="0.25">
      <c r="A204" s="490">
        <v>14</v>
      </c>
      <c r="B204" s="268" t="s">
        <v>1414</v>
      </c>
      <c r="C204" s="268" t="s">
        <v>1411</v>
      </c>
      <c r="D204" s="337">
        <v>1950</v>
      </c>
      <c r="E204" s="337" t="s">
        <v>4409</v>
      </c>
      <c r="F204" s="337" t="s">
        <v>2707</v>
      </c>
      <c r="G204" s="389">
        <v>46086</v>
      </c>
      <c r="H204" s="389">
        <v>46087</v>
      </c>
      <c r="I204" s="337"/>
      <c r="J204" s="337"/>
      <c r="K204" s="337" t="s">
        <v>2678</v>
      </c>
      <c r="L204" s="273">
        <f t="shared" si="18"/>
        <v>10</v>
      </c>
      <c r="M204" s="273">
        <f t="shared" si="19"/>
        <v>0</v>
      </c>
      <c r="N204" s="337" t="s">
        <v>3068</v>
      </c>
      <c r="O204" s="114"/>
    </row>
    <row r="205" spans="1:15" ht="50.1" customHeight="1" x14ac:dyDescent="0.25">
      <c r="A205" s="490">
        <v>15</v>
      </c>
      <c r="B205" s="268" t="s">
        <v>1415</v>
      </c>
      <c r="C205" s="268" t="s">
        <v>1411</v>
      </c>
      <c r="D205" s="337">
        <v>1950</v>
      </c>
      <c r="E205" s="337" t="s">
        <v>4410</v>
      </c>
      <c r="F205" s="337" t="s">
        <v>2707</v>
      </c>
      <c r="G205" s="389">
        <v>46086</v>
      </c>
      <c r="H205" s="389">
        <v>46087</v>
      </c>
      <c r="I205" s="337"/>
      <c r="J205" s="337"/>
      <c r="K205" s="337" t="s">
        <v>2678</v>
      </c>
      <c r="L205" s="273">
        <f t="shared" si="18"/>
        <v>10</v>
      </c>
      <c r="M205" s="273">
        <f t="shared" si="19"/>
        <v>0</v>
      </c>
      <c r="N205" s="337" t="s">
        <v>3068</v>
      </c>
      <c r="O205" s="114"/>
    </row>
    <row r="206" spans="1:15" ht="50.1" customHeight="1" x14ac:dyDescent="0.25">
      <c r="A206" s="490">
        <v>16</v>
      </c>
      <c r="B206" s="268" t="s">
        <v>3115</v>
      </c>
      <c r="C206" s="268" t="s">
        <v>4137</v>
      </c>
      <c r="D206" s="337">
        <v>210000</v>
      </c>
      <c r="E206" s="337" t="s">
        <v>4415</v>
      </c>
      <c r="F206" s="337" t="s">
        <v>2985</v>
      </c>
      <c r="G206" s="389">
        <v>46087</v>
      </c>
      <c r="H206" s="389">
        <v>46088</v>
      </c>
      <c r="I206" s="337"/>
      <c r="J206" s="337"/>
      <c r="K206" s="337" t="s">
        <v>2678</v>
      </c>
      <c r="L206" s="273">
        <f t="shared" si="18"/>
        <v>430</v>
      </c>
      <c r="M206" s="273">
        <f t="shared" si="19"/>
        <v>0</v>
      </c>
      <c r="N206" s="337" t="s">
        <v>3068</v>
      </c>
      <c r="O206" s="114"/>
    </row>
    <row r="207" spans="1:15" ht="50.1" customHeight="1" x14ac:dyDescent="0.25">
      <c r="A207" s="490">
        <v>17</v>
      </c>
      <c r="B207" s="268" t="s">
        <v>1278</v>
      </c>
      <c r="C207" s="268" t="s">
        <v>4661</v>
      </c>
      <c r="D207" s="337">
        <v>8880</v>
      </c>
      <c r="E207" s="337" t="s">
        <v>4418</v>
      </c>
      <c r="F207" s="337" t="s">
        <v>3024</v>
      </c>
      <c r="G207" s="389">
        <v>46087</v>
      </c>
      <c r="H207" s="389">
        <v>46088</v>
      </c>
      <c r="I207" s="337"/>
      <c r="J207" s="337"/>
      <c r="K207" s="337" t="s">
        <v>2678</v>
      </c>
      <c r="L207" s="273">
        <f t="shared" si="18"/>
        <v>20</v>
      </c>
      <c r="M207" s="273">
        <f t="shared" si="19"/>
        <v>0</v>
      </c>
      <c r="N207" s="337" t="s">
        <v>3068</v>
      </c>
      <c r="O207" s="114"/>
    </row>
    <row r="208" spans="1:15" ht="50.1" customHeight="1" x14ac:dyDescent="0.25">
      <c r="A208" s="490">
        <v>18</v>
      </c>
      <c r="B208" s="268" t="s">
        <v>1280</v>
      </c>
      <c r="C208" s="268" t="s">
        <v>4661</v>
      </c>
      <c r="D208" s="337">
        <v>8880</v>
      </c>
      <c r="E208" s="337" t="s">
        <v>4420</v>
      </c>
      <c r="F208" s="337" t="s">
        <v>3031</v>
      </c>
      <c r="G208" s="389">
        <v>46087</v>
      </c>
      <c r="H208" s="389">
        <v>46088</v>
      </c>
      <c r="I208" s="337"/>
      <c r="J208" s="337"/>
      <c r="K208" s="337" t="s">
        <v>2678</v>
      </c>
      <c r="L208" s="273">
        <f t="shared" si="18"/>
        <v>20</v>
      </c>
      <c r="M208" s="273">
        <f t="shared" si="19"/>
        <v>0</v>
      </c>
      <c r="N208" s="337" t="s">
        <v>3068</v>
      </c>
      <c r="O208" s="114"/>
    </row>
    <row r="209" spans="1:15" ht="50.1" customHeight="1" x14ac:dyDescent="0.25">
      <c r="A209" s="490">
        <v>19</v>
      </c>
      <c r="B209" s="268" t="s">
        <v>1540</v>
      </c>
      <c r="C209" s="268" t="s">
        <v>4662</v>
      </c>
      <c r="D209" s="337">
        <v>11500</v>
      </c>
      <c r="E209" s="337" t="s">
        <v>4421</v>
      </c>
      <c r="F209" s="337" t="s">
        <v>2988</v>
      </c>
      <c r="G209" s="389">
        <v>46087</v>
      </c>
      <c r="H209" s="389">
        <v>46088</v>
      </c>
      <c r="I209" s="337"/>
      <c r="J209" s="337"/>
      <c r="K209" s="337" t="s">
        <v>2678</v>
      </c>
      <c r="L209" s="273">
        <f t="shared" si="18"/>
        <v>30</v>
      </c>
      <c r="M209" s="273">
        <f t="shared" si="19"/>
        <v>0</v>
      </c>
      <c r="N209" s="337" t="s">
        <v>3068</v>
      </c>
      <c r="O209" s="114"/>
    </row>
    <row r="210" spans="1:15" ht="50.1" customHeight="1" x14ac:dyDescent="0.25">
      <c r="A210" s="490">
        <v>20</v>
      </c>
      <c r="B210" s="268" t="s">
        <v>1293</v>
      </c>
      <c r="C210" s="268" t="s">
        <v>4663</v>
      </c>
      <c r="D210" s="337">
        <v>18620</v>
      </c>
      <c r="E210" s="337" t="s">
        <v>4422</v>
      </c>
      <c r="F210" s="337" t="s">
        <v>4849</v>
      </c>
      <c r="G210" s="389">
        <v>46087</v>
      </c>
      <c r="H210" s="389">
        <v>46088</v>
      </c>
      <c r="I210" s="337"/>
      <c r="J210" s="337"/>
      <c r="K210" s="337" t="s">
        <v>2678</v>
      </c>
      <c r="L210" s="273">
        <f t="shared" si="18"/>
        <v>40</v>
      </c>
      <c r="M210" s="273">
        <f t="shared" si="19"/>
        <v>0</v>
      </c>
      <c r="N210" s="337" t="s">
        <v>3068</v>
      </c>
      <c r="O210" s="114"/>
    </row>
    <row r="211" spans="1:15" ht="50.1" customHeight="1" x14ac:dyDescent="0.25">
      <c r="A211" s="490">
        <v>21</v>
      </c>
      <c r="B211" s="268" t="s">
        <v>1647</v>
      </c>
      <c r="C211" s="268" t="s">
        <v>1995</v>
      </c>
      <c r="D211" s="337">
        <v>4300</v>
      </c>
      <c r="E211" s="337" t="s">
        <v>4423</v>
      </c>
      <c r="F211" s="337" t="s">
        <v>3026</v>
      </c>
      <c r="G211" s="389">
        <v>46087</v>
      </c>
      <c r="H211" s="389">
        <v>46088</v>
      </c>
      <c r="I211" s="337"/>
      <c r="J211" s="337"/>
      <c r="K211" s="337" t="s">
        <v>2678</v>
      </c>
      <c r="L211" s="273">
        <f t="shared" si="18"/>
        <v>10</v>
      </c>
      <c r="M211" s="273">
        <f t="shared" si="19"/>
        <v>0</v>
      </c>
      <c r="N211" s="337" t="s">
        <v>3068</v>
      </c>
      <c r="O211" s="114"/>
    </row>
    <row r="212" spans="1:15" ht="50.1" customHeight="1" x14ac:dyDescent="0.25">
      <c r="A212" s="490">
        <v>22</v>
      </c>
      <c r="B212" s="268" t="s">
        <v>1650</v>
      </c>
      <c r="C212" s="268" t="s">
        <v>1995</v>
      </c>
      <c r="D212" s="337">
        <v>4300</v>
      </c>
      <c r="E212" s="337" t="s">
        <v>4426</v>
      </c>
      <c r="F212" s="337" t="s">
        <v>3026</v>
      </c>
      <c r="G212" s="389">
        <v>46087</v>
      </c>
      <c r="H212" s="389">
        <v>46088</v>
      </c>
      <c r="I212" s="337"/>
      <c r="J212" s="337"/>
      <c r="K212" s="337" t="s">
        <v>2678</v>
      </c>
      <c r="L212" s="273">
        <f t="shared" si="18"/>
        <v>10</v>
      </c>
      <c r="M212" s="273">
        <f t="shared" si="19"/>
        <v>0</v>
      </c>
      <c r="N212" s="337" t="s">
        <v>3068</v>
      </c>
      <c r="O212" s="114"/>
    </row>
    <row r="213" spans="1:15" ht="50.1" customHeight="1" x14ac:dyDescent="0.25">
      <c r="A213" s="490">
        <v>23</v>
      </c>
      <c r="B213" s="268" t="s">
        <v>2357</v>
      </c>
      <c r="C213" s="268" t="s">
        <v>1153</v>
      </c>
      <c r="D213" s="337">
        <v>7400</v>
      </c>
      <c r="E213" s="337" t="s">
        <v>4433</v>
      </c>
      <c r="F213" s="337" t="s">
        <v>2988</v>
      </c>
      <c r="G213" s="389">
        <v>46087</v>
      </c>
      <c r="H213" s="389">
        <v>46088</v>
      </c>
      <c r="I213" s="337"/>
      <c r="J213" s="337"/>
      <c r="K213" s="337" t="s">
        <v>2678</v>
      </c>
      <c r="L213" s="273">
        <f t="shared" si="18"/>
        <v>20</v>
      </c>
      <c r="M213" s="273">
        <f t="shared" si="19"/>
        <v>0</v>
      </c>
      <c r="N213" s="337" t="s">
        <v>3068</v>
      </c>
      <c r="O213" s="114"/>
    </row>
    <row r="214" spans="1:15" ht="50.1" customHeight="1" x14ac:dyDescent="0.25">
      <c r="A214" s="490">
        <v>24</v>
      </c>
      <c r="B214" s="268" t="s">
        <v>2367</v>
      </c>
      <c r="C214" s="268" t="s">
        <v>2349</v>
      </c>
      <c r="D214" s="337">
        <v>3983</v>
      </c>
      <c r="E214" s="337" t="s">
        <v>4441</v>
      </c>
      <c r="F214" s="337" t="s">
        <v>4849</v>
      </c>
      <c r="G214" s="389">
        <v>46087</v>
      </c>
      <c r="H214" s="389">
        <v>46088</v>
      </c>
      <c r="I214" s="337"/>
      <c r="J214" s="337"/>
      <c r="K214" s="337" t="s">
        <v>2678</v>
      </c>
      <c r="L214" s="273">
        <f t="shared" si="18"/>
        <v>10</v>
      </c>
      <c r="M214" s="273">
        <f t="shared" si="19"/>
        <v>0</v>
      </c>
      <c r="N214" s="337" t="s">
        <v>3068</v>
      </c>
      <c r="O214" s="114"/>
    </row>
    <row r="215" spans="1:15" ht="50.1" customHeight="1" x14ac:dyDescent="0.25">
      <c r="A215" s="490">
        <v>25</v>
      </c>
      <c r="B215" s="268" t="s">
        <v>2368</v>
      </c>
      <c r="C215" s="268" t="s">
        <v>4667</v>
      </c>
      <c r="D215" s="337">
        <v>5500</v>
      </c>
      <c r="E215" s="337" t="s">
        <v>4442</v>
      </c>
      <c r="F215" s="337" t="s">
        <v>2988</v>
      </c>
      <c r="G215" s="389">
        <v>46087</v>
      </c>
      <c r="H215" s="389">
        <v>46088</v>
      </c>
      <c r="I215" s="337"/>
      <c r="J215" s="337"/>
      <c r="K215" s="337" t="s">
        <v>2678</v>
      </c>
      <c r="L215" s="273">
        <f t="shared" si="18"/>
        <v>20</v>
      </c>
      <c r="M215" s="273">
        <f t="shared" si="19"/>
        <v>0</v>
      </c>
      <c r="N215" s="337" t="s">
        <v>3068</v>
      </c>
      <c r="O215" s="114"/>
    </row>
    <row r="216" spans="1:15" ht="50.1" customHeight="1" x14ac:dyDescent="0.25">
      <c r="A216" s="490">
        <v>26</v>
      </c>
      <c r="B216" s="268" t="s">
        <v>2369</v>
      </c>
      <c r="C216" s="268" t="s">
        <v>4667</v>
      </c>
      <c r="D216" s="337">
        <v>5500</v>
      </c>
      <c r="E216" s="337" t="s">
        <v>4443</v>
      </c>
      <c r="F216" s="337" t="s">
        <v>2988</v>
      </c>
      <c r="G216" s="389">
        <v>46087</v>
      </c>
      <c r="H216" s="389">
        <v>46088</v>
      </c>
      <c r="I216" s="337"/>
      <c r="J216" s="337"/>
      <c r="K216" s="337" t="s">
        <v>2678</v>
      </c>
      <c r="L216" s="273">
        <f t="shared" si="18"/>
        <v>20</v>
      </c>
      <c r="M216" s="273">
        <f t="shared" si="19"/>
        <v>0</v>
      </c>
      <c r="N216" s="337" t="s">
        <v>3068</v>
      </c>
      <c r="O216" s="114"/>
    </row>
    <row r="217" spans="1:15" ht="50.1" customHeight="1" x14ac:dyDescent="0.25">
      <c r="A217" s="490">
        <v>27</v>
      </c>
      <c r="B217" s="268" t="s">
        <v>2370</v>
      </c>
      <c r="C217" s="268" t="s">
        <v>4667</v>
      </c>
      <c r="D217" s="337">
        <v>5500</v>
      </c>
      <c r="E217" s="337" t="s">
        <v>4444</v>
      </c>
      <c r="F217" s="337" t="s">
        <v>2988</v>
      </c>
      <c r="G217" s="389">
        <v>46087</v>
      </c>
      <c r="H217" s="389">
        <v>46088</v>
      </c>
      <c r="I217" s="337"/>
      <c r="J217" s="337"/>
      <c r="K217" s="337" t="s">
        <v>2678</v>
      </c>
      <c r="L217" s="273">
        <f t="shared" si="18"/>
        <v>20</v>
      </c>
      <c r="M217" s="273">
        <f t="shared" si="19"/>
        <v>0</v>
      </c>
      <c r="N217" s="337" t="s">
        <v>3068</v>
      </c>
      <c r="O217" s="114"/>
    </row>
    <row r="218" spans="1:15" ht="50.1" customHeight="1" x14ac:dyDescent="0.25">
      <c r="A218" s="490">
        <v>28</v>
      </c>
      <c r="B218" s="268" t="s">
        <v>3844</v>
      </c>
      <c r="C218" s="268" t="s">
        <v>4136</v>
      </c>
      <c r="D218" s="337">
        <v>332177.94</v>
      </c>
      <c r="E218" s="337" t="s">
        <v>4445</v>
      </c>
      <c r="F218" s="337" t="s">
        <v>2985</v>
      </c>
      <c r="G218" s="389">
        <v>46087</v>
      </c>
      <c r="H218" s="389">
        <v>46088</v>
      </c>
      <c r="I218" s="337"/>
      <c r="J218" s="337"/>
      <c r="K218" s="337" t="s">
        <v>2678</v>
      </c>
      <c r="L218" s="273">
        <f t="shared" si="18"/>
        <v>670</v>
      </c>
      <c r="M218" s="273">
        <f t="shared" si="19"/>
        <v>0</v>
      </c>
      <c r="N218" s="337" t="s">
        <v>3068</v>
      </c>
      <c r="O218" s="114"/>
    </row>
    <row r="219" spans="1:15" ht="50.1" customHeight="1" x14ac:dyDescent="0.25">
      <c r="A219" s="490">
        <v>29</v>
      </c>
      <c r="B219" s="268" t="s">
        <v>265</v>
      </c>
      <c r="C219" s="268" t="s">
        <v>251</v>
      </c>
      <c r="D219" s="337">
        <v>33286.5</v>
      </c>
      <c r="E219" s="337" t="s">
        <v>4451</v>
      </c>
      <c r="F219" s="337" t="s">
        <v>4101</v>
      </c>
      <c r="G219" s="389">
        <v>46091</v>
      </c>
      <c r="H219" s="389">
        <v>46092</v>
      </c>
      <c r="I219" s="337"/>
      <c r="J219" s="337"/>
      <c r="K219" s="337" t="s">
        <v>2678</v>
      </c>
      <c r="L219" s="273">
        <f t="shared" si="18"/>
        <v>70</v>
      </c>
      <c r="M219" s="273">
        <f t="shared" si="19"/>
        <v>0</v>
      </c>
      <c r="N219" s="337" t="s">
        <v>3068</v>
      </c>
      <c r="O219" s="114"/>
    </row>
    <row r="220" spans="1:15" ht="50.1" customHeight="1" x14ac:dyDescent="0.25">
      <c r="A220" s="490">
        <v>30</v>
      </c>
      <c r="B220" s="268" t="s">
        <v>2136</v>
      </c>
      <c r="C220" s="268" t="s">
        <v>1995</v>
      </c>
      <c r="D220" s="337">
        <v>4300</v>
      </c>
      <c r="E220" s="337" t="s">
        <v>4453</v>
      </c>
      <c r="F220" s="337" t="s">
        <v>2988</v>
      </c>
      <c r="G220" s="389">
        <v>46091</v>
      </c>
      <c r="H220" s="389">
        <v>46092</v>
      </c>
      <c r="I220" s="337"/>
      <c r="J220" s="337"/>
      <c r="K220" s="337" t="s">
        <v>2678</v>
      </c>
      <c r="L220" s="273">
        <f t="shared" si="18"/>
        <v>10</v>
      </c>
      <c r="M220" s="273">
        <f t="shared" si="19"/>
        <v>0</v>
      </c>
      <c r="N220" s="337" t="s">
        <v>3068</v>
      </c>
      <c r="O220" s="114"/>
    </row>
    <row r="221" spans="1:15" ht="50.1" customHeight="1" x14ac:dyDescent="0.25">
      <c r="A221" s="490">
        <v>31</v>
      </c>
      <c r="B221" s="268" t="s">
        <v>2137</v>
      </c>
      <c r="C221" s="268" t="s">
        <v>1995</v>
      </c>
      <c r="D221" s="337">
        <v>4300</v>
      </c>
      <c r="E221" s="337" t="s">
        <v>4454</v>
      </c>
      <c r="F221" s="337" t="s">
        <v>2988</v>
      </c>
      <c r="G221" s="389">
        <v>46091</v>
      </c>
      <c r="H221" s="389">
        <v>46092</v>
      </c>
      <c r="I221" s="337"/>
      <c r="J221" s="337"/>
      <c r="K221" s="337" t="s">
        <v>2678</v>
      </c>
      <c r="L221" s="273">
        <f t="shared" si="18"/>
        <v>10</v>
      </c>
      <c r="M221" s="273">
        <f t="shared" si="19"/>
        <v>0</v>
      </c>
      <c r="N221" s="337" t="s">
        <v>3068</v>
      </c>
      <c r="O221" s="114"/>
    </row>
    <row r="222" spans="1:15" ht="50.1" customHeight="1" x14ac:dyDescent="0.25">
      <c r="A222" s="490">
        <v>32</v>
      </c>
      <c r="B222" s="268" t="s">
        <v>2138</v>
      </c>
      <c r="C222" s="268" t="s">
        <v>1995</v>
      </c>
      <c r="D222" s="337">
        <v>4300</v>
      </c>
      <c r="E222" s="337" t="s">
        <v>4455</v>
      </c>
      <c r="F222" s="337" t="s">
        <v>2988</v>
      </c>
      <c r="G222" s="389">
        <v>46091</v>
      </c>
      <c r="H222" s="389">
        <v>46092</v>
      </c>
      <c r="I222" s="337"/>
      <c r="J222" s="337"/>
      <c r="K222" s="337" t="s">
        <v>2678</v>
      </c>
      <c r="L222" s="273">
        <f t="shared" si="18"/>
        <v>10</v>
      </c>
      <c r="M222" s="273">
        <f t="shared" si="19"/>
        <v>0</v>
      </c>
      <c r="N222" s="337" t="s">
        <v>3068</v>
      </c>
      <c r="O222" s="114"/>
    </row>
    <row r="223" spans="1:15" ht="50.1" customHeight="1" x14ac:dyDescent="0.25">
      <c r="A223" s="490">
        <v>33</v>
      </c>
      <c r="B223" s="268" t="s">
        <v>1910</v>
      </c>
      <c r="C223" s="268" t="s">
        <v>1995</v>
      </c>
      <c r="D223" s="337">
        <v>2700</v>
      </c>
      <c r="E223" s="337" t="s">
        <v>4456</v>
      </c>
      <c r="F223" s="337" t="s">
        <v>3032</v>
      </c>
      <c r="G223" s="389">
        <v>46091</v>
      </c>
      <c r="H223" s="389">
        <v>46092</v>
      </c>
      <c r="I223" s="337"/>
      <c r="J223" s="337"/>
      <c r="K223" s="337" t="s">
        <v>2678</v>
      </c>
      <c r="L223" s="273">
        <f t="shared" ref="L223:L254" si="20">ROUNDUP((D223/4999.99)*10,-1)</f>
        <v>10</v>
      </c>
      <c r="M223" s="273">
        <f t="shared" ref="M223:M254" si="21">IF(K223="N",0,L223)</f>
        <v>0</v>
      </c>
      <c r="N223" s="337" t="s">
        <v>3068</v>
      </c>
      <c r="O223" s="114"/>
    </row>
    <row r="224" spans="1:15" ht="50.1" customHeight="1" x14ac:dyDescent="0.25">
      <c r="A224" s="490">
        <v>34</v>
      </c>
      <c r="B224" s="268" t="s">
        <v>1911</v>
      </c>
      <c r="C224" s="268" t="s">
        <v>1995</v>
      </c>
      <c r="D224" s="337">
        <v>2700</v>
      </c>
      <c r="E224" s="337" t="s">
        <v>4457</v>
      </c>
      <c r="F224" s="337" t="s">
        <v>3032</v>
      </c>
      <c r="G224" s="389">
        <v>46091</v>
      </c>
      <c r="H224" s="389">
        <v>46092</v>
      </c>
      <c r="I224" s="337"/>
      <c r="J224" s="337"/>
      <c r="K224" s="337" t="s">
        <v>2678</v>
      </c>
      <c r="L224" s="273">
        <f t="shared" si="20"/>
        <v>10</v>
      </c>
      <c r="M224" s="273">
        <f t="shared" si="21"/>
        <v>0</v>
      </c>
      <c r="N224" s="337" t="s">
        <v>3068</v>
      </c>
      <c r="O224" s="114"/>
    </row>
    <row r="225" spans="1:15" ht="50.1" customHeight="1" x14ac:dyDescent="0.25">
      <c r="A225" s="490">
        <v>35</v>
      </c>
      <c r="B225" s="268" t="s">
        <v>1912</v>
      </c>
      <c r="C225" s="268" t="s">
        <v>1995</v>
      </c>
      <c r="D225" s="337">
        <v>2700</v>
      </c>
      <c r="E225" s="337" t="s">
        <v>4458</v>
      </c>
      <c r="F225" s="337" t="s">
        <v>3032</v>
      </c>
      <c r="G225" s="389">
        <v>46091</v>
      </c>
      <c r="H225" s="389">
        <v>46092</v>
      </c>
      <c r="I225" s="337"/>
      <c r="J225" s="337"/>
      <c r="K225" s="337" t="s">
        <v>2678</v>
      </c>
      <c r="L225" s="273">
        <f t="shared" si="20"/>
        <v>10</v>
      </c>
      <c r="M225" s="273">
        <f t="shared" si="21"/>
        <v>0</v>
      </c>
      <c r="N225" s="337" t="s">
        <v>3068</v>
      </c>
      <c r="O225" s="114"/>
    </row>
    <row r="226" spans="1:15" ht="50.1" customHeight="1" x14ac:dyDescent="0.25">
      <c r="A226" s="490">
        <v>36</v>
      </c>
      <c r="B226" s="268" t="s">
        <v>1913</v>
      </c>
      <c r="C226" s="268" t="s">
        <v>1995</v>
      </c>
      <c r="D226" s="337">
        <v>2700</v>
      </c>
      <c r="E226" s="337" t="s">
        <v>4459</v>
      </c>
      <c r="F226" s="337" t="s">
        <v>3032</v>
      </c>
      <c r="G226" s="389">
        <v>46091</v>
      </c>
      <c r="H226" s="389">
        <v>46092</v>
      </c>
      <c r="I226" s="337"/>
      <c r="J226" s="337"/>
      <c r="K226" s="337" t="s">
        <v>2678</v>
      </c>
      <c r="L226" s="273">
        <f t="shared" si="20"/>
        <v>10</v>
      </c>
      <c r="M226" s="273">
        <f t="shared" si="21"/>
        <v>0</v>
      </c>
      <c r="N226" s="337" t="s">
        <v>3068</v>
      </c>
      <c r="O226" s="114"/>
    </row>
    <row r="227" spans="1:15" ht="50.1" customHeight="1" x14ac:dyDescent="0.25">
      <c r="A227" s="490">
        <v>37</v>
      </c>
      <c r="B227" s="268" t="s">
        <v>3682</v>
      </c>
      <c r="C227" s="268" t="s">
        <v>3102</v>
      </c>
      <c r="D227" s="337">
        <v>7280</v>
      </c>
      <c r="E227" s="337" t="s">
        <v>4460</v>
      </c>
      <c r="F227" s="337" t="s">
        <v>2988</v>
      </c>
      <c r="G227" s="389">
        <v>46091</v>
      </c>
      <c r="H227" s="389">
        <v>46092</v>
      </c>
      <c r="I227" s="337"/>
      <c r="J227" s="337"/>
      <c r="K227" s="337" t="s">
        <v>2678</v>
      </c>
      <c r="L227" s="273">
        <f t="shared" si="20"/>
        <v>20</v>
      </c>
      <c r="M227" s="273">
        <f t="shared" si="21"/>
        <v>0</v>
      </c>
      <c r="N227" s="337" t="s">
        <v>3068</v>
      </c>
      <c r="O227" s="114"/>
    </row>
    <row r="228" spans="1:15" ht="50.1" customHeight="1" x14ac:dyDescent="0.25">
      <c r="A228" s="490">
        <v>38</v>
      </c>
      <c r="B228" s="268" t="s">
        <v>1726</v>
      </c>
      <c r="C228" s="268" t="s">
        <v>1995</v>
      </c>
      <c r="D228" s="337">
        <v>4300</v>
      </c>
      <c r="E228" s="337" t="s">
        <v>4467</v>
      </c>
      <c r="F228" s="337" t="s">
        <v>2988</v>
      </c>
      <c r="G228" s="389">
        <v>46092</v>
      </c>
      <c r="H228" s="389">
        <v>46093</v>
      </c>
      <c r="I228" s="337"/>
      <c r="J228" s="337"/>
      <c r="K228" s="337" t="s">
        <v>2678</v>
      </c>
      <c r="L228" s="273">
        <f t="shared" si="20"/>
        <v>10</v>
      </c>
      <c r="M228" s="273">
        <f t="shared" si="21"/>
        <v>0</v>
      </c>
      <c r="N228" s="337" t="s">
        <v>3068</v>
      </c>
      <c r="O228" s="114"/>
    </row>
    <row r="229" spans="1:15" ht="50.1" customHeight="1" x14ac:dyDescent="0.25">
      <c r="A229" s="490">
        <v>39</v>
      </c>
      <c r="B229" s="268" t="s">
        <v>1174</v>
      </c>
      <c r="C229" s="268" t="s">
        <v>3119</v>
      </c>
      <c r="D229" s="337">
        <v>554438.30000000005</v>
      </c>
      <c r="E229" s="337" t="s">
        <v>4468</v>
      </c>
      <c r="F229" s="337" t="s">
        <v>4826</v>
      </c>
      <c r="G229" s="389">
        <v>46092</v>
      </c>
      <c r="H229" s="389">
        <v>46093</v>
      </c>
      <c r="I229" s="337"/>
      <c r="J229" s="337"/>
      <c r="K229" s="337" t="s">
        <v>2678</v>
      </c>
      <c r="L229" s="273">
        <f t="shared" si="20"/>
        <v>1110</v>
      </c>
      <c r="M229" s="273">
        <f t="shared" si="21"/>
        <v>0</v>
      </c>
      <c r="N229" s="337" t="s">
        <v>3068</v>
      </c>
      <c r="O229" s="114"/>
    </row>
    <row r="230" spans="1:15" ht="50.1" customHeight="1" x14ac:dyDescent="0.25">
      <c r="A230" s="490">
        <v>40</v>
      </c>
      <c r="B230" s="268" t="s">
        <v>1171</v>
      </c>
      <c r="C230" s="268" t="s">
        <v>3119</v>
      </c>
      <c r="D230" s="337">
        <v>416000</v>
      </c>
      <c r="E230" s="337" t="s">
        <v>4469</v>
      </c>
      <c r="F230" s="337" t="s">
        <v>4826</v>
      </c>
      <c r="G230" s="389">
        <v>46092</v>
      </c>
      <c r="H230" s="389">
        <v>46093</v>
      </c>
      <c r="I230" s="337"/>
      <c r="J230" s="337"/>
      <c r="K230" s="337" t="s">
        <v>2678</v>
      </c>
      <c r="L230" s="273">
        <f t="shared" si="20"/>
        <v>840</v>
      </c>
      <c r="M230" s="273">
        <f t="shared" si="21"/>
        <v>0</v>
      </c>
      <c r="N230" s="337" t="s">
        <v>3068</v>
      </c>
      <c r="O230" s="114"/>
    </row>
    <row r="231" spans="1:15" ht="50.1" customHeight="1" x14ac:dyDescent="0.25">
      <c r="A231" s="490">
        <v>41</v>
      </c>
      <c r="B231" s="268" t="s">
        <v>1773</v>
      </c>
      <c r="C231" s="268" t="s">
        <v>1995</v>
      </c>
      <c r="D231" s="337">
        <v>4300</v>
      </c>
      <c r="E231" s="337" t="s">
        <v>4470</v>
      </c>
      <c r="F231" s="337" t="s">
        <v>2988</v>
      </c>
      <c r="G231" s="389">
        <v>46092</v>
      </c>
      <c r="H231" s="389">
        <v>46093</v>
      </c>
      <c r="I231" s="337"/>
      <c r="J231" s="337"/>
      <c r="K231" s="337" t="s">
        <v>2678</v>
      </c>
      <c r="L231" s="273">
        <f t="shared" si="20"/>
        <v>10</v>
      </c>
      <c r="M231" s="273">
        <f t="shared" si="21"/>
        <v>0</v>
      </c>
      <c r="N231" s="337" t="s">
        <v>3068</v>
      </c>
      <c r="O231" s="114"/>
    </row>
    <row r="232" spans="1:15" ht="50.1" customHeight="1" x14ac:dyDescent="0.25">
      <c r="A232" s="490">
        <v>42</v>
      </c>
      <c r="B232" s="268" t="s">
        <v>1774</v>
      </c>
      <c r="C232" s="268" t="s">
        <v>1995</v>
      </c>
      <c r="D232" s="337">
        <v>4300</v>
      </c>
      <c r="E232" s="337" t="s">
        <v>4471</v>
      </c>
      <c r="F232" s="337" t="s">
        <v>2988</v>
      </c>
      <c r="G232" s="389">
        <v>46092</v>
      </c>
      <c r="H232" s="389">
        <v>46093</v>
      </c>
      <c r="I232" s="337"/>
      <c r="J232" s="337"/>
      <c r="K232" s="337" t="s">
        <v>2678</v>
      </c>
      <c r="L232" s="273">
        <f t="shared" si="20"/>
        <v>10</v>
      </c>
      <c r="M232" s="273">
        <f t="shared" si="21"/>
        <v>0</v>
      </c>
      <c r="N232" s="337" t="s">
        <v>3068</v>
      </c>
      <c r="O232" s="114"/>
    </row>
    <row r="233" spans="1:15" ht="50.1" customHeight="1" x14ac:dyDescent="0.25">
      <c r="A233" s="490">
        <v>43</v>
      </c>
      <c r="B233" s="268" t="s">
        <v>1775</v>
      </c>
      <c r="C233" s="268" t="s">
        <v>1995</v>
      </c>
      <c r="D233" s="337">
        <v>4300</v>
      </c>
      <c r="E233" s="337" t="s">
        <v>4472</v>
      </c>
      <c r="F233" s="337" t="s">
        <v>2988</v>
      </c>
      <c r="G233" s="389">
        <v>46092</v>
      </c>
      <c r="H233" s="389">
        <v>46093</v>
      </c>
      <c r="I233" s="337"/>
      <c r="J233" s="337"/>
      <c r="K233" s="337" t="s">
        <v>2678</v>
      </c>
      <c r="L233" s="273">
        <f t="shared" si="20"/>
        <v>10</v>
      </c>
      <c r="M233" s="273">
        <f t="shared" si="21"/>
        <v>0</v>
      </c>
      <c r="N233" s="337" t="s">
        <v>3068</v>
      </c>
      <c r="O233" s="114"/>
    </row>
    <row r="234" spans="1:15" ht="50.1" customHeight="1" x14ac:dyDescent="0.25">
      <c r="A234" s="490">
        <v>44</v>
      </c>
      <c r="B234" s="268" t="s">
        <v>894</v>
      </c>
      <c r="C234" s="268" t="s">
        <v>4670</v>
      </c>
      <c r="D234" s="337">
        <v>16000</v>
      </c>
      <c r="E234" s="337" t="s">
        <v>4473</v>
      </c>
      <c r="F234" s="337" t="s">
        <v>2988</v>
      </c>
      <c r="G234" s="389">
        <v>46092</v>
      </c>
      <c r="H234" s="389">
        <v>46093</v>
      </c>
      <c r="I234" s="337"/>
      <c r="J234" s="337"/>
      <c r="K234" s="337" t="s">
        <v>2678</v>
      </c>
      <c r="L234" s="273">
        <f t="shared" si="20"/>
        <v>40</v>
      </c>
      <c r="M234" s="273">
        <f t="shared" si="21"/>
        <v>0</v>
      </c>
      <c r="N234" s="337" t="s">
        <v>3068</v>
      </c>
      <c r="O234" s="114"/>
    </row>
    <row r="235" spans="1:15" ht="50.1" customHeight="1" x14ac:dyDescent="0.25">
      <c r="A235" s="490">
        <v>45</v>
      </c>
      <c r="B235" s="268" t="s">
        <v>2371</v>
      </c>
      <c r="C235" s="268" t="s">
        <v>1998</v>
      </c>
      <c r="D235" s="337">
        <v>3150</v>
      </c>
      <c r="E235" s="337" t="s">
        <v>4483</v>
      </c>
      <c r="F235" s="337" t="s">
        <v>2996</v>
      </c>
      <c r="G235" s="389">
        <v>46092</v>
      </c>
      <c r="H235" s="389">
        <v>46093</v>
      </c>
      <c r="I235" s="337"/>
      <c r="J235" s="337"/>
      <c r="K235" s="337" t="s">
        <v>2678</v>
      </c>
      <c r="L235" s="273">
        <f t="shared" si="20"/>
        <v>10</v>
      </c>
      <c r="M235" s="273">
        <f t="shared" si="21"/>
        <v>0</v>
      </c>
      <c r="N235" s="337" t="s">
        <v>3068</v>
      </c>
      <c r="O235" s="114"/>
    </row>
    <row r="236" spans="1:15" ht="50.1" customHeight="1" x14ac:dyDescent="0.25">
      <c r="A236" s="490">
        <v>46</v>
      </c>
      <c r="B236" s="268" t="s">
        <v>3784</v>
      </c>
      <c r="C236" s="268" t="s">
        <v>4673</v>
      </c>
      <c r="D236" s="337">
        <v>16500</v>
      </c>
      <c r="E236" s="337" t="s">
        <v>4490</v>
      </c>
      <c r="F236" s="337" t="s">
        <v>4850</v>
      </c>
      <c r="G236" s="389">
        <v>46092</v>
      </c>
      <c r="H236" s="389">
        <v>46093</v>
      </c>
      <c r="I236" s="337"/>
      <c r="J236" s="337"/>
      <c r="K236" s="337" t="s">
        <v>2678</v>
      </c>
      <c r="L236" s="273">
        <f t="shared" si="20"/>
        <v>40</v>
      </c>
      <c r="M236" s="273">
        <f t="shared" si="21"/>
        <v>0</v>
      </c>
      <c r="N236" s="337" t="s">
        <v>3068</v>
      </c>
      <c r="O236" s="114"/>
    </row>
    <row r="237" spans="1:15" ht="50.1" customHeight="1" x14ac:dyDescent="0.25">
      <c r="A237" s="490">
        <v>47</v>
      </c>
      <c r="B237" s="268" t="s">
        <v>1544</v>
      </c>
      <c r="C237" s="268" t="s">
        <v>1570</v>
      </c>
      <c r="D237" s="337">
        <v>14250</v>
      </c>
      <c r="E237" s="337" t="s">
        <v>4491</v>
      </c>
      <c r="F237" s="337" t="s">
        <v>2707</v>
      </c>
      <c r="G237" s="389">
        <v>46093</v>
      </c>
      <c r="H237" s="389">
        <v>46094</v>
      </c>
      <c r="I237" s="337"/>
      <c r="J237" s="337"/>
      <c r="K237" s="337" t="s">
        <v>2678</v>
      </c>
      <c r="L237" s="273">
        <f t="shared" si="20"/>
        <v>30</v>
      </c>
      <c r="M237" s="273">
        <f t="shared" si="21"/>
        <v>0</v>
      </c>
      <c r="N237" s="337" t="s">
        <v>3068</v>
      </c>
      <c r="O237" s="114"/>
    </row>
    <row r="238" spans="1:15" ht="50.1" customHeight="1" x14ac:dyDescent="0.25">
      <c r="A238" s="490">
        <v>48</v>
      </c>
      <c r="B238" s="268" t="s">
        <v>1067</v>
      </c>
      <c r="C238" s="268" t="s">
        <v>4674</v>
      </c>
      <c r="D238" s="337">
        <v>814</v>
      </c>
      <c r="E238" s="337" t="s">
        <v>4495</v>
      </c>
      <c r="F238" s="337" t="s">
        <v>3022</v>
      </c>
      <c r="G238" s="389">
        <v>46093</v>
      </c>
      <c r="H238" s="389">
        <v>46094</v>
      </c>
      <c r="I238" s="337"/>
      <c r="J238" s="337"/>
      <c r="K238" s="337" t="s">
        <v>2678</v>
      </c>
      <c r="L238" s="273">
        <f t="shared" si="20"/>
        <v>10</v>
      </c>
      <c r="M238" s="273">
        <f t="shared" si="21"/>
        <v>0</v>
      </c>
      <c r="N238" s="337" t="s">
        <v>3068</v>
      </c>
      <c r="O238" s="114"/>
    </row>
    <row r="239" spans="1:15" ht="50.1" customHeight="1" x14ac:dyDescent="0.25">
      <c r="A239" s="490">
        <v>49</v>
      </c>
      <c r="B239" s="268" t="s">
        <v>1068</v>
      </c>
      <c r="C239" s="268" t="s">
        <v>4674</v>
      </c>
      <c r="D239" s="337">
        <v>814</v>
      </c>
      <c r="E239" s="337" t="s">
        <v>4496</v>
      </c>
      <c r="F239" s="337" t="s">
        <v>3022</v>
      </c>
      <c r="G239" s="389">
        <v>46093</v>
      </c>
      <c r="H239" s="389">
        <v>46094</v>
      </c>
      <c r="I239" s="337"/>
      <c r="J239" s="337"/>
      <c r="K239" s="337" t="s">
        <v>2678</v>
      </c>
      <c r="L239" s="273">
        <f t="shared" si="20"/>
        <v>10</v>
      </c>
      <c r="M239" s="273">
        <f t="shared" si="21"/>
        <v>0</v>
      </c>
      <c r="N239" s="337" t="s">
        <v>3068</v>
      </c>
      <c r="O239" s="114"/>
    </row>
    <row r="240" spans="1:15" ht="50.1" customHeight="1" x14ac:dyDescent="0.25">
      <c r="A240" s="490">
        <v>50</v>
      </c>
      <c r="B240" s="268" t="s">
        <v>816</v>
      </c>
      <c r="C240" s="268" t="s">
        <v>2394</v>
      </c>
      <c r="D240" s="337">
        <v>32900</v>
      </c>
      <c r="E240" s="337" t="s">
        <v>4497</v>
      </c>
      <c r="F240" s="337" t="s">
        <v>4101</v>
      </c>
      <c r="G240" s="389">
        <v>46093</v>
      </c>
      <c r="H240" s="389">
        <v>46094</v>
      </c>
      <c r="I240" s="337"/>
      <c r="J240" s="337"/>
      <c r="K240" s="337" t="s">
        <v>2678</v>
      </c>
      <c r="L240" s="273">
        <f t="shared" si="20"/>
        <v>70</v>
      </c>
      <c r="M240" s="273">
        <f t="shared" si="21"/>
        <v>0</v>
      </c>
      <c r="N240" s="337" t="s">
        <v>3068</v>
      </c>
      <c r="O240" s="114"/>
    </row>
    <row r="241" spans="1:15" ht="50.1" customHeight="1" x14ac:dyDescent="0.25">
      <c r="A241" s="490">
        <v>51</v>
      </c>
      <c r="B241" s="268" t="s">
        <v>1172</v>
      </c>
      <c r="C241" s="268" t="s">
        <v>3119</v>
      </c>
      <c r="D241" s="337">
        <v>416000</v>
      </c>
      <c r="E241" s="337" t="s">
        <v>4498</v>
      </c>
      <c r="F241" s="337" t="s">
        <v>4826</v>
      </c>
      <c r="G241" s="389">
        <v>46093</v>
      </c>
      <c r="H241" s="389">
        <v>46094</v>
      </c>
      <c r="I241" s="337"/>
      <c r="J241" s="337"/>
      <c r="K241" s="337" t="s">
        <v>2678</v>
      </c>
      <c r="L241" s="273">
        <f t="shared" si="20"/>
        <v>840</v>
      </c>
      <c r="M241" s="273">
        <f t="shared" si="21"/>
        <v>0</v>
      </c>
      <c r="N241" s="337" t="s">
        <v>3068</v>
      </c>
      <c r="O241" s="114"/>
    </row>
    <row r="242" spans="1:15" ht="50.1" customHeight="1" x14ac:dyDescent="0.25">
      <c r="A242" s="490">
        <v>52</v>
      </c>
      <c r="B242" s="268" t="s">
        <v>4675</v>
      </c>
      <c r="C242" s="268" t="s">
        <v>4656</v>
      </c>
      <c r="D242" s="337">
        <v>105500</v>
      </c>
      <c r="E242" s="337" t="s">
        <v>4501</v>
      </c>
      <c r="F242" s="337" t="s">
        <v>4826</v>
      </c>
      <c r="G242" s="389">
        <v>46094</v>
      </c>
      <c r="H242" s="389">
        <v>46095</v>
      </c>
      <c r="I242" s="337"/>
      <c r="J242" s="337"/>
      <c r="K242" s="337" t="s">
        <v>2678</v>
      </c>
      <c r="L242" s="273">
        <f t="shared" si="20"/>
        <v>220</v>
      </c>
      <c r="M242" s="273">
        <f t="shared" si="21"/>
        <v>0</v>
      </c>
      <c r="N242" s="337" t="s">
        <v>3068</v>
      </c>
      <c r="O242" s="114"/>
    </row>
    <row r="243" spans="1:15" ht="50.1" customHeight="1" x14ac:dyDescent="0.25">
      <c r="A243" s="490">
        <v>53</v>
      </c>
      <c r="B243" s="268" t="s">
        <v>3741</v>
      </c>
      <c r="C243" s="268" t="s">
        <v>901</v>
      </c>
      <c r="D243" s="337">
        <v>126000</v>
      </c>
      <c r="E243" s="337" t="s">
        <v>4514</v>
      </c>
      <c r="F243" s="337" t="s">
        <v>2982</v>
      </c>
      <c r="G243" s="389">
        <v>46097</v>
      </c>
      <c r="H243" s="389">
        <v>46098</v>
      </c>
      <c r="I243" s="337"/>
      <c r="J243" s="337"/>
      <c r="K243" s="337" t="s">
        <v>2678</v>
      </c>
      <c r="L243" s="273">
        <f t="shared" si="20"/>
        <v>260</v>
      </c>
      <c r="M243" s="273">
        <f t="shared" si="21"/>
        <v>0</v>
      </c>
      <c r="N243" s="337" t="s">
        <v>3068</v>
      </c>
      <c r="O243" s="114"/>
    </row>
    <row r="244" spans="1:15" ht="50.1" customHeight="1" x14ac:dyDescent="0.25">
      <c r="A244" s="490">
        <v>54</v>
      </c>
      <c r="B244" s="268" t="s">
        <v>3745</v>
      </c>
      <c r="C244" s="268" t="s">
        <v>4680</v>
      </c>
      <c r="D244" s="337">
        <v>4200</v>
      </c>
      <c r="E244" s="337" t="s">
        <v>4517</v>
      </c>
      <c r="F244" s="337" t="s">
        <v>2982</v>
      </c>
      <c r="G244" s="389">
        <v>46097</v>
      </c>
      <c r="H244" s="389">
        <v>46098</v>
      </c>
      <c r="I244" s="337"/>
      <c r="J244" s="337"/>
      <c r="K244" s="337" t="s">
        <v>2678</v>
      </c>
      <c r="L244" s="273">
        <f t="shared" si="20"/>
        <v>10</v>
      </c>
      <c r="M244" s="273">
        <f t="shared" si="21"/>
        <v>0</v>
      </c>
      <c r="N244" s="337" t="s">
        <v>3068</v>
      </c>
      <c r="O244" s="114"/>
    </row>
    <row r="245" spans="1:15" ht="50.1" customHeight="1" x14ac:dyDescent="0.25">
      <c r="A245" s="490">
        <v>55</v>
      </c>
      <c r="B245" s="268" t="s">
        <v>3746</v>
      </c>
      <c r="C245" s="268" t="s">
        <v>4680</v>
      </c>
      <c r="D245" s="337">
        <v>4200</v>
      </c>
      <c r="E245" s="337" t="s">
        <v>4518</v>
      </c>
      <c r="F245" s="337" t="s">
        <v>2982</v>
      </c>
      <c r="G245" s="389">
        <v>46097</v>
      </c>
      <c r="H245" s="389">
        <v>46098</v>
      </c>
      <c r="I245" s="337"/>
      <c r="J245" s="337"/>
      <c r="K245" s="337" t="s">
        <v>2678</v>
      </c>
      <c r="L245" s="273">
        <f t="shared" si="20"/>
        <v>10</v>
      </c>
      <c r="M245" s="273">
        <f t="shared" si="21"/>
        <v>0</v>
      </c>
      <c r="N245" s="337" t="s">
        <v>3068</v>
      </c>
      <c r="O245" s="114"/>
    </row>
    <row r="246" spans="1:15" ht="50.1" customHeight="1" x14ac:dyDescent="0.25">
      <c r="A246" s="490">
        <v>56</v>
      </c>
      <c r="B246" s="268" t="s">
        <v>3138</v>
      </c>
      <c r="C246" s="268" t="s">
        <v>2405</v>
      </c>
      <c r="D246" s="337">
        <v>23333.33</v>
      </c>
      <c r="E246" s="337" t="s">
        <v>4520</v>
      </c>
      <c r="F246" s="337" t="s">
        <v>4832</v>
      </c>
      <c r="G246" s="389">
        <v>46097</v>
      </c>
      <c r="H246" s="389">
        <v>46098</v>
      </c>
      <c r="I246" s="337"/>
      <c r="J246" s="337"/>
      <c r="K246" s="337" t="s">
        <v>2678</v>
      </c>
      <c r="L246" s="273">
        <f t="shared" si="20"/>
        <v>50</v>
      </c>
      <c r="M246" s="273">
        <f t="shared" si="21"/>
        <v>0</v>
      </c>
      <c r="N246" s="337" t="s">
        <v>3068</v>
      </c>
      <c r="O246" s="114"/>
    </row>
    <row r="247" spans="1:15" ht="50.1" customHeight="1" x14ac:dyDescent="0.25">
      <c r="A247" s="490">
        <v>57</v>
      </c>
      <c r="B247" s="268" t="s">
        <v>3626</v>
      </c>
      <c r="C247" s="268" t="s">
        <v>2405</v>
      </c>
      <c r="D247" s="337">
        <v>23333.33</v>
      </c>
      <c r="E247" s="337" t="s">
        <v>4521</v>
      </c>
      <c r="F247" s="337" t="s">
        <v>4832</v>
      </c>
      <c r="G247" s="389">
        <v>46097</v>
      </c>
      <c r="H247" s="389">
        <v>46098</v>
      </c>
      <c r="I247" s="337"/>
      <c r="J247" s="337"/>
      <c r="K247" s="337" t="s">
        <v>2678</v>
      </c>
      <c r="L247" s="273">
        <f t="shared" si="20"/>
        <v>50</v>
      </c>
      <c r="M247" s="273">
        <f t="shared" si="21"/>
        <v>0</v>
      </c>
      <c r="N247" s="337" t="s">
        <v>3068</v>
      </c>
      <c r="O247" s="114"/>
    </row>
    <row r="248" spans="1:15" ht="50.1" customHeight="1" x14ac:dyDescent="0.25">
      <c r="A248" s="490">
        <v>58</v>
      </c>
      <c r="B248" s="268" t="s">
        <v>3136</v>
      </c>
      <c r="C248" s="268" t="s">
        <v>2405</v>
      </c>
      <c r="D248" s="337">
        <v>23333.33</v>
      </c>
      <c r="E248" s="337" t="s">
        <v>4522</v>
      </c>
      <c r="F248" s="337" t="s">
        <v>4832</v>
      </c>
      <c r="G248" s="389">
        <v>46097</v>
      </c>
      <c r="H248" s="389">
        <v>46098</v>
      </c>
      <c r="I248" s="337"/>
      <c r="J248" s="337"/>
      <c r="K248" s="337" t="s">
        <v>2678</v>
      </c>
      <c r="L248" s="273">
        <f t="shared" si="20"/>
        <v>50</v>
      </c>
      <c r="M248" s="273">
        <f t="shared" si="21"/>
        <v>0</v>
      </c>
      <c r="N248" s="337" t="s">
        <v>3068</v>
      </c>
      <c r="O248" s="114"/>
    </row>
    <row r="249" spans="1:15" ht="50.1" customHeight="1" x14ac:dyDescent="0.25">
      <c r="A249" s="490">
        <v>59</v>
      </c>
      <c r="B249" s="268" t="s">
        <v>3632</v>
      </c>
      <c r="C249" s="268" t="s">
        <v>4681</v>
      </c>
      <c r="D249" s="337">
        <v>40000</v>
      </c>
      <c r="E249" s="337" t="s">
        <v>4523</v>
      </c>
      <c r="F249" s="337" t="s">
        <v>3026</v>
      </c>
      <c r="G249" s="389">
        <v>46097</v>
      </c>
      <c r="H249" s="389">
        <v>46098</v>
      </c>
      <c r="I249" s="337"/>
      <c r="J249" s="337"/>
      <c r="K249" s="337" t="s">
        <v>2678</v>
      </c>
      <c r="L249" s="273">
        <f t="shared" si="20"/>
        <v>90</v>
      </c>
      <c r="M249" s="273">
        <f t="shared" si="21"/>
        <v>0</v>
      </c>
      <c r="N249" s="337" t="s">
        <v>3068</v>
      </c>
      <c r="O249" s="114"/>
    </row>
    <row r="250" spans="1:15" ht="50.1" customHeight="1" x14ac:dyDescent="0.25">
      <c r="A250" s="490">
        <v>60</v>
      </c>
      <c r="B250" s="268" t="s">
        <v>1683</v>
      </c>
      <c r="C250" s="268" t="s">
        <v>1995</v>
      </c>
      <c r="D250" s="337">
        <v>4300</v>
      </c>
      <c r="E250" s="337" t="s">
        <v>4527</v>
      </c>
      <c r="F250" s="337" t="s">
        <v>2982</v>
      </c>
      <c r="G250" s="389">
        <v>46098</v>
      </c>
      <c r="H250" s="389">
        <v>46099</v>
      </c>
      <c r="I250" s="337"/>
      <c r="J250" s="337"/>
      <c r="K250" s="337" t="s">
        <v>2678</v>
      </c>
      <c r="L250" s="273">
        <f t="shared" si="20"/>
        <v>10</v>
      </c>
      <c r="M250" s="273">
        <f t="shared" si="21"/>
        <v>0</v>
      </c>
      <c r="N250" s="337" t="s">
        <v>3068</v>
      </c>
      <c r="O250" s="114"/>
    </row>
    <row r="251" spans="1:15" ht="50.1" customHeight="1" x14ac:dyDescent="0.25">
      <c r="A251" s="490">
        <v>61</v>
      </c>
      <c r="B251" s="268" t="s">
        <v>1778</v>
      </c>
      <c r="C251" s="268" t="s">
        <v>1995</v>
      </c>
      <c r="D251" s="337">
        <v>4300</v>
      </c>
      <c r="E251" s="337" t="s">
        <v>4530</v>
      </c>
      <c r="F251" s="337" t="s">
        <v>2988</v>
      </c>
      <c r="G251" s="389">
        <v>46098</v>
      </c>
      <c r="H251" s="389">
        <v>46099</v>
      </c>
      <c r="I251" s="337"/>
      <c r="J251" s="337"/>
      <c r="K251" s="337" t="s">
        <v>2678</v>
      </c>
      <c r="L251" s="273">
        <f t="shared" si="20"/>
        <v>10</v>
      </c>
      <c r="M251" s="273">
        <f t="shared" si="21"/>
        <v>0</v>
      </c>
      <c r="N251" s="337" t="s">
        <v>3068</v>
      </c>
      <c r="O251" s="114"/>
    </row>
    <row r="252" spans="1:15" ht="50.1" customHeight="1" x14ac:dyDescent="0.25">
      <c r="A252" s="490">
        <v>62</v>
      </c>
      <c r="B252" s="268" t="s">
        <v>1760</v>
      </c>
      <c r="C252" s="268" t="s">
        <v>1995</v>
      </c>
      <c r="D252" s="337">
        <v>4300</v>
      </c>
      <c r="E252" s="337" t="s">
        <v>4531</v>
      </c>
      <c r="F252" s="337" t="s">
        <v>2988</v>
      </c>
      <c r="G252" s="389">
        <v>46098</v>
      </c>
      <c r="H252" s="389">
        <v>46099</v>
      </c>
      <c r="I252" s="337"/>
      <c r="J252" s="337"/>
      <c r="K252" s="337" t="s">
        <v>2678</v>
      </c>
      <c r="L252" s="273">
        <f t="shared" si="20"/>
        <v>10</v>
      </c>
      <c r="M252" s="273">
        <f t="shared" si="21"/>
        <v>0</v>
      </c>
      <c r="N252" s="337" t="s">
        <v>3068</v>
      </c>
      <c r="O252" s="114"/>
    </row>
    <row r="253" spans="1:15" ht="50.1" customHeight="1" x14ac:dyDescent="0.25">
      <c r="A253" s="490">
        <v>63</v>
      </c>
      <c r="B253" s="268" t="s">
        <v>1766</v>
      </c>
      <c r="C253" s="268" t="s">
        <v>1995</v>
      </c>
      <c r="D253" s="269">
        <v>4300</v>
      </c>
      <c r="E253" s="268" t="s">
        <v>4532</v>
      </c>
      <c r="F253" s="268" t="s">
        <v>2988</v>
      </c>
      <c r="G253" s="278">
        <v>46098</v>
      </c>
      <c r="H253" s="278">
        <v>46099</v>
      </c>
      <c r="I253" s="389"/>
      <c r="J253" s="389"/>
      <c r="K253" s="337" t="s">
        <v>2678</v>
      </c>
      <c r="L253" s="273">
        <f t="shared" si="20"/>
        <v>10</v>
      </c>
      <c r="M253" s="273">
        <f t="shared" si="21"/>
        <v>0</v>
      </c>
      <c r="N253" s="337" t="s">
        <v>3068</v>
      </c>
      <c r="O253" s="114"/>
    </row>
    <row r="254" spans="1:15" ht="50.1" customHeight="1" x14ac:dyDescent="0.25">
      <c r="A254" s="490">
        <v>64</v>
      </c>
      <c r="B254" s="268" t="s">
        <v>1767</v>
      </c>
      <c r="C254" s="268" t="s">
        <v>1995</v>
      </c>
      <c r="D254" s="269">
        <v>4300</v>
      </c>
      <c r="E254" s="268" t="s">
        <v>4533</v>
      </c>
      <c r="F254" s="268" t="s">
        <v>2988</v>
      </c>
      <c r="G254" s="278">
        <v>46098</v>
      </c>
      <c r="H254" s="278">
        <v>46099</v>
      </c>
      <c r="I254" s="389"/>
      <c r="J254" s="389"/>
      <c r="K254" s="337" t="s">
        <v>2678</v>
      </c>
      <c r="L254" s="273">
        <f t="shared" si="20"/>
        <v>10</v>
      </c>
      <c r="M254" s="273">
        <f t="shared" si="21"/>
        <v>0</v>
      </c>
      <c r="N254" s="337" t="s">
        <v>3068</v>
      </c>
      <c r="O254" s="114"/>
    </row>
    <row r="255" spans="1:15" ht="50.1" customHeight="1" x14ac:dyDescent="0.25">
      <c r="A255" s="490">
        <v>65</v>
      </c>
      <c r="B255" s="268" t="s">
        <v>1768</v>
      </c>
      <c r="C255" s="268" t="s">
        <v>1995</v>
      </c>
      <c r="D255" s="269">
        <v>4300</v>
      </c>
      <c r="E255" s="268" t="s">
        <v>4534</v>
      </c>
      <c r="F255" s="268" t="s">
        <v>2988</v>
      </c>
      <c r="G255" s="278">
        <v>46098</v>
      </c>
      <c r="H255" s="278">
        <v>46099</v>
      </c>
      <c r="I255" s="389"/>
      <c r="J255" s="389"/>
      <c r="K255" s="337" t="s">
        <v>2678</v>
      </c>
      <c r="L255" s="273">
        <f t="shared" ref="L255:L276" si="22">ROUNDUP((D255/4999.99)*10,-1)</f>
        <v>10</v>
      </c>
      <c r="M255" s="273">
        <f t="shared" ref="M255:M276" si="23">IF(K255="N",0,L255)</f>
        <v>0</v>
      </c>
      <c r="N255" s="337" t="s">
        <v>3068</v>
      </c>
      <c r="O255" s="114"/>
    </row>
    <row r="256" spans="1:15" ht="50.1" customHeight="1" x14ac:dyDescent="0.25">
      <c r="A256" s="490">
        <v>66</v>
      </c>
      <c r="B256" s="268" t="s">
        <v>1769</v>
      </c>
      <c r="C256" s="268" t="s">
        <v>1995</v>
      </c>
      <c r="D256" s="269">
        <v>4300</v>
      </c>
      <c r="E256" s="268" t="s">
        <v>4535</v>
      </c>
      <c r="F256" s="268" t="s">
        <v>2988</v>
      </c>
      <c r="G256" s="278">
        <v>46098</v>
      </c>
      <c r="H256" s="278">
        <v>46099</v>
      </c>
      <c r="I256" s="389"/>
      <c r="J256" s="389"/>
      <c r="K256" s="337" t="s">
        <v>2678</v>
      </c>
      <c r="L256" s="273">
        <f t="shared" si="22"/>
        <v>10</v>
      </c>
      <c r="M256" s="273">
        <f t="shared" si="23"/>
        <v>0</v>
      </c>
      <c r="N256" s="337" t="s">
        <v>3068</v>
      </c>
      <c r="O256" s="114"/>
    </row>
    <row r="257" spans="1:15" ht="50.1" customHeight="1" x14ac:dyDescent="0.25">
      <c r="A257" s="490">
        <v>67</v>
      </c>
      <c r="B257" s="268" t="s">
        <v>1770</v>
      </c>
      <c r="C257" s="268" t="s">
        <v>1995</v>
      </c>
      <c r="D257" s="269">
        <v>4300</v>
      </c>
      <c r="E257" s="268" t="s">
        <v>4536</v>
      </c>
      <c r="F257" s="268" t="s">
        <v>2988</v>
      </c>
      <c r="G257" s="278">
        <v>46098</v>
      </c>
      <c r="H257" s="278">
        <v>46099</v>
      </c>
      <c r="I257" s="389"/>
      <c r="J257" s="389"/>
      <c r="K257" s="337" t="s">
        <v>2678</v>
      </c>
      <c r="L257" s="273">
        <f t="shared" si="22"/>
        <v>10</v>
      </c>
      <c r="M257" s="273">
        <f t="shared" si="23"/>
        <v>0</v>
      </c>
      <c r="N257" s="337" t="s">
        <v>3068</v>
      </c>
      <c r="O257" s="114"/>
    </row>
    <row r="258" spans="1:15" ht="50.1" customHeight="1" x14ac:dyDescent="0.25">
      <c r="A258" s="490">
        <v>68</v>
      </c>
      <c r="B258" s="268" t="s">
        <v>1771</v>
      </c>
      <c r="C258" s="268" t="s">
        <v>1995</v>
      </c>
      <c r="D258" s="269">
        <v>4300</v>
      </c>
      <c r="E258" s="268" t="s">
        <v>4537</v>
      </c>
      <c r="F258" s="268" t="s">
        <v>2988</v>
      </c>
      <c r="G258" s="278">
        <v>46098</v>
      </c>
      <c r="H258" s="278">
        <v>46099</v>
      </c>
      <c r="I258" s="389"/>
      <c r="J258" s="389"/>
      <c r="K258" s="337" t="s">
        <v>2678</v>
      </c>
      <c r="L258" s="273">
        <f t="shared" si="22"/>
        <v>10</v>
      </c>
      <c r="M258" s="273">
        <f t="shared" si="23"/>
        <v>0</v>
      </c>
      <c r="N258" s="337" t="s">
        <v>3068</v>
      </c>
      <c r="O258" s="114"/>
    </row>
    <row r="259" spans="1:15" ht="50.1" customHeight="1" x14ac:dyDescent="0.25">
      <c r="A259" s="490">
        <v>69</v>
      </c>
      <c r="B259" s="268" t="s">
        <v>1772</v>
      </c>
      <c r="C259" s="268" t="s">
        <v>1995</v>
      </c>
      <c r="D259" s="269">
        <v>4300</v>
      </c>
      <c r="E259" s="268" t="s">
        <v>4538</v>
      </c>
      <c r="F259" s="268" t="s">
        <v>2988</v>
      </c>
      <c r="G259" s="278">
        <v>46098</v>
      </c>
      <c r="H259" s="278">
        <v>46099</v>
      </c>
      <c r="I259" s="389"/>
      <c r="J259" s="389"/>
      <c r="K259" s="337" t="s">
        <v>2678</v>
      </c>
      <c r="L259" s="273">
        <f t="shared" si="22"/>
        <v>10</v>
      </c>
      <c r="M259" s="273">
        <f t="shared" si="23"/>
        <v>0</v>
      </c>
      <c r="N259" s="337" t="s">
        <v>3068</v>
      </c>
      <c r="O259" s="114"/>
    </row>
    <row r="260" spans="1:15" ht="50.1" customHeight="1" x14ac:dyDescent="0.25">
      <c r="A260" s="490">
        <v>70</v>
      </c>
      <c r="B260" s="268" t="s">
        <v>3016</v>
      </c>
      <c r="C260" s="268" t="s">
        <v>4683</v>
      </c>
      <c r="D260" s="269">
        <v>990000</v>
      </c>
      <c r="E260" s="268" t="s">
        <v>4540</v>
      </c>
      <c r="F260" s="268" t="s">
        <v>2264</v>
      </c>
      <c r="G260" s="278">
        <v>46099</v>
      </c>
      <c r="H260" s="278">
        <v>46100</v>
      </c>
      <c r="I260" s="389"/>
      <c r="J260" s="389"/>
      <c r="K260" s="337" t="s">
        <v>2678</v>
      </c>
      <c r="L260" s="273">
        <f t="shared" si="22"/>
        <v>1990</v>
      </c>
      <c r="M260" s="273">
        <f t="shared" si="23"/>
        <v>0</v>
      </c>
      <c r="N260" s="337" t="s">
        <v>3068</v>
      </c>
      <c r="O260" s="114"/>
    </row>
    <row r="261" spans="1:15" ht="50.1" customHeight="1" x14ac:dyDescent="0.25">
      <c r="A261" s="490">
        <v>71</v>
      </c>
      <c r="B261" s="268" t="s">
        <v>4684</v>
      </c>
      <c r="C261" s="268" t="s">
        <v>4685</v>
      </c>
      <c r="D261" s="269">
        <v>141381</v>
      </c>
      <c r="E261" s="268" t="s">
        <v>4541</v>
      </c>
      <c r="F261" s="268" t="s">
        <v>2985</v>
      </c>
      <c r="G261" s="278">
        <v>46099</v>
      </c>
      <c r="H261" s="278">
        <v>46100</v>
      </c>
      <c r="I261" s="389"/>
      <c r="J261" s="389"/>
      <c r="K261" s="337" t="s">
        <v>2678</v>
      </c>
      <c r="L261" s="273">
        <f t="shared" si="22"/>
        <v>290</v>
      </c>
      <c r="M261" s="273">
        <f t="shared" si="23"/>
        <v>0</v>
      </c>
      <c r="N261" s="337" t="s">
        <v>3068</v>
      </c>
      <c r="O261" s="114"/>
    </row>
    <row r="262" spans="1:15" ht="50.1" customHeight="1" x14ac:dyDescent="0.25">
      <c r="A262" s="490">
        <v>72</v>
      </c>
      <c r="B262" s="268" t="s">
        <v>1391</v>
      </c>
      <c r="C262" s="268" t="s">
        <v>4658</v>
      </c>
      <c r="D262" s="269">
        <v>1950</v>
      </c>
      <c r="E262" s="268" t="s">
        <v>4554</v>
      </c>
      <c r="F262" s="268" t="s">
        <v>3064</v>
      </c>
      <c r="G262" s="278">
        <v>46099</v>
      </c>
      <c r="H262" s="278">
        <v>46100</v>
      </c>
      <c r="I262" s="389"/>
      <c r="J262" s="389"/>
      <c r="K262" s="337" t="s">
        <v>2678</v>
      </c>
      <c r="L262" s="273">
        <f t="shared" si="22"/>
        <v>10</v>
      </c>
      <c r="M262" s="273">
        <f t="shared" si="23"/>
        <v>0</v>
      </c>
      <c r="N262" s="337" t="s">
        <v>3068</v>
      </c>
      <c r="O262" s="114"/>
    </row>
    <row r="263" spans="1:15" ht="50.1" customHeight="1" x14ac:dyDescent="0.25">
      <c r="A263" s="490">
        <v>73</v>
      </c>
      <c r="B263" s="268" t="s">
        <v>1724</v>
      </c>
      <c r="C263" s="268" t="s">
        <v>1995</v>
      </c>
      <c r="D263" s="269">
        <v>4300</v>
      </c>
      <c r="E263" s="268" t="s">
        <v>4556</v>
      </c>
      <c r="F263" s="268" t="s">
        <v>2988</v>
      </c>
      <c r="G263" s="278">
        <v>46100</v>
      </c>
      <c r="H263" s="278">
        <v>46101</v>
      </c>
      <c r="I263" s="389"/>
      <c r="J263" s="389"/>
      <c r="K263" s="337" t="s">
        <v>2678</v>
      </c>
      <c r="L263" s="273">
        <f t="shared" si="22"/>
        <v>10</v>
      </c>
      <c r="M263" s="273">
        <f t="shared" si="23"/>
        <v>0</v>
      </c>
      <c r="N263" s="337" t="s">
        <v>3068</v>
      </c>
      <c r="O263" s="114"/>
    </row>
    <row r="264" spans="1:15" ht="50.1" customHeight="1" x14ac:dyDescent="0.25">
      <c r="A264" s="490">
        <v>74</v>
      </c>
      <c r="B264" s="268" t="s">
        <v>1725</v>
      </c>
      <c r="C264" s="268" t="s">
        <v>1995</v>
      </c>
      <c r="D264" s="269">
        <v>4300</v>
      </c>
      <c r="E264" s="268" t="s">
        <v>4557</v>
      </c>
      <c r="F264" s="268" t="s">
        <v>2988</v>
      </c>
      <c r="G264" s="278">
        <v>46100</v>
      </c>
      <c r="H264" s="278">
        <v>46101</v>
      </c>
      <c r="I264" s="389"/>
      <c r="J264" s="389"/>
      <c r="K264" s="337" t="s">
        <v>2678</v>
      </c>
      <c r="L264" s="273">
        <f t="shared" si="22"/>
        <v>10</v>
      </c>
      <c r="M264" s="273">
        <f t="shared" si="23"/>
        <v>0</v>
      </c>
      <c r="N264" s="337" t="s">
        <v>3068</v>
      </c>
      <c r="O264" s="114"/>
    </row>
    <row r="265" spans="1:15" ht="50.1" customHeight="1" x14ac:dyDescent="0.25">
      <c r="A265" s="490">
        <v>75</v>
      </c>
      <c r="B265" s="268" t="s">
        <v>1727</v>
      </c>
      <c r="C265" s="268" t="s">
        <v>1995</v>
      </c>
      <c r="D265" s="269">
        <v>4300</v>
      </c>
      <c r="E265" s="268" t="s">
        <v>4558</v>
      </c>
      <c r="F265" s="268" t="s">
        <v>2988</v>
      </c>
      <c r="G265" s="278">
        <v>46100</v>
      </c>
      <c r="H265" s="278">
        <v>46101</v>
      </c>
      <c r="I265" s="389"/>
      <c r="J265" s="389"/>
      <c r="K265" s="337" t="s">
        <v>2678</v>
      </c>
      <c r="L265" s="273">
        <f t="shared" si="22"/>
        <v>10</v>
      </c>
      <c r="M265" s="273">
        <f t="shared" si="23"/>
        <v>0</v>
      </c>
      <c r="N265" s="337" t="s">
        <v>3068</v>
      </c>
      <c r="O265" s="114"/>
    </row>
    <row r="266" spans="1:15" ht="50.1" customHeight="1" x14ac:dyDescent="0.25">
      <c r="A266" s="490">
        <v>76</v>
      </c>
      <c r="B266" s="268" t="s">
        <v>1728</v>
      </c>
      <c r="C266" s="268" t="s">
        <v>1995</v>
      </c>
      <c r="D266" s="269">
        <v>4300</v>
      </c>
      <c r="E266" s="268" t="s">
        <v>4559</v>
      </c>
      <c r="F266" s="268" t="s">
        <v>2988</v>
      </c>
      <c r="G266" s="278">
        <v>46100</v>
      </c>
      <c r="H266" s="278">
        <v>46101</v>
      </c>
      <c r="I266" s="389"/>
      <c r="J266" s="389"/>
      <c r="K266" s="337" t="s">
        <v>2678</v>
      </c>
      <c r="L266" s="273">
        <f t="shared" si="22"/>
        <v>10</v>
      </c>
      <c r="M266" s="273">
        <f t="shared" si="23"/>
        <v>0</v>
      </c>
      <c r="N266" s="337" t="s">
        <v>3068</v>
      </c>
      <c r="O266" s="114"/>
    </row>
    <row r="267" spans="1:15" ht="50.1" customHeight="1" x14ac:dyDescent="0.25">
      <c r="A267" s="490">
        <v>77</v>
      </c>
      <c r="B267" s="268" t="s">
        <v>1729</v>
      </c>
      <c r="C267" s="268" t="s">
        <v>1995</v>
      </c>
      <c r="D267" s="269">
        <v>4300</v>
      </c>
      <c r="E267" s="268" t="s">
        <v>4560</v>
      </c>
      <c r="F267" s="268" t="s">
        <v>2988</v>
      </c>
      <c r="G267" s="278">
        <v>46100</v>
      </c>
      <c r="H267" s="278">
        <v>46101</v>
      </c>
      <c r="I267" s="389"/>
      <c r="J267" s="389"/>
      <c r="K267" s="337" t="s">
        <v>2678</v>
      </c>
      <c r="L267" s="273">
        <f t="shared" si="22"/>
        <v>10</v>
      </c>
      <c r="M267" s="273">
        <f t="shared" si="23"/>
        <v>0</v>
      </c>
      <c r="N267" s="337" t="s">
        <v>3068</v>
      </c>
      <c r="O267" s="114"/>
    </row>
    <row r="268" spans="1:15" ht="50.1" customHeight="1" x14ac:dyDescent="0.25">
      <c r="A268" s="490">
        <v>78</v>
      </c>
      <c r="B268" s="268" t="s">
        <v>1582</v>
      </c>
      <c r="C268" s="268" t="s">
        <v>1580</v>
      </c>
      <c r="D268" s="269">
        <v>38500</v>
      </c>
      <c r="E268" s="268" t="s">
        <v>4564</v>
      </c>
      <c r="F268" s="268" t="s">
        <v>2989</v>
      </c>
      <c r="G268" s="278">
        <v>46100</v>
      </c>
      <c r="H268" s="278">
        <v>46101</v>
      </c>
      <c r="I268" s="389"/>
      <c r="J268" s="389"/>
      <c r="K268" s="337" t="s">
        <v>2678</v>
      </c>
      <c r="L268" s="273">
        <f t="shared" si="22"/>
        <v>80</v>
      </c>
      <c r="M268" s="273">
        <f t="shared" si="23"/>
        <v>0</v>
      </c>
      <c r="N268" s="337" t="s">
        <v>3068</v>
      </c>
      <c r="O268" s="114"/>
    </row>
    <row r="269" spans="1:15" ht="50.1" customHeight="1" x14ac:dyDescent="0.25">
      <c r="A269" s="490">
        <v>79</v>
      </c>
      <c r="B269" s="268" t="s">
        <v>818</v>
      </c>
      <c r="C269" s="268" t="s">
        <v>4687</v>
      </c>
      <c r="D269" s="269">
        <v>32900</v>
      </c>
      <c r="E269" s="268" t="s">
        <v>4566</v>
      </c>
      <c r="F269" s="268" t="s">
        <v>4101</v>
      </c>
      <c r="G269" s="278">
        <v>46101</v>
      </c>
      <c r="H269" s="278">
        <v>46102</v>
      </c>
      <c r="I269" s="389"/>
      <c r="J269" s="389"/>
      <c r="K269" s="337" t="s">
        <v>2678</v>
      </c>
      <c r="L269" s="273">
        <f t="shared" si="22"/>
        <v>70</v>
      </c>
      <c r="M269" s="273">
        <f t="shared" si="23"/>
        <v>0</v>
      </c>
      <c r="N269" s="337" t="s">
        <v>3068</v>
      </c>
      <c r="O269" s="114"/>
    </row>
    <row r="270" spans="1:15" ht="50.1" customHeight="1" x14ac:dyDescent="0.25">
      <c r="A270" s="490">
        <v>80</v>
      </c>
      <c r="B270" s="268" t="s">
        <v>817</v>
      </c>
      <c r="C270" s="268" t="s">
        <v>4687</v>
      </c>
      <c r="D270" s="269">
        <v>32900</v>
      </c>
      <c r="E270" s="268" t="s">
        <v>4567</v>
      </c>
      <c r="F270" s="268" t="s">
        <v>4101</v>
      </c>
      <c r="G270" s="278">
        <v>46101</v>
      </c>
      <c r="H270" s="278">
        <v>46102</v>
      </c>
      <c r="I270" s="389"/>
      <c r="J270" s="389"/>
      <c r="K270" s="337" t="s">
        <v>2678</v>
      </c>
      <c r="L270" s="273">
        <f t="shared" si="22"/>
        <v>70</v>
      </c>
      <c r="M270" s="273">
        <f t="shared" si="23"/>
        <v>0</v>
      </c>
      <c r="N270" s="337" t="s">
        <v>3068</v>
      </c>
      <c r="O270" s="114"/>
    </row>
    <row r="271" spans="1:15" ht="50.1" customHeight="1" x14ac:dyDescent="0.25">
      <c r="A271" s="490">
        <v>81</v>
      </c>
      <c r="B271" s="268" t="s">
        <v>2177</v>
      </c>
      <c r="C271" s="268" t="s">
        <v>1995</v>
      </c>
      <c r="D271" s="269">
        <v>4300</v>
      </c>
      <c r="E271" s="268" t="s">
        <v>4578</v>
      </c>
      <c r="F271" s="268" t="s">
        <v>3026</v>
      </c>
      <c r="G271" s="278">
        <v>46101</v>
      </c>
      <c r="H271" s="278">
        <v>46102</v>
      </c>
      <c r="I271" s="389"/>
      <c r="J271" s="389"/>
      <c r="K271" s="337" t="s">
        <v>2678</v>
      </c>
      <c r="L271" s="273">
        <f t="shared" si="22"/>
        <v>10</v>
      </c>
      <c r="M271" s="273">
        <f t="shared" si="23"/>
        <v>0</v>
      </c>
      <c r="N271" s="337" t="s">
        <v>3068</v>
      </c>
      <c r="O271" s="337"/>
    </row>
    <row r="272" spans="1:15" ht="50.1" customHeight="1" x14ac:dyDescent="0.25">
      <c r="A272" s="490">
        <v>82</v>
      </c>
      <c r="B272" s="268" t="s">
        <v>303</v>
      </c>
      <c r="C272" s="268" t="s">
        <v>302</v>
      </c>
      <c r="D272" s="269">
        <v>289990</v>
      </c>
      <c r="E272" s="268" t="s">
        <v>4579</v>
      </c>
      <c r="F272" s="268" t="s">
        <v>3031</v>
      </c>
      <c r="G272" s="278">
        <v>46101</v>
      </c>
      <c r="H272" s="278">
        <v>46102</v>
      </c>
      <c r="I272" s="389"/>
      <c r="J272" s="389"/>
      <c r="K272" s="337" t="s">
        <v>2678</v>
      </c>
      <c r="L272" s="273">
        <f t="shared" si="22"/>
        <v>580</v>
      </c>
      <c r="M272" s="273">
        <f t="shared" si="23"/>
        <v>0</v>
      </c>
      <c r="N272" s="337" t="s">
        <v>3068</v>
      </c>
      <c r="O272" s="337"/>
    </row>
    <row r="273" spans="1:15" ht="50.1" customHeight="1" x14ac:dyDescent="0.25">
      <c r="A273" s="490">
        <v>83</v>
      </c>
      <c r="B273" s="268" t="s">
        <v>4694</v>
      </c>
      <c r="C273" s="268" t="s">
        <v>4695</v>
      </c>
      <c r="D273" s="269">
        <v>1011000</v>
      </c>
      <c r="E273" s="268" t="s">
        <v>4585</v>
      </c>
      <c r="F273" s="268" t="s">
        <v>2264</v>
      </c>
      <c r="G273" s="278">
        <v>46104</v>
      </c>
      <c r="H273" s="278">
        <v>46105</v>
      </c>
      <c r="I273" s="337"/>
      <c r="J273" s="389"/>
      <c r="K273" s="337" t="s">
        <v>2678</v>
      </c>
      <c r="L273" s="273">
        <f t="shared" si="22"/>
        <v>2030</v>
      </c>
      <c r="M273" s="273">
        <f t="shared" si="23"/>
        <v>0</v>
      </c>
      <c r="N273" s="337" t="s">
        <v>3068</v>
      </c>
      <c r="O273" s="337"/>
    </row>
    <row r="274" spans="1:15" ht="50.1" customHeight="1" x14ac:dyDescent="0.25">
      <c r="A274" s="490">
        <v>84</v>
      </c>
      <c r="B274" s="268" t="s">
        <v>1399</v>
      </c>
      <c r="C274" s="268" t="s">
        <v>4658</v>
      </c>
      <c r="D274" s="269">
        <v>1950</v>
      </c>
      <c r="E274" s="268" t="s">
        <v>4586</v>
      </c>
      <c r="F274" s="268" t="s">
        <v>3031</v>
      </c>
      <c r="G274" s="278">
        <v>46104</v>
      </c>
      <c r="H274" s="278">
        <v>46105</v>
      </c>
      <c r="I274" s="389"/>
      <c r="J274" s="389"/>
      <c r="K274" s="337" t="s">
        <v>2678</v>
      </c>
      <c r="L274" s="273">
        <f t="shared" si="22"/>
        <v>10</v>
      </c>
      <c r="M274" s="273">
        <f t="shared" si="23"/>
        <v>0</v>
      </c>
      <c r="N274" s="337" t="s">
        <v>3068</v>
      </c>
      <c r="O274" s="337"/>
    </row>
    <row r="275" spans="1:15" ht="50.1" customHeight="1" x14ac:dyDescent="0.25">
      <c r="A275" s="490">
        <v>85</v>
      </c>
      <c r="B275" s="268" t="s">
        <v>3187</v>
      </c>
      <c r="C275" s="268" t="s">
        <v>1471</v>
      </c>
      <c r="D275" s="269">
        <v>105000</v>
      </c>
      <c r="E275" s="268" t="s">
        <v>4590</v>
      </c>
      <c r="F275" s="268" t="s">
        <v>2982</v>
      </c>
      <c r="G275" s="278">
        <v>46104</v>
      </c>
      <c r="H275" s="278">
        <v>46105</v>
      </c>
      <c r="I275" s="389"/>
      <c r="J275" s="389"/>
      <c r="K275" s="337" t="s">
        <v>2678</v>
      </c>
      <c r="L275" s="273">
        <f t="shared" si="22"/>
        <v>220</v>
      </c>
      <c r="M275" s="273">
        <f t="shared" si="23"/>
        <v>0</v>
      </c>
      <c r="N275" s="337" t="s">
        <v>3068</v>
      </c>
      <c r="O275" s="337"/>
    </row>
    <row r="276" spans="1:15" ht="50.1" customHeight="1" x14ac:dyDescent="0.25">
      <c r="A276" s="490">
        <v>86</v>
      </c>
      <c r="B276" s="268" t="s">
        <v>3664</v>
      </c>
      <c r="C276" s="268" t="s">
        <v>1471</v>
      </c>
      <c r="D276" s="269">
        <v>105000</v>
      </c>
      <c r="E276" s="268" t="s">
        <v>4591</v>
      </c>
      <c r="F276" s="268" t="s">
        <v>2982</v>
      </c>
      <c r="G276" s="278">
        <v>46104</v>
      </c>
      <c r="H276" s="278">
        <v>46105</v>
      </c>
      <c r="I276" s="337"/>
      <c r="J276" s="389"/>
      <c r="K276" s="337" t="s">
        <v>2678</v>
      </c>
      <c r="L276" s="273">
        <f t="shared" si="22"/>
        <v>220</v>
      </c>
      <c r="M276" s="273">
        <f t="shared" si="23"/>
        <v>0</v>
      </c>
      <c r="N276" s="337" t="s">
        <v>3068</v>
      </c>
      <c r="O276" s="337"/>
    </row>
    <row r="277" spans="1:15" ht="50.1" customHeight="1" x14ac:dyDescent="0.25">
      <c r="A277" s="490">
        <v>87</v>
      </c>
      <c r="B277" s="268" t="s">
        <v>1289</v>
      </c>
      <c r="C277" s="268" t="s">
        <v>4697</v>
      </c>
      <c r="D277" s="269">
        <v>3800</v>
      </c>
      <c r="E277" s="268" t="s">
        <v>4601</v>
      </c>
      <c r="F277" s="268" t="s">
        <v>4849</v>
      </c>
      <c r="G277" s="278">
        <v>46106</v>
      </c>
      <c r="H277" s="278">
        <v>46107</v>
      </c>
      <c r="I277" s="389"/>
      <c r="J277" s="389"/>
      <c r="K277" s="337" t="s">
        <v>2678</v>
      </c>
      <c r="L277" s="273">
        <f t="shared" ref="L277" si="24">ROUNDUP((D277/4999.99)*10,-1)</f>
        <v>10</v>
      </c>
      <c r="M277" s="273">
        <f t="shared" ref="M277" si="25">IF(K277="N",0,L277)</f>
        <v>0</v>
      </c>
      <c r="N277" s="337" t="s">
        <v>3068</v>
      </c>
      <c r="O277" s="337"/>
    </row>
    <row r="278" spans="1:15" ht="50.1" customHeight="1" x14ac:dyDescent="0.25">
      <c r="A278" s="490">
        <v>88</v>
      </c>
      <c r="B278" s="268" t="s">
        <v>1730</v>
      </c>
      <c r="C278" s="268" t="s">
        <v>1995</v>
      </c>
      <c r="D278" s="269">
        <v>4300</v>
      </c>
      <c r="E278" s="268" t="s">
        <v>4610</v>
      </c>
      <c r="F278" s="268" t="s">
        <v>2988</v>
      </c>
      <c r="G278" s="278">
        <v>46107</v>
      </c>
      <c r="H278" s="278">
        <v>46108</v>
      </c>
      <c r="I278" s="389"/>
      <c r="J278" s="389"/>
      <c r="K278" s="337" t="s">
        <v>2678</v>
      </c>
      <c r="L278" s="273">
        <f t="shared" ref="L278:L305" si="26">ROUNDUP((D278/4999.99)*10,-1)</f>
        <v>10</v>
      </c>
      <c r="M278" s="273">
        <f t="shared" ref="M278:M305" si="27">IF(K278="N",0,L278)</f>
        <v>0</v>
      </c>
      <c r="N278" s="337" t="s">
        <v>3068</v>
      </c>
      <c r="O278" s="337"/>
    </row>
    <row r="279" spans="1:15" ht="50.1" customHeight="1" x14ac:dyDescent="0.25">
      <c r="A279" s="490">
        <v>89</v>
      </c>
      <c r="B279" s="268" t="s">
        <v>1731</v>
      </c>
      <c r="C279" s="268" t="s">
        <v>1995</v>
      </c>
      <c r="D279" s="269">
        <v>4300</v>
      </c>
      <c r="E279" s="268" t="s">
        <v>4611</v>
      </c>
      <c r="F279" s="268" t="s">
        <v>2988</v>
      </c>
      <c r="G279" s="278">
        <v>46107</v>
      </c>
      <c r="H279" s="278">
        <v>46108</v>
      </c>
      <c r="I279" s="389"/>
      <c r="J279" s="389"/>
      <c r="K279" s="337" t="s">
        <v>2678</v>
      </c>
      <c r="L279" s="273">
        <f t="shared" si="26"/>
        <v>10</v>
      </c>
      <c r="M279" s="273">
        <f t="shared" si="27"/>
        <v>0</v>
      </c>
      <c r="N279" s="337" t="s">
        <v>3068</v>
      </c>
      <c r="O279" s="337"/>
    </row>
    <row r="280" spans="1:15" ht="50.1" customHeight="1" x14ac:dyDescent="0.25">
      <c r="A280" s="490">
        <v>90</v>
      </c>
      <c r="B280" s="268" t="s">
        <v>1732</v>
      </c>
      <c r="C280" s="268" t="s">
        <v>1995</v>
      </c>
      <c r="D280" s="269">
        <v>4300</v>
      </c>
      <c r="E280" s="268" t="s">
        <v>4612</v>
      </c>
      <c r="F280" s="268" t="s">
        <v>2988</v>
      </c>
      <c r="G280" s="278">
        <v>46107</v>
      </c>
      <c r="H280" s="278">
        <v>46108</v>
      </c>
      <c r="I280" s="389"/>
      <c r="J280" s="389"/>
      <c r="K280" s="337" t="s">
        <v>2678</v>
      </c>
      <c r="L280" s="273">
        <f t="shared" si="26"/>
        <v>10</v>
      </c>
      <c r="M280" s="273">
        <f t="shared" si="27"/>
        <v>0</v>
      </c>
      <c r="N280" s="337" t="s">
        <v>3068</v>
      </c>
      <c r="O280" s="337"/>
    </row>
    <row r="281" spans="1:15" ht="50.1" customHeight="1" x14ac:dyDescent="0.25">
      <c r="A281" s="490">
        <v>91</v>
      </c>
      <c r="B281" s="268" t="s">
        <v>1733</v>
      </c>
      <c r="C281" s="268" t="s">
        <v>1995</v>
      </c>
      <c r="D281" s="269">
        <v>4300</v>
      </c>
      <c r="E281" s="268" t="s">
        <v>4613</v>
      </c>
      <c r="F281" s="268" t="s">
        <v>2988</v>
      </c>
      <c r="G281" s="278">
        <v>46107</v>
      </c>
      <c r="H281" s="278">
        <v>46108</v>
      </c>
      <c r="I281" s="389"/>
      <c r="J281" s="389"/>
      <c r="K281" s="337" t="s">
        <v>2678</v>
      </c>
      <c r="L281" s="273">
        <f t="shared" si="26"/>
        <v>10</v>
      </c>
      <c r="M281" s="273">
        <f t="shared" si="27"/>
        <v>0</v>
      </c>
      <c r="N281" s="337" t="s">
        <v>3068</v>
      </c>
      <c r="O281" s="337"/>
    </row>
    <row r="282" spans="1:15" ht="50.1" customHeight="1" x14ac:dyDescent="0.25">
      <c r="A282" s="490">
        <v>92</v>
      </c>
      <c r="B282" s="268" t="s">
        <v>1734</v>
      </c>
      <c r="C282" s="268" t="s">
        <v>1995</v>
      </c>
      <c r="D282" s="269">
        <v>4300</v>
      </c>
      <c r="E282" s="268" t="s">
        <v>4614</v>
      </c>
      <c r="F282" s="268" t="s">
        <v>2988</v>
      </c>
      <c r="G282" s="278">
        <v>46107</v>
      </c>
      <c r="H282" s="278">
        <v>46108</v>
      </c>
      <c r="I282" s="389"/>
      <c r="J282" s="389"/>
      <c r="K282" s="337" t="s">
        <v>2678</v>
      </c>
      <c r="L282" s="273">
        <f t="shared" si="26"/>
        <v>10</v>
      </c>
      <c r="M282" s="273">
        <f t="shared" si="27"/>
        <v>0</v>
      </c>
      <c r="N282" s="337" t="s">
        <v>3068</v>
      </c>
      <c r="O282" s="337"/>
    </row>
    <row r="283" spans="1:15" ht="50.1" customHeight="1" x14ac:dyDescent="0.25">
      <c r="A283" s="490">
        <v>93</v>
      </c>
      <c r="B283" s="268" t="s">
        <v>1735</v>
      </c>
      <c r="C283" s="268" t="s">
        <v>1995</v>
      </c>
      <c r="D283" s="269">
        <v>4300</v>
      </c>
      <c r="E283" s="268" t="s">
        <v>4615</v>
      </c>
      <c r="F283" s="268" t="s">
        <v>2988</v>
      </c>
      <c r="G283" s="278">
        <v>46107</v>
      </c>
      <c r="H283" s="278">
        <v>46108</v>
      </c>
      <c r="I283" s="389"/>
      <c r="J283" s="389"/>
      <c r="K283" s="337" t="s">
        <v>2678</v>
      </c>
      <c r="L283" s="273">
        <f t="shared" si="26"/>
        <v>10</v>
      </c>
      <c r="M283" s="273">
        <f t="shared" si="27"/>
        <v>0</v>
      </c>
      <c r="N283" s="337" t="s">
        <v>3068</v>
      </c>
      <c r="O283" s="337"/>
    </row>
    <row r="284" spans="1:15" ht="50.1" customHeight="1" x14ac:dyDescent="0.25">
      <c r="A284" s="490">
        <v>94</v>
      </c>
      <c r="B284" s="268" t="s">
        <v>4700</v>
      </c>
      <c r="C284" s="268" t="s">
        <v>520</v>
      </c>
      <c r="D284" s="269">
        <v>4782</v>
      </c>
      <c r="E284" s="268" t="s">
        <v>4616</v>
      </c>
      <c r="F284" s="268" t="s">
        <v>3226</v>
      </c>
      <c r="G284" s="278">
        <v>46107</v>
      </c>
      <c r="H284" s="278">
        <v>46108</v>
      </c>
      <c r="I284" s="389"/>
      <c r="J284" s="389"/>
      <c r="K284" s="337" t="s">
        <v>2678</v>
      </c>
      <c r="L284" s="273">
        <f t="shared" si="26"/>
        <v>10</v>
      </c>
      <c r="M284" s="273">
        <f t="shared" si="27"/>
        <v>0</v>
      </c>
      <c r="N284" s="337" t="s">
        <v>3068</v>
      </c>
      <c r="O284" s="337"/>
    </row>
    <row r="285" spans="1:15" ht="50.1" customHeight="1" x14ac:dyDescent="0.25">
      <c r="A285" s="490">
        <v>95</v>
      </c>
      <c r="B285" s="268" t="s">
        <v>4701</v>
      </c>
      <c r="C285" s="268" t="s">
        <v>520</v>
      </c>
      <c r="D285" s="269">
        <v>4782</v>
      </c>
      <c r="E285" s="268" t="s">
        <v>4617</v>
      </c>
      <c r="F285" s="268" t="s">
        <v>3226</v>
      </c>
      <c r="G285" s="278">
        <v>46107</v>
      </c>
      <c r="H285" s="278">
        <v>46108</v>
      </c>
      <c r="I285" s="389"/>
      <c r="J285" s="389"/>
      <c r="K285" s="337" t="s">
        <v>2678</v>
      </c>
      <c r="L285" s="273">
        <f t="shared" si="26"/>
        <v>10</v>
      </c>
      <c r="M285" s="273">
        <f t="shared" si="27"/>
        <v>0</v>
      </c>
      <c r="N285" s="337" t="s">
        <v>3068</v>
      </c>
      <c r="O285" s="337"/>
    </row>
    <row r="286" spans="1:15" ht="50.1" customHeight="1" x14ac:dyDescent="0.25">
      <c r="A286" s="490">
        <v>96</v>
      </c>
      <c r="B286" s="268" t="s">
        <v>4702</v>
      </c>
      <c r="C286" s="268" t="s">
        <v>1368</v>
      </c>
      <c r="D286" s="269">
        <v>611</v>
      </c>
      <c r="E286" s="268" t="s">
        <v>4620</v>
      </c>
      <c r="F286" s="268" t="s">
        <v>4101</v>
      </c>
      <c r="G286" s="278">
        <v>46107</v>
      </c>
      <c r="H286" s="278">
        <v>46108</v>
      </c>
      <c r="I286" s="389"/>
      <c r="J286" s="389"/>
      <c r="K286" s="337" t="s">
        <v>2678</v>
      </c>
      <c r="L286" s="273">
        <f t="shared" si="26"/>
        <v>10</v>
      </c>
      <c r="M286" s="273">
        <f t="shared" si="27"/>
        <v>0</v>
      </c>
      <c r="N286" s="337" t="s">
        <v>3068</v>
      </c>
      <c r="O286" s="337"/>
    </row>
    <row r="287" spans="1:15" ht="50.1" customHeight="1" x14ac:dyDescent="0.25">
      <c r="A287" s="490">
        <v>97</v>
      </c>
      <c r="B287" s="268" t="s">
        <v>4703</v>
      </c>
      <c r="C287" s="268" t="s">
        <v>1368</v>
      </c>
      <c r="D287" s="269">
        <v>611</v>
      </c>
      <c r="E287" s="268" t="s">
        <v>4621</v>
      </c>
      <c r="F287" s="268" t="s">
        <v>4101</v>
      </c>
      <c r="G287" s="278">
        <v>46107</v>
      </c>
      <c r="H287" s="278">
        <v>46108</v>
      </c>
      <c r="I287" s="389"/>
      <c r="J287" s="389"/>
      <c r="K287" s="337" t="s">
        <v>2678</v>
      </c>
      <c r="L287" s="273">
        <f t="shared" si="26"/>
        <v>10</v>
      </c>
      <c r="M287" s="273">
        <f t="shared" si="27"/>
        <v>0</v>
      </c>
      <c r="N287" s="337" t="s">
        <v>3068</v>
      </c>
      <c r="O287" s="337"/>
    </row>
    <row r="288" spans="1:15" ht="50.1" customHeight="1" x14ac:dyDescent="0.25">
      <c r="A288" s="490">
        <v>98</v>
      </c>
      <c r="B288" s="268" t="s">
        <v>3785</v>
      </c>
      <c r="C288" s="268" t="s">
        <v>3103</v>
      </c>
      <c r="D288" s="269">
        <v>20500</v>
      </c>
      <c r="E288" s="268" t="s">
        <v>4622</v>
      </c>
      <c r="F288" s="268" t="s">
        <v>3025</v>
      </c>
      <c r="G288" s="278">
        <v>46107</v>
      </c>
      <c r="H288" s="278">
        <v>46108</v>
      </c>
      <c r="I288" s="389"/>
      <c r="J288" s="389"/>
      <c r="K288" s="337" t="s">
        <v>2678</v>
      </c>
      <c r="L288" s="273">
        <f t="shared" si="26"/>
        <v>50</v>
      </c>
      <c r="M288" s="273">
        <f t="shared" si="27"/>
        <v>0</v>
      </c>
      <c r="N288" s="337" t="s">
        <v>3068</v>
      </c>
      <c r="O288" s="337"/>
    </row>
    <row r="289" spans="1:15" ht="50.1" customHeight="1" x14ac:dyDescent="0.25">
      <c r="A289" s="490">
        <v>99</v>
      </c>
      <c r="B289" s="268" t="s">
        <v>3786</v>
      </c>
      <c r="C289" s="268" t="s">
        <v>3103</v>
      </c>
      <c r="D289" s="269">
        <v>20500</v>
      </c>
      <c r="E289" s="268" t="s">
        <v>4623</v>
      </c>
      <c r="F289" s="268" t="s">
        <v>3025</v>
      </c>
      <c r="G289" s="278">
        <v>46107</v>
      </c>
      <c r="H289" s="278">
        <v>46108</v>
      </c>
      <c r="I289" s="389"/>
      <c r="J289" s="389"/>
      <c r="K289" s="337" t="s">
        <v>2678</v>
      </c>
      <c r="L289" s="273">
        <f t="shared" si="26"/>
        <v>50</v>
      </c>
      <c r="M289" s="273">
        <f t="shared" si="27"/>
        <v>0</v>
      </c>
      <c r="N289" s="337" t="s">
        <v>3068</v>
      </c>
      <c r="O289" s="337"/>
    </row>
    <row r="290" spans="1:15" ht="50.1" customHeight="1" x14ac:dyDescent="0.25">
      <c r="A290" s="490">
        <v>100</v>
      </c>
      <c r="B290" s="268" t="s">
        <v>3787</v>
      </c>
      <c r="C290" s="268" t="s">
        <v>3103</v>
      </c>
      <c r="D290" s="269">
        <v>20500</v>
      </c>
      <c r="E290" s="268" t="s">
        <v>4624</v>
      </c>
      <c r="F290" s="268" t="s">
        <v>3025</v>
      </c>
      <c r="G290" s="278">
        <v>46107</v>
      </c>
      <c r="H290" s="278">
        <v>46108</v>
      </c>
      <c r="I290" s="389"/>
      <c r="J290" s="389"/>
      <c r="K290" s="337" t="s">
        <v>2678</v>
      </c>
      <c r="L290" s="273">
        <f t="shared" si="26"/>
        <v>50</v>
      </c>
      <c r="M290" s="273">
        <f t="shared" si="27"/>
        <v>0</v>
      </c>
      <c r="N290" s="337" t="s">
        <v>3068</v>
      </c>
      <c r="O290" s="337"/>
    </row>
    <row r="291" spans="1:15" ht="50.1" customHeight="1" x14ac:dyDescent="0.25">
      <c r="A291" s="490">
        <v>101</v>
      </c>
      <c r="B291" s="268" t="s">
        <v>3788</v>
      </c>
      <c r="C291" s="268" t="s">
        <v>3103</v>
      </c>
      <c r="D291" s="269">
        <v>20500</v>
      </c>
      <c r="E291" s="268" t="s">
        <v>4625</v>
      </c>
      <c r="F291" s="268" t="s">
        <v>3025</v>
      </c>
      <c r="G291" s="278">
        <v>46107</v>
      </c>
      <c r="H291" s="278">
        <v>46108</v>
      </c>
      <c r="I291" s="389"/>
      <c r="J291" s="389"/>
      <c r="K291" s="337" t="s">
        <v>2678</v>
      </c>
      <c r="L291" s="273">
        <f t="shared" si="26"/>
        <v>50</v>
      </c>
      <c r="M291" s="273">
        <f t="shared" si="27"/>
        <v>0</v>
      </c>
      <c r="N291" s="337" t="s">
        <v>3068</v>
      </c>
      <c r="O291" s="337"/>
    </row>
    <row r="292" spans="1:15" ht="50.1" customHeight="1" x14ac:dyDescent="0.25">
      <c r="A292" s="490">
        <v>102</v>
      </c>
      <c r="B292" s="268" t="s">
        <v>3789</v>
      </c>
      <c r="C292" s="268" t="s">
        <v>3103</v>
      </c>
      <c r="D292" s="269">
        <v>20500</v>
      </c>
      <c r="E292" s="268" t="s">
        <v>4626</v>
      </c>
      <c r="F292" s="268" t="s">
        <v>3025</v>
      </c>
      <c r="G292" s="278">
        <v>46107</v>
      </c>
      <c r="H292" s="278">
        <v>46108</v>
      </c>
      <c r="I292" s="389"/>
      <c r="J292" s="389"/>
      <c r="K292" s="337" t="s">
        <v>2678</v>
      </c>
      <c r="L292" s="273">
        <f t="shared" si="26"/>
        <v>50</v>
      </c>
      <c r="M292" s="273">
        <f t="shared" si="27"/>
        <v>0</v>
      </c>
      <c r="N292" s="337" t="s">
        <v>3068</v>
      </c>
      <c r="O292" s="337"/>
    </row>
    <row r="293" spans="1:15" ht="50.1" customHeight="1" x14ac:dyDescent="0.25">
      <c r="A293" s="490">
        <v>103</v>
      </c>
      <c r="B293" s="268" t="s">
        <v>3790</v>
      </c>
      <c r="C293" s="268" t="s">
        <v>3103</v>
      </c>
      <c r="D293" s="269">
        <v>20500</v>
      </c>
      <c r="E293" s="268" t="s">
        <v>4627</v>
      </c>
      <c r="F293" s="268" t="s">
        <v>3025</v>
      </c>
      <c r="G293" s="278">
        <v>46107</v>
      </c>
      <c r="H293" s="278">
        <v>46108</v>
      </c>
      <c r="I293" s="389"/>
      <c r="J293" s="389"/>
      <c r="K293" s="337" t="s">
        <v>2678</v>
      </c>
      <c r="L293" s="273">
        <f t="shared" si="26"/>
        <v>50</v>
      </c>
      <c r="M293" s="273">
        <f t="shared" si="27"/>
        <v>0</v>
      </c>
      <c r="N293" s="337" t="s">
        <v>3068</v>
      </c>
      <c r="O293" s="337"/>
    </row>
    <row r="294" spans="1:15" ht="50.1" customHeight="1" x14ac:dyDescent="0.25">
      <c r="A294" s="490">
        <v>104</v>
      </c>
      <c r="B294" s="268" t="s">
        <v>3791</v>
      </c>
      <c r="C294" s="268" t="s">
        <v>3103</v>
      </c>
      <c r="D294" s="269">
        <v>20500</v>
      </c>
      <c r="E294" s="268" t="s">
        <v>4628</v>
      </c>
      <c r="F294" s="268" t="s">
        <v>3025</v>
      </c>
      <c r="G294" s="278">
        <v>46107</v>
      </c>
      <c r="H294" s="278">
        <v>46108</v>
      </c>
      <c r="I294" s="389"/>
      <c r="J294" s="389"/>
      <c r="K294" s="337" t="s">
        <v>2678</v>
      </c>
      <c r="L294" s="273">
        <f t="shared" si="26"/>
        <v>50</v>
      </c>
      <c r="M294" s="273">
        <f t="shared" si="27"/>
        <v>0</v>
      </c>
      <c r="N294" s="337" t="s">
        <v>3068</v>
      </c>
      <c r="O294" s="337"/>
    </row>
    <row r="295" spans="1:15" ht="50.1" customHeight="1" x14ac:dyDescent="0.25">
      <c r="A295" s="490">
        <v>105</v>
      </c>
      <c r="B295" s="268" t="s">
        <v>3792</v>
      </c>
      <c r="C295" s="268" t="s">
        <v>3103</v>
      </c>
      <c r="D295" s="269">
        <v>20500</v>
      </c>
      <c r="E295" s="268" t="s">
        <v>4629</v>
      </c>
      <c r="F295" s="268" t="s">
        <v>3025</v>
      </c>
      <c r="G295" s="278">
        <v>46107</v>
      </c>
      <c r="H295" s="278">
        <v>46108</v>
      </c>
      <c r="I295" s="389"/>
      <c r="J295" s="389"/>
      <c r="K295" s="337" t="s">
        <v>2678</v>
      </c>
      <c r="L295" s="273">
        <f t="shared" si="26"/>
        <v>50</v>
      </c>
      <c r="M295" s="273">
        <f t="shared" si="27"/>
        <v>0</v>
      </c>
      <c r="N295" s="337" t="s">
        <v>3068</v>
      </c>
      <c r="O295" s="337"/>
    </row>
    <row r="296" spans="1:15" ht="50.1" customHeight="1" x14ac:dyDescent="0.25">
      <c r="A296" s="490">
        <v>106</v>
      </c>
      <c r="B296" s="268" t="s">
        <v>3793</v>
      </c>
      <c r="C296" s="268" t="s">
        <v>3103</v>
      </c>
      <c r="D296" s="269">
        <v>13000</v>
      </c>
      <c r="E296" s="268" t="s">
        <v>4630</v>
      </c>
      <c r="F296" s="268" t="s">
        <v>3027</v>
      </c>
      <c r="G296" s="278">
        <v>46107</v>
      </c>
      <c r="H296" s="278">
        <v>46108</v>
      </c>
      <c r="I296" s="389"/>
      <c r="J296" s="389"/>
      <c r="K296" s="337" t="s">
        <v>2678</v>
      </c>
      <c r="L296" s="273">
        <f t="shared" si="26"/>
        <v>30</v>
      </c>
      <c r="M296" s="273">
        <f t="shared" si="27"/>
        <v>0</v>
      </c>
      <c r="N296" s="337" t="s">
        <v>3068</v>
      </c>
      <c r="O296" s="337"/>
    </row>
    <row r="297" spans="1:15" ht="50.1" customHeight="1" x14ac:dyDescent="0.25">
      <c r="A297" s="490">
        <v>107</v>
      </c>
      <c r="B297" s="268" t="s">
        <v>3794</v>
      </c>
      <c r="C297" s="268" t="s">
        <v>3103</v>
      </c>
      <c r="D297" s="269">
        <v>13000</v>
      </c>
      <c r="E297" s="268" t="s">
        <v>4631</v>
      </c>
      <c r="F297" s="268" t="s">
        <v>3027</v>
      </c>
      <c r="G297" s="278">
        <v>46107</v>
      </c>
      <c r="H297" s="278">
        <v>46108</v>
      </c>
      <c r="I297" s="389"/>
      <c r="J297" s="389"/>
      <c r="K297" s="337" t="s">
        <v>2678</v>
      </c>
      <c r="L297" s="273">
        <f t="shared" si="26"/>
        <v>30</v>
      </c>
      <c r="M297" s="273">
        <f t="shared" si="27"/>
        <v>0</v>
      </c>
      <c r="N297" s="337" t="s">
        <v>3068</v>
      </c>
      <c r="O297" s="337"/>
    </row>
    <row r="298" spans="1:15" ht="50.1" customHeight="1" x14ac:dyDescent="0.25">
      <c r="A298" s="490">
        <v>108</v>
      </c>
      <c r="B298" s="268" t="s">
        <v>3132</v>
      </c>
      <c r="C298" s="268" t="s">
        <v>3103</v>
      </c>
      <c r="D298" s="269">
        <v>13000</v>
      </c>
      <c r="E298" s="268" t="s">
        <v>4632</v>
      </c>
      <c r="F298" s="268" t="s">
        <v>2709</v>
      </c>
      <c r="G298" s="278">
        <v>46107</v>
      </c>
      <c r="H298" s="278">
        <v>46108</v>
      </c>
      <c r="I298" s="389"/>
      <c r="J298" s="389"/>
      <c r="K298" s="337" t="s">
        <v>2678</v>
      </c>
      <c r="L298" s="273">
        <f t="shared" si="26"/>
        <v>30</v>
      </c>
      <c r="M298" s="273">
        <f t="shared" si="27"/>
        <v>0</v>
      </c>
      <c r="N298" s="337" t="s">
        <v>3068</v>
      </c>
      <c r="O298" s="337"/>
    </row>
    <row r="299" spans="1:15" ht="50.1" customHeight="1" x14ac:dyDescent="0.25">
      <c r="A299" s="490">
        <v>109</v>
      </c>
      <c r="B299" s="268" t="s">
        <v>3139</v>
      </c>
      <c r="C299" s="268" t="s">
        <v>3103</v>
      </c>
      <c r="D299" s="269">
        <v>13000</v>
      </c>
      <c r="E299" s="268" t="s">
        <v>4633</v>
      </c>
      <c r="F299" s="268" t="s">
        <v>2709</v>
      </c>
      <c r="G299" s="278">
        <v>46107</v>
      </c>
      <c r="H299" s="278">
        <v>46108</v>
      </c>
      <c r="I299" s="389"/>
      <c r="J299" s="389"/>
      <c r="K299" s="337" t="s">
        <v>2678</v>
      </c>
      <c r="L299" s="273">
        <f t="shared" si="26"/>
        <v>30</v>
      </c>
      <c r="M299" s="273">
        <f t="shared" si="27"/>
        <v>0</v>
      </c>
      <c r="N299" s="337" t="s">
        <v>3068</v>
      </c>
      <c r="O299" s="337"/>
    </row>
    <row r="300" spans="1:15" ht="50.1" customHeight="1" x14ac:dyDescent="0.25">
      <c r="A300" s="490">
        <v>110</v>
      </c>
      <c r="B300" s="268" t="s">
        <v>1287</v>
      </c>
      <c r="C300" s="268" t="s">
        <v>3262</v>
      </c>
      <c r="D300" s="269">
        <v>10000</v>
      </c>
      <c r="E300" s="268" t="s">
        <v>4634</v>
      </c>
      <c r="F300" s="268" t="s">
        <v>2982</v>
      </c>
      <c r="G300" s="278">
        <v>46108</v>
      </c>
      <c r="H300" s="278">
        <v>46109</v>
      </c>
      <c r="I300" s="389"/>
      <c r="J300" s="389"/>
      <c r="K300" s="337" t="s">
        <v>2678</v>
      </c>
      <c r="L300" s="273">
        <f t="shared" si="26"/>
        <v>30</v>
      </c>
      <c r="M300" s="273">
        <f t="shared" si="27"/>
        <v>0</v>
      </c>
      <c r="N300" s="337" t="s">
        <v>3068</v>
      </c>
      <c r="O300" s="337"/>
    </row>
    <row r="301" spans="1:15" ht="50.1" customHeight="1" x14ac:dyDescent="0.25">
      <c r="A301" s="490">
        <v>111</v>
      </c>
      <c r="B301" s="268" t="s">
        <v>1286</v>
      </c>
      <c r="C301" s="268" t="s">
        <v>3262</v>
      </c>
      <c r="D301" s="269">
        <v>10000</v>
      </c>
      <c r="E301" s="268" t="s">
        <v>4635</v>
      </c>
      <c r="F301" s="268" t="s">
        <v>2982</v>
      </c>
      <c r="G301" s="278">
        <v>46108</v>
      </c>
      <c r="H301" s="278">
        <v>46109</v>
      </c>
      <c r="I301" s="389"/>
      <c r="J301" s="389"/>
      <c r="K301" s="337" t="s">
        <v>2678</v>
      </c>
      <c r="L301" s="273">
        <f t="shared" si="26"/>
        <v>30</v>
      </c>
      <c r="M301" s="273">
        <f t="shared" si="27"/>
        <v>0</v>
      </c>
      <c r="N301" s="337" t="s">
        <v>3068</v>
      </c>
      <c r="O301" s="337"/>
    </row>
    <row r="302" spans="1:15" ht="50.1" customHeight="1" x14ac:dyDescent="0.25">
      <c r="A302" s="490">
        <v>112</v>
      </c>
      <c r="B302" s="268" t="s">
        <v>185</v>
      </c>
      <c r="C302" s="268" t="s">
        <v>3105</v>
      </c>
      <c r="D302" s="269">
        <v>82550</v>
      </c>
      <c r="E302" s="268" t="s">
        <v>4636</v>
      </c>
      <c r="F302" s="268" t="s">
        <v>4101</v>
      </c>
      <c r="G302" s="278">
        <v>46108</v>
      </c>
      <c r="H302" s="278">
        <v>46109</v>
      </c>
      <c r="I302" s="389"/>
      <c r="J302" s="389"/>
      <c r="K302" s="337" t="s">
        <v>2678</v>
      </c>
      <c r="L302" s="273">
        <f t="shared" si="26"/>
        <v>170</v>
      </c>
      <c r="M302" s="273">
        <f t="shared" si="27"/>
        <v>0</v>
      </c>
      <c r="N302" s="337" t="s">
        <v>3068</v>
      </c>
      <c r="O302" s="337"/>
    </row>
    <row r="303" spans="1:15" ht="50.1" customHeight="1" x14ac:dyDescent="0.25">
      <c r="A303" s="490">
        <v>113</v>
      </c>
      <c r="B303" s="268" t="s">
        <v>186</v>
      </c>
      <c r="C303" s="268" t="s">
        <v>3105</v>
      </c>
      <c r="D303" s="269">
        <v>82550</v>
      </c>
      <c r="E303" s="268" t="s">
        <v>4637</v>
      </c>
      <c r="F303" s="268" t="s">
        <v>4101</v>
      </c>
      <c r="G303" s="278">
        <v>46108</v>
      </c>
      <c r="H303" s="278">
        <v>46109</v>
      </c>
      <c r="I303" s="389"/>
      <c r="J303" s="389"/>
      <c r="K303" s="337" t="s">
        <v>2678</v>
      </c>
      <c r="L303" s="273">
        <f t="shared" si="26"/>
        <v>170</v>
      </c>
      <c r="M303" s="273">
        <f t="shared" si="27"/>
        <v>0</v>
      </c>
      <c r="N303" s="337" t="s">
        <v>3068</v>
      </c>
      <c r="O303" s="337"/>
    </row>
    <row r="304" spans="1:15" ht="50.1" customHeight="1" x14ac:dyDescent="0.25">
      <c r="A304" s="490">
        <v>114</v>
      </c>
      <c r="B304" s="268" t="s">
        <v>194</v>
      </c>
      <c r="C304" s="268" t="s">
        <v>4685</v>
      </c>
      <c r="D304" s="269">
        <v>61557</v>
      </c>
      <c r="E304" s="268" t="s">
        <v>4640</v>
      </c>
      <c r="F304" s="268" t="s">
        <v>4849</v>
      </c>
      <c r="G304" s="278">
        <v>46108</v>
      </c>
      <c r="H304" s="278">
        <v>46109</v>
      </c>
      <c r="I304" s="389"/>
      <c r="J304" s="389"/>
      <c r="K304" s="337" t="s">
        <v>2678</v>
      </c>
      <c r="L304" s="273">
        <f t="shared" si="26"/>
        <v>130</v>
      </c>
      <c r="M304" s="273">
        <f t="shared" si="27"/>
        <v>0</v>
      </c>
      <c r="N304" s="337" t="s">
        <v>3068</v>
      </c>
      <c r="O304" s="337"/>
    </row>
    <row r="305" spans="1:16" ht="50.1" customHeight="1" x14ac:dyDescent="0.25">
      <c r="A305" s="490">
        <v>115</v>
      </c>
      <c r="B305" s="268" t="s">
        <v>3666</v>
      </c>
      <c r="C305" s="268" t="s">
        <v>1471</v>
      </c>
      <c r="D305" s="269">
        <v>105000</v>
      </c>
      <c r="E305" s="268" t="s">
        <v>4649</v>
      </c>
      <c r="F305" s="268" t="s">
        <v>2982</v>
      </c>
      <c r="G305" s="278">
        <v>46108</v>
      </c>
      <c r="H305" s="278">
        <v>46109</v>
      </c>
      <c r="I305" s="389"/>
      <c r="J305" s="389"/>
      <c r="K305" s="337" t="s">
        <v>2678</v>
      </c>
      <c r="L305" s="273">
        <f t="shared" si="26"/>
        <v>220</v>
      </c>
      <c r="M305" s="273">
        <f t="shared" si="27"/>
        <v>0</v>
      </c>
      <c r="N305" s="337" t="s">
        <v>3068</v>
      </c>
      <c r="O305" s="337"/>
    </row>
    <row r="306" spans="1:16" s="274" customFormat="1" ht="50.1" customHeight="1" x14ac:dyDescent="0.3">
      <c r="A306" s="638" t="s">
        <v>3076</v>
      </c>
      <c r="B306" s="639"/>
      <c r="C306" s="639"/>
      <c r="D306" s="639"/>
      <c r="E306" s="639"/>
      <c r="F306" s="639"/>
      <c r="G306" s="639"/>
      <c r="H306" s="639"/>
      <c r="I306" s="639"/>
      <c r="J306" s="639"/>
      <c r="K306" s="639"/>
      <c r="L306" s="639"/>
      <c r="M306" s="639"/>
      <c r="N306" s="639"/>
      <c r="O306" s="387"/>
      <c r="P306" s="264"/>
    </row>
    <row r="307" spans="1:16" ht="50.1" customHeight="1" x14ac:dyDescent="0.25">
      <c r="A307" s="336">
        <v>16</v>
      </c>
      <c r="B307" s="268" t="s">
        <v>2338</v>
      </c>
      <c r="C307" s="268" t="s">
        <v>2336</v>
      </c>
      <c r="D307" s="269">
        <v>9980</v>
      </c>
      <c r="E307" s="391" t="s">
        <v>3243</v>
      </c>
      <c r="F307" s="268" t="s">
        <v>3244</v>
      </c>
      <c r="G307" s="392">
        <v>46055</v>
      </c>
      <c r="H307" s="392">
        <v>46056</v>
      </c>
      <c r="I307" s="389"/>
      <c r="J307" s="389">
        <v>46111</v>
      </c>
      <c r="K307" s="337" t="s">
        <v>2678</v>
      </c>
      <c r="L307" s="273">
        <f t="shared" ref="L307:L336" si="28">ROUNDUP((D307/4999.99)*10,-1)</f>
        <v>20</v>
      </c>
      <c r="M307" s="273">
        <f t="shared" ref="M307:M336" si="29">IF(K307="N",0,L307)</f>
        <v>0</v>
      </c>
      <c r="N307" s="337" t="s">
        <v>3069</v>
      </c>
      <c r="O307" s="114"/>
    </row>
    <row r="308" spans="1:16" ht="50.1" customHeight="1" x14ac:dyDescent="0.25">
      <c r="A308" s="336">
        <v>17</v>
      </c>
      <c r="B308" s="268" t="s">
        <v>2344</v>
      </c>
      <c r="C308" s="268" t="s">
        <v>2343</v>
      </c>
      <c r="D308" s="269">
        <v>12000</v>
      </c>
      <c r="E308" s="391" t="s">
        <v>3245</v>
      </c>
      <c r="F308" s="268" t="s">
        <v>3226</v>
      </c>
      <c r="G308" s="392">
        <v>46055</v>
      </c>
      <c r="H308" s="392">
        <v>46056</v>
      </c>
      <c r="I308" s="389"/>
      <c r="J308" s="389">
        <v>46083</v>
      </c>
      <c r="K308" s="337" t="s">
        <v>2678</v>
      </c>
      <c r="L308" s="273">
        <f t="shared" si="28"/>
        <v>30</v>
      </c>
      <c r="M308" s="273">
        <f t="shared" si="29"/>
        <v>0</v>
      </c>
      <c r="N308" s="337" t="s">
        <v>3069</v>
      </c>
      <c r="O308" s="114"/>
    </row>
    <row r="309" spans="1:16" ht="50.1" customHeight="1" x14ac:dyDescent="0.25">
      <c r="A309" s="336">
        <v>18</v>
      </c>
      <c r="B309" s="268" t="s">
        <v>2345</v>
      </c>
      <c r="C309" s="268" t="s">
        <v>2343</v>
      </c>
      <c r="D309" s="269">
        <v>12000</v>
      </c>
      <c r="E309" s="391" t="s">
        <v>3246</v>
      </c>
      <c r="F309" s="268" t="s">
        <v>3226</v>
      </c>
      <c r="G309" s="392">
        <v>46055</v>
      </c>
      <c r="H309" s="392">
        <v>46056</v>
      </c>
      <c r="I309" s="389"/>
      <c r="J309" s="389">
        <v>46083</v>
      </c>
      <c r="K309" s="337" t="s">
        <v>2678</v>
      </c>
      <c r="L309" s="273">
        <f t="shared" si="28"/>
        <v>30</v>
      </c>
      <c r="M309" s="273">
        <f t="shared" si="29"/>
        <v>0</v>
      </c>
      <c r="N309" s="337" t="s">
        <v>3069</v>
      </c>
      <c r="O309" s="114"/>
    </row>
    <row r="310" spans="1:16" ht="50.1" customHeight="1" x14ac:dyDescent="0.25">
      <c r="A310" s="336">
        <v>20</v>
      </c>
      <c r="B310" s="268" t="s">
        <v>2350</v>
      </c>
      <c r="C310" s="268" t="s">
        <v>2349</v>
      </c>
      <c r="D310" s="269">
        <v>5500</v>
      </c>
      <c r="E310" s="391" t="s">
        <v>3248</v>
      </c>
      <c r="F310" s="268" t="s">
        <v>3249</v>
      </c>
      <c r="G310" s="392">
        <v>46055</v>
      </c>
      <c r="H310" s="392">
        <v>46056</v>
      </c>
      <c r="I310" s="389"/>
      <c r="J310" s="389">
        <v>46090</v>
      </c>
      <c r="K310" s="337" t="s">
        <v>2678</v>
      </c>
      <c r="L310" s="273">
        <f t="shared" si="28"/>
        <v>20</v>
      </c>
      <c r="M310" s="273">
        <f t="shared" si="29"/>
        <v>0</v>
      </c>
      <c r="N310" s="337" t="s">
        <v>3069</v>
      </c>
      <c r="O310" s="114"/>
    </row>
    <row r="311" spans="1:16" ht="50.1" customHeight="1" x14ac:dyDescent="0.25">
      <c r="A311" s="336">
        <v>68</v>
      </c>
      <c r="B311" s="268" t="s">
        <v>1076</v>
      </c>
      <c r="C311" s="268" t="s">
        <v>3308</v>
      </c>
      <c r="D311" s="269">
        <v>1240</v>
      </c>
      <c r="E311" s="391" t="s">
        <v>3309</v>
      </c>
      <c r="F311" s="268" t="s">
        <v>3022</v>
      </c>
      <c r="G311" s="392">
        <v>46065</v>
      </c>
      <c r="H311" s="392">
        <v>46066</v>
      </c>
      <c r="I311" s="337"/>
      <c r="J311" s="389">
        <v>46090</v>
      </c>
      <c r="K311" s="337" t="s">
        <v>2678</v>
      </c>
      <c r="L311" s="273">
        <f t="shared" si="28"/>
        <v>10</v>
      </c>
      <c r="M311" s="273">
        <f t="shared" si="29"/>
        <v>0</v>
      </c>
      <c r="N311" s="337" t="s">
        <v>3069</v>
      </c>
      <c r="O311" s="337"/>
    </row>
    <row r="312" spans="1:16" ht="50.1" customHeight="1" x14ac:dyDescent="0.25">
      <c r="A312" s="336">
        <v>69</v>
      </c>
      <c r="B312" s="268" t="s">
        <v>1073</v>
      </c>
      <c r="C312" s="268" t="s">
        <v>3308</v>
      </c>
      <c r="D312" s="269">
        <v>1740</v>
      </c>
      <c r="E312" s="391" t="s">
        <v>3310</v>
      </c>
      <c r="F312" s="268" t="s">
        <v>3022</v>
      </c>
      <c r="G312" s="392">
        <v>46065</v>
      </c>
      <c r="H312" s="392">
        <v>46066</v>
      </c>
      <c r="I312" s="389"/>
      <c r="J312" s="389">
        <v>46090</v>
      </c>
      <c r="K312" s="337" t="s">
        <v>2678</v>
      </c>
      <c r="L312" s="273">
        <f t="shared" si="28"/>
        <v>10</v>
      </c>
      <c r="M312" s="273">
        <f t="shared" si="29"/>
        <v>0</v>
      </c>
      <c r="N312" s="337" t="s">
        <v>3069</v>
      </c>
      <c r="O312" s="337"/>
    </row>
    <row r="313" spans="1:16" ht="50.1" customHeight="1" x14ac:dyDescent="0.25">
      <c r="A313" s="336">
        <v>79</v>
      </c>
      <c r="B313" s="268" t="s">
        <v>230</v>
      </c>
      <c r="C313" s="268" t="s">
        <v>3063</v>
      </c>
      <c r="D313" s="269">
        <v>11565</v>
      </c>
      <c r="E313" s="391" t="s">
        <v>3322</v>
      </c>
      <c r="F313" s="268" t="s">
        <v>3025</v>
      </c>
      <c r="G313" s="392">
        <v>46069</v>
      </c>
      <c r="H313" s="392">
        <v>46070</v>
      </c>
      <c r="I313" s="337"/>
      <c r="J313" s="389">
        <v>46083</v>
      </c>
      <c r="K313" s="337" t="s">
        <v>2678</v>
      </c>
      <c r="L313" s="273">
        <f t="shared" si="28"/>
        <v>30</v>
      </c>
      <c r="M313" s="273">
        <f t="shared" si="29"/>
        <v>0</v>
      </c>
      <c r="N313" s="337" t="s">
        <v>4708</v>
      </c>
      <c r="O313" s="337"/>
    </row>
    <row r="314" spans="1:16" ht="50.1" customHeight="1" x14ac:dyDescent="0.25">
      <c r="A314" s="336">
        <v>81</v>
      </c>
      <c r="B314" s="268" t="s">
        <v>559</v>
      </c>
      <c r="C314" s="268" t="s">
        <v>3324</v>
      </c>
      <c r="D314" s="269">
        <v>2024.23</v>
      </c>
      <c r="E314" s="391" t="s">
        <v>3325</v>
      </c>
      <c r="F314" s="268" t="s">
        <v>2707</v>
      </c>
      <c r="G314" s="392">
        <v>46069</v>
      </c>
      <c r="H314" s="392">
        <v>46070</v>
      </c>
      <c r="I314" s="389"/>
      <c r="J314" s="389">
        <v>46090</v>
      </c>
      <c r="K314" s="337" t="s">
        <v>2678</v>
      </c>
      <c r="L314" s="273">
        <f t="shared" si="28"/>
        <v>10</v>
      </c>
      <c r="M314" s="273">
        <f t="shared" si="29"/>
        <v>0</v>
      </c>
      <c r="N314" s="337" t="s">
        <v>3107</v>
      </c>
      <c r="O314" s="337"/>
    </row>
    <row r="315" spans="1:16" ht="50.1" customHeight="1" x14ac:dyDescent="0.25">
      <c r="A315" s="336">
        <v>82</v>
      </c>
      <c r="B315" s="268" t="s">
        <v>163</v>
      </c>
      <c r="C315" s="268" t="s">
        <v>3326</v>
      </c>
      <c r="D315" s="269">
        <v>36915</v>
      </c>
      <c r="E315" s="391" t="s">
        <v>3327</v>
      </c>
      <c r="F315" s="268" t="s">
        <v>2989</v>
      </c>
      <c r="G315" s="392">
        <v>46069</v>
      </c>
      <c r="H315" s="392">
        <v>46070</v>
      </c>
      <c r="I315" s="389"/>
      <c r="J315" s="389">
        <v>46083</v>
      </c>
      <c r="K315" s="337" t="s">
        <v>2678</v>
      </c>
      <c r="L315" s="273">
        <f t="shared" si="28"/>
        <v>80</v>
      </c>
      <c r="M315" s="273">
        <f t="shared" si="29"/>
        <v>0</v>
      </c>
      <c r="N315" s="337" t="s">
        <v>3069</v>
      </c>
      <c r="O315" s="337"/>
    </row>
    <row r="316" spans="1:16" ht="50.1" customHeight="1" x14ac:dyDescent="0.25">
      <c r="A316" s="336">
        <v>99</v>
      </c>
      <c r="B316" s="268" t="s">
        <v>1623</v>
      </c>
      <c r="C316" s="268" t="s">
        <v>1995</v>
      </c>
      <c r="D316" s="269">
        <v>4300</v>
      </c>
      <c r="E316" s="391" t="s">
        <v>3352</v>
      </c>
      <c r="F316" s="268" t="s">
        <v>3026</v>
      </c>
      <c r="G316" s="392">
        <v>46073</v>
      </c>
      <c r="H316" s="392">
        <v>46074</v>
      </c>
      <c r="I316" s="389"/>
      <c r="J316" s="389">
        <v>46097</v>
      </c>
      <c r="K316" s="337" t="s">
        <v>2678</v>
      </c>
      <c r="L316" s="273">
        <f t="shared" si="28"/>
        <v>10</v>
      </c>
      <c r="M316" s="273">
        <f t="shared" si="29"/>
        <v>0</v>
      </c>
      <c r="N316" s="337" t="s">
        <v>3069</v>
      </c>
      <c r="O316" s="337"/>
    </row>
    <row r="317" spans="1:16" ht="50.1" customHeight="1" x14ac:dyDescent="0.25">
      <c r="A317" s="336">
        <v>101</v>
      </c>
      <c r="B317" s="268" t="s">
        <v>226</v>
      </c>
      <c r="C317" s="268" t="s">
        <v>3063</v>
      </c>
      <c r="D317" s="269">
        <v>11565</v>
      </c>
      <c r="E317" s="391" t="s">
        <v>3354</v>
      </c>
      <c r="F317" s="268" t="s">
        <v>3025</v>
      </c>
      <c r="G317" s="392">
        <v>46073</v>
      </c>
      <c r="H317" s="392">
        <v>46074</v>
      </c>
      <c r="I317" s="389"/>
      <c r="J317" s="389">
        <v>46087</v>
      </c>
      <c r="K317" s="337" t="s">
        <v>2678</v>
      </c>
      <c r="L317" s="273">
        <f t="shared" si="28"/>
        <v>30</v>
      </c>
      <c r="M317" s="273">
        <f t="shared" si="29"/>
        <v>0</v>
      </c>
      <c r="N317" s="337" t="s">
        <v>4710</v>
      </c>
      <c r="O317" s="337"/>
    </row>
    <row r="318" spans="1:16" ht="50.1" customHeight="1" x14ac:dyDescent="0.25">
      <c r="A318" s="336">
        <v>103</v>
      </c>
      <c r="B318" s="268" t="s">
        <v>229</v>
      </c>
      <c r="C318" s="268" t="s">
        <v>3063</v>
      </c>
      <c r="D318" s="269">
        <v>11565</v>
      </c>
      <c r="E318" s="391" t="s">
        <v>3357</v>
      </c>
      <c r="F318" s="268" t="s">
        <v>3025</v>
      </c>
      <c r="G318" s="392">
        <v>46073</v>
      </c>
      <c r="H318" s="392">
        <v>46074</v>
      </c>
      <c r="I318" s="389"/>
      <c r="J318" s="389">
        <v>46087</v>
      </c>
      <c r="K318" s="337" t="s">
        <v>2678</v>
      </c>
      <c r="L318" s="273">
        <f t="shared" si="28"/>
        <v>30</v>
      </c>
      <c r="M318" s="273">
        <f t="shared" si="29"/>
        <v>0</v>
      </c>
      <c r="N318" s="337" t="s">
        <v>4710</v>
      </c>
      <c r="O318" s="337"/>
    </row>
    <row r="319" spans="1:16" ht="50.1" customHeight="1" x14ac:dyDescent="0.25">
      <c r="A319" s="336">
        <v>105</v>
      </c>
      <c r="B319" s="268" t="s">
        <v>1547</v>
      </c>
      <c r="C319" s="268" t="s">
        <v>1570</v>
      </c>
      <c r="D319" s="269">
        <v>14250</v>
      </c>
      <c r="E319" s="391" t="s">
        <v>3359</v>
      </c>
      <c r="F319" s="268" t="s">
        <v>2707</v>
      </c>
      <c r="G319" s="392">
        <v>46076</v>
      </c>
      <c r="H319" s="392">
        <v>46077</v>
      </c>
      <c r="I319" s="389"/>
      <c r="J319" s="389">
        <v>46111</v>
      </c>
      <c r="K319" s="337" t="s">
        <v>2678</v>
      </c>
      <c r="L319" s="273">
        <f t="shared" si="28"/>
        <v>30</v>
      </c>
      <c r="M319" s="273">
        <f t="shared" si="29"/>
        <v>0</v>
      </c>
      <c r="N319" s="337" t="s">
        <v>3069</v>
      </c>
      <c r="O319" s="337"/>
    </row>
    <row r="320" spans="1:16" ht="50.1" customHeight="1" x14ac:dyDescent="0.25">
      <c r="A320" s="336">
        <v>109</v>
      </c>
      <c r="B320" s="268" t="s">
        <v>685</v>
      </c>
      <c r="C320" s="268" t="s">
        <v>3364</v>
      </c>
      <c r="D320" s="269">
        <v>1940</v>
      </c>
      <c r="E320" s="391" t="s">
        <v>3365</v>
      </c>
      <c r="F320" s="268" t="s">
        <v>3022</v>
      </c>
      <c r="G320" s="392">
        <v>46077</v>
      </c>
      <c r="H320" s="392">
        <v>46078</v>
      </c>
      <c r="I320" s="389"/>
      <c r="J320" s="389">
        <v>46093</v>
      </c>
      <c r="K320" s="337" t="s">
        <v>2678</v>
      </c>
      <c r="L320" s="273">
        <f t="shared" si="28"/>
        <v>10</v>
      </c>
      <c r="M320" s="273">
        <f t="shared" si="29"/>
        <v>0</v>
      </c>
      <c r="N320" s="337" t="s">
        <v>3069</v>
      </c>
      <c r="O320" s="337"/>
    </row>
    <row r="321" spans="1:16" ht="50.1" customHeight="1" x14ac:dyDescent="0.25">
      <c r="A321" s="336">
        <v>111</v>
      </c>
      <c r="B321" s="268" t="s">
        <v>460</v>
      </c>
      <c r="C321" s="268" t="s">
        <v>3101</v>
      </c>
      <c r="D321" s="269">
        <v>28000</v>
      </c>
      <c r="E321" s="391" t="s">
        <v>3368</v>
      </c>
      <c r="F321" s="268" t="s">
        <v>3031</v>
      </c>
      <c r="G321" s="392">
        <v>46078</v>
      </c>
      <c r="H321" s="392">
        <v>46079</v>
      </c>
      <c r="I321" s="389"/>
      <c r="J321" s="389">
        <v>46099</v>
      </c>
      <c r="K321" s="337" t="s">
        <v>2678</v>
      </c>
      <c r="L321" s="273">
        <f t="shared" si="28"/>
        <v>60</v>
      </c>
      <c r="M321" s="273">
        <f t="shared" si="29"/>
        <v>0</v>
      </c>
      <c r="N321" s="337" t="s">
        <v>3069</v>
      </c>
      <c r="O321" s="337"/>
    </row>
    <row r="322" spans="1:16" ht="50.1" customHeight="1" x14ac:dyDescent="0.25">
      <c r="A322" s="336">
        <v>128</v>
      </c>
      <c r="B322" s="268" t="s">
        <v>3385</v>
      </c>
      <c r="C322" s="268" t="s">
        <v>302</v>
      </c>
      <c r="D322" s="269">
        <v>49990</v>
      </c>
      <c r="E322" s="391" t="s">
        <v>3386</v>
      </c>
      <c r="F322" s="268" t="s">
        <v>3226</v>
      </c>
      <c r="G322" s="392">
        <v>46078</v>
      </c>
      <c r="H322" s="392">
        <v>46079</v>
      </c>
      <c r="I322" s="389"/>
      <c r="J322" s="390">
        <v>46084</v>
      </c>
      <c r="K322" s="337" t="s">
        <v>2678</v>
      </c>
      <c r="L322" s="273">
        <f t="shared" si="28"/>
        <v>100</v>
      </c>
      <c r="M322" s="273">
        <f t="shared" si="29"/>
        <v>0</v>
      </c>
      <c r="N322" s="337" t="s">
        <v>3069</v>
      </c>
      <c r="O322" s="337"/>
    </row>
    <row r="323" spans="1:16" ht="50.1" customHeight="1" x14ac:dyDescent="0.25">
      <c r="A323" s="336">
        <v>130</v>
      </c>
      <c r="B323" s="268" t="s">
        <v>1472</v>
      </c>
      <c r="C323" s="268" t="s">
        <v>1471</v>
      </c>
      <c r="D323" s="269">
        <v>44999</v>
      </c>
      <c r="E323" s="391" t="s">
        <v>3388</v>
      </c>
      <c r="F323" s="268" t="s">
        <v>2707</v>
      </c>
      <c r="G323" s="392">
        <v>46079</v>
      </c>
      <c r="H323" s="392">
        <v>46080</v>
      </c>
      <c r="I323" s="389"/>
      <c r="J323" s="390">
        <v>46107</v>
      </c>
      <c r="K323" s="337" t="s">
        <v>2678</v>
      </c>
      <c r="L323" s="273">
        <f t="shared" si="28"/>
        <v>90</v>
      </c>
      <c r="M323" s="273">
        <f t="shared" si="29"/>
        <v>0</v>
      </c>
      <c r="N323" s="337" t="s">
        <v>3069</v>
      </c>
      <c r="O323" s="337"/>
    </row>
    <row r="324" spans="1:16" ht="50.1" customHeight="1" x14ac:dyDescent="0.25">
      <c r="A324" s="336">
        <v>131</v>
      </c>
      <c r="B324" s="268" t="s">
        <v>468</v>
      </c>
      <c r="C324" s="268" t="s">
        <v>2399</v>
      </c>
      <c r="D324" s="269">
        <v>12000</v>
      </c>
      <c r="E324" s="391" t="s">
        <v>3389</v>
      </c>
      <c r="F324" s="268" t="s">
        <v>2707</v>
      </c>
      <c r="G324" s="392">
        <v>46079</v>
      </c>
      <c r="H324" s="392">
        <v>46080</v>
      </c>
      <c r="I324" s="389"/>
      <c r="J324" s="389">
        <v>46112</v>
      </c>
      <c r="K324" s="337" t="s">
        <v>2678</v>
      </c>
      <c r="L324" s="273">
        <f t="shared" si="28"/>
        <v>30</v>
      </c>
      <c r="M324" s="273">
        <f t="shared" si="29"/>
        <v>0</v>
      </c>
      <c r="N324" s="337" t="s">
        <v>3069</v>
      </c>
      <c r="O324" s="337"/>
    </row>
    <row r="325" spans="1:16" ht="50.1" customHeight="1" x14ac:dyDescent="0.25">
      <c r="A325" s="336">
        <v>132</v>
      </c>
      <c r="B325" s="268" t="s">
        <v>2248</v>
      </c>
      <c r="C325" s="268" t="s">
        <v>3390</v>
      </c>
      <c r="D325" s="269">
        <v>10200</v>
      </c>
      <c r="E325" s="391" t="s">
        <v>3391</v>
      </c>
      <c r="F325" s="268" t="s">
        <v>3244</v>
      </c>
      <c r="G325" s="392">
        <v>46079</v>
      </c>
      <c r="H325" s="392">
        <v>46080</v>
      </c>
      <c r="I325" s="389"/>
      <c r="J325" s="389">
        <v>46086</v>
      </c>
      <c r="K325" s="337" t="s">
        <v>2678</v>
      </c>
      <c r="L325" s="273">
        <f t="shared" si="28"/>
        <v>30</v>
      </c>
      <c r="M325" s="273">
        <f t="shared" si="29"/>
        <v>0</v>
      </c>
      <c r="N325" s="337" t="s">
        <v>4710</v>
      </c>
      <c r="O325" s="337"/>
    </row>
    <row r="326" spans="1:16" ht="50.1" customHeight="1" x14ac:dyDescent="0.25">
      <c r="A326" s="336">
        <v>134</v>
      </c>
      <c r="B326" s="268" t="s">
        <v>1643</v>
      </c>
      <c r="C326" s="268" t="s">
        <v>1995</v>
      </c>
      <c r="D326" s="269">
        <v>4300</v>
      </c>
      <c r="E326" s="391" t="s">
        <v>3393</v>
      </c>
      <c r="F326" s="268" t="s">
        <v>3026</v>
      </c>
      <c r="G326" s="392">
        <v>46080</v>
      </c>
      <c r="H326" s="392">
        <v>46081</v>
      </c>
      <c r="I326" s="389"/>
      <c r="J326" s="389">
        <v>46094</v>
      </c>
      <c r="K326" s="337" t="s">
        <v>2678</v>
      </c>
      <c r="L326" s="273">
        <f t="shared" si="28"/>
        <v>10</v>
      </c>
      <c r="M326" s="273">
        <f t="shared" si="29"/>
        <v>0</v>
      </c>
      <c r="N326" s="337" t="s">
        <v>3069</v>
      </c>
      <c r="O326" s="337"/>
    </row>
    <row r="327" spans="1:16" ht="50.1" customHeight="1" x14ac:dyDescent="0.25">
      <c r="A327" s="336">
        <v>136</v>
      </c>
      <c r="B327" s="268" t="s">
        <v>232</v>
      </c>
      <c r="C327" s="268" t="s">
        <v>3103</v>
      </c>
      <c r="D327" s="269">
        <v>10200</v>
      </c>
      <c r="E327" s="391" t="s">
        <v>3395</v>
      </c>
      <c r="F327" s="268" t="s">
        <v>3244</v>
      </c>
      <c r="G327" s="392">
        <v>46080</v>
      </c>
      <c r="H327" s="392">
        <v>46081</v>
      </c>
      <c r="I327" s="389"/>
      <c r="J327" s="389">
        <v>46087</v>
      </c>
      <c r="K327" s="337" t="s">
        <v>2678</v>
      </c>
      <c r="L327" s="273">
        <f t="shared" si="28"/>
        <v>30</v>
      </c>
      <c r="M327" s="273">
        <f t="shared" si="29"/>
        <v>0</v>
      </c>
      <c r="N327" s="337" t="s">
        <v>4710</v>
      </c>
      <c r="O327" s="337"/>
    </row>
    <row r="328" spans="1:16" s="274" customFormat="1" ht="50.1" customHeight="1" x14ac:dyDescent="0.3">
      <c r="A328" s="266">
        <v>15</v>
      </c>
      <c r="B328" s="267" t="s">
        <v>2872</v>
      </c>
      <c r="C328" s="268" t="str">
        <f>VLOOKUP(B:B,'[3]SCHEDULE PPM 2026'!$D:$E,2, FALSE)</f>
        <v>OXYGEN CONCENTRATOR</v>
      </c>
      <c r="D328" s="269">
        <f>VLOOKUP(B:B,'[2]BEMS EQUIPMENT '!$E:$Q,13,FALSE)</f>
        <v>4199</v>
      </c>
      <c r="E328" s="267" t="s">
        <v>2817</v>
      </c>
      <c r="F328" s="268" t="str">
        <f>VLOOKUP(B:B,'[3]SCHEDULE PPM 2026'!$D:$O,12,FALSE)</f>
        <v>Jabatan Kecemasan &amp; Trauma (ED)</v>
      </c>
      <c r="G328" s="270">
        <f>VLOOKUP(B:B,'[3]SCHEDULE PPM 2026'!$D:$J,7,FALSE)</f>
        <v>46028</v>
      </c>
      <c r="H328" s="271">
        <v>46029</v>
      </c>
      <c r="I328" s="272"/>
      <c r="J328" s="272">
        <v>46087</v>
      </c>
      <c r="K328" s="490" t="s">
        <v>2678</v>
      </c>
      <c r="L328" s="273">
        <f t="shared" si="28"/>
        <v>10</v>
      </c>
      <c r="M328" s="273">
        <f t="shared" si="29"/>
        <v>0</v>
      </c>
      <c r="N328" s="337" t="s">
        <v>3069</v>
      </c>
      <c r="O328" s="266"/>
      <c r="P328" s="264"/>
    </row>
    <row r="329" spans="1:16" s="274" customFormat="1" ht="50.1" customHeight="1" x14ac:dyDescent="0.3">
      <c r="A329" s="266">
        <v>17</v>
      </c>
      <c r="B329" s="267" t="s">
        <v>2874</v>
      </c>
      <c r="C329" s="268" t="str">
        <f>VLOOKUP(B:B,'[3]SCHEDULE PPM 2026'!$D:$E,2, FALSE)</f>
        <v>OXYGEN CONCENTRATOR</v>
      </c>
      <c r="D329" s="269">
        <f>VLOOKUP(B:B,'[2]BEMS EQUIPMENT '!$E:$Q,13,FALSE)</f>
        <v>4199</v>
      </c>
      <c r="E329" s="267" t="s">
        <v>2818</v>
      </c>
      <c r="F329" s="268" t="str">
        <f>VLOOKUP(B:B,'[3]SCHEDULE PPM 2026'!$D:$O,12,FALSE)</f>
        <v>Jabatan Kecemasan &amp; Trauma (ED)</v>
      </c>
      <c r="G329" s="270">
        <f>VLOOKUP(B:B,'[3]SCHEDULE PPM 2026'!$D:$J,7,FALSE)</f>
        <v>46028</v>
      </c>
      <c r="H329" s="271">
        <v>46029</v>
      </c>
      <c r="I329" s="272"/>
      <c r="J329" s="272">
        <v>46087</v>
      </c>
      <c r="K329" s="490" t="s">
        <v>2678</v>
      </c>
      <c r="L329" s="273">
        <f t="shared" si="28"/>
        <v>10</v>
      </c>
      <c r="M329" s="273">
        <f t="shared" si="29"/>
        <v>0</v>
      </c>
      <c r="N329" s="337" t="s">
        <v>3069</v>
      </c>
      <c r="O329" s="266"/>
      <c r="P329" s="264"/>
    </row>
    <row r="330" spans="1:16" s="274" customFormat="1" ht="50.1" customHeight="1" x14ac:dyDescent="0.3">
      <c r="A330" s="266">
        <v>43</v>
      </c>
      <c r="B330" s="267" t="s">
        <v>2887</v>
      </c>
      <c r="C330" s="268" t="str">
        <f>VLOOKUP(B:B,'[4]SCHEDULE PPM 2026'!$D:$E,2, FALSE)</f>
        <v>INFANT VENTILATOR</v>
      </c>
      <c r="D330" s="269">
        <f>VLOOKUP(B:B,'[2]BEMS EQUIPMENT '!$E:$Q,13,FALSE)</f>
        <v>26000</v>
      </c>
      <c r="E330" s="267" t="s">
        <v>2826</v>
      </c>
      <c r="F330" s="268" t="str">
        <f>VLOOKUP(B:B,'[3]SCHEDULE PPM 2026'!$D:$O,12,FALSE)</f>
        <v>WAD 12 (Paediatric Ward)</v>
      </c>
      <c r="G330" s="270">
        <f>VLOOKUP(B:B,'[3]SCHEDULE PPM 2026'!$D:$J,7,FALSE)</f>
        <v>46035</v>
      </c>
      <c r="H330" s="271">
        <v>46036</v>
      </c>
      <c r="I330" s="272"/>
      <c r="J330" s="272">
        <v>46108</v>
      </c>
      <c r="K330" s="490" t="s">
        <v>2678</v>
      </c>
      <c r="L330" s="273">
        <f t="shared" si="28"/>
        <v>60</v>
      </c>
      <c r="M330" s="273">
        <f t="shared" si="29"/>
        <v>0</v>
      </c>
      <c r="N330" s="337" t="s">
        <v>3069</v>
      </c>
      <c r="O330" s="266"/>
      <c r="P330" s="264"/>
    </row>
    <row r="331" spans="1:16" s="274" customFormat="1" ht="50.1" customHeight="1" x14ac:dyDescent="0.3">
      <c r="A331" s="266">
        <v>55</v>
      </c>
      <c r="B331" s="267" t="s">
        <v>2893</v>
      </c>
      <c r="C331" s="268" t="str">
        <f>VLOOKUP(B:B,'[4]SCHEDULE PPM 2026'!$D:$E,2, FALSE)</f>
        <v>FETAL HEART MONITOR</v>
      </c>
      <c r="D331" s="269">
        <f>VLOOKUP(B:B,'[2]BEMS EQUIPMENT '!$E:$Q,13,FALSE)</f>
        <v>950</v>
      </c>
      <c r="E331" s="267" t="s">
        <v>2833</v>
      </c>
      <c r="F331" s="268" t="str">
        <f>VLOOKUP(B:B,'[3]SCHEDULE PPM 2026'!$D:$O,12,FALSE)</f>
        <v>Klinik Obstetrik Ginekologi (O&amp;G CLINIC)</v>
      </c>
      <c r="G331" s="270">
        <f>VLOOKUP(B:B,'[3]SCHEDULE PPM 2026'!$D:$J,7,FALSE)</f>
        <v>46036</v>
      </c>
      <c r="H331" s="271">
        <v>46037</v>
      </c>
      <c r="I331" s="272"/>
      <c r="J331" s="272">
        <v>46099</v>
      </c>
      <c r="K331" s="490" t="s">
        <v>2678</v>
      </c>
      <c r="L331" s="273">
        <f t="shared" si="28"/>
        <v>10</v>
      </c>
      <c r="M331" s="273">
        <f t="shared" si="29"/>
        <v>0</v>
      </c>
      <c r="N331" s="337" t="s">
        <v>3107</v>
      </c>
      <c r="O331" s="266"/>
      <c r="P331" s="264"/>
    </row>
    <row r="332" spans="1:16" s="274" customFormat="1" ht="50.1" customHeight="1" x14ac:dyDescent="0.3">
      <c r="A332" s="266">
        <v>56</v>
      </c>
      <c r="B332" s="267" t="s">
        <v>2894</v>
      </c>
      <c r="C332" s="268" t="str">
        <f>VLOOKUP(B:B,'[4]SCHEDULE PPM 2026'!$D:$E,2, FALSE)</f>
        <v>FETAL HEART MONITOR</v>
      </c>
      <c r="D332" s="269">
        <f>VLOOKUP(B:B,'[2]BEMS EQUIPMENT '!$E:$Q,13,FALSE)</f>
        <v>950</v>
      </c>
      <c r="E332" s="267" t="s">
        <v>2834</v>
      </c>
      <c r="F332" s="268" t="str">
        <f>VLOOKUP(B:B,'[3]SCHEDULE PPM 2026'!$D:$O,12,FALSE)</f>
        <v>Klinik Obstetrik Ginekologi (O&amp;G CLINIC)</v>
      </c>
      <c r="G332" s="270">
        <f>VLOOKUP(B:B,'[3]SCHEDULE PPM 2026'!$D:$J,7,FALSE)</f>
        <v>46036</v>
      </c>
      <c r="H332" s="271">
        <v>46037</v>
      </c>
      <c r="I332" s="272"/>
      <c r="J332" s="272">
        <v>46099</v>
      </c>
      <c r="K332" s="490" t="s">
        <v>2678</v>
      </c>
      <c r="L332" s="275">
        <f t="shared" si="28"/>
        <v>10</v>
      </c>
      <c r="M332" s="273">
        <f t="shared" si="29"/>
        <v>0</v>
      </c>
      <c r="N332" s="337" t="s">
        <v>3107</v>
      </c>
      <c r="O332" s="266"/>
      <c r="P332" s="264"/>
    </row>
    <row r="333" spans="1:16" s="274" customFormat="1" ht="50.1" customHeight="1" x14ac:dyDescent="0.3">
      <c r="A333" s="266">
        <v>79</v>
      </c>
      <c r="B333" s="267" t="s">
        <v>1617</v>
      </c>
      <c r="C333" s="268" t="str">
        <f>VLOOKUP(B:B,'[3]SCHEDULE PPM 2026'!$D$6:$E$2196,2, FALSE)</f>
        <v>SYRINGE INFUSION PUMP</v>
      </c>
      <c r="D333" s="269">
        <f>VLOOKUP(B:B,'[2]BEMS EQUIPMENT '!$E:$Q,13,FALSE)</f>
        <v>4300</v>
      </c>
      <c r="E333" s="267" t="s">
        <v>2846</v>
      </c>
      <c r="F333" s="268" t="str">
        <f>VLOOKUP(B:B,'[3]SCHEDULE PPM 2026'!$D:$O,12,FALSE)</f>
        <v>Jabatan Kecemasan &amp; Trauma (ED)</v>
      </c>
      <c r="G333" s="270">
        <f>VLOOKUP(B:B,'[3]SCHEDULE PPM 2026'!$D:$J,7,FALSE)</f>
        <v>46041</v>
      </c>
      <c r="H333" s="271">
        <v>46042</v>
      </c>
      <c r="I333" s="272"/>
      <c r="J333" s="272">
        <v>46083</v>
      </c>
      <c r="K333" s="490" t="s">
        <v>2678</v>
      </c>
      <c r="L333" s="275">
        <f t="shared" si="28"/>
        <v>10</v>
      </c>
      <c r="M333" s="273">
        <f t="shared" si="29"/>
        <v>0</v>
      </c>
      <c r="N333" s="337" t="s">
        <v>3069</v>
      </c>
      <c r="O333" s="266"/>
      <c r="P333" s="264"/>
    </row>
    <row r="334" spans="1:16" s="274" customFormat="1" ht="50.1" customHeight="1" x14ac:dyDescent="0.3">
      <c r="A334" s="266">
        <v>93</v>
      </c>
      <c r="B334" s="267" t="s">
        <v>944</v>
      </c>
      <c r="C334" s="268" t="str">
        <f>VLOOKUP(B:B,'[3]SCHEDULE PPM 2026'!$D$6:$E$2196,2, FALSE)</f>
        <v>PORTABLE FETAL DOPPLER/CAPNOGRAPH</v>
      </c>
      <c r="D334" s="269">
        <f>VLOOKUP(B:B,'[2]BEMS EQUIPMENT '!$E:$Q,13,FALSE)</f>
        <v>580</v>
      </c>
      <c r="E334" s="267" t="s">
        <v>2851</v>
      </c>
      <c r="F334" s="268" t="str">
        <f>VLOOKUP(B:B,'[3]SCHEDULE PPM 2026'!$D:$O,12,FALSE)</f>
        <v>Klinik Obstetrik Ginekologi (O&amp;G CLINIC)</v>
      </c>
      <c r="G334" s="270">
        <f>VLOOKUP(B:B,'[3]SCHEDULE PPM 2026'!$D:$J,7,FALSE)</f>
        <v>46044</v>
      </c>
      <c r="H334" s="271">
        <v>46045</v>
      </c>
      <c r="I334" s="272"/>
      <c r="J334" s="272">
        <v>46106</v>
      </c>
      <c r="K334" s="490" t="s">
        <v>2678</v>
      </c>
      <c r="L334" s="275">
        <f t="shared" si="28"/>
        <v>10</v>
      </c>
      <c r="M334" s="273">
        <f t="shared" si="29"/>
        <v>0</v>
      </c>
      <c r="N334" s="337" t="s">
        <v>3107</v>
      </c>
      <c r="O334" s="266"/>
      <c r="P334" s="264"/>
    </row>
    <row r="335" spans="1:16" s="274" customFormat="1" ht="50.1" customHeight="1" x14ac:dyDescent="0.3">
      <c r="A335" s="266">
        <v>111</v>
      </c>
      <c r="B335" s="267" t="s">
        <v>946</v>
      </c>
      <c r="C335" s="268" t="str">
        <f>VLOOKUP(B:B,'[3]SCHEDULE PPM 2026'!$D$6:$E$2196,2, FALSE)</f>
        <v>PORTABLE FETAL DOPPLER/CAPNOGRAPH</v>
      </c>
      <c r="D335" s="496">
        <v>0</v>
      </c>
      <c r="E335" s="267" t="s">
        <v>2861</v>
      </c>
      <c r="F335" s="268" t="str">
        <f>VLOOKUP(B:B,'[3]SCHEDULE PPM 2026'!$D:$O,12,FALSE)</f>
        <v>Klinik Obstetrik Ginekologi (O&amp;G CLINIC)</v>
      </c>
      <c r="G335" s="270">
        <f>VLOOKUP(B:B,'[3]SCHEDULE PPM 2026'!$D:$J,7,FALSE)</f>
        <v>46049</v>
      </c>
      <c r="H335" s="271">
        <v>46050</v>
      </c>
      <c r="I335" s="268"/>
      <c r="J335" s="278">
        <v>46105</v>
      </c>
      <c r="K335" s="490" t="s">
        <v>2678</v>
      </c>
      <c r="L335" s="275">
        <f t="shared" si="28"/>
        <v>0</v>
      </c>
      <c r="M335" s="273">
        <f t="shared" si="29"/>
        <v>0</v>
      </c>
      <c r="N335" s="337" t="s">
        <v>3107</v>
      </c>
      <c r="O335" s="268"/>
      <c r="P335" s="264"/>
    </row>
    <row r="336" spans="1:16" ht="50.1" customHeight="1" x14ac:dyDescent="0.25">
      <c r="A336" s="266">
        <v>120</v>
      </c>
      <c r="B336" s="267" t="s">
        <v>2926</v>
      </c>
      <c r="C336" s="268" t="str">
        <f>VLOOKUP(B:B,'[3]SCHEDULE PPM 2026'!$D$6:$E$2196,2, FALSE)</f>
        <v>BLOOD PRESSURE MONITOR NON INVASIVE</v>
      </c>
      <c r="D336" s="269">
        <v>1855</v>
      </c>
      <c r="E336" s="267" t="s">
        <v>2866</v>
      </c>
      <c r="F336" s="268" t="str">
        <f>VLOOKUP(B:B,'[3]SCHEDULE PPM 2026'!$D:$O,12,FALSE)</f>
        <v>Klinik Obstetrik Ginekologi (O&amp;G CLINIC)</v>
      </c>
      <c r="G336" s="270">
        <f>VLOOKUP(B:B,'[3]SCHEDULE PPM 2026'!$D:$J,7,FALSE)</f>
        <v>46052</v>
      </c>
      <c r="H336" s="271">
        <v>46053</v>
      </c>
      <c r="I336" s="268"/>
      <c r="J336" s="278">
        <v>46108</v>
      </c>
      <c r="K336" s="490" t="s">
        <v>2678</v>
      </c>
      <c r="L336" s="275">
        <f t="shared" si="28"/>
        <v>10</v>
      </c>
      <c r="M336" s="273">
        <f t="shared" si="29"/>
        <v>0</v>
      </c>
      <c r="N336" s="337" t="s">
        <v>3107</v>
      </c>
      <c r="O336" s="86"/>
    </row>
    <row r="337" spans="1:16" s="274" customFormat="1" ht="50.1" customHeight="1" x14ac:dyDescent="0.3">
      <c r="A337" s="638" t="s">
        <v>3075</v>
      </c>
      <c r="B337" s="639"/>
      <c r="C337" s="639"/>
      <c r="D337" s="639"/>
      <c r="E337" s="639"/>
      <c r="F337" s="639"/>
      <c r="G337" s="639"/>
      <c r="H337" s="639"/>
      <c r="I337" s="639"/>
      <c r="J337" s="639"/>
      <c r="K337" s="639"/>
      <c r="L337" s="639"/>
      <c r="M337" s="639"/>
      <c r="N337" s="639"/>
      <c r="O337" s="387"/>
      <c r="P337" s="338"/>
    </row>
    <row r="338" spans="1:16" s="274" customFormat="1" ht="50.1" customHeight="1" x14ac:dyDescent="0.3">
      <c r="A338" s="266">
        <v>1</v>
      </c>
      <c r="B338" s="267" t="s">
        <v>727</v>
      </c>
      <c r="C338" s="268" t="str">
        <f>VLOOKUP(B:B,'[3]SCHEDULE PPM 2026'!$D$6:$E$2196,2, FALSE)</f>
        <v>SURGICAL MICROSCOPE</v>
      </c>
      <c r="D338" s="269">
        <f>VLOOKUP(B:B,'[2]BEMS EQUIPMENT '!$E:$Q,13,FALSE)</f>
        <v>265900</v>
      </c>
      <c r="E338" s="267" t="s">
        <v>2813</v>
      </c>
      <c r="F338" s="268" t="str">
        <f>VLOOKUP(B:B,'[3]SCHEDULE PPM 2026'!$D:$O,12,FALSE)</f>
        <v>Dewan Bedah Utama (GOT)</v>
      </c>
      <c r="G338" s="270">
        <f>VLOOKUP(B:B,'[3]SCHEDULE PPM 2026'!$D:$J,7,FALSE)</f>
        <v>46024</v>
      </c>
      <c r="H338" s="271">
        <v>46025</v>
      </c>
      <c r="I338" s="272"/>
      <c r="J338" s="272"/>
      <c r="K338" s="490" t="s">
        <v>2678</v>
      </c>
      <c r="L338" s="273">
        <f t="shared" ref="L338:L364" si="30">ROUNDUP((D338/4999.99)*10,-1)</f>
        <v>540</v>
      </c>
      <c r="M338" s="273">
        <f t="shared" ref="M338:M347" si="31">IF(K338="N",0,L338)</f>
        <v>0</v>
      </c>
      <c r="N338" s="337" t="s">
        <v>3068</v>
      </c>
      <c r="O338" s="266"/>
      <c r="P338" s="264"/>
    </row>
    <row r="339" spans="1:16" s="274" customFormat="1" ht="50.1" customHeight="1" x14ac:dyDescent="0.3">
      <c r="A339" s="266">
        <v>2</v>
      </c>
      <c r="B339" s="267" t="s">
        <v>1492</v>
      </c>
      <c r="C339" s="268" t="str">
        <f>VLOOKUP(B:B,'[3]SCHEDULE PPM 2026'!$D$6:$E$2196,2, FALSE)</f>
        <v>HEMODIALYSIS MACHINE</v>
      </c>
      <c r="D339" s="269">
        <f>VLOOKUP(B:B,'[2]BEMS EQUIPMENT '!$E:$Q,13,FALSE)</f>
        <v>36300</v>
      </c>
      <c r="E339" s="267" t="s">
        <v>2814</v>
      </c>
      <c r="F339" s="268" t="str">
        <f>VLOOKUP(B:B,'[3]SCHEDULE PPM 2026'!$D:$O,12,FALSE)</f>
        <v>Unit Hemodialisis (HDU)</v>
      </c>
      <c r="G339" s="270">
        <f>VLOOKUP(B:B,'[3]SCHEDULE PPM 2026'!$D:$J,7,FALSE)</f>
        <v>46027</v>
      </c>
      <c r="H339" s="271">
        <v>46028</v>
      </c>
      <c r="I339" s="272"/>
      <c r="J339" s="272"/>
      <c r="K339" s="490" t="s">
        <v>2678</v>
      </c>
      <c r="L339" s="273">
        <f t="shared" si="30"/>
        <v>80</v>
      </c>
      <c r="M339" s="273">
        <f t="shared" si="31"/>
        <v>0</v>
      </c>
      <c r="N339" s="337" t="s">
        <v>3068</v>
      </c>
      <c r="O339" s="266"/>
      <c r="P339" s="264"/>
    </row>
    <row r="340" spans="1:16" s="274" customFormat="1" ht="50.1" customHeight="1" x14ac:dyDescent="0.3">
      <c r="A340" s="266">
        <v>5</v>
      </c>
      <c r="B340" s="267" t="s">
        <v>2868</v>
      </c>
      <c r="C340" s="268" t="str">
        <f>VLOOKUP(B:B,'[3]SCHEDULE PPM 2026'!$D$6:$E$2196,2, FALSE)</f>
        <v>NASOPHARYNGOSCOPE FIBEROPTIC</v>
      </c>
      <c r="D340" s="269">
        <v>32850</v>
      </c>
      <c r="E340" s="267" t="s">
        <v>2815</v>
      </c>
      <c r="F340" s="268" t="str">
        <f>VLOOKUP(B:B,'[3]SCHEDULE PPM 2026'!$D:$O,12,FALSE)</f>
        <v>Klinik Otorinolaringologi (ORL) (ENT CLINIC)</v>
      </c>
      <c r="G340" s="270">
        <f>VLOOKUP(B:B,'[3]SCHEDULE PPM 2026'!$D:$J,7,FALSE)</f>
        <v>46028</v>
      </c>
      <c r="H340" s="271">
        <v>46029</v>
      </c>
      <c r="I340" s="266"/>
      <c r="J340" s="272"/>
      <c r="K340" s="490" t="s">
        <v>2678</v>
      </c>
      <c r="L340" s="273">
        <f t="shared" si="30"/>
        <v>70</v>
      </c>
      <c r="M340" s="273">
        <f t="shared" si="31"/>
        <v>0</v>
      </c>
      <c r="N340" s="337" t="s">
        <v>3068</v>
      </c>
      <c r="O340" s="266"/>
      <c r="P340" s="264"/>
    </row>
    <row r="341" spans="1:16" s="274" customFormat="1" ht="50.1" customHeight="1" x14ac:dyDescent="0.3">
      <c r="A341" s="266">
        <v>11</v>
      </c>
      <c r="B341" s="267" t="s">
        <v>1083</v>
      </c>
      <c r="C341" s="268" t="str">
        <f>VLOOKUP(B:B,'[3]SCHEDULE PPM 2026'!$D$6:$E$2196,2, FALSE)</f>
        <v>WEIGHING SCALE TOP LOADING</v>
      </c>
      <c r="D341" s="269">
        <f>VLOOKUP(B:B,'[2]BEMS EQUIPMENT '!$E:$Q,13,FALSE)</f>
        <v>540</v>
      </c>
      <c r="E341" s="267" t="s">
        <v>2816</v>
      </c>
      <c r="F341" s="268" t="str">
        <f>VLOOKUP(B:B,'[3]SCHEDULE PPM 2026'!$D:$O,12,FALSE)</f>
        <v>Unit Rawatan Rapi Neonatal (NICU)</v>
      </c>
      <c r="G341" s="270">
        <f>VLOOKUP(B:B,'[3]SCHEDULE PPM 2026'!$D:$J,7,FALSE)</f>
        <v>46028</v>
      </c>
      <c r="H341" s="271">
        <v>46029</v>
      </c>
      <c r="I341" s="272"/>
      <c r="J341" s="272"/>
      <c r="K341" s="490" t="s">
        <v>2678</v>
      </c>
      <c r="L341" s="273">
        <f t="shared" si="30"/>
        <v>10</v>
      </c>
      <c r="M341" s="273">
        <f t="shared" si="31"/>
        <v>0</v>
      </c>
      <c r="N341" s="337" t="s">
        <v>3068</v>
      </c>
      <c r="O341" s="266"/>
      <c r="P341" s="264"/>
    </row>
    <row r="342" spans="1:16" s="274" customFormat="1" ht="50.1" customHeight="1" x14ac:dyDescent="0.3">
      <c r="A342" s="266">
        <v>19</v>
      </c>
      <c r="B342" s="267" t="s">
        <v>1610</v>
      </c>
      <c r="C342" s="268" t="str">
        <f>VLOOKUP(B:B,'[3]SCHEDULE PPM 2026'!$D$6:$E$2196,2, FALSE)</f>
        <v>SYRINGE INFUSION PUMP</v>
      </c>
      <c r="D342" s="269">
        <f>VLOOKUP(B:B,'[2]BEMS EQUIPMENT '!$E:$Q,13,FALSE)</f>
        <v>4300</v>
      </c>
      <c r="E342" s="267" t="s">
        <v>2819</v>
      </c>
      <c r="F342" s="268" t="str">
        <f>VLOOKUP(B:B,'[3]SCHEDULE PPM 2026'!$D:$O,12,FALSE)</f>
        <v>Jabatan Kecemasan &amp; Trauma (ED)</v>
      </c>
      <c r="G342" s="270">
        <f>VLOOKUP(B:B,'[3]SCHEDULE PPM 2026'!$D:$J,7,FALSE)</f>
        <v>46029</v>
      </c>
      <c r="H342" s="271">
        <v>46030</v>
      </c>
      <c r="I342" s="266"/>
      <c r="J342" s="272"/>
      <c r="K342" s="490" t="s">
        <v>2678</v>
      </c>
      <c r="L342" s="273">
        <f t="shared" si="30"/>
        <v>10</v>
      </c>
      <c r="M342" s="273">
        <f t="shared" si="31"/>
        <v>0</v>
      </c>
      <c r="N342" s="337" t="s">
        <v>3068</v>
      </c>
      <c r="O342" s="266"/>
      <c r="P342" s="264"/>
    </row>
    <row r="343" spans="1:16" s="274" customFormat="1" ht="50.1" customHeight="1" x14ac:dyDescent="0.3">
      <c r="A343" s="266">
        <v>22</v>
      </c>
      <c r="B343" s="267" t="s">
        <v>2875</v>
      </c>
      <c r="C343" s="268" t="str">
        <f>VLOOKUP(B:B,'[3]SCHEDULE PPM 2026'!$D:$E,2, FALSE)</f>
        <v>INKUBATOR</v>
      </c>
      <c r="D343" s="269">
        <f>VLOOKUP(B:B,'[2]BEMS EQUIPMENT '!$E:$Q,13,FALSE)</f>
        <v>28000</v>
      </c>
      <c r="E343" s="267" t="s">
        <v>2820</v>
      </c>
      <c r="F343" s="268" t="str">
        <f>VLOOKUP(B:B,'[3]SCHEDULE PPM 2026'!$D:$O,12,FALSE)</f>
        <v>Unit Rawatan Rapi Neonatal (NICU)</v>
      </c>
      <c r="G343" s="270">
        <f>VLOOKUP(B:B,'[3]SCHEDULE PPM 2026'!$D:$J,7,FALSE)</f>
        <v>46030</v>
      </c>
      <c r="H343" s="271">
        <v>46031</v>
      </c>
      <c r="I343" s="272"/>
      <c r="J343" s="272"/>
      <c r="K343" s="490" t="s">
        <v>2678</v>
      </c>
      <c r="L343" s="273">
        <f t="shared" si="30"/>
        <v>60</v>
      </c>
      <c r="M343" s="273">
        <f t="shared" si="31"/>
        <v>0</v>
      </c>
      <c r="N343" s="337" t="s">
        <v>3068</v>
      </c>
      <c r="O343" s="266"/>
      <c r="P343" s="264"/>
    </row>
    <row r="344" spans="1:16" s="274" customFormat="1" ht="50.1" customHeight="1" x14ac:dyDescent="0.3">
      <c r="A344" s="266">
        <v>23</v>
      </c>
      <c r="B344" s="267" t="s">
        <v>987</v>
      </c>
      <c r="C344" s="268" t="str">
        <f>VLOOKUP(B:B,'[3]SCHEDULE PPM 2026'!$D$6:$E$2196,2, FALSE)</f>
        <v>BLOOD PRESSURE MONITOR (SPHYGMOMANOMETER)</v>
      </c>
      <c r="D344" s="269">
        <f>VLOOKUP(B:B,'[2]BEMS EQUIPMENT '!$E:$Q,13,FALSE)</f>
        <v>452.81</v>
      </c>
      <c r="E344" s="267" t="s">
        <v>2821</v>
      </c>
      <c r="F344" s="268" t="str">
        <f>VLOOKUP(B:B,'[3]SCHEDULE PPM 2026'!$D:$O,12,FALSE)</f>
        <v>Klinik Obstetrik Ginekologi (O&amp;G CLINIC)</v>
      </c>
      <c r="G344" s="270">
        <f>VLOOKUP(B:B,'[3]SCHEDULE PPM 2026'!$D:$J,7,FALSE)</f>
        <v>46031</v>
      </c>
      <c r="H344" s="271">
        <v>46032</v>
      </c>
      <c r="I344" s="272"/>
      <c r="J344" s="272"/>
      <c r="K344" s="490" t="s">
        <v>2678</v>
      </c>
      <c r="L344" s="273">
        <f t="shared" si="30"/>
        <v>10</v>
      </c>
      <c r="M344" s="273">
        <f t="shared" si="31"/>
        <v>0</v>
      </c>
      <c r="N344" s="337" t="s">
        <v>3068</v>
      </c>
      <c r="O344" s="266"/>
      <c r="P344" s="264"/>
    </row>
    <row r="345" spans="1:16" s="274" customFormat="1" ht="50.1" customHeight="1" x14ac:dyDescent="0.3">
      <c r="A345" s="266">
        <v>24</v>
      </c>
      <c r="B345" s="267" t="s">
        <v>988</v>
      </c>
      <c r="C345" s="268" t="str">
        <f>VLOOKUP(B:B,'[3]SCHEDULE PPM 2026'!$D$6:$E$2196,2, FALSE)</f>
        <v>BLOOD PRESSURE MONITOR (SPHYGMOMANOMETER)</v>
      </c>
      <c r="D345" s="269">
        <f>VLOOKUP(B:B,'[2]BEMS EQUIPMENT '!$E:$Q,13,FALSE)</f>
        <v>452.81</v>
      </c>
      <c r="E345" s="267" t="s">
        <v>2822</v>
      </c>
      <c r="F345" s="268" t="str">
        <f>VLOOKUP(B:B,'[3]SCHEDULE PPM 2026'!$D:$O,12,FALSE)</f>
        <v>Klinik Obstetrik Ginekologi (O&amp;G CLINIC)</v>
      </c>
      <c r="G345" s="270">
        <f>VLOOKUP(B:B,'[3]SCHEDULE PPM 2026'!$D:$J,7,FALSE)</f>
        <v>46031</v>
      </c>
      <c r="H345" s="271">
        <v>46032</v>
      </c>
      <c r="I345" s="272"/>
      <c r="J345" s="272"/>
      <c r="K345" s="490" t="s">
        <v>2678</v>
      </c>
      <c r="L345" s="273">
        <f t="shared" si="30"/>
        <v>10</v>
      </c>
      <c r="M345" s="273">
        <f t="shared" si="31"/>
        <v>0</v>
      </c>
      <c r="N345" s="337" t="s">
        <v>3068</v>
      </c>
      <c r="O345" s="266"/>
      <c r="P345" s="264"/>
    </row>
    <row r="346" spans="1:16" s="274" customFormat="1" ht="50.1" customHeight="1" x14ac:dyDescent="0.3">
      <c r="A346" s="266">
        <v>29</v>
      </c>
      <c r="B346" s="267" t="s">
        <v>2690</v>
      </c>
      <c r="C346" s="268" t="str">
        <f>VLOOKUP(B:B,'[4]SCHEDULE PPM 2026'!$D:$E,2, FALSE)</f>
        <v>INFANT VENTILATOR</v>
      </c>
      <c r="D346" s="269">
        <v>130000</v>
      </c>
      <c r="E346" s="267" t="s">
        <v>2823</v>
      </c>
      <c r="F346" s="268" t="str">
        <f>VLOOKUP(B:B,'[3]SCHEDULE PPM 2026'!$D:$O,12,FALSE)</f>
        <v>Unit Rawatan Rapi Neonatal (NICU)</v>
      </c>
      <c r="G346" s="270">
        <f>VLOOKUP(B:B,'[3]SCHEDULE PPM 2026'!$D:$J,7,FALSE)</f>
        <v>46031</v>
      </c>
      <c r="H346" s="271">
        <v>46032</v>
      </c>
      <c r="I346" s="266"/>
      <c r="J346" s="272"/>
      <c r="K346" s="490" t="s">
        <v>2678</v>
      </c>
      <c r="L346" s="273">
        <f t="shared" si="30"/>
        <v>270</v>
      </c>
      <c r="M346" s="273">
        <f t="shared" si="31"/>
        <v>0</v>
      </c>
      <c r="N346" s="337" t="s">
        <v>3068</v>
      </c>
      <c r="O346" s="266"/>
      <c r="P346" s="264"/>
    </row>
    <row r="347" spans="1:16" s="274" customFormat="1" ht="50.1" customHeight="1" x14ac:dyDescent="0.3">
      <c r="A347" s="266">
        <v>35</v>
      </c>
      <c r="B347" s="267" t="s">
        <v>2884</v>
      </c>
      <c r="C347" s="268" t="str">
        <f>VLOOKUP(B:B,'[4]SCHEDULE PPM 2026'!$D:$E,2, FALSE)</f>
        <v>INFANT WARMER RADIANT</v>
      </c>
      <c r="D347" s="269">
        <f>VLOOKUP(B:B,'[2]BEMS EQUIPMENT '!$E:$Q,13,FALSE)</f>
        <v>23950</v>
      </c>
      <c r="E347" s="267" t="s">
        <v>2824</v>
      </c>
      <c r="F347" s="268" t="str">
        <f>VLOOKUP(B:B,'[3]SCHEDULE PPM 2026'!$D:$O,12,FALSE)</f>
        <v>Unit Rawatan Rapi Neonatal (NICU)</v>
      </c>
      <c r="G347" s="270">
        <f>VLOOKUP(B:B,'[3]SCHEDULE PPM 2026'!$D:$J,7,FALSE)</f>
        <v>46031</v>
      </c>
      <c r="H347" s="271">
        <v>46032</v>
      </c>
      <c r="I347" s="266"/>
      <c r="J347" s="272"/>
      <c r="K347" s="490" t="s">
        <v>2678</v>
      </c>
      <c r="L347" s="273">
        <f t="shared" si="30"/>
        <v>50</v>
      </c>
      <c r="M347" s="273">
        <f t="shared" si="31"/>
        <v>0</v>
      </c>
      <c r="N347" s="337" t="s">
        <v>3068</v>
      </c>
      <c r="O347" s="266"/>
      <c r="P347" s="264"/>
    </row>
    <row r="348" spans="1:16" s="274" customFormat="1" ht="50.1" customHeight="1" x14ac:dyDescent="0.3">
      <c r="A348" s="266">
        <v>38</v>
      </c>
      <c r="B348" s="267" t="s">
        <v>989</v>
      </c>
      <c r="C348" s="268" t="str">
        <f>VLOOKUP(B:B,'[3]SCHEDULE PPM 2026'!$D$6:$E$2196,2, FALSE)</f>
        <v>BLOOD PRESSURE MONITOR (SPHYGMOMANOMETER)</v>
      </c>
      <c r="D348" s="269">
        <f>VLOOKUP(B:B,'[2]BEMS EQUIPMENT '!$E:$Q,13,FALSE)</f>
        <v>452.81</v>
      </c>
      <c r="E348" s="267" t="s">
        <v>2825</v>
      </c>
      <c r="F348" s="268" t="str">
        <f>VLOOKUP(B:B,'[3]SCHEDULE PPM 2026'!$D:$O,12,FALSE)</f>
        <v>Dewan Bersalin (LDU)</v>
      </c>
      <c r="G348" s="270">
        <f>VLOOKUP(B:B,'[3]SCHEDULE PPM 2026'!$D:$J,7,FALSE)</f>
        <v>46035</v>
      </c>
      <c r="H348" s="271">
        <v>46036</v>
      </c>
      <c r="I348" s="272"/>
      <c r="J348" s="272"/>
      <c r="K348" s="490" t="s">
        <v>2678</v>
      </c>
      <c r="L348" s="273">
        <f t="shared" si="30"/>
        <v>10</v>
      </c>
      <c r="M348" s="273">
        <f t="shared" ref="M348:M354" si="32">IF(K348="N",0,L348)</f>
        <v>0</v>
      </c>
      <c r="N348" s="337" t="s">
        <v>3068</v>
      </c>
      <c r="O348" s="266"/>
      <c r="P348" s="264"/>
    </row>
    <row r="349" spans="1:16" s="274" customFormat="1" ht="50.1" customHeight="1" x14ac:dyDescent="0.3">
      <c r="A349" s="266">
        <v>46</v>
      </c>
      <c r="B349" s="267" t="s">
        <v>2890</v>
      </c>
      <c r="C349" s="268" t="str">
        <f>VLOOKUP(B:B,'[4]SCHEDULE PPM 2026'!$D:$E,2, FALSE)</f>
        <v>PATIENT MONITOR EQUIPMENT / VITAL SIGN MONITOR</v>
      </c>
      <c r="D349" s="269">
        <f>VLOOKUP(B:B,'[2]BEMS EQUIPMENT '!$E:$Q,13,FALSE)</f>
        <v>19610</v>
      </c>
      <c r="E349" s="267" t="s">
        <v>2827</v>
      </c>
      <c r="F349" s="268" t="str">
        <f>VLOOKUP(B:B,'[3]SCHEDULE PPM 2026'!$D:$O,12,FALSE)</f>
        <v>WAD 12 (Paediatric Ward)</v>
      </c>
      <c r="G349" s="270">
        <f>VLOOKUP(B:B,'[3]SCHEDULE PPM 2026'!$D:$J,7,FALSE)</f>
        <v>46035</v>
      </c>
      <c r="H349" s="271">
        <v>46036</v>
      </c>
      <c r="I349" s="272"/>
      <c r="J349" s="272"/>
      <c r="K349" s="490" t="s">
        <v>2678</v>
      </c>
      <c r="L349" s="273">
        <f t="shared" si="30"/>
        <v>40</v>
      </c>
      <c r="M349" s="273">
        <f t="shared" si="32"/>
        <v>0</v>
      </c>
      <c r="N349" s="337" t="s">
        <v>3068</v>
      </c>
      <c r="O349" s="266"/>
      <c r="P349" s="264"/>
    </row>
    <row r="350" spans="1:16" s="274" customFormat="1" ht="50.1" customHeight="1" x14ac:dyDescent="0.3">
      <c r="A350" s="266">
        <v>48</v>
      </c>
      <c r="B350" s="267" t="s">
        <v>1001</v>
      </c>
      <c r="C350" s="268" t="str">
        <f>VLOOKUP(B:B,'[3]SCHEDULE PPM 2026'!$D$6:$E$2196,2, FALSE)</f>
        <v>BLOOD PRESSURE MONITOR (SPHYGMOMANOMETER)</v>
      </c>
      <c r="D350" s="269">
        <f>VLOOKUP(B:B,'[2]BEMS EQUIPMENT '!$E:$Q,13,FALSE)</f>
        <v>452.81</v>
      </c>
      <c r="E350" s="267" t="s">
        <v>2828</v>
      </c>
      <c r="F350" s="268" t="str">
        <f>VLOOKUP(B:B,'[3]SCHEDULE PPM 2026'!$D:$O,12,FALSE)</f>
        <v>Klinik Obstetrik Ginekologi (O&amp;G CLINIC)</v>
      </c>
      <c r="G350" s="270">
        <f>VLOOKUP(B:B,'[3]SCHEDULE PPM 2026'!$D:$J,7,FALSE)</f>
        <v>46036</v>
      </c>
      <c r="H350" s="271">
        <v>46037</v>
      </c>
      <c r="I350" s="272"/>
      <c r="J350" s="272"/>
      <c r="K350" s="490" t="s">
        <v>2678</v>
      </c>
      <c r="L350" s="273">
        <f t="shared" si="30"/>
        <v>10</v>
      </c>
      <c r="M350" s="273">
        <f t="shared" si="32"/>
        <v>0</v>
      </c>
      <c r="N350" s="337" t="s">
        <v>3068</v>
      </c>
      <c r="O350" s="266"/>
      <c r="P350" s="264"/>
    </row>
    <row r="351" spans="1:16" s="274" customFormat="1" ht="50.1" customHeight="1" x14ac:dyDescent="0.3">
      <c r="A351" s="266">
        <v>49</v>
      </c>
      <c r="B351" s="267" t="s">
        <v>1002</v>
      </c>
      <c r="C351" s="268" t="str">
        <f>VLOOKUP(B:B,'[3]SCHEDULE PPM 2026'!$D$6:$E$2196,2, FALSE)</f>
        <v>BLOOD PRESSURE MONITOR (SPHYGMOMANOMETER)</v>
      </c>
      <c r="D351" s="269">
        <f>VLOOKUP(B:B,'[2]BEMS EQUIPMENT '!$E:$Q,13,FALSE)</f>
        <v>452.81</v>
      </c>
      <c r="E351" s="267" t="s">
        <v>2829</v>
      </c>
      <c r="F351" s="268" t="str">
        <f>VLOOKUP(B:B,'[3]SCHEDULE PPM 2026'!$D:$O,12,FALSE)</f>
        <v>WAD 8A (Wad Obstetrik &amp; Ginekologi 8A)</v>
      </c>
      <c r="G351" s="270">
        <f>VLOOKUP(B:B,'[3]SCHEDULE PPM 2026'!$D:$J,7,FALSE)</f>
        <v>46036</v>
      </c>
      <c r="H351" s="271">
        <v>46037</v>
      </c>
      <c r="I351" s="272"/>
      <c r="J351" s="272"/>
      <c r="K351" s="490" t="s">
        <v>2678</v>
      </c>
      <c r="L351" s="273">
        <f t="shared" si="30"/>
        <v>10</v>
      </c>
      <c r="M351" s="273">
        <f t="shared" si="32"/>
        <v>0</v>
      </c>
      <c r="N351" s="337" t="s">
        <v>3068</v>
      </c>
      <c r="O351" s="266"/>
      <c r="P351" s="264"/>
    </row>
    <row r="352" spans="1:16" s="274" customFormat="1" ht="50.1" customHeight="1" x14ac:dyDescent="0.3">
      <c r="A352" s="266">
        <v>52</v>
      </c>
      <c r="B352" s="267" t="s">
        <v>1241</v>
      </c>
      <c r="C352" s="268" t="str">
        <f>VLOOKUP(B:B,'[3]SCHEDULE PPM 2026'!$D$6:$E$2196,2, FALSE)</f>
        <v>PUMP BREAST ELECTRIC</v>
      </c>
      <c r="D352" s="269">
        <f>VLOOKUP(B:B,'[2]BEMS EQUIPMENT '!$E:$Q,13,FALSE)</f>
        <v>12740</v>
      </c>
      <c r="E352" s="267" t="s">
        <v>2830</v>
      </c>
      <c r="F352" s="268" t="str">
        <f>VLOOKUP(B:B,'[3]SCHEDULE PPM 2026'!$D:$O,12,FALSE)</f>
        <v>Unit Rawatan Rapi Neonatal (NICU)</v>
      </c>
      <c r="G352" s="270">
        <f>VLOOKUP(B:B,'[3]SCHEDULE PPM 2026'!$D:$J,7,FALSE)</f>
        <v>46036</v>
      </c>
      <c r="H352" s="271">
        <v>46037</v>
      </c>
      <c r="I352" s="272"/>
      <c r="J352" s="272"/>
      <c r="K352" s="490" t="s">
        <v>2678</v>
      </c>
      <c r="L352" s="273">
        <f t="shared" si="30"/>
        <v>30</v>
      </c>
      <c r="M352" s="273">
        <f t="shared" si="32"/>
        <v>0</v>
      </c>
      <c r="N352" s="337" t="s">
        <v>3068</v>
      </c>
      <c r="O352" s="266"/>
      <c r="P352" s="264"/>
    </row>
    <row r="353" spans="1:16" s="274" customFormat="1" ht="50.1" customHeight="1" x14ac:dyDescent="0.3">
      <c r="A353" s="266">
        <v>53</v>
      </c>
      <c r="B353" s="267" t="s">
        <v>2891</v>
      </c>
      <c r="C353" s="268" t="str">
        <f>VLOOKUP(B:B,'[4]SCHEDULE PPM 2026'!$D:$E,2, FALSE)</f>
        <v>VOLUMETRIC PUMP</v>
      </c>
      <c r="D353" s="269">
        <v>5300</v>
      </c>
      <c r="E353" s="267" t="s">
        <v>2831</v>
      </c>
      <c r="F353" s="268" t="str">
        <f>VLOOKUP(B:B,'[3]SCHEDULE PPM 2026'!$D:$O,12,FALSE)</f>
        <v>Unit Rawatan Rapi (ICU)</v>
      </c>
      <c r="G353" s="270">
        <f>VLOOKUP(B:B,'[3]SCHEDULE PPM 2026'!$D:$J,7,FALSE)</f>
        <v>46036</v>
      </c>
      <c r="H353" s="271">
        <v>46037</v>
      </c>
      <c r="I353" s="272"/>
      <c r="J353" s="272"/>
      <c r="K353" s="490" t="s">
        <v>2678</v>
      </c>
      <c r="L353" s="273">
        <f t="shared" si="30"/>
        <v>20</v>
      </c>
      <c r="M353" s="273">
        <f t="shared" si="32"/>
        <v>0</v>
      </c>
      <c r="N353" s="337" t="s">
        <v>3068</v>
      </c>
      <c r="O353" s="266"/>
      <c r="P353" s="264"/>
    </row>
    <row r="354" spans="1:16" s="274" customFormat="1" ht="50.1" customHeight="1" x14ac:dyDescent="0.3">
      <c r="A354" s="266">
        <v>54</v>
      </c>
      <c r="B354" s="267" t="s">
        <v>2892</v>
      </c>
      <c r="C354" s="268" t="str">
        <f>VLOOKUP(B:B,'[4]SCHEDULE PPM 2026'!$D:$E,2, FALSE)</f>
        <v>INCUBATOR</v>
      </c>
      <c r="D354" s="269">
        <f>VLOOKUP(B:B,'[2]BEMS EQUIPMENT '!$E:$Q,13,FALSE)</f>
        <v>28000</v>
      </c>
      <c r="E354" s="267" t="s">
        <v>2832</v>
      </c>
      <c r="F354" s="268" t="str">
        <f>VLOOKUP(B:B,'[3]SCHEDULE PPM 2026'!$D:$O,12,FALSE)</f>
        <v>Unit Rawatan Rapi Neonatal (NICU)</v>
      </c>
      <c r="G354" s="270">
        <f>VLOOKUP(B:B,'[3]SCHEDULE PPM 2026'!$D:$J,7,FALSE)</f>
        <v>46036</v>
      </c>
      <c r="H354" s="271">
        <v>46037</v>
      </c>
      <c r="I354" s="272"/>
      <c r="J354" s="272"/>
      <c r="K354" s="490" t="s">
        <v>2678</v>
      </c>
      <c r="L354" s="273">
        <f t="shared" si="30"/>
        <v>60</v>
      </c>
      <c r="M354" s="273">
        <f t="shared" si="32"/>
        <v>0</v>
      </c>
      <c r="N354" s="337" t="s">
        <v>3068</v>
      </c>
      <c r="O354" s="266"/>
      <c r="P354" s="264"/>
    </row>
    <row r="355" spans="1:16" s="274" customFormat="1" ht="50.1" customHeight="1" x14ac:dyDescent="0.3">
      <c r="A355" s="266">
        <v>57</v>
      </c>
      <c r="B355" s="267" t="s">
        <v>2895</v>
      </c>
      <c r="C355" s="268" t="str">
        <f>VLOOKUP(B:B,'[4]SCHEDULE PPM 2026'!$D:$E,2, FALSE)</f>
        <v>FETAL HEART MONITOR</v>
      </c>
      <c r="D355" s="269">
        <f>VLOOKUP(B:B,'[2]BEMS EQUIPMENT '!$E:$Q,13,FALSE)</f>
        <v>950</v>
      </c>
      <c r="E355" s="267" t="s">
        <v>2835</v>
      </c>
      <c r="F355" s="268" t="str">
        <f>VLOOKUP(B:B,'[3]SCHEDULE PPM 2026'!$D:$O,12,FALSE)</f>
        <v>PAC</v>
      </c>
      <c r="G355" s="270">
        <f>VLOOKUP(B:B,'[3]SCHEDULE PPM 2026'!$D:$J,7,FALSE)</f>
        <v>46036</v>
      </c>
      <c r="H355" s="271">
        <v>46037</v>
      </c>
      <c r="I355" s="272"/>
      <c r="J355" s="276"/>
      <c r="K355" s="490" t="s">
        <v>2678</v>
      </c>
      <c r="L355" s="275">
        <f t="shared" si="30"/>
        <v>10</v>
      </c>
      <c r="M355" s="273">
        <f t="shared" ref="M355:M362" si="33">IF(K355="N",0,L355)</f>
        <v>0</v>
      </c>
      <c r="N355" s="337" t="s">
        <v>3068</v>
      </c>
      <c r="O355" s="266"/>
      <c r="P355" s="264"/>
    </row>
    <row r="356" spans="1:16" s="274" customFormat="1" ht="50.1" customHeight="1" x14ac:dyDescent="0.3">
      <c r="A356" s="266">
        <v>58</v>
      </c>
      <c r="B356" s="267" t="s">
        <v>2896</v>
      </c>
      <c r="C356" s="268" t="str">
        <f>VLOOKUP(B:B,'[4]SCHEDULE PPM 2026'!$D:$E,2, FALSE)</f>
        <v>FETAL HEART MONITOR</v>
      </c>
      <c r="D356" s="269">
        <f>VLOOKUP(B:B,'[2]BEMS EQUIPMENT '!$E:$Q,13,FALSE)</f>
        <v>950</v>
      </c>
      <c r="E356" s="267" t="s">
        <v>2836</v>
      </c>
      <c r="F356" s="268" t="str">
        <f>VLOOKUP(B:B,'[3]SCHEDULE PPM 2026'!$D:$O,12,FALSE)</f>
        <v>PAC</v>
      </c>
      <c r="G356" s="270">
        <f>VLOOKUP(B:B,'[3]SCHEDULE PPM 2026'!$D:$J,7,FALSE)</f>
        <v>46036</v>
      </c>
      <c r="H356" s="271">
        <v>46037</v>
      </c>
      <c r="I356" s="272"/>
      <c r="J356" s="272"/>
      <c r="K356" s="490" t="s">
        <v>2678</v>
      </c>
      <c r="L356" s="275">
        <f t="shared" si="30"/>
        <v>10</v>
      </c>
      <c r="M356" s="273">
        <f t="shared" si="33"/>
        <v>0</v>
      </c>
      <c r="N356" s="337" t="s">
        <v>3068</v>
      </c>
      <c r="O356" s="266"/>
      <c r="P356" s="264"/>
    </row>
    <row r="357" spans="1:16" s="274" customFormat="1" ht="50.1" customHeight="1" x14ac:dyDescent="0.3">
      <c r="A357" s="266">
        <v>59</v>
      </c>
      <c r="B357" s="267" t="s">
        <v>2897</v>
      </c>
      <c r="C357" s="268" t="str">
        <f>VLOOKUP(B:B,'[4]SCHEDULE PPM 2026'!$D:$E,2, FALSE)</f>
        <v>MESIN HEMODIALISIS</v>
      </c>
      <c r="D357" s="496">
        <v>42000</v>
      </c>
      <c r="E357" s="267" t="s">
        <v>2837</v>
      </c>
      <c r="F357" s="268" t="str">
        <f>VLOOKUP(B:B,'[3]SCHEDULE PPM 2026'!$D:$O,12,FALSE)</f>
        <v>Unit Hemodialisis (HDU)</v>
      </c>
      <c r="G357" s="270">
        <f>VLOOKUP(B:B,'[3]SCHEDULE PPM 2026'!$D:$J,7,FALSE)</f>
        <v>46036</v>
      </c>
      <c r="H357" s="271">
        <v>46037</v>
      </c>
      <c r="I357" s="272"/>
      <c r="J357" s="276"/>
      <c r="K357" s="490" t="s">
        <v>2678</v>
      </c>
      <c r="L357" s="275">
        <f t="shared" si="30"/>
        <v>90</v>
      </c>
      <c r="M357" s="273">
        <f t="shared" si="33"/>
        <v>0</v>
      </c>
      <c r="N357" s="337" t="s">
        <v>3068</v>
      </c>
      <c r="O357" s="337"/>
      <c r="P357" s="264"/>
    </row>
    <row r="358" spans="1:16" s="274" customFormat="1" ht="50.1" customHeight="1" x14ac:dyDescent="0.3">
      <c r="A358" s="266">
        <v>60</v>
      </c>
      <c r="B358" s="267" t="s">
        <v>2898</v>
      </c>
      <c r="C358" s="268" t="str">
        <f>VLOOKUP(B:B,'[4]SCHEDULE PPM 2026'!$D:$E,2, FALSE)</f>
        <v>SYRINGE INFUSION PUMP</v>
      </c>
      <c r="D358" s="269">
        <f>VLOOKUP(B:B,'[2]BEMS EQUIPMENT '!$E:$Q,13,FALSE)</f>
        <v>3900</v>
      </c>
      <c r="E358" s="267" t="s">
        <v>2838</v>
      </c>
      <c r="F358" s="268" t="str">
        <f>VLOOKUP(B:B,'[3]SCHEDULE PPM 2026'!$D:$O,12,FALSE)</f>
        <v>Unit Rawatan Rapi (ICU)</v>
      </c>
      <c r="G358" s="270">
        <f>VLOOKUP(B:B,'[3]SCHEDULE PPM 2026'!$D:$J,7,FALSE)</f>
        <v>46036</v>
      </c>
      <c r="H358" s="271">
        <v>46037</v>
      </c>
      <c r="I358" s="272"/>
      <c r="J358" s="272"/>
      <c r="K358" s="490" t="s">
        <v>2678</v>
      </c>
      <c r="L358" s="275">
        <f t="shared" si="30"/>
        <v>10</v>
      </c>
      <c r="M358" s="273">
        <f t="shared" si="33"/>
        <v>0</v>
      </c>
      <c r="N358" s="337" t="s">
        <v>3068</v>
      </c>
      <c r="O358" s="266"/>
      <c r="P358" s="264"/>
    </row>
    <row r="359" spans="1:16" s="274" customFormat="1" ht="50.1" customHeight="1" x14ac:dyDescent="0.3">
      <c r="A359" s="266">
        <v>61</v>
      </c>
      <c r="B359" s="267" t="s">
        <v>1003</v>
      </c>
      <c r="C359" s="268" t="str">
        <f>VLOOKUP(B:B,'[3]SCHEDULE PPM 2026'!$D$6:$E$2196,2, FALSE)</f>
        <v>BLOOD PRESSURE MONITOR (SPHYGMOMANOMETER)</v>
      </c>
      <c r="D359" s="269">
        <f>VLOOKUP(B:B,'[2]BEMS EQUIPMENT '!$E:$Q,13,FALSE)</f>
        <v>452.81</v>
      </c>
      <c r="E359" s="267" t="s">
        <v>2839</v>
      </c>
      <c r="F359" s="268" t="str">
        <f>VLOOKUP(B:B,'[3]SCHEDULE PPM 2026'!$D:$O,12,FALSE)</f>
        <v>WAD 8B (Wad Obstetrik &amp; Ginekologi 8B)</v>
      </c>
      <c r="G359" s="270">
        <f>VLOOKUP(B:B,'[3]SCHEDULE PPM 2026'!$D:$J,7,FALSE)</f>
        <v>46037</v>
      </c>
      <c r="H359" s="271">
        <v>46038</v>
      </c>
      <c r="I359" s="272"/>
      <c r="J359" s="272"/>
      <c r="K359" s="490" t="s">
        <v>2678</v>
      </c>
      <c r="L359" s="275">
        <f t="shared" si="30"/>
        <v>10</v>
      </c>
      <c r="M359" s="273">
        <f t="shared" si="33"/>
        <v>0</v>
      </c>
      <c r="N359" s="337" t="s">
        <v>3068</v>
      </c>
      <c r="O359" s="266"/>
      <c r="P359" s="264"/>
    </row>
    <row r="360" spans="1:16" s="274" customFormat="1" ht="50.1" customHeight="1" x14ac:dyDescent="0.3">
      <c r="A360" s="266">
        <v>62</v>
      </c>
      <c r="B360" s="267" t="s">
        <v>1004</v>
      </c>
      <c r="C360" s="268" t="str">
        <f>VLOOKUP(B:B,'[3]SCHEDULE PPM 2026'!$D$6:$E$2196,2, FALSE)</f>
        <v>BLOOD PRESSURE MONITOR (SPHYGMOMANOMETER)</v>
      </c>
      <c r="D360" s="269">
        <f>VLOOKUP(B:B,'[2]BEMS EQUIPMENT '!$E:$Q,13,FALSE)</f>
        <v>452.81</v>
      </c>
      <c r="E360" s="267" t="s">
        <v>2840</v>
      </c>
      <c r="F360" s="268" t="str">
        <f>VLOOKUP(B:B,'[3]SCHEDULE PPM 2026'!$D:$O,12,FALSE)</f>
        <v>WAD 8B (Wad Obstetrik &amp; Ginekologi 8B)</v>
      </c>
      <c r="G360" s="270">
        <f>VLOOKUP(B:B,'[3]SCHEDULE PPM 2026'!$D:$J,7,FALSE)</f>
        <v>46037</v>
      </c>
      <c r="H360" s="271">
        <v>46038</v>
      </c>
      <c r="I360" s="272"/>
      <c r="J360" s="272"/>
      <c r="K360" s="490" t="s">
        <v>2678</v>
      </c>
      <c r="L360" s="275">
        <f t="shared" si="30"/>
        <v>10</v>
      </c>
      <c r="M360" s="273">
        <f t="shared" si="33"/>
        <v>0</v>
      </c>
      <c r="N360" s="337" t="s">
        <v>3068</v>
      </c>
      <c r="O360" s="266"/>
      <c r="P360" s="264"/>
    </row>
    <row r="361" spans="1:16" s="274" customFormat="1" ht="50.1" customHeight="1" x14ac:dyDescent="0.3">
      <c r="A361" s="266">
        <v>65</v>
      </c>
      <c r="B361" s="267" t="s">
        <v>2899</v>
      </c>
      <c r="C361" s="268" t="str">
        <f>VLOOKUP(B:B,'[3]SCHEDULE PPM 2026'!$D$6:$E$2196,2, FALSE)</f>
        <v>LIGHT SOURCE</v>
      </c>
      <c r="D361" s="269">
        <v>1320</v>
      </c>
      <c r="E361" s="267" t="s">
        <v>2841</v>
      </c>
      <c r="F361" s="268" t="str">
        <f>VLOOKUP(B:B,'[3]SCHEDULE PPM 2026'!$D:$O,12,FALSE)</f>
        <v>Klinik Otorinolaringologi (ORL) (ENT CLINIC)</v>
      </c>
      <c r="G361" s="270">
        <f>VLOOKUP(B:B,'[3]SCHEDULE PPM 2026'!$D:$J,7,FALSE)</f>
        <v>46037</v>
      </c>
      <c r="H361" s="271">
        <v>46038</v>
      </c>
      <c r="I361" s="272"/>
      <c r="J361" s="272"/>
      <c r="K361" s="490" t="s">
        <v>2678</v>
      </c>
      <c r="L361" s="275">
        <f t="shared" si="30"/>
        <v>10</v>
      </c>
      <c r="M361" s="273">
        <f t="shared" si="33"/>
        <v>0</v>
      </c>
      <c r="N361" s="337" t="s">
        <v>3068</v>
      </c>
      <c r="O361" s="266"/>
      <c r="P361" s="264"/>
    </row>
    <row r="362" spans="1:16" s="274" customFormat="1" ht="50.1" customHeight="1" x14ac:dyDescent="0.3">
      <c r="A362" s="266">
        <v>69</v>
      </c>
      <c r="B362" s="267" t="s">
        <v>949</v>
      </c>
      <c r="C362" s="268" t="str">
        <f>VLOOKUP(B:B,'[3]SCHEDULE PPM 2026'!$D$6:$E$2196,2, FALSE)</f>
        <v>OXYGEN BREATH ANALYZER</v>
      </c>
      <c r="D362" s="269">
        <f>VLOOKUP(B:B,'[2]BEMS EQUIPMENT '!$E:$Q,13,FALSE)</f>
        <v>3200</v>
      </c>
      <c r="E362" s="267" t="s">
        <v>2842</v>
      </c>
      <c r="F362" s="268" t="str">
        <f>VLOOKUP(B:B,'[3]SCHEDULE PPM 2026'!$D:$O,12,FALSE)</f>
        <v>Unit Rawatan Rapi Neonatal (NICU)</v>
      </c>
      <c r="G362" s="270">
        <f>VLOOKUP(B:B,'[3]SCHEDULE PPM 2026'!$D:$J,7,FALSE)</f>
        <v>46038</v>
      </c>
      <c r="H362" s="271">
        <v>46039</v>
      </c>
      <c r="I362" s="272"/>
      <c r="J362" s="272"/>
      <c r="K362" s="490" t="s">
        <v>2678</v>
      </c>
      <c r="L362" s="275">
        <f t="shared" si="30"/>
        <v>10</v>
      </c>
      <c r="M362" s="273">
        <f t="shared" si="33"/>
        <v>0</v>
      </c>
      <c r="N362" s="337" t="s">
        <v>3068</v>
      </c>
      <c r="O362" s="266"/>
      <c r="P362" s="264"/>
    </row>
    <row r="363" spans="1:16" s="274" customFormat="1" ht="50.1" customHeight="1" x14ac:dyDescent="0.3">
      <c r="A363" s="266">
        <v>73</v>
      </c>
      <c r="B363" s="267" t="s">
        <v>1613</v>
      </c>
      <c r="C363" s="268" t="str">
        <f>VLOOKUP(B:B,'[3]SCHEDULE PPM 2026'!$D$6:$E$2196,2, FALSE)</f>
        <v>SYRINGE INFUSION PUMP</v>
      </c>
      <c r="D363" s="269">
        <f>VLOOKUP(B:B,'[2]BEMS EQUIPMENT '!$E:$Q,13,FALSE)</f>
        <v>4300</v>
      </c>
      <c r="E363" s="267" t="s">
        <v>2843</v>
      </c>
      <c r="F363" s="268" t="str">
        <f>VLOOKUP(B:B,'[3]SCHEDULE PPM 2026'!$D:$O,12,FALSE)</f>
        <v>Jabatan Kecemasan &amp; Trauma (ED)</v>
      </c>
      <c r="G363" s="270">
        <f>VLOOKUP(B:B,'[3]SCHEDULE PPM 2026'!$D:$J,7,FALSE)</f>
        <v>46038</v>
      </c>
      <c r="H363" s="271">
        <v>46039</v>
      </c>
      <c r="I363" s="272"/>
      <c r="J363" s="272"/>
      <c r="K363" s="490" t="s">
        <v>2678</v>
      </c>
      <c r="L363" s="275">
        <f t="shared" si="30"/>
        <v>10</v>
      </c>
      <c r="M363" s="273">
        <f t="shared" ref="M363:M376" si="34">IF(K363="N",0,L363)</f>
        <v>0</v>
      </c>
      <c r="N363" s="337" t="s">
        <v>3068</v>
      </c>
      <c r="O363" s="266"/>
      <c r="P363" s="264"/>
    </row>
    <row r="364" spans="1:16" s="274" customFormat="1" ht="50.1" customHeight="1" x14ac:dyDescent="0.3">
      <c r="A364" s="266">
        <v>74</v>
      </c>
      <c r="B364" s="267" t="s">
        <v>1614</v>
      </c>
      <c r="C364" s="268" t="str">
        <f>VLOOKUP(B:B,'[3]SCHEDULE PPM 2026'!$D$6:$E$2196,2, FALSE)</f>
        <v>SYRINGE INFUSION PUMP</v>
      </c>
      <c r="D364" s="269">
        <f>VLOOKUP(B:B,'[2]BEMS EQUIPMENT '!$E:$Q,13,FALSE)</f>
        <v>4300</v>
      </c>
      <c r="E364" s="267" t="s">
        <v>2844</v>
      </c>
      <c r="F364" s="268" t="str">
        <f>VLOOKUP(B:B,'[3]SCHEDULE PPM 2026'!$D:$O,12,FALSE)</f>
        <v>Jabatan Kecemasan &amp; Trauma (ED)</v>
      </c>
      <c r="G364" s="270">
        <f>VLOOKUP(B:B,'[3]SCHEDULE PPM 2026'!$D:$J,7,FALSE)</f>
        <v>46038</v>
      </c>
      <c r="H364" s="271">
        <v>46039</v>
      </c>
      <c r="I364" s="272"/>
      <c r="J364" s="272"/>
      <c r="K364" s="490" t="s">
        <v>2678</v>
      </c>
      <c r="L364" s="275">
        <f t="shared" si="30"/>
        <v>10</v>
      </c>
      <c r="M364" s="273">
        <f t="shared" si="34"/>
        <v>0</v>
      </c>
      <c r="N364" s="337" t="s">
        <v>3068</v>
      </c>
      <c r="O364" s="266"/>
      <c r="P364" s="264"/>
    </row>
    <row r="365" spans="1:16" s="274" customFormat="1" ht="50.1" customHeight="1" x14ac:dyDescent="0.3">
      <c r="A365" s="266">
        <v>78</v>
      </c>
      <c r="B365" s="267" t="s">
        <v>2908</v>
      </c>
      <c r="C365" s="268" t="str">
        <f>VLOOKUP(B:B,'[4]SCHEDULE PPM 2026'!$D:$E,2, FALSE)</f>
        <v>INFUSION PUMP</v>
      </c>
      <c r="D365" s="269">
        <f>VLOOKUP(B:B,'[2]BEMS EQUIPMENT '!$E:$Q,13,FALSE)</f>
        <v>2800</v>
      </c>
      <c r="E365" s="267" t="s">
        <v>2845</v>
      </c>
      <c r="F365" s="268" t="str">
        <f>VLOOKUP(B:B,'[3]SCHEDULE PPM 2026'!$D:$O,12,FALSE)</f>
        <v>Wad 13 (VIP)</v>
      </c>
      <c r="G365" s="270">
        <f>VLOOKUP(B:B,'[3]SCHEDULE PPM 2026'!$D:$J,7,FALSE)</f>
        <v>46038</v>
      </c>
      <c r="H365" s="271">
        <v>46039</v>
      </c>
      <c r="I365" s="272"/>
      <c r="J365" s="272"/>
      <c r="K365" s="490" t="s">
        <v>2678</v>
      </c>
      <c r="L365" s="275">
        <f t="shared" ref="L365:L382" si="35">ROUNDUP((D365/4999.99)*10,-1)</f>
        <v>10</v>
      </c>
      <c r="M365" s="273">
        <f t="shared" si="34"/>
        <v>0</v>
      </c>
      <c r="N365" s="337" t="s">
        <v>3068</v>
      </c>
      <c r="O365" s="266"/>
      <c r="P365" s="264"/>
    </row>
    <row r="366" spans="1:16" s="274" customFormat="1" ht="50.1" customHeight="1" x14ac:dyDescent="0.3">
      <c r="A366" s="266">
        <v>80</v>
      </c>
      <c r="B366" s="267" t="s">
        <v>2910</v>
      </c>
      <c r="C366" s="268" t="str">
        <f>VLOOKUP(B:B,'[4]SCHEDULE PPM 2026'!$D:$E,2, FALSE)</f>
        <v>VOLUMETRIC PUMP</v>
      </c>
      <c r="D366" s="269">
        <f>VLOOKUP(B:B,'[2]BEMS EQUIPMENT '!$E:$Q,13,FALSE)</f>
        <v>2400</v>
      </c>
      <c r="E366" s="267" t="s">
        <v>2847</v>
      </c>
      <c r="F366" s="268" t="str">
        <f>VLOOKUP(B:B,'[3]SCHEDULE PPM 2026'!$D:$O,12,FALSE)</f>
        <v>WAD 10A (Wad Perubatan Lelaki 10A)</v>
      </c>
      <c r="G366" s="270">
        <f>VLOOKUP(B:B,'[3]SCHEDULE PPM 2026'!$D:$J,7,FALSE)</f>
        <v>46041</v>
      </c>
      <c r="H366" s="271">
        <v>46042</v>
      </c>
      <c r="I366" s="272"/>
      <c r="J366" s="272"/>
      <c r="K366" s="490" t="s">
        <v>2678</v>
      </c>
      <c r="L366" s="275">
        <f t="shared" si="35"/>
        <v>10</v>
      </c>
      <c r="M366" s="273">
        <f t="shared" si="34"/>
        <v>0</v>
      </c>
      <c r="N366" s="337" t="s">
        <v>3072</v>
      </c>
      <c r="O366" s="266"/>
      <c r="P366" s="264"/>
    </row>
    <row r="367" spans="1:16" s="274" customFormat="1" ht="50.1" customHeight="1" x14ac:dyDescent="0.3">
      <c r="A367" s="266">
        <v>81</v>
      </c>
      <c r="B367" s="267" t="s">
        <v>1115</v>
      </c>
      <c r="C367" s="268" t="str">
        <f>VLOOKUP(B:B,'[4]SCHEDULE PPM 2026'!$D:$E,2, FALSE)</f>
        <v>INFANT/ BABY SCALER</v>
      </c>
      <c r="D367" s="269">
        <f>VLOOKUP(B:B,'[2]BEMS EQUIPMENT '!$E:$Q,13,FALSE)</f>
        <v>1500</v>
      </c>
      <c r="E367" s="267" t="s">
        <v>2848</v>
      </c>
      <c r="F367" s="268" t="str">
        <f>VLOOKUP(B:B,'[3]SCHEDULE PPM 2026'!$D:$O,12,FALSE)</f>
        <v>WAD 8A (Wad Obstetrik &amp; Ginekologi 8A)</v>
      </c>
      <c r="G367" s="270">
        <f>VLOOKUP(B:B,'[3]SCHEDULE PPM 2026'!$D:$J,7,FALSE)</f>
        <v>46042</v>
      </c>
      <c r="H367" s="271">
        <v>46043</v>
      </c>
      <c r="I367" s="272"/>
      <c r="J367" s="272"/>
      <c r="K367" s="490" t="s">
        <v>2678</v>
      </c>
      <c r="L367" s="275">
        <f t="shared" si="35"/>
        <v>10</v>
      </c>
      <c r="M367" s="273">
        <f t="shared" si="34"/>
        <v>0</v>
      </c>
      <c r="N367" s="337" t="s">
        <v>3068</v>
      </c>
      <c r="O367" s="266"/>
      <c r="P367" s="264"/>
    </row>
    <row r="368" spans="1:16" s="274" customFormat="1" ht="50.1" customHeight="1" x14ac:dyDescent="0.3">
      <c r="A368" s="266">
        <v>85</v>
      </c>
      <c r="B368" s="267" t="s">
        <v>2741</v>
      </c>
      <c r="C368" s="268" t="s">
        <v>2405</v>
      </c>
      <c r="D368" s="269">
        <f>VLOOKUP(B:B,'[2]BEMS EQUIPMENT '!$E:$Q,13,FALSE)</f>
        <v>16000</v>
      </c>
      <c r="E368" s="267" t="s">
        <v>2849</v>
      </c>
      <c r="F368" s="268" t="str">
        <f>VLOOKUP(B:B,'[3]SCHEDULE PPM 2026'!$D:$O,12,FALSE)</f>
        <v>WAD 9A (Wad Pembedahan Lelaki 9A)</v>
      </c>
      <c r="G368" s="270">
        <f>VLOOKUP(B:B,'[3]SCHEDULE PPM 2026'!$D:$J,7,FALSE)</f>
        <v>46042</v>
      </c>
      <c r="H368" s="271">
        <v>46043</v>
      </c>
      <c r="I368" s="272"/>
      <c r="J368" s="272"/>
      <c r="K368" s="490" t="s">
        <v>2678</v>
      </c>
      <c r="L368" s="275">
        <f t="shared" si="35"/>
        <v>40</v>
      </c>
      <c r="M368" s="273">
        <f t="shared" si="34"/>
        <v>0</v>
      </c>
      <c r="N368" s="337" t="s">
        <v>3068</v>
      </c>
      <c r="O368" s="266"/>
      <c r="P368" s="264"/>
    </row>
    <row r="369" spans="1:16" s="274" customFormat="1" ht="50.1" customHeight="1" x14ac:dyDescent="0.3">
      <c r="A369" s="266">
        <v>88</v>
      </c>
      <c r="B369" s="267" t="s">
        <v>2914</v>
      </c>
      <c r="C369" s="268" t="str">
        <f>VLOOKUP(B:B,'[4]SCHEDULE PPM 2026'!$D:$E,2, FALSE)</f>
        <v>CTG MACHINE</v>
      </c>
      <c r="D369" s="269">
        <f>VLOOKUP(B:B,'[2]BEMS EQUIPMENT '!$E:$Q,13,FALSE)</f>
        <v>15000</v>
      </c>
      <c r="E369" s="267" t="s">
        <v>2850</v>
      </c>
      <c r="F369" s="268" t="str">
        <f>VLOOKUP(B:B,'[3]SCHEDULE PPM 2026'!$D:$O,12,FALSE)</f>
        <v>WAD 8B (Wad Obstetrik &amp; Ginekologi 8B)</v>
      </c>
      <c r="G369" s="270">
        <f>VLOOKUP(B:B,'[3]SCHEDULE PPM 2026'!$D:$J,7,FALSE)</f>
        <v>46042</v>
      </c>
      <c r="H369" s="271">
        <v>46043</v>
      </c>
      <c r="I369" s="272"/>
      <c r="J369" s="272"/>
      <c r="K369" s="490" t="s">
        <v>2678</v>
      </c>
      <c r="L369" s="275">
        <f t="shared" si="35"/>
        <v>40</v>
      </c>
      <c r="M369" s="273">
        <f t="shared" si="34"/>
        <v>0</v>
      </c>
      <c r="N369" s="337" t="s">
        <v>3068</v>
      </c>
      <c r="O369" s="266"/>
      <c r="P369" s="264"/>
    </row>
    <row r="370" spans="1:16" s="274" customFormat="1" ht="50.1" customHeight="1" x14ac:dyDescent="0.3">
      <c r="A370" s="266">
        <v>94</v>
      </c>
      <c r="B370" s="267" t="s">
        <v>2275</v>
      </c>
      <c r="C370" s="268" t="str">
        <f>VLOOKUP(B:B,'[3]SCHEDULE PPM 2026'!$D$6:$E$2196,2, FALSE)</f>
        <v>BLOOD CULTURE ANALYZER</v>
      </c>
      <c r="D370" s="269">
        <v>125000</v>
      </c>
      <c r="E370" s="267" t="s">
        <v>2852</v>
      </c>
      <c r="F370" s="268" t="str">
        <f>VLOOKUP(B:B,'[3]SCHEDULE PPM 2026'!$D:$O,12,FALSE)</f>
        <v>PATHOLOGY</v>
      </c>
      <c r="G370" s="270">
        <f>VLOOKUP(B:B,'[3]SCHEDULE PPM 2026'!$D:$J,7,FALSE)</f>
        <v>46044</v>
      </c>
      <c r="H370" s="271">
        <v>46045</v>
      </c>
      <c r="I370" s="272"/>
      <c r="J370" s="272"/>
      <c r="K370" s="490" t="s">
        <v>2678</v>
      </c>
      <c r="L370" s="275">
        <f t="shared" si="35"/>
        <v>260</v>
      </c>
      <c r="M370" s="273">
        <f t="shared" si="34"/>
        <v>0</v>
      </c>
      <c r="N370" s="337" t="s">
        <v>3107</v>
      </c>
      <c r="O370" s="266"/>
      <c r="P370" s="264"/>
    </row>
    <row r="371" spans="1:16" s="274" customFormat="1" ht="50.1" customHeight="1" x14ac:dyDescent="0.3">
      <c r="A371" s="266">
        <v>95</v>
      </c>
      <c r="B371" s="267" t="s">
        <v>2919</v>
      </c>
      <c r="C371" s="268" t="s">
        <v>2452</v>
      </c>
      <c r="D371" s="269">
        <f>VLOOKUP(B:B,'[2]BEMS EQUIPMENT '!$E:$Q,13,FALSE)</f>
        <v>18000</v>
      </c>
      <c r="E371" s="267" t="s">
        <v>2853</v>
      </c>
      <c r="F371" s="268" t="str">
        <f>VLOOKUP(B:B,'[3]SCHEDULE PPM 2026'!$D:$O,12,FALSE)</f>
        <v>Dewan Bersalin (LDU)</v>
      </c>
      <c r="G371" s="270">
        <f>VLOOKUP(B:B,'[3]SCHEDULE PPM 2026'!$D:$J,7,FALSE)</f>
        <v>46044</v>
      </c>
      <c r="H371" s="271">
        <v>46045</v>
      </c>
      <c r="I371" s="272"/>
      <c r="J371" s="272"/>
      <c r="K371" s="490" t="s">
        <v>2678</v>
      </c>
      <c r="L371" s="275">
        <f t="shared" si="35"/>
        <v>40</v>
      </c>
      <c r="M371" s="273">
        <f t="shared" si="34"/>
        <v>0</v>
      </c>
      <c r="N371" s="337" t="s">
        <v>3068</v>
      </c>
      <c r="O371" s="266"/>
      <c r="P371" s="264"/>
    </row>
    <row r="372" spans="1:16" s="274" customFormat="1" ht="50.1" customHeight="1" x14ac:dyDescent="0.3">
      <c r="A372" s="266">
        <v>96</v>
      </c>
      <c r="B372" s="267" t="s">
        <v>2745</v>
      </c>
      <c r="C372" s="268" t="s">
        <v>2452</v>
      </c>
      <c r="D372" s="269">
        <f>VLOOKUP(B:B,'[2]BEMS EQUIPMENT '!$E:$Q,13,FALSE)</f>
        <v>18000</v>
      </c>
      <c r="E372" s="267" t="s">
        <v>2854</v>
      </c>
      <c r="F372" s="268" t="str">
        <f>VLOOKUP(B:B,'[3]SCHEDULE PPM 2026'!$D:$O,12,FALSE)</f>
        <v>PAC</v>
      </c>
      <c r="G372" s="270">
        <f>VLOOKUP(B:B,'[3]SCHEDULE PPM 2026'!$D:$J,7,FALSE)</f>
        <v>46044</v>
      </c>
      <c r="H372" s="271">
        <v>46045</v>
      </c>
      <c r="I372" s="272"/>
      <c r="J372" s="272"/>
      <c r="K372" s="490" t="s">
        <v>2678</v>
      </c>
      <c r="L372" s="275">
        <f t="shared" si="35"/>
        <v>40</v>
      </c>
      <c r="M372" s="273">
        <f t="shared" si="34"/>
        <v>0</v>
      </c>
      <c r="N372" s="337" t="s">
        <v>3068</v>
      </c>
      <c r="O372" s="268"/>
      <c r="P372" s="264"/>
    </row>
    <row r="373" spans="1:16" s="274" customFormat="1" ht="50.1" customHeight="1" x14ac:dyDescent="0.3">
      <c r="A373" s="266">
        <v>98</v>
      </c>
      <c r="B373" s="267" t="s">
        <v>1103</v>
      </c>
      <c r="C373" s="268" t="str">
        <f>VLOOKUP(B:B,'[3]SCHEDULE PPM 2026'!$D$6:$E$2196,2, FALSE)</f>
        <v>INFANT/ BABY SCALER</v>
      </c>
      <c r="D373" s="269">
        <f>VLOOKUP(B:B,'[2]BEMS EQUIPMENT '!$E:$Q,13,FALSE)</f>
        <v>1500</v>
      </c>
      <c r="E373" s="267" t="s">
        <v>2855</v>
      </c>
      <c r="F373" s="268" t="str">
        <f>VLOOKUP(B:B,'[3]SCHEDULE PPM 2026'!$D:$O,12,FALSE)</f>
        <v>Dewan Bersalin (LDU)</v>
      </c>
      <c r="G373" s="270">
        <f>VLOOKUP(B:B,'[3]SCHEDULE PPM 2026'!$D:$J,7,FALSE)</f>
        <v>46045</v>
      </c>
      <c r="H373" s="271">
        <v>46046</v>
      </c>
      <c r="I373" s="268"/>
      <c r="J373" s="268"/>
      <c r="K373" s="490" t="s">
        <v>2678</v>
      </c>
      <c r="L373" s="275">
        <f t="shared" si="35"/>
        <v>10</v>
      </c>
      <c r="M373" s="273">
        <f t="shared" si="34"/>
        <v>0</v>
      </c>
      <c r="N373" s="337" t="s">
        <v>3068</v>
      </c>
      <c r="O373" s="268"/>
      <c r="P373" s="264"/>
    </row>
    <row r="374" spans="1:16" s="274" customFormat="1" ht="50.1" customHeight="1" x14ac:dyDescent="0.3">
      <c r="A374" s="266">
        <v>103</v>
      </c>
      <c r="B374" s="267" t="s">
        <v>1927</v>
      </c>
      <c r="C374" s="268" t="str">
        <f>VLOOKUP(B:B,'[3]SCHEDULE PPM 2026'!$D$6:$E$2196,2, FALSE)</f>
        <v>SUCTION APPARATUS</v>
      </c>
      <c r="D374" s="269">
        <f>VLOOKUP(B:B,'[2]BEMS EQUIPMENT '!$E:$Q,13,FALSE)</f>
        <v>3386.5</v>
      </c>
      <c r="E374" s="267" t="s">
        <v>2856</v>
      </c>
      <c r="F374" s="268" t="str">
        <f>VLOOKUP(B:B,'[3]SCHEDULE PPM 2026'!$D:$O,12,FALSE)</f>
        <v>WAD 10A (Wad Perubatan Lelaki 10A)</v>
      </c>
      <c r="G374" s="270">
        <f>VLOOKUP(B:B,'[3]SCHEDULE PPM 2026'!$D:$J,7,FALSE)</f>
        <v>46045</v>
      </c>
      <c r="H374" s="271">
        <v>46046</v>
      </c>
      <c r="I374" s="268"/>
      <c r="J374" s="268"/>
      <c r="K374" s="490" t="s">
        <v>2678</v>
      </c>
      <c r="L374" s="275">
        <f t="shared" si="35"/>
        <v>10</v>
      </c>
      <c r="M374" s="273">
        <f t="shared" si="34"/>
        <v>0</v>
      </c>
      <c r="N374" s="337" t="s">
        <v>3072</v>
      </c>
      <c r="O374" s="268"/>
      <c r="P374" s="264"/>
    </row>
    <row r="375" spans="1:16" s="274" customFormat="1" ht="50.1" customHeight="1" x14ac:dyDescent="0.3">
      <c r="A375" s="266">
        <v>104</v>
      </c>
      <c r="B375" s="267" t="s">
        <v>1928</v>
      </c>
      <c r="C375" s="268" t="str">
        <f>VLOOKUP(B:B,'[3]SCHEDULE PPM 2026'!$D$6:$E$2196,2, FALSE)</f>
        <v>SUCTION APPARATUS</v>
      </c>
      <c r="D375" s="269">
        <f>VLOOKUP(B:B,'[2]BEMS EQUIPMENT '!$E:$Q,13,FALSE)</f>
        <v>3386.5</v>
      </c>
      <c r="E375" s="267" t="s">
        <v>2857</v>
      </c>
      <c r="F375" s="268" t="str">
        <f>VLOOKUP(B:B,'[3]SCHEDULE PPM 2026'!$D:$O,12,FALSE)</f>
        <v>WAD 10A (Wad Perubatan Lelaki 10A)</v>
      </c>
      <c r="G375" s="270">
        <f>VLOOKUP(B:B,'[3]SCHEDULE PPM 2026'!$D:$J,7,FALSE)</f>
        <v>46045</v>
      </c>
      <c r="H375" s="271">
        <v>46046</v>
      </c>
      <c r="I375" s="268"/>
      <c r="J375" s="278"/>
      <c r="K375" s="490" t="s">
        <v>2678</v>
      </c>
      <c r="L375" s="275">
        <f t="shared" si="35"/>
        <v>10</v>
      </c>
      <c r="M375" s="273">
        <f t="shared" si="34"/>
        <v>0</v>
      </c>
      <c r="N375" s="337" t="s">
        <v>3072</v>
      </c>
      <c r="O375" s="268"/>
      <c r="P375" s="264"/>
    </row>
    <row r="376" spans="1:16" s="274" customFormat="1" ht="50.1" customHeight="1" x14ac:dyDescent="0.3">
      <c r="A376" s="266">
        <v>106</v>
      </c>
      <c r="B376" s="267" t="s">
        <v>2923</v>
      </c>
      <c r="C376" s="268" t="e">
        <f>VLOOKUP(B:B,[3]!Table14[[Asset No]:[Type Description]],2, FALSE)</f>
        <v>#REF!</v>
      </c>
      <c r="D376" s="269">
        <f>VLOOKUP(B:B,'[2]BEMS EQUIPMENT '!$E:$Q,13,FALSE)</f>
        <v>633</v>
      </c>
      <c r="E376" s="267" t="s">
        <v>2858</v>
      </c>
      <c r="F376" s="268" t="str">
        <f>VLOOKUP(B:B,'[3]SCHEDULE PPM 2026'!$D:$O,12,FALSE)</f>
        <v>WAD 8A (Wad Obstetrik &amp; Ginekologi 8A)</v>
      </c>
      <c r="G376" s="270">
        <f>VLOOKUP(B:B,'[3]SCHEDULE PPM 2026'!$D:$J,7,FALSE)</f>
        <v>46045</v>
      </c>
      <c r="H376" s="271">
        <v>46046</v>
      </c>
      <c r="I376" s="268"/>
      <c r="J376" s="268"/>
      <c r="K376" s="490" t="s">
        <v>2678</v>
      </c>
      <c r="L376" s="275">
        <f t="shared" si="35"/>
        <v>10</v>
      </c>
      <c r="M376" s="273">
        <f t="shared" si="34"/>
        <v>0</v>
      </c>
      <c r="N376" s="337" t="s">
        <v>3068</v>
      </c>
      <c r="O376" s="268"/>
      <c r="P376" s="264"/>
    </row>
    <row r="377" spans="1:16" s="274" customFormat="1" ht="50.1" customHeight="1" x14ac:dyDescent="0.3">
      <c r="A377" s="266">
        <v>107</v>
      </c>
      <c r="B377" s="267" t="s">
        <v>2924</v>
      </c>
      <c r="C377" s="268" t="s">
        <v>2351</v>
      </c>
      <c r="D377" s="269">
        <f>VLOOKUP(B:B,'[2]BEMS EQUIPMENT '!$E:$Q,13,FALSE)</f>
        <v>633</v>
      </c>
      <c r="E377" s="267" t="s">
        <v>2859</v>
      </c>
      <c r="F377" s="277" t="s">
        <v>2709</v>
      </c>
      <c r="G377" s="270">
        <v>46045</v>
      </c>
      <c r="H377" s="271">
        <v>46046</v>
      </c>
      <c r="I377" s="268"/>
      <c r="J377" s="268"/>
      <c r="K377" s="490" t="s">
        <v>2678</v>
      </c>
      <c r="L377" s="275">
        <f t="shared" si="35"/>
        <v>10</v>
      </c>
      <c r="M377" s="273">
        <f t="shared" ref="M377:M382" si="36">IF(K377="N",0,L377)</f>
        <v>0</v>
      </c>
      <c r="N377" s="337" t="s">
        <v>3068</v>
      </c>
      <c r="O377" s="268"/>
      <c r="P377" s="264"/>
    </row>
    <row r="378" spans="1:16" s="274" customFormat="1" ht="50.1" customHeight="1" x14ac:dyDescent="0.3">
      <c r="A378" s="266">
        <v>109</v>
      </c>
      <c r="B378" s="267" t="s">
        <v>1400</v>
      </c>
      <c r="C378" s="268" t="str">
        <f>VLOOKUP(B:B,'[3]SCHEDULE PPM 2026'!$D$6:$E$2196,2, FALSE)</f>
        <v>NEBULIZER</v>
      </c>
      <c r="D378" s="269">
        <f>VLOOKUP(B:B,'[2]BEMS EQUIPMENT '!$E:$Q,13,FALSE)</f>
        <v>1950</v>
      </c>
      <c r="E378" s="267" t="s">
        <v>2860</v>
      </c>
      <c r="F378" s="268" t="str">
        <f>VLOOKUP(B:B,'[3]SCHEDULE PPM 2026'!$D:$O,12,FALSE)</f>
        <v>WAD 10A (Wad Perubatan Lelaki 10A)</v>
      </c>
      <c r="G378" s="270">
        <f>VLOOKUP(B:B,'[3]SCHEDULE PPM 2026'!$D:$J,7,FALSE)</f>
        <v>46048</v>
      </c>
      <c r="H378" s="271">
        <v>46049</v>
      </c>
      <c r="I378" s="268"/>
      <c r="J378" s="268"/>
      <c r="K378" s="490" t="s">
        <v>2678</v>
      </c>
      <c r="L378" s="275">
        <f t="shared" si="35"/>
        <v>10</v>
      </c>
      <c r="M378" s="273">
        <f t="shared" si="36"/>
        <v>0</v>
      </c>
      <c r="N378" s="337" t="s">
        <v>3072</v>
      </c>
      <c r="O378" s="268"/>
      <c r="P378" s="264"/>
    </row>
    <row r="379" spans="1:16" s="274" customFormat="1" ht="50.1" customHeight="1" x14ac:dyDescent="0.3">
      <c r="A379" s="266">
        <v>114</v>
      </c>
      <c r="B379" s="267" t="s">
        <v>354</v>
      </c>
      <c r="C379" s="268" t="str">
        <f>VLOOKUP(B:B,'[3]SCHEDULE PPM 2026'!$D$6:$E$2196,2, FALSE)</f>
        <v>PATIENT MONITORING EQUIP.(AUTOMATIC MULTIPARAMETER)</v>
      </c>
      <c r="D379" s="269">
        <f>VLOOKUP(B:B,'[2]BEMS EQUIPMENT '!$E:$Q,13,FALSE)</f>
        <v>1855</v>
      </c>
      <c r="E379" s="267" t="s">
        <v>2862</v>
      </c>
      <c r="F379" s="268" t="str">
        <f>VLOOKUP(B:B,'[3]SCHEDULE PPM 2026'!$D:$O,12,FALSE)</f>
        <v>Unit Hemodialisis (HDU)</v>
      </c>
      <c r="G379" s="270">
        <f>VLOOKUP(B:B,'[3]SCHEDULE PPM 2026'!$D:$J,7,FALSE)</f>
        <v>46051</v>
      </c>
      <c r="H379" s="271">
        <v>46052</v>
      </c>
      <c r="I379" s="268"/>
      <c r="J379" s="278"/>
      <c r="K379" s="490" t="s">
        <v>2678</v>
      </c>
      <c r="L379" s="275">
        <f t="shared" si="35"/>
        <v>10</v>
      </c>
      <c r="M379" s="273">
        <f t="shared" si="36"/>
        <v>0</v>
      </c>
      <c r="N379" s="337" t="s">
        <v>3068</v>
      </c>
      <c r="O379" s="268"/>
      <c r="P379" s="264"/>
    </row>
    <row r="380" spans="1:16" s="274" customFormat="1" ht="50.1" customHeight="1" x14ac:dyDescent="0.3">
      <c r="A380" s="266">
        <v>115</v>
      </c>
      <c r="B380" s="267" t="s">
        <v>355</v>
      </c>
      <c r="C380" s="268" t="str">
        <f>VLOOKUP(B:B,'[3]SCHEDULE PPM 2026'!$D$6:$E$2196,2, FALSE)</f>
        <v>PATIENT MONITORING EQUIP.(AUTOMATIC MULTIPARAMETER)</v>
      </c>
      <c r="D380" s="269">
        <f>VLOOKUP(B:B,'[2]BEMS EQUIPMENT '!$E:$Q,13,FALSE)</f>
        <v>1855</v>
      </c>
      <c r="E380" s="267" t="s">
        <v>2863</v>
      </c>
      <c r="F380" s="268" t="str">
        <f>VLOOKUP(B:B,'[3]SCHEDULE PPM 2026'!$D:$O,12,FALSE)</f>
        <v>Unit Hemodialisis (HDU)</v>
      </c>
      <c r="G380" s="270">
        <f>VLOOKUP(B:B,'[3]SCHEDULE PPM 2026'!$D:$J,7,FALSE)</f>
        <v>46051</v>
      </c>
      <c r="H380" s="271">
        <v>46052</v>
      </c>
      <c r="I380" s="268"/>
      <c r="J380" s="268"/>
      <c r="K380" s="490" t="s">
        <v>2678</v>
      </c>
      <c r="L380" s="275">
        <f t="shared" si="35"/>
        <v>10</v>
      </c>
      <c r="M380" s="273">
        <f t="shared" si="36"/>
        <v>0</v>
      </c>
      <c r="N380" s="337" t="s">
        <v>3068</v>
      </c>
      <c r="O380" s="268"/>
      <c r="P380" s="264"/>
    </row>
    <row r="381" spans="1:16" s="274" customFormat="1" ht="50.1" customHeight="1" x14ac:dyDescent="0.3">
      <c r="A381" s="266">
        <v>117</v>
      </c>
      <c r="B381" s="267" t="s">
        <v>2328</v>
      </c>
      <c r="C381" s="268" t="str">
        <f>VLOOKUP(B:B,'[3]SCHEDULE PPM 2026'!$D$6:$E$2196,2, FALSE)</f>
        <v>ULTRASOUND SCANNER</v>
      </c>
      <c r="D381" s="269">
        <f>VLOOKUP(B:B,'[2]BEMS EQUIPMENT '!$E:$Q,13,FALSE)</f>
        <v>74000</v>
      </c>
      <c r="E381" s="267" t="s">
        <v>2864</v>
      </c>
      <c r="F381" s="268" t="str">
        <f>VLOOKUP(B:B,'[3]SCHEDULE PPM 2026'!$D:$O,12,FALSE)</f>
        <v>Jabatan Kecemasan &amp; Trauma (ED)</v>
      </c>
      <c r="G381" s="270">
        <f>VLOOKUP(B:B,'[3]SCHEDULE PPM 2026'!$D:$J,7,FALSE)</f>
        <v>46051</v>
      </c>
      <c r="H381" s="271">
        <v>46052</v>
      </c>
      <c r="I381" s="268"/>
      <c r="J381" s="268"/>
      <c r="K381" s="490" t="s">
        <v>2678</v>
      </c>
      <c r="L381" s="275">
        <f t="shared" si="35"/>
        <v>150</v>
      </c>
      <c r="M381" s="273">
        <f t="shared" si="36"/>
        <v>0</v>
      </c>
      <c r="N381" s="337" t="s">
        <v>3068</v>
      </c>
      <c r="O381" s="268"/>
      <c r="P381" s="264"/>
    </row>
    <row r="382" spans="1:16" s="274" customFormat="1" ht="50.1" customHeight="1" x14ac:dyDescent="0.3">
      <c r="A382" s="266">
        <v>119</v>
      </c>
      <c r="B382" s="267" t="s">
        <v>357</v>
      </c>
      <c r="C382" s="268" t="str">
        <f>VLOOKUP(B:B,'[3]SCHEDULE PPM 2026'!$D$6:$E$2196,2, FALSE)</f>
        <v>PATIENT MONITORING EQUIP.(AUTOMATIC MULTIPARAMETER)</v>
      </c>
      <c r="D382" s="269">
        <f>VLOOKUP(B:B,'[2]BEMS EQUIPMENT '!$E:$Q,13,FALSE)</f>
        <v>1855</v>
      </c>
      <c r="E382" s="267" t="s">
        <v>2865</v>
      </c>
      <c r="F382" s="268" t="str">
        <f>VLOOKUP(B:B,'[3]SCHEDULE PPM 2026'!$D:$O,12,FALSE)</f>
        <v>Klinik Obstetrik Ginekologi (O&amp;G CLINIC)</v>
      </c>
      <c r="G382" s="270">
        <f>VLOOKUP(B:B,'[3]SCHEDULE PPM 2026'!$D:$J,7,FALSE)</f>
        <v>46052</v>
      </c>
      <c r="H382" s="271">
        <v>46053</v>
      </c>
      <c r="I382" s="268"/>
      <c r="J382" s="268"/>
      <c r="K382" s="490" t="s">
        <v>2678</v>
      </c>
      <c r="L382" s="275">
        <f t="shared" si="35"/>
        <v>10</v>
      </c>
      <c r="M382" s="273">
        <f t="shared" si="36"/>
        <v>0</v>
      </c>
      <c r="N382" s="337" t="s">
        <v>3068</v>
      </c>
      <c r="O382" s="268"/>
      <c r="P382" s="264"/>
    </row>
    <row r="383" spans="1:16" ht="50.1" customHeight="1" x14ac:dyDescent="0.25">
      <c r="A383" s="336">
        <v>1</v>
      </c>
      <c r="B383" s="268" t="s">
        <v>1520</v>
      </c>
      <c r="C383" s="268" t="s">
        <v>2323</v>
      </c>
      <c r="D383" s="269">
        <v>24000</v>
      </c>
      <c r="E383" s="391" t="s">
        <v>3227</v>
      </c>
      <c r="F383" s="268" t="s">
        <v>2988</v>
      </c>
      <c r="G383" s="392">
        <v>46055</v>
      </c>
      <c r="H383" s="392">
        <v>46056</v>
      </c>
      <c r="I383" s="389"/>
      <c r="J383" s="389"/>
      <c r="K383" s="337" t="s">
        <v>2678</v>
      </c>
      <c r="L383" s="273">
        <f t="shared" ref="L383:L410" si="37">ROUNDUP((D383/4999.99)*10,-1)</f>
        <v>50</v>
      </c>
      <c r="M383" s="273">
        <f t="shared" ref="M383:M442" si="38">IF(K383="N",0,L383)</f>
        <v>0</v>
      </c>
      <c r="N383" s="337" t="s">
        <v>3228</v>
      </c>
      <c r="O383" s="114"/>
    </row>
    <row r="384" spans="1:16" ht="50.1" customHeight="1" x14ac:dyDescent="0.25">
      <c r="A384" s="336">
        <v>2</v>
      </c>
      <c r="B384" s="268" t="s">
        <v>1521</v>
      </c>
      <c r="C384" s="268" t="s">
        <v>2323</v>
      </c>
      <c r="D384" s="269">
        <v>24000</v>
      </c>
      <c r="E384" s="391" t="s">
        <v>3229</v>
      </c>
      <c r="F384" s="268" t="s">
        <v>2988</v>
      </c>
      <c r="G384" s="399">
        <v>46055</v>
      </c>
      <c r="H384" s="399">
        <v>46056</v>
      </c>
      <c r="I384" s="389"/>
      <c r="J384" s="389"/>
      <c r="K384" s="337" t="s">
        <v>2678</v>
      </c>
      <c r="L384" s="273">
        <f t="shared" si="37"/>
        <v>50</v>
      </c>
      <c r="M384" s="273">
        <f t="shared" si="38"/>
        <v>0</v>
      </c>
      <c r="N384" s="337" t="s">
        <v>3228</v>
      </c>
      <c r="O384" s="114"/>
    </row>
    <row r="385" spans="1:15" ht="50.1" customHeight="1" x14ac:dyDescent="0.25">
      <c r="A385" s="336">
        <v>3</v>
      </c>
      <c r="B385" s="268" t="s">
        <v>2302</v>
      </c>
      <c r="C385" s="268" t="s">
        <v>1153</v>
      </c>
      <c r="D385" s="269">
        <v>7400</v>
      </c>
      <c r="E385" s="391" t="s">
        <v>3230</v>
      </c>
      <c r="F385" s="268" t="s">
        <v>3023</v>
      </c>
      <c r="G385" s="392">
        <v>46055</v>
      </c>
      <c r="H385" s="392">
        <v>46056</v>
      </c>
      <c r="I385" s="389"/>
      <c r="J385" s="389"/>
      <c r="K385" s="337" t="s">
        <v>2678</v>
      </c>
      <c r="L385" s="273">
        <f t="shared" si="37"/>
        <v>20</v>
      </c>
      <c r="M385" s="273">
        <f t="shared" si="38"/>
        <v>0</v>
      </c>
      <c r="N385" s="337" t="s">
        <v>3228</v>
      </c>
      <c r="O385" s="114"/>
    </row>
    <row r="386" spans="1:15" ht="50.1" customHeight="1" x14ac:dyDescent="0.25">
      <c r="A386" s="336">
        <v>4</v>
      </c>
      <c r="B386" s="268" t="s">
        <v>2303</v>
      </c>
      <c r="C386" s="268" t="s">
        <v>1153</v>
      </c>
      <c r="D386" s="269">
        <v>7400</v>
      </c>
      <c r="E386" s="391" t="s">
        <v>3231</v>
      </c>
      <c r="F386" s="268" t="s">
        <v>3023</v>
      </c>
      <c r="G386" s="392">
        <v>46055</v>
      </c>
      <c r="H386" s="392">
        <v>46056</v>
      </c>
      <c r="I386" s="389"/>
      <c r="J386" s="389"/>
      <c r="K386" s="337" t="s">
        <v>2678</v>
      </c>
      <c r="L386" s="273">
        <f t="shared" si="37"/>
        <v>20</v>
      </c>
      <c r="M386" s="273">
        <f t="shared" si="38"/>
        <v>0</v>
      </c>
      <c r="N386" s="337" t="s">
        <v>3228</v>
      </c>
      <c r="O386" s="114"/>
    </row>
    <row r="387" spans="1:15" ht="50.1" customHeight="1" x14ac:dyDescent="0.25">
      <c r="A387" s="336">
        <v>5</v>
      </c>
      <c r="B387" s="268" t="s">
        <v>2311</v>
      </c>
      <c r="C387" s="268" t="s">
        <v>2310</v>
      </c>
      <c r="D387" s="269">
        <v>40000</v>
      </c>
      <c r="E387" s="391" t="s">
        <v>3232</v>
      </c>
      <c r="F387" s="268" t="s">
        <v>3030</v>
      </c>
      <c r="G387" s="392">
        <v>46055</v>
      </c>
      <c r="H387" s="392">
        <v>46056</v>
      </c>
      <c r="I387" s="389"/>
      <c r="J387" s="389"/>
      <c r="K387" s="337" t="s">
        <v>2678</v>
      </c>
      <c r="L387" s="273">
        <f t="shared" si="37"/>
        <v>90</v>
      </c>
      <c r="M387" s="273">
        <f t="shared" si="38"/>
        <v>0</v>
      </c>
      <c r="N387" s="337" t="s">
        <v>3228</v>
      </c>
      <c r="O387" s="114"/>
    </row>
    <row r="388" spans="1:15" ht="50.1" customHeight="1" x14ac:dyDescent="0.25">
      <c r="A388" s="336">
        <v>6</v>
      </c>
      <c r="B388" s="268" t="s">
        <v>2315</v>
      </c>
      <c r="C388" s="268" t="s">
        <v>2314</v>
      </c>
      <c r="D388" s="269">
        <v>35000</v>
      </c>
      <c r="E388" s="391" t="s">
        <v>3233</v>
      </c>
      <c r="F388" s="268" t="s">
        <v>3030</v>
      </c>
      <c r="G388" s="392">
        <v>46055</v>
      </c>
      <c r="H388" s="392">
        <v>46056</v>
      </c>
      <c r="I388" s="389"/>
      <c r="J388" s="389"/>
      <c r="K388" s="337" t="s">
        <v>2678</v>
      </c>
      <c r="L388" s="273">
        <f t="shared" si="37"/>
        <v>80</v>
      </c>
      <c r="M388" s="273">
        <f t="shared" si="38"/>
        <v>0</v>
      </c>
      <c r="N388" s="337" t="s">
        <v>3228</v>
      </c>
      <c r="O388" s="114"/>
    </row>
    <row r="389" spans="1:15" ht="50.1" customHeight="1" x14ac:dyDescent="0.25">
      <c r="A389" s="336">
        <v>7</v>
      </c>
      <c r="B389" s="268" t="s">
        <v>2316</v>
      </c>
      <c r="C389" s="268" t="s">
        <v>1995</v>
      </c>
      <c r="D389" s="269">
        <v>3150</v>
      </c>
      <c r="E389" s="391" t="s">
        <v>3234</v>
      </c>
      <c r="F389" s="268" t="s">
        <v>3032</v>
      </c>
      <c r="G389" s="392">
        <v>46055</v>
      </c>
      <c r="H389" s="392">
        <v>46056</v>
      </c>
      <c r="I389" s="389"/>
      <c r="J389" s="389"/>
      <c r="K389" s="337" t="s">
        <v>2678</v>
      </c>
      <c r="L389" s="273">
        <f t="shared" si="37"/>
        <v>10</v>
      </c>
      <c r="M389" s="273">
        <f t="shared" si="38"/>
        <v>0</v>
      </c>
      <c r="N389" s="337" t="s">
        <v>3228</v>
      </c>
      <c r="O389" s="114"/>
    </row>
    <row r="390" spans="1:15" ht="50.1" customHeight="1" x14ac:dyDescent="0.25">
      <c r="A390" s="336">
        <v>8</v>
      </c>
      <c r="B390" s="268" t="s">
        <v>2317</v>
      </c>
      <c r="C390" s="268" t="s">
        <v>1995</v>
      </c>
      <c r="D390" s="269">
        <v>3150</v>
      </c>
      <c r="E390" s="391" t="s">
        <v>3235</v>
      </c>
      <c r="F390" s="268" t="s">
        <v>3032</v>
      </c>
      <c r="G390" s="392">
        <v>46055</v>
      </c>
      <c r="H390" s="392">
        <v>46056</v>
      </c>
      <c r="I390" s="389"/>
      <c r="J390" s="389"/>
      <c r="K390" s="337" t="s">
        <v>2678</v>
      </c>
      <c r="L390" s="273">
        <f t="shared" si="37"/>
        <v>10</v>
      </c>
      <c r="M390" s="273">
        <f t="shared" si="38"/>
        <v>0</v>
      </c>
      <c r="N390" s="337" t="s">
        <v>3228</v>
      </c>
      <c r="O390" s="114"/>
    </row>
    <row r="391" spans="1:15" ht="50.1" customHeight="1" x14ac:dyDescent="0.25">
      <c r="A391" s="336">
        <v>9</v>
      </c>
      <c r="B391" s="268" t="s">
        <v>2320</v>
      </c>
      <c r="C391" s="268" t="s">
        <v>1998</v>
      </c>
      <c r="D391" s="269">
        <v>3180</v>
      </c>
      <c r="E391" s="391" t="s">
        <v>3236</v>
      </c>
      <c r="F391" s="268" t="s">
        <v>2988</v>
      </c>
      <c r="G391" s="392">
        <v>46055</v>
      </c>
      <c r="H391" s="392">
        <v>46056</v>
      </c>
      <c r="I391" s="389"/>
      <c r="J391" s="389"/>
      <c r="K391" s="337" t="s">
        <v>2678</v>
      </c>
      <c r="L391" s="273">
        <f t="shared" si="37"/>
        <v>10</v>
      </c>
      <c r="M391" s="273">
        <f t="shared" si="38"/>
        <v>0</v>
      </c>
      <c r="N391" s="337" t="s">
        <v>3228</v>
      </c>
      <c r="O391" s="114"/>
    </row>
    <row r="392" spans="1:15" ht="50.1" customHeight="1" x14ac:dyDescent="0.25">
      <c r="A392" s="336">
        <v>10</v>
      </c>
      <c r="B392" s="268" t="s">
        <v>2321</v>
      </c>
      <c r="C392" s="268" t="s">
        <v>1998</v>
      </c>
      <c r="D392" s="269">
        <v>3180</v>
      </c>
      <c r="E392" s="391" t="s">
        <v>3237</v>
      </c>
      <c r="F392" s="268" t="s">
        <v>2988</v>
      </c>
      <c r="G392" s="392">
        <v>46055</v>
      </c>
      <c r="H392" s="392">
        <v>46056</v>
      </c>
      <c r="I392" s="389"/>
      <c r="J392" s="389"/>
      <c r="K392" s="337" t="s">
        <v>2678</v>
      </c>
      <c r="L392" s="273">
        <f t="shared" si="37"/>
        <v>10</v>
      </c>
      <c r="M392" s="273">
        <f t="shared" si="38"/>
        <v>0</v>
      </c>
      <c r="N392" s="337" t="s">
        <v>3228</v>
      </c>
      <c r="O392" s="114"/>
    </row>
    <row r="393" spans="1:15" ht="50.1" customHeight="1" x14ac:dyDescent="0.25">
      <c r="A393" s="336">
        <v>11</v>
      </c>
      <c r="B393" s="268" t="s">
        <v>2324</v>
      </c>
      <c r="C393" s="268" t="s">
        <v>2323</v>
      </c>
      <c r="D393" s="269">
        <v>24900</v>
      </c>
      <c r="E393" s="391" t="s">
        <v>3238</v>
      </c>
      <c r="F393" s="268" t="s">
        <v>2988</v>
      </c>
      <c r="G393" s="392">
        <v>46055</v>
      </c>
      <c r="H393" s="392">
        <v>46056</v>
      </c>
      <c r="I393" s="389"/>
      <c r="J393" s="389"/>
      <c r="K393" s="337" t="s">
        <v>2678</v>
      </c>
      <c r="L393" s="273">
        <f t="shared" si="37"/>
        <v>50</v>
      </c>
      <c r="M393" s="273">
        <f t="shared" si="38"/>
        <v>0</v>
      </c>
      <c r="N393" s="337" t="s">
        <v>3228</v>
      </c>
      <c r="O393" s="114"/>
    </row>
    <row r="394" spans="1:15" ht="50.1" customHeight="1" x14ac:dyDescent="0.25">
      <c r="A394" s="336">
        <v>12</v>
      </c>
      <c r="B394" s="268" t="s">
        <v>2325</v>
      </c>
      <c r="C394" s="268" t="s">
        <v>2323</v>
      </c>
      <c r="D394" s="269">
        <v>24900</v>
      </c>
      <c r="E394" s="391" t="s">
        <v>3239</v>
      </c>
      <c r="F394" s="268" t="s">
        <v>2988</v>
      </c>
      <c r="G394" s="392">
        <v>46055</v>
      </c>
      <c r="H394" s="392">
        <v>46056</v>
      </c>
      <c r="I394" s="389"/>
      <c r="J394" s="389"/>
      <c r="K394" s="337" t="s">
        <v>2678</v>
      </c>
      <c r="L394" s="273">
        <f t="shared" si="37"/>
        <v>50</v>
      </c>
      <c r="M394" s="273">
        <f t="shared" si="38"/>
        <v>0</v>
      </c>
      <c r="N394" s="337" t="s">
        <v>3228</v>
      </c>
      <c r="O394" s="114"/>
    </row>
    <row r="395" spans="1:15" ht="50.1" customHeight="1" x14ac:dyDescent="0.25">
      <c r="A395" s="336">
        <v>13</v>
      </c>
      <c r="B395" s="268" t="s">
        <v>2326</v>
      </c>
      <c r="C395" s="268" t="s">
        <v>2039</v>
      </c>
      <c r="D395" s="269">
        <v>6500</v>
      </c>
      <c r="E395" s="391" t="s">
        <v>3240</v>
      </c>
      <c r="F395" s="268" t="s">
        <v>2988</v>
      </c>
      <c r="G395" s="392">
        <v>46055</v>
      </c>
      <c r="H395" s="392">
        <v>46056</v>
      </c>
      <c r="I395" s="389"/>
      <c r="J395" s="389"/>
      <c r="K395" s="337" t="s">
        <v>2678</v>
      </c>
      <c r="L395" s="273">
        <f t="shared" si="37"/>
        <v>20</v>
      </c>
      <c r="M395" s="273">
        <f t="shared" si="38"/>
        <v>0</v>
      </c>
      <c r="N395" s="337" t="s">
        <v>3228</v>
      </c>
      <c r="O395" s="114"/>
    </row>
    <row r="396" spans="1:15" ht="50.1" customHeight="1" x14ac:dyDescent="0.25">
      <c r="A396" s="336">
        <v>14</v>
      </c>
      <c r="B396" s="268" t="s">
        <v>2327</v>
      </c>
      <c r="C396" s="268" t="s">
        <v>2039</v>
      </c>
      <c r="D396" s="269">
        <v>6500</v>
      </c>
      <c r="E396" s="391" t="s">
        <v>3241</v>
      </c>
      <c r="F396" s="268" t="s">
        <v>2988</v>
      </c>
      <c r="G396" s="392">
        <v>46055</v>
      </c>
      <c r="H396" s="392">
        <v>46056</v>
      </c>
      <c r="I396" s="389"/>
      <c r="J396" s="389"/>
      <c r="K396" s="337" t="s">
        <v>2678</v>
      </c>
      <c r="L396" s="273">
        <f t="shared" si="37"/>
        <v>20</v>
      </c>
      <c r="M396" s="273">
        <f t="shared" si="38"/>
        <v>0</v>
      </c>
      <c r="N396" s="337" t="s">
        <v>3228</v>
      </c>
      <c r="O396" s="114"/>
    </row>
    <row r="397" spans="1:15" ht="50.1" customHeight="1" x14ac:dyDescent="0.25">
      <c r="A397" s="336">
        <v>15</v>
      </c>
      <c r="B397" s="268" t="s">
        <v>2334</v>
      </c>
      <c r="C397" s="268" t="s">
        <v>1995</v>
      </c>
      <c r="D397" s="269">
        <v>3000</v>
      </c>
      <c r="E397" s="391" t="s">
        <v>3242</v>
      </c>
      <c r="F397" s="268" t="s">
        <v>3023</v>
      </c>
      <c r="G397" s="392">
        <v>46055</v>
      </c>
      <c r="H397" s="392">
        <v>46056</v>
      </c>
      <c r="I397" s="389"/>
      <c r="J397" s="389"/>
      <c r="K397" s="337" t="s">
        <v>2678</v>
      </c>
      <c r="L397" s="273">
        <f t="shared" si="37"/>
        <v>10</v>
      </c>
      <c r="M397" s="273">
        <f t="shared" si="38"/>
        <v>0</v>
      </c>
      <c r="N397" s="337" t="s">
        <v>3228</v>
      </c>
      <c r="O397" s="114"/>
    </row>
    <row r="398" spans="1:15" ht="50.1" customHeight="1" x14ac:dyDescent="0.25">
      <c r="A398" s="336">
        <v>19</v>
      </c>
      <c r="B398" s="268" t="s">
        <v>2348</v>
      </c>
      <c r="C398" s="268" t="s">
        <v>2347</v>
      </c>
      <c r="D398" s="269">
        <v>30000</v>
      </c>
      <c r="E398" s="391" t="s">
        <v>3247</v>
      </c>
      <c r="F398" s="268" t="s">
        <v>2988</v>
      </c>
      <c r="G398" s="392">
        <v>46055</v>
      </c>
      <c r="H398" s="392">
        <v>46056</v>
      </c>
      <c r="I398" s="389"/>
      <c r="J398" s="389"/>
      <c r="K398" s="337" t="s">
        <v>2678</v>
      </c>
      <c r="L398" s="273">
        <f t="shared" si="37"/>
        <v>70</v>
      </c>
      <c r="M398" s="273">
        <f t="shared" si="38"/>
        <v>0</v>
      </c>
      <c r="N398" s="337" t="s">
        <v>3228</v>
      </c>
      <c r="O398" s="114"/>
    </row>
    <row r="399" spans="1:15" ht="50.1" customHeight="1" x14ac:dyDescent="0.25">
      <c r="A399" s="336">
        <v>21</v>
      </c>
      <c r="B399" s="268" t="s">
        <v>2384</v>
      </c>
      <c r="C399" s="268" t="s">
        <v>2039</v>
      </c>
      <c r="D399" s="269">
        <v>8000</v>
      </c>
      <c r="E399" s="391" t="s">
        <v>3250</v>
      </c>
      <c r="F399" s="268" t="s">
        <v>2988</v>
      </c>
      <c r="G399" s="392">
        <v>46055</v>
      </c>
      <c r="H399" s="392">
        <v>46056</v>
      </c>
      <c r="I399" s="389"/>
      <c r="J399" s="389"/>
      <c r="K399" s="337" t="s">
        <v>2678</v>
      </c>
      <c r="L399" s="273">
        <f t="shared" si="37"/>
        <v>20</v>
      </c>
      <c r="M399" s="273">
        <f t="shared" si="38"/>
        <v>0</v>
      </c>
      <c r="N399" s="337" t="s">
        <v>3228</v>
      </c>
      <c r="O399" s="114"/>
    </row>
    <row r="400" spans="1:15" ht="50.1" customHeight="1" x14ac:dyDescent="0.25">
      <c r="A400" s="336">
        <v>22</v>
      </c>
      <c r="B400" s="268" t="s">
        <v>3251</v>
      </c>
      <c r="C400" s="268" t="s">
        <v>3020</v>
      </c>
      <c r="D400" s="269">
        <v>7100</v>
      </c>
      <c r="E400" s="391" t="s">
        <v>3252</v>
      </c>
      <c r="F400" s="268" t="s">
        <v>2988</v>
      </c>
      <c r="G400" s="392">
        <v>46055</v>
      </c>
      <c r="H400" s="392">
        <v>46056</v>
      </c>
      <c r="I400" s="389"/>
      <c r="J400" s="389"/>
      <c r="K400" s="337" t="s">
        <v>2678</v>
      </c>
      <c r="L400" s="273">
        <f t="shared" si="37"/>
        <v>20</v>
      </c>
      <c r="M400" s="273">
        <f t="shared" si="38"/>
        <v>0</v>
      </c>
      <c r="N400" s="337" t="s">
        <v>3228</v>
      </c>
      <c r="O400" s="114"/>
    </row>
    <row r="401" spans="1:15" ht="50.1" customHeight="1" x14ac:dyDescent="0.25">
      <c r="A401" s="336">
        <v>23</v>
      </c>
      <c r="B401" s="268" t="s">
        <v>3019</v>
      </c>
      <c r="C401" s="268" t="s">
        <v>3020</v>
      </c>
      <c r="D401" s="269">
        <v>7100</v>
      </c>
      <c r="E401" s="391" t="s">
        <v>3253</v>
      </c>
      <c r="F401" s="268" t="s">
        <v>2988</v>
      </c>
      <c r="G401" s="392">
        <v>46055</v>
      </c>
      <c r="H401" s="392">
        <v>46056</v>
      </c>
      <c r="I401" s="389"/>
      <c r="J401" s="389"/>
      <c r="K401" s="337" t="s">
        <v>2678</v>
      </c>
      <c r="L401" s="273">
        <f t="shared" si="37"/>
        <v>20</v>
      </c>
      <c r="M401" s="273">
        <f t="shared" si="38"/>
        <v>0</v>
      </c>
      <c r="N401" s="337" t="s">
        <v>3228</v>
      </c>
      <c r="O401" s="114"/>
    </row>
    <row r="402" spans="1:15" ht="50.1" customHeight="1" x14ac:dyDescent="0.25">
      <c r="A402" s="336">
        <v>24</v>
      </c>
      <c r="B402" s="268" t="s">
        <v>3254</v>
      </c>
      <c r="C402" s="268" t="s">
        <v>3020</v>
      </c>
      <c r="D402" s="269">
        <v>7100</v>
      </c>
      <c r="E402" s="391" t="s">
        <v>3255</v>
      </c>
      <c r="F402" s="268" t="s">
        <v>2988</v>
      </c>
      <c r="G402" s="392">
        <v>46055</v>
      </c>
      <c r="H402" s="392">
        <v>46056</v>
      </c>
      <c r="I402" s="389"/>
      <c r="J402" s="389"/>
      <c r="K402" s="337" t="s">
        <v>2678</v>
      </c>
      <c r="L402" s="273">
        <f t="shared" si="37"/>
        <v>20</v>
      </c>
      <c r="M402" s="273">
        <f t="shared" si="38"/>
        <v>0</v>
      </c>
      <c r="N402" s="337" t="s">
        <v>3228</v>
      </c>
      <c r="O402" s="114"/>
    </row>
    <row r="403" spans="1:15" ht="50.1" customHeight="1" x14ac:dyDescent="0.25">
      <c r="A403" s="336">
        <v>25</v>
      </c>
      <c r="B403" s="268" t="s">
        <v>1475</v>
      </c>
      <c r="C403" s="268" t="s">
        <v>2310</v>
      </c>
      <c r="D403" s="269">
        <v>36300</v>
      </c>
      <c r="E403" s="391" t="s">
        <v>3256</v>
      </c>
      <c r="F403" s="268" t="s">
        <v>3030</v>
      </c>
      <c r="G403" s="392">
        <v>46056</v>
      </c>
      <c r="H403" s="392">
        <v>46057</v>
      </c>
      <c r="I403" s="389"/>
      <c r="J403" s="389"/>
      <c r="K403" s="337" t="s">
        <v>2678</v>
      </c>
      <c r="L403" s="273">
        <f t="shared" si="37"/>
        <v>80</v>
      </c>
      <c r="M403" s="273">
        <f t="shared" si="38"/>
        <v>0</v>
      </c>
      <c r="N403" s="337" t="s">
        <v>3228</v>
      </c>
      <c r="O403" s="114"/>
    </row>
    <row r="404" spans="1:15" ht="50.1" customHeight="1" x14ac:dyDescent="0.25">
      <c r="A404" s="336">
        <v>26</v>
      </c>
      <c r="B404" s="268" t="s">
        <v>1476</v>
      </c>
      <c r="C404" s="268" t="s">
        <v>2310</v>
      </c>
      <c r="D404" s="269">
        <v>36300</v>
      </c>
      <c r="E404" s="391" t="s">
        <v>3257</v>
      </c>
      <c r="F404" s="268" t="s">
        <v>3030</v>
      </c>
      <c r="G404" s="392">
        <v>46056</v>
      </c>
      <c r="H404" s="392">
        <v>46057</v>
      </c>
      <c r="I404" s="389"/>
      <c r="J404" s="389"/>
      <c r="K404" s="337" t="s">
        <v>2678</v>
      </c>
      <c r="L404" s="273">
        <f t="shared" si="37"/>
        <v>80</v>
      </c>
      <c r="M404" s="273">
        <f t="shared" si="38"/>
        <v>0</v>
      </c>
      <c r="N404" s="337" t="s">
        <v>3228</v>
      </c>
      <c r="O404" s="114"/>
    </row>
    <row r="405" spans="1:15" ht="50.1" customHeight="1" x14ac:dyDescent="0.25">
      <c r="A405" s="336">
        <v>27</v>
      </c>
      <c r="B405" s="268" t="s">
        <v>1477</v>
      </c>
      <c r="C405" s="268" t="s">
        <v>2310</v>
      </c>
      <c r="D405" s="269">
        <v>36300</v>
      </c>
      <c r="E405" s="391" t="s">
        <v>3258</v>
      </c>
      <c r="F405" s="268" t="s">
        <v>3030</v>
      </c>
      <c r="G405" s="392">
        <v>46057</v>
      </c>
      <c r="H405" s="392">
        <v>46058</v>
      </c>
      <c r="I405" s="389"/>
      <c r="J405" s="389"/>
      <c r="K405" s="337" t="s">
        <v>2678</v>
      </c>
      <c r="L405" s="273">
        <f t="shared" si="37"/>
        <v>80</v>
      </c>
      <c r="M405" s="273">
        <f t="shared" si="38"/>
        <v>0</v>
      </c>
      <c r="N405" s="337" t="s">
        <v>3228</v>
      </c>
      <c r="O405" s="114"/>
    </row>
    <row r="406" spans="1:15" ht="50.1" customHeight="1" x14ac:dyDescent="0.25">
      <c r="A406" s="336">
        <v>28</v>
      </c>
      <c r="B406" s="268" t="s">
        <v>1478</v>
      </c>
      <c r="C406" s="268" t="s">
        <v>2310</v>
      </c>
      <c r="D406" s="269">
        <v>36300</v>
      </c>
      <c r="E406" s="391" t="s">
        <v>3259</v>
      </c>
      <c r="F406" s="268" t="s">
        <v>3030</v>
      </c>
      <c r="G406" s="392">
        <v>46057</v>
      </c>
      <c r="H406" s="392">
        <v>46058</v>
      </c>
      <c r="I406" s="389"/>
      <c r="J406" s="389"/>
      <c r="K406" s="337" t="s">
        <v>2678</v>
      </c>
      <c r="L406" s="273">
        <f t="shared" si="37"/>
        <v>80</v>
      </c>
      <c r="M406" s="273">
        <f t="shared" si="38"/>
        <v>0</v>
      </c>
      <c r="N406" s="337" t="s">
        <v>3228</v>
      </c>
      <c r="O406" s="114"/>
    </row>
    <row r="407" spans="1:15" ht="50.1" customHeight="1" x14ac:dyDescent="0.25">
      <c r="A407" s="336">
        <v>29</v>
      </c>
      <c r="B407" s="268" t="s">
        <v>1479</v>
      </c>
      <c r="C407" s="268" t="s">
        <v>2310</v>
      </c>
      <c r="D407" s="269">
        <v>36300</v>
      </c>
      <c r="E407" s="391" t="s">
        <v>3260</v>
      </c>
      <c r="F407" s="268" t="s">
        <v>3030</v>
      </c>
      <c r="G407" s="392">
        <v>46057</v>
      </c>
      <c r="H407" s="392">
        <v>46058</v>
      </c>
      <c r="I407" s="389"/>
      <c r="J407" s="389"/>
      <c r="K407" s="337" t="s">
        <v>2678</v>
      </c>
      <c r="L407" s="273">
        <f t="shared" si="37"/>
        <v>80</v>
      </c>
      <c r="M407" s="273">
        <f t="shared" si="38"/>
        <v>0</v>
      </c>
      <c r="N407" s="337" t="s">
        <v>3228</v>
      </c>
      <c r="O407" s="114"/>
    </row>
    <row r="408" spans="1:15" ht="50.1" customHeight="1" x14ac:dyDescent="0.25">
      <c r="A408" s="336">
        <v>30</v>
      </c>
      <c r="B408" s="268" t="s">
        <v>1480</v>
      </c>
      <c r="C408" s="268" t="s">
        <v>2310</v>
      </c>
      <c r="D408" s="269">
        <v>36300</v>
      </c>
      <c r="E408" s="391" t="s">
        <v>3261</v>
      </c>
      <c r="F408" s="268" t="s">
        <v>3030</v>
      </c>
      <c r="G408" s="392">
        <v>46057</v>
      </c>
      <c r="H408" s="392">
        <v>46058</v>
      </c>
      <c r="I408" s="389"/>
      <c r="J408" s="389"/>
      <c r="K408" s="337" t="s">
        <v>2678</v>
      </c>
      <c r="L408" s="273">
        <f t="shared" si="37"/>
        <v>80</v>
      </c>
      <c r="M408" s="273">
        <f t="shared" si="38"/>
        <v>0</v>
      </c>
      <c r="N408" s="337" t="s">
        <v>3228</v>
      </c>
      <c r="O408" s="114"/>
    </row>
    <row r="409" spans="1:15" ht="50.1" customHeight="1" x14ac:dyDescent="0.25">
      <c r="A409" s="336">
        <v>31</v>
      </c>
      <c r="B409" s="268" t="s">
        <v>1295</v>
      </c>
      <c r="C409" s="268" t="s">
        <v>3262</v>
      </c>
      <c r="D409" s="269">
        <v>8805</v>
      </c>
      <c r="E409" s="391" t="s">
        <v>3263</v>
      </c>
      <c r="F409" s="268" t="s">
        <v>3026</v>
      </c>
      <c r="G409" s="392">
        <v>46057</v>
      </c>
      <c r="H409" s="392">
        <v>46058</v>
      </c>
      <c r="I409" s="389"/>
      <c r="J409" s="389"/>
      <c r="K409" s="337" t="s">
        <v>2678</v>
      </c>
      <c r="L409" s="273">
        <f t="shared" si="37"/>
        <v>20</v>
      </c>
      <c r="M409" s="273">
        <f t="shared" si="38"/>
        <v>0</v>
      </c>
      <c r="N409" s="337" t="s">
        <v>3228</v>
      </c>
      <c r="O409" s="114"/>
    </row>
    <row r="410" spans="1:15" ht="50.1" customHeight="1" x14ac:dyDescent="0.25">
      <c r="A410" s="336">
        <v>32</v>
      </c>
      <c r="B410" s="268" t="s">
        <v>1481</v>
      </c>
      <c r="C410" s="268" t="s">
        <v>2310</v>
      </c>
      <c r="D410" s="269">
        <v>36300</v>
      </c>
      <c r="E410" s="391" t="s">
        <v>3264</v>
      </c>
      <c r="F410" s="268" t="s">
        <v>3030</v>
      </c>
      <c r="G410" s="392">
        <v>46058</v>
      </c>
      <c r="H410" s="392">
        <v>46059</v>
      </c>
      <c r="I410" s="389"/>
      <c r="J410" s="389"/>
      <c r="K410" s="337" t="s">
        <v>2678</v>
      </c>
      <c r="L410" s="273">
        <f t="shared" si="37"/>
        <v>80</v>
      </c>
      <c r="M410" s="273">
        <f t="shared" si="38"/>
        <v>0</v>
      </c>
      <c r="N410" s="337" t="s">
        <v>3228</v>
      </c>
      <c r="O410" s="114"/>
    </row>
    <row r="411" spans="1:15" ht="50.1" customHeight="1" x14ac:dyDescent="0.25">
      <c r="A411" s="336">
        <v>33</v>
      </c>
      <c r="B411" s="268" t="s">
        <v>1482</v>
      </c>
      <c r="C411" s="268" t="s">
        <v>2310</v>
      </c>
      <c r="D411" s="269">
        <v>36300</v>
      </c>
      <c r="E411" s="391" t="s">
        <v>3265</v>
      </c>
      <c r="F411" s="268" t="s">
        <v>3030</v>
      </c>
      <c r="G411" s="392">
        <v>46058</v>
      </c>
      <c r="H411" s="392">
        <v>46059</v>
      </c>
      <c r="I411" s="389"/>
      <c r="J411" s="389"/>
      <c r="K411" s="337" t="s">
        <v>2678</v>
      </c>
      <c r="L411" s="273">
        <f t="shared" ref="L411:L442" si="39">ROUNDUP((D411/4999.99)*10,-1)</f>
        <v>80</v>
      </c>
      <c r="M411" s="273">
        <f t="shared" si="38"/>
        <v>0</v>
      </c>
      <c r="N411" s="337" t="s">
        <v>3228</v>
      </c>
      <c r="O411" s="114"/>
    </row>
    <row r="412" spans="1:15" ht="50.1" customHeight="1" x14ac:dyDescent="0.25">
      <c r="A412" s="336">
        <v>34</v>
      </c>
      <c r="B412" s="268" t="s">
        <v>1483</v>
      </c>
      <c r="C412" s="268" t="s">
        <v>2310</v>
      </c>
      <c r="D412" s="269">
        <v>36300</v>
      </c>
      <c r="E412" s="391" t="s">
        <v>3266</v>
      </c>
      <c r="F412" s="268" t="s">
        <v>3030</v>
      </c>
      <c r="G412" s="392">
        <v>46058</v>
      </c>
      <c r="H412" s="392">
        <v>46059</v>
      </c>
      <c r="I412" s="389"/>
      <c r="J412" s="389"/>
      <c r="K412" s="337" t="s">
        <v>2678</v>
      </c>
      <c r="L412" s="273">
        <f t="shared" si="39"/>
        <v>80</v>
      </c>
      <c r="M412" s="273">
        <f t="shared" si="38"/>
        <v>0</v>
      </c>
      <c r="N412" s="337" t="s">
        <v>3228</v>
      </c>
      <c r="O412" s="114"/>
    </row>
    <row r="413" spans="1:15" ht="50.1" customHeight="1" x14ac:dyDescent="0.25">
      <c r="A413" s="336">
        <v>35</v>
      </c>
      <c r="B413" s="268" t="s">
        <v>1484</v>
      </c>
      <c r="C413" s="268" t="s">
        <v>2310</v>
      </c>
      <c r="D413" s="269">
        <v>36300</v>
      </c>
      <c r="E413" s="391" t="s">
        <v>3267</v>
      </c>
      <c r="F413" s="268" t="s">
        <v>3030</v>
      </c>
      <c r="G413" s="392">
        <v>46058</v>
      </c>
      <c r="H413" s="392">
        <v>46059</v>
      </c>
      <c r="I413" s="389"/>
      <c r="J413" s="389"/>
      <c r="K413" s="337" t="s">
        <v>2678</v>
      </c>
      <c r="L413" s="273">
        <f t="shared" si="39"/>
        <v>80</v>
      </c>
      <c r="M413" s="273">
        <f t="shared" si="38"/>
        <v>0</v>
      </c>
      <c r="N413" s="337" t="s">
        <v>3228</v>
      </c>
      <c r="O413" s="114"/>
    </row>
    <row r="414" spans="1:15" ht="50.1" customHeight="1" x14ac:dyDescent="0.25">
      <c r="A414" s="336">
        <v>36</v>
      </c>
      <c r="B414" s="268" t="s">
        <v>1797</v>
      </c>
      <c r="C414" s="268" t="s">
        <v>1998</v>
      </c>
      <c r="D414" s="269">
        <v>7245</v>
      </c>
      <c r="E414" s="391" t="s">
        <v>3268</v>
      </c>
      <c r="F414" s="268" t="s">
        <v>3026</v>
      </c>
      <c r="G414" s="392">
        <v>46059</v>
      </c>
      <c r="H414" s="392">
        <v>46060</v>
      </c>
      <c r="I414" s="389"/>
      <c r="J414" s="389"/>
      <c r="K414" s="337" t="s">
        <v>2678</v>
      </c>
      <c r="L414" s="273">
        <f t="shared" si="39"/>
        <v>20</v>
      </c>
      <c r="M414" s="273">
        <f t="shared" si="38"/>
        <v>0</v>
      </c>
      <c r="N414" s="337" t="s">
        <v>3228</v>
      </c>
      <c r="O414" s="114"/>
    </row>
    <row r="415" spans="1:15" ht="50.1" customHeight="1" x14ac:dyDescent="0.25">
      <c r="A415" s="336">
        <v>37</v>
      </c>
      <c r="B415" s="268" t="s">
        <v>1489</v>
      </c>
      <c r="C415" s="268" t="s">
        <v>2310</v>
      </c>
      <c r="D415" s="269">
        <v>36300</v>
      </c>
      <c r="E415" s="391" t="s">
        <v>3269</v>
      </c>
      <c r="F415" s="268" t="s">
        <v>3030</v>
      </c>
      <c r="G415" s="392">
        <v>46059</v>
      </c>
      <c r="H415" s="392">
        <v>46060</v>
      </c>
      <c r="I415" s="389"/>
      <c r="J415" s="389"/>
      <c r="K415" s="337" t="s">
        <v>2678</v>
      </c>
      <c r="L415" s="273">
        <f t="shared" si="39"/>
        <v>80</v>
      </c>
      <c r="M415" s="273">
        <f t="shared" si="38"/>
        <v>0</v>
      </c>
      <c r="N415" s="337" t="s">
        <v>3228</v>
      </c>
      <c r="O415" s="114"/>
    </row>
    <row r="416" spans="1:15" ht="50.1" customHeight="1" x14ac:dyDescent="0.25">
      <c r="A416" s="336">
        <v>38</v>
      </c>
      <c r="B416" s="268" t="s">
        <v>1490</v>
      </c>
      <c r="C416" s="268" t="s">
        <v>2310</v>
      </c>
      <c r="D416" s="269">
        <v>36300</v>
      </c>
      <c r="E416" s="391" t="s">
        <v>3270</v>
      </c>
      <c r="F416" s="268" t="s">
        <v>3030</v>
      </c>
      <c r="G416" s="392">
        <v>46059</v>
      </c>
      <c r="H416" s="392">
        <v>46060</v>
      </c>
      <c r="I416" s="389"/>
      <c r="J416" s="389"/>
      <c r="K416" s="337" t="s">
        <v>2678</v>
      </c>
      <c r="L416" s="273">
        <f t="shared" si="39"/>
        <v>80</v>
      </c>
      <c r="M416" s="273">
        <f t="shared" si="38"/>
        <v>0</v>
      </c>
      <c r="N416" s="337" t="s">
        <v>3228</v>
      </c>
      <c r="O416" s="114"/>
    </row>
    <row r="417" spans="1:15" ht="50.1" customHeight="1" x14ac:dyDescent="0.25">
      <c r="A417" s="336">
        <v>39</v>
      </c>
      <c r="B417" s="268" t="s">
        <v>1422</v>
      </c>
      <c r="C417" s="268" t="s">
        <v>2310</v>
      </c>
      <c r="D417" s="269">
        <v>50000</v>
      </c>
      <c r="E417" s="391" t="s">
        <v>3271</v>
      </c>
      <c r="F417" s="268" t="s">
        <v>3030</v>
      </c>
      <c r="G417" s="392">
        <v>46059</v>
      </c>
      <c r="H417" s="392">
        <v>46060</v>
      </c>
      <c r="I417" s="389"/>
      <c r="J417" s="389"/>
      <c r="K417" s="337" t="s">
        <v>2678</v>
      </c>
      <c r="L417" s="273">
        <f t="shared" si="39"/>
        <v>110</v>
      </c>
      <c r="M417" s="273">
        <f t="shared" si="38"/>
        <v>0</v>
      </c>
      <c r="N417" s="337" t="s">
        <v>3228</v>
      </c>
      <c r="O417" s="114"/>
    </row>
    <row r="418" spans="1:15" ht="50.1" customHeight="1" x14ac:dyDescent="0.25">
      <c r="A418" s="336">
        <v>40</v>
      </c>
      <c r="B418" s="268" t="s">
        <v>1423</v>
      </c>
      <c r="C418" s="268" t="s">
        <v>2310</v>
      </c>
      <c r="D418" s="269">
        <v>50000</v>
      </c>
      <c r="E418" s="391" t="s">
        <v>3272</v>
      </c>
      <c r="F418" s="268" t="s">
        <v>3030</v>
      </c>
      <c r="G418" s="392">
        <v>46059</v>
      </c>
      <c r="H418" s="392">
        <v>46060</v>
      </c>
      <c r="I418" s="389"/>
      <c r="J418" s="389"/>
      <c r="K418" s="337" t="s">
        <v>2678</v>
      </c>
      <c r="L418" s="273">
        <f t="shared" si="39"/>
        <v>110</v>
      </c>
      <c r="M418" s="273">
        <f t="shared" si="38"/>
        <v>0</v>
      </c>
      <c r="N418" s="337" t="s">
        <v>3228</v>
      </c>
      <c r="O418" s="114"/>
    </row>
    <row r="419" spans="1:15" ht="50.1" customHeight="1" x14ac:dyDescent="0.25">
      <c r="A419" s="336">
        <v>41</v>
      </c>
      <c r="B419" s="268" t="s">
        <v>1485</v>
      </c>
      <c r="C419" s="268" t="s">
        <v>2310</v>
      </c>
      <c r="D419" s="269">
        <v>36300</v>
      </c>
      <c r="E419" s="391" t="s">
        <v>3273</v>
      </c>
      <c r="F419" s="268" t="s">
        <v>3030</v>
      </c>
      <c r="G419" s="392">
        <v>46059</v>
      </c>
      <c r="H419" s="392">
        <v>46060</v>
      </c>
      <c r="I419" s="389"/>
      <c r="J419" s="389"/>
      <c r="K419" s="337" t="s">
        <v>2678</v>
      </c>
      <c r="L419" s="273">
        <f t="shared" si="39"/>
        <v>80</v>
      </c>
      <c r="M419" s="273">
        <f t="shared" si="38"/>
        <v>0</v>
      </c>
      <c r="N419" s="337" t="s">
        <v>3228</v>
      </c>
      <c r="O419" s="114"/>
    </row>
    <row r="420" spans="1:15" ht="50.1" customHeight="1" x14ac:dyDescent="0.25">
      <c r="A420" s="336">
        <v>42</v>
      </c>
      <c r="B420" s="268" t="s">
        <v>1486</v>
      </c>
      <c r="C420" s="268" t="s">
        <v>2310</v>
      </c>
      <c r="D420" s="269">
        <v>36300</v>
      </c>
      <c r="E420" s="391" t="s">
        <v>3274</v>
      </c>
      <c r="F420" s="268" t="s">
        <v>3030</v>
      </c>
      <c r="G420" s="392">
        <v>46059</v>
      </c>
      <c r="H420" s="392">
        <v>46060</v>
      </c>
      <c r="I420" s="389"/>
      <c r="J420" s="389"/>
      <c r="K420" s="337" t="s">
        <v>2678</v>
      </c>
      <c r="L420" s="273">
        <f t="shared" si="39"/>
        <v>80</v>
      </c>
      <c r="M420" s="273">
        <f t="shared" si="38"/>
        <v>0</v>
      </c>
      <c r="N420" s="337" t="s">
        <v>3228</v>
      </c>
      <c r="O420" s="114"/>
    </row>
    <row r="421" spans="1:15" ht="50.1" customHeight="1" x14ac:dyDescent="0.25">
      <c r="A421" s="336">
        <v>43</v>
      </c>
      <c r="B421" s="268" t="s">
        <v>1513</v>
      </c>
      <c r="C421" s="268" t="s">
        <v>2323</v>
      </c>
      <c r="D421" s="269">
        <v>24000</v>
      </c>
      <c r="E421" s="391" t="s">
        <v>3275</v>
      </c>
      <c r="F421" s="268" t="s">
        <v>2988</v>
      </c>
      <c r="G421" s="392">
        <v>46062</v>
      </c>
      <c r="H421" s="392">
        <v>46063</v>
      </c>
      <c r="I421" s="389"/>
      <c r="J421" s="389"/>
      <c r="K421" s="337" t="s">
        <v>2678</v>
      </c>
      <c r="L421" s="273">
        <f t="shared" si="39"/>
        <v>50</v>
      </c>
      <c r="M421" s="273">
        <f t="shared" si="38"/>
        <v>0</v>
      </c>
      <c r="N421" s="337" t="s">
        <v>3228</v>
      </c>
      <c r="O421" s="337"/>
    </row>
    <row r="422" spans="1:15" ht="50.1" customHeight="1" x14ac:dyDescent="0.25">
      <c r="A422" s="336">
        <v>44</v>
      </c>
      <c r="B422" s="268" t="s">
        <v>1514</v>
      </c>
      <c r="C422" s="268" t="s">
        <v>2323</v>
      </c>
      <c r="D422" s="269">
        <v>24000</v>
      </c>
      <c r="E422" s="391" t="s">
        <v>3276</v>
      </c>
      <c r="F422" s="268" t="s">
        <v>2988</v>
      </c>
      <c r="G422" s="392">
        <v>46062</v>
      </c>
      <c r="H422" s="392">
        <v>46063</v>
      </c>
      <c r="I422" s="337"/>
      <c r="J422" s="389"/>
      <c r="K422" s="337" t="s">
        <v>2678</v>
      </c>
      <c r="L422" s="273">
        <f t="shared" si="39"/>
        <v>50</v>
      </c>
      <c r="M422" s="273">
        <f t="shared" si="38"/>
        <v>0</v>
      </c>
      <c r="N422" s="337" t="s">
        <v>3228</v>
      </c>
      <c r="O422" s="337"/>
    </row>
    <row r="423" spans="1:15" ht="50.1" customHeight="1" x14ac:dyDescent="0.25">
      <c r="A423" s="336">
        <v>45</v>
      </c>
      <c r="B423" s="268" t="s">
        <v>1522</v>
      </c>
      <c r="C423" s="268" t="s">
        <v>2323</v>
      </c>
      <c r="D423" s="269">
        <v>24000</v>
      </c>
      <c r="E423" s="391" t="s">
        <v>3277</v>
      </c>
      <c r="F423" s="268" t="s">
        <v>2988</v>
      </c>
      <c r="G423" s="392">
        <v>46062</v>
      </c>
      <c r="H423" s="392">
        <v>46063</v>
      </c>
      <c r="I423" s="389"/>
      <c r="J423" s="389"/>
      <c r="K423" s="337" t="s">
        <v>2678</v>
      </c>
      <c r="L423" s="273">
        <f t="shared" si="39"/>
        <v>50</v>
      </c>
      <c r="M423" s="273">
        <f t="shared" si="38"/>
        <v>0</v>
      </c>
      <c r="N423" s="337" t="s">
        <v>3228</v>
      </c>
      <c r="O423" s="337"/>
    </row>
    <row r="424" spans="1:15" ht="50.1" customHeight="1" x14ac:dyDescent="0.25">
      <c r="A424" s="336">
        <v>46</v>
      </c>
      <c r="B424" s="268" t="s">
        <v>1487</v>
      </c>
      <c r="C424" s="268" t="s">
        <v>2310</v>
      </c>
      <c r="D424" s="269">
        <v>36300</v>
      </c>
      <c r="E424" s="391" t="s">
        <v>3278</v>
      </c>
      <c r="F424" s="268" t="s">
        <v>3030</v>
      </c>
      <c r="G424" s="392">
        <v>46062</v>
      </c>
      <c r="H424" s="392">
        <v>46063</v>
      </c>
      <c r="I424" s="389"/>
      <c r="J424" s="389"/>
      <c r="K424" s="337" t="s">
        <v>2678</v>
      </c>
      <c r="L424" s="273">
        <f t="shared" si="39"/>
        <v>80</v>
      </c>
      <c r="M424" s="273">
        <f t="shared" si="38"/>
        <v>0</v>
      </c>
      <c r="N424" s="337" t="s">
        <v>3228</v>
      </c>
      <c r="O424" s="337"/>
    </row>
    <row r="425" spans="1:15" ht="50.1" customHeight="1" x14ac:dyDescent="0.25">
      <c r="A425" s="336">
        <v>47</v>
      </c>
      <c r="B425" s="268" t="s">
        <v>3279</v>
      </c>
      <c r="C425" s="268" t="s">
        <v>2323</v>
      </c>
      <c r="D425" s="269">
        <v>43000</v>
      </c>
      <c r="E425" s="391" t="s">
        <v>3280</v>
      </c>
      <c r="F425" s="268" t="s">
        <v>2988</v>
      </c>
      <c r="G425" s="392">
        <v>46062</v>
      </c>
      <c r="H425" s="392">
        <v>46063</v>
      </c>
      <c r="I425" s="389"/>
      <c r="J425" s="389"/>
      <c r="K425" s="337" t="s">
        <v>2678</v>
      </c>
      <c r="L425" s="273">
        <f t="shared" si="39"/>
        <v>90</v>
      </c>
      <c r="M425" s="273">
        <f t="shared" si="38"/>
        <v>0</v>
      </c>
      <c r="N425" s="337" t="s">
        <v>3228</v>
      </c>
      <c r="O425" s="337"/>
    </row>
    <row r="426" spans="1:15" ht="50.1" customHeight="1" x14ac:dyDescent="0.25">
      <c r="A426" s="336">
        <v>48</v>
      </c>
      <c r="B426" s="268" t="s">
        <v>3281</v>
      </c>
      <c r="C426" s="268" t="s">
        <v>2323</v>
      </c>
      <c r="D426" s="269">
        <v>43000</v>
      </c>
      <c r="E426" s="391" t="s">
        <v>3282</v>
      </c>
      <c r="F426" s="268" t="s">
        <v>2988</v>
      </c>
      <c r="G426" s="392">
        <v>46062</v>
      </c>
      <c r="H426" s="392">
        <v>46063</v>
      </c>
      <c r="I426" s="389"/>
      <c r="J426" s="389"/>
      <c r="K426" s="337" t="s">
        <v>2678</v>
      </c>
      <c r="L426" s="273">
        <f t="shared" si="39"/>
        <v>90</v>
      </c>
      <c r="M426" s="273">
        <f t="shared" si="38"/>
        <v>0</v>
      </c>
      <c r="N426" s="337" t="s">
        <v>3228</v>
      </c>
      <c r="O426" s="337"/>
    </row>
    <row r="427" spans="1:15" ht="50.1" customHeight="1" x14ac:dyDescent="0.25">
      <c r="A427" s="336">
        <v>49</v>
      </c>
      <c r="B427" s="268" t="s">
        <v>3283</v>
      </c>
      <c r="C427" s="268" t="s">
        <v>2323</v>
      </c>
      <c r="D427" s="269">
        <v>43000</v>
      </c>
      <c r="E427" s="391" t="s">
        <v>3284</v>
      </c>
      <c r="F427" s="268" t="s">
        <v>2988</v>
      </c>
      <c r="G427" s="392">
        <v>46062</v>
      </c>
      <c r="H427" s="392">
        <v>46063</v>
      </c>
      <c r="I427" s="389"/>
      <c r="J427" s="389"/>
      <c r="K427" s="337" t="s">
        <v>2678</v>
      </c>
      <c r="L427" s="273">
        <f t="shared" si="39"/>
        <v>90</v>
      </c>
      <c r="M427" s="273">
        <f t="shared" si="38"/>
        <v>0</v>
      </c>
      <c r="N427" s="337" t="s">
        <v>3228</v>
      </c>
      <c r="O427" s="337"/>
    </row>
    <row r="428" spans="1:15" ht="50.1" customHeight="1" x14ac:dyDescent="0.25">
      <c r="A428" s="336">
        <v>50</v>
      </c>
      <c r="B428" s="268" t="s">
        <v>3285</v>
      </c>
      <c r="C428" s="268" t="s">
        <v>2323</v>
      </c>
      <c r="D428" s="269">
        <v>43000</v>
      </c>
      <c r="E428" s="391" t="s">
        <v>3286</v>
      </c>
      <c r="F428" s="268" t="s">
        <v>2988</v>
      </c>
      <c r="G428" s="392">
        <v>46062</v>
      </c>
      <c r="H428" s="392">
        <v>46063</v>
      </c>
      <c r="I428" s="389"/>
      <c r="J428" s="389"/>
      <c r="K428" s="337" t="s">
        <v>2678</v>
      </c>
      <c r="L428" s="273">
        <f t="shared" si="39"/>
        <v>90</v>
      </c>
      <c r="M428" s="273">
        <f t="shared" si="38"/>
        <v>0</v>
      </c>
      <c r="N428" s="337" t="s">
        <v>3228</v>
      </c>
      <c r="O428" s="337"/>
    </row>
    <row r="429" spans="1:15" ht="50.1" customHeight="1" x14ac:dyDescent="0.25">
      <c r="A429" s="336">
        <v>51</v>
      </c>
      <c r="B429" s="268" t="s">
        <v>3287</v>
      </c>
      <c r="C429" s="268" t="s">
        <v>2323</v>
      </c>
      <c r="D429" s="269">
        <v>43000</v>
      </c>
      <c r="E429" s="391" t="s">
        <v>3288</v>
      </c>
      <c r="F429" s="268" t="s">
        <v>2988</v>
      </c>
      <c r="G429" s="392">
        <v>46062</v>
      </c>
      <c r="H429" s="392">
        <v>46063</v>
      </c>
      <c r="I429" s="389"/>
      <c r="J429" s="389"/>
      <c r="K429" s="337" t="s">
        <v>2678</v>
      </c>
      <c r="L429" s="273">
        <f t="shared" si="39"/>
        <v>90</v>
      </c>
      <c r="M429" s="273">
        <f t="shared" si="38"/>
        <v>0</v>
      </c>
      <c r="N429" s="337" t="s">
        <v>3228</v>
      </c>
      <c r="O429" s="337"/>
    </row>
    <row r="430" spans="1:15" ht="50.1" customHeight="1" x14ac:dyDescent="0.25">
      <c r="A430" s="336">
        <v>52</v>
      </c>
      <c r="B430" s="268" t="s">
        <v>1515</v>
      </c>
      <c r="C430" s="268" t="s">
        <v>2323</v>
      </c>
      <c r="D430" s="269">
        <v>24000</v>
      </c>
      <c r="E430" s="391" t="s">
        <v>3289</v>
      </c>
      <c r="F430" s="268" t="s">
        <v>2988</v>
      </c>
      <c r="G430" s="392">
        <v>46063</v>
      </c>
      <c r="H430" s="392">
        <v>46064</v>
      </c>
      <c r="I430" s="389"/>
      <c r="J430" s="389"/>
      <c r="K430" s="337" t="s">
        <v>2678</v>
      </c>
      <c r="L430" s="273">
        <f t="shared" si="39"/>
        <v>50</v>
      </c>
      <c r="M430" s="273">
        <f t="shared" si="38"/>
        <v>0</v>
      </c>
      <c r="N430" s="337" t="s">
        <v>3228</v>
      </c>
      <c r="O430" s="337"/>
    </row>
    <row r="431" spans="1:15" ht="50.1" customHeight="1" x14ac:dyDescent="0.25">
      <c r="A431" s="336">
        <v>53</v>
      </c>
      <c r="B431" s="268" t="s">
        <v>1516</v>
      </c>
      <c r="C431" s="268" t="s">
        <v>2323</v>
      </c>
      <c r="D431" s="269">
        <v>24000</v>
      </c>
      <c r="E431" s="391" t="s">
        <v>3290</v>
      </c>
      <c r="F431" s="268" t="s">
        <v>2988</v>
      </c>
      <c r="G431" s="392">
        <v>46063</v>
      </c>
      <c r="H431" s="392">
        <v>46064</v>
      </c>
      <c r="I431" s="389"/>
      <c r="J431" s="389"/>
      <c r="K431" s="337" t="s">
        <v>2678</v>
      </c>
      <c r="L431" s="273">
        <f t="shared" si="39"/>
        <v>50</v>
      </c>
      <c r="M431" s="273">
        <f t="shared" si="38"/>
        <v>0</v>
      </c>
      <c r="N431" s="337" t="s">
        <v>3228</v>
      </c>
      <c r="O431" s="337"/>
    </row>
    <row r="432" spans="1:15" ht="50.1" customHeight="1" x14ac:dyDescent="0.25">
      <c r="A432" s="336">
        <v>54</v>
      </c>
      <c r="B432" s="268" t="s">
        <v>1517</v>
      </c>
      <c r="C432" s="268" t="s">
        <v>2323</v>
      </c>
      <c r="D432" s="269">
        <v>24000</v>
      </c>
      <c r="E432" s="391" t="s">
        <v>3291</v>
      </c>
      <c r="F432" s="268" t="s">
        <v>2988</v>
      </c>
      <c r="G432" s="392">
        <v>46063</v>
      </c>
      <c r="H432" s="392">
        <v>46064</v>
      </c>
      <c r="I432" s="389"/>
      <c r="J432" s="389"/>
      <c r="K432" s="337" t="s">
        <v>2678</v>
      </c>
      <c r="L432" s="273">
        <f t="shared" si="39"/>
        <v>50</v>
      </c>
      <c r="M432" s="273">
        <f t="shared" si="38"/>
        <v>0</v>
      </c>
      <c r="N432" s="337" t="s">
        <v>3228</v>
      </c>
      <c r="O432" s="337"/>
    </row>
    <row r="433" spans="1:15" ht="50.1" customHeight="1" x14ac:dyDescent="0.25">
      <c r="A433" s="336">
        <v>55</v>
      </c>
      <c r="B433" s="268" t="s">
        <v>1424</v>
      </c>
      <c r="C433" s="268" t="s">
        <v>2310</v>
      </c>
      <c r="D433" s="269">
        <v>50000</v>
      </c>
      <c r="E433" s="391" t="s">
        <v>3292</v>
      </c>
      <c r="F433" s="268" t="s">
        <v>3030</v>
      </c>
      <c r="G433" s="392">
        <v>46063</v>
      </c>
      <c r="H433" s="392">
        <v>46064</v>
      </c>
      <c r="I433" s="389"/>
      <c r="J433" s="389"/>
      <c r="K433" s="337" t="s">
        <v>2678</v>
      </c>
      <c r="L433" s="273">
        <f t="shared" si="39"/>
        <v>110</v>
      </c>
      <c r="M433" s="273">
        <f t="shared" si="38"/>
        <v>0</v>
      </c>
      <c r="N433" s="337" t="s">
        <v>3228</v>
      </c>
      <c r="O433" s="337"/>
    </row>
    <row r="434" spans="1:15" ht="50.1" customHeight="1" x14ac:dyDescent="0.25">
      <c r="A434" s="336">
        <v>56</v>
      </c>
      <c r="B434" s="268" t="s">
        <v>1180</v>
      </c>
      <c r="C434" s="268" t="s">
        <v>2310</v>
      </c>
      <c r="D434" s="269">
        <v>50000</v>
      </c>
      <c r="E434" s="391" t="s">
        <v>3293</v>
      </c>
      <c r="F434" s="268" t="s">
        <v>3030</v>
      </c>
      <c r="G434" s="392">
        <v>46063</v>
      </c>
      <c r="H434" s="392">
        <v>46064</v>
      </c>
      <c r="I434" s="389"/>
      <c r="J434" s="389"/>
      <c r="K434" s="337" t="s">
        <v>2678</v>
      </c>
      <c r="L434" s="273">
        <f t="shared" si="39"/>
        <v>110</v>
      </c>
      <c r="M434" s="273">
        <f t="shared" si="38"/>
        <v>0</v>
      </c>
      <c r="N434" s="337" t="s">
        <v>3228</v>
      </c>
      <c r="O434" s="337"/>
    </row>
    <row r="435" spans="1:15" ht="50.1" customHeight="1" x14ac:dyDescent="0.25">
      <c r="A435" s="336">
        <v>57</v>
      </c>
      <c r="B435" s="268" t="s">
        <v>365</v>
      </c>
      <c r="C435" s="268" t="s">
        <v>3294</v>
      </c>
      <c r="D435" s="269">
        <v>1855</v>
      </c>
      <c r="E435" s="391" t="s">
        <v>3295</v>
      </c>
      <c r="F435" s="268" t="s">
        <v>3032</v>
      </c>
      <c r="G435" s="392">
        <v>46063</v>
      </c>
      <c r="H435" s="392">
        <v>46064</v>
      </c>
      <c r="I435" s="389"/>
      <c r="J435" s="389"/>
      <c r="K435" s="337" t="s">
        <v>2678</v>
      </c>
      <c r="L435" s="273">
        <f t="shared" si="39"/>
        <v>10</v>
      </c>
      <c r="M435" s="273">
        <f t="shared" si="38"/>
        <v>0</v>
      </c>
      <c r="N435" s="337" t="s">
        <v>3228</v>
      </c>
      <c r="O435" s="337"/>
    </row>
    <row r="436" spans="1:15" ht="50.1" customHeight="1" x14ac:dyDescent="0.25">
      <c r="A436" s="336">
        <v>58</v>
      </c>
      <c r="B436" s="268" t="s">
        <v>1243</v>
      </c>
      <c r="C436" s="268" t="s">
        <v>3296</v>
      </c>
      <c r="D436" s="269">
        <v>12740</v>
      </c>
      <c r="E436" s="391" t="s">
        <v>3297</v>
      </c>
      <c r="F436" s="268" t="s">
        <v>2709</v>
      </c>
      <c r="G436" s="392">
        <v>46063</v>
      </c>
      <c r="H436" s="392">
        <v>46064</v>
      </c>
      <c r="I436" s="389"/>
      <c r="J436" s="389"/>
      <c r="K436" s="337" t="s">
        <v>2678</v>
      </c>
      <c r="L436" s="273">
        <f t="shared" si="39"/>
        <v>30</v>
      </c>
      <c r="M436" s="273">
        <f t="shared" si="38"/>
        <v>0</v>
      </c>
      <c r="N436" s="337" t="s">
        <v>3228</v>
      </c>
      <c r="O436" s="337"/>
    </row>
    <row r="437" spans="1:15" ht="50.1" customHeight="1" x14ac:dyDescent="0.25">
      <c r="A437" s="336">
        <v>59</v>
      </c>
      <c r="B437" s="268" t="s">
        <v>1509</v>
      </c>
      <c r="C437" s="268" t="s">
        <v>2323</v>
      </c>
      <c r="D437" s="269">
        <v>24000</v>
      </c>
      <c r="E437" s="391" t="s">
        <v>3298</v>
      </c>
      <c r="F437" s="268" t="s">
        <v>2988</v>
      </c>
      <c r="G437" s="392">
        <v>46064</v>
      </c>
      <c r="H437" s="392">
        <v>46065</v>
      </c>
      <c r="I437" s="389"/>
      <c r="J437" s="389"/>
      <c r="K437" s="337" t="s">
        <v>2678</v>
      </c>
      <c r="L437" s="273">
        <f t="shared" si="39"/>
        <v>50</v>
      </c>
      <c r="M437" s="273">
        <f t="shared" si="38"/>
        <v>0</v>
      </c>
      <c r="N437" s="337" t="s">
        <v>3228</v>
      </c>
      <c r="O437" s="337"/>
    </row>
    <row r="438" spans="1:15" ht="50.1" customHeight="1" x14ac:dyDescent="0.25">
      <c r="A438" s="336">
        <v>60</v>
      </c>
      <c r="B438" s="268" t="s">
        <v>1518</v>
      </c>
      <c r="C438" s="268" t="s">
        <v>2323</v>
      </c>
      <c r="D438" s="269">
        <v>24000</v>
      </c>
      <c r="E438" s="391" t="s">
        <v>3299</v>
      </c>
      <c r="F438" s="268" t="s">
        <v>2988</v>
      </c>
      <c r="G438" s="392">
        <v>46064</v>
      </c>
      <c r="H438" s="392">
        <v>46065</v>
      </c>
      <c r="I438" s="337"/>
      <c r="J438" s="389"/>
      <c r="K438" s="337" t="s">
        <v>2678</v>
      </c>
      <c r="L438" s="273">
        <f t="shared" si="39"/>
        <v>50</v>
      </c>
      <c r="M438" s="273">
        <f t="shared" si="38"/>
        <v>0</v>
      </c>
      <c r="N438" s="337" t="s">
        <v>3228</v>
      </c>
      <c r="O438" s="337"/>
    </row>
    <row r="439" spans="1:15" ht="50.1" customHeight="1" x14ac:dyDescent="0.25">
      <c r="A439" s="336">
        <v>61</v>
      </c>
      <c r="B439" s="268" t="s">
        <v>1519</v>
      </c>
      <c r="C439" s="268" t="s">
        <v>2323</v>
      </c>
      <c r="D439" s="269">
        <v>24000</v>
      </c>
      <c r="E439" s="391" t="s">
        <v>3300</v>
      </c>
      <c r="F439" s="268" t="s">
        <v>2988</v>
      </c>
      <c r="G439" s="392">
        <v>46064</v>
      </c>
      <c r="H439" s="392">
        <v>46065</v>
      </c>
      <c r="I439" s="389"/>
      <c r="J439" s="389"/>
      <c r="K439" s="337" t="s">
        <v>2678</v>
      </c>
      <c r="L439" s="273">
        <f t="shared" si="39"/>
        <v>50</v>
      </c>
      <c r="M439" s="273">
        <f t="shared" si="38"/>
        <v>0</v>
      </c>
      <c r="N439" s="337" t="s">
        <v>3228</v>
      </c>
      <c r="O439" s="337"/>
    </row>
    <row r="440" spans="1:15" ht="50.1" customHeight="1" x14ac:dyDescent="0.25">
      <c r="A440" s="336">
        <v>62</v>
      </c>
      <c r="B440" s="268" t="s">
        <v>1301</v>
      </c>
      <c r="C440" s="268" t="s">
        <v>3262</v>
      </c>
      <c r="D440" s="269">
        <v>8805</v>
      </c>
      <c r="E440" s="391" t="s">
        <v>3301</v>
      </c>
      <c r="F440" s="268" t="s">
        <v>3026</v>
      </c>
      <c r="G440" s="392">
        <v>46064</v>
      </c>
      <c r="H440" s="392">
        <v>46065</v>
      </c>
      <c r="I440" s="389"/>
      <c r="J440" s="389"/>
      <c r="K440" s="337" t="s">
        <v>2678</v>
      </c>
      <c r="L440" s="273">
        <f t="shared" si="39"/>
        <v>20</v>
      </c>
      <c r="M440" s="273">
        <f t="shared" si="38"/>
        <v>0</v>
      </c>
      <c r="N440" s="337" t="s">
        <v>3228</v>
      </c>
      <c r="O440" s="337"/>
    </row>
    <row r="441" spans="1:15" ht="50.1" customHeight="1" x14ac:dyDescent="0.25">
      <c r="A441" s="336">
        <v>63</v>
      </c>
      <c r="B441" s="268" t="s">
        <v>1242</v>
      </c>
      <c r="C441" s="268" t="s">
        <v>1237</v>
      </c>
      <c r="D441" s="269">
        <v>12740</v>
      </c>
      <c r="E441" s="391" t="s">
        <v>3302</v>
      </c>
      <c r="F441" s="268" t="s">
        <v>3025</v>
      </c>
      <c r="G441" s="392">
        <v>46064</v>
      </c>
      <c r="H441" s="392">
        <v>46065</v>
      </c>
      <c r="I441" s="389"/>
      <c r="J441" s="389"/>
      <c r="K441" s="337" t="s">
        <v>2678</v>
      </c>
      <c r="L441" s="273">
        <f t="shared" si="39"/>
        <v>30</v>
      </c>
      <c r="M441" s="273">
        <f t="shared" si="38"/>
        <v>0</v>
      </c>
      <c r="N441" s="337" t="s">
        <v>3228</v>
      </c>
      <c r="O441" s="337"/>
    </row>
    <row r="442" spans="1:15" ht="50.1" customHeight="1" x14ac:dyDescent="0.25">
      <c r="A442" s="336">
        <v>64</v>
      </c>
      <c r="B442" s="268" t="s">
        <v>3303</v>
      </c>
      <c r="C442" s="268" t="s">
        <v>1471</v>
      </c>
      <c r="D442" s="269">
        <v>105000</v>
      </c>
      <c r="E442" s="391" t="s">
        <v>3304</v>
      </c>
      <c r="F442" s="268" t="s">
        <v>2982</v>
      </c>
      <c r="G442" s="392">
        <v>46064</v>
      </c>
      <c r="H442" s="392">
        <v>46065</v>
      </c>
      <c r="I442" s="389"/>
      <c r="J442" s="389"/>
      <c r="K442" s="337" t="s">
        <v>2678</v>
      </c>
      <c r="L442" s="273">
        <f t="shared" si="39"/>
        <v>220</v>
      </c>
      <c r="M442" s="273">
        <f t="shared" si="38"/>
        <v>0</v>
      </c>
      <c r="N442" s="337" t="s">
        <v>3228</v>
      </c>
      <c r="O442" s="337"/>
    </row>
    <row r="443" spans="1:15" ht="50.1" customHeight="1" x14ac:dyDescent="0.25">
      <c r="A443" s="336">
        <v>65</v>
      </c>
      <c r="B443" s="268" t="s">
        <v>1510</v>
      </c>
      <c r="C443" s="268" t="s">
        <v>2323</v>
      </c>
      <c r="D443" s="269">
        <v>24000</v>
      </c>
      <c r="E443" s="391" t="s">
        <v>3305</v>
      </c>
      <c r="F443" s="268" t="s">
        <v>2988</v>
      </c>
      <c r="G443" s="392">
        <v>46065</v>
      </c>
      <c r="H443" s="392">
        <v>46066</v>
      </c>
      <c r="I443" s="389"/>
      <c r="J443" s="389"/>
      <c r="K443" s="337" t="s">
        <v>2678</v>
      </c>
      <c r="L443" s="273">
        <f t="shared" ref="L443:L469" si="40">ROUNDUP((D443/4999.99)*10,-1)</f>
        <v>50</v>
      </c>
      <c r="M443" s="273">
        <f t="shared" ref="M443:M494" si="41">IF(K443="N",0,L443)</f>
        <v>0</v>
      </c>
      <c r="N443" s="337" t="s">
        <v>3228</v>
      </c>
      <c r="O443" s="337"/>
    </row>
    <row r="444" spans="1:15" ht="50.1" customHeight="1" x14ac:dyDescent="0.25">
      <c r="A444" s="336">
        <v>66</v>
      </c>
      <c r="B444" s="268" t="s">
        <v>1511</v>
      </c>
      <c r="C444" s="268" t="s">
        <v>2323</v>
      </c>
      <c r="D444" s="269">
        <v>24000</v>
      </c>
      <c r="E444" s="391" t="s">
        <v>3306</v>
      </c>
      <c r="F444" s="268" t="s">
        <v>2988</v>
      </c>
      <c r="G444" s="392">
        <v>46065</v>
      </c>
      <c r="H444" s="392">
        <v>46066</v>
      </c>
      <c r="I444" s="389"/>
      <c r="J444" s="389"/>
      <c r="K444" s="337" t="s">
        <v>2678</v>
      </c>
      <c r="L444" s="273">
        <f t="shared" si="40"/>
        <v>50</v>
      </c>
      <c r="M444" s="273">
        <f t="shared" si="41"/>
        <v>0</v>
      </c>
      <c r="N444" s="337" t="s">
        <v>3228</v>
      </c>
      <c r="O444" s="337"/>
    </row>
    <row r="445" spans="1:15" ht="50.1" customHeight="1" x14ac:dyDescent="0.25">
      <c r="A445" s="336">
        <v>67</v>
      </c>
      <c r="B445" s="268" t="s">
        <v>1512</v>
      </c>
      <c r="C445" s="268" t="s">
        <v>2323</v>
      </c>
      <c r="D445" s="269">
        <v>24000</v>
      </c>
      <c r="E445" s="391" t="s">
        <v>3307</v>
      </c>
      <c r="F445" s="268" t="s">
        <v>2988</v>
      </c>
      <c r="G445" s="392">
        <v>46065</v>
      </c>
      <c r="H445" s="392">
        <v>46066</v>
      </c>
      <c r="I445" s="389"/>
      <c r="J445" s="389"/>
      <c r="K445" s="337" t="s">
        <v>2678</v>
      </c>
      <c r="L445" s="273">
        <f t="shared" si="40"/>
        <v>50</v>
      </c>
      <c r="M445" s="273">
        <f t="shared" si="41"/>
        <v>0</v>
      </c>
      <c r="N445" s="337" t="s">
        <v>3228</v>
      </c>
      <c r="O445" s="337"/>
    </row>
    <row r="446" spans="1:15" ht="50.1" customHeight="1" x14ac:dyDescent="0.25">
      <c r="A446" s="336">
        <v>70</v>
      </c>
      <c r="B446" s="268" t="s">
        <v>1575</v>
      </c>
      <c r="C446" s="268" t="s">
        <v>1570</v>
      </c>
      <c r="D446" s="269">
        <v>59850</v>
      </c>
      <c r="E446" s="391" t="s">
        <v>3311</v>
      </c>
      <c r="F446" s="268" t="s">
        <v>2707</v>
      </c>
      <c r="G446" s="392">
        <v>46066</v>
      </c>
      <c r="H446" s="392">
        <v>46067</v>
      </c>
      <c r="I446" s="337"/>
      <c r="J446" s="389"/>
      <c r="K446" s="337" t="s">
        <v>2678</v>
      </c>
      <c r="L446" s="273">
        <f t="shared" si="40"/>
        <v>120</v>
      </c>
      <c r="M446" s="273">
        <f t="shared" si="41"/>
        <v>0</v>
      </c>
      <c r="N446" s="337" t="s">
        <v>3228</v>
      </c>
      <c r="O446" s="337"/>
    </row>
    <row r="447" spans="1:15" ht="50.1" customHeight="1" x14ac:dyDescent="0.25">
      <c r="A447" s="336">
        <v>71</v>
      </c>
      <c r="B447" s="268" t="s">
        <v>3059</v>
      </c>
      <c r="C447" s="268" t="s">
        <v>3312</v>
      </c>
      <c r="D447" s="269">
        <v>40000</v>
      </c>
      <c r="E447" s="391" t="s">
        <v>3313</v>
      </c>
      <c r="F447" s="268" t="s">
        <v>2988</v>
      </c>
      <c r="G447" s="392">
        <v>46066</v>
      </c>
      <c r="H447" s="392">
        <v>46067</v>
      </c>
      <c r="I447" s="337"/>
      <c r="J447" s="389"/>
      <c r="K447" s="337" t="s">
        <v>2678</v>
      </c>
      <c r="L447" s="273">
        <f t="shared" si="40"/>
        <v>90</v>
      </c>
      <c r="M447" s="273">
        <f t="shared" si="41"/>
        <v>0</v>
      </c>
      <c r="N447" s="337" t="s">
        <v>3228</v>
      </c>
      <c r="O447" s="337"/>
    </row>
    <row r="448" spans="1:15" ht="50.1" customHeight="1" x14ac:dyDescent="0.25">
      <c r="A448" s="336">
        <v>72</v>
      </c>
      <c r="B448" s="268" t="s">
        <v>3314</v>
      </c>
      <c r="C448" s="268" t="s">
        <v>1995</v>
      </c>
      <c r="D448" s="269">
        <v>3900</v>
      </c>
      <c r="E448" s="391" t="s">
        <v>3315</v>
      </c>
      <c r="F448" s="268" t="s">
        <v>3026</v>
      </c>
      <c r="G448" s="392">
        <v>46066</v>
      </c>
      <c r="H448" s="392">
        <v>46067</v>
      </c>
      <c r="I448" s="337"/>
      <c r="J448" s="389"/>
      <c r="K448" s="337" t="s">
        <v>2678</v>
      </c>
      <c r="L448" s="273">
        <f t="shared" si="40"/>
        <v>10</v>
      </c>
      <c r="M448" s="273">
        <f t="shared" si="41"/>
        <v>0</v>
      </c>
      <c r="N448" s="337" t="s">
        <v>3228</v>
      </c>
      <c r="O448" s="337"/>
    </row>
    <row r="449" spans="1:15" ht="50.1" customHeight="1" x14ac:dyDescent="0.25">
      <c r="A449" s="336">
        <v>73</v>
      </c>
      <c r="B449" s="268" t="s">
        <v>1505</v>
      </c>
      <c r="C449" s="268" t="s">
        <v>2323</v>
      </c>
      <c r="D449" s="269">
        <v>24000</v>
      </c>
      <c r="E449" s="391" t="s">
        <v>3316</v>
      </c>
      <c r="F449" s="268" t="s">
        <v>2988</v>
      </c>
      <c r="G449" s="392">
        <v>46069</v>
      </c>
      <c r="H449" s="392">
        <v>46070</v>
      </c>
      <c r="I449" s="389"/>
      <c r="J449" s="389"/>
      <c r="K449" s="337" t="s">
        <v>2678</v>
      </c>
      <c r="L449" s="273">
        <f t="shared" si="40"/>
        <v>50</v>
      </c>
      <c r="M449" s="273">
        <f t="shared" si="41"/>
        <v>0</v>
      </c>
      <c r="N449" s="337" t="s">
        <v>3228</v>
      </c>
      <c r="O449" s="337"/>
    </row>
    <row r="450" spans="1:15" ht="50.1" customHeight="1" x14ac:dyDescent="0.25">
      <c r="A450" s="336">
        <v>74</v>
      </c>
      <c r="B450" s="268" t="s">
        <v>1506</v>
      </c>
      <c r="C450" s="268" t="s">
        <v>2323</v>
      </c>
      <c r="D450" s="269">
        <v>24000</v>
      </c>
      <c r="E450" s="391" t="s">
        <v>3317</v>
      </c>
      <c r="F450" s="268" t="s">
        <v>2988</v>
      </c>
      <c r="G450" s="392">
        <v>46069</v>
      </c>
      <c r="H450" s="392">
        <v>46070</v>
      </c>
      <c r="I450" s="337"/>
      <c r="J450" s="389"/>
      <c r="K450" s="337" t="s">
        <v>2678</v>
      </c>
      <c r="L450" s="273">
        <f t="shared" si="40"/>
        <v>50</v>
      </c>
      <c r="M450" s="273">
        <f t="shared" si="41"/>
        <v>0</v>
      </c>
      <c r="N450" s="337" t="s">
        <v>3228</v>
      </c>
      <c r="O450" s="337"/>
    </row>
    <row r="451" spans="1:15" ht="50.1" customHeight="1" x14ac:dyDescent="0.25">
      <c r="A451" s="336">
        <v>75</v>
      </c>
      <c r="B451" s="268" t="s">
        <v>1507</v>
      </c>
      <c r="C451" s="268" t="s">
        <v>2323</v>
      </c>
      <c r="D451" s="269">
        <v>24000</v>
      </c>
      <c r="E451" s="391" t="s">
        <v>3318</v>
      </c>
      <c r="F451" s="268" t="s">
        <v>2988</v>
      </c>
      <c r="G451" s="392">
        <v>46069</v>
      </c>
      <c r="H451" s="392">
        <v>46070</v>
      </c>
      <c r="I451" s="337"/>
      <c r="J451" s="389"/>
      <c r="K451" s="337" t="s">
        <v>2678</v>
      </c>
      <c r="L451" s="273">
        <f t="shared" si="40"/>
        <v>50</v>
      </c>
      <c r="M451" s="273">
        <f t="shared" si="41"/>
        <v>0</v>
      </c>
      <c r="N451" s="337" t="s">
        <v>3228</v>
      </c>
      <c r="O451" s="337"/>
    </row>
    <row r="452" spans="1:15" ht="50.1" customHeight="1" x14ac:dyDescent="0.25">
      <c r="A452" s="336">
        <v>76</v>
      </c>
      <c r="B452" s="268" t="s">
        <v>1508</v>
      </c>
      <c r="C452" s="268" t="s">
        <v>2323</v>
      </c>
      <c r="D452" s="269">
        <v>24000</v>
      </c>
      <c r="E452" s="391" t="s">
        <v>3319</v>
      </c>
      <c r="F452" s="268" t="s">
        <v>2988</v>
      </c>
      <c r="G452" s="392">
        <v>46069</v>
      </c>
      <c r="H452" s="392">
        <v>46070</v>
      </c>
      <c r="I452" s="389"/>
      <c r="J452" s="389"/>
      <c r="K452" s="337" t="s">
        <v>2678</v>
      </c>
      <c r="L452" s="273">
        <f t="shared" si="40"/>
        <v>50</v>
      </c>
      <c r="M452" s="273">
        <f t="shared" si="41"/>
        <v>0</v>
      </c>
      <c r="N452" s="337" t="s">
        <v>3228</v>
      </c>
      <c r="O452" s="337"/>
    </row>
    <row r="453" spans="1:15" ht="50.1" customHeight="1" x14ac:dyDescent="0.25">
      <c r="A453" s="336">
        <v>77</v>
      </c>
      <c r="B453" s="268" t="s">
        <v>1830</v>
      </c>
      <c r="C453" s="268" t="s">
        <v>1998</v>
      </c>
      <c r="D453" s="269">
        <v>7245</v>
      </c>
      <c r="E453" s="391" t="s">
        <v>3320</v>
      </c>
      <c r="F453" s="268" t="s">
        <v>3140</v>
      </c>
      <c r="G453" s="392">
        <v>46069</v>
      </c>
      <c r="H453" s="392">
        <v>46070</v>
      </c>
      <c r="I453" s="337"/>
      <c r="J453" s="389"/>
      <c r="K453" s="337" t="s">
        <v>2678</v>
      </c>
      <c r="L453" s="273">
        <f t="shared" si="40"/>
        <v>20</v>
      </c>
      <c r="M453" s="273">
        <f t="shared" si="41"/>
        <v>0</v>
      </c>
      <c r="N453" s="337" t="s">
        <v>3228</v>
      </c>
      <c r="O453" s="337"/>
    </row>
    <row r="454" spans="1:15" ht="50.1" customHeight="1" x14ac:dyDescent="0.25">
      <c r="A454" s="336">
        <v>78</v>
      </c>
      <c r="B454" s="268" t="s">
        <v>227</v>
      </c>
      <c r="C454" s="268" t="s">
        <v>3063</v>
      </c>
      <c r="D454" s="269">
        <v>0</v>
      </c>
      <c r="E454" s="391" t="s">
        <v>3321</v>
      </c>
      <c r="F454" s="268" t="s">
        <v>2709</v>
      </c>
      <c r="G454" s="392">
        <v>46069</v>
      </c>
      <c r="H454" s="392">
        <v>46070</v>
      </c>
      <c r="I454" s="337"/>
      <c r="J454" s="389"/>
      <c r="K454" s="337" t="s">
        <v>2678</v>
      </c>
      <c r="L454" s="273">
        <f t="shared" si="40"/>
        <v>0</v>
      </c>
      <c r="M454" s="273">
        <f t="shared" si="41"/>
        <v>0</v>
      </c>
      <c r="N454" s="337" t="s">
        <v>3228</v>
      </c>
      <c r="O454" s="337"/>
    </row>
    <row r="455" spans="1:15" ht="50.1" customHeight="1" x14ac:dyDescent="0.25">
      <c r="A455" s="336">
        <v>80</v>
      </c>
      <c r="B455" s="268" t="s">
        <v>1152</v>
      </c>
      <c r="C455" s="268" t="s">
        <v>1153</v>
      </c>
      <c r="D455" s="269">
        <v>4000</v>
      </c>
      <c r="E455" s="391" t="s">
        <v>3323</v>
      </c>
      <c r="F455" s="268" t="s">
        <v>2988</v>
      </c>
      <c r="G455" s="392">
        <v>46069</v>
      </c>
      <c r="H455" s="392">
        <v>46070</v>
      </c>
      <c r="I455" s="337"/>
      <c r="J455" s="389"/>
      <c r="K455" s="337" t="s">
        <v>2678</v>
      </c>
      <c r="L455" s="273">
        <f t="shared" si="40"/>
        <v>10</v>
      </c>
      <c r="M455" s="273">
        <f t="shared" si="41"/>
        <v>0</v>
      </c>
      <c r="N455" s="337" t="s">
        <v>3228</v>
      </c>
      <c r="O455" s="337"/>
    </row>
    <row r="456" spans="1:15" ht="50.1" customHeight="1" x14ac:dyDescent="0.25">
      <c r="A456" s="336">
        <v>83</v>
      </c>
      <c r="B456" s="268" t="s">
        <v>2040</v>
      </c>
      <c r="C456" s="268" t="s">
        <v>2039</v>
      </c>
      <c r="D456" s="269">
        <v>7100</v>
      </c>
      <c r="E456" s="391" t="s">
        <v>3328</v>
      </c>
      <c r="F456" s="268" t="s">
        <v>2988</v>
      </c>
      <c r="G456" s="392">
        <v>46069</v>
      </c>
      <c r="H456" s="392">
        <v>46070</v>
      </c>
      <c r="I456" s="389"/>
      <c r="J456" s="389"/>
      <c r="K456" s="337" t="s">
        <v>2678</v>
      </c>
      <c r="L456" s="273">
        <f t="shared" si="40"/>
        <v>20</v>
      </c>
      <c r="M456" s="273">
        <f t="shared" si="41"/>
        <v>0</v>
      </c>
      <c r="N456" s="337" t="s">
        <v>3228</v>
      </c>
      <c r="O456" s="337"/>
    </row>
    <row r="457" spans="1:15" ht="50.1" customHeight="1" x14ac:dyDescent="0.25">
      <c r="A457" s="336">
        <v>84</v>
      </c>
      <c r="B457" s="268" t="s">
        <v>2041</v>
      </c>
      <c r="C457" s="268" t="s">
        <v>2039</v>
      </c>
      <c r="D457" s="269">
        <v>7100</v>
      </c>
      <c r="E457" s="391" t="s">
        <v>3329</v>
      </c>
      <c r="F457" s="268" t="s">
        <v>2988</v>
      </c>
      <c r="G457" s="392">
        <v>46069</v>
      </c>
      <c r="H457" s="392">
        <v>46070</v>
      </c>
      <c r="I457" s="389"/>
      <c r="J457" s="389"/>
      <c r="K457" s="337" t="s">
        <v>2678</v>
      </c>
      <c r="L457" s="273">
        <f t="shared" si="40"/>
        <v>20</v>
      </c>
      <c r="M457" s="273">
        <f t="shared" si="41"/>
        <v>0</v>
      </c>
      <c r="N457" s="337" t="s">
        <v>3228</v>
      </c>
      <c r="O457" s="337"/>
    </row>
    <row r="458" spans="1:15" ht="50.1" customHeight="1" x14ac:dyDescent="0.25">
      <c r="A458" s="336">
        <v>85</v>
      </c>
      <c r="B458" s="268" t="s">
        <v>2042</v>
      </c>
      <c r="C458" s="268" t="s">
        <v>2039</v>
      </c>
      <c r="D458" s="269">
        <v>7100</v>
      </c>
      <c r="E458" s="391" t="s">
        <v>3330</v>
      </c>
      <c r="F458" s="268" t="s">
        <v>2988</v>
      </c>
      <c r="G458" s="392">
        <v>46069</v>
      </c>
      <c r="H458" s="392">
        <v>46070</v>
      </c>
      <c r="I458" s="389"/>
      <c r="J458" s="389"/>
      <c r="K458" s="337" t="s">
        <v>2678</v>
      </c>
      <c r="L458" s="273">
        <f t="shared" si="40"/>
        <v>20</v>
      </c>
      <c r="M458" s="273">
        <f t="shared" si="41"/>
        <v>0</v>
      </c>
      <c r="N458" s="337" t="s">
        <v>3228</v>
      </c>
      <c r="O458" s="337"/>
    </row>
    <row r="459" spans="1:15" ht="50.1" customHeight="1" x14ac:dyDescent="0.25">
      <c r="A459" s="336">
        <v>86</v>
      </c>
      <c r="B459" s="268" t="s">
        <v>2043</v>
      </c>
      <c r="C459" s="268" t="s">
        <v>2039</v>
      </c>
      <c r="D459" s="269">
        <v>7100</v>
      </c>
      <c r="E459" s="391" t="s">
        <v>3331</v>
      </c>
      <c r="F459" s="268" t="s">
        <v>2988</v>
      </c>
      <c r="G459" s="392">
        <v>46069</v>
      </c>
      <c r="H459" s="392">
        <v>46070</v>
      </c>
      <c r="I459" s="389"/>
      <c r="J459" s="389"/>
      <c r="K459" s="337" t="s">
        <v>2678</v>
      </c>
      <c r="L459" s="273">
        <f t="shared" si="40"/>
        <v>20</v>
      </c>
      <c r="M459" s="273">
        <f t="shared" si="41"/>
        <v>0</v>
      </c>
      <c r="N459" s="337" t="s">
        <v>3228</v>
      </c>
      <c r="O459" s="337"/>
    </row>
    <row r="460" spans="1:15" ht="50.1" customHeight="1" x14ac:dyDescent="0.25">
      <c r="A460" s="336">
        <v>87</v>
      </c>
      <c r="B460" s="268" t="s">
        <v>2044</v>
      </c>
      <c r="C460" s="268" t="s">
        <v>2039</v>
      </c>
      <c r="D460" s="269">
        <v>7100</v>
      </c>
      <c r="E460" s="391" t="s">
        <v>3332</v>
      </c>
      <c r="F460" s="268" t="s">
        <v>2988</v>
      </c>
      <c r="G460" s="392">
        <v>46069</v>
      </c>
      <c r="H460" s="392">
        <v>46070</v>
      </c>
      <c r="I460" s="389"/>
      <c r="J460" s="389"/>
      <c r="K460" s="337" t="s">
        <v>2678</v>
      </c>
      <c r="L460" s="273">
        <f t="shared" si="40"/>
        <v>20</v>
      </c>
      <c r="M460" s="273">
        <f t="shared" si="41"/>
        <v>0</v>
      </c>
      <c r="N460" s="337" t="s">
        <v>3228</v>
      </c>
      <c r="O460" s="337"/>
    </row>
    <row r="461" spans="1:15" ht="50.1" customHeight="1" x14ac:dyDescent="0.25">
      <c r="A461" s="336">
        <v>88</v>
      </c>
      <c r="B461" s="268" t="s">
        <v>2045</v>
      </c>
      <c r="C461" s="268" t="s">
        <v>2039</v>
      </c>
      <c r="D461" s="269">
        <v>7100</v>
      </c>
      <c r="E461" s="391" t="s">
        <v>3333</v>
      </c>
      <c r="F461" s="268" t="s">
        <v>2988</v>
      </c>
      <c r="G461" s="392">
        <v>46069</v>
      </c>
      <c r="H461" s="392">
        <v>46070</v>
      </c>
      <c r="I461" s="389"/>
      <c r="J461" s="389"/>
      <c r="K461" s="337" t="s">
        <v>2678</v>
      </c>
      <c r="L461" s="273">
        <f t="shared" si="40"/>
        <v>20</v>
      </c>
      <c r="M461" s="273">
        <f t="shared" si="41"/>
        <v>0</v>
      </c>
      <c r="N461" s="337" t="s">
        <v>3228</v>
      </c>
      <c r="O461" s="337"/>
    </row>
    <row r="462" spans="1:15" ht="50.1" customHeight="1" x14ac:dyDescent="0.25">
      <c r="A462" s="336">
        <v>89</v>
      </c>
      <c r="B462" s="268" t="s">
        <v>238</v>
      </c>
      <c r="C462" s="268" t="s">
        <v>3103</v>
      </c>
      <c r="D462" s="269">
        <v>10200</v>
      </c>
      <c r="E462" s="391" t="s">
        <v>3334</v>
      </c>
      <c r="F462" s="268" t="s">
        <v>3027</v>
      </c>
      <c r="G462" s="392">
        <v>46069</v>
      </c>
      <c r="H462" s="392">
        <v>46070</v>
      </c>
      <c r="I462" s="389"/>
      <c r="J462" s="389"/>
      <c r="K462" s="337" t="s">
        <v>2678</v>
      </c>
      <c r="L462" s="273">
        <f t="shared" si="40"/>
        <v>30</v>
      </c>
      <c r="M462" s="273">
        <f t="shared" si="41"/>
        <v>0</v>
      </c>
      <c r="N462" s="337" t="s">
        <v>3228</v>
      </c>
      <c r="O462" s="337"/>
    </row>
    <row r="463" spans="1:15" ht="50.1" customHeight="1" x14ac:dyDescent="0.25">
      <c r="A463" s="336">
        <v>90</v>
      </c>
      <c r="B463" s="268" t="s">
        <v>3335</v>
      </c>
      <c r="C463" s="268" t="s">
        <v>1995</v>
      </c>
      <c r="D463" s="269">
        <v>2800</v>
      </c>
      <c r="E463" s="391" t="s">
        <v>3336</v>
      </c>
      <c r="F463" s="268" t="s">
        <v>2982</v>
      </c>
      <c r="G463" s="392">
        <v>46069</v>
      </c>
      <c r="H463" s="392">
        <v>46070</v>
      </c>
      <c r="I463" s="389"/>
      <c r="J463" s="389"/>
      <c r="K463" s="337" t="s">
        <v>2678</v>
      </c>
      <c r="L463" s="273">
        <f t="shared" si="40"/>
        <v>10</v>
      </c>
      <c r="M463" s="273">
        <f t="shared" si="41"/>
        <v>0</v>
      </c>
      <c r="N463" s="337" t="s">
        <v>3228</v>
      </c>
      <c r="O463" s="337"/>
    </row>
    <row r="464" spans="1:15" ht="50.1" customHeight="1" x14ac:dyDescent="0.25">
      <c r="A464" s="336">
        <v>91</v>
      </c>
      <c r="B464" s="268" t="s">
        <v>3337</v>
      </c>
      <c r="C464" s="268" t="s">
        <v>2089</v>
      </c>
      <c r="D464" s="269">
        <v>18500</v>
      </c>
      <c r="E464" s="391" t="s">
        <v>3338</v>
      </c>
      <c r="F464" s="268" t="s">
        <v>2988</v>
      </c>
      <c r="G464" s="392">
        <v>46069</v>
      </c>
      <c r="H464" s="392">
        <v>46070</v>
      </c>
      <c r="I464" s="389"/>
      <c r="J464" s="389"/>
      <c r="K464" s="337" t="s">
        <v>2678</v>
      </c>
      <c r="L464" s="273">
        <f t="shared" si="40"/>
        <v>40</v>
      </c>
      <c r="M464" s="273">
        <f t="shared" si="41"/>
        <v>0</v>
      </c>
      <c r="N464" s="337" t="s">
        <v>3228</v>
      </c>
      <c r="O464" s="337"/>
    </row>
    <row r="465" spans="1:15" ht="50.1" customHeight="1" x14ac:dyDescent="0.25">
      <c r="A465" s="336">
        <v>92</v>
      </c>
      <c r="B465" s="268" t="s">
        <v>3339</v>
      </c>
      <c r="C465" s="268" t="s">
        <v>3104</v>
      </c>
      <c r="D465" s="269">
        <v>2400</v>
      </c>
      <c r="E465" s="391" t="s">
        <v>3340</v>
      </c>
      <c r="F465" s="268" t="s">
        <v>3032</v>
      </c>
      <c r="G465" s="392">
        <v>46069</v>
      </c>
      <c r="H465" s="392">
        <v>46070</v>
      </c>
      <c r="I465" s="389"/>
      <c r="J465" s="389"/>
      <c r="K465" s="337" t="s">
        <v>2678</v>
      </c>
      <c r="L465" s="273">
        <f t="shared" si="40"/>
        <v>10</v>
      </c>
      <c r="M465" s="273">
        <f t="shared" si="41"/>
        <v>0</v>
      </c>
      <c r="N465" s="337" t="s">
        <v>3228</v>
      </c>
      <c r="O465" s="337"/>
    </row>
    <row r="466" spans="1:15" ht="50.1" customHeight="1" x14ac:dyDescent="0.25">
      <c r="A466" s="336">
        <v>93</v>
      </c>
      <c r="B466" s="268" t="s">
        <v>3341</v>
      </c>
      <c r="C466" s="268" t="s">
        <v>3104</v>
      </c>
      <c r="D466" s="269">
        <v>2400</v>
      </c>
      <c r="E466" s="391" t="s">
        <v>3342</v>
      </c>
      <c r="F466" s="268" t="s">
        <v>3032</v>
      </c>
      <c r="G466" s="392">
        <v>46069</v>
      </c>
      <c r="H466" s="392">
        <v>46070</v>
      </c>
      <c r="I466" s="389"/>
      <c r="J466" s="389"/>
      <c r="K466" s="337" t="s">
        <v>2678</v>
      </c>
      <c r="L466" s="273">
        <f t="shared" si="40"/>
        <v>10</v>
      </c>
      <c r="M466" s="273">
        <f t="shared" si="41"/>
        <v>0</v>
      </c>
      <c r="N466" s="337" t="s">
        <v>3228</v>
      </c>
      <c r="O466" s="337"/>
    </row>
    <row r="467" spans="1:15" ht="50.1" customHeight="1" x14ac:dyDescent="0.25">
      <c r="A467" s="336">
        <v>94</v>
      </c>
      <c r="B467" s="268" t="s">
        <v>3343</v>
      </c>
      <c r="C467" s="268" t="s">
        <v>3104</v>
      </c>
      <c r="D467" s="269">
        <v>2400</v>
      </c>
      <c r="E467" s="391" t="s">
        <v>3344</v>
      </c>
      <c r="F467" s="268" t="s">
        <v>3032</v>
      </c>
      <c r="G467" s="392">
        <v>46069</v>
      </c>
      <c r="H467" s="392">
        <v>46070</v>
      </c>
      <c r="I467" s="389"/>
      <c r="J467" s="389"/>
      <c r="K467" s="337" t="s">
        <v>2678</v>
      </c>
      <c r="L467" s="273">
        <f t="shared" si="40"/>
        <v>10</v>
      </c>
      <c r="M467" s="273">
        <f t="shared" si="41"/>
        <v>0</v>
      </c>
      <c r="N467" s="337" t="s">
        <v>3228</v>
      </c>
      <c r="O467" s="337"/>
    </row>
    <row r="468" spans="1:15" ht="50.1" customHeight="1" x14ac:dyDescent="0.25">
      <c r="A468" s="336">
        <v>95</v>
      </c>
      <c r="B468" s="268" t="s">
        <v>3345</v>
      </c>
      <c r="C468" s="268" t="s">
        <v>3104</v>
      </c>
      <c r="D468" s="269">
        <v>2400</v>
      </c>
      <c r="E468" s="391" t="s">
        <v>3346</v>
      </c>
      <c r="F468" s="268" t="s">
        <v>3032</v>
      </c>
      <c r="G468" s="392">
        <v>46069</v>
      </c>
      <c r="H468" s="392">
        <v>46070</v>
      </c>
      <c r="I468" s="389"/>
      <c r="J468" s="389"/>
      <c r="K468" s="337" t="s">
        <v>2678</v>
      </c>
      <c r="L468" s="273">
        <f t="shared" si="40"/>
        <v>10</v>
      </c>
      <c r="M468" s="273">
        <f t="shared" si="41"/>
        <v>0</v>
      </c>
      <c r="N468" s="337" t="s">
        <v>3228</v>
      </c>
      <c r="O468" s="337"/>
    </row>
    <row r="469" spans="1:15" ht="50.1" customHeight="1" x14ac:dyDescent="0.25">
      <c r="A469" s="336">
        <v>96</v>
      </c>
      <c r="B469" s="268" t="s">
        <v>3347</v>
      </c>
      <c r="C469" s="268" t="s">
        <v>3104</v>
      </c>
      <c r="D469" s="269">
        <v>2400</v>
      </c>
      <c r="E469" s="391" t="s">
        <v>3348</v>
      </c>
      <c r="F469" s="268" t="s">
        <v>3032</v>
      </c>
      <c r="G469" s="392">
        <v>46069</v>
      </c>
      <c r="H469" s="392">
        <v>46070</v>
      </c>
      <c r="I469" s="389"/>
      <c r="J469" s="389"/>
      <c r="K469" s="337" t="s">
        <v>2678</v>
      </c>
      <c r="L469" s="273">
        <f t="shared" si="40"/>
        <v>10</v>
      </c>
      <c r="M469" s="273">
        <f t="shared" si="41"/>
        <v>0</v>
      </c>
      <c r="N469" s="337" t="s">
        <v>3228</v>
      </c>
      <c r="O469" s="337"/>
    </row>
    <row r="470" spans="1:15" ht="50.1" customHeight="1" x14ac:dyDescent="0.25">
      <c r="A470" s="336">
        <v>97</v>
      </c>
      <c r="B470" s="268" t="s">
        <v>3349</v>
      </c>
      <c r="C470" s="268" t="s">
        <v>2323</v>
      </c>
      <c r="D470" s="269">
        <v>39000</v>
      </c>
      <c r="E470" s="391" t="s">
        <v>3350</v>
      </c>
      <c r="F470" s="268" t="s">
        <v>2988</v>
      </c>
      <c r="G470" s="392">
        <v>46069</v>
      </c>
      <c r="H470" s="392">
        <v>46070</v>
      </c>
      <c r="I470" s="389"/>
      <c r="J470" s="389"/>
      <c r="K470" s="337" t="s">
        <v>2678</v>
      </c>
      <c r="L470" s="273">
        <f t="shared" ref="L470:L494" si="42">ROUNDUP((D470/4999.99)*10,-1)</f>
        <v>80</v>
      </c>
      <c r="M470" s="273">
        <f t="shared" si="41"/>
        <v>0</v>
      </c>
      <c r="N470" s="337" t="s">
        <v>3228</v>
      </c>
      <c r="O470" s="337"/>
    </row>
    <row r="471" spans="1:15" ht="50.1" customHeight="1" x14ac:dyDescent="0.25">
      <c r="A471" s="336">
        <v>98</v>
      </c>
      <c r="B471" s="268" t="s">
        <v>1622</v>
      </c>
      <c r="C471" s="268" t="s">
        <v>1995</v>
      </c>
      <c r="D471" s="269">
        <v>4300</v>
      </c>
      <c r="E471" s="391" t="s">
        <v>3351</v>
      </c>
      <c r="F471" s="268" t="s">
        <v>3026</v>
      </c>
      <c r="G471" s="392">
        <v>46073</v>
      </c>
      <c r="H471" s="392">
        <v>46074</v>
      </c>
      <c r="I471" s="389"/>
      <c r="J471" s="389"/>
      <c r="K471" s="337" t="s">
        <v>2678</v>
      </c>
      <c r="L471" s="273">
        <f t="shared" si="42"/>
        <v>10</v>
      </c>
      <c r="M471" s="273">
        <f t="shared" si="41"/>
        <v>0</v>
      </c>
      <c r="N471" s="337" t="s">
        <v>3228</v>
      </c>
      <c r="O471" s="337"/>
    </row>
    <row r="472" spans="1:15" ht="50.1" customHeight="1" x14ac:dyDescent="0.25">
      <c r="A472" s="336">
        <v>100</v>
      </c>
      <c r="B472" s="268" t="s">
        <v>1642</v>
      </c>
      <c r="C472" s="268" t="s">
        <v>1995</v>
      </c>
      <c r="D472" s="269">
        <v>4300</v>
      </c>
      <c r="E472" s="391" t="s">
        <v>3353</v>
      </c>
      <c r="F472" s="268" t="s">
        <v>3026</v>
      </c>
      <c r="G472" s="392">
        <v>46073</v>
      </c>
      <c r="H472" s="392">
        <v>46074</v>
      </c>
      <c r="I472" s="389"/>
      <c r="J472" s="389"/>
      <c r="K472" s="337" t="s">
        <v>2678</v>
      </c>
      <c r="L472" s="273">
        <f t="shared" si="42"/>
        <v>10</v>
      </c>
      <c r="M472" s="273">
        <f t="shared" si="41"/>
        <v>0</v>
      </c>
      <c r="N472" s="337" t="s">
        <v>3228</v>
      </c>
      <c r="O472" s="337"/>
    </row>
    <row r="473" spans="1:15" ht="50.1" customHeight="1" x14ac:dyDescent="0.25">
      <c r="A473" s="336">
        <v>102</v>
      </c>
      <c r="B473" s="268" t="s">
        <v>228</v>
      </c>
      <c r="C473" s="268" t="s">
        <v>3355</v>
      </c>
      <c r="D473" s="269">
        <v>11565</v>
      </c>
      <c r="E473" s="391" t="s">
        <v>3356</v>
      </c>
      <c r="F473" s="268" t="s">
        <v>3027</v>
      </c>
      <c r="G473" s="392">
        <v>46073</v>
      </c>
      <c r="H473" s="392">
        <v>46074</v>
      </c>
      <c r="I473" s="389"/>
      <c r="J473" s="389"/>
      <c r="K473" s="337" t="s">
        <v>2678</v>
      </c>
      <c r="L473" s="273">
        <f t="shared" si="42"/>
        <v>30</v>
      </c>
      <c r="M473" s="273">
        <f t="shared" si="41"/>
        <v>0</v>
      </c>
      <c r="N473" s="337" t="s">
        <v>3228</v>
      </c>
      <c r="O473" s="337"/>
    </row>
    <row r="474" spans="1:15" ht="50.1" customHeight="1" x14ac:dyDescent="0.25">
      <c r="A474" s="336">
        <v>104</v>
      </c>
      <c r="B474" s="268" t="s">
        <v>1494</v>
      </c>
      <c r="C474" s="268" t="s">
        <v>2310</v>
      </c>
      <c r="D474" s="269">
        <v>60000</v>
      </c>
      <c r="E474" s="391" t="s">
        <v>3358</v>
      </c>
      <c r="F474" s="268" t="s">
        <v>3030</v>
      </c>
      <c r="G474" s="392">
        <v>46073</v>
      </c>
      <c r="H474" s="392">
        <v>46074</v>
      </c>
      <c r="I474" s="389"/>
      <c r="J474" s="389"/>
      <c r="K474" s="337" t="s">
        <v>2678</v>
      </c>
      <c r="L474" s="273">
        <f t="shared" si="42"/>
        <v>130</v>
      </c>
      <c r="M474" s="273">
        <f t="shared" si="41"/>
        <v>0</v>
      </c>
      <c r="N474" s="337" t="s">
        <v>3228</v>
      </c>
      <c r="O474" s="337"/>
    </row>
    <row r="475" spans="1:15" ht="50.1" customHeight="1" x14ac:dyDescent="0.25">
      <c r="A475" s="336">
        <v>106</v>
      </c>
      <c r="B475" s="268" t="s">
        <v>314</v>
      </c>
      <c r="C475" s="268" t="s">
        <v>3101</v>
      </c>
      <c r="D475" s="269">
        <v>6000</v>
      </c>
      <c r="E475" s="391" t="s">
        <v>3360</v>
      </c>
      <c r="F475" s="268" t="s">
        <v>3031</v>
      </c>
      <c r="G475" s="392">
        <v>46077</v>
      </c>
      <c r="H475" s="392">
        <v>46078</v>
      </c>
      <c r="I475" s="389"/>
      <c r="J475" s="389"/>
      <c r="K475" s="337" t="s">
        <v>2678</v>
      </c>
      <c r="L475" s="273">
        <f t="shared" si="42"/>
        <v>20</v>
      </c>
      <c r="M475" s="273">
        <f t="shared" si="41"/>
        <v>0</v>
      </c>
      <c r="N475" s="337" t="s">
        <v>3228</v>
      </c>
      <c r="O475" s="337"/>
    </row>
    <row r="476" spans="1:15" ht="50.1" customHeight="1" x14ac:dyDescent="0.25">
      <c r="A476" s="336">
        <v>107</v>
      </c>
      <c r="B476" s="268" t="s">
        <v>315</v>
      </c>
      <c r="C476" s="268" t="s">
        <v>3361</v>
      </c>
      <c r="D476" s="269">
        <v>6000</v>
      </c>
      <c r="E476" s="391" t="s">
        <v>3362</v>
      </c>
      <c r="F476" s="268" t="s">
        <v>3031</v>
      </c>
      <c r="G476" s="392">
        <v>46077</v>
      </c>
      <c r="H476" s="392">
        <v>46078</v>
      </c>
      <c r="I476" s="389"/>
      <c r="J476" s="389"/>
      <c r="K476" s="337" t="s">
        <v>2678</v>
      </c>
      <c r="L476" s="273">
        <f t="shared" si="42"/>
        <v>20</v>
      </c>
      <c r="M476" s="273">
        <f t="shared" si="41"/>
        <v>0</v>
      </c>
      <c r="N476" s="337" t="s">
        <v>3228</v>
      </c>
      <c r="O476" s="337"/>
    </row>
    <row r="477" spans="1:15" ht="50.1" customHeight="1" x14ac:dyDescent="0.25">
      <c r="A477" s="336">
        <v>108</v>
      </c>
      <c r="B477" s="268" t="s">
        <v>316</v>
      </c>
      <c r="C477" s="268" t="s">
        <v>3101</v>
      </c>
      <c r="D477" s="269">
        <v>6000</v>
      </c>
      <c r="E477" s="391" t="s">
        <v>3363</v>
      </c>
      <c r="F477" s="268" t="s">
        <v>3031</v>
      </c>
      <c r="G477" s="392">
        <v>46077</v>
      </c>
      <c r="H477" s="392">
        <v>46078</v>
      </c>
      <c r="I477" s="389"/>
      <c r="J477" s="389"/>
      <c r="K477" s="337" t="s">
        <v>2678</v>
      </c>
      <c r="L477" s="273">
        <f t="shared" si="42"/>
        <v>20</v>
      </c>
      <c r="M477" s="273">
        <f t="shared" si="41"/>
        <v>0</v>
      </c>
      <c r="N477" s="337" t="s">
        <v>3228</v>
      </c>
      <c r="O477" s="337"/>
    </row>
    <row r="478" spans="1:15" ht="50.1" customHeight="1" x14ac:dyDescent="0.25">
      <c r="A478" s="336">
        <v>110</v>
      </c>
      <c r="B478" s="268" t="s">
        <v>3366</v>
      </c>
      <c r="C478" s="268" t="s">
        <v>2310</v>
      </c>
      <c r="D478" s="269">
        <v>69900</v>
      </c>
      <c r="E478" s="391" t="s">
        <v>3367</v>
      </c>
      <c r="F478" s="268" t="s">
        <v>3030</v>
      </c>
      <c r="G478" s="392">
        <v>46077</v>
      </c>
      <c r="H478" s="392">
        <v>46078</v>
      </c>
      <c r="I478" s="389"/>
      <c r="J478" s="389"/>
      <c r="K478" s="337" t="s">
        <v>2678</v>
      </c>
      <c r="L478" s="273">
        <f t="shared" si="42"/>
        <v>140</v>
      </c>
      <c r="M478" s="273">
        <f t="shared" si="41"/>
        <v>0</v>
      </c>
      <c r="N478" s="337" t="s">
        <v>3228</v>
      </c>
      <c r="O478" s="337"/>
    </row>
    <row r="479" spans="1:15" ht="50.1" customHeight="1" x14ac:dyDescent="0.25">
      <c r="A479" s="336">
        <v>112</v>
      </c>
      <c r="B479" s="268" t="s">
        <v>311</v>
      </c>
      <c r="C479" s="268" t="s">
        <v>3101</v>
      </c>
      <c r="D479" s="269">
        <v>6000</v>
      </c>
      <c r="E479" s="391" t="s">
        <v>3369</v>
      </c>
      <c r="F479" s="268" t="s">
        <v>3031</v>
      </c>
      <c r="G479" s="392">
        <v>46078</v>
      </c>
      <c r="H479" s="392">
        <v>46079</v>
      </c>
      <c r="I479" s="389"/>
      <c r="J479" s="389"/>
      <c r="K479" s="337" t="s">
        <v>2678</v>
      </c>
      <c r="L479" s="273">
        <f t="shared" si="42"/>
        <v>20</v>
      </c>
      <c r="M479" s="273">
        <f t="shared" si="41"/>
        <v>0</v>
      </c>
      <c r="N479" s="337" t="s">
        <v>3228</v>
      </c>
      <c r="O479" s="337"/>
    </row>
    <row r="480" spans="1:15" ht="50.1" customHeight="1" x14ac:dyDescent="0.25">
      <c r="A480" s="336">
        <v>113</v>
      </c>
      <c r="B480" s="268" t="s">
        <v>312</v>
      </c>
      <c r="C480" s="268" t="s">
        <v>3101</v>
      </c>
      <c r="D480" s="269">
        <v>6000</v>
      </c>
      <c r="E480" s="391" t="s">
        <v>3370</v>
      </c>
      <c r="F480" s="268" t="s">
        <v>3031</v>
      </c>
      <c r="G480" s="392">
        <v>46078</v>
      </c>
      <c r="H480" s="392">
        <v>46079</v>
      </c>
      <c r="I480" s="389"/>
      <c r="J480" s="389"/>
      <c r="K480" s="337" t="s">
        <v>2678</v>
      </c>
      <c r="L480" s="273">
        <f t="shared" si="42"/>
        <v>20</v>
      </c>
      <c r="M480" s="273">
        <f t="shared" si="41"/>
        <v>0</v>
      </c>
      <c r="N480" s="337" t="s">
        <v>3228</v>
      </c>
      <c r="O480" s="337"/>
    </row>
    <row r="481" spans="1:15" ht="50.1" customHeight="1" x14ac:dyDescent="0.25">
      <c r="A481" s="336">
        <v>114</v>
      </c>
      <c r="B481" s="268" t="s">
        <v>313</v>
      </c>
      <c r="C481" s="268" t="s">
        <v>3101</v>
      </c>
      <c r="D481" s="269">
        <v>6000</v>
      </c>
      <c r="E481" s="391" t="s">
        <v>3371</v>
      </c>
      <c r="F481" s="268" t="s">
        <v>3031</v>
      </c>
      <c r="G481" s="392">
        <v>46078</v>
      </c>
      <c r="H481" s="392">
        <v>46079</v>
      </c>
      <c r="I481" s="389"/>
      <c r="J481" s="389"/>
      <c r="K481" s="337" t="s">
        <v>2678</v>
      </c>
      <c r="L481" s="273">
        <f t="shared" si="42"/>
        <v>20</v>
      </c>
      <c r="M481" s="273">
        <f t="shared" si="41"/>
        <v>0</v>
      </c>
      <c r="N481" s="337" t="s">
        <v>3228</v>
      </c>
      <c r="O481" s="337"/>
    </row>
    <row r="482" spans="1:15" ht="50.1" customHeight="1" x14ac:dyDescent="0.25">
      <c r="A482" s="336">
        <v>115</v>
      </c>
      <c r="B482" s="268" t="s">
        <v>427</v>
      </c>
      <c r="C482" s="268" t="s">
        <v>3101</v>
      </c>
      <c r="D482" s="269">
        <v>10000</v>
      </c>
      <c r="E482" s="391" t="s">
        <v>3372</v>
      </c>
      <c r="F482" s="268" t="s">
        <v>3032</v>
      </c>
      <c r="G482" s="392">
        <v>46078</v>
      </c>
      <c r="H482" s="392">
        <v>46079</v>
      </c>
      <c r="I482" s="389"/>
      <c r="J482" s="389"/>
      <c r="K482" s="337" t="s">
        <v>2678</v>
      </c>
      <c r="L482" s="273">
        <f t="shared" si="42"/>
        <v>30</v>
      </c>
      <c r="M482" s="273">
        <f t="shared" si="41"/>
        <v>0</v>
      </c>
      <c r="N482" s="337" t="s">
        <v>3228</v>
      </c>
      <c r="O482" s="337"/>
    </row>
    <row r="483" spans="1:15" ht="50.1" customHeight="1" x14ac:dyDescent="0.25">
      <c r="A483" s="336">
        <v>116</v>
      </c>
      <c r="B483" s="268" t="s">
        <v>2006</v>
      </c>
      <c r="C483" s="268" t="s">
        <v>2039</v>
      </c>
      <c r="D483" s="269">
        <v>6000</v>
      </c>
      <c r="E483" s="391" t="s">
        <v>3373</v>
      </c>
      <c r="F483" s="268" t="s">
        <v>2988</v>
      </c>
      <c r="G483" s="392">
        <v>46078</v>
      </c>
      <c r="H483" s="392">
        <v>46079</v>
      </c>
      <c r="I483" s="389"/>
      <c r="J483" s="389"/>
      <c r="K483" s="337" t="s">
        <v>2678</v>
      </c>
      <c r="L483" s="273">
        <f t="shared" si="42"/>
        <v>20</v>
      </c>
      <c r="M483" s="273">
        <f t="shared" si="41"/>
        <v>0</v>
      </c>
      <c r="N483" s="337" t="s">
        <v>3228</v>
      </c>
      <c r="O483" s="337"/>
    </row>
    <row r="484" spans="1:15" ht="50.1" customHeight="1" x14ac:dyDescent="0.25">
      <c r="A484" s="336">
        <v>117</v>
      </c>
      <c r="B484" s="268" t="s">
        <v>2007</v>
      </c>
      <c r="C484" s="268" t="s">
        <v>2039</v>
      </c>
      <c r="D484" s="269">
        <v>6000</v>
      </c>
      <c r="E484" s="391" t="s">
        <v>3374</v>
      </c>
      <c r="F484" s="268" t="s">
        <v>2988</v>
      </c>
      <c r="G484" s="392">
        <v>46078</v>
      </c>
      <c r="H484" s="392">
        <v>46079</v>
      </c>
      <c r="I484" s="389"/>
      <c r="J484" s="389"/>
      <c r="K484" s="337" t="s">
        <v>2678</v>
      </c>
      <c r="L484" s="273">
        <f t="shared" si="42"/>
        <v>20</v>
      </c>
      <c r="M484" s="273">
        <f t="shared" si="41"/>
        <v>0</v>
      </c>
      <c r="N484" s="337" t="s">
        <v>3228</v>
      </c>
      <c r="O484" s="337"/>
    </row>
    <row r="485" spans="1:15" ht="50.1" customHeight="1" x14ac:dyDescent="0.25">
      <c r="A485" s="336">
        <v>118</v>
      </c>
      <c r="B485" s="268" t="s">
        <v>2008</v>
      </c>
      <c r="C485" s="268" t="s">
        <v>2039</v>
      </c>
      <c r="D485" s="269">
        <v>6000</v>
      </c>
      <c r="E485" s="391" t="s">
        <v>3375</v>
      </c>
      <c r="F485" s="268" t="s">
        <v>2988</v>
      </c>
      <c r="G485" s="392">
        <v>46078</v>
      </c>
      <c r="H485" s="392">
        <v>46079</v>
      </c>
      <c r="I485" s="389"/>
      <c r="J485" s="389"/>
      <c r="K485" s="337" t="s">
        <v>2678</v>
      </c>
      <c r="L485" s="273">
        <f t="shared" si="42"/>
        <v>20</v>
      </c>
      <c r="M485" s="273">
        <f t="shared" si="41"/>
        <v>0</v>
      </c>
      <c r="N485" s="337" t="s">
        <v>3228</v>
      </c>
      <c r="O485" s="337"/>
    </row>
    <row r="486" spans="1:15" ht="50.1" customHeight="1" x14ac:dyDescent="0.25">
      <c r="A486" s="336">
        <v>119</v>
      </c>
      <c r="B486" s="268" t="s">
        <v>2009</v>
      </c>
      <c r="C486" s="268" t="s">
        <v>2039</v>
      </c>
      <c r="D486" s="269">
        <v>6000</v>
      </c>
      <c r="E486" s="391" t="s">
        <v>3376</v>
      </c>
      <c r="F486" s="268" t="s">
        <v>2988</v>
      </c>
      <c r="G486" s="392">
        <v>46078</v>
      </c>
      <c r="H486" s="392">
        <v>46079</v>
      </c>
      <c r="I486" s="389"/>
      <c r="J486" s="389"/>
      <c r="K486" s="337" t="s">
        <v>2678</v>
      </c>
      <c r="L486" s="273">
        <f t="shared" si="42"/>
        <v>20</v>
      </c>
      <c r="M486" s="273">
        <f t="shared" si="41"/>
        <v>0</v>
      </c>
      <c r="N486" s="337" t="s">
        <v>3228</v>
      </c>
      <c r="O486" s="337"/>
    </row>
    <row r="487" spans="1:15" ht="50.1" customHeight="1" x14ac:dyDescent="0.25">
      <c r="A487" s="336">
        <v>120</v>
      </c>
      <c r="B487" s="268" t="s">
        <v>2010</v>
      </c>
      <c r="C487" s="268" t="s">
        <v>2039</v>
      </c>
      <c r="D487" s="269">
        <v>6000</v>
      </c>
      <c r="E487" s="391" t="s">
        <v>3377</v>
      </c>
      <c r="F487" s="268" t="s">
        <v>2988</v>
      </c>
      <c r="G487" s="392">
        <v>46078</v>
      </c>
      <c r="H487" s="392">
        <v>46079</v>
      </c>
      <c r="I487" s="389"/>
      <c r="J487" s="389"/>
      <c r="K487" s="337" t="s">
        <v>2678</v>
      </c>
      <c r="L487" s="273">
        <f t="shared" si="42"/>
        <v>20</v>
      </c>
      <c r="M487" s="273">
        <f t="shared" si="41"/>
        <v>0</v>
      </c>
      <c r="N487" s="337" t="s">
        <v>3228</v>
      </c>
      <c r="O487" s="337"/>
    </row>
    <row r="488" spans="1:15" ht="50.1" customHeight="1" x14ac:dyDescent="0.25">
      <c r="A488" s="336">
        <v>121</v>
      </c>
      <c r="B488" s="268" t="s">
        <v>2011</v>
      </c>
      <c r="C488" s="268" t="s">
        <v>2039</v>
      </c>
      <c r="D488" s="269">
        <v>6000</v>
      </c>
      <c r="E488" s="391" t="s">
        <v>3378</v>
      </c>
      <c r="F488" s="268" t="s">
        <v>2988</v>
      </c>
      <c r="G488" s="392">
        <v>46078</v>
      </c>
      <c r="H488" s="392">
        <v>46079</v>
      </c>
      <c r="I488" s="389"/>
      <c r="J488" s="389"/>
      <c r="K488" s="337" t="s">
        <v>2678</v>
      </c>
      <c r="L488" s="273">
        <f t="shared" si="42"/>
        <v>20</v>
      </c>
      <c r="M488" s="273">
        <f t="shared" si="41"/>
        <v>0</v>
      </c>
      <c r="N488" s="337" t="s">
        <v>3228</v>
      </c>
      <c r="O488" s="337"/>
    </row>
    <row r="489" spans="1:15" ht="50.1" customHeight="1" x14ac:dyDescent="0.25">
      <c r="A489" s="336">
        <v>122</v>
      </c>
      <c r="B489" s="268" t="s">
        <v>2012</v>
      </c>
      <c r="C489" s="268" t="s">
        <v>2039</v>
      </c>
      <c r="D489" s="269">
        <v>6000</v>
      </c>
      <c r="E489" s="391" t="s">
        <v>3379</v>
      </c>
      <c r="F489" s="268" t="s">
        <v>2988</v>
      </c>
      <c r="G489" s="392">
        <v>46078</v>
      </c>
      <c r="H489" s="392">
        <v>46079</v>
      </c>
      <c r="I489" s="389"/>
      <c r="J489" s="390"/>
      <c r="K489" s="337" t="s">
        <v>2678</v>
      </c>
      <c r="L489" s="273">
        <f t="shared" si="42"/>
        <v>20</v>
      </c>
      <c r="M489" s="273">
        <f t="shared" si="41"/>
        <v>0</v>
      </c>
      <c r="N489" s="337" t="s">
        <v>3228</v>
      </c>
      <c r="O489" s="368"/>
    </row>
    <row r="490" spans="1:15" ht="50.1" customHeight="1" x14ac:dyDescent="0.25">
      <c r="A490" s="336">
        <v>123</v>
      </c>
      <c r="B490" s="268" t="s">
        <v>2013</v>
      </c>
      <c r="C490" s="268" t="s">
        <v>2039</v>
      </c>
      <c r="D490" s="269">
        <v>6000</v>
      </c>
      <c r="E490" s="391" t="s">
        <v>3380</v>
      </c>
      <c r="F490" s="268" t="s">
        <v>2988</v>
      </c>
      <c r="G490" s="392">
        <v>46078</v>
      </c>
      <c r="H490" s="392">
        <v>46079</v>
      </c>
      <c r="I490" s="389"/>
      <c r="J490" s="389"/>
      <c r="K490" s="337" t="s">
        <v>2678</v>
      </c>
      <c r="L490" s="273">
        <f t="shared" si="42"/>
        <v>20</v>
      </c>
      <c r="M490" s="273">
        <f t="shared" si="41"/>
        <v>0</v>
      </c>
      <c r="N490" s="337" t="s">
        <v>3228</v>
      </c>
      <c r="O490" s="400"/>
    </row>
    <row r="491" spans="1:15" ht="50.1" customHeight="1" x14ac:dyDescent="0.25">
      <c r="A491" s="336">
        <v>124</v>
      </c>
      <c r="B491" s="268" t="s">
        <v>2014</v>
      </c>
      <c r="C491" s="268" t="s">
        <v>2039</v>
      </c>
      <c r="D491" s="269">
        <v>6000</v>
      </c>
      <c r="E491" s="391" t="s">
        <v>3381</v>
      </c>
      <c r="F491" s="268" t="s">
        <v>2988</v>
      </c>
      <c r="G491" s="392">
        <v>46078</v>
      </c>
      <c r="H491" s="392">
        <v>46079</v>
      </c>
      <c r="I491" s="389"/>
      <c r="J491" s="389"/>
      <c r="K491" s="337" t="s">
        <v>2678</v>
      </c>
      <c r="L491" s="273">
        <f t="shared" si="42"/>
        <v>20</v>
      </c>
      <c r="M491" s="273">
        <f t="shared" si="41"/>
        <v>0</v>
      </c>
      <c r="N491" s="337" t="s">
        <v>3228</v>
      </c>
      <c r="O491" s="337"/>
    </row>
    <row r="492" spans="1:15" ht="50.1" customHeight="1" x14ac:dyDescent="0.25">
      <c r="A492" s="336">
        <v>125</v>
      </c>
      <c r="B492" s="268" t="s">
        <v>2015</v>
      </c>
      <c r="C492" s="268" t="s">
        <v>2039</v>
      </c>
      <c r="D492" s="269">
        <v>6000</v>
      </c>
      <c r="E492" s="391" t="s">
        <v>3382</v>
      </c>
      <c r="F492" s="268" t="s">
        <v>2988</v>
      </c>
      <c r="G492" s="392">
        <v>46078</v>
      </c>
      <c r="H492" s="392">
        <v>46079</v>
      </c>
      <c r="I492" s="389"/>
      <c r="J492" s="389"/>
      <c r="K492" s="337" t="s">
        <v>2678</v>
      </c>
      <c r="L492" s="273">
        <f t="shared" si="42"/>
        <v>20</v>
      </c>
      <c r="M492" s="273">
        <f t="shared" si="41"/>
        <v>0</v>
      </c>
      <c r="N492" s="337" t="s">
        <v>3228</v>
      </c>
      <c r="O492" s="337"/>
    </row>
    <row r="493" spans="1:15" ht="50.1" customHeight="1" x14ac:dyDescent="0.25">
      <c r="A493" s="336">
        <v>126</v>
      </c>
      <c r="B493" s="268" t="s">
        <v>2016</v>
      </c>
      <c r="C493" s="268" t="s">
        <v>2039</v>
      </c>
      <c r="D493" s="269">
        <v>6000</v>
      </c>
      <c r="E493" s="391" t="s">
        <v>3383</v>
      </c>
      <c r="F493" s="268" t="s">
        <v>2988</v>
      </c>
      <c r="G493" s="392">
        <v>46078</v>
      </c>
      <c r="H493" s="392">
        <v>46079</v>
      </c>
      <c r="I493" s="389"/>
      <c r="J493" s="389"/>
      <c r="K493" s="337" t="s">
        <v>2678</v>
      </c>
      <c r="L493" s="273">
        <f t="shared" si="42"/>
        <v>20</v>
      </c>
      <c r="M493" s="273">
        <f t="shared" si="41"/>
        <v>0</v>
      </c>
      <c r="N493" s="337" t="s">
        <v>3228</v>
      </c>
      <c r="O493" s="337"/>
    </row>
    <row r="494" spans="1:15" ht="50.1" customHeight="1" x14ac:dyDescent="0.25">
      <c r="A494" s="336">
        <v>127</v>
      </c>
      <c r="B494" s="268" t="s">
        <v>2027</v>
      </c>
      <c r="C494" s="268" t="s">
        <v>2005</v>
      </c>
      <c r="D494" s="269">
        <v>6000</v>
      </c>
      <c r="E494" s="391" t="s">
        <v>3384</v>
      </c>
      <c r="F494" s="268" t="s">
        <v>2988</v>
      </c>
      <c r="G494" s="392">
        <v>46078</v>
      </c>
      <c r="H494" s="392">
        <v>46079</v>
      </c>
      <c r="I494" s="389"/>
      <c r="J494" s="389"/>
      <c r="K494" s="337" t="s">
        <v>2678</v>
      </c>
      <c r="L494" s="273">
        <f t="shared" si="42"/>
        <v>20</v>
      </c>
      <c r="M494" s="273">
        <f t="shared" si="41"/>
        <v>0</v>
      </c>
      <c r="N494" s="337" t="s">
        <v>3228</v>
      </c>
      <c r="O494" s="337"/>
    </row>
    <row r="495" spans="1:15" ht="50.1" customHeight="1" x14ac:dyDescent="0.25">
      <c r="A495" s="336">
        <v>129</v>
      </c>
      <c r="B495" s="268" t="s">
        <v>240</v>
      </c>
      <c r="C495" s="268" t="s">
        <v>3063</v>
      </c>
      <c r="D495" s="269">
        <v>10200</v>
      </c>
      <c r="E495" s="391" t="s">
        <v>3387</v>
      </c>
      <c r="F495" s="268" t="s">
        <v>3025</v>
      </c>
      <c r="G495" s="392">
        <v>46079</v>
      </c>
      <c r="H495" s="392">
        <v>46080</v>
      </c>
      <c r="I495" s="389"/>
      <c r="J495" s="390"/>
      <c r="K495" s="337" t="s">
        <v>2678</v>
      </c>
      <c r="L495" s="273">
        <f t="shared" ref="L495:L501" si="43">ROUNDUP((D495/4999.99)*10,-1)</f>
        <v>30</v>
      </c>
      <c r="M495" s="273">
        <f t="shared" ref="M495:M501" si="44">IF(K495="N",0,L495)</f>
        <v>0</v>
      </c>
      <c r="N495" s="337" t="s">
        <v>3228</v>
      </c>
      <c r="O495" s="337"/>
    </row>
    <row r="496" spans="1:15" ht="50.1" customHeight="1" x14ac:dyDescent="0.25">
      <c r="A496" s="336">
        <v>133</v>
      </c>
      <c r="B496" s="268" t="s">
        <v>237</v>
      </c>
      <c r="C496" s="268" t="s">
        <v>3103</v>
      </c>
      <c r="D496" s="269">
        <v>10200</v>
      </c>
      <c r="E496" s="391" t="s">
        <v>3392</v>
      </c>
      <c r="F496" s="268" t="s">
        <v>3027</v>
      </c>
      <c r="G496" s="392">
        <v>46080</v>
      </c>
      <c r="H496" s="392">
        <v>46081</v>
      </c>
      <c r="I496" s="389"/>
      <c r="J496" s="389"/>
      <c r="K496" s="337" t="s">
        <v>2678</v>
      </c>
      <c r="L496" s="273">
        <f t="shared" si="43"/>
        <v>30</v>
      </c>
      <c r="M496" s="273">
        <f t="shared" si="44"/>
        <v>0</v>
      </c>
      <c r="N496" s="337" t="s">
        <v>3228</v>
      </c>
      <c r="O496" s="337"/>
    </row>
    <row r="497" spans="1:16" ht="50.1" customHeight="1" x14ac:dyDescent="0.25">
      <c r="A497" s="336">
        <v>135</v>
      </c>
      <c r="B497" s="268" t="s">
        <v>1646</v>
      </c>
      <c r="C497" s="268" t="s">
        <v>1995</v>
      </c>
      <c r="D497" s="269">
        <v>4300</v>
      </c>
      <c r="E497" s="391" t="s">
        <v>3394</v>
      </c>
      <c r="F497" s="268" t="s">
        <v>3026</v>
      </c>
      <c r="G497" s="392">
        <v>46080</v>
      </c>
      <c r="H497" s="392">
        <v>46081</v>
      </c>
      <c r="I497" s="389"/>
      <c r="J497" s="389"/>
      <c r="K497" s="337" t="s">
        <v>2678</v>
      </c>
      <c r="L497" s="273">
        <f t="shared" si="43"/>
        <v>10</v>
      </c>
      <c r="M497" s="273">
        <f t="shared" si="44"/>
        <v>0</v>
      </c>
      <c r="N497" s="337" t="s">
        <v>3228</v>
      </c>
      <c r="O497" s="337"/>
    </row>
    <row r="498" spans="1:16" ht="50.1" customHeight="1" x14ac:dyDescent="0.25">
      <c r="A498" s="336">
        <v>137</v>
      </c>
      <c r="B498" s="268" t="s">
        <v>234</v>
      </c>
      <c r="C498" s="268" t="s">
        <v>3103</v>
      </c>
      <c r="D498" s="269">
        <v>10200</v>
      </c>
      <c r="E498" s="391" t="s">
        <v>3396</v>
      </c>
      <c r="F498" s="268" t="s">
        <v>3244</v>
      </c>
      <c r="G498" s="392">
        <v>46080</v>
      </c>
      <c r="H498" s="392">
        <v>46081</v>
      </c>
      <c r="I498" s="389"/>
      <c r="J498" s="389"/>
      <c r="K498" s="337" t="s">
        <v>2678</v>
      </c>
      <c r="L498" s="273">
        <f t="shared" si="43"/>
        <v>30</v>
      </c>
      <c r="M498" s="273">
        <f t="shared" si="44"/>
        <v>0</v>
      </c>
      <c r="N498" s="337" t="s">
        <v>3228</v>
      </c>
      <c r="O498" s="337"/>
    </row>
    <row r="499" spans="1:16" ht="50.1" customHeight="1" x14ac:dyDescent="0.25">
      <c r="A499" s="336">
        <v>138</v>
      </c>
      <c r="B499" s="268" t="s">
        <v>628</v>
      </c>
      <c r="C499" s="268" t="s">
        <v>564</v>
      </c>
      <c r="D499" s="269">
        <v>1820</v>
      </c>
      <c r="E499" s="391" t="s">
        <v>3397</v>
      </c>
      <c r="F499" s="268" t="s">
        <v>3026</v>
      </c>
      <c r="G499" s="392">
        <v>46080</v>
      </c>
      <c r="H499" s="392">
        <v>46081</v>
      </c>
      <c r="I499" s="389"/>
      <c r="J499" s="389"/>
      <c r="K499" s="337" t="s">
        <v>2678</v>
      </c>
      <c r="L499" s="273">
        <f t="shared" si="43"/>
        <v>10</v>
      </c>
      <c r="M499" s="273">
        <f t="shared" si="44"/>
        <v>0</v>
      </c>
      <c r="N499" s="337" t="s">
        <v>3228</v>
      </c>
      <c r="O499" s="337"/>
    </row>
    <row r="500" spans="1:16" ht="50.1" customHeight="1" x14ac:dyDescent="0.25">
      <c r="A500" s="336">
        <v>139</v>
      </c>
      <c r="B500" s="268" t="s">
        <v>236</v>
      </c>
      <c r="C500" s="268" t="s">
        <v>3103</v>
      </c>
      <c r="D500" s="269">
        <v>10200</v>
      </c>
      <c r="E500" s="391" t="s">
        <v>3398</v>
      </c>
      <c r="F500" s="268" t="s">
        <v>3023</v>
      </c>
      <c r="G500" s="392">
        <v>46080</v>
      </c>
      <c r="H500" s="392">
        <v>46081</v>
      </c>
      <c r="I500" s="389"/>
      <c r="J500" s="389"/>
      <c r="K500" s="337" t="s">
        <v>2678</v>
      </c>
      <c r="L500" s="273">
        <f t="shared" si="43"/>
        <v>30</v>
      </c>
      <c r="M500" s="273">
        <f t="shared" si="44"/>
        <v>0</v>
      </c>
      <c r="N500" s="337" t="s">
        <v>3228</v>
      </c>
      <c r="O500" s="337"/>
    </row>
    <row r="501" spans="1:16" ht="50.1" customHeight="1" x14ac:dyDescent="0.25">
      <c r="A501" s="336">
        <v>140</v>
      </c>
      <c r="B501" s="268" t="s">
        <v>235</v>
      </c>
      <c r="C501" s="268" t="s">
        <v>3103</v>
      </c>
      <c r="D501" s="269">
        <v>10200</v>
      </c>
      <c r="E501" s="391" t="s">
        <v>3399</v>
      </c>
      <c r="F501" s="268" t="s">
        <v>3023</v>
      </c>
      <c r="G501" s="392">
        <v>46080</v>
      </c>
      <c r="H501" s="392">
        <v>46081</v>
      </c>
      <c r="I501" s="389"/>
      <c r="J501" s="389"/>
      <c r="K501" s="337" t="s">
        <v>2678</v>
      </c>
      <c r="L501" s="273">
        <f t="shared" si="43"/>
        <v>30</v>
      </c>
      <c r="M501" s="273">
        <f t="shared" si="44"/>
        <v>0</v>
      </c>
      <c r="N501" s="337" t="s">
        <v>3228</v>
      </c>
      <c r="O501" s="337"/>
    </row>
    <row r="502" spans="1:16" s="274" customFormat="1" ht="50.1" customHeight="1" x14ac:dyDescent="0.3">
      <c r="A502" s="268"/>
      <c r="B502" s="267"/>
      <c r="C502" s="268"/>
      <c r="D502" s="269"/>
      <c r="E502" s="267"/>
      <c r="F502" s="268"/>
      <c r="G502" s="270"/>
      <c r="H502" s="271"/>
      <c r="I502" s="268"/>
      <c r="J502" s="268"/>
      <c r="K502" s="266"/>
      <c r="L502" s="275"/>
      <c r="M502" s="273"/>
      <c r="N502" s="337"/>
      <c r="O502" s="268"/>
      <c r="P502" s="264"/>
    </row>
    <row r="503" spans="1:16" s="274" customFormat="1" ht="50.1" customHeight="1" x14ac:dyDescent="0.3">
      <c r="A503" s="632" t="s">
        <v>2710</v>
      </c>
      <c r="B503" s="633"/>
      <c r="C503" s="633"/>
      <c r="D503" s="633"/>
      <c r="E503" s="633"/>
      <c r="F503" s="633"/>
      <c r="G503" s="633"/>
      <c r="H503" s="633"/>
      <c r="I503" s="633"/>
      <c r="J503" s="633"/>
      <c r="K503" s="633"/>
      <c r="L503" s="634"/>
      <c r="M503" s="279">
        <f>SUM(M337:M382)</f>
        <v>0</v>
      </c>
      <c r="N503" s="280"/>
      <c r="O503" s="281"/>
    </row>
  </sheetData>
  <mergeCells count="31">
    <mergeCell ref="A306:N306"/>
    <mergeCell ref="B1:N1"/>
    <mergeCell ref="A3:N3"/>
    <mergeCell ref="A4:N4"/>
    <mergeCell ref="B5:N5"/>
    <mergeCell ref="H9:I9"/>
    <mergeCell ref="C9:E9"/>
    <mergeCell ref="C7:E7"/>
    <mergeCell ref="H7:I7"/>
    <mergeCell ref="J7:N7"/>
    <mergeCell ref="J9:N9"/>
    <mergeCell ref="A21:N21"/>
    <mergeCell ref="J11:N11"/>
    <mergeCell ref="H11:I11"/>
    <mergeCell ref="H19:H20"/>
    <mergeCell ref="A503:L503"/>
    <mergeCell ref="M19:N19"/>
    <mergeCell ref="C11:E11"/>
    <mergeCell ref="G19:G20"/>
    <mergeCell ref="A190:N190"/>
    <mergeCell ref="A19:A20"/>
    <mergeCell ref="B19:B20"/>
    <mergeCell ref="E19:E20"/>
    <mergeCell ref="F19:F20"/>
    <mergeCell ref="J19:J20"/>
    <mergeCell ref="K19:K20"/>
    <mergeCell ref="L19:L20"/>
    <mergeCell ref="D19:D20"/>
    <mergeCell ref="C19:C20"/>
    <mergeCell ref="I19:I20"/>
    <mergeCell ref="A337:N337"/>
  </mergeCells>
  <phoneticPr fontId="60" type="noConversion"/>
  <pageMargins left="0.23622047244094491" right="0.11811023622047245" top="0.51181102362204722" bottom="0.35433070866141736" header="0" footer="0"/>
  <pageSetup scale="46" fitToHeight="0" orientation="landscape" r:id="rId1"/>
  <headerFooter>
    <oddFooter>&amp;CPage &amp;P of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FF0000"/>
    <pageSetUpPr fitToPage="1"/>
  </sheetPr>
  <dimension ref="A1:AE99"/>
  <sheetViews>
    <sheetView zoomScale="40" zoomScaleNormal="40" workbookViewId="0">
      <selection activeCell="N24" sqref="N24"/>
    </sheetView>
  </sheetViews>
  <sheetFormatPr defaultColWidth="14.42578125" defaultRowHeight="15" customHeight="1" x14ac:dyDescent="0.35"/>
  <cols>
    <col min="1" max="1" width="7.42578125" customWidth="1"/>
    <col min="2" max="2" width="29.7109375" customWidth="1"/>
    <col min="3" max="3" width="40.7109375" style="386" customWidth="1"/>
    <col min="4" max="4" width="23.7109375" customWidth="1"/>
    <col min="5" max="5" width="9.5703125" style="522" customWidth="1"/>
    <col min="6" max="6" width="15.85546875" customWidth="1"/>
    <col min="7" max="7" width="12.5703125" customWidth="1"/>
    <col min="8" max="8" width="14.42578125" customWidth="1"/>
    <col min="9" max="9" width="13.28515625" customWidth="1"/>
    <col min="10" max="10" width="13.7109375" customWidth="1"/>
    <col min="11" max="11" width="14" customWidth="1"/>
    <col min="12" max="19" width="17" customWidth="1"/>
    <col min="20" max="23" width="8.42578125" customWidth="1"/>
    <col min="24" max="24" width="17" customWidth="1"/>
    <col min="25" max="25" width="15.5703125" customWidth="1"/>
    <col min="26" max="26" width="30.5703125" customWidth="1"/>
    <col min="27" max="27" width="31.28515625" customWidth="1"/>
    <col min="28" max="31" width="9.140625" customWidth="1"/>
  </cols>
  <sheetData>
    <row r="1" spans="1:31" ht="28.5" customHeight="1" x14ac:dyDescent="0.25">
      <c r="A1" s="672" t="s">
        <v>2611</v>
      </c>
      <c r="B1" s="555"/>
      <c r="C1" s="555"/>
      <c r="D1" s="555"/>
      <c r="E1" s="555"/>
      <c r="F1" s="555"/>
      <c r="G1" s="555"/>
      <c r="H1" s="555"/>
      <c r="I1" s="555"/>
      <c r="J1" s="555"/>
      <c r="K1" s="555"/>
      <c r="L1" s="555"/>
      <c r="M1" s="555"/>
      <c r="N1" s="555"/>
      <c r="O1" s="555"/>
      <c r="P1" s="555"/>
      <c r="Q1" s="555"/>
      <c r="R1" s="555"/>
      <c r="S1" s="555"/>
      <c r="T1" s="555"/>
      <c r="U1" s="555"/>
      <c r="V1" s="555"/>
      <c r="W1" s="555"/>
      <c r="X1" s="555"/>
      <c r="Y1" s="555"/>
      <c r="Z1" s="555"/>
      <c r="AA1" s="555"/>
      <c r="AB1" s="118"/>
      <c r="AC1" s="118"/>
      <c r="AD1" s="118"/>
      <c r="AE1" s="118"/>
    </row>
    <row r="2" spans="1:31" ht="49.5" customHeight="1" x14ac:dyDescent="0.25">
      <c r="A2" s="673" t="s">
        <v>2711</v>
      </c>
      <c r="B2" s="555"/>
      <c r="C2" s="555"/>
      <c r="D2" s="555"/>
      <c r="E2" s="555"/>
      <c r="F2" s="555"/>
      <c r="G2" s="555"/>
      <c r="H2" s="555"/>
      <c r="I2" s="555"/>
      <c r="J2" s="555"/>
      <c r="K2" s="555"/>
      <c r="L2" s="555"/>
      <c r="M2" s="555"/>
      <c r="N2" s="555"/>
      <c r="O2" s="555"/>
      <c r="P2" s="555"/>
      <c r="Q2" s="555"/>
      <c r="R2" s="555"/>
      <c r="S2" s="555"/>
      <c r="T2" s="555"/>
      <c r="U2" s="555"/>
      <c r="V2" s="555"/>
      <c r="W2" s="555"/>
      <c r="X2" s="555"/>
      <c r="Y2" s="555"/>
      <c r="Z2" s="555"/>
      <c r="AA2" s="555"/>
      <c r="AB2" s="118"/>
      <c r="AC2" s="118"/>
      <c r="AD2" s="118"/>
      <c r="AE2" s="118"/>
    </row>
    <row r="3" spans="1:31" ht="32.25" customHeight="1" x14ac:dyDescent="0.25">
      <c r="A3" s="672" t="s">
        <v>2712</v>
      </c>
      <c r="B3" s="555"/>
      <c r="C3" s="555"/>
      <c r="D3" s="555"/>
      <c r="E3" s="555"/>
      <c r="F3" s="555"/>
      <c r="G3" s="555"/>
      <c r="H3" s="555"/>
      <c r="I3" s="555"/>
      <c r="J3" s="555"/>
      <c r="K3" s="555"/>
      <c r="L3" s="555"/>
      <c r="M3" s="555"/>
      <c r="N3" s="555"/>
      <c r="O3" s="555"/>
      <c r="P3" s="555"/>
      <c r="Q3" s="555"/>
      <c r="R3" s="555"/>
      <c r="S3" s="555"/>
      <c r="T3" s="555"/>
      <c r="U3" s="555"/>
      <c r="V3" s="555"/>
      <c r="W3" s="555"/>
      <c r="X3" s="555"/>
      <c r="Y3" s="555"/>
      <c r="Z3" s="555"/>
      <c r="AA3" s="555"/>
      <c r="AB3" s="118"/>
      <c r="AC3" s="118"/>
      <c r="AD3" s="118"/>
      <c r="AE3" s="118"/>
    </row>
    <row r="4" spans="1:31" ht="21" x14ac:dyDescent="0.35">
      <c r="A4" s="118"/>
      <c r="B4" s="119"/>
      <c r="C4" s="378"/>
      <c r="D4" s="120"/>
      <c r="E4" s="117"/>
      <c r="F4" s="117"/>
      <c r="G4" s="117"/>
      <c r="H4" s="117"/>
      <c r="I4" s="117"/>
      <c r="J4" s="121"/>
      <c r="K4" s="122"/>
      <c r="L4" s="121"/>
      <c r="M4" s="117"/>
      <c r="N4" s="121"/>
      <c r="O4" s="121"/>
      <c r="P4" s="121"/>
      <c r="Q4" s="121"/>
      <c r="R4" s="117"/>
      <c r="S4" s="123"/>
      <c r="T4" s="123"/>
      <c r="U4" s="123"/>
      <c r="V4" s="123"/>
      <c r="W4" s="123"/>
      <c r="X4" s="123"/>
      <c r="Y4" s="123"/>
      <c r="Z4" s="123"/>
      <c r="AA4" s="118"/>
      <c r="AB4" s="118"/>
      <c r="AC4" s="118"/>
      <c r="AD4" s="118"/>
      <c r="AE4" s="118"/>
    </row>
    <row r="5" spans="1:31" ht="21" x14ac:dyDescent="0.25">
      <c r="A5" s="118"/>
      <c r="B5" s="118"/>
      <c r="C5" s="669" t="s">
        <v>2614</v>
      </c>
      <c r="D5" s="545"/>
      <c r="E5" s="545"/>
      <c r="F5" s="545"/>
      <c r="G5" s="546"/>
      <c r="H5" s="123"/>
      <c r="I5" s="123"/>
      <c r="J5" s="125"/>
      <c r="K5" s="126"/>
      <c r="L5" s="125"/>
      <c r="M5" s="123"/>
      <c r="N5" s="125"/>
      <c r="O5" s="125"/>
      <c r="P5" s="127" t="s">
        <v>2617</v>
      </c>
      <c r="Q5" s="674">
        <f>BEMSdar!E7</f>
        <v>46082</v>
      </c>
      <c r="R5" s="545"/>
      <c r="S5" s="545"/>
      <c r="T5" s="545"/>
      <c r="U5" s="545"/>
      <c r="V5" s="545"/>
      <c r="W5" s="546"/>
      <c r="X5" s="123"/>
      <c r="Y5" s="123"/>
      <c r="Z5" s="123"/>
      <c r="AA5" s="123"/>
      <c r="AB5" s="123"/>
      <c r="AC5" s="123"/>
      <c r="AD5" s="123"/>
      <c r="AE5" s="118"/>
    </row>
    <row r="6" spans="1:31" ht="21" x14ac:dyDescent="0.25">
      <c r="A6" s="118"/>
      <c r="B6" s="118"/>
      <c r="C6" s="128"/>
      <c r="D6" s="129"/>
      <c r="E6" s="128"/>
      <c r="F6" s="130"/>
      <c r="G6" s="130"/>
      <c r="H6" s="123"/>
      <c r="I6" s="123"/>
      <c r="J6" s="125"/>
      <c r="K6" s="126"/>
      <c r="L6" s="125"/>
      <c r="M6" s="123"/>
      <c r="N6" s="125"/>
      <c r="O6" s="125"/>
      <c r="P6" s="125"/>
      <c r="Q6" s="125"/>
      <c r="R6" s="123"/>
      <c r="S6" s="123"/>
      <c r="T6" s="123"/>
      <c r="U6" s="123"/>
      <c r="V6" s="123"/>
      <c r="W6" s="123"/>
      <c r="X6" s="123"/>
      <c r="Y6" s="123"/>
      <c r="Z6" s="123"/>
      <c r="AA6" s="123"/>
      <c r="AB6" s="123"/>
      <c r="AC6" s="123"/>
      <c r="AD6" s="123"/>
      <c r="AE6" s="118"/>
    </row>
    <row r="7" spans="1:31" ht="21" x14ac:dyDescent="0.25">
      <c r="A7" s="118"/>
      <c r="B7" s="118"/>
      <c r="C7" s="669" t="s">
        <v>2713</v>
      </c>
      <c r="D7" s="545"/>
      <c r="E7" s="545"/>
      <c r="F7" s="545"/>
      <c r="G7" s="546"/>
      <c r="H7" s="123"/>
      <c r="I7" s="123"/>
      <c r="J7" s="125"/>
      <c r="K7" s="126"/>
      <c r="L7" s="125"/>
      <c r="M7" s="670" t="s">
        <v>2714</v>
      </c>
      <c r="N7" s="555"/>
      <c r="O7" s="555"/>
      <c r="P7" s="556"/>
      <c r="Q7" s="671">
        <f>BEMSdar!E11</f>
        <v>352591.82400000002</v>
      </c>
      <c r="R7" s="545"/>
      <c r="S7" s="545"/>
      <c r="T7" s="545"/>
      <c r="U7" s="545"/>
      <c r="V7" s="545"/>
      <c r="W7" s="546"/>
      <c r="X7" s="123"/>
      <c r="Y7" s="123"/>
      <c r="Z7" s="123"/>
      <c r="AA7" s="123"/>
      <c r="AB7" s="123"/>
      <c r="AC7" s="123"/>
      <c r="AD7" s="123"/>
      <c r="AE7" s="118"/>
    </row>
    <row r="8" spans="1:31" ht="21" x14ac:dyDescent="0.25">
      <c r="A8" s="118"/>
      <c r="B8" s="118"/>
      <c r="C8" s="128"/>
      <c r="D8" s="129"/>
      <c r="E8" s="128"/>
      <c r="F8" s="130"/>
      <c r="G8" s="130"/>
      <c r="H8" s="123"/>
      <c r="I8" s="123"/>
      <c r="J8" s="125"/>
      <c r="K8" s="126"/>
      <c r="L8" s="125"/>
      <c r="M8" s="123"/>
      <c r="N8" s="125"/>
      <c r="O8" s="125"/>
      <c r="P8" s="125"/>
      <c r="Q8" s="125"/>
      <c r="R8" s="131"/>
      <c r="S8" s="131"/>
      <c r="T8" s="131"/>
      <c r="U8" s="131"/>
      <c r="V8" s="131"/>
      <c r="W8" s="131"/>
      <c r="X8" s="123"/>
      <c r="Y8" s="123"/>
      <c r="Z8" s="123"/>
      <c r="AA8" s="123"/>
      <c r="AB8" s="123"/>
      <c r="AC8" s="123"/>
      <c r="AD8" s="123"/>
      <c r="AE8" s="118"/>
    </row>
    <row r="9" spans="1:31" ht="21" x14ac:dyDescent="0.25">
      <c r="A9" s="118"/>
      <c r="B9" s="118"/>
      <c r="C9" s="669" t="s">
        <v>2649</v>
      </c>
      <c r="D9" s="545"/>
      <c r="E9" s="545"/>
      <c r="F9" s="545"/>
      <c r="G9" s="546"/>
      <c r="H9" s="123"/>
      <c r="I9" s="123"/>
      <c r="J9" s="125"/>
      <c r="K9" s="126"/>
      <c r="L9" s="125"/>
      <c r="M9" s="670" t="s">
        <v>2651</v>
      </c>
      <c r="N9" s="555"/>
      <c r="O9" s="555"/>
      <c r="P9" s="556"/>
      <c r="Q9" s="671">
        <f>BEMSdar!E13</f>
        <v>9040.8159999999916</v>
      </c>
      <c r="R9" s="545"/>
      <c r="S9" s="545"/>
      <c r="T9" s="545"/>
      <c r="U9" s="545"/>
      <c r="V9" s="545"/>
      <c r="W9" s="546"/>
      <c r="X9" s="123"/>
      <c r="Y9" s="123"/>
      <c r="Z9" s="123"/>
      <c r="AA9" s="123"/>
      <c r="AB9" s="123"/>
      <c r="AC9" s="123"/>
      <c r="AD9" s="123"/>
      <c r="AE9" s="118"/>
    </row>
    <row r="10" spans="1:31" ht="21" x14ac:dyDescent="0.25">
      <c r="A10" s="118"/>
      <c r="B10" s="118"/>
      <c r="C10" s="132"/>
      <c r="D10" s="133"/>
      <c r="E10" s="134"/>
      <c r="F10" s="123"/>
      <c r="G10" s="123"/>
      <c r="H10" s="135"/>
      <c r="I10" s="136"/>
      <c r="J10" s="125"/>
      <c r="K10" s="126"/>
      <c r="L10" s="125"/>
      <c r="M10" s="123"/>
      <c r="N10" s="125"/>
      <c r="O10" s="125"/>
      <c r="P10" s="125"/>
      <c r="Q10" s="125"/>
      <c r="R10" s="123"/>
      <c r="S10" s="123"/>
      <c r="T10" s="123"/>
      <c r="U10" s="123"/>
      <c r="V10" s="123"/>
      <c r="W10" s="123"/>
      <c r="X10" s="123"/>
      <c r="Y10" s="123"/>
      <c r="Z10" s="123"/>
      <c r="AA10" s="118"/>
      <c r="AB10" s="118"/>
      <c r="AC10" s="118"/>
      <c r="AD10" s="118"/>
      <c r="AE10" s="118"/>
    </row>
    <row r="11" spans="1:31" ht="21" x14ac:dyDescent="0.25">
      <c r="A11" s="118"/>
      <c r="B11" s="118" t="s">
        <v>2652</v>
      </c>
      <c r="C11" s="379"/>
      <c r="D11" s="124"/>
      <c r="E11" s="118"/>
      <c r="F11" s="123"/>
      <c r="G11" s="123"/>
      <c r="H11" s="123"/>
      <c r="I11" s="123"/>
      <c r="J11" s="125"/>
      <c r="K11" s="126"/>
      <c r="L11" s="125"/>
      <c r="M11" s="123"/>
      <c r="N11" s="125"/>
      <c r="O11" s="137"/>
      <c r="P11" s="125"/>
      <c r="Q11" s="125"/>
      <c r="R11" s="123"/>
      <c r="S11" s="123"/>
      <c r="T11" s="123"/>
      <c r="U11" s="123"/>
      <c r="V11" s="123"/>
      <c r="W11" s="123"/>
      <c r="X11" s="123"/>
      <c r="Y11" s="123"/>
      <c r="Z11" s="123"/>
      <c r="AA11" s="118"/>
      <c r="AB11" s="118"/>
      <c r="AC11" s="118"/>
      <c r="AD11" s="118"/>
      <c r="AE11" s="118"/>
    </row>
    <row r="12" spans="1:31" ht="21" x14ac:dyDescent="0.25">
      <c r="A12" s="118"/>
      <c r="B12" s="118" t="s">
        <v>2653</v>
      </c>
      <c r="C12" s="379"/>
      <c r="D12" s="124"/>
      <c r="E12" s="118"/>
      <c r="F12" s="123"/>
      <c r="G12" s="123"/>
      <c r="H12" s="123"/>
      <c r="I12" s="123"/>
      <c r="J12" s="125"/>
      <c r="K12" s="126"/>
      <c r="L12" s="125"/>
      <c r="M12" s="123"/>
      <c r="N12" s="125"/>
      <c r="O12" s="137"/>
      <c r="P12" s="125"/>
      <c r="Q12" s="125"/>
      <c r="R12" s="123"/>
      <c r="S12" s="123"/>
      <c r="T12" s="123"/>
      <c r="U12" s="123"/>
      <c r="V12" s="123"/>
      <c r="W12" s="123"/>
      <c r="X12" s="123"/>
      <c r="Y12" s="123"/>
      <c r="Z12" s="123"/>
      <c r="AA12" s="118"/>
      <c r="AB12" s="118"/>
      <c r="AC12" s="118"/>
      <c r="AD12" s="118"/>
      <c r="AE12" s="118"/>
    </row>
    <row r="13" spans="1:31" ht="21" x14ac:dyDescent="0.25">
      <c r="A13" s="118"/>
      <c r="B13" s="118" t="s">
        <v>2715</v>
      </c>
      <c r="C13" s="379"/>
      <c r="D13" s="124"/>
      <c r="E13" s="118"/>
      <c r="F13" s="123"/>
      <c r="G13" s="123"/>
      <c r="H13" s="123"/>
      <c r="I13" s="123"/>
      <c r="J13" s="125"/>
      <c r="K13" s="126"/>
      <c r="L13" s="125"/>
      <c r="M13" s="123"/>
      <c r="N13" s="125"/>
      <c r="O13" s="137"/>
      <c r="P13" s="125"/>
      <c r="Q13" s="125"/>
      <c r="R13" s="123"/>
      <c r="S13" s="123"/>
      <c r="T13" s="123"/>
      <c r="U13" s="123"/>
      <c r="V13" s="123"/>
      <c r="W13" s="123"/>
      <c r="X13" s="123"/>
      <c r="Y13" s="123"/>
      <c r="Z13" s="123"/>
      <c r="AA13" s="118"/>
      <c r="AB13" s="118"/>
      <c r="AC13" s="118"/>
      <c r="AD13" s="118"/>
      <c r="AE13" s="118"/>
    </row>
    <row r="14" spans="1:31" ht="21" x14ac:dyDescent="0.25">
      <c r="A14" s="118"/>
      <c r="B14" s="118" t="s">
        <v>2716</v>
      </c>
      <c r="C14" s="379"/>
      <c r="D14" s="124"/>
      <c r="E14" s="118"/>
      <c r="F14" s="123"/>
      <c r="G14" s="123"/>
      <c r="H14" s="123"/>
      <c r="I14" s="123"/>
      <c r="J14" s="125"/>
      <c r="K14" s="126"/>
      <c r="L14" s="125"/>
      <c r="M14" s="123"/>
      <c r="N14" s="125"/>
      <c r="O14" s="137"/>
      <c r="P14" s="125"/>
      <c r="Q14" s="125"/>
      <c r="R14" s="123"/>
      <c r="S14" s="123"/>
      <c r="T14" s="123"/>
      <c r="U14" s="123"/>
      <c r="V14" s="123"/>
      <c r="W14" s="123"/>
      <c r="X14" s="123"/>
      <c r="Y14" s="123"/>
      <c r="Z14" s="123"/>
      <c r="AA14" s="118"/>
      <c r="AB14" s="118"/>
      <c r="AC14" s="118"/>
      <c r="AD14" s="118"/>
      <c r="AE14" s="118"/>
    </row>
    <row r="15" spans="1:31" ht="21" x14ac:dyDescent="0.25">
      <c r="A15" s="118"/>
      <c r="B15" s="118" t="s">
        <v>2698</v>
      </c>
      <c r="C15" s="379"/>
      <c r="D15" s="124"/>
      <c r="E15" s="118"/>
      <c r="F15" s="123"/>
      <c r="G15" s="123"/>
      <c r="H15" s="123"/>
      <c r="I15" s="123"/>
      <c r="J15" s="125"/>
      <c r="K15" s="126"/>
      <c r="L15" s="125"/>
      <c r="M15" s="123"/>
      <c r="N15" s="125"/>
      <c r="O15" s="137"/>
      <c r="P15" s="125"/>
      <c r="Q15" s="125"/>
      <c r="R15" s="123"/>
      <c r="S15" s="123"/>
      <c r="T15" s="123"/>
      <c r="U15" s="123"/>
      <c r="V15" s="123"/>
      <c r="W15" s="123"/>
      <c r="X15" s="123"/>
      <c r="Y15" s="123"/>
      <c r="Z15" s="123"/>
      <c r="AA15" s="118"/>
      <c r="AB15" s="118"/>
      <c r="AC15" s="118"/>
      <c r="AD15" s="118"/>
      <c r="AE15" s="118"/>
    </row>
    <row r="16" spans="1:31" ht="21" customHeight="1" x14ac:dyDescent="0.35">
      <c r="A16" s="138"/>
      <c r="B16" s="138"/>
      <c r="C16" s="379"/>
      <c r="D16" s="139"/>
      <c r="E16" s="138"/>
      <c r="F16" s="140"/>
      <c r="G16" s="140"/>
      <c r="H16" s="140"/>
      <c r="I16" s="140"/>
      <c r="J16" s="141"/>
      <c r="K16" s="142"/>
      <c r="L16" s="141"/>
      <c r="M16" s="140"/>
      <c r="N16" s="141"/>
      <c r="O16" s="141"/>
      <c r="P16" s="141"/>
      <c r="Q16" s="141"/>
      <c r="R16" s="140"/>
      <c r="S16" s="140"/>
      <c r="T16" s="140"/>
      <c r="U16" s="140"/>
      <c r="V16" s="140"/>
      <c r="W16" s="140"/>
      <c r="X16" s="140"/>
      <c r="Y16" s="140"/>
      <c r="Z16" s="143"/>
      <c r="AA16" s="138"/>
      <c r="AB16" s="138"/>
      <c r="AC16" s="138"/>
      <c r="AD16" s="138"/>
      <c r="AE16" s="138"/>
    </row>
    <row r="17" spans="1:31" ht="72.75" customHeight="1" x14ac:dyDescent="0.35">
      <c r="A17" s="658" t="s">
        <v>1</v>
      </c>
      <c r="B17" s="658" t="s">
        <v>2659</v>
      </c>
      <c r="C17" s="666" t="s">
        <v>2717</v>
      </c>
      <c r="D17" s="668" t="s">
        <v>2718</v>
      </c>
      <c r="E17" s="661" t="s">
        <v>2719</v>
      </c>
      <c r="F17" s="661" t="s">
        <v>2720</v>
      </c>
      <c r="G17" s="663" t="s">
        <v>2721</v>
      </c>
      <c r="H17" s="545"/>
      <c r="I17" s="545"/>
      <c r="J17" s="545"/>
      <c r="K17" s="545"/>
      <c r="L17" s="545"/>
      <c r="M17" s="545"/>
      <c r="N17" s="545"/>
      <c r="O17" s="545"/>
      <c r="P17" s="545"/>
      <c r="Q17" s="545"/>
      <c r="R17" s="546"/>
      <c r="S17" s="659" t="s">
        <v>2722</v>
      </c>
      <c r="T17" s="664" t="s">
        <v>2723</v>
      </c>
      <c r="U17" s="546"/>
      <c r="V17" s="664" t="s">
        <v>2724</v>
      </c>
      <c r="W17" s="546"/>
      <c r="X17" s="665" t="s">
        <v>2672</v>
      </c>
      <c r="Y17" s="546"/>
      <c r="Z17" s="660" t="s">
        <v>2725</v>
      </c>
      <c r="AA17" s="659" t="s">
        <v>2726</v>
      </c>
      <c r="AB17" s="138"/>
      <c r="AC17" s="138"/>
      <c r="AD17" s="138"/>
      <c r="AE17" s="138"/>
    </row>
    <row r="18" spans="1:31" ht="22.5" customHeight="1" x14ac:dyDescent="0.35">
      <c r="A18" s="543"/>
      <c r="B18" s="543"/>
      <c r="C18" s="667"/>
      <c r="D18" s="543"/>
      <c r="E18" s="662"/>
      <c r="F18" s="547"/>
      <c r="G18" s="364" t="s">
        <v>2727</v>
      </c>
      <c r="H18" s="144" t="s">
        <v>2728</v>
      </c>
      <c r="I18" s="144" t="s">
        <v>2729</v>
      </c>
      <c r="J18" s="145" t="s">
        <v>2730</v>
      </c>
      <c r="K18" s="146" t="s">
        <v>2731</v>
      </c>
      <c r="L18" s="145" t="s">
        <v>2732</v>
      </c>
      <c r="M18" s="144" t="s">
        <v>2733</v>
      </c>
      <c r="N18" s="145" t="s">
        <v>2734</v>
      </c>
      <c r="O18" s="145" t="s">
        <v>2735</v>
      </c>
      <c r="P18" s="145" t="s">
        <v>2736</v>
      </c>
      <c r="Q18" s="145" t="s">
        <v>2737</v>
      </c>
      <c r="R18" s="144" t="s">
        <v>2738</v>
      </c>
      <c r="S18" s="543"/>
      <c r="T18" s="147" t="s">
        <v>2739</v>
      </c>
      <c r="U18" s="147" t="s">
        <v>2740</v>
      </c>
      <c r="V18" s="147" t="s">
        <v>2739</v>
      </c>
      <c r="W18" s="147" t="s">
        <v>2740</v>
      </c>
      <c r="X18" s="144" t="s">
        <v>2739</v>
      </c>
      <c r="Y18" s="148" t="s">
        <v>2740</v>
      </c>
      <c r="Z18" s="543"/>
      <c r="AA18" s="543"/>
      <c r="AB18" s="149"/>
      <c r="AC18" s="149"/>
      <c r="AD18" s="149"/>
      <c r="AE18" s="149"/>
    </row>
    <row r="19" spans="1:31" ht="69.75" hidden="1" customHeight="1" x14ac:dyDescent="0.25">
      <c r="A19" s="150">
        <v>1</v>
      </c>
      <c r="B19" s="362" t="s">
        <v>342</v>
      </c>
      <c r="C19" s="380" t="s">
        <v>3014</v>
      </c>
      <c r="D19" s="152">
        <f>'B1-RESPONSE &amp; B2-REPAIR'!D213</f>
        <v>43690</v>
      </c>
      <c r="E19" s="516">
        <v>11</v>
      </c>
      <c r="F19" s="412">
        <v>0.88</v>
      </c>
      <c r="G19" s="529">
        <v>0.92876712328767119</v>
      </c>
      <c r="H19" s="153">
        <v>0.852054794520548</v>
      </c>
      <c r="I19" s="154">
        <v>0.76712328767123283</v>
      </c>
      <c r="J19" s="154"/>
      <c r="K19" s="155"/>
      <c r="L19" s="154"/>
      <c r="M19" s="156"/>
      <c r="N19" s="154"/>
      <c r="O19" s="154"/>
      <c r="P19" s="154"/>
      <c r="Q19" s="154"/>
      <c r="R19" s="156"/>
      <c r="S19" s="157">
        <f t="shared" ref="S19:S43" si="0">ROUNDUP((D19/4999.99)*10,-1)</f>
        <v>90</v>
      </c>
      <c r="T19" s="160" t="s">
        <v>2687</v>
      </c>
      <c r="U19" s="159"/>
      <c r="V19" s="160"/>
      <c r="W19" s="160" t="s">
        <v>2687</v>
      </c>
      <c r="X19" s="161">
        <f>IF(V19="Y",S19,0)</f>
        <v>0</v>
      </c>
      <c r="Y19" s="161">
        <f t="shared" ref="Y19:Y43" si="1">IF(W19="Y",S19*2,0)</f>
        <v>180</v>
      </c>
      <c r="Z19" s="161">
        <f t="shared" ref="Z19:Z43" si="2">X19+Y19</f>
        <v>180</v>
      </c>
      <c r="AA19" s="162" t="s">
        <v>3071</v>
      </c>
      <c r="AB19" s="118"/>
      <c r="AC19" s="118"/>
      <c r="AD19" s="118"/>
      <c r="AE19" s="118"/>
    </row>
    <row r="20" spans="1:31" ht="69.75" hidden="1" customHeight="1" x14ac:dyDescent="0.25">
      <c r="A20" s="150">
        <v>2</v>
      </c>
      <c r="B20" s="362" t="s">
        <v>3016</v>
      </c>
      <c r="C20" s="381" t="s">
        <v>3061</v>
      </c>
      <c r="D20" s="152">
        <f>'B1-RESPONSE &amp; B2-REPAIR'!D214</f>
        <v>990000</v>
      </c>
      <c r="E20" s="516">
        <v>11</v>
      </c>
      <c r="F20" s="412">
        <v>0.85</v>
      </c>
      <c r="G20" s="530">
        <v>0.93698630136986305</v>
      </c>
      <c r="H20" s="153"/>
      <c r="I20" s="154">
        <v>0.77534246575342469</v>
      </c>
      <c r="J20" s="154"/>
      <c r="K20" s="154"/>
      <c r="L20" s="154"/>
      <c r="M20" s="156"/>
      <c r="N20" s="154"/>
      <c r="O20" s="154"/>
      <c r="P20" s="154"/>
      <c r="Q20" s="154"/>
      <c r="R20" s="156"/>
      <c r="S20" s="157">
        <f t="shared" si="0"/>
        <v>1990</v>
      </c>
      <c r="T20" s="158" t="s">
        <v>2678</v>
      </c>
      <c r="U20" s="159"/>
      <c r="V20" s="160"/>
      <c r="W20" s="160" t="s">
        <v>2678</v>
      </c>
      <c r="X20" s="161">
        <f>IF(V20="Y",S20,0)</f>
        <v>0</v>
      </c>
      <c r="Y20" s="161">
        <f t="shared" si="1"/>
        <v>0</v>
      </c>
      <c r="Z20" s="161">
        <f t="shared" si="2"/>
        <v>0</v>
      </c>
      <c r="AA20" s="162" t="s">
        <v>4855</v>
      </c>
      <c r="AB20" s="118"/>
      <c r="AC20" s="118"/>
      <c r="AD20" s="118"/>
      <c r="AE20" s="118"/>
    </row>
    <row r="21" spans="1:31" ht="69.75" customHeight="1" x14ac:dyDescent="0.25">
      <c r="A21" s="150">
        <v>3</v>
      </c>
      <c r="B21" s="362" t="s">
        <v>2371</v>
      </c>
      <c r="C21" s="380" t="s">
        <v>1998</v>
      </c>
      <c r="D21" s="152">
        <f>'B1-RESPONSE &amp; B2-REPAIR'!D164</f>
        <v>3150</v>
      </c>
      <c r="E21" s="516">
        <v>6</v>
      </c>
      <c r="F21" s="412">
        <v>0.95</v>
      </c>
      <c r="G21" s="530">
        <v>0.93698630136986305</v>
      </c>
      <c r="H21" s="153">
        <v>0.86027397260273974</v>
      </c>
      <c r="I21" s="154">
        <v>0.77534246575342469</v>
      </c>
      <c r="J21" s="154"/>
      <c r="K21" s="154"/>
      <c r="L21" s="154"/>
      <c r="M21" s="156"/>
      <c r="N21" s="154"/>
      <c r="O21" s="154"/>
      <c r="P21" s="154"/>
      <c r="Q21" s="154"/>
      <c r="R21" s="156"/>
      <c r="S21" s="157">
        <f t="shared" si="0"/>
        <v>10</v>
      </c>
      <c r="T21" s="158" t="s">
        <v>2687</v>
      </c>
      <c r="U21" s="159"/>
      <c r="V21" s="160"/>
      <c r="W21" s="160" t="s">
        <v>2687</v>
      </c>
      <c r="X21" s="161">
        <f>IF(V21="Y",S21,0)</f>
        <v>0</v>
      </c>
      <c r="Y21" s="161">
        <f t="shared" si="1"/>
        <v>20</v>
      </c>
      <c r="Z21" s="161">
        <f t="shared" si="2"/>
        <v>20</v>
      </c>
      <c r="AA21" s="162" t="s">
        <v>3071</v>
      </c>
      <c r="AB21" s="118"/>
      <c r="AC21" s="118"/>
      <c r="AD21" s="118"/>
      <c r="AE21" s="118"/>
    </row>
    <row r="22" spans="1:31" ht="69.75" customHeight="1" x14ac:dyDescent="0.25">
      <c r="A22" s="150">
        <v>4</v>
      </c>
      <c r="B22" s="362" t="s">
        <v>3017</v>
      </c>
      <c r="C22" s="382" t="s">
        <v>3066</v>
      </c>
      <c r="D22" s="152">
        <f>'B1-RESPONSE &amp; B2-REPAIR'!D215</f>
        <v>50000</v>
      </c>
      <c r="E22" s="516">
        <v>6</v>
      </c>
      <c r="F22" s="412">
        <v>0.95</v>
      </c>
      <c r="G22" s="530">
        <v>0.9397260273972603</v>
      </c>
      <c r="H22" s="153">
        <v>0.86301369863013699</v>
      </c>
      <c r="I22" s="154">
        <v>0.77808219178082194</v>
      </c>
      <c r="J22" s="154"/>
      <c r="K22" s="154"/>
      <c r="L22" s="154"/>
      <c r="M22" s="156"/>
      <c r="N22" s="154"/>
      <c r="O22" s="154"/>
      <c r="P22" s="154"/>
      <c r="Q22" s="154"/>
      <c r="R22" s="156"/>
      <c r="S22" s="157">
        <f t="shared" si="0"/>
        <v>110</v>
      </c>
      <c r="T22" s="158" t="s">
        <v>2687</v>
      </c>
      <c r="U22" s="159"/>
      <c r="V22" s="160"/>
      <c r="W22" s="160" t="s">
        <v>2687</v>
      </c>
      <c r="X22" s="161">
        <f t="shared" ref="X22:X43" si="3">IF(V22="Y",S22,0)</f>
        <v>0</v>
      </c>
      <c r="Y22" s="161">
        <f t="shared" si="1"/>
        <v>220</v>
      </c>
      <c r="Z22" s="161">
        <f t="shared" si="2"/>
        <v>220</v>
      </c>
      <c r="AA22" s="162" t="s">
        <v>3071</v>
      </c>
      <c r="AB22" s="118"/>
      <c r="AC22" s="118"/>
      <c r="AD22" s="118"/>
      <c r="AE22" s="118"/>
    </row>
    <row r="23" spans="1:31" ht="69.75" hidden="1" customHeight="1" x14ac:dyDescent="0.25">
      <c r="A23" s="150">
        <v>5</v>
      </c>
      <c r="B23" s="362" t="s">
        <v>3018</v>
      </c>
      <c r="C23" s="383" t="s">
        <v>3060</v>
      </c>
      <c r="D23" s="152">
        <f>'B1-RESPONSE &amp; B2-REPAIR'!D181</f>
        <v>7100</v>
      </c>
      <c r="E23" s="516">
        <v>5</v>
      </c>
      <c r="F23" s="412">
        <v>0.99</v>
      </c>
      <c r="G23" s="530">
        <v>0.9452054794520548</v>
      </c>
      <c r="H23" s="153">
        <v>0.86849315068493149</v>
      </c>
      <c r="I23" s="154">
        <v>0.86575342465753424</v>
      </c>
      <c r="J23" s="154"/>
      <c r="K23" s="154"/>
      <c r="L23" s="154"/>
      <c r="M23" s="156"/>
      <c r="N23" s="154"/>
      <c r="O23" s="154"/>
      <c r="P23" s="154"/>
      <c r="Q23" s="154"/>
      <c r="R23" s="156"/>
      <c r="S23" s="157">
        <f t="shared" si="0"/>
        <v>20</v>
      </c>
      <c r="T23" s="158" t="s">
        <v>2687</v>
      </c>
      <c r="U23" s="159"/>
      <c r="V23" s="160"/>
      <c r="W23" s="160" t="s">
        <v>2678</v>
      </c>
      <c r="X23" s="161">
        <f t="shared" si="3"/>
        <v>0</v>
      </c>
      <c r="Y23" s="161">
        <f t="shared" si="1"/>
        <v>0</v>
      </c>
      <c r="Z23" s="161">
        <f t="shared" si="2"/>
        <v>0</v>
      </c>
      <c r="AA23" s="162" t="s">
        <v>3400</v>
      </c>
      <c r="AB23" s="118"/>
      <c r="AC23" s="118"/>
      <c r="AD23" s="118"/>
      <c r="AE23" s="118"/>
    </row>
    <row r="24" spans="1:31" ht="69.75" customHeight="1" x14ac:dyDescent="0.25">
      <c r="A24" s="150">
        <v>6</v>
      </c>
      <c r="B24" s="362" t="s">
        <v>3019</v>
      </c>
      <c r="C24" s="380" t="s">
        <v>3020</v>
      </c>
      <c r="D24" s="152">
        <f>'B1-RESPONSE &amp; B2-REPAIR'!D216</f>
        <v>7100</v>
      </c>
      <c r="E24" s="516">
        <v>4</v>
      </c>
      <c r="F24" s="412">
        <v>0.99</v>
      </c>
      <c r="G24" s="530">
        <v>0.9452054794520548</v>
      </c>
      <c r="H24" s="153">
        <v>0.86849315068493149</v>
      </c>
      <c r="I24" s="154">
        <v>0.78356164383561644</v>
      </c>
      <c r="J24" s="154"/>
      <c r="K24" s="154"/>
      <c r="L24" s="154"/>
      <c r="M24" s="156"/>
      <c r="N24" s="154"/>
      <c r="O24" s="154"/>
      <c r="P24" s="154"/>
      <c r="Q24" s="154"/>
      <c r="R24" s="156"/>
      <c r="S24" s="157">
        <f t="shared" si="0"/>
        <v>20</v>
      </c>
      <c r="T24" s="158" t="s">
        <v>2687</v>
      </c>
      <c r="U24" s="159"/>
      <c r="V24" s="160"/>
      <c r="W24" s="160" t="s">
        <v>2687</v>
      </c>
      <c r="X24" s="161">
        <f t="shared" si="3"/>
        <v>0</v>
      </c>
      <c r="Y24" s="161">
        <f t="shared" si="1"/>
        <v>40</v>
      </c>
      <c r="Z24" s="161">
        <f t="shared" si="2"/>
        <v>40</v>
      </c>
      <c r="AA24" s="162" t="s">
        <v>3071</v>
      </c>
      <c r="AB24" s="118"/>
      <c r="AC24" s="118"/>
      <c r="AD24" s="118"/>
      <c r="AE24" s="118"/>
    </row>
    <row r="25" spans="1:31" ht="69.75" hidden="1" customHeight="1" x14ac:dyDescent="0.25">
      <c r="A25" s="150">
        <v>7</v>
      </c>
      <c r="B25" s="362" t="s">
        <v>1526</v>
      </c>
      <c r="C25" s="380" t="s">
        <v>2685</v>
      </c>
      <c r="D25" s="152">
        <v>53000</v>
      </c>
      <c r="E25" s="516">
        <v>11</v>
      </c>
      <c r="F25" s="412">
        <v>0.88</v>
      </c>
      <c r="G25" s="530">
        <v>0.9452054794520548</v>
      </c>
      <c r="H25" s="153"/>
      <c r="I25" s="154"/>
      <c r="J25" s="154"/>
      <c r="K25" s="154"/>
      <c r="L25" s="154"/>
      <c r="M25" s="156"/>
      <c r="N25" s="154"/>
      <c r="O25" s="154"/>
      <c r="P25" s="154"/>
      <c r="Q25" s="154"/>
      <c r="R25" s="156"/>
      <c r="S25" s="157">
        <f t="shared" si="0"/>
        <v>110</v>
      </c>
      <c r="T25" s="158" t="s">
        <v>2678</v>
      </c>
      <c r="U25" s="159"/>
      <c r="V25" s="160" t="s">
        <v>2678</v>
      </c>
      <c r="W25" s="160"/>
      <c r="X25" s="161">
        <f t="shared" si="3"/>
        <v>0</v>
      </c>
      <c r="Y25" s="161">
        <f t="shared" si="1"/>
        <v>0</v>
      </c>
      <c r="Z25" s="161">
        <f t="shared" si="2"/>
        <v>0</v>
      </c>
      <c r="AA25" s="162" t="s">
        <v>3400</v>
      </c>
      <c r="AB25" s="118"/>
      <c r="AC25" s="118"/>
      <c r="AD25" s="118"/>
      <c r="AE25" s="118"/>
    </row>
    <row r="26" spans="1:31" ht="69.75" hidden="1" customHeight="1" x14ac:dyDescent="0.25">
      <c r="A26" s="150">
        <v>8</v>
      </c>
      <c r="B26" s="362" t="s">
        <v>49</v>
      </c>
      <c r="C26" s="380" t="s">
        <v>3021</v>
      </c>
      <c r="D26" s="152">
        <f>'B1-RESPONSE &amp; B2-REPAIR'!D182</f>
        <v>67000</v>
      </c>
      <c r="E26" s="516">
        <v>11</v>
      </c>
      <c r="F26" s="412">
        <v>0.85</v>
      </c>
      <c r="G26" s="530">
        <v>0.9506849315068493</v>
      </c>
      <c r="H26" s="153">
        <v>0.87397260273972599</v>
      </c>
      <c r="I26" s="154">
        <v>0.8</v>
      </c>
      <c r="J26" s="154"/>
      <c r="K26" s="154"/>
      <c r="L26" s="154"/>
      <c r="M26" s="156"/>
      <c r="N26" s="154"/>
      <c r="O26" s="154"/>
      <c r="P26" s="154"/>
      <c r="Q26" s="154"/>
      <c r="R26" s="156"/>
      <c r="S26" s="157">
        <f t="shared" si="0"/>
        <v>140</v>
      </c>
      <c r="T26" s="158" t="s">
        <v>2687</v>
      </c>
      <c r="U26" s="159"/>
      <c r="V26" s="160"/>
      <c r="W26" s="160" t="s">
        <v>2678</v>
      </c>
      <c r="X26" s="161">
        <f t="shared" si="3"/>
        <v>0</v>
      </c>
      <c r="Y26" s="161">
        <f t="shared" si="1"/>
        <v>0</v>
      </c>
      <c r="Z26" s="161">
        <f t="shared" si="2"/>
        <v>0</v>
      </c>
      <c r="AA26" s="162" t="s">
        <v>4854</v>
      </c>
      <c r="AB26" s="118"/>
      <c r="AC26" s="118"/>
      <c r="AD26" s="118"/>
      <c r="AE26" s="118"/>
    </row>
    <row r="27" spans="1:31" ht="69.75" hidden="1" customHeight="1" x14ac:dyDescent="0.25">
      <c r="A27" s="150">
        <v>9</v>
      </c>
      <c r="B27" s="362" t="s">
        <v>2705</v>
      </c>
      <c r="C27" s="380" t="s">
        <v>2706</v>
      </c>
      <c r="D27" s="152">
        <f>'B1-RESPONSE &amp; B2-REPAIR'!D183</f>
        <v>137000</v>
      </c>
      <c r="E27" s="516">
        <v>5</v>
      </c>
      <c r="F27" s="412">
        <v>0.99</v>
      </c>
      <c r="G27" s="530">
        <v>0.95342465753424654</v>
      </c>
      <c r="H27" s="153">
        <v>0.87671232876712324</v>
      </c>
      <c r="I27" s="154">
        <v>0.83287671232876714</v>
      </c>
      <c r="J27" s="154"/>
      <c r="K27" s="154"/>
      <c r="L27" s="154"/>
      <c r="M27" s="156"/>
      <c r="N27" s="154"/>
      <c r="O27" s="154"/>
      <c r="P27" s="154"/>
      <c r="Q27" s="154"/>
      <c r="R27" s="156"/>
      <c r="S27" s="157">
        <f t="shared" si="0"/>
        <v>280</v>
      </c>
      <c r="T27" s="158" t="s">
        <v>2687</v>
      </c>
      <c r="U27" s="159"/>
      <c r="V27" s="160"/>
      <c r="W27" s="160" t="s">
        <v>2678</v>
      </c>
      <c r="X27" s="161">
        <f t="shared" si="3"/>
        <v>0</v>
      </c>
      <c r="Y27" s="161">
        <f t="shared" si="1"/>
        <v>0</v>
      </c>
      <c r="Z27" s="161">
        <f t="shared" si="2"/>
        <v>0</v>
      </c>
      <c r="AA27" s="162" t="s">
        <v>3400</v>
      </c>
      <c r="AB27" s="118"/>
      <c r="AC27" s="118"/>
      <c r="AD27" s="118"/>
      <c r="AE27" s="118"/>
    </row>
    <row r="28" spans="1:31" ht="69.599999999999994" hidden="1" customHeight="1" x14ac:dyDescent="0.25">
      <c r="A28" s="150">
        <v>10</v>
      </c>
      <c r="B28" s="362" t="s">
        <v>867</v>
      </c>
      <c r="C28" s="380" t="s">
        <v>2336</v>
      </c>
      <c r="D28" s="152">
        <f>'B1-RESPONSE &amp; B2-REPAIR'!D184</f>
        <v>4300</v>
      </c>
      <c r="E28" s="516">
        <v>11</v>
      </c>
      <c r="F28" s="412">
        <v>0.88</v>
      </c>
      <c r="G28" s="531">
        <v>0.95616438356164379</v>
      </c>
      <c r="H28" s="153">
        <v>0.8904109589041096</v>
      </c>
      <c r="I28" s="154"/>
      <c r="J28" s="154"/>
      <c r="K28" s="154"/>
      <c r="L28" s="154"/>
      <c r="M28" s="156"/>
      <c r="N28" s="154"/>
      <c r="O28" s="154"/>
      <c r="P28" s="154"/>
      <c r="Q28" s="154"/>
      <c r="R28" s="156"/>
      <c r="S28" s="157">
        <f t="shared" si="0"/>
        <v>10</v>
      </c>
      <c r="T28" s="158" t="s">
        <v>2687</v>
      </c>
      <c r="U28" s="159"/>
      <c r="V28" s="160"/>
      <c r="W28" s="160" t="s">
        <v>2678</v>
      </c>
      <c r="X28" s="161">
        <f t="shared" si="3"/>
        <v>0</v>
      </c>
      <c r="Y28" s="161">
        <f t="shared" si="1"/>
        <v>0</v>
      </c>
      <c r="Z28" s="161">
        <f t="shared" si="2"/>
        <v>0</v>
      </c>
      <c r="AA28" s="162" t="s">
        <v>3400</v>
      </c>
      <c r="AB28" s="118"/>
      <c r="AC28" s="118"/>
      <c r="AD28" s="118"/>
      <c r="AE28" s="118"/>
    </row>
    <row r="29" spans="1:31" ht="69.75" hidden="1" customHeight="1" x14ac:dyDescent="0.25">
      <c r="A29" s="150">
        <v>11</v>
      </c>
      <c r="B29" s="362" t="s">
        <v>1517</v>
      </c>
      <c r="C29" s="380" t="s">
        <v>2323</v>
      </c>
      <c r="D29" s="152">
        <v>24000</v>
      </c>
      <c r="E29" s="516">
        <v>11</v>
      </c>
      <c r="F29" s="412">
        <v>0.88</v>
      </c>
      <c r="G29" s="532"/>
      <c r="H29" s="517">
        <v>0.95616438356164379</v>
      </c>
      <c r="I29" s="154">
        <v>0.90136986301369859</v>
      </c>
      <c r="J29" s="154"/>
      <c r="K29" s="154"/>
      <c r="L29" s="154"/>
      <c r="M29" s="156"/>
      <c r="N29" s="154"/>
      <c r="O29" s="154"/>
      <c r="P29" s="154"/>
      <c r="Q29" s="154"/>
      <c r="R29" s="156"/>
      <c r="S29" s="157">
        <f t="shared" si="0"/>
        <v>50</v>
      </c>
      <c r="T29" s="158" t="s">
        <v>2678</v>
      </c>
      <c r="U29" s="159"/>
      <c r="V29" s="160" t="s">
        <v>2678</v>
      </c>
      <c r="W29" s="160"/>
      <c r="X29" s="161">
        <f t="shared" si="3"/>
        <v>0</v>
      </c>
      <c r="Y29" s="161">
        <f t="shared" si="1"/>
        <v>0</v>
      </c>
      <c r="Z29" s="161">
        <f t="shared" si="2"/>
        <v>0</v>
      </c>
      <c r="AA29" s="162" t="s">
        <v>3071</v>
      </c>
      <c r="AB29" s="118"/>
      <c r="AC29" s="118"/>
      <c r="AD29" s="118"/>
      <c r="AE29" s="118"/>
    </row>
    <row r="30" spans="1:31" ht="69.599999999999994" hidden="1" customHeight="1" x14ac:dyDescent="0.25">
      <c r="A30" s="150">
        <v>12</v>
      </c>
      <c r="B30" s="362" t="s">
        <v>306</v>
      </c>
      <c r="C30" s="380" t="s">
        <v>305</v>
      </c>
      <c r="D30" s="152">
        <v>198800</v>
      </c>
      <c r="E30" s="516">
        <v>9</v>
      </c>
      <c r="F30" s="412">
        <v>0.92</v>
      </c>
      <c r="G30" s="532"/>
      <c r="H30" s="365">
        <v>0.95890410958904104</v>
      </c>
      <c r="I30" s="154">
        <v>0.94078957382039397</v>
      </c>
      <c r="J30" s="154"/>
      <c r="K30" s="154"/>
      <c r="L30" s="154"/>
      <c r="M30" s="156"/>
      <c r="N30" s="154"/>
      <c r="O30" s="154"/>
      <c r="P30" s="154"/>
      <c r="Q30" s="154"/>
      <c r="R30" s="156"/>
      <c r="S30" s="157">
        <f t="shared" si="0"/>
        <v>400</v>
      </c>
      <c r="T30" s="158" t="s">
        <v>2678</v>
      </c>
      <c r="U30" s="159"/>
      <c r="V30" s="160" t="s">
        <v>2678</v>
      </c>
      <c r="W30" s="160"/>
      <c r="X30" s="161">
        <f t="shared" si="3"/>
        <v>0</v>
      </c>
      <c r="Y30" s="161">
        <f t="shared" si="1"/>
        <v>0</v>
      </c>
      <c r="Z30" s="161">
        <f t="shared" si="2"/>
        <v>0</v>
      </c>
      <c r="AA30" s="162" t="s">
        <v>3071</v>
      </c>
      <c r="AB30" s="118"/>
      <c r="AC30" s="118"/>
      <c r="AD30" s="118"/>
      <c r="AE30" s="118"/>
    </row>
    <row r="31" spans="1:31" ht="69.75" customHeight="1" x14ac:dyDescent="0.25">
      <c r="A31" s="150">
        <v>13</v>
      </c>
      <c r="B31" s="362" t="s">
        <v>1720</v>
      </c>
      <c r="C31" s="380" t="s">
        <v>1995</v>
      </c>
      <c r="D31" s="152">
        <f>'B1-RESPONSE &amp; B2-REPAIR'!D184</f>
        <v>4300</v>
      </c>
      <c r="E31" s="516">
        <v>11</v>
      </c>
      <c r="F31" s="412">
        <v>0.88</v>
      </c>
      <c r="G31" s="533">
        <v>0.9616438356164384</v>
      </c>
      <c r="H31" s="153">
        <v>0.8849315068493151</v>
      </c>
      <c r="I31" s="154">
        <v>0.83835616438356164</v>
      </c>
      <c r="J31" s="154"/>
      <c r="K31" s="154"/>
      <c r="L31" s="154"/>
      <c r="M31" s="156"/>
      <c r="N31" s="154"/>
      <c r="O31" s="154"/>
      <c r="P31" s="154"/>
      <c r="Q31" s="154"/>
      <c r="R31" s="156"/>
      <c r="S31" s="157">
        <f t="shared" si="0"/>
        <v>10</v>
      </c>
      <c r="T31" s="158" t="s">
        <v>2678</v>
      </c>
      <c r="U31" s="159"/>
      <c r="V31" s="160" t="s">
        <v>2687</v>
      </c>
      <c r="W31" s="160"/>
      <c r="X31" s="161">
        <f t="shared" si="3"/>
        <v>10</v>
      </c>
      <c r="Y31" s="161">
        <f t="shared" si="1"/>
        <v>0</v>
      </c>
      <c r="Z31" s="161">
        <f t="shared" si="2"/>
        <v>10</v>
      </c>
      <c r="AA31" s="162" t="s">
        <v>4856</v>
      </c>
      <c r="AB31" s="118"/>
      <c r="AC31" s="118"/>
      <c r="AD31" s="118"/>
      <c r="AE31" s="118"/>
    </row>
    <row r="32" spans="1:31" ht="69.75" customHeight="1" x14ac:dyDescent="0.25">
      <c r="A32" s="150">
        <v>14</v>
      </c>
      <c r="B32" s="362" t="s">
        <v>2686</v>
      </c>
      <c r="C32" s="380" t="s">
        <v>2222</v>
      </c>
      <c r="D32" s="152">
        <f>'B1-RESPONSE &amp; B2-REPAIR'!D186</f>
        <v>80900</v>
      </c>
      <c r="E32" s="516">
        <v>10</v>
      </c>
      <c r="F32" s="412">
        <v>0.95</v>
      </c>
      <c r="G32" s="530">
        <v>0.96438356164383565</v>
      </c>
      <c r="H32" s="153">
        <v>0.88767123287671235</v>
      </c>
      <c r="I32" s="154">
        <v>0.84383561643835614</v>
      </c>
      <c r="J32" s="154"/>
      <c r="K32" s="154"/>
      <c r="L32" s="154"/>
      <c r="M32" s="156"/>
      <c r="N32" s="154"/>
      <c r="O32" s="154"/>
      <c r="P32" s="154"/>
      <c r="Q32" s="154"/>
      <c r="R32" s="156"/>
      <c r="S32" s="366">
        <f t="shared" si="0"/>
        <v>170</v>
      </c>
      <c r="T32" s="158" t="s">
        <v>2678</v>
      </c>
      <c r="U32" s="159"/>
      <c r="V32" s="160" t="s">
        <v>2687</v>
      </c>
      <c r="W32" s="160"/>
      <c r="X32" s="367">
        <f t="shared" si="3"/>
        <v>170</v>
      </c>
      <c r="Y32" s="367">
        <f t="shared" si="1"/>
        <v>0</v>
      </c>
      <c r="Z32" s="367">
        <f t="shared" si="2"/>
        <v>170</v>
      </c>
      <c r="AA32" s="162" t="s">
        <v>3071</v>
      </c>
      <c r="AB32" s="118"/>
      <c r="AC32" s="118"/>
      <c r="AD32" s="118"/>
      <c r="AE32" s="118"/>
    </row>
    <row r="33" spans="1:31" ht="69.75" customHeight="1" x14ac:dyDescent="0.25">
      <c r="A33" s="150">
        <v>15</v>
      </c>
      <c r="B33" s="362" t="s">
        <v>1440</v>
      </c>
      <c r="C33" s="380" t="s">
        <v>1471</v>
      </c>
      <c r="D33" s="152">
        <f>'B1-RESPONSE &amp; B2-REPAIR'!D217</f>
        <v>50000</v>
      </c>
      <c r="E33" s="516">
        <v>11</v>
      </c>
      <c r="F33" s="412">
        <v>0.88</v>
      </c>
      <c r="G33" s="530">
        <v>0.96438356164383565</v>
      </c>
      <c r="H33" s="153">
        <v>0.88767123287671235</v>
      </c>
      <c r="I33" s="154">
        <v>0.80273972602739729</v>
      </c>
      <c r="J33" s="154"/>
      <c r="K33" s="154"/>
      <c r="L33" s="154"/>
      <c r="M33" s="156"/>
      <c r="N33" s="154"/>
      <c r="O33" s="154"/>
      <c r="P33" s="154"/>
      <c r="Q33" s="154"/>
      <c r="R33" s="156"/>
      <c r="S33" s="157">
        <f t="shared" si="0"/>
        <v>110</v>
      </c>
      <c r="T33" s="158" t="s">
        <v>2678</v>
      </c>
      <c r="U33" s="159"/>
      <c r="V33" s="160" t="s">
        <v>2687</v>
      </c>
      <c r="W33" s="160"/>
      <c r="X33" s="161">
        <f t="shared" si="3"/>
        <v>110</v>
      </c>
      <c r="Y33" s="161">
        <f t="shared" si="1"/>
        <v>0</v>
      </c>
      <c r="Z33" s="161">
        <f t="shared" si="2"/>
        <v>110</v>
      </c>
      <c r="AA33" s="162" t="s">
        <v>3071</v>
      </c>
      <c r="AB33" s="118"/>
      <c r="AC33" s="118"/>
      <c r="AD33" s="118"/>
      <c r="AE33" s="118"/>
    </row>
    <row r="34" spans="1:31" ht="69.75" customHeight="1" x14ac:dyDescent="0.25">
      <c r="A34" s="150">
        <v>16</v>
      </c>
      <c r="B34" s="362" t="s">
        <v>2294</v>
      </c>
      <c r="C34" s="380" t="s">
        <v>251</v>
      </c>
      <c r="D34" s="152">
        <f>'B1-RESPONSE &amp; B2-REPAIR'!D218</f>
        <v>20328</v>
      </c>
      <c r="E34" s="516">
        <v>11</v>
      </c>
      <c r="F34" s="412">
        <v>0.88</v>
      </c>
      <c r="G34" s="530">
        <v>0.96438356164383565</v>
      </c>
      <c r="H34" s="153">
        <v>0.88767123287671235</v>
      </c>
      <c r="I34" s="154">
        <v>0.80273972602739729</v>
      </c>
      <c r="J34" s="154"/>
      <c r="K34" s="154"/>
      <c r="L34" s="154"/>
      <c r="M34" s="156"/>
      <c r="N34" s="154"/>
      <c r="O34" s="154"/>
      <c r="P34" s="154"/>
      <c r="Q34" s="154"/>
      <c r="R34" s="156"/>
      <c r="S34" s="157">
        <f t="shared" si="0"/>
        <v>50</v>
      </c>
      <c r="T34" s="158" t="s">
        <v>2678</v>
      </c>
      <c r="U34" s="159"/>
      <c r="V34" s="160" t="s">
        <v>2687</v>
      </c>
      <c r="W34" s="160"/>
      <c r="X34" s="161">
        <f t="shared" si="3"/>
        <v>50</v>
      </c>
      <c r="Y34" s="161">
        <f t="shared" si="1"/>
        <v>0</v>
      </c>
      <c r="Z34" s="161">
        <f t="shared" si="2"/>
        <v>50</v>
      </c>
      <c r="AA34" s="162" t="s">
        <v>3071</v>
      </c>
      <c r="AB34" s="118"/>
      <c r="AC34" s="118"/>
      <c r="AD34" s="118"/>
      <c r="AE34" s="118"/>
    </row>
    <row r="35" spans="1:31" ht="69.75" customHeight="1" x14ac:dyDescent="0.25">
      <c r="A35" s="150">
        <v>17</v>
      </c>
      <c r="B35" s="363" t="s">
        <v>1900</v>
      </c>
      <c r="C35" s="384" t="s">
        <v>3045</v>
      </c>
      <c r="D35" s="152">
        <f>'B1-RESPONSE &amp; B2-REPAIR'!D185</f>
        <v>2700</v>
      </c>
      <c r="E35" s="516">
        <v>11</v>
      </c>
      <c r="F35" s="412">
        <v>0.88</v>
      </c>
      <c r="G35" s="530">
        <v>0.96438356164383565</v>
      </c>
      <c r="H35" s="153">
        <v>0.88767123287671235</v>
      </c>
      <c r="I35" s="154">
        <v>0.80547945205479454</v>
      </c>
      <c r="J35" s="154"/>
      <c r="K35" s="154"/>
      <c r="L35" s="154"/>
      <c r="M35" s="156"/>
      <c r="N35" s="154"/>
      <c r="O35" s="154"/>
      <c r="P35" s="154"/>
      <c r="Q35" s="154"/>
      <c r="R35" s="156"/>
      <c r="S35" s="157">
        <f t="shared" si="0"/>
        <v>10</v>
      </c>
      <c r="T35" s="158" t="s">
        <v>2678</v>
      </c>
      <c r="U35" s="159"/>
      <c r="V35" s="160" t="s">
        <v>2687</v>
      </c>
      <c r="W35" s="160"/>
      <c r="X35" s="161">
        <f t="shared" si="3"/>
        <v>10</v>
      </c>
      <c r="Y35" s="161">
        <f t="shared" si="1"/>
        <v>0</v>
      </c>
      <c r="Z35" s="161">
        <f t="shared" si="2"/>
        <v>10</v>
      </c>
      <c r="AA35" s="162" t="s">
        <v>4857</v>
      </c>
      <c r="AB35" s="118"/>
      <c r="AC35" s="118"/>
      <c r="AD35" s="118"/>
      <c r="AE35" s="118"/>
    </row>
    <row r="36" spans="1:31" ht="69.75" customHeight="1" x14ac:dyDescent="0.25">
      <c r="A36" s="150">
        <v>18</v>
      </c>
      <c r="B36" s="362" t="s">
        <v>2087</v>
      </c>
      <c r="C36" s="380" t="s">
        <v>1153</v>
      </c>
      <c r="D36" s="152">
        <f>'B1-RESPONSE &amp; B2-REPAIR'!D219</f>
        <v>5450</v>
      </c>
      <c r="E36" s="516">
        <v>7</v>
      </c>
      <c r="F36" s="412">
        <v>0.95</v>
      </c>
      <c r="G36" s="530">
        <v>0.9671232876712329</v>
      </c>
      <c r="H36" s="153">
        <v>0.8904109589041096</v>
      </c>
      <c r="I36" s="154">
        <v>0.80547945205479454</v>
      </c>
      <c r="J36" s="154"/>
      <c r="K36" s="154"/>
      <c r="L36" s="154"/>
      <c r="M36" s="156"/>
      <c r="N36" s="154"/>
      <c r="O36" s="154"/>
      <c r="P36" s="154"/>
      <c r="Q36" s="154"/>
      <c r="R36" s="156"/>
      <c r="S36" s="157">
        <f t="shared" si="0"/>
        <v>20</v>
      </c>
      <c r="T36" s="158" t="s">
        <v>2678</v>
      </c>
      <c r="U36" s="159"/>
      <c r="V36" s="160" t="s">
        <v>2687</v>
      </c>
      <c r="W36" s="160"/>
      <c r="X36" s="161">
        <f t="shared" si="3"/>
        <v>20</v>
      </c>
      <c r="Y36" s="161">
        <f t="shared" si="1"/>
        <v>0</v>
      </c>
      <c r="Z36" s="161">
        <f t="shared" si="2"/>
        <v>20</v>
      </c>
      <c r="AA36" s="162" t="s">
        <v>3071</v>
      </c>
      <c r="AB36" s="118"/>
      <c r="AC36" s="118"/>
      <c r="AD36" s="118"/>
      <c r="AE36" s="118"/>
    </row>
    <row r="37" spans="1:31" ht="69.75" hidden="1" customHeight="1" x14ac:dyDescent="0.25">
      <c r="A37" s="150">
        <v>19</v>
      </c>
      <c r="B37" s="362" t="s">
        <v>1842</v>
      </c>
      <c r="C37" s="380" t="s">
        <v>1998</v>
      </c>
      <c r="D37" s="152">
        <v>7245</v>
      </c>
      <c r="E37" s="516">
        <v>11</v>
      </c>
      <c r="F37" s="412">
        <v>0.88</v>
      </c>
      <c r="G37" s="530">
        <v>0.9671232876712329</v>
      </c>
      <c r="H37" s="163"/>
      <c r="I37" s="154"/>
      <c r="J37" s="154"/>
      <c r="K37" s="154"/>
      <c r="L37" s="154"/>
      <c r="M37" s="156"/>
      <c r="N37" s="154"/>
      <c r="O37" s="154"/>
      <c r="P37" s="154"/>
      <c r="Q37" s="154"/>
      <c r="R37" s="156"/>
      <c r="S37" s="157">
        <f t="shared" si="0"/>
        <v>20</v>
      </c>
      <c r="T37" s="158" t="s">
        <v>2678</v>
      </c>
      <c r="U37" s="159"/>
      <c r="V37" s="160"/>
      <c r="W37" s="160"/>
      <c r="X37" s="161">
        <f t="shared" si="3"/>
        <v>0</v>
      </c>
      <c r="Y37" s="161">
        <f t="shared" si="1"/>
        <v>0</v>
      </c>
      <c r="Z37" s="161">
        <f t="shared" si="2"/>
        <v>0</v>
      </c>
      <c r="AA37" s="162" t="s">
        <v>3400</v>
      </c>
      <c r="AB37" s="118"/>
      <c r="AC37" s="118"/>
      <c r="AD37" s="118"/>
      <c r="AE37" s="118"/>
    </row>
    <row r="38" spans="1:31" ht="69.75" hidden="1" customHeight="1" x14ac:dyDescent="0.25">
      <c r="A38" s="150">
        <v>20</v>
      </c>
      <c r="B38" s="362" t="s">
        <v>1841</v>
      </c>
      <c r="C38" s="380" t="s">
        <v>1998</v>
      </c>
      <c r="D38" s="152">
        <v>7245</v>
      </c>
      <c r="E38" s="516">
        <v>11</v>
      </c>
      <c r="F38" s="412">
        <v>0.88</v>
      </c>
      <c r="G38" s="530">
        <v>0.9671232876712329</v>
      </c>
      <c r="H38" s="153"/>
      <c r="I38" s="154"/>
      <c r="J38" s="154"/>
      <c r="K38" s="154"/>
      <c r="L38" s="154"/>
      <c r="M38" s="156"/>
      <c r="N38" s="154"/>
      <c r="O38" s="154"/>
      <c r="P38" s="154"/>
      <c r="Q38" s="154"/>
      <c r="R38" s="156"/>
      <c r="S38" s="157">
        <f t="shared" si="0"/>
        <v>20</v>
      </c>
      <c r="T38" s="158" t="s">
        <v>2678</v>
      </c>
      <c r="U38" s="159"/>
      <c r="V38" s="160"/>
      <c r="W38" s="160"/>
      <c r="X38" s="161">
        <f t="shared" si="3"/>
        <v>0</v>
      </c>
      <c r="Y38" s="161">
        <f t="shared" si="1"/>
        <v>0</v>
      </c>
      <c r="Z38" s="161">
        <f t="shared" si="2"/>
        <v>0</v>
      </c>
      <c r="AA38" s="162" t="s">
        <v>3400</v>
      </c>
      <c r="AB38" s="118"/>
      <c r="AC38" s="118"/>
      <c r="AD38" s="118"/>
      <c r="AE38" s="118"/>
    </row>
    <row r="39" spans="1:31" ht="69.75" hidden="1" customHeight="1" x14ac:dyDescent="0.25">
      <c r="A39" s="150">
        <v>21</v>
      </c>
      <c r="B39" s="362" t="s">
        <v>1155</v>
      </c>
      <c r="C39" s="380" t="s">
        <v>1153</v>
      </c>
      <c r="D39" s="152">
        <f>'B1-RESPONSE &amp; B2-REPAIR'!D220</f>
        <v>7400</v>
      </c>
      <c r="E39" s="516">
        <v>10</v>
      </c>
      <c r="F39" s="412">
        <v>0.88</v>
      </c>
      <c r="G39" s="530">
        <v>0.96986301369863015</v>
      </c>
      <c r="H39" s="153">
        <v>0.89315068493150684</v>
      </c>
      <c r="I39" s="154">
        <v>0.80821917808219179</v>
      </c>
      <c r="J39" s="154"/>
      <c r="K39" s="154"/>
      <c r="L39" s="154"/>
      <c r="M39" s="156"/>
      <c r="N39" s="154"/>
      <c r="O39" s="154"/>
      <c r="P39" s="154"/>
      <c r="Q39" s="154"/>
      <c r="R39" s="156"/>
      <c r="S39" s="157">
        <f t="shared" si="0"/>
        <v>20</v>
      </c>
      <c r="T39" s="158" t="s">
        <v>2678</v>
      </c>
      <c r="U39" s="159"/>
      <c r="V39" s="160" t="s">
        <v>2678</v>
      </c>
      <c r="W39" s="160"/>
      <c r="X39" s="161">
        <f t="shared" si="3"/>
        <v>0</v>
      </c>
      <c r="Y39" s="161">
        <f t="shared" si="1"/>
        <v>0</v>
      </c>
      <c r="Z39" s="161">
        <f t="shared" si="2"/>
        <v>0</v>
      </c>
      <c r="AA39" s="162" t="s">
        <v>3071</v>
      </c>
      <c r="AB39" s="118"/>
      <c r="AC39" s="118"/>
      <c r="AD39" s="118"/>
      <c r="AE39" s="118"/>
    </row>
    <row r="40" spans="1:31" ht="69.75" hidden="1" customHeight="1" x14ac:dyDescent="0.25">
      <c r="A40" s="150">
        <v>22</v>
      </c>
      <c r="B40" s="362" t="s">
        <v>1532</v>
      </c>
      <c r="C40" s="380" t="s">
        <v>2685</v>
      </c>
      <c r="D40" s="152">
        <v>53000</v>
      </c>
      <c r="E40" s="516">
        <v>11</v>
      </c>
      <c r="F40" s="412">
        <v>0.88</v>
      </c>
      <c r="G40" s="530">
        <v>0.96986301369863015</v>
      </c>
      <c r="H40" s="153"/>
      <c r="I40" s="154"/>
      <c r="J40" s="154"/>
      <c r="K40" s="154"/>
      <c r="L40" s="154"/>
      <c r="M40" s="156"/>
      <c r="N40" s="154"/>
      <c r="O40" s="154"/>
      <c r="P40" s="154"/>
      <c r="Q40" s="154"/>
      <c r="R40" s="156"/>
      <c r="S40" s="157">
        <f t="shared" si="0"/>
        <v>110</v>
      </c>
      <c r="T40" s="158"/>
      <c r="U40" s="160"/>
      <c r="V40" s="160" t="s">
        <v>2678</v>
      </c>
      <c r="W40" s="160"/>
      <c r="X40" s="161">
        <f t="shared" si="3"/>
        <v>0</v>
      </c>
      <c r="Y40" s="161">
        <f t="shared" si="1"/>
        <v>0</v>
      </c>
      <c r="Z40" s="161">
        <f t="shared" si="2"/>
        <v>0</v>
      </c>
      <c r="AA40" s="162" t="s">
        <v>3400</v>
      </c>
      <c r="AB40" s="118"/>
      <c r="AC40" s="118"/>
      <c r="AD40" s="118"/>
      <c r="AE40" s="118"/>
    </row>
    <row r="41" spans="1:31" ht="69.75" hidden="1" customHeight="1" x14ac:dyDescent="0.25">
      <c r="A41" s="150">
        <v>23</v>
      </c>
      <c r="B41" s="362" t="s">
        <v>1443</v>
      </c>
      <c r="C41" s="380" t="s">
        <v>1471</v>
      </c>
      <c r="D41" s="152">
        <f>'B1-RESPONSE &amp; B2-REPAIR'!D221</f>
        <v>50000</v>
      </c>
      <c r="E41" s="516">
        <v>11</v>
      </c>
      <c r="F41" s="412">
        <v>0.95</v>
      </c>
      <c r="G41" s="530">
        <v>0.9726027397260274</v>
      </c>
      <c r="H41" s="153">
        <v>0.89589041095890409</v>
      </c>
      <c r="I41" s="154">
        <v>0.81095890410958904</v>
      </c>
      <c r="J41" s="154"/>
      <c r="K41" s="154"/>
      <c r="L41" s="154"/>
      <c r="M41" s="156"/>
      <c r="N41" s="154"/>
      <c r="O41" s="154"/>
      <c r="P41" s="154"/>
      <c r="Q41" s="154"/>
      <c r="R41" s="156"/>
      <c r="S41" s="157">
        <f t="shared" si="0"/>
        <v>110</v>
      </c>
      <c r="T41" s="158" t="s">
        <v>2678</v>
      </c>
      <c r="U41" s="160"/>
      <c r="V41" s="160" t="s">
        <v>2678</v>
      </c>
      <c r="W41" s="160"/>
      <c r="X41" s="161">
        <f t="shared" si="3"/>
        <v>0</v>
      </c>
      <c r="Y41" s="161">
        <f t="shared" si="1"/>
        <v>0</v>
      </c>
      <c r="Z41" s="161">
        <f t="shared" si="2"/>
        <v>0</v>
      </c>
      <c r="AA41" s="162" t="s">
        <v>3071</v>
      </c>
      <c r="AB41" s="118"/>
      <c r="AC41" s="118"/>
      <c r="AD41" s="118"/>
      <c r="AE41" s="118"/>
    </row>
    <row r="42" spans="1:31" ht="69.75" hidden="1" customHeight="1" x14ac:dyDescent="0.25">
      <c r="A42" s="150">
        <v>24</v>
      </c>
      <c r="B42" s="362" t="s">
        <v>1502</v>
      </c>
      <c r="C42" s="380" t="s">
        <v>2323</v>
      </c>
      <c r="D42" s="152">
        <v>68000</v>
      </c>
      <c r="E42" s="516">
        <v>11</v>
      </c>
      <c r="F42" s="412">
        <v>0.88</v>
      </c>
      <c r="G42" s="530">
        <v>0.9726027397260274</v>
      </c>
      <c r="H42" s="153"/>
      <c r="I42" s="154"/>
      <c r="J42" s="154"/>
      <c r="K42" s="154"/>
      <c r="L42" s="154"/>
      <c r="M42" s="156"/>
      <c r="N42" s="154"/>
      <c r="O42" s="154"/>
      <c r="P42" s="154"/>
      <c r="Q42" s="154"/>
      <c r="R42" s="156"/>
      <c r="S42" s="157">
        <f t="shared" si="0"/>
        <v>140</v>
      </c>
      <c r="T42" s="158" t="s">
        <v>2678</v>
      </c>
      <c r="U42" s="160"/>
      <c r="V42" s="160"/>
      <c r="W42" s="160"/>
      <c r="X42" s="161">
        <f t="shared" si="3"/>
        <v>0</v>
      </c>
      <c r="Y42" s="161">
        <f t="shared" si="1"/>
        <v>0</v>
      </c>
      <c r="Z42" s="161">
        <f t="shared" si="2"/>
        <v>0</v>
      </c>
      <c r="AA42" s="162" t="s">
        <v>3400</v>
      </c>
      <c r="AB42" s="118"/>
      <c r="AC42" s="118"/>
      <c r="AD42" s="118"/>
      <c r="AE42" s="118"/>
    </row>
    <row r="43" spans="1:31" ht="69.75" hidden="1" customHeight="1" x14ac:dyDescent="0.25">
      <c r="A43" s="150">
        <v>25</v>
      </c>
      <c r="B43" s="362" t="s">
        <v>2043</v>
      </c>
      <c r="C43" s="380" t="s">
        <v>2039</v>
      </c>
      <c r="D43" s="152">
        <f>'B1-RESPONSE &amp; B2-REPAIR'!D222</f>
        <v>7100</v>
      </c>
      <c r="E43" s="516">
        <v>10</v>
      </c>
      <c r="F43" s="412">
        <v>0.95</v>
      </c>
      <c r="G43" s="530">
        <v>0.9726027397260274</v>
      </c>
      <c r="H43" s="153">
        <v>0.89589041095890409</v>
      </c>
      <c r="I43" s="154">
        <v>0.81095890410958904</v>
      </c>
      <c r="J43" s="154"/>
      <c r="K43" s="154"/>
      <c r="L43" s="154"/>
      <c r="M43" s="156"/>
      <c r="N43" s="154"/>
      <c r="O43" s="154"/>
      <c r="P43" s="154"/>
      <c r="Q43" s="154"/>
      <c r="R43" s="156"/>
      <c r="S43" s="157">
        <f t="shared" si="0"/>
        <v>20</v>
      </c>
      <c r="T43" s="158"/>
      <c r="U43" s="159"/>
      <c r="V43" s="160" t="s">
        <v>2678</v>
      </c>
      <c r="W43" s="160"/>
      <c r="X43" s="161">
        <f t="shared" si="3"/>
        <v>0</v>
      </c>
      <c r="Y43" s="161">
        <f t="shared" si="1"/>
        <v>0</v>
      </c>
      <c r="Z43" s="161">
        <f t="shared" si="2"/>
        <v>0</v>
      </c>
      <c r="AA43" s="162" t="s">
        <v>3071</v>
      </c>
      <c r="AB43" s="118"/>
      <c r="AC43" s="118"/>
      <c r="AD43" s="118"/>
      <c r="AE43" s="118"/>
    </row>
    <row r="44" spans="1:31" ht="69.75" hidden="1" customHeight="1" x14ac:dyDescent="0.25">
      <c r="A44" s="150">
        <v>26</v>
      </c>
      <c r="B44" s="151"/>
      <c r="C44" s="385"/>
      <c r="D44" s="152"/>
      <c r="E44" s="516"/>
      <c r="F44" s="412"/>
      <c r="G44" s="534"/>
      <c r="H44" s="153"/>
      <c r="I44" s="154"/>
      <c r="J44" s="154"/>
      <c r="K44" s="154"/>
      <c r="L44" s="154"/>
      <c r="M44" s="156"/>
      <c r="N44" s="154"/>
      <c r="O44" s="154"/>
      <c r="P44" s="154"/>
      <c r="Q44" s="154"/>
      <c r="R44" s="156"/>
      <c r="S44" s="157"/>
      <c r="T44" s="158"/>
      <c r="U44" s="160"/>
      <c r="V44" s="160"/>
      <c r="W44" s="160"/>
      <c r="X44" s="161"/>
      <c r="Y44" s="161"/>
      <c r="Z44" s="161"/>
      <c r="AA44" s="162"/>
      <c r="AB44" s="118"/>
      <c r="AC44" s="118"/>
      <c r="AD44" s="164"/>
      <c r="AE44" s="118"/>
    </row>
    <row r="45" spans="1:31" ht="69.75" hidden="1" customHeight="1" x14ac:dyDescent="0.25">
      <c r="A45" s="150">
        <v>27</v>
      </c>
      <c r="B45" s="151"/>
      <c r="C45" s="385"/>
      <c r="D45" s="152"/>
      <c r="E45" s="516"/>
      <c r="F45" s="412"/>
      <c r="G45" s="535"/>
      <c r="H45" s="153"/>
      <c r="I45" s="154"/>
      <c r="J45" s="154"/>
      <c r="K45" s="154"/>
      <c r="L45" s="154"/>
      <c r="M45" s="156"/>
      <c r="N45" s="154"/>
      <c r="O45" s="154"/>
      <c r="P45" s="154"/>
      <c r="Q45" s="154"/>
      <c r="R45" s="156"/>
      <c r="S45" s="157"/>
      <c r="T45" s="158"/>
      <c r="U45" s="160"/>
      <c r="V45" s="160"/>
      <c r="W45" s="160"/>
      <c r="X45" s="161"/>
      <c r="Y45" s="161"/>
      <c r="Z45" s="161"/>
      <c r="AA45" s="162"/>
      <c r="AB45" s="118"/>
      <c r="AC45" s="118"/>
      <c r="AD45" s="118"/>
      <c r="AE45" s="118"/>
    </row>
    <row r="46" spans="1:31" ht="69.75" hidden="1" customHeight="1" x14ac:dyDescent="0.25">
      <c r="A46" s="150">
        <v>28</v>
      </c>
      <c r="B46" s="151"/>
      <c r="C46" s="385"/>
      <c r="D46" s="152"/>
      <c r="E46" s="516"/>
      <c r="F46" s="412"/>
      <c r="G46" s="535"/>
      <c r="H46" s="153"/>
      <c r="I46" s="154"/>
      <c r="J46" s="154"/>
      <c r="K46" s="154"/>
      <c r="L46" s="154"/>
      <c r="M46" s="156"/>
      <c r="N46" s="154"/>
      <c r="O46" s="154"/>
      <c r="P46" s="154"/>
      <c r="Q46" s="154"/>
      <c r="R46" s="156"/>
      <c r="S46" s="157"/>
      <c r="T46" s="158"/>
      <c r="U46" s="160"/>
      <c r="V46" s="160"/>
      <c r="W46" s="160"/>
      <c r="X46" s="161"/>
      <c r="Y46" s="161"/>
      <c r="Z46" s="161"/>
      <c r="AA46" s="162"/>
      <c r="AB46" s="118"/>
      <c r="AC46" s="118"/>
      <c r="AD46" s="118"/>
      <c r="AE46" s="118"/>
    </row>
    <row r="47" spans="1:31" ht="69.75" hidden="1" customHeight="1" x14ac:dyDescent="0.25">
      <c r="A47" s="150">
        <v>29</v>
      </c>
      <c r="B47" s="151"/>
      <c r="C47" s="385"/>
      <c r="D47" s="152"/>
      <c r="E47" s="516"/>
      <c r="F47" s="412"/>
      <c r="G47" s="535"/>
      <c r="H47" s="163"/>
      <c r="I47" s="154"/>
      <c r="J47" s="154"/>
      <c r="K47" s="154"/>
      <c r="L47" s="154"/>
      <c r="M47" s="156"/>
      <c r="N47" s="154"/>
      <c r="O47" s="154"/>
      <c r="P47" s="154"/>
      <c r="Q47" s="154"/>
      <c r="R47" s="156"/>
      <c r="S47" s="157"/>
      <c r="T47" s="160"/>
      <c r="U47" s="160"/>
      <c r="V47" s="160"/>
      <c r="W47" s="160"/>
      <c r="X47" s="161"/>
      <c r="Y47" s="161"/>
      <c r="Z47" s="161"/>
      <c r="AA47" s="162"/>
      <c r="AB47" s="118"/>
      <c r="AC47" s="118"/>
      <c r="AD47" s="118"/>
      <c r="AE47" s="118"/>
    </row>
    <row r="48" spans="1:31" ht="69.75" hidden="1" customHeight="1" x14ac:dyDescent="0.25">
      <c r="A48" s="150">
        <v>30</v>
      </c>
      <c r="B48" s="151"/>
      <c r="C48" s="385"/>
      <c r="D48" s="152"/>
      <c r="E48" s="516"/>
      <c r="F48" s="412"/>
      <c r="G48" s="535"/>
      <c r="H48" s="163"/>
      <c r="I48" s="154"/>
      <c r="J48" s="154"/>
      <c r="K48" s="154"/>
      <c r="L48" s="154"/>
      <c r="M48" s="156"/>
      <c r="N48" s="154"/>
      <c r="O48" s="154"/>
      <c r="P48" s="154"/>
      <c r="Q48" s="154"/>
      <c r="R48" s="156"/>
      <c r="S48" s="157"/>
      <c r="T48" s="160"/>
      <c r="U48" s="160"/>
      <c r="V48" s="160"/>
      <c r="W48" s="160"/>
      <c r="X48" s="161"/>
      <c r="Y48" s="161"/>
      <c r="Z48" s="161"/>
      <c r="AA48" s="162"/>
      <c r="AB48" s="118"/>
      <c r="AC48" s="118"/>
      <c r="AD48" s="118"/>
      <c r="AE48" s="118"/>
    </row>
    <row r="49" spans="1:31" ht="69.75" hidden="1" customHeight="1" x14ac:dyDescent="0.25">
      <c r="A49" s="150">
        <v>31</v>
      </c>
      <c r="B49" s="151"/>
      <c r="C49" s="385"/>
      <c r="D49" s="152"/>
      <c r="E49" s="516"/>
      <c r="F49" s="412"/>
      <c r="G49" s="535"/>
      <c r="H49" s="163"/>
      <c r="I49" s="154"/>
      <c r="J49" s="154"/>
      <c r="K49" s="154"/>
      <c r="L49" s="154"/>
      <c r="M49" s="156"/>
      <c r="N49" s="154"/>
      <c r="O49" s="154"/>
      <c r="P49" s="154"/>
      <c r="Q49" s="154"/>
      <c r="R49" s="156"/>
      <c r="S49" s="157"/>
      <c r="T49" s="160"/>
      <c r="U49" s="160"/>
      <c r="V49" s="160"/>
      <c r="W49" s="160"/>
      <c r="X49" s="161"/>
      <c r="Y49" s="161"/>
      <c r="Z49" s="161"/>
      <c r="AA49" s="162"/>
      <c r="AB49" s="118"/>
      <c r="AC49" s="118"/>
      <c r="AD49" s="118"/>
      <c r="AE49" s="118"/>
    </row>
    <row r="50" spans="1:31" ht="69.75" hidden="1" customHeight="1" x14ac:dyDescent="0.25">
      <c r="A50" s="150">
        <v>32</v>
      </c>
      <c r="B50" s="151"/>
      <c r="C50" s="385"/>
      <c r="D50" s="152"/>
      <c r="E50" s="516"/>
      <c r="F50" s="412"/>
      <c r="G50" s="535"/>
      <c r="H50" s="163"/>
      <c r="I50" s="154"/>
      <c r="J50" s="154"/>
      <c r="K50" s="154"/>
      <c r="L50" s="154"/>
      <c r="M50" s="156"/>
      <c r="N50" s="154"/>
      <c r="O50" s="154"/>
      <c r="P50" s="154"/>
      <c r="Q50" s="154"/>
      <c r="R50" s="156"/>
      <c r="S50" s="157"/>
      <c r="T50" s="160"/>
      <c r="U50" s="159"/>
      <c r="V50" s="160"/>
      <c r="W50" s="160"/>
      <c r="X50" s="161"/>
      <c r="Y50" s="161"/>
      <c r="Z50" s="161"/>
      <c r="AA50" s="162"/>
      <c r="AB50" s="118"/>
      <c r="AC50" s="118"/>
      <c r="AD50" s="118"/>
      <c r="AE50" s="118"/>
    </row>
    <row r="51" spans="1:31" ht="69.75" hidden="1" customHeight="1" x14ac:dyDescent="0.25">
      <c r="A51" s="150">
        <v>33</v>
      </c>
      <c r="B51" s="151"/>
      <c r="C51" s="385"/>
      <c r="D51" s="152"/>
      <c r="E51" s="516"/>
      <c r="F51" s="412"/>
      <c r="G51" s="535"/>
      <c r="H51" s="163"/>
      <c r="I51" s="154"/>
      <c r="J51" s="154"/>
      <c r="K51" s="154"/>
      <c r="L51" s="154"/>
      <c r="M51" s="156"/>
      <c r="N51" s="154"/>
      <c r="O51" s="154"/>
      <c r="P51" s="154"/>
      <c r="Q51" s="154"/>
      <c r="R51" s="156"/>
      <c r="S51" s="157"/>
      <c r="T51" s="160"/>
      <c r="U51" s="160"/>
      <c r="V51" s="160"/>
      <c r="W51" s="160"/>
      <c r="X51" s="161"/>
      <c r="Y51" s="161"/>
      <c r="Z51" s="161"/>
      <c r="AA51" s="162"/>
      <c r="AB51" s="118"/>
      <c r="AC51" s="118"/>
      <c r="AD51" s="118"/>
      <c r="AE51" s="118"/>
    </row>
    <row r="52" spans="1:31" ht="69.75" hidden="1" customHeight="1" x14ac:dyDescent="0.25">
      <c r="A52" s="150">
        <v>34</v>
      </c>
      <c r="B52" s="151"/>
      <c r="C52" s="385"/>
      <c r="D52" s="152"/>
      <c r="E52" s="516"/>
      <c r="F52" s="412"/>
      <c r="G52" s="535"/>
      <c r="H52" s="163"/>
      <c r="I52" s="154"/>
      <c r="J52" s="154"/>
      <c r="K52" s="154"/>
      <c r="L52" s="154"/>
      <c r="M52" s="156"/>
      <c r="N52" s="154"/>
      <c r="O52" s="154"/>
      <c r="P52" s="154"/>
      <c r="Q52" s="154"/>
      <c r="R52" s="156"/>
      <c r="S52" s="157"/>
      <c r="T52" s="160"/>
      <c r="U52" s="160"/>
      <c r="V52" s="160"/>
      <c r="W52" s="160"/>
      <c r="X52" s="161"/>
      <c r="Y52" s="161"/>
      <c r="Z52" s="161"/>
      <c r="AA52" s="162"/>
      <c r="AB52" s="118"/>
      <c r="AC52" s="118"/>
      <c r="AD52" s="118"/>
      <c r="AE52" s="118"/>
    </row>
    <row r="53" spans="1:31" ht="69.75" hidden="1" customHeight="1" x14ac:dyDescent="0.25">
      <c r="A53" s="150">
        <v>35</v>
      </c>
      <c r="B53" s="151"/>
      <c r="C53" s="385"/>
      <c r="D53" s="152"/>
      <c r="E53" s="516"/>
      <c r="F53" s="412"/>
      <c r="G53" s="535"/>
      <c r="H53" s="163"/>
      <c r="I53" s="154"/>
      <c r="J53" s="154"/>
      <c r="K53" s="154"/>
      <c r="L53" s="154"/>
      <c r="M53" s="156"/>
      <c r="N53" s="154"/>
      <c r="O53" s="154"/>
      <c r="P53" s="154"/>
      <c r="Q53" s="154"/>
      <c r="R53" s="156"/>
      <c r="S53" s="157"/>
      <c r="T53" s="160"/>
      <c r="U53" s="160"/>
      <c r="V53" s="160"/>
      <c r="W53" s="160"/>
      <c r="X53" s="161"/>
      <c r="Y53" s="161"/>
      <c r="Z53" s="161"/>
      <c r="AA53" s="162"/>
      <c r="AB53" s="118"/>
      <c r="AC53" s="118"/>
      <c r="AD53" s="118"/>
      <c r="AE53" s="118"/>
    </row>
    <row r="54" spans="1:31" ht="69.75" hidden="1" customHeight="1" x14ac:dyDescent="0.25">
      <c r="A54" s="150">
        <v>36</v>
      </c>
      <c r="B54" s="151"/>
      <c r="C54" s="385"/>
      <c r="D54" s="152"/>
      <c r="E54" s="516"/>
      <c r="F54" s="412"/>
      <c r="G54" s="535"/>
      <c r="H54" s="163"/>
      <c r="I54" s="154"/>
      <c r="J54" s="154"/>
      <c r="K54" s="154"/>
      <c r="L54" s="154"/>
      <c r="M54" s="156"/>
      <c r="N54" s="154"/>
      <c r="O54" s="154"/>
      <c r="P54" s="154"/>
      <c r="Q54" s="154"/>
      <c r="R54" s="156"/>
      <c r="S54" s="157"/>
      <c r="T54" s="160"/>
      <c r="U54" s="159"/>
      <c r="V54" s="160"/>
      <c r="W54" s="160"/>
      <c r="X54" s="161"/>
      <c r="Y54" s="161"/>
      <c r="Z54" s="161"/>
      <c r="AA54" s="162"/>
      <c r="AB54" s="118"/>
      <c r="AC54" s="118"/>
      <c r="AD54" s="118"/>
      <c r="AE54" s="118"/>
    </row>
    <row r="55" spans="1:31" ht="69.75" hidden="1" customHeight="1" x14ac:dyDescent="0.25">
      <c r="A55" s="150">
        <v>37</v>
      </c>
      <c r="B55" s="151"/>
      <c r="C55" s="385"/>
      <c r="D55" s="152"/>
      <c r="E55" s="516"/>
      <c r="F55" s="412"/>
      <c r="G55" s="535"/>
      <c r="H55" s="163"/>
      <c r="I55" s="154"/>
      <c r="J55" s="154"/>
      <c r="K55" s="154"/>
      <c r="L55" s="154"/>
      <c r="M55" s="156"/>
      <c r="N55" s="154"/>
      <c r="O55" s="154"/>
      <c r="P55" s="154"/>
      <c r="Q55" s="154"/>
      <c r="R55" s="156"/>
      <c r="S55" s="157"/>
      <c r="T55" s="160"/>
      <c r="U55" s="159"/>
      <c r="V55" s="160"/>
      <c r="W55" s="160"/>
      <c r="X55" s="161"/>
      <c r="Y55" s="161"/>
      <c r="Z55" s="161"/>
      <c r="AA55" s="162"/>
      <c r="AB55" s="118"/>
      <c r="AC55" s="118"/>
      <c r="AD55" s="118"/>
      <c r="AE55" s="118"/>
    </row>
    <row r="56" spans="1:31" ht="69.75" hidden="1" customHeight="1" x14ac:dyDescent="0.25">
      <c r="A56" s="150">
        <v>38</v>
      </c>
      <c r="B56" s="151"/>
      <c r="C56" s="385"/>
      <c r="D56" s="152"/>
      <c r="E56" s="516"/>
      <c r="F56" s="412"/>
      <c r="G56" s="535"/>
      <c r="H56" s="163"/>
      <c r="I56" s="156"/>
      <c r="J56" s="154"/>
      <c r="K56" s="154"/>
      <c r="L56" s="154"/>
      <c r="M56" s="156"/>
      <c r="N56" s="154"/>
      <c r="O56" s="154"/>
      <c r="P56" s="154"/>
      <c r="Q56" s="154"/>
      <c r="R56" s="156"/>
      <c r="S56" s="157"/>
      <c r="T56" s="160"/>
      <c r="U56" s="160"/>
      <c r="V56" s="160"/>
      <c r="W56" s="160"/>
      <c r="X56" s="161"/>
      <c r="Y56" s="161"/>
      <c r="Z56" s="161"/>
      <c r="AA56" s="162"/>
      <c r="AB56" s="118"/>
      <c r="AC56" s="118"/>
      <c r="AD56" s="118"/>
      <c r="AE56" s="118"/>
    </row>
    <row r="57" spans="1:31" ht="69.75" hidden="1" customHeight="1" x14ac:dyDescent="0.25">
      <c r="A57" s="150">
        <v>39</v>
      </c>
      <c r="B57" s="151"/>
      <c r="C57" s="385"/>
      <c r="D57" s="152"/>
      <c r="E57" s="516"/>
      <c r="F57" s="412"/>
      <c r="G57" s="535"/>
      <c r="H57" s="163"/>
      <c r="I57" s="156"/>
      <c r="J57" s="154"/>
      <c r="K57" s="154"/>
      <c r="L57" s="154"/>
      <c r="M57" s="156"/>
      <c r="N57" s="154"/>
      <c r="O57" s="154"/>
      <c r="P57" s="154"/>
      <c r="Q57" s="154"/>
      <c r="R57" s="156"/>
      <c r="S57" s="157"/>
      <c r="T57" s="160"/>
      <c r="U57" s="160"/>
      <c r="V57" s="160"/>
      <c r="W57" s="160"/>
      <c r="X57" s="161"/>
      <c r="Y57" s="161"/>
      <c r="Z57" s="161"/>
      <c r="AA57" s="162"/>
      <c r="AB57" s="118"/>
      <c r="AC57" s="118"/>
      <c r="AD57" s="118"/>
      <c r="AE57" s="118"/>
    </row>
    <row r="58" spans="1:31" ht="69.75" hidden="1" customHeight="1" x14ac:dyDescent="0.25">
      <c r="A58" s="150">
        <v>40</v>
      </c>
      <c r="B58" s="151"/>
      <c r="C58" s="385"/>
      <c r="D58" s="152"/>
      <c r="E58" s="516"/>
      <c r="F58" s="412"/>
      <c r="G58" s="535"/>
      <c r="H58" s="163"/>
      <c r="I58" s="156"/>
      <c r="J58" s="154"/>
      <c r="K58" s="154"/>
      <c r="L58" s="154"/>
      <c r="M58" s="156"/>
      <c r="N58" s="154"/>
      <c r="O58" s="154"/>
      <c r="P58" s="154"/>
      <c r="Q58" s="154"/>
      <c r="R58" s="156"/>
      <c r="S58" s="157"/>
      <c r="T58" s="160"/>
      <c r="U58" s="160"/>
      <c r="V58" s="160"/>
      <c r="W58" s="160"/>
      <c r="X58" s="161"/>
      <c r="Y58" s="161"/>
      <c r="Z58" s="161"/>
      <c r="AA58" s="162"/>
      <c r="AB58" s="118"/>
      <c r="AC58" s="118"/>
      <c r="AD58" s="118"/>
      <c r="AE58" s="118"/>
    </row>
    <row r="59" spans="1:31" ht="69.75" hidden="1" customHeight="1" x14ac:dyDescent="0.25">
      <c r="A59" s="150">
        <v>41</v>
      </c>
      <c r="B59" s="151"/>
      <c r="C59" s="385"/>
      <c r="D59" s="152"/>
      <c r="E59" s="516"/>
      <c r="F59" s="412"/>
      <c r="G59" s="535"/>
      <c r="H59" s="163"/>
      <c r="I59" s="156"/>
      <c r="J59" s="154"/>
      <c r="K59" s="154"/>
      <c r="L59" s="154"/>
      <c r="M59" s="156"/>
      <c r="N59" s="154"/>
      <c r="O59" s="154"/>
      <c r="P59" s="154"/>
      <c r="Q59" s="154"/>
      <c r="R59" s="156"/>
      <c r="S59" s="157"/>
      <c r="T59" s="160"/>
      <c r="U59" s="160"/>
      <c r="V59" s="160"/>
      <c r="W59" s="160"/>
      <c r="X59" s="161"/>
      <c r="Y59" s="161"/>
      <c r="Z59" s="161"/>
      <c r="AA59" s="162"/>
      <c r="AB59" s="118"/>
      <c r="AC59" s="118"/>
      <c r="AD59" s="118"/>
      <c r="AE59" s="118"/>
    </row>
    <row r="60" spans="1:31" ht="69.75" hidden="1" customHeight="1" x14ac:dyDescent="0.25">
      <c r="A60" s="150">
        <v>42</v>
      </c>
      <c r="B60" s="151"/>
      <c r="C60" s="385"/>
      <c r="D60" s="152"/>
      <c r="E60" s="516"/>
      <c r="F60" s="412"/>
      <c r="G60" s="535"/>
      <c r="H60" s="163"/>
      <c r="I60" s="156"/>
      <c r="J60" s="154"/>
      <c r="K60" s="154"/>
      <c r="L60" s="154"/>
      <c r="M60" s="156"/>
      <c r="N60" s="154"/>
      <c r="O60" s="154"/>
      <c r="P60" s="154"/>
      <c r="Q60" s="154"/>
      <c r="R60" s="156"/>
      <c r="S60" s="157"/>
      <c r="T60" s="160"/>
      <c r="U60" s="160"/>
      <c r="V60" s="160"/>
      <c r="W60" s="160"/>
      <c r="X60" s="161"/>
      <c r="Y60" s="161"/>
      <c r="Z60" s="161"/>
      <c r="AA60" s="162"/>
      <c r="AB60" s="118"/>
      <c r="AC60" s="118"/>
      <c r="AD60" s="118"/>
      <c r="AE60" s="118"/>
    </row>
    <row r="61" spans="1:31" ht="69.75" hidden="1" customHeight="1" x14ac:dyDescent="0.25">
      <c r="A61" s="150">
        <v>43</v>
      </c>
      <c r="B61" s="151"/>
      <c r="C61" s="385"/>
      <c r="D61" s="152"/>
      <c r="E61" s="516"/>
      <c r="F61" s="412"/>
      <c r="G61" s="535"/>
      <c r="H61" s="163"/>
      <c r="I61" s="156"/>
      <c r="J61" s="154"/>
      <c r="K61" s="154"/>
      <c r="L61" s="154"/>
      <c r="M61" s="154"/>
      <c r="N61" s="154"/>
      <c r="O61" s="154"/>
      <c r="P61" s="154"/>
      <c r="Q61" s="154"/>
      <c r="R61" s="156"/>
      <c r="S61" s="157"/>
      <c r="T61" s="160"/>
      <c r="U61" s="160"/>
      <c r="V61" s="160"/>
      <c r="W61" s="160"/>
      <c r="X61" s="161"/>
      <c r="Y61" s="161"/>
      <c r="Z61" s="161"/>
      <c r="AA61" s="162"/>
      <c r="AB61" s="118"/>
      <c r="AC61" s="118"/>
      <c r="AD61" s="118"/>
      <c r="AE61" s="118"/>
    </row>
    <row r="62" spans="1:31" ht="69.75" hidden="1" customHeight="1" x14ac:dyDescent="0.25">
      <c r="A62" s="150">
        <v>44</v>
      </c>
      <c r="B62" s="151"/>
      <c r="C62" s="385"/>
      <c r="D62" s="152"/>
      <c r="E62" s="516"/>
      <c r="F62" s="412"/>
      <c r="G62" s="535"/>
      <c r="H62" s="163"/>
      <c r="I62" s="156"/>
      <c r="J62" s="154"/>
      <c r="K62" s="154"/>
      <c r="L62" s="154"/>
      <c r="M62" s="154"/>
      <c r="N62" s="154"/>
      <c r="O62" s="154"/>
      <c r="P62" s="154"/>
      <c r="Q62" s="154"/>
      <c r="R62" s="156"/>
      <c r="S62" s="157"/>
      <c r="T62" s="160"/>
      <c r="U62" s="160"/>
      <c r="V62" s="160"/>
      <c r="W62" s="160"/>
      <c r="X62" s="161"/>
      <c r="Y62" s="161"/>
      <c r="Z62" s="161"/>
      <c r="AA62" s="162"/>
      <c r="AB62" s="118"/>
      <c r="AC62" s="118"/>
      <c r="AD62" s="118"/>
      <c r="AE62" s="118"/>
    </row>
    <row r="63" spans="1:31" ht="69.75" hidden="1" customHeight="1" x14ac:dyDescent="0.25">
      <c r="A63" s="150">
        <v>45</v>
      </c>
      <c r="B63" s="151"/>
      <c r="C63" s="385"/>
      <c r="D63" s="152"/>
      <c r="E63" s="516"/>
      <c r="F63" s="412"/>
      <c r="G63" s="535"/>
      <c r="H63" s="163"/>
      <c r="I63" s="154"/>
      <c r="J63" s="154"/>
      <c r="K63" s="154"/>
      <c r="L63" s="154"/>
      <c r="M63" s="154"/>
      <c r="N63" s="154"/>
      <c r="O63" s="154"/>
      <c r="P63" s="154"/>
      <c r="Q63" s="154"/>
      <c r="R63" s="156"/>
      <c r="S63" s="157"/>
      <c r="T63" s="160"/>
      <c r="U63" s="159"/>
      <c r="V63" s="160"/>
      <c r="W63" s="160"/>
      <c r="X63" s="161"/>
      <c r="Y63" s="161"/>
      <c r="Z63" s="161"/>
      <c r="AA63" s="162"/>
      <c r="AB63" s="118"/>
      <c r="AC63" s="118"/>
      <c r="AD63" s="118"/>
      <c r="AE63" s="118"/>
    </row>
    <row r="64" spans="1:31" ht="69.75" hidden="1" customHeight="1" x14ac:dyDescent="0.25">
      <c r="A64" s="150">
        <v>46</v>
      </c>
      <c r="B64" s="151"/>
      <c r="C64" s="385"/>
      <c r="D64" s="152"/>
      <c r="E64" s="516"/>
      <c r="F64" s="412"/>
      <c r="G64" s="535"/>
      <c r="H64" s="163"/>
      <c r="I64" s="154"/>
      <c r="J64" s="154"/>
      <c r="K64" s="154"/>
      <c r="L64" s="154"/>
      <c r="M64" s="154"/>
      <c r="N64" s="154"/>
      <c r="O64" s="154"/>
      <c r="P64" s="154"/>
      <c r="Q64" s="154"/>
      <c r="R64" s="156"/>
      <c r="S64" s="157"/>
      <c r="T64" s="160"/>
      <c r="U64" s="159"/>
      <c r="V64" s="160"/>
      <c r="W64" s="160"/>
      <c r="X64" s="161"/>
      <c r="Y64" s="161"/>
      <c r="Z64" s="161"/>
      <c r="AA64" s="162"/>
      <c r="AB64" s="118"/>
      <c r="AC64" s="118"/>
      <c r="AD64" s="118"/>
      <c r="AE64" s="118"/>
    </row>
    <row r="65" spans="1:31" ht="69.75" hidden="1" customHeight="1" x14ac:dyDescent="0.25">
      <c r="A65" s="150">
        <v>47</v>
      </c>
      <c r="B65" s="151"/>
      <c r="C65" s="385"/>
      <c r="D65" s="152"/>
      <c r="E65" s="516"/>
      <c r="F65" s="412"/>
      <c r="G65" s="535"/>
      <c r="H65" s="163"/>
      <c r="I65" s="156"/>
      <c r="J65" s="154"/>
      <c r="K65" s="154"/>
      <c r="L65" s="154"/>
      <c r="M65" s="154"/>
      <c r="N65" s="154"/>
      <c r="O65" s="154"/>
      <c r="P65" s="154"/>
      <c r="Q65" s="154"/>
      <c r="R65" s="156"/>
      <c r="S65" s="157"/>
      <c r="T65" s="160"/>
      <c r="U65" s="159"/>
      <c r="V65" s="160"/>
      <c r="W65" s="160"/>
      <c r="X65" s="161"/>
      <c r="Y65" s="161"/>
      <c r="Z65" s="161"/>
      <c r="AA65" s="162"/>
      <c r="AB65" s="118"/>
      <c r="AC65" s="118"/>
      <c r="AD65" s="118"/>
      <c r="AE65" s="118"/>
    </row>
    <row r="66" spans="1:31" ht="69.75" hidden="1" customHeight="1" x14ac:dyDescent="0.25">
      <c r="A66" s="150">
        <v>48</v>
      </c>
      <c r="B66" s="151"/>
      <c r="C66" s="385"/>
      <c r="D66" s="152"/>
      <c r="E66" s="516"/>
      <c r="F66" s="412"/>
      <c r="G66" s="535"/>
      <c r="H66" s="163"/>
      <c r="I66" s="154"/>
      <c r="J66" s="154"/>
      <c r="K66" s="154"/>
      <c r="L66" s="154"/>
      <c r="M66" s="154"/>
      <c r="N66" s="154"/>
      <c r="O66" s="154"/>
      <c r="P66" s="154"/>
      <c r="Q66" s="154"/>
      <c r="R66" s="156"/>
      <c r="S66" s="157"/>
      <c r="T66" s="160"/>
      <c r="U66" s="159"/>
      <c r="V66" s="160"/>
      <c r="W66" s="160"/>
      <c r="X66" s="161"/>
      <c r="Y66" s="161"/>
      <c r="Z66" s="161"/>
      <c r="AA66" s="162"/>
      <c r="AB66" s="118"/>
      <c r="AC66" s="118"/>
      <c r="AD66" s="118"/>
      <c r="AE66" s="118"/>
    </row>
    <row r="67" spans="1:31" ht="69.75" hidden="1" customHeight="1" x14ac:dyDescent="0.25">
      <c r="A67" s="150">
        <v>49</v>
      </c>
      <c r="B67" s="151"/>
      <c r="C67" s="385"/>
      <c r="D67" s="152"/>
      <c r="E67" s="516"/>
      <c r="F67" s="412"/>
      <c r="G67" s="535"/>
      <c r="H67" s="163"/>
      <c r="I67" s="154"/>
      <c r="J67" s="154"/>
      <c r="K67" s="154"/>
      <c r="L67" s="154"/>
      <c r="M67" s="154"/>
      <c r="N67" s="154"/>
      <c r="O67" s="154"/>
      <c r="P67" s="154"/>
      <c r="Q67" s="154"/>
      <c r="R67" s="156"/>
      <c r="S67" s="157"/>
      <c r="T67" s="160"/>
      <c r="U67" s="159"/>
      <c r="V67" s="160"/>
      <c r="W67" s="160"/>
      <c r="X67" s="161"/>
      <c r="Y67" s="161"/>
      <c r="Z67" s="161"/>
      <c r="AA67" s="162"/>
      <c r="AB67" s="118"/>
      <c r="AC67" s="118"/>
      <c r="AD67" s="118"/>
      <c r="AE67" s="118"/>
    </row>
    <row r="68" spans="1:31" ht="69.75" hidden="1" customHeight="1" x14ac:dyDescent="0.25">
      <c r="A68" s="150">
        <v>50</v>
      </c>
      <c r="B68" s="151"/>
      <c r="C68" s="385"/>
      <c r="D68" s="152"/>
      <c r="E68" s="516"/>
      <c r="F68" s="412"/>
      <c r="G68" s="535"/>
      <c r="H68" s="163"/>
      <c r="I68" s="154"/>
      <c r="J68" s="154"/>
      <c r="K68" s="154"/>
      <c r="L68" s="154"/>
      <c r="M68" s="154"/>
      <c r="N68" s="154"/>
      <c r="O68" s="154"/>
      <c r="P68" s="154"/>
      <c r="Q68" s="154"/>
      <c r="R68" s="156"/>
      <c r="S68" s="157"/>
      <c r="T68" s="160"/>
      <c r="U68" s="159"/>
      <c r="V68" s="160"/>
      <c r="W68" s="160"/>
      <c r="X68" s="161"/>
      <c r="Y68" s="161"/>
      <c r="Z68" s="161"/>
      <c r="AA68" s="162"/>
      <c r="AB68" s="118"/>
      <c r="AC68" s="118"/>
      <c r="AD68" s="118"/>
      <c r="AE68" s="118"/>
    </row>
    <row r="69" spans="1:31" ht="69.75" hidden="1" customHeight="1" x14ac:dyDescent="0.25">
      <c r="A69" s="150">
        <v>51</v>
      </c>
      <c r="B69" s="151"/>
      <c r="C69" s="385"/>
      <c r="D69" s="152"/>
      <c r="E69" s="516"/>
      <c r="F69" s="412"/>
      <c r="G69" s="535"/>
      <c r="H69" s="163"/>
      <c r="I69" s="154"/>
      <c r="J69" s="154"/>
      <c r="K69" s="154"/>
      <c r="L69" s="154"/>
      <c r="M69" s="154"/>
      <c r="N69" s="154"/>
      <c r="O69" s="154"/>
      <c r="P69" s="154"/>
      <c r="Q69" s="154"/>
      <c r="R69" s="156"/>
      <c r="S69" s="157"/>
      <c r="T69" s="160"/>
      <c r="U69" s="159"/>
      <c r="V69" s="160"/>
      <c r="W69" s="160"/>
      <c r="X69" s="161"/>
      <c r="Y69" s="161"/>
      <c r="Z69" s="161"/>
      <c r="AA69" s="162"/>
      <c r="AB69" s="118"/>
      <c r="AC69" s="118"/>
      <c r="AD69" s="118"/>
      <c r="AE69" s="118"/>
    </row>
    <row r="70" spans="1:31" ht="69.75" hidden="1" customHeight="1" x14ac:dyDescent="0.25">
      <c r="A70" s="150">
        <v>52</v>
      </c>
      <c r="B70" s="151"/>
      <c r="C70" s="385"/>
      <c r="D70" s="152"/>
      <c r="E70" s="516"/>
      <c r="F70" s="412"/>
      <c r="G70" s="535"/>
      <c r="H70" s="163"/>
      <c r="I70" s="154"/>
      <c r="J70" s="154"/>
      <c r="K70" s="154"/>
      <c r="L70" s="154"/>
      <c r="M70" s="154"/>
      <c r="N70" s="154"/>
      <c r="O70" s="154"/>
      <c r="P70" s="154"/>
      <c r="Q70" s="154"/>
      <c r="R70" s="156"/>
      <c r="S70" s="157"/>
      <c r="T70" s="160"/>
      <c r="U70" s="159"/>
      <c r="V70" s="160"/>
      <c r="W70" s="160"/>
      <c r="X70" s="161"/>
      <c r="Y70" s="161"/>
      <c r="Z70" s="161"/>
      <c r="AA70" s="162"/>
      <c r="AB70" s="118"/>
      <c r="AC70" s="118"/>
      <c r="AD70" s="118"/>
      <c r="AE70" s="118"/>
    </row>
    <row r="71" spans="1:31" ht="69.75" hidden="1" customHeight="1" x14ac:dyDescent="0.25">
      <c r="A71" s="150">
        <v>53</v>
      </c>
      <c r="B71" s="409"/>
      <c r="C71" s="429"/>
      <c r="D71" s="430"/>
      <c r="E71" s="523"/>
      <c r="F71" s="412"/>
      <c r="G71" s="535"/>
      <c r="H71" s="402"/>
      <c r="I71" s="403"/>
      <c r="J71" s="403"/>
      <c r="K71" s="403"/>
      <c r="L71" s="403"/>
      <c r="M71" s="403"/>
      <c r="N71" s="403"/>
      <c r="O71" s="403"/>
      <c r="P71" s="403"/>
      <c r="Q71" s="403"/>
      <c r="R71" s="404"/>
      <c r="S71" s="405"/>
      <c r="T71" s="406"/>
      <c r="U71" s="407"/>
      <c r="V71" s="406"/>
      <c r="W71" s="406"/>
      <c r="X71" s="408"/>
      <c r="Y71" s="408"/>
      <c r="Z71" s="408"/>
      <c r="AA71" s="409"/>
      <c r="AB71" s="118"/>
      <c r="AC71" s="118"/>
      <c r="AD71" s="118"/>
      <c r="AE71" s="118"/>
    </row>
    <row r="72" spans="1:31" ht="69.75" hidden="1" customHeight="1" x14ac:dyDescent="0.25">
      <c r="A72" s="150">
        <v>54</v>
      </c>
      <c r="B72" s="433" t="s">
        <v>3028</v>
      </c>
      <c r="C72" s="431" t="s">
        <v>3029</v>
      </c>
      <c r="D72" s="432">
        <v>1700</v>
      </c>
      <c r="E72" s="524">
        <v>3</v>
      </c>
      <c r="F72" s="412">
        <v>0.99</v>
      </c>
      <c r="G72" s="536">
        <v>0.98630136986301364</v>
      </c>
      <c r="H72" s="413">
        <v>0.9068493150684932</v>
      </c>
      <c r="I72" s="414">
        <v>0.89589041095890409</v>
      </c>
      <c r="J72" s="414"/>
      <c r="K72" s="414"/>
      <c r="L72" s="414"/>
      <c r="M72" s="414"/>
      <c r="N72" s="414"/>
      <c r="O72" s="414"/>
      <c r="P72" s="414"/>
      <c r="Q72" s="414"/>
      <c r="R72" s="415"/>
      <c r="S72" s="157">
        <f>ROUNDUP((D72/4999.99)*10,-1)</f>
        <v>10</v>
      </c>
      <c r="T72" s="417" t="s">
        <v>2678</v>
      </c>
      <c r="U72" s="418"/>
      <c r="V72" s="417" t="s">
        <v>2678</v>
      </c>
      <c r="W72" s="417"/>
      <c r="X72" s="161">
        <f t="shared" ref="X72:X81" si="4">IF(V72="Y",S72,0)</f>
        <v>0</v>
      </c>
      <c r="Y72" s="161">
        <f t="shared" ref="Y72:Y81" si="5">IF(W72="Y",S72*2,0)</f>
        <v>0</v>
      </c>
      <c r="Z72" s="161">
        <f t="shared" ref="Z72:Z81" si="6">X72+Y72</f>
        <v>0</v>
      </c>
      <c r="AA72" s="419" t="s">
        <v>3400</v>
      </c>
      <c r="AB72" s="118"/>
      <c r="AC72" s="118"/>
      <c r="AD72" s="118"/>
      <c r="AE72" s="118"/>
    </row>
    <row r="73" spans="1:31" ht="69.75" hidden="1" customHeight="1" x14ac:dyDescent="0.25">
      <c r="A73" s="150">
        <v>55</v>
      </c>
      <c r="B73" s="436" t="s">
        <v>3070</v>
      </c>
      <c r="C73" s="419" t="s">
        <v>896</v>
      </c>
      <c r="D73" s="432">
        <v>22500</v>
      </c>
      <c r="E73" s="524">
        <v>4</v>
      </c>
      <c r="F73" s="412">
        <v>0.99</v>
      </c>
      <c r="G73" s="530"/>
      <c r="H73" s="413">
        <v>0.9068493150684932</v>
      </c>
      <c r="I73" s="414">
        <v>0.89863013698630134</v>
      </c>
      <c r="J73" s="414"/>
      <c r="K73" s="414"/>
      <c r="L73" s="414"/>
      <c r="M73" s="414"/>
      <c r="N73" s="414"/>
      <c r="O73" s="414"/>
      <c r="P73" s="414"/>
      <c r="Q73" s="414"/>
      <c r="R73" s="415"/>
      <c r="S73" s="157">
        <f>ROUNDUP((D73/4999.99)*10,-1)</f>
        <v>50</v>
      </c>
      <c r="T73" s="417" t="s">
        <v>2678</v>
      </c>
      <c r="U73" s="418"/>
      <c r="V73" s="417" t="s">
        <v>2678</v>
      </c>
      <c r="W73" s="417"/>
      <c r="X73" s="161">
        <f t="shared" si="4"/>
        <v>0</v>
      </c>
      <c r="Y73" s="161">
        <f t="shared" si="5"/>
        <v>0</v>
      </c>
      <c r="Z73" s="161">
        <f t="shared" si="6"/>
        <v>0</v>
      </c>
      <c r="AA73" s="419" t="s">
        <v>4858</v>
      </c>
      <c r="AB73" s="118"/>
      <c r="AC73" s="118"/>
      <c r="AD73" s="118"/>
      <c r="AE73" s="118"/>
    </row>
    <row r="74" spans="1:31" ht="69.75" hidden="1" customHeight="1" x14ac:dyDescent="0.25">
      <c r="A74" s="150">
        <v>56</v>
      </c>
      <c r="B74" s="433" t="s">
        <v>3401</v>
      </c>
      <c r="C74" s="419" t="s">
        <v>3053</v>
      </c>
      <c r="D74" s="432">
        <v>19266</v>
      </c>
      <c r="E74" s="524">
        <v>3</v>
      </c>
      <c r="F74" s="412">
        <v>0.96</v>
      </c>
      <c r="G74" s="530"/>
      <c r="H74" s="413">
        <v>0.87671232876712324</v>
      </c>
      <c r="I74" s="414"/>
      <c r="J74" s="414"/>
      <c r="K74" s="414"/>
      <c r="L74" s="414"/>
      <c r="M74" s="414"/>
      <c r="N74" s="414"/>
      <c r="O74" s="414"/>
      <c r="P74" s="414"/>
      <c r="Q74" s="414"/>
      <c r="R74" s="415"/>
      <c r="S74" s="157">
        <f>ROUNDUP((D74/4999.99)*10,-1)</f>
        <v>40</v>
      </c>
      <c r="T74" s="417" t="s">
        <v>2687</v>
      </c>
      <c r="U74" s="418"/>
      <c r="V74" s="417"/>
      <c r="W74" s="417" t="s">
        <v>2678</v>
      </c>
      <c r="X74" s="161">
        <f t="shared" si="4"/>
        <v>0</v>
      </c>
      <c r="Y74" s="161">
        <f t="shared" si="5"/>
        <v>0</v>
      </c>
      <c r="Z74" s="161">
        <f t="shared" si="6"/>
        <v>0</v>
      </c>
      <c r="AA74" s="419" t="s">
        <v>3400</v>
      </c>
      <c r="AB74" s="118"/>
      <c r="AC74" s="118"/>
      <c r="AD74" s="118"/>
      <c r="AE74" s="118"/>
    </row>
    <row r="75" spans="1:31" s="420" customFormat="1" ht="69.75" hidden="1" customHeight="1" x14ac:dyDescent="0.25">
      <c r="A75" s="518">
        <v>57</v>
      </c>
      <c r="B75" s="519" t="s">
        <v>3141</v>
      </c>
      <c r="C75" s="520" t="s">
        <v>3142</v>
      </c>
      <c r="D75" s="521">
        <v>94900.44</v>
      </c>
      <c r="E75" s="525">
        <v>3</v>
      </c>
      <c r="F75" s="421">
        <v>0.99</v>
      </c>
      <c r="G75" s="537"/>
      <c r="H75" s="422">
        <v>0.92876712328767119</v>
      </c>
      <c r="I75" s="423">
        <v>0.84383561643835614</v>
      </c>
      <c r="J75" s="423"/>
      <c r="K75" s="423"/>
      <c r="L75" s="423"/>
      <c r="M75" s="423"/>
      <c r="N75" s="423"/>
      <c r="O75" s="423"/>
      <c r="P75" s="423"/>
      <c r="Q75" s="423"/>
      <c r="R75" s="424"/>
      <c r="S75" s="157">
        <f>ROUNDUP((D75/4999.99)*10,-1)</f>
        <v>190</v>
      </c>
      <c r="T75" s="425" t="s">
        <v>2687</v>
      </c>
      <c r="U75" s="426"/>
      <c r="V75" s="425"/>
      <c r="W75" s="425" t="s">
        <v>2678</v>
      </c>
      <c r="X75" s="161">
        <f t="shared" ref="X75" si="7">IF(V75="Y",S75,0)</f>
        <v>0</v>
      </c>
      <c r="Y75" s="161">
        <f t="shared" ref="Y75" si="8">IF(W75="Y",S75*2,0)</f>
        <v>0</v>
      </c>
      <c r="Z75" s="161">
        <f t="shared" ref="Z75" si="9">X75+Y75</f>
        <v>0</v>
      </c>
      <c r="AA75" s="428" t="s">
        <v>3071</v>
      </c>
      <c r="AB75" s="427"/>
      <c r="AC75" s="427"/>
      <c r="AD75" s="427"/>
      <c r="AE75" s="427"/>
    </row>
    <row r="76" spans="1:31" ht="69.75" hidden="1" customHeight="1" x14ac:dyDescent="0.25">
      <c r="A76" s="150">
        <v>58</v>
      </c>
      <c r="B76" s="433" t="s">
        <v>2744</v>
      </c>
      <c r="C76" s="437" t="s">
        <v>3104</v>
      </c>
      <c r="D76" s="434">
        <v>2400</v>
      </c>
      <c r="E76" s="526">
        <v>5</v>
      </c>
      <c r="F76" s="412">
        <v>0.95</v>
      </c>
      <c r="G76" s="530"/>
      <c r="H76" s="413">
        <v>0.93150684931506844</v>
      </c>
      <c r="I76" s="414">
        <v>0.84657534246575339</v>
      </c>
      <c r="J76" s="414"/>
      <c r="K76" s="414"/>
      <c r="L76" s="414"/>
      <c r="M76" s="414"/>
      <c r="N76" s="414"/>
      <c r="O76" s="414"/>
      <c r="P76" s="414"/>
      <c r="Q76" s="414"/>
      <c r="R76" s="415"/>
      <c r="S76" s="416">
        <f t="shared" ref="S76:S93" si="10">ROUNDUP((D76/4999.99)*10,-1)</f>
        <v>10</v>
      </c>
      <c r="T76" s="417" t="s">
        <v>2687</v>
      </c>
      <c r="U76" s="418"/>
      <c r="V76" s="417"/>
      <c r="W76" s="417" t="s">
        <v>2678</v>
      </c>
      <c r="X76" s="161">
        <f t="shared" si="4"/>
        <v>0</v>
      </c>
      <c r="Y76" s="161">
        <f t="shared" si="5"/>
        <v>0</v>
      </c>
      <c r="Z76" s="161">
        <f t="shared" si="6"/>
        <v>0</v>
      </c>
      <c r="AA76" s="419" t="s">
        <v>3071</v>
      </c>
      <c r="AB76" s="118"/>
      <c r="AC76" s="118"/>
      <c r="AD76" s="118"/>
      <c r="AE76" s="118"/>
    </row>
    <row r="77" spans="1:31" ht="69.75" hidden="1" customHeight="1" x14ac:dyDescent="0.25">
      <c r="A77" s="150">
        <v>59</v>
      </c>
      <c r="B77" s="433" t="s">
        <v>2327</v>
      </c>
      <c r="C77" s="437" t="s">
        <v>2039</v>
      </c>
      <c r="D77" s="434">
        <v>6500</v>
      </c>
      <c r="E77" s="526">
        <v>6</v>
      </c>
      <c r="F77" s="412">
        <v>0.95</v>
      </c>
      <c r="G77" s="530"/>
      <c r="H77" s="413">
        <v>0.93698630136986305</v>
      </c>
      <c r="I77" s="414">
        <v>0.852054794520548</v>
      </c>
      <c r="J77" s="414"/>
      <c r="K77" s="414"/>
      <c r="L77" s="414"/>
      <c r="M77" s="414"/>
      <c r="N77" s="414"/>
      <c r="O77" s="414"/>
      <c r="P77" s="414"/>
      <c r="Q77" s="414"/>
      <c r="R77" s="415"/>
      <c r="S77" s="416">
        <f t="shared" si="10"/>
        <v>20</v>
      </c>
      <c r="T77" s="417" t="s">
        <v>2687</v>
      </c>
      <c r="U77" s="418"/>
      <c r="V77" s="417"/>
      <c r="W77" s="417" t="s">
        <v>2678</v>
      </c>
      <c r="X77" s="161">
        <f t="shared" si="4"/>
        <v>0</v>
      </c>
      <c r="Y77" s="161">
        <f t="shared" si="5"/>
        <v>0</v>
      </c>
      <c r="Z77" s="161">
        <f t="shared" si="6"/>
        <v>0</v>
      </c>
      <c r="AA77" s="419"/>
      <c r="AB77" s="118"/>
      <c r="AC77" s="118"/>
      <c r="AD77" s="118"/>
      <c r="AE77" s="118"/>
    </row>
    <row r="78" spans="1:31" ht="69.75" hidden="1" customHeight="1" x14ac:dyDescent="0.25">
      <c r="A78" s="150">
        <v>60</v>
      </c>
      <c r="B78" s="433" t="s">
        <v>2688</v>
      </c>
      <c r="C78" s="437" t="s">
        <v>2685</v>
      </c>
      <c r="D78" s="434">
        <v>130000</v>
      </c>
      <c r="E78" s="526">
        <v>5</v>
      </c>
      <c r="F78" s="412">
        <v>0.99</v>
      </c>
      <c r="G78" s="530"/>
      <c r="H78" s="413">
        <v>0.93698630136986305</v>
      </c>
      <c r="I78" s="414">
        <v>0.89589041095890409</v>
      </c>
      <c r="J78" s="414"/>
      <c r="K78" s="414"/>
      <c r="L78" s="414"/>
      <c r="M78" s="414"/>
      <c r="N78" s="414"/>
      <c r="O78" s="414"/>
      <c r="P78" s="414"/>
      <c r="Q78" s="414"/>
      <c r="R78" s="415"/>
      <c r="S78" s="416">
        <f t="shared" si="10"/>
        <v>270</v>
      </c>
      <c r="T78" s="417" t="s">
        <v>2687</v>
      </c>
      <c r="U78" s="418"/>
      <c r="V78" s="417"/>
      <c r="W78" s="417" t="s">
        <v>2678</v>
      </c>
      <c r="X78" s="161">
        <f t="shared" si="4"/>
        <v>0</v>
      </c>
      <c r="Y78" s="161">
        <f t="shared" si="5"/>
        <v>0</v>
      </c>
      <c r="Z78" s="161">
        <f t="shared" si="6"/>
        <v>0</v>
      </c>
      <c r="AA78" s="419" t="s">
        <v>4859</v>
      </c>
      <c r="AB78" s="118"/>
      <c r="AC78" s="118"/>
      <c r="AD78" s="118"/>
      <c r="AE78" s="118"/>
    </row>
    <row r="79" spans="1:31" ht="69.75" hidden="1" customHeight="1" x14ac:dyDescent="0.25">
      <c r="A79" s="150">
        <v>61</v>
      </c>
      <c r="B79" s="433" t="s">
        <v>3168</v>
      </c>
      <c r="C79" s="437" t="s">
        <v>2386</v>
      </c>
      <c r="D79" s="434">
        <v>19266</v>
      </c>
      <c r="E79" s="526">
        <v>3</v>
      </c>
      <c r="F79" s="412">
        <v>0.96</v>
      </c>
      <c r="G79" s="530"/>
      <c r="H79" s="413">
        <v>0.9452054794520548</v>
      </c>
      <c r="I79" s="414">
        <v>0.86027397260273974</v>
      </c>
      <c r="J79" s="414"/>
      <c r="K79" s="414"/>
      <c r="L79" s="414"/>
      <c r="M79" s="414"/>
      <c r="N79" s="414"/>
      <c r="O79" s="414"/>
      <c r="P79" s="414"/>
      <c r="Q79" s="414"/>
      <c r="R79" s="415"/>
      <c r="S79" s="157">
        <f t="shared" si="10"/>
        <v>40</v>
      </c>
      <c r="T79" s="417" t="s">
        <v>2687</v>
      </c>
      <c r="U79" s="418"/>
      <c r="V79" s="417"/>
      <c r="W79" s="417" t="s">
        <v>2678</v>
      </c>
      <c r="X79" s="161">
        <f t="shared" si="4"/>
        <v>0</v>
      </c>
      <c r="Y79" s="161">
        <f t="shared" si="5"/>
        <v>0</v>
      </c>
      <c r="Z79" s="161">
        <f t="shared" si="6"/>
        <v>0</v>
      </c>
      <c r="AA79" s="419" t="s">
        <v>3071</v>
      </c>
      <c r="AB79" s="118"/>
      <c r="AC79" s="118"/>
      <c r="AD79" s="118"/>
      <c r="AE79" s="118"/>
    </row>
    <row r="80" spans="1:31" ht="69.75" hidden="1" customHeight="1" x14ac:dyDescent="0.25">
      <c r="A80" s="150">
        <v>62</v>
      </c>
      <c r="B80" s="433" t="s">
        <v>3178</v>
      </c>
      <c r="C80" s="437" t="s">
        <v>2386</v>
      </c>
      <c r="D80" s="434">
        <v>19266</v>
      </c>
      <c r="E80" s="526">
        <v>3</v>
      </c>
      <c r="F80" s="412">
        <v>0.96</v>
      </c>
      <c r="G80" s="530"/>
      <c r="H80" s="413">
        <v>0.95342465753424654</v>
      </c>
      <c r="I80" s="414">
        <v>0.86849315068493149</v>
      </c>
      <c r="J80" s="414"/>
      <c r="K80" s="414"/>
      <c r="L80" s="414"/>
      <c r="M80" s="414"/>
      <c r="N80" s="414"/>
      <c r="O80" s="414"/>
      <c r="P80" s="414"/>
      <c r="Q80" s="414"/>
      <c r="R80" s="415"/>
      <c r="S80" s="157">
        <f t="shared" si="10"/>
        <v>40</v>
      </c>
      <c r="T80" s="417" t="s">
        <v>2687</v>
      </c>
      <c r="U80" s="418"/>
      <c r="V80" s="417"/>
      <c r="W80" s="417" t="s">
        <v>2678</v>
      </c>
      <c r="X80" s="161">
        <f t="shared" si="4"/>
        <v>0</v>
      </c>
      <c r="Y80" s="161">
        <f t="shared" si="5"/>
        <v>0</v>
      </c>
      <c r="Z80" s="161">
        <f t="shared" si="6"/>
        <v>0</v>
      </c>
      <c r="AA80" s="419" t="s">
        <v>3071</v>
      </c>
      <c r="AB80" s="118"/>
      <c r="AC80" s="118"/>
      <c r="AD80" s="118"/>
      <c r="AE80" s="118"/>
    </row>
    <row r="81" spans="1:31" ht="69.75" hidden="1" customHeight="1" x14ac:dyDescent="0.25">
      <c r="A81" s="150">
        <v>63</v>
      </c>
      <c r="B81" s="510" t="s">
        <v>3187</v>
      </c>
      <c r="C81" s="511" t="s">
        <v>1471</v>
      </c>
      <c r="D81" s="512">
        <v>105000</v>
      </c>
      <c r="E81" s="527">
        <v>5</v>
      </c>
      <c r="F81" s="412">
        <v>0.99</v>
      </c>
      <c r="G81" s="530"/>
      <c r="H81" s="413">
        <v>0.96438356164383565</v>
      </c>
      <c r="I81" s="414">
        <v>0.8794520547945206</v>
      </c>
      <c r="J81" s="414"/>
      <c r="K81" s="414"/>
      <c r="L81" s="414"/>
      <c r="M81" s="414"/>
      <c r="N81" s="414"/>
      <c r="O81" s="414"/>
      <c r="P81" s="414"/>
      <c r="Q81" s="414"/>
      <c r="R81" s="415"/>
      <c r="S81" s="157">
        <f t="shared" si="10"/>
        <v>220</v>
      </c>
      <c r="T81" s="417" t="s">
        <v>2687</v>
      </c>
      <c r="U81" s="418"/>
      <c r="V81" s="417"/>
      <c r="W81" s="417" t="s">
        <v>2678</v>
      </c>
      <c r="X81" s="161">
        <f t="shared" si="4"/>
        <v>0</v>
      </c>
      <c r="Y81" s="161">
        <f t="shared" si="5"/>
        <v>0</v>
      </c>
      <c r="Z81" s="161">
        <f t="shared" si="6"/>
        <v>0</v>
      </c>
      <c r="AA81" s="419" t="s">
        <v>3071</v>
      </c>
      <c r="AB81" s="118"/>
      <c r="AC81" s="118"/>
      <c r="AD81" s="118"/>
      <c r="AE81" s="118"/>
    </row>
    <row r="82" spans="1:31" s="420" customFormat="1" ht="69.75" hidden="1" customHeight="1" x14ac:dyDescent="0.25">
      <c r="A82" s="150">
        <v>64</v>
      </c>
      <c r="B82" s="380" t="s">
        <v>1115</v>
      </c>
      <c r="C82" s="380" t="s">
        <v>1100</v>
      </c>
      <c r="D82" s="513">
        <v>1500</v>
      </c>
      <c r="E82" s="525">
        <v>11</v>
      </c>
      <c r="F82" s="421">
        <v>0.88</v>
      </c>
      <c r="G82" s="537"/>
      <c r="H82" s="422"/>
      <c r="I82" s="515">
        <v>0.96794330289193475</v>
      </c>
      <c r="J82" s="423"/>
      <c r="K82" s="423"/>
      <c r="L82" s="423"/>
      <c r="M82" s="423"/>
      <c r="N82" s="423"/>
      <c r="O82" s="423"/>
      <c r="P82" s="423"/>
      <c r="Q82" s="423"/>
      <c r="R82" s="424"/>
      <c r="S82" s="157">
        <f t="shared" si="10"/>
        <v>10</v>
      </c>
      <c r="T82" s="425"/>
      <c r="U82" s="426"/>
      <c r="V82" s="425" t="s">
        <v>2678</v>
      </c>
      <c r="W82" s="425"/>
      <c r="X82" s="161">
        <f t="shared" ref="X82:X93" si="11">IF(V82="Y",S82,0)</f>
        <v>0</v>
      </c>
      <c r="Y82" s="161">
        <f t="shared" ref="Y82:Y93" si="12">IF(W82="Y",S82*2,0)</f>
        <v>0</v>
      </c>
      <c r="Z82" s="161">
        <f t="shared" ref="Z82:Z93" si="13">X82+Y82</f>
        <v>0</v>
      </c>
      <c r="AA82" s="419" t="s">
        <v>3071</v>
      </c>
      <c r="AB82" s="427"/>
      <c r="AC82" s="427"/>
      <c r="AD82" s="427"/>
      <c r="AE82" s="427"/>
    </row>
    <row r="83" spans="1:31" s="420" customFormat="1" ht="69.75" hidden="1" customHeight="1" x14ac:dyDescent="0.25">
      <c r="A83" s="150">
        <v>65</v>
      </c>
      <c r="B83" s="380" t="s">
        <v>3762</v>
      </c>
      <c r="C83" s="380" t="s">
        <v>2386</v>
      </c>
      <c r="D83" s="513">
        <v>19266</v>
      </c>
      <c r="E83" s="525">
        <v>3</v>
      </c>
      <c r="F83" s="421">
        <v>0.96</v>
      </c>
      <c r="G83" s="537"/>
      <c r="H83" s="422"/>
      <c r="I83" s="515">
        <v>0.95146308980213579</v>
      </c>
      <c r="J83" s="423"/>
      <c r="K83" s="423"/>
      <c r="L83" s="423"/>
      <c r="M83" s="423"/>
      <c r="N83" s="423"/>
      <c r="O83" s="423"/>
      <c r="P83" s="423"/>
      <c r="Q83" s="423"/>
      <c r="R83" s="424"/>
      <c r="S83" s="157">
        <f t="shared" si="10"/>
        <v>40</v>
      </c>
      <c r="T83" s="425"/>
      <c r="U83" s="426"/>
      <c r="V83" s="425" t="s">
        <v>2678</v>
      </c>
      <c r="W83" s="425"/>
      <c r="X83" s="161">
        <f t="shared" si="11"/>
        <v>0</v>
      </c>
      <c r="Y83" s="161">
        <f t="shared" si="12"/>
        <v>0</v>
      </c>
      <c r="Z83" s="161">
        <f t="shared" si="13"/>
        <v>0</v>
      </c>
      <c r="AA83" s="419" t="s">
        <v>3071</v>
      </c>
      <c r="AB83" s="427"/>
      <c r="AC83" s="427"/>
      <c r="AD83" s="427"/>
      <c r="AE83" s="427"/>
    </row>
    <row r="84" spans="1:31" s="420" customFormat="1" ht="69.75" hidden="1" customHeight="1" x14ac:dyDescent="0.25">
      <c r="A84" s="150">
        <v>66</v>
      </c>
      <c r="B84" s="380" t="s">
        <v>273</v>
      </c>
      <c r="C84" s="380" t="s">
        <v>271</v>
      </c>
      <c r="D84" s="513">
        <v>125000</v>
      </c>
      <c r="E84" s="525">
        <v>11</v>
      </c>
      <c r="F84" s="421">
        <v>0.88</v>
      </c>
      <c r="G84" s="537"/>
      <c r="H84" s="422"/>
      <c r="I84" s="515">
        <v>0.97928082191780819</v>
      </c>
      <c r="J84" s="423"/>
      <c r="K84" s="423"/>
      <c r="L84" s="423"/>
      <c r="M84" s="423"/>
      <c r="N84" s="423"/>
      <c r="O84" s="423"/>
      <c r="P84" s="423"/>
      <c r="Q84" s="423"/>
      <c r="R84" s="424"/>
      <c r="S84" s="157">
        <f t="shared" si="10"/>
        <v>260</v>
      </c>
      <c r="T84" s="425"/>
      <c r="U84" s="426"/>
      <c r="V84" s="425" t="s">
        <v>2678</v>
      </c>
      <c r="W84" s="425"/>
      <c r="X84" s="161">
        <f t="shared" si="11"/>
        <v>0</v>
      </c>
      <c r="Y84" s="161">
        <f t="shared" si="12"/>
        <v>0</v>
      </c>
      <c r="Z84" s="161">
        <f t="shared" si="13"/>
        <v>0</v>
      </c>
      <c r="AA84" s="419" t="s">
        <v>3071</v>
      </c>
      <c r="AB84" s="427"/>
      <c r="AC84" s="427"/>
      <c r="AD84" s="427"/>
      <c r="AE84" s="427"/>
    </row>
    <row r="85" spans="1:31" s="420" customFormat="1" ht="69.75" hidden="1" customHeight="1" x14ac:dyDescent="0.25">
      <c r="A85" s="150">
        <v>67</v>
      </c>
      <c r="B85" s="380" t="s">
        <v>3754</v>
      </c>
      <c r="C85" s="380" t="s">
        <v>2323</v>
      </c>
      <c r="D85" s="513">
        <v>49000</v>
      </c>
      <c r="E85" s="525">
        <v>3</v>
      </c>
      <c r="F85" s="421">
        <v>0.99</v>
      </c>
      <c r="G85" s="537"/>
      <c r="H85" s="422"/>
      <c r="I85" s="515">
        <v>0.9444824961948205</v>
      </c>
      <c r="J85" s="423"/>
      <c r="K85" s="423"/>
      <c r="L85" s="423"/>
      <c r="M85" s="423"/>
      <c r="N85" s="423"/>
      <c r="O85" s="423"/>
      <c r="P85" s="423"/>
      <c r="Q85" s="423"/>
      <c r="R85" s="424"/>
      <c r="S85" s="157">
        <f t="shared" si="10"/>
        <v>100</v>
      </c>
      <c r="T85" s="425"/>
      <c r="U85" s="426"/>
      <c r="V85" s="425" t="s">
        <v>2678</v>
      </c>
      <c r="W85" s="425"/>
      <c r="X85" s="161">
        <f t="shared" si="11"/>
        <v>0</v>
      </c>
      <c r="Y85" s="161">
        <f t="shared" si="12"/>
        <v>0</v>
      </c>
      <c r="Z85" s="161">
        <f t="shared" si="13"/>
        <v>0</v>
      </c>
      <c r="AA85" s="419" t="s">
        <v>3071</v>
      </c>
      <c r="AB85" s="427"/>
      <c r="AC85" s="427"/>
      <c r="AD85" s="427"/>
      <c r="AE85" s="427"/>
    </row>
    <row r="86" spans="1:31" s="420" customFormat="1" ht="69.75" hidden="1" customHeight="1" x14ac:dyDescent="0.25">
      <c r="A86" s="150">
        <v>68</v>
      </c>
      <c r="B86" s="380" t="s">
        <v>1186</v>
      </c>
      <c r="C86" s="380" t="s">
        <v>1181</v>
      </c>
      <c r="D86" s="513">
        <v>48000</v>
      </c>
      <c r="E86" s="525">
        <v>11</v>
      </c>
      <c r="F86" s="421">
        <v>0.88</v>
      </c>
      <c r="G86" s="537"/>
      <c r="H86" s="422"/>
      <c r="I86" s="515">
        <v>0.94621575342466158</v>
      </c>
      <c r="J86" s="423"/>
      <c r="K86" s="423"/>
      <c r="L86" s="423"/>
      <c r="M86" s="423"/>
      <c r="N86" s="423"/>
      <c r="O86" s="423"/>
      <c r="P86" s="423"/>
      <c r="Q86" s="423"/>
      <c r="R86" s="424"/>
      <c r="S86" s="157">
        <f t="shared" si="10"/>
        <v>100</v>
      </c>
      <c r="T86" s="425"/>
      <c r="U86" s="426"/>
      <c r="V86" s="425" t="s">
        <v>2678</v>
      </c>
      <c r="W86" s="425"/>
      <c r="X86" s="161">
        <f t="shared" si="11"/>
        <v>0</v>
      </c>
      <c r="Y86" s="161">
        <f t="shared" si="12"/>
        <v>0</v>
      </c>
      <c r="Z86" s="161">
        <f t="shared" si="13"/>
        <v>0</v>
      </c>
      <c r="AA86" s="419" t="s">
        <v>3071</v>
      </c>
      <c r="AB86" s="427"/>
      <c r="AC86" s="427"/>
      <c r="AD86" s="427"/>
      <c r="AE86" s="427"/>
    </row>
    <row r="87" spans="1:31" s="420" customFormat="1" ht="69.75" hidden="1" customHeight="1" x14ac:dyDescent="0.25">
      <c r="A87" s="150">
        <v>69</v>
      </c>
      <c r="B87" s="380" t="s">
        <v>3822</v>
      </c>
      <c r="C87" s="380" t="s">
        <v>3029</v>
      </c>
      <c r="D87" s="513">
        <v>1700</v>
      </c>
      <c r="E87" s="525">
        <v>3</v>
      </c>
      <c r="F87" s="421">
        <v>0.99</v>
      </c>
      <c r="G87" s="537"/>
      <c r="H87" s="422"/>
      <c r="I87" s="515">
        <v>0.97675799086758919</v>
      </c>
      <c r="J87" s="423"/>
      <c r="K87" s="423"/>
      <c r="L87" s="423"/>
      <c r="M87" s="423"/>
      <c r="N87" s="423"/>
      <c r="O87" s="423"/>
      <c r="P87" s="423"/>
      <c r="Q87" s="423"/>
      <c r="R87" s="424"/>
      <c r="S87" s="157">
        <f t="shared" si="10"/>
        <v>10</v>
      </c>
      <c r="T87" s="425"/>
      <c r="U87" s="426"/>
      <c r="V87" s="425" t="s">
        <v>2678</v>
      </c>
      <c r="W87" s="425"/>
      <c r="X87" s="161">
        <f t="shared" si="11"/>
        <v>0</v>
      </c>
      <c r="Y87" s="161">
        <f t="shared" si="12"/>
        <v>0</v>
      </c>
      <c r="Z87" s="161">
        <f t="shared" si="13"/>
        <v>0</v>
      </c>
      <c r="AA87" s="419" t="s">
        <v>3071</v>
      </c>
      <c r="AB87" s="427"/>
      <c r="AC87" s="427"/>
      <c r="AD87" s="427"/>
      <c r="AE87" s="427"/>
    </row>
    <row r="88" spans="1:31" s="420" customFormat="1" ht="69.75" hidden="1" customHeight="1" x14ac:dyDescent="0.25">
      <c r="A88" s="150">
        <v>70</v>
      </c>
      <c r="B88" s="380" t="s">
        <v>1198</v>
      </c>
      <c r="C88" s="380" t="s">
        <v>2089</v>
      </c>
      <c r="D88" s="514">
        <v>24000</v>
      </c>
      <c r="E88" s="528">
        <v>11</v>
      </c>
      <c r="F88" s="421">
        <v>0.85</v>
      </c>
      <c r="G88" s="537"/>
      <c r="H88" s="422"/>
      <c r="I88" s="515">
        <v>0.91871004566210979</v>
      </c>
      <c r="J88" s="423"/>
      <c r="K88" s="423"/>
      <c r="L88" s="423"/>
      <c r="M88" s="423"/>
      <c r="N88" s="423"/>
      <c r="O88" s="423"/>
      <c r="P88" s="423"/>
      <c r="Q88" s="423"/>
      <c r="R88" s="424"/>
      <c r="S88" s="157">
        <f t="shared" si="10"/>
        <v>50</v>
      </c>
      <c r="T88" s="425"/>
      <c r="U88" s="426"/>
      <c r="V88" s="425" t="s">
        <v>2678</v>
      </c>
      <c r="W88" s="425"/>
      <c r="X88" s="161">
        <f t="shared" si="11"/>
        <v>0</v>
      </c>
      <c r="Y88" s="161">
        <f t="shared" si="12"/>
        <v>0</v>
      </c>
      <c r="Z88" s="161">
        <f t="shared" si="13"/>
        <v>0</v>
      </c>
      <c r="AA88" s="419" t="s">
        <v>3071</v>
      </c>
      <c r="AB88" s="427"/>
      <c r="AC88" s="427"/>
      <c r="AD88" s="427"/>
      <c r="AE88" s="427"/>
    </row>
    <row r="89" spans="1:31" s="420" customFormat="1" ht="69.75" customHeight="1" x14ac:dyDescent="0.25">
      <c r="A89" s="150">
        <v>71</v>
      </c>
      <c r="B89" s="380" t="s">
        <v>3812</v>
      </c>
      <c r="C89" s="380" t="s">
        <v>302</v>
      </c>
      <c r="D89" s="513">
        <v>49000</v>
      </c>
      <c r="E89" s="525">
        <v>4</v>
      </c>
      <c r="F89" s="421">
        <v>0.96</v>
      </c>
      <c r="G89" s="537"/>
      <c r="H89" s="422"/>
      <c r="I89" s="515">
        <v>0.9220300608828077</v>
      </c>
      <c r="J89" s="423"/>
      <c r="K89" s="423"/>
      <c r="L89" s="423"/>
      <c r="M89" s="423"/>
      <c r="N89" s="423"/>
      <c r="O89" s="423"/>
      <c r="P89" s="423"/>
      <c r="Q89" s="423"/>
      <c r="R89" s="424"/>
      <c r="S89" s="157">
        <f t="shared" si="10"/>
        <v>100</v>
      </c>
      <c r="T89" s="425"/>
      <c r="U89" s="426"/>
      <c r="V89" s="425" t="s">
        <v>2687</v>
      </c>
      <c r="W89" s="425"/>
      <c r="X89" s="161">
        <f t="shared" si="11"/>
        <v>100</v>
      </c>
      <c r="Y89" s="161">
        <f t="shared" si="12"/>
        <v>0</v>
      </c>
      <c r="Z89" s="161">
        <f t="shared" si="13"/>
        <v>100</v>
      </c>
      <c r="AA89" s="419" t="s">
        <v>3071</v>
      </c>
      <c r="AB89" s="427"/>
      <c r="AC89" s="427"/>
      <c r="AD89" s="427"/>
      <c r="AE89" s="427"/>
    </row>
    <row r="90" spans="1:31" s="420" customFormat="1" ht="69.75" customHeight="1" x14ac:dyDescent="0.25">
      <c r="A90" s="150">
        <v>72</v>
      </c>
      <c r="B90" s="380" t="s">
        <v>3863</v>
      </c>
      <c r="C90" s="380" t="s">
        <v>2405</v>
      </c>
      <c r="D90" s="513">
        <v>8700</v>
      </c>
      <c r="E90" s="525">
        <v>4</v>
      </c>
      <c r="F90" s="421">
        <v>0.99</v>
      </c>
      <c r="G90" s="537"/>
      <c r="H90" s="422"/>
      <c r="I90" s="515">
        <v>0.93683789954337371</v>
      </c>
      <c r="J90" s="423"/>
      <c r="K90" s="423"/>
      <c r="L90" s="423"/>
      <c r="M90" s="423"/>
      <c r="N90" s="423"/>
      <c r="O90" s="423"/>
      <c r="P90" s="423"/>
      <c r="Q90" s="423"/>
      <c r="R90" s="424"/>
      <c r="S90" s="157">
        <f t="shared" si="10"/>
        <v>20</v>
      </c>
      <c r="T90" s="425"/>
      <c r="U90" s="426"/>
      <c r="V90" s="425" t="s">
        <v>2687</v>
      </c>
      <c r="W90" s="425"/>
      <c r="X90" s="161">
        <f t="shared" si="11"/>
        <v>20</v>
      </c>
      <c r="Y90" s="161">
        <f t="shared" si="12"/>
        <v>0</v>
      </c>
      <c r="Z90" s="161">
        <f t="shared" si="13"/>
        <v>20</v>
      </c>
      <c r="AA90" s="419" t="s">
        <v>3071</v>
      </c>
      <c r="AB90" s="427"/>
      <c r="AC90" s="427"/>
      <c r="AD90" s="427"/>
      <c r="AE90" s="427"/>
    </row>
    <row r="91" spans="1:31" s="420" customFormat="1" ht="69.75" hidden="1" customHeight="1" x14ac:dyDescent="0.25">
      <c r="A91" s="150">
        <v>73</v>
      </c>
      <c r="B91" s="380" t="s">
        <v>1508</v>
      </c>
      <c r="C91" s="380" t="s">
        <v>2323</v>
      </c>
      <c r="D91" s="513">
        <v>24000</v>
      </c>
      <c r="E91" s="525">
        <v>11</v>
      </c>
      <c r="F91" s="421">
        <v>0.88</v>
      </c>
      <c r="G91" s="537"/>
      <c r="H91" s="422"/>
      <c r="I91" s="515">
        <v>0.93818683409437453</v>
      </c>
      <c r="J91" s="423"/>
      <c r="K91" s="423"/>
      <c r="L91" s="423"/>
      <c r="M91" s="423"/>
      <c r="N91" s="423"/>
      <c r="O91" s="423"/>
      <c r="P91" s="423"/>
      <c r="Q91" s="423"/>
      <c r="R91" s="424"/>
      <c r="S91" s="157">
        <f t="shared" si="10"/>
        <v>50</v>
      </c>
      <c r="T91" s="425"/>
      <c r="U91" s="426"/>
      <c r="V91" s="425" t="s">
        <v>2678</v>
      </c>
      <c r="W91" s="425"/>
      <c r="X91" s="161">
        <f t="shared" si="11"/>
        <v>0</v>
      </c>
      <c r="Y91" s="161">
        <f t="shared" si="12"/>
        <v>0</v>
      </c>
      <c r="Z91" s="161">
        <f t="shared" si="13"/>
        <v>0</v>
      </c>
      <c r="AA91" s="419" t="s">
        <v>3071</v>
      </c>
      <c r="AB91" s="427"/>
      <c r="AC91" s="427"/>
      <c r="AD91" s="427"/>
      <c r="AE91" s="427"/>
    </row>
    <row r="92" spans="1:31" s="420" customFormat="1" ht="69.75" hidden="1" customHeight="1" x14ac:dyDescent="0.25">
      <c r="A92" s="150">
        <v>74</v>
      </c>
      <c r="B92" s="380" t="s">
        <v>1513</v>
      </c>
      <c r="C92" s="380" t="s">
        <v>2323</v>
      </c>
      <c r="D92" s="513">
        <v>24000</v>
      </c>
      <c r="E92" s="525">
        <v>11</v>
      </c>
      <c r="F92" s="421">
        <v>0.88</v>
      </c>
      <c r="G92" s="537"/>
      <c r="H92" s="422"/>
      <c r="I92" s="515">
        <v>0.93819254185693024</v>
      </c>
      <c r="J92" s="423"/>
      <c r="K92" s="423"/>
      <c r="L92" s="423"/>
      <c r="M92" s="423"/>
      <c r="N92" s="423"/>
      <c r="O92" s="423"/>
      <c r="P92" s="423"/>
      <c r="Q92" s="423"/>
      <c r="R92" s="424"/>
      <c r="S92" s="157">
        <f t="shared" si="10"/>
        <v>50</v>
      </c>
      <c r="T92" s="425"/>
      <c r="U92" s="426"/>
      <c r="V92" s="425" t="s">
        <v>2678</v>
      </c>
      <c r="W92" s="425"/>
      <c r="X92" s="161">
        <f t="shared" si="11"/>
        <v>0</v>
      </c>
      <c r="Y92" s="161">
        <f t="shared" si="12"/>
        <v>0</v>
      </c>
      <c r="Z92" s="161">
        <f t="shared" si="13"/>
        <v>0</v>
      </c>
      <c r="AA92" s="419" t="s">
        <v>3071</v>
      </c>
      <c r="AB92" s="427"/>
      <c r="AC92" s="427"/>
      <c r="AD92" s="427"/>
      <c r="AE92" s="427"/>
    </row>
    <row r="93" spans="1:31" s="420" customFormat="1" ht="69.75" hidden="1" customHeight="1" x14ac:dyDescent="0.25">
      <c r="A93" s="150">
        <v>75</v>
      </c>
      <c r="B93" s="380" t="s">
        <v>1982</v>
      </c>
      <c r="C93" s="380" t="s">
        <v>1989</v>
      </c>
      <c r="D93" s="513">
        <v>6560</v>
      </c>
      <c r="E93" s="525">
        <v>11</v>
      </c>
      <c r="F93" s="421">
        <v>0.85</v>
      </c>
      <c r="G93" s="537"/>
      <c r="H93" s="422"/>
      <c r="I93" s="515">
        <v>0.94068493150684529</v>
      </c>
      <c r="J93" s="423"/>
      <c r="K93" s="423"/>
      <c r="L93" s="423"/>
      <c r="M93" s="423"/>
      <c r="N93" s="423"/>
      <c r="O93" s="423"/>
      <c r="P93" s="423"/>
      <c r="Q93" s="423"/>
      <c r="R93" s="424"/>
      <c r="S93" s="157">
        <f t="shared" si="10"/>
        <v>20</v>
      </c>
      <c r="T93" s="425"/>
      <c r="U93" s="426"/>
      <c r="V93" s="425" t="s">
        <v>2678</v>
      </c>
      <c r="W93" s="425"/>
      <c r="X93" s="161">
        <f t="shared" si="11"/>
        <v>0</v>
      </c>
      <c r="Y93" s="161">
        <f t="shared" si="12"/>
        <v>0</v>
      </c>
      <c r="Z93" s="161">
        <f t="shared" si="13"/>
        <v>0</v>
      </c>
      <c r="AA93" s="419" t="s">
        <v>3071</v>
      </c>
      <c r="AB93" s="427"/>
      <c r="AC93" s="427"/>
      <c r="AD93" s="427"/>
      <c r="AE93" s="427"/>
    </row>
    <row r="94" spans="1:31" ht="27" customHeight="1" x14ac:dyDescent="0.25">
      <c r="A94" s="655" t="s">
        <v>2746</v>
      </c>
      <c r="B94" s="656"/>
      <c r="C94" s="656"/>
      <c r="D94" s="656"/>
      <c r="E94" s="656"/>
      <c r="F94" s="656"/>
      <c r="G94" s="656"/>
      <c r="H94" s="656"/>
      <c r="I94" s="656"/>
      <c r="J94" s="656"/>
      <c r="K94" s="656"/>
      <c r="L94" s="656"/>
      <c r="M94" s="656"/>
      <c r="N94" s="656"/>
      <c r="O94" s="656"/>
      <c r="P94" s="656"/>
      <c r="Q94" s="656"/>
      <c r="R94" s="656"/>
      <c r="S94" s="656"/>
      <c r="T94" s="656"/>
      <c r="U94" s="656"/>
      <c r="V94" s="656"/>
      <c r="W94" s="656"/>
      <c r="X94" s="656"/>
      <c r="Y94" s="657"/>
      <c r="Z94" s="410">
        <f>SUM(Z19:Z81)</f>
        <v>830</v>
      </c>
      <c r="AA94" s="411"/>
      <c r="AB94" s="118"/>
      <c r="AC94" s="118"/>
      <c r="AD94" s="118"/>
      <c r="AE94" s="118"/>
    </row>
    <row r="95" spans="1:31" ht="15" customHeight="1" x14ac:dyDescent="0.35">
      <c r="A95" s="138"/>
      <c r="B95" s="118"/>
      <c r="C95" s="379"/>
      <c r="D95" s="124"/>
      <c r="E95" s="118"/>
      <c r="F95" s="123"/>
      <c r="G95" s="123"/>
      <c r="H95" s="123"/>
      <c r="I95" s="123"/>
      <c r="J95" s="125"/>
      <c r="K95" s="126"/>
      <c r="L95" s="125"/>
      <c r="M95" s="123"/>
      <c r="N95" s="125"/>
      <c r="O95" s="125"/>
      <c r="P95" s="125"/>
      <c r="Q95" s="125"/>
      <c r="R95" s="123"/>
      <c r="S95" s="165"/>
      <c r="T95" s="165"/>
      <c r="U95" s="165"/>
      <c r="V95" s="165"/>
      <c r="W95" s="165"/>
      <c r="X95" s="165"/>
      <c r="Y95" s="165"/>
      <c r="Z95" s="143"/>
      <c r="AA95" s="138"/>
      <c r="AB95" s="138"/>
      <c r="AC95" s="138"/>
      <c r="AD95" s="138"/>
      <c r="AE95" s="138"/>
    </row>
    <row r="96" spans="1:31" ht="15" customHeight="1" x14ac:dyDescent="0.35">
      <c r="A96" s="138"/>
      <c r="B96" s="166"/>
      <c r="C96" s="379"/>
      <c r="D96" s="167"/>
      <c r="E96" s="168"/>
      <c r="F96" s="131"/>
      <c r="G96" s="131"/>
      <c r="H96" s="131"/>
      <c r="I96" s="131"/>
      <c r="J96" s="125"/>
      <c r="K96" s="126"/>
      <c r="L96" s="125"/>
      <c r="M96" s="131"/>
      <c r="N96" s="125"/>
      <c r="O96" s="125"/>
      <c r="P96" s="125"/>
      <c r="Q96" s="125"/>
      <c r="R96" s="131"/>
      <c r="S96" s="165"/>
      <c r="T96" s="165"/>
      <c r="U96" s="165"/>
      <c r="V96" s="165"/>
      <c r="W96" s="165"/>
      <c r="X96" s="140"/>
      <c r="Y96" s="140"/>
      <c r="Z96" s="143"/>
      <c r="AA96" s="138"/>
      <c r="AB96" s="138"/>
      <c r="AC96" s="138"/>
      <c r="AD96" s="138"/>
      <c r="AE96" s="138"/>
    </row>
    <row r="97" spans="1:31" ht="15" customHeight="1" x14ac:dyDescent="0.35">
      <c r="A97" s="138"/>
      <c r="B97" s="138"/>
      <c r="C97" s="379"/>
      <c r="D97" s="139"/>
      <c r="E97" s="138"/>
      <c r="F97" s="140"/>
      <c r="G97" s="140"/>
      <c r="H97" s="140"/>
      <c r="I97" s="140"/>
      <c r="J97" s="141"/>
      <c r="K97" s="142"/>
      <c r="L97" s="141"/>
      <c r="M97" s="140"/>
      <c r="N97" s="141"/>
      <c r="O97" s="141"/>
      <c r="P97" s="125"/>
      <c r="Q97" s="141"/>
      <c r="R97" s="140"/>
      <c r="S97" s="140"/>
      <c r="T97" s="140"/>
      <c r="U97" s="140"/>
      <c r="V97" s="140"/>
      <c r="W97" s="140"/>
      <c r="X97" s="140"/>
      <c r="Y97" s="140"/>
      <c r="Z97" s="143"/>
      <c r="AA97" s="138"/>
      <c r="AB97" s="138"/>
      <c r="AC97" s="138"/>
      <c r="AD97" s="138"/>
      <c r="AE97" s="138"/>
    </row>
    <row r="98" spans="1:31" ht="45.75" customHeight="1" x14ac:dyDescent="0.35">
      <c r="A98" s="138"/>
      <c r="B98" s="138"/>
      <c r="C98" s="379"/>
      <c r="D98" s="139"/>
      <c r="E98" s="138"/>
      <c r="F98" s="140"/>
      <c r="G98" s="140"/>
      <c r="H98" s="140"/>
      <c r="I98" s="140"/>
      <c r="J98" s="141"/>
      <c r="K98" s="142"/>
      <c r="L98" s="141"/>
      <c r="M98" s="140"/>
      <c r="N98" s="141"/>
      <c r="O98" s="141"/>
      <c r="P98" s="125"/>
      <c r="Q98" s="125"/>
      <c r="R98" s="140"/>
      <c r="S98" s="140"/>
      <c r="T98" s="140"/>
      <c r="U98" s="140"/>
      <c r="V98" s="140"/>
      <c r="W98" s="169"/>
      <c r="X98" s="140"/>
      <c r="Y98" s="140"/>
      <c r="Z98" s="143"/>
      <c r="AA98" s="138"/>
      <c r="AB98" s="138"/>
      <c r="AC98" s="138"/>
      <c r="AD98" s="138"/>
      <c r="AE98" s="138"/>
    </row>
    <row r="99" spans="1:31" ht="21" customHeight="1" x14ac:dyDescent="0.35">
      <c r="A99" s="138"/>
      <c r="B99" s="138"/>
      <c r="C99" s="379"/>
      <c r="D99" s="139"/>
      <c r="E99" s="138"/>
      <c r="F99" s="140"/>
      <c r="G99" s="140"/>
      <c r="H99" s="140"/>
      <c r="I99" s="140"/>
      <c r="J99" s="141"/>
      <c r="K99" s="142"/>
      <c r="L99" s="141"/>
      <c r="M99" s="140"/>
      <c r="N99" s="170"/>
      <c r="O99" s="170"/>
      <c r="P99" s="170"/>
      <c r="Q99" s="170"/>
      <c r="R99" s="171"/>
      <c r="S99" s="171"/>
      <c r="T99" s="171"/>
      <c r="U99" s="140"/>
      <c r="V99" s="140"/>
      <c r="W99" s="140"/>
      <c r="X99" s="140"/>
      <c r="Y99" s="140"/>
      <c r="Z99" s="143"/>
      <c r="AA99" s="138"/>
      <c r="AB99" s="138"/>
      <c r="AC99" s="138"/>
      <c r="AD99" s="138"/>
      <c r="AE99" s="138"/>
    </row>
  </sheetData>
  <autoFilter ref="A19:AE94" xr:uid="{00000000-0001-0000-0800-000000000000}">
    <filterColumn colId="25">
      <filters>
        <filter val="10.00"/>
        <filter val="100.00"/>
        <filter val="110.00"/>
        <filter val="170.00"/>
        <filter val="20.00"/>
        <filter val="220.00"/>
        <filter val="40.00"/>
        <filter val="50.00"/>
        <filter val="830.00"/>
      </filters>
    </filterColumn>
  </autoFilter>
  <mergeCells count="25">
    <mergeCell ref="A1:AA1"/>
    <mergeCell ref="A2:AA2"/>
    <mergeCell ref="A3:AA3"/>
    <mergeCell ref="C5:G5"/>
    <mergeCell ref="Q5:W5"/>
    <mergeCell ref="C7:G7"/>
    <mergeCell ref="C9:G9"/>
    <mergeCell ref="M9:P9"/>
    <mergeCell ref="M7:P7"/>
    <mergeCell ref="Q7:W7"/>
    <mergeCell ref="Q9:W9"/>
    <mergeCell ref="A94:Y94"/>
    <mergeCell ref="A17:A18"/>
    <mergeCell ref="B17:B18"/>
    <mergeCell ref="AA17:AA18"/>
    <mergeCell ref="Z17:Z18"/>
    <mergeCell ref="E17:E18"/>
    <mergeCell ref="F17:F18"/>
    <mergeCell ref="G17:R17"/>
    <mergeCell ref="S17:S18"/>
    <mergeCell ref="T17:U17"/>
    <mergeCell ref="V17:W17"/>
    <mergeCell ref="X17:Y17"/>
    <mergeCell ref="C17:C18"/>
    <mergeCell ref="D17:D18"/>
  </mergeCells>
  <printOptions horizontalCentered="1"/>
  <pageMargins left="0.25" right="0.25" top="0.75" bottom="0.75" header="0" footer="0"/>
  <pageSetup paperSize="9" scale="2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100"/>
  <sheetViews>
    <sheetView topLeftCell="A7" zoomScale="60" zoomScaleNormal="60" workbookViewId="0">
      <selection activeCell="A19" sqref="A19:P19"/>
    </sheetView>
  </sheetViews>
  <sheetFormatPr defaultColWidth="14.42578125" defaultRowHeight="15" customHeight="1" x14ac:dyDescent="0.25"/>
  <cols>
    <col min="1" max="1" width="5.28515625" customWidth="1"/>
    <col min="2" max="2" width="25.7109375" customWidth="1"/>
    <col min="3" max="3" width="25.28515625" customWidth="1"/>
    <col min="4" max="4" width="17" customWidth="1"/>
    <col min="5" max="5" width="26.5703125" customWidth="1"/>
    <col min="6" max="6" width="24.42578125" customWidth="1"/>
    <col min="7" max="7" width="16.85546875" customWidth="1"/>
    <col min="8" max="8" width="18.85546875" customWidth="1"/>
    <col min="9" max="9" width="23.28515625" customWidth="1"/>
    <col min="10" max="10" width="30.140625" customWidth="1"/>
    <col min="11" max="11" width="14.85546875" customWidth="1"/>
    <col min="12" max="12" width="20.85546875" customWidth="1"/>
    <col min="13" max="13" width="13" customWidth="1"/>
    <col min="14" max="14" width="15.85546875" customWidth="1"/>
    <col min="15" max="15" width="13" customWidth="1"/>
    <col min="16" max="16" width="23.5703125" customWidth="1"/>
    <col min="17" max="17" width="46.28515625" customWidth="1"/>
    <col min="18" max="18" width="12.85546875" customWidth="1"/>
    <col min="19" max="19" width="21.28515625" customWidth="1"/>
    <col min="20" max="20" width="9.28515625" customWidth="1"/>
    <col min="21" max="25" width="9.140625" customWidth="1"/>
  </cols>
  <sheetData>
    <row r="1" spans="1:25" ht="82.5" customHeight="1" x14ac:dyDescent="0.25">
      <c r="A1" s="677" t="s">
        <v>2611</v>
      </c>
      <c r="B1" s="555"/>
      <c r="C1" s="555"/>
      <c r="D1" s="555"/>
      <c r="E1" s="555"/>
      <c r="F1" s="555"/>
      <c r="G1" s="555"/>
      <c r="H1" s="555"/>
      <c r="I1" s="555"/>
      <c r="J1" s="555"/>
      <c r="K1" s="555"/>
      <c r="L1" s="555"/>
      <c r="M1" s="555"/>
      <c r="N1" s="555"/>
      <c r="O1" s="555"/>
      <c r="P1" s="555"/>
      <c r="Q1" s="43"/>
      <c r="R1" s="43"/>
      <c r="S1" s="43"/>
      <c r="T1" s="43"/>
      <c r="U1" s="43"/>
      <c r="V1" s="43"/>
      <c r="W1" s="43"/>
      <c r="X1" s="43"/>
      <c r="Y1" s="43"/>
    </row>
    <row r="2" spans="1:25" ht="36.75" customHeight="1" x14ac:dyDescent="0.25">
      <c r="A2" s="591" t="s">
        <v>2747</v>
      </c>
      <c r="B2" s="555"/>
      <c r="C2" s="555"/>
      <c r="D2" s="555"/>
      <c r="E2" s="555"/>
      <c r="F2" s="555"/>
      <c r="G2" s="555"/>
      <c r="H2" s="555"/>
      <c r="I2" s="555"/>
      <c r="J2" s="555"/>
      <c r="K2" s="555"/>
      <c r="L2" s="555"/>
      <c r="M2" s="555"/>
      <c r="N2" s="555"/>
      <c r="O2" s="555"/>
      <c r="P2" s="555"/>
      <c r="Q2" s="44"/>
      <c r="R2" s="44"/>
      <c r="S2" s="44"/>
      <c r="T2" s="44"/>
      <c r="U2" s="44"/>
      <c r="V2" s="44"/>
      <c r="W2" s="44"/>
      <c r="X2" s="44"/>
      <c r="Y2" s="44"/>
    </row>
    <row r="3" spans="1:25" ht="36.75" customHeight="1" x14ac:dyDescent="0.25">
      <c r="A3" s="595" t="s">
        <v>2748</v>
      </c>
      <c r="B3" s="555"/>
      <c r="C3" s="555"/>
      <c r="D3" s="555"/>
      <c r="E3" s="555"/>
      <c r="F3" s="555"/>
      <c r="G3" s="555"/>
      <c r="H3" s="555"/>
      <c r="I3" s="555"/>
      <c r="J3" s="555"/>
      <c r="K3" s="555"/>
      <c r="L3" s="555"/>
      <c r="M3" s="555"/>
      <c r="N3" s="555"/>
      <c r="O3" s="555"/>
      <c r="P3" s="555"/>
      <c r="Q3" s="43"/>
      <c r="R3" s="43"/>
      <c r="S3" s="43"/>
      <c r="T3" s="43"/>
      <c r="U3" s="43"/>
      <c r="V3" s="43"/>
      <c r="W3" s="43"/>
      <c r="X3" s="43"/>
      <c r="Y3" s="43"/>
    </row>
    <row r="4" spans="1:25" ht="17.25" customHeight="1" x14ac:dyDescent="0.25">
      <c r="A4" s="45"/>
      <c r="B4" s="42"/>
      <c r="C4" s="172"/>
      <c r="D4" s="42"/>
      <c r="E4" s="42"/>
      <c r="F4" s="76"/>
      <c r="G4" s="172"/>
      <c r="H4" s="172"/>
      <c r="I4" s="42"/>
      <c r="J4" s="42"/>
      <c r="K4" s="42"/>
      <c r="L4" s="42"/>
      <c r="M4" s="42"/>
      <c r="N4" s="42"/>
      <c r="O4" s="42"/>
      <c r="P4" s="42"/>
      <c r="Q4" s="42"/>
      <c r="R4" s="173"/>
      <c r="S4" s="173"/>
      <c r="T4" s="173"/>
      <c r="U4" s="173"/>
      <c r="V4" s="173"/>
      <c r="W4" s="173"/>
      <c r="X4" s="173"/>
      <c r="Y4" s="173"/>
    </row>
    <row r="5" spans="1:25" ht="33" customHeight="1" x14ac:dyDescent="0.25">
      <c r="A5" s="173"/>
      <c r="B5" s="174" t="s">
        <v>2613</v>
      </c>
      <c r="C5" s="675" t="s">
        <v>2614</v>
      </c>
      <c r="D5" s="545"/>
      <c r="E5" s="546"/>
      <c r="F5" s="76"/>
      <c r="G5" s="172"/>
      <c r="H5" s="172"/>
      <c r="I5" s="174" t="s">
        <v>2617</v>
      </c>
      <c r="J5" s="175">
        <f>BEMSdar!E7</f>
        <v>46082</v>
      </c>
      <c r="K5" s="176"/>
      <c r="L5" s="176"/>
      <c r="M5" s="177"/>
      <c r="N5" s="42"/>
      <c r="O5" s="42"/>
      <c r="P5" s="42"/>
      <c r="Q5" s="42"/>
      <c r="R5" s="173"/>
      <c r="S5" s="173"/>
      <c r="T5" s="173"/>
      <c r="U5" s="173"/>
      <c r="V5" s="173"/>
      <c r="W5" s="173"/>
      <c r="X5" s="173"/>
      <c r="Y5" s="173"/>
    </row>
    <row r="6" spans="1:25" ht="9" customHeight="1" x14ac:dyDescent="0.25">
      <c r="A6" s="173"/>
      <c r="B6" s="174"/>
      <c r="C6" s="178"/>
      <c r="D6" s="179"/>
      <c r="E6" s="179"/>
      <c r="F6" s="76"/>
      <c r="G6" s="172"/>
      <c r="H6" s="172"/>
      <c r="I6" s="174"/>
      <c r="J6" s="180"/>
      <c r="K6" s="180"/>
      <c r="L6" s="180"/>
      <c r="M6" s="180"/>
      <c r="N6" s="42"/>
      <c r="O6" s="42"/>
      <c r="P6" s="42"/>
      <c r="Q6" s="42"/>
      <c r="R6" s="173"/>
      <c r="S6" s="173"/>
      <c r="T6" s="173"/>
      <c r="U6" s="173"/>
      <c r="V6" s="173"/>
      <c r="W6" s="173"/>
      <c r="X6" s="173"/>
      <c r="Y6" s="173"/>
    </row>
    <row r="7" spans="1:25" ht="39.75" customHeight="1" x14ac:dyDescent="0.25">
      <c r="A7" s="173"/>
      <c r="B7" s="174" t="s">
        <v>2646</v>
      </c>
      <c r="C7" s="675" t="s">
        <v>2616</v>
      </c>
      <c r="D7" s="545"/>
      <c r="E7" s="546"/>
      <c r="F7" s="649" t="s">
        <v>2749</v>
      </c>
      <c r="G7" s="555"/>
      <c r="H7" s="555"/>
      <c r="I7" s="556"/>
      <c r="J7" s="181">
        <f>BEMSdar!E11</f>
        <v>352591.82400000002</v>
      </c>
      <c r="K7" s="182"/>
      <c r="L7" s="182"/>
      <c r="M7" s="183"/>
      <c r="N7" s="42"/>
      <c r="O7" s="42"/>
      <c r="P7" s="42"/>
      <c r="Q7" s="42"/>
      <c r="R7" s="173"/>
      <c r="S7" s="173"/>
      <c r="T7" s="173"/>
      <c r="U7" s="173"/>
      <c r="V7" s="173"/>
      <c r="W7" s="173"/>
      <c r="X7" s="173"/>
      <c r="Y7" s="173"/>
    </row>
    <row r="8" spans="1:25" ht="9" customHeight="1" x14ac:dyDescent="0.25">
      <c r="A8" s="173"/>
      <c r="B8" s="174"/>
      <c r="C8" s="178"/>
      <c r="D8" s="179"/>
      <c r="E8" s="179"/>
      <c r="F8" s="81"/>
      <c r="G8" s="184"/>
      <c r="H8" s="184"/>
      <c r="I8" s="78"/>
      <c r="J8" s="180"/>
      <c r="K8" s="180"/>
      <c r="L8" s="180"/>
      <c r="M8" s="180"/>
      <c r="N8" s="42"/>
      <c r="O8" s="42"/>
      <c r="P8" s="42"/>
      <c r="Q8" s="42"/>
      <c r="R8" s="173"/>
      <c r="S8" s="173"/>
      <c r="T8" s="173"/>
      <c r="U8" s="173"/>
      <c r="V8" s="173"/>
      <c r="W8" s="173"/>
      <c r="X8" s="173"/>
      <c r="Y8" s="173"/>
    </row>
    <row r="9" spans="1:25" ht="40.5" customHeight="1" x14ac:dyDescent="0.25">
      <c r="A9" s="173"/>
      <c r="B9" s="174" t="s">
        <v>2648</v>
      </c>
      <c r="C9" s="675" t="s">
        <v>2649</v>
      </c>
      <c r="D9" s="545"/>
      <c r="E9" s="546"/>
      <c r="F9" s="649" t="s">
        <v>2651</v>
      </c>
      <c r="G9" s="555"/>
      <c r="H9" s="555"/>
      <c r="I9" s="556"/>
      <c r="J9" s="185">
        <f>BEMSdar!E13</f>
        <v>9040.8159999999916</v>
      </c>
      <c r="K9" s="186"/>
      <c r="L9" s="186"/>
      <c r="M9" s="187"/>
      <c r="N9" s="42"/>
      <c r="O9" s="42"/>
      <c r="P9" s="42"/>
      <c r="Q9" s="42"/>
      <c r="R9" s="173"/>
      <c r="S9" s="173"/>
      <c r="T9" s="173"/>
      <c r="U9" s="173"/>
      <c r="V9" s="173"/>
      <c r="W9" s="173"/>
      <c r="X9" s="173"/>
      <c r="Y9" s="173"/>
    </row>
    <row r="10" spans="1:25" ht="12.75" customHeight="1" x14ac:dyDescent="0.25">
      <c r="A10" s="39"/>
      <c r="B10" s="39"/>
      <c r="C10" s="188"/>
      <c r="D10" s="189"/>
      <c r="E10" s="190"/>
      <c r="F10" s="76"/>
      <c r="G10" s="172"/>
      <c r="H10" s="172"/>
      <c r="I10" s="191"/>
      <c r="J10" s="39"/>
      <c r="K10" s="192"/>
      <c r="L10" s="39"/>
      <c r="M10" s="39"/>
      <c r="N10" s="42"/>
      <c r="O10" s="42"/>
      <c r="P10" s="42"/>
      <c r="Q10" s="42"/>
      <c r="R10" s="39"/>
      <c r="S10" s="39"/>
      <c r="T10" s="39"/>
      <c r="U10" s="39"/>
      <c r="V10" s="39"/>
      <c r="W10" s="39"/>
      <c r="X10" s="39"/>
      <c r="Y10" s="39"/>
    </row>
    <row r="11" spans="1:25" ht="18" x14ac:dyDescent="0.25">
      <c r="A11" s="173" t="s">
        <v>2652</v>
      </c>
      <c r="B11" s="173"/>
      <c r="C11" s="193"/>
      <c r="D11" s="173"/>
      <c r="E11" s="173"/>
      <c r="F11" s="76"/>
      <c r="G11" s="172"/>
      <c r="H11" s="172"/>
      <c r="I11" s="173"/>
      <c r="J11" s="173"/>
      <c r="K11" s="173"/>
      <c r="L11" s="173"/>
      <c r="M11" s="173"/>
      <c r="N11" s="42"/>
      <c r="O11" s="42"/>
      <c r="P11" s="42"/>
      <c r="Q11" s="42"/>
      <c r="R11" s="173"/>
      <c r="S11" s="173"/>
      <c r="T11" s="173"/>
      <c r="U11" s="173"/>
      <c r="V11" s="173"/>
      <c r="W11" s="173"/>
      <c r="X11" s="173"/>
      <c r="Y11" s="173"/>
    </row>
    <row r="12" spans="1:25" ht="18" x14ac:dyDescent="0.25">
      <c r="A12" s="173" t="s">
        <v>2653</v>
      </c>
      <c r="B12" s="173"/>
      <c r="C12" s="193"/>
      <c r="D12" s="173"/>
      <c r="E12" s="173"/>
      <c r="F12" s="180"/>
      <c r="G12" s="193"/>
      <c r="H12" s="193"/>
      <c r="I12" s="173"/>
      <c r="J12" s="173"/>
      <c r="K12" s="173"/>
      <c r="L12" s="173"/>
      <c r="M12" s="173"/>
      <c r="N12" s="42"/>
      <c r="O12" s="42"/>
      <c r="P12" s="42"/>
      <c r="Q12" s="42"/>
      <c r="R12" s="173"/>
      <c r="S12" s="173"/>
      <c r="T12" s="173"/>
      <c r="U12" s="173"/>
      <c r="V12" s="173"/>
      <c r="W12" s="173"/>
      <c r="X12" s="173"/>
      <c r="Y12" s="173"/>
    </row>
    <row r="13" spans="1:25" ht="18" x14ac:dyDescent="0.25">
      <c r="A13" s="173" t="s">
        <v>2750</v>
      </c>
      <c r="B13" s="173"/>
      <c r="C13" s="193"/>
      <c r="D13" s="173"/>
      <c r="E13" s="173"/>
      <c r="F13" s="180"/>
      <c r="G13" s="193"/>
      <c r="H13" s="193"/>
      <c r="I13" s="173"/>
      <c r="J13" s="173"/>
      <c r="K13" s="173" t="s">
        <v>2695</v>
      </c>
      <c r="L13" s="173"/>
      <c r="M13" s="173"/>
      <c r="N13" s="42"/>
      <c r="O13" s="42"/>
      <c r="P13" s="42"/>
      <c r="Q13" s="42"/>
      <c r="R13" s="173"/>
      <c r="S13" s="173"/>
      <c r="T13" s="173"/>
      <c r="U13" s="173"/>
      <c r="V13" s="173"/>
      <c r="W13" s="173"/>
      <c r="X13" s="173"/>
      <c r="Y13" s="173"/>
    </row>
    <row r="14" spans="1:25" x14ac:dyDescent="0.25">
      <c r="A14" s="173" t="s">
        <v>2751</v>
      </c>
      <c r="B14" s="173"/>
      <c r="C14" s="193"/>
      <c r="D14" s="173"/>
      <c r="E14" s="173"/>
      <c r="F14" s="180"/>
      <c r="G14" s="193"/>
      <c r="H14" s="193"/>
      <c r="I14" s="173"/>
      <c r="J14" s="173"/>
      <c r="K14" s="173"/>
      <c r="L14" s="173"/>
      <c r="M14" s="173"/>
      <c r="N14" s="173"/>
      <c r="O14" s="173"/>
      <c r="P14" s="173"/>
      <c r="Q14" s="116"/>
      <c r="R14" s="173"/>
      <c r="S14" s="173"/>
      <c r="T14" s="173"/>
      <c r="U14" s="173"/>
      <c r="V14" s="173"/>
      <c r="W14" s="173"/>
      <c r="X14" s="173"/>
      <c r="Y14" s="173"/>
    </row>
    <row r="15" spans="1:25" x14ac:dyDescent="0.25">
      <c r="A15" s="173" t="s">
        <v>2752</v>
      </c>
      <c r="B15" s="173"/>
      <c r="C15" s="193"/>
      <c r="D15" s="173"/>
      <c r="E15" s="173"/>
      <c r="F15" s="180"/>
      <c r="G15" s="193"/>
      <c r="H15" s="193"/>
      <c r="I15" s="173"/>
      <c r="J15" s="173"/>
      <c r="K15" s="173"/>
      <c r="L15" s="173"/>
      <c r="M15" s="173"/>
      <c r="N15" s="173"/>
      <c r="O15" s="173"/>
      <c r="P15" s="173"/>
      <c r="Q15" s="116"/>
      <c r="R15" s="173"/>
      <c r="S15" s="173"/>
      <c r="T15" s="173"/>
      <c r="U15" s="173"/>
      <c r="V15" s="173"/>
      <c r="W15" s="173"/>
      <c r="X15" s="173"/>
      <c r="Y15" s="173"/>
    </row>
    <row r="16" spans="1:25" x14ac:dyDescent="0.25">
      <c r="A16" s="173" t="s">
        <v>2753</v>
      </c>
      <c r="B16" s="173"/>
      <c r="C16" s="193"/>
      <c r="D16" s="173"/>
      <c r="E16" s="173"/>
      <c r="F16" s="180"/>
      <c r="G16" s="193"/>
      <c r="H16" s="193"/>
      <c r="I16" s="173"/>
      <c r="J16" s="173"/>
      <c r="K16" s="173"/>
      <c r="L16" s="173"/>
      <c r="M16" s="173"/>
      <c r="N16" s="173"/>
      <c r="O16" s="173"/>
      <c r="P16" s="173"/>
      <c r="Q16" s="116"/>
      <c r="R16" s="173"/>
      <c r="S16" s="173"/>
      <c r="T16" s="173"/>
      <c r="U16" s="173"/>
      <c r="V16" s="173"/>
      <c r="W16" s="173"/>
      <c r="X16" s="173"/>
      <c r="Y16" s="173"/>
    </row>
    <row r="17" spans="1:25" ht="10.5" customHeight="1" x14ac:dyDescent="0.25">
      <c r="A17" s="173"/>
      <c r="B17" s="173"/>
      <c r="C17" s="193"/>
      <c r="D17" s="173"/>
      <c r="E17" s="173"/>
      <c r="F17" s="180"/>
      <c r="G17" s="193"/>
      <c r="H17" s="193"/>
      <c r="I17" s="173"/>
      <c r="J17" s="173"/>
      <c r="K17" s="173"/>
      <c r="L17" s="173"/>
      <c r="M17" s="173"/>
      <c r="N17" s="173"/>
      <c r="O17" s="173"/>
      <c r="P17" s="173"/>
      <c r="Q17" s="116"/>
      <c r="R17" s="173"/>
      <c r="S17" s="173"/>
      <c r="T17" s="173"/>
      <c r="U17" s="173"/>
      <c r="V17" s="173"/>
      <c r="W17" s="173"/>
      <c r="X17" s="173"/>
      <c r="Y17" s="173"/>
    </row>
    <row r="18" spans="1:25" ht="57" x14ac:dyDescent="0.25">
      <c r="A18" s="194" t="s">
        <v>2623</v>
      </c>
      <c r="B18" s="195" t="s">
        <v>2754</v>
      </c>
      <c r="C18" s="196" t="s">
        <v>2755</v>
      </c>
      <c r="D18" s="197" t="s">
        <v>2756</v>
      </c>
      <c r="E18" s="197" t="s">
        <v>2757</v>
      </c>
      <c r="F18" s="198" t="s">
        <v>2662</v>
      </c>
      <c r="G18" s="196" t="s">
        <v>2758</v>
      </c>
      <c r="H18" s="196" t="s">
        <v>2759</v>
      </c>
      <c r="I18" s="195" t="s">
        <v>2760</v>
      </c>
      <c r="J18" s="195" t="s">
        <v>6</v>
      </c>
      <c r="K18" s="199" t="s">
        <v>2761</v>
      </c>
      <c r="L18" s="195" t="s">
        <v>2660</v>
      </c>
      <c r="M18" s="200" t="s">
        <v>2722</v>
      </c>
      <c r="N18" s="195" t="s">
        <v>2762</v>
      </c>
      <c r="O18" s="195" t="s">
        <v>2672</v>
      </c>
      <c r="P18" s="195" t="s">
        <v>2726</v>
      </c>
      <c r="Q18" s="201"/>
      <c r="R18" s="201"/>
      <c r="S18" s="201"/>
      <c r="T18" s="201"/>
      <c r="U18" s="201"/>
      <c r="V18" s="201"/>
      <c r="W18" s="201"/>
      <c r="X18" s="201"/>
      <c r="Y18" s="201"/>
    </row>
    <row r="19" spans="1:25" ht="27" customHeight="1" x14ac:dyDescent="0.25">
      <c r="A19" s="678" t="s">
        <v>2763</v>
      </c>
      <c r="B19" s="545"/>
      <c r="C19" s="545"/>
      <c r="D19" s="545"/>
      <c r="E19" s="545"/>
      <c r="F19" s="545"/>
      <c r="G19" s="545"/>
      <c r="H19" s="545"/>
      <c r="I19" s="545"/>
      <c r="J19" s="545"/>
      <c r="K19" s="545"/>
      <c r="L19" s="545"/>
      <c r="M19" s="545"/>
      <c r="N19" s="545"/>
      <c r="O19" s="545"/>
      <c r="P19" s="546"/>
      <c r="Q19" s="201"/>
      <c r="R19" s="201"/>
      <c r="S19" s="201"/>
      <c r="T19" s="201"/>
      <c r="U19" s="201"/>
      <c r="V19" s="201"/>
      <c r="W19" s="201"/>
      <c r="X19" s="201"/>
      <c r="Y19" s="201"/>
    </row>
    <row r="20" spans="1:25" ht="91.5" customHeight="1" x14ac:dyDescent="0.25">
      <c r="A20" s="202">
        <v>1</v>
      </c>
      <c r="B20" s="203" t="s">
        <v>4841</v>
      </c>
      <c r="C20" s="204">
        <v>46057</v>
      </c>
      <c r="D20" s="203"/>
      <c r="E20" s="203" t="s">
        <v>4842</v>
      </c>
      <c r="F20" s="203" t="s">
        <v>3116</v>
      </c>
      <c r="G20" s="204">
        <v>46057</v>
      </c>
      <c r="H20" s="204">
        <v>46083</v>
      </c>
      <c r="I20" s="203" t="s">
        <v>4843</v>
      </c>
      <c r="J20" s="203" t="s">
        <v>3453</v>
      </c>
      <c r="K20" s="203" t="s">
        <v>4844</v>
      </c>
      <c r="L20" s="205">
        <v>0</v>
      </c>
      <c r="M20" s="206"/>
      <c r="N20" s="207" t="s">
        <v>2678</v>
      </c>
      <c r="O20" s="208" t="s">
        <v>4846</v>
      </c>
      <c r="P20" s="209" t="s">
        <v>4845</v>
      </c>
      <c r="Q20" s="201"/>
      <c r="R20" s="201"/>
      <c r="S20" s="201"/>
      <c r="T20" s="201"/>
      <c r="U20" s="201"/>
      <c r="V20" s="201"/>
      <c r="W20" s="201"/>
      <c r="X20" s="201"/>
      <c r="Y20" s="201"/>
    </row>
    <row r="21" spans="1:25" ht="27" customHeight="1" x14ac:dyDescent="0.25">
      <c r="A21" s="210" t="s">
        <v>2764</v>
      </c>
      <c r="B21" s="211"/>
      <c r="C21" s="212"/>
      <c r="D21" s="203"/>
      <c r="E21" s="211"/>
      <c r="F21" s="211"/>
      <c r="G21" s="212"/>
      <c r="H21" s="212"/>
      <c r="I21" s="211"/>
      <c r="J21" s="211"/>
      <c r="K21" s="211"/>
      <c r="L21" s="211"/>
      <c r="M21" s="211"/>
      <c r="N21" s="211"/>
      <c r="O21" s="211"/>
      <c r="P21" s="211"/>
      <c r="Q21" s="201"/>
      <c r="R21" s="201"/>
      <c r="S21" s="201"/>
      <c r="T21" s="201"/>
      <c r="U21" s="201"/>
      <c r="V21" s="201"/>
      <c r="W21" s="201"/>
      <c r="X21" s="201"/>
      <c r="Y21" s="201"/>
    </row>
    <row r="22" spans="1:25" ht="65.25" customHeight="1" x14ac:dyDescent="0.25">
      <c r="A22" s="213">
        <v>1</v>
      </c>
      <c r="B22" s="203"/>
      <c r="C22" s="214"/>
      <c r="D22" s="203"/>
      <c r="E22" s="203"/>
      <c r="F22" s="203"/>
      <c r="G22" s="214"/>
      <c r="H22" s="214"/>
      <c r="I22" s="203"/>
      <c r="J22" s="203"/>
      <c r="K22" s="203"/>
      <c r="L22" s="203"/>
      <c r="M22" s="215"/>
      <c r="N22" s="216"/>
      <c r="O22" s="217"/>
      <c r="P22" s="209"/>
      <c r="Q22" s="218"/>
      <c r="R22" s="218"/>
      <c r="S22" s="218"/>
      <c r="T22" s="218"/>
      <c r="U22" s="218"/>
      <c r="V22" s="218"/>
      <c r="W22" s="218"/>
      <c r="X22" s="218"/>
      <c r="Y22" s="218"/>
    </row>
    <row r="23" spans="1:25" ht="30.75" customHeight="1" x14ac:dyDescent="0.25">
      <c r="A23" s="676" t="s">
        <v>2765</v>
      </c>
      <c r="B23" s="545"/>
      <c r="C23" s="545"/>
      <c r="D23" s="545"/>
      <c r="E23" s="545"/>
      <c r="F23" s="545"/>
      <c r="G23" s="545"/>
      <c r="H23" s="545"/>
      <c r="I23" s="545"/>
      <c r="J23" s="545"/>
      <c r="K23" s="545"/>
      <c r="L23" s="545"/>
      <c r="M23" s="545"/>
      <c r="N23" s="546"/>
      <c r="O23" s="219">
        <v>0</v>
      </c>
      <c r="P23" s="220"/>
      <c r="Q23" s="78"/>
      <c r="R23" s="78"/>
      <c r="S23" s="78"/>
      <c r="T23" s="78"/>
      <c r="U23" s="78"/>
      <c r="V23" s="78"/>
      <c r="W23" s="78"/>
      <c r="X23" s="78"/>
      <c r="Y23" s="78"/>
    </row>
    <row r="24" spans="1:25" ht="15.75" customHeight="1" x14ac:dyDescent="0.25">
      <c r="A24" s="173"/>
      <c r="B24" s="173"/>
      <c r="C24" s="193"/>
      <c r="D24" s="173"/>
      <c r="E24" s="173"/>
      <c r="F24" s="180"/>
      <c r="G24" s="193"/>
      <c r="H24" s="193"/>
      <c r="I24" s="173"/>
      <c r="J24" s="173"/>
      <c r="K24" s="173"/>
      <c r="L24" s="173"/>
      <c r="M24" s="173"/>
      <c r="N24" s="173"/>
      <c r="O24" s="173"/>
      <c r="P24" s="173"/>
      <c r="Q24" s="173"/>
      <c r="R24" s="173"/>
      <c r="S24" s="173"/>
      <c r="T24" s="173"/>
      <c r="U24" s="173"/>
      <c r="V24" s="173"/>
      <c r="W24" s="173"/>
      <c r="X24" s="173"/>
      <c r="Y24" s="173"/>
    </row>
    <row r="25" spans="1:25" ht="15.75" customHeight="1" x14ac:dyDescent="0.25">
      <c r="A25" s="173"/>
      <c r="B25" s="173"/>
      <c r="C25" s="193"/>
      <c r="D25" s="173"/>
      <c r="E25" s="173"/>
      <c r="F25" s="180"/>
      <c r="G25" s="193"/>
      <c r="H25" s="193"/>
      <c r="I25" s="173"/>
      <c r="J25" s="173"/>
      <c r="K25" s="173"/>
      <c r="L25" s="173"/>
      <c r="M25" s="173"/>
      <c r="N25" s="173"/>
      <c r="O25" s="173"/>
      <c r="P25" s="173"/>
      <c r="Q25" s="173"/>
      <c r="R25" s="173"/>
      <c r="S25" s="173"/>
      <c r="T25" s="173"/>
      <c r="U25" s="173"/>
      <c r="V25" s="173"/>
      <c r="W25" s="173"/>
      <c r="X25" s="173"/>
      <c r="Y25" s="173"/>
    </row>
    <row r="26" spans="1:25" ht="15.75" customHeight="1" x14ac:dyDescent="0.25">
      <c r="A26" s="173"/>
      <c r="B26" s="173"/>
      <c r="C26" s="193"/>
      <c r="D26" s="173"/>
      <c r="E26" s="173"/>
      <c r="F26" s="180"/>
      <c r="G26" s="193"/>
      <c r="H26" s="193"/>
      <c r="I26" s="173"/>
      <c r="J26" s="173"/>
      <c r="K26" s="173"/>
      <c r="L26" s="173"/>
      <c r="M26" s="173"/>
      <c r="N26" s="173"/>
      <c r="O26" s="173"/>
      <c r="P26" s="173"/>
      <c r="Q26" s="173"/>
      <c r="R26" s="173"/>
      <c r="S26" s="173"/>
      <c r="T26" s="173"/>
      <c r="U26" s="173"/>
      <c r="V26" s="173"/>
      <c r="W26" s="173"/>
      <c r="X26" s="173"/>
      <c r="Y26" s="173"/>
    </row>
    <row r="27" spans="1:25" ht="15.75" customHeight="1" x14ac:dyDescent="0.25">
      <c r="A27" s="173"/>
      <c r="B27" s="173"/>
      <c r="C27" s="193"/>
      <c r="D27" s="173"/>
      <c r="E27" s="173"/>
      <c r="F27" s="180"/>
      <c r="G27" s="193"/>
      <c r="H27" s="193"/>
      <c r="I27" s="173"/>
      <c r="J27" s="173"/>
      <c r="K27" s="173"/>
      <c r="L27" s="173"/>
      <c r="M27" s="173"/>
      <c r="N27" s="173"/>
      <c r="O27" s="173"/>
      <c r="P27" s="173"/>
      <c r="Q27" s="173"/>
      <c r="R27" s="173"/>
      <c r="S27" s="173"/>
      <c r="T27" s="173"/>
      <c r="U27" s="173"/>
      <c r="V27" s="173"/>
      <c r="W27" s="173"/>
      <c r="X27" s="173"/>
      <c r="Y27" s="173"/>
    </row>
    <row r="28" spans="1:25" ht="15.75" customHeight="1" x14ac:dyDescent="0.25">
      <c r="A28" s="173"/>
      <c r="B28" s="173"/>
      <c r="C28" s="193"/>
      <c r="D28" s="173"/>
      <c r="E28" s="173"/>
      <c r="F28" s="180"/>
      <c r="G28" s="193"/>
      <c r="H28" s="193"/>
      <c r="I28" s="173"/>
      <c r="J28" s="173"/>
      <c r="K28" s="173"/>
      <c r="L28" s="173"/>
      <c r="M28" s="173"/>
      <c r="N28" s="173"/>
      <c r="O28" s="173"/>
      <c r="P28" s="173"/>
      <c r="Q28" s="173"/>
      <c r="R28" s="173"/>
      <c r="S28" s="173"/>
      <c r="T28" s="173"/>
      <c r="U28" s="173"/>
      <c r="V28" s="173"/>
      <c r="W28" s="173"/>
      <c r="X28" s="173"/>
      <c r="Y28" s="173"/>
    </row>
    <row r="29" spans="1:25" ht="15.75" customHeight="1" x14ac:dyDescent="0.25">
      <c r="A29" s="173"/>
      <c r="B29" s="173"/>
      <c r="C29" s="193"/>
      <c r="D29" s="173"/>
      <c r="E29" s="173"/>
      <c r="F29" s="180"/>
      <c r="G29" s="193"/>
      <c r="H29" s="193"/>
      <c r="I29" s="173"/>
      <c r="J29" s="173"/>
      <c r="K29" s="173"/>
      <c r="L29" s="173"/>
      <c r="M29" s="173"/>
      <c r="N29" s="173"/>
      <c r="O29" s="173"/>
      <c r="P29" s="173"/>
      <c r="Q29" s="173"/>
      <c r="R29" s="173"/>
      <c r="S29" s="173"/>
      <c r="T29" s="173"/>
      <c r="U29" s="173"/>
      <c r="V29" s="173"/>
      <c r="W29" s="173"/>
      <c r="X29" s="173"/>
      <c r="Y29" s="173"/>
    </row>
    <row r="30" spans="1:25" ht="15.75" customHeight="1" x14ac:dyDescent="0.25">
      <c r="A30" s="173"/>
      <c r="B30" s="173"/>
      <c r="C30" s="193"/>
      <c r="D30" s="173"/>
      <c r="E30" s="173"/>
      <c r="F30" s="180"/>
      <c r="G30" s="193"/>
      <c r="H30" s="193"/>
      <c r="I30" s="173"/>
      <c r="J30" s="173"/>
      <c r="K30" s="173"/>
      <c r="L30" s="173"/>
      <c r="M30" s="173"/>
      <c r="N30" s="173"/>
      <c r="O30" s="173"/>
      <c r="P30" s="173"/>
      <c r="Q30" s="173"/>
      <c r="R30" s="173"/>
      <c r="S30" s="173"/>
      <c r="T30" s="173"/>
      <c r="U30" s="173"/>
      <c r="V30" s="173"/>
      <c r="W30" s="173"/>
      <c r="X30" s="173"/>
      <c r="Y30" s="173"/>
    </row>
    <row r="31" spans="1:25" ht="15.75" customHeight="1" x14ac:dyDescent="0.25">
      <c r="A31" s="173"/>
      <c r="B31" s="173"/>
      <c r="C31" s="193"/>
      <c r="D31" s="173"/>
      <c r="E31" s="173"/>
      <c r="F31" s="180"/>
      <c r="G31" s="193"/>
      <c r="H31" s="193"/>
      <c r="I31" s="173"/>
      <c r="J31" s="173"/>
      <c r="K31" s="173"/>
      <c r="L31" s="173"/>
      <c r="M31" s="173"/>
      <c r="N31" s="173"/>
      <c r="O31" s="173"/>
      <c r="P31" s="173"/>
      <c r="Q31" s="173"/>
      <c r="R31" s="173"/>
      <c r="S31" s="173"/>
      <c r="T31" s="173"/>
      <c r="U31" s="173"/>
      <c r="V31" s="173"/>
      <c r="W31" s="173"/>
      <c r="X31" s="173"/>
      <c r="Y31" s="173"/>
    </row>
    <row r="32" spans="1:25" ht="15.75" customHeight="1" x14ac:dyDescent="0.25">
      <c r="A32" s="173"/>
      <c r="B32" s="173"/>
      <c r="C32" s="193"/>
      <c r="D32" s="173"/>
      <c r="E32" s="173"/>
      <c r="F32" s="180"/>
      <c r="G32" s="193"/>
      <c r="H32" s="193"/>
      <c r="I32" s="173"/>
      <c r="J32" s="173"/>
      <c r="K32" s="173"/>
      <c r="L32" s="173"/>
      <c r="M32" s="173"/>
      <c r="N32" s="173"/>
      <c r="O32" s="173"/>
      <c r="P32" s="173"/>
      <c r="Q32" s="173"/>
      <c r="R32" s="173"/>
      <c r="S32" s="173"/>
      <c r="T32" s="173"/>
      <c r="U32" s="173"/>
      <c r="V32" s="173"/>
      <c r="W32" s="173"/>
      <c r="X32" s="173"/>
      <c r="Y32" s="173"/>
    </row>
    <row r="33" spans="1:25" ht="15.75" customHeight="1" x14ac:dyDescent="0.25">
      <c r="A33" s="173"/>
      <c r="B33" s="173"/>
      <c r="C33" s="193"/>
      <c r="D33" s="173"/>
      <c r="E33" s="173"/>
      <c r="F33" s="180"/>
      <c r="G33" s="193"/>
      <c r="H33" s="193"/>
      <c r="I33" s="173"/>
      <c r="J33" s="173"/>
      <c r="K33" s="173"/>
      <c r="L33" s="173"/>
      <c r="M33" s="173"/>
      <c r="N33" s="173"/>
      <c r="O33" s="173"/>
      <c r="P33" s="173"/>
      <c r="Q33" s="173"/>
      <c r="R33" s="173"/>
      <c r="S33" s="173"/>
      <c r="T33" s="173"/>
      <c r="U33" s="173"/>
      <c r="V33" s="173"/>
      <c r="W33" s="173"/>
      <c r="X33" s="173"/>
      <c r="Y33" s="173"/>
    </row>
    <row r="34" spans="1:25" ht="15.75" customHeight="1" x14ac:dyDescent="0.25">
      <c r="A34" s="173"/>
      <c r="B34" s="173"/>
      <c r="C34" s="193"/>
      <c r="D34" s="173"/>
      <c r="E34" s="173"/>
      <c r="F34" s="180"/>
      <c r="G34" s="193"/>
      <c r="H34" s="193"/>
      <c r="I34" s="173"/>
      <c r="J34" s="173"/>
      <c r="K34" s="173"/>
      <c r="L34" s="173"/>
      <c r="M34" s="173"/>
      <c r="N34" s="173"/>
      <c r="O34" s="173"/>
      <c r="P34" s="173"/>
      <c r="Q34" s="173"/>
      <c r="R34" s="173"/>
      <c r="S34" s="173"/>
      <c r="T34" s="173"/>
      <c r="U34" s="173"/>
      <c r="V34" s="173"/>
      <c r="W34" s="173"/>
      <c r="X34" s="173"/>
      <c r="Y34" s="173"/>
    </row>
    <row r="35" spans="1:25" ht="15.75" customHeight="1" x14ac:dyDescent="0.25">
      <c r="A35" s="173"/>
      <c r="B35" s="173"/>
      <c r="C35" s="193"/>
      <c r="D35" s="173"/>
      <c r="E35" s="173"/>
      <c r="F35" s="180"/>
      <c r="G35" s="193"/>
      <c r="H35" s="193"/>
      <c r="I35" s="173"/>
      <c r="J35" s="173"/>
      <c r="K35" s="173"/>
      <c r="L35" s="173"/>
      <c r="M35" s="173"/>
      <c r="N35" s="173"/>
      <c r="O35" s="173"/>
      <c r="P35" s="173"/>
      <c r="Q35" s="173"/>
      <c r="R35" s="173"/>
      <c r="S35" s="173"/>
      <c r="T35" s="173"/>
      <c r="U35" s="173"/>
      <c r="V35" s="173"/>
      <c r="W35" s="173"/>
      <c r="X35" s="173"/>
      <c r="Y35" s="173"/>
    </row>
    <row r="36" spans="1:25" ht="15.75" customHeight="1" x14ac:dyDescent="0.25">
      <c r="A36" s="173"/>
      <c r="B36" s="173"/>
      <c r="C36" s="193"/>
      <c r="D36" s="173"/>
      <c r="E36" s="173"/>
      <c r="F36" s="180"/>
      <c r="G36" s="193"/>
      <c r="H36" s="193"/>
      <c r="I36" s="173"/>
      <c r="J36" s="173"/>
      <c r="K36" s="173"/>
      <c r="L36" s="173"/>
      <c r="M36" s="173"/>
      <c r="N36" s="173"/>
      <c r="O36" s="173"/>
      <c r="P36" s="173"/>
      <c r="Q36" s="173"/>
      <c r="R36" s="173"/>
      <c r="S36" s="173"/>
      <c r="T36" s="173"/>
      <c r="U36" s="173"/>
      <c r="V36" s="173"/>
      <c r="W36" s="173"/>
      <c r="X36" s="173"/>
      <c r="Y36" s="173"/>
    </row>
    <row r="37" spans="1:25" ht="15.75" customHeight="1" x14ac:dyDescent="0.25">
      <c r="A37" s="173"/>
      <c r="B37" s="173"/>
      <c r="C37" s="193"/>
      <c r="D37" s="173"/>
      <c r="E37" s="173"/>
      <c r="F37" s="180"/>
      <c r="G37" s="193"/>
      <c r="H37" s="193"/>
      <c r="I37" s="173"/>
      <c r="J37" s="173"/>
      <c r="K37" s="173"/>
      <c r="L37" s="173"/>
      <c r="M37" s="173"/>
      <c r="N37" s="173"/>
      <c r="O37" s="173"/>
      <c r="P37" s="173"/>
      <c r="Q37" s="173"/>
      <c r="R37" s="173"/>
      <c r="S37" s="173"/>
      <c r="T37" s="173"/>
      <c r="U37" s="173"/>
      <c r="V37" s="173"/>
      <c r="W37" s="173"/>
      <c r="X37" s="173"/>
      <c r="Y37" s="173"/>
    </row>
    <row r="38" spans="1:25" ht="15.75" customHeight="1" x14ac:dyDescent="0.25">
      <c r="A38" s="173"/>
      <c r="B38" s="173"/>
      <c r="C38" s="193"/>
      <c r="D38" s="173"/>
      <c r="E38" s="173"/>
      <c r="F38" s="180"/>
      <c r="G38" s="193"/>
      <c r="H38" s="193"/>
      <c r="I38" s="173"/>
      <c r="J38" s="173"/>
      <c r="K38" s="173"/>
      <c r="L38" s="173"/>
      <c r="M38" s="173"/>
      <c r="N38" s="173"/>
      <c r="O38" s="173"/>
      <c r="P38" s="173"/>
      <c r="Q38" s="173"/>
      <c r="R38" s="173"/>
      <c r="S38" s="173"/>
      <c r="T38" s="173"/>
      <c r="U38" s="173"/>
      <c r="V38" s="173"/>
      <c r="W38" s="173"/>
      <c r="X38" s="173"/>
      <c r="Y38" s="173"/>
    </row>
    <row r="39" spans="1:25" ht="15.75" customHeight="1" x14ac:dyDescent="0.25">
      <c r="A39" s="173"/>
      <c r="B39" s="173"/>
      <c r="C39" s="193"/>
      <c r="D39" s="173"/>
      <c r="E39" s="173"/>
      <c r="F39" s="180"/>
      <c r="G39" s="193"/>
      <c r="H39" s="193"/>
      <c r="I39" s="173"/>
      <c r="J39" s="173"/>
      <c r="K39" s="173"/>
      <c r="L39" s="173"/>
      <c r="M39" s="173"/>
      <c r="N39" s="173"/>
      <c r="O39" s="173"/>
      <c r="P39" s="173"/>
      <c r="Q39" s="173"/>
      <c r="R39" s="173"/>
      <c r="S39" s="173"/>
      <c r="T39" s="173"/>
      <c r="U39" s="173"/>
      <c r="V39" s="173"/>
      <c r="W39" s="173"/>
      <c r="X39" s="173"/>
      <c r="Y39" s="173"/>
    </row>
    <row r="40" spans="1:25" ht="15.75" customHeight="1" x14ac:dyDescent="0.25">
      <c r="A40" s="173"/>
      <c r="B40" s="173"/>
      <c r="C40" s="193"/>
      <c r="D40" s="173"/>
      <c r="E40" s="173"/>
      <c r="F40" s="180"/>
      <c r="G40" s="193"/>
      <c r="H40" s="193"/>
      <c r="I40" s="173"/>
      <c r="J40" s="173"/>
      <c r="K40" s="173"/>
      <c r="L40" s="173"/>
      <c r="M40" s="173"/>
      <c r="N40" s="173"/>
      <c r="O40" s="173"/>
      <c r="P40" s="173"/>
      <c r="Q40" s="173"/>
      <c r="R40" s="173"/>
      <c r="S40" s="173"/>
      <c r="T40" s="173"/>
      <c r="U40" s="173"/>
      <c r="V40" s="173"/>
      <c r="W40" s="173"/>
      <c r="X40" s="173"/>
      <c r="Y40" s="173"/>
    </row>
    <row r="41" spans="1:25" ht="15.75" customHeight="1" x14ac:dyDescent="0.25">
      <c r="A41" s="173"/>
      <c r="B41" s="173"/>
      <c r="C41" s="193"/>
      <c r="D41" s="173"/>
      <c r="E41" s="173"/>
      <c r="F41" s="180"/>
      <c r="G41" s="193"/>
      <c r="H41" s="193"/>
      <c r="I41" s="173"/>
      <c r="J41" s="173"/>
      <c r="K41" s="173"/>
      <c r="L41" s="173"/>
      <c r="M41" s="173"/>
      <c r="N41" s="173"/>
      <c r="O41" s="173"/>
      <c r="P41" s="173"/>
      <c r="Q41" s="173"/>
      <c r="R41" s="173"/>
      <c r="S41" s="173"/>
      <c r="T41" s="173"/>
      <c r="U41" s="173"/>
      <c r="V41" s="173"/>
      <c r="W41" s="173"/>
      <c r="X41" s="173"/>
      <c r="Y41" s="173"/>
    </row>
    <row r="42" spans="1:25" ht="15.75" customHeight="1" x14ac:dyDescent="0.25">
      <c r="A42" s="173"/>
      <c r="B42" s="173"/>
      <c r="C42" s="193"/>
      <c r="D42" s="173"/>
      <c r="E42" s="173"/>
      <c r="F42" s="180"/>
      <c r="G42" s="193"/>
      <c r="H42" s="193"/>
      <c r="I42" s="173"/>
      <c r="J42" s="173"/>
      <c r="K42" s="173"/>
      <c r="L42" s="173"/>
      <c r="M42" s="173"/>
      <c r="N42" s="173"/>
      <c r="O42" s="173"/>
      <c r="P42" s="173"/>
      <c r="Q42" s="173"/>
      <c r="R42" s="173"/>
      <c r="S42" s="173"/>
      <c r="T42" s="173"/>
      <c r="U42" s="173"/>
      <c r="V42" s="173"/>
      <c r="W42" s="173"/>
      <c r="X42" s="173"/>
      <c r="Y42" s="173"/>
    </row>
    <row r="43" spans="1:25" ht="15.75" customHeight="1" x14ac:dyDescent="0.25">
      <c r="A43" s="173"/>
      <c r="B43" s="173"/>
      <c r="C43" s="193"/>
      <c r="D43" s="173"/>
      <c r="E43" s="173"/>
      <c r="F43" s="180"/>
      <c r="G43" s="193"/>
      <c r="H43" s="193"/>
      <c r="I43" s="173"/>
      <c r="J43" s="173"/>
      <c r="K43" s="173"/>
      <c r="L43" s="173"/>
      <c r="M43" s="173"/>
      <c r="N43" s="173"/>
      <c r="O43" s="173"/>
      <c r="P43" s="173"/>
      <c r="Q43" s="173"/>
      <c r="R43" s="173"/>
      <c r="S43" s="173"/>
      <c r="T43" s="173"/>
      <c r="U43" s="173"/>
      <c r="V43" s="173"/>
      <c r="W43" s="173"/>
      <c r="X43" s="173"/>
      <c r="Y43" s="173"/>
    </row>
    <row r="44" spans="1:25" ht="15.75" customHeight="1" x14ac:dyDescent="0.25">
      <c r="A44" s="173"/>
      <c r="B44" s="173"/>
      <c r="C44" s="193"/>
      <c r="D44" s="173"/>
      <c r="E44" s="173"/>
      <c r="F44" s="180"/>
      <c r="G44" s="193"/>
      <c r="H44" s="193"/>
      <c r="I44" s="173"/>
      <c r="J44" s="173"/>
      <c r="K44" s="173"/>
      <c r="L44" s="173"/>
      <c r="M44" s="173"/>
      <c r="N44" s="173"/>
      <c r="O44" s="173"/>
      <c r="P44" s="173"/>
      <c r="Q44" s="173"/>
      <c r="R44" s="173"/>
      <c r="S44" s="173"/>
      <c r="T44" s="173"/>
      <c r="U44" s="173"/>
      <c r="V44" s="173"/>
      <c r="W44" s="173"/>
      <c r="X44" s="173"/>
      <c r="Y44" s="173"/>
    </row>
    <row r="45" spans="1:25" ht="15.75" customHeight="1" x14ac:dyDescent="0.25">
      <c r="A45" s="173"/>
      <c r="B45" s="173"/>
      <c r="C45" s="193"/>
      <c r="D45" s="173"/>
      <c r="E45" s="173"/>
      <c r="F45" s="180"/>
      <c r="G45" s="193"/>
      <c r="H45" s="193"/>
      <c r="I45" s="173"/>
      <c r="J45" s="173"/>
      <c r="K45" s="173"/>
      <c r="L45" s="173"/>
      <c r="M45" s="173"/>
      <c r="N45" s="173"/>
      <c r="O45" s="173"/>
      <c r="P45" s="173"/>
      <c r="Q45" s="173"/>
      <c r="R45" s="173"/>
      <c r="S45" s="173"/>
      <c r="T45" s="173"/>
      <c r="U45" s="173"/>
      <c r="V45" s="173"/>
      <c r="W45" s="173"/>
      <c r="X45" s="173"/>
      <c r="Y45" s="173"/>
    </row>
    <row r="46" spans="1:25" ht="15.75" customHeight="1" x14ac:dyDescent="0.25">
      <c r="A46" s="173"/>
      <c r="B46" s="173"/>
      <c r="C46" s="193"/>
      <c r="D46" s="173"/>
      <c r="E46" s="173"/>
      <c r="F46" s="180"/>
      <c r="G46" s="193"/>
      <c r="H46" s="193"/>
      <c r="I46" s="173"/>
      <c r="J46" s="173"/>
      <c r="K46" s="173"/>
      <c r="L46" s="173"/>
      <c r="M46" s="173"/>
      <c r="N46" s="173"/>
      <c r="O46" s="173"/>
      <c r="P46" s="173"/>
      <c r="Q46" s="173"/>
      <c r="R46" s="173"/>
      <c r="S46" s="173"/>
      <c r="T46" s="173"/>
      <c r="U46" s="173"/>
      <c r="V46" s="173"/>
      <c r="W46" s="173"/>
      <c r="X46" s="173"/>
      <c r="Y46" s="173"/>
    </row>
    <row r="47" spans="1:25" ht="15.75" customHeight="1" x14ac:dyDescent="0.25">
      <c r="A47" s="173"/>
      <c r="B47" s="173"/>
      <c r="C47" s="193"/>
      <c r="D47" s="173"/>
      <c r="E47" s="173"/>
      <c r="F47" s="180"/>
      <c r="G47" s="193"/>
      <c r="H47" s="193"/>
      <c r="I47" s="173"/>
      <c r="J47" s="173"/>
      <c r="K47" s="173"/>
      <c r="L47" s="173"/>
      <c r="M47" s="173"/>
      <c r="N47" s="173"/>
      <c r="O47" s="173"/>
      <c r="P47" s="173"/>
      <c r="Q47" s="173"/>
      <c r="R47" s="173"/>
      <c r="S47" s="173"/>
      <c r="T47" s="173"/>
      <c r="U47" s="173"/>
      <c r="V47" s="173"/>
      <c r="W47" s="173"/>
      <c r="X47" s="173"/>
      <c r="Y47" s="173"/>
    </row>
    <row r="48" spans="1:25" ht="15.75" customHeight="1" x14ac:dyDescent="0.25">
      <c r="A48" s="173"/>
      <c r="B48" s="173"/>
      <c r="C48" s="193"/>
      <c r="D48" s="173"/>
      <c r="E48" s="173"/>
      <c r="F48" s="180"/>
      <c r="G48" s="193"/>
      <c r="H48" s="193"/>
      <c r="I48" s="173"/>
      <c r="J48" s="173"/>
      <c r="K48" s="173"/>
      <c r="L48" s="173"/>
      <c r="M48" s="173"/>
      <c r="N48" s="173"/>
      <c r="O48" s="173"/>
      <c r="P48" s="173"/>
      <c r="Q48" s="173"/>
      <c r="R48" s="173"/>
      <c r="S48" s="173"/>
      <c r="T48" s="173"/>
      <c r="U48" s="173"/>
      <c r="V48" s="173"/>
      <c r="W48" s="173"/>
      <c r="X48" s="173"/>
      <c r="Y48" s="173"/>
    </row>
    <row r="49" spans="1:25" ht="15.75" customHeight="1" x14ac:dyDescent="0.25">
      <c r="A49" s="173"/>
      <c r="B49" s="173"/>
      <c r="C49" s="193"/>
      <c r="D49" s="173"/>
      <c r="E49" s="173"/>
      <c r="F49" s="180"/>
      <c r="G49" s="193"/>
      <c r="H49" s="193"/>
      <c r="I49" s="173"/>
      <c r="J49" s="173"/>
      <c r="K49" s="173"/>
      <c r="L49" s="173"/>
      <c r="M49" s="173"/>
      <c r="N49" s="173"/>
      <c r="O49" s="173"/>
      <c r="P49" s="173"/>
      <c r="Q49" s="173"/>
      <c r="R49" s="173"/>
      <c r="S49" s="173"/>
      <c r="T49" s="173"/>
      <c r="U49" s="173"/>
      <c r="V49" s="173"/>
      <c r="W49" s="173"/>
      <c r="X49" s="173"/>
      <c r="Y49" s="173"/>
    </row>
    <row r="50" spans="1:25" ht="15.75" customHeight="1" x14ac:dyDescent="0.25">
      <c r="A50" s="173"/>
      <c r="B50" s="173"/>
      <c r="C50" s="193"/>
      <c r="D50" s="173"/>
      <c r="E50" s="173"/>
      <c r="F50" s="180"/>
      <c r="G50" s="193"/>
      <c r="H50" s="193"/>
      <c r="I50" s="173"/>
      <c r="J50" s="173"/>
      <c r="K50" s="173"/>
      <c r="L50" s="173"/>
      <c r="M50" s="173"/>
      <c r="N50" s="173"/>
      <c r="O50" s="173"/>
      <c r="P50" s="173"/>
      <c r="Q50" s="173"/>
      <c r="R50" s="173"/>
      <c r="S50" s="173"/>
      <c r="T50" s="173"/>
      <c r="U50" s="173"/>
      <c r="V50" s="173"/>
      <c r="W50" s="173"/>
      <c r="X50" s="173"/>
      <c r="Y50" s="173"/>
    </row>
    <row r="51" spans="1:25" ht="15.75" customHeight="1" x14ac:dyDescent="0.25">
      <c r="A51" s="173"/>
      <c r="B51" s="173"/>
      <c r="C51" s="193"/>
      <c r="D51" s="173"/>
      <c r="E51" s="173"/>
      <c r="F51" s="180"/>
      <c r="G51" s="193"/>
      <c r="H51" s="193"/>
      <c r="I51" s="173"/>
      <c r="J51" s="173"/>
      <c r="K51" s="173"/>
      <c r="L51" s="173"/>
      <c r="M51" s="173"/>
      <c r="N51" s="173"/>
      <c r="O51" s="173"/>
      <c r="P51" s="173"/>
      <c r="Q51" s="173"/>
      <c r="R51" s="173"/>
      <c r="S51" s="173"/>
      <c r="T51" s="173"/>
      <c r="U51" s="173"/>
      <c r="V51" s="173"/>
      <c r="W51" s="173"/>
      <c r="X51" s="173"/>
      <c r="Y51" s="173"/>
    </row>
    <row r="52" spans="1:25" ht="15.75" customHeight="1" x14ac:dyDescent="0.25">
      <c r="A52" s="173"/>
      <c r="B52" s="173"/>
      <c r="C52" s="193"/>
      <c r="D52" s="173"/>
      <c r="E52" s="173"/>
      <c r="F52" s="180"/>
      <c r="G52" s="193"/>
      <c r="H52" s="193"/>
      <c r="I52" s="173"/>
      <c r="J52" s="173"/>
      <c r="K52" s="173"/>
      <c r="L52" s="173"/>
      <c r="M52" s="173"/>
      <c r="N52" s="173"/>
      <c r="O52" s="173"/>
      <c r="P52" s="173"/>
      <c r="Q52" s="173"/>
      <c r="R52" s="173"/>
      <c r="S52" s="173"/>
      <c r="T52" s="173"/>
      <c r="U52" s="173"/>
      <c r="V52" s="173"/>
      <c r="W52" s="173"/>
      <c r="X52" s="173"/>
      <c r="Y52" s="173"/>
    </row>
    <row r="53" spans="1:25" ht="15.75" customHeight="1" x14ac:dyDescent="0.25">
      <c r="A53" s="173"/>
      <c r="B53" s="173"/>
      <c r="C53" s="193"/>
      <c r="D53" s="173"/>
      <c r="E53" s="173"/>
      <c r="F53" s="180"/>
      <c r="G53" s="193"/>
      <c r="H53" s="193"/>
      <c r="I53" s="173"/>
      <c r="J53" s="173"/>
      <c r="K53" s="173"/>
      <c r="L53" s="173"/>
      <c r="M53" s="173"/>
      <c r="N53" s="173"/>
      <c r="O53" s="173"/>
      <c r="P53" s="173"/>
      <c r="Q53" s="173"/>
      <c r="R53" s="173"/>
      <c r="S53" s="173"/>
      <c r="T53" s="173"/>
      <c r="U53" s="173"/>
      <c r="V53" s="173"/>
      <c r="W53" s="173"/>
      <c r="X53" s="173"/>
      <c r="Y53" s="173"/>
    </row>
    <row r="54" spans="1:25" ht="15.75" customHeight="1" x14ac:dyDescent="0.25">
      <c r="A54" s="173"/>
      <c r="B54" s="173"/>
      <c r="C54" s="193"/>
      <c r="D54" s="173"/>
      <c r="E54" s="173"/>
      <c r="F54" s="180"/>
      <c r="G54" s="193"/>
      <c r="H54" s="193"/>
      <c r="I54" s="173"/>
      <c r="J54" s="173"/>
      <c r="K54" s="173"/>
      <c r="L54" s="173"/>
      <c r="M54" s="173"/>
      <c r="N54" s="173"/>
      <c r="O54" s="173"/>
      <c r="P54" s="173"/>
      <c r="Q54" s="173"/>
      <c r="R54" s="173"/>
      <c r="S54" s="173"/>
      <c r="T54" s="173"/>
      <c r="U54" s="173"/>
      <c r="V54" s="173"/>
      <c r="W54" s="173"/>
      <c r="X54" s="173"/>
      <c r="Y54" s="173"/>
    </row>
    <row r="55" spans="1:25" ht="15.75" customHeight="1" x14ac:dyDescent="0.25">
      <c r="A55" s="173"/>
      <c r="B55" s="173"/>
      <c r="C55" s="193"/>
      <c r="D55" s="173"/>
      <c r="E55" s="173"/>
      <c r="F55" s="180"/>
      <c r="G55" s="193"/>
      <c r="H55" s="193"/>
      <c r="I55" s="173"/>
      <c r="J55" s="173"/>
      <c r="K55" s="173"/>
      <c r="L55" s="173"/>
      <c r="M55" s="173"/>
      <c r="N55" s="173"/>
      <c r="O55" s="173"/>
      <c r="P55" s="173"/>
      <c r="Q55" s="173"/>
      <c r="R55" s="173"/>
      <c r="S55" s="173"/>
      <c r="T55" s="173"/>
      <c r="U55" s="173"/>
      <c r="V55" s="173"/>
      <c r="W55" s="173"/>
      <c r="X55" s="173"/>
      <c r="Y55" s="173"/>
    </row>
    <row r="56" spans="1:25" ht="15.75" customHeight="1" x14ac:dyDescent="0.25">
      <c r="A56" s="173"/>
      <c r="B56" s="173"/>
      <c r="C56" s="193"/>
      <c r="D56" s="173"/>
      <c r="E56" s="173"/>
      <c r="F56" s="180"/>
      <c r="G56" s="193"/>
      <c r="H56" s="193"/>
      <c r="I56" s="173"/>
      <c r="J56" s="173"/>
      <c r="K56" s="173"/>
      <c r="L56" s="173"/>
      <c r="M56" s="173"/>
      <c r="N56" s="173"/>
      <c r="O56" s="173"/>
      <c r="P56" s="173"/>
      <c r="Q56" s="173"/>
      <c r="R56" s="173"/>
      <c r="S56" s="173"/>
      <c r="T56" s="173"/>
      <c r="U56" s="173"/>
      <c r="V56" s="173"/>
      <c r="W56" s="173"/>
      <c r="X56" s="173"/>
      <c r="Y56" s="173"/>
    </row>
    <row r="57" spans="1:25" ht="15.75" customHeight="1" x14ac:dyDescent="0.25">
      <c r="A57" s="173"/>
      <c r="B57" s="173"/>
      <c r="C57" s="193"/>
      <c r="D57" s="173"/>
      <c r="E57" s="173"/>
      <c r="F57" s="180"/>
      <c r="G57" s="193"/>
      <c r="H57" s="193"/>
      <c r="I57" s="173"/>
      <c r="J57" s="173"/>
      <c r="K57" s="173"/>
      <c r="L57" s="173"/>
      <c r="M57" s="173"/>
      <c r="N57" s="173"/>
      <c r="O57" s="173"/>
      <c r="P57" s="173"/>
      <c r="Q57" s="173"/>
      <c r="R57" s="173"/>
      <c r="S57" s="173"/>
      <c r="T57" s="173"/>
      <c r="U57" s="173"/>
      <c r="V57" s="173"/>
      <c r="W57" s="173"/>
      <c r="X57" s="173"/>
      <c r="Y57" s="173"/>
    </row>
    <row r="58" spans="1:25" ht="15.75" customHeight="1" x14ac:dyDescent="0.25">
      <c r="A58" s="173"/>
      <c r="B58" s="173"/>
      <c r="C58" s="193"/>
      <c r="D58" s="173"/>
      <c r="E58" s="173"/>
      <c r="F58" s="180"/>
      <c r="G58" s="193"/>
      <c r="H58" s="193"/>
      <c r="I58" s="173"/>
      <c r="J58" s="173"/>
      <c r="K58" s="173"/>
      <c r="L58" s="173"/>
      <c r="M58" s="173"/>
      <c r="N58" s="173"/>
      <c r="O58" s="173"/>
      <c r="P58" s="173"/>
      <c r="Q58" s="173"/>
      <c r="R58" s="173"/>
      <c r="S58" s="173"/>
      <c r="T58" s="173"/>
      <c r="U58" s="173"/>
      <c r="V58" s="173"/>
      <c r="W58" s="173"/>
      <c r="X58" s="173"/>
      <c r="Y58" s="173"/>
    </row>
    <row r="59" spans="1:25" ht="15.75" customHeight="1" x14ac:dyDescent="0.25">
      <c r="A59" s="173"/>
      <c r="B59" s="173"/>
      <c r="C59" s="193"/>
      <c r="D59" s="173"/>
      <c r="E59" s="173"/>
      <c r="F59" s="180"/>
      <c r="G59" s="193"/>
      <c r="H59" s="193"/>
      <c r="I59" s="173"/>
      <c r="J59" s="173"/>
      <c r="K59" s="173"/>
      <c r="L59" s="173"/>
      <c r="M59" s="173"/>
      <c r="N59" s="173"/>
      <c r="O59" s="173"/>
      <c r="P59" s="173"/>
      <c r="Q59" s="173"/>
      <c r="R59" s="173"/>
      <c r="S59" s="173"/>
      <c r="T59" s="173"/>
      <c r="U59" s="173"/>
      <c r="V59" s="173"/>
      <c r="W59" s="173"/>
      <c r="X59" s="173"/>
      <c r="Y59" s="173"/>
    </row>
    <row r="60" spans="1:25" ht="15.75" customHeight="1" x14ac:dyDescent="0.25">
      <c r="A60" s="173"/>
      <c r="B60" s="173"/>
      <c r="C60" s="193"/>
      <c r="D60" s="173"/>
      <c r="E60" s="173"/>
      <c r="F60" s="180"/>
      <c r="G60" s="193"/>
      <c r="H60" s="193"/>
      <c r="I60" s="173"/>
      <c r="J60" s="173"/>
      <c r="K60" s="173"/>
      <c r="L60" s="173"/>
      <c r="M60" s="173"/>
      <c r="N60" s="173"/>
      <c r="O60" s="173"/>
      <c r="P60" s="173"/>
      <c r="Q60" s="173"/>
      <c r="R60" s="173"/>
      <c r="S60" s="173"/>
      <c r="T60" s="173"/>
      <c r="U60" s="173"/>
      <c r="V60" s="173"/>
      <c r="W60" s="173"/>
      <c r="X60" s="173"/>
      <c r="Y60" s="173"/>
    </row>
    <row r="61" spans="1:25" ht="15.75" customHeight="1" x14ac:dyDescent="0.25">
      <c r="A61" s="173"/>
      <c r="B61" s="173"/>
      <c r="C61" s="193"/>
      <c r="D61" s="173"/>
      <c r="E61" s="173"/>
      <c r="F61" s="180"/>
      <c r="G61" s="193"/>
      <c r="H61" s="193"/>
      <c r="I61" s="173"/>
      <c r="J61" s="173"/>
      <c r="K61" s="173"/>
      <c r="L61" s="173"/>
      <c r="M61" s="173"/>
      <c r="N61" s="173"/>
      <c r="O61" s="173"/>
      <c r="P61" s="173"/>
      <c r="Q61" s="173"/>
      <c r="R61" s="173"/>
      <c r="S61" s="173"/>
      <c r="T61" s="173"/>
      <c r="U61" s="173"/>
      <c r="V61" s="173"/>
      <c r="W61" s="173"/>
      <c r="X61" s="173"/>
      <c r="Y61" s="173"/>
    </row>
    <row r="62" spans="1:25" ht="15.75" customHeight="1" x14ac:dyDescent="0.25">
      <c r="A62" s="173"/>
      <c r="B62" s="173"/>
      <c r="C62" s="193"/>
      <c r="D62" s="173"/>
      <c r="E62" s="173"/>
      <c r="F62" s="180"/>
      <c r="G62" s="193"/>
      <c r="H62" s="193"/>
      <c r="I62" s="173"/>
      <c r="J62" s="173"/>
      <c r="K62" s="173"/>
      <c r="L62" s="173"/>
      <c r="M62" s="173"/>
      <c r="N62" s="173"/>
      <c r="O62" s="173"/>
      <c r="P62" s="173"/>
      <c r="Q62" s="173"/>
      <c r="R62" s="173"/>
      <c r="S62" s="173"/>
      <c r="T62" s="173"/>
      <c r="U62" s="173"/>
      <c r="V62" s="173"/>
      <c r="W62" s="173"/>
      <c r="X62" s="173"/>
      <c r="Y62" s="173"/>
    </row>
    <row r="63" spans="1:25" ht="15.75" customHeight="1" x14ac:dyDescent="0.25">
      <c r="A63" s="173"/>
      <c r="B63" s="173"/>
      <c r="C63" s="193"/>
      <c r="D63" s="173"/>
      <c r="E63" s="173"/>
      <c r="F63" s="180"/>
      <c r="G63" s="193"/>
      <c r="H63" s="193"/>
      <c r="I63" s="173"/>
      <c r="J63" s="173"/>
      <c r="K63" s="173"/>
      <c r="L63" s="173"/>
      <c r="M63" s="173"/>
      <c r="N63" s="173"/>
      <c r="O63" s="173"/>
      <c r="P63" s="173"/>
      <c r="Q63" s="173"/>
      <c r="R63" s="173"/>
      <c r="S63" s="173"/>
      <c r="T63" s="173"/>
      <c r="U63" s="173"/>
      <c r="V63" s="173"/>
      <c r="W63" s="173"/>
      <c r="X63" s="173"/>
      <c r="Y63" s="173"/>
    </row>
    <row r="64" spans="1:25" ht="15.75" customHeight="1" x14ac:dyDescent="0.25">
      <c r="A64" s="173"/>
      <c r="B64" s="173"/>
      <c r="C64" s="193"/>
      <c r="D64" s="173"/>
      <c r="E64" s="173"/>
      <c r="F64" s="180"/>
      <c r="G64" s="193"/>
      <c r="H64" s="193"/>
      <c r="I64" s="173"/>
      <c r="J64" s="173"/>
      <c r="K64" s="173"/>
      <c r="L64" s="173"/>
      <c r="M64" s="173"/>
      <c r="N64" s="173"/>
      <c r="O64" s="173"/>
      <c r="P64" s="173"/>
      <c r="Q64" s="173"/>
      <c r="R64" s="173"/>
      <c r="S64" s="173"/>
      <c r="T64" s="173"/>
      <c r="U64" s="173"/>
      <c r="V64" s="173"/>
      <c r="W64" s="173"/>
      <c r="X64" s="173"/>
      <c r="Y64" s="173"/>
    </row>
    <row r="65" spans="1:25" ht="15.75" customHeight="1" x14ac:dyDescent="0.25">
      <c r="A65" s="173"/>
      <c r="B65" s="173"/>
      <c r="C65" s="193"/>
      <c r="D65" s="173"/>
      <c r="E65" s="173"/>
      <c r="F65" s="180"/>
      <c r="G65" s="193"/>
      <c r="H65" s="193"/>
      <c r="I65" s="173"/>
      <c r="J65" s="173"/>
      <c r="K65" s="173"/>
      <c r="L65" s="173"/>
      <c r="M65" s="173"/>
      <c r="N65" s="173"/>
      <c r="O65" s="173"/>
      <c r="P65" s="173"/>
      <c r="Q65" s="173"/>
      <c r="R65" s="173"/>
      <c r="S65" s="173"/>
      <c r="T65" s="173"/>
      <c r="U65" s="173"/>
      <c r="V65" s="173"/>
      <c r="W65" s="173"/>
      <c r="X65" s="173"/>
      <c r="Y65" s="173"/>
    </row>
    <row r="66" spans="1:25" ht="15.75" customHeight="1" x14ac:dyDescent="0.25">
      <c r="A66" s="173"/>
      <c r="B66" s="173"/>
      <c r="C66" s="193"/>
      <c r="D66" s="173"/>
      <c r="E66" s="173"/>
      <c r="F66" s="180"/>
      <c r="G66" s="193"/>
      <c r="H66" s="193"/>
      <c r="I66" s="173"/>
      <c r="J66" s="173"/>
      <c r="K66" s="173"/>
      <c r="L66" s="173"/>
      <c r="M66" s="173"/>
      <c r="N66" s="173"/>
      <c r="O66" s="173"/>
      <c r="P66" s="173"/>
      <c r="Q66" s="173"/>
      <c r="R66" s="173"/>
      <c r="S66" s="173"/>
      <c r="T66" s="173"/>
      <c r="U66" s="173"/>
      <c r="V66" s="173"/>
      <c r="W66" s="173"/>
      <c r="X66" s="173"/>
      <c r="Y66" s="173"/>
    </row>
    <row r="67" spans="1:25" ht="15.75" customHeight="1" x14ac:dyDescent="0.25">
      <c r="A67" s="173"/>
      <c r="B67" s="173"/>
      <c r="C67" s="193"/>
      <c r="D67" s="173"/>
      <c r="E67" s="173"/>
      <c r="F67" s="180"/>
      <c r="G67" s="193"/>
      <c r="H67" s="193"/>
      <c r="I67" s="173"/>
      <c r="J67" s="173"/>
      <c r="K67" s="173"/>
      <c r="L67" s="173"/>
      <c r="M67" s="173"/>
      <c r="N67" s="173"/>
      <c r="O67" s="173"/>
      <c r="P67" s="173"/>
      <c r="Q67" s="173"/>
      <c r="R67" s="173"/>
      <c r="S67" s="173"/>
      <c r="T67" s="173"/>
      <c r="U67" s="173"/>
      <c r="V67" s="173"/>
      <c r="W67" s="173"/>
      <c r="X67" s="173"/>
      <c r="Y67" s="173"/>
    </row>
    <row r="68" spans="1:25" ht="15.75" customHeight="1" x14ac:dyDescent="0.25">
      <c r="A68" s="173"/>
      <c r="B68" s="173"/>
      <c r="C68" s="193"/>
      <c r="D68" s="173"/>
      <c r="E68" s="173"/>
      <c r="F68" s="180"/>
      <c r="G68" s="193"/>
      <c r="H68" s="193"/>
      <c r="I68" s="173"/>
      <c r="J68" s="173"/>
      <c r="K68" s="173"/>
      <c r="L68" s="173"/>
      <c r="M68" s="173"/>
      <c r="N68" s="173"/>
      <c r="O68" s="173"/>
      <c r="P68" s="173"/>
      <c r="Q68" s="173"/>
      <c r="R68" s="173"/>
      <c r="S68" s="173"/>
      <c r="T68" s="173"/>
      <c r="U68" s="173"/>
      <c r="V68" s="173"/>
      <c r="W68" s="173"/>
      <c r="X68" s="173"/>
      <c r="Y68" s="173"/>
    </row>
    <row r="69" spans="1:25" ht="15.75" customHeight="1" x14ac:dyDescent="0.25">
      <c r="A69" s="173"/>
      <c r="B69" s="173"/>
      <c r="C69" s="193"/>
      <c r="D69" s="173"/>
      <c r="E69" s="173"/>
      <c r="F69" s="180"/>
      <c r="G69" s="193"/>
      <c r="H69" s="193"/>
      <c r="I69" s="173"/>
      <c r="J69" s="173"/>
      <c r="K69" s="173"/>
      <c r="L69" s="173"/>
      <c r="M69" s="173"/>
      <c r="N69" s="173"/>
      <c r="O69" s="173"/>
      <c r="P69" s="173"/>
      <c r="Q69" s="173"/>
      <c r="R69" s="173"/>
      <c r="S69" s="173"/>
      <c r="T69" s="173"/>
      <c r="U69" s="173"/>
      <c r="V69" s="173"/>
      <c r="W69" s="173"/>
      <c r="X69" s="173"/>
      <c r="Y69" s="173"/>
    </row>
    <row r="70" spans="1:25" ht="15.75" customHeight="1" x14ac:dyDescent="0.25">
      <c r="A70" s="173"/>
      <c r="B70" s="173"/>
      <c r="C70" s="193"/>
      <c r="D70" s="173"/>
      <c r="E70" s="173"/>
      <c r="F70" s="180"/>
      <c r="G70" s="193"/>
      <c r="H70" s="193"/>
      <c r="I70" s="173"/>
      <c r="J70" s="173"/>
      <c r="K70" s="173"/>
      <c r="L70" s="173"/>
      <c r="M70" s="173"/>
      <c r="N70" s="173"/>
      <c r="O70" s="173"/>
      <c r="P70" s="173"/>
      <c r="Q70" s="173"/>
      <c r="R70" s="173"/>
      <c r="S70" s="173"/>
      <c r="T70" s="173"/>
      <c r="U70" s="173"/>
      <c r="V70" s="173"/>
      <c r="W70" s="173"/>
      <c r="X70" s="173"/>
      <c r="Y70" s="173"/>
    </row>
    <row r="71" spans="1:25" ht="15.75" customHeight="1" x14ac:dyDescent="0.25">
      <c r="A71" s="173"/>
      <c r="B71" s="173"/>
      <c r="C71" s="193"/>
      <c r="D71" s="173"/>
      <c r="E71" s="173"/>
      <c r="F71" s="180"/>
      <c r="G71" s="193"/>
      <c r="H71" s="193"/>
      <c r="I71" s="173"/>
      <c r="J71" s="173"/>
      <c r="K71" s="173"/>
      <c r="L71" s="173"/>
      <c r="M71" s="173"/>
      <c r="N71" s="173"/>
      <c r="O71" s="173"/>
      <c r="P71" s="173"/>
      <c r="Q71" s="173"/>
      <c r="R71" s="173"/>
      <c r="S71" s="173"/>
      <c r="T71" s="173"/>
      <c r="U71" s="173"/>
      <c r="V71" s="173"/>
      <c r="W71" s="173"/>
      <c r="X71" s="173"/>
      <c r="Y71" s="173"/>
    </row>
    <row r="72" spans="1:25" ht="15.75" customHeight="1" x14ac:dyDescent="0.25">
      <c r="A72" s="173"/>
      <c r="B72" s="173"/>
      <c r="C72" s="193"/>
      <c r="D72" s="173"/>
      <c r="E72" s="173"/>
      <c r="F72" s="180"/>
      <c r="G72" s="193"/>
      <c r="H72" s="193"/>
      <c r="I72" s="173"/>
      <c r="J72" s="173"/>
      <c r="K72" s="173"/>
      <c r="L72" s="173"/>
      <c r="M72" s="173"/>
      <c r="N72" s="173"/>
      <c r="O72" s="173"/>
      <c r="P72" s="173"/>
      <c r="Q72" s="173"/>
      <c r="R72" s="173"/>
      <c r="S72" s="173"/>
      <c r="T72" s="173"/>
      <c r="U72" s="173"/>
      <c r="V72" s="173"/>
      <c r="W72" s="173"/>
      <c r="X72" s="173"/>
      <c r="Y72" s="173"/>
    </row>
    <row r="73" spans="1:25" ht="15.75" customHeight="1" x14ac:dyDescent="0.25">
      <c r="A73" s="173"/>
      <c r="B73" s="173"/>
      <c r="C73" s="193"/>
      <c r="D73" s="173"/>
      <c r="E73" s="173"/>
      <c r="F73" s="180"/>
      <c r="G73" s="193"/>
      <c r="H73" s="193"/>
      <c r="I73" s="173"/>
      <c r="J73" s="173"/>
      <c r="K73" s="173"/>
      <c r="L73" s="173"/>
      <c r="M73" s="173"/>
      <c r="N73" s="173"/>
      <c r="O73" s="173"/>
      <c r="P73" s="173"/>
      <c r="Q73" s="173"/>
      <c r="R73" s="173"/>
      <c r="S73" s="173"/>
      <c r="T73" s="173"/>
      <c r="U73" s="173"/>
      <c r="V73" s="173"/>
      <c r="W73" s="173"/>
      <c r="X73" s="173"/>
      <c r="Y73" s="173"/>
    </row>
    <row r="74" spans="1:25" ht="15.75" customHeight="1" x14ac:dyDescent="0.25">
      <c r="A74" s="173"/>
      <c r="B74" s="173"/>
      <c r="C74" s="193"/>
      <c r="D74" s="173"/>
      <c r="E74" s="173"/>
      <c r="F74" s="180"/>
      <c r="G74" s="193"/>
      <c r="H74" s="193"/>
      <c r="I74" s="173"/>
      <c r="J74" s="173"/>
      <c r="K74" s="173"/>
      <c r="L74" s="173"/>
      <c r="M74" s="173"/>
      <c r="N74" s="173"/>
      <c r="O74" s="173"/>
      <c r="P74" s="173"/>
      <c r="Q74" s="173"/>
      <c r="R74" s="173"/>
      <c r="S74" s="173"/>
      <c r="T74" s="173"/>
      <c r="U74" s="173"/>
      <c r="V74" s="173"/>
      <c r="W74" s="173"/>
      <c r="X74" s="173"/>
      <c r="Y74" s="173"/>
    </row>
    <row r="75" spans="1:25" ht="15.75" customHeight="1" x14ac:dyDescent="0.25">
      <c r="A75" s="173"/>
      <c r="B75" s="173"/>
      <c r="C75" s="193"/>
      <c r="D75" s="173"/>
      <c r="E75" s="173"/>
      <c r="F75" s="180"/>
      <c r="G75" s="193"/>
      <c r="H75" s="193"/>
      <c r="I75" s="173"/>
      <c r="J75" s="173"/>
      <c r="K75" s="173"/>
      <c r="L75" s="173"/>
      <c r="M75" s="173"/>
      <c r="N75" s="173"/>
      <c r="O75" s="173"/>
      <c r="P75" s="173"/>
      <c r="Q75" s="173"/>
      <c r="R75" s="173"/>
      <c r="S75" s="173"/>
      <c r="T75" s="173"/>
      <c r="U75" s="173"/>
      <c r="V75" s="173"/>
      <c r="W75" s="173"/>
      <c r="X75" s="173"/>
      <c r="Y75" s="173"/>
    </row>
    <row r="76" spans="1:25" ht="15.75" customHeight="1" x14ac:dyDescent="0.25">
      <c r="A76" s="173"/>
      <c r="B76" s="173"/>
      <c r="C76" s="193"/>
      <c r="D76" s="173"/>
      <c r="E76" s="173"/>
      <c r="F76" s="180"/>
      <c r="G76" s="193"/>
      <c r="H76" s="193"/>
      <c r="I76" s="173"/>
      <c r="J76" s="173"/>
      <c r="K76" s="173"/>
      <c r="L76" s="173"/>
      <c r="M76" s="173"/>
      <c r="N76" s="173"/>
      <c r="O76" s="173"/>
      <c r="P76" s="173"/>
      <c r="Q76" s="173"/>
      <c r="R76" s="173"/>
      <c r="S76" s="173"/>
      <c r="T76" s="173"/>
      <c r="U76" s="173"/>
      <c r="V76" s="173"/>
      <c r="W76" s="173"/>
      <c r="X76" s="173"/>
      <c r="Y76" s="173"/>
    </row>
    <row r="77" spans="1:25" ht="15.75" customHeight="1" x14ac:dyDescent="0.25">
      <c r="A77" s="173"/>
      <c r="B77" s="173"/>
      <c r="C77" s="193"/>
      <c r="D77" s="173"/>
      <c r="E77" s="173"/>
      <c r="F77" s="180"/>
      <c r="G77" s="193"/>
      <c r="H77" s="193"/>
      <c r="I77" s="173"/>
      <c r="J77" s="173"/>
      <c r="K77" s="173"/>
      <c r="L77" s="173"/>
      <c r="M77" s="173"/>
      <c r="N77" s="173"/>
      <c r="O77" s="173"/>
      <c r="P77" s="173"/>
      <c r="Q77" s="173"/>
      <c r="R77" s="173"/>
      <c r="S77" s="173"/>
      <c r="T77" s="173"/>
      <c r="U77" s="173"/>
      <c r="V77" s="173"/>
      <c r="W77" s="173"/>
      <c r="X77" s="173"/>
      <c r="Y77" s="173"/>
    </row>
    <row r="78" spans="1:25" ht="15.75" customHeight="1" x14ac:dyDescent="0.25">
      <c r="A78" s="173"/>
      <c r="B78" s="173"/>
      <c r="C78" s="193"/>
      <c r="D78" s="173"/>
      <c r="E78" s="173"/>
      <c r="F78" s="180"/>
      <c r="G78" s="193"/>
      <c r="H78" s="193"/>
      <c r="I78" s="173"/>
      <c r="J78" s="173"/>
      <c r="K78" s="173"/>
      <c r="L78" s="173"/>
      <c r="M78" s="173"/>
      <c r="N78" s="173"/>
      <c r="O78" s="173"/>
      <c r="P78" s="173"/>
      <c r="Q78" s="173"/>
      <c r="R78" s="173"/>
      <c r="S78" s="173"/>
      <c r="T78" s="173"/>
      <c r="U78" s="173"/>
      <c r="V78" s="173"/>
      <c r="W78" s="173"/>
      <c r="X78" s="173"/>
      <c r="Y78" s="173"/>
    </row>
    <row r="79" spans="1:25" ht="15.75" customHeight="1" x14ac:dyDescent="0.25">
      <c r="A79" s="173"/>
      <c r="B79" s="173"/>
      <c r="C79" s="193"/>
      <c r="D79" s="173"/>
      <c r="E79" s="173"/>
      <c r="F79" s="180"/>
      <c r="G79" s="193"/>
      <c r="H79" s="193"/>
      <c r="I79" s="173"/>
      <c r="J79" s="173"/>
      <c r="K79" s="173"/>
      <c r="L79" s="173"/>
      <c r="M79" s="173"/>
      <c r="N79" s="173"/>
      <c r="O79" s="173"/>
      <c r="P79" s="173"/>
      <c r="Q79" s="173"/>
      <c r="R79" s="173"/>
      <c r="S79" s="173"/>
      <c r="T79" s="173"/>
      <c r="U79" s="173"/>
      <c r="V79" s="173"/>
      <c r="W79" s="173"/>
      <c r="X79" s="173"/>
      <c r="Y79" s="173"/>
    </row>
    <row r="80" spans="1:25" ht="15.75" customHeight="1" x14ac:dyDescent="0.25">
      <c r="A80" s="173"/>
      <c r="B80" s="173"/>
      <c r="C80" s="193"/>
      <c r="D80" s="173"/>
      <c r="E80" s="173"/>
      <c r="F80" s="180"/>
      <c r="G80" s="193"/>
      <c r="H80" s="193"/>
      <c r="I80" s="173"/>
      <c r="J80" s="173"/>
      <c r="K80" s="173"/>
      <c r="L80" s="173"/>
      <c r="M80" s="173"/>
      <c r="N80" s="173"/>
      <c r="O80" s="173"/>
      <c r="P80" s="173"/>
      <c r="Q80" s="173"/>
      <c r="R80" s="173"/>
      <c r="S80" s="173"/>
      <c r="T80" s="173"/>
      <c r="U80" s="173"/>
      <c r="V80" s="173"/>
      <c r="W80" s="173"/>
      <c r="X80" s="173"/>
      <c r="Y80" s="173"/>
    </row>
    <row r="81" spans="1:25" ht="15.75" customHeight="1" x14ac:dyDescent="0.25">
      <c r="A81" s="173"/>
      <c r="B81" s="173"/>
      <c r="C81" s="193"/>
      <c r="D81" s="173"/>
      <c r="E81" s="173"/>
      <c r="F81" s="180"/>
      <c r="G81" s="193"/>
      <c r="H81" s="193"/>
      <c r="I81" s="173"/>
      <c r="J81" s="173"/>
      <c r="K81" s="173"/>
      <c r="L81" s="173"/>
      <c r="M81" s="173"/>
      <c r="N81" s="173"/>
      <c r="O81" s="173"/>
      <c r="P81" s="173"/>
      <c r="Q81" s="173"/>
      <c r="R81" s="173"/>
      <c r="S81" s="173"/>
      <c r="T81" s="173"/>
      <c r="U81" s="173"/>
      <c r="V81" s="173"/>
      <c r="W81" s="173"/>
      <c r="X81" s="173"/>
      <c r="Y81" s="173"/>
    </row>
    <row r="82" spans="1:25" ht="15.75" customHeight="1" x14ac:dyDescent="0.25">
      <c r="A82" s="173"/>
      <c r="B82" s="173"/>
      <c r="C82" s="193"/>
      <c r="D82" s="173"/>
      <c r="E82" s="173"/>
      <c r="F82" s="180"/>
      <c r="G82" s="193"/>
      <c r="H82" s="193"/>
      <c r="I82" s="173"/>
      <c r="J82" s="173"/>
      <c r="K82" s="173"/>
      <c r="L82" s="173"/>
      <c r="M82" s="173"/>
      <c r="N82" s="173"/>
      <c r="O82" s="173"/>
      <c r="P82" s="173"/>
      <c r="Q82" s="173"/>
      <c r="R82" s="173"/>
      <c r="S82" s="173"/>
      <c r="T82" s="173"/>
      <c r="U82" s="173"/>
      <c r="V82" s="173"/>
      <c r="W82" s="173"/>
      <c r="X82" s="173"/>
      <c r="Y82" s="173"/>
    </row>
    <row r="83" spans="1:25" ht="15.75" customHeight="1" x14ac:dyDescent="0.25">
      <c r="A83" s="173"/>
      <c r="B83" s="173"/>
      <c r="C83" s="193"/>
      <c r="D83" s="173"/>
      <c r="E83" s="173"/>
      <c r="F83" s="180"/>
      <c r="G83" s="193"/>
      <c r="H83" s="193"/>
      <c r="I83" s="173"/>
      <c r="J83" s="173"/>
      <c r="K83" s="173"/>
      <c r="L83" s="173"/>
      <c r="M83" s="173"/>
      <c r="N83" s="173"/>
      <c r="O83" s="173"/>
      <c r="P83" s="173"/>
      <c r="Q83" s="173"/>
      <c r="R83" s="173"/>
      <c r="S83" s="173"/>
      <c r="T83" s="173"/>
      <c r="U83" s="173"/>
      <c r="V83" s="173"/>
      <c r="W83" s="173"/>
      <c r="X83" s="173"/>
      <c r="Y83" s="173"/>
    </row>
    <row r="84" spans="1:25" ht="15.75" customHeight="1" x14ac:dyDescent="0.25">
      <c r="A84" s="173"/>
      <c r="B84" s="173"/>
      <c r="C84" s="193"/>
      <c r="D84" s="173"/>
      <c r="E84" s="173"/>
      <c r="F84" s="180"/>
      <c r="G84" s="193"/>
      <c r="H84" s="193"/>
      <c r="I84" s="173"/>
      <c r="J84" s="173"/>
      <c r="K84" s="173"/>
      <c r="L84" s="173"/>
      <c r="M84" s="173"/>
      <c r="N84" s="173"/>
      <c r="O84" s="173"/>
      <c r="P84" s="173"/>
      <c r="Q84" s="173"/>
      <c r="R84" s="173"/>
      <c r="S84" s="173"/>
      <c r="T84" s="173"/>
      <c r="U84" s="173"/>
      <c r="V84" s="173"/>
      <c r="W84" s="173"/>
      <c r="X84" s="173"/>
      <c r="Y84" s="173"/>
    </row>
    <row r="85" spans="1:25" ht="15.75" customHeight="1" x14ac:dyDescent="0.25">
      <c r="A85" s="173"/>
      <c r="B85" s="173"/>
      <c r="C85" s="193"/>
      <c r="D85" s="173"/>
      <c r="E85" s="173"/>
      <c r="F85" s="180"/>
      <c r="G85" s="193"/>
      <c r="H85" s="193"/>
      <c r="I85" s="173"/>
      <c r="J85" s="173"/>
      <c r="K85" s="173"/>
      <c r="L85" s="173"/>
      <c r="M85" s="173"/>
      <c r="N85" s="173"/>
      <c r="O85" s="173"/>
      <c r="P85" s="173"/>
      <c r="Q85" s="173"/>
      <c r="R85" s="173"/>
      <c r="S85" s="173"/>
      <c r="T85" s="173"/>
      <c r="U85" s="173"/>
      <c r="V85" s="173"/>
      <c r="W85" s="173"/>
      <c r="X85" s="173"/>
      <c r="Y85" s="173"/>
    </row>
    <row r="86" spans="1:25" ht="15.75" customHeight="1" x14ac:dyDescent="0.25">
      <c r="A86" s="173"/>
      <c r="B86" s="173"/>
      <c r="C86" s="193"/>
      <c r="D86" s="173"/>
      <c r="E86" s="173"/>
      <c r="F86" s="180"/>
      <c r="G86" s="193"/>
      <c r="H86" s="193"/>
      <c r="I86" s="173"/>
      <c r="J86" s="173"/>
      <c r="K86" s="173"/>
      <c r="L86" s="173"/>
      <c r="M86" s="173"/>
      <c r="N86" s="173"/>
      <c r="O86" s="173"/>
      <c r="P86" s="173"/>
      <c r="Q86" s="173"/>
      <c r="R86" s="173"/>
      <c r="S86" s="173"/>
      <c r="T86" s="173"/>
      <c r="U86" s="173"/>
      <c r="V86" s="173"/>
      <c r="W86" s="173"/>
      <c r="X86" s="173"/>
      <c r="Y86" s="173"/>
    </row>
    <row r="87" spans="1:25" ht="15.75" customHeight="1" x14ac:dyDescent="0.25">
      <c r="A87" s="173"/>
      <c r="B87" s="173"/>
      <c r="C87" s="193"/>
      <c r="D87" s="173"/>
      <c r="E87" s="173"/>
      <c r="F87" s="180"/>
      <c r="G87" s="193"/>
      <c r="H87" s="193"/>
      <c r="I87" s="173"/>
      <c r="J87" s="173"/>
      <c r="K87" s="173"/>
      <c r="L87" s="173"/>
      <c r="M87" s="173"/>
      <c r="N87" s="173"/>
      <c r="O87" s="173"/>
      <c r="P87" s="173"/>
      <c r="Q87" s="173"/>
      <c r="R87" s="173"/>
      <c r="S87" s="173"/>
      <c r="T87" s="173"/>
      <c r="U87" s="173"/>
      <c r="V87" s="173"/>
      <c r="W87" s="173"/>
      <c r="X87" s="173"/>
      <c r="Y87" s="173"/>
    </row>
    <row r="88" spans="1:25" ht="15.75" customHeight="1" x14ac:dyDescent="0.25">
      <c r="A88" s="173"/>
      <c r="B88" s="173"/>
      <c r="C88" s="193"/>
      <c r="D88" s="173"/>
      <c r="E88" s="173"/>
      <c r="F88" s="180"/>
      <c r="G88" s="193"/>
      <c r="H88" s="193"/>
      <c r="I88" s="173"/>
      <c r="J88" s="173"/>
      <c r="K88" s="173"/>
      <c r="L88" s="173"/>
      <c r="M88" s="173"/>
      <c r="N88" s="173"/>
      <c r="O88" s="173"/>
      <c r="P88" s="173"/>
      <c r="Q88" s="173"/>
      <c r="R88" s="173"/>
      <c r="S88" s="173"/>
      <c r="T88" s="173"/>
      <c r="U88" s="173"/>
      <c r="V88" s="173"/>
      <c r="W88" s="173"/>
      <c r="X88" s="173"/>
      <c r="Y88" s="173"/>
    </row>
    <row r="89" spans="1:25" ht="15.75" customHeight="1" x14ac:dyDescent="0.25">
      <c r="A89" s="173"/>
      <c r="B89" s="173"/>
      <c r="C89" s="193"/>
      <c r="D89" s="173"/>
      <c r="E89" s="173"/>
      <c r="F89" s="180"/>
      <c r="G89" s="193"/>
      <c r="H89" s="193"/>
      <c r="I89" s="173"/>
      <c r="J89" s="173"/>
      <c r="K89" s="173"/>
      <c r="L89" s="173"/>
      <c r="M89" s="173"/>
      <c r="N89" s="173"/>
      <c r="O89" s="173"/>
      <c r="P89" s="173"/>
      <c r="Q89" s="173"/>
      <c r="R89" s="173"/>
      <c r="S89" s="173"/>
      <c r="T89" s="173"/>
      <c r="U89" s="173"/>
      <c r="V89" s="173"/>
      <c r="W89" s="173"/>
      <c r="X89" s="173"/>
      <c r="Y89" s="173"/>
    </row>
    <row r="90" spans="1:25" ht="15.75" customHeight="1" x14ac:dyDescent="0.25">
      <c r="A90" s="173"/>
      <c r="B90" s="173"/>
      <c r="C90" s="193"/>
      <c r="D90" s="173"/>
      <c r="E90" s="173"/>
      <c r="F90" s="180"/>
      <c r="G90" s="193"/>
      <c r="H90" s="193"/>
      <c r="I90" s="173"/>
      <c r="J90" s="173"/>
      <c r="K90" s="173"/>
      <c r="L90" s="173"/>
      <c r="M90" s="173"/>
      <c r="N90" s="173"/>
      <c r="O90" s="173"/>
      <c r="P90" s="173"/>
      <c r="Q90" s="173"/>
      <c r="R90" s="173"/>
      <c r="S90" s="173"/>
      <c r="T90" s="173"/>
      <c r="U90" s="173"/>
      <c r="V90" s="173"/>
      <c r="W90" s="173"/>
      <c r="X90" s="173"/>
      <c r="Y90" s="173"/>
    </row>
    <row r="91" spans="1:25" ht="15.75" customHeight="1" x14ac:dyDescent="0.25">
      <c r="A91" s="173"/>
      <c r="B91" s="173"/>
      <c r="C91" s="193"/>
      <c r="D91" s="173"/>
      <c r="E91" s="173"/>
      <c r="F91" s="180"/>
      <c r="G91" s="193"/>
      <c r="H91" s="193"/>
      <c r="I91" s="173"/>
      <c r="J91" s="173"/>
      <c r="K91" s="173"/>
      <c r="L91" s="173"/>
      <c r="M91" s="173"/>
      <c r="N91" s="173"/>
      <c r="O91" s="173"/>
      <c r="P91" s="173"/>
      <c r="Q91" s="173"/>
      <c r="R91" s="173"/>
      <c r="S91" s="173"/>
      <c r="T91" s="173"/>
      <c r="U91" s="173"/>
      <c r="V91" s="173"/>
      <c r="W91" s="173"/>
      <c r="X91" s="173"/>
      <c r="Y91" s="173"/>
    </row>
    <row r="92" spans="1:25" ht="15.75" customHeight="1" x14ac:dyDescent="0.25">
      <c r="A92" s="173"/>
      <c r="B92" s="173"/>
      <c r="C92" s="193"/>
      <c r="D92" s="173"/>
      <c r="E92" s="173"/>
      <c r="F92" s="180"/>
      <c r="G92" s="193"/>
      <c r="H92" s="193"/>
      <c r="I92" s="173"/>
      <c r="J92" s="173"/>
      <c r="K92" s="173"/>
      <c r="L92" s="173"/>
      <c r="M92" s="173"/>
      <c r="N92" s="173"/>
      <c r="O92" s="173"/>
      <c r="P92" s="173"/>
      <c r="Q92" s="173"/>
      <c r="R92" s="173"/>
      <c r="S92" s="173"/>
      <c r="T92" s="173"/>
      <c r="U92" s="173"/>
      <c r="V92" s="173"/>
      <c r="W92" s="173"/>
      <c r="X92" s="173"/>
      <c r="Y92" s="173"/>
    </row>
    <row r="93" spans="1:25" ht="15.75" customHeight="1" x14ac:dyDescent="0.25">
      <c r="A93" s="173"/>
      <c r="B93" s="173"/>
      <c r="C93" s="193"/>
      <c r="D93" s="173"/>
      <c r="E93" s="173"/>
      <c r="F93" s="180"/>
      <c r="G93" s="193"/>
      <c r="H93" s="193"/>
      <c r="I93" s="173"/>
      <c r="J93" s="173"/>
      <c r="K93" s="173"/>
      <c r="L93" s="173"/>
      <c r="M93" s="173"/>
      <c r="N93" s="173"/>
      <c r="O93" s="173"/>
      <c r="P93" s="173"/>
      <c r="Q93" s="173"/>
      <c r="R93" s="173"/>
      <c r="S93" s="173"/>
      <c r="T93" s="173"/>
      <c r="U93" s="173"/>
      <c r="V93" s="173"/>
      <c r="W93" s="173"/>
      <c r="X93" s="173"/>
      <c r="Y93" s="173"/>
    </row>
    <row r="94" spans="1:25" ht="15.75" customHeight="1" x14ac:dyDescent="0.25">
      <c r="A94" s="173"/>
      <c r="B94" s="173"/>
      <c r="C94" s="193"/>
      <c r="D94" s="173"/>
      <c r="E94" s="173"/>
      <c r="F94" s="180"/>
      <c r="G94" s="193"/>
      <c r="H94" s="193"/>
      <c r="I94" s="173"/>
      <c r="J94" s="173"/>
      <c r="K94" s="173"/>
      <c r="L94" s="173"/>
      <c r="M94" s="173"/>
      <c r="N94" s="173"/>
      <c r="O94" s="173"/>
      <c r="P94" s="173"/>
      <c r="Q94" s="173"/>
      <c r="R94" s="173"/>
      <c r="S94" s="173"/>
      <c r="T94" s="173"/>
      <c r="U94" s="173"/>
      <c r="V94" s="173"/>
      <c r="W94" s="173"/>
      <c r="X94" s="173"/>
      <c r="Y94" s="173"/>
    </row>
    <row r="95" spans="1:25" ht="15.75" customHeight="1" x14ac:dyDescent="0.25">
      <c r="A95" s="173"/>
      <c r="B95" s="173"/>
      <c r="C95" s="193"/>
      <c r="D95" s="173"/>
      <c r="E95" s="173"/>
      <c r="F95" s="180"/>
      <c r="G95" s="193"/>
      <c r="H95" s="193"/>
      <c r="I95" s="173"/>
      <c r="J95" s="173"/>
      <c r="K95" s="173"/>
      <c r="L95" s="173"/>
      <c r="M95" s="173"/>
      <c r="N95" s="173"/>
      <c r="O95" s="173"/>
      <c r="P95" s="173"/>
      <c r="Q95" s="173"/>
      <c r="R95" s="173"/>
      <c r="S95" s="173"/>
      <c r="T95" s="173"/>
      <c r="U95" s="173"/>
      <c r="V95" s="173"/>
      <c r="W95" s="173"/>
      <c r="X95" s="173"/>
      <c r="Y95" s="173"/>
    </row>
    <row r="96" spans="1:25" ht="15.75" customHeight="1" x14ac:dyDescent="0.25">
      <c r="A96" s="173"/>
      <c r="B96" s="173"/>
      <c r="C96" s="193"/>
      <c r="D96" s="173"/>
      <c r="E96" s="173"/>
      <c r="F96" s="180"/>
      <c r="G96" s="193"/>
      <c r="H96" s="193"/>
      <c r="I96" s="173"/>
      <c r="J96" s="173"/>
      <c r="K96" s="173"/>
      <c r="L96" s="173"/>
      <c r="M96" s="173"/>
      <c r="N96" s="173"/>
      <c r="O96" s="173"/>
      <c r="P96" s="173"/>
      <c r="Q96" s="173"/>
      <c r="R96" s="173"/>
      <c r="S96" s="173"/>
      <c r="T96" s="173"/>
      <c r="U96" s="173"/>
      <c r="V96" s="173"/>
      <c r="W96" s="173"/>
      <c r="X96" s="173"/>
      <c r="Y96" s="173"/>
    </row>
    <row r="97" spans="1:25" ht="15.75" customHeight="1" x14ac:dyDescent="0.25">
      <c r="A97" s="173"/>
      <c r="B97" s="173"/>
      <c r="C97" s="193"/>
      <c r="D97" s="173"/>
      <c r="E97" s="173"/>
      <c r="F97" s="180"/>
      <c r="G97" s="193"/>
      <c r="H97" s="193"/>
      <c r="I97" s="173"/>
      <c r="J97" s="173"/>
      <c r="K97" s="173"/>
      <c r="L97" s="173"/>
      <c r="M97" s="173"/>
      <c r="N97" s="173"/>
      <c r="O97" s="173"/>
      <c r="P97" s="173"/>
      <c r="Q97" s="173"/>
      <c r="R97" s="173"/>
      <c r="S97" s="173"/>
      <c r="T97" s="173"/>
      <c r="U97" s="173"/>
      <c r="V97" s="173"/>
      <c r="W97" s="173"/>
      <c r="X97" s="173"/>
      <c r="Y97" s="173"/>
    </row>
    <row r="98" spans="1:25" ht="15.75" customHeight="1" x14ac:dyDescent="0.25">
      <c r="A98" s="173"/>
      <c r="B98" s="173"/>
      <c r="C98" s="193"/>
      <c r="D98" s="173"/>
      <c r="E98" s="173"/>
      <c r="F98" s="180"/>
      <c r="G98" s="193"/>
      <c r="H98" s="193"/>
      <c r="I98" s="173"/>
      <c r="J98" s="173"/>
      <c r="K98" s="173"/>
      <c r="L98" s="173"/>
      <c r="M98" s="173"/>
      <c r="N98" s="173"/>
      <c r="O98" s="173"/>
      <c r="P98" s="173"/>
      <c r="Q98" s="173"/>
      <c r="R98" s="173"/>
      <c r="S98" s="173"/>
      <c r="T98" s="173"/>
      <c r="U98" s="173"/>
      <c r="V98" s="173"/>
      <c r="W98" s="173"/>
      <c r="X98" s="173"/>
      <c r="Y98" s="173"/>
    </row>
    <row r="99" spans="1:25" ht="15.75" customHeight="1" x14ac:dyDescent="0.25">
      <c r="A99" s="173"/>
      <c r="B99" s="173"/>
      <c r="C99" s="193"/>
      <c r="D99" s="173"/>
      <c r="E99" s="173"/>
      <c r="F99" s="180"/>
      <c r="G99" s="193"/>
      <c r="H99" s="193"/>
      <c r="I99" s="173"/>
      <c r="J99" s="173"/>
      <c r="K99" s="173"/>
      <c r="L99" s="173"/>
      <c r="M99" s="173"/>
      <c r="N99" s="173"/>
      <c r="O99" s="173"/>
      <c r="P99" s="173"/>
      <c r="Q99" s="173"/>
      <c r="R99" s="173"/>
      <c r="S99" s="173"/>
      <c r="T99" s="173"/>
      <c r="U99" s="173"/>
      <c r="V99" s="173"/>
      <c r="W99" s="173"/>
      <c r="X99" s="173"/>
      <c r="Y99" s="173"/>
    </row>
    <row r="100" spans="1:25" ht="15.75" customHeight="1" x14ac:dyDescent="0.25">
      <c r="A100" s="173"/>
      <c r="B100" s="173"/>
      <c r="C100" s="193"/>
      <c r="D100" s="173"/>
      <c r="E100" s="173"/>
      <c r="F100" s="180"/>
      <c r="G100" s="193"/>
      <c r="H100" s="193"/>
      <c r="I100" s="173"/>
      <c r="J100" s="173"/>
      <c r="K100" s="173"/>
      <c r="L100" s="173"/>
      <c r="M100" s="173"/>
      <c r="N100" s="173"/>
      <c r="O100" s="173"/>
      <c r="P100" s="173"/>
      <c r="Q100" s="173"/>
      <c r="R100" s="173"/>
      <c r="S100" s="173"/>
      <c r="T100" s="173"/>
      <c r="U100" s="173"/>
      <c r="V100" s="173"/>
      <c r="W100" s="173"/>
      <c r="X100" s="173"/>
      <c r="Y100" s="173"/>
    </row>
  </sheetData>
  <mergeCells count="10">
    <mergeCell ref="C7:E7"/>
    <mergeCell ref="C9:E9"/>
    <mergeCell ref="A23:N23"/>
    <mergeCell ref="F7:I7"/>
    <mergeCell ref="A1:P1"/>
    <mergeCell ref="A2:P2"/>
    <mergeCell ref="A3:P3"/>
    <mergeCell ref="C5:E5"/>
    <mergeCell ref="A19:P19"/>
    <mergeCell ref="F9:I9"/>
  </mergeCells>
  <pageMargins left="0.43307086614173201" right="0.2" top="0.31" bottom="0.17" header="0" footer="0"/>
  <pageSetup paperSize="9" scale="44"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100"/>
  <sheetViews>
    <sheetView workbookViewId="0"/>
  </sheetViews>
  <sheetFormatPr defaultColWidth="14.42578125" defaultRowHeight="15" customHeight="1" x14ac:dyDescent="0.25"/>
  <cols>
    <col min="1" max="1" width="3.42578125" customWidth="1"/>
    <col min="2" max="2" width="10.7109375" customWidth="1"/>
    <col min="3" max="3" width="15.85546875" customWidth="1"/>
    <col min="4" max="4" width="14.85546875" customWidth="1"/>
    <col min="5" max="5" width="5.5703125" customWidth="1"/>
    <col min="6" max="6" width="12.7109375" customWidth="1"/>
    <col min="7" max="7" width="8.7109375" customWidth="1"/>
    <col min="8" max="8" width="18.140625" customWidth="1"/>
    <col min="9" max="9" width="7.140625" customWidth="1"/>
    <col min="10" max="10" width="8.7109375" customWidth="1"/>
    <col min="11" max="12" width="10.85546875" customWidth="1"/>
    <col min="13" max="13" width="8.140625" customWidth="1"/>
    <col min="14" max="14" width="8" customWidth="1"/>
    <col min="15" max="15" width="9.42578125" customWidth="1"/>
    <col min="16" max="16" width="10" customWidth="1"/>
    <col min="17" max="18" width="8.85546875" customWidth="1"/>
    <col min="19" max="19" width="12.28515625" customWidth="1"/>
    <col min="20" max="20" width="4.28515625" customWidth="1"/>
    <col min="21" max="21" width="10.140625" customWidth="1"/>
    <col min="22" max="22" width="9.85546875" customWidth="1"/>
    <col min="23" max="23" width="10.140625" customWidth="1"/>
    <col min="24" max="24" width="16.7109375" customWidth="1"/>
    <col min="25" max="25" width="7.28515625" customWidth="1"/>
    <col min="26" max="27" width="12.85546875" customWidth="1"/>
    <col min="28" max="28" width="11" customWidth="1"/>
    <col min="29" max="30" width="13.140625" customWidth="1"/>
    <col min="31" max="31" width="12.7109375" customWidth="1"/>
  </cols>
  <sheetData>
    <row r="1" spans="1:31" ht="12.75" customHeight="1" x14ac:dyDescent="0.25">
      <c r="A1" s="221"/>
      <c r="B1" s="221"/>
      <c r="C1" s="221"/>
      <c r="D1" s="221"/>
      <c r="E1" s="221"/>
      <c r="F1" s="221"/>
      <c r="G1" s="221"/>
      <c r="H1" s="221"/>
      <c r="I1" s="221"/>
      <c r="J1" s="221"/>
      <c r="K1" s="221"/>
      <c r="L1" s="221"/>
      <c r="M1" s="221"/>
      <c r="N1" s="221"/>
      <c r="O1" s="221"/>
      <c r="P1" s="221"/>
      <c r="Q1" s="221"/>
      <c r="R1" s="221"/>
      <c r="S1" s="221"/>
      <c r="T1" s="221"/>
      <c r="U1" s="221"/>
      <c r="V1" s="221"/>
      <c r="W1" s="221"/>
      <c r="X1" s="221"/>
      <c r="Y1" s="222"/>
      <c r="Z1" s="222"/>
      <c r="AA1" s="222"/>
      <c r="AB1" s="222"/>
      <c r="AC1" s="223"/>
      <c r="AD1" s="224"/>
      <c r="AE1" s="222"/>
    </row>
    <row r="2" spans="1:31" ht="12.75" customHeight="1" x14ac:dyDescent="0.25">
      <c r="A2" s="221"/>
      <c r="B2" s="221"/>
      <c r="C2" s="221"/>
      <c r="D2" s="221"/>
      <c r="E2" s="221"/>
      <c r="F2" s="221"/>
      <c r="G2" s="221"/>
      <c r="H2" s="221"/>
      <c r="I2" s="221"/>
      <c r="J2" s="221"/>
      <c r="K2" s="221"/>
      <c r="L2" s="221"/>
      <c r="M2" s="221"/>
      <c r="N2" s="221"/>
      <c r="O2" s="221"/>
      <c r="P2" s="221"/>
      <c r="Q2" s="221"/>
      <c r="R2" s="221"/>
      <c r="S2" s="221"/>
      <c r="T2" s="221"/>
      <c r="U2" s="221"/>
      <c r="V2" s="221"/>
      <c r="W2" s="221"/>
      <c r="X2" s="221"/>
      <c r="Y2" s="222"/>
      <c r="Z2" s="222"/>
      <c r="AA2" s="222"/>
      <c r="AB2" s="222"/>
      <c r="AC2" s="223"/>
      <c r="AD2" s="224"/>
      <c r="AE2" s="222"/>
    </row>
    <row r="3" spans="1:31" ht="12.75" customHeight="1" x14ac:dyDescent="0.25">
      <c r="A3" s="221"/>
      <c r="B3" s="221"/>
      <c r="C3" s="221"/>
      <c r="D3" s="221"/>
      <c r="E3" s="221"/>
      <c r="F3" s="221"/>
      <c r="G3" s="221"/>
      <c r="H3" s="221"/>
      <c r="I3" s="221"/>
      <c r="J3" s="221"/>
      <c r="K3" s="221"/>
      <c r="L3" s="221"/>
      <c r="M3" s="221"/>
      <c r="N3" s="221"/>
      <c r="O3" s="221"/>
      <c r="P3" s="221"/>
      <c r="Q3" s="221"/>
      <c r="R3" s="221"/>
      <c r="S3" s="221"/>
      <c r="T3" s="221"/>
      <c r="U3" s="221"/>
      <c r="V3" s="221"/>
      <c r="W3" s="221"/>
      <c r="X3" s="221"/>
      <c r="Y3" s="222"/>
      <c r="Z3" s="222"/>
      <c r="AA3" s="222"/>
      <c r="AB3" s="222"/>
      <c r="AC3" s="223"/>
      <c r="AD3" s="224"/>
      <c r="AE3" s="222"/>
    </row>
    <row r="4" spans="1:31" ht="33" customHeight="1" x14ac:dyDescent="0.25">
      <c r="A4" s="684" t="s">
        <v>2658</v>
      </c>
      <c r="B4" s="685" t="s">
        <v>2659</v>
      </c>
      <c r="C4" s="684" t="s">
        <v>6</v>
      </c>
      <c r="D4" s="684" t="s">
        <v>2660</v>
      </c>
      <c r="E4" s="685" t="s">
        <v>2661</v>
      </c>
      <c r="F4" s="225"/>
      <c r="G4" s="684" t="s">
        <v>2662</v>
      </c>
      <c r="H4" s="684" t="s">
        <v>2663</v>
      </c>
      <c r="I4" s="686" t="s">
        <v>2664</v>
      </c>
      <c r="J4" s="687" t="s">
        <v>2665</v>
      </c>
      <c r="K4" s="681" t="s">
        <v>2666</v>
      </c>
      <c r="L4" s="681" t="s">
        <v>2667</v>
      </c>
      <c r="M4" s="680" t="s">
        <v>2668</v>
      </c>
      <c r="N4" s="682" t="s">
        <v>2669</v>
      </c>
      <c r="O4" s="545"/>
      <c r="P4" s="546"/>
      <c r="Q4" s="682" t="s">
        <v>2670</v>
      </c>
      <c r="R4" s="545"/>
      <c r="S4" s="545"/>
      <c r="T4" s="545"/>
      <c r="U4" s="545"/>
      <c r="V4" s="683"/>
      <c r="W4" s="679" t="s">
        <v>2766</v>
      </c>
      <c r="X4" s="226"/>
      <c r="Y4" s="226"/>
      <c r="Z4" s="226"/>
      <c r="AA4" s="226"/>
      <c r="AB4" s="226"/>
      <c r="AC4" s="227"/>
      <c r="AD4" s="228"/>
      <c r="AE4" s="226"/>
    </row>
    <row r="5" spans="1:31" ht="60.75" customHeight="1" x14ac:dyDescent="0.25">
      <c r="A5" s="543"/>
      <c r="B5" s="543"/>
      <c r="C5" s="543"/>
      <c r="D5" s="543"/>
      <c r="E5" s="543"/>
      <c r="F5" s="225" t="s">
        <v>2767</v>
      </c>
      <c r="G5" s="543"/>
      <c r="H5" s="543"/>
      <c r="I5" s="543"/>
      <c r="J5" s="543"/>
      <c r="K5" s="543"/>
      <c r="L5" s="543"/>
      <c r="M5" s="543"/>
      <c r="N5" s="229" t="s">
        <v>2671</v>
      </c>
      <c r="O5" s="230" t="s">
        <v>2672</v>
      </c>
      <c r="P5" s="229" t="s">
        <v>2673</v>
      </c>
      <c r="Q5" s="229" t="s">
        <v>2671</v>
      </c>
      <c r="R5" s="229" t="s">
        <v>2674</v>
      </c>
      <c r="S5" s="231" t="s">
        <v>2675</v>
      </c>
      <c r="T5" s="232" t="s">
        <v>2676</v>
      </c>
      <c r="U5" s="229" t="s">
        <v>2672</v>
      </c>
      <c r="V5" s="233" t="s">
        <v>2673</v>
      </c>
      <c r="W5" s="543"/>
      <c r="X5" s="234" t="s">
        <v>2674</v>
      </c>
      <c r="Y5" s="226" t="s">
        <v>2768</v>
      </c>
      <c r="Z5" s="226" t="s">
        <v>2769</v>
      </c>
      <c r="AA5" s="226" t="s">
        <v>2770</v>
      </c>
      <c r="AB5" s="226" t="s">
        <v>2771</v>
      </c>
      <c r="AC5" s="227" t="s">
        <v>2772</v>
      </c>
      <c r="AD5" s="228" t="s">
        <v>2773</v>
      </c>
      <c r="AE5" s="226" t="s">
        <v>2774</v>
      </c>
    </row>
    <row r="6" spans="1:31" ht="12.75" customHeight="1" x14ac:dyDescent="0.25">
      <c r="A6" s="235">
        <v>23</v>
      </c>
      <c r="B6" s="236" t="s">
        <v>2775</v>
      </c>
      <c r="C6" s="237" t="s">
        <v>2776</v>
      </c>
      <c r="D6" s="238">
        <v>12049370</v>
      </c>
      <c r="E6" s="239">
        <v>1811</v>
      </c>
      <c r="F6" s="240"/>
      <c r="G6" s="236" t="s">
        <v>2777</v>
      </c>
      <c r="H6" s="237" t="s">
        <v>2778</v>
      </c>
      <c r="I6" s="235" t="s">
        <v>2677</v>
      </c>
      <c r="J6" s="241">
        <v>1.0416666666666685E-2</v>
      </c>
      <c r="K6" s="242">
        <v>43781</v>
      </c>
      <c r="L6" s="242">
        <v>43795</v>
      </c>
      <c r="M6" s="243">
        <f t="shared" ref="M6:M16" si="0">IF(D6&gt;44999.99,100,ROUNDUP((D6/4999.99)*10,-1))</f>
        <v>100</v>
      </c>
      <c r="N6" s="235" t="s">
        <v>2678</v>
      </c>
      <c r="O6" s="244">
        <f t="shared" ref="O6:O16" si="1">IF(N6="Y",M6,0)</f>
        <v>0</v>
      </c>
      <c r="P6" s="235" t="s">
        <v>2779</v>
      </c>
      <c r="Q6" s="235" t="s">
        <v>2678</v>
      </c>
      <c r="R6" s="245">
        <f t="shared" ref="R6:R16" si="2">L6-K6+1</f>
        <v>15</v>
      </c>
      <c r="S6" s="246">
        <f>WORKDAY(K6,6,tarikhcuti)</f>
        <v>43789</v>
      </c>
      <c r="T6" s="245">
        <f t="shared" ref="T6:T7" si="3">IF(L6&gt;S6,L6-S6,0)</f>
        <v>6</v>
      </c>
      <c r="U6" s="243">
        <f t="shared" ref="U6:U16" si="4">M6*T6</f>
        <v>600</v>
      </c>
      <c r="V6" s="247"/>
      <c r="W6" s="237" t="s">
        <v>2780</v>
      </c>
      <c r="X6" s="245">
        <f t="shared" ref="X6:X16" si="5">R6</f>
        <v>15</v>
      </c>
      <c r="Y6" s="248">
        <v>24</v>
      </c>
      <c r="Z6" s="248">
        <f t="shared" ref="Z6:Z16" si="6">X6*Y6</f>
        <v>360</v>
      </c>
      <c r="AA6" s="248">
        <v>8072</v>
      </c>
      <c r="AB6" s="248">
        <f t="shared" ref="AB6:AB16" si="7">AA6-Z6</f>
        <v>7712</v>
      </c>
      <c r="AC6" s="249">
        <f t="shared" ref="AC6:AC16" si="8">AB6/8072</f>
        <v>0.95540138751238846</v>
      </c>
      <c r="AD6" s="250">
        <v>0.92</v>
      </c>
      <c r="AE6" s="248" t="s">
        <v>2623</v>
      </c>
    </row>
    <row r="7" spans="1:31" ht="12.75" customHeight="1" x14ac:dyDescent="0.25">
      <c r="A7" s="235">
        <v>1</v>
      </c>
      <c r="B7" s="235" t="s">
        <v>2781</v>
      </c>
      <c r="C7" s="237" t="s">
        <v>2782</v>
      </c>
      <c r="D7" s="238">
        <v>10825</v>
      </c>
      <c r="E7" s="251">
        <v>1655</v>
      </c>
      <c r="F7" s="252"/>
      <c r="G7" s="237" t="s">
        <v>2682</v>
      </c>
      <c r="H7" s="237" t="s">
        <v>2783</v>
      </c>
      <c r="I7" s="235" t="s">
        <v>2677</v>
      </c>
      <c r="J7" s="241">
        <v>2.5694444444444464E-2</v>
      </c>
      <c r="K7" s="242">
        <v>43774</v>
      </c>
      <c r="L7" s="242">
        <v>43799</v>
      </c>
      <c r="M7" s="243">
        <f t="shared" si="0"/>
        <v>30</v>
      </c>
      <c r="N7" s="235" t="s">
        <v>2678</v>
      </c>
      <c r="O7" s="244">
        <f t="shared" si="1"/>
        <v>0</v>
      </c>
      <c r="P7" s="235" t="s">
        <v>2779</v>
      </c>
      <c r="Q7" s="235" t="s">
        <v>2687</v>
      </c>
      <c r="R7" s="245">
        <f t="shared" si="2"/>
        <v>26</v>
      </c>
      <c r="S7" s="253">
        <f>WORKDAY(K7,6,tarikhcuti)</f>
        <v>43782</v>
      </c>
      <c r="T7" s="245">
        <f t="shared" si="3"/>
        <v>17</v>
      </c>
      <c r="U7" s="243">
        <f t="shared" si="4"/>
        <v>510</v>
      </c>
      <c r="V7" s="247"/>
      <c r="W7" s="237" t="s">
        <v>2780</v>
      </c>
      <c r="X7" s="245">
        <f t="shared" si="5"/>
        <v>26</v>
      </c>
      <c r="Y7" s="248">
        <v>24</v>
      </c>
      <c r="Z7" s="248">
        <f t="shared" si="6"/>
        <v>624</v>
      </c>
      <c r="AA7" s="254">
        <v>8072</v>
      </c>
      <c r="AB7" s="248">
        <f t="shared" si="7"/>
        <v>7448</v>
      </c>
      <c r="AC7" s="249">
        <f t="shared" si="8"/>
        <v>0.92269573835480678</v>
      </c>
      <c r="AD7" s="250">
        <v>0.95</v>
      </c>
      <c r="AE7" s="254" t="s">
        <v>2784</v>
      </c>
    </row>
    <row r="8" spans="1:31" ht="12.75" customHeight="1" x14ac:dyDescent="0.25">
      <c r="A8" s="235">
        <f t="shared" ref="A8:A16" si="9">A7+1</f>
        <v>2</v>
      </c>
      <c r="B8" s="237" t="s">
        <v>2785</v>
      </c>
      <c r="C8" s="237" t="s">
        <v>2269</v>
      </c>
      <c r="D8" s="238">
        <v>3557530</v>
      </c>
      <c r="E8" s="235">
        <v>1172</v>
      </c>
      <c r="F8" s="252"/>
      <c r="G8" s="255" t="s">
        <v>2786</v>
      </c>
      <c r="H8" s="256" t="s">
        <v>2787</v>
      </c>
      <c r="I8" s="235" t="s">
        <v>2677</v>
      </c>
      <c r="J8" s="257">
        <v>2.083333333333337E-2</v>
      </c>
      <c r="K8" s="242">
        <v>43770</v>
      </c>
      <c r="L8" s="242">
        <v>43782</v>
      </c>
      <c r="M8" s="243">
        <f t="shared" si="0"/>
        <v>100</v>
      </c>
      <c r="N8" s="235" t="s">
        <v>2678</v>
      </c>
      <c r="O8" s="258">
        <f t="shared" si="1"/>
        <v>0</v>
      </c>
      <c r="P8" s="235" t="s">
        <v>2779</v>
      </c>
      <c r="Q8" s="235" t="s">
        <v>2678</v>
      </c>
      <c r="R8" s="245">
        <f t="shared" si="2"/>
        <v>13</v>
      </c>
      <c r="S8" s="246">
        <v>43763</v>
      </c>
      <c r="T8" s="245">
        <f t="shared" ref="T8:T16" si="10">R8</f>
        <v>13</v>
      </c>
      <c r="U8" s="243">
        <f t="shared" si="4"/>
        <v>1300</v>
      </c>
      <c r="V8" s="247"/>
      <c r="W8" s="237" t="s">
        <v>2780</v>
      </c>
      <c r="X8" s="245">
        <f t="shared" si="5"/>
        <v>13</v>
      </c>
      <c r="Y8" s="248">
        <v>24</v>
      </c>
      <c r="Z8" s="248">
        <f t="shared" si="6"/>
        <v>312</v>
      </c>
      <c r="AA8" s="254">
        <v>8072</v>
      </c>
      <c r="AB8" s="248">
        <f t="shared" si="7"/>
        <v>7760</v>
      </c>
      <c r="AC8" s="249">
        <f t="shared" si="8"/>
        <v>0.96134786917740334</v>
      </c>
      <c r="AD8" s="250">
        <v>0.95</v>
      </c>
      <c r="AE8" s="254" t="s">
        <v>2623</v>
      </c>
    </row>
    <row r="9" spans="1:31" ht="12.75" customHeight="1" x14ac:dyDescent="0.25">
      <c r="A9" s="235">
        <f t="shared" si="9"/>
        <v>3</v>
      </c>
      <c r="B9" s="237" t="s">
        <v>2788</v>
      </c>
      <c r="C9" s="237" t="s">
        <v>2269</v>
      </c>
      <c r="D9" s="238">
        <v>3557530</v>
      </c>
      <c r="E9" s="235">
        <v>1173</v>
      </c>
      <c r="F9" s="252"/>
      <c r="G9" s="255" t="s">
        <v>2786</v>
      </c>
      <c r="H9" s="256" t="s">
        <v>2787</v>
      </c>
      <c r="I9" s="235" t="s">
        <v>2677</v>
      </c>
      <c r="J9" s="257">
        <v>1.3888888888888951E-2</v>
      </c>
      <c r="K9" s="242">
        <v>43770</v>
      </c>
      <c r="L9" s="242">
        <v>43782</v>
      </c>
      <c r="M9" s="243">
        <f t="shared" si="0"/>
        <v>100</v>
      </c>
      <c r="N9" s="235" t="s">
        <v>2678</v>
      </c>
      <c r="O9" s="258">
        <f t="shared" si="1"/>
        <v>0</v>
      </c>
      <c r="P9" s="235" t="s">
        <v>2779</v>
      </c>
      <c r="Q9" s="235" t="s">
        <v>2678</v>
      </c>
      <c r="R9" s="245">
        <f t="shared" si="2"/>
        <v>13</v>
      </c>
      <c r="S9" s="246">
        <v>43763</v>
      </c>
      <c r="T9" s="245">
        <f t="shared" si="10"/>
        <v>13</v>
      </c>
      <c r="U9" s="243">
        <f t="shared" si="4"/>
        <v>1300</v>
      </c>
      <c r="V9" s="247"/>
      <c r="W9" s="237" t="s">
        <v>2780</v>
      </c>
      <c r="X9" s="245">
        <f t="shared" si="5"/>
        <v>13</v>
      </c>
      <c r="Y9" s="248">
        <v>24</v>
      </c>
      <c r="Z9" s="248">
        <f t="shared" si="6"/>
        <v>312</v>
      </c>
      <c r="AA9" s="254">
        <v>8072</v>
      </c>
      <c r="AB9" s="248">
        <f t="shared" si="7"/>
        <v>7760</v>
      </c>
      <c r="AC9" s="249">
        <f t="shared" si="8"/>
        <v>0.96134786917740334</v>
      </c>
      <c r="AD9" s="250">
        <v>0.95</v>
      </c>
      <c r="AE9" s="254" t="s">
        <v>2623</v>
      </c>
    </row>
    <row r="10" spans="1:31" ht="12.75" customHeight="1" x14ac:dyDescent="0.25">
      <c r="A10" s="235">
        <f t="shared" si="9"/>
        <v>4</v>
      </c>
      <c r="B10" s="237" t="s">
        <v>2789</v>
      </c>
      <c r="C10" s="237" t="s">
        <v>2790</v>
      </c>
      <c r="D10" s="238">
        <v>28630</v>
      </c>
      <c r="E10" s="235">
        <v>1449</v>
      </c>
      <c r="F10" s="252"/>
      <c r="G10" s="255" t="s">
        <v>2791</v>
      </c>
      <c r="H10" s="256" t="s">
        <v>2792</v>
      </c>
      <c r="I10" s="235" t="s">
        <v>2677</v>
      </c>
      <c r="J10" s="257">
        <v>2.777777777777779E-2</v>
      </c>
      <c r="K10" s="242">
        <v>43770</v>
      </c>
      <c r="L10" s="242">
        <v>43775</v>
      </c>
      <c r="M10" s="243">
        <f t="shared" si="0"/>
        <v>60</v>
      </c>
      <c r="N10" s="235" t="s">
        <v>2678</v>
      </c>
      <c r="O10" s="258">
        <f t="shared" si="1"/>
        <v>0</v>
      </c>
      <c r="P10" s="235" t="s">
        <v>2779</v>
      </c>
      <c r="Q10" s="235" t="s">
        <v>2678</v>
      </c>
      <c r="R10" s="245">
        <f t="shared" si="2"/>
        <v>6</v>
      </c>
      <c r="S10" s="246">
        <v>43774</v>
      </c>
      <c r="T10" s="245">
        <f t="shared" si="10"/>
        <v>6</v>
      </c>
      <c r="U10" s="243">
        <f t="shared" si="4"/>
        <v>360</v>
      </c>
      <c r="V10" s="247"/>
      <c r="W10" s="237" t="s">
        <v>2780</v>
      </c>
      <c r="X10" s="245">
        <f t="shared" si="5"/>
        <v>6</v>
      </c>
      <c r="Y10" s="248">
        <v>24</v>
      </c>
      <c r="Z10" s="248">
        <f t="shared" si="6"/>
        <v>144</v>
      </c>
      <c r="AA10" s="254">
        <v>8072</v>
      </c>
      <c r="AB10" s="248">
        <f t="shared" si="7"/>
        <v>7928</v>
      </c>
      <c r="AC10" s="249">
        <f t="shared" si="8"/>
        <v>0.98216055500495536</v>
      </c>
      <c r="AD10" s="250">
        <v>0.92</v>
      </c>
      <c r="AE10" s="254" t="s">
        <v>2623</v>
      </c>
    </row>
    <row r="11" spans="1:31" ht="12.75" customHeight="1" x14ac:dyDescent="0.25">
      <c r="A11" s="235">
        <f t="shared" si="9"/>
        <v>5</v>
      </c>
      <c r="B11" s="237" t="s">
        <v>2793</v>
      </c>
      <c r="C11" s="237" t="s">
        <v>2794</v>
      </c>
      <c r="D11" s="238">
        <v>12049370</v>
      </c>
      <c r="E11" s="235">
        <v>1471</v>
      </c>
      <c r="F11" s="252"/>
      <c r="G11" s="255" t="s">
        <v>2786</v>
      </c>
      <c r="H11" s="256" t="s">
        <v>2795</v>
      </c>
      <c r="I11" s="235" t="s">
        <v>2677</v>
      </c>
      <c r="J11" s="257">
        <v>6.597222222222221E-2</v>
      </c>
      <c r="K11" s="242">
        <v>43770</v>
      </c>
      <c r="L11" s="242">
        <v>43773</v>
      </c>
      <c r="M11" s="243">
        <f t="shared" si="0"/>
        <v>100</v>
      </c>
      <c r="N11" s="235" t="s">
        <v>2678</v>
      </c>
      <c r="O11" s="258">
        <f t="shared" si="1"/>
        <v>0</v>
      </c>
      <c r="P11" s="235" t="s">
        <v>2779</v>
      </c>
      <c r="Q11" s="235" t="s">
        <v>2678</v>
      </c>
      <c r="R11" s="245">
        <f t="shared" si="2"/>
        <v>4</v>
      </c>
      <c r="S11" s="246">
        <v>43775</v>
      </c>
      <c r="T11" s="245">
        <f t="shared" si="10"/>
        <v>4</v>
      </c>
      <c r="U11" s="243">
        <f t="shared" si="4"/>
        <v>400</v>
      </c>
      <c r="V11" s="247"/>
      <c r="W11" s="237" t="s">
        <v>2780</v>
      </c>
      <c r="X11" s="245">
        <f t="shared" si="5"/>
        <v>4</v>
      </c>
      <c r="Y11" s="248">
        <v>24</v>
      </c>
      <c r="Z11" s="248">
        <f t="shared" si="6"/>
        <v>96</v>
      </c>
      <c r="AA11" s="254">
        <v>8072</v>
      </c>
      <c r="AB11" s="248">
        <f t="shared" si="7"/>
        <v>7976</v>
      </c>
      <c r="AC11" s="249">
        <f t="shared" si="8"/>
        <v>0.98810703666997024</v>
      </c>
      <c r="AD11" s="250">
        <v>0.92</v>
      </c>
      <c r="AE11" s="254" t="s">
        <v>2623</v>
      </c>
    </row>
    <row r="12" spans="1:31" ht="12.75" customHeight="1" x14ac:dyDescent="0.25">
      <c r="A12" s="235">
        <f t="shared" si="9"/>
        <v>6</v>
      </c>
      <c r="B12" s="237" t="s">
        <v>2796</v>
      </c>
      <c r="C12" s="237" t="s">
        <v>2790</v>
      </c>
      <c r="D12" s="238">
        <v>28630</v>
      </c>
      <c r="E12" s="235">
        <v>1476</v>
      </c>
      <c r="F12" s="252"/>
      <c r="G12" s="255" t="s">
        <v>2797</v>
      </c>
      <c r="H12" s="256" t="s">
        <v>2798</v>
      </c>
      <c r="I12" s="235" t="s">
        <v>2677</v>
      </c>
      <c r="J12" s="257">
        <v>2.3611111111111083E-2</v>
      </c>
      <c r="K12" s="242">
        <v>43770</v>
      </c>
      <c r="L12" s="242">
        <v>43775</v>
      </c>
      <c r="M12" s="243">
        <f t="shared" si="0"/>
        <v>60</v>
      </c>
      <c r="N12" s="235" t="s">
        <v>2678</v>
      </c>
      <c r="O12" s="258">
        <f t="shared" si="1"/>
        <v>0</v>
      </c>
      <c r="P12" s="235" t="s">
        <v>2779</v>
      </c>
      <c r="Q12" s="235" t="s">
        <v>2678</v>
      </c>
      <c r="R12" s="245">
        <f t="shared" si="2"/>
        <v>6</v>
      </c>
      <c r="S12" s="246">
        <v>43775</v>
      </c>
      <c r="T12" s="245">
        <f t="shared" si="10"/>
        <v>6</v>
      </c>
      <c r="U12" s="243">
        <f t="shared" si="4"/>
        <v>360</v>
      </c>
      <c r="V12" s="247"/>
      <c r="W12" s="237" t="e">
        <v>#N/A</v>
      </c>
      <c r="X12" s="245">
        <f t="shared" si="5"/>
        <v>6</v>
      </c>
      <c r="Y12" s="248">
        <v>24</v>
      </c>
      <c r="Z12" s="248">
        <f t="shared" si="6"/>
        <v>144</v>
      </c>
      <c r="AA12" s="254">
        <v>8072</v>
      </c>
      <c r="AB12" s="248">
        <f t="shared" si="7"/>
        <v>7928</v>
      </c>
      <c r="AC12" s="249">
        <f t="shared" si="8"/>
        <v>0.98216055500495536</v>
      </c>
      <c r="AD12" s="250">
        <v>0.92</v>
      </c>
      <c r="AE12" s="254" t="s">
        <v>2623</v>
      </c>
    </row>
    <row r="13" spans="1:31" ht="12.75" customHeight="1" x14ac:dyDescent="0.25">
      <c r="A13" s="235">
        <f t="shared" si="9"/>
        <v>7</v>
      </c>
      <c r="B13" s="237" t="s">
        <v>2799</v>
      </c>
      <c r="C13" s="237" t="s">
        <v>2800</v>
      </c>
      <c r="D13" s="238">
        <v>4510</v>
      </c>
      <c r="E13" s="235">
        <v>1496</v>
      </c>
      <c r="F13" s="252"/>
      <c r="G13" s="255" t="s">
        <v>2797</v>
      </c>
      <c r="H13" s="256" t="s">
        <v>2801</v>
      </c>
      <c r="I13" s="235" t="s">
        <v>2677</v>
      </c>
      <c r="J13" s="257">
        <v>1.041666666666663E-2</v>
      </c>
      <c r="K13" s="242">
        <v>43770</v>
      </c>
      <c r="L13" s="242">
        <v>43775</v>
      </c>
      <c r="M13" s="243">
        <f t="shared" si="0"/>
        <v>10</v>
      </c>
      <c r="N13" s="235" t="s">
        <v>2678</v>
      </c>
      <c r="O13" s="258">
        <f t="shared" si="1"/>
        <v>0</v>
      </c>
      <c r="P13" s="235" t="s">
        <v>2779</v>
      </c>
      <c r="Q13" s="235" t="s">
        <v>2678</v>
      </c>
      <c r="R13" s="245">
        <f t="shared" si="2"/>
        <v>6</v>
      </c>
      <c r="S13" s="246">
        <v>43775</v>
      </c>
      <c r="T13" s="245">
        <f t="shared" si="10"/>
        <v>6</v>
      </c>
      <c r="U13" s="243">
        <f t="shared" si="4"/>
        <v>60</v>
      </c>
      <c r="V13" s="247"/>
      <c r="W13" s="237" t="s">
        <v>2780</v>
      </c>
      <c r="X13" s="245">
        <f t="shared" si="5"/>
        <v>6</v>
      </c>
      <c r="Y13" s="248">
        <v>24</v>
      </c>
      <c r="Z13" s="248">
        <f t="shared" si="6"/>
        <v>144</v>
      </c>
      <c r="AA13" s="254">
        <v>8072</v>
      </c>
      <c r="AB13" s="248">
        <f t="shared" si="7"/>
        <v>7928</v>
      </c>
      <c r="AC13" s="249">
        <f t="shared" si="8"/>
        <v>0.98216055500495536</v>
      </c>
      <c r="AD13" s="250">
        <v>0.92</v>
      </c>
      <c r="AE13" s="254" t="s">
        <v>2623</v>
      </c>
    </row>
    <row r="14" spans="1:31" ht="12.75" customHeight="1" x14ac:dyDescent="0.25">
      <c r="A14" s="235">
        <f t="shared" si="9"/>
        <v>8</v>
      </c>
      <c r="B14" s="237" t="s">
        <v>2802</v>
      </c>
      <c r="C14" s="237" t="s">
        <v>2803</v>
      </c>
      <c r="D14" s="238">
        <v>1044560</v>
      </c>
      <c r="E14" s="235">
        <v>1535</v>
      </c>
      <c r="F14" s="252"/>
      <c r="G14" s="255" t="s">
        <v>2804</v>
      </c>
      <c r="H14" s="256" t="s">
        <v>2805</v>
      </c>
      <c r="I14" s="235" t="s">
        <v>2677</v>
      </c>
      <c r="J14" s="257">
        <v>1.736111111111116E-2</v>
      </c>
      <c r="K14" s="242">
        <v>43770</v>
      </c>
      <c r="L14" s="242">
        <v>43773</v>
      </c>
      <c r="M14" s="243">
        <f t="shared" si="0"/>
        <v>100</v>
      </c>
      <c r="N14" s="235" t="s">
        <v>2678</v>
      </c>
      <c r="O14" s="258">
        <f t="shared" si="1"/>
        <v>0</v>
      </c>
      <c r="P14" s="235" t="s">
        <v>2779</v>
      </c>
      <c r="Q14" s="235" t="s">
        <v>2678</v>
      </c>
      <c r="R14" s="245">
        <f t="shared" si="2"/>
        <v>4</v>
      </c>
      <c r="S14" s="246">
        <v>43776</v>
      </c>
      <c r="T14" s="245">
        <f t="shared" si="10"/>
        <v>4</v>
      </c>
      <c r="U14" s="243">
        <f t="shared" si="4"/>
        <v>400</v>
      </c>
      <c r="V14" s="247"/>
      <c r="W14" s="237" t="s">
        <v>2780</v>
      </c>
      <c r="X14" s="245">
        <f t="shared" si="5"/>
        <v>4</v>
      </c>
      <c r="Y14" s="248">
        <v>24</v>
      </c>
      <c r="Z14" s="248">
        <f t="shared" si="6"/>
        <v>96</v>
      </c>
      <c r="AA14" s="254">
        <v>8072</v>
      </c>
      <c r="AB14" s="248">
        <f t="shared" si="7"/>
        <v>7976</v>
      </c>
      <c r="AC14" s="249">
        <f t="shared" si="8"/>
        <v>0.98810703666997024</v>
      </c>
      <c r="AD14" s="250">
        <v>0.95</v>
      </c>
      <c r="AE14" s="254" t="s">
        <v>2623</v>
      </c>
    </row>
    <row r="15" spans="1:31" ht="12.75" customHeight="1" x14ac:dyDescent="0.25">
      <c r="A15" s="235">
        <f t="shared" si="9"/>
        <v>9</v>
      </c>
      <c r="B15" s="237" t="s">
        <v>2806</v>
      </c>
      <c r="C15" s="237" t="s">
        <v>2807</v>
      </c>
      <c r="D15" s="238">
        <v>3191750</v>
      </c>
      <c r="E15" s="235">
        <v>1550</v>
      </c>
      <c r="F15" s="252"/>
      <c r="G15" s="255" t="s">
        <v>2808</v>
      </c>
      <c r="H15" s="256" t="s">
        <v>2809</v>
      </c>
      <c r="I15" s="235" t="s">
        <v>2677</v>
      </c>
      <c r="J15" s="257">
        <v>3.4722222222222099E-3</v>
      </c>
      <c r="K15" s="242">
        <v>43770</v>
      </c>
      <c r="L15" s="242">
        <v>43773</v>
      </c>
      <c r="M15" s="243">
        <f t="shared" si="0"/>
        <v>100</v>
      </c>
      <c r="N15" s="235" t="s">
        <v>2678</v>
      </c>
      <c r="O15" s="258">
        <f t="shared" si="1"/>
        <v>0</v>
      </c>
      <c r="P15" s="235" t="s">
        <v>2779</v>
      </c>
      <c r="Q15" s="235" t="s">
        <v>2678</v>
      </c>
      <c r="R15" s="245">
        <f t="shared" si="2"/>
        <v>4</v>
      </c>
      <c r="S15" s="246">
        <v>43777</v>
      </c>
      <c r="T15" s="245">
        <f t="shared" si="10"/>
        <v>4</v>
      </c>
      <c r="U15" s="243">
        <f t="shared" si="4"/>
        <v>400</v>
      </c>
      <c r="V15" s="247"/>
      <c r="W15" s="237" t="s">
        <v>2780</v>
      </c>
      <c r="X15" s="245">
        <f t="shared" si="5"/>
        <v>4</v>
      </c>
      <c r="Y15" s="248">
        <v>24</v>
      </c>
      <c r="Z15" s="248">
        <f t="shared" si="6"/>
        <v>96</v>
      </c>
      <c r="AA15" s="254">
        <v>8072</v>
      </c>
      <c r="AB15" s="248">
        <f t="shared" si="7"/>
        <v>7976</v>
      </c>
      <c r="AC15" s="249">
        <f t="shared" si="8"/>
        <v>0.98810703666997024</v>
      </c>
      <c r="AD15" s="250">
        <v>0.92</v>
      </c>
      <c r="AE15" s="254" t="s">
        <v>2623</v>
      </c>
    </row>
    <row r="16" spans="1:31" ht="12.75" customHeight="1" x14ac:dyDescent="0.25">
      <c r="A16" s="235">
        <f t="shared" si="9"/>
        <v>10</v>
      </c>
      <c r="B16" s="237" t="s">
        <v>2810</v>
      </c>
      <c r="C16" s="237" t="s">
        <v>2811</v>
      </c>
      <c r="D16" s="238">
        <v>3191750</v>
      </c>
      <c r="E16" s="235">
        <v>1565</v>
      </c>
      <c r="F16" s="235"/>
      <c r="G16" s="255" t="s">
        <v>2804</v>
      </c>
      <c r="H16" s="256" t="s">
        <v>2812</v>
      </c>
      <c r="I16" s="235" t="s">
        <v>2677</v>
      </c>
      <c r="J16" s="257">
        <v>0</v>
      </c>
      <c r="K16" s="242">
        <v>43770</v>
      </c>
      <c r="L16" s="242">
        <v>43773</v>
      </c>
      <c r="M16" s="243">
        <f t="shared" si="0"/>
        <v>100</v>
      </c>
      <c r="N16" s="235" t="s">
        <v>2678</v>
      </c>
      <c r="O16" s="258">
        <f t="shared" si="1"/>
        <v>0</v>
      </c>
      <c r="P16" s="235" t="s">
        <v>2779</v>
      </c>
      <c r="Q16" s="235" t="s">
        <v>2678</v>
      </c>
      <c r="R16" s="245">
        <f t="shared" si="2"/>
        <v>4</v>
      </c>
      <c r="S16" s="246">
        <v>43777</v>
      </c>
      <c r="T16" s="245">
        <f t="shared" si="10"/>
        <v>4</v>
      </c>
      <c r="U16" s="243">
        <f t="shared" si="4"/>
        <v>400</v>
      </c>
      <c r="V16" s="247"/>
      <c r="W16" s="237" t="s">
        <v>2780</v>
      </c>
      <c r="X16" s="245">
        <f t="shared" si="5"/>
        <v>4</v>
      </c>
      <c r="Y16" s="248">
        <v>24</v>
      </c>
      <c r="Z16" s="248">
        <f t="shared" si="6"/>
        <v>96</v>
      </c>
      <c r="AA16" s="254">
        <v>8072</v>
      </c>
      <c r="AB16" s="248">
        <f t="shared" si="7"/>
        <v>7976</v>
      </c>
      <c r="AC16" s="249">
        <f t="shared" si="8"/>
        <v>0.98810703666997024</v>
      </c>
      <c r="AD16" s="250">
        <v>0.92</v>
      </c>
      <c r="AE16" s="254" t="s">
        <v>2623</v>
      </c>
    </row>
    <row r="17" spans="1:31" ht="12.75" customHeight="1" x14ac:dyDescent="0.25">
      <c r="A17" s="221"/>
      <c r="B17" s="221"/>
      <c r="C17" s="221"/>
      <c r="D17" s="221"/>
      <c r="E17" s="221"/>
      <c r="F17" s="221"/>
      <c r="G17" s="221"/>
      <c r="H17" s="221"/>
      <c r="I17" s="221"/>
      <c r="J17" s="221"/>
      <c r="K17" s="221"/>
      <c r="L17" s="221"/>
      <c r="M17" s="221"/>
      <c r="N17" s="221"/>
      <c r="O17" s="221"/>
      <c r="P17" s="221"/>
      <c r="Q17" s="221"/>
      <c r="R17" s="221"/>
      <c r="S17" s="221"/>
      <c r="T17" s="221"/>
      <c r="U17" s="259">
        <f>SUM(U6:U16)</f>
        <v>6090</v>
      </c>
      <c r="V17" s="221"/>
      <c r="W17" s="221"/>
      <c r="X17" s="221"/>
      <c r="Y17" s="222"/>
      <c r="Z17" s="222"/>
      <c r="AA17" s="222"/>
      <c r="AB17" s="222"/>
      <c r="AC17" s="223"/>
      <c r="AD17" s="224"/>
      <c r="AE17" s="222"/>
    </row>
    <row r="18" spans="1:31" ht="12.75" customHeight="1" x14ac:dyDescent="0.25">
      <c r="A18" s="221"/>
      <c r="B18" s="221"/>
      <c r="C18" s="221"/>
      <c r="D18" s="221"/>
      <c r="E18" s="221"/>
      <c r="F18" s="221"/>
      <c r="G18" s="221"/>
      <c r="H18" s="221"/>
      <c r="I18" s="221"/>
      <c r="J18" s="221"/>
      <c r="K18" s="221"/>
      <c r="L18" s="221"/>
      <c r="M18" s="221"/>
      <c r="N18" s="221"/>
      <c r="O18" s="221"/>
      <c r="P18" s="221"/>
      <c r="Q18" s="221"/>
      <c r="R18" s="221"/>
      <c r="S18" s="221"/>
      <c r="T18" s="221"/>
      <c r="U18" s="221"/>
      <c r="V18" s="221"/>
      <c r="W18" s="221"/>
      <c r="X18" s="221"/>
      <c r="Y18" s="222"/>
      <c r="Z18" s="222"/>
      <c r="AA18" s="222"/>
      <c r="AB18" s="222"/>
      <c r="AC18" s="223"/>
      <c r="AD18" s="224"/>
      <c r="AE18" s="222"/>
    </row>
    <row r="19" spans="1:31" ht="12.75" customHeight="1" x14ac:dyDescent="0.25">
      <c r="A19" s="221"/>
      <c r="B19" s="221"/>
      <c r="C19" s="221"/>
      <c r="D19" s="221"/>
      <c r="E19" s="221"/>
      <c r="F19" s="221"/>
      <c r="G19" s="221"/>
      <c r="H19" s="221"/>
      <c r="I19" s="221"/>
      <c r="J19" s="221"/>
      <c r="K19" s="221"/>
      <c r="L19" s="221"/>
      <c r="M19" s="221"/>
      <c r="N19" s="221"/>
      <c r="O19" s="221"/>
      <c r="P19" s="221"/>
      <c r="Q19" s="221"/>
      <c r="R19" s="221"/>
      <c r="S19" s="221"/>
      <c r="T19" s="221"/>
      <c r="U19" s="221"/>
      <c r="V19" s="221"/>
      <c r="W19" s="221"/>
      <c r="X19" s="221"/>
      <c r="Y19" s="222"/>
      <c r="Z19" s="222"/>
      <c r="AA19" s="222"/>
      <c r="AB19" s="222"/>
      <c r="AC19" s="223"/>
      <c r="AD19" s="224"/>
      <c r="AE19" s="222"/>
    </row>
    <row r="20" spans="1:31" ht="12.75" customHeight="1" x14ac:dyDescent="0.25">
      <c r="A20" s="221"/>
      <c r="B20" s="221"/>
      <c r="C20" s="221"/>
      <c r="D20" s="221"/>
      <c r="E20" s="221"/>
      <c r="F20" s="221"/>
      <c r="G20" s="221"/>
      <c r="H20" s="221"/>
      <c r="I20" s="221"/>
      <c r="J20" s="221"/>
      <c r="K20" s="221"/>
      <c r="L20" s="221"/>
      <c r="M20" s="221"/>
      <c r="N20" s="221"/>
      <c r="O20" s="221"/>
      <c r="P20" s="221"/>
      <c r="Q20" s="221"/>
      <c r="R20" s="221"/>
      <c r="S20" s="221"/>
      <c r="T20" s="221"/>
      <c r="U20" s="221"/>
      <c r="V20" s="221"/>
      <c r="W20" s="221"/>
      <c r="X20" s="221"/>
      <c r="Y20" s="222"/>
      <c r="Z20" s="222"/>
      <c r="AA20" s="222"/>
      <c r="AB20" s="222"/>
      <c r="AC20" s="223"/>
      <c r="AD20" s="224"/>
      <c r="AE20" s="222"/>
    </row>
    <row r="21" spans="1:31" ht="12.75" customHeight="1" x14ac:dyDescent="0.25">
      <c r="A21" s="221"/>
      <c r="B21" s="221"/>
      <c r="C21" s="221"/>
      <c r="D21" s="221"/>
      <c r="E21" s="221"/>
      <c r="F21" s="221"/>
      <c r="G21" s="221"/>
      <c r="H21" s="221"/>
      <c r="I21" s="221"/>
      <c r="J21" s="221"/>
      <c r="K21" s="221"/>
      <c r="L21" s="221"/>
      <c r="M21" s="221"/>
      <c r="N21" s="221"/>
      <c r="O21" s="221"/>
      <c r="P21" s="221"/>
      <c r="Q21" s="221"/>
      <c r="R21" s="221"/>
      <c r="S21" s="221"/>
      <c r="T21" s="221"/>
      <c r="U21" s="221"/>
      <c r="V21" s="221"/>
      <c r="W21" s="221"/>
      <c r="X21" s="221"/>
      <c r="Y21" s="222"/>
      <c r="Z21" s="222"/>
      <c r="AA21" s="222"/>
      <c r="AB21" s="222"/>
      <c r="AC21" s="223"/>
      <c r="AD21" s="224"/>
      <c r="AE21" s="222"/>
    </row>
    <row r="22" spans="1:31" ht="12.75" customHeight="1" x14ac:dyDescent="0.25">
      <c r="A22" s="221"/>
      <c r="B22" s="221"/>
      <c r="C22" s="221"/>
      <c r="D22" s="221"/>
      <c r="E22" s="221"/>
      <c r="F22" s="221"/>
      <c r="G22" s="221"/>
      <c r="H22" s="221"/>
      <c r="I22" s="221"/>
      <c r="J22" s="221"/>
      <c r="K22" s="221"/>
      <c r="L22" s="221"/>
      <c r="M22" s="221"/>
      <c r="N22" s="221"/>
      <c r="O22" s="221"/>
      <c r="P22" s="221"/>
      <c r="Q22" s="221"/>
      <c r="R22" s="221"/>
      <c r="S22" s="221"/>
      <c r="T22" s="221"/>
      <c r="U22" s="221"/>
      <c r="V22" s="221"/>
      <c r="W22" s="221"/>
      <c r="X22" s="221"/>
      <c r="Y22" s="222"/>
      <c r="Z22" s="222"/>
      <c r="AA22" s="222"/>
      <c r="AB22" s="222"/>
      <c r="AC22" s="223"/>
      <c r="AD22" s="224"/>
      <c r="AE22" s="222"/>
    </row>
    <row r="23" spans="1:31" ht="12.75" customHeight="1" x14ac:dyDescent="0.25">
      <c r="A23" s="221"/>
      <c r="B23" s="221"/>
      <c r="C23" s="221"/>
      <c r="D23" s="221"/>
      <c r="E23" s="221"/>
      <c r="F23" s="221"/>
      <c r="G23" s="221"/>
      <c r="H23" s="221"/>
      <c r="I23" s="221"/>
      <c r="J23" s="221"/>
      <c r="K23" s="221"/>
      <c r="L23" s="221"/>
      <c r="M23" s="221"/>
      <c r="N23" s="221"/>
      <c r="O23" s="221"/>
      <c r="P23" s="221"/>
      <c r="Q23" s="221"/>
      <c r="R23" s="221"/>
      <c r="S23" s="221"/>
      <c r="T23" s="221"/>
      <c r="U23" s="221"/>
      <c r="V23" s="221"/>
      <c r="W23" s="221"/>
      <c r="X23" s="221"/>
      <c r="Y23" s="222"/>
      <c r="Z23" s="222"/>
      <c r="AA23" s="222"/>
      <c r="AB23" s="222"/>
      <c r="AC23" s="223"/>
      <c r="AD23" s="224"/>
      <c r="AE23" s="222"/>
    </row>
    <row r="24" spans="1:31" ht="12.75" customHeight="1" x14ac:dyDescent="0.25">
      <c r="A24" s="221"/>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2"/>
      <c r="Z24" s="222"/>
      <c r="AA24" s="222"/>
      <c r="AB24" s="222"/>
      <c r="AC24" s="223"/>
      <c r="AD24" s="224"/>
      <c r="AE24" s="222"/>
    </row>
    <row r="25" spans="1:31" ht="12.75" customHeight="1" x14ac:dyDescent="0.25">
      <c r="A25" s="221"/>
      <c r="B25" s="221"/>
      <c r="C25" s="221"/>
      <c r="D25" s="221"/>
      <c r="E25" s="221"/>
      <c r="F25" s="221"/>
      <c r="G25" s="221"/>
      <c r="H25" s="221"/>
      <c r="I25" s="221"/>
      <c r="J25" s="221"/>
      <c r="K25" s="221"/>
      <c r="L25" s="221"/>
      <c r="M25" s="221"/>
      <c r="N25" s="221"/>
      <c r="O25" s="221"/>
      <c r="P25" s="221"/>
      <c r="Q25" s="221"/>
      <c r="R25" s="221"/>
      <c r="S25" s="221"/>
      <c r="T25" s="221"/>
      <c r="U25" s="221"/>
      <c r="V25" s="221"/>
      <c r="W25" s="221"/>
      <c r="X25" s="221"/>
      <c r="Y25" s="222"/>
      <c r="Z25" s="222"/>
      <c r="AA25" s="222"/>
      <c r="AB25" s="222"/>
      <c r="AC25" s="223"/>
      <c r="AD25" s="224"/>
      <c r="AE25" s="222"/>
    </row>
    <row r="26" spans="1:31" ht="12.75" customHeight="1" x14ac:dyDescent="0.25">
      <c r="A26" s="221"/>
      <c r="B26" s="221"/>
      <c r="C26" s="221"/>
      <c r="D26" s="221"/>
      <c r="E26" s="221"/>
      <c r="F26" s="221"/>
      <c r="G26" s="221"/>
      <c r="H26" s="221"/>
      <c r="I26" s="221"/>
      <c r="J26" s="221"/>
      <c r="K26" s="221"/>
      <c r="L26" s="221"/>
      <c r="M26" s="221"/>
      <c r="N26" s="221"/>
      <c r="O26" s="221"/>
      <c r="P26" s="221"/>
      <c r="Q26" s="221"/>
      <c r="R26" s="221"/>
      <c r="S26" s="221"/>
      <c r="T26" s="221"/>
      <c r="U26" s="221"/>
      <c r="V26" s="221"/>
      <c r="W26" s="221"/>
      <c r="X26" s="221"/>
      <c r="Y26" s="222"/>
      <c r="Z26" s="222"/>
      <c r="AA26" s="222"/>
      <c r="AB26" s="222"/>
      <c r="AC26" s="223"/>
      <c r="AD26" s="224"/>
      <c r="AE26" s="222"/>
    </row>
    <row r="27" spans="1:31" ht="12.75" customHeight="1" x14ac:dyDescent="0.25">
      <c r="A27" s="221"/>
      <c r="B27" s="221"/>
      <c r="C27" s="221"/>
      <c r="D27" s="221"/>
      <c r="E27" s="221"/>
      <c r="F27" s="221"/>
      <c r="G27" s="221"/>
      <c r="H27" s="221"/>
      <c r="I27" s="221"/>
      <c r="J27" s="221"/>
      <c r="K27" s="221"/>
      <c r="L27" s="221"/>
      <c r="M27" s="221"/>
      <c r="N27" s="221"/>
      <c r="O27" s="221"/>
      <c r="P27" s="221"/>
      <c r="Q27" s="221"/>
      <c r="R27" s="221"/>
      <c r="S27" s="221"/>
      <c r="T27" s="221"/>
      <c r="U27" s="221"/>
      <c r="V27" s="221"/>
      <c r="W27" s="221"/>
      <c r="X27" s="221"/>
      <c r="Y27" s="222"/>
      <c r="Z27" s="222"/>
      <c r="AA27" s="222"/>
      <c r="AB27" s="222"/>
      <c r="AC27" s="223"/>
      <c r="AD27" s="224"/>
      <c r="AE27" s="222"/>
    </row>
    <row r="28" spans="1:31" ht="12.75" customHeight="1" x14ac:dyDescent="0.25">
      <c r="A28" s="221"/>
      <c r="B28" s="221"/>
      <c r="C28" s="221"/>
      <c r="D28" s="221"/>
      <c r="E28" s="221"/>
      <c r="F28" s="221"/>
      <c r="G28" s="221"/>
      <c r="H28" s="221"/>
      <c r="I28" s="221"/>
      <c r="J28" s="221"/>
      <c r="K28" s="221"/>
      <c r="L28" s="221"/>
      <c r="M28" s="221"/>
      <c r="N28" s="221"/>
      <c r="O28" s="221"/>
      <c r="P28" s="221"/>
      <c r="Q28" s="221"/>
      <c r="R28" s="221"/>
      <c r="S28" s="221"/>
      <c r="T28" s="221"/>
      <c r="U28" s="221"/>
      <c r="V28" s="221"/>
      <c r="W28" s="221"/>
      <c r="X28" s="221"/>
      <c r="Y28" s="222"/>
      <c r="Z28" s="222"/>
      <c r="AA28" s="222"/>
      <c r="AB28" s="222"/>
      <c r="AC28" s="223"/>
      <c r="AD28" s="224"/>
      <c r="AE28" s="222"/>
    </row>
    <row r="29" spans="1:31" ht="12.75" customHeight="1" x14ac:dyDescent="0.25">
      <c r="A29" s="221"/>
      <c r="B29" s="221"/>
      <c r="C29" s="221"/>
      <c r="D29" s="221"/>
      <c r="E29" s="221"/>
      <c r="F29" s="221"/>
      <c r="G29" s="221"/>
      <c r="H29" s="221"/>
      <c r="I29" s="221"/>
      <c r="J29" s="221"/>
      <c r="K29" s="221"/>
      <c r="L29" s="221"/>
      <c r="M29" s="221"/>
      <c r="N29" s="221"/>
      <c r="O29" s="221"/>
      <c r="P29" s="221"/>
      <c r="Q29" s="221"/>
      <c r="R29" s="221"/>
      <c r="S29" s="221"/>
      <c r="T29" s="221"/>
      <c r="U29" s="221"/>
      <c r="V29" s="221"/>
      <c r="W29" s="221"/>
      <c r="X29" s="221"/>
      <c r="Y29" s="222"/>
      <c r="Z29" s="222"/>
      <c r="AA29" s="222"/>
      <c r="AB29" s="222"/>
      <c r="AC29" s="223"/>
      <c r="AD29" s="224"/>
      <c r="AE29" s="222"/>
    </row>
    <row r="30" spans="1:31" ht="12.75" customHeight="1" x14ac:dyDescent="0.25">
      <c r="A30" s="221"/>
      <c r="B30" s="221"/>
      <c r="C30" s="221"/>
      <c r="D30" s="221"/>
      <c r="E30" s="221"/>
      <c r="F30" s="221"/>
      <c r="G30" s="221"/>
      <c r="H30" s="221"/>
      <c r="I30" s="221"/>
      <c r="J30" s="221"/>
      <c r="K30" s="221"/>
      <c r="L30" s="221"/>
      <c r="M30" s="221"/>
      <c r="N30" s="221"/>
      <c r="O30" s="221"/>
      <c r="P30" s="221"/>
      <c r="Q30" s="221"/>
      <c r="R30" s="221"/>
      <c r="S30" s="221"/>
      <c r="T30" s="221"/>
      <c r="U30" s="221"/>
      <c r="V30" s="221"/>
      <c r="W30" s="221"/>
      <c r="X30" s="221"/>
      <c r="Y30" s="222"/>
      <c r="Z30" s="222"/>
      <c r="AA30" s="222"/>
      <c r="AB30" s="222"/>
      <c r="AC30" s="223"/>
      <c r="AD30" s="224"/>
      <c r="AE30" s="222"/>
    </row>
    <row r="31" spans="1:31" ht="12.75" customHeight="1" x14ac:dyDescent="0.25">
      <c r="A31" s="221"/>
      <c r="B31" s="221"/>
      <c r="C31" s="221"/>
      <c r="D31" s="221"/>
      <c r="E31" s="221"/>
      <c r="F31" s="221"/>
      <c r="G31" s="221"/>
      <c r="H31" s="221"/>
      <c r="I31" s="221"/>
      <c r="J31" s="221"/>
      <c r="K31" s="221"/>
      <c r="L31" s="221"/>
      <c r="M31" s="221"/>
      <c r="N31" s="221"/>
      <c r="O31" s="221"/>
      <c r="P31" s="221"/>
      <c r="Q31" s="221"/>
      <c r="R31" s="221"/>
      <c r="S31" s="221"/>
      <c r="T31" s="221"/>
      <c r="U31" s="221"/>
      <c r="V31" s="221"/>
      <c r="W31" s="221"/>
      <c r="X31" s="221"/>
      <c r="Y31" s="222"/>
      <c r="Z31" s="222"/>
      <c r="AA31" s="222"/>
      <c r="AB31" s="222"/>
      <c r="AC31" s="223"/>
      <c r="AD31" s="224"/>
      <c r="AE31" s="222"/>
    </row>
    <row r="32" spans="1:31" ht="12.75" customHeight="1" x14ac:dyDescent="0.25">
      <c r="A32" s="221"/>
      <c r="B32" s="221"/>
      <c r="C32" s="221"/>
      <c r="D32" s="221"/>
      <c r="E32" s="221"/>
      <c r="F32" s="221"/>
      <c r="G32" s="221"/>
      <c r="H32" s="221"/>
      <c r="I32" s="221"/>
      <c r="J32" s="221"/>
      <c r="K32" s="221"/>
      <c r="L32" s="221"/>
      <c r="M32" s="221"/>
      <c r="N32" s="221"/>
      <c r="O32" s="221"/>
      <c r="P32" s="221"/>
      <c r="Q32" s="221"/>
      <c r="R32" s="221"/>
      <c r="S32" s="221"/>
      <c r="T32" s="221"/>
      <c r="U32" s="221"/>
      <c r="V32" s="221"/>
      <c r="W32" s="221"/>
      <c r="X32" s="221"/>
      <c r="Y32" s="222"/>
      <c r="Z32" s="222"/>
      <c r="AA32" s="222"/>
      <c r="AB32" s="222"/>
      <c r="AC32" s="223"/>
      <c r="AD32" s="224"/>
      <c r="AE32" s="222"/>
    </row>
    <row r="33" spans="1:31" ht="12.75" customHeight="1" x14ac:dyDescent="0.25">
      <c r="A33" s="221"/>
      <c r="B33" s="221"/>
      <c r="C33" s="221"/>
      <c r="D33" s="221"/>
      <c r="E33" s="221"/>
      <c r="F33" s="221"/>
      <c r="G33" s="221"/>
      <c r="H33" s="221"/>
      <c r="I33" s="221"/>
      <c r="J33" s="221"/>
      <c r="K33" s="221"/>
      <c r="L33" s="221"/>
      <c r="M33" s="221"/>
      <c r="N33" s="221"/>
      <c r="O33" s="221"/>
      <c r="P33" s="221"/>
      <c r="Q33" s="221"/>
      <c r="R33" s="221"/>
      <c r="S33" s="221"/>
      <c r="T33" s="221"/>
      <c r="U33" s="221"/>
      <c r="V33" s="221"/>
      <c r="W33" s="221"/>
      <c r="X33" s="221"/>
      <c r="Y33" s="222"/>
      <c r="Z33" s="222"/>
      <c r="AA33" s="222"/>
      <c r="AB33" s="222"/>
      <c r="AC33" s="223"/>
      <c r="AD33" s="224"/>
      <c r="AE33" s="222"/>
    </row>
    <row r="34" spans="1:31" ht="12.75" customHeight="1" x14ac:dyDescent="0.25">
      <c r="A34" s="221"/>
      <c r="B34" s="221"/>
      <c r="C34" s="221"/>
      <c r="D34" s="221"/>
      <c r="E34" s="221"/>
      <c r="F34" s="221"/>
      <c r="G34" s="221"/>
      <c r="H34" s="221"/>
      <c r="I34" s="221"/>
      <c r="J34" s="221"/>
      <c r="K34" s="221"/>
      <c r="L34" s="221"/>
      <c r="M34" s="221"/>
      <c r="N34" s="221"/>
      <c r="O34" s="221"/>
      <c r="P34" s="221"/>
      <c r="Q34" s="221"/>
      <c r="R34" s="221"/>
      <c r="S34" s="221"/>
      <c r="T34" s="221"/>
      <c r="U34" s="221"/>
      <c r="V34" s="221"/>
      <c r="W34" s="221"/>
      <c r="X34" s="221"/>
      <c r="Y34" s="222"/>
      <c r="Z34" s="222"/>
      <c r="AA34" s="222"/>
      <c r="AB34" s="222"/>
      <c r="AC34" s="223"/>
      <c r="AD34" s="224"/>
      <c r="AE34" s="222"/>
    </row>
    <row r="35" spans="1:31" ht="12.75" customHeight="1" x14ac:dyDescent="0.25">
      <c r="A35" s="221"/>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2"/>
      <c r="Z35" s="222"/>
      <c r="AA35" s="222"/>
      <c r="AB35" s="222"/>
      <c r="AC35" s="223"/>
      <c r="AD35" s="224"/>
      <c r="AE35" s="222"/>
    </row>
    <row r="36" spans="1:31" ht="12.75" customHeight="1" x14ac:dyDescent="0.25">
      <c r="A36" s="221"/>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2"/>
      <c r="Z36" s="222"/>
      <c r="AA36" s="222"/>
      <c r="AB36" s="222"/>
      <c r="AC36" s="223"/>
      <c r="AD36" s="224"/>
      <c r="AE36" s="222"/>
    </row>
    <row r="37" spans="1:31" ht="12.75" customHeight="1" x14ac:dyDescent="0.25">
      <c r="A37" s="221"/>
      <c r="B37" s="221"/>
      <c r="C37" s="221"/>
      <c r="D37" s="221"/>
      <c r="E37" s="221"/>
      <c r="F37" s="221"/>
      <c r="G37" s="221"/>
      <c r="H37" s="221"/>
      <c r="I37" s="221"/>
      <c r="J37" s="221"/>
      <c r="K37" s="221"/>
      <c r="L37" s="221"/>
      <c r="M37" s="221"/>
      <c r="N37" s="221"/>
      <c r="O37" s="221"/>
      <c r="P37" s="221"/>
      <c r="Q37" s="221"/>
      <c r="R37" s="221"/>
      <c r="S37" s="221"/>
      <c r="T37" s="221"/>
      <c r="U37" s="221"/>
      <c r="V37" s="221"/>
      <c r="W37" s="221"/>
      <c r="X37" s="221"/>
      <c r="Y37" s="222"/>
      <c r="Z37" s="222"/>
      <c r="AA37" s="222"/>
      <c r="AB37" s="222"/>
      <c r="AC37" s="223"/>
      <c r="AD37" s="224"/>
      <c r="AE37" s="222"/>
    </row>
    <row r="38" spans="1:31" ht="12.75" customHeight="1" x14ac:dyDescent="0.25">
      <c r="A38" s="221"/>
      <c r="B38" s="221"/>
      <c r="C38" s="221"/>
      <c r="D38" s="221"/>
      <c r="E38" s="221"/>
      <c r="F38" s="221"/>
      <c r="G38" s="221"/>
      <c r="H38" s="221"/>
      <c r="I38" s="221"/>
      <c r="J38" s="221"/>
      <c r="K38" s="221"/>
      <c r="L38" s="221"/>
      <c r="M38" s="221"/>
      <c r="N38" s="221"/>
      <c r="O38" s="221"/>
      <c r="P38" s="221"/>
      <c r="Q38" s="221"/>
      <c r="R38" s="221"/>
      <c r="S38" s="221"/>
      <c r="T38" s="221"/>
      <c r="U38" s="221"/>
      <c r="V38" s="221"/>
      <c r="W38" s="221"/>
      <c r="X38" s="221"/>
      <c r="Y38" s="222"/>
      <c r="Z38" s="222"/>
      <c r="AA38" s="222"/>
      <c r="AB38" s="222"/>
      <c r="AC38" s="223"/>
      <c r="AD38" s="224"/>
      <c r="AE38" s="222"/>
    </row>
    <row r="39" spans="1:31" ht="12.75" customHeight="1" x14ac:dyDescent="0.25">
      <c r="A39" s="221"/>
      <c r="B39" s="221"/>
      <c r="C39" s="221"/>
      <c r="D39" s="221"/>
      <c r="E39" s="221"/>
      <c r="F39" s="221"/>
      <c r="G39" s="221"/>
      <c r="H39" s="221"/>
      <c r="I39" s="221"/>
      <c r="J39" s="221"/>
      <c r="K39" s="221"/>
      <c r="L39" s="221"/>
      <c r="M39" s="221"/>
      <c r="N39" s="221"/>
      <c r="O39" s="221"/>
      <c r="P39" s="221"/>
      <c r="Q39" s="221"/>
      <c r="R39" s="221"/>
      <c r="S39" s="221"/>
      <c r="T39" s="221"/>
      <c r="U39" s="221"/>
      <c r="V39" s="221"/>
      <c r="W39" s="221"/>
      <c r="X39" s="221"/>
      <c r="Y39" s="222"/>
      <c r="Z39" s="222"/>
      <c r="AA39" s="222"/>
      <c r="AB39" s="222"/>
      <c r="AC39" s="223"/>
      <c r="AD39" s="224"/>
      <c r="AE39" s="222"/>
    </row>
    <row r="40" spans="1:31" ht="12.75" customHeight="1" x14ac:dyDescent="0.25">
      <c r="A40" s="221"/>
      <c r="B40" s="221"/>
      <c r="C40" s="221"/>
      <c r="D40" s="221"/>
      <c r="E40" s="221"/>
      <c r="F40" s="221"/>
      <c r="G40" s="221"/>
      <c r="H40" s="221"/>
      <c r="I40" s="221"/>
      <c r="J40" s="221"/>
      <c r="K40" s="221"/>
      <c r="L40" s="221"/>
      <c r="M40" s="221"/>
      <c r="N40" s="221"/>
      <c r="O40" s="221"/>
      <c r="P40" s="221"/>
      <c r="Q40" s="221"/>
      <c r="R40" s="221"/>
      <c r="S40" s="221"/>
      <c r="T40" s="221"/>
      <c r="U40" s="221"/>
      <c r="V40" s="221"/>
      <c r="W40" s="221"/>
      <c r="X40" s="221"/>
      <c r="Y40" s="222"/>
      <c r="Z40" s="222"/>
      <c r="AA40" s="222"/>
      <c r="AB40" s="222"/>
      <c r="AC40" s="223"/>
      <c r="AD40" s="224"/>
      <c r="AE40" s="222"/>
    </row>
    <row r="41" spans="1:31" ht="12.75" customHeight="1" x14ac:dyDescent="0.25">
      <c r="A41" s="221"/>
      <c r="B41" s="221"/>
      <c r="C41" s="221"/>
      <c r="D41" s="221"/>
      <c r="E41" s="221"/>
      <c r="F41" s="221"/>
      <c r="G41" s="221"/>
      <c r="H41" s="221"/>
      <c r="I41" s="221"/>
      <c r="J41" s="221"/>
      <c r="K41" s="221"/>
      <c r="L41" s="221"/>
      <c r="M41" s="221"/>
      <c r="N41" s="221"/>
      <c r="O41" s="221"/>
      <c r="P41" s="221"/>
      <c r="Q41" s="221"/>
      <c r="R41" s="221"/>
      <c r="S41" s="221"/>
      <c r="T41" s="221"/>
      <c r="U41" s="221"/>
      <c r="V41" s="221"/>
      <c r="W41" s="221"/>
      <c r="X41" s="221"/>
      <c r="Y41" s="222"/>
      <c r="Z41" s="222"/>
      <c r="AA41" s="222"/>
      <c r="AB41" s="222"/>
      <c r="AC41" s="223"/>
      <c r="AD41" s="224"/>
      <c r="AE41" s="222"/>
    </row>
    <row r="42" spans="1:31" ht="12.75" customHeight="1" x14ac:dyDescent="0.25">
      <c r="A42" s="221"/>
      <c r="B42" s="221"/>
      <c r="C42" s="221"/>
      <c r="D42" s="221"/>
      <c r="E42" s="221"/>
      <c r="F42" s="221"/>
      <c r="G42" s="221"/>
      <c r="H42" s="221"/>
      <c r="I42" s="221"/>
      <c r="J42" s="221"/>
      <c r="K42" s="221"/>
      <c r="L42" s="221"/>
      <c r="M42" s="221"/>
      <c r="N42" s="221"/>
      <c r="O42" s="221"/>
      <c r="P42" s="221"/>
      <c r="Q42" s="221"/>
      <c r="R42" s="221"/>
      <c r="S42" s="221"/>
      <c r="T42" s="221"/>
      <c r="U42" s="221"/>
      <c r="V42" s="221"/>
      <c r="W42" s="221"/>
      <c r="X42" s="221"/>
      <c r="Y42" s="222"/>
      <c r="Z42" s="222"/>
      <c r="AA42" s="222"/>
      <c r="AB42" s="222"/>
      <c r="AC42" s="223"/>
      <c r="AD42" s="224"/>
      <c r="AE42" s="222"/>
    </row>
    <row r="43" spans="1:31" ht="12.75" customHeight="1" x14ac:dyDescent="0.25">
      <c r="A43" s="221"/>
      <c r="B43" s="221"/>
      <c r="C43" s="221"/>
      <c r="D43" s="221"/>
      <c r="E43" s="221"/>
      <c r="F43" s="221"/>
      <c r="G43" s="221"/>
      <c r="H43" s="221"/>
      <c r="I43" s="221"/>
      <c r="J43" s="221"/>
      <c r="K43" s="221"/>
      <c r="L43" s="221"/>
      <c r="M43" s="221"/>
      <c r="N43" s="221"/>
      <c r="O43" s="221"/>
      <c r="P43" s="221"/>
      <c r="Q43" s="221"/>
      <c r="R43" s="221"/>
      <c r="S43" s="221"/>
      <c r="T43" s="221"/>
      <c r="U43" s="221"/>
      <c r="V43" s="221"/>
      <c r="W43" s="221"/>
      <c r="X43" s="221"/>
      <c r="Y43" s="222"/>
      <c r="Z43" s="222"/>
      <c r="AA43" s="222"/>
      <c r="AB43" s="222"/>
      <c r="AC43" s="223"/>
      <c r="AD43" s="224"/>
      <c r="AE43" s="222"/>
    </row>
    <row r="44" spans="1:31" ht="12.75" customHeight="1" x14ac:dyDescent="0.25">
      <c r="A44" s="221"/>
      <c r="B44" s="221"/>
      <c r="C44" s="221"/>
      <c r="D44" s="221"/>
      <c r="E44" s="221"/>
      <c r="F44" s="221"/>
      <c r="G44" s="221"/>
      <c r="H44" s="221"/>
      <c r="I44" s="221"/>
      <c r="J44" s="221"/>
      <c r="K44" s="221"/>
      <c r="L44" s="221"/>
      <c r="M44" s="221"/>
      <c r="N44" s="221"/>
      <c r="O44" s="221"/>
      <c r="P44" s="221"/>
      <c r="Q44" s="221"/>
      <c r="R44" s="221"/>
      <c r="S44" s="221"/>
      <c r="T44" s="221"/>
      <c r="U44" s="221"/>
      <c r="V44" s="221"/>
      <c r="W44" s="221"/>
      <c r="X44" s="221"/>
      <c r="Y44" s="222"/>
      <c r="Z44" s="222"/>
      <c r="AA44" s="222"/>
      <c r="AB44" s="222"/>
      <c r="AC44" s="223"/>
      <c r="AD44" s="224"/>
      <c r="AE44" s="222"/>
    </row>
    <row r="45" spans="1:31" ht="12.75" customHeight="1" x14ac:dyDescent="0.25">
      <c r="A45" s="221"/>
      <c r="B45" s="221"/>
      <c r="C45" s="221"/>
      <c r="D45" s="221"/>
      <c r="E45" s="221"/>
      <c r="F45" s="221"/>
      <c r="G45" s="221"/>
      <c r="H45" s="221"/>
      <c r="I45" s="221"/>
      <c r="J45" s="221"/>
      <c r="K45" s="221"/>
      <c r="L45" s="221"/>
      <c r="M45" s="221"/>
      <c r="N45" s="221"/>
      <c r="O45" s="221"/>
      <c r="P45" s="221"/>
      <c r="Q45" s="221"/>
      <c r="R45" s="221"/>
      <c r="S45" s="221"/>
      <c r="T45" s="221"/>
      <c r="U45" s="221"/>
      <c r="V45" s="221"/>
      <c r="W45" s="221"/>
      <c r="X45" s="221"/>
      <c r="Y45" s="222"/>
      <c r="Z45" s="222"/>
      <c r="AA45" s="222"/>
      <c r="AB45" s="222"/>
      <c r="AC45" s="223"/>
      <c r="AD45" s="224"/>
      <c r="AE45" s="222"/>
    </row>
    <row r="46" spans="1:31" ht="12.75" customHeight="1" x14ac:dyDescent="0.25">
      <c r="A46" s="221"/>
      <c r="B46" s="221"/>
      <c r="C46" s="221"/>
      <c r="D46" s="221"/>
      <c r="E46" s="221"/>
      <c r="F46" s="221"/>
      <c r="G46" s="221"/>
      <c r="H46" s="221"/>
      <c r="I46" s="221"/>
      <c r="J46" s="221"/>
      <c r="K46" s="221"/>
      <c r="L46" s="221"/>
      <c r="M46" s="221"/>
      <c r="N46" s="221"/>
      <c r="O46" s="221"/>
      <c r="P46" s="221"/>
      <c r="Q46" s="221"/>
      <c r="R46" s="221"/>
      <c r="S46" s="221"/>
      <c r="T46" s="221"/>
      <c r="U46" s="221"/>
      <c r="V46" s="221"/>
      <c r="W46" s="221"/>
      <c r="X46" s="221"/>
      <c r="Y46" s="222"/>
      <c r="Z46" s="222"/>
      <c r="AA46" s="222"/>
      <c r="AB46" s="222"/>
      <c r="AC46" s="223"/>
      <c r="AD46" s="224"/>
      <c r="AE46" s="222"/>
    </row>
    <row r="47" spans="1:31" ht="12.75" customHeight="1" x14ac:dyDescent="0.25">
      <c r="A47" s="221"/>
      <c r="B47" s="221"/>
      <c r="C47" s="221"/>
      <c r="D47" s="221"/>
      <c r="E47" s="221"/>
      <c r="F47" s="221"/>
      <c r="G47" s="221"/>
      <c r="H47" s="221"/>
      <c r="I47" s="221"/>
      <c r="J47" s="221"/>
      <c r="K47" s="221"/>
      <c r="L47" s="221"/>
      <c r="M47" s="221"/>
      <c r="N47" s="221"/>
      <c r="O47" s="221"/>
      <c r="P47" s="221"/>
      <c r="Q47" s="221"/>
      <c r="R47" s="221"/>
      <c r="S47" s="221"/>
      <c r="T47" s="221"/>
      <c r="U47" s="221"/>
      <c r="V47" s="221"/>
      <c r="W47" s="221"/>
      <c r="X47" s="221"/>
      <c r="Y47" s="222"/>
      <c r="Z47" s="222"/>
      <c r="AA47" s="222"/>
      <c r="AB47" s="222"/>
      <c r="AC47" s="223"/>
      <c r="AD47" s="224"/>
      <c r="AE47" s="222"/>
    </row>
    <row r="48" spans="1:31" ht="12.75" customHeight="1" x14ac:dyDescent="0.25">
      <c r="A48" s="221"/>
      <c r="B48" s="221"/>
      <c r="C48" s="221"/>
      <c r="D48" s="221"/>
      <c r="E48" s="221"/>
      <c r="F48" s="221"/>
      <c r="G48" s="221"/>
      <c r="H48" s="221"/>
      <c r="I48" s="221"/>
      <c r="J48" s="221"/>
      <c r="K48" s="221"/>
      <c r="L48" s="221"/>
      <c r="M48" s="221"/>
      <c r="N48" s="221"/>
      <c r="O48" s="221"/>
      <c r="P48" s="221"/>
      <c r="Q48" s="221"/>
      <c r="R48" s="221"/>
      <c r="S48" s="221"/>
      <c r="T48" s="221"/>
      <c r="U48" s="221"/>
      <c r="V48" s="221"/>
      <c r="W48" s="221"/>
      <c r="X48" s="221"/>
      <c r="Y48" s="222"/>
      <c r="Z48" s="222"/>
      <c r="AA48" s="222"/>
      <c r="AB48" s="222"/>
      <c r="AC48" s="223"/>
      <c r="AD48" s="224"/>
      <c r="AE48" s="222"/>
    </row>
    <row r="49" spans="1:31" ht="12.75" customHeight="1" x14ac:dyDescent="0.25">
      <c r="A49" s="221"/>
      <c r="B49" s="221"/>
      <c r="C49" s="221"/>
      <c r="D49" s="221"/>
      <c r="E49" s="221"/>
      <c r="F49" s="221"/>
      <c r="G49" s="221"/>
      <c r="H49" s="221"/>
      <c r="I49" s="221"/>
      <c r="J49" s="221"/>
      <c r="K49" s="221"/>
      <c r="L49" s="221"/>
      <c r="M49" s="221"/>
      <c r="N49" s="221"/>
      <c r="O49" s="221"/>
      <c r="P49" s="221"/>
      <c r="Q49" s="221"/>
      <c r="R49" s="221"/>
      <c r="S49" s="221"/>
      <c r="T49" s="221"/>
      <c r="U49" s="221"/>
      <c r="V49" s="221"/>
      <c r="W49" s="221"/>
      <c r="X49" s="221"/>
      <c r="Y49" s="222"/>
      <c r="Z49" s="222"/>
      <c r="AA49" s="222"/>
      <c r="AB49" s="222"/>
      <c r="AC49" s="223"/>
      <c r="AD49" s="224"/>
      <c r="AE49" s="222"/>
    </row>
    <row r="50" spans="1:31" ht="12.75" customHeight="1" x14ac:dyDescent="0.25">
      <c r="A50" s="221"/>
      <c r="B50" s="221"/>
      <c r="C50" s="221"/>
      <c r="D50" s="221"/>
      <c r="E50" s="221"/>
      <c r="F50" s="221"/>
      <c r="G50" s="221"/>
      <c r="H50" s="221"/>
      <c r="I50" s="221"/>
      <c r="J50" s="221"/>
      <c r="K50" s="221"/>
      <c r="L50" s="221"/>
      <c r="M50" s="221"/>
      <c r="N50" s="221"/>
      <c r="O50" s="221"/>
      <c r="P50" s="221"/>
      <c r="Q50" s="221"/>
      <c r="R50" s="221"/>
      <c r="S50" s="221"/>
      <c r="T50" s="221"/>
      <c r="U50" s="221"/>
      <c r="V50" s="221"/>
      <c r="W50" s="221"/>
      <c r="X50" s="221"/>
      <c r="Y50" s="222"/>
      <c r="Z50" s="222"/>
      <c r="AA50" s="222"/>
      <c r="AB50" s="222"/>
      <c r="AC50" s="223"/>
      <c r="AD50" s="224"/>
      <c r="AE50" s="222"/>
    </row>
    <row r="51" spans="1:31" ht="12.75" customHeight="1" x14ac:dyDescent="0.25">
      <c r="A51" s="221"/>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2"/>
      <c r="Z51" s="222"/>
      <c r="AA51" s="222"/>
      <c r="AB51" s="222"/>
      <c r="AC51" s="223"/>
      <c r="AD51" s="224"/>
      <c r="AE51" s="222"/>
    </row>
    <row r="52" spans="1:31" ht="12.75" customHeight="1" x14ac:dyDescent="0.25">
      <c r="A52" s="221"/>
      <c r="B52" s="221"/>
      <c r="C52" s="221"/>
      <c r="D52" s="221"/>
      <c r="E52" s="221"/>
      <c r="F52" s="221"/>
      <c r="G52" s="221"/>
      <c r="H52" s="221"/>
      <c r="I52" s="221"/>
      <c r="J52" s="221"/>
      <c r="K52" s="221"/>
      <c r="L52" s="221"/>
      <c r="M52" s="221"/>
      <c r="N52" s="221"/>
      <c r="O52" s="221"/>
      <c r="P52" s="221"/>
      <c r="Q52" s="221"/>
      <c r="R52" s="221"/>
      <c r="S52" s="221"/>
      <c r="T52" s="221"/>
      <c r="U52" s="221"/>
      <c r="V52" s="221"/>
      <c r="W52" s="221"/>
      <c r="X52" s="221"/>
      <c r="Y52" s="222"/>
      <c r="Z52" s="222"/>
      <c r="AA52" s="222"/>
      <c r="AB52" s="222"/>
      <c r="AC52" s="223"/>
      <c r="AD52" s="224"/>
      <c r="AE52" s="222"/>
    </row>
    <row r="53" spans="1:31" ht="12.75" customHeight="1" x14ac:dyDescent="0.25">
      <c r="A53" s="221"/>
      <c r="B53" s="221"/>
      <c r="C53" s="221"/>
      <c r="D53" s="221"/>
      <c r="E53" s="221"/>
      <c r="F53" s="221"/>
      <c r="G53" s="221"/>
      <c r="H53" s="221"/>
      <c r="I53" s="221"/>
      <c r="J53" s="221"/>
      <c r="K53" s="221"/>
      <c r="L53" s="221"/>
      <c r="M53" s="221"/>
      <c r="N53" s="221"/>
      <c r="O53" s="221"/>
      <c r="P53" s="221"/>
      <c r="Q53" s="221"/>
      <c r="R53" s="221"/>
      <c r="S53" s="221"/>
      <c r="T53" s="221"/>
      <c r="U53" s="221"/>
      <c r="V53" s="221"/>
      <c r="W53" s="221"/>
      <c r="X53" s="221"/>
      <c r="Y53" s="222"/>
      <c r="Z53" s="222"/>
      <c r="AA53" s="222"/>
      <c r="AB53" s="222"/>
      <c r="AC53" s="223"/>
      <c r="AD53" s="224"/>
      <c r="AE53" s="222"/>
    </row>
    <row r="54" spans="1:31" ht="12.75" customHeight="1" x14ac:dyDescent="0.25">
      <c r="A54" s="221"/>
      <c r="B54" s="221"/>
      <c r="C54" s="221"/>
      <c r="D54" s="221"/>
      <c r="E54" s="221"/>
      <c r="F54" s="221"/>
      <c r="G54" s="221"/>
      <c r="H54" s="221"/>
      <c r="I54" s="221"/>
      <c r="J54" s="221"/>
      <c r="K54" s="221"/>
      <c r="L54" s="221"/>
      <c r="M54" s="221"/>
      <c r="N54" s="221"/>
      <c r="O54" s="221"/>
      <c r="P54" s="221"/>
      <c r="Q54" s="221"/>
      <c r="R54" s="221"/>
      <c r="S54" s="221"/>
      <c r="T54" s="221"/>
      <c r="U54" s="221"/>
      <c r="V54" s="221"/>
      <c r="W54" s="221"/>
      <c r="X54" s="221"/>
      <c r="Y54" s="222"/>
      <c r="Z54" s="222"/>
      <c r="AA54" s="222"/>
      <c r="AB54" s="222"/>
      <c r="AC54" s="223"/>
      <c r="AD54" s="224"/>
      <c r="AE54" s="222"/>
    </row>
    <row r="55" spans="1:31" ht="12.75" customHeight="1" x14ac:dyDescent="0.25">
      <c r="A55" s="221"/>
      <c r="B55" s="221"/>
      <c r="C55" s="221"/>
      <c r="D55" s="221"/>
      <c r="E55" s="221"/>
      <c r="F55" s="221"/>
      <c r="G55" s="221"/>
      <c r="H55" s="221"/>
      <c r="I55" s="221"/>
      <c r="J55" s="221"/>
      <c r="K55" s="221"/>
      <c r="L55" s="221"/>
      <c r="M55" s="221"/>
      <c r="N55" s="221"/>
      <c r="O55" s="221"/>
      <c r="P55" s="221"/>
      <c r="Q55" s="221"/>
      <c r="R55" s="221"/>
      <c r="S55" s="221"/>
      <c r="T55" s="221"/>
      <c r="U55" s="221"/>
      <c r="V55" s="221"/>
      <c r="W55" s="221"/>
      <c r="X55" s="221"/>
      <c r="Y55" s="222"/>
      <c r="Z55" s="222"/>
      <c r="AA55" s="222"/>
      <c r="AB55" s="222"/>
      <c r="AC55" s="223"/>
      <c r="AD55" s="224"/>
      <c r="AE55" s="222"/>
    </row>
    <row r="56" spans="1:31" ht="12.75" customHeight="1" x14ac:dyDescent="0.25">
      <c r="A56" s="221"/>
      <c r="B56" s="221"/>
      <c r="C56" s="221"/>
      <c r="D56" s="221"/>
      <c r="E56" s="221"/>
      <c r="F56" s="221"/>
      <c r="G56" s="221"/>
      <c r="H56" s="221"/>
      <c r="I56" s="221"/>
      <c r="J56" s="221"/>
      <c r="K56" s="221"/>
      <c r="L56" s="221"/>
      <c r="M56" s="221"/>
      <c r="N56" s="221"/>
      <c r="O56" s="221"/>
      <c r="P56" s="221"/>
      <c r="Q56" s="221"/>
      <c r="R56" s="221"/>
      <c r="S56" s="221"/>
      <c r="T56" s="221"/>
      <c r="U56" s="221"/>
      <c r="V56" s="221"/>
      <c r="W56" s="221"/>
      <c r="X56" s="221"/>
      <c r="Y56" s="222"/>
      <c r="Z56" s="222"/>
      <c r="AA56" s="222"/>
      <c r="AB56" s="222"/>
      <c r="AC56" s="223"/>
      <c r="AD56" s="224"/>
      <c r="AE56" s="222"/>
    </row>
    <row r="57" spans="1:31" ht="12.75" customHeight="1" x14ac:dyDescent="0.25">
      <c r="A57" s="221"/>
      <c r="B57" s="221"/>
      <c r="C57" s="221"/>
      <c r="D57" s="221"/>
      <c r="E57" s="221"/>
      <c r="F57" s="221"/>
      <c r="G57" s="221"/>
      <c r="H57" s="221"/>
      <c r="I57" s="221"/>
      <c r="J57" s="221"/>
      <c r="K57" s="221"/>
      <c r="L57" s="221"/>
      <c r="M57" s="221"/>
      <c r="N57" s="221"/>
      <c r="O57" s="221"/>
      <c r="P57" s="221"/>
      <c r="Q57" s="221"/>
      <c r="R57" s="221"/>
      <c r="S57" s="221"/>
      <c r="T57" s="221"/>
      <c r="U57" s="221"/>
      <c r="V57" s="221"/>
      <c r="W57" s="221"/>
      <c r="X57" s="221"/>
      <c r="Y57" s="222"/>
      <c r="Z57" s="222"/>
      <c r="AA57" s="222"/>
      <c r="AB57" s="222"/>
      <c r="AC57" s="223"/>
      <c r="AD57" s="224"/>
      <c r="AE57" s="222"/>
    </row>
    <row r="58" spans="1:31" ht="12.75" customHeight="1" x14ac:dyDescent="0.25">
      <c r="A58" s="221"/>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2"/>
      <c r="Z58" s="222"/>
      <c r="AA58" s="222"/>
      <c r="AB58" s="222"/>
      <c r="AC58" s="223"/>
      <c r="AD58" s="224"/>
      <c r="AE58" s="222"/>
    </row>
    <row r="59" spans="1:31" ht="12.75" customHeight="1" x14ac:dyDescent="0.25">
      <c r="A59" s="221"/>
      <c r="B59" s="221"/>
      <c r="C59" s="221"/>
      <c r="D59" s="221"/>
      <c r="E59" s="221"/>
      <c r="F59" s="221"/>
      <c r="G59" s="221"/>
      <c r="H59" s="221"/>
      <c r="I59" s="221"/>
      <c r="J59" s="221"/>
      <c r="K59" s="221"/>
      <c r="L59" s="221"/>
      <c r="M59" s="221"/>
      <c r="N59" s="221"/>
      <c r="O59" s="221"/>
      <c r="P59" s="221"/>
      <c r="Q59" s="221"/>
      <c r="R59" s="221"/>
      <c r="S59" s="221"/>
      <c r="T59" s="221"/>
      <c r="U59" s="221"/>
      <c r="V59" s="221"/>
      <c r="W59" s="221"/>
      <c r="X59" s="221"/>
      <c r="Y59" s="222"/>
      <c r="Z59" s="222"/>
      <c r="AA59" s="222"/>
      <c r="AB59" s="222"/>
      <c r="AC59" s="223"/>
      <c r="AD59" s="224"/>
      <c r="AE59" s="222"/>
    </row>
    <row r="60" spans="1:31" ht="12.75" customHeight="1" x14ac:dyDescent="0.25">
      <c r="A60" s="221"/>
      <c r="B60" s="221"/>
      <c r="C60" s="221"/>
      <c r="D60" s="221"/>
      <c r="E60" s="221"/>
      <c r="F60" s="221"/>
      <c r="G60" s="221"/>
      <c r="H60" s="221"/>
      <c r="I60" s="221"/>
      <c r="J60" s="221"/>
      <c r="K60" s="221"/>
      <c r="L60" s="221"/>
      <c r="M60" s="221"/>
      <c r="N60" s="221"/>
      <c r="O60" s="221"/>
      <c r="P60" s="221"/>
      <c r="Q60" s="221"/>
      <c r="R60" s="221"/>
      <c r="S60" s="221"/>
      <c r="T60" s="221"/>
      <c r="U60" s="221"/>
      <c r="V60" s="221"/>
      <c r="W60" s="221"/>
      <c r="X60" s="221"/>
      <c r="Y60" s="222"/>
      <c r="Z60" s="222"/>
      <c r="AA60" s="222"/>
      <c r="AB60" s="222"/>
      <c r="AC60" s="223"/>
      <c r="AD60" s="224"/>
      <c r="AE60" s="222"/>
    </row>
    <row r="61" spans="1:31" ht="12.75" customHeight="1" x14ac:dyDescent="0.25">
      <c r="A61" s="221"/>
      <c r="B61" s="221"/>
      <c r="C61" s="221"/>
      <c r="D61" s="221"/>
      <c r="E61" s="221"/>
      <c r="F61" s="221"/>
      <c r="G61" s="221"/>
      <c r="H61" s="221"/>
      <c r="I61" s="221"/>
      <c r="J61" s="221"/>
      <c r="K61" s="221"/>
      <c r="L61" s="221"/>
      <c r="M61" s="221"/>
      <c r="N61" s="221"/>
      <c r="O61" s="221"/>
      <c r="P61" s="221"/>
      <c r="Q61" s="221"/>
      <c r="R61" s="221"/>
      <c r="S61" s="221"/>
      <c r="T61" s="221"/>
      <c r="U61" s="221"/>
      <c r="V61" s="221"/>
      <c r="W61" s="221"/>
      <c r="X61" s="221"/>
      <c r="Y61" s="222"/>
      <c r="Z61" s="222"/>
      <c r="AA61" s="222"/>
      <c r="AB61" s="222"/>
      <c r="AC61" s="223"/>
      <c r="AD61" s="224"/>
      <c r="AE61" s="222"/>
    </row>
    <row r="62" spans="1:31" ht="12.75" customHeight="1" x14ac:dyDescent="0.25">
      <c r="A62" s="221"/>
      <c r="B62" s="221"/>
      <c r="C62" s="221"/>
      <c r="D62" s="221"/>
      <c r="E62" s="221"/>
      <c r="F62" s="221"/>
      <c r="G62" s="221"/>
      <c r="H62" s="221"/>
      <c r="I62" s="221"/>
      <c r="J62" s="221"/>
      <c r="K62" s="221"/>
      <c r="L62" s="221"/>
      <c r="M62" s="221"/>
      <c r="N62" s="221"/>
      <c r="O62" s="221"/>
      <c r="P62" s="221"/>
      <c r="Q62" s="221"/>
      <c r="R62" s="221"/>
      <c r="S62" s="221"/>
      <c r="T62" s="221"/>
      <c r="U62" s="221"/>
      <c r="V62" s="221"/>
      <c r="W62" s="221"/>
      <c r="X62" s="221"/>
      <c r="Y62" s="222"/>
      <c r="Z62" s="222"/>
      <c r="AA62" s="222"/>
      <c r="AB62" s="222"/>
      <c r="AC62" s="223"/>
      <c r="AD62" s="224"/>
      <c r="AE62" s="222"/>
    </row>
    <row r="63" spans="1:31" ht="12.75" customHeight="1" x14ac:dyDescent="0.25">
      <c r="A63" s="221"/>
      <c r="B63" s="221"/>
      <c r="C63" s="221"/>
      <c r="D63" s="221"/>
      <c r="E63" s="221"/>
      <c r="F63" s="221"/>
      <c r="G63" s="221"/>
      <c r="H63" s="221"/>
      <c r="I63" s="221"/>
      <c r="J63" s="221"/>
      <c r="K63" s="221"/>
      <c r="L63" s="221"/>
      <c r="M63" s="221"/>
      <c r="N63" s="221"/>
      <c r="O63" s="221"/>
      <c r="P63" s="221"/>
      <c r="Q63" s="221"/>
      <c r="R63" s="221"/>
      <c r="S63" s="221"/>
      <c r="T63" s="221"/>
      <c r="U63" s="221"/>
      <c r="V63" s="221"/>
      <c r="W63" s="221"/>
      <c r="X63" s="221"/>
      <c r="Y63" s="222"/>
      <c r="Z63" s="222"/>
      <c r="AA63" s="222"/>
      <c r="AB63" s="222"/>
      <c r="AC63" s="223"/>
      <c r="AD63" s="224"/>
      <c r="AE63" s="222"/>
    </row>
    <row r="64" spans="1:31" ht="12.75" customHeight="1" x14ac:dyDescent="0.25">
      <c r="A64" s="221"/>
      <c r="B64" s="221"/>
      <c r="C64" s="221"/>
      <c r="D64" s="221"/>
      <c r="E64" s="221"/>
      <c r="F64" s="221"/>
      <c r="G64" s="221"/>
      <c r="H64" s="221"/>
      <c r="I64" s="221"/>
      <c r="J64" s="221"/>
      <c r="K64" s="221"/>
      <c r="L64" s="221"/>
      <c r="M64" s="221"/>
      <c r="N64" s="221"/>
      <c r="O64" s="221"/>
      <c r="P64" s="221"/>
      <c r="Q64" s="221"/>
      <c r="R64" s="221"/>
      <c r="S64" s="221"/>
      <c r="T64" s="221"/>
      <c r="U64" s="221"/>
      <c r="V64" s="221"/>
      <c r="W64" s="221"/>
      <c r="X64" s="221"/>
      <c r="Y64" s="222"/>
      <c r="Z64" s="222"/>
      <c r="AA64" s="222"/>
      <c r="AB64" s="222"/>
      <c r="AC64" s="223"/>
      <c r="AD64" s="224"/>
      <c r="AE64" s="222"/>
    </row>
    <row r="65" spans="1:31" ht="12.75" customHeight="1" x14ac:dyDescent="0.25">
      <c r="A65" s="221"/>
      <c r="B65" s="221"/>
      <c r="C65" s="221"/>
      <c r="D65" s="221"/>
      <c r="E65" s="221"/>
      <c r="F65" s="221"/>
      <c r="G65" s="221"/>
      <c r="H65" s="221"/>
      <c r="I65" s="221"/>
      <c r="J65" s="221"/>
      <c r="K65" s="221"/>
      <c r="L65" s="221"/>
      <c r="M65" s="221"/>
      <c r="N65" s="221"/>
      <c r="O65" s="221"/>
      <c r="P65" s="221"/>
      <c r="Q65" s="221"/>
      <c r="R65" s="221"/>
      <c r="S65" s="221"/>
      <c r="T65" s="221"/>
      <c r="U65" s="221"/>
      <c r="V65" s="221"/>
      <c r="W65" s="221"/>
      <c r="X65" s="221"/>
      <c r="Y65" s="222"/>
      <c r="Z65" s="222"/>
      <c r="AA65" s="222"/>
      <c r="AB65" s="222"/>
      <c r="AC65" s="223"/>
      <c r="AD65" s="224"/>
      <c r="AE65" s="222"/>
    </row>
    <row r="66" spans="1:31" ht="12.75" customHeight="1" x14ac:dyDescent="0.25">
      <c r="A66" s="221"/>
      <c r="B66" s="221"/>
      <c r="C66" s="221"/>
      <c r="D66" s="221"/>
      <c r="E66" s="221"/>
      <c r="F66" s="221"/>
      <c r="G66" s="221"/>
      <c r="H66" s="221"/>
      <c r="I66" s="221"/>
      <c r="J66" s="221"/>
      <c r="K66" s="221"/>
      <c r="L66" s="221"/>
      <c r="M66" s="221"/>
      <c r="N66" s="221"/>
      <c r="O66" s="221"/>
      <c r="P66" s="221"/>
      <c r="Q66" s="221"/>
      <c r="R66" s="221"/>
      <c r="S66" s="221"/>
      <c r="T66" s="221"/>
      <c r="U66" s="221"/>
      <c r="V66" s="221"/>
      <c r="W66" s="221"/>
      <c r="X66" s="221"/>
      <c r="Y66" s="222"/>
      <c r="Z66" s="222"/>
      <c r="AA66" s="222"/>
      <c r="AB66" s="222"/>
      <c r="AC66" s="223"/>
      <c r="AD66" s="224"/>
      <c r="AE66" s="222"/>
    </row>
    <row r="67" spans="1:31" ht="12.75" customHeight="1" x14ac:dyDescent="0.25">
      <c r="A67" s="221"/>
      <c r="B67" s="221"/>
      <c r="C67" s="221"/>
      <c r="D67" s="221"/>
      <c r="E67" s="221"/>
      <c r="F67" s="221"/>
      <c r="G67" s="221"/>
      <c r="H67" s="221"/>
      <c r="I67" s="221"/>
      <c r="J67" s="221"/>
      <c r="K67" s="221"/>
      <c r="L67" s="221"/>
      <c r="M67" s="221"/>
      <c r="N67" s="221"/>
      <c r="O67" s="221"/>
      <c r="P67" s="221"/>
      <c r="Q67" s="221"/>
      <c r="R67" s="221"/>
      <c r="S67" s="221"/>
      <c r="T67" s="221"/>
      <c r="U67" s="221"/>
      <c r="V67" s="221"/>
      <c r="W67" s="221"/>
      <c r="X67" s="221"/>
      <c r="Y67" s="222"/>
      <c r="Z67" s="222"/>
      <c r="AA67" s="222"/>
      <c r="AB67" s="222"/>
      <c r="AC67" s="223"/>
      <c r="AD67" s="224"/>
      <c r="AE67" s="222"/>
    </row>
    <row r="68" spans="1:31" ht="12.75" customHeight="1" x14ac:dyDescent="0.25">
      <c r="A68" s="221"/>
      <c r="B68" s="221"/>
      <c r="C68" s="221"/>
      <c r="D68" s="221"/>
      <c r="E68" s="221"/>
      <c r="F68" s="221"/>
      <c r="G68" s="221"/>
      <c r="H68" s="221"/>
      <c r="I68" s="221"/>
      <c r="J68" s="221"/>
      <c r="K68" s="221"/>
      <c r="L68" s="221"/>
      <c r="M68" s="221"/>
      <c r="N68" s="221"/>
      <c r="O68" s="221"/>
      <c r="P68" s="221"/>
      <c r="Q68" s="221"/>
      <c r="R68" s="221"/>
      <c r="S68" s="221"/>
      <c r="T68" s="221"/>
      <c r="U68" s="221"/>
      <c r="V68" s="221"/>
      <c r="W68" s="221"/>
      <c r="X68" s="221"/>
      <c r="Y68" s="222"/>
      <c r="Z68" s="222"/>
      <c r="AA68" s="222"/>
      <c r="AB68" s="222"/>
      <c r="AC68" s="223"/>
      <c r="AD68" s="224"/>
      <c r="AE68" s="222"/>
    </row>
    <row r="69" spans="1:31" ht="12.75" customHeight="1" x14ac:dyDescent="0.25">
      <c r="A69" s="221"/>
      <c r="B69" s="221"/>
      <c r="C69" s="221"/>
      <c r="D69" s="221"/>
      <c r="E69" s="221"/>
      <c r="F69" s="221"/>
      <c r="G69" s="221"/>
      <c r="H69" s="221"/>
      <c r="I69" s="221"/>
      <c r="J69" s="221"/>
      <c r="K69" s="221"/>
      <c r="L69" s="221"/>
      <c r="M69" s="221"/>
      <c r="N69" s="221"/>
      <c r="O69" s="221"/>
      <c r="P69" s="221"/>
      <c r="Q69" s="221"/>
      <c r="R69" s="221"/>
      <c r="S69" s="221"/>
      <c r="T69" s="221"/>
      <c r="U69" s="221"/>
      <c r="V69" s="221"/>
      <c r="W69" s="221"/>
      <c r="X69" s="221"/>
      <c r="Y69" s="222"/>
      <c r="Z69" s="222"/>
      <c r="AA69" s="222"/>
      <c r="AB69" s="222"/>
      <c r="AC69" s="223"/>
      <c r="AD69" s="224"/>
      <c r="AE69" s="222"/>
    </row>
    <row r="70" spans="1:31" ht="12.75" customHeight="1" x14ac:dyDescent="0.25">
      <c r="A70" s="221"/>
      <c r="B70" s="221"/>
      <c r="C70" s="221"/>
      <c r="D70" s="221"/>
      <c r="E70" s="221"/>
      <c r="F70" s="221"/>
      <c r="G70" s="221"/>
      <c r="H70" s="221"/>
      <c r="I70" s="221"/>
      <c r="J70" s="221"/>
      <c r="K70" s="221"/>
      <c r="L70" s="221"/>
      <c r="M70" s="221"/>
      <c r="N70" s="221"/>
      <c r="O70" s="221"/>
      <c r="P70" s="221"/>
      <c r="Q70" s="221"/>
      <c r="R70" s="221"/>
      <c r="S70" s="221"/>
      <c r="T70" s="221"/>
      <c r="U70" s="221"/>
      <c r="V70" s="221"/>
      <c r="W70" s="221"/>
      <c r="X70" s="221"/>
      <c r="Y70" s="222"/>
      <c r="Z70" s="222"/>
      <c r="AA70" s="222"/>
      <c r="AB70" s="222"/>
      <c r="AC70" s="223"/>
      <c r="AD70" s="224"/>
      <c r="AE70" s="222"/>
    </row>
    <row r="71" spans="1:31" ht="12.75" customHeight="1" x14ac:dyDescent="0.25">
      <c r="A71" s="221"/>
      <c r="B71" s="221"/>
      <c r="C71" s="221"/>
      <c r="D71" s="221"/>
      <c r="E71" s="221"/>
      <c r="F71" s="221"/>
      <c r="G71" s="221"/>
      <c r="H71" s="221"/>
      <c r="I71" s="221"/>
      <c r="J71" s="221"/>
      <c r="K71" s="221"/>
      <c r="L71" s="221"/>
      <c r="M71" s="221"/>
      <c r="N71" s="221"/>
      <c r="O71" s="221"/>
      <c r="P71" s="221"/>
      <c r="Q71" s="221"/>
      <c r="R71" s="221"/>
      <c r="S71" s="221"/>
      <c r="T71" s="221"/>
      <c r="U71" s="221"/>
      <c r="V71" s="221"/>
      <c r="W71" s="221"/>
      <c r="X71" s="221"/>
      <c r="Y71" s="222"/>
      <c r="Z71" s="222"/>
      <c r="AA71" s="222"/>
      <c r="AB71" s="222"/>
      <c r="AC71" s="223"/>
      <c r="AD71" s="224"/>
      <c r="AE71" s="222"/>
    </row>
    <row r="72" spans="1:31" ht="12.75" customHeight="1" x14ac:dyDescent="0.25">
      <c r="A72" s="221"/>
      <c r="B72" s="221"/>
      <c r="C72" s="221"/>
      <c r="D72" s="221"/>
      <c r="E72" s="221"/>
      <c r="F72" s="221"/>
      <c r="G72" s="221"/>
      <c r="H72" s="221"/>
      <c r="I72" s="221"/>
      <c r="J72" s="221"/>
      <c r="K72" s="221"/>
      <c r="L72" s="221"/>
      <c r="M72" s="221"/>
      <c r="N72" s="221"/>
      <c r="O72" s="221"/>
      <c r="P72" s="221"/>
      <c r="Q72" s="221"/>
      <c r="R72" s="221"/>
      <c r="S72" s="221"/>
      <c r="T72" s="221"/>
      <c r="U72" s="221"/>
      <c r="V72" s="221"/>
      <c r="W72" s="221"/>
      <c r="X72" s="221"/>
      <c r="Y72" s="222"/>
      <c r="Z72" s="222"/>
      <c r="AA72" s="222"/>
      <c r="AB72" s="222"/>
      <c r="AC72" s="223"/>
      <c r="AD72" s="224"/>
      <c r="AE72" s="222"/>
    </row>
    <row r="73" spans="1:31" ht="12.75" customHeight="1" x14ac:dyDescent="0.25">
      <c r="A73" s="221"/>
      <c r="B73" s="221"/>
      <c r="C73" s="221"/>
      <c r="D73" s="221"/>
      <c r="E73" s="221"/>
      <c r="F73" s="221"/>
      <c r="G73" s="221"/>
      <c r="H73" s="221"/>
      <c r="I73" s="221"/>
      <c r="J73" s="221"/>
      <c r="K73" s="221"/>
      <c r="L73" s="221"/>
      <c r="M73" s="221"/>
      <c r="N73" s="221"/>
      <c r="O73" s="221"/>
      <c r="P73" s="221"/>
      <c r="Q73" s="221"/>
      <c r="R73" s="221"/>
      <c r="S73" s="221"/>
      <c r="T73" s="221"/>
      <c r="U73" s="221"/>
      <c r="V73" s="221"/>
      <c r="W73" s="221"/>
      <c r="X73" s="221"/>
      <c r="Y73" s="222"/>
      <c r="Z73" s="222"/>
      <c r="AA73" s="222"/>
      <c r="AB73" s="222"/>
      <c r="AC73" s="223"/>
      <c r="AD73" s="224"/>
      <c r="AE73" s="222"/>
    </row>
    <row r="74" spans="1:31" ht="12.75" customHeight="1" x14ac:dyDescent="0.25">
      <c r="A74" s="221"/>
      <c r="B74" s="221"/>
      <c r="C74" s="221"/>
      <c r="D74" s="221"/>
      <c r="E74" s="221"/>
      <c r="F74" s="221"/>
      <c r="G74" s="221"/>
      <c r="H74" s="221"/>
      <c r="I74" s="221"/>
      <c r="J74" s="221"/>
      <c r="K74" s="221"/>
      <c r="L74" s="221"/>
      <c r="M74" s="221"/>
      <c r="N74" s="221"/>
      <c r="O74" s="221"/>
      <c r="P74" s="221"/>
      <c r="Q74" s="221"/>
      <c r="R74" s="221"/>
      <c r="S74" s="221"/>
      <c r="T74" s="221"/>
      <c r="U74" s="221"/>
      <c r="V74" s="221"/>
      <c r="W74" s="221"/>
      <c r="X74" s="221"/>
      <c r="Y74" s="222"/>
      <c r="Z74" s="222"/>
      <c r="AA74" s="222"/>
      <c r="AB74" s="222"/>
      <c r="AC74" s="223"/>
      <c r="AD74" s="224"/>
      <c r="AE74" s="222"/>
    </row>
    <row r="75" spans="1:31" ht="12.75" customHeight="1" x14ac:dyDescent="0.25">
      <c r="A75" s="221"/>
      <c r="B75" s="221"/>
      <c r="C75" s="221"/>
      <c r="D75" s="221"/>
      <c r="E75" s="221"/>
      <c r="F75" s="221"/>
      <c r="G75" s="221"/>
      <c r="H75" s="221"/>
      <c r="I75" s="221"/>
      <c r="J75" s="221"/>
      <c r="K75" s="221"/>
      <c r="L75" s="221"/>
      <c r="M75" s="221"/>
      <c r="N75" s="221"/>
      <c r="O75" s="221"/>
      <c r="P75" s="221"/>
      <c r="Q75" s="221"/>
      <c r="R75" s="221"/>
      <c r="S75" s="221"/>
      <c r="T75" s="221"/>
      <c r="U75" s="221"/>
      <c r="V75" s="221"/>
      <c r="W75" s="221"/>
      <c r="X75" s="221"/>
      <c r="Y75" s="222"/>
      <c r="Z75" s="222"/>
      <c r="AA75" s="222"/>
      <c r="AB75" s="222"/>
      <c r="AC75" s="223"/>
      <c r="AD75" s="224"/>
      <c r="AE75" s="222"/>
    </row>
    <row r="76" spans="1:31" ht="12.75" customHeight="1" x14ac:dyDescent="0.25">
      <c r="A76" s="221"/>
      <c r="B76" s="221"/>
      <c r="C76" s="221"/>
      <c r="D76" s="221"/>
      <c r="E76" s="221"/>
      <c r="F76" s="221"/>
      <c r="G76" s="221"/>
      <c r="H76" s="221"/>
      <c r="I76" s="221"/>
      <c r="J76" s="221"/>
      <c r="K76" s="221"/>
      <c r="L76" s="221"/>
      <c r="M76" s="221"/>
      <c r="N76" s="221"/>
      <c r="O76" s="221"/>
      <c r="P76" s="221"/>
      <c r="Q76" s="221"/>
      <c r="R76" s="221"/>
      <c r="S76" s="221"/>
      <c r="T76" s="221"/>
      <c r="U76" s="221"/>
      <c r="V76" s="221"/>
      <c r="W76" s="221"/>
      <c r="X76" s="221"/>
      <c r="Y76" s="222"/>
      <c r="Z76" s="222"/>
      <c r="AA76" s="222"/>
      <c r="AB76" s="222"/>
      <c r="AC76" s="223"/>
      <c r="AD76" s="224"/>
      <c r="AE76" s="222"/>
    </row>
    <row r="77" spans="1:31" ht="12.75" customHeight="1" x14ac:dyDescent="0.25">
      <c r="A77" s="221"/>
      <c r="B77" s="221"/>
      <c r="C77" s="221"/>
      <c r="D77" s="221"/>
      <c r="E77" s="221"/>
      <c r="F77" s="221"/>
      <c r="G77" s="221"/>
      <c r="H77" s="221"/>
      <c r="I77" s="221"/>
      <c r="J77" s="221"/>
      <c r="K77" s="221"/>
      <c r="L77" s="221"/>
      <c r="M77" s="221"/>
      <c r="N77" s="221"/>
      <c r="O77" s="221"/>
      <c r="P77" s="221"/>
      <c r="Q77" s="221"/>
      <c r="R77" s="221"/>
      <c r="S77" s="221"/>
      <c r="T77" s="221"/>
      <c r="U77" s="221"/>
      <c r="V77" s="221"/>
      <c r="W77" s="221"/>
      <c r="X77" s="221"/>
      <c r="Y77" s="222"/>
      <c r="Z77" s="222"/>
      <c r="AA77" s="222"/>
      <c r="AB77" s="222"/>
      <c r="AC77" s="223"/>
      <c r="AD77" s="224"/>
      <c r="AE77" s="222"/>
    </row>
    <row r="78" spans="1:31" ht="12.75" customHeight="1" x14ac:dyDescent="0.25">
      <c r="A78" s="221"/>
      <c r="B78" s="221"/>
      <c r="C78" s="221"/>
      <c r="D78" s="221"/>
      <c r="E78" s="221"/>
      <c r="F78" s="221"/>
      <c r="G78" s="221"/>
      <c r="H78" s="221"/>
      <c r="I78" s="221"/>
      <c r="J78" s="221"/>
      <c r="K78" s="221"/>
      <c r="L78" s="221"/>
      <c r="M78" s="221"/>
      <c r="N78" s="221"/>
      <c r="O78" s="221"/>
      <c r="P78" s="221"/>
      <c r="Q78" s="221"/>
      <c r="R78" s="221"/>
      <c r="S78" s="221"/>
      <c r="T78" s="221"/>
      <c r="U78" s="221"/>
      <c r="V78" s="221"/>
      <c r="W78" s="221"/>
      <c r="X78" s="221"/>
      <c r="Y78" s="222"/>
      <c r="Z78" s="222"/>
      <c r="AA78" s="222"/>
      <c r="AB78" s="222"/>
      <c r="AC78" s="223"/>
      <c r="AD78" s="224"/>
      <c r="AE78" s="222"/>
    </row>
    <row r="79" spans="1:31" ht="12.75" customHeight="1" x14ac:dyDescent="0.25">
      <c r="A79" s="221"/>
      <c r="B79" s="221"/>
      <c r="C79" s="221"/>
      <c r="D79" s="221"/>
      <c r="E79" s="221"/>
      <c r="F79" s="221"/>
      <c r="G79" s="221"/>
      <c r="H79" s="221"/>
      <c r="I79" s="221"/>
      <c r="J79" s="221"/>
      <c r="K79" s="221"/>
      <c r="L79" s="221"/>
      <c r="M79" s="221"/>
      <c r="N79" s="221"/>
      <c r="O79" s="221"/>
      <c r="P79" s="221"/>
      <c r="Q79" s="221"/>
      <c r="R79" s="221"/>
      <c r="S79" s="221"/>
      <c r="T79" s="221"/>
      <c r="U79" s="221"/>
      <c r="V79" s="221"/>
      <c r="W79" s="221"/>
      <c r="X79" s="221"/>
      <c r="Y79" s="222"/>
      <c r="Z79" s="222"/>
      <c r="AA79" s="222"/>
      <c r="AB79" s="222"/>
      <c r="AC79" s="223"/>
      <c r="AD79" s="224"/>
      <c r="AE79" s="222"/>
    </row>
    <row r="80" spans="1:31" ht="12.75" customHeight="1" x14ac:dyDescent="0.25">
      <c r="A80" s="221"/>
      <c r="B80" s="221"/>
      <c r="C80" s="221"/>
      <c r="D80" s="221"/>
      <c r="E80" s="221"/>
      <c r="F80" s="221"/>
      <c r="G80" s="221"/>
      <c r="H80" s="221"/>
      <c r="I80" s="221"/>
      <c r="J80" s="221"/>
      <c r="K80" s="221"/>
      <c r="L80" s="221"/>
      <c r="M80" s="221"/>
      <c r="N80" s="221"/>
      <c r="O80" s="221"/>
      <c r="P80" s="221"/>
      <c r="Q80" s="221"/>
      <c r="R80" s="221"/>
      <c r="S80" s="221"/>
      <c r="T80" s="221"/>
      <c r="U80" s="221"/>
      <c r="V80" s="221"/>
      <c r="W80" s="221"/>
      <c r="X80" s="221"/>
      <c r="Y80" s="222"/>
      <c r="Z80" s="222"/>
      <c r="AA80" s="222"/>
      <c r="AB80" s="222"/>
      <c r="AC80" s="223"/>
      <c r="AD80" s="224"/>
      <c r="AE80" s="222"/>
    </row>
    <row r="81" spans="1:31" ht="12.75" customHeight="1" x14ac:dyDescent="0.25">
      <c r="A81" s="221"/>
      <c r="B81" s="221"/>
      <c r="C81" s="221"/>
      <c r="D81" s="221"/>
      <c r="E81" s="221"/>
      <c r="F81" s="221"/>
      <c r="G81" s="221"/>
      <c r="H81" s="221"/>
      <c r="I81" s="221"/>
      <c r="J81" s="221"/>
      <c r="K81" s="221"/>
      <c r="L81" s="221"/>
      <c r="M81" s="221"/>
      <c r="N81" s="221"/>
      <c r="O81" s="221"/>
      <c r="P81" s="221"/>
      <c r="Q81" s="221"/>
      <c r="R81" s="221"/>
      <c r="S81" s="221"/>
      <c r="T81" s="221"/>
      <c r="U81" s="221"/>
      <c r="V81" s="221"/>
      <c r="W81" s="221"/>
      <c r="X81" s="221"/>
      <c r="Y81" s="222"/>
      <c r="Z81" s="222"/>
      <c r="AA81" s="222"/>
      <c r="AB81" s="222"/>
      <c r="AC81" s="223"/>
      <c r="AD81" s="224"/>
      <c r="AE81" s="222"/>
    </row>
    <row r="82" spans="1:31" ht="12.75" customHeight="1" x14ac:dyDescent="0.25">
      <c r="A82" s="221"/>
      <c r="B82" s="221"/>
      <c r="C82" s="221"/>
      <c r="D82" s="221"/>
      <c r="E82" s="221"/>
      <c r="F82" s="221"/>
      <c r="G82" s="221"/>
      <c r="H82" s="221"/>
      <c r="I82" s="221"/>
      <c r="J82" s="221"/>
      <c r="K82" s="221"/>
      <c r="L82" s="221"/>
      <c r="M82" s="221"/>
      <c r="N82" s="221"/>
      <c r="O82" s="221"/>
      <c r="P82" s="221"/>
      <c r="Q82" s="221"/>
      <c r="R82" s="221"/>
      <c r="S82" s="221"/>
      <c r="T82" s="221"/>
      <c r="U82" s="221"/>
      <c r="V82" s="221"/>
      <c r="W82" s="221"/>
      <c r="X82" s="221"/>
      <c r="Y82" s="222"/>
      <c r="Z82" s="222"/>
      <c r="AA82" s="222"/>
      <c r="AB82" s="222"/>
      <c r="AC82" s="223"/>
      <c r="AD82" s="224"/>
      <c r="AE82" s="222"/>
    </row>
    <row r="83" spans="1:31" ht="12.75" customHeight="1" x14ac:dyDescent="0.25">
      <c r="A83" s="221"/>
      <c r="B83" s="221"/>
      <c r="C83" s="221"/>
      <c r="D83" s="221"/>
      <c r="E83" s="221"/>
      <c r="F83" s="221"/>
      <c r="G83" s="221"/>
      <c r="H83" s="221"/>
      <c r="I83" s="221"/>
      <c r="J83" s="221"/>
      <c r="K83" s="221"/>
      <c r="L83" s="221"/>
      <c r="M83" s="221"/>
      <c r="N83" s="221"/>
      <c r="O83" s="221"/>
      <c r="P83" s="221"/>
      <c r="Q83" s="221"/>
      <c r="R83" s="221"/>
      <c r="S83" s="221"/>
      <c r="T83" s="221"/>
      <c r="U83" s="221"/>
      <c r="V83" s="221"/>
      <c r="W83" s="221"/>
      <c r="X83" s="221"/>
      <c r="Y83" s="222"/>
      <c r="Z83" s="222"/>
      <c r="AA83" s="222"/>
      <c r="AB83" s="222"/>
      <c r="AC83" s="223"/>
      <c r="AD83" s="224"/>
      <c r="AE83" s="222"/>
    </row>
    <row r="84" spans="1:31" ht="12.75" customHeight="1" x14ac:dyDescent="0.25">
      <c r="A84" s="221"/>
      <c r="B84" s="221"/>
      <c r="C84" s="221"/>
      <c r="D84" s="221"/>
      <c r="E84" s="221"/>
      <c r="F84" s="221"/>
      <c r="G84" s="221"/>
      <c r="H84" s="221"/>
      <c r="I84" s="221"/>
      <c r="J84" s="221"/>
      <c r="K84" s="221"/>
      <c r="L84" s="221"/>
      <c r="M84" s="221"/>
      <c r="N84" s="221"/>
      <c r="O84" s="221"/>
      <c r="P84" s="221"/>
      <c r="Q84" s="221"/>
      <c r="R84" s="221"/>
      <c r="S84" s="221"/>
      <c r="T84" s="221"/>
      <c r="U84" s="221"/>
      <c r="V84" s="221"/>
      <c r="W84" s="221"/>
      <c r="X84" s="221"/>
      <c r="Y84" s="222"/>
      <c r="Z84" s="222"/>
      <c r="AA84" s="222"/>
      <c r="AB84" s="222"/>
      <c r="AC84" s="223"/>
      <c r="AD84" s="224"/>
      <c r="AE84" s="222"/>
    </row>
    <row r="85" spans="1:31" ht="12.75" customHeight="1" x14ac:dyDescent="0.25">
      <c r="A85" s="221"/>
      <c r="B85" s="221"/>
      <c r="C85" s="221"/>
      <c r="D85" s="221"/>
      <c r="E85" s="221"/>
      <c r="F85" s="221"/>
      <c r="G85" s="221"/>
      <c r="H85" s="221"/>
      <c r="I85" s="221"/>
      <c r="J85" s="221"/>
      <c r="K85" s="221"/>
      <c r="L85" s="221"/>
      <c r="M85" s="221"/>
      <c r="N85" s="221"/>
      <c r="O85" s="221"/>
      <c r="P85" s="221"/>
      <c r="Q85" s="221"/>
      <c r="R85" s="221"/>
      <c r="S85" s="221"/>
      <c r="T85" s="221"/>
      <c r="U85" s="221"/>
      <c r="V85" s="221"/>
      <c r="W85" s="221"/>
      <c r="X85" s="221"/>
      <c r="Y85" s="222"/>
      <c r="Z85" s="222"/>
      <c r="AA85" s="222"/>
      <c r="AB85" s="222"/>
      <c r="AC85" s="223"/>
      <c r="AD85" s="224"/>
      <c r="AE85" s="222"/>
    </row>
    <row r="86" spans="1:31" ht="12.75" customHeight="1" x14ac:dyDescent="0.25">
      <c r="A86" s="221"/>
      <c r="B86" s="221"/>
      <c r="C86" s="221"/>
      <c r="D86" s="221"/>
      <c r="E86" s="221"/>
      <c r="F86" s="221"/>
      <c r="G86" s="221"/>
      <c r="H86" s="221"/>
      <c r="I86" s="221"/>
      <c r="J86" s="221"/>
      <c r="K86" s="221"/>
      <c r="L86" s="221"/>
      <c r="M86" s="221"/>
      <c r="N86" s="221"/>
      <c r="O86" s="221"/>
      <c r="P86" s="221"/>
      <c r="Q86" s="221"/>
      <c r="R86" s="221"/>
      <c r="S86" s="221"/>
      <c r="T86" s="221"/>
      <c r="U86" s="221"/>
      <c r="V86" s="221"/>
      <c r="W86" s="221"/>
      <c r="X86" s="221"/>
      <c r="Y86" s="222"/>
      <c r="Z86" s="222"/>
      <c r="AA86" s="222"/>
      <c r="AB86" s="222"/>
      <c r="AC86" s="223"/>
      <c r="AD86" s="224"/>
      <c r="AE86" s="222"/>
    </row>
    <row r="87" spans="1:31" ht="12.75" customHeight="1" x14ac:dyDescent="0.25">
      <c r="A87" s="221"/>
      <c r="B87" s="221"/>
      <c r="C87" s="221"/>
      <c r="D87" s="221"/>
      <c r="E87" s="221"/>
      <c r="F87" s="221"/>
      <c r="G87" s="221"/>
      <c r="H87" s="221"/>
      <c r="I87" s="221"/>
      <c r="J87" s="221"/>
      <c r="K87" s="221"/>
      <c r="L87" s="221"/>
      <c r="M87" s="221"/>
      <c r="N87" s="221"/>
      <c r="O87" s="221"/>
      <c r="P87" s="221"/>
      <c r="Q87" s="221"/>
      <c r="R87" s="221"/>
      <c r="S87" s="221"/>
      <c r="T87" s="221"/>
      <c r="U87" s="221"/>
      <c r="V87" s="221"/>
      <c r="W87" s="221"/>
      <c r="X87" s="221"/>
      <c r="Y87" s="222"/>
      <c r="Z87" s="222"/>
      <c r="AA87" s="222"/>
      <c r="AB87" s="222"/>
      <c r="AC87" s="223"/>
      <c r="AD87" s="224"/>
      <c r="AE87" s="222"/>
    </row>
    <row r="88" spans="1:31" ht="12.75" customHeight="1" x14ac:dyDescent="0.25">
      <c r="A88" s="221"/>
      <c r="B88" s="221"/>
      <c r="C88" s="221"/>
      <c r="D88" s="221"/>
      <c r="E88" s="221"/>
      <c r="F88" s="221"/>
      <c r="G88" s="221"/>
      <c r="H88" s="221"/>
      <c r="I88" s="221"/>
      <c r="J88" s="221"/>
      <c r="K88" s="221"/>
      <c r="L88" s="221"/>
      <c r="M88" s="221"/>
      <c r="N88" s="221"/>
      <c r="O88" s="221"/>
      <c r="P88" s="221"/>
      <c r="Q88" s="221"/>
      <c r="R88" s="221"/>
      <c r="S88" s="221"/>
      <c r="T88" s="221"/>
      <c r="U88" s="221"/>
      <c r="V88" s="221"/>
      <c r="W88" s="221"/>
      <c r="X88" s="221"/>
      <c r="Y88" s="222"/>
      <c r="Z88" s="222"/>
      <c r="AA88" s="222"/>
      <c r="AB88" s="222"/>
      <c r="AC88" s="223"/>
      <c r="AD88" s="224"/>
      <c r="AE88" s="222"/>
    </row>
    <row r="89" spans="1:31" ht="12.75" customHeight="1" x14ac:dyDescent="0.25">
      <c r="A89" s="221"/>
      <c r="B89" s="221"/>
      <c r="C89" s="221"/>
      <c r="D89" s="221"/>
      <c r="E89" s="221"/>
      <c r="F89" s="221"/>
      <c r="G89" s="221"/>
      <c r="H89" s="221"/>
      <c r="I89" s="221"/>
      <c r="J89" s="221"/>
      <c r="K89" s="221"/>
      <c r="L89" s="221"/>
      <c r="M89" s="221"/>
      <c r="N89" s="221"/>
      <c r="O89" s="221"/>
      <c r="P89" s="221"/>
      <c r="Q89" s="221"/>
      <c r="R89" s="221"/>
      <c r="S89" s="221"/>
      <c r="T89" s="221"/>
      <c r="U89" s="221"/>
      <c r="V89" s="221"/>
      <c r="W89" s="221"/>
      <c r="X89" s="221"/>
      <c r="Y89" s="222"/>
      <c r="Z89" s="222"/>
      <c r="AA89" s="222"/>
      <c r="AB89" s="222"/>
      <c r="AC89" s="223"/>
      <c r="AD89" s="224"/>
      <c r="AE89" s="222"/>
    </row>
    <row r="90" spans="1:31" ht="12.75" customHeight="1" x14ac:dyDescent="0.25">
      <c r="A90" s="221"/>
      <c r="B90" s="221"/>
      <c r="C90" s="221"/>
      <c r="D90" s="221"/>
      <c r="E90" s="221"/>
      <c r="F90" s="221"/>
      <c r="G90" s="221"/>
      <c r="H90" s="221"/>
      <c r="I90" s="221"/>
      <c r="J90" s="221"/>
      <c r="K90" s="221"/>
      <c r="L90" s="221"/>
      <c r="M90" s="221"/>
      <c r="N90" s="221"/>
      <c r="O90" s="221"/>
      <c r="P90" s="221"/>
      <c r="Q90" s="221"/>
      <c r="R90" s="221"/>
      <c r="S90" s="221"/>
      <c r="T90" s="221"/>
      <c r="U90" s="221"/>
      <c r="V90" s="221"/>
      <c r="W90" s="221"/>
      <c r="X90" s="221"/>
      <c r="Y90" s="222"/>
      <c r="Z90" s="222"/>
      <c r="AA90" s="222"/>
      <c r="AB90" s="222"/>
      <c r="AC90" s="223"/>
      <c r="AD90" s="224"/>
      <c r="AE90" s="222"/>
    </row>
    <row r="91" spans="1:31" ht="12.75" customHeight="1" x14ac:dyDescent="0.25">
      <c r="A91" s="221"/>
      <c r="B91" s="221"/>
      <c r="C91" s="221"/>
      <c r="D91" s="221"/>
      <c r="E91" s="221"/>
      <c r="F91" s="221"/>
      <c r="G91" s="221"/>
      <c r="H91" s="221"/>
      <c r="I91" s="221"/>
      <c r="J91" s="221"/>
      <c r="K91" s="221"/>
      <c r="L91" s="221"/>
      <c r="M91" s="221"/>
      <c r="N91" s="221"/>
      <c r="O91" s="221"/>
      <c r="P91" s="221"/>
      <c r="Q91" s="221"/>
      <c r="R91" s="221"/>
      <c r="S91" s="221"/>
      <c r="T91" s="221"/>
      <c r="U91" s="221"/>
      <c r="V91" s="221"/>
      <c r="W91" s="221"/>
      <c r="X91" s="221"/>
      <c r="Y91" s="222"/>
      <c r="Z91" s="222"/>
      <c r="AA91" s="222"/>
      <c r="AB91" s="222"/>
      <c r="AC91" s="223"/>
      <c r="AD91" s="224"/>
      <c r="AE91" s="222"/>
    </row>
    <row r="92" spans="1:31" ht="12.75" customHeight="1" x14ac:dyDescent="0.25">
      <c r="A92" s="221"/>
      <c r="B92" s="221"/>
      <c r="C92" s="221"/>
      <c r="D92" s="221"/>
      <c r="E92" s="221"/>
      <c r="F92" s="221"/>
      <c r="G92" s="221"/>
      <c r="H92" s="221"/>
      <c r="I92" s="221"/>
      <c r="J92" s="221"/>
      <c r="K92" s="221"/>
      <c r="L92" s="221"/>
      <c r="M92" s="221"/>
      <c r="N92" s="221"/>
      <c r="O92" s="221"/>
      <c r="P92" s="221"/>
      <c r="Q92" s="221"/>
      <c r="R92" s="221"/>
      <c r="S92" s="221"/>
      <c r="T92" s="221"/>
      <c r="U92" s="221"/>
      <c r="V92" s="221"/>
      <c r="W92" s="221"/>
      <c r="X92" s="221"/>
      <c r="Y92" s="222"/>
      <c r="Z92" s="222"/>
      <c r="AA92" s="222"/>
      <c r="AB92" s="222"/>
      <c r="AC92" s="223"/>
      <c r="AD92" s="224"/>
      <c r="AE92" s="222"/>
    </row>
    <row r="93" spans="1:31" ht="12.75" customHeight="1" x14ac:dyDescent="0.25">
      <c r="A93" s="221"/>
      <c r="B93" s="221"/>
      <c r="C93" s="221"/>
      <c r="D93" s="221"/>
      <c r="E93" s="221"/>
      <c r="F93" s="221"/>
      <c r="G93" s="221"/>
      <c r="H93" s="221"/>
      <c r="I93" s="221"/>
      <c r="J93" s="221"/>
      <c r="K93" s="221"/>
      <c r="L93" s="221"/>
      <c r="M93" s="221"/>
      <c r="N93" s="221"/>
      <c r="O93" s="221"/>
      <c r="P93" s="221"/>
      <c r="Q93" s="221"/>
      <c r="R93" s="221"/>
      <c r="S93" s="221"/>
      <c r="T93" s="221"/>
      <c r="U93" s="221"/>
      <c r="V93" s="221"/>
      <c r="W93" s="221"/>
      <c r="X93" s="221"/>
      <c r="Y93" s="222"/>
      <c r="Z93" s="222"/>
      <c r="AA93" s="222"/>
      <c r="AB93" s="222"/>
      <c r="AC93" s="223"/>
      <c r="AD93" s="224"/>
      <c r="AE93" s="222"/>
    </row>
    <row r="94" spans="1:31" ht="12.75" customHeight="1" x14ac:dyDescent="0.25">
      <c r="A94" s="221"/>
      <c r="B94" s="221"/>
      <c r="C94" s="221"/>
      <c r="D94" s="221"/>
      <c r="E94" s="221"/>
      <c r="F94" s="221"/>
      <c r="G94" s="221"/>
      <c r="H94" s="221"/>
      <c r="I94" s="221"/>
      <c r="J94" s="221"/>
      <c r="K94" s="221"/>
      <c r="L94" s="221"/>
      <c r="M94" s="221"/>
      <c r="N94" s="221"/>
      <c r="O94" s="221"/>
      <c r="P94" s="221"/>
      <c r="Q94" s="221"/>
      <c r="R94" s="221"/>
      <c r="S94" s="221"/>
      <c r="T94" s="221"/>
      <c r="U94" s="221"/>
      <c r="V94" s="221"/>
      <c r="W94" s="221"/>
      <c r="X94" s="221"/>
      <c r="Y94" s="222"/>
      <c r="Z94" s="222"/>
      <c r="AA94" s="222"/>
      <c r="AB94" s="222"/>
      <c r="AC94" s="223"/>
      <c r="AD94" s="224"/>
      <c r="AE94" s="222"/>
    </row>
    <row r="95" spans="1:31" ht="12.75" customHeight="1" x14ac:dyDescent="0.25">
      <c r="A95" s="221"/>
      <c r="B95" s="221"/>
      <c r="C95" s="221"/>
      <c r="D95" s="221"/>
      <c r="E95" s="221"/>
      <c r="F95" s="221"/>
      <c r="G95" s="221"/>
      <c r="H95" s="221"/>
      <c r="I95" s="221"/>
      <c r="J95" s="221"/>
      <c r="K95" s="221"/>
      <c r="L95" s="221"/>
      <c r="M95" s="221"/>
      <c r="N95" s="221"/>
      <c r="O95" s="221"/>
      <c r="P95" s="221"/>
      <c r="Q95" s="221"/>
      <c r="R95" s="221"/>
      <c r="S95" s="221"/>
      <c r="T95" s="221"/>
      <c r="U95" s="221"/>
      <c r="V95" s="221"/>
      <c r="W95" s="221"/>
      <c r="X95" s="221"/>
      <c r="Y95" s="222"/>
      <c r="Z95" s="222"/>
      <c r="AA95" s="222"/>
      <c r="AB95" s="222"/>
      <c r="AC95" s="223"/>
      <c r="AD95" s="224"/>
      <c r="AE95" s="222"/>
    </row>
    <row r="96" spans="1:31" ht="12.75" customHeight="1" x14ac:dyDescent="0.25">
      <c r="A96" s="221"/>
      <c r="B96" s="221"/>
      <c r="C96" s="221"/>
      <c r="D96" s="221"/>
      <c r="E96" s="221"/>
      <c r="F96" s="221"/>
      <c r="G96" s="221"/>
      <c r="H96" s="221"/>
      <c r="I96" s="221"/>
      <c r="J96" s="221"/>
      <c r="K96" s="221"/>
      <c r="L96" s="221"/>
      <c r="M96" s="221"/>
      <c r="N96" s="221"/>
      <c r="O96" s="221"/>
      <c r="P96" s="221"/>
      <c r="Q96" s="221"/>
      <c r="R96" s="221"/>
      <c r="S96" s="221"/>
      <c r="T96" s="221"/>
      <c r="U96" s="221"/>
      <c r="V96" s="221"/>
      <c r="W96" s="221"/>
      <c r="X96" s="221"/>
      <c r="Y96" s="222"/>
      <c r="Z96" s="222"/>
      <c r="AA96" s="222"/>
      <c r="AB96" s="222"/>
      <c r="AC96" s="223"/>
      <c r="AD96" s="224"/>
      <c r="AE96" s="222"/>
    </row>
    <row r="97" spans="1:31" ht="12.75" customHeight="1" x14ac:dyDescent="0.25">
      <c r="A97" s="221"/>
      <c r="B97" s="221"/>
      <c r="C97" s="221"/>
      <c r="D97" s="221"/>
      <c r="E97" s="221"/>
      <c r="F97" s="221"/>
      <c r="G97" s="221"/>
      <c r="H97" s="221"/>
      <c r="I97" s="221"/>
      <c r="J97" s="221"/>
      <c r="K97" s="221"/>
      <c r="L97" s="221"/>
      <c r="M97" s="221"/>
      <c r="N97" s="221"/>
      <c r="O97" s="221"/>
      <c r="P97" s="221"/>
      <c r="Q97" s="221"/>
      <c r="R97" s="221"/>
      <c r="S97" s="221"/>
      <c r="T97" s="221"/>
      <c r="U97" s="221"/>
      <c r="V97" s="221"/>
      <c r="W97" s="221"/>
      <c r="X97" s="221"/>
      <c r="Y97" s="222"/>
      <c r="Z97" s="222"/>
      <c r="AA97" s="222"/>
      <c r="AB97" s="222"/>
      <c r="AC97" s="223"/>
      <c r="AD97" s="224"/>
      <c r="AE97" s="222"/>
    </row>
    <row r="98" spans="1:31" ht="12.75" customHeight="1" x14ac:dyDescent="0.25">
      <c r="A98" s="221"/>
      <c r="B98" s="221"/>
      <c r="C98" s="221"/>
      <c r="D98" s="221"/>
      <c r="E98" s="221"/>
      <c r="F98" s="221"/>
      <c r="G98" s="221"/>
      <c r="H98" s="221"/>
      <c r="I98" s="221"/>
      <c r="J98" s="221"/>
      <c r="K98" s="221"/>
      <c r="L98" s="221"/>
      <c r="M98" s="221"/>
      <c r="N98" s="221"/>
      <c r="O98" s="221"/>
      <c r="P98" s="221"/>
      <c r="Q98" s="221"/>
      <c r="R98" s="221"/>
      <c r="S98" s="221"/>
      <c r="T98" s="221"/>
      <c r="U98" s="221"/>
      <c r="V98" s="221"/>
      <c r="W98" s="221"/>
      <c r="X98" s="221"/>
      <c r="Y98" s="222"/>
      <c r="Z98" s="222"/>
      <c r="AA98" s="222"/>
      <c r="AB98" s="222"/>
      <c r="AC98" s="223"/>
      <c r="AD98" s="224"/>
      <c r="AE98" s="222"/>
    </row>
    <row r="99" spans="1:31" ht="12.75" customHeight="1" x14ac:dyDescent="0.25">
      <c r="A99" s="221"/>
      <c r="B99" s="221"/>
      <c r="C99" s="221"/>
      <c r="D99" s="221"/>
      <c r="E99" s="221"/>
      <c r="F99" s="221"/>
      <c r="G99" s="221"/>
      <c r="H99" s="221"/>
      <c r="I99" s="221"/>
      <c r="J99" s="221"/>
      <c r="K99" s="221"/>
      <c r="L99" s="221"/>
      <c r="M99" s="221"/>
      <c r="N99" s="221"/>
      <c r="O99" s="221"/>
      <c r="P99" s="221"/>
      <c r="Q99" s="221"/>
      <c r="R99" s="221"/>
      <c r="S99" s="221"/>
      <c r="T99" s="221"/>
      <c r="U99" s="221"/>
      <c r="V99" s="221"/>
      <c r="W99" s="221"/>
      <c r="X99" s="221"/>
      <c r="Y99" s="222"/>
      <c r="Z99" s="222"/>
      <c r="AA99" s="222"/>
      <c r="AB99" s="222"/>
      <c r="AC99" s="223"/>
      <c r="AD99" s="224"/>
      <c r="AE99" s="222"/>
    </row>
    <row r="100" spans="1:31" ht="12.75" customHeight="1" x14ac:dyDescent="0.25">
      <c r="A100" s="221"/>
      <c r="B100" s="221"/>
      <c r="C100" s="221"/>
      <c r="D100" s="221"/>
      <c r="E100" s="221"/>
      <c r="F100" s="221"/>
      <c r="G100" s="221"/>
      <c r="H100" s="221"/>
      <c r="I100" s="221"/>
      <c r="J100" s="221"/>
      <c r="K100" s="221"/>
      <c r="L100" s="221"/>
      <c r="M100" s="221"/>
      <c r="N100" s="221"/>
      <c r="O100" s="221"/>
      <c r="P100" s="221"/>
      <c r="Q100" s="221"/>
      <c r="R100" s="221"/>
      <c r="S100" s="221"/>
      <c r="T100" s="221"/>
      <c r="U100" s="221"/>
      <c r="V100" s="221"/>
      <c r="W100" s="221"/>
      <c r="X100" s="221"/>
      <c r="Y100" s="222"/>
      <c r="Z100" s="222"/>
      <c r="AA100" s="222"/>
      <c r="AB100" s="222"/>
      <c r="AC100" s="223"/>
      <c r="AD100" s="224"/>
      <c r="AE100" s="222"/>
    </row>
  </sheetData>
  <mergeCells count="15">
    <mergeCell ref="G4:G5"/>
    <mergeCell ref="H4:H5"/>
    <mergeCell ref="I4:I5"/>
    <mergeCell ref="J4:J5"/>
    <mergeCell ref="K4:K5"/>
    <mergeCell ref="A4:A5"/>
    <mergeCell ref="B4:B5"/>
    <mergeCell ref="C4:C5"/>
    <mergeCell ref="D4:D5"/>
    <mergeCell ref="E4:E5"/>
    <mergeCell ref="W4:W5"/>
    <mergeCell ref="M4:M5"/>
    <mergeCell ref="L4:L5"/>
    <mergeCell ref="Q4:V4"/>
    <mergeCell ref="N4:P4"/>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MASTERLIST ASSET</vt:lpstr>
      <vt:lpstr>UPTIME</vt:lpstr>
      <vt:lpstr>Public Holiday</vt:lpstr>
      <vt:lpstr>KDI</vt:lpstr>
      <vt:lpstr>KDI 2</vt:lpstr>
      <vt:lpstr>BEMSdar</vt:lpstr>
      <vt:lpstr>B1-RESPONSE &amp; B2-REPAIR</vt:lpstr>
      <vt:lpstr>B3-SCHEDULED</vt:lpstr>
      <vt:lpstr>B4-UPTIME</vt:lpstr>
      <vt:lpstr>B5-T&amp;C</vt:lpstr>
      <vt:lpstr>Sheet2</vt:lpstr>
      <vt:lpstr>holidays</vt:lpstr>
      <vt:lpstr>UPTIME!OLE_LINK2</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ZAHRULHAZMI ZAKARIA</cp:lastModifiedBy>
  <cp:lastPrinted>2026-04-15T04:07:21Z</cp:lastPrinted>
  <dcterms:created xsi:type="dcterms:W3CDTF">2016-04-14T03:55:00Z</dcterms:created>
  <dcterms:modified xsi:type="dcterms:W3CDTF">2026-04-20T09:01:23Z</dcterms:modified>
</cp:coreProperties>
</file>